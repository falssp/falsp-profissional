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met\Desktop\"/>
    </mc:Choice>
  </mc:AlternateContent>
  <bookViews>
    <workbookView xWindow="0" yWindow="0" windowWidth="19545" windowHeight="8340"/>
  </bookViews>
  <sheets>
    <sheet name="Dashboard" sheetId="1" r:id="rId1"/>
    <sheet name="Helper" sheetId="7" r:id="rId2"/>
    <sheet name="Revenue" sheetId="2" r:id="rId3"/>
    <sheet name="Costs" sheetId="4" r:id="rId4"/>
    <sheet name="Profit" sheetId="3" r:id="rId5"/>
    <sheet name="Efficiency" sheetId="5" r:id="rId6"/>
    <sheet name="Turnover Rate" sheetId="6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20" i="1" l="1"/>
  <c r="S20" i="1"/>
  <c r="P20" i="1"/>
  <c r="M20" i="1"/>
  <c r="J20" i="1"/>
  <c r="G20" i="1"/>
  <c r="D20" i="1"/>
  <c r="A20" i="1"/>
  <c r="B11" i="1"/>
  <c r="V18" i="1"/>
  <c r="S18" i="1"/>
  <c r="P18" i="1"/>
  <c r="M18" i="1"/>
  <c r="J18" i="1"/>
  <c r="G18" i="1"/>
  <c r="D18" i="1"/>
  <c r="A18" i="1"/>
  <c r="B8" i="1"/>
  <c r="B7" i="1"/>
  <c r="V17" i="1"/>
  <c r="S17" i="1"/>
  <c r="P17" i="1"/>
  <c r="M17" i="1"/>
  <c r="J17" i="1"/>
  <c r="G17" i="1"/>
  <c r="D17" i="1"/>
  <c r="A17" i="1"/>
  <c r="B5" i="1"/>
  <c r="B4" i="1"/>
  <c r="V16" i="1"/>
  <c r="S16" i="1"/>
  <c r="P16" i="1"/>
  <c r="M16" i="1"/>
  <c r="J16" i="1"/>
  <c r="G16" i="1"/>
  <c r="D16" i="1"/>
  <c r="A16" i="1"/>
  <c r="W20" i="1"/>
  <c r="T20" i="1"/>
  <c r="Q20" i="1"/>
  <c r="N20" i="1"/>
  <c r="K20" i="1"/>
  <c r="H20" i="1"/>
  <c r="E20" i="1"/>
  <c r="B20" i="1"/>
  <c r="D70" i="7" l="1"/>
  <c r="E70" i="7"/>
  <c r="F70" i="7"/>
  <c r="G70" i="7"/>
  <c r="H70" i="7"/>
  <c r="I70" i="7"/>
  <c r="J70" i="7"/>
  <c r="K70" i="7"/>
  <c r="L70" i="7"/>
  <c r="M70" i="7"/>
  <c r="N70" i="7"/>
  <c r="C70" i="7"/>
  <c r="D68" i="7"/>
  <c r="E68" i="7"/>
  <c r="F68" i="7"/>
  <c r="G68" i="7"/>
  <c r="H68" i="7"/>
  <c r="I68" i="7"/>
  <c r="J68" i="7"/>
  <c r="K68" i="7"/>
  <c r="L68" i="7"/>
  <c r="M68" i="7"/>
  <c r="N68" i="7"/>
  <c r="C68" i="7"/>
  <c r="D66" i="7"/>
  <c r="E66" i="7"/>
  <c r="F66" i="7"/>
  <c r="G66" i="7"/>
  <c r="H66" i="7"/>
  <c r="I66" i="7"/>
  <c r="J66" i="7"/>
  <c r="K66" i="7"/>
  <c r="L66" i="7"/>
  <c r="M66" i="7"/>
  <c r="N66" i="7"/>
  <c r="C66" i="7"/>
  <c r="D64" i="7"/>
  <c r="E64" i="7"/>
  <c r="F64" i="7"/>
  <c r="G64" i="7"/>
  <c r="H64" i="7"/>
  <c r="I64" i="7"/>
  <c r="J64" i="7"/>
  <c r="K64" i="7"/>
  <c r="L64" i="7"/>
  <c r="M64" i="7"/>
  <c r="N64" i="7"/>
  <c r="C64" i="7"/>
  <c r="D62" i="7"/>
  <c r="E62" i="7"/>
  <c r="F62" i="7"/>
  <c r="G62" i="7"/>
  <c r="H62" i="7"/>
  <c r="I62" i="7"/>
  <c r="J62" i="7"/>
  <c r="K62" i="7"/>
  <c r="L62" i="7"/>
  <c r="M62" i="7"/>
  <c r="N62" i="7"/>
  <c r="C62" i="7"/>
  <c r="D60" i="7"/>
  <c r="E60" i="7"/>
  <c r="F60" i="7"/>
  <c r="G60" i="7"/>
  <c r="H60" i="7"/>
  <c r="I60" i="7"/>
  <c r="J60" i="7"/>
  <c r="K60" i="7"/>
  <c r="L60" i="7"/>
  <c r="M60" i="7"/>
  <c r="N60" i="7"/>
  <c r="C60" i="7"/>
  <c r="D58" i="7"/>
  <c r="E58" i="7"/>
  <c r="F58" i="7"/>
  <c r="G58" i="7"/>
  <c r="H58" i="7"/>
  <c r="I58" i="7"/>
  <c r="J58" i="7"/>
  <c r="K58" i="7"/>
  <c r="L58" i="7"/>
  <c r="M58" i="7"/>
  <c r="N58" i="7"/>
  <c r="C58" i="7"/>
  <c r="D56" i="7"/>
  <c r="D72" i="7" s="1"/>
  <c r="E56" i="7"/>
  <c r="E72" i="7" s="1"/>
  <c r="F56" i="7"/>
  <c r="F72" i="7" s="1"/>
  <c r="G56" i="7"/>
  <c r="G72" i="7" s="1"/>
  <c r="H56" i="7"/>
  <c r="H72" i="7" s="1"/>
  <c r="I56" i="7"/>
  <c r="I72" i="7" s="1"/>
  <c r="J56" i="7"/>
  <c r="J72" i="7" s="1"/>
  <c r="K56" i="7"/>
  <c r="K72" i="7" s="1"/>
  <c r="L56" i="7"/>
  <c r="L72" i="7" s="1"/>
  <c r="M56" i="7"/>
  <c r="M72" i="7" s="1"/>
  <c r="N56" i="7"/>
  <c r="N72" i="7" s="1"/>
  <c r="C56" i="7"/>
  <c r="C72" i="7" s="1"/>
  <c r="D69" i="7"/>
  <c r="E69" i="7"/>
  <c r="F69" i="7"/>
  <c r="G69" i="7"/>
  <c r="H69" i="7"/>
  <c r="I69" i="7"/>
  <c r="J69" i="7"/>
  <c r="K69" i="7"/>
  <c r="L69" i="7"/>
  <c r="M69" i="7"/>
  <c r="N69" i="7"/>
  <c r="D67" i="7"/>
  <c r="E67" i="7"/>
  <c r="F67" i="7"/>
  <c r="G67" i="7"/>
  <c r="H67" i="7"/>
  <c r="I67" i="7"/>
  <c r="J67" i="7"/>
  <c r="K67" i="7"/>
  <c r="L67" i="7"/>
  <c r="M67" i="7"/>
  <c r="N67" i="7"/>
  <c r="D65" i="7"/>
  <c r="E65" i="7"/>
  <c r="F65" i="7"/>
  <c r="G65" i="7"/>
  <c r="H65" i="7"/>
  <c r="I65" i="7"/>
  <c r="J65" i="7"/>
  <c r="K65" i="7"/>
  <c r="L65" i="7"/>
  <c r="M65" i="7"/>
  <c r="N65" i="7"/>
  <c r="D63" i="7"/>
  <c r="E63" i="7"/>
  <c r="F63" i="7"/>
  <c r="G63" i="7"/>
  <c r="H63" i="7"/>
  <c r="I63" i="7"/>
  <c r="J63" i="7"/>
  <c r="K63" i="7"/>
  <c r="L63" i="7"/>
  <c r="M63" i="7"/>
  <c r="N63" i="7"/>
  <c r="D61" i="7"/>
  <c r="E61" i="7"/>
  <c r="F61" i="7"/>
  <c r="G61" i="7"/>
  <c r="H61" i="7"/>
  <c r="I61" i="7"/>
  <c r="J61" i="7"/>
  <c r="K61" i="7"/>
  <c r="L61" i="7"/>
  <c r="M61" i="7"/>
  <c r="N61" i="7"/>
  <c r="D59" i="7"/>
  <c r="E59" i="7"/>
  <c r="F59" i="7"/>
  <c r="G59" i="7"/>
  <c r="H59" i="7"/>
  <c r="I59" i="7"/>
  <c r="J59" i="7"/>
  <c r="K59" i="7"/>
  <c r="L59" i="7"/>
  <c r="M59" i="7"/>
  <c r="N59" i="7"/>
  <c r="D57" i="7"/>
  <c r="E57" i="7"/>
  <c r="F57" i="7"/>
  <c r="G57" i="7"/>
  <c r="H57" i="7"/>
  <c r="I57" i="7"/>
  <c r="J57" i="7"/>
  <c r="K57" i="7"/>
  <c r="L57" i="7"/>
  <c r="M57" i="7"/>
  <c r="N57" i="7"/>
  <c r="C69" i="7"/>
  <c r="C67" i="7"/>
  <c r="C65" i="7"/>
  <c r="C63" i="7"/>
  <c r="C61" i="7"/>
  <c r="C59" i="7"/>
  <c r="C57" i="7"/>
  <c r="D55" i="7"/>
  <c r="E55" i="7"/>
  <c r="F55" i="7"/>
  <c r="G55" i="7"/>
  <c r="H55" i="7"/>
  <c r="I55" i="7"/>
  <c r="J55" i="7"/>
  <c r="K55" i="7"/>
  <c r="L55" i="7"/>
  <c r="M55" i="7"/>
  <c r="N55" i="7"/>
  <c r="N71" i="7" s="1"/>
  <c r="C55" i="7"/>
  <c r="D43" i="7"/>
  <c r="E43" i="7"/>
  <c r="F43" i="7"/>
  <c r="G43" i="7"/>
  <c r="H43" i="7"/>
  <c r="I43" i="7"/>
  <c r="J43" i="7"/>
  <c r="K43" i="7"/>
  <c r="L43" i="7"/>
  <c r="M43" i="7"/>
  <c r="N43" i="7"/>
  <c r="N51" i="7" s="1"/>
  <c r="D44" i="7"/>
  <c r="E44" i="7"/>
  <c r="F44" i="7"/>
  <c r="G44" i="7"/>
  <c r="H44" i="7"/>
  <c r="I44" i="7"/>
  <c r="J44" i="7"/>
  <c r="K44" i="7"/>
  <c r="L44" i="7"/>
  <c r="M44" i="7"/>
  <c r="N44" i="7"/>
  <c r="D45" i="7"/>
  <c r="E45" i="7"/>
  <c r="F45" i="7"/>
  <c r="G45" i="7"/>
  <c r="H45" i="7"/>
  <c r="I45" i="7"/>
  <c r="J45" i="7"/>
  <c r="K45" i="7"/>
  <c r="L45" i="7"/>
  <c r="M45" i="7"/>
  <c r="N45" i="7"/>
  <c r="D46" i="7"/>
  <c r="E46" i="7"/>
  <c r="F46" i="7"/>
  <c r="G46" i="7"/>
  <c r="H46" i="7"/>
  <c r="I46" i="7"/>
  <c r="J46" i="7"/>
  <c r="K46" i="7"/>
  <c r="L46" i="7"/>
  <c r="M46" i="7"/>
  <c r="N46" i="7"/>
  <c r="D47" i="7"/>
  <c r="E47" i="7"/>
  <c r="F47" i="7"/>
  <c r="G47" i="7"/>
  <c r="H47" i="7"/>
  <c r="I47" i="7"/>
  <c r="J47" i="7"/>
  <c r="K47" i="7"/>
  <c r="L47" i="7"/>
  <c r="M47" i="7"/>
  <c r="N47" i="7"/>
  <c r="D48" i="7"/>
  <c r="E48" i="7"/>
  <c r="F48" i="7"/>
  <c r="G48" i="7"/>
  <c r="H48" i="7"/>
  <c r="I48" i="7"/>
  <c r="J48" i="7"/>
  <c r="K48" i="7"/>
  <c r="L48" i="7"/>
  <c r="M48" i="7"/>
  <c r="N48" i="7"/>
  <c r="D49" i="7"/>
  <c r="E49" i="7"/>
  <c r="F49" i="7"/>
  <c r="G49" i="7"/>
  <c r="H49" i="7"/>
  <c r="I49" i="7"/>
  <c r="J49" i="7"/>
  <c r="K49" i="7"/>
  <c r="L49" i="7"/>
  <c r="M49" i="7"/>
  <c r="N49" i="7"/>
  <c r="D50" i="7"/>
  <c r="E50" i="7"/>
  <c r="F50" i="7"/>
  <c r="G50" i="7"/>
  <c r="H50" i="7"/>
  <c r="I50" i="7"/>
  <c r="J50" i="7"/>
  <c r="K50" i="7"/>
  <c r="L50" i="7"/>
  <c r="M50" i="7"/>
  <c r="N50" i="7"/>
  <c r="C44" i="7"/>
  <c r="C45" i="7"/>
  <c r="C46" i="7"/>
  <c r="C47" i="7"/>
  <c r="C48" i="7"/>
  <c r="C49" i="7"/>
  <c r="C50" i="7"/>
  <c r="C43" i="7"/>
  <c r="D31" i="7"/>
  <c r="E31" i="7"/>
  <c r="F31" i="7"/>
  <c r="G31" i="7"/>
  <c r="H31" i="7"/>
  <c r="I31" i="7"/>
  <c r="J31" i="7"/>
  <c r="K31" i="7"/>
  <c r="L31" i="7"/>
  <c r="M31" i="7"/>
  <c r="N31" i="7"/>
  <c r="N39" i="7" s="1"/>
  <c r="D32" i="7"/>
  <c r="E32" i="7"/>
  <c r="F32" i="7"/>
  <c r="G32" i="7"/>
  <c r="H32" i="7"/>
  <c r="I32" i="7"/>
  <c r="J32" i="7"/>
  <c r="K32" i="7"/>
  <c r="L32" i="7"/>
  <c r="M32" i="7"/>
  <c r="N32" i="7"/>
  <c r="D33" i="7"/>
  <c r="E33" i="7"/>
  <c r="F33" i="7"/>
  <c r="G33" i="7"/>
  <c r="H33" i="7"/>
  <c r="I33" i="7"/>
  <c r="J33" i="7"/>
  <c r="K33" i="7"/>
  <c r="L33" i="7"/>
  <c r="M33" i="7"/>
  <c r="N33" i="7"/>
  <c r="D34" i="7"/>
  <c r="E34" i="7"/>
  <c r="F34" i="7"/>
  <c r="G34" i="7"/>
  <c r="H34" i="7"/>
  <c r="I34" i="7"/>
  <c r="J34" i="7"/>
  <c r="K34" i="7"/>
  <c r="L34" i="7"/>
  <c r="M34" i="7"/>
  <c r="N34" i="7"/>
  <c r="D35" i="7"/>
  <c r="E35" i="7"/>
  <c r="F35" i="7"/>
  <c r="G35" i="7"/>
  <c r="H35" i="7"/>
  <c r="I35" i="7"/>
  <c r="J35" i="7"/>
  <c r="K35" i="7"/>
  <c r="L35" i="7"/>
  <c r="M35" i="7"/>
  <c r="N35" i="7"/>
  <c r="D36" i="7"/>
  <c r="E36" i="7"/>
  <c r="F36" i="7"/>
  <c r="G36" i="7"/>
  <c r="H36" i="7"/>
  <c r="I36" i="7"/>
  <c r="J36" i="7"/>
  <c r="K36" i="7"/>
  <c r="L36" i="7"/>
  <c r="M36" i="7"/>
  <c r="N36" i="7"/>
  <c r="D37" i="7"/>
  <c r="E37" i="7"/>
  <c r="F37" i="7"/>
  <c r="G37" i="7"/>
  <c r="H37" i="7"/>
  <c r="I37" i="7"/>
  <c r="J37" i="7"/>
  <c r="K37" i="7"/>
  <c r="L37" i="7"/>
  <c r="M37" i="7"/>
  <c r="N37" i="7"/>
  <c r="D38" i="7"/>
  <c r="E38" i="7"/>
  <c r="F38" i="7"/>
  <c r="G38" i="7"/>
  <c r="H38" i="7"/>
  <c r="I38" i="7"/>
  <c r="J38" i="7"/>
  <c r="K38" i="7"/>
  <c r="L38" i="7"/>
  <c r="M38" i="7"/>
  <c r="N38" i="7"/>
  <c r="C32" i="7"/>
  <c r="C33" i="7"/>
  <c r="C34" i="7"/>
  <c r="C35" i="7"/>
  <c r="C36" i="7"/>
  <c r="C37" i="7"/>
  <c r="C38" i="7"/>
  <c r="C31" i="7"/>
  <c r="C19" i="7"/>
  <c r="C20" i="7"/>
  <c r="C21" i="7"/>
  <c r="C22" i="7"/>
  <c r="C23" i="7"/>
  <c r="C24" i="7"/>
  <c r="C25" i="7"/>
  <c r="C26" i="7"/>
  <c r="D19" i="7"/>
  <c r="E19" i="7"/>
  <c r="F19" i="7"/>
  <c r="G19" i="7"/>
  <c r="H19" i="7"/>
  <c r="I19" i="7"/>
  <c r="J19" i="7"/>
  <c r="K19" i="7"/>
  <c r="L19" i="7"/>
  <c r="M19" i="7"/>
  <c r="N19" i="7"/>
  <c r="N27" i="7" s="1"/>
  <c r="D20" i="7"/>
  <c r="E20" i="7"/>
  <c r="F20" i="7"/>
  <c r="G20" i="7"/>
  <c r="H20" i="7"/>
  <c r="I20" i="7"/>
  <c r="J20" i="7"/>
  <c r="K20" i="7"/>
  <c r="L20" i="7"/>
  <c r="M20" i="7"/>
  <c r="N20" i="7"/>
  <c r="D21" i="7"/>
  <c r="E21" i="7"/>
  <c r="F21" i="7"/>
  <c r="G21" i="7"/>
  <c r="H21" i="7"/>
  <c r="I21" i="7"/>
  <c r="J21" i="7"/>
  <c r="K21" i="7"/>
  <c r="L21" i="7"/>
  <c r="M21" i="7"/>
  <c r="N21" i="7"/>
  <c r="D22" i="7"/>
  <c r="E22" i="7"/>
  <c r="F22" i="7"/>
  <c r="G22" i="7"/>
  <c r="H22" i="7"/>
  <c r="I22" i="7"/>
  <c r="J22" i="7"/>
  <c r="K22" i="7"/>
  <c r="L22" i="7"/>
  <c r="M22" i="7"/>
  <c r="N22" i="7"/>
  <c r="D23" i="7"/>
  <c r="E23" i="7"/>
  <c r="F23" i="7"/>
  <c r="G23" i="7"/>
  <c r="H23" i="7"/>
  <c r="I23" i="7"/>
  <c r="J23" i="7"/>
  <c r="K23" i="7"/>
  <c r="L23" i="7"/>
  <c r="M23" i="7"/>
  <c r="N23" i="7"/>
  <c r="D24" i="7"/>
  <c r="E24" i="7"/>
  <c r="F24" i="7"/>
  <c r="G24" i="7"/>
  <c r="H24" i="7"/>
  <c r="I24" i="7"/>
  <c r="J24" i="7"/>
  <c r="K24" i="7"/>
  <c r="L24" i="7"/>
  <c r="M24" i="7"/>
  <c r="N24" i="7"/>
  <c r="D25" i="7"/>
  <c r="E25" i="7"/>
  <c r="F25" i="7"/>
  <c r="G25" i="7"/>
  <c r="H25" i="7"/>
  <c r="I25" i="7"/>
  <c r="J25" i="7"/>
  <c r="K25" i="7"/>
  <c r="L25" i="7"/>
  <c r="M25" i="7"/>
  <c r="N25" i="7"/>
  <c r="D26" i="7"/>
  <c r="E26" i="7"/>
  <c r="F26" i="7"/>
  <c r="G26" i="7"/>
  <c r="H26" i="7"/>
  <c r="I26" i="7"/>
  <c r="J26" i="7"/>
  <c r="K26" i="7"/>
  <c r="L26" i="7"/>
  <c r="M26" i="7"/>
  <c r="N26" i="7"/>
  <c r="W17" i="1"/>
  <c r="W16" i="1"/>
  <c r="T17" i="1"/>
  <c r="T16" i="1"/>
  <c r="Q17" i="1"/>
  <c r="Q16" i="1"/>
  <c r="N17" i="1"/>
  <c r="N16" i="1"/>
  <c r="K17" i="1"/>
  <c r="K16" i="1"/>
  <c r="H17" i="1"/>
  <c r="H16" i="1"/>
  <c r="E17" i="1"/>
  <c r="E16" i="1"/>
  <c r="B17" i="1"/>
  <c r="B16" i="1"/>
  <c r="C3" i="3"/>
  <c r="D3" i="3"/>
  <c r="E3" i="3"/>
  <c r="F3" i="3"/>
  <c r="G3" i="3"/>
  <c r="H3" i="3"/>
  <c r="I3" i="3"/>
  <c r="J3" i="3"/>
  <c r="K3" i="3"/>
  <c r="L3" i="3"/>
  <c r="M3" i="3"/>
  <c r="C4" i="3"/>
  <c r="D4" i="3"/>
  <c r="E4" i="3"/>
  <c r="F4" i="3"/>
  <c r="G4" i="3"/>
  <c r="H4" i="3"/>
  <c r="I4" i="3"/>
  <c r="J4" i="3"/>
  <c r="K4" i="3"/>
  <c r="L4" i="3"/>
  <c r="M4" i="3"/>
  <c r="C5" i="3"/>
  <c r="D5" i="3"/>
  <c r="E5" i="3"/>
  <c r="F5" i="3"/>
  <c r="G5" i="3"/>
  <c r="H5" i="3"/>
  <c r="I5" i="3"/>
  <c r="J5" i="3"/>
  <c r="K5" i="3"/>
  <c r="L5" i="3"/>
  <c r="M5" i="3"/>
  <c r="C6" i="3"/>
  <c r="D6" i="3"/>
  <c r="E6" i="3"/>
  <c r="F6" i="3"/>
  <c r="G6" i="3"/>
  <c r="H6" i="3"/>
  <c r="I6" i="3"/>
  <c r="J6" i="3"/>
  <c r="K6" i="3"/>
  <c r="L6" i="3"/>
  <c r="M6" i="3"/>
  <c r="C7" i="3"/>
  <c r="D7" i="3"/>
  <c r="E7" i="3"/>
  <c r="F7" i="3"/>
  <c r="G7" i="3"/>
  <c r="H7" i="3"/>
  <c r="I7" i="3"/>
  <c r="J7" i="3"/>
  <c r="K7" i="3"/>
  <c r="L7" i="3"/>
  <c r="M7" i="3"/>
  <c r="C8" i="3"/>
  <c r="D8" i="3"/>
  <c r="E8" i="3"/>
  <c r="F8" i="3"/>
  <c r="G8" i="3"/>
  <c r="H8" i="3"/>
  <c r="I8" i="3"/>
  <c r="J8" i="3"/>
  <c r="K8" i="3"/>
  <c r="L8" i="3"/>
  <c r="M8" i="3"/>
  <c r="C9" i="3"/>
  <c r="D9" i="3"/>
  <c r="E9" i="3"/>
  <c r="F9" i="3"/>
  <c r="G9" i="3"/>
  <c r="H9" i="3"/>
  <c r="I9" i="3"/>
  <c r="J9" i="3"/>
  <c r="K9" i="3"/>
  <c r="L9" i="3"/>
  <c r="M9" i="3"/>
  <c r="C10" i="3"/>
  <c r="D10" i="3"/>
  <c r="E10" i="3"/>
  <c r="F10" i="3"/>
  <c r="G10" i="3"/>
  <c r="H10" i="3"/>
  <c r="I10" i="3"/>
  <c r="J10" i="3"/>
  <c r="K10" i="3"/>
  <c r="L10" i="3"/>
  <c r="M10" i="3"/>
  <c r="B4" i="3"/>
  <c r="B5" i="3"/>
  <c r="B6" i="3"/>
  <c r="B7" i="3"/>
  <c r="B8" i="3"/>
  <c r="B9" i="3"/>
  <c r="B10" i="3"/>
  <c r="B3" i="3"/>
  <c r="M71" i="7" l="1"/>
  <c r="K71" i="7"/>
  <c r="M27" i="7"/>
  <c r="K27" i="7"/>
  <c r="M39" i="7"/>
  <c r="K39" i="7"/>
  <c r="M51" i="7"/>
  <c r="K51" i="7"/>
  <c r="L27" i="7"/>
  <c r="L39" i="7"/>
  <c r="L51" i="7"/>
  <c r="L71" i="7"/>
  <c r="J71" i="7"/>
  <c r="H71" i="7"/>
  <c r="F71" i="7"/>
  <c r="D71" i="7"/>
  <c r="J27" i="7"/>
  <c r="J39" i="7"/>
  <c r="J51" i="7"/>
  <c r="H27" i="7"/>
  <c r="F27" i="7"/>
  <c r="D27" i="7"/>
  <c r="C27" i="7"/>
  <c r="H39" i="7"/>
  <c r="F39" i="7"/>
  <c r="D39" i="7"/>
  <c r="H51" i="7"/>
  <c r="F51" i="7"/>
  <c r="D51" i="7"/>
  <c r="I27" i="7"/>
  <c r="G27" i="7"/>
  <c r="E27" i="7"/>
  <c r="C39" i="7"/>
  <c r="I39" i="7"/>
  <c r="G39" i="7"/>
  <c r="E39" i="7"/>
  <c r="C51" i="7"/>
  <c r="I51" i="7"/>
  <c r="G51" i="7"/>
  <c r="E51" i="7"/>
  <c r="C71" i="7"/>
  <c r="I71" i="7"/>
  <c r="G71" i="7"/>
  <c r="E71" i="7"/>
  <c r="P48" i="7"/>
  <c r="P44" i="7"/>
  <c r="P50" i="7"/>
  <c r="P46" i="7"/>
  <c r="P49" i="7"/>
  <c r="P47" i="7"/>
  <c r="P45" i="7"/>
  <c r="P43" i="7"/>
  <c r="D10" i="1" l="1"/>
  <c r="D7" i="1"/>
  <c r="D4" i="1"/>
  <c r="D11" i="1"/>
  <c r="D8" i="1"/>
  <c r="D5" i="1"/>
</calcChain>
</file>

<file path=xl/sharedStrings.xml><?xml version="1.0" encoding="utf-8"?>
<sst xmlns="http://schemas.openxmlformats.org/spreadsheetml/2006/main" count="260" uniqueCount="41">
  <si>
    <t>Revenue</t>
  </si>
  <si>
    <t>Profit</t>
  </si>
  <si>
    <t>Efficiency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</si>
  <si>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</si>
  <si>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</si>
  <si>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</si>
  <si>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</si>
  <si>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</si>
  <si>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</si>
  <si>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</si>
  <si>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</si>
  <si>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</si>
  <si>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</si>
  <si>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</si>
  <si>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</si>
  <si>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Months</t>
  </si>
  <si>
    <t>Month Nr</t>
  </si>
  <si>
    <t>Active Month</t>
  </si>
  <si>
    <t>Small Chart</t>
  </si>
  <si>
    <t>Value</t>
  </si>
  <si>
    <t>Total</t>
  </si>
  <si>
    <t>Turnover Rate</t>
  </si>
  <si>
    <t>White Collar</t>
  </si>
  <si>
    <t>Blue Collar</t>
  </si>
  <si>
    <t>Select month to filter report</t>
  </si>
  <si>
    <t>Average</t>
  </si>
  <si>
    <t>Location1</t>
  </si>
  <si>
    <t>Location2</t>
  </si>
  <si>
    <t>Location3</t>
  </si>
  <si>
    <t>Location4</t>
  </si>
  <si>
    <t>Location5</t>
  </si>
  <si>
    <t>Location6</t>
  </si>
  <si>
    <t>Location7</t>
  </si>
  <si>
    <t>Location8</t>
  </si>
  <si>
    <t>Avg. White</t>
  </si>
  <si>
    <t>Avg. Blue</t>
  </si>
  <si>
    <t xml:space="preserve">Efficiency </t>
  </si>
  <si>
    <t>:</t>
  </si>
  <si>
    <t>COMPANY STATUS OVERVIEW REPORT - 2014</t>
  </si>
  <si>
    <t>This Dashboard is downloaded from</t>
  </si>
  <si>
    <t>beatexcel.com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</si>
</sst>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$-409]#,##0"/>
    <numFmt numFmtId="165" formatCode="\$\ #,###,\k"/>
    <numFmt numFmtId="166" formatCode="0.0%"/>
  </numFmts>
  <fonts count="10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u/>
      <sz val="11"/>
      <color theme="1"/>
      <name val="Calibri"/>
      <family val="2"/>
      <charset val="162"/>
      <scheme val="minor"/>
    </font>
    <font>
      <b/>
      <u/>
      <sz val="12"/>
      <color theme="1"/>
      <name val="Calibri"/>
      <family val="2"/>
      <charset val="162"/>
      <scheme val="minor"/>
    </font>
    <font>
      <u/>
      <sz val="11"/>
      <color theme="10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164" fontId="0" fillId="0" borderId="0" xfId="0" applyNumberFormat="1"/>
    <xf numFmtId="0" fontId="2" fillId="0" borderId="0" xfId="0" applyFont="1"/>
    <xf numFmtId="164" fontId="3" fillId="0" borderId="0" xfId="0" applyNumberFormat="1" applyFont="1"/>
    <xf numFmtId="9" fontId="0" fillId="0" borderId="0" xfId="0" applyNumberFormat="1"/>
    <xf numFmtId="9" fontId="3" fillId="0" borderId="0" xfId="1" applyFont="1"/>
    <xf numFmtId="9" fontId="0" fillId="0" borderId="0" xfId="1" applyFont="1"/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Fill="1"/>
    <xf numFmtId="0" fontId="0" fillId="2" borderId="0" xfId="0" applyFill="1"/>
    <xf numFmtId="0" fontId="4" fillId="2" borderId="0" xfId="0" applyFont="1" applyFill="1" applyBorder="1" applyAlignment="1">
      <alignment horizontal="center" wrapText="1"/>
    </xf>
    <xf numFmtId="0" fontId="4" fillId="2" borderId="0" xfId="0" applyFont="1" applyFill="1"/>
    <xf numFmtId="0" fontId="4" fillId="2" borderId="0" xfId="0" applyFont="1" applyFill="1" applyAlignment="1">
      <alignment vertical="center"/>
    </xf>
    <xf numFmtId="165" fontId="4" fillId="2" borderId="0" xfId="0" applyNumberFormat="1" applyFont="1" applyFill="1" applyAlignment="1">
      <alignment vertical="center"/>
    </xf>
    <xf numFmtId="0" fontId="0" fillId="2" borderId="0" xfId="0" applyFill="1" applyAlignment="1">
      <alignment vertical="center"/>
    </xf>
    <xf numFmtId="0" fontId="3" fillId="2" borderId="0" xfId="0" applyFont="1" applyFill="1" applyAlignment="1">
      <alignment vertical="center"/>
    </xf>
    <xf numFmtId="0" fontId="5" fillId="2" borderId="0" xfId="0" applyFont="1" applyFill="1" applyAlignment="1"/>
    <xf numFmtId="0" fontId="4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9" fontId="4" fillId="2" borderId="0" xfId="1" applyFont="1" applyFill="1" applyAlignment="1">
      <alignment horizontal="left"/>
    </xf>
    <xf numFmtId="0" fontId="8" fillId="3" borderId="0" xfId="2" applyFont="1" applyFill="1" applyAlignment="1">
      <alignment horizontal="center" vertical="center"/>
    </xf>
    <xf numFmtId="0" fontId="3" fillId="2" borderId="0" xfId="0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3" borderId="0" xfId="0" applyFont="1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left"/>
    </xf>
    <xf numFmtId="166" fontId="4" fillId="2" borderId="0" xfId="1" applyNumberFormat="1" applyFont="1" applyFill="1" applyAlignment="1">
      <alignment vertical="center"/>
    </xf>
    <xf numFmtId="0" fontId="4" fillId="0" borderId="0" xfId="0" applyFont="1"/>
    <xf numFmtId="0" fontId="9" fillId="2" borderId="0" xfId="0" applyFont="1" applyFill="1" applyAlignment="1">
      <alignment vertical="center"/>
    </xf>
    <xf numFmtId="0" fontId="0" fillId="3" borderId="0" xfId="0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Revenue</a:t>
            </a:r>
            <a:r>
              <a:rPr lang="tr-TR" sz="800"/>
              <a:t> &amp; Profit</a:t>
            </a:r>
            <a:endParaRPr lang="en-US" sz="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987659421517309E-2"/>
          <c:y val="0.31948536353830675"/>
          <c:w val="0.97901234057848274"/>
          <c:h val="0.6805146364616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Helper!$C$19:$N$19</c:f>
              <c:numCache>
                <c:formatCode>[$$-409]#,##0</c:formatCode>
                <c:ptCount val="12"/>
                <c:pt idx="0">
                  <c:v>6593211</c:v>
                </c:pt>
                <c:pt idx="1">
                  <c:v>6935122</c:v>
                </c:pt>
                <c:pt idx="2">
                  <c:v>7055378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81432224"/>
        <c:axId val="181435024"/>
      </c:barChart>
      <c:lineChart>
        <c:grouping val="standard"/>
        <c:varyColors val="0"/>
        <c:ser>
          <c:idx val="1"/>
          <c:order val="1"/>
          <c:tx>
            <c:strRef>
              <c:f>Helper!$B$29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  <a:tailEnd type="triangle" w="sm" len="sm"/>
            </a:ln>
            <a:effectLst/>
          </c:spPr>
          <c:marker>
            <c:symbol val="none"/>
          </c:marker>
          <c:val>
            <c:numRef>
              <c:f>Helper!$C$31:$N$31</c:f>
              <c:numCache>
                <c:formatCode>[$$-409]#,##0</c:formatCode>
                <c:ptCount val="12"/>
                <c:pt idx="0">
                  <c:v>725253.21</c:v>
                </c:pt>
                <c:pt idx="1">
                  <c:v>1317673.1799999997</c:v>
                </c:pt>
                <c:pt idx="2">
                  <c:v>1058306.7000000002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436144"/>
        <c:axId val="181437824"/>
      </c:lineChart>
      <c:catAx>
        <c:axId val="181432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1435024"/>
        <c:crosses val="autoZero"/>
        <c:auto val="1"/>
        <c:lblAlgn val="ctr"/>
        <c:lblOffset val="100"/>
        <c:noMultiLvlLbl val="0"/>
      </c:catAx>
      <c:valAx>
        <c:axId val="181435024"/>
        <c:scaling>
          <c:orientation val="minMax"/>
        </c:scaling>
        <c:delete val="1"/>
        <c:axPos val="l"/>
        <c:numFmt formatCode="[$$-409]#,##0" sourceLinked="1"/>
        <c:majorTickMark val="none"/>
        <c:minorTickMark val="none"/>
        <c:tickLblPos val="nextTo"/>
        <c:crossAx val="181432224"/>
        <c:crosses val="autoZero"/>
        <c:crossBetween val="between"/>
      </c:valAx>
      <c:valAx>
        <c:axId val="181437824"/>
        <c:scaling>
          <c:orientation val="minMax"/>
        </c:scaling>
        <c:delete val="1"/>
        <c:axPos val="r"/>
        <c:numFmt formatCode="[$$-409]#,##0" sourceLinked="1"/>
        <c:majorTickMark val="out"/>
        <c:minorTickMark val="none"/>
        <c:tickLblPos val="nextTo"/>
        <c:crossAx val="181436144"/>
        <c:crosses val="max"/>
        <c:crossBetween val="between"/>
      </c:valAx>
      <c:catAx>
        <c:axId val="181436144"/>
        <c:scaling>
          <c:orientation val="minMax"/>
        </c:scaling>
        <c:delete val="1"/>
        <c:axPos val="b"/>
        <c:majorTickMark val="out"/>
        <c:minorTickMark val="none"/>
        <c:tickLblPos val="nextTo"/>
        <c:crossAx val="181437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Revenue</a:t>
            </a:r>
            <a:r>
              <a:rPr lang="tr-TR" sz="800"/>
              <a:t> &amp; Profit</a:t>
            </a:r>
            <a:endParaRPr lang="en-US" sz="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987659421517309E-2"/>
          <c:y val="0.31948536353830675"/>
          <c:w val="0.97901234057848274"/>
          <c:h val="0.6805146364616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Helper!$C$21:$N$21</c:f>
              <c:numCache>
                <c:formatCode>[$$-409]#,##0</c:formatCode>
                <c:ptCount val="12"/>
                <c:pt idx="0">
                  <c:v>7244567</c:v>
                </c:pt>
                <c:pt idx="1">
                  <c:v>6742213</c:v>
                </c:pt>
                <c:pt idx="2">
                  <c:v>6649062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81654016"/>
        <c:axId val="4148592"/>
      </c:barChart>
      <c:lineChart>
        <c:grouping val="standard"/>
        <c:varyColors val="0"/>
        <c:ser>
          <c:idx val="1"/>
          <c:order val="1"/>
          <c:tx>
            <c:strRef>
              <c:f>Helper!$B$29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  <a:tailEnd type="triangle" w="sm" len="sm"/>
            </a:ln>
            <a:effectLst/>
          </c:spPr>
          <c:marker>
            <c:symbol val="none"/>
          </c:marker>
          <c:val>
            <c:numRef>
              <c:f>Helper!$C$33:$N$33</c:f>
              <c:numCache>
                <c:formatCode>[$$-409]#,##0</c:formatCode>
                <c:ptCount val="12"/>
                <c:pt idx="0">
                  <c:v>1304022.0600000005</c:v>
                </c:pt>
                <c:pt idx="1">
                  <c:v>1820397.5099999998</c:v>
                </c:pt>
                <c:pt idx="2">
                  <c:v>930868.6799999997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47472"/>
        <c:axId val="4148032"/>
      </c:lineChart>
      <c:catAx>
        <c:axId val="18165401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48592"/>
        <c:crosses val="autoZero"/>
        <c:auto val="1"/>
        <c:lblAlgn val="ctr"/>
        <c:lblOffset val="100"/>
        <c:noMultiLvlLbl val="0"/>
      </c:catAx>
      <c:valAx>
        <c:axId val="4148592"/>
        <c:scaling>
          <c:orientation val="minMax"/>
        </c:scaling>
        <c:delete val="1"/>
        <c:axPos val="l"/>
        <c:numFmt formatCode="[$$-409]#,##0" sourceLinked="1"/>
        <c:majorTickMark val="none"/>
        <c:minorTickMark val="none"/>
        <c:tickLblPos val="nextTo"/>
        <c:crossAx val="181654016"/>
        <c:crosses val="autoZero"/>
        <c:crossBetween val="between"/>
      </c:valAx>
      <c:valAx>
        <c:axId val="4148032"/>
        <c:scaling>
          <c:orientation val="minMax"/>
        </c:scaling>
        <c:delete val="1"/>
        <c:axPos val="r"/>
        <c:numFmt formatCode="[$$-409]#,##0" sourceLinked="1"/>
        <c:majorTickMark val="out"/>
        <c:minorTickMark val="none"/>
        <c:tickLblPos val="nextTo"/>
        <c:crossAx val="4147472"/>
        <c:crosses val="max"/>
        <c:crossBetween val="between"/>
      </c:valAx>
      <c:catAx>
        <c:axId val="4147472"/>
        <c:scaling>
          <c:orientation val="minMax"/>
        </c:scaling>
        <c:delete val="1"/>
        <c:axPos val="b"/>
        <c:majorTickMark val="out"/>
        <c:minorTickMark val="none"/>
        <c:tickLblPos val="nextTo"/>
        <c:crossAx val="41480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Revenue</a:t>
            </a:r>
            <a:r>
              <a:rPr lang="tr-TR" sz="800"/>
              <a:t> &amp; Profit</a:t>
            </a:r>
            <a:endParaRPr lang="en-US" sz="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987659421517309E-2"/>
          <c:y val="0.31948536353830675"/>
          <c:w val="0.97901234057848274"/>
          <c:h val="0.6805146364616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Helper!$C$20:$N$20</c:f>
              <c:numCache>
                <c:formatCode>[$$-409]#,##0</c:formatCode>
                <c:ptCount val="12"/>
                <c:pt idx="0">
                  <c:v>9316128</c:v>
                </c:pt>
                <c:pt idx="1">
                  <c:v>9786819</c:v>
                </c:pt>
                <c:pt idx="2">
                  <c:v>11924387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79279504"/>
        <c:axId val="179278944"/>
      </c:barChart>
      <c:lineChart>
        <c:grouping val="standard"/>
        <c:varyColors val="0"/>
        <c:ser>
          <c:idx val="1"/>
          <c:order val="1"/>
          <c:tx>
            <c:strRef>
              <c:f>Helper!$B$29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  <a:tailEnd type="triangle" w="sm" len="sm"/>
            </a:ln>
            <a:effectLst/>
          </c:spPr>
          <c:marker>
            <c:symbol val="none"/>
          </c:marker>
          <c:val>
            <c:numRef>
              <c:f>Helper!$C$32:$N$32</c:f>
              <c:numCache>
                <c:formatCode>[$$-409]#,##0</c:formatCode>
                <c:ptCount val="12"/>
                <c:pt idx="0">
                  <c:v>1956386.88</c:v>
                </c:pt>
                <c:pt idx="1">
                  <c:v>1859495.6099999994</c:v>
                </c:pt>
                <c:pt idx="2">
                  <c:v>1788658.0500000007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155280"/>
        <c:axId val="179277264"/>
      </c:lineChart>
      <c:catAx>
        <c:axId val="179279504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278944"/>
        <c:crosses val="autoZero"/>
        <c:auto val="1"/>
        <c:lblAlgn val="ctr"/>
        <c:lblOffset val="100"/>
        <c:noMultiLvlLbl val="0"/>
      </c:catAx>
      <c:valAx>
        <c:axId val="179278944"/>
        <c:scaling>
          <c:orientation val="minMax"/>
        </c:scaling>
        <c:delete val="1"/>
        <c:axPos val="l"/>
        <c:numFmt formatCode="[$$-409]#,##0" sourceLinked="1"/>
        <c:majorTickMark val="none"/>
        <c:minorTickMark val="none"/>
        <c:tickLblPos val="nextTo"/>
        <c:crossAx val="179279504"/>
        <c:crosses val="autoZero"/>
        <c:crossBetween val="between"/>
      </c:valAx>
      <c:valAx>
        <c:axId val="179277264"/>
        <c:scaling>
          <c:orientation val="minMax"/>
        </c:scaling>
        <c:delete val="1"/>
        <c:axPos val="r"/>
        <c:numFmt formatCode="[$$-409]#,##0" sourceLinked="1"/>
        <c:majorTickMark val="out"/>
        <c:minorTickMark val="none"/>
        <c:tickLblPos val="nextTo"/>
        <c:crossAx val="180155280"/>
        <c:crosses val="max"/>
        <c:crossBetween val="between"/>
      </c:valAx>
      <c:catAx>
        <c:axId val="180155280"/>
        <c:scaling>
          <c:orientation val="minMax"/>
        </c:scaling>
        <c:delete val="1"/>
        <c:axPos val="b"/>
        <c:majorTickMark val="out"/>
        <c:minorTickMark val="none"/>
        <c:tickLblPos val="nextTo"/>
        <c:crossAx val="179277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Revenue</a:t>
            </a:r>
            <a:r>
              <a:rPr lang="tr-TR" sz="800"/>
              <a:t> &amp; Profit</a:t>
            </a:r>
            <a:endParaRPr lang="en-US" sz="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987659421517309E-2"/>
          <c:y val="0.31948536353830675"/>
          <c:w val="0.97901234057848274"/>
          <c:h val="0.6805146364616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Helper!$C$26:$N$26</c:f>
              <c:numCache>
                <c:formatCode>[$$-409]#,##0</c:formatCode>
                <c:ptCount val="12"/>
                <c:pt idx="0">
                  <c:v>6056704</c:v>
                </c:pt>
                <c:pt idx="1">
                  <c:v>5849845</c:v>
                </c:pt>
                <c:pt idx="2">
                  <c:v>5426544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85560080"/>
        <c:axId val="185560640"/>
      </c:barChart>
      <c:lineChart>
        <c:grouping val="standard"/>
        <c:varyColors val="0"/>
        <c:ser>
          <c:idx val="1"/>
          <c:order val="1"/>
          <c:tx>
            <c:strRef>
              <c:f>Helper!$B$29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  <a:tailEnd type="triangle" w="sm" len="sm"/>
            </a:ln>
            <a:effectLst/>
          </c:spPr>
          <c:marker>
            <c:symbol val="none"/>
          </c:marker>
          <c:val>
            <c:numRef>
              <c:f>Helper!$C$38:$N$38</c:f>
              <c:numCache>
                <c:formatCode>[$$-409]#,##0</c:formatCode>
                <c:ptCount val="12"/>
                <c:pt idx="0">
                  <c:v>1211340.7999999998</c:v>
                </c:pt>
                <c:pt idx="1">
                  <c:v>994473.65000000037</c:v>
                </c:pt>
                <c:pt idx="2">
                  <c:v>1085308.7999999998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561760"/>
        <c:axId val="185561200"/>
      </c:lineChart>
      <c:catAx>
        <c:axId val="185560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85560640"/>
        <c:crosses val="autoZero"/>
        <c:auto val="1"/>
        <c:lblAlgn val="ctr"/>
        <c:lblOffset val="100"/>
        <c:noMultiLvlLbl val="0"/>
      </c:catAx>
      <c:valAx>
        <c:axId val="185560640"/>
        <c:scaling>
          <c:orientation val="minMax"/>
        </c:scaling>
        <c:delete val="1"/>
        <c:axPos val="l"/>
        <c:numFmt formatCode="[$$-409]#,##0" sourceLinked="1"/>
        <c:majorTickMark val="none"/>
        <c:minorTickMark val="none"/>
        <c:tickLblPos val="nextTo"/>
        <c:crossAx val="185560080"/>
        <c:crosses val="autoZero"/>
        <c:crossBetween val="between"/>
      </c:valAx>
      <c:valAx>
        <c:axId val="185561200"/>
        <c:scaling>
          <c:orientation val="minMax"/>
        </c:scaling>
        <c:delete val="1"/>
        <c:axPos val="r"/>
        <c:numFmt formatCode="[$$-409]#,##0" sourceLinked="1"/>
        <c:majorTickMark val="out"/>
        <c:minorTickMark val="none"/>
        <c:tickLblPos val="nextTo"/>
        <c:crossAx val="185561760"/>
        <c:crosses val="max"/>
        <c:crossBetween val="between"/>
      </c:valAx>
      <c:catAx>
        <c:axId val="185561760"/>
        <c:scaling>
          <c:orientation val="minMax"/>
        </c:scaling>
        <c:delete val="1"/>
        <c:axPos val="b"/>
        <c:majorTickMark val="out"/>
        <c:minorTickMark val="none"/>
        <c:tickLblPos val="nextTo"/>
        <c:crossAx val="185561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Revenue</a:t>
            </a:r>
            <a:r>
              <a:rPr lang="tr-TR" sz="800"/>
              <a:t> &amp; Profit</a:t>
            </a:r>
            <a:endParaRPr lang="en-US" sz="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987659421517309E-2"/>
          <c:y val="0.31948536353830675"/>
          <c:w val="0.97901234057848274"/>
          <c:h val="0.6805146364616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Helper!$C$22:$N$22</c:f>
              <c:numCache>
                <c:formatCode>[$$-409]#,##0</c:formatCode>
                <c:ptCount val="12"/>
                <c:pt idx="0">
                  <c:v>9565516</c:v>
                </c:pt>
                <c:pt idx="1">
                  <c:v>6587934</c:v>
                </c:pt>
                <c:pt idx="2">
                  <c:v>8275458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85564560"/>
        <c:axId val="185565120"/>
      </c:barChart>
      <c:lineChart>
        <c:grouping val="standard"/>
        <c:varyColors val="0"/>
        <c:ser>
          <c:idx val="1"/>
          <c:order val="1"/>
          <c:tx>
            <c:strRef>
              <c:f>Helper!$B$29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  <a:tailEnd type="triangle" w="sm" len="sm"/>
            </a:ln>
            <a:effectLst/>
          </c:spPr>
          <c:marker>
            <c:symbol val="none"/>
          </c:marker>
          <c:val>
            <c:numRef>
              <c:f>Helper!$C$34:$N$34</c:f>
              <c:numCache>
                <c:formatCode>[$$-409]#,##0</c:formatCode>
                <c:ptCount val="12"/>
                <c:pt idx="0">
                  <c:v>1339172.2400000002</c:v>
                </c:pt>
                <c:pt idx="1">
                  <c:v>1844621.5200000005</c:v>
                </c:pt>
                <c:pt idx="2">
                  <c:v>993054.96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566240"/>
        <c:axId val="185565680"/>
      </c:lineChart>
      <c:catAx>
        <c:axId val="185564560"/>
        <c:scaling>
          <c:orientation val="minMax"/>
        </c:scaling>
        <c:delete val="1"/>
        <c:axPos val="b"/>
        <c:majorTickMark val="none"/>
        <c:minorTickMark val="none"/>
        <c:tickLblPos val="nextTo"/>
        <c:crossAx val="185565120"/>
        <c:crosses val="autoZero"/>
        <c:auto val="1"/>
        <c:lblAlgn val="ctr"/>
        <c:lblOffset val="100"/>
        <c:noMultiLvlLbl val="0"/>
      </c:catAx>
      <c:valAx>
        <c:axId val="185565120"/>
        <c:scaling>
          <c:orientation val="minMax"/>
        </c:scaling>
        <c:delete val="1"/>
        <c:axPos val="l"/>
        <c:numFmt formatCode="[$$-409]#,##0" sourceLinked="1"/>
        <c:majorTickMark val="none"/>
        <c:minorTickMark val="none"/>
        <c:tickLblPos val="nextTo"/>
        <c:crossAx val="185564560"/>
        <c:crosses val="autoZero"/>
        <c:crossBetween val="between"/>
      </c:valAx>
      <c:valAx>
        <c:axId val="185565680"/>
        <c:scaling>
          <c:orientation val="minMax"/>
        </c:scaling>
        <c:delete val="1"/>
        <c:axPos val="r"/>
        <c:numFmt formatCode="[$$-409]#,##0" sourceLinked="1"/>
        <c:majorTickMark val="out"/>
        <c:minorTickMark val="none"/>
        <c:tickLblPos val="nextTo"/>
        <c:crossAx val="185566240"/>
        <c:crosses val="max"/>
        <c:crossBetween val="between"/>
      </c:valAx>
      <c:catAx>
        <c:axId val="185566240"/>
        <c:scaling>
          <c:orientation val="minMax"/>
        </c:scaling>
        <c:delete val="1"/>
        <c:axPos val="b"/>
        <c:majorTickMark val="out"/>
        <c:minorTickMark val="none"/>
        <c:tickLblPos val="nextTo"/>
        <c:crossAx val="1855656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Revenue</a:t>
            </a:r>
            <a:r>
              <a:rPr lang="tr-TR" sz="800"/>
              <a:t> &amp; Profit</a:t>
            </a:r>
            <a:endParaRPr lang="en-US" sz="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987659421517309E-2"/>
          <c:y val="0.31948536353830675"/>
          <c:w val="0.97901234057848274"/>
          <c:h val="0.6805146364616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Helper!$C$25:$N$25</c:f>
              <c:numCache>
                <c:formatCode>[$$-409]#,##0</c:formatCode>
                <c:ptCount val="12"/>
                <c:pt idx="0">
                  <c:v>9721094</c:v>
                </c:pt>
                <c:pt idx="1">
                  <c:v>8338257</c:v>
                </c:pt>
                <c:pt idx="2">
                  <c:v>9260604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85663056"/>
        <c:axId val="185663616"/>
      </c:barChart>
      <c:lineChart>
        <c:grouping val="standard"/>
        <c:varyColors val="0"/>
        <c:ser>
          <c:idx val="1"/>
          <c:order val="1"/>
          <c:tx>
            <c:strRef>
              <c:f>Helper!$B$29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  <a:tailEnd type="triangle" w="sm" len="sm"/>
            </a:ln>
            <a:effectLst/>
          </c:spPr>
          <c:marker>
            <c:symbol val="none"/>
          </c:marker>
          <c:val>
            <c:numRef>
              <c:f>Helper!$C$36:$N$36</c:f>
              <c:numCache>
                <c:formatCode>[$$-409]#,##0</c:formatCode>
                <c:ptCount val="12"/>
                <c:pt idx="0">
                  <c:v>779391.60000000009</c:v>
                </c:pt>
                <c:pt idx="1">
                  <c:v>586938.60000000009</c:v>
                </c:pt>
                <c:pt idx="2">
                  <c:v>897600.46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664736"/>
        <c:axId val="185664176"/>
      </c:lineChart>
      <c:catAx>
        <c:axId val="18566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185663616"/>
        <c:crosses val="autoZero"/>
        <c:auto val="1"/>
        <c:lblAlgn val="ctr"/>
        <c:lblOffset val="100"/>
        <c:noMultiLvlLbl val="0"/>
      </c:catAx>
      <c:valAx>
        <c:axId val="185663616"/>
        <c:scaling>
          <c:orientation val="minMax"/>
        </c:scaling>
        <c:delete val="1"/>
        <c:axPos val="l"/>
        <c:numFmt formatCode="[$$-409]#,##0" sourceLinked="1"/>
        <c:majorTickMark val="none"/>
        <c:minorTickMark val="none"/>
        <c:tickLblPos val="nextTo"/>
        <c:crossAx val="185663056"/>
        <c:crosses val="autoZero"/>
        <c:crossBetween val="between"/>
      </c:valAx>
      <c:valAx>
        <c:axId val="185664176"/>
        <c:scaling>
          <c:orientation val="minMax"/>
        </c:scaling>
        <c:delete val="1"/>
        <c:axPos val="r"/>
        <c:numFmt formatCode="[$$-409]#,##0" sourceLinked="1"/>
        <c:majorTickMark val="out"/>
        <c:minorTickMark val="none"/>
        <c:tickLblPos val="nextTo"/>
        <c:crossAx val="185664736"/>
        <c:crosses val="max"/>
        <c:crossBetween val="between"/>
      </c:valAx>
      <c:catAx>
        <c:axId val="185664736"/>
        <c:scaling>
          <c:orientation val="minMax"/>
        </c:scaling>
        <c:delete val="1"/>
        <c:axPos val="b"/>
        <c:majorTickMark val="out"/>
        <c:minorTickMark val="none"/>
        <c:tickLblPos val="nextTo"/>
        <c:crossAx val="1856641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Revenue</a:t>
            </a:r>
            <a:r>
              <a:rPr lang="tr-TR" sz="800"/>
              <a:t> &amp; Profit</a:t>
            </a:r>
            <a:endParaRPr lang="en-US" sz="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987659421517309E-2"/>
          <c:y val="0.31948536353830675"/>
          <c:w val="0.97901234057848274"/>
          <c:h val="0.6805146364616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Helper!$C$23:$N$23</c:f>
              <c:numCache>
                <c:formatCode>[$$-409]#,##0</c:formatCode>
                <c:ptCount val="12"/>
                <c:pt idx="0">
                  <c:v>10437651</c:v>
                </c:pt>
                <c:pt idx="1">
                  <c:v>10638402</c:v>
                </c:pt>
                <c:pt idx="2">
                  <c:v>10468493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185667536"/>
        <c:axId val="185668096"/>
      </c:barChart>
      <c:lineChart>
        <c:grouping val="standard"/>
        <c:varyColors val="0"/>
        <c:ser>
          <c:idx val="1"/>
          <c:order val="1"/>
          <c:tx>
            <c:strRef>
              <c:f>Helper!$B$29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  <a:tailEnd type="triangle" w="sm" len="sm"/>
            </a:ln>
            <a:effectLst/>
          </c:spPr>
          <c:marker>
            <c:symbol val="none"/>
          </c:marker>
          <c:val>
            <c:numRef>
              <c:f>Helper!$C$35:$N$35</c:f>
              <c:numCache>
                <c:formatCode>[$$-409]#,##0</c:formatCode>
                <c:ptCount val="12"/>
                <c:pt idx="0">
                  <c:v>2818165.7700000005</c:v>
                </c:pt>
                <c:pt idx="1">
                  <c:v>3191520.6000000006</c:v>
                </c:pt>
                <c:pt idx="2">
                  <c:v>1465589.0199999996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0138592"/>
        <c:axId val="230138032"/>
      </c:lineChart>
      <c:catAx>
        <c:axId val="185667536"/>
        <c:scaling>
          <c:orientation val="minMax"/>
        </c:scaling>
        <c:delete val="1"/>
        <c:axPos val="b"/>
        <c:majorTickMark val="none"/>
        <c:minorTickMark val="none"/>
        <c:tickLblPos val="nextTo"/>
        <c:crossAx val="185668096"/>
        <c:crosses val="autoZero"/>
        <c:auto val="1"/>
        <c:lblAlgn val="ctr"/>
        <c:lblOffset val="100"/>
        <c:noMultiLvlLbl val="0"/>
      </c:catAx>
      <c:valAx>
        <c:axId val="185668096"/>
        <c:scaling>
          <c:orientation val="minMax"/>
        </c:scaling>
        <c:delete val="1"/>
        <c:axPos val="l"/>
        <c:numFmt formatCode="[$$-409]#,##0" sourceLinked="1"/>
        <c:majorTickMark val="none"/>
        <c:minorTickMark val="none"/>
        <c:tickLblPos val="nextTo"/>
        <c:crossAx val="185667536"/>
        <c:crosses val="autoZero"/>
        <c:crossBetween val="between"/>
      </c:valAx>
      <c:valAx>
        <c:axId val="230138032"/>
        <c:scaling>
          <c:orientation val="minMax"/>
        </c:scaling>
        <c:delete val="1"/>
        <c:axPos val="r"/>
        <c:numFmt formatCode="[$$-409]#,##0" sourceLinked="1"/>
        <c:majorTickMark val="out"/>
        <c:minorTickMark val="none"/>
        <c:tickLblPos val="nextTo"/>
        <c:crossAx val="230138592"/>
        <c:crosses val="max"/>
        <c:crossBetween val="between"/>
      </c:valAx>
      <c:catAx>
        <c:axId val="230138592"/>
        <c:scaling>
          <c:orientation val="minMax"/>
        </c:scaling>
        <c:delete val="1"/>
        <c:axPos val="b"/>
        <c:majorTickMark val="out"/>
        <c:minorTickMark val="none"/>
        <c:tickLblPos val="nextTo"/>
        <c:crossAx val="2301380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Revenue</a:t>
            </a:r>
            <a:r>
              <a:rPr lang="tr-TR" sz="800"/>
              <a:t> &amp; Profit</a:t>
            </a:r>
            <a:endParaRPr lang="en-US" sz="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987659421517309E-2"/>
          <c:y val="0.31948536353830675"/>
          <c:w val="0.97901234057848274"/>
          <c:h val="0.6805146364616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Helper!$C$24:$N$24</c:f>
              <c:numCache>
                <c:formatCode>[$$-409]#,##0</c:formatCode>
                <c:ptCount val="12"/>
                <c:pt idx="0">
                  <c:v>2997660</c:v>
                </c:pt>
                <c:pt idx="1">
                  <c:v>3912924</c:v>
                </c:pt>
                <c:pt idx="2">
                  <c:v>3095174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0141392"/>
        <c:axId val="230141952"/>
      </c:barChart>
      <c:lineChart>
        <c:grouping val="standard"/>
        <c:varyColors val="0"/>
        <c:ser>
          <c:idx val="1"/>
          <c:order val="1"/>
          <c:tx>
            <c:strRef>
              <c:f>Helper!$B$29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  <a:tailEnd type="triangle" w="sm" len="sm"/>
            </a:ln>
            <a:effectLst/>
          </c:spPr>
          <c:marker>
            <c:symbol val="none"/>
          </c:marker>
          <c:val>
            <c:numRef>
              <c:f>Helper!$C$36:$N$36</c:f>
              <c:numCache>
                <c:formatCode>[$$-409]#,##0</c:formatCode>
                <c:ptCount val="12"/>
                <c:pt idx="0">
                  <c:v>779391.60000000009</c:v>
                </c:pt>
                <c:pt idx="1">
                  <c:v>586938.60000000009</c:v>
                </c:pt>
                <c:pt idx="2">
                  <c:v>897600.46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0143072"/>
        <c:axId val="230142512"/>
      </c:lineChart>
      <c:catAx>
        <c:axId val="230141392"/>
        <c:scaling>
          <c:orientation val="minMax"/>
        </c:scaling>
        <c:delete val="1"/>
        <c:axPos val="b"/>
        <c:majorTickMark val="none"/>
        <c:minorTickMark val="none"/>
        <c:tickLblPos val="nextTo"/>
        <c:crossAx val="230141952"/>
        <c:crosses val="autoZero"/>
        <c:auto val="1"/>
        <c:lblAlgn val="ctr"/>
        <c:lblOffset val="100"/>
        <c:noMultiLvlLbl val="0"/>
      </c:catAx>
      <c:valAx>
        <c:axId val="230141952"/>
        <c:scaling>
          <c:orientation val="minMax"/>
        </c:scaling>
        <c:delete val="1"/>
        <c:axPos val="l"/>
        <c:numFmt formatCode="[$$-409]#,##0" sourceLinked="1"/>
        <c:majorTickMark val="none"/>
        <c:minorTickMark val="none"/>
        <c:tickLblPos val="nextTo"/>
        <c:crossAx val="230141392"/>
        <c:crosses val="autoZero"/>
        <c:crossBetween val="between"/>
      </c:valAx>
      <c:valAx>
        <c:axId val="230142512"/>
        <c:scaling>
          <c:orientation val="minMax"/>
        </c:scaling>
        <c:delete val="1"/>
        <c:axPos val="r"/>
        <c:numFmt formatCode="[$$-409]#,##0" sourceLinked="1"/>
        <c:majorTickMark val="out"/>
        <c:minorTickMark val="none"/>
        <c:tickLblPos val="nextTo"/>
        <c:crossAx val="230143072"/>
        <c:crosses val="max"/>
        <c:crossBetween val="between"/>
      </c:valAx>
      <c:catAx>
        <c:axId val="230143072"/>
        <c:scaling>
          <c:orientation val="minMax"/>
        </c:scaling>
        <c:delete val="1"/>
        <c:axPos val="b"/>
        <c:majorTickMark val="out"/>
        <c:minorTickMark val="none"/>
        <c:tickLblPos val="nextTo"/>
        <c:crossAx val="230142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0"/>
          <c:spPr>
            <a:noFill/>
            <a:ln w="28575">
              <a:solidFill>
                <a:schemeClr val="accent1"/>
              </a:solidFill>
            </a:ln>
            <a:effectLst/>
          </c:spPr>
          <c:invertIfNegative val="0"/>
          <c:val>
            <c:numRef>
              <c:f>Helper!$Q$45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</c:ser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Helper!$P$45</c:f>
              <c:numCache>
                <c:formatCode>0%</c:formatCode>
                <c:ptCount val="1"/>
                <c:pt idx="0">
                  <c:v>0.71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30294208"/>
        <c:axId val="230294768"/>
      </c:barChart>
      <c:catAx>
        <c:axId val="230294208"/>
        <c:scaling>
          <c:orientation val="minMax"/>
        </c:scaling>
        <c:delete val="1"/>
        <c:axPos val="l"/>
        <c:majorTickMark val="none"/>
        <c:minorTickMark val="none"/>
        <c:tickLblPos val="nextTo"/>
        <c:crossAx val="230294768"/>
        <c:crosses val="autoZero"/>
        <c:auto val="1"/>
        <c:lblAlgn val="ctr"/>
        <c:lblOffset val="100"/>
        <c:noMultiLvlLbl val="0"/>
      </c:catAx>
      <c:valAx>
        <c:axId val="230294768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3029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0"/>
          <c:spPr>
            <a:noFill/>
            <a:ln w="28575">
              <a:solidFill>
                <a:schemeClr val="accent1"/>
              </a:solidFill>
            </a:ln>
            <a:effectLst/>
          </c:spPr>
          <c:invertIfNegative val="0"/>
          <c:val>
            <c:numRef>
              <c:f>Helper!$Q$43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</c:ser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Helper!$P$43</c:f>
              <c:numCache>
                <c:formatCode>0%</c:formatCode>
                <c:ptCount val="1"/>
                <c:pt idx="0">
                  <c:v>0.67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30297568"/>
        <c:axId val="230298128"/>
      </c:barChart>
      <c:catAx>
        <c:axId val="230297568"/>
        <c:scaling>
          <c:orientation val="minMax"/>
        </c:scaling>
        <c:delete val="1"/>
        <c:axPos val="l"/>
        <c:majorTickMark val="none"/>
        <c:minorTickMark val="none"/>
        <c:tickLblPos val="nextTo"/>
        <c:crossAx val="230298128"/>
        <c:crosses val="autoZero"/>
        <c:auto val="1"/>
        <c:lblAlgn val="ctr"/>
        <c:lblOffset val="100"/>
        <c:noMultiLvlLbl val="0"/>
      </c:catAx>
      <c:valAx>
        <c:axId val="230298128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30297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0"/>
          <c:spPr>
            <a:noFill/>
            <a:ln w="28575">
              <a:solidFill>
                <a:schemeClr val="accent1"/>
              </a:solidFill>
            </a:ln>
            <a:effectLst/>
          </c:spPr>
          <c:invertIfNegative val="0"/>
          <c:val>
            <c:numRef>
              <c:f>Helper!$Q$44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</c:ser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Helper!$P$44</c:f>
              <c:numCache>
                <c:formatCode>0%</c:formatCode>
                <c:ptCount val="1"/>
                <c:pt idx="0">
                  <c:v>0.81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30300928"/>
        <c:axId val="230301488"/>
      </c:barChart>
      <c:catAx>
        <c:axId val="230300928"/>
        <c:scaling>
          <c:orientation val="minMax"/>
        </c:scaling>
        <c:delete val="1"/>
        <c:axPos val="l"/>
        <c:majorTickMark val="none"/>
        <c:minorTickMark val="none"/>
        <c:tickLblPos val="nextTo"/>
        <c:crossAx val="230301488"/>
        <c:crosses val="autoZero"/>
        <c:auto val="1"/>
        <c:lblAlgn val="ctr"/>
        <c:lblOffset val="100"/>
        <c:noMultiLvlLbl val="0"/>
      </c:catAx>
      <c:valAx>
        <c:axId val="230301488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3030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noFill/>
              <a:ln w="28575">
                <a:solidFill>
                  <a:schemeClr val="accent1"/>
                </a:solidFill>
              </a:ln>
              <a:effectLst/>
            </c:spPr>
          </c:dPt>
          <c:val>
            <c:numRef>
              <c:f>Helper!$Q$46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</c:ser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Helper!$P$46</c:f>
              <c:numCache>
                <c:formatCode>0%</c:formatCode>
                <c:ptCount val="1"/>
                <c:pt idx="0">
                  <c:v>0.69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30243184"/>
        <c:axId val="230243744"/>
      </c:barChart>
      <c:catAx>
        <c:axId val="230243184"/>
        <c:scaling>
          <c:orientation val="minMax"/>
        </c:scaling>
        <c:delete val="1"/>
        <c:axPos val="l"/>
        <c:majorTickMark val="none"/>
        <c:minorTickMark val="none"/>
        <c:tickLblPos val="nextTo"/>
        <c:crossAx val="230243744"/>
        <c:crosses val="autoZero"/>
        <c:auto val="1"/>
        <c:lblAlgn val="ctr"/>
        <c:lblOffset val="100"/>
        <c:noMultiLvlLbl val="0"/>
      </c:catAx>
      <c:valAx>
        <c:axId val="230243744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30243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0"/>
          <c:spPr>
            <a:noFill/>
            <a:ln w="28575">
              <a:solidFill>
                <a:schemeClr val="accent1"/>
              </a:solidFill>
            </a:ln>
            <a:effectLst/>
          </c:spPr>
          <c:invertIfNegative val="0"/>
          <c:val>
            <c:numRef>
              <c:f>Helper!$Q$47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</c:ser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Helper!$P$47</c:f>
              <c:numCache>
                <c:formatCode>0%</c:formatCode>
                <c:ptCount val="1"/>
                <c:pt idx="0">
                  <c:v>0.74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30246544"/>
        <c:axId val="230247104"/>
      </c:barChart>
      <c:catAx>
        <c:axId val="230246544"/>
        <c:scaling>
          <c:orientation val="minMax"/>
        </c:scaling>
        <c:delete val="1"/>
        <c:axPos val="l"/>
        <c:majorTickMark val="none"/>
        <c:minorTickMark val="none"/>
        <c:tickLblPos val="nextTo"/>
        <c:crossAx val="230247104"/>
        <c:crosses val="autoZero"/>
        <c:auto val="1"/>
        <c:lblAlgn val="ctr"/>
        <c:lblOffset val="100"/>
        <c:noMultiLvlLbl val="0"/>
      </c:catAx>
      <c:valAx>
        <c:axId val="230247104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3024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0"/>
          <c:spPr>
            <a:noFill/>
            <a:ln w="28575">
              <a:solidFill>
                <a:schemeClr val="accent1"/>
              </a:solidFill>
            </a:ln>
            <a:effectLst/>
          </c:spPr>
          <c:invertIfNegative val="0"/>
          <c:val>
            <c:numRef>
              <c:f>Helper!$Q$48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</c:ser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Helper!$P$48</c:f>
              <c:numCache>
                <c:formatCode>0%</c:formatCode>
                <c:ptCount val="1"/>
                <c:pt idx="0">
                  <c:v>0.93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30932800"/>
        <c:axId val="230933360"/>
      </c:barChart>
      <c:catAx>
        <c:axId val="230932800"/>
        <c:scaling>
          <c:orientation val="minMax"/>
        </c:scaling>
        <c:delete val="1"/>
        <c:axPos val="l"/>
        <c:majorTickMark val="none"/>
        <c:minorTickMark val="none"/>
        <c:tickLblPos val="nextTo"/>
        <c:crossAx val="230933360"/>
        <c:crosses val="autoZero"/>
        <c:auto val="1"/>
        <c:lblAlgn val="ctr"/>
        <c:lblOffset val="100"/>
        <c:noMultiLvlLbl val="0"/>
      </c:catAx>
      <c:valAx>
        <c:axId val="230933360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30932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0"/>
          <c:spPr>
            <a:noFill/>
            <a:ln w="28575">
              <a:solidFill>
                <a:schemeClr val="accent1"/>
              </a:solidFill>
            </a:ln>
            <a:effectLst/>
          </c:spPr>
          <c:invertIfNegative val="0"/>
          <c:val>
            <c:numRef>
              <c:f>Helper!$Q$50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</c:ser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Helper!$P$50</c:f>
              <c:numCache>
                <c:formatCode>0%</c:formatCode>
                <c:ptCount val="1"/>
                <c:pt idx="0">
                  <c:v>0.85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31198496"/>
        <c:axId val="231199056"/>
      </c:barChart>
      <c:catAx>
        <c:axId val="231198496"/>
        <c:scaling>
          <c:orientation val="minMax"/>
        </c:scaling>
        <c:delete val="1"/>
        <c:axPos val="l"/>
        <c:majorTickMark val="none"/>
        <c:minorTickMark val="none"/>
        <c:tickLblPos val="nextTo"/>
        <c:crossAx val="231199056"/>
        <c:crosses val="autoZero"/>
        <c:auto val="1"/>
        <c:lblAlgn val="ctr"/>
        <c:lblOffset val="100"/>
        <c:noMultiLvlLbl val="0"/>
      </c:catAx>
      <c:valAx>
        <c:axId val="231199056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3119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ser>
          <c:idx val="1"/>
          <c:order val="0"/>
          <c:spPr>
            <a:noFill/>
            <a:ln w="28575">
              <a:solidFill>
                <a:schemeClr val="accent1"/>
              </a:solidFill>
            </a:ln>
            <a:effectLst/>
          </c:spPr>
          <c:invertIfNegative val="0"/>
          <c:val>
            <c:numRef>
              <c:f>Helper!$Q$49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</c:ser>
        <c:ser>
          <c:idx val="0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Helper!$P$49</c:f>
              <c:numCache>
                <c:formatCode>0%</c:formatCode>
                <c:ptCount val="1"/>
                <c:pt idx="0">
                  <c:v>0.65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30731456"/>
        <c:axId val="230732016"/>
      </c:barChart>
      <c:catAx>
        <c:axId val="230731456"/>
        <c:scaling>
          <c:orientation val="minMax"/>
        </c:scaling>
        <c:delete val="1"/>
        <c:axPos val="l"/>
        <c:majorTickMark val="none"/>
        <c:minorTickMark val="none"/>
        <c:tickLblPos val="nextTo"/>
        <c:crossAx val="230732016"/>
        <c:crosses val="autoZero"/>
        <c:auto val="1"/>
        <c:lblAlgn val="ctr"/>
        <c:lblOffset val="100"/>
        <c:noMultiLvlLbl val="0"/>
      </c:catAx>
      <c:valAx>
        <c:axId val="230732016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3073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700"/>
              <a:t>Efficiency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41011964413539215"/>
          <c:w val="0.93888888888888888"/>
          <c:h val="0.52540477894808602"/>
        </c:manualLayout>
      </c:layout>
      <c:lineChart>
        <c:grouping val="standard"/>
        <c:varyColors val="0"/>
        <c:ser>
          <c:idx val="0"/>
          <c:order val="0"/>
          <c:tx>
            <c:strRef>
              <c:f>Helper!$B$41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  <a:tailEnd type="arrow" w="sm" len="sm"/>
            </a:ln>
            <a:effectLst/>
          </c:spPr>
          <c:marker>
            <c:symbol val="none"/>
          </c:marker>
          <c:val>
            <c:numRef>
              <c:f>Helper!$C$43:$N$43</c:f>
              <c:numCache>
                <c:formatCode>0%</c:formatCode>
                <c:ptCount val="12"/>
                <c:pt idx="0">
                  <c:v>0.75</c:v>
                </c:pt>
                <c:pt idx="1">
                  <c:v>0.78</c:v>
                </c:pt>
                <c:pt idx="2">
                  <c:v>0.67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0734256"/>
        <c:axId val="230734816"/>
      </c:lineChart>
      <c:catAx>
        <c:axId val="2307342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30734816"/>
        <c:crosses val="autoZero"/>
        <c:auto val="1"/>
        <c:lblAlgn val="ctr"/>
        <c:lblOffset val="100"/>
        <c:noMultiLvlLbl val="0"/>
      </c:catAx>
      <c:valAx>
        <c:axId val="230734816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230734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700"/>
              <a:t>Efficiency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41011964413539215"/>
          <c:w val="0.93888888888888888"/>
          <c:h val="0.52540477894808602"/>
        </c:manualLayout>
      </c:layout>
      <c:lineChart>
        <c:grouping val="standard"/>
        <c:varyColors val="0"/>
        <c:ser>
          <c:idx val="0"/>
          <c:order val="0"/>
          <c:tx>
            <c:strRef>
              <c:f>Helper!$B$41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  <a:tailEnd type="arrow" w="sm" len="sm"/>
            </a:ln>
            <a:effectLst/>
          </c:spPr>
          <c:marker>
            <c:symbol val="none"/>
          </c:marker>
          <c:val>
            <c:numRef>
              <c:f>Helper!$C$50:$N$50</c:f>
              <c:numCache>
                <c:formatCode>0%</c:formatCode>
                <c:ptCount val="12"/>
                <c:pt idx="0">
                  <c:v>0.64</c:v>
                </c:pt>
                <c:pt idx="1">
                  <c:v>0.82</c:v>
                </c:pt>
                <c:pt idx="2">
                  <c:v>0.85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0737056"/>
        <c:axId val="230737616"/>
      </c:lineChart>
      <c:catAx>
        <c:axId val="230737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30737616"/>
        <c:crosses val="autoZero"/>
        <c:auto val="1"/>
        <c:lblAlgn val="ctr"/>
        <c:lblOffset val="100"/>
        <c:noMultiLvlLbl val="0"/>
      </c:catAx>
      <c:valAx>
        <c:axId val="230737616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23073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700"/>
              <a:t>Efficiency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41011964413539215"/>
          <c:w val="0.93888888888888888"/>
          <c:h val="0.52540477894808602"/>
        </c:manualLayout>
      </c:layout>
      <c:lineChart>
        <c:grouping val="standard"/>
        <c:varyColors val="0"/>
        <c:ser>
          <c:idx val="0"/>
          <c:order val="0"/>
          <c:tx>
            <c:strRef>
              <c:f>Helper!$B$41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  <a:tailEnd type="arrow" w="sm" len="sm"/>
            </a:ln>
            <a:effectLst/>
          </c:spPr>
          <c:marker>
            <c:symbol val="none"/>
          </c:marker>
          <c:val>
            <c:numRef>
              <c:f>Helper!$C$49:$N$49</c:f>
              <c:numCache>
                <c:formatCode>0%</c:formatCode>
                <c:ptCount val="12"/>
                <c:pt idx="0">
                  <c:v>0.64</c:v>
                </c:pt>
                <c:pt idx="1">
                  <c:v>0.89</c:v>
                </c:pt>
                <c:pt idx="2">
                  <c:v>0.65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034656"/>
        <c:axId val="231035216"/>
      </c:lineChart>
      <c:catAx>
        <c:axId val="2310346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31035216"/>
        <c:crosses val="autoZero"/>
        <c:auto val="1"/>
        <c:lblAlgn val="ctr"/>
        <c:lblOffset val="100"/>
        <c:noMultiLvlLbl val="0"/>
      </c:catAx>
      <c:valAx>
        <c:axId val="231035216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231034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700"/>
              <a:t>Efficiency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41011964413539215"/>
          <c:w val="0.93888888888888888"/>
          <c:h val="0.52540477894808602"/>
        </c:manualLayout>
      </c:layout>
      <c:lineChart>
        <c:grouping val="standard"/>
        <c:varyColors val="0"/>
        <c:ser>
          <c:idx val="0"/>
          <c:order val="0"/>
          <c:tx>
            <c:strRef>
              <c:f>Helper!$B$41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  <a:tailEnd type="arrow" w="sm" len="sm"/>
            </a:ln>
            <a:effectLst/>
          </c:spPr>
          <c:marker>
            <c:symbol val="none"/>
          </c:marker>
          <c:val>
            <c:numRef>
              <c:f>Helper!$C$48:$N$48</c:f>
              <c:numCache>
                <c:formatCode>0%</c:formatCode>
                <c:ptCount val="12"/>
                <c:pt idx="0">
                  <c:v>0.67</c:v>
                </c:pt>
                <c:pt idx="1">
                  <c:v>0.9</c:v>
                </c:pt>
                <c:pt idx="2">
                  <c:v>0.93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037456"/>
        <c:axId val="231038016"/>
      </c:lineChart>
      <c:catAx>
        <c:axId val="2310374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31038016"/>
        <c:crosses val="autoZero"/>
        <c:auto val="1"/>
        <c:lblAlgn val="ctr"/>
        <c:lblOffset val="100"/>
        <c:noMultiLvlLbl val="0"/>
      </c:catAx>
      <c:valAx>
        <c:axId val="231038016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23103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700"/>
              <a:t>Efficiency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41011964413539215"/>
          <c:w val="0.93888888888888888"/>
          <c:h val="0.52540477894808602"/>
        </c:manualLayout>
      </c:layout>
      <c:lineChart>
        <c:grouping val="standard"/>
        <c:varyColors val="0"/>
        <c:ser>
          <c:idx val="0"/>
          <c:order val="0"/>
          <c:tx>
            <c:strRef>
              <c:f>Helper!$B$41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  <a:tailEnd type="arrow" w="sm" len="sm"/>
            </a:ln>
            <a:effectLst/>
          </c:spPr>
          <c:marker>
            <c:symbol val="none"/>
          </c:marker>
          <c:val>
            <c:numRef>
              <c:f>Helper!$C$47:$N$47</c:f>
              <c:numCache>
                <c:formatCode>0%</c:formatCode>
                <c:ptCount val="12"/>
                <c:pt idx="0">
                  <c:v>0.71</c:v>
                </c:pt>
                <c:pt idx="1">
                  <c:v>0.83</c:v>
                </c:pt>
                <c:pt idx="2">
                  <c:v>0.74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040256"/>
        <c:axId val="231040816"/>
      </c:lineChart>
      <c:catAx>
        <c:axId val="2310402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31040816"/>
        <c:crosses val="autoZero"/>
        <c:auto val="1"/>
        <c:lblAlgn val="ctr"/>
        <c:lblOffset val="100"/>
        <c:noMultiLvlLbl val="0"/>
      </c:catAx>
      <c:valAx>
        <c:axId val="231040816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231040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700"/>
              <a:t>Efficiency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41011964413539215"/>
          <c:w val="0.93888888888888888"/>
          <c:h val="0.52540477894808602"/>
        </c:manualLayout>
      </c:layout>
      <c:lineChart>
        <c:grouping val="standard"/>
        <c:varyColors val="0"/>
        <c:ser>
          <c:idx val="0"/>
          <c:order val="0"/>
          <c:tx>
            <c:strRef>
              <c:f>Helper!$B$41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  <a:tailEnd type="arrow" w="sm" len="sm"/>
            </a:ln>
            <a:effectLst/>
          </c:spPr>
          <c:marker>
            <c:symbol val="none"/>
          </c:marker>
          <c:val>
            <c:numRef>
              <c:f>Helper!$C$46:$N$46</c:f>
              <c:numCache>
                <c:formatCode>0%</c:formatCode>
                <c:ptCount val="12"/>
                <c:pt idx="0">
                  <c:v>0.77</c:v>
                </c:pt>
                <c:pt idx="1">
                  <c:v>0.84</c:v>
                </c:pt>
                <c:pt idx="2">
                  <c:v>0.69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184784"/>
        <c:axId val="231185344"/>
      </c:lineChart>
      <c:catAx>
        <c:axId val="23118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31185344"/>
        <c:crosses val="autoZero"/>
        <c:auto val="1"/>
        <c:lblAlgn val="ctr"/>
        <c:lblOffset val="100"/>
        <c:noMultiLvlLbl val="0"/>
      </c:catAx>
      <c:valAx>
        <c:axId val="231185344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23118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700"/>
              <a:t>Efficiency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41011964413539215"/>
          <c:w val="0.93888888888888888"/>
          <c:h val="0.52540477894808602"/>
        </c:manualLayout>
      </c:layout>
      <c:lineChart>
        <c:grouping val="standard"/>
        <c:varyColors val="0"/>
        <c:ser>
          <c:idx val="0"/>
          <c:order val="0"/>
          <c:tx>
            <c:strRef>
              <c:f>Helper!$B$41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  <a:tailEnd type="arrow" w="sm" len="sm"/>
            </a:ln>
            <a:effectLst/>
          </c:spPr>
          <c:marker>
            <c:symbol val="none"/>
          </c:marker>
          <c:val>
            <c:numRef>
              <c:f>Helper!$C$45:$N$45</c:f>
              <c:numCache>
                <c:formatCode>0%</c:formatCode>
                <c:ptCount val="12"/>
                <c:pt idx="0">
                  <c:v>0.8</c:v>
                </c:pt>
                <c:pt idx="1">
                  <c:v>0.79</c:v>
                </c:pt>
                <c:pt idx="2">
                  <c:v>0.71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187584"/>
        <c:axId val="231188144"/>
      </c:lineChart>
      <c:catAx>
        <c:axId val="2311875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31188144"/>
        <c:crosses val="autoZero"/>
        <c:auto val="1"/>
        <c:lblAlgn val="ctr"/>
        <c:lblOffset val="100"/>
        <c:noMultiLvlLbl val="0"/>
      </c:catAx>
      <c:valAx>
        <c:axId val="231188144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23118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700"/>
              <a:t>Efficiency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41011964413539215"/>
          <c:w val="0.93888888888888888"/>
          <c:h val="0.52540477894808602"/>
        </c:manualLayout>
      </c:layout>
      <c:lineChart>
        <c:grouping val="standard"/>
        <c:varyColors val="0"/>
        <c:ser>
          <c:idx val="0"/>
          <c:order val="0"/>
          <c:tx>
            <c:strRef>
              <c:f>Helper!$B$41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  <a:tailEnd type="arrow" w="sm" len="sm"/>
            </a:ln>
            <a:effectLst/>
          </c:spPr>
          <c:marker>
            <c:symbol val="none"/>
          </c:marker>
          <c:val>
            <c:numRef>
              <c:f>Helper!$C$44:$N$44</c:f>
              <c:numCache>
                <c:formatCode>0%</c:formatCode>
                <c:ptCount val="12"/>
                <c:pt idx="0">
                  <c:v>0.98</c:v>
                </c:pt>
                <c:pt idx="1">
                  <c:v>0.78</c:v>
                </c:pt>
                <c:pt idx="2">
                  <c:v>0.81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190384"/>
        <c:axId val="231190944"/>
      </c:lineChart>
      <c:catAx>
        <c:axId val="231190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31190944"/>
        <c:crosses val="autoZero"/>
        <c:auto val="1"/>
        <c:lblAlgn val="ctr"/>
        <c:lblOffset val="100"/>
        <c:noMultiLvlLbl val="0"/>
      </c:catAx>
      <c:valAx>
        <c:axId val="231190944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23119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600"/>
              <a:t>Turnover Rate (White/Blue)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66666666666664E-2"/>
          <c:y val="0.27970695970695969"/>
          <c:w val="0.95833333333333337"/>
          <c:h val="0.705641025641025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Helper!$C$55:$N$55</c:f>
              <c:numCache>
                <c:formatCode>0%</c:formatCode>
                <c:ptCount val="12"/>
                <c:pt idx="0">
                  <c:v>0.03</c:v>
                </c:pt>
                <c:pt idx="1">
                  <c:v>0.05</c:v>
                </c:pt>
                <c:pt idx="2">
                  <c:v>0.02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Helper!$C$56:$N$56</c:f>
              <c:numCache>
                <c:formatCode>0%</c:formatCode>
                <c:ptCount val="12"/>
                <c:pt idx="0">
                  <c:v>-0.06</c:v>
                </c:pt>
                <c:pt idx="1">
                  <c:v>-0.03</c:v>
                </c:pt>
                <c:pt idx="2">
                  <c:v>-7.0000000000000007E-2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1269808"/>
        <c:axId val="231270368"/>
      </c:barChart>
      <c:catAx>
        <c:axId val="231269808"/>
        <c:scaling>
          <c:orientation val="minMax"/>
        </c:scaling>
        <c:delete val="1"/>
        <c:axPos val="b"/>
        <c:majorTickMark val="out"/>
        <c:minorTickMark val="none"/>
        <c:tickLblPos val="nextTo"/>
        <c:crossAx val="231270368"/>
        <c:crosses val="autoZero"/>
        <c:auto val="1"/>
        <c:lblAlgn val="ctr"/>
        <c:lblOffset val="100"/>
        <c:noMultiLvlLbl val="0"/>
      </c:catAx>
      <c:valAx>
        <c:axId val="231270368"/>
        <c:scaling>
          <c:orientation val="minMax"/>
          <c:max val="0.1"/>
          <c:min val="-0.1"/>
        </c:scaling>
        <c:delete val="1"/>
        <c:axPos val="l"/>
        <c:numFmt formatCode="0%" sourceLinked="1"/>
        <c:majorTickMark val="none"/>
        <c:minorTickMark val="none"/>
        <c:tickLblPos val="nextTo"/>
        <c:crossAx val="231269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600"/>
              <a:t>Turnover Rate (White/Blue)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66666666666664E-2"/>
          <c:y val="0.27970695970695969"/>
          <c:w val="0.95833333333333337"/>
          <c:h val="0.705641025641025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Helper!$C$70:$N$70</c:f>
              <c:numCache>
                <c:formatCode>0%</c:formatCode>
                <c:ptCount val="12"/>
                <c:pt idx="0">
                  <c:v>-0.05</c:v>
                </c:pt>
                <c:pt idx="1">
                  <c:v>-0.03</c:v>
                </c:pt>
                <c:pt idx="2">
                  <c:v>-7.0000000000000007E-2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ser>
          <c:idx val="1"/>
          <c:order val="1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Helper!$C$69:$N$69</c:f>
              <c:numCache>
                <c:formatCode>0%</c:formatCode>
                <c:ptCount val="12"/>
                <c:pt idx="0">
                  <c:v>0.03</c:v>
                </c:pt>
                <c:pt idx="1">
                  <c:v>0.03</c:v>
                </c:pt>
                <c:pt idx="2">
                  <c:v>0.05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1273168"/>
        <c:axId val="231273728"/>
      </c:barChart>
      <c:catAx>
        <c:axId val="231273168"/>
        <c:scaling>
          <c:orientation val="minMax"/>
        </c:scaling>
        <c:delete val="1"/>
        <c:axPos val="b"/>
        <c:majorTickMark val="out"/>
        <c:minorTickMark val="none"/>
        <c:tickLblPos val="nextTo"/>
        <c:crossAx val="231273728"/>
        <c:crosses val="autoZero"/>
        <c:auto val="1"/>
        <c:lblAlgn val="ctr"/>
        <c:lblOffset val="100"/>
        <c:noMultiLvlLbl val="0"/>
      </c:catAx>
      <c:valAx>
        <c:axId val="231273728"/>
        <c:scaling>
          <c:orientation val="minMax"/>
          <c:max val="0.1"/>
          <c:min val="-0.1"/>
        </c:scaling>
        <c:delete val="1"/>
        <c:axPos val="l"/>
        <c:numFmt formatCode="0%" sourceLinked="1"/>
        <c:majorTickMark val="none"/>
        <c:minorTickMark val="none"/>
        <c:tickLblPos val="nextTo"/>
        <c:crossAx val="231273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600"/>
              <a:t>Turnover Rate (White/Blue)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66666666666664E-2"/>
          <c:y val="0.27970695970695969"/>
          <c:w val="0.95833333333333337"/>
          <c:h val="0.705641025641025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Helper!$C$68:$N$68</c:f>
              <c:numCache>
                <c:formatCode>0%</c:formatCode>
                <c:ptCount val="12"/>
                <c:pt idx="0">
                  <c:v>-0.02</c:v>
                </c:pt>
                <c:pt idx="1">
                  <c:v>-0.03</c:v>
                </c:pt>
                <c:pt idx="2">
                  <c:v>-0.06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ser>
          <c:idx val="1"/>
          <c:order val="1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Helper!$C$67:$N$67</c:f>
              <c:numCache>
                <c:formatCode>0%</c:formatCode>
                <c:ptCount val="12"/>
                <c:pt idx="0">
                  <c:v>0.03</c:v>
                </c:pt>
                <c:pt idx="1">
                  <c:v>0.02</c:v>
                </c:pt>
                <c:pt idx="2">
                  <c:v>0.03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1276528"/>
        <c:axId val="231277088"/>
      </c:barChart>
      <c:catAx>
        <c:axId val="231276528"/>
        <c:scaling>
          <c:orientation val="minMax"/>
        </c:scaling>
        <c:delete val="1"/>
        <c:axPos val="b"/>
        <c:majorTickMark val="out"/>
        <c:minorTickMark val="none"/>
        <c:tickLblPos val="nextTo"/>
        <c:crossAx val="231277088"/>
        <c:crosses val="autoZero"/>
        <c:auto val="1"/>
        <c:lblAlgn val="ctr"/>
        <c:lblOffset val="100"/>
        <c:noMultiLvlLbl val="0"/>
      </c:catAx>
      <c:valAx>
        <c:axId val="231277088"/>
        <c:scaling>
          <c:orientation val="minMax"/>
          <c:max val="0.1"/>
          <c:min val="-0.1"/>
        </c:scaling>
        <c:delete val="1"/>
        <c:axPos val="l"/>
        <c:numFmt formatCode="0%" sourceLinked="1"/>
        <c:majorTickMark val="none"/>
        <c:minorTickMark val="none"/>
        <c:tickLblPos val="nextTo"/>
        <c:crossAx val="231276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600"/>
              <a:t>Turnover Rate (White/Blue)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66666666666664E-2"/>
          <c:y val="0.27970695970695969"/>
          <c:w val="0.95833333333333337"/>
          <c:h val="0.705641025641025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Helper!$C$66:$N$66</c:f>
              <c:numCache>
                <c:formatCode>0%</c:formatCode>
                <c:ptCount val="12"/>
                <c:pt idx="0">
                  <c:v>-7.0000000000000007E-2</c:v>
                </c:pt>
                <c:pt idx="1">
                  <c:v>-0.04</c:v>
                </c:pt>
                <c:pt idx="2">
                  <c:v>-0.06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ser>
          <c:idx val="1"/>
          <c:order val="1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Helper!$C$65:$N$65</c:f>
              <c:numCache>
                <c:formatCode>0%</c:formatCode>
                <c:ptCount val="12"/>
                <c:pt idx="0">
                  <c:v>0.03</c:v>
                </c:pt>
                <c:pt idx="1">
                  <c:v>0.04</c:v>
                </c:pt>
                <c:pt idx="2">
                  <c:v>0.04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1279888"/>
        <c:axId val="231280448"/>
      </c:barChart>
      <c:catAx>
        <c:axId val="231279888"/>
        <c:scaling>
          <c:orientation val="minMax"/>
        </c:scaling>
        <c:delete val="1"/>
        <c:axPos val="b"/>
        <c:majorTickMark val="out"/>
        <c:minorTickMark val="none"/>
        <c:tickLblPos val="nextTo"/>
        <c:crossAx val="231280448"/>
        <c:crosses val="autoZero"/>
        <c:auto val="1"/>
        <c:lblAlgn val="ctr"/>
        <c:lblOffset val="100"/>
        <c:noMultiLvlLbl val="0"/>
      </c:catAx>
      <c:valAx>
        <c:axId val="231280448"/>
        <c:scaling>
          <c:orientation val="minMax"/>
          <c:max val="0.1"/>
          <c:min val="-0.1"/>
        </c:scaling>
        <c:delete val="1"/>
        <c:axPos val="l"/>
        <c:numFmt formatCode="0%" sourceLinked="1"/>
        <c:majorTickMark val="none"/>
        <c:minorTickMark val="none"/>
        <c:tickLblPos val="nextTo"/>
        <c:crossAx val="231279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600"/>
              <a:t>Turnover Rate (White/Blue)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66666666666664E-2"/>
          <c:y val="0.27970695970695969"/>
          <c:w val="0.95833333333333337"/>
          <c:h val="0.705641025641025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Helper!$C$64:$N$64</c:f>
              <c:numCache>
                <c:formatCode>0%</c:formatCode>
                <c:ptCount val="12"/>
                <c:pt idx="0">
                  <c:v>-0.05</c:v>
                </c:pt>
                <c:pt idx="1">
                  <c:v>-0.04</c:v>
                </c:pt>
                <c:pt idx="2">
                  <c:v>-7.0000000000000007E-2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ser>
          <c:idx val="1"/>
          <c:order val="1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Helper!$C$63:$N$63</c:f>
              <c:numCache>
                <c:formatCode>0%</c:formatCode>
                <c:ptCount val="12"/>
                <c:pt idx="0">
                  <c:v>0.05</c:v>
                </c:pt>
                <c:pt idx="1">
                  <c:v>0.05</c:v>
                </c:pt>
                <c:pt idx="2">
                  <c:v>0.02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1283248"/>
        <c:axId val="231887152"/>
      </c:barChart>
      <c:catAx>
        <c:axId val="231283248"/>
        <c:scaling>
          <c:orientation val="minMax"/>
        </c:scaling>
        <c:delete val="1"/>
        <c:axPos val="b"/>
        <c:majorTickMark val="out"/>
        <c:minorTickMark val="none"/>
        <c:tickLblPos val="nextTo"/>
        <c:crossAx val="231887152"/>
        <c:crosses val="autoZero"/>
        <c:auto val="1"/>
        <c:lblAlgn val="ctr"/>
        <c:lblOffset val="100"/>
        <c:noMultiLvlLbl val="0"/>
      </c:catAx>
      <c:valAx>
        <c:axId val="231887152"/>
        <c:scaling>
          <c:orientation val="minMax"/>
          <c:max val="0.1"/>
          <c:min val="-0.1"/>
        </c:scaling>
        <c:delete val="1"/>
        <c:axPos val="l"/>
        <c:numFmt formatCode="0%" sourceLinked="1"/>
        <c:majorTickMark val="none"/>
        <c:minorTickMark val="none"/>
        <c:tickLblPos val="nextTo"/>
        <c:crossAx val="231283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600"/>
              <a:t>Turnover Rate (White/Blue)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66666666666664E-2"/>
          <c:y val="0.27970695970695969"/>
          <c:w val="0.95833333333333337"/>
          <c:h val="0.705641025641025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Helper!$C$62:$N$62</c:f>
              <c:numCache>
                <c:formatCode>0%</c:formatCode>
                <c:ptCount val="12"/>
                <c:pt idx="0">
                  <c:v>-0.08</c:v>
                </c:pt>
                <c:pt idx="1">
                  <c:v>-0.05</c:v>
                </c:pt>
                <c:pt idx="2">
                  <c:v>-7.0000000000000007E-2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ser>
          <c:idx val="1"/>
          <c:order val="1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Helper!$C$61:$N$61</c:f>
              <c:numCache>
                <c:formatCode>0%</c:formatCode>
                <c:ptCount val="12"/>
                <c:pt idx="0">
                  <c:v>0.05</c:v>
                </c:pt>
                <c:pt idx="1">
                  <c:v>0.04</c:v>
                </c:pt>
                <c:pt idx="2">
                  <c:v>0.03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1889952"/>
        <c:axId val="231890512"/>
      </c:barChart>
      <c:catAx>
        <c:axId val="231889952"/>
        <c:scaling>
          <c:orientation val="minMax"/>
        </c:scaling>
        <c:delete val="1"/>
        <c:axPos val="b"/>
        <c:majorTickMark val="out"/>
        <c:minorTickMark val="none"/>
        <c:tickLblPos val="nextTo"/>
        <c:crossAx val="231890512"/>
        <c:crosses val="autoZero"/>
        <c:auto val="1"/>
        <c:lblAlgn val="ctr"/>
        <c:lblOffset val="100"/>
        <c:noMultiLvlLbl val="0"/>
      </c:catAx>
      <c:valAx>
        <c:axId val="231890512"/>
        <c:scaling>
          <c:orientation val="minMax"/>
          <c:max val="0.1"/>
          <c:min val="-0.1"/>
        </c:scaling>
        <c:delete val="1"/>
        <c:axPos val="l"/>
        <c:numFmt formatCode="0%" sourceLinked="1"/>
        <c:majorTickMark val="none"/>
        <c:minorTickMark val="none"/>
        <c:tickLblPos val="nextTo"/>
        <c:crossAx val="231889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600"/>
              <a:t>Turnover Rate (White/Blue)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66666666666664E-2"/>
          <c:y val="0.27970695970695969"/>
          <c:w val="0.95833333333333337"/>
          <c:h val="0.70564102564102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Helper!$B$53</c:f>
              <c:strCache>
                <c:ptCount val="1"/>
                <c:pt idx="0">
                  <c:v>Turnover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Helper!$C$60:$N$60</c:f>
              <c:numCache>
                <c:formatCode>0%</c:formatCode>
                <c:ptCount val="12"/>
                <c:pt idx="0">
                  <c:v>-7.0000000000000007E-2</c:v>
                </c:pt>
                <c:pt idx="1">
                  <c:v>-0.06</c:v>
                </c:pt>
                <c:pt idx="2">
                  <c:v>-0.03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ser>
          <c:idx val="1"/>
          <c:order val="1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Helper!$C$59:$N$59</c:f>
              <c:numCache>
                <c:formatCode>0%</c:formatCode>
                <c:ptCount val="12"/>
                <c:pt idx="0">
                  <c:v>0.03</c:v>
                </c:pt>
                <c:pt idx="1">
                  <c:v>0.02</c:v>
                </c:pt>
                <c:pt idx="2">
                  <c:v>0.03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1893312"/>
        <c:axId val="231893872"/>
      </c:barChart>
      <c:catAx>
        <c:axId val="231893312"/>
        <c:scaling>
          <c:orientation val="minMax"/>
        </c:scaling>
        <c:delete val="1"/>
        <c:axPos val="b"/>
        <c:majorTickMark val="out"/>
        <c:minorTickMark val="none"/>
        <c:tickLblPos val="nextTo"/>
        <c:crossAx val="231893872"/>
        <c:crosses val="autoZero"/>
        <c:auto val="1"/>
        <c:lblAlgn val="ctr"/>
        <c:lblOffset val="100"/>
        <c:noMultiLvlLbl val="0"/>
      </c:catAx>
      <c:valAx>
        <c:axId val="231893872"/>
        <c:scaling>
          <c:orientation val="minMax"/>
          <c:max val="0.1"/>
          <c:min val="-0.1"/>
        </c:scaling>
        <c:delete val="1"/>
        <c:axPos val="l"/>
        <c:numFmt formatCode="0%" sourceLinked="1"/>
        <c:majorTickMark val="none"/>
        <c:minorTickMark val="none"/>
        <c:tickLblPos val="nextTo"/>
        <c:crossAx val="231893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600"/>
              <a:t>Turnover Rate (White/Blue)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66666666666664E-2"/>
          <c:y val="0.27970695970695969"/>
          <c:w val="0.95833333333333337"/>
          <c:h val="0.705641025641025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Helper!$C$58:$N$58</c:f>
              <c:numCache>
                <c:formatCode>0%</c:formatCode>
                <c:ptCount val="12"/>
                <c:pt idx="0">
                  <c:v>-7.0000000000000007E-2</c:v>
                </c:pt>
                <c:pt idx="1">
                  <c:v>-0.06</c:v>
                </c:pt>
                <c:pt idx="2">
                  <c:v>-0.04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ser>
          <c:idx val="1"/>
          <c:order val="1"/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Helper!$C$57:$N$57</c:f>
              <c:numCache>
                <c:formatCode>0%</c:formatCode>
                <c:ptCount val="12"/>
                <c:pt idx="0">
                  <c:v>0.03</c:v>
                </c:pt>
                <c:pt idx="1">
                  <c:v>0.04</c:v>
                </c:pt>
                <c:pt idx="2">
                  <c:v>0.04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1896672"/>
        <c:axId val="231897232"/>
      </c:barChart>
      <c:catAx>
        <c:axId val="231896672"/>
        <c:scaling>
          <c:orientation val="minMax"/>
        </c:scaling>
        <c:delete val="1"/>
        <c:axPos val="b"/>
        <c:majorTickMark val="out"/>
        <c:minorTickMark val="none"/>
        <c:tickLblPos val="nextTo"/>
        <c:crossAx val="231897232"/>
        <c:crosses val="autoZero"/>
        <c:auto val="1"/>
        <c:lblAlgn val="ctr"/>
        <c:lblOffset val="100"/>
        <c:noMultiLvlLbl val="0"/>
      </c:catAx>
      <c:valAx>
        <c:axId val="231897232"/>
        <c:scaling>
          <c:orientation val="minMax"/>
          <c:max val="0.1"/>
          <c:min val="-0.1"/>
        </c:scaling>
        <c:delete val="1"/>
        <c:axPos val="l"/>
        <c:numFmt formatCode="0%" sourceLinked="1"/>
        <c:majorTickMark val="none"/>
        <c:minorTickMark val="none"/>
        <c:tickLblPos val="nextTo"/>
        <c:crossAx val="23189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Revenue</a:t>
            </a:r>
            <a:r>
              <a:rPr lang="tr-TR" sz="900"/>
              <a:t> &amp; Profit</a:t>
            </a:r>
            <a:endParaRPr lang="en-US" sz="9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987659421517309E-2"/>
          <c:y val="0.31948536353830675"/>
          <c:w val="0.97901234057848274"/>
          <c:h val="0.6805146364616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Helper!$C$27:$N$27</c:f>
              <c:numCache>
                <c:formatCode>[$$-409]#,##0</c:formatCode>
                <c:ptCount val="12"/>
                <c:pt idx="0">
                  <c:v>61932531</c:v>
                </c:pt>
                <c:pt idx="1">
                  <c:v>58791516</c:v>
                </c:pt>
                <c:pt idx="2">
                  <c:v>62155100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1900032"/>
        <c:axId val="231900592"/>
      </c:barChart>
      <c:lineChart>
        <c:grouping val="standard"/>
        <c:varyColors val="0"/>
        <c:ser>
          <c:idx val="1"/>
          <c:order val="1"/>
          <c:tx>
            <c:strRef>
              <c:f>Helper!$B$29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  <a:tailEnd type="arrow" w="sm" len="sm"/>
            </a:ln>
            <a:effectLst/>
          </c:spPr>
          <c:marker>
            <c:symbol val="none"/>
          </c:marker>
          <c:val>
            <c:numRef>
              <c:f>Helper!$C$39:$N$39</c:f>
              <c:numCache>
                <c:formatCode>[$$-409]#,##0</c:formatCode>
                <c:ptCount val="12"/>
                <c:pt idx="0">
                  <c:v>12661217.000000004</c:v>
                </c:pt>
                <c:pt idx="1">
                  <c:v>13949832.630000001</c:v>
                </c:pt>
                <c:pt idx="2">
                  <c:v>10719749.75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901712"/>
        <c:axId val="231901152"/>
      </c:lineChart>
      <c:catAx>
        <c:axId val="2319000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900592"/>
        <c:crosses val="autoZero"/>
        <c:auto val="1"/>
        <c:lblAlgn val="ctr"/>
        <c:lblOffset val="100"/>
        <c:noMultiLvlLbl val="0"/>
      </c:catAx>
      <c:valAx>
        <c:axId val="231900592"/>
        <c:scaling>
          <c:orientation val="minMax"/>
        </c:scaling>
        <c:delete val="0"/>
        <c:axPos val="l"/>
        <c:numFmt formatCode="#,,\m\i\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900032"/>
        <c:crosses val="autoZero"/>
        <c:crossBetween val="between"/>
      </c:valAx>
      <c:valAx>
        <c:axId val="231901152"/>
        <c:scaling>
          <c:orientation val="minMax"/>
        </c:scaling>
        <c:delete val="1"/>
        <c:axPos val="r"/>
        <c:numFmt formatCode="[$$-409]#,##0" sourceLinked="1"/>
        <c:majorTickMark val="out"/>
        <c:minorTickMark val="none"/>
        <c:tickLblPos val="nextTo"/>
        <c:crossAx val="231901712"/>
        <c:crosses val="max"/>
        <c:crossBetween val="between"/>
      </c:valAx>
      <c:catAx>
        <c:axId val="231901712"/>
        <c:scaling>
          <c:orientation val="minMax"/>
        </c:scaling>
        <c:delete val="1"/>
        <c:axPos val="b"/>
        <c:majorTickMark val="out"/>
        <c:minorTickMark val="none"/>
        <c:tickLblPos val="nextTo"/>
        <c:crossAx val="2319011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Efficiency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41011964413539215"/>
          <c:w val="0.93888888888888888"/>
          <c:h val="0.42284029880880275"/>
        </c:manualLayout>
      </c:layout>
      <c:lineChart>
        <c:grouping val="standard"/>
        <c:varyColors val="0"/>
        <c:ser>
          <c:idx val="0"/>
          <c:order val="0"/>
          <c:tx>
            <c:strRef>
              <c:f>Helper!$B$41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  <a:tailEnd type="arrow" w="sm" len="sm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Helper!$C$51:$N$51</c:f>
              <c:numCache>
                <c:formatCode>0%</c:formatCode>
                <c:ptCount val="12"/>
                <c:pt idx="0">
                  <c:v>0.74499999999999988</c:v>
                </c:pt>
                <c:pt idx="1">
                  <c:v>0.82874999999999999</c:v>
                </c:pt>
                <c:pt idx="2">
                  <c:v>0.75624999999999998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2548272"/>
        <c:axId val="232548832"/>
      </c:lineChart>
      <c:catAx>
        <c:axId val="2325482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548832"/>
        <c:crosses val="autoZero"/>
        <c:auto val="1"/>
        <c:lblAlgn val="ctr"/>
        <c:lblOffset val="100"/>
        <c:noMultiLvlLbl val="0"/>
      </c:catAx>
      <c:valAx>
        <c:axId val="232548832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232548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Turnover Rate (White/Blue)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66666666666664E-2"/>
          <c:y val="0.27970695970695969"/>
          <c:w val="0.95833333333333337"/>
          <c:h val="0.70564102564102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Helper!$B$53</c:f>
              <c:strCache>
                <c:ptCount val="1"/>
                <c:pt idx="0">
                  <c:v>Turnover Rate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accent1"/>
              </a:solidFill>
            </a:ln>
            <a:effectLst/>
          </c:spPr>
          <c:invertIfNegative val="0"/>
          <c:val>
            <c:numRef>
              <c:f>Helper!$C$71:$N$71</c:f>
              <c:numCache>
                <c:formatCode>0%</c:formatCode>
                <c:ptCount val="12"/>
                <c:pt idx="0">
                  <c:v>3.5000000000000003E-2</c:v>
                </c:pt>
                <c:pt idx="1">
                  <c:v>3.6250000000000004E-2</c:v>
                </c:pt>
                <c:pt idx="2">
                  <c:v>3.2500000000000001E-2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Helper!$C$72:$N$72</c:f>
              <c:numCache>
                <c:formatCode>0%</c:formatCode>
                <c:ptCount val="12"/>
                <c:pt idx="0">
                  <c:v>-5.8750000000000004E-2</c:v>
                </c:pt>
                <c:pt idx="1">
                  <c:v>-4.250000000000001E-2</c:v>
                </c:pt>
                <c:pt idx="2">
                  <c:v>-5.8750000000000004E-2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232551632"/>
        <c:axId val="232552192"/>
      </c:barChart>
      <c:catAx>
        <c:axId val="232551632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552192"/>
        <c:crosses val="autoZero"/>
        <c:auto val="1"/>
        <c:lblAlgn val="ctr"/>
        <c:lblOffset val="100"/>
        <c:noMultiLvlLbl val="0"/>
      </c:catAx>
      <c:valAx>
        <c:axId val="232552192"/>
        <c:scaling>
          <c:orientation val="minMax"/>
          <c:max val="0.1"/>
          <c:min val="-0.1"/>
        </c:scaling>
        <c:delete val="1"/>
        <c:axPos val="l"/>
        <c:numFmt formatCode="0%" sourceLinked="1"/>
        <c:majorTickMark val="none"/>
        <c:minorTickMark val="none"/>
        <c:tickLblPos val="nextTo"/>
        <c:crossAx val="23255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9899984"/>
        <c:axId val="279900544"/>
      </c:barChart>
      <c:catAx>
        <c:axId val="279899984"/>
        <c:scaling>
          <c:orientation val="minMax"/>
        </c:scaling>
        <c:delete val="1"/>
        <c:axPos val="l"/>
        <c:majorTickMark val="none"/>
        <c:minorTickMark val="none"/>
        <c:tickLblPos val="nextTo"/>
        <c:crossAx val="279900544"/>
        <c:crosses val="autoZero"/>
        <c:auto val="1"/>
        <c:lblAlgn val="ctr"/>
        <c:lblOffset val="100"/>
        <c:noMultiLvlLbl val="0"/>
      </c:catAx>
      <c:valAx>
        <c:axId val="279900544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79899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9907264"/>
        <c:axId val="279906704"/>
      </c:barChart>
      <c:catAx>
        <c:axId val="279907264"/>
        <c:scaling>
          <c:orientation val="minMax"/>
        </c:scaling>
        <c:delete val="1"/>
        <c:axPos val="l"/>
        <c:majorTickMark val="none"/>
        <c:minorTickMark val="none"/>
        <c:tickLblPos val="nextTo"/>
        <c:crossAx val="279906704"/>
        <c:crosses val="autoZero"/>
        <c:auto val="1"/>
        <c:lblAlgn val="ctr"/>
        <c:lblOffset val="100"/>
        <c:noMultiLvlLbl val="0"/>
      </c:catAx>
      <c:valAx>
        <c:axId val="279906704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7990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9903904"/>
        <c:axId val="279894384"/>
      </c:barChart>
      <c:catAx>
        <c:axId val="279903904"/>
        <c:scaling>
          <c:orientation val="minMax"/>
        </c:scaling>
        <c:delete val="1"/>
        <c:axPos val="l"/>
        <c:majorTickMark val="none"/>
        <c:minorTickMark val="none"/>
        <c:tickLblPos val="nextTo"/>
        <c:crossAx val="279894384"/>
        <c:crosses val="autoZero"/>
        <c:auto val="1"/>
        <c:lblAlgn val="ctr"/>
        <c:lblOffset val="100"/>
        <c:noMultiLvlLbl val="0"/>
      </c:catAx>
      <c:valAx>
        <c:axId val="279894384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79903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9916784"/>
        <c:axId val="279917344"/>
      </c:barChart>
      <c:catAx>
        <c:axId val="279916784"/>
        <c:scaling>
          <c:orientation val="minMax"/>
        </c:scaling>
        <c:delete val="1"/>
        <c:axPos val="l"/>
        <c:majorTickMark val="none"/>
        <c:minorTickMark val="none"/>
        <c:tickLblPos val="nextTo"/>
        <c:crossAx val="279917344"/>
        <c:crosses val="autoZero"/>
        <c:auto val="1"/>
        <c:lblAlgn val="ctr"/>
        <c:lblOffset val="100"/>
        <c:noMultiLvlLbl val="0"/>
      </c:catAx>
      <c:valAx>
        <c:axId val="279917344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79916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42782592"/>
        <c:axId val="42788752"/>
      </c:barChart>
      <c:catAx>
        <c:axId val="42782592"/>
        <c:scaling>
          <c:orientation val="minMax"/>
        </c:scaling>
        <c:delete val="1"/>
        <c:axPos val="l"/>
        <c:majorTickMark val="none"/>
        <c:minorTickMark val="none"/>
        <c:tickLblPos val="nextTo"/>
        <c:crossAx val="42788752"/>
        <c:crosses val="autoZero"/>
        <c:auto val="1"/>
        <c:lblAlgn val="ctr"/>
        <c:lblOffset val="100"/>
        <c:noMultiLvlLbl val="0"/>
      </c:catAx>
      <c:valAx>
        <c:axId val="42788752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42782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9917904"/>
        <c:axId val="279918464"/>
      </c:barChart>
      <c:catAx>
        <c:axId val="279917904"/>
        <c:scaling>
          <c:orientation val="minMax"/>
        </c:scaling>
        <c:delete val="1"/>
        <c:axPos val="l"/>
        <c:majorTickMark val="none"/>
        <c:minorTickMark val="none"/>
        <c:tickLblPos val="nextTo"/>
        <c:crossAx val="279918464"/>
        <c:crosses val="autoZero"/>
        <c:auto val="1"/>
        <c:lblAlgn val="ctr"/>
        <c:lblOffset val="100"/>
        <c:noMultiLvlLbl val="0"/>
      </c:catAx>
      <c:valAx>
        <c:axId val="279918464"/>
        <c:scaling>
          <c:orientation val="minMax"/>
          <c:max val="1"/>
          <c:min val="0"/>
        </c:scaling>
        <c:delete val="1"/>
        <c:axPos val="b"/>
        <c:numFmt formatCode="0%" sourceLinked="1"/>
        <c:majorTickMark val="out"/>
        <c:minorTickMark val="none"/>
        <c:tickLblPos val="nextTo"/>
        <c:crossAx val="279917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16" fmlaLink="Helper!$D$3" fmlaRange="Helper!$B$3:$B$14" noThreeD="1" sel="3" val="0"/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41" Type="http://schemas.openxmlformats.org/officeDocument/2006/relationships/chart" Target="../charts/chart4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85725</xdr:colOff>
          <xdr:row>1</xdr:row>
          <xdr:rowOff>180975</xdr:rowOff>
        </xdr:from>
        <xdr:to>
          <xdr:col>23</xdr:col>
          <xdr:colOff>0</xdr:colOff>
          <xdr:row>3</xdr:row>
          <xdr:rowOff>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0</xdr:colOff>
      <xdr:row>21</xdr:row>
      <xdr:rowOff>0</xdr:rowOff>
    </xdr:from>
    <xdr:to>
      <xdr:col>2</xdr:col>
      <xdr:colOff>0</xdr:colOff>
      <xdr:row>25</xdr:row>
      <xdr:rowOff>11206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21</xdr:row>
      <xdr:rowOff>0</xdr:rowOff>
    </xdr:from>
    <xdr:to>
      <xdr:col>7</xdr:col>
      <xdr:colOff>605117</xdr:colOff>
      <xdr:row>25</xdr:row>
      <xdr:rowOff>11206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5</xdr:col>
      <xdr:colOff>-1</xdr:colOff>
      <xdr:row>25</xdr:row>
      <xdr:rowOff>11206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21</xdr:row>
      <xdr:rowOff>0</xdr:rowOff>
    </xdr:from>
    <xdr:to>
      <xdr:col>23</xdr:col>
      <xdr:colOff>0</xdr:colOff>
      <xdr:row>25</xdr:row>
      <xdr:rowOff>11206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21</xdr:row>
      <xdr:rowOff>0</xdr:rowOff>
    </xdr:from>
    <xdr:to>
      <xdr:col>11</xdr:col>
      <xdr:colOff>0</xdr:colOff>
      <xdr:row>25</xdr:row>
      <xdr:rowOff>11206</xdr:rowOff>
    </xdr:to>
    <xdr:graphicFrame macro="">
      <xdr:nvGraphicFramePr>
        <xdr:cNvPr id="16" name="Chart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21</xdr:row>
      <xdr:rowOff>0</xdr:rowOff>
    </xdr:from>
    <xdr:to>
      <xdr:col>19</xdr:col>
      <xdr:colOff>605117</xdr:colOff>
      <xdr:row>25</xdr:row>
      <xdr:rowOff>11206</xdr:rowOff>
    </xdr:to>
    <xdr:graphicFrame macro="">
      <xdr:nvGraphicFramePr>
        <xdr:cNvPr id="17" name="Chart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21</xdr:row>
      <xdr:rowOff>0</xdr:rowOff>
    </xdr:from>
    <xdr:to>
      <xdr:col>14</xdr:col>
      <xdr:colOff>0</xdr:colOff>
      <xdr:row>25</xdr:row>
      <xdr:rowOff>11206</xdr:rowOff>
    </xdr:to>
    <xdr:graphicFrame macro="">
      <xdr:nvGraphicFramePr>
        <xdr:cNvPr id="18" name="Chart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0</xdr:rowOff>
    </xdr:from>
    <xdr:to>
      <xdr:col>17</xdr:col>
      <xdr:colOff>0</xdr:colOff>
      <xdr:row>25</xdr:row>
      <xdr:rowOff>11206</xdr:rowOff>
    </xdr:to>
    <xdr:graphicFrame macro="">
      <xdr:nvGraphicFramePr>
        <xdr:cNvPr id="19" name="Chart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0</xdr:colOff>
      <xdr:row>18</xdr:row>
      <xdr:rowOff>0</xdr:rowOff>
    </xdr:from>
    <xdr:to>
      <xdr:col>7</xdr:col>
      <xdr:colOff>594184</xdr:colOff>
      <xdr:row>19</xdr:row>
      <xdr:rowOff>4920</xdr:rowOff>
    </xdr:to>
    <xdr:graphicFrame macro="">
      <xdr:nvGraphicFramePr>
        <xdr:cNvPr id="22" name="Chart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17</xdr:row>
      <xdr:rowOff>180975</xdr:rowOff>
    </xdr:from>
    <xdr:to>
      <xdr:col>1</xdr:col>
      <xdr:colOff>594184</xdr:colOff>
      <xdr:row>18</xdr:row>
      <xdr:rowOff>185895</xdr:rowOff>
    </xdr:to>
    <xdr:graphicFrame macro="">
      <xdr:nvGraphicFramePr>
        <xdr:cNvPr id="31" name="Chart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0</xdr:colOff>
      <xdr:row>18</xdr:row>
      <xdr:rowOff>0</xdr:rowOff>
    </xdr:from>
    <xdr:to>
      <xdr:col>4</xdr:col>
      <xdr:colOff>594184</xdr:colOff>
      <xdr:row>19</xdr:row>
      <xdr:rowOff>4920</xdr:rowOff>
    </xdr:to>
    <xdr:graphicFrame macro="">
      <xdr:nvGraphicFramePr>
        <xdr:cNvPr id="32" name="Chart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10</xdr:col>
      <xdr:colOff>594184</xdr:colOff>
      <xdr:row>19</xdr:row>
      <xdr:rowOff>4920</xdr:rowOff>
    </xdr:to>
    <xdr:graphicFrame macro="">
      <xdr:nvGraphicFramePr>
        <xdr:cNvPr id="33" name="Chart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13</xdr:col>
      <xdr:colOff>594184</xdr:colOff>
      <xdr:row>19</xdr:row>
      <xdr:rowOff>4920</xdr:rowOff>
    </xdr:to>
    <xdr:graphicFrame macro="">
      <xdr:nvGraphicFramePr>
        <xdr:cNvPr id="34" name="Chart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15</xdr:col>
      <xdr:colOff>0</xdr:colOff>
      <xdr:row>18</xdr:row>
      <xdr:rowOff>0</xdr:rowOff>
    </xdr:from>
    <xdr:to>
      <xdr:col>16</xdr:col>
      <xdr:colOff>594184</xdr:colOff>
      <xdr:row>19</xdr:row>
      <xdr:rowOff>4920</xdr:rowOff>
    </xdr:to>
    <xdr:graphicFrame macro="">
      <xdr:nvGraphicFramePr>
        <xdr:cNvPr id="35" name="Chart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0</xdr:colOff>
      <xdr:row>18</xdr:row>
      <xdr:rowOff>0</xdr:rowOff>
    </xdr:from>
    <xdr:to>
      <xdr:col>22</xdr:col>
      <xdr:colOff>594184</xdr:colOff>
      <xdr:row>19</xdr:row>
      <xdr:rowOff>4920</xdr:rowOff>
    </xdr:to>
    <xdr:graphicFrame macro="">
      <xdr:nvGraphicFramePr>
        <xdr:cNvPr id="36" name="Chart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18</xdr:col>
      <xdr:colOff>0</xdr:colOff>
      <xdr:row>18</xdr:row>
      <xdr:rowOff>0</xdr:rowOff>
    </xdr:from>
    <xdr:to>
      <xdr:col>19</xdr:col>
      <xdr:colOff>594184</xdr:colOff>
      <xdr:row>19</xdr:row>
      <xdr:rowOff>4920</xdr:rowOff>
    </xdr:to>
    <xdr:graphicFrame macro="">
      <xdr:nvGraphicFramePr>
        <xdr:cNvPr id="37" name="Chart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1</xdr:col>
      <xdr:colOff>600075</xdr:colOff>
      <xdr:row>29</xdr:row>
      <xdr:rowOff>161925</xdr:rowOff>
    </xdr:to>
    <xdr:graphicFrame macro="">
      <xdr:nvGraphicFramePr>
        <xdr:cNvPr id="38" name="Chart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21</xdr:col>
      <xdr:colOff>0</xdr:colOff>
      <xdr:row>26</xdr:row>
      <xdr:rowOff>0</xdr:rowOff>
    </xdr:from>
    <xdr:to>
      <xdr:col>22</xdr:col>
      <xdr:colOff>600075</xdr:colOff>
      <xdr:row>29</xdr:row>
      <xdr:rowOff>161925</xdr:rowOff>
    </xdr:to>
    <xdr:graphicFrame macro="">
      <xdr:nvGraphicFramePr>
        <xdr:cNvPr id="39" name="Chart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18</xdr:col>
      <xdr:colOff>0</xdr:colOff>
      <xdr:row>26</xdr:row>
      <xdr:rowOff>0</xdr:rowOff>
    </xdr:from>
    <xdr:to>
      <xdr:col>19</xdr:col>
      <xdr:colOff>600075</xdr:colOff>
      <xdr:row>29</xdr:row>
      <xdr:rowOff>161925</xdr:rowOff>
    </xdr:to>
    <xdr:graphicFrame macro="">
      <xdr:nvGraphicFramePr>
        <xdr:cNvPr id="40" name="Chart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26</xdr:row>
      <xdr:rowOff>0</xdr:rowOff>
    </xdr:from>
    <xdr:to>
      <xdr:col>16</xdr:col>
      <xdr:colOff>600075</xdr:colOff>
      <xdr:row>29</xdr:row>
      <xdr:rowOff>161925</xdr:rowOff>
    </xdr:to>
    <xdr:graphicFrame macro="">
      <xdr:nvGraphicFramePr>
        <xdr:cNvPr id="41" name="Chart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13</xdr:col>
      <xdr:colOff>600075</xdr:colOff>
      <xdr:row>29</xdr:row>
      <xdr:rowOff>161925</xdr:rowOff>
    </xdr:to>
    <xdr:graphicFrame macro="">
      <xdr:nvGraphicFramePr>
        <xdr:cNvPr id="42" name="Chart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10</xdr:col>
      <xdr:colOff>600075</xdr:colOff>
      <xdr:row>29</xdr:row>
      <xdr:rowOff>161925</xdr:rowOff>
    </xdr:to>
    <xdr:graphicFrame macro="">
      <xdr:nvGraphicFramePr>
        <xdr:cNvPr id="43" name="Chart 4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</xdr:col>
      <xdr:colOff>0</xdr:colOff>
      <xdr:row>26</xdr:row>
      <xdr:rowOff>0</xdr:rowOff>
    </xdr:from>
    <xdr:to>
      <xdr:col>7</xdr:col>
      <xdr:colOff>600075</xdr:colOff>
      <xdr:row>29</xdr:row>
      <xdr:rowOff>161925</xdr:rowOff>
    </xdr:to>
    <xdr:graphicFrame macro="">
      <xdr:nvGraphicFramePr>
        <xdr:cNvPr id="44" name="Chart 4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</xdr:col>
      <xdr:colOff>0</xdr:colOff>
      <xdr:row>26</xdr:row>
      <xdr:rowOff>0</xdr:rowOff>
    </xdr:from>
    <xdr:to>
      <xdr:col>4</xdr:col>
      <xdr:colOff>600075</xdr:colOff>
      <xdr:row>29</xdr:row>
      <xdr:rowOff>161925</xdr:rowOff>
    </xdr:to>
    <xdr:graphicFrame macro="">
      <xdr:nvGraphicFramePr>
        <xdr:cNvPr id="45" name="Chart 4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29</xdr:row>
      <xdr:rowOff>180975</xdr:rowOff>
    </xdr:from>
    <xdr:to>
      <xdr:col>2</xdr:col>
      <xdr:colOff>0</xdr:colOff>
      <xdr:row>34</xdr:row>
      <xdr:rowOff>95250</xdr:rowOff>
    </xdr:to>
    <xdr:graphicFrame macro="">
      <xdr:nvGraphicFramePr>
        <xdr:cNvPr id="46" name="Chart 4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21</xdr:col>
      <xdr:colOff>0</xdr:colOff>
      <xdr:row>30</xdr:row>
      <xdr:rowOff>0</xdr:rowOff>
    </xdr:from>
    <xdr:to>
      <xdr:col>23</xdr:col>
      <xdr:colOff>0</xdr:colOff>
      <xdr:row>34</xdr:row>
      <xdr:rowOff>104775</xdr:rowOff>
    </xdr:to>
    <xdr:graphicFrame macro="">
      <xdr:nvGraphicFramePr>
        <xdr:cNvPr id="47" name="Chart 4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18</xdr:col>
      <xdr:colOff>0</xdr:colOff>
      <xdr:row>30</xdr:row>
      <xdr:rowOff>0</xdr:rowOff>
    </xdr:from>
    <xdr:to>
      <xdr:col>20</xdr:col>
      <xdr:colOff>0</xdr:colOff>
      <xdr:row>34</xdr:row>
      <xdr:rowOff>104775</xdr:rowOff>
    </xdr:to>
    <xdr:graphicFrame macro="">
      <xdr:nvGraphicFramePr>
        <xdr:cNvPr id="48" name="Chart 4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15</xdr:col>
      <xdr:colOff>0</xdr:colOff>
      <xdr:row>30</xdr:row>
      <xdr:rowOff>0</xdr:rowOff>
    </xdr:from>
    <xdr:to>
      <xdr:col>17</xdr:col>
      <xdr:colOff>0</xdr:colOff>
      <xdr:row>34</xdr:row>
      <xdr:rowOff>104775</xdr:rowOff>
    </xdr:to>
    <xdr:graphicFrame macro="">
      <xdr:nvGraphicFramePr>
        <xdr:cNvPr id="49" name="Chart 4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0</xdr:colOff>
      <xdr:row>30</xdr:row>
      <xdr:rowOff>0</xdr:rowOff>
    </xdr:from>
    <xdr:to>
      <xdr:col>14</xdr:col>
      <xdr:colOff>0</xdr:colOff>
      <xdr:row>34</xdr:row>
      <xdr:rowOff>104775</xdr:rowOff>
    </xdr:to>
    <xdr:graphicFrame macro="">
      <xdr:nvGraphicFramePr>
        <xdr:cNvPr id="50" name="Chart 4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</xdr:col>
      <xdr:colOff>0</xdr:colOff>
      <xdr:row>30</xdr:row>
      <xdr:rowOff>0</xdr:rowOff>
    </xdr:from>
    <xdr:to>
      <xdr:col>11</xdr:col>
      <xdr:colOff>0</xdr:colOff>
      <xdr:row>34</xdr:row>
      <xdr:rowOff>104775</xdr:rowOff>
    </xdr:to>
    <xdr:graphicFrame macro="">
      <xdr:nvGraphicFramePr>
        <xdr:cNvPr id="51" name="Chart 5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</xdr:col>
      <xdr:colOff>0</xdr:colOff>
      <xdr:row>30</xdr:row>
      <xdr:rowOff>0</xdr:rowOff>
    </xdr:from>
    <xdr:to>
      <xdr:col>8</xdr:col>
      <xdr:colOff>0</xdr:colOff>
      <xdr:row>34</xdr:row>
      <xdr:rowOff>104775</xdr:rowOff>
    </xdr:to>
    <xdr:graphicFrame macro="">
      <xdr:nvGraphicFramePr>
        <xdr:cNvPr id="52" name="Chart 5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0</xdr:colOff>
      <xdr:row>30</xdr:row>
      <xdr:rowOff>0</xdr:rowOff>
    </xdr:from>
    <xdr:to>
      <xdr:col>5</xdr:col>
      <xdr:colOff>0</xdr:colOff>
      <xdr:row>34</xdr:row>
      <xdr:rowOff>104775</xdr:rowOff>
    </xdr:to>
    <xdr:graphicFrame macro="">
      <xdr:nvGraphicFramePr>
        <xdr:cNvPr id="53" name="Chart 5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</xdr:col>
      <xdr:colOff>19049</xdr:colOff>
      <xdr:row>5</xdr:row>
      <xdr:rowOff>85724</xdr:rowOff>
    </xdr:from>
    <xdr:to>
      <xdr:col>10</xdr:col>
      <xdr:colOff>581024</xdr:colOff>
      <xdr:row>12</xdr:row>
      <xdr:rowOff>57149</xdr:rowOff>
    </xdr:to>
    <xdr:graphicFrame macro="">
      <xdr:nvGraphicFramePr>
        <xdr:cNvPr id="54" name="Chart 5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12</xdr:col>
      <xdr:colOff>28576</xdr:colOff>
      <xdr:row>6</xdr:row>
      <xdr:rowOff>9525</xdr:rowOff>
    </xdr:from>
    <xdr:to>
      <xdr:col>16</xdr:col>
      <xdr:colOff>533400</xdr:colOff>
      <xdr:row>12</xdr:row>
      <xdr:rowOff>85725</xdr:rowOff>
    </xdr:to>
    <xdr:graphicFrame macro="">
      <xdr:nvGraphicFramePr>
        <xdr:cNvPr id="55" name="Chart 5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17</xdr:col>
      <xdr:colOff>76200</xdr:colOff>
      <xdr:row>6</xdr:row>
      <xdr:rowOff>0</xdr:rowOff>
    </xdr:from>
    <xdr:to>
      <xdr:col>22</xdr:col>
      <xdr:colOff>552450</xdr:colOff>
      <xdr:row>12</xdr:row>
      <xdr:rowOff>85725</xdr:rowOff>
    </xdr:to>
    <xdr:graphicFrame macro="">
      <xdr:nvGraphicFramePr>
        <xdr:cNvPr id="56" name="Chart 5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6</xdr:col>
      <xdr:colOff>0</xdr:colOff>
      <xdr:row>17</xdr:row>
      <xdr:rowOff>180975</xdr:rowOff>
    </xdr:from>
    <xdr:to>
      <xdr:col>7</xdr:col>
      <xdr:colOff>594184</xdr:colOff>
      <xdr:row>18</xdr:row>
      <xdr:rowOff>185895</xdr:rowOff>
    </xdr:to>
    <xdr:graphicFrame macro="">
      <xdr:nvGraphicFramePr>
        <xdr:cNvPr id="58" name="Chart 5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9</xdr:col>
      <xdr:colOff>0</xdr:colOff>
      <xdr:row>17</xdr:row>
      <xdr:rowOff>180975</xdr:rowOff>
    </xdr:from>
    <xdr:to>
      <xdr:col>10</xdr:col>
      <xdr:colOff>594184</xdr:colOff>
      <xdr:row>18</xdr:row>
      <xdr:rowOff>185895</xdr:rowOff>
    </xdr:to>
    <xdr:graphicFrame macro="">
      <xdr:nvGraphicFramePr>
        <xdr:cNvPr id="59" name="Chart 5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12</xdr:col>
      <xdr:colOff>0</xdr:colOff>
      <xdr:row>17</xdr:row>
      <xdr:rowOff>180975</xdr:rowOff>
    </xdr:from>
    <xdr:to>
      <xdr:col>13</xdr:col>
      <xdr:colOff>594184</xdr:colOff>
      <xdr:row>18</xdr:row>
      <xdr:rowOff>185895</xdr:rowOff>
    </xdr:to>
    <xdr:graphicFrame macro="">
      <xdr:nvGraphicFramePr>
        <xdr:cNvPr id="60" name="Chart 5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15</xdr:col>
      <xdr:colOff>0</xdr:colOff>
      <xdr:row>17</xdr:row>
      <xdr:rowOff>180975</xdr:rowOff>
    </xdr:from>
    <xdr:to>
      <xdr:col>16</xdr:col>
      <xdr:colOff>594184</xdr:colOff>
      <xdr:row>18</xdr:row>
      <xdr:rowOff>185895</xdr:rowOff>
    </xdr:to>
    <xdr:graphicFrame macro="">
      <xdr:nvGraphicFramePr>
        <xdr:cNvPr id="61" name="Chart 6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18</xdr:col>
      <xdr:colOff>0</xdr:colOff>
      <xdr:row>17</xdr:row>
      <xdr:rowOff>180975</xdr:rowOff>
    </xdr:from>
    <xdr:to>
      <xdr:col>19</xdr:col>
      <xdr:colOff>594184</xdr:colOff>
      <xdr:row>18</xdr:row>
      <xdr:rowOff>185895</xdr:rowOff>
    </xdr:to>
    <xdr:graphicFrame macro="">
      <xdr:nvGraphicFramePr>
        <xdr:cNvPr id="62" name="Chart 6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21</xdr:col>
      <xdr:colOff>0</xdr:colOff>
      <xdr:row>17</xdr:row>
      <xdr:rowOff>180975</xdr:rowOff>
    </xdr:from>
    <xdr:to>
      <xdr:col>22</xdr:col>
      <xdr:colOff>594184</xdr:colOff>
      <xdr:row>18</xdr:row>
      <xdr:rowOff>185895</xdr:rowOff>
    </xdr:to>
    <xdr:graphicFrame macro="">
      <xdr:nvGraphicFramePr>
        <xdr:cNvPr id="63" name="Chart 6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beatexcel.com/" TargetMode="Externa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2:W39"/>
  <sheetViews>
    <sheetView showGridLines="0" tabSelected="1" zoomScale="85" zoomScaleNormal="85" workbookViewId="0">
      <selection activeCell="Z16" sqref="Z16"/>
    </sheetView>
  </sheetViews>
  <sheetFormatPr defaultRowHeight="15" x14ac:dyDescent="0.25"/>
  <cols>
    <col min="2" max="2" width="9.140625" customWidth="1"/>
    <col min="3" max="3" width="1.42578125" customWidth="1"/>
    <col min="4" max="4" width="9.140625" customWidth="1"/>
    <col min="6" max="6" width="1.42578125" customWidth="1"/>
    <col min="9" max="9" width="1.42578125" customWidth="1"/>
    <col min="12" max="12" width="1.42578125" customWidth="1"/>
    <col min="15" max="15" width="1.42578125" customWidth="1"/>
    <col min="18" max="18" width="1.42578125" customWidth="1"/>
    <col min="21" max="21" width="1.42578125" customWidth="1"/>
  </cols>
  <sheetData>
    <row r="2" spans="1:23" x14ac:dyDescent="0.25">
      <c r="A2" s="17"/>
      <c r="B2" s="17"/>
      <c r="C2" s="17"/>
      <c r="D2" s="28" t="s">
        <v>38</v>
      </c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10"/>
      <c r="V2" s="24" t="s">
        <v>24</v>
      </c>
      <c r="W2" s="24"/>
    </row>
    <row r="3" spans="1:23" x14ac:dyDescent="0.25">
      <c r="A3" s="10"/>
      <c r="B3" s="10"/>
      <c r="C3" s="10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10"/>
      <c r="V3" s="25"/>
      <c r="W3" s="25"/>
    </row>
    <row r="4" spans="1:23" x14ac:dyDescent="0.25">
      <c r="A4" s="18"/>
      <c r="B4" s="18" t="str">
        <f>Revenue!$A$1</f>
        <v>Revenue</v>
      </c>
      <c r="C4" s="19" t="s">
        <v>37</v>
      </c>
      <c r="D4" s="29">
        <f>CHOOSE(Helper!D3,Helper!C27,Helper!D27,Helper!E27,Helper!F27,Helper!G27,Helper!H27,Helper!I27,Helper!J27,Helper!K27,Helper!L27,Helper!M27,Helper!N27)</f>
        <v>62155100</v>
      </c>
      <c r="E4" s="29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1"/>
      <c r="W4" s="11"/>
    </row>
    <row r="5" spans="1:23" x14ac:dyDescent="0.25">
      <c r="A5" s="18"/>
      <c r="B5" s="18" t="str">
        <f>"Mtd "&amp;Revenue!A1</f>
        <v>Mtd Revenue</v>
      </c>
      <c r="C5" s="19" t="s">
        <v>37</v>
      </c>
      <c r="D5" s="29">
        <f>_xlfn.AGGREGATE(9,6,Helper!C27:N27)</f>
        <v>182879147</v>
      </c>
      <c r="E5" s="29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1"/>
      <c r="W5" s="11"/>
    </row>
    <row r="6" spans="1:23" x14ac:dyDescent="0.25">
      <c r="A6" s="18"/>
      <c r="B6" s="18"/>
      <c r="C6" s="19"/>
      <c r="D6" s="20"/>
      <c r="E6" s="19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1"/>
      <c r="W6" s="11"/>
    </row>
    <row r="7" spans="1:23" x14ac:dyDescent="0.25">
      <c r="A7" s="18"/>
      <c r="B7" s="18" t="str">
        <f>Profit!$A$1</f>
        <v>Profit</v>
      </c>
      <c r="C7" s="19" t="s">
        <v>37</v>
      </c>
      <c r="D7" s="29">
        <f>CHOOSE(Helper!D3,Helper!C39,Helper!D39,Helper!E39,Helper!F39,Helper!G39,Helper!H39,Helper!I39,Helper!J39,Helper!K39,Helper!L39,Helper!M39,Helper!N39)</f>
        <v>10719749.75</v>
      </c>
      <c r="E7" s="29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27"/>
      <c r="W7" s="27"/>
    </row>
    <row r="8" spans="1:23" x14ac:dyDescent="0.25">
      <c r="A8" s="18"/>
      <c r="B8" s="18" t="str">
        <f>"Mtd "&amp;Profit!$A$1</f>
        <v>Mtd Profit</v>
      </c>
      <c r="C8" s="19" t="s">
        <v>37</v>
      </c>
      <c r="D8" s="29">
        <f>_xlfn.AGGREGATE(9,6,Helper!C39:N39)</f>
        <v>37330799.380000003</v>
      </c>
      <c r="E8" s="29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spans="1:23" x14ac:dyDescent="0.25">
      <c r="A9" s="18"/>
      <c r="B9" s="18"/>
      <c r="C9" s="19"/>
      <c r="D9" s="20"/>
      <c r="E9" s="19"/>
      <c r="F9" s="10"/>
      <c r="G9" s="10"/>
      <c r="H9" s="10"/>
      <c r="I9" s="10"/>
      <c r="J9" s="12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1:23" x14ac:dyDescent="0.25">
      <c r="A10" s="18"/>
      <c r="B10" s="18" t="s">
        <v>36</v>
      </c>
      <c r="C10" s="19" t="s">
        <v>37</v>
      </c>
      <c r="D10" s="21">
        <f>CHOOSE(Helper!D3,Helper!C51,Helper!D51,Helper!E51,Helper!F51,Helper!G51,Helper!H51,Helper!I51,Helper!J51,Helper!K51,Helper!L51,Helper!M51,Helper!N51)</f>
        <v>0.75624999999999998</v>
      </c>
      <c r="E10" s="21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spans="1:23" x14ac:dyDescent="0.25">
      <c r="A11" s="18"/>
      <c r="B11" s="18" t="str">
        <f>"Mtd "&amp;Efficiency!$A$1</f>
        <v>Mtd Efficiency</v>
      </c>
      <c r="C11" s="19" t="s">
        <v>37</v>
      </c>
      <c r="D11" s="21">
        <f>_xlfn.AGGREGATE(1,6,Helper!C51:N51)</f>
        <v>0.77666666666666673</v>
      </c>
      <c r="E11" s="21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spans="1:23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spans="1:23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5" spans="1:23" x14ac:dyDescent="0.25">
      <c r="A15" s="26" t="s">
        <v>26</v>
      </c>
      <c r="B15" s="26"/>
      <c r="C15" s="7"/>
      <c r="D15" s="26" t="s">
        <v>27</v>
      </c>
      <c r="E15" s="26"/>
      <c r="F15" s="7"/>
      <c r="G15" s="26" t="s">
        <v>28</v>
      </c>
      <c r="H15" s="26"/>
      <c r="I15" s="7"/>
      <c r="J15" s="26" t="s">
        <v>29</v>
      </c>
      <c r="K15" s="26"/>
      <c r="L15" s="7"/>
      <c r="M15" s="26" t="s">
        <v>30</v>
      </c>
      <c r="N15" s="26"/>
      <c r="O15" s="7"/>
      <c r="P15" s="26" t="s">
        <v>31</v>
      </c>
      <c r="Q15" s="26"/>
      <c r="R15" s="7"/>
      <c r="S15" s="26" t="s">
        <v>32</v>
      </c>
      <c r="T15" s="26"/>
      <c r="U15" s="7"/>
      <c r="V15" s="26" t="s">
        <v>33</v>
      </c>
      <c r="W15" s="26"/>
    </row>
    <row r="16" spans="1:23" x14ac:dyDescent="0.25">
      <c r="A16" s="13" t="str">
        <f>Revenue!$A$1</f>
        <v>Revenue</v>
      </c>
      <c r="B16" s="14">
        <f>VLOOKUP(A$15,Revenue!$A$3:$M$10,Helper!$D$3+1,0)</f>
        <v>7055378</v>
      </c>
      <c r="C16" s="7"/>
      <c r="D16" s="13" t="str">
        <f>Revenue!$A$1</f>
        <v>Revenue</v>
      </c>
      <c r="E16" s="14">
        <f>VLOOKUP(D$15,Revenue!$A$3:$M$10,Helper!$D$3+1,0)</f>
        <v>11924387</v>
      </c>
      <c r="F16" s="7"/>
      <c r="G16" s="13" t="str">
        <f>Revenue!$A$1</f>
        <v>Revenue</v>
      </c>
      <c r="H16" s="14">
        <f>VLOOKUP(G$15,Revenue!$A$3:$M$10,Helper!$D$3+1,0)</f>
        <v>6649062</v>
      </c>
      <c r="I16" s="7"/>
      <c r="J16" s="13" t="str">
        <f>Revenue!$A$1</f>
        <v>Revenue</v>
      </c>
      <c r="K16" s="14">
        <f>VLOOKUP(J$15,Revenue!$A$3:$M$10,Helper!$D$3+1,0)</f>
        <v>8275458</v>
      </c>
      <c r="L16" s="7"/>
      <c r="M16" s="13" t="str">
        <f>Revenue!$A$1</f>
        <v>Revenue</v>
      </c>
      <c r="N16" s="14">
        <f>VLOOKUP(M$15,Revenue!$A$3:$M$10,Helper!$D$3+1,0)</f>
        <v>10468493</v>
      </c>
      <c r="O16" s="7"/>
      <c r="P16" s="13" t="str">
        <f>Revenue!$A$1</f>
        <v>Revenue</v>
      </c>
      <c r="Q16" s="14">
        <f>VLOOKUP(P$15,Revenue!$A$3:$M$10,Helper!$D$3+1,0)</f>
        <v>3095174</v>
      </c>
      <c r="R16" s="7"/>
      <c r="S16" s="13" t="str">
        <f>Revenue!$A$1</f>
        <v>Revenue</v>
      </c>
      <c r="T16" s="14">
        <f>VLOOKUP(S$15,Revenue!$A$3:$M$10,Helper!$D$3+1,0)</f>
        <v>9260604</v>
      </c>
      <c r="U16" s="7"/>
      <c r="V16" s="13" t="str">
        <f>Revenue!$A$1</f>
        <v>Revenue</v>
      </c>
      <c r="W16" s="14">
        <f>VLOOKUP(V$15,Revenue!$A$3:$M$10,Helper!$D$3+1,0)</f>
        <v>5426544</v>
      </c>
    </row>
    <row r="17" spans="1:23" x14ac:dyDescent="0.25">
      <c r="A17" s="13" t="str">
        <f>Profit!$A$1</f>
        <v>Profit</v>
      </c>
      <c r="B17" s="14">
        <f>VLOOKUP(A$15,Profit!$A$3:$M$10,Helper!$D$3+1,0)</f>
        <v>1058306.7000000002</v>
      </c>
      <c r="C17" s="7"/>
      <c r="D17" s="13" t="str">
        <f>Profit!$A$1</f>
        <v>Profit</v>
      </c>
      <c r="E17" s="14">
        <f>VLOOKUP(D$15,Profit!$A$3:$M$10,Helper!$D$3+1,0)</f>
        <v>1788658.0500000007</v>
      </c>
      <c r="F17" s="7"/>
      <c r="G17" s="13" t="str">
        <f>Profit!$A$1</f>
        <v>Profit</v>
      </c>
      <c r="H17" s="14">
        <f>VLOOKUP(G$15,Profit!$A$3:$M$10,Helper!$D$3+1,0)</f>
        <v>930868.6799999997</v>
      </c>
      <c r="I17" s="7"/>
      <c r="J17" s="13" t="str">
        <f>Profit!$A$1</f>
        <v>Profit</v>
      </c>
      <c r="K17" s="14">
        <f>VLOOKUP(J$15,Profit!$A$3:$M$10,Helper!$D$3+1,0)</f>
        <v>993054.96</v>
      </c>
      <c r="L17" s="7"/>
      <c r="M17" s="13" t="str">
        <f>Profit!$A$1</f>
        <v>Profit</v>
      </c>
      <c r="N17" s="14">
        <f>VLOOKUP(M$15,Profit!$A$3:$M$10,Helper!$D$3+1,0)</f>
        <v>1465589.0199999996</v>
      </c>
      <c r="O17" s="7"/>
      <c r="P17" s="13" t="str">
        <f>Profit!$A$1</f>
        <v>Profit</v>
      </c>
      <c r="Q17" s="14">
        <f>VLOOKUP(P$15,Profit!$A$3:$M$10,Helper!$D$3+1,0)</f>
        <v>897600.46</v>
      </c>
      <c r="R17" s="7"/>
      <c r="S17" s="13" t="str">
        <f>Profit!$A$1</f>
        <v>Profit</v>
      </c>
      <c r="T17" s="14">
        <f>VLOOKUP(S$15,Profit!$A$3:$M$10,Helper!$D$3+1,0)</f>
        <v>2500363.08</v>
      </c>
      <c r="U17" s="7"/>
      <c r="V17" s="13" t="str">
        <f>Profit!$A$1</f>
        <v>Profit</v>
      </c>
      <c r="W17" s="14">
        <f>VLOOKUP(V$15,Profit!$A$3:$M$10,Helper!$D$3+1,0)</f>
        <v>1085308.7999999998</v>
      </c>
    </row>
    <row r="18" spans="1:23" x14ac:dyDescent="0.25">
      <c r="A18" s="13" t="str">
        <f>Efficiency!$A$1</f>
        <v>Efficiency</v>
      </c>
      <c r="B18" s="13"/>
      <c r="C18" s="7"/>
      <c r="D18" s="13" t="str">
        <f>Efficiency!$A$1</f>
        <v>Efficiency</v>
      </c>
      <c r="E18" s="13"/>
      <c r="F18" s="7"/>
      <c r="G18" s="13" t="str">
        <f>Efficiency!$A$1</f>
        <v>Efficiency</v>
      </c>
      <c r="H18" s="13"/>
      <c r="I18" s="7"/>
      <c r="J18" s="13" t="str">
        <f>Efficiency!$A$1</f>
        <v>Efficiency</v>
      </c>
      <c r="K18" s="13"/>
      <c r="L18" s="7"/>
      <c r="M18" s="13" t="str">
        <f>Efficiency!$A$1</f>
        <v>Efficiency</v>
      </c>
      <c r="N18" s="13"/>
      <c r="O18" s="7"/>
      <c r="P18" s="13" t="str">
        <f>Efficiency!$A$1</f>
        <v>Efficiency</v>
      </c>
      <c r="Q18" s="13"/>
      <c r="R18" s="7"/>
      <c r="S18" s="13" t="str">
        <f>Efficiency!$A$1</f>
        <v>Efficiency</v>
      </c>
      <c r="T18" s="13"/>
      <c r="U18" s="7"/>
      <c r="V18" s="13" t="str">
        <f>Efficiency!$A$1</f>
        <v>Efficiency</v>
      </c>
      <c r="W18" s="13"/>
    </row>
    <row r="19" spans="1:23" ht="15" customHeight="1" x14ac:dyDescent="0.25">
      <c r="A19" s="15"/>
      <c r="B19" s="16"/>
      <c r="C19" s="8"/>
      <c r="D19" s="15"/>
      <c r="E19" s="16"/>
      <c r="F19" s="8"/>
      <c r="G19" s="15"/>
      <c r="H19" s="16"/>
      <c r="I19" s="8"/>
      <c r="J19" s="15"/>
      <c r="K19" s="16"/>
      <c r="L19" s="8"/>
      <c r="M19" s="15"/>
      <c r="N19" s="16"/>
      <c r="O19" s="8"/>
      <c r="P19" s="15"/>
      <c r="Q19" s="16"/>
      <c r="R19" s="8"/>
      <c r="S19" s="15"/>
      <c r="T19" s="16"/>
      <c r="U19" s="8"/>
      <c r="V19" s="15"/>
      <c r="W19" s="16"/>
    </row>
    <row r="20" spans="1:23" s="31" customFormat="1" ht="12" x14ac:dyDescent="0.2">
      <c r="A20" s="32" t="str">
        <f>'Turnover Rate'!$A$1</f>
        <v>Turnover Rate</v>
      </c>
      <c r="B20" s="30">
        <f>(VLOOKUP(A$15,'Turnover Rate'!$A$4:$M$11,Helper!$D$3+1,0)+VLOOKUP(A$15,'Turnover Rate'!$A$15:$M$22,Helper!$D$3+1,0))/2</f>
        <v>4.5000000000000005E-2</v>
      </c>
      <c r="C20" s="7"/>
      <c r="D20" s="32" t="str">
        <f>'Turnover Rate'!$A$1</f>
        <v>Turnover Rate</v>
      </c>
      <c r="E20" s="30">
        <f>(VLOOKUP(D$15,'Turnover Rate'!$A$4:$M$11,Helper!$D$3+1,0)+VLOOKUP(D$15,'Turnover Rate'!$A$15:$M$22,Helper!$D$3+1,0))/2</f>
        <v>0.04</v>
      </c>
      <c r="F20" s="7"/>
      <c r="G20" s="32" t="str">
        <f>'Turnover Rate'!$A$1</f>
        <v>Turnover Rate</v>
      </c>
      <c r="H20" s="30">
        <f>(VLOOKUP(G$15,'Turnover Rate'!$A$4:$M$11,Helper!$D$3+1,0)+VLOOKUP(G$15,'Turnover Rate'!$A$15:$M$22,Helper!$D$3+1,0))/2</f>
        <v>0.03</v>
      </c>
      <c r="I20" s="7"/>
      <c r="J20" s="32" t="str">
        <f>'Turnover Rate'!$A$1</f>
        <v>Turnover Rate</v>
      </c>
      <c r="K20" s="30">
        <f>(VLOOKUP(J$15,'Turnover Rate'!$A$4:$M$11,Helper!$D$3+1,0)+VLOOKUP(J$15,'Turnover Rate'!$A$15:$M$22,Helper!$D$3+1,0))/2</f>
        <v>0.05</v>
      </c>
      <c r="L20" s="7"/>
      <c r="M20" s="32" t="str">
        <f>'Turnover Rate'!$A$1</f>
        <v>Turnover Rate</v>
      </c>
      <c r="N20" s="30">
        <f>(VLOOKUP(M$15,'Turnover Rate'!$A$4:$M$11,Helper!$D$3+1,0)+VLOOKUP(M$15,'Turnover Rate'!$A$15:$M$22,Helper!$D$3+1,0))/2</f>
        <v>4.5000000000000005E-2</v>
      </c>
      <c r="O20" s="7"/>
      <c r="P20" s="32" t="str">
        <f>'Turnover Rate'!$A$1</f>
        <v>Turnover Rate</v>
      </c>
      <c r="Q20" s="30">
        <f>(VLOOKUP(P$15,'Turnover Rate'!$A$4:$M$11,Helper!$D$3+1,0)+VLOOKUP(P$15,'Turnover Rate'!$A$15:$M$22,Helper!$D$3+1,0))/2</f>
        <v>0.05</v>
      </c>
      <c r="R20" s="7"/>
      <c r="S20" s="32" t="str">
        <f>'Turnover Rate'!$A$1</f>
        <v>Turnover Rate</v>
      </c>
      <c r="T20" s="30">
        <f>(VLOOKUP(S$15,'Turnover Rate'!$A$4:$M$11,Helper!$D$3+1,0)+VLOOKUP(S$15,'Turnover Rate'!$A$15:$M$22,Helper!$D$3+1,0))/2</f>
        <v>4.4999999999999998E-2</v>
      </c>
      <c r="U20" s="7"/>
      <c r="V20" s="32" t="str">
        <f>'Turnover Rate'!$A$1</f>
        <v>Turnover Rate</v>
      </c>
      <c r="W20" s="30">
        <f>(VLOOKUP(V$15,'Turnover Rate'!$A$4:$M$11,Helper!$D$3+1,0)+VLOOKUP(V$15,'Turnover Rate'!$A$15:$M$22,Helper!$D$3+1,0))/2</f>
        <v>6.0000000000000005E-2</v>
      </c>
    </row>
    <row r="22" spans="1:23" x14ac:dyDescent="0.25">
      <c r="A22" s="10"/>
      <c r="B22" s="10"/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</row>
    <row r="23" spans="1:23" x14ac:dyDescent="0.25">
      <c r="A23" s="10"/>
      <c r="B23" s="10"/>
      <c r="D23" s="10"/>
      <c r="E23" s="10"/>
      <c r="G23" s="10"/>
      <c r="H23" s="10"/>
      <c r="J23" s="10"/>
      <c r="K23" s="10"/>
      <c r="M23" s="10"/>
      <c r="N23" s="10"/>
      <c r="P23" s="10"/>
      <c r="Q23" s="10"/>
      <c r="S23" s="10"/>
      <c r="T23" s="10"/>
      <c r="V23" s="10"/>
      <c r="W23" s="10"/>
    </row>
    <row r="24" spans="1:23" x14ac:dyDescent="0.25">
      <c r="A24" s="10"/>
      <c r="B24" s="10"/>
      <c r="D24" s="10"/>
      <c r="E24" s="10"/>
      <c r="G24" s="10"/>
      <c r="H24" s="10"/>
      <c r="J24" s="10"/>
      <c r="K24" s="10"/>
      <c r="M24" s="10"/>
      <c r="N24" s="10"/>
      <c r="P24" s="10"/>
      <c r="Q24" s="10"/>
      <c r="S24" s="10"/>
      <c r="T24" s="10"/>
      <c r="V24" s="10"/>
      <c r="W24" s="10"/>
    </row>
    <row r="25" spans="1:23" x14ac:dyDescent="0.25">
      <c r="A25" s="10"/>
      <c r="B25" s="10"/>
      <c r="D25" s="10"/>
      <c r="E25" s="10"/>
      <c r="G25" s="10"/>
      <c r="H25" s="10"/>
      <c r="J25" s="10"/>
      <c r="K25" s="10"/>
      <c r="M25" s="10"/>
      <c r="N25" s="10"/>
      <c r="P25" s="10"/>
      <c r="Q25" s="10"/>
      <c r="S25" s="10"/>
      <c r="T25" s="10"/>
      <c r="V25" s="10"/>
      <c r="W25" s="10"/>
    </row>
    <row r="26" spans="1:23" x14ac:dyDescent="0.25">
      <c r="A26" s="10"/>
      <c r="B26" s="10"/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</row>
    <row r="27" spans="1:23" x14ac:dyDescent="0.25">
      <c r="A27" s="10"/>
      <c r="B27" s="10"/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</row>
    <row r="28" spans="1:23" x14ac:dyDescent="0.25">
      <c r="A28" s="10"/>
      <c r="B28" s="10"/>
      <c r="D28" s="10"/>
      <c r="E28" s="10"/>
      <c r="G28" s="10"/>
      <c r="H28" s="10"/>
      <c r="J28" s="10"/>
      <c r="K28" s="10"/>
      <c r="M28" s="10"/>
      <c r="N28" s="10"/>
      <c r="P28" s="10"/>
      <c r="Q28" s="10"/>
      <c r="S28" s="10"/>
      <c r="T28" s="10"/>
      <c r="V28" s="10"/>
      <c r="W28" s="10"/>
    </row>
    <row r="29" spans="1:23" x14ac:dyDescent="0.25">
      <c r="A29" s="10"/>
      <c r="B29" s="10"/>
      <c r="D29" s="10"/>
      <c r="E29" s="10"/>
      <c r="G29" s="10"/>
      <c r="H29" s="10"/>
      <c r="J29" s="10"/>
      <c r="K29" s="10"/>
      <c r="M29" s="10"/>
      <c r="N29" s="10"/>
      <c r="P29" s="10"/>
      <c r="Q29" s="10"/>
      <c r="S29" s="10"/>
      <c r="T29" s="10"/>
      <c r="V29" s="10"/>
      <c r="W29" s="10"/>
    </row>
    <row r="30" spans="1:23" x14ac:dyDescent="0.25">
      <c r="A30" s="10"/>
      <c r="B30" s="10"/>
      <c r="D30" s="10"/>
      <c r="E30" s="10"/>
      <c r="G30" s="10"/>
      <c r="H30" s="10"/>
      <c r="J30" s="10"/>
      <c r="K30" s="10"/>
      <c r="M30" s="10"/>
      <c r="N30" s="10"/>
      <c r="P30" s="10"/>
      <c r="Q30" s="10"/>
      <c r="S30" s="10"/>
      <c r="T30" s="10"/>
      <c r="V30" s="10"/>
      <c r="W30" s="10"/>
    </row>
    <row r="31" spans="1:23" x14ac:dyDescent="0.25">
      <c r="A31" s="10"/>
      <c r="B31" s="10"/>
      <c r="D31" s="10"/>
      <c r="E31" s="10"/>
      <c r="G31" s="10"/>
      <c r="H31" s="10"/>
      <c r="J31" s="10"/>
      <c r="K31" s="10"/>
      <c r="M31" s="10"/>
      <c r="N31" s="10"/>
      <c r="P31" s="10"/>
      <c r="Q31" s="10"/>
      <c r="S31" s="10"/>
      <c r="T31" s="10"/>
      <c r="V31" s="10"/>
      <c r="W31" s="10"/>
    </row>
    <row r="32" spans="1:23" x14ac:dyDescent="0.25">
      <c r="A32" s="10"/>
      <c r="B32" s="10"/>
      <c r="D32" s="10"/>
      <c r="E32" s="10"/>
      <c r="G32" s="10"/>
      <c r="H32" s="10"/>
      <c r="J32" s="10"/>
      <c r="K32" s="10"/>
      <c r="M32" s="10"/>
      <c r="N32" s="10"/>
      <c r="P32" s="10"/>
      <c r="Q32" s="10"/>
      <c r="S32" s="10"/>
      <c r="T32" s="10"/>
      <c r="V32" s="10"/>
      <c r="W32" s="10"/>
    </row>
    <row r="33" spans="1:23" x14ac:dyDescent="0.25">
      <c r="A33" s="10"/>
      <c r="B33" s="10"/>
      <c r="D33" s="10"/>
      <c r="E33" s="10"/>
      <c r="G33" s="10"/>
      <c r="H33" s="10"/>
      <c r="J33" s="10"/>
      <c r="K33" s="10"/>
      <c r="M33" s="10"/>
      <c r="N33" s="10"/>
      <c r="P33" s="10"/>
      <c r="Q33" s="10"/>
      <c r="S33" s="10"/>
      <c r="T33" s="10"/>
      <c r="V33" s="10"/>
      <c r="W33" s="10"/>
    </row>
    <row r="34" spans="1:23" x14ac:dyDescent="0.25">
      <c r="A34" s="10"/>
      <c r="B34" s="10"/>
      <c r="D34" s="10"/>
      <c r="E34" s="10"/>
      <c r="G34" s="10"/>
      <c r="H34" s="10"/>
      <c r="J34" s="10"/>
      <c r="K34" s="10"/>
      <c r="M34" s="10"/>
      <c r="N34" s="10"/>
      <c r="P34" s="10"/>
      <c r="Q34" s="10"/>
      <c r="S34" s="10"/>
      <c r="T34" s="10"/>
      <c r="V34" s="10"/>
      <c r="W34" s="10"/>
    </row>
    <row r="35" spans="1:23" x14ac:dyDescent="0.25">
      <c r="A35" s="10"/>
      <c r="B35" s="10"/>
      <c r="D35" s="10"/>
      <c r="E35" s="10"/>
      <c r="G35" s="10"/>
      <c r="H35" s="10"/>
      <c r="J35" s="10"/>
      <c r="K35" s="10"/>
      <c r="M35" s="10"/>
      <c r="N35" s="10"/>
      <c r="P35" s="10"/>
      <c r="Q35" s="10"/>
      <c r="S35" s="10"/>
      <c r="T35" s="10"/>
      <c r="V35" s="10"/>
      <c r="W35" s="10"/>
    </row>
    <row r="36" spans="1:23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 spans="1:23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spans="1:23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23" t="s">
        <v>39</v>
      </c>
      <c r="Q38" s="23"/>
      <c r="R38" s="23"/>
      <c r="S38" s="23"/>
      <c r="T38" s="23"/>
      <c r="U38" s="22" t="s">
        <v>40</v>
      </c>
      <c r="V38" s="22"/>
      <c r="W38" s="22"/>
    </row>
    <row r="39" spans="1:23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</sheetData>
  <mergeCells count="19">
    <mergeCell ref="A15:B15"/>
    <mergeCell ref="D15:E15"/>
    <mergeCell ref="G15:H15"/>
    <mergeCell ref="J15:K15"/>
    <mergeCell ref="M15:N15"/>
    <mergeCell ref="D11:E11"/>
    <mergeCell ref="U38:W38"/>
    <mergeCell ref="P38:T38"/>
    <mergeCell ref="V2:W3"/>
    <mergeCell ref="S15:T15"/>
    <mergeCell ref="V15:W15"/>
    <mergeCell ref="V7:W7"/>
    <mergeCell ref="P15:Q15"/>
    <mergeCell ref="D2:T3"/>
    <mergeCell ref="D4:E4"/>
    <mergeCell ref="D5:E5"/>
    <mergeCell ref="D7:E7"/>
    <mergeCell ref="D8:E8"/>
    <mergeCell ref="D10:E10"/>
  </mergeCells>
  <hyperlinks>
    <hyperlink ref="U38:W38" r:id="rId1" display="beatexcel.com"/>
  </hyperlinks>
  <pageMargins left="0.7" right="0.7" top="0.75" bottom="0.75" header="0.3" footer="0.3"/>
  <pageSetup paperSize="9" scale="79" orientation="landscape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20</xdr:col>
                    <xdr:colOff>85725</xdr:colOff>
                    <xdr:row>1</xdr:row>
                    <xdr:rowOff>180975</xdr:rowOff>
                  </from>
                  <to>
                    <xdr:col>23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72"/>
  <sheetViews>
    <sheetView topLeftCell="A40" zoomScale="85" zoomScaleNormal="85" workbookViewId="0">
      <selection activeCell="N74" sqref="N74"/>
    </sheetView>
  </sheetViews>
  <sheetFormatPr defaultRowHeight="15" x14ac:dyDescent="0.25"/>
  <cols>
    <col min="3" max="4" width="11.28515625" bestFit="1" customWidth="1"/>
    <col min="5" max="14" width="11.28515625" customWidth="1"/>
  </cols>
  <sheetData>
    <row r="2" spans="2:4" x14ac:dyDescent="0.25">
      <c r="B2" s="2" t="s">
        <v>15</v>
      </c>
      <c r="C2" s="2" t="s">
        <v>16</v>
      </c>
      <c r="D2" t="s">
        <v>17</v>
      </c>
    </row>
    <row r="3" spans="2:4" x14ac:dyDescent="0.25">
      <c r="B3" t="s">
        <v>3</v>
      </c>
      <c r="C3">
        <v>1</v>
      </c>
      <c r="D3">
        <v>3</v>
      </c>
    </row>
    <row r="4" spans="2:4" x14ac:dyDescent="0.25">
      <c r="B4" t="s">
        <v>4</v>
      </c>
      <c r="C4">
        <v>2</v>
      </c>
    </row>
    <row r="5" spans="2:4" x14ac:dyDescent="0.25">
      <c r="B5" t="s">
        <v>5</v>
      </c>
      <c r="C5">
        <v>3</v>
      </c>
    </row>
    <row r="6" spans="2:4" x14ac:dyDescent="0.25">
      <c r="B6" t="s">
        <v>6</v>
      </c>
      <c r="C6">
        <v>4</v>
      </c>
    </row>
    <row r="7" spans="2:4" x14ac:dyDescent="0.25">
      <c r="B7" t="s">
        <v>7</v>
      </c>
      <c r="C7">
        <v>5</v>
      </c>
    </row>
    <row r="8" spans="2:4" x14ac:dyDescent="0.25">
      <c r="B8" t="s">
        <v>8</v>
      </c>
      <c r="C8">
        <v>6</v>
      </c>
    </row>
    <row r="9" spans="2:4" x14ac:dyDescent="0.25">
      <c r="B9" t="s">
        <v>9</v>
      </c>
      <c r="C9">
        <v>7</v>
      </c>
    </row>
    <row r="10" spans="2:4" x14ac:dyDescent="0.25">
      <c r="B10" t="s">
        <v>10</v>
      </c>
      <c r="C10">
        <v>8</v>
      </c>
    </row>
    <row r="11" spans="2:4" x14ac:dyDescent="0.25">
      <c r="B11" t="s">
        <v>11</v>
      </c>
      <c r="C11">
        <v>9</v>
      </c>
    </row>
    <row r="12" spans="2:4" x14ac:dyDescent="0.25">
      <c r="B12" t="s">
        <v>12</v>
      </c>
      <c r="C12">
        <v>10</v>
      </c>
    </row>
    <row r="13" spans="2:4" x14ac:dyDescent="0.25">
      <c r="B13" t="s">
        <v>13</v>
      </c>
      <c r="C13">
        <v>11</v>
      </c>
    </row>
    <row r="14" spans="2:4" x14ac:dyDescent="0.25">
      <c r="B14" t="s">
        <v>14</v>
      </c>
      <c r="C14">
        <v>12</v>
      </c>
    </row>
    <row r="17" spans="2:14" x14ac:dyDescent="0.25">
      <c r="B17" t="s">
        <v>0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>
        <v>7</v>
      </c>
      <c r="J17">
        <v>8</v>
      </c>
      <c r="K17">
        <v>9</v>
      </c>
      <c r="L17">
        <v>10</v>
      </c>
      <c r="M17">
        <v>11</v>
      </c>
      <c r="N17">
        <v>12</v>
      </c>
    </row>
    <row r="18" spans="2:14" x14ac:dyDescent="0.25">
      <c r="C18" t="s">
        <v>3</v>
      </c>
      <c r="D18" t="s">
        <v>4</v>
      </c>
      <c r="E18" t="s">
        <v>5</v>
      </c>
      <c r="F18" t="s">
        <v>6</v>
      </c>
      <c r="G18" t="s">
        <v>7</v>
      </c>
      <c r="H18" t="s">
        <v>8</v>
      </c>
      <c r="I18" t="s">
        <v>9</v>
      </c>
      <c r="J18" t="s">
        <v>10</v>
      </c>
      <c r="K18" t="s">
        <v>11</v>
      </c>
      <c r="L18" t="s">
        <v>12</v>
      </c>
      <c r="M18" t="s">
        <v>13</v>
      </c>
      <c r="N18" t="s">
        <v>14</v>
      </c>
    </row>
    <row r="19" spans="2:14" x14ac:dyDescent="0.25">
      <c r="B19" t="s">
        <v>26</v>
      </c>
      <c r="C19" s="3">
        <f>IF($D$3&gt;=C$17,Revenue!B3,NA())</f>
        <v>6593211</v>
      </c>
      <c r="D19" s="3">
        <f>IF($D$3&gt;=D$17,Revenue!C3,NA())</f>
        <v>6935122</v>
      </c>
      <c r="E19" s="3">
        <f>IF($D$3&gt;=E$17,Revenue!D3,NA())</f>
        <v>7055378</v>
      </c>
      <c r="F19" s="3" t="e">
        <f>IF($D$3&gt;=F$17,Revenue!E3,NA())</f>
        <v>#N/A</v>
      </c>
      <c r="G19" s="3" t="e">
        <f>IF($D$3&gt;=G$17,Revenue!F3,NA())</f>
        <v>#N/A</v>
      </c>
      <c r="H19" s="3" t="e">
        <f>IF($D$3&gt;=H$17,Revenue!G3,NA())</f>
        <v>#N/A</v>
      </c>
      <c r="I19" s="3" t="e">
        <f>IF($D$3&gt;=I$17,Revenue!H3,NA())</f>
        <v>#N/A</v>
      </c>
      <c r="J19" s="3" t="e">
        <f>IF($D$3&gt;=J$17,Revenue!I3,NA())</f>
        <v>#N/A</v>
      </c>
      <c r="K19" s="3" t="e">
        <f>IF($D$3&gt;=K$17,Revenue!J3,NA())</f>
        <v>#N/A</v>
      </c>
      <c r="L19" s="3" t="e">
        <f>IF($D$3&gt;=L$17,Revenue!K3,NA())</f>
        <v>#N/A</v>
      </c>
      <c r="M19" s="3" t="e">
        <f>IF($D$3&gt;=M$17,Revenue!L3,NA())</f>
        <v>#N/A</v>
      </c>
      <c r="N19" s="3" t="e">
        <f>IF($D$3&gt;=N$17,Revenue!M3,NA())</f>
        <v>#N/A</v>
      </c>
    </row>
    <row r="20" spans="2:14" x14ac:dyDescent="0.25">
      <c r="B20" t="s">
        <v>27</v>
      </c>
      <c r="C20" s="3">
        <f>IF($D$3&gt;=C$17,Revenue!B4,NA())</f>
        <v>9316128</v>
      </c>
      <c r="D20" s="3">
        <f>IF($D$3&gt;=D$17,Revenue!C4,NA())</f>
        <v>9786819</v>
      </c>
      <c r="E20" s="3">
        <f>IF($D$3&gt;=E$17,Revenue!D4,NA())</f>
        <v>11924387</v>
      </c>
      <c r="F20" s="3" t="e">
        <f>IF($D$3&gt;=F$17,Revenue!E4,NA())</f>
        <v>#N/A</v>
      </c>
      <c r="G20" s="3" t="e">
        <f>IF($D$3&gt;=G$17,Revenue!F4,NA())</f>
        <v>#N/A</v>
      </c>
      <c r="H20" s="3" t="e">
        <f>IF($D$3&gt;=H$17,Revenue!G4,NA())</f>
        <v>#N/A</v>
      </c>
      <c r="I20" s="3" t="e">
        <f>IF($D$3&gt;=I$17,Revenue!H4,NA())</f>
        <v>#N/A</v>
      </c>
      <c r="J20" s="3" t="e">
        <f>IF($D$3&gt;=J$17,Revenue!I4,NA())</f>
        <v>#N/A</v>
      </c>
      <c r="K20" s="3" t="e">
        <f>IF($D$3&gt;=K$17,Revenue!J4,NA())</f>
        <v>#N/A</v>
      </c>
      <c r="L20" s="3" t="e">
        <f>IF($D$3&gt;=L$17,Revenue!K4,NA())</f>
        <v>#N/A</v>
      </c>
      <c r="M20" s="3" t="e">
        <f>IF($D$3&gt;=M$17,Revenue!L4,NA())</f>
        <v>#N/A</v>
      </c>
      <c r="N20" s="3" t="e">
        <f>IF($D$3&gt;=N$17,Revenue!M4,NA())</f>
        <v>#N/A</v>
      </c>
    </row>
    <row r="21" spans="2:14" x14ac:dyDescent="0.25">
      <c r="B21" t="s">
        <v>28</v>
      </c>
      <c r="C21" s="3">
        <f>IF($D$3&gt;=C$17,Revenue!B5,NA())</f>
        <v>7244567</v>
      </c>
      <c r="D21" s="3">
        <f>IF($D$3&gt;=D$17,Revenue!C5,NA())</f>
        <v>6742213</v>
      </c>
      <c r="E21" s="3">
        <f>IF($D$3&gt;=E$17,Revenue!D5,NA())</f>
        <v>6649062</v>
      </c>
      <c r="F21" s="3" t="e">
        <f>IF($D$3&gt;=F$17,Revenue!E5,NA())</f>
        <v>#N/A</v>
      </c>
      <c r="G21" s="3" t="e">
        <f>IF($D$3&gt;=G$17,Revenue!F5,NA())</f>
        <v>#N/A</v>
      </c>
      <c r="H21" s="3" t="e">
        <f>IF($D$3&gt;=H$17,Revenue!G5,NA())</f>
        <v>#N/A</v>
      </c>
      <c r="I21" s="3" t="e">
        <f>IF($D$3&gt;=I$17,Revenue!H5,NA())</f>
        <v>#N/A</v>
      </c>
      <c r="J21" s="3" t="e">
        <f>IF($D$3&gt;=J$17,Revenue!I5,NA())</f>
        <v>#N/A</v>
      </c>
      <c r="K21" s="3" t="e">
        <f>IF($D$3&gt;=K$17,Revenue!J5,NA())</f>
        <v>#N/A</v>
      </c>
      <c r="L21" s="3" t="e">
        <f>IF($D$3&gt;=L$17,Revenue!K5,NA())</f>
        <v>#N/A</v>
      </c>
      <c r="M21" s="3" t="e">
        <f>IF($D$3&gt;=M$17,Revenue!L5,NA())</f>
        <v>#N/A</v>
      </c>
      <c r="N21" s="3" t="e">
        <f>IF($D$3&gt;=N$17,Revenue!M5,NA())</f>
        <v>#N/A</v>
      </c>
    </row>
    <row r="22" spans="2:14" x14ac:dyDescent="0.25">
      <c r="B22" t="s">
        <v>29</v>
      </c>
      <c r="C22" s="3">
        <f>IF($D$3&gt;=C$17,Revenue!B6,NA())</f>
        <v>9565516</v>
      </c>
      <c r="D22" s="3">
        <f>IF($D$3&gt;=D$17,Revenue!C6,NA())</f>
        <v>6587934</v>
      </c>
      <c r="E22" s="3">
        <f>IF($D$3&gt;=E$17,Revenue!D6,NA())</f>
        <v>8275458</v>
      </c>
      <c r="F22" s="3" t="e">
        <f>IF($D$3&gt;=F$17,Revenue!E6,NA())</f>
        <v>#N/A</v>
      </c>
      <c r="G22" s="3" t="e">
        <f>IF($D$3&gt;=G$17,Revenue!F6,NA())</f>
        <v>#N/A</v>
      </c>
      <c r="H22" s="3" t="e">
        <f>IF($D$3&gt;=H$17,Revenue!G6,NA())</f>
        <v>#N/A</v>
      </c>
      <c r="I22" s="3" t="e">
        <f>IF($D$3&gt;=I$17,Revenue!H6,NA())</f>
        <v>#N/A</v>
      </c>
      <c r="J22" s="3" t="e">
        <f>IF($D$3&gt;=J$17,Revenue!I6,NA())</f>
        <v>#N/A</v>
      </c>
      <c r="K22" s="3" t="e">
        <f>IF($D$3&gt;=K$17,Revenue!J6,NA())</f>
        <v>#N/A</v>
      </c>
      <c r="L22" s="3" t="e">
        <f>IF($D$3&gt;=L$17,Revenue!K6,NA())</f>
        <v>#N/A</v>
      </c>
      <c r="M22" s="3" t="e">
        <f>IF($D$3&gt;=M$17,Revenue!L6,NA())</f>
        <v>#N/A</v>
      </c>
      <c r="N22" s="3" t="e">
        <f>IF($D$3&gt;=N$17,Revenue!M6,NA())</f>
        <v>#N/A</v>
      </c>
    </row>
    <row r="23" spans="2:14" x14ac:dyDescent="0.25">
      <c r="B23" t="s">
        <v>30</v>
      </c>
      <c r="C23" s="3">
        <f>IF($D$3&gt;=C$17,Revenue!B7,NA())</f>
        <v>10437651</v>
      </c>
      <c r="D23" s="3">
        <f>IF($D$3&gt;=D$17,Revenue!C7,NA())</f>
        <v>10638402</v>
      </c>
      <c r="E23" s="3">
        <f>IF($D$3&gt;=E$17,Revenue!D7,NA())</f>
        <v>10468493</v>
      </c>
      <c r="F23" s="3" t="e">
        <f>IF($D$3&gt;=F$17,Revenue!E7,NA())</f>
        <v>#N/A</v>
      </c>
      <c r="G23" s="3" t="e">
        <f>IF($D$3&gt;=G$17,Revenue!F7,NA())</f>
        <v>#N/A</v>
      </c>
      <c r="H23" s="3" t="e">
        <f>IF($D$3&gt;=H$17,Revenue!G7,NA())</f>
        <v>#N/A</v>
      </c>
      <c r="I23" s="3" t="e">
        <f>IF($D$3&gt;=I$17,Revenue!H7,NA())</f>
        <v>#N/A</v>
      </c>
      <c r="J23" s="3" t="e">
        <f>IF($D$3&gt;=J$17,Revenue!I7,NA())</f>
        <v>#N/A</v>
      </c>
      <c r="K23" s="3" t="e">
        <f>IF($D$3&gt;=K$17,Revenue!J7,NA())</f>
        <v>#N/A</v>
      </c>
      <c r="L23" s="3" t="e">
        <f>IF($D$3&gt;=L$17,Revenue!K7,NA())</f>
        <v>#N/A</v>
      </c>
      <c r="M23" s="3" t="e">
        <f>IF($D$3&gt;=M$17,Revenue!L7,NA())</f>
        <v>#N/A</v>
      </c>
      <c r="N23" s="3" t="e">
        <f>IF($D$3&gt;=N$17,Revenue!M7,NA())</f>
        <v>#N/A</v>
      </c>
    </row>
    <row r="24" spans="2:14" x14ac:dyDescent="0.25">
      <c r="B24" t="s">
        <v>31</v>
      </c>
      <c r="C24" s="3">
        <f>IF($D$3&gt;=C$17,Revenue!B8,NA())</f>
        <v>2997660</v>
      </c>
      <c r="D24" s="3">
        <f>IF($D$3&gt;=D$17,Revenue!C8,NA())</f>
        <v>3912924</v>
      </c>
      <c r="E24" s="3">
        <f>IF($D$3&gt;=E$17,Revenue!D8,NA())</f>
        <v>3095174</v>
      </c>
      <c r="F24" s="3" t="e">
        <f>IF($D$3&gt;=F$17,Revenue!E8,NA())</f>
        <v>#N/A</v>
      </c>
      <c r="G24" s="3" t="e">
        <f>IF($D$3&gt;=G$17,Revenue!F8,NA())</f>
        <v>#N/A</v>
      </c>
      <c r="H24" s="3" t="e">
        <f>IF($D$3&gt;=H$17,Revenue!G8,NA())</f>
        <v>#N/A</v>
      </c>
      <c r="I24" s="3" t="e">
        <f>IF($D$3&gt;=I$17,Revenue!H8,NA())</f>
        <v>#N/A</v>
      </c>
      <c r="J24" s="3" t="e">
        <f>IF($D$3&gt;=J$17,Revenue!I8,NA())</f>
        <v>#N/A</v>
      </c>
      <c r="K24" s="3" t="e">
        <f>IF($D$3&gt;=K$17,Revenue!J8,NA())</f>
        <v>#N/A</v>
      </c>
      <c r="L24" s="3" t="e">
        <f>IF($D$3&gt;=L$17,Revenue!K8,NA())</f>
        <v>#N/A</v>
      </c>
      <c r="M24" s="3" t="e">
        <f>IF($D$3&gt;=M$17,Revenue!L8,NA())</f>
        <v>#N/A</v>
      </c>
      <c r="N24" s="3" t="e">
        <f>IF($D$3&gt;=N$17,Revenue!M8,NA())</f>
        <v>#N/A</v>
      </c>
    </row>
    <row r="25" spans="2:14" x14ac:dyDescent="0.25">
      <c r="B25" t="s">
        <v>32</v>
      </c>
      <c r="C25" s="3">
        <f>IF($D$3&gt;=C$17,Revenue!B9,NA())</f>
        <v>9721094</v>
      </c>
      <c r="D25" s="3">
        <f>IF($D$3&gt;=D$17,Revenue!C9,NA())</f>
        <v>8338257</v>
      </c>
      <c r="E25" s="3">
        <f>IF($D$3&gt;=E$17,Revenue!D9,NA())</f>
        <v>9260604</v>
      </c>
      <c r="F25" s="3" t="e">
        <f>IF($D$3&gt;=F$17,Revenue!E9,NA())</f>
        <v>#N/A</v>
      </c>
      <c r="G25" s="3" t="e">
        <f>IF($D$3&gt;=G$17,Revenue!F9,NA())</f>
        <v>#N/A</v>
      </c>
      <c r="H25" s="3" t="e">
        <f>IF($D$3&gt;=H$17,Revenue!G9,NA())</f>
        <v>#N/A</v>
      </c>
      <c r="I25" s="3" t="e">
        <f>IF($D$3&gt;=I$17,Revenue!H9,NA())</f>
        <v>#N/A</v>
      </c>
      <c r="J25" s="3" t="e">
        <f>IF($D$3&gt;=J$17,Revenue!I9,NA())</f>
        <v>#N/A</v>
      </c>
      <c r="K25" s="3" t="e">
        <f>IF($D$3&gt;=K$17,Revenue!J9,NA())</f>
        <v>#N/A</v>
      </c>
      <c r="L25" s="3" t="e">
        <f>IF($D$3&gt;=L$17,Revenue!K9,NA())</f>
        <v>#N/A</v>
      </c>
      <c r="M25" s="3" t="e">
        <f>IF($D$3&gt;=M$17,Revenue!L9,NA())</f>
        <v>#N/A</v>
      </c>
      <c r="N25" s="3" t="e">
        <f>IF($D$3&gt;=N$17,Revenue!M9,NA())</f>
        <v>#N/A</v>
      </c>
    </row>
    <row r="26" spans="2:14" x14ac:dyDescent="0.25">
      <c r="B26" t="s">
        <v>33</v>
      </c>
      <c r="C26" s="3">
        <f>IF($D$3&gt;=C$17,Revenue!B10,NA())</f>
        <v>6056704</v>
      </c>
      <c r="D26" s="3">
        <f>IF($D$3&gt;=D$17,Revenue!C10,NA())</f>
        <v>5849845</v>
      </c>
      <c r="E26" s="3">
        <f>IF($D$3&gt;=E$17,Revenue!D10,NA())</f>
        <v>5426544</v>
      </c>
      <c r="F26" s="3" t="e">
        <f>IF($D$3&gt;=F$17,Revenue!E10,NA())</f>
        <v>#N/A</v>
      </c>
      <c r="G26" s="3" t="e">
        <f>IF($D$3&gt;=G$17,Revenue!F10,NA())</f>
        <v>#N/A</v>
      </c>
      <c r="H26" s="3" t="e">
        <f>IF($D$3&gt;=H$17,Revenue!G10,NA())</f>
        <v>#N/A</v>
      </c>
      <c r="I26" s="3" t="e">
        <f>IF($D$3&gt;=I$17,Revenue!H10,NA())</f>
        <v>#N/A</v>
      </c>
      <c r="J26" s="3" t="e">
        <f>IF($D$3&gt;=J$17,Revenue!I10,NA())</f>
        <v>#N/A</v>
      </c>
      <c r="K26" s="3" t="e">
        <f>IF($D$3&gt;=K$17,Revenue!J10,NA())</f>
        <v>#N/A</v>
      </c>
      <c r="L26" s="3" t="e">
        <f>IF($D$3&gt;=L$17,Revenue!K10,NA())</f>
        <v>#N/A</v>
      </c>
      <c r="M26" s="3" t="e">
        <f>IF($D$3&gt;=M$17,Revenue!L10,NA())</f>
        <v>#N/A</v>
      </c>
      <c r="N26" s="3" t="e">
        <f>IF($D$3&gt;=N$17,Revenue!M10,NA())</f>
        <v>#N/A</v>
      </c>
    </row>
    <row r="27" spans="2:14" x14ac:dyDescent="0.25">
      <c r="B27" s="2" t="s">
        <v>20</v>
      </c>
      <c r="C27" s="1">
        <f>SUM(C19:C26)</f>
        <v>61932531</v>
      </c>
      <c r="D27" s="1">
        <f t="shared" ref="D27:N27" si="0">SUM(D19:D26)</f>
        <v>58791516</v>
      </c>
      <c r="E27" s="1">
        <f t="shared" si="0"/>
        <v>62155100</v>
      </c>
      <c r="F27" s="1" t="e">
        <f t="shared" si="0"/>
        <v>#N/A</v>
      </c>
      <c r="G27" s="1" t="e">
        <f t="shared" si="0"/>
        <v>#N/A</v>
      </c>
      <c r="H27" s="1" t="e">
        <f t="shared" si="0"/>
        <v>#N/A</v>
      </c>
      <c r="I27" s="1" t="e">
        <f t="shared" si="0"/>
        <v>#N/A</v>
      </c>
      <c r="J27" s="1" t="e">
        <f t="shared" si="0"/>
        <v>#N/A</v>
      </c>
      <c r="K27" s="1" t="e">
        <f t="shared" si="0"/>
        <v>#N/A</v>
      </c>
      <c r="L27" s="1" t="e">
        <f t="shared" si="0"/>
        <v>#N/A</v>
      </c>
      <c r="M27" s="1" t="e">
        <f t="shared" si="0"/>
        <v>#N/A</v>
      </c>
      <c r="N27" s="1" t="e">
        <f t="shared" si="0"/>
        <v>#N/A</v>
      </c>
    </row>
    <row r="29" spans="2:14" x14ac:dyDescent="0.25">
      <c r="B29" t="s">
        <v>1</v>
      </c>
      <c r="C29">
        <v>1</v>
      </c>
      <c r="D29">
        <v>2</v>
      </c>
      <c r="E29">
        <v>3</v>
      </c>
      <c r="F29">
        <v>4</v>
      </c>
      <c r="G29">
        <v>5</v>
      </c>
      <c r="H29">
        <v>6</v>
      </c>
      <c r="I29">
        <v>7</v>
      </c>
      <c r="J29">
        <v>8</v>
      </c>
      <c r="K29">
        <v>9</v>
      </c>
      <c r="L29">
        <v>10</v>
      </c>
      <c r="M29">
        <v>11</v>
      </c>
      <c r="N29">
        <v>12</v>
      </c>
    </row>
    <row r="30" spans="2:14" x14ac:dyDescent="0.25">
      <c r="C30" t="s">
        <v>3</v>
      </c>
      <c r="D30" t="s">
        <v>4</v>
      </c>
      <c r="E30" t="s">
        <v>5</v>
      </c>
      <c r="F30" t="s">
        <v>6</v>
      </c>
      <c r="G30" t="s">
        <v>7</v>
      </c>
      <c r="H30" t="s">
        <v>8</v>
      </c>
      <c r="I30" t="s">
        <v>9</v>
      </c>
      <c r="J30" t="s">
        <v>10</v>
      </c>
      <c r="K30" t="s">
        <v>11</v>
      </c>
      <c r="L30" t="s">
        <v>12</v>
      </c>
      <c r="M30" t="s">
        <v>13</v>
      </c>
      <c r="N30" t="s">
        <v>14</v>
      </c>
    </row>
    <row r="31" spans="2:14" x14ac:dyDescent="0.25">
      <c r="B31" t="s">
        <v>26</v>
      </c>
      <c r="C31" s="3">
        <f>IF($D$3&gt;=C$17,Profit!B3,NA())</f>
        <v>725253.21</v>
      </c>
      <c r="D31" s="3">
        <f>IF($D$3&gt;=D$17,Profit!C3,NA())</f>
        <v>1317673.1799999997</v>
      </c>
      <c r="E31" s="3">
        <f>IF($D$3&gt;=E$17,Profit!D3,NA())</f>
        <v>1058306.7000000002</v>
      </c>
      <c r="F31" s="3" t="e">
        <f>IF($D$3&gt;=F$17,Profit!E3,NA())</f>
        <v>#N/A</v>
      </c>
      <c r="G31" s="3" t="e">
        <f>IF($D$3&gt;=G$17,Profit!F3,NA())</f>
        <v>#N/A</v>
      </c>
      <c r="H31" s="3" t="e">
        <f>IF($D$3&gt;=H$17,Profit!G3,NA())</f>
        <v>#N/A</v>
      </c>
      <c r="I31" s="3" t="e">
        <f>IF($D$3&gt;=I$17,Profit!H3,NA())</f>
        <v>#N/A</v>
      </c>
      <c r="J31" s="3" t="e">
        <f>IF($D$3&gt;=J$17,Profit!I3,NA())</f>
        <v>#N/A</v>
      </c>
      <c r="K31" s="3" t="e">
        <f>IF($D$3&gt;=K$17,Profit!J3,NA())</f>
        <v>#N/A</v>
      </c>
      <c r="L31" s="3" t="e">
        <f>IF($D$3&gt;=L$17,Profit!K3,NA())</f>
        <v>#N/A</v>
      </c>
      <c r="M31" s="3" t="e">
        <f>IF($D$3&gt;=M$17,Profit!L3,NA())</f>
        <v>#N/A</v>
      </c>
      <c r="N31" s="3" t="e">
        <f>IF($D$3&gt;=N$17,Profit!M3,NA())</f>
        <v>#N/A</v>
      </c>
    </row>
    <row r="32" spans="2:14" x14ac:dyDescent="0.25">
      <c r="B32" t="s">
        <v>27</v>
      </c>
      <c r="C32" s="3">
        <f>IF($D$3&gt;=C$17,Profit!B4,NA())</f>
        <v>1956386.88</v>
      </c>
      <c r="D32" s="3">
        <f>IF($D$3&gt;=D$17,Profit!C4,NA())</f>
        <v>1859495.6099999994</v>
      </c>
      <c r="E32" s="3">
        <f>IF($D$3&gt;=E$17,Profit!D4,NA())</f>
        <v>1788658.0500000007</v>
      </c>
      <c r="F32" s="3" t="e">
        <f>IF($D$3&gt;=F$17,Profit!E4,NA())</f>
        <v>#N/A</v>
      </c>
      <c r="G32" s="3" t="e">
        <f>IF($D$3&gt;=G$17,Profit!F4,NA())</f>
        <v>#N/A</v>
      </c>
      <c r="H32" s="3" t="e">
        <f>IF($D$3&gt;=H$17,Profit!G4,NA())</f>
        <v>#N/A</v>
      </c>
      <c r="I32" s="3" t="e">
        <f>IF($D$3&gt;=I$17,Profit!H4,NA())</f>
        <v>#N/A</v>
      </c>
      <c r="J32" s="3" t="e">
        <f>IF($D$3&gt;=J$17,Profit!I4,NA())</f>
        <v>#N/A</v>
      </c>
      <c r="K32" s="3" t="e">
        <f>IF($D$3&gt;=K$17,Profit!J4,NA())</f>
        <v>#N/A</v>
      </c>
      <c r="L32" s="3" t="e">
        <f>IF($D$3&gt;=L$17,Profit!K4,NA())</f>
        <v>#N/A</v>
      </c>
      <c r="M32" s="3" t="e">
        <f>IF($D$3&gt;=M$17,Profit!L4,NA())</f>
        <v>#N/A</v>
      </c>
      <c r="N32" s="3" t="e">
        <f>IF($D$3&gt;=N$17,Profit!M4,NA())</f>
        <v>#N/A</v>
      </c>
    </row>
    <row r="33" spans="2:17" x14ac:dyDescent="0.25">
      <c r="B33" t="s">
        <v>28</v>
      </c>
      <c r="C33" s="3">
        <f>IF($D$3&gt;=C$17,Profit!B5,NA())</f>
        <v>1304022.0600000005</v>
      </c>
      <c r="D33" s="3">
        <f>IF($D$3&gt;=D$17,Profit!C5,NA())</f>
        <v>1820397.5099999998</v>
      </c>
      <c r="E33" s="3">
        <f>IF($D$3&gt;=E$17,Profit!D5,NA())</f>
        <v>930868.6799999997</v>
      </c>
      <c r="F33" s="3" t="e">
        <f>IF($D$3&gt;=F$17,Profit!E5,NA())</f>
        <v>#N/A</v>
      </c>
      <c r="G33" s="3" t="e">
        <f>IF($D$3&gt;=G$17,Profit!F5,NA())</f>
        <v>#N/A</v>
      </c>
      <c r="H33" s="3" t="e">
        <f>IF($D$3&gt;=H$17,Profit!G5,NA())</f>
        <v>#N/A</v>
      </c>
      <c r="I33" s="3" t="e">
        <f>IF($D$3&gt;=I$17,Profit!H5,NA())</f>
        <v>#N/A</v>
      </c>
      <c r="J33" s="3" t="e">
        <f>IF($D$3&gt;=J$17,Profit!I5,NA())</f>
        <v>#N/A</v>
      </c>
      <c r="K33" s="3" t="e">
        <f>IF($D$3&gt;=K$17,Profit!J5,NA())</f>
        <v>#N/A</v>
      </c>
      <c r="L33" s="3" t="e">
        <f>IF($D$3&gt;=L$17,Profit!K5,NA())</f>
        <v>#N/A</v>
      </c>
      <c r="M33" s="3" t="e">
        <f>IF($D$3&gt;=M$17,Profit!L5,NA())</f>
        <v>#N/A</v>
      </c>
      <c r="N33" s="3" t="e">
        <f>IF($D$3&gt;=N$17,Profit!M5,NA())</f>
        <v>#N/A</v>
      </c>
    </row>
    <row r="34" spans="2:17" x14ac:dyDescent="0.25">
      <c r="B34" t="s">
        <v>29</v>
      </c>
      <c r="C34" s="3">
        <f>IF($D$3&gt;=C$17,Profit!B6,NA())</f>
        <v>1339172.2400000002</v>
      </c>
      <c r="D34" s="3">
        <f>IF($D$3&gt;=D$17,Profit!C6,NA())</f>
        <v>1844621.5200000005</v>
      </c>
      <c r="E34" s="3">
        <f>IF($D$3&gt;=E$17,Profit!D6,NA())</f>
        <v>993054.96</v>
      </c>
      <c r="F34" s="3" t="e">
        <f>IF($D$3&gt;=F$17,Profit!E6,NA())</f>
        <v>#N/A</v>
      </c>
      <c r="G34" s="3" t="e">
        <f>IF($D$3&gt;=G$17,Profit!F6,NA())</f>
        <v>#N/A</v>
      </c>
      <c r="H34" s="3" t="e">
        <f>IF($D$3&gt;=H$17,Profit!G6,NA())</f>
        <v>#N/A</v>
      </c>
      <c r="I34" s="3" t="e">
        <f>IF($D$3&gt;=I$17,Profit!H6,NA())</f>
        <v>#N/A</v>
      </c>
      <c r="J34" s="3" t="e">
        <f>IF($D$3&gt;=J$17,Profit!I6,NA())</f>
        <v>#N/A</v>
      </c>
      <c r="K34" s="3" t="e">
        <f>IF($D$3&gt;=K$17,Profit!J6,NA())</f>
        <v>#N/A</v>
      </c>
      <c r="L34" s="3" t="e">
        <f>IF($D$3&gt;=L$17,Profit!K6,NA())</f>
        <v>#N/A</v>
      </c>
      <c r="M34" s="3" t="e">
        <f>IF($D$3&gt;=M$17,Profit!L6,NA())</f>
        <v>#N/A</v>
      </c>
      <c r="N34" s="3" t="e">
        <f>IF($D$3&gt;=N$17,Profit!M6,NA())</f>
        <v>#N/A</v>
      </c>
    </row>
    <row r="35" spans="2:17" x14ac:dyDescent="0.25">
      <c r="B35" t="s">
        <v>30</v>
      </c>
      <c r="C35" s="3">
        <f>IF($D$3&gt;=C$17,Profit!B7,NA())</f>
        <v>2818165.7700000005</v>
      </c>
      <c r="D35" s="3">
        <f>IF($D$3&gt;=D$17,Profit!C7,NA())</f>
        <v>3191520.6000000006</v>
      </c>
      <c r="E35" s="3">
        <f>IF($D$3&gt;=E$17,Profit!D7,NA())</f>
        <v>1465589.0199999996</v>
      </c>
      <c r="F35" s="3" t="e">
        <f>IF($D$3&gt;=F$17,Profit!E7,NA())</f>
        <v>#N/A</v>
      </c>
      <c r="G35" s="3" t="e">
        <f>IF($D$3&gt;=G$17,Profit!F7,NA())</f>
        <v>#N/A</v>
      </c>
      <c r="H35" s="3" t="e">
        <f>IF($D$3&gt;=H$17,Profit!G7,NA())</f>
        <v>#N/A</v>
      </c>
      <c r="I35" s="3" t="e">
        <f>IF($D$3&gt;=I$17,Profit!H7,NA())</f>
        <v>#N/A</v>
      </c>
      <c r="J35" s="3" t="e">
        <f>IF($D$3&gt;=J$17,Profit!I7,NA())</f>
        <v>#N/A</v>
      </c>
      <c r="K35" s="3" t="e">
        <f>IF($D$3&gt;=K$17,Profit!J7,NA())</f>
        <v>#N/A</v>
      </c>
      <c r="L35" s="3" t="e">
        <f>IF($D$3&gt;=L$17,Profit!K7,NA())</f>
        <v>#N/A</v>
      </c>
      <c r="M35" s="3" t="e">
        <f>IF($D$3&gt;=M$17,Profit!L7,NA())</f>
        <v>#N/A</v>
      </c>
      <c r="N35" s="3" t="e">
        <f>IF($D$3&gt;=N$17,Profit!M7,NA())</f>
        <v>#N/A</v>
      </c>
    </row>
    <row r="36" spans="2:17" x14ac:dyDescent="0.25">
      <c r="B36" t="s">
        <v>31</v>
      </c>
      <c r="C36" s="3">
        <f>IF($D$3&gt;=C$17,Profit!B8,NA())</f>
        <v>779391.60000000009</v>
      </c>
      <c r="D36" s="3">
        <f>IF($D$3&gt;=D$17,Profit!C8,NA())</f>
        <v>586938.60000000009</v>
      </c>
      <c r="E36" s="3">
        <f>IF($D$3&gt;=E$17,Profit!D8,NA())</f>
        <v>897600.46</v>
      </c>
      <c r="F36" s="3" t="e">
        <f>IF($D$3&gt;=F$17,Profit!E8,NA())</f>
        <v>#N/A</v>
      </c>
      <c r="G36" s="3" t="e">
        <f>IF($D$3&gt;=G$17,Profit!F8,NA())</f>
        <v>#N/A</v>
      </c>
      <c r="H36" s="3" t="e">
        <f>IF($D$3&gt;=H$17,Profit!G8,NA())</f>
        <v>#N/A</v>
      </c>
      <c r="I36" s="3" t="e">
        <f>IF($D$3&gt;=I$17,Profit!H8,NA())</f>
        <v>#N/A</v>
      </c>
      <c r="J36" s="3" t="e">
        <f>IF($D$3&gt;=J$17,Profit!I8,NA())</f>
        <v>#N/A</v>
      </c>
      <c r="K36" s="3" t="e">
        <f>IF($D$3&gt;=K$17,Profit!J8,NA())</f>
        <v>#N/A</v>
      </c>
      <c r="L36" s="3" t="e">
        <f>IF($D$3&gt;=L$17,Profit!K8,NA())</f>
        <v>#N/A</v>
      </c>
      <c r="M36" s="3" t="e">
        <f>IF($D$3&gt;=M$17,Profit!L8,NA())</f>
        <v>#N/A</v>
      </c>
      <c r="N36" s="3" t="e">
        <f>IF($D$3&gt;=N$17,Profit!M8,NA())</f>
        <v>#N/A</v>
      </c>
    </row>
    <row r="37" spans="2:17" x14ac:dyDescent="0.25">
      <c r="B37" t="s">
        <v>32</v>
      </c>
      <c r="C37" s="3">
        <f>IF($D$3&gt;=C$17,Profit!B9,NA())</f>
        <v>2527484.4400000004</v>
      </c>
      <c r="D37" s="3">
        <f>IF($D$3&gt;=D$17,Profit!C9,NA())</f>
        <v>2334711.96</v>
      </c>
      <c r="E37" s="3">
        <f>IF($D$3&gt;=E$17,Profit!D9,NA())</f>
        <v>2500363.08</v>
      </c>
      <c r="F37" s="3" t="e">
        <f>IF($D$3&gt;=F$17,Profit!E9,NA())</f>
        <v>#N/A</v>
      </c>
      <c r="G37" s="3" t="e">
        <f>IF($D$3&gt;=G$17,Profit!F9,NA())</f>
        <v>#N/A</v>
      </c>
      <c r="H37" s="3" t="e">
        <f>IF($D$3&gt;=H$17,Profit!G9,NA())</f>
        <v>#N/A</v>
      </c>
      <c r="I37" s="3" t="e">
        <f>IF($D$3&gt;=I$17,Profit!H9,NA())</f>
        <v>#N/A</v>
      </c>
      <c r="J37" s="3" t="e">
        <f>IF($D$3&gt;=J$17,Profit!I9,NA())</f>
        <v>#N/A</v>
      </c>
      <c r="K37" s="3" t="e">
        <f>IF($D$3&gt;=K$17,Profit!J9,NA())</f>
        <v>#N/A</v>
      </c>
      <c r="L37" s="3" t="e">
        <f>IF($D$3&gt;=L$17,Profit!K9,NA())</f>
        <v>#N/A</v>
      </c>
      <c r="M37" s="3" t="e">
        <f>IF($D$3&gt;=M$17,Profit!L9,NA())</f>
        <v>#N/A</v>
      </c>
      <c r="N37" s="3" t="e">
        <f>IF($D$3&gt;=N$17,Profit!M9,NA())</f>
        <v>#N/A</v>
      </c>
    </row>
    <row r="38" spans="2:17" x14ac:dyDescent="0.25">
      <c r="B38" t="s">
        <v>33</v>
      </c>
      <c r="C38" s="3">
        <f>IF($D$3&gt;=C$17,Profit!B10,NA())</f>
        <v>1211340.7999999998</v>
      </c>
      <c r="D38" s="3">
        <f>IF($D$3&gt;=D$17,Profit!C10,NA())</f>
        <v>994473.65000000037</v>
      </c>
      <c r="E38" s="3">
        <f>IF($D$3&gt;=E$17,Profit!D10,NA())</f>
        <v>1085308.7999999998</v>
      </c>
      <c r="F38" s="3" t="e">
        <f>IF($D$3&gt;=F$17,Profit!E10,NA())</f>
        <v>#N/A</v>
      </c>
      <c r="G38" s="3" t="e">
        <f>IF($D$3&gt;=G$17,Profit!F10,NA())</f>
        <v>#N/A</v>
      </c>
      <c r="H38" s="3" t="e">
        <f>IF($D$3&gt;=H$17,Profit!G10,NA())</f>
        <v>#N/A</v>
      </c>
      <c r="I38" s="3" t="e">
        <f>IF($D$3&gt;=I$17,Profit!H10,NA())</f>
        <v>#N/A</v>
      </c>
      <c r="J38" s="3" t="e">
        <f>IF($D$3&gt;=J$17,Profit!I10,NA())</f>
        <v>#N/A</v>
      </c>
      <c r="K38" s="3" t="e">
        <f>IF($D$3&gt;=K$17,Profit!J10,NA())</f>
        <v>#N/A</v>
      </c>
      <c r="L38" s="3" t="e">
        <f>IF($D$3&gt;=L$17,Profit!K10,NA())</f>
        <v>#N/A</v>
      </c>
      <c r="M38" s="3" t="e">
        <f>IF($D$3&gt;=M$17,Profit!L10,NA())</f>
        <v>#N/A</v>
      </c>
      <c r="N38" s="3" t="e">
        <f>IF($D$3&gt;=N$17,Profit!M10,NA())</f>
        <v>#N/A</v>
      </c>
    </row>
    <row r="39" spans="2:17" x14ac:dyDescent="0.25">
      <c r="B39" s="2" t="s">
        <v>20</v>
      </c>
      <c r="C39" s="1">
        <f>SUM(C31:C38)</f>
        <v>12661217.000000004</v>
      </c>
      <c r="D39" s="1">
        <f t="shared" ref="D39" si="1">SUM(D31:D38)</f>
        <v>13949832.630000001</v>
      </c>
      <c r="E39" s="1">
        <f t="shared" ref="E39" si="2">SUM(E31:E38)</f>
        <v>10719749.75</v>
      </c>
      <c r="F39" s="1" t="e">
        <f t="shared" ref="F39" si="3">SUM(F31:F38)</f>
        <v>#N/A</v>
      </c>
      <c r="G39" s="1" t="e">
        <f t="shared" ref="G39" si="4">SUM(G31:G38)</f>
        <v>#N/A</v>
      </c>
      <c r="H39" s="1" t="e">
        <f t="shared" ref="H39" si="5">SUM(H31:H38)</f>
        <v>#N/A</v>
      </c>
      <c r="I39" s="1" t="e">
        <f t="shared" ref="I39" si="6">SUM(I31:I38)</f>
        <v>#N/A</v>
      </c>
      <c r="J39" s="1" t="e">
        <f t="shared" ref="J39" si="7">SUM(J31:J38)</f>
        <v>#N/A</v>
      </c>
      <c r="K39" s="1" t="e">
        <f t="shared" ref="K39" si="8">SUM(K31:K38)</f>
        <v>#N/A</v>
      </c>
      <c r="L39" s="1" t="e">
        <f t="shared" ref="L39" si="9">SUM(L31:L38)</f>
        <v>#N/A</v>
      </c>
      <c r="M39" s="1" t="e">
        <f t="shared" ref="M39" si="10">SUM(M31:M38)</f>
        <v>#N/A</v>
      </c>
      <c r="N39" s="1" t="e">
        <f t="shared" ref="N39" si="11">SUM(N31:N38)</f>
        <v>#N/A</v>
      </c>
    </row>
    <row r="41" spans="2:17" x14ac:dyDescent="0.25">
      <c r="B41" t="s">
        <v>2</v>
      </c>
      <c r="P41" t="s">
        <v>18</v>
      </c>
    </row>
    <row r="42" spans="2:17" x14ac:dyDescent="0.25">
      <c r="C42" t="s">
        <v>3</v>
      </c>
      <c r="D42" t="s">
        <v>4</v>
      </c>
      <c r="E42" t="s">
        <v>5</v>
      </c>
      <c r="F42" t="s">
        <v>6</v>
      </c>
      <c r="G42" t="s">
        <v>7</v>
      </c>
      <c r="H42" t="s">
        <v>8</v>
      </c>
      <c r="I42" t="s">
        <v>9</v>
      </c>
      <c r="J42" t="s">
        <v>10</v>
      </c>
      <c r="K42" t="s">
        <v>11</v>
      </c>
      <c r="L42" t="s">
        <v>12</v>
      </c>
      <c r="M42" t="s">
        <v>13</v>
      </c>
      <c r="N42" t="s">
        <v>14</v>
      </c>
      <c r="P42" t="s">
        <v>19</v>
      </c>
      <c r="Q42" t="s">
        <v>20</v>
      </c>
    </row>
    <row r="43" spans="2:17" x14ac:dyDescent="0.25">
      <c r="B43" t="s">
        <v>26</v>
      </c>
      <c r="C43" s="5">
        <f>IF($D$3&gt;=C$17,Efficiency!B3,NA())</f>
        <v>0.75</v>
      </c>
      <c r="D43" s="5">
        <f>IF($D$3&gt;=D$17,Efficiency!C3,NA())</f>
        <v>0.78</v>
      </c>
      <c r="E43" s="5">
        <f>IF($D$3&gt;=E$17,Efficiency!D3,NA())</f>
        <v>0.67</v>
      </c>
      <c r="F43" s="5" t="e">
        <f>IF($D$3&gt;=F$17,Efficiency!E3,NA())</f>
        <v>#N/A</v>
      </c>
      <c r="G43" s="5" t="e">
        <f>IF($D$3&gt;=G$17,Efficiency!F3,NA())</f>
        <v>#N/A</v>
      </c>
      <c r="H43" s="5" t="e">
        <f>IF($D$3&gt;=H$17,Efficiency!G3,NA())</f>
        <v>#N/A</v>
      </c>
      <c r="I43" s="5" t="e">
        <f>IF($D$3&gt;=I$17,Efficiency!H3,NA())</f>
        <v>#N/A</v>
      </c>
      <c r="J43" s="5" t="e">
        <f>IF($D$3&gt;=J$17,Efficiency!I3,NA())</f>
        <v>#N/A</v>
      </c>
      <c r="K43" s="5" t="e">
        <f>IF($D$3&gt;=K$17,Efficiency!J3,NA())</f>
        <v>#N/A</v>
      </c>
      <c r="L43" s="5" t="e">
        <f>IF($D$3&gt;=L$17,Efficiency!K3,NA())</f>
        <v>#N/A</v>
      </c>
      <c r="M43" s="5" t="e">
        <f>IF($D$3&gt;=M$17,Efficiency!L3,NA())</f>
        <v>#N/A</v>
      </c>
      <c r="N43" s="5" t="e">
        <f>IF($D$3&gt;=N$17,Efficiency!M3,NA())</f>
        <v>#N/A</v>
      </c>
      <c r="P43" s="6">
        <f>CHOOSE($D$3,C43,D43,E43,F43,G43,H43,I43,J43,K43,L43,M43,N43)</f>
        <v>0.67</v>
      </c>
      <c r="Q43" s="6">
        <v>1</v>
      </c>
    </row>
    <row r="44" spans="2:17" x14ac:dyDescent="0.25">
      <c r="B44" t="s">
        <v>27</v>
      </c>
      <c r="C44" s="5">
        <f>IF($D$3&gt;=C$17,Efficiency!B4,NA())</f>
        <v>0.98</v>
      </c>
      <c r="D44" s="5">
        <f>IF($D$3&gt;=D$17,Efficiency!C4,NA())</f>
        <v>0.78</v>
      </c>
      <c r="E44" s="5">
        <f>IF($D$3&gt;=E$17,Efficiency!D4,NA())</f>
        <v>0.81</v>
      </c>
      <c r="F44" s="5" t="e">
        <f>IF($D$3&gt;=F$17,Efficiency!E4,NA())</f>
        <v>#N/A</v>
      </c>
      <c r="G44" s="5" t="e">
        <f>IF($D$3&gt;=G$17,Efficiency!F4,NA())</f>
        <v>#N/A</v>
      </c>
      <c r="H44" s="5" t="e">
        <f>IF($D$3&gt;=H$17,Efficiency!G4,NA())</f>
        <v>#N/A</v>
      </c>
      <c r="I44" s="5" t="e">
        <f>IF($D$3&gt;=I$17,Efficiency!H4,NA())</f>
        <v>#N/A</v>
      </c>
      <c r="J44" s="5" t="e">
        <f>IF($D$3&gt;=J$17,Efficiency!I4,NA())</f>
        <v>#N/A</v>
      </c>
      <c r="K44" s="5" t="e">
        <f>IF($D$3&gt;=K$17,Efficiency!J4,NA())</f>
        <v>#N/A</v>
      </c>
      <c r="L44" s="5" t="e">
        <f>IF($D$3&gt;=L$17,Efficiency!K4,NA())</f>
        <v>#N/A</v>
      </c>
      <c r="M44" s="5" t="e">
        <f>IF($D$3&gt;=M$17,Efficiency!L4,NA())</f>
        <v>#N/A</v>
      </c>
      <c r="N44" s="5" t="e">
        <f>IF($D$3&gt;=N$17,Efficiency!M4,NA())</f>
        <v>#N/A</v>
      </c>
      <c r="P44" s="6">
        <f t="shared" ref="P44:P50" si="12">CHOOSE($D$3,C44,D44,E44,F44,G44,H44,I44,J44,K44,L44,M44,N44)</f>
        <v>0.81</v>
      </c>
      <c r="Q44" s="6">
        <v>1</v>
      </c>
    </row>
    <row r="45" spans="2:17" x14ac:dyDescent="0.25">
      <c r="B45" t="s">
        <v>28</v>
      </c>
      <c r="C45" s="5">
        <f>IF($D$3&gt;=C$17,Efficiency!B5,NA())</f>
        <v>0.8</v>
      </c>
      <c r="D45" s="5">
        <f>IF($D$3&gt;=D$17,Efficiency!C5,NA())</f>
        <v>0.79</v>
      </c>
      <c r="E45" s="5">
        <f>IF($D$3&gt;=E$17,Efficiency!D5,NA())</f>
        <v>0.71</v>
      </c>
      <c r="F45" s="5" t="e">
        <f>IF($D$3&gt;=F$17,Efficiency!E5,NA())</f>
        <v>#N/A</v>
      </c>
      <c r="G45" s="5" t="e">
        <f>IF($D$3&gt;=G$17,Efficiency!F5,NA())</f>
        <v>#N/A</v>
      </c>
      <c r="H45" s="5" t="e">
        <f>IF($D$3&gt;=H$17,Efficiency!G5,NA())</f>
        <v>#N/A</v>
      </c>
      <c r="I45" s="5" t="e">
        <f>IF($D$3&gt;=I$17,Efficiency!H5,NA())</f>
        <v>#N/A</v>
      </c>
      <c r="J45" s="5" t="e">
        <f>IF($D$3&gt;=J$17,Efficiency!I5,NA())</f>
        <v>#N/A</v>
      </c>
      <c r="K45" s="5" t="e">
        <f>IF($D$3&gt;=K$17,Efficiency!J5,NA())</f>
        <v>#N/A</v>
      </c>
      <c r="L45" s="5" t="e">
        <f>IF($D$3&gt;=L$17,Efficiency!K5,NA())</f>
        <v>#N/A</v>
      </c>
      <c r="M45" s="5" t="e">
        <f>IF($D$3&gt;=M$17,Efficiency!L5,NA())</f>
        <v>#N/A</v>
      </c>
      <c r="N45" s="5" t="e">
        <f>IF($D$3&gt;=N$17,Efficiency!M5,NA())</f>
        <v>#N/A</v>
      </c>
      <c r="P45" s="6">
        <f t="shared" si="12"/>
        <v>0.71</v>
      </c>
      <c r="Q45" s="6">
        <v>1</v>
      </c>
    </row>
    <row r="46" spans="2:17" x14ac:dyDescent="0.25">
      <c r="B46" t="s">
        <v>29</v>
      </c>
      <c r="C46" s="5">
        <f>IF($D$3&gt;=C$17,Efficiency!B6,NA())</f>
        <v>0.77</v>
      </c>
      <c r="D46" s="5">
        <f>IF($D$3&gt;=D$17,Efficiency!C6,NA())</f>
        <v>0.84</v>
      </c>
      <c r="E46" s="5">
        <f>IF($D$3&gt;=E$17,Efficiency!D6,NA())</f>
        <v>0.69</v>
      </c>
      <c r="F46" s="5" t="e">
        <f>IF($D$3&gt;=F$17,Efficiency!E6,NA())</f>
        <v>#N/A</v>
      </c>
      <c r="G46" s="5" t="e">
        <f>IF($D$3&gt;=G$17,Efficiency!F6,NA())</f>
        <v>#N/A</v>
      </c>
      <c r="H46" s="5" t="e">
        <f>IF($D$3&gt;=H$17,Efficiency!G6,NA())</f>
        <v>#N/A</v>
      </c>
      <c r="I46" s="5" t="e">
        <f>IF($D$3&gt;=I$17,Efficiency!H6,NA())</f>
        <v>#N/A</v>
      </c>
      <c r="J46" s="5" t="e">
        <f>IF($D$3&gt;=J$17,Efficiency!I6,NA())</f>
        <v>#N/A</v>
      </c>
      <c r="K46" s="5" t="e">
        <f>IF($D$3&gt;=K$17,Efficiency!J6,NA())</f>
        <v>#N/A</v>
      </c>
      <c r="L46" s="5" t="e">
        <f>IF($D$3&gt;=L$17,Efficiency!K6,NA())</f>
        <v>#N/A</v>
      </c>
      <c r="M46" s="5" t="e">
        <f>IF($D$3&gt;=M$17,Efficiency!L6,NA())</f>
        <v>#N/A</v>
      </c>
      <c r="N46" s="5" t="e">
        <f>IF($D$3&gt;=N$17,Efficiency!M6,NA())</f>
        <v>#N/A</v>
      </c>
      <c r="P46" s="6">
        <f t="shared" si="12"/>
        <v>0.69</v>
      </c>
      <c r="Q46" s="6">
        <v>1</v>
      </c>
    </row>
    <row r="47" spans="2:17" x14ac:dyDescent="0.25">
      <c r="B47" t="s">
        <v>30</v>
      </c>
      <c r="C47" s="5">
        <f>IF($D$3&gt;=C$17,Efficiency!B7,NA())</f>
        <v>0.71</v>
      </c>
      <c r="D47" s="5">
        <f>IF($D$3&gt;=D$17,Efficiency!C7,NA())</f>
        <v>0.83</v>
      </c>
      <c r="E47" s="5">
        <f>IF($D$3&gt;=E$17,Efficiency!D7,NA())</f>
        <v>0.74</v>
      </c>
      <c r="F47" s="5" t="e">
        <f>IF($D$3&gt;=F$17,Efficiency!E7,NA())</f>
        <v>#N/A</v>
      </c>
      <c r="G47" s="5" t="e">
        <f>IF($D$3&gt;=G$17,Efficiency!F7,NA())</f>
        <v>#N/A</v>
      </c>
      <c r="H47" s="5" t="e">
        <f>IF($D$3&gt;=H$17,Efficiency!G7,NA())</f>
        <v>#N/A</v>
      </c>
      <c r="I47" s="5" t="e">
        <f>IF($D$3&gt;=I$17,Efficiency!H7,NA())</f>
        <v>#N/A</v>
      </c>
      <c r="J47" s="5" t="e">
        <f>IF($D$3&gt;=J$17,Efficiency!I7,NA())</f>
        <v>#N/A</v>
      </c>
      <c r="K47" s="5" t="e">
        <f>IF($D$3&gt;=K$17,Efficiency!J7,NA())</f>
        <v>#N/A</v>
      </c>
      <c r="L47" s="5" t="e">
        <f>IF($D$3&gt;=L$17,Efficiency!K7,NA())</f>
        <v>#N/A</v>
      </c>
      <c r="M47" s="5" t="e">
        <f>IF($D$3&gt;=M$17,Efficiency!L7,NA())</f>
        <v>#N/A</v>
      </c>
      <c r="N47" s="5" t="e">
        <f>IF($D$3&gt;=N$17,Efficiency!M7,NA())</f>
        <v>#N/A</v>
      </c>
      <c r="P47" s="6">
        <f t="shared" si="12"/>
        <v>0.74</v>
      </c>
      <c r="Q47" s="6">
        <v>1</v>
      </c>
    </row>
    <row r="48" spans="2:17" x14ac:dyDescent="0.25">
      <c r="B48" t="s">
        <v>31</v>
      </c>
      <c r="C48" s="5">
        <f>IF($D$3&gt;=C$17,Efficiency!B8,NA())</f>
        <v>0.67</v>
      </c>
      <c r="D48" s="5">
        <f>IF($D$3&gt;=D$17,Efficiency!C8,NA())</f>
        <v>0.9</v>
      </c>
      <c r="E48" s="5">
        <f>IF($D$3&gt;=E$17,Efficiency!D8,NA())</f>
        <v>0.93</v>
      </c>
      <c r="F48" s="5" t="e">
        <f>IF($D$3&gt;=F$17,Efficiency!E8,NA())</f>
        <v>#N/A</v>
      </c>
      <c r="G48" s="5" t="e">
        <f>IF($D$3&gt;=G$17,Efficiency!F8,NA())</f>
        <v>#N/A</v>
      </c>
      <c r="H48" s="5" t="e">
        <f>IF($D$3&gt;=H$17,Efficiency!G8,NA())</f>
        <v>#N/A</v>
      </c>
      <c r="I48" s="5" t="e">
        <f>IF($D$3&gt;=I$17,Efficiency!H8,NA())</f>
        <v>#N/A</v>
      </c>
      <c r="J48" s="5" t="e">
        <f>IF($D$3&gt;=J$17,Efficiency!I8,NA())</f>
        <v>#N/A</v>
      </c>
      <c r="K48" s="5" t="e">
        <f>IF($D$3&gt;=K$17,Efficiency!J8,NA())</f>
        <v>#N/A</v>
      </c>
      <c r="L48" s="5" t="e">
        <f>IF($D$3&gt;=L$17,Efficiency!K8,NA())</f>
        <v>#N/A</v>
      </c>
      <c r="M48" s="5" t="e">
        <f>IF($D$3&gt;=M$17,Efficiency!L8,NA())</f>
        <v>#N/A</v>
      </c>
      <c r="N48" s="5" t="e">
        <f>IF($D$3&gt;=N$17,Efficiency!M8,NA())</f>
        <v>#N/A</v>
      </c>
      <c r="P48" s="6">
        <f t="shared" si="12"/>
        <v>0.93</v>
      </c>
      <c r="Q48" s="6">
        <v>1</v>
      </c>
    </row>
    <row r="49" spans="2:17" x14ac:dyDescent="0.25">
      <c r="B49" t="s">
        <v>32</v>
      </c>
      <c r="C49" s="5">
        <f>IF($D$3&gt;=C$17,Efficiency!B9,NA())</f>
        <v>0.64</v>
      </c>
      <c r="D49" s="5">
        <f>IF($D$3&gt;=D$17,Efficiency!C9,NA())</f>
        <v>0.89</v>
      </c>
      <c r="E49" s="5">
        <f>IF($D$3&gt;=E$17,Efficiency!D9,NA())</f>
        <v>0.65</v>
      </c>
      <c r="F49" s="5" t="e">
        <f>IF($D$3&gt;=F$17,Efficiency!E9,NA())</f>
        <v>#N/A</v>
      </c>
      <c r="G49" s="5" t="e">
        <f>IF($D$3&gt;=G$17,Efficiency!F9,NA())</f>
        <v>#N/A</v>
      </c>
      <c r="H49" s="5" t="e">
        <f>IF($D$3&gt;=H$17,Efficiency!G9,NA())</f>
        <v>#N/A</v>
      </c>
      <c r="I49" s="5" t="e">
        <f>IF($D$3&gt;=I$17,Efficiency!H9,NA())</f>
        <v>#N/A</v>
      </c>
      <c r="J49" s="5" t="e">
        <f>IF($D$3&gt;=J$17,Efficiency!I9,NA())</f>
        <v>#N/A</v>
      </c>
      <c r="K49" s="5" t="e">
        <f>IF($D$3&gt;=K$17,Efficiency!J9,NA())</f>
        <v>#N/A</v>
      </c>
      <c r="L49" s="5" t="e">
        <f>IF($D$3&gt;=L$17,Efficiency!K9,NA())</f>
        <v>#N/A</v>
      </c>
      <c r="M49" s="5" t="e">
        <f>IF($D$3&gt;=M$17,Efficiency!L9,NA())</f>
        <v>#N/A</v>
      </c>
      <c r="N49" s="5" t="e">
        <f>IF($D$3&gt;=N$17,Efficiency!M9,NA())</f>
        <v>#N/A</v>
      </c>
      <c r="P49" s="6">
        <f t="shared" si="12"/>
        <v>0.65</v>
      </c>
      <c r="Q49" s="6">
        <v>1</v>
      </c>
    </row>
    <row r="50" spans="2:17" x14ac:dyDescent="0.25">
      <c r="B50" t="s">
        <v>33</v>
      </c>
      <c r="C50" s="5">
        <f>IF($D$3&gt;=C$17,Efficiency!B10,NA())</f>
        <v>0.64</v>
      </c>
      <c r="D50" s="5">
        <f>IF($D$3&gt;=D$17,Efficiency!C10,NA())</f>
        <v>0.82</v>
      </c>
      <c r="E50" s="5">
        <f>IF($D$3&gt;=E$17,Efficiency!D10,NA())</f>
        <v>0.85</v>
      </c>
      <c r="F50" s="5" t="e">
        <f>IF($D$3&gt;=F$17,Efficiency!E10,NA())</f>
        <v>#N/A</v>
      </c>
      <c r="G50" s="5" t="e">
        <f>IF($D$3&gt;=G$17,Efficiency!F10,NA())</f>
        <v>#N/A</v>
      </c>
      <c r="H50" s="5" t="e">
        <f>IF($D$3&gt;=H$17,Efficiency!G10,NA())</f>
        <v>#N/A</v>
      </c>
      <c r="I50" s="5" t="e">
        <f>IF($D$3&gt;=I$17,Efficiency!H10,NA())</f>
        <v>#N/A</v>
      </c>
      <c r="J50" s="5" t="e">
        <f>IF($D$3&gt;=J$17,Efficiency!I10,NA())</f>
        <v>#N/A</v>
      </c>
      <c r="K50" s="5" t="e">
        <f>IF($D$3&gt;=K$17,Efficiency!J10,NA())</f>
        <v>#N/A</v>
      </c>
      <c r="L50" s="5" t="e">
        <f>IF($D$3&gt;=L$17,Efficiency!K10,NA())</f>
        <v>#N/A</v>
      </c>
      <c r="M50" s="5" t="e">
        <f>IF($D$3&gt;=M$17,Efficiency!L10,NA())</f>
        <v>#N/A</v>
      </c>
      <c r="N50" s="5" t="e">
        <f>IF($D$3&gt;=N$17,Efficiency!M10,NA())</f>
        <v>#N/A</v>
      </c>
      <c r="P50" s="6">
        <f t="shared" si="12"/>
        <v>0.85</v>
      </c>
      <c r="Q50" s="6">
        <v>1</v>
      </c>
    </row>
    <row r="51" spans="2:17" x14ac:dyDescent="0.25">
      <c r="B51" t="s">
        <v>25</v>
      </c>
      <c r="C51" s="4">
        <f>AVERAGE(C43:C50)</f>
        <v>0.74499999999999988</v>
      </c>
      <c r="D51" s="4">
        <f t="shared" ref="D51:N51" si="13">AVERAGE(D43:D50)</f>
        <v>0.82874999999999999</v>
      </c>
      <c r="E51" s="4">
        <f t="shared" si="13"/>
        <v>0.75624999999999998</v>
      </c>
      <c r="F51" s="4" t="e">
        <f t="shared" si="13"/>
        <v>#N/A</v>
      </c>
      <c r="G51" s="4" t="e">
        <f t="shared" si="13"/>
        <v>#N/A</v>
      </c>
      <c r="H51" s="4" t="e">
        <f t="shared" si="13"/>
        <v>#N/A</v>
      </c>
      <c r="I51" s="4" t="e">
        <f t="shared" si="13"/>
        <v>#N/A</v>
      </c>
      <c r="J51" s="4" t="e">
        <f t="shared" si="13"/>
        <v>#N/A</v>
      </c>
      <c r="K51" s="4" t="e">
        <f t="shared" si="13"/>
        <v>#N/A</v>
      </c>
      <c r="L51" s="4" t="e">
        <f t="shared" si="13"/>
        <v>#N/A</v>
      </c>
      <c r="M51" s="4" t="e">
        <f t="shared" si="13"/>
        <v>#N/A</v>
      </c>
      <c r="N51" s="4" t="e">
        <f t="shared" si="13"/>
        <v>#N/A</v>
      </c>
    </row>
    <row r="53" spans="2:17" x14ac:dyDescent="0.25">
      <c r="B53" t="s">
        <v>21</v>
      </c>
    </row>
    <row r="54" spans="2:17" x14ac:dyDescent="0.25"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L54" t="s">
        <v>12</v>
      </c>
      <c r="M54" t="s">
        <v>13</v>
      </c>
      <c r="N54" t="s">
        <v>14</v>
      </c>
    </row>
    <row r="55" spans="2:17" x14ac:dyDescent="0.25">
      <c r="B55" t="s">
        <v>26</v>
      </c>
      <c r="C55" s="6">
        <f>IF($D$3&gt;=C$17,'Turnover Rate'!B4,NA())</f>
        <v>0.03</v>
      </c>
      <c r="D55" s="6">
        <f>IF($D$3&gt;=D$17,'Turnover Rate'!C4,NA())</f>
        <v>0.05</v>
      </c>
      <c r="E55" s="6">
        <f>IF($D$3&gt;=E$17,'Turnover Rate'!D4,NA())</f>
        <v>0.02</v>
      </c>
      <c r="F55" s="6" t="e">
        <f>IF($D$3&gt;=F$17,'Turnover Rate'!E4,NA())</f>
        <v>#N/A</v>
      </c>
      <c r="G55" s="6" t="e">
        <f>IF($D$3&gt;=G$17,'Turnover Rate'!F4,NA())</f>
        <v>#N/A</v>
      </c>
      <c r="H55" s="6" t="e">
        <f>IF($D$3&gt;=H$17,'Turnover Rate'!G4,NA())</f>
        <v>#N/A</v>
      </c>
      <c r="I55" s="6" t="e">
        <f>IF($D$3&gt;=I$17,'Turnover Rate'!H4,NA())</f>
        <v>#N/A</v>
      </c>
      <c r="J55" s="6" t="e">
        <f>IF($D$3&gt;=J$17,'Turnover Rate'!I4,NA())</f>
        <v>#N/A</v>
      </c>
      <c r="K55" s="6" t="e">
        <f>IF($D$3&gt;=K$17,'Turnover Rate'!J4,NA())</f>
        <v>#N/A</v>
      </c>
      <c r="L55" s="6" t="e">
        <f>IF($D$3&gt;=L$17,'Turnover Rate'!K4,NA())</f>
        <v>#N/A</v>
      </c>
      <c r="M55" s="6" t="e">
        <f>IF($D$3&gt;=M$17,'Turnover Rate'!L4,NA())</f>
        <v>#N/A</v>
      </c>
      <c r="N55" s="6" t="e">
        <f>IF($D$3&gt;=N$17,'Turnover Rate'!M4,NA())</f>
        <v>#N/A</v>
      </c>
    </row>
    <row r="56" spans="2:17" x14ac:dyDescent="0.25">
      <c r="B56" t="s">
        <v>26</v>
      </c>
      <c r="C56" s="6">
        <f>IF($D$3&gt;=C$17,'Turnover Rate'!B15,NA())*-1</f>
        <v>-0.06</v>
      </c>
      <c r="D56" s="6">
        <f>IF($D$3&gt;=D$17,'Turnover Rate'!C15,NA())*-1</f>
        <v>-0.03</v>
      </c>
      <c r="E56" s="6">
        <f>IF($D$3&gt;=E$17,'Turnover Rate'!D15,NA())*-1</f>
        <v>-7.0000000000000007E-2</v>
      </c>
      <c r="F56" s="6" t="e">
        <f>IF($D$3&gt;=F$17,'Turnover Rate'!E15,NA())*-1</f>
        <v>#N/A</v>
      </c>
      <c r="G56" s="6" t="e">
        <f>IF($D$3&gt;=G$17,'Turnover Rate'!F15,NA())*-1</f>
        <v>#N/A</v>
      </c>
      <c r="H56" s="6" t="e">
        <f>IF($D$3&gt;=H$17,'Turnover Rate'!G15,NA())*-1</f>
        <v>#N/A</v>
      </c>
      <c r="I56" s="6" t="e">
        <f>IF($D$3&gt;=I$17,'Turnover Rate'!H15,NA())*-1</f>
        <v>#N/A</v>
      </c>
      <c r="J56" s="6" t="e">
        <f>IF($D$3&gt;=J$17,'Turnover Rate'!I15,NA())*-1</f>
        <v>#N/A</v>
      </c>
      <c r="K56" s="6" t="e">
        <f>IF($D$3&gt;=K$17,'Turnover Rate'!J15,NA())*-1</f>
        <v>#N/A</v>
      </c>
      <c r="L56" s="6" t="e">
        <f>IF($D$3&gt;=L$17,'Turnover Rate'!K15,NA())*-1</f>
        <v>#N/A</v>
      </c>
      <c r="M56" s="6" t="e">
        <f>IF($D$3&gt;=M$17,'Turnover Rate'!L15,NA())*-1</f>
        <v>#N/A</v>
      </c>
      <c r="N56" s="6" t="e">
        <f>IF($D$3&gt;=N$17,'Turnover Rate'!M15,NA())*-1</f>
        <v>#N/A</v>
      </c>
    </row>
    <row r="57" spans="2:17" x14ac:dyDescent="0.25">
      <c r="B57" t="s">
        <v>27</v>
      </c>
      <c r="C57" s="6">
        <f>IF($D$3&gt;=C$17,'Turnover Rate'!B5,NA())</f>
        <v>0.03</v>
      </c>
      <c r="D57" s="6">
        <f>IF($D$3&gt;=D$17,'Turnover Rate'!C5,NA())</f>
        <v>0.04</v>
      </c>
      <c r="E57" s="6">
        <f>IF($D$3&gt;=E$17,'Turnover Rate'!D5,NA())</f>
        <v>0.04</v>
      </c>
      <c r="F57" s="6" t="e">
        <f>IF($D$3&gt;=F$17,'Turnover Rate'!E5,NA())</f>
        <v>#N/A</v>
      </c>
      <c r="G57" s="6" t="e">
        <f>IF($D$3&gt;=G$17,'Turnover Rate'!F5,NA())</f>
        <v>#N/A</v>
      </c>
      <c r="H57" s="6" t="e">
        <f>IF($D$3&gt;=H$17,'Turnover Rate'!G5,NA())</f>
        <v>#N/A</v>
      </c>
      <c r="I57" s="6" t="e">
        <f>IF($D$3&gt;=I$17,'Turnover Rate'!H5,NA())</f>
        <v>#N/A</v>
      </c>
      <c r="J57" s="6" t="e">
        <f>IF($D$3&gt;=J$17,'Turnover Rate'!I5,NA())</f>
        <v>#N/A</v>
      </c>
      <c r="K57" s="6" t="e">
        <f>IF($D$3&gt;=K$17,'Turnover Rate'!J5,NA())</f>
        <v>#N/A</v>
      </c>
      <c r="L57" s="6" t="e">
        <f>IF($D$3&gt;=L$17,'Turnover Rate'!K5,NA())</f>
        <v>#N/A</v>
      </c>
      <c r="M57" s="6" t="e">
        <f>IF($D$3&gt;=M$17,'Turnover Rate'!L5,NA())</f>
        <v>#N/A</v>
      </c>
      <c r="N57" s="6" t="e">
        <f>IF($D$3&gt;=N$17,'Turnover Rate'!M5,NA())</f>
        <v>#N/A</v>
      </c>
    </row>
    <row r="58" spans="2:17" x14ac:dyDescent="0.25">
      <c r="B58" t="s">
        <v>27</v>
      </c>
      <c r="C58" s="6">
        <f>IF($D$3&gt;=C$17,'Turnover Rate'!B16,NA())*-1</f>
        <v>-7.0000000000000007E-2</v>
      </c>
      <c r="D58" s="6">
        <f>IF($D$3&gt;=D$17,'Turnover Rate'!C16,NA())*-1</f>
        <v>-0.06</v>
      </c>
      <c r="E58" s="6">
        <f>IF($D$3&gt;=E$17,'Turnover Rate'!D16,NA())*-1</f>
        <v>-0.04</v>
      </c>
      <c r="F58" s="6" t="e">
        <f>IF($D$3&gt;=F$17,'Turnover Rate'!E16,NA())*-1</f>
        <v>#N/A</v>
      </c>
      <c r="G58" s="6" t="e">
        <f>IF($D$3&gt;=G$17,'Turnover Rate'!F16,NA())*-1</f>
        <v>#N/A</v>
      </c>
      <c r="H58" s="6" t="e">
        <f>IF($D$3&gt;=H$17,'Turnover Rate'!G16,NA())*-1</f>
        <v>#N/A</v>
      </c>
      <c r="I58" s="6" t="e">
        <f>IF($D$3&gt;=I$17,'Turnover Rate'!H16,NA())*-1</f>
        <v>#N/A</v>
      </c>
      <c r="J58" s="6" t="e">
        <f>IF($D$3&gt;=J$17,'Turnover Rate'!I16,NA())*-1</f>
        <v>#N/A</v>
      </c>
      <c r="K58" s="6" t="e">
        <f>IF($D$3&gt;=K$17,'Turnover Rate'!J16,NA())*-1</f>
        <v>#N/A</v>
      </c>
      <c r="L58" s="6" t="e">
        <f>IF($D$3&gt;=L$17,'Turnover Rate'!K16,NA())*-1</f>
        <v>#N/A</v>
      </c>
      <c r="M58" s="6" t="e">
        <f>IF($D$3&gt;=M$17,'Turnover Rate'!L16,NA())*-1</f>
        <v>#N/A</v>
      </c>
      <c r="N58" s="6" t="e">
        <f>IF($D$3&gt;=N$17,'Turnover Rate'!M16,NA())*-1</f>
        <v>#N/A</v>
      </c>
    </row>
    <row r="59" spans="2:17" x14ac:dyDescent="0.25">
      <c r="B59" t="s">
        <v>28</v>
      </c>
      <c r="C59" s="6">
        <f>IF($D$3&gt;=C$17,'Turnover Rate'!B6,NA())</f>
        <v>0.03</v>
      </c>
      <c r="D59" s="6">
        <f>IF($D$3&gt;=D$17,'Turnover Rate'!C6,NA())</f>
        <v>0.02</v>
      </c>
      <c r="E59" s="6">
        <f>IF($D$3&gt;=E$17,'Turnover Rate'!D6,NA())</f>
        <v>0.03</v>
      </c>
      <c r="F59" s="6" t="e">
        <f>IF($D$3&gt;=F$17,'Turnover Rate'!E6,NA())</f>
        <v>#N/A</v>
      </c>
      <c r="G59" s="6" t="e">
        <f>IF($D$3&gt;=G$17,'Turnover Rate'!F6,NA())</f>
        <v>#N/A</v>
      </c>
      <c r="H59" s="6" t="e">
        <f>IF($D$3&gt;=H$17,'Turnover Rate'!G6,NA())</f>
        <v>#N/A</v>
      </c>
      <c r="I59" s="6" t="e">
        <f>IF($D$3&gt;=I$17,'Turnover Rate'!H6,NA())</f>
        <v>#N/A</v>
      </c>
      <c r="J59" s="6" t="e">
        <f>IF($D$3&gt;=J$17,'Turnover Rate'!I6,NA())</f>
        <v>#N/A</v>
      </c>
      <c r="K59" s="6" t="e">
        <f>IF($D$3&gt;=K$17,'Turnover Rate'!J6,NA())</f>
        <v>#N/A</v>
      </c>
      <c r="L59" s="6" t="e">
        <f>IF($D$3&gt;=L$17,'Turnover Rate'!K6,NA())</f>
        <v>#N/A</v>
      </c>
      <c r="M59" s="6" t="e">
        <f>IF($D$3&gt;=M$17,'Turnover Rate'!L6,NA())</f>
        <v>#N/A</v>
      </c>
      <c r="N59" s="6" t="e">
        <f>IF($D$3&gt;=N$17,'Turnover Rate'!M6,NA())</f>
        <v>#N/A</v>
      </c>
    </row>
    <row r="60" spans="2:17" x14ac:dyDescent="0.25">
      <c r="B60" t="s">
        <v>28</v>
      </c>
      <c r="C60" s="6">
        <f>IF($D$3&gt;=C$17,'Turnover Rate'!B17,NA())*-1</f>
        <v>-7.0000000000000007E-2</v>
      </c>
      <c r="D60" s="6">
        <f>IF($D$3&gt;=D$17,'Turnover Rate'!C17,NA())*-1</f>
        <v>-0.06</v>
      </c>
      <c r="E60" s="6">
        <f>IF($D$3&gt;=E$17,'Turnover Rate'!D17,NA())*-1</f>
        <v>-0.03</v>
      </c>
      <c r="F60" s="6" t="e">
        <f>IF($D$3&gt;=F$17,'Turnover Rate'!E17,NA())*-1</f>
        <v>#N/A</v>
      </c>
      <c r="G60" s="6" t="e">
        <f>IF($D$3&gt;=G$17,'Turnover Rate'!F17,NA())*-1</f>
        <v>#N/A</v>
      </c>
      <c r="H60" s="6" t="e">
        <f>IF($D$3&gt;=H$17,'Turnover Rate'!G17,NA())*-1</f>
        <v>#N/A</v>
      </c>
      <c r="I60" s="6" t="e">
        <f>IF($D$3&gt;=I$17,'Turnover Rate'!H17,NA())*-1</f>
        <v>#N/A</v>
      </c>
      <c r="J60" s="6" t="e">
        <f>IF($D$3&gt;=J$17,'Turnover Rate'!I17,NA())*-1</f>
        <v>#N/A</v>
      </c>
      <c r="K60" s="6" t="e">
        <f>IF($D$3&gt;=K$17,'Turnover Rate'!J17,NA())*-1</f>
        <v>#N/A</v>
      </c>
      <c r="L60" s="6" t="e">
        <f>IF($D$3&gt;=L$17,'Turnover Rate'!K17,NA())*-1</f>
        <v>#N/A</v>
      </c>
      <c r="M60" s="6" t="e">
        <f>IF($D$3&gt;=M$17,'Turnover Rate'!L17,NA())*-1</f>
        <v>#N/A</v>
      </c>
      <c r="N60" s="6" t="e">
        <f>IF($D$3&gt;=N$17,'Turnover Rate'!M17,NA())*-1</f>
        <v>#N/A</v>
      </c>
    </row>
    <row r="61" spans="2:17" x14ac:dyDescent="0.25">
      <c r="B61" t="s">
        <v>29</v>
      </c>
      <c r="C61" s="6">
        <f>IF($D$3&gt;=C$17,'Turnover Rate'!B7,NA())</f>
        <v>0.05</v>
      </c>
      <c r="D61" s="6">
        <f>IF($D$3&gt;=D$17,'Turnover Rate'!C7,NA())</f>
        <v>0.04</v>
      </c>
      <c r="E61" s="6">
        <f>IF($D$3&gt;=E$17,'Turnover Rate'!D7,NA())</f>
        <v>0.03</v>
      </c>
      <c r="F61" s="6" t="e">
        <f>IF($D$3&gt;=F$17,'Turnover Rate'!E7,NA())</f>
        <v>#N/A</v>
      </c>
      <c r="G61" s="6" t="e">
        <f>IF($D$3&gt;=G$17,'Turnover Rate'!F7,NA())</f>
        <v>#N/A</v>
      </c>
      <c r="H61" s="6" t="e">
        <f>IF($D$3&gt;=H$17,'Turnover Rate'!G7,NA())</f>
        <v>#N/A</v>
      </c>
      <c r="I61" s="6" t="e">
        <f>IF($D$3&gt;=I$17,'Turnover Rate'!H7,NA())</f>
        <v>#N/A</v>
      </c>
      <c r="J61" s="6" t="e">
        <f>IF($D$3&gt;=J$17,'Turnover Rate'!I7,NA())</f>
        <v>#N/A</v>
      </c>
      <c r="K61" s="6" t="e">
        <f>IF($D$3&gt;=K$17,'Turnover Rate'!J7,NA())</f>
        <v>#N/A</v>
      </c>
      <c r="L61" s="6" t="e">
        <f>IF($D$3&gt;=L$17,'Turnover Rate'!K7,NA())</f>
        <v>#N/A</v>
      </c>
      <c r="M61" s="6" t="e">
        <f>IF($D$3&gt;=M$17,'Turnover Rate'!L7,NA())</f>
        <v>#N/A</v>
      </c>
      <c r="N61" s="6" t="e">
        <f>IF($D$3&gt;=N$17,'Turnover Rate'!M7,NA())</f>
        <v>#N/A</v>
      </c>
    </row>
    <row r="62" spans="2:17" x14ac:dyDescent="0.25">
      <c r="B62" t="s">
        <v>29</v>
      </c>
      <c r="C62" s="6">
        <f>IF($D$3&gt;=C$17,'Turnover Rate'!B18,NA())*-1</f>
        <v>-0.08</v>
      </c>
      <c r="D62" s="6">
        <f>IF($D$3&gt;=D$17,'Turnover Rate'!C18,NA())*-1</f>
        <v>-0.05</v>
      </c>
      <c r="E62" s="6">
        <f>IF($D$3&gt;=E$17,'Turnover Rate'!D18,NA())*-1</f>
        <v>-7.0000000000000007E-2</v>
      </c>
      <c r="F62" s="6" t="e">
        <f>IF($D$3&gt;=F$17,'Turnover Rate'!E18,NA())*-1</f>
        <v>#N/A</v>
      </c>
      <c r="G62" s="6" t="e">
        <f>IF($D$3&gt;=G$17,'Turnover Rate'!F18,NA())*-1</f>
        <v>#N/A</v>
      </c>
      <c r="H62" s="6" t="e">
        <f>IF($D$3&gt;=H$17,'Turnover Rate'!G18,NA())*-1</f>
        <v>#N/A</v>
      </c>
      <c r="I62" s="6" t="e">
        <f>IF($D$3&gt;=I$17,'Turnover Rate'!H18,NA())*-1</f>
        <v>#N/A</v>
      </c>
      <c r="J62" s="6" t="e">
        <f>IF($D$3&gt;=J$17,'Turnover Rate'!I18,NA())*-1</f>
        <v>#N/A</v>
      </c>
      <c r="K62" s="6" t="e">
        <f>IF($D$3&gt;=K$17,'Turnover Rate'!J18,NA())*-1</f>
        <v>#N/A</v>
      </c>
      <c r="L62" s="6" t="e">
        <f>IF($D$3&gt;=L$17,'Turnover Rate'!K18,NA())*-1</f>
        <v>#N/A</v>
      </c>
      <c r="M62" s="6" t="e">
        <f>IF($D$3&gt;=M$17,'Turnover Rate'!L18,NA())*-1</f>
        <v>#N/A</v>
      </c>
      <c r="N62" s="6" t="e">
        <f>IF($D$3&gt;=N$17,'Turnover Rate'!M18,NA())*-1</f>
        <v>#N/A</v>
      </c>
    </row>
    <row r="63" spans="2:17" x14ac:dyDescent="0.25">
      <c r="B63" t="s">
        <v>30</v>
      </c>
      <c r="C63" s="6">
        <f>IF($D$3&gt;=C$17,'Turnover Rate'!B8,NA())</f>
        <v>0.05</v>
      </c>
      <c r="D63" s="6">
        <f>IF($D$3&gt;=D$17,'Turnover Rate'!C8,NA())</f>
        <v>0.05</v>
      </c>
      <c r="E63" s="6">
        <f>IF($D$3&gt;=E$17,'Turnover Rate'!D8,NA())</f>
        <v>0.02</v>
      </c>
      <c r="F63" s="6" t="e">
        <f>IF($D$3&gt;=F$17,'Turnover Rate'!E8,NA())</f>
        <v>#N/A</v>
      </c>
      <c r="G63" s="6" t="e">
        <f>IF($D$3&gt;=G$17,'Turnover Rate'!F8,NA())</f>
        <v>#N/A</v>
      </c>
      <c r="H63" s="6" t="e">
        <f>IF($D$3&gt;=H$17,'Turnover Rate'!G8,NA())</f>
        <v>#N/A</v>
      </c>
      <c r="I63" s="6" t="e">
        <f>IF($D$3&gt;=I$17,'Turnover Rate'!H8,NA())</f>
        <v>#N/A</v>
      </c>
      <c r="J63" s="6" t="e">
        <f>IF($D$3&gt;=J$17,'Turnover Rate'!I8,NA())</f>
        <v>#N/A</v>
      </c>
      <c r="K63" s="6" t="e">
        <f>IF($D$3&gt;=K$17,'Turnover Rate'!J8,NA())</f>
        <v>#N/A</v>
      </c>
      <c r="L63" s="6" t="e">
        <f>IF($D$3&gt;=L$17,'Turnover Rate'!K8,NA())</f>
        <v>#N/A</v>
      </c>
      <c r="M63" s="6" t="e">
        <f>IF($D$3&gt;=M$17,'Turnover Rate'!L8,NA())</f>
        <v>#N/A</v>
      </c>
      <c r="N63" s="6" t="e">
        <f>IF($D$3&gt;=N$17,'Turnover Rate'!M8,NA())</f>
        <v>#N/A</v>
      </c>
    </row>
    <row r="64" spans="2:17" x14ac:dyDescent="0.25">
      <c r="B64" t="s">
        <v>30</v>
      </c>
      <c r="C64" s="6">
        <f>IF($D$3&gt;=C$17,'Turnover Rate'!B19,NA())*-1</f>
        <v>-0.05</v>
      </c>
      <c r="D64" s="6">
        <f>IF($D$3&gt;=D$17,'Turnover Rate'!C19,NA())*-1</f>
        <v>-0.04</v>
      </c>
      <c r="E64" s="6">
        <f>IF($D$3&gt;=E$17,'Turnover Rate'!D19,NA())*-1</f>
        <v>-7.0000000000000007E-2</v>
      </c>
      <c r="F64" s="6" t="e">
        <f>IF($D$3&gt;=F$17,'Turnover Rate'!E19,NA())*-1</f>
        <v>#N/A</v>
      </c>
      <c r="G64" s="6" t="e">
        <f>IF($D$3&gt;=G$17,'Turnover Rate'!F19,NA())*-1</f>
        <v>#N/A</v>
      </c>
      <c r="H64" s="6" t="e">
        <f>IF($D$3&gt;=H$17,'Turnover Rate'!G19,NA())*-1</f>
        <v>#N/A</v>
      </c>
      <c r="I64" s="6" t="e">
        <f>IF($D$3&gt;=I$17,'Turnover Rate'!H19,NA())*-1</f>
        <v>#N/A</v>
      </c>
      <c r="J64" s="6" t="e">
        <f>IF($D$3&gt;=J$17,'Turnover Rate'!I19,NA())*-1</f>
        <v>#N/A</v>
      </c>
      <c r="K64" s="6" t="e">
        <f>IF($D$3&gt;=K$17,'Turnover Rate'!J19,NA())*-1</f>
        <v>#N/A</v>
      </c>
      <c r="L64" s="6" t="e">
        <f>IF($D$3&gt;=L$17,'Turnover Rate'!K19,NA())*-1</f>
        <v>#N/A</v>
      </c>
      <c r="M64" s="6" t="e">
        <f>IF($D$3&gt;=M$17,'Turnover Rate'!L19,NA())*-1</f>
        <v>#N/A</v>
      </c>
      <c r="N64" s="6" t="e">
        <f>IF($D$3&gt;=N$17,'Turnover Rate'!M19,NA())*-1</f>
        <v>#N/A</v>
      </c>
    </row>
    <row r="65" spans="2:14" x14ac:dyDescent="0.25">
      <c r="B65" t="s">
        <v>31</v>
      </c>
      <c r="C65" s="6">
        <f>IF($D$3&gt;=C$17,'Turnover Rate'!B9,NA())</f>
        <v>0.03</v>
      </c>
      <c r="D65" s="6">
        <f>IF($D$3&gt;=D$17,'Turnover Rate'!C9,NA())</f>
        <v>0.04</v>
      </c>
      <c r="E65" s="6">
        <f>IF($D$3&gt;=E$17,'Turnover Rate'!D9,NA())</f>
        <v>0.04</v>
      </c>
      <c r="F65" s="6" t="e">
        <f>IF($D$3&gt;=F$17,'Turnover Rate'!E9,NA())</f>
        <v>#N/A</v>
      </c>
      <c r="G65" s="6" t="e">
        <f>IF($D$3&gt;=G$17,'Turnover Rate'!F9,NA())</f>
        <v>#N/A</v>
      </c>
      <c r="H65" s="6" t="e">
        <f>IF($D$3&gt;=H$17,'Turnover Rate'!G9,NA())</f>
        <v>#N/A</v>
      </c>
      <c r="I65" s="6" t="e">
        <f>IF($D$3&gt;=I$17,'Turnover Rate'!H9,NA())</f>
        <v>#N/A</v>
      </c>
      <c r="J65" s="6" t="e">
        <f>IF($D$3&gt;=J$17,'Turnover Rate'!I9,NA())</f>
        <v>#N/A</v>
      </c>
      <c r="K65" s="6" t="e">
        <f>IF($D$3&gt;=K$17,'Turnover Rate'!J9,NA())</f>
        <v>#N/A</v>
      </c>
      <c r="L65" s="6" t="e">
        <f>IF($D$3&gt;=L$17,'Turnover Rate'!K9,NA())</f>
        <v>#N/A</v>
      </c>
      <c r="M65" s="6" t="e">
        <f>IF($D$3&gt;=M$17,'Turnover Rate'!L9,NA())</f>
        <v>#N/A</v>
      </c>
      <c r="N65" s="6" t="e">
        <f>IF($D$3&gt;=N$17,'Turnover Rate'!M9,NA())</f>
        <v>#N/A</v>
      </c>
    </row>
    <row r="66" spans="2:14" x14ac:dyDescent="0.25">
      <c r="B66" t="s">
        <v>31</v>
      </c>
      <c r="C66" s="6">
        <f>IF($D$3&gt;=C$17,'Turnover Rate'!B20,NA())*-1</f>
        <v>-7.0000000000000007E-2</v>
      </c>
      <c r="D66" s="6">
        <f>IF($D$3&gt;=D$17,'Turnover Rate'!C20,NA())*-1</f>
        <v>-0.04</v>
      </c>
      <c r="E66" s="6">
        <f>IF($D$3&gt;=E$17,'Turnover Rate'!D20,NA())*-1</f>
        <v>-0.06</v>
      </c>
      <c r="F66" s="6" t="e">
        <f>IF($D$3&gt;=F$17,'Turnover Rate'!E20,NA())*-1</f>
        <v>#N/A</v>
      </c>
      <c r="G66" s="6" t="e">
        <f>IF($D$3&gt;=G$17,'Turnover Rate'!F20,NA())*-1</f>
        <v>#N/A</v>
      </c>
      <c r="H66" s="6" t="e">
        <f>IF($D$3&gt;=H$17,'Turnover Rate'!G20,NA())*-1</f>
        <v>#N/A</v>
      </c>
      <c r="I66" s="6" t="e">
        <f>IF($D$3&gt;=I$17,'Turnover Rate'!H20,NA())*-1</f>
        <v>#N/A</v>
      </c>
      <c r="J66" s="6" t="e">
        <f>IF($D$3&gt;=J$17,'Turnover Rate'!I20,NA())*-1</f>
        <v>#N/A</v>
      </c>
      <c r="K66" s="6" t="e">
        <f>IF($D$3&gt;=K$17,'Turnover Rate'!J20,NA())*-1</f>
        <v>#N/A</v>
      </c>
      <c r="L66" s="6" t="e">
        <f>IF($D$3&gt;=L$17,'Turnover Rate'!K20,NA())*-1</f>
        <v>#N/A</v>
      </c>
      <c r="M66" s="6" t="e">
        <f>IF($D$3&gt;=M$17,'Turnover Rate'!L20,NA())*-1</f>
        <v>#N/A</v>
      </c>
      <c r="N66" s="6" t="e">
        <f>IF($D$3&gt;=N$17,'Turnover Rate'!M20,NA())*-1</f>
        <v>#N/A</v>
      </c>
    </row>
    <row r="67" spans="2:14" x14ac:dyDescent="0.25">
      <c r="B67" t="s">
        <v>32</v>
      </c>
      <c r="C67" s="6">
        <f>IF($D$3&gt;=C$17,'Turnover Rate'!B10,NA())</f>
        <v>0.03</v>
      </c>
      <c r="D67" s="6">
        <f>IF($D$3&gt;=D$17,'Turnover Rate'!C10,NA())</f>
        <v>0.02</v>
      </c>
      <c r="E67" s="6">
        <f>IF($D$3&gt;=E$17,'Turnover Rate'!D10,NA())</f>
        <v>0.03</v>
      </c>
      <c r="F67" s="6" t="e">
        <f>IF($D$3&gt;=F$17,'Turnover Rate'!E10,NA())</f>
        <v>#N/A</v>
      </c>
      <c r="G67" s="6" t="e">
        <f>IF($D$3&gt;=G$17,'Turnover Rate'!F10,NA())</f>
        <v>#N/A</v>
      </c>
      <c r="H67" s="6" t="e">
        <f>IF($D$3&gt;=H$17,'Turnover Rate'!G10,NA())</f>
        <v>#N/A</v>
      </c>
      <c r="I67" s="6" t="e">
        <f>IF($D$3&gt;=I$17,'Turnover Rate'!H10,NA())</f>
        <v>#N/A</v>
      </c>
      <c r="J67" s="6" t="e">
        <f>IF($D$3&gt;=J$17,'Turnover Rate'!I10,NA())</f>
        <v>#N/A</v>
      </c>
      <c r="K67" s="6" t="e">
        <f>IF($D$3&gt;=K$17,'Turnover Rate'!J10,NA())</f>
        <v>#N/A</v>
      </c>
      <c r="L67" s="6" t="e">
        <f>IF($D$3&gt;=L$17,'Turnover Rate'!K10,NA())</f>
        <v>#N/A</v>
      </c>
      <c r="M67" s="6" t="e">
        <f>IF($D$3&gt;=M$17,'Turnover Rate'!L10,NA())</f>
        <v>#N/A</v>
      </c>
      <c r="N67" s="6" t="e">
        <f>IF($D$3&gt;=N$17,'Turnover Rate'!M10,NA())</f>
        <v>#N/A</v>
      </c>
    </row>
    <row r="68" spans="2:14" x14ac:dyDescent="0.25">
      <c r="B68" t="s">
        <v>32</v>
      </c>
      <c r="C68" s="6">
        <f>IF($D$3&gt;=C$17,'Turnover Rate'!B21,NA())*-1</f>
        <v>-0.02</v>
      </c>
      <c r="D68" s="6">
        <f>IF($D$3&gt;=D$17,'Turnover Rate'!C21,NA())*-1</f>
        <v>-0.03</v>
      </c>
      <c r="E68" s="6">
        <f>IF($D$3&gt;=E$17,'Turnover Rate'!D21,NA())*-1</f>
        <v>-0.06</v>
      </c>
      <c r="F68" s="6" t="e">
        <f>IF($D$3&gt;=F$17,'Turnover Rate'!E21,NA())*-1</f>
        <v>#N/A</v>
      </c>
      <c r="G68" s="6" t="e">
        <f>IF($D$3&gt;=G$17,'Turnover Rate'!F21,NA())*-1</f>
        <v>#N/A</v>
      </c>
      <c r="H68" s="6" t="e">
        <f>IF($D$3&gt;=H$17,'Turnover Rate'!G21,NA())*-1</f>
        <v>#N/A</v>
      </c>
      <c r="I68" s="6" t="e">
        <f>IF($D$3&gt;=I$17,'Turnover Rate'!H21,NA())*-1</f>
        <v>#N/A</v>
      </c>
      <c r="J68" s="6" t="e">
        <f>IF($D$3&gt;=J$17,'Turnover Rate'!I21,NA())*-1</f>
        <v>#N/A</v>
      </c>
      <c r="K68" s="6" t="e">
        <f>IF($D$3&gt;=K$17,'Turnover Rate'!J21,NA())*-1</f>
        <v>#N/A</v>
      </c>
      <c r="L68" s="6" t="e">
        <f>IF($D$3&gt;=L$17,'Turnover Rate'!K21,NA())*-1</f>
        <v>#N/A</v>
      </c>
      <c r="M68" s="6" t="e">
        <f>IF($D$3&gt;=M$17,'Turnover Rate'!L21,NA())*-1</f>
        <v>#N/A</v>
      </c>
      <c r="N68" s="6" t="e">
        <f>IF($D$3&gt;=N$17,'Turnover Rate'!M21,NA())*-1</f>
        <v>#N/A</v>
      </c>
    </row>
    <row r="69" spans="2:14" x14ac:dyDescent="0.25">
      <c r="B69" t="s">
        <v>33</v>
      </c>
      <c r="C69" s="6">
        <f>IF($D$3&gt;=C$17,'Turnover Rate'!B11,NA())</f>
        <v>0.03</v>
      </c>
      <c r="D69" s="6">
        <f>IF($D$3&gt;=D$17,'Turnover Rate'!C11,NA())</f>
        <v>0.03</v>
      </c>
      <c r="E69" s="6">
        <f>IF($D$3&gt;=E$17,'Turnover Rate'!D11,NA())</f>
        <v>0.05</v>
      </c>
      <c r="F69" s="6" t="e">
        <f>IF($D$3&gt;=F$17,'Turnover Rate'!E11,NA())</f>
        <v>#N/A</v>
      </c>
      <c r="G69" s="6" t="e">
        <f>IF($D$3&gt;=G$17,'Turnover Rate'!F11,NA())</f>
        <v>#N/A</v>
      </c>
      <c r="H69" s="6" t="e">
        <f>IF($D$3&gt;=H$17,'Turnover Rate'!G11,NA())</f>
        <v>#N/A</v>
      </c>
      <c r="I69" s="6" t="e">
        <f>IF($D$3&gt;=I$17,'Turnover Rate'!H11,NA())</f>
        <v>#N/A</v>
      </c>
      <c r="J69" s="6" t="e">
        <f>IF($D$3&gt;=J$17,'Turnover Rate'!I11,NA())</f>
        <v>#N/A</v>
      </c>
      <c r="K69" s="6" t="e">
        <f>IF($D$3&gt;=K$17,'Turnover Rate'!J11,NA())</f>
        <v>#N/A</v>
      </c>
      <c r="L69" s="6" t="e">
        <f>IF($D$3&gt;=L$17,'Turnover Rate'!K11,NA())</f>
        <v>#N/A</v>
      </c>
      <c r="M69" s="6" t="e">
        <f>IF($D$3&gt;=M$17,'Turnover Rate'!L11,NA())</f>
        <v>#N/A</v>
      </c>
      <c r="N69" s="6" t="e">
        <f>IF($D$3&gt;=N$17,'Turnover Rate'!M11,NA())</f>
        <v>#N/A</v>
      </c>
    </row>
    <row r="70" spans="2:14" x14ac:dyDescent="0.25">
      <c r="B70" t="s">
        <v>33</v>
      </c>
      <c r="C70" s="6">
        <f>IF($D$3&gt;=C$17,'Turnover Rate'!B22,NA())*-1</f>
        <v>-0.05</v>
      </c>
      <c r="D70" s="6">
        <f>IF($D$3&gt;=D$17,'Turnover Rate'!C22,NA())*-1</f>
        <v>-0.03</v>
      </c>
      <c r="E70" s="6">
        <f>IF($D$3&gt;=E$17,'Turnover Rate'!D22,NA())*-1</f>
        <v>-7.0000000000000007E-2</v>
      </c>
      <c r="F70" s="6" t="e">
        <f>IF($D$3&gt;=F$17,'Turnover Rate'!E22,NA())*-1</f>
        <v>#N/A</v>
      </c>
      <c r="G70" s="6" t="e">
        <f>IF($D$3&gt;=G$17,'Turnover Rate'!F22,NA())*-1</f>
        <v>#N/A</v>
      </c>
      <c r="H70" s="6" t="e">
        <f>IF($D$3&gt;=H$17,'Turnover Rate'!G22,NA())*-1</f>
        <v>#N/A</v>
      </c>
      <c r="I70" s="6" t="e">
        <f>IF($D$3&gt;=I$17,'Turnover Rate'!H22,NA())*-1</f>
        <v>#N/A</v>
      </c>
      <c r="J70" s="6" t="e">
        <f>IF($D$3&gt;=J$17,'Turnover Rate'!I22,NA())*-1</f>
        <v>#N/A</v>
      </c>
      <c r="K70" s="6" t="e">
        <f>IF($D$3&gt;=K$17,'Turnover Rate'!J22,NA())*-1</f>
        <v>#N/A</v>
      </c>
      <c r="L70" s="6" t="e">
        <f>IF($D$3&gt;=L$17,'Turnover Rate'!K22,NA())*-1</f>
        <v>#N/A</v>
      </c>
      <c r="M70" s="6" t="e">
        <f>IF($D$3&gt;=M$17,'Turnover Rate'!L22,NA())*-1</f>
        <v>#N/A</v>
      </c>
      <c r="N70" s="6" t="e">
        <f>IF($D$3&gt;=N$17,'Turnover Rate'!M22,NA())*-1</f>
        <v>#N/A</v>
      </c>
    </row>
    <row r="71" spans="2:14" x14ac:dyDescent="0.25">
      <c r="B71" t="s">
        <v>34</v>
      </c>
      <c r="C71" s="4">
        <f>AVERAGE(C55,C57,C59,C61,C63,C65,C67,C69)</f>
        <v>3.5000000000000003E-2</v>
      </c>
      <c r="D71" s="4">
        <f t="shared" ref="D71:N71" si="14">AVERAGE(D55,D57,D59,D61,D63,D65,D67,D69)</f>
        <v>3.6250000000000004E-2</v>
      </c>
      <c r="E71" s="4">
        <f t="shared" si="14"/>
        <v>3.2500000000000001E-2</v>
      </c>
      <c r="F71" s="4" t="e">
        <f t="shared" si="14"/>
        <v>#N/A</v>
      </c>
      <c r="G71" s="4" t="e">
        <f t="shared" si="14"/>
        <v>#N/A</v>
      </c>
      <c r="H71" s="4" t="e">
        <f t="shared" si="14"/>
        <v>#N/A</v>
      </c>
      <c r="I71" s="4" t="e">
        <f t="shared" si="14"/>
        <v>#N/A</v>
      </c>
      <c r="J71" s="4" t="e">
        <f t="shared" si="14"/>
        <v>#N/A</v>
      </c>
      <c r="K71" s="4" t="e">
        <f t="shared" si="14"/>
        <v>#N/A</v>
      </c>
      <c r="L71" s="4" t="e">
        <f t="shared" si="14"/>
        <v>#N/A</v>
      </c>
      <c r="M71" s="4" t="e">
        <f t="shared" si="14"/>
        <v>#N/A</v>
      </c>
      <c r="N71" s="4" t="e">
        <f t="shared" si="14"/>
        <v>#N/A</v>
      </c>
    </row>
    <row r="72" spans="2:14" x14ac:dyDescent="0.25">
      <c r="B72" t="s">
        <v>35</v>
      </c>
      <c r="C72" s="4">
        <f>AVERAGE(C56,C58,C60,C62,C64,C66,C68,C70)</f>
        <v>-5.8750000000000004E-2</v>
      </c>
      <c r="D72" s="4">
        <f t="shared" ref="D72:N72" si="15">AVERAGE(D56,D58,D60,D62,D64,D66,D68,D70)</f>
        <v>-4.250000000000001E-2</v>
      </c>
      <c r="E72" s="4">
        <f t="shared" si="15"/>
        <v>-5.8750000000000004E-2</v>
      </c>
      <c r="F72" s="4" t="e">
        <f t="shared" si="15"/>
        <v>#N/A</v>
      </c>
      <c r="G72" s="4" t="e">
        <f t="shared" si="15"/>
        <v>#N/A</v>
      </c>
      <c r="H72" s="4" t="e">
        <f t="shared" si="15"/>
        <v>#N/A</v>
      </c>
      <c r="I72" s="4" t="e">
        <f t="shared" si="15"/>
        <v>#N/A</v>
      </c>
      <c r="J72" s="4" t="e">
        <f t="shared" si="15"/>
        <v>#N/A</v>
      </c>
      <c r="K72" s="4" t="e">
        <f t="shared" si="15"/>
        <v>#N/A</v>
      </c>
      <c r="L72" s="4" t="e">
        <f t="shared" si="15"/>
        <v>#N/A</v>
      </c>
      <c r="M72" s="4" t="e">
        <f t="shared" si="15"/>
        <v>#N/A</v>
      </c>
      <c r="N72" s="4" t="e">
        <f t="shared" si="15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2"/>
  <sheetViews>
    <sheetView zoomScale="85" zoomScaleNormal="85" workbookViewId="0"/>
  </sheetViews>
  <sheetFormatPr defaultRowHeight="15" x14ac:dyDescent="0.25"/>
  <cols>
    <col min="2" max="13" width="12.42578125" customWidth="1"/>
  </cols>
  <sheetData>
    <row r="1" spans="1:13" x14ac:dyDescent="0.25">
      <c r="A1" s="33" t="s">
        <v>0</v>
      </c>
    </row>
    <row r="2" spans="1:13" x14ac:dyDescent="0.25"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</row>
    <row r="3" spans="1:13" x14ac:dyDescent="0.25">
      <c r="A3" t="s">
        <v>26</v>
      </c>
      <c r="B3" s="1">
        <v>6593211</v>
      </c>
      <c r="C3" s="1">
        <v>6935122</v>
      </c>
      <c r="D3" s="1">
        <v>7055378</v>
      </c>
      <c r="E3" s="1">
        <v>5913084</v>
      </c>
      <c r="F3" s="1">
        <v>5239355</v>
      </c>
      <c r="G3" s="1">
        <v>5049906.3</v>
      </c>
      <c r="H3" s="1">
        <v>4468907.2</v>
      </c>
      <c r="I3" s="1">
        <v>4462694.6000000006</v>
      </c>
      <c r="J3" s="1">
        <v>6566918</v>
      </c>
      <c r="K3" s="1">
        <v>6235339</v>
      </c>
      <c r="L3" s="1">
        <v>7169379</v>
      </c>
      <c r="M3" s="1">
        <v>6406980</v>
      </c>
    </row>
    <row r="4" spans="1:13" x14ac:dyDescent="0.25">
      <c r="A4" t="s">
        <v>27</v>
      </c>
      <c r="B4" s="1">
        <v>9316128</v>
      </c>
      <c r="C4" s="1">
        <v>9786819</v>
      </c>
      <c r="D4" s="1">
        <v>11924387</v>
      </c>
      <c r="E4" s="1">
        <v>10676572</v>
      </c>
      <c r="F4" s="1">
        <v>9149542</v>
      </c>
      <c r="G4" s="1">
        <v>10732413.6</v>
      </c>
      <c r="H4" s="1">
        <v>7955385.6000000006</v>
      </c>
      <c r="I4" s="1">
        <v>7040690.7999999998</v>
      </c>
      <c r="J4" s="1">
        <v>10620950</v>
      </c>
      <c r="K4" s="1">
        <v>11270380</v>
      </c>
      <c r="L4" s="1">
        <v>9447715</v>
      </c>
      <c r="M4" s="1">
        <v>10276749</v>
      </c>
    </row>
    <row r="5" spans="1:13" x14ac:dyDescent="0.25">
      <c r="A5" t="s">
        <v>28</v>
      </c>
      <c r="B5" s="1">
        <v>7244567</v>
      </c>
      <c r="C5" s="1">
        <v>6742213</v>
      </c>
      <c r="D5" s="1">
        <v>6649062</v>
      </c>
      <c r="E5" s="1">
        <v>6401517</v>
      </c>
      <c r="F5" s="1">
        <v>7945191</v>
      </c>
      <c r="G5" s="1">
        <v>5831064</v>
      </c>
      <c r="H5" s="1">
        <v>6129873.6000000006</v>
      </c>
      <c r="I5" s="1">
        <v>4686868.55</v>
      </c>
      <c r="J5" s="1">
        <v>7586419</v>
      </c>
      <c r="K5" s="1">
        <v>6530338</v>
      </c>
      <c r="L5" s="1">
        <v>7618845</v>
      </c>
      <c r="M5" s="1">
        <v>6489666</v>
      </c>
    </row>
    <row r="6" spans="1:13" x14ac:dyDescent="0.25">
      <c r="A6" t="s">
        <v>29</v>
      </c>
      <c r="B6" s="1">
        <v>9565516</v>
      </c>
      <c r="C6" s="1">
        <v>6587934</v>
      </c>
      <c r="D6" s="1">
        <v>8275458</v>
      </c>
      <c r="E6" s="1">
        <v>9938798</v>
      </c>
      <c r="F6" s="1">
        <v>8651869</v>
      </c>
      <c r="G6" s="1">
        <v>8788015.8000000007</v>
      </c>
      <c r="H6" s="1">
        <v>6768483.2000000002</v>
      </c>
      <c r="I6" s="1">
        <v>4704805.95</v>
      </c>
      <c r="J6" s="1">
        <v>7826733</v>
      </c>
      <c r="K6" s="1">
        <v>6018297</v>
      </c>
      <c r="L6" s="1">
        <v>7198447</v>
      </c>
      <c r="M6" s="1">
        <v>7994968</v>
      </c>
    </row>
    <row r="7" spans="1:13" x14ac:dyDescent="0.25">
      <c r="A7" t="s">
        <v>30</v>
      </c>
      <c r="B7" s="1">
        <v>10437651</v>
      </c>
      <c r="C7" s="1">
        <v>10638402</v>
      </c>
      <c r="D7" s="1">
        <v>10468493</v>
      </c>
      <c r="E7" s="1">
        <v>8296284</v>
      </c>
      <c r="F7" s="1">
        <v>9769546</v>
      </c>
      <c r="G7" s="1">
        <v>7377878.7000000002</v>
      </c>
      <c r="H7" s="1">
        <v>7806135.2000000002</v>
      </c>
      <c r="I7" s="1">
        <v>6154097.9500000002</v>
      </c>
      <c r="J7" s="1">
        <v>10714984</v>
      </c>
      <c r="K7" s="1">
        <v>10471643</v>
      </c>
      <c r="L7" s="1">
        <v>8009952</v>
      </c>
      <c r="M7" s="1">
        <v>9716629</v>
      </c>
    </row>
    <row r="8" spans="1:13" x14ac:dyDescent="0.25">
      <c r="A8" t="s">
        <v>31</v>
      </c>
      <c r="B8" s="1">
        <v>2997660</v>
      </c>
      <c r="C8" s="1">
        <v>3912924</v>
      </c>
      <c r="D8" s="1">
        <v>3095174</v>
      </c>
      <c r="E8" s="1">
        <v>4027459</v>
      </c>
      <c r="F8" s="1">
        <v>2120532</v>
      </c>
      <c r="G8" s="1">
        <v>4215493.8</v>
      </c>
      <c r="H8" s="1">
        <v>3232628</v>
      </c>
      <c r="I8" s="1">
        <v>1858870</v>
      </c>
      <c r="J8" s="1">
        <v>2771792</v>
      </c>
      <c r="K8" s="1">
        <v>3859169</v>
      </c>
      <c r="L8" s="1">
        <v>2862900</v>
      </c>
      <c r="M8" s="1">
        <v>2790563</v>
      </c>
    </row>
    <row r="9" spans="1:13" x14ac:dyDescent="0.25">
      <c r="A9" t="s">
        <v>32</v>
      </c>
      <c r="B9" s="1">
        <v>9721094</v>
      </c>
      <c r="C9" s="1">
        <v>8338257</v>
      </c>
      <c r="D9" s="1">
        <v>9260604</v>
      </c>
      <c r="E9" s="1">
        <v>8892889</v>
      </c>
      <c r="F9" s="1">
        <v>10274657</v>
      </c>
      <c r="G9" s="1">
        <v>7991286.2999999998</v>
      </c>
      <c r="H9" s="1">
        <v>6539252.8000000007</v>
      </c>
      <c r="I9" s="1">
        <v>5844615.4000000004</v>
      </c>
      <c r="J9" s="1">
        <v>10615423</v>
      </c>
      <c r="K9" s="1">
        <v>10597712</v>
      </c>
      <c r="L9" s="1">
        <v>10580944</v>
      </c>
      <c r="M9" s="1">
        <v>9304195</v>
      </c>
    </row>
    <row r="10" spans="1:13" x14ac:dyDescent="0.25">
      <c r="A10" t="s">
        <v>33</v>
      </c>
      <c r="B10" s="1">
        <v>6056704</v>
      </c>
      <c r="C10" s="1">
        <v>5849845</v>
      </c>
      <c r="D10" s="1">
        <v>5426544</v>
      </c>
      <c r="E10" s="1">
        <v>5182605</v>
      </c>
      <c r="F10" s="1">
        <v>4601774</v>
      </c>
      <c r="G10" s="1">
        <v>4885461</v>
      </c>
      <c r="H10" s="1">
        <v>4346698.4000000004</v>
      </c>
      <c r="I10" s="1">
        <v>4067167</v>
      </c>
      <c r="J10" s="1">
        <v>5803687</v>
      </c>
      <c r="K10" s="1">
        <v>5603180</v>
      </c>
      <c r="L10" s="1">
        <v>5200366</v>
      </c>
      <c r="M10" s="1">
        <v>6444786</v>
      </c>
    </row>
    <row r="12" spans="1:13" x14ac:dyDescent="0.25">
      <c r="H12" s="1"/>
    </row>
    <row r="13" spans="1:13" x14ac:dyDescent="0.25">
      <c r="H13" s="1"/>
      <c r="I13" s="1"/>
    </row>
    <row r="14" spans="1:13" x14ac:dyDescent="0.25">
      <c r="G14" s="1"/>
      <c r="H14" s="1"/>
      <c r="I14" s="1"/>
    </row>
    <row r="15" spans="1:13" x14ac:dyDescent="0.25">
      <c r="G15" s="1"/>
      <c r="H15" s="1"/>
      <c r="I15" s="1"/>
    </row>
    <row r="16" spans="1:13" x14ac:dyDescent="0.25">
      <c r="G16" s="1"/>
      <c r="H16" s="1"/>
      <c r="I16" s="1"/>
    </row>
    <row r="17" spans="7:9" x14ac:dyDescent="0.25">
      <c r="G17" s="1"/>
      <c r="H17" s="1"/>
      <c r="I17" s="1"/>
    </row>
    <row r="18" spans="7:9" x14ac:dyDescent="0.25">
      <c r="G18" s="1"/>
      <c r="H18" s="1"/>
      <c r="I18" s="1"/>
    </row>
    <row r="19" spans="7:9" x14ac:dyDescent="0.25">
      <c r="G19" s="1"/>
      <c r="H19" s="1"/>
      <c r="I19" s="1"/>
    </row>
    <row r="20" spans="7:9" x14ac:dyDescent="0.25">
      <c r="G20" s="1"/>
      <c r="H20" s="1"/>
      <c r="I20" s="1"/>
    </row>
    <row r="21" spans="7:9" x14ac:dyDescent="0.25">
      <c r="G21" s="1"/>
      <c r="H21" s="1"/>
      <c r="I21" s="1"/>
    </row>
    <row r="22" spans="7:9" x14ac:dyDescent="0.25">
      <c r="G22" s="1"/>
      <c r="H22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28"/>
  <sheetViews>
    <sheetView zoomScale="85" zoomScaleNormal="85" workbookViewId="0">
      <selection activeCell="J22" sqref="J22"/>
    </sheetView>
  </sheetViews>
  <sheetFormatPr defaultRowHeight="15" x14ac:dyDescent="0.25"/>
  <cols>
    <col min="2" max="13" width="13.28515625" customWidth="1"/>
  </cols>
  <sheetData>
    <row r="2" spans="1:13" x14ac:dyDescent="0.25"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</row>
    <row r="3" spans="1:13" x14ac:dyDescent="0.25">
      <c r="A3" t="s">
        <v>26</v>
      </c>
      <c r="B3" s="1">
        <v>5867957.79</v>
      </c>
      <c r="C3" s="1">
        <v>5617448.8200000003</v>
      </c>
      <c r="D3" s="1">
        <v>5997071.2999999998</v>
      </c>
      <c r="E3" s="1">
        <v>4257420.4799999995</v>
      </c>
      <c r="F3" s="1">
        <v>4243877.5500000007</v>
      </c>
      <c r="G3" s="1">
        <v>4191422.2289999998</v>
      </c>
      <c r="H3" s="1">
        <v>3575125.7600000002</v>
      </c>
      <c r="I3" s="1">
        <v>3793290.41</v>
      </c>
      <c r="J3" s="1">
        <v>5844557.0200000005</v>
      </c>
      <c r="K3" s="1">
        <v>4676504.25</v>
      </c>
      <c r="L3" s="1">
        <v>5305340.46</v>
      </c>
      <c r="M3" s="1">
        <v>4484886</v>
      </c>
    </row>
    <row r="4" spans="1:13" x14ac:dyDescent="0.25">
      <c r="A4" t="s">
        <v>27</v>
      </c>
      <c r="B4" s="1">
        <v>7359741.1200000001</v>
      </c>
      <c r="C4" s="1">
        <v>7927323.3900000006</v>
      </c>
      <c r="D4" s="1">
        <v>10135728.949999999</v>
      </c>
      <c r="E4" s="1">
        <v>9502149.0800000001</v>
      </c>
      <c r="F4" s="1">
        <v>7777110.7000000002</v>
      </c>
      <c r="G4" s="1">
        <v>9229875.6960000005</v>
      </c>
      <c r="H4" s="1">
        <v>6443862.3360000011</v>
      </c>
      <c r="I4" s="1">
        <v>5280518.0999999996</v>
      </c>
      <c r="J4" s="1">
        <v>9027807.5</v>
      </c>
      <c r="K4" s="1">
        <v>8565488.8000000007</v>
      </c>
      <c r="L4" s="1">
        <v>6991309.0999999996</v>
      </c>
      <c r="M4" s="1">
        <v>8838004.1400000006</v>
      </c>
    </row>
    <row r="5" spans="1:13" x14ac:dyDescent="0.25">
      <c r="A5" t="s">
        <v>28</v>
      </c>
      <c r="B5" s="1">
        <v>5940544.9399999995</v>
      </c>
      <c r="C5" s="1">
        <v>4921815.49</v>
      </c>
      <c r="D5" s="1">
        <v>5718193.3200000003</v>
      </c>
      <c r="E5" s="1">
        <v>4865152.92</v>
      </c>
      <c r="F5" s="1">
        <v>6673960.4399999995</v>
      </c>
      <c r="G5" s="1">
        <v>4198366.08</v>
      </c>
      <c r="H5" s="1">
        <v>4903898.8800000008</v>
      </c>
      <c r="I5" s="1">
        <v>3421414.0414999998</v>
      </c>
      <c r="J5" s="1">
        <v>6448456.1499999994</v>
      </c>
      <c r="K5" s="1">
        <v>5420180.54</v>
      </c>
      <c r="L5" s="1">
        <v>5714133.75</v>
      </c>
      <c r="M5" s="1">
        <v>4867249.5</v>
      </c>
    </row>
    <row r="6" spans="1:13" x14ac:dyDescent="0.25">
      <c r="A6" t="s">
        <v>29</v>
      </c>
      <c r="B6" s="1">
        <v>8226343.7599999998</v>
      </c>
      <c r="C6" s="1">
        <v>4743312.4799999995</v>
      </c>
      <c r="D6" s="1">
        <v>7282403.04</v>
      </c>
      <c r="E6" s="1">
        <v>8944918.2000000011</v>
      </c>
      <c r="F6" s="1">
        <v>6748457.8200000003</v>
      </c>
      <c r="G6" s="1">
        <v>6239491.2180000003</v>
      </c>
      <c r="H6" s="1">
        <v>5482471.3920000009</v>
      </c>
      <c r="I6" s="1">
        <v>3716796.7005000003</v>
      </c>
      <c r="J6" s="1">
        <v>6417921.0599999996</v>
      </c>
      <c r="K6" s="1">
        <v>5296101.3600000003</v>
      </c>
      <c r="L6" s="1">
        <v>6118679.9500000002</v>
      </c>
      <c r="M6" s="1">
        <v>6955622.1600000001</v>
      </c>
    </row>
    <row r="7" spans="1:13" x14ac:dyDescent="0.25">
      <c r="A7" t="s">
        <v>30</v>
      </c>
      <c r="B7" s="1">
        <v>7619485.2299999995</v>
      </c>
      <c r="C7" s="1">
        <v>7446881.3999999994</v>
      </c>
      <c r="D7" s="1">
        <v>9002903.9800000004</v>
      </c>
      <c r="E7" s="1">
        <v>5973324.4799999995</v>
      </c>
      <c r="F7" s="1">
        <v>8694895.9399999995</v>
      </c>
      <c r="G7" s="1">
        <v>5312072.6639999999</v>
      </c>
      <c r="H7" s="1">
        <v>6322969.5120000001</v>
      </c>
      <c r="I7" s="1">
        <v>5107901.2984999996</v>
      </c>
      <c r="J7" s="1">
        <v>7500488.7999999998</v>
      </c>
      <c r="K7" s="1">
        <v>7853732.25</v>
      </c>
      <c r="L7" s="1">
        <v>7208956.7999999998</v>
      </c>
      <c r="M7" s="1">
        <v>7967635.7799999993</v>
      </c>
    </row>
    <row r="8" spans="1:13" x14ac:dyDescent="0.25">
      <c r="A8" t="s">
        <v>31</v>
      </c>
      <c r="B8" s="1">
        <v>2218268.4</v>
      </c>
      <c r="C8" s="1">
        <v>3325985.4</v>
      </c>
      <c r="D8" s="1">
        <v>2197573.54</v>
      </c>
      <c r="E8" s="1">
        <v>3101143.43</v>
      </c>
      <c r="F8" s="1">
        <v>1590399</v>
      </c>
      <c r="G8" s="1">
        <v>3709634.5439999998</v>
      </c>
      <c r="H8" s="1">
        <v>2392144.7199999997</v>
      </c>
      <c r="I8" s="1">
        <v>1394152.5</v>
      </c>
      <c r="J8" s="1">
        <v>2051126.08</v>
      </c>
      <c r="K8" s="1">
        <v>3280293.65</v>
      </c>
      <c r="L8" s="1">
        <v>2376207</v>
      </c>
      <c r="M8" s="1">
        <v>2065016.6199999999</v>
      </c>
    </row>
    <row r="9" spans="1:13" x14ac:dyDescent="0.25">
      <c r="A9" t="s">
        <v>32</v>
      </c>
      <c r="B9" s="1">
        <v>7193609.5599999996</v>
      </c>
      <c r="C9" s="1">
        <v>6003545.04</v>
      </c>
      <c r="D9" s="1">
        <v>6760240.9199999999</v>
      </c>
      <c r="E9" s="1">
        <v>7914671.21</v>
      </c>
      <c r="F9" s="1">
        <v>7192259.8999999994</v>
      </c>
      <c r="G9" s="1">
        <v>7192157.6699999999</v>
      </c>
      <c r="H9" s="1">
        <v>5558364.8800000008</v>
      </c>
      <c r="I9" s="1">
        <v>4792584.6279999996</v>
      </c>
      <c r="J9" s="1">
        <v>8492338.4000000004</v>
      </c>
      <c r="K9" s="1">
        <v>7524375.5199999996</v>
      </c>
      <c r="L9" s="1">
        <v>8253136.3200000003</v>
      </c>
      <c r="M9" s="1">
        <v>6978146.25</v>
      </c>
    </row>
    <row r="10" spans="1:13" x14ac:dyDescent="0.25">
      <c r="A10" t="s">
        <v>33</v>
      </c>
      <c r="B10" s="1">
        <v>4845363.2000000002</v>
      </c>
      <c r="C10" s="1">
        <v>4855371.3499999996</v>
      </c>
      <c r="D10" s="1">
        <v>4341235.2</v>
      </c>
      <c r="E10" s="1">
        <v>4249736.0999999996</v>
      </c>
      <c r="F10" s="1">
        <v>4049561.12</v>
      </c>
      <c r="G10" s="1">
        <v>4201496.46</v>
      </c>
      <c r="H10" s="1">
        <v>3042688.88</v>
      </c>
      <c r="I10" s="1">
        <v>2847016.9</v>
      </c>
      <c r="J10" s="1">
        <v>4120617.77</v>
      </c>
      <c r="K10" s="1">
        <v>4146353.1999999997</v>
      </c>
      <c r="L10" s="1">
        <v>4628325.74</v>
      </c>
      <c r="M10" s="1">
        <v>5349172.38</v>
      </c>
    </row>
    <row r="21" spans="2:13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3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2:13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2:13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2:13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2:13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2:13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2:13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zoomScale="85" zoomScaleNormal="85" workbookViewId="0"/>
  </sheetViews>
  <sheetFormatPr defaultRowHeight="15" x14ac:dyDescent="0.25"/>
  <cols>
    <col min="2" max="13" width="13.85546875" customWidth="1"/>
  </cols>
  <sheetData>
    <row r="1" spans="1:13" x14ac:dyDescent="0.25">
      <c r="A1" s="33" t="s">
        <v>1</v>
      </c>
    </row>
    <row r="2" spans="1:13" x14ac:dyDescent="0.25"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</row>
    <row r="3" spans="1:13" x14ac:dyDescent="0.25">
      <c r="A3" t="s">
        <v>26</v>
      </c>
      <c r="B3" s="1">
        <f>Revenue!B3-Costs!B3</f>
        <v>725253.21</v>
      </c>
      <c r="C3" s="1">
        <f>Revenue!C3-Costs!C3</f>
        <v>1317673.1799999997</v>
      </c>
      <c r="D3" s="1">
        <f>Revenue!D3-Costs!D3</f>
        <v>1058306.7000000002</v>
      </c>
      <c r="E3" s="1">
        <f>Revenue!E3-Costs!E3</f>
        <v>1655663.5200000005</v>
      </c>
      <c r="F3" s="1">
        <f>Revenue!F3-Costs!F3</f>
        <v>995477.44999999925</v>
      </c>
      <c r="G3" s="1">
        <f>Revenue!G3-Costs!G3</f>
        <v>858484.071</v>
      </c>
      <c r="H3" s="1">
        <f>Revenue!H3-Costs!H3</f>
        <v>893781.44</v>
      </c>
      <c r="I3" s="1">
        <f>Revenue!I3-Costs!I3</f>
        <v>669404.19000000041</v>
      </c>
      <c r="J3" s="1">
        <f>Revenue!J3-Costs!J3</f>
        <v>722360.97999999952</v>
      </c>
      <c r="K3" s="1">
        <f>Revenue!K3-Costs!K3</f>
        <v>1558834.75</v>
      </c>
      <c r="L3" s="1">
        <f>Revenue!L3-Costs!L3</f>
        <v>1864038.54</v>
      </c>
      <c r="M3" s="1">
        <f>Revenue!M3-Costs!M3</f>
        <v>1922094</v>
      </c>
    </row>
    <row r="4" spans="1:13" x14ac:dyDescent="0.25">
      <c r="A4" t="s">
        <v>27</v>
      </c>
      <c r="B4" s="1">
        <f>Revenue!B4-Costs!B4</f>
        <v>1956386.88</v>
      </c>
      <c r="C4" s="1">
        <f>Revenue!C4-Costs!C4</f>
        <v>1859495.6099999994</v>
      </c>
      <c r="D4" s="1">
        <f>Revenue!D4-Costs!D4</f>
        <v>1788658.0500000007</v>
      </c>
      <c r="E4" s="1">
        <f>Revenue!E4-Costs!E4</f>
        <v>1174422.92</v>
      </c>
      <c r="F4" s="1">
        <f>Revenue!F4-Costs!F4</f>
        <v>1372431.2999999998</v>
      </c>
      <c r="G4" s="1">
        <f>Revenue!G4-Costs!G4</f>
        <v>1502537.9039999992</v>
      </c>
      <c r="H4" s="1">
        <f>Revenue!H4-Costs!H4</f>
        <v>1511523.2639999995</v>
      </c>
      <c r="I4" s="1">
        <f>Revenue!I4-Costs!I4</f>
        <v>1760172.7000000002</v>
      </c>
      <c r="J4" s="1">
        <f>Revenue!J4-Costs!J4</f>
        <v>1593142.5</v>
      </c>
      <c r="K4" s="1">
        <f>Revenue!K4-Costs!K4</f>
        <v>2704891.1999999993</v>
      </c>
      <c r="L4" s="1">
        <f>Revenue!L4-Costs!L4</f>
        <v>2456405.9000000004</v>
      </c>
      <c r="M4" s="1">
        <f>Revenue!M4-Costs!M4</f>
        <v>1438744.8599999994</v>
      </c>
    </row>
    <row r="5" spans="1:13" x14ac:dyDescent="0.25">
      <c r="A5" t="s">
        <v>28</v>
      </c>
      <c r="B5" s="1">
        <f>Revenue!B5-Costs!B5</f>
        <v>1304022.0600000005</v>
      </c>
      <c r="C5" s="1">
        <f>Revenue!C5-Costs!C5</f>
        <v>1820397.5099999998</v>
      </c>
      <c r="D5" s="1">
        <f>Revenue!D5-Costs!D5</f>
        <v>930868.6799999997</v>
      </c>
      <c r="E5" s="1">
        <f>Revenue!E5-Costs!E5</f>
        <v>1536364.08</v>
      </c>
      <c r="F5" s="1">
        <f>Revenue!F5-Costs!F5</f>
        <v>1271230.5600000005</v>
      </c>
      <c r="G5" s="1">
        <f>Revenue!G5-Costs!G5</f>
        <v>1632697.92</v>
      </c>
      <c r="H5" s="1">
        <f>Revenue!H5-Costs!H5</f>
        <v>1225974.7199999997</v>
      </c>
      <c r="I5" s="1">
        <f>Revenue!I5-Costs!I5</f>
        <v>1265454.5085</v>
      </c>
      <c r="J5" s="1">
        <f>Revenue!J5-Costs!J5</f>
        <v>1137962.8500000006</v>
      </c>
      <c r="K5" s="1">
        <f>Revenue!K5-Costs!K5</f>
        <v>1110157.46</v>
      </c>
      <c r="L5" s="1">
        <f>Revenue!L5-Costs!L5</f>
        <v>1904711.25</v>
      </c>
      <c r="M5" s="1">
        <f>Revenue!M5-Costs!M5</f>
        <v>1622416.5</v>
      </c>
    </row>
    <row r="6" spans="1:13" x14ac:dyDescent="0.25">
      <c r="A6" t="s">
        <v>29</v>
      </c>
      <c r="B6" s="1">
        <f>Revenue!B6-Costs!B6</f>
        <v>1339172.2400000002</v>
      </c>
      <c r="C6" s="1">
        <f>Revenue!C6-Costs!C6</f>
        <v>1844621.5200000005</v>
      </c>
      <c r="D6" s="1">
        <f>Revenue!D6-Costs!D6</f>
        <v>993054.96</v>
      </c>
      <c r="E6" s="1">
        <f>Revenue!E6-Costs!E6</f>
        <v>993879.79999999888</v>
      </c>
      <c r="F6" s="1">
        <f>Revenue!F6-Costs!F6</f>
        <v>1903411.1799999997</v>
      </c>
      <c r="G6" s="1">
        <f>Revenue!G6-Costs!G6</f>
        <v>2548524.5820000004</v>
      </c>
      <c r="H6" s="1">
        <f>Revenue!H6-Costs!H6</f>
        <v>1286011.8079999993</v>
      </c>
      <c r="I6" s="1">
        <f>Revenue!I6-Costs!I6</f>
        <v>988009.24949999992</v>
      </c>
      <c r="J6" s="1">
        <f>Revenue!J6-Costs!J6</f>
        <v>1408811.9400000004</v>
      </c>
      <c r="K6" s="1">
        <f>Revenue!K6-Costs!K6</f>
        <v>722195.63999999966</v>
      </c>
      <c r="L6" s="1">
        <f>Revenue!L6-Costs!L6</f>
        <v>1079767.0499999998</v>
      </c>
      <c r="M6" s="1">
        <f>Revenue!M6-Costs!M6</f>
        <v>1039345.8399999999</v>
      </c>
    </row>
    <row r="7" spans="1:13" x14ac:dyDescent="0.25">
      <c r="A7" t="s">
        <v>30</v>
      </c>
      <c r="B7" s="1">
        <f>Revenue!B7-Costs!B7</f>
        <v>2818165.7700000005</v>
      </c>
      <c r="C7" s="1">
        <f>Revenue!C7-Costs!C7</f>
        <v>3191520.6000000006</v>
      </c>
      <c r="D7" s="1">
        <f>Revenue!D7-Costs!D7</f>
        <v>1465589.0199999996</v>
      </c>
      <c r="E7" s="1">
        <f>Revenue!E7-Costs!E7</f>
        <v>2322959.5200000005</v>
      </c>
      <c r="F7" s="1">
        <f>Revenue!F7-Costs!F7</f>
        <v>1074650.0600000005</v>
      </c>
      <c r="G7" s="1">
        <f>Revenue!G7-Costs!G7</f>
        <v>2065806.0360000003</v>
      </c>
      <c r="H7" s="1">
        <f>Revenue!H7-Costs!H7</f>
        <v>1483165.6880000001</v>
      </c>
      <c r="I7" s="1">
        <f>Revenue!I7-Costs!I7</f>
        <v>1046196.6515000006</v>
      </c>
      <c r="J7" s="1">
        <f>Revenue!J7-Costs!J7</f>
        <v>3214495.2</v>
      </c>
      <c r="K7" s="1">
        <f>Revenue!K7-Costs!K7</f>
        <v>2617910.75</v>
      </c>
      <c r="L7" s="1">
        <f>Revenue!L7-Costs!L7</f>
        <v>800995.20000000019</v>
      </c>
      <c r="M7" s="1">
        <f>Revenue!M7-Costs!M7</f>
        <v>1748993.2200000007</v>
      </c>
    </row>
    <row r="8" spans="1:13" x14ac:dyDescent="0.25">
      <c r="A8" t="s">
        <v>31</v>
      </c>
      <c r="B8" s="1">
        <f>Revenue!B8-Costs!B8</f>
        <v>779391.60000000009</v>
      </c>
      <c r="C8" s="1">
        <f>Revenue!C8-Costs!C8</f>
        <v>586938.60000000009</v>
      </c>
      <c r="D8" s="1">
        <f>Revenue!D8-Costs!D8</f>
        <v>897600.46</v>
      </c>
      <c r="E8" s="1">
        <f>Revenue!E8-Costs!E8</f>
        <v>926315.56999999983</v>
      </c>
      <c r="F8" s="1">
        <f>Revenue!F8-Costs!F8</f>
        <v>530133</v>
      </c>
      <c r="G8" s="1">
        <f>Revenue!G8-Costs!G8</f>
        <v>505859.25600000005</v>
      </c>
      <c r="H8" s="1">
        <f>Revenue!H8-Costs!H8</f>
        <v>840483.28000000026</v>
      </c>
      <c r="I8" s="1">
        <f>Revenue!I8-Costs!I8</f>
        <v>464717.5</v>
      </c>
      <c r="J8" s="1">
        <f>Revenue!J8-Costs!J8</f>
        <v>720665.91999999993</v>
      </c>
      <c r="K8" s="1">
        <f>Revenue!K8-Costs!K8</f>
        <v>578875.35000000009</v>
      </c>
      <c r="L8" s="1">
        <f>Revenue!L8-Costs!L8</f>
        <v>486693</v>
      </c>
      <c r="M8" s="1">
        <f>Revenue!M8-Costs!M8</f>
        <v>725546.38000000012</v>
      </c>
    </row>
    <row r="9" spans="1:13" x14ac:dyDescent="0.25">
      <c r="A9" t="s">
        <v>32</v>
      </c>
      <c r="B9" s="1">
        <f>Revenue!B9-Costs!B9</f>
        <v>2527484.4400000004</v>
      </c>
      <c r="C9" s="1">
        <f>Revenue!C9-Costs!C9</f>
        <v>2334711.96</v>
      </c>
      <c r="D9" s="1">
        <f>Revenue!D9-Costs!D9</f>
        <v>2500363.08</v>
      </c>
      <c r="E9" s="1">
        <f>Revenue!E9-Costs!E9</f>
        <v>978217.79</v>
      </c>
      <c r="F9" s="1">
        <f>Revenue!F9-Costs!F9</f>
        <v>3082397.1000000006</v>
      </c>
      <c r="G9" s="1">
        <f>Revenue!G9-Costs!G9</f>
        <v>799128.62999999989</v>
      </c>
      <c r="H9" s="1">
        <f>Revenue!H9-Costs!H9</f>
        <v>980887.91999999993</v>
      </c>
      <c r="I9" s="1">
        <f>Revenue!I9-Costs!I9</f>
        <v>1052030.7720000008</v>
      </c>
      <c r="J9" s="1">
        <f>Revenue!J9-Costs!J9</f>
        <v>2123084.5999999996</v>
      </c>
      <c r="K9" s="1">
        <f>Revenue!K9-Costs!K9</f>
        <v>3073336.4800000004</v>
      </c>
      <c r="L9" s="1">
        <f>Revenue!L9-Costs!L9</f>
        <v>2327807.6799999997</v>
      </c>
      <c r="M9" s="1">
        <f>Revenue!M9-Costs!M9</f>
        <v>2326048.75</v>
      </c>
    </row>
    <row r="10" spans="1:13" x14ac:dyDescent="0.25">
      <c r="A10" t="s">
        <v>33</v>
      </c>
      <c r="B10" s="1">
        <f>Revenue!B10-Costs!B10</f>
        <v>1211340.7999999998</v>
      </c>
      <c r="C10" s="1">
        <f>Revenue!C10-Costs!C10</f>
        <v>994473.65000000037</v>
      </c>
      <c r="D10" s="1">
        <f>Revenue!D10-Costs!D10</f>
        <v>1085308.7999999998</v>
      </c>
      <c r="E10" s="1">
        <f>Revenue!E10-Costs!E10</f>
        <v>932868.90000000037</v>
      </c>
      <c r="F10" s="1">
        <f>Revenue!F10-Costs!F10</f>
        <v>552212.87999999989</v>
      </c>
      <c r="G10" s="1">
        <f>Revenue!G10-Costs!G10</f>
        <v>683964.54</v>
      </c>
      <c r="H10" s="1">
        <f>Revenue!H10-Costs!H10</f>
        <v>1304009.5200000005</v>
      </c>
      <c r="I10" s="1">
        <f>Revenue!I10-Costs!I10</f>
        <v>1220150.1000000001</v>
      </c>
      <c r="J10" s="1">
        <f>Revenue!J10-Costs!J10</f>
        <v>1683069.23</v>
      </c>
      <c r="K10" s="1">
        <f>Revenue!K10-Costs!K10</f>
        <v>1456826.8000000003</v>
      </c>
      <c r="L10" s="1">
        <f>Revenue!L10-Costs!L10</f>
        <v>572040.25999999978</v>
      </c>
      <c r="M10" s="1">
        <f>Revenue!M10-Costs!M10</f>
        <v>1095613.6200000001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zoomScale="85" zoomScaleNormal="85" workbookViewId="0"/>
  </sheetViews>
  <sheetFormatPr defaultRowHeight="15" x14ac:dyDescent="0.25"/>
  <cols>
    <col min="2" max="3" width="11.7109375" bestFit="1" customWidth="1"/>
    <col min="4" max="4" width="12.7109375" bestFit="1" customWidth="1"/>
    <col min="5" max="13" width="11.7109375" bestFit="1" customWidth="1"/>
  </cols>
  <sheetData>
    <row r="1" spans="1:13" x14ac:dyDescent="0.25">
      <c r="A1" s="33" t="s">
        <v>2</v>
      </c>
    </row>
    <row r="2" spans="1:13" x14ac:dyDescent="0.25"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</row>
    <row r="3" spans="1:13" x14ac:dyDescent="0.25">
      <c r="A3" t="s">
        <v>26</v>
      </c>
      <c r="B3" s="4">
        <v>0.75</v>
      </c>
      <c r="C3" s="4">
        <v>0.78</v>
      </c>
      <c r="D3" s="4">
        <v>0.67</v>
      </c>
      <c r="E3" s="4">
        <v>0.7</v>
      </c>
      <c r="F3" s="4">
        <v>0.8</v>
      </c>
      <c r="G3" s="4">
        <v>0.75</v>
      </c>
      <c r="H3" s="4">
        <v>0.83</v>
      </c>
      <c r="I3" s="4">
        <v>0.89</v>
      </c>
      <c r="J3" s="4">
        <v>0.83</v>
      </c>
      <c r="K3" s="4">
        <v>0.85</v>
      </c>
      <c r="L3" s="4">
        <v>0.88</v>
      </c>
      <c r="M3" s="4">
        <v>0.87</v>
      </c>
    </row>
    <row r="4" spans="1:13" x14ac:dyDescent="0.25">
      <c r="A4" t="s">
        <v>27</v>
      </c>
      <c r="B4" s="4">
        <v>0.98</v>
      </c>
      <c r="C4" s="4">
        <v>0.78</v>
      </c>
      <c r="D4" s="4">
        <v>0.81</v>
      </c>
      <c r="E4" s="4">
        <v>0.84</v>
      </c>
      <c r="F4" s="4">
        <v>0.72</v>
      </c>
      <c r="G4" s="4">
        <v>0.83</v>
      </c>
      <c r="H4" s="4">
        <v>0.77</v>
      </c>
      <c r="I4" s="4">
        <v>0.88</v>
      </c>
      <c r="J4" s="4">
        <v>0.74</v>
      </c>
      <c r="K4" s="4">
        <v>0.83</v>
      </c>
      <c r="L4" s="4">
        <v>0.85</v>
      </c>
      <c r="M4" s="4">
        <v>0.88</v>
      </c>
    </row>
    <row r="5" spans="1:13" x14ac:dyDescent="0.25">
      <c r="A5" t="s">
        <v>28</v>
      </c>
      <c r="B5" s="4">
        <v>0.8</v>
      </c>
      <c r="C5" s="4">
        <v>0.79</v>
      </c>
      <c r="D5" s="4">
        <v>0.71</v>
      </c>
      <c r="E5" s="4">
        <v>0.64</v>
      </c>
      <c r="F5" s="4">
        <v>0.6</v>
      </c>
      <c r="G5" s="4">
        <v>0.71</v>
      </c>
      <c r="H5" s="4">
        <v>0.81</v>
      </c>
      <c r="I5" s="4">
        <v>0.7</v>
      </c>
      <c r="J5" s="4">
        <v>0.68</v>
      </c>
      <c r="K5" s="4">
        <v>0.73</v>
      </c>
      <c r="L5" s="4">
        <v>0.8</v>
      </c>
      <c r="M5" s="4">
        <v>0.61</v>
      </c>
    </row>
    <row r="6" spans="1:13" x14ac:dyDescent="0.25">
      <c r="A6" t="s">
        <v>29</v>
      </c>
      <c r="B6" s="4">
        <v>0.77</v>
      </c>
      <c r="C6" s="4">
        <v>0.84</v>
      </c>
      <c r="D6" s="4">
        <v>0.69</v>
      </c>
      <c r="E6" s="4">
        <v>0.62</v>
      </c>
      <c r="F6" s="4">
        <v>0.64</v>
      </c>
      <c r="G6" s="4">
        <v>0.72</v>
      </c>
      <c r="H6" s="4">
        <v>0.86</v>
      </c>
      <c r="I6" s="4">
        <v>0.78</v>
      </c>
      <c r="J6" s="4">
        <v>0.93</v>
      </c>
      <c r="K6" s="4">
        <v>0.89</v>
      </c>
      <c r="L6" s="4">
        <v>0.86</v>
      </c>
      <c r="M6" s="4">
        <v>0.95</v>
      </c>
    </row>
    <row r="7" spans="1:13" x14ac:dyDescent="0.25">
      <c r="A7" t="s">
        <v>30</v>
      </c>
      <c r="B7" s="4">
        <v>0.71</v>
      </c>
      <c r="C7" s="4">
        <v>0.83</v>
      </c>
      <c r="D7" s="4">
        <v>0.74</v>
      </c>
      <c r="E7" s="4">
        <v>0.95</v>
      </c>
      <c r="F7" s="4">
        <v>0.95</v>
      </c>
      <c r="G7" s="4">
        <v>0.99</v>
      </c>
      <c r="H7" s="4">
        <v>0.79</v>
      </c>
      <c r="I7" s="4">
        <v>0.72</v>
      </c>
      <c r="J7" s="4">
        <v>0.87</v>
      </c>
      <c r="K7" s="4">
        <v>0.76</v>
      </c>
      <c r="L7" s="4">
        <v>0.86</v>
      </c>
      <c r="M7" s="4">
        <v>0.97</v>
      </c>
    </row>
    <row r="8" spans="1:13" x14ac:dyDescent="0.25">
      <c r="A8" t="s">
        <v>31</v>
      </c>
      <c r="B8" s="4">
        <v>0.67</v>
      </c>
      <c r="C8" s="4">
        <v>0.9</v>
      </c>
      <c r="D8" s="4">
        <v>0.93</v>
      </c>
      <c r="E8" s="4">
        <v>0.83</v>
      </c>
      <c r="F8" s="4">
        <v>0.62</v>
      </c>
      <c r="G8" s="4">
        <v>0.8</v>
      </c>
      <c r="H8" s="4">
        <v>0.84</v>
      </c>
      <c r="I8" s="4">
        <v>0.75</v>
      </c>
      <c r="J8" s="4">
        <v>0.81</v>
      </c>
      <c r="K8" s="4">
        <v>0.8</v>
      </c>
      <c r="L8" s="4">
        <v>0.86</v>
      </c>
      <c r="M8" s="4">
        <v>0.8</v>
      </c>
    </row>
    <row r="9" spans="1:13" x14ac:dyDescent="0.25">
      <c r="A9" t="s">
        <v>32</v>
      </c>
      <c r="B9" s="4">
        <v>0.64</v>
      </c>
      <c r="C9" s="4">
        <v>0.89</v>
      </c>
      <c r="D9" s="4">
        <v>0.65</v>
      </c>
      <c r="E9" s="4">
        <v>0.78</v>
      </c>
      <c r="F9" s="4">
        <v>0.92</v>
      </c>
      <c r="G9" s="4">
        <v>0.78</v>
      </c>
      <c r="H9" s="4">
        <v>0.77</v>
      </c>
      <c r="I9" s="4">
        <v>0.86</v>
      </c>
      <c r="J9" s="4">
        <v>0.75</v>
      </c>
      <c r="K9" s="4">
        <v>0.72</v>
      </c>
      <c r="L9" s="4">
        <v>0.75</v>
      </c>
      <c r="M9" s="4">
        <v>1</v>
      </c>
    </row>
    <row r="10" spans="1:13" x14ac:dyDescent="0.25">
      <c r="A10" t="s">
        <v>33</v>
      </c>
      <c r="B10" s="4">
        <v>0.64</v>
      </c>
      <c r="C10" s="4">
        <v>0.82</v>
      </c>
      <c r="D10" s="4">
        <v>0.85</v>
      </c>
      <c r="E10" s="4">
        <v>0.77</v>
      </c>
      <c r="F10" s="4">
        <v>0.92</v>
      </c>
      <c r="G10" s="4">
        <v>1</v>
      </c>
      <c r="H10" s="4">
        <v>0.9</v>
      </c>
      <c r="I10" s="4">
        <v>0.85</v>
      </c>
      <c r="J10" s="4">
        <v>0.69</v>
      </c>
      <c r="K10" s="4">
        <v>0.86</v>
      </c>
      <c r="L10" s="4">
        <v>0.95</v>
      </c>
      <c r="M10" s="4">
        <v>0.81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2"/>
  <sheetViews>
    <sheetView zoomScale="85" zoomScaleNormal="85" workbookViewId="0"/>
  </sheetViews>
  <sheetFormatPr defaultRowHeight="15" x14ac:dyDescent="0.25"/>
  <sheetData>
    <row r="1" spans="1:13" x14ac:dyDescent="0.25">
      <c r="A1" s="33" t="s">
        <v>21</v>
      </c>
    </row>
    <row r="2" spans="1:13" x14ac:dyDescent="0.25">
      <c r="A2" t="s">
        <v>22</v>
      </c>
    </row>
    <row r="3" spans="1:13" x14ac:dyDescent="0.25"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  <c r="K3" t="s">
        <v>12</v>
      </c>
      <c r="L3" t="s">
        <v>13</v>
      </c>
      <c r="M3" t="s">
        <v>14</v>
      </c>
    </row>
    <row r="4" spans="1:13" x14ac:dyDescent="0.25">
      <c r="A4" t="s">
        <v>26</v>
      </c>
      <c r="B4" s="4">
        <v>0.03</v>
      </c>
      <c r="C4" s="4">
        <v>0.05</v>
      </c>
      <c r="D4" s="4">
        <v>0.02</v>
      </c>
      <c r="E4" s="4">
        <v>0.03</v>
      </c>
      <c r="F4" s="4">
        <v>0.03</v>
      </c>
      <c r="G4" s="4">
        <v>0.04</v>
      </c>
      <c r="H4" s="4">
        <v>0.04</v>
      </c>
      <c r="I4" s="4">
        <v>0.04</v>
      </c>
      <c r="J4" s="4">
        <v>0.02</v>
      </c>
      <c r="K4" s="4">
        <v>0.02</v>
      </c>
      <c r="L4" s="4">
        <v>0.05</v>
      </c>
      <c r="M4" s="4">
        <v>0.05</v>
      </c>
    </row>
    <row r="5" spans="1:13" x14ac:dyDescent="0.25">
      <c r="A5" t="s">
        <v>27</v>
      </c>
      <c r="B5" s="4">
        <v>0.03</v>
      </c>
      <c r="C5" s="4">
        <v>0.04</v>
      </c>
      <c r="D5" s="4">
        <v>0.04</v>
      </c>
      <c r="E5" s="4">
        <v>0.04</v>
      </c>
      <c r="F5" s="4">
        <v>0.05</v>
      </c>
      <c r="G5" s="4">
        <v>0.05</v>
      </c>
      <c r="H5" s="4">
        <v>0.04</v>
      </c>
      <c r="I5" s="4">
        <v>0.05</v>
      </c>
      <c r="J5" s="4">
        <v>0.05</v>
      </c>
      <c r="K5" s="4">
        <v>0.04</v>
      </c>
      <c r="L5" s="4">
        <v>0.03</v>
      </c>
      <c r="M5" s="4">
        <v>0.02</v>
      </c>
    </row>
    <row r="6" spans="1:13" x14ac:dyDescent="0.25">
      <c r="A6" t="s">
        <v>28</v>
      </c>
      <c r="B6" s="4">
        <v>0.03</v>
      </c>
      <c r="C6" s="4">
        <v>0.02</v>
      </c>
      <c r="D6" s="4">
        <v>0.03</v>
      </c>
      <c r="E6" s="4">
        <v>0.03</v>
      </c>
      <c r="F6" s="4">
        <v>0.04</v>
      </c>
      <c r="G6" s="4">
        <v>0.02</v>
      </c>
      <c r="H6" s="4">
        <v>0.02</v>
      </c>
      <c r="I6" s="4">
        <v>0.04</v>
      </c>
      <c r="J6" s="4">
        <v>0.03</v>
      </c>
      <c r="K6" s="4">
        <v>0.02</v>
      </c>
      <c r="L6" s="4">
        <v>0.04</v>
      </c>
      <c r="M6" s="4">
        <v>0.05</v>
      </c>
    </row>
    <row r="7" spans="1:13" x14ac:dyDescent="0.25">
      <c r="A7" t="s">
        <v>29</v>
      </c>
      <c r="B7" s="4">
        <v>0.05</v>
      </c>
      <c r="C7" s="4">
        <v>0.04</v>
      </c>
      <c r="D7" s="4">
        <v>0.03</v>
      </c>
      <c r="E7" s="4">
        <v>0.02</v>
      </c>
      <c r="F7" s="4">
        <v>0.04</v>
      </c>
      <c r="G7" s="4">
        <v>0.05</v>
      </c>
      <c r="H7" s="4">
        <v>0.04</v>
      </c>
      <c r="I7" s="4">
        <v>0.05</v>
      </c>
      <c r="J7" s="4">
        <v>0.04</v>
      </c>
      <c r="K7" s="4">
        <v>0.02</v>
      </c>
      <c r="L7" s="4">
        <v>0.03</v>
      </c>
      <c r="M7" s="4">
        <v>0.03</v>
      </c>
    </row>
    <row r="8" spans="1:13" x14ac:dyDescent="0.25">
      <c r="A8" t="s">
        <v>30</v>
      </c>
      <c r="B8" s="4">
        <v>0.05</v>
      </c>
      <c r="C8" s="4">
        <v>0.05</v>
      </c>
      <c r="D8" s="4">
        <v>0.02</v>
      </c>
      <c r="E8" s="4">
        <v>0.04</v>
      </c>
      <c r="F8" s="4">
        <v>0.05</v>
      </c>
      <c r="G8" s="4">
        <v>0.05</v>
      </c>
      <c r="H8" s="4">
        <v>0.04</v>
      </c>
      <c r="I8" s="4">
        <v>0.03</v>
      </c>
      <c r="J8" s="4">
        <v>0.05</v>
      </c>
      <c r="K8" s="4">
        <v>0.05</v>
      </c>
      <c r="L8" s="4">
        <v>0.04</v>
      </c>
      <c r="M8" s="4">
        <v>0.02</v>
      </c>
    </row>
    <row r="9" spans="1:13" x14ac:dyDescent="0.25">
      <c r="A9" t="s">
        <v>31</v>
      </c>
      <c r="B9" s="4">
        <v>0.03</v>
      </c>
      <c r="C9" s="4">
        <v>0.04</v>
      </c>
      <c r="D9" s="4">
        <v>0.04</v>
      </c>
      <c r="E9" s="4">
        <v>0.02</v>
      </c>
      <c r="F9" s="4">
        <v>0.02</v>
      </c>
      <c r="G9" s="4">
        <v>0.02</v>
      </c>
      <c r="H9" s="4">
        <v>0.03</v>
      </c>
      <c r="I9" s="4">
        <v>0.04</v>
      </c>
      <c r="J9" s="4">
        <v>0.04</v>
      </c>
      <c r="K9" s="4">
        <v>0.05</v>
      </c>
      <c r="L9" s="4">
        <v>0.02</v>
      </c>
      <c r="M9" s="4">
        <v>0.03</v>
      </c>
    </row>
    <row r="10" spans="1:13" x14ac:dyDescent="0.25">
      <c r="A10" t="s">
        <v>32</v>
      </c>
      <c r="B10" s="4">
        <v>0.03</v>
      </c>
      <c r="C10" s="4">
        <v>0.02</v>
      </c>
      <c r="D10" s="4">
        <v>0.03</v>
      </c>
      <c r="E10" s="4">
        <v>0.04</v>
      </c>
      <c r="F10" s="4">
        <v>0.04</v>
      </c>
      <c r="G10" s="4">
        <v>0.05</v>
      </c>
      <c r="H10" s="4">
        <v>0.03</v>
      </c>
      <c r="I10" s="4">
        <v>0.02</v>
      </c>
      <c r="J10" s="4">
        <v>0.04</v>
      </c>
      <c r="K10" s="4">
        <v>0.04</v>
      </c>
      <c r="L10" s="4">
        <v>0.04</v>
      </c>
      <c r="M10" s="4">
        <v>0.03</v>
      </c>
    </row>
    <row r="11" spans="1:13" x14ac:dyDescent="0.25">
      <c r="A11" t="s">
        <v>33</v>
      </c>
      <c r="B11" s="4">
        <v>0.03</v>
      </c>
      <c r="C11" s="4">
        <v>0.03</v>
      </c>
      <c r="D11" s="4">
        <v>0.05</v>
      </c>
      <c r="E11" s="4">
        <v>0.03</v>
      </c>
      <c r="F11" s="4">
        <v>0.04</v>
      </c>
      <c r="G11" s="4">
        <v>0.05</v>
      </c>
      <c r="H11" s="4">
        <v>0.04</v>
      </c>
      <c r="I11" s="4">
        <v>0.03</v>
      </c>
      <c r="J11" s="4">
        <v>0.05</v>
      </c>
      <c r="K11" s="4">
        <v>0.05</v>
      </c>
      <c r="L11" s="4">
        <v>0.03</v>
      </c>
      <c r="M11" s="4">
        <v>0.05</v>
      </c>
    </row>
    <row r="12" spans="1:13" x14ac:dyDescent="0.25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 x14ac:dyDescent="0.25">
      <c r="A13" t="s">
        <v>23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 x14ac:dyDescent="0.25">
      <c r="B14" s="4" t="s">
        <v>3</v>
      </c>
      <c r="C14" s="4" t="s">
        <v>4</v>
      </c>
      <c r="D14" s="4" t="s">
        <v>5</v>
      </c>
      <c r="E14" s="4" t="s">
        <v>6</v>
      </c>
      <c r="F14" s="4" t="s">
        <v>7</v>
      </c>
      <c r="G14" s="4" t="s">
        <v>8</v>
      </c>
      <c r="H14" s="4" t="s">
        <v>9</v>
      </c>
      <c r="I14" s="4" t="s">
        <v>10</v>
      </c>
      <c r="J14" s="4" t="s">
        <v>11</v>
      </c>
      <c r="K14" s="4" t="s">
        <v>12</v>
      </c>
      <c r="L14" s="4" t="s">
        <v>13</v>
      </c>
      <c r="M14" s="4" t="s">
        <v>14</v>
      </c>
    </row>
    <row r="15" spans="1:13" x14ac:dyDescent="0.25">
      <c r="A15" t="s">
        <v>26</v>
      </c>
      <c r="B15" s="4">
        <v>0.06</v>
      </c>
      <c r="C15" s="4">
        <v>0.03</v>
      </c>
      <c r="D15" s="4">
        <v>7.0000000000000007E-2</v>
      </c>
      <c r="E15" s="4">
        <v>0.06</v>
      </c>
      <c r="F15" s="4">
        <v>0.03</v>
      </c>
      <c r="G15" s="4">
        <v>0.06</v>
      </c>
      <c r="H15" s="4">
        <v>0.04</v>
      </c>
      <c r="I15" s="4">
        <v>0.04</v>
      </c>
      <c r="J15" s="4">
        <v>0.08</v>
      </c>
      <c r="K15" s="4">
        <v>7.0000000000000007E-2</v>
      </c>
      <c r="L15" s="4">
        <v>0.05</v>
      </c>
      <c r="M15" s="4">
        <v>7.0000000000000007E-2</v>
      </c>
    </row>
    <row r="16" spans="1:13" x14ac:dyDescent="0.25">
      <c r="A16" t="s">
        <v>27</v>
      </c>
      <c r="B16" s="4">
        <v>7.0000000000000007E-2</v>
      </c>
      <c r="C16" s="4">
        <v>0.06</v>
      </c>
      <c r="D16" s="4">
        <v>0.04</v>
      </c>
      <c r="E16" s="4">
        <v>0.04</v>
      </c>
      <c r="F16" s="4">
        <v>0.05</v>
      </c>
      <c r="G16" s="4">
        <v>0.08</v>
      </c>
      <c r="H16" s="4">
        <v>0.1</v>
      </c>
      <c r="I16" s="4">
        <v>0.08</v>
      </c>
      <c r="J16" s="4">
        <v>0.06</v>
      </c>
      <c r="K16" s="4">
        <v>0.05</v>
      </c>
      <c r="L16" s="4">
        <v>0.06</v>
      </c>
      <c r="M16" s="4">
        <v>0.08</v>
      </c>
    </row>
    <row r="17" spans="1:13" x14ac:dyDescent="0.25">
      <c r="A17" t="s">
        <v>28</v>
      </c>
      <c r="B17" s="4">
        <v>7.0000000000000007E-2</v>
      </c>
      <c r="C17" s="4">
        <v>0.06</v>
      </c>
      <c r="D17" s="4">
        <v>0.03</v>
      </c>
      <c r="E17" s="4">
        <v>7.0000000000000007E-2</v>
      </c>
      <c r="F17" s="4">
        <v>7.0000000000000007E-2</v>
      </c>
      <c r="G17" s="4">
        <v>7.0000000000000007E-2</v>
      </c>
      <c r="H17" s="4">
        <v>0.09</v>
      </c>
      <c r="I17" s="4">
        <v>0.09</v>
      </c>
      <c r="J17" s="4">
        <v>7.0000000000000007E-2</v>
      </c>
      <c r="K17" s="4">
        <v>0.05</v>
      </c>
      <c r="L17" s="4">
        <v>0.1</v>
      </c>
      <c r="M17" s="4">
        <v>0.09</v>
      </c>
    </row>
    <row r="18" spans="1:13" x14ac:dyDescent="0.25">
      <c r="A18" t="s">
        <v>29</v>
      </c>
      <c r="B18" s="4">
        <v>0.08</v>
      </c>
      <c r="C18" s="4">
        <v>0.05</v>
      </c>
      <c r="D18" s="4">
        <v>7.0000000000000007E-2</v>
      </c>
      <c r="E18" s="4">
        <v>0.05</v>
      </c>
      <c r="F18" s="4">
        <v>7.0000000000000007E-2</v>
      </c>
      <c r="G18" s="4">
        <v>0.09</v>
      </c>
      <c r="H18" s="4">
        <v>0.06</v>
      </c>
      <c r="I18" s="4">
        <v>0.05</v>
      </c>
      <c r="J18" s="4">
        <v>0.02</v>
      </c>
      <c r="K18" s="4">
        <v>0.03</v>
      </c>
      <c r="L18" s="4">
        <v>0.05</v>
      </c>
      <c r="M18" s="4">
        <v>0.02</v>
      </c>
    </row>
    <row r="19" spans="1:13" x14ac:dyDescent="0.25">
      <c r="A19" t="s">
        <v>30</v>
      </c>
      <c r="B19" s="4">
        <v>0.05</v>
      </c>
      <c r="C19" s="4">
        <v>0.04</v>
      </c>
      <c r="D19" s="4">
        <v>7.0000000000000007E-2</v>
      </c>
      <c r="E19" s="4">
        <v>0.08</v>
      </c>
      <c r="F19" s="4">
        <v>0.06</v>
      </c>
      <c r="G19" s="4">
        <v>0.05</v>
      </c>
      <c r="H19" s="4">
        <v>7.0000000000000007E-2</v>
      </c>
      <c r="I19" s="4">
        <v>0.04</v>
      </c>
      <c r="J19" s="4">
        <v>0.03</v>
      </c>
      <c r="K19" s="4">
        <v>0.03</v>
      </c>
      <c r="L19" s="4">
        <v>0.05</v>
      </c>
      <c r="M19" s="4">
        <v>0.03</v>
      </c>
    </row>
    <row r="20" spans="1:13" x14ac:dyDescent="0.25">
      <c r="A20" t="s">
        <v>31</v>
      </c>
      <c r="B20" s="4">
        <v>7.0000000000000007E-2</v>
      </c>
      <c r="C20" s="4">
        <v>0.04</v>
      </c>
      <c r="D20" s="4">
        <v>0.06</v>
      </c>
      <c r="E20" s="4">
        <v>0.03</v>
      </c>
      <c r="F20" s="4">
        <v>0.06</v>
      </c>
      <c r="G20" s="4">
        <v>0.08</v>
      </c>
      <c r="H20" s="4">
        <v>0.05</v>
      </c>
      <c r="I20" s="4">
        <v>0.06</v>
      </c>
      <c r="J20" s="4">
        <v>0.08</v>
      </c>
      <c r="K20" s="4">
        <v>0.08</v>
      </c>
      <c r="L20" s="4">
        <v>7.0000000000000007E-2</v>
      </c>
      <c r="M20" s="4">
        <v>0.05</v>
      </c>
    </row>
    <row r="21" spans="1:13" x14ac:dyDescent="0.25">
      <c r="A21" t="s">
        <v>32</v>
      </c>
      <c r="B21" s="4">
        <v>0.02</v>
      </c>
      <c r="C21" s="4">
        <v>0.03</v>
      </c>
      <c r="D21" s="4">
        <v>0.06</v>
      </c>
      <c r="E21" s="4">
        <v>0.04</v>
      </c>
      <c r="F21" s="4">
        <v>7.0000000000000007E-2</v>
      </c>
      <c r="G21" s="4">
        <v>0.09</v>
      </c>
      <c r="H21" s="4">
        <v>0.08</v>
      </c>
      <c r="I21" s="4">
        <v>0.1</v>
      </c>
      <c r="J21" s="4">
        <v>7.0000000000000007E-2</v>
      </c>
      <c r="K21" s="4">
        <v>0.06</v>
      </c>
      <c r="L21" s="4">
        <v>7.0000000000000007E-2</v>
      </c>
      <c r="M21" s="4">
        <v>0.06</v>
      </c>
    </row>
    <row r="22" spans="1:13" x14ac:dyDescent="0.25">
      <c r="A22" t="s">
        <v>33</v>
      </c>
      <c r="B22" s="4">
        <v>0.05</v>
      </c>
      <c r="C22" s="4">
        <v>0.03</v>
      </c>
      <c r="D22" s="4">
        <v>7.0000000000000007E-2</v>
      </c>
      <c r="E22" s="4">
        <v>0.04</v>
      </c>
      <c r="F22" s="4">
        <v>0.06</v>
      </c>
      <c r="G22" s="4">
        <v>0.05</v>
      </c>
      <c r="H22" s="4">
        <v>0.05</v>
      </c>
      <c r="I22" s="4">
        <v>0.08</v>
      </c>
      <c r="J22" s="4">
        <v>0.1</v>
      </c>
      <c r="K22" s="4">
        <v>7.0000000000000007E-2</v>
      </c>
      <c r="L22" s="4">
        <v>0.09</v>
      </c>
      <c r="M22" s="4">
        <v>0.06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Helper</vt:lpstr>
      <vt:lpstr>Revenue</vt:lpstr>
      <vt:lpstr>Costs</vt:lpstr>
      <vt:lpstr>Profit</vt:lpstr>
      <vt:lpstr>Efficiency</vt:lpstr>
      <vt:lpstr>Turnover Rate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Melih Met (TR - Duzce)</dc:creator>
  <cp:lastModifiedBy>Melih Met (TR - Duzce)</cp:lastModifiedBy>
  <cp:lastPrinted>2014-05-15T06:55:29Z</cp:lastPrinted>
  <dcterms:created xsi:type="dcterms:W3CDTF">2014-05-12T06:47:46Z</dcterms:created>
  <dcterms:modified xsi:type="dcterms:W3CDTF">2014-05-15T07:34:41Z</dcterms:modified>
</cp:coreProperties>
</file>