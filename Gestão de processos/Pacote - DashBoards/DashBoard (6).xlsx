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EXCEL365.HU_ENGLISH_BLOG\BLOG CIKKEK\002 - Excel KPI Dashboard with Gauge control\"/>
    </mc:Choice>
  </mc:AlternateContent>
  <bookViews>
    <workbookView xWindow="120" yWindow="180" windowWidth="4155" windowHeight="3750"/>
  </bookViews>
  <sheets>
    <sheet name="FINAL" sheetId="7" r:id="rId1"/>
  </sheets>
  <definedNames>
    <definedName name="Radius" localSheetId="0">FINAL!$B$2</definedName>
    <definedName name="XCenter" localSheetId="0">FINAL!$B$3</definedName>
    <definedName name="XCenter">#REF!</definedName>
    <definedName name="YCenter" localSheetId="0">FINAL!$C$3</definedName>
  </definedNames>
  <calcPr calcId="152511"/>
  <customWorkbookViews>
    <customWorkbookView name="P - Personal View" guid="{7DF3C4E7-C833-4A1A-B84A-65290EF17718}" mergeInterval="0" personalView="1" maximized="1" windowWidth="1276" windowHeight="575" activeSheetId="1"/>
  </customWorkbookViews>
</workbook>
</file>

<file path=xl/calcChain.xml><?xml version="1.0" encoding="utf-8"?>
<calcChain xmlns="http://schemas.openxmlformats.org/spreadsheetml/2006/main">
  <c r="I3" i="7" l="1"/>
  <c r="H3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4" i="7"/>
  <c r="G11" i="7"/>
  <c r="G10" i="7"/>
  <c r="G9" i="7"/>
  <c r="G8" i="7"/>
  <c r="G13" i="7" l="1"/>
  <c r="G5" i="7" s="1"/>
  <c r="H4" i="7" s="1"/>
  <c r="G14" i="7"/>
  <c r="I4" i="7" l="1"/>
</calcChain>
</file>

<file path=xl/sharedStrings.xml><?xml version="1.0" encoding="utf-8"?>
<sst xmlns="http://schemas.openxmlformats.org/spreadsheetml/2006/main" count="14" uniqueCount="14">
  <si>
    <t>Radius</t>
  </si>
  <si>
    <t>XY Centre</t>
  </si>
  <si>
    <t>X</t>
  </si>
  <si>
    <t>Y</t>
  </si>
  <si>
    <t>SPEED</t>
  </si>
  <si>
    <t>CALCULATED ANGLE</t>
  </si>
  <si>
    <t>NEEDLE LENGHT</t>
  </si>
  <si>
    <t>MIN ANGLE USED</t>
  </si>
  <si>
    <t>MAX ANGLE USED</t>
  </si>
  <si>
    <t>MIN VALUE USED</t>
  </si>
  <si>
    <t>MAX VALUE USED</t>
  </si>
  <si>
    <t>ANGLE GAP</t>
  </si>
  <si>
    <t>VALUE GAP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</si>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</sst>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  <charset val="238"/>
    </font>
    <font>
      <b/>
      <sz val="10"/>
      <color theme="0"/>
      <name val="Calibri"/>
      <family val="2"/>
      <charset val="238"/>
      <scheme val="minor"/>
    </font>
    <font>
      <sz val="10"/>
      <color theme="0"/>
      <name val="Calibri"/>
      <family val="2"/>
      <charset val="238"/>
      <scheme val="minor"/>
    </font>
    <font>
      <sz val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Fill="1"/>
    <xf numFmtId="0" fontId="2" fillId="0" borderId="7" xfId="0" applyFont="1" applyFill="1" applyBorder="1"/>
    <xf numFmtId="0" fontId="3" fillId="0" borderId="7" xfId="0" applyFont="1" applyFill="1" applyBorder="1"/>
    <xf numFmtId="0" fontId="4" fillId="0" borderId="0" xfId="0" applyFont="1" applyFill="1" applyBorder="1"/>
    <xf numFmtId="0" fontId="4" fillId="0" borderId="0" xfId="0" applyFont="1" applyFill="1"/>
    <xf numFmtId="0" fontId="2" fillId="0" borderId="8" xfId="0" applyFont="1" applyFill="1" applyBorder="1"/>
    <xf numFmtId="0" fontId="3" fillId="0" borderId="1" xfId="0" applyFont="1" applyFill="1" applyBorder="1"/>
    <xf numFmtId="0" fontId="2" fillId="0" borderId="6" xfId="0" applyFont="1" applyFill="1" applyBorder="1"/>
    <xf numFmtId="0" fontId="4" fillId="0" borderId="9" xfId="0" applyFont="1" applyFill="1" applyBorder="1"/>
    <xf numFmtId="2" fontId="4" fillId="0" borderId="4" xfId="0" applyNumberFormat="1" applyFont="1" applyFill="1" applyBorder="1"/>
    <xf numFmtId="0" fontId="4" fillId="0" borderId="4" xfId="0" applyFont="1" applyFill="1" applyBorder="1"/>
    <xf numFmtId="0" fontId="4" fillId="0" borderId="5" xfId="0" applyFont="1" applyFill="1" applyBorder="1"/>
    <xf numFmtId="0" fontId="4" fillId="0" borderId="2" xfId="0" applyFont="1" applyFill="1" applyBorder="1"/>
    <xf numFmtId="2" fontId="4" fillId="0" borderId="3" xfId="0" applyNumberFormat="1" applyFont="1" applyFill="1" applyBorder="1"/>
    <xf numFmtId="0" fontId="4" fillId="0" borderId="3" xfId="0" applyFont="1" applyFill="1" applyBorder="1"/>
    <xf numFmtId="0" fontId="4" fillId="0" borderId="0" xfId="0" applyFont="1" applyFill="1" applyAlignment="1">
      <alignment horizontal="left"/>
    </xf>
    <xf numFmtId="0" fontId="4" fillId="0" borderId="1" xfId="0" applyFont="1" applyFill="1" applyBorder="1"/>
    <xf numFmtId="2" fontId="4" fillId="0" borderId="6" xfId="0" applyNumberFormat="1" applyFont="1" applyFill="1" applyBorder="1"/>
    <xf numFmtId="0" fontId="4" fillId="0" borderId="6" xfId="0" applyFont="1" applyFill="1" applyBorder="1"/>
    <xf numFmtId="2" fontId="4" fillId="0" borderId="5" xfId="0" applyNumberFormat="1" applyFont="1" applyFill="1" applyBorder="1"/>
    <xf numFmtId="0" fontId="4" fillId="0" borderId="0" xfId="0" applyFont="1" applyFill="1" applyAlignment="1">
      <alignment horizontal="right"/>
    </xf>
    <xf numFmtId="0" fontId="1" fillId="0" borderId="0" xfId="0" quotePrefix="1" applyFont="1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371495229762946E-2"/>
          <c:y val="2.7319960917294099E-2"/>
          <c:w val="0.85505145190184562"/>
          <c:h val="0.90883199063912723"/>
        </c:manualLayout>
      </c:layout>
      <c:scatterChart>
        <c:scatterStyle val="smoothMarker"/>
        <c:varyColors val="0"/>
        <c:ser>
          <c:idx val="1"/>
          <c:order val="0"/>
          <c:tx>
            <c:v>Needle</c:v>
          </c:tx>
          <c:spPr>
            <a:ln w="66675">
              <a:solidFill>
                <a:schemeClr val="bg2">
                  <a:lumMod val="90000"/>
                </a:schemeClr>
              </a:solidFill>
              <a:prstDash val="solid"/>
            </a:ln>
            <a:effectLst>
              <a:outerShdw blurRad="114300" dist="139700" dir="5460000" sx="96000" sy="96000" algn="t" rotWithShape="0">
                <a:prstClr val="black">
                  <a:alpha val="54000"/>
                </a:prstClr>
              </a:outerShdw>
            </a:effectLst>
          </c:spPr>
          <c:marker>
            <c:symbol val="none"/>
          </c:marker>
          <c:xVal>
            <c:numRef>
              <c:f>FINAL!$H$3:$H$4</c:f>
              <c:numCache>
                <c:formatCode>General</c:formatCode>
                <c:ptCount val="2"/>
                <c:pt idx="0">
                  <c:v>5</c:v>
                </c:pt>
                <c:pt idx="1">
                  <c:v>1.8265866388350593</c:v>
                </c:pt>
              </c:numCache>
            </c:numRef>
          </c:xVal>
          <c:yVal>
            <c:numRef>
              <c:f>FINAL!$I$3:$I$4</c:f>
              <c:numCache>
                <c:formatCode>General</c:formatCode>
                <c:ptCount val="2"/>
                <c:pt idx="0">
                  <c:v>5</c:v>
                </c:pt>
                <c:pt idx="1">
                  <c:v>2.5649542839651174</c:v>
                </c:pt>
              </c:numCache>
            </c:numRef>
          </c:yVal>
          <c:smooth val="1"/>
        </c:ser>
        <c:ser>
          <c:idx val="2"/>
          <c:order val="1"/>
          <c:tx>
            <c:v>Centre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FINAL!$H$3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FINAL!$I$3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31528"/>
        <c:axId val="96042744"/>
      </c:scatterChart>
      <c:valAx>
        <c:axId val="149831528"/>
        <c:scaling>
          <c:orientation val="minMax"/>
          <c:max val="10"/>
        </c:scaling>
        <c:delete val="1"/>
        <c:axPos val="b"/>
        <c:numFmt formatCode="General" sourceLinked="1"/>
        <c:majorTickMark val="out"/>
        <c:minorTickMark val="none"/>
        <c:tickLblPos val="nextTo"/>
        <c:crossAx val="96042744"/>
        <c:crosses val="autoZero"/>
        <c:crossBetween val="midCat"/>
      </c:valAx>
      <c:valAx>
        <c:axId val="96042744"/>
        <c:scaling>
          <c:orientation val="minMax"/>
          <c:max val="10"/>
        </c:scaling>
        <c:delete val="1"/>
        <c:axPos val="l"/>
        <c:numFmt formatCode="General" sourceLinked="1"/>
        <c:majorTickMark val="out"/>
        <c:minorTickMark val="none"/>
        <c:tickLblPos val="nextTo"/>
        <c:crossAx val="1498315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trlProps/ctrlProp1.xml><?xml version="1.0" encoding="utf-8"?>
<formControlPr xmlns="http://schemas.microsoft.com/office/spreadsheetml/2009/9/main" objectType="Spin" dx="16" fmlaLink="$G$4" inc="5" max="200" page="10" val="15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276225</xdr:colOff>
      <xdr:row>2</xdr:row>
      <xdr:rowOff>78102</xdr:rowOff>
    </xdr:from>
    <xdr:to>
      <xdr:col>13</xdr:col>
      <xdr:colOff>447675</xdr:colOff>
      <xdr:row>22</xdr:row>
      <xdr:rowOff>154302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8438" y1="54688" x2="18438" y2="54688"/>
                      <a14:foregroundMark x1="20000" y1="32422" x2="20000" y2="32422"/>
                      <a14:foregroundMark x1="56250" y1="35938" x2="56250" y2="35938"/>
                      <a14:foregroundMark x1="60625" y1="68359" x2="60625" y2="68359"/>
                      <a14:foregroundMark x1="65312" y1="85938" x2="65312" y2="85938"/>
                      <a14:foregroundMark x1="77500" y1="55859" x2="77500" y2="55859"/>
                      <a14:foregroundMark x1="71563" y1="25000" x2="71563" y2="25000"/>
                      <a14:foregroundMark x1="74063" y1="21094" x2="74063" y2="21094"/>
                      <a14:foregroundMark x1="31875" y1="16406" x2="31875" y2="16406"/>
                      <a14:foregroundMark x1="36875" y1="11719" x2="36875" y2="11719"/>
                      <a14:foregroundMark x1="47500" y1="23047" x2="47500" y2="23047"/>
                      <a14:foregroundMark x1="44375" y1="38281" x2="44375" y2="38281"/>
                      <a14:foregroundMark x1="42500" y1="53906" x2="42500" y2="53906"/>
                      <a14:foregroundMark x1="26563" y1="68750" x2="26563" y2="68750"/>
                      <a14:foregroundMark x1="35313" y1="86719" x2="35313" y2="86719"/>
                      <a14:foregroundMark x1="73438" y1="69922" x2="73438" y2="69922"/>
                      <a14:foregroundMark x1="75625" y1="76563" x2="75625" y2="76563"/>
                      <a14:foregroundMark x1="59375" y1="53516" x2="59375" y2="53516"/>
                      <a14:foregroundMark x1="58750" y1="41797" x2="58750" y2="41797"/>
                      <a14:foregroundMark x1="74063" y1="35156" x2="74063" y2="35156"/>
                      <a14:foregroundMark x1="62813" y1="11719" x2="62813" y2="11719"/>
                    </a14:backgroundRemoval>
                  </a14:imgEffect>
                  <a14:imgEffect>
                    <a14:colorTemperature colorTemp="72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48250" y="478152"/>
          <a:ext cx="4143375" cy="33147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8</xdr:col>
      <xdr:colOff>133350</xdr:colOff>
      <xdr:row>5</xdr:row>
      <xdr:rowOff>0</xdr:rowOff>
    </xdr:from>
    <xdr:to>
      <xdr:col>12</xdr:col>
      <xdr:colOff>504825</xdr:colOff>
      <xdr:row>21</xdr:row>
      <xdr:rowOff>19050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123825</xdr:colOff>
          <xdr:row>14</xdr:row>
          <xdr:rowOff>123825</xdr:rowOff>
        </xdr:from>
        <xdr:to>
          <xdr:col>5</xdr:col>
          <xdr:colOff>542925</xdr:colOff>
          <xdr:row>17</xdr:row>
          <xdr:rowOff>123825</xdr:rowOff>
        </xdr:to>
        <xdr:sp macro="" textlink="">
          <xdr:nvSpPr>
            <xdr:cNvPr id="13315" name="Spinner 3" hidden="1">
              <a:extLst>
                <a:ext uri="{63B3BB69-23CF-44E3-9099-C40C66FF867C}">
                  <a14:compatExt spid="_x0000_s13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Q33"/>
  <sheetViews>
    <sheetView tabSelected="1" topLeftCell="A3" workbookViewId="0">
      <selection activeCell="G19" sqref="G19"/>
    </sheetView>
  </sheetViews>
  <sheetFormatPr defaultRowHeight="12.75" x14ac:dyDescent="0.2"/>
  <cols>
    <col min="1" max="1" width="8.85546875" style="5" bestFit="1" customWidth="1"/>
    <col min="2" max="2" width="4.42578125" style="5" bestFit="1" customWidth="1"/>
    <col min="3" max="3" width="2" style="5" bestFit="1" customWidth="1"/>
    <col min="4" max="4" width="5.85546875" style="5" bestFit="1" customWidth="1"/>
    <col min="5" max="5" width="9.140625" style="5"/>
    <col min="6" max="6" width="15.85546875" style="5" bestFit="1" customWidth="1"/>
    <col min="7" max="7" width="6" style="5" bestFit="1" customWidth="1"/>
    <col min="8" max="8" width="11" style="1" bestFit="1" customWidth="1"/>
    <col min="9" max="9" width="12" style="1" bestFit="1" customWidth="1"/>
    <col min="10" max="16384" width="9.140625" style="1"/>
  </cols>
  <sheetData>
    <row r="2" spans="1:9" x14ac:dyDescent="0.2">
      <c r="A2" s="2" t="s">
        <v>0</v>
      </c>
      <c r="B2" s="3">
        <v>2.5</v>
      </c>
      <c r="C2" s="4"/>
      <c r="H2" s="1" t="s">
        <v>2</v>
      </c>
      <c r="I2" s="1" t="s">
        <v>3</v>
      </c>
    </row>
    <row r="3" spans="1:9" x14ac:dyDescent="0.2">
      <c r="A3" s="6" t="s">
        <v>1</v>
      </c>
      <c r="B3" s="7">
        <v>5</v>
      </c>
      <c r="C3" s="7">
        <v>5</v>
      </c>
      <c r="D3" s="8" t="s">
        <v>13</v>
      </c>
      <c r="H3" s="1">
        <f>XCenter</f>
        <v>5</v>
      </c>
      <c r="I3" s="1">
        <f>YCenter</f>
        <v>5</v>
      </c>
    </row>
    <row r="4" spans="1:9" x14ac:dyDescent="0.2">
      <c r="A4" s="9">
        <v>240</v>
      </c>
      <c r="B4" s="10">
        <f t="shared" ref="B4:B18" si="0">Radius*COS(RADIANS($A4))+$B$3</f>
        <v>3.7499999999999991</v>
      </c>
      <c r="C4" s="11"/>
      <c r="D4" s="12">
        <v>0</v>
      </c>
      <c r="F4" s="5" t="s">
        <v>4</v>
      </c>
      <c r="G4" s="5">
        <v>15</v>
      </c>
      <c r="H4" s="1">
        <f>G6*COS(RADIANS(G5))+B$3</f>
        <v>1.8265866388350593</v>
      </c>
      <c r="I4" s="1">
        <f>G6*SIN(RADIANS(G5))+C$3</f>
        <v>2.5649542839651174</v>
      </c>
    </row>
    <row r="5" spans="1:9" x14ac:dyDescent="0.2">
      <c r="A5" s="13">
        <v>225</v>
      </c>
      <c r="B5" s="14">
        <f t="shared" si="0"/>
        <v>3.2322330470336307</v>
      </c>
      <c r="C5" s="15"/>
      <c r="D5" s="15">
        <v>10</v>
      </c>
      <c r="F5" s="16" t="s">
        <v>5</v>
      </c>
      <c r="G5" s="5">
        <f>G9-(G13/G14)*G4</f>
        <v>217.5</v>
      </c>
    </row>
    <row r="6" spans="1:9" x14ac:dyDescent="0.2">
      <c r="A6" s="17">
        <v>210</v>
      </c>
      <c r="B6" s="18">
        <f t="shared" si="0"/>
        <v>2.8349364905389036</v>
      </c>
      <c r="C6" s="19"/>
      <c r="D6" s="19">
        <v>20</v>
      </c>
      <c r="F6" s="16" t="s">
        <v>6</v>
      </c>
      <c r="G6" s="5">
        <v>4</v>
      </c>
    </row>
    <row r="7" spans="1:9" x14ac:dyDescent="0.2">
      <c r="A7" s="11">
        <v>195</v>
      </c>
      <c r="B7" s="20">
        <f t="shared" si="0"/>
        <v>2.5851854342773293</v>
      </c>
      <c r="C7" s="12"/>
      <c r="D7" s="12">
        <v>30</v>
      </c>
    </row>
    <row r="8" spans="1:9" x14ac:dyDescent="0.2">
      <c r="A8" s="13">
        <v>180</v>
      </c>
      <c r="B8" s="14">
        <f t="shared" si="0"/>
        <v>2.5</v>
      </c>
      <c r="C8" s="15"/>
      <c r="D8" s="15">
        <v>40</v>
      </c>
      <c r="F8" s="16" t="s">
        <v>7</v>
      </c>
      <c r="G8" s="5">
        <f>MIN(A4:A18)</f>
        <v>30</v>
      </c>
    </row>
    <row r="9" spans="1:9" x14ac:dyDescent="0.2">
      <c r="A9" s="17">
        <v>165</v>
      </c>
      <c r="B9" s="18">
        <f t="shared" si="0"/>
        <v>2.5851854342773297</v>
      </c>
      <c r="C9" s="19"/>
      <c r="D9" s="19">
        <v>50</v>
      </c>
      <c r="F9" s="16" t="s">
        <v>8</v>
      </c>
      <c r="G9" s="5">
        <f>MAX(A4:A18)</f>
        <v>240</v>
      </c>
    </row>
    <row r="10" spans="1:9" x14ac:dyDescent="0.2">
      <c r="A10" s="11">
        <v>150</v>
      </c>
      <c r="B10" s="20">
        <f t="shared" si="0"/>
        <v>2.8349364905389032</v>
      </c>
      <c r="C10" s="12"/>
      <c r="D10" s="12">
        <v>60</v>
      </c>
      <c r="F10" s="16" t="s">
        <v>9</v>
      </c>
      <c r="G10" s="5">
        <f>MIN(D4:D18)</f>
        <v>0</v>
      </c>
    </row>
    <row r="11" spans="1:9" x14ac:dyDescent="0.2">
      <c r="A11" s="17">
        <v>135</v>
      </c>
      <c r="B11" s="18">
        <f t="shared" si="0"/>
        <v>3.2322330470336311</v>
      </c>
      <c r="C11" s="19"/>
      <c r="D11" s="19">
        <v>70</v>
      </c>
      <c r="F11" s="16" t="s">
        <v>10</v>
      </c>
      <c r="G11" s="5">
        <f>MAX(D4:D18)</f>
        <v>140</v>
      </c>
    </row>
    <row r="12" spans="1:9" x14ac:dyDescent="0.2">
      <c r="A12" s="11">
        <v>120</v>
      </c>
      <c r="B12" s="20">
        <f t="shared" si="0"/>
        <v>3.7500000000000004</v>
      </c>
      <c r="C12" s="12"/>
      <c r="D12" s="12">
        <v>80</v>
      </c>
    </row>
    <row r="13" spans="1:9" x14ac:dyDescent="0.2">
      <c r="A13" s="17">
        <v>105</v>
      </c>
      <c r="B13" s="18">
        <f t="shared" si="0"/>
        <v>4.3529523872436977</v>
      </c>
      <c r="C13" s="19"/>
      <c r="D13" s="19">
        <v>90</v>
      </c>
      <c r="F13" s="5" t="s">
        <v>11</v>
      </c>
      <c r="G13" s="5">
        <f>ABS(G8-G9)</f>
        <v>210</v>
      </c>
    </row>
    <row r="14" spans="1:9" x14ac:dyDescent="0.2">
      <c r="A14" s="11">
        <v>90</v>
      </c>
      <c r="B14" s="20">
        <f t="shared" si="0"/>
        <v>5</v>
      </c>
      <c r="C14" s="12"/>
      <c r="D14" s="12">
        <v>100</v>
      </c>
      <c r="F14" s="5" t="s">
        <v>12</v>
      </c>
      <c r="G14" s="5">
        <f>ABS(G10-G11)</f>
        <v>140</v>
      </c>
    </row>
    <row r="15" spans="1:9" x14ac:dyDescent="0.2">
      <c r="A15" s="11">
        <v>75</v>
      </c>
      <c r="B15" s="20">
        <f t="shared" si="0"/>
        <v>5.6470476127563014</v>
      </c>
      <c r="C15" s="12"/>
      <c r="D15" s="12">
        <v>110</v>
      </c>
    </row>
    <row r="16" spans="1:9" x14ac:dyDescent="0.2">
      <c r="A16" s="17">
        <v>60</v>
      </c>
      <c r="B16" s="18">
        <f t="shared" si="0"/>
        <v>6.25</v>
      </c>
      <c r="C16" s="19"/>
      <c r="D16" s="19">
        <v>120</v>
      </c>
    </row>
    <row r="17" spans="1:17" x14ac:dyDescent="0.2">
      <c r="A17" s="11">
        <v>45</v>
      </c>
      <c r="B17" s="20">
        <f t="shared" si="0"/>
        <v>6.7677669529663689</v>
      </c>
      <c r="C17" s="12"/>
      <c r="D17" s="12">
        <v>130</v>
      </c>
    </row>
    <row r="18" spans="1:17" x14ac:dyDescent="0.2">
      <c r="A18" s="11">
        <v>30</v>
      </c>
      <c r="B18" s="20">
        <f t="shared" si="0"/>
        <v>7.1650635094610973</v>
      </c>
      <c r="C18" s="12"/>
      <c r="D18" s="12">
        <v>140</v>
      </c>
    </row>
    <row r="23" spans="1:17" x14ac:dyDescent="0.2">
      <c r="K23" s="22"/>
      <c r="L23" s="23"/>
      <c r="M23" s="23"/>
      <c r="N23" s="23"/>
      <c r="O23" s="23"/>
      <c r="P23" s="23"/>
      <c r="Q23" s="23"/>
    </row>
    <row r="27" spans="1:17" x14ac:dyDescent="0.2">
      <c r="E27" s="21"/>
    </row>
    <row r="28" spans="1:17" x14ac:dyDescent="0.2">
      <c r="E28" s="21"/>
    </row>
    <row r="30" spans="1:17" x14ac:dyDescent="0.2">
      <c r="D30" s="21"/>
    </row>
    <row r="31" spans="1:17" x14ac:dyDescent="0.2">
      <c r="D31" s="21"/>
    </row>
    <row r="32" spans="1:17" x14ac:dyDescent="0.2">
      <c r="D32" s="21"/>
    </row>
    <row r="33" spans="4:4" x14ac:dyDescent="0.2">
      <c r="D33" s="21"/>
    </row>
  </sheetData>
  <mergeCells count="1">
    <mergeCell ref="K23:Q23"/>
  </mergeCells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5" r:id="rId4" name="Spinner 3">
              <controlPr defaultSize="0" autoPict="0">
                <anchor moveWithCells="1" sizeWithCells="1">
                  <from>
                    <xdr:col>5</xdr:col>
                    <xdr:colOff>123825</xdr:colOff>
                    <xdr:row>14</xdr:row>
                    <xdr:rowOff>123825</xdr:rowOff>
                  </from>
                  <to>
                    <xdr:col>5</xdr:col>
                    <xdr:colOff>542925</xdr:colOff>
                    <xdr:row>17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FINAL</vt:lpstr>
      <vt:lpstr>FINAL!Radius</vt:lpstr>
      <vt:lpstr>FINAL!XCenter</vt:lpstr>
      <vt:lpstr>FINAL!YCenter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Dashboard Template</dc:title>
  <dc:subject>Excel dashboards</dc:subject>
  <dc:creator>Excel365</dc:creator>
  <cp:keywords>excel dashboard example; excel dashboard template; excel dashboard templates; excel dashboard tutorial; excel free example; excel dashboard; creating exceldashboard; creating excel dashboard; build excel dashboard; excel kpi; excel kpi dashboard; excel vba; free excel dashboard</cp:keywords>
  <cp:lastModifiedBy>P</cp:lastModifiedBy>
  <cp:lastPrinted>2002-09-16T09:04:43Z</cp:lastPrinted>
  <dcterms:created xsi:type="dcterms:W3CDTF">2002-09-13T08:35:34Z</dcterms:created>
  <dcterms:modified xsi:type="dcterms:W3CDTF">2013-08-02T09:04:45Z</dcterms:modified>
</cp:coreProperties>
</file>