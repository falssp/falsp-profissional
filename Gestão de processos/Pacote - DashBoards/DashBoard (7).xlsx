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2.xml" ContentType="application/vnd.ms-excel.slicer+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theme/themeOverride1.xml" ContentType="application/vnd.openxmlformats-officedocument.themeOverride+xml"/>
  <Override PartName="/xl/charts/chart3.xml" ContentType="application/vnd.openxmlformats-officedocument.drawingml.chart+xml"/>
  <Override PartName="/xl/theme/themeOverride2.xml" ContentType="application/vnd.openxmlformats-officedocument.themeOverride+xml"/>
  <Override PartName="/xl/drawings/drawing4.xml" ContentType="application/vnd.openxmlformats-officedocument.drawingml.chartshapes+xml"/>
  <Override PartName="/xl/drawings/drawing5.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harts/colors1.xml" ContentType="application/vnd.ms-office.chartcolorstyle+xml"/>
  <Override PartName="/xl/charts/style1.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codeName="ThisWorkbook" defaultThemeVersion="124226"/>
  <bookViews>
    <workbookView xWindow="240" yWindow="15" windowWidth="19980" windowHeight="8325" activeTab="3"/>
  </bookViews>
  <sheets>
    <sheet name="Original Data" sheetId="9" r:id="rId1"/>
    <sheet name="Data" sheetId="1" state="hidden" r:id="rId2"/>
    <sheet name="Pivot 1" sheetId="2" state="hidden" r:id="rId3"/>
    <sheet name="DashBoard" sheetId="3" r:id="rId4"/>
    <sheet name="Odom" sheetId="7" state="hidden" r:id="rId5"/>
    <sheet name="Bins" sheetId="8" state="hidden" r:id="rId6"/>
  </sheets>
  <externalReferences>
    <externalReference r:id="rId7"/>
  </externalReferences>
  <definedNames>
    <definedName name="HypTable">Data!$L$5:$M$254</definedName>
    <definedName name="M_Date">Data!$D$5:$D$254</definedName>
    <definedName name="M_Order">Data!$J$5:$J$254</definedName>
    <definedName name="Movie_Date">Data!$B$5:$B$254</definedName>
    <definedName name="MyData">Data!$B$4:$H$254</definedName>
    <definedName name="MyMovies">Data!$C$5:$C$254</definedName>
    <definedName name="MyRank">Data!$E$5:$E$254</definedName>
    <definedName name="Oscar_Win">Data!$O$5:$O$89</definedName>
    <definedName name="Rank">[1]Calcs!$J$5:$J$254</definedName>
    <definedName name="Slicer_M_Date">#N/A</definedName>
  </definedNames>
  <calcPr calcId="145621"/>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O2" i="1" l="1" a="1"/>
  <c r="O2" i="1" s="1"/>
  <c r="S6" i="1" l="1" a="1"/>
  <c r="S6" i="1" s="1"/>
  <c r="S7" i="1" a="1"/>
  <c r="S7" i="1" s="1"/>
  <c r="S8" i="1" a="1"/>
  <c r="S8" i="1" s="1"/>
  <c r="S9" i="1" a="1"/>
  <c r="S9" i="1" s="1"/>
  <c r="S10" i="1" a="1"/>
  <c r="S10" i="1" s="1"/>
  <c r="S11" i="1" a="1"/>
  <c r="S11" i="1" s="1"/>
  <c r="S12" i="1" a="1"/>
  <c r="S12" i="1" s="1"/>
  <c r="S13" i="1" a="1"/>
  <c r="S13" i="1" s="1"/>
  <c r="S14" i="1" a="1"/>
  <c r="S14" i="1" s="1"/>
  <c r="S15" i="1" a="1"/>
  <c r="S15" i="1" s="1"/>
  <c r="S16" i="1" a="1"/>
  <c r="S16" i="1" s="1"/>
  <c r="S17" i="1" a="1"/>
  <c r="S17" i="1" s="1"/>
  <c r="S18" i="1" a="1"/>
  <c r="S18" i="1" s="1"/>
  <c r="S19" i="1" a="1"/>
  <c r="S19" i="1" s="1"/>
  <c r="S20" i="1" a="1"/>
  <c r="S20" i="1" s="1"/>
  <c r="S21" i="1" a="1"/>
  <c r="S21" i="1" s="1"/>
  <c r="S22" i="1" a="1"/>
  <c r="S22" i="1" s="1"/>
  <c r="S23" i="1" a="1"/>
  <c r="S23" i="1" s="1"/>
  <c r="S24" i="1" a="1"/>
  <c r="S24" i="1" s="1"/>
  <c r="S25" i="1" a="1"/>
  <c r="S25" i="1" s="1"/>
  <c r="S26" i="1" a="1"/>
  <c r="S26" i="1" s="1"/>
  <c r="S27" i="1" a="1"/>
  <c r="S27" i="1" s="1"/>
  <c r="S28" i="1" a="1"/>
  <c r="S28" i="1" s="1"/>
  <c r="S29" i="1" a="1"/>
  <c r="S29" i="1" s="1"/>
  <c r="S30" i="1" a="1"/>
  <c r="S30" i="1" s="1"/>
  <c r="S31" i="1" a="1"/>
  <c r="S31" i="1" s="1"/>
  <c r="S32" i="1" a="1"/>
  <c r="S32" i="1" s="1"/>
  <c r="S33" i="1" a="1"/>
  <c r="S33" i="1" s="1"/>
  <c r="S34" i="1" a="1"/>
  <c r="S34" i="1" s="1"/>
  <c r="S35" i="1" a="1"/>
  <c r="S35" i="1" s="1"/>
  <c r="S36" i="1" a="1"/>
  <c r="S36" i="1" s="1"/>
  <c r="S37" i="1" a="1"/>
  <c r="S37" i="1" s="1"/>
  <c r="S38" i="1" a="1"/>
  <c r="S38" i="1" s="1"/>
  <c r="S39" i="1" a="1"/>
  <c r="S39" i="1" s="1"/>
  <c r="S40" i="1" a="1"/>
  <c r="S40" i="1" s="1"/>
  <c r="S41" i="1" a="1"/>
  <c r="S41" i="1" s="1"/>
  <c r="S42" i="1" a="1"/>
  <c r="S42" i="1" s="1"/>
  <c r="S43" i="1" a="1"/>
  <c r="S43" i="1" s="1"/>
  <c r="S44" i="1" a="1"/>
  <c r="S44" i="1" s="1"/>
  <c r="S45" i="1" a="1"/>
  <c r="S45" i="1" s="1"/>
  <c r="S46" i="1" a="1"/>
  <c r="S46" i="1" s="1"/>
  <c r="S47" i="1" a="1"/>
  <c r="S47" i="1" s="1"/>
  <c r="S48" i="1" a="1"/>
  <c r="S48" i="1" s="1"/>
  <c r="S49" i="1" a="1"/>
  <c r="S49" i="1" s="1"/>
  <c r="S50" i="1" a="1"/>
  <c r="S50" i="1" s="1"/>
  <c r="S51" i="1" a="1"/>
  <c r="S51" i="1" s="1"/>
  <c r="S52" i="1" a="1"/>
  <c r="S52" i="1" s="1"/>
  <c r="S53" i="1" a="1"/>
  <c r="S53" i="1" s="1"/>
  <c r="S54" i="1" a="1"/>
  <c r="S54" i="1" s="1"/>
  <c r="S55" i="1" a="1"/>
  <c r="S55" i="1" s="1"/>
  <c r="S56" i="1" a="1"/>
  <c r="S56" i="1" s="1"/>
  <c r="S57" i="1" a="1"/>
  <c r="S57" i="1" s="1"/>
  <c r="S58" i="1" a="1"/>
  <c r="S58" i="1" s="1"/>
  <c r="S59" i="1" a="1"/>
  <c r="S59" i="1" s="1"/>
  <c r="S60" i="1" a="1"/>
  <c r="S60" i="1" s="1"/>
  <c r="S61" i="1" a="1"/>
  <c r="S61" i="1" s="1"/>
  <c r="S62" i="1" a="1"/>
  <c r="S62" i="1" s="1"/>
  <c r="S63" i="1" a="1"/>
  <c r="S63" i="1" s="1"/>
  <c r="S64" i="1" a="1"/>
  <c r="S64" i="1" s="1"/>
  <c r="S65" i="1" a="1"/>
  <c r="S65" i="1" s="1"/>
  <c r="S66" i="1" a="1"/>
  <c r="S66" i="1" s="1"/>
  <c r="S67" i="1" a="1"/>
  <c r="S67" i="1" s="1"/>
  <c r="S68" i="1" a="1"/>
  <c r="S68" i="1" s="1"/>
  <c r="S69" i="1" a="1"/>
  <c r="S69" i="1" s="1"/>
  <c r="S70" i="1" a="1"/>
  <c r="S70" i="1" s="1"/>
  <c r="S71" i="1" a="1"/>
  <c r="S71" i="1" s="1"/>
  <c r="S72" i="1" a="1"/>
  <c r="S72" i="1" s="1"/>
  <c r="S73" i="1" a="1"/>
  <c r="S73" i="1" s="1"/>
  <c r="S74" i="1" a="1"/>
  <c r="S74" i="1" s="1"/>
  <c r="S75" i="1" a="1"/>
  <c r="S75" i="1" s="1"/>
  <c r="S76" i="1" a="1"/>
  <c r="S76" i="1" s="1"/>
  <c r="S77" i="1" a="1"/>
  <c r="S77" i="1" s="1"/>
  <c r="S78" i="1" a="1"/>
  <c r="S78" i="1" s="1"/>
  <c r="S79" i="1" a="1"/>
  <c r="S79" i="1" s="1"/>
  <c r="S80" i="1" a="1"/>
  <c r="S80" i="1" s="1"/>
  <c r="S81" i="1" a="1"/>
  <c r="S81" i="1" s="1"/>
  <c r="S82" i="1" a="1"/>
  <c r="S82" i="1" s="1"/>
  <c r="S83" i="1" a="1"/>
  <c r="S83" i="1" s="1"/>
  <c r="S84" i="1" a="1"/>
  <c r="S84" i="1" s="1"/>
  <c r="S85" i="1" a="1"/>
  <c r="S85" i="1" s="1"/>
  <c r="S86" i="1" a="1"/>
  <c r="S86" i="1" s="1"/>
  <c r="S87" i="1" a="1"/>
  <c r="S87" i="1" s="1"/>
  <c r="S88" i="1" a="1"/>
  <c r="S88" i="1" s="1"/>
  <c r="S89" i="1" a="1"/>
  <c r="S89" i="1" s="1"/>
  <c r="S5" i="1" a="1"/>
  <c r="S5" i="1"/>
  <c r="L2" i="1"/>
  <c r="L3" i="1" s="1"/>
  <c r="Q8" i="3" s="1"/>
  <c r="G1" i="1" l="1"/>
  <c r="F23" i="8" l="1"/>
  <c r="K20" i="3" s="1"/>
  <c r="C23" i="8"/>
  <c r="J20" i="3" s="1"/>
  <c r="B23" i="8"/>
  <c r="D20" i="3" s="1"/>
  <c r="D23" i="8"/>
  <c r="E20" i="3" s="1"/>
  <c r="C20" i="3"/>
  <c r="A24" i="8"/>
  <c r="C21" i="3" s="1"/>
  <c r="B24" i="8" l="1"/>
  <c r="D21" i="3" s="1"/>
  <c r="C24" i="8"/>
  <c r="J21" i="3" s="1"/>
  <c r="F24" i="8"/>
  <c r="K21" i="3" s="1"/>
  <c r="D24" i="8"/>
  <c r="E21" i="3" s="1"/>
  <c r="A25" i="8"/>
  <c r="D25" i="8" l="1"/>
  <c r="E22" i="3" s="1"/>
  <c r="F25" i="8"/>
  <c r="K22" i="3" s="1"/>
  <c r="C25" i="8"/>
  <c r="J22" i="3" s="1"/>
  <c r="B25" i="8"/>
  <c r="D22" i="3" s="1"/>
  <c r="A26" i="8"/>
  <c r="C22" i="3"/>
  <c r="D26" i="8" l="1"/>
  <c r="E23" i="3" s="1"/>
  <c r="F26" i="8"/>
  <c r="K23" i="3" s="1"/>
  <c r="C26" i="8"/>
  <c r="J23" i="3" s="1"/>
  <c r="B26" i="8"/>
  <c r="D23" i="3" s="1"/>
  <c r="A27" i="8"/>
  <c r="C23" i="3"/>
  <c r="D27" i="8" l="1"/>
  <c r="E24" i="3" s="1"/>
  <c r="F27" i="8"/>
  <c r="K24" i="3" s="1"/>
  <c r="C27" i="8"/>
  <c r="J24" i="3" s="1"/>
  <c r="B27" i="8"/>
  <c r="D24" i="3" s="1"/>
  <c r="A28" i="8"/>
  <c r="C24" i="3"/>
  <c r="D28" i="8" l="1"/>
  <c r="E25" i="3" s="1"/>
  <c r="F28" i="8"/>
  <c r="K25" i="3" s="1"/>
  <c r="C28" i="8"/>
  <c r="J25" i="3" s="1"/>
  <c r="B28" i="8"/>
  <c r="D25" i="3" s="1"/>
  <c r="A29" i="8"/>
  <c r="C25" i="3"/>
  <c r="D29" i="8" l="1"/>
  <c r="E26" i="3" s="1"/>
  <c r="F29" i="8"/>
  <c r="K26" i="3" s="1"/>
  <c r="C29" i="8"/>
  <c r="J26" i="3" s="1"/>
  <c r="B29" i="8"/>
  <c r="D26" i="3" s="1"/>
  <c r="A30" i="8"/>
  <c r="C26" i="3"/>
  <c r="D30" i="8" l="1"/>
  <c r="E27" i="3" s="1"/>
  <c r="F30" i="8"/>
  <c r="K27" i="3" s="1"/>
  <c r="C30" i="8"/>
  <c r="J27" i="3" s="1"/>
  <c r="B30" i="8"/>
  <c r="D27" i="3" s="1"/>
  <c r="A31" i="8"/>
  <c r="C27" i="3"/>
  <c r="D31" i="8" l="1"/>
  <c r="E28" i="3" s="1"/>
  <c r="F31" i="8"/>
  <c r="K28" i="3" s="1"/>
  <c r="C31" i="8"/>
  <c r="J28" i="3" s="1"/>
  <c r="B31" i="8"/>
  <c r="D28" i="3" s="1"/>
  <c r="A32" i="8"/>
  <c r="C28" i="3"/>
  <c r="F32" i="8" l="1"/>
  <c r="K29" i="3" s="1"/>
  <c r="C32" i="8"/>
  <c r="J29" i="3" s="1"/>
  <c r="B32" i="8"/>
  <c r="D29" i="3" s="1"/>
  <c r="C29" i="3"/>
  <c r="D32" i="8"/>
  <c r="E29" i="3" s="1"/>
  <c r="D6" i="8" l="1"/>
  <c r="C6" i="8"/>
  <c r="B7" i="8" s="1"/>
  <c r="C7" i="8" s="1"/>
  <c r="B8" i="8" s="1"/>
  <c r="C8" i="8" s="1"/>
  <c r="B9" i="8" s="1"/>
  <c r="C9" i="8" s="1"/>
  <c r="B10" i="8" s="1"/>
  <c r="C10" i="8" s="1"/>
  <c r="B11" i="8" s="1"/>
  <c r="C11" i="8" s="1"/>
  <c r="B12" i="8" s="1"/>
  <c r="C12" i="8" s="1"/>
  <c r="B13" i="8" s="1"/>
  <c r="C13" i="8" s="1"/>
  <c r="B14" i="8" s="1"/>
  <c r="C14" i="8" s="1"/>
  <c r="B15" i="8" s="1"/>
  <c r="D15" i="8" s="1"/>
  <c r="D13" i="8" l="1"/>
  <c r="D11" i="8"/>
  <c r="D9" i="8"/>
  <c r="D7" i="8"/>
  <c r="D14" i="8"/>
  <c r="D12" i="8"/>
  <c r="D10" i="8"/>
  <c r="D8" i="8"/>
  <c r="D17" i="8" l="1"/>
  <c r="C19" i="7"/>
  <c r="H3" i="3" s="1"/>
  <c r="D2" i="1"/>
  <c r="A14" i="7"/>
  <c r="F13" i="7"/>
  <c r="D4" i="7"/>
  <c r="D5" i="7" s="1"/>
  <c r="C2" i="1"/>
  <c r="F1" i="1"/>
  <c r="J2" i="2"/>
  <c r="F2" i="2"/>
  <c r="K2" i="2"/>
  <c r="E2" i="2"/>
  <c r="L2" i="2"/>
  <c r="E16" i="3" l="1"/>
  <c r="C20" i="7"/>
  <c r="C21" i="7"/>
  <c r="D6" i="7"/>
  <c r="F5" i="7"/>
  <c r="F4" i="7"/>
  <c r="E6" i="3"/>
  <c r="E14" i="3"/>
  <c r="E12" i="3"/>
  <c r="G2" i="2"/>
  <c r="F2" i="7" l="1"/>
  <c r="C2" i="7" s="1"/>
  <c r="N8" i="3"/>
  <c r="D7" i="7"/>
  <c r="F6" i="7"/>
  <c r="I2" i="2"/>
  <c r="E10" i="3" s="1"/>
  <c r="E4" i="3"/>
  <c r="H2" i="2"/>
  <c r="E8" i="3" s="1"/>
  <c r="D8" i="7" l="1"/>
  <c r="F7" i="7"/>
  <c r="D9" i="7" l="1"/>
  <c r="F8" i="7"/>
  <c r="D10" i="7" l="1"/>
  <c r="F9" i="7"/>
  <c r="D11" i="7" l="1"/>
  <c r="C3" i="7" s="1"/>
  <c r="B3" i="7" s="1"/>
  <c r="B5" i="7" s="1"/>
  <c r="B14" i="7" s="1"/>
  <c r="F10" i="7"/>
  <c r="D12" i="7" l="1"/>
  <c r="F12" i="7" s="1"/>
  <c r="F11" i="7"/>
</calcChain>
</file>

<file path=xl/comments1.xml><?xml version="1.0" encoding="utf-8"?>
<comments xmlns="http://schemas.openxmlformats.org/spreadsheetml/2006/main">
  <authors>
    <author>Don Pistulka</author>
  </authors>
  <commentList>
    <comment ref="D2" authorId="0">
      <text>
        <r>
          <rPr>
            <b/>
            <sz val="8"/>
            <color indexed="81"/>
            <rFont val="Tahoma"/>
            <family val="2"/>
          </rPr>
          <t>In the interest of saving resources, I used these formulas and copy/pasted values.</t>
        </r>
        <r>
          <rPr>
            <sz val="8"/>
            <color indexed="81"/>
            <rFont val="Tahoma"/>
            <family val="2"/>
          </rPr>
          <t xml:space="preserve">
</t>
        </r>
      </text>
    </comment>
  </commentList>
</comments>
</file>

<file path=xl/sharedStrings.xml><?xml version="1.0" encoding="utf-8"?>
<sst xmlns="http://schemas.openxmlformats.org/spreadsheetml/2006/main" count="1700" uniqueCount="856">
  <si>
    <t>Movie_ Date</t>
  </si>
  <si>
    <t>Movie</t>
  </si>
  <si>
    <t>M_Date</t>
  </si>
  <si>
    <t>Rank</t>
  </si>
  <si>
    <t>Rating</t>
  </si>
  <si>
    <t>Votes</t>
  </si>
  <si>
    <t>The Kid (1921)</t>
  </si>
  <si>
    <t>The Kid</t>
  </si>
  <si>
    <t>The Gold Rush (1925)</t>
  </si>
  <si>
    <t>The Gold Rush</t>
  </si>
  <si>
    <t>The General (1926)</t>
  </si>
  <si>
    <t>The General</t>
  </si>
  <si>
    <t>Metropolis (1927)</t>
  </si>
  <si>
    <t>Metropolis</t>
  </si>
  <si>
    <t>All Quiet on the Western Front (1930)</t>
  </si>
  <si>
    <t>All Quiet on the Western Front</t>
  </si>
  <si>
    <t>City Lights (1931)</t>
  </si>
  <si>
    <t>City Lights</t>
  </si>
  <si>
    <t>M (1931)</t>
  </si>
  <si>
    <t>M</t>
  </si>
  <si>
    <t>It Happened One Night (1934)</t>
  </si>
  <si>
    <t>It Happened One Night</t>
  </si>
  <si>
    <t>Modern Times (1936)</t>
  </si>
  <si>
    <t>Modern Times</t>
  </si>
  <si>
    <t>Bringing Up Baby (1938)</t>
  </si>
  <si>
    <t>Bringing Up Baby</t>
  </si>
  <si>
    <t>Gone with the Wind (1939)</t>
  </si>
  <si>
    <t>Gone with the Wind</t>
  </si>
  <si>
    <t>Mr. Smith Goes to Washington (1939)</t>
  </si>
  <si>
    <t>Mr. Smith Goes to Washington</t>
  </si>
  <si>
    <t>The Wizard of Oz (1939)</t>
  </si>
  <si>
    <t>The Wizard of Oz</t>
  </si>
  <si>
    <t>Rebecca (1940)</t>
  </si>
  <si>
    <t>Rebecca</t>
  </si>
  <si>
    <t>The Grapes of Wrath (1940)</t>
  </si>
  <si>
    <t>The Grapes of Wrath</t>
  </si>
  <si>
    <t>The Great Dictator (1940)</t>
  </si>
  <si>
    <t>The Great Dictator</t>
  </si>
  <si>
    <t>Citizen Kane (1941)</t>
  </si>
  <si>
    <t>Citizen Kane</t>
  </si>
  <si>
    <t>The Maltese Falcon (1941)</t>
  </si>
  <si>
    <t>The Maltese Falcon</t>
  </si>
  <si>
    <t>Casablanca (1942)</t>
  </si>
  <si>
    <t>Casablanca</t>
  </si>
  <si>
    <t>Arsenic and Old Lace (1944)</t>
  </si>
  <si>
    <t>Arsenic and Old Lace</t>
  </si>
  <si>
    <t>Double Indemnity (1944)</t>
  </si>
  <si>
    <t>Double Indemnity</t>
  </si>
  <si>
    <t>It's a Wonderful Life (1946)</t>
  </si>
  <si>
    <t>It's a Wonderful Life</t>
  </si>
  <si>
    <t>Notorious (1946)</t>
  </si>
  <si>
    <t>Notorious</t>
  </si>
  <si>
    <t>The Best Years of Our Lives (1946)</t>
  </si>
  <si>
    <t>The Best Years of Our Lives</t>
  </si>
  <si>
    <t>The Big Sleep (1946)</t>
  </si>
  <si>
    <t>The Big Sleep</t>
  </si>
  <si>
    <t>Bicycle Thieves (1948)</t>
  </si>
  <si>
    <t>Bicycle Thieves</t>
  </si>
  <si>
    <t>Rope (1948)</t>
  </si>
  <si>
    <t>Rope</t>
  </si>
  <si>
    <t>The Treasure of the Sierra Madre (1948)</t>
  </si>
  <si>
    <t>The Treasure of the Sierra Madre</t>
  </si>
  <si>
    <t>The Third Man (1949)</t>
  </si>
  <si>
    <t>The Third Man</t>
  </si>
  <si>
    <t>All About Eve (1950)</t>
  </si>
  <si>
    <t>All About Eve</t>
  </si>
  <si>
    <t>Rashomon (1950)</t>
  </si>
  <si>
    <t>Rashomon</t>
  </si>
  <si>
    <t>Sunset Blvd. (1950)</t>
  </si>
  <si>
    <t>Sunset Blvd.</t>
  </si>
  <si>
    <t>A Streetcar Named Desire (1951)</t>
  </si>
  <si>
    <t>A Streetcar Named Desire</t>
  </si>
  <si>
    <t>Strangers on a Train (1951)</t>
  </si>
  <si>
    <t>Strangers on a Train</t>
  </si>
  <si>
    <t>High Noon (1952)</t>
  </si>
  <si>
    <t>High Noon</t>
  </si>
  <si>
    <t>Ikiru (1952)</t>
  </si>
  <si>
    <t>Ikiru</t>
  </si>
  <si>
    <t>Singin' in the Rain (1952)</t>
  </si>
  <si>
    <t>Singin' in the Rain</t>
  </si>
  <si>
    <t>Roman Holiday (1953)</t>
  </si>
  <si>
    <t>Roman Holiday</t>
  </si>
  <si>
    <t>Stalag 17 (1953)</t>
  </si>
  <si>
    <t>Stalag 17</t>
  </si>
  <si>
    <t>Dial M for Murder (1954)</t>
  </si>
  <si>
    <t>Dial M for Murder</t>
  </si>
  <si>
    <t>La Strada (1954)</t>
  </si>
  <si>
    <t>La Strada</t>
  </si>
  <si>
    <t>On the Waterfront (1954)</t>
  </si>
  <si>
    <t>On the Waterfront</t>
  </si>
  <si>
    <t>Rear Window (1954)</t>
  </si>
  <si>
    <t>Rear Window</t>
  </si>
  <si>
    <t>Seven Samurai (1954)</t>
  </si>
  <si>
    <t>Seven Samurai</t>
  </si>
  <si>
    <t>Diabolique (1955)</t>
  </si>
  <si>
    <t>Diabolique</t>
  </si>
  <si>
    <t>The Night of the Hunter (1955)</t>
  </si>
  <si>
    <t>The Night of the Hunter</t>
  </si>
  <si>
    <t>The Killing (1956)</t>
  </si>
  <si>
    <t>The Killing</t>
  </si>
  <si>
    <t>12 Angry Men (1957)</t>
  </si>
  <si>
    <t>12 Angry Men</t>
  </si>
  <si>
    <t>Paths of Glory (1957)</t>
  </si>
  <si>
    <t>Paths of Glory</t>
  </si>
  <si>
    <t>The Bridge on the River Kwai (1957)</t>
  </si>
  <si>
    <t>The Bridge on the River Kwai</t>
  </si>
  <si>
    <t>The Seventh Seal (1957)</t>
  </si>
  <si>
    <t>The Seventh Seal</t>
  </si>
  <si>
    <t>Wild Strawberries (1957)</t>
  </si>
  <si>
    <t>Wild Strawberries</t>
  </si>
  <si>
    <t>Witness for the Prosecution (1957)</t>
  </si>
  <si>
    <t>Witness for the Prosecution</t>
  </si>
  <si>
    <t>Touch of Evil (1958)</t>
  </si>
  <si>
    <t>Touch of Evil</t>
  </si>
  <si>
    <t>Vertigo (1958)</t>
  </si>
  <si>
    <t>Vertigo</t>
  </si>
  <si>
    <t>Anatomy of a Murder (1959)</t>
  </si>
  <si>
    <t>Anatomy of a Murder</t>
  </si>
  <si>
    <t>Ben-Hur (1959)</t>
  </si>
  <si>
    <t>Ben-Hur</t>
  </si>
  <si>
    <t>North by Northwest (1959)</t>
  </si>
  <si>
    <t>North by Northwest</t>
  </si>
  <si>
    <t>Some Like It Hot (1959)</t>
  </si>
  <si>
    <t>Some Like It Hot</t>
  </si>
  <si>
    <t>The 400 Blows (1959)</t>
  </si>
  <si>
    <t>The 400 Blows</t>
  </si>
  <si>
    <t>Psycho (1960)</t>
  </si>
  <si>
    <t>Psycho</t>
  </si>
  <si>
    <t>The Apartment (1960)</t>
  </si>
  <si>
    <t>The Apartment</t>
  </si>
  <si>
    <t>Judgment at Nuremberg (1961)</t>
  </si>
  <si>
    <t>Judgment at Nuremberg</t>
  </si>
  <si>
    <t>The Hustler (1961)</t>
  </si>
  <si>
    <t>The Hustler</t>
  </si>
  <si>
    <t>Yojimbo (1961)</t>
  </si>
  <si>
    <t>Yojimbo</t>
  </si>
  <si>
    <t>Lawrence of Arabia (1962)</t>
  </si>
  <si>
    <t>Lawrence of Arabia</t>
  </si>
  <si>
    <t>The Man Who Shot Liberty Valance (1962)</t>
  </si>
  <si>
    <t>The Man Who Shot Liberty Valance</t>
  </si>
  <si>
    <t>The Manchurian Candidate (1962)</t>
  </si>
  <si>
    <t>The Manchurian Candidate</t>
  </si>
  <si>
    <t>To Kill a Mockingbird (1962)</t>
  </si>
  <si>
    <t>To Kill a Mockingbird</t>
  </si>
  <si>
    <t>8½ (1963)</t>
  </si>
  <si>
    <t>8½</t>
  </si>
  <si>
    <t>The Great Escape (1963)</t>
  </si>
  <si>
    <t>The Great Escape</t>
  </si>
  <si>
    <t>A Fistful of Dollars (1964)</t>
  </si>
  <si>
    <t>A Fistful of Dollars</t>
  </si>
  <si>
    <t>Dr. Strangelove or: How I Learned to Stop Worrying and Love the Bomb (1964)</t>
  </si>
  <si>
    <t>Dr. Strangelove or: How I Learned to Stop Worrying and Love the Bomb</t>
  </si>
  <si>
    <t>For a Few Dollars More (1965)</t>
  </si>
  <si>
    <t>For a Few Dollars More</t>
  </si>
  <si>
    <t>Persona (1966)</t>
  </si>
  <si>
    <t>Persona</t>
  </si>
  <si>
    <t>The Good, the Bad and the Ugly (1966)</t>
  </si>
  <si>
    <t>The Good, the Bad and the Ugly</t>
  </si>
  <si>
    <t>Who's Afraid of Virginia Woolf? (1966)</t>
  </si>
  <si>
    <t>Who's Afraid of Virginia Woolf?</t>
  </si>
  <si>
    <t>Cool Hand Luke (1967)</t>
  </si>
  <si>
    <t>Cool Hand Luke</t>
  </si>
  <si>
    <t>In the Heat of the Night (1967)</t>
  </si>
  <si>
    <t>In the Heat of the Night</t>
  </si>
  <si>
    <t>The Graduate (1967)</t>
  </si>
  <si>
    <t>The Graduate</t>
  </si>
  <si>
    <t>2001: A Space Odyssey (1968)</t>
  </si>
  <si>
    <t>2001: A Space Odyssey</t>
  </si>
  <si>
    <t>Once Upon a Time in the West (1968)</t>
  </si>
  <si>
    <t>Once Upon a Time in the West</t>
  </si>
  <si>
    <t>Rosemary's Baby (1968)</t>
  </si>
  <si>
    <t>Rosemary's Baby</t>
  </si>
  <si>
    <t>Butch Cassidy and the Sundance Kid (1969)</t>
  </si>
  <si>
    <t>Butch Cassidy and the Sundance Kid</t>
  </si>
  <si>
    <t>The Wild Bunch (1969)</t>
  </si>
  <si>
    <t>The Wild Bunch</t>
  </si>
  <si>
    <t>A Clockwork Orange (1971)</t>
  </si>
  <si>
    <t>A Clockwork Orange</t>
  </si>
  <si>
    <t>Sleuth (1972)</t>
  </si>
  <si>
    <t>Sleuth</t>
  </si>
  <si>
    <t>The Godfather (1972)</t>
  </si>
  <si>
    <t>The Godfather</t>
  </si>
  <si>
    <t>Papillon (1973)</t>
  </si>
  <si>
    <t>Papillon</t>
  </si>
  <si>
    <t>The Exorcist (1973)</t>
  </si>
  <si>
    <t>The Exorcist</t>
  </si>
  <si>
    <t>The Sting (1973)</t>
  </si>
  <si>
    <t>The Sting</t>
  </si>
  <si>
    <t>Chinatown (1974)</t>
  </si>
  <si>
    <t>Chinatown</t>
  </si>
  <si>
    <t>The Godfather: Part II (1974)</t>
  </si>
  <si>
    <t>The Godfather: Part II</t>
  </si>
  <si>
    <t>Barry Lyndon (1975)</t>
  </si>
  <si>
    <t>Barry Lyndon</t>
  </si>
  <si>
    <t>Dog Day Afternoon (1975)</t>
  </si>
  <si>
    <t>Dog Day Afternoon</t>
  </si>
  <si>
    <t>Jaws (1975)</t>
  </si>
  <si>
    <t>Jaws</t>
  </si>
  <si>
    <t>Monty Python and the Holy Grail (1975)</t>
  </si>
  <si>
    <t>Monty Python and the Holy Grail</t>
  </si>
  <si>
    <t>One Flew Over the Cuckoo's Nest (1975)</t>
  </si>
  <si>
    <t>One Flew Over the Cuckoo's Nest</t>
  </si>
  <si>
    <t>Network (1976)</t>
  </si>
  <si>
    <t>Network</t>
  </si>
  <si>
    <t>Rocky (1976)</t>
  </si>
  <si>
    <t>Rocky</t>
  </si>
  <si>
    <t>Taxi Driver (1976)</t>
  </si>
  <si>
    <t>Taxi Driver</t>
  </si>
  <si>
    <t>Annie Hall (1977)</t>
  </si>
  <si>
    <t>Annie Hall</t>
  </si>
  <si>
    <t>Star Wars (1977)</t>
  </si>
  <si>
    <t>Star Wars</t>
  </si>
  <si>
    <t>The Deer Hunter (1978)</t>
  </si>
  <si>
    <t>The Deer Hunter</t>
  </si>
  <si>
    <t>Alien (1979)</t>
  </si>
  <si>
    <t>Alien</t>
  </si>
  <si>
    <t>Apocalypse Now (1979)</t>
  </si>
  <si>
    <t>Apocalypse Now</t>
  </si>
  <si>
    <t>Life of Brian (1979)</t>
  </si>
  <si>
    <t>Life of Brian</t>
  </si>
  <si>
    <t>Stalker (1979)</t>
  </si>
  <si>
    <t>Stalker</t>
  </si>
  <si>
    <t>Raging Bull (1980)</t>
  </si>
  <si>
    <t>Raging Bull</t>
  </si>
  <si>
    <t>Star Wars: Episode V - The Empire Strikes Back (1980)</t>
  </si>
  <si>
    <t>Star Wars: Episode V - The Empire Strikes Back</t>
  </si>
  <si>
    <t>The Elephant Man (1980)</t>
  </si>
  <si>
    <t>The Elephant Man</t>
  </si>
  <si>
    <t>The Shining (1980)</t>
  </si>
  <si>
    <t>The Shining</t>
  </si>
  <si>
    <t>Das Boot (1981)</t>
  </si>
  <si>
    <t>Das Boot</t>
  </si>
  <si>
    <t>Raiders of the Lost Ark (1981)</t>
  </si>
  <si>
    <t>Raiders of the Lost Ark</t>
  </si>
  <si>
    <t>Blade Runner (1982)</t>
  </si>
  <si>
    <t>Blade Runner</t>
  </si>
  <si>
    <t>Fanny and Alexander (1982)</t>
  </si>
  <si>
    <t>Fanny and Alexander</t>
  </si>
  <si>
    <t>Gandhi (1982)</t>
  </si>
  <si>
    <t>Gandhi</t>
  </si>
  <si>
    <t>The Thing (1982)</t>
  </si>
  <si>
    <t>The Thing</t>
  </si>
  <si>
    <t>Scarface (1983)</t>
  </si>
  <si>
    <t>Scarface</t>
  </si>
  <si>
    <t>Star Wars: Episode VI - Return of the Jedi (1983)</t>
  </si>
  <si>
    <t>Star Wars: Episode VI - Return of the Jedi</t>
  </si>
  <si>
    <t>Amadeus (1984)</t>
  </si>
  <si>
    <t>Amadeus</t>
  </si>
  <si>
    <t>Nausicaä of the Valley of the Wind (1984)</t>
  </si>
  <si>
    <t>Nausicaä of the Valley of the Wind</t>
  </si>
  <si>
    <t>Once Upon a Time in America (1984)</t>
  </si>
  <si>
    <t>Once Upon a Time in America</t>
  </si>
  <si>
    <t>The Terminator (1984)</t>
  </si>
  <si>
    <t>The Terminator</t>
  </si>
  <si>
    <t>Back to the Future (1985)</t>
  </si>
  <si>
    <t>Back to the Future</t>
  </si>
  <si>
    <t>Ran (1985)</t>
  </si>
  <si>
    <t>Ran</t>
  </si>
  <si>
    <t>Aliens (1986)</t>
  </si>
  <si>
    <t>Aliens</t>
  </si>
  <si>
    <t>Platoon (1986)</t>
  </si>
  <si>
    <t>Platoon</t>
  </si>
  <si>
    <t>Stand by Me (1986)</t>
  </si>
  <si>
    <t>Stand by Me</t>
  </si>
  <si>
    <t>Full Metal Jacket (1987)</t>
  </si>
  <si>
    <t>Full Metal Jacket</t>
  </si>
  <si>
    <t>The Princess Bride (1987)</t>
  </si>
  <si>
    <t>The Princess Bride</t>
  </si>
  <si>
    <t>Cinema Paradiso (1988)</t>
  </si>
  <si>
    <t>Cinema Paradiso</t>
  </si>
  <si>
    <t>Die Hard (1988)</t>
  </si>
  <si>
    <t>Die Hard</t>
  </si>
  <si>
    <t>Grave of the Fireflies (1988)</t>
  </si>
  <si>
    <t>Grave of the Fireflies</t>
  </si>
  <si>
    <t>My Neighbor Totoro (1988)</t>
  </si>
  <si>
    <t>My Neighbor Totoro</t>
  </si>
  <si>
    <t>Rain Man (1988)</t>
  </si>
  <si>
    <t>Rain Man</t>
  </si>
  <si>
    <t>Indiana Jones and the Last Crusade (1989)</t>
  </si>
  <si>
    <t>Indiana Jones and the Last Crusade</t>
  </si>
  <si>
    <t>Goodfellas (1990)</t>
  </si>
  <si>
    <t>Goodfellas</t>
  </si>
  <si>
    <t>Beauty and the Beast (1991)</t>
  </si>
  <si>
    <t>Beauty and the Beast</t>
  </si>
  <si>
    <t>Terminator 2: Judgment Day (1991)</t>
  </si>
  <si>
    <t>Terminator 2: Judgment Day</t>
  </si>
  <si>
    <t>The Silence of the Lambs (1991)</t>
  </si>
  <si>
    <t>The Silence of the Lambs</t>
  </si>
  <si>
    <t>Reservoir Dogs (1992)</t>
  </si>
  <si>
    <t>Reservoir Dogs</t>
  </si>
  <si>
    <t>Unforgiven (1992)</t>
  </si>
  <si>
    <t>Unforgiven</t>
  </si>
  <si>
    <t>Groundhog Day (1993)</t>
  </si>
  <si>
    <t>Groundhog Day</t>
  </si>
  <si>
    <t>In the Name of the Father (1993)</t>
  </si>
  <si>
    <t>In the Name of the Father</t>
  </si>
  <si>
    <t>Jurassic Park (1993)</t>
  </si>
  <si>
    <t>Jurassic Park</t>
  </si>
  <si>
    <t>Schindler's List (1993)</t>
  </si>
  <si>
    <t>Schindler's List</t>
  </si>
  <si>
    <t>Forrest Gump (1994)</t>
  </si>
  <si>
    <t>Forrest Gump</t>
  </si>
  <si>
    <t>Léon: The Professional (1994)</t>
  </si>
  <si>
    <t>Léon: The Professional</t>
  </si>
  <si>
    <t>Pulp Fiction (1994)</t>
  </si>
  <si>
    <t>Pulp Fiction</t>
  </si>
  <si>
    <t>The Lion King (1994)</t>
  </si>
  <si>
    <t>The Lion King</t>
  </si>
  <si>
    <t>The Shawshank Redemption (1994)</t>
  </si>
  <si>
    <t>The Shawshank Redemption</t>
  </si>
  <si>
    <t>Three Colors: Red (1994)</t>
  </si>
  <si>
    <t>Three Colors: Red</t>
  </si>
  <si>
    <t>Before Sunrise (1995)</t>
  </si>
  <si>
    <t>Before Sunrise</t>
  </si>
  <si>
    <t>Braveheart (1995)</t>
  </si>
  <si>
    <t>Braveheart</t>
  </si>
  <si>
    <t>Casino (1995)</t>
  </si>
  <si>
    <t>Casino</t>
  </si>
  <si>
    <t>Heat (1995)</t>
  </si>
  <si>
    <t>Heat</t>
  </si>
  <si>
    <t>La Haine (1995)</t>
  </si>
  <si>
    <t>La Haine</t>
  </si>
  <si>
    <t>Se7en (1995)</t>
  </si>
  <si>
    <t>Se7en</t>
  </si>
  <si>
    <t>The Usual Suspects (1995)</t>
  </si>
  <si>
    <t>The Usual Suspects</t>
  </si>
  <si>
    <t>Toy Story (1995)</t>
  </si>
  <si>
    <t>Toy Story</t>
  </si>
  <si>
    <t>Twelve Monkeys (1995)</t>
  </si>
  <si>
    <t>Twelve Monkeys</t>
  </si>
  <si>
    <t>Fargo (1996)</t>
  </si>
  <si>
    <t>Fargo</t>
  </si>
  <si>
    <t>Trainspotting (1996)</t>
  </si>
  <si>
    <t>Trainspotting</t>
  </si>
  <si>
    <t>Good Will Hunting (1997)</t>
  </si>
  <si>
    <t>Good Will Hunting</t>
  </si>
  <si>
    <t>L.A. Confidential (1997)</t>
  </si>
  <si>
    <t>L.A. Confidential</t>
  </si>
  <si>
    <t>Life Is Beautiful (1997)</t>
  </si>
  <si>
    <t>Life Is Beautiful</t>
  </si>
  <si>
    <t>Princess Mononoke (1997)</t>
  </si>
  <si>
    <t>Princess Mononoke</t>
  </si>
  <si>
    <t>American History X (1998)</t>
  </si>
  <si>
    <t>American History X</t>
  </si>
  <si>
    <t>Lock, Stock and Two Smoking Barrels (1998)</t>
  </si>
  <si>
    <t>Lock, Stock and Two Smoking Barrels</t>
  </si>
  <si>
    <t>Saving Private Ryan (1998)</t>
  </si>
  <si>
    <t>Saving Private Ryan</t>
  </si>
  <si>
    <t>The Big Lebowski (1998)</t>
  </si>
  <si>
    <t>The Big Lebowski</t>
  </si>
  <si>
    <t>The Truman Show (1998)</t>
  </si>
  <si>
    <t>The Truman Show</t>
  </si>
  <si>
    <t>American Beauty (1999)</t>
  </si>
  <si>
    <t>American Beauty</t>
  </si>
  <si>
    <t>Fight Club (1999)</t>
  </si>
  <si>
    <t>Fight Club</t>
  </si>
  <si>
    <t>The Green Mile (1999)</t>
  </si>
  <si>
    <t>The Green Mile</t>
  </si>
  <si>
    <t>The Matrix (1999)</t>
  </si>
  <si>
    <t>The Matrix</t>
  </si>
  <si>
    <t>The Sixth Sense (1999)</t>
  </si>
  <si>
    <t>The Sixth Sense</t>
  </si>
  <si>
    <t>Amores Perros (2000)</t>
  </si>
  <si>
    <t>Amores Perros</t>
  </si>
  <si>
    <t>Gladiator (2000)</t>
  </si>
  <si>
    <t>Gladiator</t>
  </si>
  <si>
    <t>Memento (2000)</t>
  </si>
  <si>
    <t>Memento</t>
  </si>
  <si>
    <t>Requiem for a Dream (2000)</t>
  </si>
  <si>
    <t>Requiem for a Dream</t>
  </si>
  <si>
    <t>Snatch. (2000)</t>
  </si>
  <si>
    <t>Snatch.</t>
  </si>
  <si>
    <t>A Beautiful Mind (2001)</t>
  </si>
  <si>
    <t>A Beautiful Mind</t>
  </si>
  <si>
    <t>Amélie (2001)</t>
  </si>
  <si>
    <t>Amélie</t>
  </si>
  <si>
    <t>Donnie Darko (2001)</t>
  </si>
  <si>
    <t>Donnie Darko</t>
  </si>
  <si>
    <t>Monsters, Inc. (2001)</t>
  </si>
  <si>
    <t>Monsters, Inc.</t>
  </si>
  <si>
    <t>Spirited Away (2001)</t>
  </si>
  <si>
    <t>Spirited Away</t>
  </si>
  <si>
    <t>The Lord of the Rings: The Fellowship of the Ring (2001)</t>
  </si>
  <si>
    <t>The Lord of the Rings: The Fellowship of the Ring</t>
  </si>
  <si>
    <t>City of God (2002)</t>
  </si>
  <si>
    <t>City of God</t>
  </si>
  <si>
    <t>Infernal Affairs (2002)</t>
  </si>
  <si>
    <t>Infernal Affairs</t>
  </si>
  <si>
    <t>The Lord of the Rings: The Two Towers (2002)</t>
  </si>
  <si>
    <t>The Lord of the Rings: The Two Towers</t>
  </si>
  <si>
    <t>The Pianist (2002)</t>
  </si>
  <si>
    <t>The Pianist</t>
  </si>
  <si>
    <t>Finding Nemo (2003)</t>
  </si>
  <si>
    <t>Finding Nemo</t>
  </si>
  <si>
    <t>Kill Bill: Vol. 1 (2003)</t>
  </si>
  <si>
    <t>Kill Bill: Vol. 1</t>
  </si>
  <si>
    <t>Memories of Murder (2003)</t>
  </si>
  <si>
    <t>Memories of Murder</t>
  </si>
  <si>
    <t>Mystic River (2003)</t>
  </si>
  <si>
    <t>Mystic River</t>
  </si>
  <si>
    <t>Oldboy (2003)</t>
  </si>
  <si>
    <t>Oldboy</t>
  </si>
  <si>
    <t>Pirates of the Caribbean: The Curse of the Black Pearl (2003)</t>
  </si>
  <si>
    <t>Pirates of the Caribbean: The Curse of the Black Pearl</t>
  </si>
  <si>
    <t>The Lord of the Rings: The Return of the King (2003)</t>
  </si>
  <si>
    <t>The Lord of the Rings: The Return of the King</t>
  </si>
  <si>
    <t>Downfall (2004)</t>
  </si>
  <si>
    <t>Downfall</t>
  </si>
  <si>
    <t>Eternal Sunshine of the Spotless Mind (2004)</t>
  </si>
  <si>
    <t>Eternal Sunshine of the Spotless Mind</t>
  </si>
  <si>
    <t>Hotel Rwanda (2004)</t>
  </si>
  <si>
    <t>Hotel Rwanda</t>
  </si>
  <si>
    <t>Howl's Moving Castle (2004)</t>
  </si>
  <si>
    <t>Howl's Moving Castle</t>
  </si>
  <si>
    <t>Million Dollar Baby (2004)</t>
  </si>
  <si>
    <t>Million Dollar Baby</t>
  </si>
  <si>
    <t>Batman Begins (2005)</t>
  </si>
  <si>
    <t>Batman Begins</t>
  </si>
  <si>
    <t>Sin City (2005)</t>
  </si>
  <si>
    <t>Sin City</t>
  </si>
  <si>
    <t>V for Vendetta (2005)</t>
  </si>
  <si>
    <t>V for Vendetta</t>
  </si>
  <si>
    <t>Pan's Labyrinth (2006)</t>
  </si>
  <si>
    <t>Pan's Labyrinth</t>
  </si>
  <si>
    <t>The Departed (2006)</t>
  </si>
  <si>
    <t>The Departed</t>
  </si>
  <si>
    <t>The Lives of Others (2006)</t>
  </si>
  <si>
    <t>The Lives of Others</t>
  </si>
  <si>
    <t>The Prestige (2006)</t>
  </si>
  <si>
    <t>The Prestige</t>
  </si>
  <si>
    <t>Into the Wild (2007)</t>
  </si>
  <si>
    <t>Into the Wild</t>
  </si>
  <si>
    <t>No Country for Old Men (2007)</t>
  </si>
  <si>
    <t>No Country for Old Men</t>
  </si>
  <si>
    <t>Ratatouille (2007)</t>
  </si>
  <si>
    <t>Ratatouille</t>
  </si>
  <si>
    <t>The Bourne Ultimatum (2007)</t>
  </si>
  <si>
    <t>The Bourne Ultimatum</t>
  </si>
  <si>
    <t>The Diving Bell and the Butterfly (2007)</t>
  </si>
  <si>
    <t>The Diving Bell and the Butterfly</t>
  </si>
  <si>
    <t>There Will Be Blood (2007)</t>
  </si>
  <si>
    <t>There Will Be Blood</t>
  </si>
  <si>
    <t>Gran Torino (2008)</t>
  </si>
  <si>
    <t>Gran Torino</t>
  </si>
  <si>
    <t>Ip Man (2008)</t>
  </si>
  <si>
    <t>Ip Man</t>
  </si>
  <si>
    <t>Slumdog Millionaire (2008)</t>
  </si>
  <si>
    <t>Slumdog Millionaire</t>
  </si>
  <si>
    <t>The Dark Knight (2008)</t>
  </si>
  <si>
    <t>The Dark Knight</t>
  </si>
  <si>
    <t>WALL·E (2008)</t>
  </si>
  <si>
    <t>WALL·E</t>
  </si>
  <si>
    <t>3 Idiots (2009)</t>
  </si>
  <si>
    <t>3 Idiots</t>
  </si>
  <si>
    <t>District 9 (2009)</t>
  </si>
  <si>
    <t>District 9</t>
  </si>
  <si>
    <t>Inglourious Basterds (2009)</t>
  </si>
  <si>
    <t>Inglourious Basterds</t>
  </si>
  <si>
    <t>Mary and Max (2009)</t>
  </si>
  <si>
    <t>Mary and Max</t>
  </si>
  <si>
    <t>Star Trek (2009)</t>
  </si>
  <si>
    <t>Star Trek</t>
  </si>
  <si>
    <t>The Secret in Their Eyes (2009)</t>
  </si>
  <si>
    <t>The Secret in Their Eyes</t>
  </si>
  <si>
    <t>Up (2009)</t>
  </si>
  <si>
    <t>Up</t>
  </si>
  <si>
    <t>Black Swan (2010)</t>
  </si>
  <si>
    <t>Black Swan</t>
  </si>
  <si>
    <t>How to Train Your Dragon (2010)</t>
  </si>
  <si>
    <t>How to Train Your Dragon</t>
  </si>
  <si>
    <t>Incendies (2010)</t>
  </si>
  <si>
    <t>Incendies</t>
  </si>
  <si>
    <t>Inception (2010)</t>
  </si>
  <si>
    <t>Inception</t>
  </si>
  <si>
    <t>Shutter Island (2010)</t>
  </si>
  <si>
    <t>Shutter Island</t>
  </si>
  <si>
    <t>The King's Speech (2010)</t>
  </si>
  <si>
    <t>The King's Speech</t>
  </si>
  <si>
    <t>Toy Story 3 (2010)</t>
  </si>
  <si>
    <t>Toy Story 3</t>
  </si>
  <si>
    <t>A Separation (2011)</t>
  </si>
  <si>
    <t>A Separation</t>
  </si>
  <si>
    <t>Harry Potter and the Deathly Hallows: Part 2 (2011)</t>
  </si>
  <si>
    <t>Harry Potter and the Deathly Hallows: Part 2</t>
  </si>
  <si>
    <t>The Artist (2011)</t>
  </si>
  <si>
    <t>The Artist</t>
  </si>
  <si>
    <t>The Intouchables (2011)</t>
  </si>
  <si>
    <t>The Intouchables</t>
  </si>
  <si>
    <t>Warrior (2011)</t>
  </si>
  <si>
    <t>Warrior</t>
  </si>
  <si>
    <t>Django Unchained (2012)</t>
  </si>
  <si>
    <t>Django Unchained</t>
  </si>
  <si>
    <t>Life of Pi (2012)</t>
  </si>
  <si>
    <t>Life of Pi</t>
  </si>
  <si>
    <t>The Avengers (2012)</t>
  </si>
  <si>
    <t>The Avengers</t>
  </si>
  <si>
    <t>The Dark Knight Rises (2012)</t>
  </si>
  <si>
    <t>The Dark Knight Rises</t>
  </si>
  <si>
    <t>The Hobbit: An Unexpected Journey (2012)</t>
  </si>
  <si>
    <t>The Hobbit: An Unexpected Journey</t>
  </si>
  <si>
    <t>The Hunt (2012)</t>
  </si>
  <si>
    <t>The Hunt</t>
  </si>
  <si>
    <t>Gravity (2013)</t>
  </si>
  <si>
    <t>Gravity</t>
  </si>
  <si>
    <t>Rush (2013)</t>
  </si>
  <si>
    <t>Rush</t>
  </si>
  <si>
    <t>Row Labels</t>
  </si>
  <si>
    <t>Grand Total</t>
  </si>
  <si>
    <t>Count of Movie</t>
  </si>
  <si>
    <t>Min of Rank</t>
  </si>
  <si>
    <t>(Multiple Items)</t>
  </si>
  <si>
    <t>Best_Rank</t>
  </si>
  <si>
    <t>Movies_for_Period</t>
  </si>
  <si>
    <t>Best_Movie</t>
  </si>
  <si>
    <t>Best Movie For this Time Period:</t>
  </si>
  <si>
    <t>Ranking (Best Movies Ever):</t>
  </si>
  <si>
    <t>Number of Votes</t>
  </si>
  <si>
    <t>Rating:</t>
  </si>
  <si>
    <t>Average Rating For This Time Period:</t>
  </si>
  <si>
    <t>Number of Movies Ranked In This Period</t>
  </si>
  <si>
    <t>Average Rating</t>
  </si>
  <si>
    <t>Average of Rating</t>
  </si>
  <si>
    <t>Dial</t>
  </si>
  <si>
    <t>Needle</t>
  </si>
  <si>
    <t>Chart Titla</t>
  </si>
  <si>
    <t>New</t>
  </si>
  <si>
    <t xml:space="preserve">Old </t>
  </si>
  <si>
    <t>Input</t>
  </si>
  <si>
    <t xml:space="preserve"> </t>
  </si>
  <si>
    <t>Low</t>
  </si>
  <si>
    <t>High</t>
  </si>
  <si>
    <t>Help_date</t>
  </si>
  <si>
    <t>Min of Help_date</t>
  </si>
  <si>
    <t>Max of Help_date</t>
  </si>
  <si>
    <t>From</t>
  </si>
  <si>
    <t>To</t>
  </si>
  <si>
    <t>Years With Ranked Movies:</t>
  </si>
  <si>
    <t>MyFav</t>
  </si>
  <si>
    <t>M_Order</t>
  </si>
  <si>
    <t>FavName</t>
  </si>
  <si>
    <t>Pick Your Movie</t>
  </si>
  <si>
    <t>Ranking</t>
  </si>
  <si>
    <t>Note: I am defining a decade as for example 1940-1949</t>
  </si>
  <si>
    <t>Year</t>
  </si>
  <si>
    <t>IMDB (Internet Movie Database) Top 250 Movies</t>
  </si>
  <si>
    <t>Title</t>
  </si>
  <si>
    <r>
      <t xml:space="preserve">The formula for calculating the Top Rated 250 Titles gives a </t>
    </r>
    <r>
      <rPr>
        <b/>
        <sz val="7.5"/>
        <color indexed="63"/>
        <rFont val="Arial"/>
        <family val="2"/>
      </rPr>
      <t>true Bayesian estimate</t>
    </r>
    <r>
      <rPr>
        <sz val="7.5"/>
        <color indexed="63"/>
        <rFont val="Arial"/>
        <family val="2"/>
      </rPr>
      <t>:</t>
    </r>
  </si>
  <si>
    <t xml:space="preserve"> weighted rating (WR) = (v ÷ (v+m)) × R + (m ÷ (v+m)) × C </t>
  </si>
  <si>
    <t>where:</t>
  </si>
  <si>
    <t>R = average for the movie (mean) = (Rating)</t>
  </si>
  <si>
    <t>v = number of votes for the movie = (votes)</t>
  </si>
  <si>
    <t>m = minimum votes required to be listed in the Top 250 (currently 25000)</t>
  </si>
  <si>
    <t>C = the mean vote across the whole report (currently 7.0)</t>
  </si>
  <si>
    <t>http://www.imdb.com/title/tt0111161/</t>
  </si>
  <si>
    <t>http://www.imdb.com/title/tt0068646/</t>
  </si>
  <si>
    <t>http://www.imdb.com/title/tt0071562/</t>
  </si>
  <si>
    <t>http://www.imdb.com/title/tt0110912/</t>
  </si>
  <si>
    <t>http://www.imdb.com/title/tt0060196/</t>
  </si>
  <si>
    <t>http://www.imdb.com/title/tt0468569/</t>
  </si>
  <si>
    <t>http://www.imdb.com/title/tt0050083/</t>
  </si>
  <si>
    <t>http://www.imdb.com/title/tt0108052/</t>
  </si>
  <si>
    <t>http://www.imdb.com/title/tt0167260/</t>
  </si>
  <si>
    <t>http://www.imdb.com/title/tt0137523/</t>
  </si>
  <si>
    <t>http://www.imdb.com/title/tt0080684/</t>
  </si>
  <si>
    <t>http://www.imdb.com/title/tt0120737/</t>
  </si>
  <si>
    <t>http://www.imdb.com/title/tt0073486/</t>
  </si>
  <si>
    <t>http://www.imdb.com/title/tt0099685/</t>
  </si>
  <si>
    <t>http://www.imdb.com/title/tt0047478/</t>
  </si>
  <si>
    <t>http://www.imdb.com/title/tt1375666/</t>
  </si>
  <si>
    <t>http://www.imdb.com/title/tt0076759/</t>
  </si>
  <si>
    <t>http://www.imdb.com/title/tt0109830/</t>
  </si>
  <si>
    <t>http://www.imdb.com/title/tt0133093/</t>
  </si>
  <si>
    <t>http://www.imdb.com/title/tt0167261/</t>
  </si>
  <si>
    <t>http://www.imdb.com/title/tt0317248/</t>
  </si>
  <si>
    <t>http://www.imdb.com/title/tt0102926/</t>
  </si>
  <si>
    <t>http://www.imdb.com/title/tt0114369/</t>
  </si>
  <si>
    <t>http://www.imdb.com/title/tt0064116/</t>
  </si>
  <si>
    <t>http://www.imdb.com/title/tt0034583/</t>
  </si>
  <si>
    <t>http://www.imdb.com/title/tt0114814/</t>
  </si>
  <si>
    <t>http://www.imdb.com/title/tt0082971/</t>
  </si>
  <si>
    <t>http://www.imdb.com/title/tt0047396/</t>
  </si>
  <si>
    <t>http://www.imdb.com/title/tt0038650/</t>
  </si>
  <si>
    <t>http://www.imdb.com/title/tt0054215/</t>
  </si>
  <si>
    <t>http://www.imdb.com/title/tt0110413/</t>
  </si>
  <si>
    <t>http://www.imdb.com/title/tt0043014/</t>
  </si>
  <si>
    <t>http://www.imdb.com/title/tt0120586/</t>
  </si>
  <si>
    <t>http://www.imdb.com/title/tt0078788/</t>
  </si>
  <si>
    <t>http://www.imdb.com/title/tt0103064/</t>
  </si>
  <si>
    <t>http://www.imdb.com/title/tt0209144/</t>
  </si>
  <si>
    <t>http://www.imdb.com/title/tt0120815/</t>
  </si>
  <si>
    <t>http://www.imdb.com/title/tt0021749/</t>
  </si>
  <si>
    <t>http://www.imdb.com/title/tt0057012/</t>
  </si>
  <si>
    <t>http://www.imdb.com/title/tt0078748/</t>
  </si>
  <si>
    <t>http://www.imdb.com/title/tt0027977/</t>
  </si>
  <si>
    <t>http://www.imdb.com/title/tt0245429/</t>
  </si>
  <si>
    <t>http://www.imdb.com/title/tt1454468/</t>
  </si>
  <si>
    <t>http://www.imdb.com/title/tt0053125/</t>
  </si>
  <si>
    <t>http://www.imdb.com/title/tt0088763/</t>
  </si>
  <si>
    <t>http://www.imdb.com/title/tt0033467/</t>
  </si>
  <si>
    <t>http://www.imdb.com/title/tt0253474/</t>
  </si>
  <si>
    <t>http://www.imdb.com/title/tt0022100/</t>
  </si>
  <si>
    <t>http://www.imdb.com/title/tt0118799/</t>
  </si>
  <si>
    <t>http://www.imdb.com/title/tt0081505/</t>
  </si>
  <si>
    <t>http://www.imdb.com/title/tt0407887/</t>
  </si>
  <si>
    <t>http://www.imdb.com/title/tt0050825/</t>
  </si>
  <si>
    <t>http://www.imdb.com/title/tt0052357/</t>
  </si>
  <si>
    <t>http://www.imdb.com/title/tt0169547/</t>
  </si>
  <si>
    <t>http://www.imdb.com/title/tt1853728/</t>
  </si>
  <si>
    <t>http://www.imdb.com/title/tt0036775/</t>
  </si>
  <si>
    <t>http://www.imdb.com/title/tt0075314/</t>
  </si>
  <si>
    <t>http://www.imdb.com/title/tt1345836/</t>
  </si>
  <si>
    <t>http://www.imdb.com/title/tt0090605/</t>
  </si>
  <si>
    <t>http://www.imdb.com/title/tt0120689/</t>
  </si>
  <si>
    <t>http://www.imdb.com/title/tt1675434/</t>
  </si>
  <si>
    <t>http://www.imdb.com/title/tt0172495/</t>
  </si>
  <si>
    <t>http://www.imdb.com/title/tt0910970/</t>
  </si>
  <si>
    <t>http://www.imdb.com/title/tt0405094/</t>
  </si>
  <si>
    <t>http://www.imdb.com/title/tt0435761/</t>
  </si>
  <si>
    <t>http://www.imdb.com/title/tt0032553/</t>
  </si>
  <si>
    <t>http://www.imdb.com/title/tt0066921/</t>
  </si>
  <si>
    <t>http://www.imdb.com/title/tt0482571/</t>
  </si>
  <si>
    <t>http://www.imdb.com/title/tt0211915/</t>
  </si>
  <si>
    <t>http://www.imdb.com/title/tt0056172/</t>
  </si>
  <si>
    <t>http://www.imdb.com/title/tt0056592/</t>
  </si>
  <si>
    <t>http://www.imdb.com/title/tt0105236/</t>
  </si>
  <si>
    <t>http://www.imdb.com/title/tt0082096/</t>
  </si>
  <si>
    <t>http://www.imdb.com/title/tt0095765/</t>
  </si>
  <si>
    <t>http://www.imdb.com/title/tt0110357/</t>
  </si>
  <si>
    <t>http://www.imdb.com/title/tt0040897/</t>
  </si>
  <si>
    <t>http://www.imdb.com/title/tt0041959/</t>
  </si>
  <si>
    <t>http://www.imdb.com/title/tt0087843/</t>
  </si>
  <si>
    <t>http://www.imdb.com/title/tt0180093/</t>
  </si>
  <si>
    <t>http://www.imdb.com/title/tt0086190/</t>
  </si>
  <si>
    <t>http://www.imdb.com/title/tt0338013/</t>
  </si>
  <si>
    <t>http://www.imdb.com/title/tt0093058/</t>
  </si>
  <si>
    <t>http://www.imdb.com/title/tt0112573/</t>
  </si>
  <si>
    <t>http://www.imdb.com/title/tt0119488/</t>
  </si>
  <si>
    <t>http://www.imdb.com/title/tt0364569/</t>
  </si>
  <si>
    <t>http://www.imdb.com/title/tt0045152/</t>
  </si>
  <si>
    <t>http://www.imdb.com/title/tt0017136/</t>
  </si>
  <si>
    <t>http://www.imdb.com/title/tt0071315/</t>
  </si>
  <si>
    <t>http://www.imdb.com/title/tt0042876/</t>
  </si>
  <si>
    <t>http://www.imdb.com/title/tt0053291/</t>
  </si>
  <si>
    <t>http://www.imdb.com/title/tt0040522/</t>
  </si>
  <si>
    <t>http://www.imdb.com/title/tt0042192/</t>
  </si>
  <si>
    <t>http://www.imdb.com/title/tt0071853/</t>
  </si>
  <si>
    <t>http://www.imdb.com/title/tt0119698/</t>
  </si>
  <si>
    <t>http://www.imdb.com/title/tt0086879/</t>
  </si>
  <si>
    <t>http://www.imdb.com/title/tt0062622/</t>
  </si>
  <si>
    <t>http://www.imdb.com/title/tt0051201/</t>
  </si>
  <si>
    <t>http://www.imdb.com/title/tt0053604/</t>
  </si>
  <si>
    <t>http://www.imdb.com/title/tt0070735/</t>
  </si>
  <si>
    <t>http://www.imdb.com/title/tt0105695/</t>
  </si>
  <si>
    <t>http://www.imdb.com/title/tt0095327/</t>
  </si>
  <si>
    <t>http://www.imdb.com/title/tt0097576/</t>
  </si>
  <si>
    <t>http://www.imdb.com/title/tt0081398/</t>
  </si>
  <si>
    <t>http://www.imdb.com/title/tt0050212/</t>
  </si>
  <si>
    <t>http://www.imdb.com/title/tt0095016/</t>
  </si>
  <si>
    <t>http://www.imdb.com/title/tt0055630/</t>
  </si>
  <si>
    <t>http://www.imdb.com/title/tt0372784/</t>
  </si>
  <si>
    <t>http://www.imdb.com/title/tt1832382/</t>
  </si>
  <si>
    <t>http://www.imdb.com/title/tt0361748/</t>
  </si>
  <si>
    <t>http://www.imdb.com/title/tt0059578/</t>
  </si>
  <si>
    <t>http://www.imdb.com/title/tt0031679/</t>
  </si>
  <si>
    <t>http://www.imdb.com/title/tt0208092/</t>
  </si>
  <si>
    <t>http://www.imdb.com/title/tt0114709/</t>
  </si>
  <si>
    <t>http://www.imdb.com/title/tt0047296/</t>
  </si>
  <si>
    <t>http://www.imdb.com/title/tt0057115/</t>
  </si>
  <si>
    <t>http://www.imdb.com/title/tt0363163/</t>
  </si>
  <si>
    <t>http://www.imdb.com/title/tt0457430/</t>
  </si>
  <si>
    <t>http://www.imdb.com/title/tt1049413/</t>
  </si>
  <si>
    <t>http://www.imdb.com/title/tt0017925/</t>
  </si>
  <si>
    <t>http://www.imdb.com/title/tt0050976/</t>
  </si>
  <si>
    <t>http://www.imdb.com/title/tt0113277/</t>
  </si>
  <si>
    <t>http://www.imdb.com/title/tt0080678/</t>
  </si>
  <si>
    <t>http://www.imdb.com/title/tt0033870/</t>
  </si>
  <si>
    <t>http://www.imdb.com/title/tt0012349/</t>
  </si>
  <si>
    <t>http://www.imdb.com/title/tt0083658/</t>
  </si>
  <si>
    <t>http://www.imdb.com/title/tt0050986/</t>
  </si>
  <si>
    <t>http://www.imdb.com/title/tt0032976/</t>
  </si>
  <si>
    <t>http://www.imdb.com/title/tt0086250/</t>
  </si>
  <si>
    <t>http://www.imdb.com/title/tt0044741/</t>
  </si>
  <si>
    <t>http://www.imdb.com/title/tt0089881/</t>
  </si>
  <si>
    <t>http://www.imdb.com/title/tt0116282/</t>
  </si>
  <si>
    <t>http://www.imdb.com/title/tt1205489/</t>
  </si>
  <si>
    <t>http://www.imdb.com/title/tt0052311/</t>
  </si>
  <si>
    <t>http://www.imdb.com/title/tt0118715/</t>
  </si>
  <si>
    <t>http://www.imdb.com/title/tt0015864/</t>
  </si>
  <si>
    <t>http://www.imdb.com/title/tt0077416/</t>
  </si>
  <si>
    <t>http://www.imdb.com/title/tt0061512/</t>
  </si>
  <si>
    <t>http://www.imdb.com/title/tt0025316/</t>
  </si>
  <si>
    <t>http://www.imdb.com/title/tt0046911/</t>
  </si>
  <si>
    <t>http://www.imdb.com/title/tt0477348/</t>
  </si>
  <si>
    <t>http://www.imdb.com/title/tt0167404/</t>
  </si>
  <si>
    <t>http://www.imdb.com/title/tt0120735/</t>
  </si>
  <si>
    <t>http://www.imdb.com/title/tt0073195/</t>
  </si>
  <si>
    <t>http://www.imdb.com/title/tt0119217/</t>
  </si>
  <si>
    <t>http://www.imdb.com/title/tt0044079/</t>
  </si>
  <si>
    <t>http://www.imdb.com/title/tt0112641/</t>
  </si>
  <si>
    <t>http://www.imdb.com/title/tt0055031/</t>
  </si>
  <si>
    <t>http://www.imdb.com/title/tt0032551/</t>
  </si>
  <si>
    <t>http://www.imdb.com/title/tt0032138/</t>
  </si>
  <si>
    <t>http://www.imdb.com/title/tt0091763/</t>
  </si>
  <si>
    <t>http://www.imdb.com/title/tt0401792/</t>
  </si>
  <si>
    <t>http://www.imdb.com/title/tt0064115/</t>
  </si>
  <si>
    <t>http://www.imdb.com/title/tt0266697/</t>
  </si>
  <si>
    <t>http://www.imdb.com/title/tt0084787/</t>
  </si>
  <si>
    <t>http://www.imdb.com/title/tt0117951/</t>
  </si>
  <si>
    <t>http://www.imdb.com/title/tt0031381/</t>
  </si>
  <si>
    <t>http://www.imdb.com/title/tt0044706/</t>
  </si>
  <si>
    <t>http://www.imdb.com/title/tt0075686/</t>
  </si>
  <si>
    <t>http://www.imdb.com/title/tt0395169/</t>
  </si>
  <si>
    <t>http://www.imdb.com/title/tt2106476/</t>
  </si>
  <si>
    <t>http://www.imdb.com/title/tt1291584/</t>
  </si>
  <si>
    <t>http://www.imdb.com/title/tt1305806/</t>
  </si>
  <si>
    <t>http://www.imdb.com/title/tt0266543/</t>
  </si>
  <si>
    <t>http://www.imdb.com/title/tt0096283/</t>
  </si>
  <si>
    <t>http://www.imdb.com/title/tt0434409/</t>
  </si>
  <si>
    <t>http://www.imdb.com/title/tt0038787/</t>
  </si>
  <si>
    <t>http://www.imdb.com/title/tt0046912/</t>
  </si>
  <si>
    <t>http://www.imdb.com/title/tt0848228/</t>
  </si>
  <si>
    <t>http://www.imdb.com/title/tt0892769/</t>
  </si>
  <si>
    <t>http://www.imdb.com/title/tt0079470/</t>
  </si>
  <si>
    <t>http://www.imdb.com/title/tt0758758/</t>
  </si>
  <si>
    <t>http://www.imdb.com/title/tt0036868/</t>
  </si>
  <si>
    <t>http://www.imdb.com/title/tt0074958/</t>
  </si>
  <si>
    <t>http://www.imdb.com/title/tt0088247/</t>
  </si>
  <si>
    <t>http://www.imdb.com/title/tt0405159/</t>
  </si>
  <si>
    <t>http://www.imdb.com/title/tt0469494/</t>
  </si>
  <si>
    <t>http://www.imdb.com/title/tt0052618/</t>
  </si>
  <si>
    <t>http://www.imdb.com/title/tt0048424/</t>
  </si>
  <si>
    <t>http://www.imdb.com/title/tt0038355/</t>
  </si>
  <si>
    <t>http://www.imdb.com/title/tt1504320/</t>
  </si>
  <si>
    <t>http://www.imdb.com/title/tt0092005/</t>
  </si>
  <si>
    <t>http://www.imdb.com/title/tt0053198/</t>
  </si>
  <si>
    <t>http://www.imdb.com/title/tt0114746/</t>
  </si>
  <si>
    <t>http://www.imdb.com/title/tt0107048/</t>
  </si>
  <si>
    <t>http://www.imdb.com/title/tt0246578/</t>
  </si>
  <si>
    <t>http://www.imdb.com/title/tt0072890/</t>
  </si>
  <si>
    <t>http://www.imdb.com/title/tt0245712/</t>
  </si>
  <si>
    <t>http://www.imdb.com/title/tt0347149/</t>
  </si>
  <si>
    <t>http://www.imdb.com/title/tt0978762/</t>
  </si>
  <si>
    <t>http://www.imdb.com/title/tt0083987/</t>
  </si>
  <si>
    <t>http://www.imdb.com/title/tt0440963/</t>
  </si>
  <si>
    <t>http://www.imdb.com/title/tt0268978/</t>
  </si>
  <si>
    <t>http://www.imdb.com/title/tt0060827/</t>
  </si>
  <si>
    <t>http://www.imdb.com/title/tt0049406/</t>
  </si>
  <si>
    <t>http://www.imdb.com/title/tt0061722/</t>
  </si>
  <si>
    <t>http://www.imdb.com/title/tt1979320/</t>
  </si>
  <si>
    <t>http://www.imdb.com/title/tt0947798/</t>
  </si>
  <si>
    <t>http://www.imdb.com/title/tt0093779/</t>
  </si>
  <si>
    <t>http://www.imdb.com/title/tt0061184/</t>
  </si>
  <si>
    <t>http://www.imdb.com/title/tt0054997/</t>
  </si>
  <si>
    <t>http://www.imdb.com/title/tt0056217/</t>
  </si>
  <si>
    <t>http://www.imdb.com/title/tt0047528/</t>
  </si>
  <si>
    <t>http://www.imdb.com/title/tt0052561/</t>
  </si>
  <si>
    <t>http://www.imdb.com/title/tt0056801/</t>
  </si>
  <si>
    <t>http://www.imdb.com/title/tt0056218/</t>
  </si>
  <si>
    <t>http://www.imdb.com/title/tt0075148/</t>
  </si>
  <si>
    <t>http://www.imdb.com/title/tt0070047/</t>
  </si>
  <si>
    <t>http://www.imdb.com/title/tt1010048/</t>
  </si>
  <si>
    <t>http://www.imdb.com/title/tt0107207/</t>
  </si>
  <si>
    <t>http://www.imdb.com/title/tt0046359/</t>
  </si>
  <si>
    <t>http://www.imdb.com/title/tt0040746/</t>
  </si>
  <si>
    <t>http://www.imdb.com/title/tt0065214/</t>
  </si>
  <si>
    <t>http://www.imdb.com/title/tt0072684/</t>
  </si>
  <si>
    <t>http://www.imdb.com/title/tt0198781/</t>
  </si>
  <si>
    <t>http://www.imdb.com/title/tt0083922/</t>
  </si>
  <si>
    <t>http://www.imdb.com/title/tt0338564/</t>
  </si>
  <si>
    <t>http://www.imdb.com/title/tt0120382/</t>
  </si>
  <si>
    <t>http://www.imdb.com/title/tt0046250/</t>
  </si>
  <si>
    <t>http://www.imdb.com/title/tt0454876/</t>
  </si>
  <si>
    <t>http://www.imdb.com/title/tt0325980/</t>
  </si>
  <si>
    <t>http://www.imdb.com/title/tt0353969/</t>
  </si>
  <si>
    <t>http://www.imdb.com/title/tt0020629/</t>
  </si>
  <si>
    <t>http://www.imdb.com/title/tt1201607/</t>
  </si>
  <si>
    <t>http://www.imdb.com/title/tt0069281/</t>
  </si>
  <si>
    <t>http://www.imdb.com/title/tt0079944/</t>
  </si>
  <si>
    <t>http://www.imdb.com/title/tt0107290/</t>
  </si>
  <si>
    <t>http://www.imdb.com/title/tt0044081/</t>
  </si>
  <si>
    <t>http://www.imdb.com/title/tt0796366/</t>
  </si>
  <si>
    <t>http://www.imdb.com/title/tt0382932/</t>
  </si>
  <si>
    <t>http://www.imdb.com/title/tt1220719/</t>
  </si>
  <si>
    <t>http://www.imdb.com/title/tt0058461/</t>
  </si>
  <si>
    <t>http://www.imdb.com/title/tt0401383/</t>
  </si>
  <si>
    <t>http://www.imdb.com/title/tt0903624/</t>
  </si>
  <si>
    <t>http://www.imdb.com/title/tt1136608/</t>
  </si>
  <si>
    <t>http://www.imdb.com/title/tt1130884/</t>
  </si>
  <si>
    <t>http://www.imdb.com/title/tt0095953/</t>
  </si>
  <si>
    <t>http://www.imdb.com/title/tt1255953/</t>
  </si>
  <si>
    <t>http://www.imdb.com/title/tt0063522/</t>
  </si>
  <si>
    <t>http://www.imdb.com/title/tt0113247/</t>
  </si>
  <si>
    <t>http://www.imdb.com/title/tt1187043/</t>
  </si>
  <si>
    <t>http://www.imdb.com/title/tt1655442/</t>
  </si>
  <si>
    <t>http://www.imdb.com/title/tt0087544/</t>
  </si>
  <si>
    <t>http://www.imdb.com/title/tt0101414/</t>
  </si>
  <si>
    <t>http://www.imdb.com/title/tt0111495/</t>
  </si>
  <si>
    <t>http://www.imdb.com/title/tt0029947/</t>
  </si>
  <si>
    <t>http://www.imdb.com/title/tt0327056/</t>
  </si>
  <si>
    <t>http://www.imdb.com/title/tt0061811/</t>
  </si>
  <si>
    <t>http://www.imdb.com/title/tt0036613/</t>
  </si>
  <si>
    <t>http://www.imdb.com/title/tt0112471/</t>
  </si>
  <si>
    <t>http://www.imdb.com/title/tt0070511/</t>
  </si>
  <si>
    <t>Hyperlink</t>
  </si>
  <si>
    <t>Argo</t>
  </si>
  <si>
    <t>The Hurt Locker</t>
  </si>
  <si>
    <t>Crash</t>
  </si>
  <si>
    <t>Chicago</t>
  </si>
  <si>
    <t>Shakespeare in Love</t>
  </si>
  <si>
    <t>Titanic</t>
  </si>
  <si>
    <t>The English Patient</t>
  </si>
  <si>
    <t>Schindler’s List</t>
  </si>
  <si>
    <t>Dances With Wolves</t>
  </si>
  <si>
    <t>Driving Miss Daisy</t>
  </si>
  <si>
    <t>The Last Emperor</t>
  </si>
  <si>
    <t>Out of Africa</t>
  </si>
  <si>
    <t>Terms of Endearment</t>
  </si>
  <si>
    <t>Chariots of Fire</t>
  </si>
  <si>
    <t>Ordinary People</t>
  </si>
  <si>
    <t>Kramer vs. Kramer</t>
  </si>
  <si>
    <t>One Flew over the Cuckoo's Nest</t>
  </si>
  <si>
    <t>The Godfather Part II</t>
  </si>
  <si>
    <t>The French Connection</t>
  </si>
  <si>
    <t>Patton</t>
  </si>
  <si>
    <t>Midnight Cowboy</t>
  </si>
  <si>
    <t>Oliver!</t>
  </si>
  <si>
    <t>A Man for All Seasons</t>
  </si>
  <si>
    <t>The Sound of Music</t>
  </si>
  <si>
    <t>My Fair Lady</t>
  </si>
  <si>
    <t>Tom Jones</t>
  </si>
  <si>
    <t>West Side Story</t>
  </si>
  <si>
    <t>Gigi</t>
  </si>
  <si>
    <t>Around the World in 80 Days</t>
  </si>
  <si>
    <t>Marty</t>
  </si>
  <si>
    <t>From Here to Eternity</t>
  </si>
  <si>
    <t>The Greatest Show on Earth</t>
  </si>
  <si>
    <t>An American in Paris</t>
  </si>
  <si>
    <t>All the Kings Men</t>
  </si>
  <si>
    <t>Hamlet</t>
  </si>
  <si>
    <t>Gentleman's Agreement</t>
  </si>
  <si>
    <t>The Lost Weekend</t>
  </si>
  <si>
    <t>Going My Way</t>
  </si>
  <si>
    <t>Mrs. Miniver</t>
  </si>
  <si>
    <t>How Green Was My Valley</t>
  </si>
  <si>
    <t>You Can't Take It with You</t>
  </si>
  <si>
    <t>The Life of Emile Zola</t>
  </si>
  <si>
    <t>The Great Ziegfeld</t>
  </si>
  <si>
    <t>Mutiny on the Bounty</t>
  </si>
  <si>
    <t>Cavalcade</t>
  </si>
  <si>
    <t>Grand Hotel</t>
  </si>
  <si>
    <t>Cimarron</t>
  </si>
  <si>
    <t>The Broadway Melody</t>
  </si>
  <si>
    <t>Wings</t>
  </si>
  <si>
    <t>Oscar_Win</t>
  </si>
  <si>
    <t>http://www.oscars.org/awards/academyawards/legacy/best-pictures.html</t>
  </si>
  <si>
    <t>www.exceldashboardtemplates.com</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</si>
</sst>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43" formatCode="_(* #,##0.00_);_(* \(#,##0.00\);_(* &quot;-&quot;??_);_(@_)"/>
    <numFmt numFmtId="164" formatCode="_(* #,##0.0_);_(* \(#,##0.0\);_(* &quot;-&quot;??_);_(@_)"/>
    <numFmt numFmtId="165" formatCode="_(* #,##0_);_(* \(#,##0\);_(* &quot;-&quot;??_);_(@_)"/>
    <numFmt numFmtId="166" formatCode="0.0000"/>
    <numFmt numFmtId="167" formatCode="0.0"/>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8"/>
      <color indexed="81"/>
      <name val="Tahoma"/>
      <family val="2"/>
    </font>
    <font>
      <b/>
      <sz val="8"/>
      <color indexed="81"/>
      <name val="Tahoma"/>
      <family val="2"/>
    </font>
    <font>
      <b/>
      <sz val="16"/>
      <color theme="1"/>
      <name val="Calibri"/>
      <family val="2"/>
      <scheme val="minor"/>
    </font>
    <font>
      <sz val="11"/>
      <color theme="1"/>
      <name val="Verdana"/>
      <family val="2"/>
    </font>
    <font>
      <b/>
      <sz val="11"/>
      <color rgb="FFF07F09"/>
      <name val="Verdana"/>
      <family val="2"/>
    </font>
    <font>
      <b/>
      <sz val="10"/>
      <color rgb="FF000000"/>
      <name val="Arial"/>
      <family val="2"/>
    </font>
    <font>
      <b/>
      <sz val="16"/>
      <color rgb="FFFF0000"/>
      <name val="Verdana"/>
      <family val="2"/>
    </font>
    <font>
      <sz val="11"/>
      <color rgb="FFB35C06"/>
      <name val="Verdana"/>
      <family val="2"/>
    </font>
    <font>
      <b/>
      <sz val="12"/>
      <color rgb="FF000000"/>
      <name val="Verdana"/>
      <family val="2"/>
    </font>
    <font>
      <b/>
      <sz val="14"/>
      <color theme="1"/>
      <name val="Calibri"/>
      <family val="2"/>
      <scheme val="minor"/>
    </font>
    <font>
      <sz val="12"/>
      <color rgb="FFFF0000"/>
      <name val="Calibri"/>
      <family val="2"/>
      <scheme val="minor"/>
    </font>
    <font>
      <b/>
      <sz val="11"/>
      <color theme="0"/>
      <name val="Calibri"/>
      <family val="2"/>
      <scheme val="minor"/>
    </font>
    <font>
      <sz val="11"/>
      <color theme="0"/>
      <name val="Calibri"/>
      <family val="2"/>
      <scheme val="minor"/>
    </font>
    <font>
      <sz val="10"/>
      <color theme="1"/>
      <name val="Calibri"/>
      <family val="2"/>
      <scheme val="minor"/>
    </font>
    <font>
      <b/>
      <sz val="16"/>
      <color rgb="FF303030"/>
      <name val="Arial"/>
      <family val="2"/>
    </font>
    <font>
      <sz val="10"/>
      <color theme="0"/>
      <name val="Arial"/>
      <family val="2"/>
    </font>
    <font>
      <b/>
      <sz val="7.5"/>
      <color rgb="FF333333"/>
      <name val="Arial"/>
      <family val="2"/>
    </font>
    <font>
      <sz val="7.5"/>
      <color rgb="FF333333"/>
      <name val="Arial"/>
      <family val="2"/>
    </font>
    <font>
      <u/>
      <sz val="8"/>
      <color theme="10"/>
      <name val="Calibri"/>
      <family val="2"/>
      <scheme val="minor"/>
    </font>
    <font>
      <b/>
      <sz val="7.5"/>
      <color indexed="63"/>
      <name val="Arial"/>
      <family val="2"/>
    </font>
    <font>
      <sz val="7.5"/>
      <color indexed="63"/>
      <name val="Arial"/>
      <family val="2"/>
    </font>
    <font>
      <sz val="10"/>
      <color rgb="FF333333"/>
      <name val="Arial Unicode MS"/>
      <family val="2"/>
    </font>
    <font>
      <sz val="10"/>
      <color indexed="12"/>
      <name val="Arial"/>
      <family val="2"/>
    </font>
    <font>
      <u/>
      <sz val="11"/>
      <color theme="10"/>
      <name val="Calibri"/>
      <family val="2"/>
      <scheme val="minor"/>
    </font>
    <font>
      <b/>
      <sz val="11"/>
      <color rgb="FFFFFF00"/>
      <name val="Calibri"/>
      <family val="2"/>
      <scheme val="minor"/>
    </font>
    <font>
      <b/>
      <u/>
      <sz val="11"/>
      <color theme="10"/>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rgb="FFD2CAB5"/>
        <bgColor rgb="FF000000"/>
      </patternFill>
    </fill>
    <fill>
      <patternFill patternType="solid">
        <fgColor rgb="FFFFFFFF"/>
        <bgColor rgb="FF000000"/>
      </patternFill>
    </fill>
    <fill>
      <patternFill patternType="solid">
        <fgColor rgb="FFFFFF00"/>
        <bgColor rgb="FF000000"/>
      </patternFill>
    </fill>
    <fill>
      <patternFill patternType="solid">
        <fgColor rgb="FFE3DED1"/>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3" tint="-0.249977111117893"/>
        <bgColor indexed="64"/>
      </patternFill>
    </fill>
    <fill>
      <patternFill patternType="solid">
        <fgColor theme="6" tint="-0.249977111117893"/>
        <bgColor indexed="64"/>
      </patternFill>
    </fill>
    <fill>
      <patternFill patternType="solid">
        <fgColor theme="9" tint="-0.249977111117893"/>
        <bgColor indexed="64"/>
      </patternFill>
    </fill>
    <fill>
      <patternFill patternType="solid">
        <fgColor rgb="FFFFFFDB"/>
        <bgColor indexed="64"/>
      </patternFill>
    </fill>
    <fill>
      <patternFill patternType="solid">
        <fgColor rgb="FFE5E5E5"/>
        <bgColor indexed="64"/>
      </patternFill>
    </fill>
    <fill>
      <patternFill patternType="solid">
        <fgColor rgb="FFFFFFFF"/>
        <bgColor indexed="64"/>
      </patternFill>
    </fill>
    <fill>
      <patternFill patternType="solid">
        <fgColor theme="0" tint="-0.14999847407452621"/>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rgb="FF008E40"/>
      </left>
      <right/>
      <top style="double">
        <color rgb="FF008E40"/>
      </top>
      <bottom/>
      <diagonal/>
    </border>
    <border>
      <left/>
      <right/>
      <top style="double">
        <color rgb="FF008E40"/>
      </top>
      <bottom/>
      <diagonal/>
    </border>
    <border>
      <left/>
      <right style="double">
        <color rgb="FF008E40"/>
      </right>
      <top style="double">
        <color rgb="FF008E40"/>
      </top>
      <bottom/>
      <diagonal/>
    </border>
    <border>
      <left style="double">
        <color rgb="FF008E40"/>
      </left>
      <right/>
      <top/>
      <bottom/>
      <diagonal/>
    </border>
    <border>
      <left style="thin">
        <color indexed="64"/>
      </left>
      <right style="double">
        <color rgb="FF008E40"/>
      </right>
      <top style="thin">
        <color indexed="64"/>
      </top>
      <bottom style="thin">
        <color indexed="64"/>
      </bottom>
      <diagonal/>
    </border>
    <border>
      <left/>
      <right style="double">
        <color rgb="FF008E40"/>
      </right>
      <top/>
      <bottom/>
      <diagonal/>
    </border>
    <border>
      <left style="double">
        <color rgb="FF008E40"/>
      </left>
      <right/>
      <top/>
      <bottom style="double">
        <color rgb="FF008E40"/>
      </bottom>
      <diagonal/>
    </border>
    <border>
      <left/>
      <right/>
      <top/>
      <bottom style="double">
        <color rgb="FF008E40"/>
      </bottom>
      <diagonal/>
    </border>
    <border>
      <left/>
      <right style="double">
        <color rgb="FF008E40"/>
      </right>
      <top/>
      <bottom style="double">
        <color rgb="FF008E40"/>
      </bottom>
      <diagonal/>
    </border>
    <border>
      <left style="thin">
        <color indexed="64"/>
      </left>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43" fontId="1" fillId="0" borderId="0" applyFont="0" applyFill="0" applyBorder="0" applyAlignment="0" applyProtection="0"/>
    <xf numFmtId="0" fontId="22" fillId="0" borderId="0" applyNumberFormat="0" applyFill="0" applyBorder="0" applyAlignment="0" applyProtection="0"/>
  </cellStyleXfs>
  <cellXfs count="122">
    <xf numFmtId="0" fontId="0" fillId="0" borderId="0" xfId="0"/>
    <xf numFmtId="0" fontId="0" fillId="2" borderId="1" xfId="0" applyFill="1" applyBorder="1" applyAlignment="1">
      <alignment horizontal="center"/>
    </xf>
    <xf numFmtId="0" fontId="0" fillId="3" borderId="0" xfId="0" applyFill="1"/>
    <xf numFmtId="0" fontId="0" fillId="3" borderId="0" xfId="0" applyFill="1" applyAlignment="1">
      <alignment horizontal="center"/>
    </xf>
    <xf numFmtId="3" fontId="0" fillId="3" borderId="0" xfId="0" applyNumberFormat="1" applyFill="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0" fillId="4" borderId="0" xfId="0" applyFill="1"/>
    <xf numFmtId="0" fontId="3" fillId="4" borderId="0" xfId="0" quotePrefix="1" applyFont="1" applyFill="1" applyAlignment="1">
      <alignment horizontal="center"/>
    </xf>
    <xf numFmtId="0" fontId="0" fillId="0" borderId="0" xfId="0"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165" fontId="0" fillId="0" borderId="0" xfId="1" applyNumberFormat="1" applyFont="1" applyAlignment="1">
      <alignment horizontal="center" vertical="center"/>
    </xf>
    <xf numFmtId="0" fontId="0" fillId="2" borderId="0" xfId="0" applyFont="1" applyFill="1" applyBorder="1" applyAlignment="1">
      <alignment horizontal="center"/>
    </xf>
    <xf numFmtId="0" fontId="0" fillId="2" borderId="0" xfId="0" applyFont="1" applyFill="1" applyBorder="1" applyAlignment="1">
      <alignment horizontal="center" vertical="center"/>
    </xf>
    <xf numFmtId="0" fontId="0" fillId="2" borderId="0" xfId="0" applyFill="1" applyBorder="1" applyAlignment="1">
      <alignment horizontal="center"/>
    </xf>
    <xf numFmtId="0" fontId="0" fillId="2" borderId="0" xfId="0" applyFill="1" applyBorder="1"/>
    <xf numFmtId="0" fontId="0" fillId="2" borderId="0" xfId="0" applyFill="1"/>
    <xf numFmtId="0" fontId="0" fillId="2" borderId="3" xfId="0" applyFill="1" applyBorder="1"/>
    <xf numFmtId="0" fontId="0" fillId="2" borderId="4" xfId="0" applyFill="1" applyBorder="1"/>
    <xf numFmtId="0" fontId="0" fillId="2" borderId="4" xfId="0" applyFont="1" applyFill="1" applyBorder="1" applyAlignment="1">
      <alignment horizontal="center"/>
    </xf>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2" borderId="10" xfId="0" applyFill="1" applyBorder="1"/>
    <xf numFmtId="0" fontId="7" fillId="5" borderId="11" xfId="0" applyFont="1" applyFill="1" applyBorder="1" applyAlignment="1">
      <alignment horizontal="center"/>
    </xf>
    <xf numFmtId="0" fontId="7" fillId="5" borderId="12" xfId="0" applyFont="1" applyFill="1" applyBorder="1" applyAlignment="1">
      <alignment horizontal="center"/>
    </xf>
    <xf numFmtId="0" fontId="8" fillId="5" borderId="12" xfId="0" applyFont="1" applyFill="1" applyBorder="1" applyAlignment="1">
      <alignment horizontal="center"/>
    </xf>
    <xf numFmtId="0" fontId="7" fillId="5" borderId="13" xfId="0" applyFont="1" applyFill="1" applyBorder="1" applyAlignment="1">
      <alignment horizontal="center"/>
    </xf>
    <xf numFmtId="0" fontId="7" fillId="0" borderId="0" xfId="0" applyFont="1" applyFill="1" applyBorder="1" applyAlignment="1">
      <alignment horizontal="center"/>
    </xf>
    <xf numFmtId="0" fontId="7" fillId="6" borderId="0" xfId="0" quotePrefix="1" applyFont="1" applyFill="1" applyBorder="1"/>
    <xf numFmtId="0" fontId="7" fillId="6" borderId="0" xfId="0" applyFont="1" applyFill="1" applyBorder="1"/>
    <xf numFmtId="0" fontId="7" fillId="0" borderId="0" xfId="0" applyFont="1" applyFill="1" applyBorder="1"/>
    <xf numFmtId="0" fontId="9" fillId="7" borderId="0" xfId="0" applyFont="1" applyFill="1" applyBorder="1" applyAlignment="1">
      <alignment horizontal="center"/>
    </xf>
    <xf numFmtId="0" fontId="7" fillId="0" borderId="14" xfId="0" applyFont="1" applyFill="1" applyBorder="1" applyAlignment="1">
      <alignment horizontal="center"/>
    </xf>
    <xf numFmtId="2" fontId="7" fillId="7" borderId="15" xfId="0" applyNumberFormat="1" applyFont="1" applyFill="1" applyBorder="1" applyAlignment="1">
      <alignment horizontal="center"/>
    </xf>
    <xf numFmtId="2" fontId="7" fillId="0" borderId="0" xfId="0" applyNumberFormat="1" applyFont="1" applyFill="1" applyBorder="1" applyAlignment="1">
      <alignment horizontal="center"/>
    </xf>
    <xf numFmtId="166" fontId="7" fillId="6" borderId="0" xfId="0" applyNumberFormat="1" applyFont="1" applyFill="1" applyBorder="1"/>
    <xf numFmtId="0" fontId="10" fillId="6" borderId="0" xfId="0" applyFont="1" applyFill="1" applyBorder="1" applyAlignment="1">
      <alignment horizontal="center" vertical="center"/>
    </xf>
    <xf numFmtId="0" fontId="7" fillId="5" borderId="1" xfId="0" quotePrefix="1" applyFont="1" applyFill="1" applyBorder="1" applyAlignment="1">
      <alignment horizontal="center"/>
    </xf>
    <xf numFmtId="1" fontId="7" fillId="7" borderId="1" xfId="0" applyNumberFormat="1" applyFont="1" applyFill="1" applyBorder="1" applyAlignment="1">
      <alignment horizontal="center"/>
    </xf>
    <xf numFmtId="165" fontId="7" fillId="0" borderId="16" xfId="1" applyNumberFormat="1" applyFont="1" applyFill="1" applyBorder="1" applyAlignment="1">
      <alignment horizontal="center"/>
    </xf>
    <xf numFmtId="164" fontId="7" fillId="0" borderId="0" xfId="1" applyNumberFormat="1" applyFont="1" applyFill="1" applyBorder="1" applyAlignment="1">
      <alignment horizontal="center"/>
    </xf>
    <xf numFmtId="0" fontId="7" fillId="0" borderId="14" xfId="0" applyFont="1" applyFill="1" applyBorder="1"/>
    <xf numFmtId="167" fontId="11" fillId="0" borderId="0" xfId="0" applyNumberFormat="1" applyFont="1" applyFill="1" applyBorder="1" applyAlignment="1">
      <alignment horizontal="center"/>
    </xf>
    <xf numFmtId="0" fontId="7" fillId="8" borderId="17" xfId="0" applyFont="1" applyFill="1" applyBorder="1" applyAlignment="1">
      <alignment horizontal="center"/>
    </xf>
    <xf numFmtId="0" fontId="7" fillId="8" borderId="18" xfId="0" applyFont="1" applyFill="1" applyBorder="1" applyAlignment="1">
      <alignment horizontal="center"/>
    </xf>
    <xf numFmtId="0" fontId="7" fillId="0" borderId="18" xfId="0" applyFont="1" applyFill="1" applyBorder="1" applyAlignment="1">
      <alignment horizontal="center"/>
    </xf>
    <xf numFmtId="0" fontId="7" fillId="0" borderId="18" xfId="0" applyFont="1" applyFill="1" applyBorder="1"/>
    <xf numFmtId="165" fontId="7" fillId="0" borderId="19" xfId="0" applyNumberFormat="1" applyFont="1" applyFill="1" applyBorder="1"/>
    <xf numFmtId="0" fontId="12" fillId="5" borderId="1" xfId="0" applyFont="1" applyFill="1" applyBorder="1" applyAlignment="1">
      <alignment horizontal="center"/>
    </xf>
    <xf numFmtId="3" fontId="0" fillId="0" borderId="0" xfId="0" applyNumberFormat="1"/>
    <xf numFmtId="2" fontId="0" fillId="0" borderId="0" xfId="0" applyNumberFormat="1"/>
    <xf numFmtId="1" fontId="0" fillId="3" borderId="0" xfId="0" applyNumberFormat="1" applyFill="1" applyAlignment="1">
      <alignment horizontal="center"/>
    </xf>
    <xf numFmtId="1" fontId="0" fillId="0" borderId="0" xfId="0" applyNumberFormat="1"/>
    <xf numFmtId="0" fontId="0" fillId="2" borderId="20" xfId="0" applyFill="1" applyBorder="1" applyAlignment="1">
      <alignment horizontal="center"/>
    </xf>
    <xf numFmtId="3" fontId="0" fillId="9" borderId="0" xfId="0" applyNumberFormat="1" applyFill="1"/>
    <xf numFmtId="0" fontId="0" fillId="9" borderId="0" xfId="0" applyFill="1"/>
    <xf numFmtId="0" fontId="7" fillId="0" borderId="0" xfId="0" applyFont="1" applyFill="1" applyBorder="1" applyAlignment="1">
      <alignment horizontal="left"/>
    </xf>
    <xf numFmtId="0" fontId="14" fillId="2" borderId="2" xfId="0" applyFont="1" applyFill="1" applyBorder="1" applyAlignment="1">
      <alignment horizontal="center" vertical="center"/>
    </xf>
    <xf numFmtId="0" fontId="0" fillId="0" borderId="0" xfId="0" applyAlignment="1"/>
    <xf numFmtId="0" fontId="0" fillId="0" borderId="1" xfId="0" applyBorder="1" applyAlignment="1">
      <alignment horizontal="center"/>
    </xf>
    <xf numFmtId="0" fontId="0" fillId="10" borderId="0" xfId="0" applyFill="1" applyAlignment="1">
      <alignment horizontal="center" vertical="center"/>
    </xf>
    <xf numFmtId="0" fontId="0" fillId="10" borderId="0" xfId="0" applyFill="1"/>
    <xf numFmtId="0" fontId="0" fillId="0" borderId="22" xfId="0" applyBorder="1" applyAlignment="1">
      <alignment horizontal="center"/>
    </xf>
    <xf numFmtId="0" fontId="0" fillId="10" borderId="0" xfId="0" applyFill="1" applyAlignment="1">
      <alignment horizontal="center"/>
    </xf>
    <xf numFmtId="43" fontId="0" fillId="0" borderId="0" xfId="1" applyFont="1" applyAlignment="1">
      <alignment horizontal="center"/>
    </xf>
    <xf numFmtId="37" fontId="0" fillId="0" borderId="0" xfId="1" applyNumberFormat="1" applyFont="1" applyBorder="1" applyAlignment="1">
      <alignment horizontal="center"/>
    </xf>
    <xf numFmtId="0" fontId="13" fillId="2" borderId="0" xfId="0" applyFont="1" applyFill="1" applyBorder="1" applyAlignment="1">
      <alignment horizontal="center"/>
    </xf>
    <xf numFmtId="0" fontId="16" fillId="13" borderId="1" xfId="0" applyFont="1" applyFill="1" applyBorder="1" applyAlignment="1">
      <alignment horizontal="center"/>
    </xf>
    <xf numFmtId="0" fontId="0" fillId="12" borderId="1" xfId="0" applyFill="1" applyBorder="1" applyAlignment="1">
      <alignment horizontal="center"/>
    </xf>
    <xf numFmtId="37" fontId="17" fillId="0" borderId="1" xfId="1" applyNumberFormat="1" applyFont="1" applyBorder="1" applyAlignment="1">
      <alignment horizontal="center"/>
    </xf>
    <xf numFmtId="0" fontId="15" fillId="14" borderId="2" xfId="0" applyFont="1" applyFill="1" applyBorder="1" applyAlignment="1">
      <alignment horizontal="center" vertical="center"/>
    </xf>
    <xf numFmtId="3" fontId="15" fillId="14" borderId="2" xfId="1" applyNumberFormat="1" applyFont="1" applyFill="1" applyBorder="1" applyAlignment="1">
      <alignment horizontal="center" vertical="center"/>
    </xf>
    <xf numFmtId="4" fontId="15" fillId="14" borderId="2" xfId="1" applyNumberFormat="1" applyFont="1" applyFill="1" applyBorder="1" applyAlignment="1">
      <alignment horizontal="center" vertical="center"/>
    </xf>
    <xf numFmtId="0" fontId="0" fillId="14" borderId="0" xfId="0" applyFill="1"/>
    <xf numFmtId="0" fontId="16" fillId="15" borderId="0" xfId="0" applyFont="1" applyFill="1" applyAlignment="1">
      <alignment horizontal="center"/>
    </xf>
    <xf numFmtId="0" fontId="19" fillId="15" borderId="0" xfId="0" quotePrefix="1" applyFont="1" applyFill="1" applyAlignment="1">
      <alignment horizontal="center"/>
    </xf>
    <xf numFmtId="167" fontId="0" fillId="0" borderId="0" xfId="0" applyNumberFormat="1"/>
    <xf numFmtId="0" fontId="20" fillId="16" borderId="24" xfId="0" applyFont="1" applyFill="1" applyBorder="1" applyAlignment="1">
      <alignment horizontal="center" vertical="center" wrapText="1"/>
    </xf>
    <xf numFmtId="167" fontId="20" fillId="16" borderId="24" xfId="0" applyNumberFormat="1" applyFont="1" applyFill="1" applyBorder="1" applyAlignment="1">
      <alignment horizontal="center" vertical="center" wrapText="1"/>
    </xf>
    <xf numFmtId="0" fontId="20" fillId="16" borderId="24" xfId="0" applyFont="1" applyFill="1" applyBorder="1" applyAlignment="1">
      <alignment vertical="center"/>
    </xf>
    <xf numFmtId="0" fontId="20" fillId="16" borderId="24" xfId="0" applyFont="1" applyFill="1" applyBorder="1" applyAlignment="1">
      <alignment horizontal="right" vertical="center" wrapText="1"/>
    </xf>
    <xf numFmtId="0" fontId="20" fillId="17" borderId="24" xfId="0" applyFont="1" applyFill="1" applyBorder="1" applyAlignment="1">
      <alignment horizontal="right" vertical="center" wrapText="1"/>
    </xf>
    <xf numFmtId="167" fontId="21" fillId="17" borderId="24" xfId="0" applyNumberFormat="1" applyFont="1" applyFill="1" applyBorder="1" applyAlignment="1">
      <alignment horizontal="center" vertical="center" wrapText="1"/>
    </xf>
    <xf numFmtId="0" fontId="22" fillId="17" borderId="24" xfId="2" applyFill="1" applyBorder="1" applyAlignment="1">
      <alignment vertical="center"/>
    </xf>
    <xf numFmtId="3" fontId="21" fillId="17" borderId="24" xfId="0" applyNumberFormat="1" applyFont="1" applyFill="1" applyBorder="1" applyAlignment="1">
      <alignment horizontal="right" vertical="center" wrapText="1"/>
    </xf>
    <xf numFmtId="0" fontId="20" fillId="18" borderId="24" xfId="0" applyFont="1" applyFill="1" applyBorder="1" applyAlignment="1">
      <alignment horizontal="right" vertical="center" wrapText="1"/>
    </xf>
    <xf numFmtId="167" fontId="21" fillId="18" borderId="24" xfId="0" applyNumberFormat="1" applyFont="1" applyFill="1" applyBorder="1" applyAlignment="1">
      <alignment horizontal="center" vertical="center" wrapText="1"/>
    </xf>
    <xf numFmtId="0" fontId="22" fillId="18" borderId="24" xfId="2" applyFill="1" applyBorder="1" applyAlignment="1">
      <alignment vertical="center"/>
    </xf>
    <xf numFmtId="3" fontId="21" fillId="18" borderId="24" xfId="0" applyNumberFormat="1" applyFont="1" applyFill="1" applyBorder="1" applyAlignment="1">
      <alignment horizontal="right" vertical="center" wrapText="1"/>
    </xf>
    <xf numFmtId="0" fontId="21" fillId="0" borderId="0" xfId="0" applyFont="1" applyAlignment="1">
      <alignment horizontal="left" vertical="center" indent="3"/>
    </xf>
    <xf numFmtId="0" fontId="0" fillId="18" borderId="0" xfId="0" applyFill="1" applyAlignment="1">
      <alignment horizontal="left" vertical="center" indent="3"/>
    </xf>
    <xf numFmtId="0" fontId="25" fillId="0" borderId="0" xfId="0" applyFont="1" applyAlignment="1">
      <alignment horizontal="left" vertical="center" indent="3"/>
    </xf>
    <xf numFmtId="0" fontId="21" fillId="18" borderId="0" xfId="0" applyFont="1" applyFill="1" applyAlignment="1">
      <alignment horizontal="left" vertical="center" indent="3"/>
    </xf>
    <xf numFmtId="0" fontId="21" fillId="0" borderId="0" xfId="0" applyFont="1" applyAlignment="1">
      <alignment horizontal="left" vertical="center" indent="4"/>
    </xf>
    <xf numFmtId="0" fontId="0" fillId="2" borderId="22" xfId="0" applyFill="1" applyBorder="1" applyAlignment="1">
      <alignment horizontal="center"/>
    </xf>
    <xf numFmtId="0" fontId="0" fillId="11" borderId="1" xfId="0" applyFill="1" applyBorder="1"/>
    <xf numFmtId="0" fontId="26" fillId="0" borderId="0" xfId="0" applyFont="1"/>
    <xf numFmtId="0" fontId="0" fillId="12" borderId="0" xfId="0" applyFill="1"/>
    <xf numFmtId="0" fontId="26" fillId="12" borderId="0" xfId="0" applyFont="1" applyFill="1" applyAlignment="1">
      <alignment horizontal="center"/>
    </xf>
    <xf numFmtId="0" fontId="22" fillId="0" borderId="0" xfId="2" quotePrefix="1" applyAlignment="1">
      <alignment horizontal="center"/>
    </xf>
    <xf numFmtId="0" fontId="28" fillId="14" borderId="2" xfId="0" applyFont="1" applyFill="1" applyBorder="1" applyAlignment="1">
      <alignment horizontal="center" vertical="center"/>
    </xf>
    <xf numFmtId="0" fontId="18" fillId="0" borderId="0" xfId="0" applyFont="1" applyAlignment="1">
      <alignment horizontal="center"/>
    </xf>
    <xf numFmtId="0" fontId="2" fillId="2" borderId="6" xfId="0" applyFont="1" applyFill="1" applyBorder="1" applyAlignment="1">
      <alignment horizontal="center"/>
    </xf>
    <xf numFmtId="0" fontId="2" fillId="2" borderId="0" xfId="0" applyFont="1" applyFill="1" applyBorder="1" applyAlignment="1">
      <alignment horizontal="center"/>
    </xf>
    <xf numFmtId="0" fontId="2" fillId="2" borderId="7" xfId="0" applyFont="1" applyFill="1" applyBorder="1" applyAlignment="1">
      <alignment horizontal="center"/>
    </xf>
    <xf numFmtId="0" fontId="15" fillId="13" borderId="1"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6" fillId="2" borderId="0" xfId="0" applyFont="1" applyFill="1" applyBorder="1" applyAlignment="1">
      <alignment horizontal="center"/>
    </xf>
    <xf numFmtId="0" fontId="6" fillId="2" borderId="7" xfId="0" applyFont="1" applyFill="1" applyBorder="1" applyAlignment="1">
      <alignment horizontal="center"/>
    </xf>
    <xf numFmtId="0" fontId="0" fillId="0" borderId="23" xfId="0" applyBorder="1" applyAlignment="1">
      <alignment horizontal="center"/>
    </xf>
    <xf numFmtId="0" fontId="0" fillId="0" borderId="21" xfId="0" applyBorder="1" applyAlignment="1">
      <alignment horizontal="center"/>
    </xf>
    <xf numFmtId="0" fontId="27" fillId="19" borderId="25" xfId="2" applyFont="1" applyFill="1" applyBorder="1" applyAlignment="1">
      <alignment horizontal="center" vertical="center"/>
    </xf>
    <xf numFmtId="0" fontId="27" fillId="19" borderId="26" xfId="2" applyFont="1" applyFill="1" applyBorder="1" applyAlignment="1">
      <alignment horizontal="center" vertical="center"/>
    </xf>
    <xf numFmtId="0" fontId="27" fillId="19" borderId="27" xfId="2" applyFont="1" applyFill="1" applyBorder="1" applyAlignment="1">
      <alignment horizontal="center" vertical="center"/>
    </xf>
    <xf numFmtId="0" fontId="29" fillId="0" borderId="0" xfId="2" applyFont="1" applyAlignment="1">
      <alignment horizontal="center"/>
    </xf>
  </cellXfs>
  <cellStyles count="3">
    <cellStyle name="Comma" xfId="1" builtinId="3"/>
    <cellStyle name="Hyperlink" xfId="2" builtinId="8"/>
    <cellStyle name="Normal" xfId="0" builtinId="0"/>
  </cellStyles>
  <dxfs count="4">
    <dxf>
      <fill>
        <patternFill>
          <bgColor theme="5" tint="0.79998168889431442"/>
        </patternFill>
      </fill>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3.xml.rels><?xml version="1.0" encoding="UTF-8" standalone="yes"?>
<Relationships xmlns="http://schemas.openxmlformats.org/package/2006/relationships"><Relationship Id="rId2" Type="http://schemas.openxmlformats.org/officeDocument/2006/relationships/chartUserShapes" Target="../drawings/drawing4.xml"/><Relationship Id="rId1" Type="http://schemas.openxmlformats.org/officeDocument/2006/relationships/themeOverride" Target="../theme/themeOverrid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181579668758833"/>
          <c:y val="6.0418857949512843E-2"/>
          <c:w val="0.69291386405531596"/>
          <c:h val="0.81216179279229406"/>
        </c:manualLayout>
      </c:layout>
      <c:barChart>
        <c:barDir val="bar"/>
        <c:grouping val="clustered"/>
        <c:varyColors val="0"/>
        <c:ser>
          <c:idx val="0"/>
          <c:order val="0"/>
          <c:spPr>
            <a:solidFill>
              <a:schemeClr val="accent3">
                <a:alpha val="85000"/>
              </a:schemeClr>
            </a:solidFill>
            <a:ln w="9525" cap="flat" cmpd="sng" algn="ctr">
              <a:solidFill>
                <a:schemeClr val="lt1">
                  <a:alpha val="50000"/>
                </a:schemeClr>
              </a:solidFill>
              <a:round/>
            </a:ln>
            <a:effectLst/>
            <a:scene3d>
              <a:camera prst="orthographicFront"/>
              <a:lightRig rig="threePt" dir="t"/>
            </a:scene3d>
            <a:sp3d>
              <a:bevelT/>
            </a:sp3d>
          </c:spPr>
          <c:invertIfNegative val="0"/>
          <c:dLbls>
            <c:delete val="1"/>
          </c:dLbls>
          <c:val>
            <c:numRef>
              <c:f>DashBoard!$K$20:$K$29</c:f>
              <c:numCache>
                <c:formatCode>#,##0_);\(#,##0\)</c:formatCode>
                <c:ptCount val="10"/>
                <c:pt idx="0">
                  <c:v>380225</c:v>
                </c:pt>
                <c:pt idx="1">
                  <c:v>540726</c:v>
                </c:pt>
                <c:pt idx="2">
                  <c:v>78867</c:v>
                </c:pt>
                <c:pt idx="3">
                  <c:v>162865</c:v>
                </c:pt>
                <c:pt idx="4">
                  <c:v>555796</c:v>
                </c:pt>
                <c:pt idx="5">
                  <c:v>450505</c:v>
                </c:pt>
                <c:pt idx="6">
                  <c:v>66255</c:v>
                </c:pt>
                <c:pt idx="7">
                  <c:v>321465</c:v>
                </c:pt>
                <c:pt idx="8">
                  <c:v>672751</c:v>
                </c:pt>
                <c:pt idx="9">
                  <c:v>325439</c:v>
                </c:pt>
              </c:numCache>
            </c:numRef>
          </c:val>
        </c:ser>
        <c:dLbls>
          <c:dLblPos val="inEnd"/>
          <c:showLegendKey val="0"/>
          <c:showVal val="1"/>
          <c:showCatName val="0"/>
          <c:showSerName val="0"/>
          <c:showPercent val="0"/>
          <c:showBubbleSize val="0"/>
        </c:dLbls>
        <c:gapWidth val="10"/>
        <c:overlap val="8"/>
        <c:axId val="184013952"/>
        <c:axId val="184015488"/>
      </c:barChart>
      <c:catAx>
        <c:axId val="184013952"/>
        <c:scaling>
          <c:orientation val="maxMin"/>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US"/>
          </a:p>
        </c:txPr>
        <c:crossAx val="184015488"/>
        <c:crosses val="autoZero"/>
        <c:auto val="1"/>
        <c:lblAlgn val="ctr"/>
        <c:lblOffset val="100"/>
        <c:noMultiLvlLbl val="0"/>
      </c:catAx>
      <c:valAx>
        <c:axId val="184015488"/>
        <c:scaling>
          <c:orientation val="minMax"/>
          <c:max val="1100000"/>
          <c:min val="0"/>
        </c:scaling>
        <c:delete val="0"/>
        <c:axPos val="t"/>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_);\(#,##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84013952"/>
        <c:crosses val="autoZero"/>
        <c:crossBetween val="between"/>
      </c:valAx>
      <c:spPr>
        <a:solidFill>
          <a:schemeClr val="bg1"/>
        </a:solidFill>
        <a:ln>
          <a:solidFill>
            <a:schemeClr val="bg1"/>
          </a:solid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doughnutChart>
        <c:varyColors val="0"/>
        <c:ser>
          <c:idx val="0"/>
          <c:order val="0"/>
          <c:spPr>
            <a:gradFill>
              <a:gsLst>
                <a:gs pos="0">
                  <a:schemeClr val="accent3">
                    <a:lumMod val="75000"/>
                  </a:schemeClr>
                </a:gs>
                <a:gs pos="52000">
                  <a:schemeClr val="accent3">
                    <a:lumMod val="60000"/>
                    <a:lumOff val="40000"/>
                  </a:schemeClr>
                </a:gs>
                <a:gs pos="100000">
                  <a:srgbClr val="FF0000"/>
                </a:gs>
              </a:gsLst>
              <a:lin ang="11400000" scaled="0"/>
            </a:gradFill>
          </c:spPr>
          <c:dPt>
            <c:idx val="0"/>
            <c:bubble3D val="0"/>
            <c:spPr>
              <a:noFill/>
            </c:spPr>
          </c:dPt>
          <c:dPt>
            <c:idx val="1"/>
            <c:bubble3D val="0"/>
            <c:spPr>
              <a:gradFill>
                <a:gsLst>
                  <a:gs pos="0">
                    <a:srgbClr val="FF0000"/>
                  </a:gs>
                  <a:gs pos="52000">
                    <a:schemeClr val="accent4">
                      <a:lumMod val="20000"/>
                      <a:lumOff val="80000"/>
                    </a:schemeClr>
                  </a:gs>
                  <a:gs pos="100000">
                    <a:schemeClr val="accent4">
                      <a:lumMod val="60000"/>
                      <a:lumOff val="40000"/>
                    </a:schemeClr>
                  </a:gs>
                </a:gsLst>
                <a:lin ang="11400000" scaled="0"/>
              </a:gradFill>
            </c:spPr>
          </c:dPt>
          <c:val>
            <c:numRef>
              <c:f>Odom!$A$2:$A$12</c:f>
              <c:numCache>
                <c:formatCode>General</c:formatCode>
                <c:ptCount val="11"/>
                <c:pt idx="0">
                  <c:v>180</c:v>
                </c:pt>
                <c:pt idx="1">
                  <c:v>180</c:v>
                </c:pt>
              </c:numCache>
            </c:numRef>
          </c:val>
        </c:ser>
        <c:dLbls>
          <c:showLegendKey val="0"/>
          <c:showVal val="0"/>
          <c:showCatName val="0"/>
          <c:showSerName val="0"/>
          <c:showPercent val="0"/>
          <c:showBubbleSize val="0"/>
          <c:showLeaderLines val="1"/>
        </c:dLbls>
        <c:firstSliceAng val="90"/>
        <c:holeSize val="50"/>
      </c:doughnutChart>
    </c:plotArea>
    <c:plotVisOnly val="1"/>
    <c:dispBlanksAs val="gap"/>
    <c:showDLblsOverMax val="0"/>
  </c:chart>
  <c:spPr>
    <a:ln w="635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44"/>
    </mc:Choice>
    <mc:Fallback>
      <c:style val="44"/>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388888888888889"/>
          <c:y val="0.10185185185185185"/>
          <c:w val="0.53888888888888886"/>
          <c:h val="0.89814814814814814"/>
        </c:manualLayout>
      </c:layout>
      <c:pieChart>
        <c:varyColors val="1"/>
        <c:ser>
          <c:idx val="0"/>
          <c:order val="0"/>
          <c:spPr>
            <a:noFill/>
            <a:ln>
              <a:solidFill>
                <a:schemeClr val="dk1"/>
              </a:solidFill>
            </a:ln>
          </c:spPr>
          <c:dPt>
            <c:idx val="0"/>
            <c:bubble3D val="0"/>
          </c:dPt>
          <c:dPt>
            <c:idx val="1"/>
            <c:bubble3D val="0"/>
          </c:dPt>
          <c:dPt>
            <c:idx val="2"/>
            <c:bubble3D val="0"/>
            <c:spPr>
              <a:solidFill>
                <a:schemeClr val="tx1"/>
              </a:solidFill>
              <a:ln>
                <a:solidFill>
                  <a:schemeClr val="dk1"/>
                </a:solidFill>
              </a:ln>
            </c:spPr>
          </c:dPt>
          <c:dPt>
            <c:idx val="3"/>
            <c:bubble3D val="0"/>
          </c:dPt>
          <c:val>
            <c:numRef>
              <c:f>Odom!$B$2:$B$5</c:f>
              <c:numCache>
                <c:formatCode>General</c:formatCode>
                <c:ptCount val="4"/>
                <c:pt idx="0">
                  <c:v>180</c:v>
                </c:pt>
                <c:pt idx="1">
                  <c:v>20.6</c:v>
                </c:pt>
                <c:pt idx="2">
                  <c:v>2</c:v>
                </c:pt>
                <c:pt idx="3">
                  <c:v>157.4</c:v>
                </c:pt>
              </c:numCache>
            </c:numRef>
          </c:val>
        </c:ser>
        <c:dLbls>
          <c:showLegendKey val="0"/>
          <c:showVal val="0"/>
          <c:showCatName val="0"/>
          <c:showSerName val="0"/>
          <c:showPercent val="0"/>
          <c:showBubbleSize val="0"/>
          <c:showLeaderLines val="1"/>
        </c:dLbls>
        <c:firstSliceAng val="90"/>
      </c:pieChart>
    </c:plotArea>
    <c:plotVisOnly val="1"/>
    <c:dispBlanksAs val="gap"/>
    <c:showDLblsOverMax val="0"/>
  </c:chart>
  <c:spPr>
    <a:noFill/>
    <a:ln>
      <a:noFill/>
    </a:ln>
  </c:spPr>
  <c:printSettings>
    <c:headerFooter/>
    <c:pageMargins b="0.75" l="0.7" r="0.7" t="0.75" header="0.3" footer="0.3"/>
    <c:pageSetup/>
  </c:printSettings>
  <c:userShapes r:id="rId2"/>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29"/>
    </mc:Choice>
    <mc:Fallback>
      <c:style val="29"/>
    </mc:Fallback>
  </mc:AlternateContent>
  <c:chart>
    <c:title>
      <c:tx>
        <c:rich>
          <a:bodyPr/>
          <a:lstStyle/>
          <a:p>
            <a:pPr>
              <a:defRPr sz="1600"/>
            </a:pPr>
            <a:r>
              <a:rPr lang="en-US" sz="1200"/>
              <a:t>Distribution of Top Ranked 250 Movies by Decade</a:t>
            </a:r>
          </a:p>
        </c:rich>
      </c:tx>
      <c:layout>
        <c:manualLayout>
          <c:xMode val="edge"/>
          <c:yMode val="edge"/>
          <c:x val="0.15225"/>
          <c:y val="0.02"/>
        </c:manualLayout>
      </c:layout>
      <c:overlay val="0"/>
    </c:title>
    <c:autoTitleDeleted val="0"/>
    <c:plotArea>
      <c:layout>
        <c:manualLayout>
          <c:layoutTarget val="inner"/>
          <c:xMode val="edge"/>
          <c:yMode val="edge"/>
          <c:x val="8.0488407699037617E-2"/>
          <c:y val="0.17715118110236219"/>
          <c:w val="0.8889560367454068"/>
          <c:h val="0.68917112860892393"/>
        </c:manualLayout>
      </c:layout>
      <c:barChart>
        <c:barDir val="col"/>
        <c:grouping val="clustered"/>
        <c:varyColors val="0"/>
        <c:ser>
          <c:idx val="0"/>
          <c:order val="0"/>
          <c:tx>
            <c:v>Count</c:v>
          </c:tx>
          <c:spPr>
            <a:solidFill>
              <a:schemeClr val="accent3">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layout/>
                <c15:showLeaderLines val="0"/>
              </c:ext>
            </c:extLst>
          </c:dLbls>
          <c:cat>
            <c:numRef>
              <c:f>Bins!$B$6:$B$15</c:f>
              <c:numCache>
                <c:formatCode>General</c:formatCode>
                <c:ptCount val="10"/>
                <c:pt idx="0">
                  <c:v>1920</c:v>
                </c:pt>
                <c:pt idx="1">
                  <c:v>1930</c:v>
                </c:pt>
                <c:pt idx="2">
                  <c:v>1940</c:v>
                </c:pt>
                <c:pt idx="3">
                  <c:v>1950</c:v>
                </c:pt>
                <c:pt idx="4">
                  <c:v>1960</c:v>
                </c:pt>
                <c:pt idx="5">
                  <c:v>1970</c:v>
                </c:pt>
                <c:pt idx="6">
                  <c:v>1980</c:v>
                </c:pt>
                <c:pt idx="7">
                  <c:v>1990</c:v>
                </c:pt>
                <c:pt idx="8">
                  <c:v>2000</c:v>
                </c:pt>
                <c:pt idx="9">
                  <c:v>2010</c:v>
                </c:pt>
              </c:numCache>
            </c:numRef>
          </c:cat>
          <c:val>
            <c:numRef>
              <c:f>Bins!$D$6:$D$15</c:f>
              <c:numCache>
                <c:formatCode>General</c:formatCode>
                <c:ptCount val="10"/>
                <c:pt idx="0">
                  <c:v>4</c:v>
                </c:pt>
                <c:pt idx="1">
                  <c:v>9</c:v>
                </c:pt>
                <c:pt idx="2">
                  <c:v>16</c:v>
                </c:pt>
                <c:pt idx="3">
                  <c:v>31</c:v>
                </c:pt>
                <c:pt idx="4">
                  <c:v>25</c:v>
                </c:pt>
                <c:pt idx="5">
                  <c:v>23</c:v>
                </c:pt>
                <c:pt idx="6">
                  <c:v>29</c:v>
                </c:pt>
                <c:pt idx="7">
                  <c:v>41</c:v>
                </c:pt>
                <c:pt idx="8">
                  <c:v>52</c:v>
                </c:pt>
                <c:pt idx="9">
                  <c:v>20</c:v>
                </c:pt>
              </c:numCache>
            </c:numRef>
          </c:val>
        </c:ser>
        <c:dLbls>
          <c:showLegendKey val="0"/>
          <c:showVal val="0"/>
          <c:showCatName val="0"/>
          <c:showSerName val="0"/>
          <c:showPercent val="0"/>
          <c:showBubbleSize val="0"/>
        </c:dLbls>
        <c:gapWidth val="33"/>
        <c:overlap val="-72"/>
        <c:axId val="186076544"/>
        <c:axId val="186078336"/>
      </c:barChart>
      <c:catAx>
        <c:axId val="186076544"/>
        <c:scaling>
          <c:orientation val="minMax"/>
        </c:scaling>
        <c:delete val="0"/>
        <c:axPos val="b"/>
        <c:numFmt formatCode="General" sourceLinked="1"/>
        <c:majorTickMark val="out"/>
        <c:minorTickMark val="out"/>
        <c:tickLblPos val="low"/>
        <c:crossAx val="186078336"/>
        <c:crosses val="autoZero"/>
        <c:auto val="1"/>
        <c:lblAlgn val="ctr"/>
        <c:lblOffset val="100"/>
        <c:noMultiLvlLbl val="0"/>
      </c:catAx>
      <c:valAx>
        <c:axId val="186078336"/>
        <c:scaling>
          <c:orientation val="minMax"/>
          <c:max val="70"/>
        </c:scaling>
        <c:delete val="0"/>
        <c:axPos val="l"/>
        <c:majorGridlines/>
        <c:numFmt formatCode="General" sourceLinked="1"/>
        <c:majorTickMark val="out"/>
        <c:minorTickMark val="none"/>
        <c:tickLblPos val="nextTo"/>
        <c:crossAx val="186076544"/>
        <c:crosses val="autoZero"/>
        <c:crossBetween val="between"/>
      </c:valAx>
    </c:plotArea>
    <c:plotVisOnly val="1"/>
    <c:dispBlanksAs val="gap"/>
    <c:showDLblsOverMax val="0"/>
  </c:chart>
  <c:spPr>
    <a:solidFill>
      <a:schemeClr val="bg2"/>
    </a:solidFill>
    <a:ln w="25400" cap="flat" cmpd="sng" algn="ctr">
      <a:solidFill>
        <a:schemeClr val="dk1"/>
      </a:solidFill>
      <a:prstDash val="soli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trlProps/ctrlProp1.xml><?xml version="1.0" encoding="utf-8"?>
<formControlPr xmlns="http://schemas.microsoft.com/office/spreadsheetml/2009/9/main" objectType="Drop" dropLines="25" dropStyle="combo" dx="15" fmlaLink="Odom!$C$18" fmlaRange="M_Order" noThreeD="1" sel="131" val="127"/>
</file>

<file path=xl/ctrlProps/ctrlProp2.xml><?xml version="1.0" encoding="utf-8"?>
<formControlPr xmlns="http://schemas.microsoft.com/office/spreadsheetml/2009/9/main" objectType="Scroll" dx="16" fmlaLink="Bins!$A$23" max="240" min="1" page="10" val="50"/>
</file>

<file path=xl/ctrlProps/ctrlProp3.xml><?xml version="1.0" encoding="utf-8"?>
<formControlPr xmlns="http://schemas.microsoft.com/office/spreadsheetml/2009/9/main" objectType="Drop" dropLines="30" dropStyle="combo" dx="15" fmlaLink="Data!$L$1" fmlaRange="M_Order" noThreeD="1" sel="115" val="109"/>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emf"/><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7</xdr:col>
      <xdr:colOff>47625</xdr:colOff>
      <xdr:row>5</xdr:row>
      <xdr:rowOff>114300</xdr:rowOff>
    </xdr:from>
    <xdr:to>
      <xdr:col>9</xdr:col>
      <xdr:colOff>447675</xdr:colOff>
      <xdr:row>18</xdr:row>
      <xdr:rowOff>161925</xdr:rowOff>
    </xdr:to>
    <mc:AlternateContent xmlns:mc="http://schemas.openxmlformats.org/markup-compatibility/2006" xmlns:a14="http://schemas.microsoft.com/office/drawing/2010/main">
      <mc:Choice Requires="a14">
        <xdr:graphicFrame macro="">
          <xdr:nvGraphicFramePr>
            <xdr:cNvPr id="2" name="M_Date"/>
            <xdr:cNvGraphicFramePr/>
          </xdr:nvGraphicFramePr>
          <xdr:xfrm>
            <a:off x="0" y="0"/>
            <a:ext cx="0" cy="0"/>
          </xdr:xfrm>
          <a:graphic>
            <a:graphicData uri="http://schemas.microsoft.com/office/drawing/2010/slicer">
              <sle:slicer xmlns:sle="http://schemas.microsoft.com/office/drawing/2010/slicer" name="M_Date"/>
            </a:graphicData>
          </a:graphic>
        </xdr:graphicFrame>
      </mc:Choice>
      <mc:Fallback xmlns="">
        <xdr:sp macro="" textlink="">
          <xdr:nvSpPr>
            <xdr:cNvPr id="0" name=""/>
            <xdr:cNvSpPr>
              <a:spLocks noTextEdit="1"/>
            </xdr:cNvSpPr>
          </xdr:nvSpPr>
          <xdr:spPr>
            <a:xfrm>
              <a:off x="8362950" y="1066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564830</xdr:colOff>
      <xdr:row>2</xdr:row>
      <xdr:rowOff>89176</xdr:rowOff>
    </xdr:from>
    <xdr:to>
      <xdr:col>3</xdr:col>
      <xdr:colOff>420896</xdr:colOff>
      <xdr:row>16</xdr:row>
      <xdr:rowOff>117752</xdr:rowOff>
    </xdr:to>
    <mc:AlternateContent xmlns:mc="http://schemas.openxmlformats.org/markup-compatibility/2006" xmlns:a14="http://schemas.microsoft.com/office/drawing/2010/main">
      <mc:Choice Requires="a14">
        <xdr:graphicFrame macro="">
          <xdr:nvGraphicFramePr>
            <xdr:cNvPr id="3" name="M_Date 1"/>
            <xdr:cNvGraphicFramePr/>
          </xdr:nvGraphicFramePr>
          <xdr:xfrm>
            <a:off x="0" y="0"/>
            <a:ext cx="0" cy="0"/>
          </xdr:xfrm>
          <a:graphic>
            <a:graphicData uri="http://schemas.microsoft.com/office/drawing/2010/slicer">
              <sle:slicer xmlns:sle="http://schemas.microsoft.com/office/drawing/2010/slicer" name="M_Date 1"/>
            </a:graphicData>
          </a:graphic>
        </xdr:graphicFrame>
      </mc:Choice>
      <mc:Fallback xmlns="">
        <xdr:sp macro="" textlink="">
          <xdr:nvSpPr>
            <xdr:cNvPr id="0" name=""/>
            <xdr:cNvSpPr>
              <a:spLocks noTextEdit="1"/>
            </xdr:cNvSpPr>
          </xdr:nvSpPr>
          <xdr:spPr>
            <a:xfrm>
              <a:off x="694716" y="424716"/>
              <a:ext cx="916805" cy="28969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12</xdr:col>
      <xdr:colOff>87275</xdr:colOff>
      <xdr:row>4</xdr:row>
      <xdr:rowOff>22151</xdr:rowOff>
    </xdr:from>
    <xdr:to>
      <xdr:col>14</xdr:col>
      <xdr:colOff>591657</xdr:colOff>
      <xdr:row>7</xdr:row>
      <xdr:rowOff>88826</xdr:rowOff>
    </xdr:to>
    <xdr:sp macro="" textlink="">
      <xdr:nvSpPr>
        <xdr:cNvPr id="5" name="Left Arrow 4"/>
        <xdr:cNvSpPr/>
      </xdr:nvSpPr>
      <xdr:spPr>
        <a:xfrm>
          <a:off x="7806955" y="841744"/>
          <a:ext cx="1490109" cy="664756"/>
        </a:xfrm>
        <a:prstGeom prst="leftArrow">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12</xdr:col>
          <xdr:colOff>419100</xdr:colOff>
          <xdr:row>5</xdr:row>
          <xdr:rowOff>47625</xdr:rowOff>
        </xdr:from>
        <xdr:to>
          <xdr:col>14</xdr:col>
          <xdr:colOff>504825</xdr:colOff>
          <xdr:row>6</xdr:row>
          <xdr:rowOff>57150</xdr:rowOff>
        </xdr:to>
        <xdr:sp macro="" textlink="">
          <xdr:nvSpPr>
            <xdr:cNvPr id="3074" name="Drop Down 2" hidden="1">
              <a:extLst>
                <a:ext uri="{63B3BB69-23CF-44E3-9099-C40C66FF867C}">
                  <a14:compatExt spid="_x0000_s3074"/>
                </a:ext>
              </a:extLst>
            </xdr:cNvPr>
            <xdr:cNvSpPr/>
          </xdr:nvSpPr>
          <xdr:spPr>
            <a:xfrm>
              <a:off x="0" y="0"/>
              <a:ext cx="0" cy="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xdr:row>
          <xdr:rowOff>134445</xdr:rowOff>
        </xdr:from>
        <xdr:to>
          <xdr:col>12</xdr:col>
          <xdr:colOff>59532</xdr:colOff>
          <xdr:row>8</xdr:row>
          <xdr:rowOff>161925</xdr:rowOff>
        </xdr:to>
        <xdr:pic>
          <xdr:nvPicPr>
            <xdr:cNvPr id="10" name="Picture 9"/>
            <xdr:cNvPicPr>
              <a:picLocks noChangeAspect="1" noChangeArrowheads="1"/>
              <a:extLst>
                <a:ext uri="{84589F7E-364E-4C9E-8A38-B11213B215E9}">
                  <a14:cameraTool cellRange="Odom!$H$5:$O$14" spid="_x0000_s3311"/>
                </a:ext>
              </a:extLst>
            </xdr:cNvPicPr>
          </xdr:nvPicPr>
          <xdr:blipFill>
            <a:blip xmlns:r="http://schemas.openxmlformats.org/officeDocument/2006/relationships" r:embed="rId1"/>
            <a:srcRect/>
            <a:stretch>
              <a:fillRect/>
            </a:stretch>
          </xdr:blipFill>
          <xdr:spPr bwMode="auto">
            <a:xfrm>
              <a:off x="4791075" y="724995"/>
              <a:ext cx="2924175" cy="1151430"/>
            </a:xfrm>
            <a:prstGeom prst="rect">
              <a:avLst/>
            </a:prstGeom>
            <a:noFill/>
            <a:ln>
              <a:solidFill>
                <a:sysClr val="windowText" lastClr="000000"/>
              </a:solidFill>
            </a:ln>
            <a:extLst>
              <a:ext uri="{909E8E84-426E-40DD-AFC4-6F175D3DCCD1}">
                <a14:hiddenFill>
                  <a:solidFill>
                    <a:srgbClr val="FFFFFF"/>
                  </a:solidFill>
                </a14:hiddenFill>
              </a:ext>
            </a:extLst>
          </xdr:spPr>
        </xdr:pic>
        <xdr:clientData/>
      </xdr:twoCellAnchor>
    </mc:Choice>
    <mc:Fallback/>
  </mc:AlternateContent>
  <xdr:twoCellAnchor>
    <xdr:from>
      <xdr:col>7</xdr:col>
      <xdr:colOff>123825</xdr:colOff>
      <xdr:row>3</xdr:row>
      <xdr:rowOff>171450</xdr:rowOff>
    </xdr:from>
    <xdr:to>
      <xdr:col>8</xdr:col>
      <xdr:colOff>247650</xdr:colOff>
      <xdr:row>4</xdr:row>
      <xdr:rowOff>133350</xdr:rowOff>
    </xdr:to>
    <xdr:sp macro="" textlink="">
      <xdr:nvSpPr>
        <xdr:cNvPr id="7" name="Rectangle 6"/>
        <xdr:cNvSpPr/>
      </xdr:nvSpPr>
      <xdr:spPr>
        <a:xfrm>
          <a:off x="4876800" y="762000"/>
          <a:ext cx="733425" cy="238125"/>
        </a:xfrm>
        <a:prstGeom prst="rect">
          <a:avLst/>
        </a:prstGeom>
        <a:solidFill>
          <a:schemeClr val="bg2"/>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100"/>
            <a:t>Ranking</a:t>
          </a:r>
        </a:p>
      </xdr:txBody>
    </xdr:sp>
    <xdr:clientData/>
  </xdr:twoCellAnchor>
  <mc:AlternateContent xmlns:mc="http://schemas.openxmlformats.org/markup-compatibility/2006">
    <mc:Choice xmlns:a14="http://schemas.microsoft.com/office/drawing/2010/main" Requires="a14">
      <xdr:twoCellAnchor editAs="oneCell">
        <xdr:from>
          <xdr:col>6</xdr:col>
          <xdr:colOff>47624</xdr:colOff>
          <xdr:row>8</xdr:row>
          <xdr:rowOff>133351</xdr:rowOff>
        </xdr:from>
        <xdr:to>
          <xdr:col>16</xdr:col>
          <xdr:colOff>64891</xdr:colOff>
          <xdr:row>17</xdr:row>
          <xdr:rowOff>76199</xdr:rowOff>
        </xdr:to>
        <xdr:pic>
          <xdr:nvPicPr>
            <xdr:cNvPr id="13" name="Picture 12"/>
            <xdr:cNvPicPr>
              <a:picLocks noChangeAspect="1" noChangeArrowheads="1"/>
              <a:extLst>
                <a:ext uri="{84589F7E-364E-4C9E-8A38-B11213B215E9}">
                  <a14:cameraTool cellRange="Bins!$H$6:$O$16" spid="_x0000_s3312"/>
                </a:ext>
              </a:extLst>
            </xdr:cNvPicPr>
          </xdr:nvPicPr>
          <xdr:blipFill>
            <a:blip xmlns:r="http://schemas.openxmlformats.org/officeDocument/2006/relationships" r:embed="rId2"/>
            <a:srcRect/>
            <a:stretch>
              <a:fillRect/>
            </a:stretch>
          </xdr:blipFill>
          <xdr:spPr bwMode="auto">
            <a:xfrm>
              <a:off x="4763661" y="1782802"/>
              <a:ext cx="5094978" cy="1720074"/>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47625</xdr:colOff>
          <xdr:row>18</xdr:row>
          <xdr:rowOff>28575</xdr:rowOff>
        </xdr:from>
        <xdr:to>
          <xdr:col>1</xdr:col>
          <xdr:colOff>371475</xdr:colOff>
          <xdr:row>1048576</xdr:row>
          <xdr:rowOff>19050</xdr:rowOff>
        </xdr:to>
        <xdr:sp macro="" textlink="">
          <xdr:nvSpPr>
            <xdr:cNvPr id="3103" name="Scroll Bar 31" hidden="1">
              <a:extLst>
                <a:ext uri="{63B3BB69-23CF-44E3-9099-C40C66FF867C}">
                  <a14:compatExt spid="_x0000_s3103"/>
                </a:ext>
              </a:extLst>
            </xdr:cNvPr>
            <xdr:cNvSpPr/>
          </xdr:nvSpPr>
          <xdr:spPr>
            <a:xfrm>
              <a:off x="0" y="0"/>
              <a:ext cx="0" cy="0"/>
            </a:xfrm>
            <a:prstGeom prst="rect">
              <a:avLst/>
            </a:prstGeom>
          </xdr:spPr>
        </xdr:sp>
        <xdr:clientData/>
      </xdr:twoCellAnchor>
    </mc:Choice>
    <mc:Fallback/>
  </mc:AlternateContent>
  <xdr:twoCellAnchor editAs="absolute">
    <xdr:from>
      <xdr:col>9</xdr:col>
      <xdr:colOff>353395</xdr:colOff>
      <xdr:row>18</xdr:row>
      <xdr:rowOff>22334</xdr:rowOff>
    </xdr:from>
    <xdr:to>
      <xdr:col>16384</xdr:col>
      <xdr:colOff>573665</xdr:colOff>
      <xdr:row>1048576</xdr:row>
      <xdr:rowOff>162533</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348882</xdr:colOff>
      <xdr:row>22</xdr:row>
      <xdr:rowOff>9506</xdr:rowOff>
    </xdr:from>
    <xdr:to>
      <xdr:col>19</xdr:col>
      <xdr:colOff>274555</xdr:colOff>
      <xdr:row>23</xdr:row>
      <xdr:rowOff>88176</xdr:rowOff>
    </xdr:to>
    <xdr:sp macro="" textlink="">
      <xdr:nvSpPr>
        <xdr:cNvPr id="8" name="Rectangle 7"/>
        <xdr:cNvSpPr/>
      </xdr:nvSpPr>
      <xdr:spPr>
        <a:xfrm>
          <a:off x="11367575" y="4295756"/>
          <a:ext cx="531810" cy="273500"/>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US" sz="1100"/>
            <a:t>Votes</a:t>
          </a:r>
        </a:p>
        <a:p>
          <a:pPr algn="ctr"/>
          <a:endParaRPr lang="en-US" sz="1100"/>
        </a:p>
      </xdr:txBody>
    </xdr:sp>
    <xdr:clientData/>
  </xdr:twoCellAnchor>
  <xdr:twoCellAnchor>
    <xdr:from>
      <xdr:col>1</xdr:col>
      <xdr:colOff>81311</xdr:colOff>
      <xdr:row>2</xdr:row>
      <xdr:rowOff>139388</xdr:rowOff>
    </xdr:from>
    <xdr:to>
      <xdr:col>1</xdr:col>
      <xdr:colOff>482058</xdr:colOff>
      <xdr:row>16</xdr:row>
      <xdr:rowOff>23232</xdr:rowOff>
    </xdr:to>
    <xdr:sp macro="" textlink="">
      <xdr:nvSpPr>
        <xdr:cNvPr id="11" name="Rectangle 10"/>
        <xdr:cNvSpPr/>
      </xdr:nvSpPr>
      <xdr:spPr>
        <a:xfrm rot="16200000">
          <a:off x="-978637" y="1663970"/>
          <a:ext cx="2776191" cy="400747"/>
        </a:xfrm>
        <a:prstGeom prst="rect">
          <a:avLst/>
        </a:prstGeom>
        <a:solidFill>
          <a:schemeClr val="tx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a:t>Best Movie  Over Spicific Time Period</a:t>
          </a:r>
          <a:endParaRPr lang="en-US" sz="1800"/>
        </a:p>
      </xdr:txBody>
    </xdr:sp>
    <xdr:clientData/>
  </xdr:twoCellAnchor>
  <xdr:twoCellAnchor>
    <xdr:from>
      <xdr:col>16</xdr:col>
      <xdr:colOff>21648</xdr:colOff>
      <xdr:row>2</xdr:row>
      <xdr:rowOff>2</xdr:rowOff>
    </xdr:from>
    <xdr:to>
      <xdr:col>19</xdr:col>
      <xdr:colOff>569177</xdr:colOff>
      <xdr:row>6</xdr:row>
      <xdr:rowOff>21649</xdr:rowOff>
    </xdr:to>
    <xdr:sp macro="" textlink="">
      <xdr:nvSpPr>
        <xdr:cNvPr id="17" name="Folded Corner 16"/>
        <xdr:cNvSpPr/>
      </xdr:nvSpPr>
      <xdr:spPr>
        <a:xfrm>
          <a:off x="9849716" y="335542"/>
          <a:ext cx="2365938" cy="887556"/>
        </a:xfrm>
        <a:prstGeom prst="foldedCorner">
          <a:avLst>
            <a:gd name="adj" fmla="val 12277"/>
          </a:avLst>
        </a:prstGeom>
        <a:solidFill>
          <a:schemeClr val="accent3">
            <a:lumMod val="40000"/>
            <a:lumOff val="60000"/>
          </a:schemeClr>
        </a:solidFill>
      </xdr:spPr>
      <xdr:style>
        <a:lnRef idx="1">
          <a:schemeClr val="dk1"/>
        </a:lnRef>
        <a:fillRef idx="2">
          <a:schemeClr val="dk1"/>
        </a:fillRef>
        <a:effectRef idx="1">
          <a:schemeClr val="dk1"/>
        </a:effectRef>
        <a:fontRef idx="minor">
          <a:schemeClr val="dk1"/>
        </a:fontRef>
      </xdr:style>
      <xdr:txBody>
        <a:bodyPr vertOverflow="clip" horzOverflow="clip" tIns="36000" bIns="0" rtlCol="0" anchor="t"/>
        <a:lstStyle/>
        <a:p>
          <a:pPr algn="ctr"/>
          <a:r>
            <a:rPr lang="en-IN" sz="1200" b="1"/>
            <a:t>Visit the IMDB Site for a movie: </a:t>
          </a:r>
        </a:p>
      </xdr:txBody>
    </xdr:sp>
    <xdr:clientData/>
  </xdr:twoCellAnchor>
  <mc:AlternateContent xmlns:mc="http://schemas.openxmlformats.org/markup-compatibility/2006">
    <mc:Choice xmlns:a14="http://schemas.microsoft.com/office/drawing/2010/main" Requires="a14">
      <xdr:twoCellAnchor editAs="oneCell">
        <xdr:from>
          <xdr:col>16</xdr:col>
          <xdr:colOff>152400</xdr:colOff>
          <xdr:row>4</xdr:row>
          <xdr:rowOff>9525</xdr:rowOff>
        </xdr:from>
        <xdr:to>
          <xdr:col>19</xdr:col>
          <xdr:colOff>457200</xdr:colOff>
          <xdr:row>5</xdr:row>
          <xdr:rowOff>95250</xdr:rowOff>
        </xdr:to>
        <xdr:sp macro="" textlink="">
          <xdr:nvSpPr>
            <xdr:cNvPr id="3208" name="Drop Down 136" hidden="1">
              <a:extLst>
                <a:ext uri="{63B3BB69-23CF-44E3-9099-C40C66FF867C}">
                  <a14:compatExt spid="_x0000_s3208"/>
                </a:ext>
              </a:extLst>
            </xdr:cNvPr>
            <xdr:cNvSpPr/>
          </xdr:nvSpPr>
          <xdr:spPr>
            <a:xfrm>
              <a:off x="0" y="0"/>
              <a:ext cx="0" cy="0"/>
            </a:xfrm>
            <a:prstGeom prst="rect">
              <a:avLst/>
            </a:prstGeom>
          </xdr:spPr>
        </xdr:sp>
        <xdr:clientData/>
      </xdr:twoCellAnchor>
    </mc:Choice>
    <mc:Fallback/>
  </mc:AlternateContent>
  <xdr:twoCellAnchor>
    <xdr:from>
      <xdr:col>16</xdr:col>
      <xdr:colOff>0</xdr:colOff>
      <xdr:row>9</xdr:row>
      <xdr:rowOff>32470</xdr:rowOff>
    </xdr:from>
    <xdr:to>
      <xdr:col>19</xdr:col>
      <xdr:colOff>547529</xdr:colOff>
      <xdr:row>16</xdr:row>
      <xdr:rowOff>194828</xdr:rowOff>
    </xdr:to>
    <xdr:sp macro="" textlink="">
      <xdr:nvSpPr>
        <xdr:cNvPr id="16" name="Folded Corner 15"/>
        <xdr:cNvSpPr/>
      </xdr:nvSpPr>
      <xdr:spPr>
        <a:xfrm>
          <a:off x="9806420" y="1872527"/>
          <a:ext cx="2365939" cy="1526165"/>
        </a:xfrm>
        <a:prstGeom prst="foldedCorner">
          <a:avLst>
            <a:gd name="adj" fmla="val 12277"/>
          </a:avLst>
        </a:prstGeom>
        <a:solidFill>
          <a:schemeClr val="accent3">
            <a:lumMod val="40000"/>
            <a:lumOff val="60000"/>
          </a:schemeClr>
        </a:solidFill>
      </xdr:spPr>
      <xdr:style>
        <a:lnRef idx="1">
          <a:schemeClr val="dk1"/>
        </a:lnRef>
        <a:fillRef idx="2">
          <a:schemeClr val="dk1"/>
        </a:fillRef>
        <a:effectRef idx="1">
          <a:schemeClr val="dk1"/>
        </a:effectRef>
        <a:fontRef idx="minor">
          <a:schemeClr val="dk1"/>
        </a:fontRef>
      </xdr:style>
      <xdr:txBody>
        <a:bodyPr vertOverflow="clip" horzOverflow="clip" tIns="36000" bIns="0" rtlCol="0" anchor="t"/>
        <a:lstStyle/>
        <a:p>
          <a:pPr algn="ctr"/>
          <a:r>
            <a:rPr lang="en-US" sz="1400" b="0" i="0" u="none" strike="noStrike">
              <a:solidFill>
                <a:srgbClr val="0000FF"/>
              </a:solidFill>
              <a:latin typeface="Arial"/>
              <a:cs typeface="Arial"/>
            </a:rPr>
            <a:t>Extra:</a:t>
          </a:r>
        </a:p>
        <a:p>
          <a:pPr algn="ctr"/>
          <a:r>
            <a:rPr lang="en-US" sz="1400" b="0" i="0" u="none" strike="noStrike">
              <a:solidFill>
                <a:srgbClr val="0000FF"/>
              </a:solidFill>
              <a:latin typeface="Arial"/>
              <a:cs typeface="Arial"/>
            </a:rPr>
            <a:t>How</a:t>
          </a:r>
          <a:r>
            <a:rPr lang="en-US" sz="1400" b="0" i="0" u="none" strike="noStrike" baseline="0">
              <a:solidFill>
                <a:srgbClr val="0000FF"/>
              </a:solidFill>
              <a:latin typeface="Arial"/>
              <a:cs typeface="Arial"/>
            </a:rPr>
            <a:t> many of the top 250 movies won an Oscar for Best Picture?</a:t>
          </a:r>
          <a:endParaRPr lang="en-US" sz="1400" b="0" i="0" u="none" strike="noStrike">
            <a:solidFill>
              <a:srgbClr val="0000FF"/>
            </a:solidFill>
            <a:latin typeface="Arial"/>
            <a:cs typeface="Arial"/>
          </a:endParaRPr>
        </a:p>
      </xdr:txBody>
    </xdr:sp>
    <xdr:clientData/>
  </xdr:twoCellAnchor>
  <xdr:twoCellAnchor>
    <xdr:from>
      <xdr:col>17</xdr:col>
      <xdr:colOff>476249</xdr:colOff>
      <xdr:row>14</xdr:row>
      <xdr:rowOff>-1</xdr:rowOff>
    </xdr:from>
    <xdr:to>
      <xdr:col>18</xdr:col>
      <xdr:colOff>238124</xdr:colOff>
      <xdr:row>15</xdr:row>
      <xdr:rowOff>162358</xdr:rowOff>
    </xdr:to>
    <xdr:sp macro="" textlink="Data!O2">
      <xdr:nvSpPr>
        <xdr:cNvPr id="6" name="Rectangle 5"/>
        <xdr:cNvSpPr/>
      </xdr:nvSpPr>
      <xdr:spPr>
        <a:xfrm>
          <a:off x="10888806" y="2814204"/>
          <a:ext cx="368011" cy="357188"/>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fld id="{17BF8556-81DB-495B-A600-57E338C9C987}" type="TxLink">
            <a:rPr lang="en-US" sz="1000" b="0" i="0" u="none" strike="noStrike">
              <a:solidFill>
                <a:srgbClr val="0000FF"/>
              </a:solidFill>
              <a:latin typeface="Arial"/>
              <a:cs typeface="Arial"/>
            </a:rPr>
            <a:pPr algn="l"/>
            <a:t>37</a:t>
          </a:fld>
          <a:endParaRPr lang="en-US" sz="1100"/>
        </a:p>
      </xdr:txBody>
    </xdr:sp>
    <xdr:clientData/>
  </xdr:twoCellAnchor>
  <xdr:twoCellAnchor>
    <xdr:from>
      <xdr:col>7</xdr:col>
      <xdr:colOff>357186</xdr:colOff>
      <xdr:row>10</xdr:row>
      <xdr:rowOff>75768</xdr:rowOff>
    </xdr:from>
    <xdr:to>
      <xdr:col>9</xdr:col>
      <xdr:colOff>216477</xdr:colOff>
      <xdr:row>13</xdr:row>
      <xdr:rowOff>10824</xdr:rowOff>
    </xdr:to>
    <xdr:sp macro="" textlink="">
      <xdr:nvSpPr>
        <xdr:cNvPr id="4" name="Rounded Rectangular Callout 3"/>
        <xdr:cNvSpPr/>
      </xdr:nvSpPr>
      <xdr:spPr>
        <a:xfrm>
          <a:off x="5162981" y="2110654"/>
          <a:ext cx="1071564" cy="519545"/>
        </a:xfrm>
        <a:prstGeom prst="wedgeRoundRectCallout">
          <a:avLst>
            <a:gd name="adj1" fmla="val 87348"/>
            <a:gd name="adj2" fmla="val 46795"/>
            <a:gd name="adj3" fmla="val 16667"/>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Not matched until the </a:t>
          </a:r>
          <a:r>
            <a:rPr lang="en-US" sz="1100" b="1" baseline="0"/>
            <a:t> 90's</a:t>
          </a:r>
          <a:endParaRPr lang="en-US" sz="11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85725</xdr:colOff>
      <xdr:row>4</xdr:row>
      <xdr:rowOff>85723</xdr:rowOff>
    </xdr:from>
    <xdr:to>
      <xdr:col>11</xdr:col>
      <xdr:colOff>323850</xdr:colOff>
      <xdr:row>5</xdr:row>
      <xdr:rowOff>133349</xdr:rowOff>
    </xdr:to>
    <xdr:sp macro="" textlink="$F$8">
      <xdr:nvSpPr>
        <xdr:cNvPr id="24" name="TextBox 9"/>
        <xdr:cNvSpPr txBox="1"/>
      </xdr:nvSpPr>
      <xdr:spPr>
        <a:xfrm>
          <a:off x="6181725" y="914398"/>
          <a:ext cx="847725" cy="238126"/>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fld id="{1F997084-3D2E-4946-93B4-A6A1A54D2408}"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algn="ctr" defTabSz="914400" eaLnBrk="1" fontAlgn="auto" latinLnBrk="0" hangingPunct="1">
              <a:lnSpc>
                <a:spcPct val="100000"/>
              </a:lnSpc>
              <a:spcBef>
                <a:spcPts val="0"/>
              </a:spcBef>
              <a:spcAft>
                <a:spcPts val="0"/>
              </a:spcAft>
              <a:buClrTx/>
              <a:buSzTx/>
              <a:buFontTx/>
              <a:buNone/>
              <a:tabLst/>
              <a:defRPr/>
            </a:pPr>
            <a:t> 125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7</xdr:col>
      <xdr:colOff>90487</xdr:colOff>
      <xdr:row>6</xdr:row>
      <xdr:rowOff>33337</xdr:rowOff>
    </xdr:from>
    <xdr:to>
      <xdr:col>14</xdr:col>
      <xdr:colOff>395287</xdr:colOff>
      <xdr:row>20</xdr:row>
      <xdr:rowOff>109537</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509587</xdr:colOff>
      <xdr:row>5</xdr:row>
      <xdr:rowOff>71437</xdr:rowOff>
    </xdr:from>
    <xdr:to>
      <xdr:col>14</xdr:col>
      <xdr:colOff>481012</xdr:colOff>
      <xdr:row>19</xdr:row>
      <xdr:rowOff>147637</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19051</xdr:colOff>
      <xdr:row>12</xdr:row>
      <xdr:rowOff>38100</xdr:rowOff>
    </xdr:from>
    <xdr:to>
      <xdr:col>8</xdr:col>
      <xdr:colOff>409575</xdr:colOff>
      <xdr:row>13</xdr:row>
      <xdr:rowOff>76200</xdr:rowOff>
    </xdr:to>
    <xdr:sp macro="" textlink="F3">
      <xdr:nvSpPr>
        <xdr:cNvPr id="27" name="TextBox 26"/>
        <xdr:cNvSpPr txBox="1"/>
      </xdr:nvSpPr>
      <xdr:spPr>
        <a:xfrm>
          <a:off x="4895851" y="2390775"/>
          <a:ext cx="390524" cy="228600"/>
        </a:xfrm>
        <a:prstGeom prst="rect">
          <a:avLst/>
        </a:prstGeom>
        <a:solidFill>
          <a:sysClr val="window" lastClr="FFFFFF"/>
        </a:solidFill>
        <a:ln w="9525" cmpd="sng">
          <a:noFill/>
        </a:ln>
        <a:effectLst/>
      </xdr:spPr>
      <xdr:txBody>
        <a:bodyPr vertOverflow="clip" horzOverflow="clip" wrap="square" rtlCol="0" anchor="t"/>
        <a:lstStyle/>
        <a:p>
          <a:pPr marL="0" marR="0" lvl="0" indent="0" algn="r" defTabSz="914400" eaLnBrk="1" fontAlgn="auto" latinLnBrk="0" hangingPunct="1">
            <a:lnSpc>
              <a:spcPct val="100000"/>
            </a:lnSpc>
            <a:spcBef>
              <a:spcPts val="0"/>
            </a:spcBef>
            <a:spcAft>
              <a:spcPts val="0"/>
            </a:spcAft>
            <a:buClrTx/>
            <a:buSzTx/>
            <a:buFontTx/>
            <a:buNone/>
            <a:tabLst/>
            <a:defRPr/>
          </a:pPr>
          <a:fld id="{3FCF4C31-1337-476E-856C-EF85DB335F41}"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algn="r" defTabSz="914400" eaLnBrk="1" fontAlgn="auto" latinLnBrk="0" hangingPunct="1">
              <a:lnSpc>
                <a:spcPct val="100000"/>
              </a:lnSpc>
              <a:spcBef>
                <a:spcPts val="0"/>
              </a:spcBef>
              <a:spcAft>
                <a:spcPts val="0"/>
              </a:spcAft>
              <a:buClrTx/>
              <a:buSzTx/>
              <a:buFontTx/>
              <a:buNone/>
              <a:tabLst/>
              <a:defRPr/>
            </a:pPr>
            <a:t> 1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9</xdr:col>
      <xdr:colOff>276224</xdr:colOff>
      <xdr:row>5</xdr:row>
      <xdr:rowOff>66674</xdr:rowOff>
    </xdr:from>
    <xdr:to>
      <xdr:col>10</xdr:col>
      <xdr:colOff>304799</xdr:colOff>
      <xdr:row>6</xdr:row>
      <xdr:rowOff>114299</xdr:rowOff>
    </xdr:to>
    <xdr:sp macro="" textlink="$F$7">
      <xdr:nvSpPr>
        <xdr:cNvPr id="28" name="TextBox 9"/>
        <xdr:cNvSpPr txBox="1"/>
      </xdr:nvSpPr>
      <xdr:spPr>
        <a:xfrm>
          <a:off x="5762624" y="1085849"/>
          <a:ext cx="638175" cy="238125"/>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algn="r" defTabSz="914400" eaLnBrk="1" fontAlgn="auto" latinLnBrk="0" hangingPunct="1">
            <a:lnSpc>
              <a:spcPct val="100000"/>
            </a:lnSpc>
            <a:spcBef>
              <a:spcPts val="0"/>
            </a:spcBef>
            <a:spcAft>
              <a:spcPts val="0"/>
            </a:spcAft>
            <a:buClrTx/>
            <a:buSzTx/>
            <a:buFontTx/>
            <a:buNone/>
            <a:tabLst/>
            <a:defRPr/>
          </a:pPr>
          <a:fld id="{1E32C299-3B39-4C92-BF87-2708BEF3FBC2}"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algn="r" defTabSz="914400" eaLnBrk="1" fontAlgn="auto" latinLnBrk="0" hangingPunct="1">
              <a:lnSpc>
                <a:spcPct val="100000"/>
              </a:lnSpc>
              <a:spcBef>
                <a:spcPts val="0"/>
              </a:spcBef>
              <a:spcAft>
                <a:spcPts val="0"/>
              </a:spcAft>
              <a:buClrTx/>
              <a:buSzTx/>
              <a:buFontTx/>
              <a:buNone/>
              <a:tabLst/>
              <a:defRPr/>
            </a:pPr>
            <a:t> 100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11</xdr:col>
      <xdr:colOff>200025</xdr:colOff>
      <xdr:row>5</xdr:row>
      <xdr:rowOff>66675</xdr:rowOff>
    </xdr:from>
    <xdr:to>
      <xdr:col>12</xdr:col>
      <xdr:colOff>266700</xdr:colOff>
      <xdr:row>6</xdr:row>
      <xdr:rowOff>104775</xdr:rowOff>
    </xdr:to>
    <xdr:sp macro="" textlink="$F$9">
      <xdr:nvSpPr>
        <xdr:cNvPr id="29" name="TextBox 9"/>
        <xdr:cNvSpPr txBox="1"/>
      </xdr:nvSpPr>
      <xdr:spPr>
        <a:xfrm>
          <a:off x="6905625" y="1085850"/>
          <a:ext cx="676275" cy="228600"/>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fld id="{41E4A98F-3E8E-4FA8-9663-80E00CDDDDBA}"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defTabSz="914400" eaLnBrk="1" fontAlgn="auto" latinLnBrk="0" hangingPunct="1">
              <a:lnSpc>
                <a:spcPct val="100000"/>
              </a:lnSpc>
              <a:spcBef>
                <a:spcPts val="0"/>
              </a:spcBef>
              <a:spcAft>
                <a:spcPts val="0"/>
              </a:spcAft>
              <a:buClrTx/>
              <a:buSzTx/>
              <a:buFontTx/>
              <a:buNone/>
              <a:tabLst/>
              <a:defRPr/>
            </a:pPr>
            <a:t> 150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12</xdr:col>
      <xdr:colOff>28575</xdr:colOff>
      <xdr:row>6</xdr:row>
      <xdr:rowOff>123825</xdr:rowOff>
    </xdr:from>
    <xdr:to>
      <xdr:col>12</xdr:col>
      <xdr:colOff>590550</xdr:colOff>
      <xdr:row>7</xdr:row>
      <xdr:rowOff>180975</xdr:rowOff>
    </xdr:to>
    <xdr:sp macro="" textlink="$F$10">
      <xdr:nvSpPr>
        <xdr:cNvPr id="30" name="TextBox 9"/>
        <xdr:cNvSpPr txBox="1"/>
      </xdr:nvSpPr>
      <xdr:spPr>
        <a:xfrm>
          <a:off x="7343775" y="1333500"/>
          <a:ext cx="561975" cy="247650"/>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tabLst/>
            <a:defRPr/>
          </a:pPr>
          <a:fld id="{217C6046-80A8-44FA-B6C8-11D26AA33E43}"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algn="l" defTabSz="914400" eaLnBrk="1" fontAlgn="auto" latinLnBrk="0" hangingPunct="1">
              <a:lnSpc>
                <a:spcPct val="100000"/>
              </a:lnSpc>
              <a:spcBef>
                <a:spcPts val="0"/>
              </a:spcBef>
              <a:spcAft>
                <a:spcPts val="0"/>
              </a:spcAft>
              <a:buClrTx/>
              <a:buSzTx/>
              <a:buFontTx/>
              <a:buNone/>
              <a:tabLst/>
              <a:defRPr/>
            </a:pPr>
            <a:t> 175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12</xdr:col>
      <xdr:colOff>352425</xdr:colOff>
      <xdr:row>8</xdr:row>
      <xdr:rowOff>19050</xdr:rowOff>
    </xdr:from>
    <xdr:to>
      <xdr:col>13</xdr:col>
      <xdr:colOff>390525</xdr:colOff>
      <xdr:row>9</xdr:row>
      <xdr:rowOff>76200</xdr:rowOff>
    </xdr:to>
    <xdr:sp macro="" textlink="$F$11">
      <xdr:nvSpPr>
        <xdr:cNvPr id="31" name="TextBox 9"/>
        <xdr:cNvSpPr txBox="1"/>
      </xdr:nvSpPr>
      <xdr:spPr>
        <a:xfrm>
          <a:off x="7667625" y="1609725"/>
          <a:ext cx="647700" cy="247650"/>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fld id="{5A1D2057-10BA-4329-AE39-1CB0A251FEBA}"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defTabSz="914400" eaLnBrk="1" fontAlgn="auto" latinLnBrk="0" hangingPunct="1">
              <a:lnSpc>
                <a:spcPct val="100000"/>
              </a:lnSpc>
              <a:spcBef>
                <a:spcPts val="0"/>
              </a:spcBef>
              <a:spcAft>
                <a:spcPts val="0"/>
              </a:spcAft>
              <a:buClrTx/>
              <a:buSzTx/>
              <a:buFontTx/>
              <a:buNone/>
              <a:tabLst/>
              <a:defRPr/>
            </a:pPr>
            <a:t> 200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13</xdr:col>
      <xdr:colOff>0</xdr:colOff>
      <xdr:row>10</xdr:row>
      <xdr:rowOff>66675</xdr:rowOff>
    </xdr:from>
    <xdr:to>
      <xdr:col>14</xdr:col>
      <xdr:colOff>276225</xdr:colOff>
      <xdr:row>11</xdr:row>
      <xdr:rowOff>114300</xdr:rowOff>
    </xdr:to>
    <xdr:sp macro="" textlink="$F$12">
      <xdr:nvSpPr>
        <xdr:cNvPr id="32" name="TextBox 31"/>
        <xdr:cNvSpPr txBox="1"/>
      </xdr:nvSpPr>
      <xdr:spPr>
        <a:xfrm>
          <a:off x="7924800" y="2038350"/>
          <a:ext cx="885825" cy="238125"/>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fld id="{838228F9-FBF8-48F9-92B7-4CBC57A3AB83}"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defTabSz="914400" eaLnBrk="1" fontAlgn="auto" latinLnBrk="0" hangingPunct="1">
              <a:lnSpc>
                <a:spcPct val="100000"/>
              </a:lnSpc>
              <a:spcBef>
                <a:spcPts val="0"/>
              </a:spcBef>
              <a:spcAft>
                <a:spcPts val="0"/>
              </a:spcAft>
              <a:buClrTx/>
              <a:buSzTx/>
              <a:buFontTx/>
              <a:buNone/>
              <a:tabLst/>
              <a:defRPr/>
            </a:pPr>
            <a:t> 225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13</xdr:col>
      <xdr:colOff>123825</xdr:colOff>
      <xdr:row>12</xdr:row>
      <xdr:rowOff>66675</xdr:rowOff>
    </xdr:from>
    <xdr:to>
      <xdr:col>14</xdr:col>
      <xdr:colOff>342900</xdr:colOff>
      <xdr:row>13</xdr:row>
      <xdr:rowOff>114300</xdr:rowOff>
    </xdr:to>
    <xdr:sp macro="" textlink="$F$13">
      <xdr:nvSpPr>
        <xdr:cNvPr id="33" name="TextBox 9"/>
        <xdr:cNvSpPr txBox="1"/>
      </xdr:nvSpPr>
      <xdr:spPr>
        <a:xfrm>
          <a:off x="8048625" y="2419350"/>
          <a:ext cx="828675" cy="238125"/>
        </a:xfrm>
        <a:prstGeom prst="rect">
          <a:avLst/>
        </a:prstGeom>
        <a:solidFill>
          <a:sysClr val="window" lastClr="FFFFFF"/>
        </a:solidFill>
        <a:ln w="9525" cmpd="sng">
          <a:noFill/>
        </a:ln>
        <a:effectLst/>
      </xdr:spPr>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fld id="{E0AC18EE-AFCF-4A89-8FA2-69C4EAD04029}" type="TxLink">
            <a:rPr kumimoji="0" lang="en-US" sz="1200" b="1" i="0" u="none" strike="noStrike" kern="0" cap="none" spc="0" normalizeH="0" baseline="0" noProof="0">
              <a:ln>
                <a:noFill/>
              </a:ln>
              <a:solidFill>
                <a:srgbClr val="000000"/>
              </a:solidFill>
              <a:effectLst/>
              <a:uLnTx/>
              <a:uFillTx/>
              <a:latin typeface="Verdana"/>
              <a:ea typeface="Verdana"/>
              <a:cs typeface="Verdana"/>
            </a:rPr>
            <a:pPr marL="0" marR="0" lvl="0" indent="0" defTabSz="914400" eaLnBrk="1" fontAlgn="auto" latinLnBrk="0" hangingPunct="1">
              <a:lnSpc>
                <a:spcPct val="100000"/>
              </a:lnSpc>
              <a:spcBef>
                <a:spcPts val="0"/>
              </a:spcBef>
              <a:spcAft>
                <a:spcPts val="0"/>
              </a:spcAft>
              <a:buClrTx/>
              <a:buSzTx/>
              <a:buFontTx/>
              <a:buNone/>
              <a:tabLst/>
              <a:defRPr/>
            </a:pPr>
            <a:t> 250 </a:t>
          </a:fld>
          <a:endParaRPr kumimoji="0" lang="en-US" sz="1200" b="1" i="0" u="none" strike="noStrike" kern="0" cap="none" spc="0" normalizeH="0" baseline="0" noProof="0">
            <a:ln>
              <a:noFill/>
            </a:ln>
            <a:solidFill>
              <a:sysClr val="windowText" lastClr="000000"/>
            </a:solidFill>
            <a:effectLst/>
            <a:uLnTx/>
            <a:uFillTx/>
            <a:latin typeface="Verdana"/>
          </a:endParaRPr>
        </a:p>
      </xdr:txBody>
    </xdr:sp>
    <xdr:clientData/>
  </xdr:twoCellAnchor>
  <xdr:twoCellAnchor>
    <xdr:from>
      <xdr:col>7</xdr:col>
      <xdr:colOff>200025</xdr:colOff>
      <xdr:row>12</xdr:row>
      <xdr:rowOff>19050</xdr:rowOff>
    </xdr:from>
    <xdr:to>
      <xdr:col>8</xdr:col>
      <xdr:colOff>209550</xdr:colOff>
      <xdr:row>13</xdr:row>
      <xdr:rowOff>57150</xdr:rowOff>
    </xdr:to>
    <xdr:sp macro="" textlink="">
      <xdr:nvSpPr>
        <xdr:cNvPr id="34" name="Rounded Rectangle 33"/>
        <xdr:cNvSpPr/>
      </xdr:nvSpPr>
      <xdr:spPr>
        <a:xfrm>
          <a:off x="4467225" y="2371725"/>
          <a:ext cx="619125" cy="228600"/>
        </a:xfrm>
        <a:prstGeom prst="roundRect">
          <a:avLst/>
        </a:prstGeom>
        <a:noFill/>
        <a:ln w="42500" cap="flat" cmpd="sng" algn="ctr">
          <a:noFill/>
          <a:prstDash val="solid"/>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w="0"/>
              <a:solidFill>
                <a:sysClr val="windowText" lastClr="000000"/>
              </a:solidFill>
              <a:effectLst>
                <a:outerShdw blurRad="38100" dist="19050" dir="2700000" algn="tl" rotWithShape="0">
                  <a:sysClr val="windowText" lastClr="000000">
                    <a:alpha val="40000"/>
                  </a:sysClr>
                </a:outerShdw>
              </a:effectLst>
              <a:uLnTx/>
              <a:uFillTx/>
              <a:latin typeface="Verdana"/>
            </a:rPr>
            <a:t>BEST</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noProof="0">
            <a:ln w="0"/>
            <a:solidFill>
              <a:sysClr val="windowText" lastClr="000000"/>
            </a:solidFill>
            <a:effectLst>
              <a:outerShdw blurRad="38100" dist="19050" dir="2700000" algn="tl" rotWithShape="0">
                <a:sysClr val="windowText" lastClr="000000">
                  <a:alpha val="40000"/>
                </a:sysClr>
              </a:outerShdw>
            </a:effectLst>
            <a:uLnTx/>
            <a:uFillTx/>
            <a:latin typeface="Verdana"/>
          </a:endParaRPr>
        </a:p>
      </xdr:txBody>
    </xdr:sp>
    <xdr:clientData/>
  </xdr:twoCellAnchor>
</xdr:wsDr>
</file>

<file path=xl/drawings/drawing4.xml><?xml version="1.0" encoding="utf-8"?>
<c:userShapes xmlns:c="http://schemas.openxmlformats.org/drawingml/2006/chart">
  <cdr:relSizeAnchor xmlns:cdr="http://schemas.openxmlformats.org/drawingml/2006/chartDrawing">
    <cdr:from>
      <cdr:x>0.2025</cdr:x>
      <cdr:y>0.55072</cdr:y>
    </cdr:from>
    <cdr:to>
      <cdr:x>0.80917</cdr:x>
      <cdr:y>1</cdr:y>
    </cdr:to>
    <cdr:sp macro="" textlink="">
      <cdr:nvSpPr>
        <cdr:cNvPr id="2" name="Rectangle 1"/>
        <cdr:cNvSpPr/>
      </cdr:nvSpPr>
      <cdr:spPr>
        <a:xfrm xmlns:a="http://schemas.openxmlformats.org/drawingml/2006/main">
          <a:off x="1157288" y="1447800"/>
          <a:ext cx="3467100" cy="1181100"/>
        </a:xfrm>
        <a:prstGeom xmlns:a="http://schemas.openxmlformats.org/drawingml/2006/main" prst="rect">
          <a:avLst/>
        </a:prstGeom>
        <a:solidFill xmlns:a="http://schemas.openxmlformats.org/drawingml/2006/main">
          <a:schemeClr val="bg1"/>
        </a:solidFill>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0.11657</cdr:x>
      <cdr:y>0.33218</cdr:y>
    </cdr:from>
    <cdr:to>
      <cdr:x>0.2482</cdr:x>
      <cdr:y>0.41839</cdr:y>
    </cdr:to>
    <cdr:sp macro="" textlink="">
      <cdr:nvSpPr>
        <cdr:cNvPr id="8" name="TextBox 9"/>
        <cdr:cNvSpPr txBox="1"/>
      </cdr:nvSpPr>
      <cdr:spPr>
        <a:xfrm xmlns:a="http://schemas.openxmlformats.org/drawingml/2006/main">
          <a:off x="565150" y="917575"/>
          <a:ext cx="638175" cy="238125"/>
        </a:xfrm>
        <a:prstGeom xmlns:a="http://schemas.openxmlformats.org/drawingml/2006/main" prst="rect">
          <a:avLst/>
        </a:prstGeom>
        <a:solidFill xmlns:a="http://schemas.openxmlformats.org/drawingml/2006/main">
          <a:sysClr val="window" lastClr="FFFFFF"/>
        </a:solidFill>
        <a:ln xmlns:a="http://schemas.openxmlformats.org/drawingml/2006/main" w="9525" cmpd="sng">
          <a:noFill/>
        </a:ln>
        <a:effectLst xmlns:a="http://schemas.openxmlformats.org/drawingml/2006/main"/>
      </cdr:spPr>
      <cdr:txBody>
        <a:bodyPr xmlns:a="http://schemas.openxmlformats.org/drawingml/2006/main" wrap="square" rtlCol="0" anchor="t"/>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rgbClr val="000000"/>
              </a:solidFill>
              <a:effectLst/>
              <a:uLnTx/>
              <a:uFillTx/>
              <a:latin typeface="Verdana"/>
              <a:ea typeface="Verdana"/>
              <a:cs typeface="Verdana"/>
            </a:rPr>
            <a:t>25</a:t>
          </a:r>
          <a:endParaRPr kumimoji="0" lang="en-US" sz="1200" b="1" i="0" u="none" strike="noStrike" kern="0" cap="none" spc="0" normalizeH="0" baseline="0" noProof="0">
            <a:ln>
              <a:noFill/>
            </a:ln>
            <a:solidFill>
              <a:sysClr val="windowText" lastClr="000000"/>
            </a:solidFill>
            <a:effectLst/>
            <a:uLnTx/>
            <a:uFillTx/>
            <a:latin typeface="Verdana"/>
          </a:endParaRPr>
        </a:p>
      </cdr:txBody>
    </cdr:sp>
  </cdr:relSizeAnchor>
  <cdr:relSizeAnchor xmlns:cdr="http://schemas.openxmlformats.org/drawingml/2006/chartDrawing">
    <cdr:from>
      <cdr:x>0.17354</cdr:x>
      <cdr:y>0.1908</cdr:y>
    </cdr:from>
    <cdr:to>
      <cdr:x>0.30517</cdr:x>
      <cdr:y>0.27701</cdr:y>
    </cdr:to>
    <cdr:sp macro="" textlink="">
      <cdr:nvSpPr>
        <cdr:cNvPr id="9" name="TextBox 9"/>
        <cdr:cNvSpPr txBox="1"/>
      </cdr:nvSpPr>
      <cdr:spPr>
        <a:xfrm xmlns:a="http://schemas.openxmlformats.org/drawingml/2006/main">
          <a:off x="841375" y="527050"/>
          <a:ext cx="638175" cy="238125"/>
        </a:xfrm>
        <a:prstGeom xmlns:a="http://schemas.openxmlformats.org/drawingml/2006/main" prst="rect">
          <a:avLst/>
        </a:prstGeom>
        <a:solidFill xmlns:a="http://schemas.openxmlformats.org/drawingml/2006/main">
          <a:sysClr val="window" lastClr="FFFFFF"/>
        </a:solidFill>
        <a:ln xmlns:a="http://schemas.openxmlformats.org/drawingml/2006/main" w="9525" cmpd="sng">
          <a:noFill/>
        </a:ln>
        <a:effectLst xmlns:a="http://schemas.openxmlformats.org/drawingml/2006/main"/>
      </cdr:spPr>
      <cdr:txBody>
        <a:bodyPr xmlns:a="http://schemas.openxmlformats.org/drawingml/2006/main" wrap="square" rtlCol="0" anchor="t"/>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rgbClr val="000000"/>
              </a:solidFill>
              <a:effectLst/>
              <a:uLnTx/>
              <a:uFillTx/>
              <a:latin typeface="Verdana"/>
              <a:ea typeface="Verdana"/>
              <a:cs typeface="Verdana"/>
            </a:rPr>
            <a:t>50</a:t>
          </a:r>
        </a:p>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endParaRPr kumimoji="0" lang="en-US" sz="1200" b="1" i="0" u="none" strike="noStrike" kern="0" cap="none" spc="0" normalizeH="0" baseline="0" noProof="0">
            <a:ln>
              <a:noFill/>
            </a:ln>
            <a:solidFill>
              <a:sysClr val="windowText" lastClr="000000"/>
            </a:solidFill>
            <a:effectLst/>
            <a:uLnTx/>
            <a:uFillTx/>
            <a:latin typeface="Verdana"/>
          </a:endParaRPr>
        </a:p>
      </cdr:txBody>
    </cdr:sp>
  </cdr:relSizeAnchor>
  <cdr:relSizeAnchor xmlns:cdr="http://schemas.openxmlformats.org/drawingml/2006/chartDrawing">
    <cdr:from>
      <cdr:x>0.24427</cdr:x>
      <cdr:y>0.07011</cdr:y>
    </cdr:from>
    <cdr:to>
      <cdr:x>0.3759</cdr:x>
      <cdr:y>0.15632</cdr:y>
    </cdr:to>
    <cdr:sp macro="" textlink="">
      <cdr:nvSpPr>
        <cdr:cNvPr id="10" name="TextBox 9"/>
        <cdr:cNvSpPr txBox="1"/>
      </cdr:nvSpPr>
      <cdr:spPr>
        <a:xfrm xmlns:a="http://schemas.openxmlformats.org/drawingml/2006/main">
          <a:off x="1184275" y="193675"/>
          <a:ext cx="638175" cy="238125"/>
        </a:xfrm>
        <a:prstGeom xmlns:a="http://schemas.openxmlformats.org/drawingml/2006/main" prst="rect">
          <a:avLst/>
        </a:prstGeom>
        <a:solidFill xmlns:a="http://schemas.openxmlformats.org/drawingml/2006/main">
          <a:sysClr val="window" lastClr="FFFFFF"/>
        </a:solidFill>
        <a:ln xmlns:a="http://schemas.openxmlformats.org/drawingml/2006/main" w="9525" cmpd="sng">
          <a:noFill/>
        </a:ln>
        <a:effectLst xmlns:a="http://schemas.openxmlformats.org/drawingml/2006/main"/>
      </cdr:spPr>
      <cdr:txBody>
        <a:bodyPr xmlns:a="http://schemas.openxmlformats.org/drawingml/2006/main" wrap="square" rtlCol="0" anchor="t"/>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rgbClr val="000000"/>
              </a:solidFill>
              <a:effectLst/>
              <a:uLnTx/>
              <a:uFillTx/>
              <a:latin typeface="Verdana"/>
              <a:ea typeface="Verdana"/>
              <a:cs typeface="Verdana"/>
            </a:rPr>
            <a:t>75</a:t>
          </a:r>
          <a:endParaRPr kumimoji="0" lang="en-US" sz="1200" b="1" i="0" u="none" strike="noStrike" kern="0" cap="none" spc="0" normalizeH="0" baseline="0" noProof="0">
            <a:ln>
              <a:noFill/>
            </a:ln>
            <a:solidFill>
              <a:sysClr val="windowText" lastClr="000000"/>
            </a:solidFill>
            <a:effectLst/>
            <a:uLnTx/>
            <a:uFillTx/>
            <a:latin typeface="Verdana"/>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7</xdr:col>
      <xdr:colOff>52387</xdr:colOff>
      <xdr:row>5</xdr:row>
      <xdr:rowOff>114300</xdr:rowOff>
    </xdr:from>
    <xdr:to>
      <xdr:col>14</xdr:col>
      <xdr:colOff>357187</xdr:colOff>
      <xdr:row>15</xdr:row>
      <xdr:rowOff>114300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istulka/Desktop/Dashboard%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Pivot1"/>
      <sheetName val="Odom"/>
      <sheetName val="Calcs"/>
      <sheetName val="Charts"/>
      <sheetName val="Bins"/>
      <sheetName val="Sheet1"/>
    </sheetNames>
    <sheetDataSet>
      <sheetData sheetId="0"/>
      <sheetData sheetId="1">
        <row r="2">
          <cell r="A2">
            <v>180</v>
          </cell>
        </row>
      </sheetData>
      <sheetData sheetId="2">
        <row r="5">
          <cell r="J5">
            <v>124</v>
          </cell>
        </row>
        <row r="6">
          <cell r="J6">
            <v>135</v>
          </cell>
        </row>
        <row r="7">
          <cell r="J7">
            <v>119</v>
          </cell>
        </row>
        <row r="8">
          <cell r="J8">
            <v>87</v>
          </cell>
        </row>
        <row r="9">
          <cell r="J9">
            <v>222</v>
          </cell>
        </row>
        <row r="10">
          <cell r="J10">
            <v>38</v>
          </cell>
        </row>
        <row r="11">
          <cell r="J11">
            <v>48</v>
          </cell>
        </row>
        <row r="12">
          <cell r="J12">
            <v>138</v>
          </cell>
        </row>
        <row r="13">
          <cell r="J13">
            <v>41</v>
          </cell>
        </row>
        <row r="14">
          <cell r="J14">
            <v>245</v>
          </cell>
        </row>
        <row r="15">
          <cell r="J15">
            <v>156</v>
          </cell>
        </row>
        <row r="16">
          <cell r="J16">
            <v>111</v>
          </cell>
        </row>
        <row r="17">
          <cell r="J17">
            <v>149</v>
          </cell>
        </row>
        <row r="18">
          <cell r="J18">
            <v>127</v>
          </cell>
        </row>
        <row r="19">
          <cell r="J19">
            <v>148</v>
          </cell>
        </row>
        <row r="20">
          <cell r="J20">
            <v>66</v>
          </cell>
        </row>
        <row r="21">
          <cell r="J21">
            <v>46</v>
          </cell>
        </row>
        <row r="22">
          <cell r="J22">
            <v>123</v>
          </cell>
        </row>
        <row r="23">
          <cell r="J23">
            <v>25</v>
          </cell>
        </row>
        <row r="24">
          <cell r="J24">
            <v>248</v>
          </cell>
        </row>
        <row r="25">
          <cell r="J25">
            <v>56</v>
          </cell>
        </row>
        <row r="26">
          <cell r="J26">
            <v>29</v>
          </cell>
        </row>
        <row r="27">
          <cell r="J27">
            <v>166</v>
          </cell>
        </row>
        <row r="28">
          <cell r="J28">
            <v>172</v>
          </cell>
        </row>
        <row r="29">
          <cell r="J29">
            <v>179</v>
          </cell>
        </row>
        <row r="30">
          <cell r="J30">
            <v>91</v>
          </cell>
        </row>
        <row r="31">
          <cell r="J31">
            <v>211</v>
          </cell>
        </row>
        <row r="32">
          <cell r="J32">
            <v>76</v>
          </cell>
        </row>
        <row r="33">
          <cell r="J33">
            <v>77</v>
          </cell>
        </row>
        <row r="34">
          <cell r="J34">
            <v>92</v>
          </cell>
        </row>
        <row r="35">
          <cell r="J35">
            <v>89</v>
          </cell>
        </row>
        <row r="36">
          <cell r="J36">
            <v>32</v>
          </cell>
        </row>
        <row r="37">
          <cell r="J37">
            <v>227</v>
          </cell>
        </row>
        <row r="38">
          <cell r="J38">
            <v>145</v>
          </cell>
        </row>
        <row r="39">
          <cell r="J39">
            <v>157</v>
          </cell>
        </row>
        <row r="40">
          <cell r="J40">
            <v>129</v>
          </cell>
        </row>
        <row r="41">
          <cell r="J41">
            <v>86</v>
          </cell>
        </row>
        <row r="42">
          <cell r="J42">
            <v>218</v>
          </cell>
        </row>
        <row r="43">
          <cell r="J43">
            <v>210</v>
          </cell>
        </row>
        <row r="44">
          <cell r="J44">
            <v>167</v>
          </cell>
        </row>
        <row r="45">
          <cell r="J45">
            <v>202</v>
          </cell>
        </row>
        <row r="46">
          <cell r="J46">
            <v>114</v>
          </cell>
        </row>
        <row r="47">
          <cell r="J47">
            <v>28</v>
          </cell>
        </row>
        <row r="48">
          <cell r="J48">
            <v>15</v>
          </cell>
        </row>
        <row r="49">
          <cell r="J49">
            <v>139</v>
          </cell>
        </row>
        <row r="50">
          <cell r="J50">
            <v>178</v>
          </cell>
        </row>
        <row r="51">
          <cell r="J51">
            <v>194</v>
          </cell>
        </row>
        <row r="52">
          <cell r="J52">
            <v>7</v>
          </cell>
        </row>
        <row r="53">
          <cell r="J53">
            <v>52</v>
          </cell>
        </row>
        <row r="54">
          <cell r="J54">
            <v>104</v>
          </cell>
        </row>
        <row r="55">
          <cell r="J55">
            <v>120</v>
          </cell>
        </row>
        <row r="56">
          <cell r="J56">
            <v>126</v>
          </cell>
        </row>
        <row r="57">
          <cell r="J57">
            <v>97</v>
          </cell>
        </row>
        <row r="58">
          <cell r="J58">
            <v>133</v>
          </cell>
        </row>
        <row r="59">
          <cell r="J59">
            <v>53</v>
          </cell>
        </row>
        <row r="60">
          <cell r="J60">
            <v>203</v>
          </cell>
        </row>
        <row r="61">
          <cell r="J61">
            <v>177</v>
          </cell>
        </row>
        <row r="62">
          <cell r="J62">
            <v>44</v>
          </cell>
        </row>
        <row r="63">
          <cell r="J63">
            <v>90</v>
          </cell>
        </row>
        <row r="64">
          <cell r="J64">
            <v>182</v>
          </cell>
        </row>
        <row r="65">
          <cell r="J65">
            <v>30</v>
          </cell>
        </row>
        <row r="66">
          <cell r="J66">
            <v>98</v>
          </cell>
        </row>
        <row r="67">
          <cell r="J67">
            <v>147</v>
          </cell>
        </row>
        <row r="68">
          <cell r="J68">
            <v>200</v>
          </cell>
        </row>
        <row r="69">
          <cell r="J69">
            <v>106</v>
          </cell>
        </row>
        <row r="70">
          <cell r="J70">
            <v>70</v>
          </cell>
        </row>
        <row r="71">
          <cell r="J71">
            <v>201</v>
          </cell>
        </row>
        <row r="72">
          <cell r="J72">
            <v>205</v>
          </cell>
        </row>
        <row r="73">
          <cell r="J73">
            <v>71</v>
          </cell>
        </row>
        <row r="74">
          <cell r="J74">
            <v>204</v>
          </cell>
        </row>
        <row r="75">
          <cell r="J75">
            <v>115</v>
          </cell>
        </row>
        <row r="76">
          <cell r="J76">
            <v>231</v>
          </cell>
        </row>
        <row r="77">
          <cell r="J77">
            <v>39</v>
          </cell>
        </row>
        <row r="78">
          <cell r="J78">
            <v>110</v>
          </cell>
        </row>
        <row r="79">
          <cell r="J79">
            <v>193</v>
          </cell>
        </row>
        <row r="80">
          <cell r="J80">
            <v>5</v>
          </cell>
        </row>
        <row r="81">
          <cell r="J81">
            <v>199</v>
          </cell>
        </row>
        <row r="82">
          <cell r="J82">
            <v>137</v>
          </cell>
        </row>
        <row r="83">
          <cell r="J83">
            <v>247</v>
          </cell>
        </row>
        <row r="84">
          <cell r="J84">
            <v>195</v>
          </cell>
        </row>
        <row r="85">
          <cell r="J85">
            <v>96</v>
          </cell>
        </row>
        <row r="86">
          <cell r="J86">
            <v>24</v>
          </cell>
        </row>
        <row r="87">
          <cell r="J87">
            <v>238</v>
          </cell>
        </row>
        <row r="88">
          <cell r="J88">
            <v>152</v>
          </cell>
        </row>
        <row r="89">
          <cell r="J89">
            <v>212</v>
          </cell>
        </row>
        <row r="90">
          <cell r="J90">
            <v>67</v>
          </cell>
        </row>
        <row r="91">
          <cell r="J91">
            <v>224</v>
          </cell>
        </row>
        <row r="92">
          <cell r="J92">
            <v>2</v>
          </cell>
        </row>
        <row r="93">
          <cell r="J93">
            <v>250</v>
          </cell>
        </row>
        <row r="94">
          <cell r="J94">
            <v>207</v>
          </cell>
        </row>
        <row r="95">
          <cell r="J95">
            <v>99</v>
          </cell>
        </row>
        <row r="96">
          <cell r="J96">
            <v>88</v>
          </cell>
        </row>
        <row r="97">
          <cell r="J97">
            <v>3</v>
          </cell>
        </row>
        <row r="98">
          <cell r="J98">
            <v>213</v>
          </cell>
        </row>
        <row r="99">
          <cell r="J99">
            <v>186</v>
          </cell>
        </row>
        <row r="100">
          <cell r="J100">
            <v>143</v>
          </cell>
        </row>
        <row r="101">
          <cell r="J101">
            <v>93</v>
          </cell>
        </row>
        <row r="102">
          <cell r="J102">
            <v>13</v>
          </cell>
        </row>
        <row r="103">
          <cell r="J103">
            <v>173</v>
          </cell>
        </row>
        <row r="104">
          <cell r="J104">
            <v>206</v>
          </cell>
        </row>
        <row r="105">
          <cell r="J105">
            <v>57</v>
          </cell>
        </row>
        <row r="106">
          <cell r="J106">
            <v>158</v>
          </cell>
        </row>
        <row r="107">
          <cell r="J107">
            <v>17</v>
          </cell>
        </row>
        <row r="108">
          <cell r="J108">
            <v>136</v>
          </cell>
        </row>
        <row r="109">
          <cell r="J109">
            <v>40</v>
          </cell>
        </row>
        <row r="110">
          <cell r="J110">
            <v>34</v>
          </cell>
        </row>
        <row r="111">
          <cell r="J111">
            <v>170</v>
          </cell>
        </row>
        <row r="112">
          <cell r="J112">
            <v>225</v>
          </cell>
        </row>
        <row r="113">
          <cell r="J113">
            <v>103</v>
          </cell>
        </row>
        <row r="114">
          <cell r="J114">
            <v>11</v>
          </cell>
        </row>
        <row r="115">
          <cell r="J115">
            <v>122</v>
          </cell>
        </row>
        <row r="116">
          <cell r="J116">
            <v>50</v>
          </cell>
        </row>
        <row r="117">
          <cell r="J117">
            <v>73</v>
          </cell>
        </row>
        <row r="118">
          <cell r="J118">
            <v>27</v>
          </cell>
        </row>
        <row r="119">
          <cell r="J119">
            <v>125</v>
          </cell>
        </row>
        <row r="120">
          <cell r="J120">
            <v>215</v>
          </cell>
        </row>
        <row r="121">
          <cell r="J121">
            <v>190</v>
          </cell>
        </row>
        <row r="122">
          <cell r="J122">
            <v>154</v>
          </cell>
        </row>
        <row r="123">
          <cell r="J123">
            <v>128</v>
          </cell>
        </row>
        <row r="124">
          <cell r="J124">
            <v>80</v>
          </cell>
        </row>
        <row r="125">
          <cell r="J125">
            <v>95</v>
          </cell>
        </row>
        <row r="126">
          <cell r="J126">
            <v>242</v>
          </cell>
        </row>
        <row r="127">
          <cell r="J127">
            <v>78</v>
          </cell>
        </row>
        <row r="128">
          <cell r="J128">
            <v>174</v>
          </cell>
        </row>
        <row r="129">
          <cell r="J129">
            <v>45</v>
          </cell>
        </row>
        <row r="130">
          <cell r="J130">
            <v>130</v>
          </cell>
        </row>
        <row r="131">
          <cell r="J131">
            <v>59</v>
          </cell>
        </row>
        <row r="132">
          <cell r="J132">
            <v>150</v>
          </cell>
        </row>
        <row r="133">
          <cell r="J133">
            <v>181</v>
          </cell>
        </row>
        <row r="134">
          <cell r="J134">
            <v>82</v>
          </cell>
        </row>
        <row r="135">
          <cell r="J135">
            <v>198</v>
          </cell>
        </row>
        <row r="136">
          <cell r="J136">
            <v>74</v>
          </cell>
        </row>
        <row r="137">
          <cell r="J137">
            <v>105</v>
          </cell>
        </row>
        <row r="138">
          <cell r="J138">
            <v>101</v>
          </cell>
        </row>
        <row r="139">
          <cell r="J139">
            <v>164</v>
          </cell>
        </row>
        <row r="140">
          <cell r="J140">
            <v>236</v>
          </cell>
        </row>
        <row r="141">
          <cell r="J141">
            <v>102</v>
          </cell>
        </row>
        <row r="142">
          <cell r="J142">
            <v>14</v>
          </cell>
        </row>
        <row r="143">
          <cell r="J143">
            <v>243</v>
          </cell>
        </row>
        <row r="144">
          <cell r="J144">
            <v>35</v>
          </cell>
        </row>
        <row r="145">
          <cell r="J145">
            <v>22</v>
          </cell>
        </row>
        <row r="146">
          <cell r="J146">
            <v>72</v>
          </cell>
        </row>
        <row r="147">
          <cell r="J147">
            <v>100</v>
          </cell>
        </row>
        <row r="148">
          <cell r="J148">
            <v>184</v>
          </cell>
        </row>
        <row r="149">
          <cell r="J149">
            <v>209</v>
          </cell>
        </row>
        <row r="150">
          <cell r="J150">
            <v>226</v>
          </cell>
        </row>
        <row r="151">
          <cell r="J151">
            <v>8</v>
          </cell>
        </row>
        <row r="152">
          <cell r="J152">
            <v>18</v>
          </cell>
        </row>
        <row r="153">
          <cell r="J153">
            <v>31</v>
          </cell>
        </row>
        <row r="154">
          <cell r="J154">
            <v>4</v>
          </cell>
        </row>
        <row r="155">
          <cell r="J155">
            <v>75</v>
          </cell>
        </row>
        <row r="156">
          <cell r="J156">
            <v>1</v>
          </cell>
        </row>
        <row r="157">
          <cell r="J157">
            <v>244</v>
          </cell>
        </row>
        <row r="158">
          <cell r="J158">
            <v>249</v>
          </cell>
        </row>
        <row r="159">
          <cell r="J159">
            <v>83</v>
          </cell>
        </row>
        <row r="160">
          <cell r="J160">
            <v>146</v>
          </cell>
        </row>
        <row r="161">
          <cell r="J161">
            <v>121</v>
          </cell>
        </row>
        <row r="162">
          <cell r="J162">
            <v>239</v>
          </cell>
        </row>
        <row r="163">
          <cell r="J163">
            <v>23</v>
          </cell>
        </row>
        <row r="164">
          <cell r="J164">
            <v>26</v>
          </cell>
        </row>
        <row r="165">
          <cell r="J165">
            <v>113</v>
          </cell>
        </row>
        <row r="166">
          <cell r="J166">
            <v>183</v>
          </cell>
        </row>
        <row r="167">
          <cell r="J167">
            <v>131</v>
          </cell>
        </row>
        <row r="168">
          <cell r="J168">
            <v>155</v>
          </cell>
        </row>
        <row r="169">
          <cell r="J169">
            <v>144</v>
          </cell>
        </row>
        <row r="170">
          <cell r="J170">
            <v>84</v>
          </cell>
        </row>
        <row r="171">
          <cell r="J171">
            <v>49</v>
          </cell>
        </row>
        <row r="172">
          <cell r="J172">
            <v>94</v>
          </cell>
        </row>
        <row r="173">
          <cell r="J173">
            <v>33</v>
          </cell>
        </row>
        <row r="174">
          <cell r="J174">
            <v>142</v>
          </cell>
        </row>
        <row r="175">
          <cell r="J175">
            <v>37</v>
          </cell>
        </row>
        <row r="176">
          <cell r="J176">
            <v>134</v>
          </cell>
        </row>
        <row r="177">
          <cell r="J177">
            <v>217</v>
          </cell>
        </row>
        <row r="178">
          <cell r="J178">
            <v>54</v>
          </cell>
        </row>
        <row r="179">
          <cell r="J179">
            <v>10</v>
          </cell>
        </row>
        <row r="180">
          <cell r="J180">
            <v>60</v>
          </cell>
        </row>
        <row r="181">
          <cell r="J181">
            <v>19</v>
          </cell>
        </row>
        <row r="182">
          <cell r="J182">
            <v>141</v>
          </cell>
        </row>
        <row r="183">
          <cell r="J183">
            <v>187</v>
          </cell>
        </row>
        <row r="184">
          <cell r="J184">
            <v>62</v>
          </cell>
        </row>
        <row r="185">
          <cell r="J185">
            <v>36</v>
          </cell>
        </row>
        <row r="186">
          <cell r="J186">
            <v>79</v>
          </cell>
        </row>
        <row r="187">
          <cell r="J187">
            <v>112</v>
          </cell>
        </row>
        <row r="188">
          <cell r="J188">
            <v>192</v>
          </cell>
        </row>
        <row r="189">
          <cell r="J189">
            <v>69</v>
          </cell>
        </row>
        <row r="190">
          <cell r="J190">
            <v>185</v>
          </cell>
        </row>
        <row r="191">
          <cell r="J191">
            <v>214</v>
          </cell>
        </row>
        <row r="192">
          <cell r="J192">
            <v>42</v>
          </cell>
        </row>
        <row r="193">
          <cell r="J193">
            <v>12</v>
          </cell>
        </row>
        <row r="194">
          <cell r="J194">
            <v>21</v>
          </cell>
        </row>
        <row r="195">
          <cell r="J195">
            <v>216</v>
          </cell>
        </row>
        <row r="196">
          <cell r="J196">
            <v>20</v>
          </cell>
        </row>
        <row r="197">
          <cell r="J197">
            <v>47</v>
          </cell>
        </row>
        <row r="198">
          <cell r="J198">
            <v>163</v>
          </cell>
        </row>
        <row r="199">
          <cell r="J199">
            <v>153</v>
          </cell>
        </row>
        <row r="200">
          <cell r="J200">
            <v>221</v>
          </cell>
        </row>
        <row r="201">
          <cell r="J201">
            <v>246</v>
          </cell>
        </row>
        <row r="202">
          <cell r="J202">
            <v>85</v>
          </cell>
        </row>
        <row r="203">
          <cell r="J203">
            <v>220</v>
          </cell>
        </row>
        <row r="204">
          <cell r="J204">
            <v>9</v>
          </cell>
        </row>
        <row r="205">
          <cell r="J205">
            <v>116</v>
          </cell>
        </row>
        <row r="206">
          <cell r="J206">
            <v>81</v>
          </cell>
        </row>
        <row r="207">
          <cell r="J207">
            <v>159</v>
          </cell>
        </row>
        <row r="208">
          <cell r="J208">
            <v>188</v>
          </cell>
        </row>
        <row r="209">
          <cell r="J209">
            <v>175</v>
          </cell>
        </row>
        <row r="210">
          <cell r="J210">
            <v>107</v>
          </cell>
        </row>
        <row r="211">
          <cell r="J211">
            <v>151</v>
          </cell>
        </row>
        <row r="212">
          <cell r="J212">
            <v>165</v>
          </cell>
        </row>
        <row r="213">
          <cell r="J213">
            <v>117</v>
          </cell>
        </row>
        <row r="214">
          <cell r="J214">
            <v>51</v>
          </cell>
        </row>
        <row r="215">
          <cell r="J215">
            <v>64</v>
          </cell>
        </row>
        <row r="216">
          <cell r="J216">
            <v>68</v>
          </cell>
        </row>
        <row r="217">
          <cell r="J217">
            <v>171</v>
          </cell>
        </row>
        <row r="218">
          <cell r="J218">
            <v>140</v>
          </cell>
        </row>
        <row r="219">
          <cell r="J219">
            <v>229</v>
          </cell>
        </row>
        <row r="220">
          <cell r="J220">
            <v>191</v>
          </cell>
        </row>
        <row r="221">
          <cell r="J221">
            <v>232</v>
          </cell>
        </row>
        <row r="222">
          <cell r="J222">
            <v>176</v>
          </cell>
        </row>
        <row r="223">
          <cell r="J223">
            <v>132</v>
          </cell>
        </row>
        <row r="224">
          <cell r="J224">
            <v>230</v>
          </cell>
        </row>
        <row r="225">
          <cell r="J225">
            <v>208</v>
          </cell>
        </row>
        <row r="226">
          <cell r="J226">
            <v>6</v>
          </cell>
        </row>
        <row r="227">
          <cell r="J227">
            <v>63</v>
          </cell>
        </row>
        <row r="228">
          <cell r="J228">
            <v>240</v>
          </cell>
        </row>
        <row r="229">
          <cell r="J229">
            <v>234</v>
          </cell>
        </row>
        <row r="230">
          <cell r="J230">
            <v>109</v>
          </cell>
        </row>
        <row r="231">
          <cell r="J231">
            <v>189</v>
          </cell>
        </row>
        <row r="232">
          <cell r="J232">
            <v>228</v>
          </cell>
        </row>
        <row r="233">
          <cell r="J233">
            <v>162</v>
          </cell>
        </row>
        <row r="234">
          <cell r="J234">
            <v>118</v>
          </cell>
        </row>
        <row r="235">
          <cell r="J235">
            <v>197</v>
          </cell>
        </row>
        <row r="236">
          <cell r="J236">
            <v>169</v>
          </cell>
        </row>
        <row r="237">
          <cell r="J237">
            <v>237</v>
          </cell>
        </row>
        <row r="238">
          <cell r="J238">
            <v>16</v>
          </cell>
        </row>
        <row r="239">
          <cell r="J239">
            <v>235</v>
          </cell>
        </row>
        <row r="240">
          <cell r="J240">
            <v>180</v>
          </cell>
        </row>
        <row r="241">
          <cell r="J241">
            <v>65</v>
          </cell>
        </row>
        <row r="242">
          <cell r="J242">
            <v>108</v>
          </cell>
        </row>
        <row r="243">
          <cell r="J243">
            <v>223</v>
          </cell>
        </row>
        <row r="244">
          <cell r="J244">
            <v>241</v>
          </cell>
        </row>
        <row r="245">
          <cell r="J245">
            <v>61</v>
          </cell>
        </row>
        <row r="246">
          <cell r="J246">
            <v>161</v>
          </cell>
        </row>
        <row r="247">
          <cell r="J247">
            <v>55</v>
          </cell>
        </row>
        <row r="248">
          <cell r="J248">
            <v>219</v>
          </cell>
        </row>
        <row r="249">
          <cell r="J249">
            <v>168</v>
          </cell>
        </row>
        <row r="250">
          <cell r="J250">
            <v>58</v>
          </cell>
        </row>
        <row r="251">
          <cell r="J251">
            <v>233</v>
          </cell>
        </row>
        <row r="252">
          <cell r="J252">
            <v>160</v>
          </cell>
        </row>
        <row r="253">
          <cell r="J253">
            <v>43</v>
          </cell>
        </row>
        <row r="254">
          <cell r="J254">
            <v>196</v>
          </cell>
        </row>
      </sheetData>
      <sheetData sheetId="3"/>
      <sheetData sheetId="4"/>
      <sheetData sheetId="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Don Pistulka" refreshedDate="41587.418798148145" createdVersion="4" refreshedVersion="4" minRefreshableVersion="3" recordCount="250">
  <cacheSource type="worksheet">
    <worksheetSource name="=myData"/>
  </cacheSource>
  <cacheFields count="7">
    <cacheField name="Movie_ Date" numFmtId="0">
      <sharedItems count="250">
        <s v="The Kid (1921)"/>
        <s v="The Gold Rush (1925)"/>
        <s v="The General (1926)"/>
        <s v="Metropolis (1927)"/>
        <s v="All Quiet on the Western Front (1930)"/>
        <s v="City Lights (1931)"/>
        <s v="M (1931)"/>
        <s v="It Happened One Night (1934)"/>
        <s v="Modern Times (1936)"/>
        <s v="Bringing Up Baby (1938)"/>
        <s v="Gone with the Wind (1939)"/>
        <s v="Mr. Smith Goes to Washington (1939)"/>
        <s v="The Wizard of Oz (1939)"/>
        <s v="Rebecca (1940)"/>
        <s v="The Grapes of Wrath (1940)"/>
        <s v="The Great Dictator (1940)"/>
        <s v="Citizen Kane (1941)"/>
        <s v="The Maltese Falcon (1941)"/>
        <s v="Casablanca (1942)"/>
        <s v="Arsenic and Old Lace (1944)"/>
        <s v="Double Indemnity (1944)"/>
        <s v="It's a Wonderful Life (1946)"/>
        <s v="Notorious (1946)"/>
        <s v="The Best Years of Our Lives (1946)"/>
        <s v="The Big Sleep (1946)"/>
        <s v="Bicycle Thieves (1948)"/>
        <s v="Rope (1948)"/>
        <s v="The Treasure of the Sierra Madre (1948)"/>
        <s v="The Third Man (1949)"/>
        <s v="All About Eve (1950)"/>
        <s v="Rashomon (1950)"/>
        <s v="Sunset Blvd. (1950)"/>
        <s v="A Streetcar Named Desire (1951)"/>
        <s v="Strangers on a Train (1951)"/>
        <s v="High Noon (1952)"/>
        <s v="Ikiru (1952)"/>
        <s v="Singin' in the Rain (1952)"/>
        <s v="Roman Holiday (1953)"/>
        <s v="Stalag 17 (1953)"/>
        <s v="Dial M for Murder (1954)"/>
        <s v="La Strada (1954)"/>
        <s v="On the Waterfront (1954)"/>
        <s v="Rear Window (1954)"/>
        <s v="Seven Samurai (1954)"/>
        <s v="Diabolique (1955)"/>
        <s v="The Night of the Hunter (1955)"/>
        <s v="The Killing (1956)"/>
        <s v="12 Angry Men (1957)"/>
        <s v="Paths of Glory (1957)"/>
        <s v="The Bridge on the River Kwai (1957)"/>
        <s v="The Seventh Seal (1957)"/>
        <s v="Wild Strawberries (1957)"/>
        <s v="Witness for the Prosecution (1957)"/>
        <s v="Touch of Evil (1958)"/>
        <s v="Vertigo (1958)"/>
        <s v="Anatomy of a Murder (1959)"/>
        <s v="Ben-Hur (1959)"/>
        <s v="North by Northwest (1959)"/>
        <s v="Some Like It Hot (1959)"/>
        <s v="The 400 Blows (1959)"/>
        <s v="Psycho (1960)"/>
        <s v="The Apartment (1960)"/>
        <s v="Judgment at Nuremberg (1961)"/>
        <s v="The Hustler (1961)"/>
        <s v="Yojimbo (1961)"/>
        <s v="Lawrence of Arabia (1962)"/>
        <s v="The Man Who Shot Liberty Valance (1962)"/>
        <s v="The Manchurian Candidate (1962)"/>
        <s v="To Kill a Mockingbird (1962)"/>
        <s v="8½ (1963)"/>
        <s v="The Great Escape (1963)"/>
        <s v="A Fistful of Dollars (1964)"/>
        <s v="Dr. Strangelove or: How I Learned to Stop Worrying and Love the Bomb (1964)"/>
        <s v="For a Few Dollars More (1965)"/>
        <s v="Persona (1966)"/>
        <s v="The Good, the Bad and the Ugly (1966)"/>
        <s v="Who's Afraid of Virginia Woolf? (1966)"/>
        <s v="Cool Hand Luke (1967)"/>
        <s v="In the Heat of the Night (1967)"/>
        <s v="The Graduate (1967)"/>
        <s v="2001: A Space Odyssey (1968)"/>
        <s v="Once Upon a Time in the West (1968)"/>
        <s v="Rosemary's Baby (1968)"/>
        <s v="Butch Cassidy and the Sundance Kid (1969)"/>
        <s v="The Wild Bunch (1969)"/>
        <s v="A Clockwork Orange (1971)"/>
        <s v="Sleuth (1972)"/>
        <s v="The Godfather (1972)"/>
        <s v="Papillon (1973)"/>
        <s v="The Exorcist (1973)"/>
        <s v="The Sting (1973)"/>
        <s v="Chinatown (1974)"/>
        <s v="The Godfather: Part II (1974)"/>
        <s v="Barry Lyndon (1975)"/>
        <s v="Dog Day Afternoon (1975)"/>
        <s v="Jaws (1975)"/>
        <s v="Monty Python and the Holy Grail (1975)"/>
        <s v="One Flew Over the Cuckoo's Nest (1975)"/>
        <s v="Network (1976)"/>
        <s v="Rocky (1976)"/>
        <s v="Taxi Driver (1976)"/>
        <s v="Annie Hall (1977)"/>
        <s v="Star Wars (1977)"/>
        <s v="The Deer Hunter (1978)"/>
        <s v="Alien (1979)"/>
        <s v="Apocalypse Now (1979)"/>
        <s v="Life of Brian (1979)"/>
        <s v="Stalker (1979)"/>
        <s v="Raging Bull (1980)"/>
        <s v="Star Wars: Episode V - The Empire Strikes Back (1980)"/>
        <s v="The Elephant Man (1980)"/>
        <s v="The Shining (1980)"/>
        <s v="Das Boot (1981)"/>
        <s v="Raiders of the Lost Ark (1981)"/>
        <s v="Blade Runner (1982)"/>
        <s v="Fanny and Alexander (1982)"/>
        <s v="Gandhi (1982)"/>
        <s v="The Thing (1982)"/>
        <s v="Scarface (1983)"/>
        <s v="Star Wars: Episode VI - Return of the Jedi (1983)"/>
        <s v="Amadeus (1984)"/>
        <s v="Nausicaä of the Valley of the Wind (1984)"/>
        <s v="Once Upon a Time in America (1984)"/>
        <s v="The Terminator (1984)"/>
        <s v="Back to the Future (1985)"/>
        <s v="Ran (1985)"/>
        <s v="Aliens (1986)"/>
        <s v="Platoon (1986)"/>
        <s v="Stand by Me (1986)"/>
        <s v="Full Metal Jacket (1987)"/>
        <s v="The Princess Bride (1987)"/>
        <s v="Cinema Paradiso (1988)"/>
        <s v="Die Hard (1988)"/>
        <s v="Grave of the Fireflies (1988)"/>
        <s v="My Neighbor Totoro (1988)"/>
        <s v="Rain Man (1988)"/>
        <s v="Indiana Jones and the Last Crusade (1989)"/>
        <s v="Goodfellas (1990)"/>
        <s v="Beauty and the Beast (1991)"/>
        <s v="Terminator 2: Judgment Day (1991)"/>
        <s v="The Silence of the Lambs (1991)"/>
        <s v="Reservoir Dogs (1992)"/>
        <s v="Unforgiven (1992)"/>
        <s v="Groundhog Day (1993)"/>
        <s v="In the Name of the Father (1993)"/>
        <s v="Jurassic Park (1993)"/>
        <s v="Schindler's List (1993)"/>
        <s v="Forrest Gump (1994)"/>
        <s v="Léon: The Professional (1994)"/>
        <s v="Pulp Fiction (1994)"/>
        <s v="The Lion King (1994)"/>
        <s v="The Shawshank Redemption (1994)"/>
        <s v="Three Colors: Red (1994)"/>
        <s v="Before Sunrise (1995)"/>
        <s v="Braveheart (1995)"/>
        <s v="Casino (1995)"/>
        <s v="Heat (1995)"/>
        <s v="La Haine (1995)"/>
        <s v="Se7en (1995)"/>
        <s v="The Usual Suspects (1995)"/>
        <s v="Toy Story (1995)"/>
        <s v="Twelve Monkeys (1995)"/>
        <s v="Fargo (1996)"/>
        <s v="Trainspotting (1996)"/>
        <s v="Good Will Hunting (1997)"/>
        <s v="L.A. Confidential (1997)"/>
        <s v="Life Is Beautiful (1997)"/>
        <s v="Princess Mononoke (1997)"/>
        <s v="American History X (1998)"/>
        <s v="Lock, Stock and Two Smoking Barrels (1998)"/>
        <s v="Saving Private Ryan (1998)"/>
        <s v="The Big Lebowski (1998)"/>
        <s v="The Truman Show (1998)"/>
        <s v="American Beauty (1999)"/>
        <s v="Fight Club (1999)"/>
        <s v="The Green Mile (1999)"/>
        <s v="The Matrix (1999)"/>
        <s v="The Sixth Sense (1999)"/>
        <s v="Amores Perros (2000)"/>
        <s v="Gladiator (2000)"/>
        <s v="Memento (2000)"/>
        <s v="Requiem for a Dream (2000)"/>
        <s v="Snatch. (2000)"/>
        <s v="A Beautiful Mind (2001)"/>
        <s v="Amélie (2001)"/>
        <s v="Donnie Darko (2001)"/>
        <s v="Monsters, Inc. (2001)"/>
        <s v="Spirited Away (2001)"/>
        <s v="The Lord of the Rings: The Fellowship of the Ring (2001)"/>
        <s v="City of God (2002)"/>
        <s v="Infernal Affairs (2002)"/>
        <s v="The Lord of the Rings: The Two Towers (2002)"/>
        <s v="The Pianist (2002)"/>
        <s v="Finding Nemo (2003)"/>
        <s v="Kill Bill: Vol. 1 (2003)"/>
        <s v="Memories of Murder (2003)"/>
        <s v="Mystic River (2003)"/>
        <s v="Oldboy (2003)"/>
        <s v="Pirates of the Caribbean: The Curse of the Black Pearl (2003)"/>
        <s v="The Lord of the Rings: The Return of the King (2003)"/>
        <s v="Downfall (2004)"/>
        <s v="Eternal Sunshine of the Spotless Mind (2004)"/>
        <s v="Hotel Rwanda (2004)"/>
        <s v="Howl's Moving Castle (2004)"/>
        <s v="Million Dollar Baby (2004)"/>
        <s v="Batman Begins (2005)"/>
        <s v="Sin City (2005)"/>
        <s v="V for Vendetta (2005)"/>
        <s v="Pan's Labyrinth (2006)"/>
        <s v="The Departed (2006)"/>
        <s v="The Lives of Others (2006)"/>
        <s v="The Prestige (2006)"/>
        <s v="Into the Wild (2007)"/>
        <s v="No Country for Old Men (2007)"/>
        <s v="Ratatouille (2007)"/>
        <s v="The Bourne Ultimatum (2007)"/>
        <s v="The Diving Bell and the Butterfly (2007)"/>
        <s v="There Will Be Blood (2007)"/>
        <s v="Gran Torino (2008)"/>
        <s v="Ip Man (2008)"/>
        <s v="Slumdog Millionaire (2008)"/>
        <s v="The Dark Knight (2008)"/>
        <s v="WALL·E (2008)"/>
        <s v="3 Idiots (2009)"/>
        <s v="District 9 (2009)"/>
        <s v="Inglourious Basterds (2009)"/>
        <s v="Mary and Max (2009)"/>
        <s v="Star Trek (2009)"/>
        <s v="The Secret in Their Eyes (2009)"/>
        <s v="Up (2009)"/>
        <s v="Black Swan (2010)"/>
        <s v="How to Train Your Dragon (2010)"/>
        <s v="Incendies (2010)"/>
        <s v="Inception (2010)"/>
        <s v="Shutter Island (2010)"/>
        <s v="The King's Speech (2010)"/>
        <s v="Toy Story 3 (2010)"/>
        <s v="A Separation (2011)"/>
        <s v="Harry Potter and the Deathly Hallows: Part 2 (2011)"/>
        <s v="The Artist (2011)"/>
        <s v="The Intouchables (2011)"/>
        <s v="Warrior (2011)"/>
        <s v="Django Unchained (2012)"/>
        <s v="Life of Pi (2012)"/>
        <s v="The Avengers (2012)"/>
        <s v="The Dark Knight Rises (2012)"/>
        <s v="The Hobbit: An Unexpected Journey (2012)"/>
        <s v="The Hunt (2012)"/>
        <s v="Gravity (2013)"/>
        <s v="Rush (2013)"/>
      </sharedItems>
    </cacheField>
    <cacheField name="Movie" numFmtId="0">
      <sharedItems/>
    </cacheField>
    <cacheField name="M_Date" numFmtId="0">
      <sharedItems containsMixedTypes="1" containsNumber="1" containsInteger="1" minValue="1921" maxValue="2013" count="160">
        <n v="1921"/>
        <n v="1925"/>
        <n v="1926"/>
        <n v="1927"/>
        <n v="1930"/>
        <n v="1931"/>
        <n v="1934"/>
        <n v="1936"/>
        <n v="1938"/>
        <n v="1939"/>
        <n v="1940"/>
        <n v="1941"/>
        <n v="1942"/>
        <n v="1944"/>
        <n v="1946"/>
        <n v="1948"/>
        <n v="1949"/>
        <n v="1950"/>
        <n v="1951"/>
        <n v="1952"/>
        <n v="1953"/>
        <n v="1954"/>
        <n v="1955"/>
        <n v="1956"/>
        <n v="1957"/>
        <n v="1958"/>
        <n v="1959"/>
        <n v="1960"/>
        <n v="1961"/>
        <n v="1962"/>
        <n v="1963"/>
        <n v="1964"/>
        <n v="1965"/>
        <n v="1966"/>
        <n v="1967"/>
        <n v="1968"/>
        <n v="1969"/>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s v="1994" u="1"/>
        <s v="1963" u="1"/>
        <s v="1973" u="1"/>
        <s v="1942" u="1"/>
        <s v="1983" u="1"/>
        <s v="1952" u="1"/>
        <s v="2008" u="1"/>
        <s v="1921" u="1"/>
        <s v="1993" u="1"/>
        <s v="1962" u="1"/>
        <s v="1931" u="1"/>
        <s v="1972" u="1"/>
        <s v="1941" u="1"/>
        <s v="1982" u="1"/>
        <s v="1951" u="1"/>
        <s v="2007" u="1"/>
        <s v="1992" u="1"/>
        <s v="1961" u="1"/>
        <s v="1930" u="1"/>
        <s v="1971" u="1"/>
        <s v="1940" u="1"/>
        <s v="1981" u="1"/>
        <s v="1950" u="1"/>
        <s v="2006" u="1"/>
        <s v="1991" u="1"/>
        <s v="1960" u="1"/>
        <s v="1939" u="1"/>
        <s v="1949" u="1"/>
        <s v="1980" u="1"/>
        <s v="2005" u="1"/>
        <s v="1959" u="1"/>
        <s v="1990" u="1"/>
        <s v="1969" u="1"/>
        <s v="1938" u="1"/>
        <s v="1979" u="1"/>
        <s v="1948" u="1"/>
        <s v="1989" u="1"/>
        <s v="2004" u="1"/>
        <s v="1958" u="1"/>
        <s v="1927" u="1"/>
        <s v="1999" u="1"/>
        <s v="1968" u="1"/>
        <s v="1978" u="1"/>
        <s v="1988" u="1"/>
        <s v="2003" u="1"/>
        <s v="1957" u="1"/>
        <s v="1926" u="1"/>
        <s v="1998" u="1"/>
        <s v="2013" u="1"/>
        <s v="1967" u="1"/>
        <s v="1936" u="1"/>
        <s v="1977" u="1"/>
        <s v="1946" u="1"/>
        <s v="1987" u="1"/>
        <s v="2002" u="1"/>
        <s v="1956" u="1"/>
        <s v="1925" u="1"/>
        <s v="1997" u="1"/>
        <s v="2012" u="1"/>
        <s v="1966" u="1"/>
        <s v="1976" u="1"/>
        <s v="1986" u="1"/>
        <s v="2001" u="1"/>
        <s v="1955" u="1"/>
        <s v="1996" u="1"/>
        <s v="2011" u="1"/>
        <s v="1965" u="1"/>
        <s v="1934" u="1"/>
        <s v="1975" u="1"/>
        <s v="1944" u="1"/>
        <s v="1985" u="1"/>
        <s v="2000" u="1"/>
        <s v="1954" u="1"/>
        <s v="1995" u="1"/>
        <s v="2010" u="1"/>
        <s v="1964" u="1"/>
        <s v="1974" u="1"/>
        <s v="1984" u="1"/>
        <s v="1953" u="1"/>
        <s v="2009" u="1"/>
      </sharedItems>
    </cacheField>
    <cacheField name="Rank" numFmtId="0">
      <sharedItems containsSemiMixedTypes="0" containsString="0" containsNumber="1" containsInteger="1" minValue="1" maxValue="250"/>
    </cacheField>
    <cacheField name="Rating" numFmtId="0">
      <sharedItems containsSemiMixedTypes="0" containsString="0" containsNumber="1" minValue="7.9" maxValue="9.1999999999999993"/>
    </cacheField>
    <cacheField name="Votes" numFmtId="3">
      <sharedItems containsSemiMixedTypes="0" containsString="0" containsNumber="1" containsInteger="1" minValue="25742" maxValue="1071904"/>
    </cacheField>
    <cacheField name="Help_date" numFmtId="1">
      <sharedItems containsMixedTypes="1" containsNumber="1" containsInteger="1" minValue="1921" maxValue="2013" count="160">
        <n v="1921"/>
        <n v="1925"/>
        <n v="1926"/>
        <n v="1927"/>
        <n v="1930"/>
        <n v="1931"/>
        <n v="1934"/>
        <n v="1936"/>
        <n v="1938"/>
        <n v="1939"/>
        <n v="1940"/>
        <n v="1941"/>
        <n v="1942"/>
        <n v="1944"/>
        <n v="1946"/>
        <n v="1948"/>
        <n v="1949"/>
        <n v="1950"/>
        <n v="1951"/>
        <n v="1952"/>
        <n v="1953"/>
        <n v="1954"/>
        <n v="1955"/>
        <n v="1956"/>
        <n v="1957"/>
        <n v="1958"/>
        <n v="1959"/>
        <n v="1960"/>
        <n v="1961"/>
        <n v="1962"/>
        <n v="1963"/>
        <n v="1964"/>
        <n v="1965"/>
        <n v="1966"/>
        <n v="1967"/>
        <n v="1968"/>
        <n v="1969"/>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s v="1994" u="1"/>
        <s v="1963" u="1"/>
        <s v="1973" u="1"/>
        <s v="1942" u="1"/>
        <s v="1983" u="1"/>
        <s v="1952" u="1"/>
        <s v="2008" u="1"/>
        <s v="1921" u="1"/>
        <s v="1993" u="1"/>
        <s v="1962" u="1"/>
        <s v="1931" u="1"/>
        <s v="1972" u="1"/>
        <s v="1941" u="1"/>
        <s v="1982" u="1"/>
        <s v="1951" u="1"/>
        <s v="2007" u="1"/>
        <s v="1992" u="1"/>
        <s v="1961" u="1"/>
        <s v="1930" u="1"/>
        <s v="1971" u="1"/>
        <s v="1940" u="1"/>
        <s v="1981" u="1"/>
        <s v="1950" u="1"/>
        <s v="2006" u="1"/>
        <s v="1991" u="1"/>
        <s v="1960" u="1"/>
        <s v="1939" u="1"/>
        <s v="1949" u="1"/>
        <s v="1980" u="1"/>
        <s v="2005" u="1"/>
        <s v="1959" u="1"/>
        <s v="1990" u="1"/>
        <s v="1969" u="1"/>
        <s v="1938" u="1"/>
        <s v="1979" u="1"/>
        <s v="1948" u="1"/>
        <s v="1989" u="1"/>
        <s v="2004" u="1"/>
        <s v="1958" u="1"/>
        <s v="1927" u="1"/>
        <s v="1999" u="1"/>
        <s v="1968" u="1"/>
        <s v="1978" u="1"/>
        <s v="1988" u="1"/>
        <s v="2003" u="1"/>
        <s v="1957" u="1"/>
        <s v="1926" u="1"/>
        <s v="1998" u="1"/>
        <s v="2013" u="1"/>
        <s v="1967" u="1"/>
        <s v="1936" u="1"/>
        <s v="1977" u="1"/>
        <s v="1946" u="1"/>
        <s v="1987" u="1"/>
        <s v="2002" u="1"/>
        <s v="1956" u="1"/>
        <s v="1925" u="1"/>
        <s v="1997" u="1"/>
        <s v="2012" u="1"/>
        <s v="1966" u="1"/>
        <s v="1976" u="1"/>
        <s v="1986" u="1"/>
        <s v="2001" u="1"/>
        <s v="1955" u="1"/>
        <s v="1996" u="1"/>
        <s v="2011" u="1"/>
        <s v="1965" u="1"/>
        <s v="1934" u="1"/>
        <s v="1975" u="1"/>
        <s v="1944" u="1"/>
        <s v="1985" u="1"/>
        <s v="2000" u="1"/>
        <s v="1954" u="1"/>
        <s v="1995" u="1"/>
        <s v="2010" u="1"/>
        <s v="1964" u="1"/>
        <s v="1974" u="1"/>
        <s v="1984" u="1"/>
        <s v="1953" u="1"/>
        <s v="2009" u="1"/>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250">
  <r>
    <x v="0"/>
    <s v="The Kid"/>
    <x v="0"/>
    <n v="124"/>
    <n v="8.1999999999999993"/>
    <n v="35316"/>
    <x v="0"/>
  </r>
  <r>
    <x v="1"/>
    <s v="The Gold Rush"/>
    <x v="1"/>
    <n v="135"/>
    <n v="8.1999999999999993"/>
    <n v="41458"/>
    <x v="1"/>
  </r>
  <r>
    <x v="2"/>
    <s v="The General"/>
    <x v="2"/>
    <n v="119"/>
    <n v="8.1999999999999993"/>
    <n v="34819"/>
    <x v="2"/>
  </r>
  <r>
    <x v="3"/>
    <s v="Metropolis"/>
    <x v="3"/>
    <n v="87"/>
    <n v="8.3000000000000007"/>
    <n v="74994"/>
    <x v="3"/>
  </r>
  <r>
    <x v="4"/>
    <s v="All Quiet on the Western Front"/>
    <x v="4"/>
    <n v="222"/>
    <n v="8"/>
    <n v="38373"/>
    <x v="4"/>
  </r>
  <r>
    <x v="5"/>
    <s v="City Lights"/>
    <x v="5"/>
    <n v="38"/>
    <n v="8.5"/>
    <n v="62840"/>
    <x v="5"/>
  </r>
  <r>
    <x v="6"/>
    <s v="M"/>
    <x v="5"/>
    <n v="48"/>
    <n v="8.4"/>
    <n v="68920"/>
    <x v="5"/>
  </r>
  <r>
    <x v="7"/>
    <s v="It Happened One Night"/>
    <x v="6"/>
    <n v="138"/>
    <n v="8.1"/>
    <n v="43205"/>
    <x v="6"/>
  </r>
  <r>
    <x v="8"/>
    <s v="Modern Times"/>
    <x v="7"/>
    <n v="41"/>
    <n v="8.5"/>
    <n v="80077"/>
    <x v="7"/>
  </r>
  <r>
    <x v="9"/>
    <s v="Bringing Up Baby"/>
    <x v="8"/>
    <n v="245"/>
    <n v="7.9"/>
    <n v="35695"/>
    <x v="8"/>
  </r>
  <r>
    <x v="10"/>
    <s v="Gone with the Wind"/>
    <x v="9"/>
    <n v="156"/>
    <n v="8.1"/>
    <n v="148410"/>
    <x v="9"/>
  </r>
  <r>
    <x v="11"/>
    <s v="Mr. Smith Goes to Washington"/>
    <x v="9"/>
    <n v="111"/>
    <n v="8.1999999999999993"/>
    <n v="54505"/>
    <x v="9"/>
  </r>
  <r>
    <x v="12"/>
    <s v="The Wizard of Oz"/>
    <x v="9"/>
    <n v="149"/>
    <n v="8.1"/>
    <n v="192425"/>
    <x v="9"/>
  </r>
  <r>
    <x v="13"/>
    <s v="Rebecca"/>
    <x v="10"/>
    <n v="127"/>
    <n v="8.1999999999999993"/>
    <n v="61069"/>
    <x v="10"/>
  </r>
  <r>
    <x v="14"/>
    <s v="The Grapes of Wrath"/>
    <x v="10"/>
    <n v="148"/>
    <n v="8.1"/>
    <n v="42227"/>
    <x v="10"/>
  </r>
  <r>
    <x v="15"/>
    <s v="The Great Dictator"/>
    <x v="10"/>
    <n v="66"/>
    <n v="8.4"/>
    <n v="78329"/>
    <x v="10"/>
  </r>
  <r>
    <x v="16"/>
    <s v="Citizen Kane"/>
    <x v="11"/>
    <n v="46"/>
    <n v="8.4"/>
    <n v="216576"/>
    <x v="11"/>
  </r>
  <r>
    <x v="17"/>
    <s v="The Maltese Falcon"/>
    <x v="11"/>
    <n v="123"/>
    <n v="8.1999999999999993"/>
    <n v="81135"/>
    <x v="11"/>
  </r>
  <r>
    <x v="18"/>
    <s v="Casablanca"/>
    <x v="12"/>
    <n v="25"/>
    <n v="8.6"/>
    <n v="278743"/>
    <x v="12"/>
  </r>
  <r>
    <x v="19"/>
    <s v="Arsenic and Old Lace"/>
    <x v="13"/>
    <n v="248"/>
    <n v="7.9"/>
    <n v="45893"/>
    <x v="13"/>
  </r>
  <r>
    <x v="20"/>
    <s v="Double Indemnity"/>
    <x v="13"/>
    <n v="56"/>
    <n v="8.4"/>
    <n v="66255"/>
    <x v="13"/>
  </r>
  <r>
    <x v="21"/>
    <s v="It's a Wonderful Life"/>
    <x v="14"/>
    <n v="29"/>
    <n v="8.6"/>
    <n v="180212"/>
    <x v="14"/>
  </r>
  <r>
    <x v="22"/>
    <s v="Notorious"/>
    <x v="14"/>
    <n v="166"/>
    <n v="8.1"/>
    <n v="52582"/>
    <x v="14"/>
  </r>
  <r>
    <x v="23"/>
    <s v="The Best Years of Our Lives"/>
    <x v="14"/>
    <n v="172"/>
    <n v="8.1"/>
    <n v="27843"/>
    <x v="14"/>
  </r>
  <r>
    <x v="24"/>
    <s v="The Big Sleep"/>
    <x v="14"/>
    <n v="179"/>
    <n v="8.1"/>
    <n v="47119"/>
    <x v="14"/>
  </r>
  <r>
    <x v="25"/>
    <s v="Bicycle Thieves"/>
    <x v="15"/>
    <n v="91"/>
    <n v="8.3000000000000007"/>
    <n v="57490"/>
    <x v="15"/>
  </r>
  <r>
    <x v="26"/>
    <s v="Rope"/>
    <x v="15"/>
    <n v="211"/>
    <n v="8"/>
    <n v="66041"/>
    <x v="15"/>
  </r>
  <r>
    <x v="27"/>
    <s v="The Treasure of the Sierra Madre"/>
    <x v="15"/>
    <n v="76"/>
    <n v="8.3000000000000007"/>
    <n v="55469"/>
    <x v="15"/>
  </r>
  <r>
    <x v="28"/>
    <s v="The Third Man"/>
    <x v="16"/>
    <n v="77"/>
    <n v="8.3000000000000007"/>
    <n v="81076"/>
    <x v="16"/>
  </r>
  <r>
    <x v="29"/>
    <s v="All About Eve"/>
    <x v="17"/>
    <n v="92"/>
    <n v="8.3000000000000007"/>
    <n v="57417"/>
    <x v="17"/>
  </r>
  <r>
    <x v="30"/>
    <s v="Rashomon"/>
    <x v="17"/>
    <n v="89"/>
    <n v="8.3000000000000007"/>
    <n v="69011"/>
    <x v="17"/>
  </r>
  <r>
    <x v="31"/>
    <s v="Sunset Blvd."/>
    <x v="17"/>
    <n v="32"/>
    <n v="8.5"/>
    <n v="95571"/>
    <x v="17"/>
  </r>
  <r>
    <x v="32"/>
    <s v="A Streetcar Named Desire"/>
    <x v="18"/>
    <n v="227"/>
    <n v="8"/>
    <n v="60767"/>
    <x v="18"/>
  </r>
  <r>
    <x v="33"/>
    <s v="Strangers on a Train"/>
    <x v="18"/>
    <n v="145"/>
    <n v="8.1"/>
    <n v="64124"/>
    <x v="18"/>
  </r>
  <r>
    <x v="34"/>
    <s v="High Noon"/>
    <x v="19"/>
    <n v="157"/>
    <n v="8.1"/>
    <n v="56791"/>
    <x v="19"/>
  </r>
  <r>
    <x v="35"/>
    <s v="Ikiru"/>
    <x v="19"/>
    <n v="129"/>
    <n v="8.1999999999999993"/>
    <n v="27215"/>
    <x v="19"/>
  </r>
  <r>
    <x v="36"/>
    <s v="Singin' in the Rain"/>
    <x v="19"/>
    <n v="86"/>
    <n v="8.3000000000000007"/>
    <n v="99981"/>
    <x v="19"/>
  </r>
  <r>
    <x v="37"/>
    <s v="Roman Holiday"/>
    <x v="20"/>
    <n v="218"/>
    <n v="8"/>
    <n v="63443"/>
    <x v="20"/>
  </r>
  <r>
    <x v="38"/>
    <s v="Stalag 17"/>
    <x v="20"/>
    <n v="210"/>
    <n v="8"/>
    <n v="33518"/>
    <x v="20"/>
  </r>
  <r>
    <x v="39"/>
    <s v="Dial M for Murder"/>
    <x v="21"/>
    <n v="167"/>
    <n v="8.1"/>
    <n v="65745"/>
    <x v="21"/>
  </r>
  <r>
    <x v="40"/>
    <s v="La Strada"/>
    <x v="21"/>
    <n v="202"/>
    <n v="8"/>
    <n v="32409"/>
    <x v="21"/>
  </r>
  <r>
    <x v="41"/>
    <s v="On the Waterfront"/>
    <x v="21"/>
    <n v="114"/>
    <n v="8.1999999999999993"/>
    <n v="68966"/>
    <x v="21"/>
  </r>
  <r>
    <x v="42"/>
    <s v="Rear Window"/>
    <x v="21"/>
    <n v="28"/>
    <n v="8.6"/>
    <n v="213122"/>
    <x v="21"/>
  </r>
  <r>
    <x v="43"/>
    <s v="Seven Samurai"/>
    <x v="21"/>
    <n v="15"/>
    <n v="8.6999999999999993"/>
    <n v="161969"/>
    <x v="21"/>
  </r>
  <r>
    <x v="44"/>
    <s v="Diabolique"/>
    <x v="22"/>
    <n v="139"/>
    <n v="8.1"/>
    <n v="26777"/>
    <x v="22"/>
  </r>
  <r>
    <x v="45"/>
    <s v="The Night of the Hunter"/>
    <x v="22"/>
    <n v="178"/>
    <n v="8.1"/>
    <n v="44437"/>
    <x v="22"/>
  </r>
  <r>
    <x v="46"/>
    <s v="The Killing"/>
    <x v="23"/>
    <n v="194"/>
    <n v="8"/>
    <n v="44571"/>
    <x v="23"/>
  </r>
  <r>
    <x v="47"/>
    <s v="12 Angry Men"/>
    <x v="24"/>
    <n v="7"/>
    <n v="8.9"/>
    <n v="264112"/>
    <x v="24"/>
  </r>
  <r>
    <x v="48"/>
    <s v="Paths of Glory"/>
    <x v="24"/>
    <n v="52"/>
    <n v="8.4"/>
    <n v="78867"/>
    <x v="24"/>
  </r>
  <r>
    <x v="49"/>
    <s v="The Bridge on the River Kwai"/>
    <x v="24"/>
    <n v="104"/>
    <n v="8.3000000000000007"/>
    <n v="102421"/>
    <x v="24"/>
  </r>
  <r>
    <x v="50"/>
    <s v="The Seventh Seal"/>
    <x v="24"/>
    <n v="120"/>
    <n v="8.1999999999999993"/>
    <n v="74369"/>
    <x v="24"/>
  </r>
  <r>
    <x v="51"/>
    <s v="Wild Strawberries"/>
    <x v="24"/>
    <n v="126"/>
    <n v="8.1999999999999993"/>
    <n v="41744"/>
    <x v="24"/>
  </r>
  <r>
    <x v="52"/>
    <s v="Witness for the Prosecution"/>
    <x v="24"/>
    <n v="97"/>
    <n v="8.3000000000000007"/>
    <n v="36241"/>
    <x v="24"/>
  </r>
  <r>
    <x v="53"/>
    <s v="Touch of Evil"/>
    <x v="25"/>
    <n v="133"/>
    <n v="8.1999999999999993"/>
    <n v="52508"/>
    <x v="25"/>
  </r>
  <r>
    <x v="54"/>
    <s v="Vertigo"/>
    <x v="25"/>
    <n v="53"/>
    <n v="8.4"/>
    <n v="162865"/>
    <x v="25"/>
  </r>
  <r>
    <x v="55"/>
    <s v="Anatomy of a Murder"/>
    <x v="26"/>
    <n v="203"/>
    <n v="8"/>
    <n v="32242"/>
    <x v="26"/>
  </r>
  <r>
    <x v="56"/>
    <s v="Ben-Hur"/>
    <x v="26"/>
    <n v="177"/>
    <n v="8.1"/>
    <n v="106455"/>
    <x v="26"/>
  </r>
  <r>
    <x v="57"/>
    <s v="North by Northwest"/>
    <x v="26"/>
    <n v="44"/>
    <n v="8.5"/>
    <n v="155574"/>
    <x v="26"/>
  </r>
  <r>
    <x v="58"/>
    <s v="Some Like It Hot"/>
    <x v="26"/>
    <n v="90"/>
    <n v="8.3000000000000007"/>
    <n v="120126"/>
    <x v="26"/>
  </r>
  <r>
    <x v="59"/>
    <s v="The 400 Blows"/>
    <x v="26"/>
    <n v="182"/>
    <n v="8.1"/>
    <n v="46028"/>
    <x v="26"/>
  </r>
  <r>
    <x v="60"/>
    <s v="Psycho"/>
    <x v="27"/>
    <n v="30"/>
    <n v="8.6"/>
    <n v="272065"/>
    <x v="27"/>
  </r>
  <r>
    <x v="61"/>
    <s v="The Apartment"/>
    <x v="27"/>
    <n v="98"/>
    <n v="8.3000000000000007"/>
    <n v="70921"/>
    <x v="27"/>
  </r>
  <r>
    <x v="62"/>
    <s v="Judgment at Nuremberg"/>
    <x v="28"/>
    <n v="147"/>
    <n v="8.1"/>
    <n v="25742"/>
    <x v="28"/>
  </r>
  <r>
    <x v="63"/>
    <s v="The Hustler"/>
    <x v="28"/>
    <n v="200"/>
    <n v="8"/>
    <n v="43710"/>
    <x v="28"/>
  </r>
  <r>
    <x v="64"/>
    <s v="Yojimbo"/>
    <x v="28"/>
    <n v="106"/>
    <n v="8.3000000000000007"/>
    <n v="49855"/>
    <x v="28"/>
  </r>
  <r>
    <x v="65"/>
    <s v="Lawrence of Arabia"/>
    <x v="29"/>
    <n v="70"/>
    <n v="8.4"/>
    <n v="130531"/>
    <x v="29"/>
  </r>
  <r>
    <x v="66"/>
    <s v="The Man Who Shot Liberty Valance"/>
    <x v="29"/>
    <n v="201"/>
    <n v="8"/>
    <n v="39917"/>
    <x v="29"/>
  </r>
  <r>
    <x v="67"/>
    <s v="The Manchurian Candidate"/>
    <x v="29"/>
    <n v="205"/>
    <n v="8"/>
    <n v="53501"/>
    <x v="29"/>
  </r>
  <r>
    <x v="68"/>
    <s v="To Kill a Mockingbird"/>
    <x v="29"/>
    <n v="71"/>
    <n v="8.4"/>
    <n v="143215"/>
    <x v="29"/>
  </r>
  <r>
    <x v="69"/>
    <s v="8½"/>
    <x v="30"/>
    <n v="204"/>
    <n v="8"/>
    <n v="54451"/>
    <x v="30"/>
  </r>
  <r>
    <x v="70"/>
    <s v="The Great Escape"/>
    <x v="30"/>
    <n v="115"/>
    <n v="8.1999999999999993"/>
    <n v="110551"/>
    <x v="30"/>
  </r>
  <r>
    <x v="71"/>
    <s v="A Fistful of Dollars"/>
    <x v="31"/>
    <n v="231"/>
    <n v="8"/>
    <n v="82374"/>
    <x v="31"/>
  </r>
  <r>
    <x v="72"/>
    <s v="Dr. Strangelove or: How I Learned to Stop Worrying and Love the Bomb"/>
    <x v="31"/>
    <n v="39"/>
    <n v="8.5"/>
    <n v="249013"/>
    <x v="31"/>
  </r>
  <r>
    <x v="73"/>
    <s v="For a Few Dollars More"/>
    <x v="32"/>
    <n v="110"/>
    <n v="8.1999999999999993"/>
    <n v="94509"/>
    <x v="32"/>
  </r>
  <r>
    <x v="74"/>
    <s v="Persona"/>
    <x v="33"/>
    <n v="193"/>
    <n v="8"/>
    <n v="36479"/>
    <x v="33"/>
  </r>
  <r>
    <x v="75"/>
    <s v="The Good, the Bad and the Ugly"/>
    <x v="33"/>
    <n v="5"/>
    <n v="8.9"/>
    <n v="322961"/>
    <x v="33"/>
  </r>
  <r>
    <x v="76"/>
    <s v="Who's Afraid of Virginia Woolf?"/>
    <x v="33"/>
    <n v="199"/>
    <n v="8"/>
    <n v="38192"/>
    <x v="33"/>
  </r>
  <r>
    <x v="77"/>
    <s v="Cool Hand Luke"/>
    <x v="34"/>
    <n v="137"/>
    <n v="8.1999999999999993"/>
    <n v="84470"/>
    <x v="34"/>
  </r>
  <r>
    <x v="78"/>
    <s v="In the Heat of the Night"/>
    <x v="34"/>
    <n v="247"/>
    <n v="7.9"/>
    <n v="37081"/>
    <x v="34"/>
  </r>
  <r>
    <x v="79"/>
    <s v="The Graduate"/>
    <x v="34"/>
    <n v="195"/>
    <n v="8"/>
    <n v="149389"/>
    <x v="34"/>
  </r>
  <r>
    <x v="80"/>
    <s v="2001: A Space Odyssey"/>
    <x v="35"/>
    <n v="96"/>
    <n v="8.3000000000000007"/>
    <n v="275055"/>
    <x v="35"/>
  </r>
  <r>
    <x v="81"/>
    <s v="Once Upon a Time in the West"/>
    <x v="35"/>
    <n v="24"/>
    <n v="8.6"/>
    <n v="145769"/>
    <x v="35"/>
  </r>
  <r>
    <x v="82"/>
    <s v="Rosemary's Baby"/>
    <x v="35"/>
    <n v="238"/>
    <n v="8"/>
    <n v="103929"/>
    <x v="35"/>
  </r>
  <r>
    <x v="83"/>
    <s v="Butch Cassidy and the Sundance Kid"/>
    <x v="36"/>
    <n v="152"/>
    <n v="8.1"/>
    <n v="102995"/>
    <x v="36"/>
  </r>
  <r>
    <x v="84"/>
    <s v="The Wild Bunch"/>
    <x v="36"/>
    <n v="212"/>
    <n v="8"/>
    <n v="51331"/>
    <x v="36"/>
  </r>
  <r>
    <x v="85"/>
    <s v="A Clockwork Orange"/>
    <x v="37"/>
    <n v="67"/>
    <n v="8.4"/>
    <n v="356779"/>
    <x v="37"/>
  </r>
  <r>
    <x v="86"/>
    <s v="Sleuth"/>
    <x v="38"/>
    <n v="224"/>
    <n v="8"/>
    <n v="30643"/>
    <x v="38"/>
  </r>
  <r>
    <x v="87"/>
    <s v="The Godfather"/>
    <x v="38"/>
    <n v="2"/>
    <n v="9.1999999999999993"/>
    <n v="751381"/>
    <x v="38"/>
  </r>
  <r>
    <x v="88"/>
    <s v="Papillon"/>
    <x v="39"/>
    <n v="250"/>
    <n v="7.9"/>
    <n v="62517"/>
    <x v="39"/>
  </r>
  <r>
    <x v="89"/>
    <s v="The Exorcist"/>
    <x v="39"/>
    <n v="207"/>
    <n v="8"/>
    <n v="213984"/>
    <x v="39"/>
  </r>
  <r>
    <x v="90"/>
    <s v="The Sting"/>
    <x v="39"/>
    <n v="99"/>
    <n v="8.3000000000000007"/>
    <n v="117819"/>
    <x v="39"/>
  </r>
  <r>
    <x v="91"/>
    <s v="Chinatown"/>
    <x v="40"/>
    <n v="88"/>
    <n v="8.3000000000000007"/>
    <n v="147914"/>
    <x v="40"/>
  </r>
  <r>
    <x v="92"/>
    <s v="The Godfather: Part II"/>
    <x v="40"/>
    <n v="3"/>
    <n v="9"/>
    <n v="488889"/>
    <x v="40"/>
  </r>
  <r>
    <x v="93"/>
    <s v="Barry Lyndon"/>
    <x v="41"/>
    <n v="213"/>
    <n v="8"/>
    <n v="69583"/>
    <x v="41"/>
  </r>
  <r>
    <x v="94"/>
    <s v="Dog Day Afternoon"/>
    <x v="41"/>
    <n v="186"/>
    <n v="8"/>
    <n v="126624"/>
    <x v="41"/>
  </r>
  <r>
    <x v="95"/>
    <s v="Jaws"/>
    <x v="41"/>
    <n v="143"/>
    <n v="8.1"/>
    <n v="267827"/>
    <x v="41"/>
  </r>
  <r>
    <x v="96"/>
    <s v="Monty Python and the Holy Grail"/>
    <x v="41"/>
    <n v="93"/>
    <n v="8.3000000000000007"/>
    <n v="265075"/>
    <x v="41"/>
  </r>
  <r>
    <x v="97"/>
    <s v="One Flew Over the Cuckoo's Nest"/>
    <x v="41"/>
    <n v="13"/>
    <n v="8.6999999999999993"/>
    <n v="447005"/>
    <x v="41"/>
  </r>
  <r>
    <x v="98"/>
    <s v="Network"/>
    <x v="42"/>
    <n v="173"/>
    <n v="8.1"/>
    <n v="69929"/>
    <x v="42"/>
  </r>
  <r>
    <x v="99"/>
    <s v="Rocky"/>
    <x v="42"/>
    <n v="206"/>
    <n v="8"/>
    <n v="220323"/>
    <x v="42"/>
  </r>
  <r>
    <x v="100"/>
    <s v="Taxi Driver"/>
    <x v="42"/>
    <n v="57"/>
    <n v="8.4"/>
    <n v="321465"/>
    <x v="42"/>
  </r>
  <r>
    <x v="101"/>
    <s v="Annie Hall"/>
    <x v="43"/>
    <n v="158"/>
    <n v="8.1"/>
    <n v="127072"/>
    <x v="43"/>
  </r>
  <r>
    <x v="102"/>
    <s v="Star Wars"/>
    <x v="43"/>
    <n v="17"/>
    <n v="8.6999999999999993"/>
    <n v="585132"/>
    <x v="43"/>
  </r>
  <r>
    <x v="103"/>
    <s v="The Deer Hunter"/>
    <x v="44"/>
    <n v="136"/>
    <n v="8.1999999999999993"/>
    <n v="161747"/>
    <x v="44"/>
  </r>
  <r>
    <x v="104"/>
    <s v="Alien"/>
    <x v="45"/>
    <n v="40"/>
    <n v="8.5"/>
    <n v="360007"/>
    <x v="45"/>
  </r>
  <r>
    <x v="105"/>
    <s v="Apocalypse Now"/>
    <x v="45"/>
    <n v="34"/>
    <n v="8.5"/>
    <n v="309699"/>
    <x v="45"/>
  </r>
  <r>
    <x v="106"/>
    <s v="Life of Brian"/>
    <x v="45"/>
    <n v="170"/>
    <n v="8.1"/>
    <n v="183277"/>
    <x v="45"/>
  </r>
  <r>
    <x v="107"/>
    <s v="Stalker"/>
    <x v="45"/>
    <n v="225"/>
    <n v="8"/>
    <n v="43524"/>
    <x v="45"/>
  </r>
  <r>
    <x v="108"/>
    <s v="Raging Bull"/>
    <x v="46"/>
    <n v="103"/>
    <n v="8.3000000000000007"/>
    <n v="160636"/>
    <x v="46"/>
  </r>
  <r>
    <x v="109"/>
    <s v="Star Wars: Episode V - The Empire Strikes Back"/>
    <x v="46"/>
    <n v="11"/>
    <n v="8.8000000000000007"/>
    <n v="519895"/>
    <x v="46"/>
  </r>
  <r>
    <x v="110"/>
    <s v="The Elephant Man"/>
    <x v="46"/>
    <n v="122"/>
    <n v="8.1999999999999993"/>
    <n v="111071"/>
    <x v="46"/>
  </r>
  <r>
    <x v="111"/>
    <s v="The Shining"/>
    <x v="46"/>
    <n v="50"/>
    <n v="8.4"/>
    <n v="380225"/>
    <x v="46"/>
  </r>
  <r>
    <x v="112"/>
    <s v="Das Boot"/>
    <x v="47"/>
    <n v="73"/>
    <n v="8.4"/>
    <n v="118641"/>
    <x v="47"/>
  </r>
  <r>
    <x v="113"/>
    <s v="Raiders of the Lost Ark"/>
    <x v="47"/>
    <n v="27"/>
    <n v="8.6"/>
    <n v="439557"/>
    <x v="47"/>
  </r>
  <r>
    <x v="114"/>
    <s v="Blade Runner"/>
    <x v="48"/>
    <n v="125"/>
    <n v="8.1999999999999993"/>
    <n v="326683"/>
    <x v="48"/>
  </r>
  <r>
    <x v="115"/>
    <s v="Fanny and Alexander"/>
    <x v="48"/>
    <n v="215"/>
    <n v="8"/>
    <n v="27430"/>
    <x v="48"/>
  </r>
  <r>
    <x v="116"/>
    <s v="Gandhi"/>
    <x v="48"/>
    <n v="190"/>
    <n v="8"/>
    <n v="110584"/>
    <x v="48"/>
  </r>
  <r>
    <x v="117"/>
    <s v="The Thing"/>
    <x v="48"/>
    <n v="154"/>
    <n v="8.1"/>
    <n v="175041"/>
    <x v="48"/>
  </r>
  <r>
    <x v="118"/>
    <s v="Scarface"/>
    <x v="49"/>
    <n v="128"/>
    <n v="8.1999999999999993"/>
    <n v="344351"/>
    <x v="49"/>
  </r>
  <r>
    <x v="119"/>
    <s v="Star Wars: Episode VI - Return of the Jedi"/>
    <x v="49"/>
    <n v="80"/>
    <n v="8.3000000000000007"/>
    <n v="410111"/>
    <x v="49"/>
  </r>
  <r>
    <x v="120"/>
    <s v="Amadeus"/>
    <x v="50"/>
    <n v="95"/>
    <n v="8.3000000000000007"/>
    <n v="183169"/>
    <x v="50"/>
  </r>
  <r>
    <x v="121"/>
    <s v="Nausicaä of the Valley of the Wind"/>
    <x v="50"/>
    <n v="242"/>
    <n v="8"/>
    <n v="53307"/>
    <x v="50"/>
  </r>
  <r>
    <x v="122"/>
    <s v="Once Upon a Time in America"/>
    <x v="50"/>
    <n v="78"/>
    <n v="8.3000000000000007"/>
    <n v="146293"/>
    <x v="50"/>
  </r>
  <r>
    <x v="123"/>
    <s v="The Terminator"/>
    <x v="50"/>
    <n v="174"/>
    <n v="8.1"/>
    <n v="378300"/>
    <x v="50"/>
  </r>
  <r>
    <x v="124"/>
    <s v="Back to the Future"/>
    <x v="51"/>
    <n v="45"/>
    <n v="8.5"/>
    <n v="433401"/>
    <x v="51"/>
  </r>
  <r>
    <x v="125"/>
    <s v="Ran"/>
    <x v="51"/>
    <n v="130"/>
    <n v="8.1999999999999993"/>
    <n v="55197"/>
    <x v="51"/>
  </r>
  <r>
    <x v="126"/>
    <s v="Aliens"/>
    <x v="52"/>
    <n v="59"/>
    <n v="8.4"/>
    <n v="325439"/>
    <x v="52"/>
  </r>
  <r>
    <x v="127"/>
    <s v="Platoon"/>
    <x v="52"/>
    <n v="150"/>
    <n v="8.1"/>
    <n v="202044"/>
    <x v="52"/>
  </r>
  <r>
    <x v="128"/>
    <s v="Stand by Me"/>
    <x v="52"/>
    <n v="181"/>
    <n v="8.1"/>
    <n v="182230"/>
    <x v="52"/>
  </r>
  <r>
    <x v="129"/>
    <s v="Full Metal Jacket"/>
    <x v="53"/>
    <n v="82"/>
    <n v="8.3000000000000007"/>
    <n v="305714"/>
    <x v="53"/>
  </r>
  <r>
    <x v="130"/>
    <s v="The Princess Bride"/>
    <x v="53"/>
    <n v="198"/>
    <n v="8"/>
    <n v="207589"/>
    <x v="53"/>
  </r>
  <r>
    <x v="131"/>
    <s v="Cinema Paradiso"/>
    <x v="54"/>
    <n v="74"/>
    <n v="8.3000000000000007"/>
    <n v="93024"/>
    <x v="54"/>
  </r>
  <r>
    <x v="132"/>
    <s v="Die Hard"/>
    <x v="54"/>
    <n v="105"/>
    <n v="8.3000000000000007"/>
    <n v="395178"/>
    <x v="54"/>
  </r>
  <r>
    <x v="133"/>
    <s v="Grave of the Fireflies"/>
    <x v="54"/>
    <n v="101"/>
    <n v="8.3000000000000007"/>
    <n v="75713"/>
    <x v="54"/>
  </r>
  <r>
    <x v="134"/>
    <s v="My Neighbor Totoro"/>
    <x v="54"/>
    <n v="164"/>
    <n v="8.1"/>
    <n v="88095"/>
    <x v="54"/>
  </r>
  <r>
    <x v="135"/>
    <s v="Rain Man"/>
    <x v="54"/>
    <n v="236"/>
    <n v="8"/>
    <n v="276674"/>
    <x v="54"/>
  </r>
  <r>
    <x v="136"/>
    <s v="Indiana Jones and the Last Crusade"/>
    <x v="55"/>
    <n v="102"/>
    <n v="8.3000000000000007"/>
    <n v="336055"/>
    <x v="55"/>
  </r>
  <r>
    <x v="137"/>
    <s v="Goodfellas"/>
    <x v="56"/>
    <n v="14"/>
    <n v="8.6999999999999993"/>
    <n v="465445"/>
    <x v="56"/>
  </r>
  <r>
    <x v="138"/>
    <s v="Beauty and the Beast"/>
    <x v="57"/>
    <n v="243"/>
    <n v="7.9"/>
    <n v="189229"/>
    <x v="57"/>
  </r>
  <r>
    <x v="139"/>
    <s v="Terminator 2: Judgment Day"/>
    <x v="57"/>
    <n v="35"/>
    <n v="8.5"/>
    <n v="479572"/>
    <x v="57"/>
  </r>
  <r>
    <x v="140"/>
    <s v="The Silence of the Lambs"/>
    <x v="57"/>
    <n v="22"/>
    <n v="8.6"/>
    <n v="527492"/>
    <x v="57"/>
  </r>
  <r>
    <x v="141"/>
    <s v="Reservoir Dogs"/>
    <x v="58"/>
    <n v="72"/>
    <n v="8.4"/>
    <n v="416840"/>
    <x v="58"/>
  </r>
  <r>
    <x v="142"/>
    <s v="Unforgiven"/>
    <x v="58"/>
    <n v="100"/>
    <n v="8.3000000000000007"/>
    <n v="190549"/>
    <x v="58"/>
  </r>
  <r>
    <x v="143"/>
    <s v="Groundhog Day"/>
    <x v="59"/>
    <n v="184"/>
    <n v="8.1"/>
    <n v="282250"/>
    <x v="59"/>
  </r>
  <r>
    <x v="144"/>
    <s v="In the Name of the Father"/>
    <x v="59"/>
    <n v="209"/>
    <n v="8"/>
    <n v="65291"/>
    <x v="59"/>
  </r>
  <r>
    <x v="145"/>
    <s v="Jurassic Park"/>
    <x v="59"/>
    <n v="226"/>
    <n v="8"/>
    <n v="344256"/>
    <x v="59"/>
  </r>
  <r>
    <x v="146"/>
    <s v="Schindler's List"/>
    <x v="59"/>
    <n v="8"/>
    <n v="8.9"/>
    <n v="545703"/>
    <x v="59"/>
  </r>
  <r>
    <x v="147"/>
    <s v="Forrest Gump"/>
    <x v="60"/>
    <n v="18"/>
    <n v="8.6999999999999993"/>
    <n v="711386"/>
    <x v="60"/>
  </r>
  <r>
    <x v="148"/>
    <s v="Léon: The Professional"/>
    <x v="60"/>
    <n v="31"/>
    <n v="8.6"/>
    <n v="454516"/>
    <x v="60"/>
  </r>
  <r>
    <x v="149"/>
    <s v="Pulp Fiction"/>
    <x v="60"/>
    <n v="4"/>
    <n v="8.9"/>
    <n v="830504"/>
    <x v="60"/>
  </r>
  <r>
    <x v="150"/>
    <s v="The Lion King"/>
    <x v="60"/>
    <n v="75"/>
    <n v="8.3000000000000007"/>
    <n v="361740"/>
    <x v="60"/>
  </r>
  <r>
    <x v="151"/>
    <s v="The Shawshank Redemption"/>
    <x v="60"/>
    <n v="1"/>
    <n v="9.1999999999999993"/>
    <n v="1071904"/>
    <x v="60"/>
  </r>
  <r>
    <x v="152"/>
    <s v="Three Colors: Red"/>
    <x v="60"/>
    <n v="244"/>
    <n v="7.9"/>
    <n v="43438"/>
    <x v="60"/>
  </r>
  <r>
    <x v="153"/>
    <s v="Before Sunrise"/>
    <x v="61"/>
    <n v="249"/>
    <n v="7.9"/>
    <n v="100974"/>
    <x v="61"/>
  </r>
  <r>
    <x v="154"/>
    <s v="Braveheart"/>
    <x v="61"/>
    <n v="83"/>
    <n v="8.3000000000000007"/>
    <n v="480170"/>
    <x v="61"/>
  </r>
  <r>
    <x v="155"/>
    <s v="Casino"/>
    <x v="61"/>
    <n v="146"/>
    <n v="8.1"/>
    <n v="216669"/>
    <x v="61"/>
  </r>
  <r>
    <x v="156"/>
    <s v="Heat"/>
    <x v="61"/>
    <n v="121"/>
    <n v="8.1999999999999993"/>
    <n v="297114"/>
    <x v="61"/>
  </r>
  <r>
    <x v="157"/>
    <s v="La Haine"/>
    <x v="61"/>
    <n v="239"/>
    <n v="8"/>
    <n v="63865"/>
    <x v="61"/>
  </r>
  <r>
    <x v="158"/>
    <s v="Se7en"/>
    <x v="61"/>
    <n v="23"/>
    <n v="8.6"/>
    <n v="625620"/>
    <x v="61"/>
  </r>
  <r>
    <x v="159"/>
    <s v="The Usual Suspects"/>
    <x v="61"/>
    <n v="26"/>
    <n v="8.6"/>
    <n v="481594"/>
    <x v="61"/>
  </r>
  <r>
    <x v="160"/>
    <s v="Toy Story"/>
    <x v="61"/>
    <n v="113"/>
    <n v="8.1999999999999993"/>
    <n v="369869"/>
    <x v="61"/>
  </r>
  <r>
    <x v="161"/>
    <s v="Twelve Monkeys"/>
    <x v="61"/>
    <n v="183"/>
    <n v="8.1"/>
    <n v="316945"/>
    <x v="61"/>
  </r>
  <r>
    <x v="162"/>
    <s v="Fargo"/>
    <x v="62"/>
    <n v="131"/>
    <n v="8.1999999999999993"/>
    <n v="285542"/>
    <x v="62"/>
  </r>
  <r>
    <x v="163"/>
    <s v="Trainspotting"/>
    <x v="62"/>
    <n v="155"/>
    <n v="8.1"/>
    <n v="312510"/>
    <x v="62"/>
  </r>
  <r>
    <x v="164"/>
    <s v="Good Will Hunting"/>
    <x v="63"/>
    <n v="144"/>
    <n v="8.1"/>
    <n v="366430"/>
    <x v="63"/>
  </r>
  <r>
    <x v="165"/>
    <s v="L.A. Confidential"/>
    <x v="63"/>
    <n v="84"/>
    <n v="8.3000000000000007"/>
    <n v="296956"/>
    <x v="63"/>
  </r>
  <r>
    <x v="166"/>
    <s v="Life Is Beautiful"/>
    <x v="63"/>
    <n v="49"/>
    <n v="8.4"/>
    <n v="237603"/>
    <x v="63"/>
  </r>
  <r>
    <x v="167"/>
    <s v="Princess Mononoke"/>
    <x v="63"/>
    <n v="94"/>
    <n v="8.3000000000000007"/>
    <n v="135618"/>
    <x v="63"/>
  </r>
  <r>
    <x v="168"/>
    <s v="American History X"/>
    <x v="64"/>
    <n v="33"/>
    <n v="8.5"/>
    <n v="495932"/>
    <x v="64"/>
  </r>
  <r>
    <x v="169"/>
    <s v="Lock, Stock and Two Smoking Barrels"/>
    <x v="64"/>
    <n v="142"/>
    <n v="8.1"/>
    <n v="277636"/>
    <x v="64"/>
  </r>
  <r>
    <x v="170"/>
    <s v="Saving Private Ryan"/>
    <x v="64"/>
    <n v="37"/>
    <n v="8.5"/>
    <n v="546922"/>
    <x v="64"/>
  </r>
  <r>
    <x v="171"/>
    <s v="The Big Lebowski"/>
    <x v="64"/>
    <n v="134"/>
    <n v="8.1999999999999993"/>
    <n v="348568"/>
    <x v="64"/>
  </r>
  <r>
    <x v="172"/>
    <s v="The Truman Show"/>
    <x v="64"/>
    <n v="217"/>
    <n v="8"/>
    <n v="407875"/>
    <x v="64"/>
  </r>
  <r>
    <x v="173"/>
    <s v="American Beauty"/>
    <x v="65"/>
    <n v="54"/>
    <n v="8.4"/>
    <n v="555796"/>
    <x v="65"/>
  </r>
  <r>
    <x v="174"/>
    <s v="Fight Club"/>
    <x v="65"/>
    <n v="10"/>
    <n v="8.8000000000000007"/>
    <n v="814389"/>
    <x v="65"/>
  </r>
  <r>
    <x v="175"/>
    <s v="The Green Mile"/>
    <x v="65"/>
    <n v="60"/>
    <n v="8.4"/>
    <n v="447680"/>
    <x v="65"/>
  </r>
  <r>
    <x v="176"/>
    <s v="The Matrix"/>
    <x v="65"/>
    <n v="19"/>
    <n v="8.6999999999999993"/>
    <n v="770559"/>
    <x v="65"/>
  </r>
  <r>
    <x v="177"/>
    <s v="The Sixth Sense"/>
    <x v="65"/>
    <n v="141"/>
    <n v="8.1"/>
    <n v="475862"/>
    <x v="65"/>
  </r>
  <r>
    <x v="178"/>
    <s v="Amores Perros"/>
    <x v="66"/>
    <n v="187"/>
    <n v="8"/>
    <n v="120868"/>
    <x v="66"/>
  </r>
  <r>
    <x v="179"/>
    <s v="Gladiator"/>
    <x v="66"/>
    <n v="62"/>
    <n v="8.4"/>
    <n v="598332"/>
    <x v="66"/>
  </r>
  <r>
    <x v="180"/>
    <s v="Memento"/>
    <x v="66"/>
    <n v="36"/>
    <n v="8.5"/>
    <n v="557394"/>
    <x v="66"/>
  </r>
  <r>
    <x v="181"/>
    <s v="Requiem for a Dream"/>
    <x v="66"/>
    <n v="79"/>
    <n v="8.3000000000000007"/>
    <n v="378814"/>
    <x v="66"/>
  </r>
  <r>
    <x v="182"/>
    <s v="Snatch."/>
    <x v="66"/>
    <n v="112"/>
    <n v="8.1999999999999993"/>
    <n v="392241"/>
    <x v="66"/>
  </r>
  <r>
    <x v="183"/>
    <s v="A Beautiful Mind"/>
    <x v="67"/>
    <n v="192"/>
    <n v="8"/>
    <n v="344294"/>
    <x v="67"/>
  </r>
  <r>
    <x v="184"/>
    <s v="Amélie"/>
    <x v="67"/>
    <n v="69"/>
    <n v="8.4"/>
    <n v="351134"/>
    <x v="67"/>
  </r>
  <r>
    <x v="185"/>
    <s v="Donnie Darko"/>
    <x v="67"/>
    <n v="185"/>
    <n v="8"/>
    <n v="398128"/>
    <x v="67"/>
  </r>
  <r>
    <x v="186"/>
    <s v="Monsters, Inc."/>
    <x v="67"/>
    <n v="214"/>
    <n v="8"/>
    <n v="328336"/>
    <x v="67"/>
  </r>
  <r>
    <x v="187"/>
    <s v="Spirited Away"/>
    <x v="67"/>
    <n v="42"/>
    <n v="8.5"/>
    <n v="244430"/>
    <x v="67"/>
  </r>
  <r>
    <x v="188"/>
    <s v="The Lord of the Rings: The Fellowship of the Ring"/>
    <x v="67"/>
    <n v="12"/>
    <n v="8.8000000000000007"/>
    <n v="784999"/>
    <x v="67"/>
  </r>
  <r>
    <x v="189"/>
    <s v="City of God"/>
    <x v="68"/>
    <n v="21"/>
    <n v="8.6"/>
    <n v="349902"/>
    <x v="68"/>
  </r>
  <r>
    <x v="190"/>
    <s v="Infernal Affairs"/>
    <x v="68"/>
    <n v="216"/>
    <n v="8"/>
    <n v="63858"/>
    <x v="68"/>
  </r>
  <r>
    <x v="191"/>
    <s v="The Lord of the Rings: The Two Towers"/>
    <x v="68"/>
    <n v="20"/>
    <n v="8.6999999999999993"/>
    <n v="680983"/>
    <x v="68"/>
  </r>
  <r>
    <x v="192"/>
    <s v="The Pianist"/>
    <x v="68"/>
    <n v="47"/>
    <n v="8.4"/>
    <n v="297265"/>
    <x v="68"/>
  </r>
  <r>
    <x v="193"/>
    <s v="Finding Nemo"/>
    <x v="69"/>
    <n v="163"/>
    <n v="8.1"/>
    <n v="406678"/>
    <x v="69"/>
  </r>
  <r>
    <x v="194"/>
    <s v="Kill Bill: Vol. 1"/>
    <x v="69"/>
    <n v="153"/>
    <n v="8.1"/>
    <n v="470244"/>
    <x v="69"/>
  </r>
  <r>
    <x v="195"/>
    <s v="Memories of Murder"/>
    <x v="69"/>
    <n v="221"/>
    <n v="8"/>
    <n v="33873"/>
    <x v="69"/>
  </r>
  <r>
    <x v="196"/>
    <s v="Mystic River"/>
    <x v="69"/>
    <n v="246"/>
    <n v="7.9"/>
    <n v="256159"/>
    <x v="69"/>
  </r>
  <r>
    <x v="197"/>
    <s v="Oldboy"/>
    <x v="69"/>
    <n v="85"/>
    <n v="8.3000000000000007"/>
    <n v="217584"/>
    <x v="69"/>
  </r>
  <r>
    <x v="198"/>
    <s v="Pirates of the Caribbean: The Curse of the Black Pearl"/>
    <x v="69"/>
    <n v="220"/>
    <n v="8"/>
    <n v="519625"/>
    <x v="69"/>
  </r>
  <r>
    <x v="199"/>
    <s v="The Lord of the Rings: The Return of the King"/>
    <x v="69"/>
    <n v="9"/>
    <n v="8.8000000000000007"/>
    <n v="758388"/>
    <x v="69"/>
  </r>
  <r>
    <x v="200"/>
    <s v="Downfall"/>
    <x v="70"/>
    <n v="116"/>
    <n v="8.1999999999999993"/>
    <n v="168689"/>
    <x v="70"/>
  </r>
  <r>
    <x v="201"/>
    <s v="Eternal Sunshine of the Spotless Mind"/>
    <x v="70"/>
    <n v="81"/>
    <n v="8.3000000000000007"/>
    <n v="437665"/>
    <x v="70"/>
  </r>
  <r>
    <x v="202"/>
    <s v="Hotel Rwanda"/>
    <x v="70"/>
    <n v="159"/>
    <n v="8.1"/>
    <n v="180270"/>
    <x v="70"/>
  </r>
  <r>
    <x v="203"/>
    <s v="Howl's Moving Castle"/>
    <x v="70"/>
    <n v="188"/>
    <n v="8"/>
    <n v="121059"/>
    <x v="70"/>
  </r>
  <r>
    <x v="204"/>
    <s v="Million Dollar Baby"/>
    <x v="70"/>
    <n v="175"/>
    <n v="8.1"/>
    <n v="303571"/>
    <x v="70"/>
  </r>
  <r>
    <x v="205"/>
    <s v="Batman Begins"/>
    <x v="71"/>
    <n v="107"/>
    <n v="8.3000000000000007"/>
    <n v="604923"/>
    <x v="71"/>
  </r>
  <r>
    <x v="206"/>
    <s v="Sin City"/>
    <x v="71"/>
    <n v="151"/>
    <n v="8.1"/>
    <n v="459794"/>
    <x v="71"/>
  </r>
  <r>
    <x v="207"/>
    <s v="V for Vendetta"/>
    <x v="71"/>
    <n v="165"/>
    <n v="8.1"/>
    <n v="507750"/>
    <x v="71"/>
  </r>
  <r>
    <x v="208"/>
    <s v="Pan's Labyrinth"/>
    <x v="72"/>
    <n v="117"/>
    <n v="8.1999999999999993"/>
    <n v="313115"/>
    <x v="72"/>
  </r>
  <r>
    <x v="209"/>
    <s v="The Departed"/>
    <x v="72"/>
    <n v="51"/>
    <n v="8.4"/>
    <n v="540726"/>
    <x v="72"/>
  </r>
  <r>
    <x v="210"/>
    <s v="The Lives of Others"/>
    <x v="72"/>
    <n v="64"/>
    <n v="8.4"/>
    <n v="168022"/>
    <x v="72"/>
  </r>
  <r>
    <x v="211"/>
    <s v="The Prestige"/>
    <x v="72"/>
    <n v="68"/>
    <n v="8.4"/>
    <n v="497983"/>
    <x v="72"/>
  </r>
  <r>
    <x v="212"/>
    <s v="Into the Wild"/>
    <x v="73"/>
    <n v="171"/>
    <n v="8.1"/>
    <n v="263344"/>
    <x v="73"/>
  </r>
  <r>
    <x v="213"/>
    <s v="No Country for Old Men"/>
    <x v="73"/>
    <n v="140"/>
    <n v="8.1"/>
    <n v="397628"/>
    <x v="73"/>
  </r>
  <r>
    <x v="214"/>
    <s v="Ratatouille"/>
    <x v="73"/>
    <n v="229"/>
    <n v="8"/>
    <n v="316890"/>
    <x v="73"/>
  </r>
  <r>
    <x v="215"/>
    <s v="The Bourne Ultimatum"/>
    <x v="73"/>
    <n v="191"/>
    <n v="8"/>
    <n v="322172"/>
    <x v="73"/>
  </r>
  <r>
    <x v="216"/>
    <s v="The Diving Bell and the Butterfly"/>
    <x v="73"/>
    <n v="232"/>
    <n v="8"/>
    <n v="69702"/>
    <x v="73"/>
  </r>
  <r>
    <x v="217"/>
    <s v="There Will Be Blood"/>
    <x v="73"/>
    <n v="176"/>
    <n v="8.1"/>
    <n v="252241"/>
    <x v="73"/>
  </r>
  <r>
    <x v="218"/>
    <s v="Gran Torino"/>
    <x v="74"/>
    <n v="132"/>
    <n v="8.1999999999999993"/>
    <n v="367352"/>
    <x v="74"/>
  </r>
  <r>
    <x v="219"/>
    <s v="Ip Man"/>
    <x v="74"/>
    <n v="230"/>
    <n v="8"/>
    <n v="86593"/>
    <x v="74"/>
  </r>
  <r>
    <x v="220"/>
    <s v="Slumdog Millionaire"/>
    <x v="74"/>
    <n v="208"/>
    <n v="8"/>
    <n v="425904"/>
    <x v="74"/>
  </r>
  <r>
    <x v="221"/>
    <s v="The Dark Knight"/>
    <x v="74"/>
    <n v="6"/>
    <n v="8.9"/>
    <n v="1045186"/>
    <x v="74"/>
  </r>
  <r>
    <x v="222"/>
    <s v="WALL·E"/>
    <x v="74"/>
    <n v="63"/>
    <n v="8.4"/>
    <n v="430863"/>
    <x v="74"/>
  </r>
  <r>
    <x v="223"/>
    <s v="3 Idiots"/>
    <x v="75"/>
    <n v="240"/>
    <n v="8"/>
    <n v="83178"/>
    <x v="75"/>
  </r>
  <r>
    <x v="224"/>
    <s v="District 9"/>
    <x v="75"/>
    <n v="234"/>
    <n v="8"/>
    <n v="388592"/>
    <x v="75"/>
  </r>
  <r>
    <x v="225"/>
    <s v="Inglourious Basterds"/>
    <x v="75"/>
    <n v="109"/>
    <n v="8.1999999999999993"/>
    <n v="505702"/>
    <x v="75"/>
  </r>
  <r>
    <x v="226"/>
    <s v="Mary and Max"/>
    <x v="75"/>
    <n v="189"/>
    <n v="8"/>
    <n v="67759"/>
    <x v="75"/>
  </r>
  <r>
    <x v="227"/>
    <s v="Star Trek"/>
    <x v="75"/>
    <n v="228"/>
    <n v="8"/>
    <n v="362442"/>
    <x v="75"/>
  </r>
  <r>
    <x v="228"/>
    <s v="The Secret in Their Eyes"/>
    <x v="75"/>
    <n v="162"/>
    <n v="8.1"/>
    <n v="73505"/>
    <x v="75"/>
  </r>
  <r>
    <x v="229"/>
    <s v="Up"/>
    <x v="75"/>
    <n v="118"/>
    <n v="8.1999999999999993"/>
    <n v="377485"/>
    <x v="75"/>
  </r>
  <r>
    <x v="230"/>
    <s v="Black Swan"/>
    <x v="76"/>
    <n v="197"/>
    <n v="8"/>
    <n v="373745"/>
    <x v="76"/>
  </r>
  <r>
    <x v="231"/>
    <s v="How to Train Your Dragon"/>
    <x v="76"/>
    <n v="169"/>
    <n v="8.1"/>
    <n v="249971"/>
    <x v="76"/>
  </r>
  <r>
    <x v="232"/>
    <s v="Incendies"/>
    <x v="76"/>
    <n v="237"/>
    <n v="8"/>
    <n v="36751"/>
    <x v="76"/>
  </r>
  <r>
    <x v="233"/>
    <s v="Inception"/>
    <x v="76"/>
    <n v="16"/>
    <n v="8.6999999999999993"/>
    <n v="844938"/>
    <x v="76"/>
  </r>
  <r>
    <x v="234"/>
    <s v="Shutter Island"/>
    <x v="76"/>
    <n v="235"/>
    <n v="8"/>
    <n v="436151"/>
    <x v="76"/>
  </r>
  <r>
    <x v="235"/>
    <s v="The King's Speech"/>
    <x v="76"/>
    <n v="180"/>
    <n v="8.1"/>
    <n v="288159"/>
    <x v="76"/>
  </r>
  <r>
    <x v="236"/>
    <s v="Toy Story 3"/>
    <x v="76"/>
    <n v="65"/>
    <n v="8.4"/>
    <n v="320991"/>
    <x v="76"/>
  </r>
  <r>
    <x v="237"/>
    <s v="A Separation"/>
    <x v="77"/>
    <n v="108"/>
    <n v="8.3000000000000007"/>
    <n v="93088"/>
    <x v="77"/>
  </r>
  <r>
    <x v="238"/>
    <s v="Harry Potter and the Deathly Hallows: Part 2"/>
    <x v="77"/>
    <n v="223"/>
    <n v="8"/>
    <n v="303847"/>
    <x v="77"/>
  </r>
  <r>
    <x v="239"/>
    <s v="The Artist"/>
    <x v="77"/>
    <n v="241"/>
    <n v="8"/>
    <n v="132672"/>
    <x v="77"/>
  </r>
  <r>
    <x v="240"/>
    <s v="The Intouchables"/>
    <x v="77"/>
    <n v="61"/>
    <n v="8.4"/>
    <n v="223271"/>
    <x v="77"/>
  </r>
  <r>
    <x v="241"/>
    <s v="Warrior"/>
    <x v="77"/>
    <n v="161"/>
    <n v="8.1"/>
    <n v="190877"/>
    <x v="77"/>
  </r>
  <r>
    <x v="242"/>
    <s v="Django Unchained"/>
    <x v="78"/>
    <n v="55"/>
    <n v="8.4"/>
    <n v="450505"/>
    <x v="78"/>
  </r>
  <r>
    <x v="243"/>
    <s v="Life of Pi"/>
    <x v="78"/>
    <n v="219"/>
    <n v="8"/>
    <n v="246325"/>
    <x v="78"/>
  </r>
  <r>
    <x v="244"/>
    <s v="The Avengers"/>
    <x v="78"/>
    <n v="168"/>
    <n v="8.1"/>
    <n v="568037"/>
    <x v="78"/>
  </r>
  <r>
    <x v="245"/>
    <s v="The Dark Knight Rises"/>
    <x v="78"/>
    <n v="58"/>
    <n v="8.4"/>
    <n v="672751"/>
    <x v="78"/>
  </r>
  <r>
    <x v="246"/>
    <s v="The Hobbit: An Unexpected Journey"/>
    <x v="78"/>
    <n v="233"/>
    <n v="8"/>
    <n v="352517"/>
    <x v="78"/>
  </r>
  <r>
    <x v="247"/>
    <s v="The Hunt"/>
    <x v="78"/>
    <n v="160"/>
    <n v="8.1"/>
    <n v="39033"/>
    <x v="78"/>
  </r>
  <r>
    <x v="248"/>
    <s v="Gravity"/>
    <x v="79"/>
    <n v="43"/>
    <n v="8.5"/>
    <n v="33721"/>
    <x v="79"/>
  </r>
  <r>
    <x v="249"/>
    <s v="Rush"/>
    <x v="79"/>
    <n v="196"/>
    <n v="8"/>
    <n v="28676"/>
    <x v="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showDrill="0" useAutoFormatting="1" itemPrintTitles="1" createdVersion="4" indent="0" outline="1" outlineData="1" multipleFieldFilters="0">
  <location ref="A3:F35" firstHeaderRow="0" firstDataRow="1" firstDataCol="1" rowPageCount="1" colPageCount="1"/>
  <pivotFields count="7">
    <pivotField axis="axisRow" showAll="0">
      <items count="251">
        <item x="47"/>
        <item x="80"/>
        <item x="223"/>
        <item x="69"/>
        <item x="183"/>
        <item x="85"/>
        <item x="71"/>
        <item x="237"/>
        <item x="32"/>
        <item x="104"/>
        <item x="126"/>
        <item x="29"/>
        <item x="4"/>
        <item x="120"/>
        <item x="184"/>
        <item x="173"/>
        <item x="168"/>
        <item x="178"/>
        <item x="55"/>
        <item x="101"/>
        <item x="105"/>
        <item x="19"/>
        <item x="124"/>
        <item x="93"/>
        <item x="205"/>
        <item x="138"/>
        <item x="153"/>
        <item x="56"/>
        <item x="25"/>
        <item x="230"/>
        <item x="114"/>
        <item x="154"/>
        <item x="9"/>
        <item x="83"/>
        <item x="18"/>
        <item x="155"/>
        <item x="91"/>
        <item x="131"/>
        <item x="16"/>
        <item x="5"/>
        <item x="189"/>
        <item x="77"/>
        <item x="112"/>
        <item x="44"/>
        <item x="39"/>
        <item x="132"/>
        <item x="224"/>
        <item x="242"/>
        <item x="94"/>
        <item x="185"/>
        <item x="20"/>
        <item x="200"/>
        <item x="72"/>
        <item x="201"/>
        <item x="115"/>
        <item x="162"/>
        <item x="174"/>
        <item x="193"/>
        <item x="73"/>
        <item x="147"/>
        <item x="129"/>
        <item x="116"/>
        <item x="179"/>
        <item x="10"/>
        <item x="164"/>
        <item x="137"/>
        <item x="218"/>
        <item x="133"/>
        <item x="248"/>
        <item x="143"/>
        <item x="238"/>
        <item x="156"/>
        <item x="34"/>
        <item x="202"/>
        <item x="231"/>
        <item x="203"/>
        <item x="35"/>
        <item x="78"/>
        <item x="144"/>
        <item x="232"/>
        <item x="233"/>
        <item x="136"/>
        <item x="190"/>
        <item x="225"/>
        <item x="212"/>
        <item x="219"/>
        <item x="7"/>
        <item x="21"/>
        <item x="95"/>
        <item x="62"/>
        <item x="145"/>
        <item x="194"/>
        <item x="165"/>
        <item x="157"/>
        <item x="40"/>
        <item x="65"/>
        <item x="148"/>
        <item x="166"/>
        <item x="106"/>
        <item x="243"/>
        <item x="169"/>
        <item x="6"/>
        <item x="226"/>
        <item x="180"/>
        <item x="195"/>
        <item x="3"/>
        <item x="204"/>
        <item x="8"/>
        <item x="186"/>
        <item x="96"/>
        <item x="11"/>
        <item x="134"/>
        <item x="196"/>
        <item x="121"/>
        <item x="98"/>
        <item x="213"/>
        <item x="57"/>
        <item x="22"/>
        <item x="197"/>
        <item x="41"/>
        <item x="122"/>
        <item x="81"/>
        <item x="97"/>
        <item x="208"/>
        <item x="88"/>
        <item x="48"/>
        <item x="74"/>
        <item x="198"/>
        <item x="127"/>
        <item x="167"/>
        <item x="60"/>
        <item x="149"/>
        <item x="108"/>
        <item x="113"/>
        <item x="135"/>
        <item x="125"/>
        <item x="30"/>
        <item x="214"/>
        <item x="42"/>
        <item x="13"/>
        <item x="181"/>
        <item x="141"/>
        <item x="99"/>
        <item x="37"/>
        <item x="26"/>
        <item x="82"/>
        <item x="249"/>
        <item x="170"/>
        <item x="118"/>
        <item x="146"/>
        <item x="158"/>
        <item x="43"/>
        <item x="234"/>
        <item x="206"/>
        <item x="36"/>
        <item x="86"/>
        <item x="220"/>
        <item x="182"/>
        <item x="58"/>
        <item x="187"/>
        <item x="38"/>
        <item x="107"/>
        <item x="128"/>
        <item x="227"/>
        <item x="102"/>
        <item x="109"/>
        <item x="119"/>
        <item x="33"/>
        <item x="31"/>
        <item x="100"/>
        <item x="139"/>
        <item x="59"/>
        <item x="61"/>
        <item x="239"/>
        <item x="244"/>
        <item x="23"/>
        <item x="171"/>
        <item x="24"/>
        <item x="215"/>
        <item x="49"/>
        <item x="221"/>
        <item x="245"/>
        <item x="103"/>
        <item x="209"/>
        <item x="216"/>
        <item x="110"/>
        <item x="89"/>
        <item x="2"/>
        <item x="87"/>
        <item x="92"/>
        <item x="1"/>
        <item x="75"/>
        <item x="79"/>
        <item x="14"/>
        <item x="15"/>
        <item x="70"/>
        <item x="175"/>
        <item x="246"/>
        <item x="247"/>
        <item x="63"/>
        <item x="240"/>
        <item x="0"/>
        <item x="46"/>
        <item x="235"/>
        <item x="150"/>
        <item x="210"/>
        <item x="188"/>
        <item x="199"/>
        <item x="191"/>
        <item x="17"/>
        <item x="66"/>
        <item x="67"/>
        <item x="176"/>
        <item x="45"/>
        <item x="192"/>
        <item x="211"/>
        <item x="130"/>
        <item x="228"/>
        <item x="50"/>
        <item x="151"/>
        <item x="111"/>
        <item x="140"/>
        <item x="177"/>
        <item x="90"/>
        <item x="123"/>
        <item x="117"/>
        <item x="28"/>
        <item x="27"/>
        <item x="172"/>
        <item x="159"/>
        <item x="84"/>
        <item x="12"/>
        <item x="217"/>
        <item x="152"/>
        <item x="68"/>
        <item x="53"/>
        <item x="160"/>
        <item x="236"/>
        <item x="163"/>
        <item x="161"/>
        <item x="142"/>
        <item x="229"/>
        <item x="207"/>
        <item x="54"/>
        <item x="222"/>
        <item x="241"/>
        <item x="76"/>
        <item x="51"/>
        <item x="52"/>
        <item x="64"/>
        <item t="default"/>
      </items>
    </pivotField>
    <pivotField dataField="1" showAll="0"/>
    <pivotField axis="axisPage" multipleItemSelectionAllowed="1" showAll="0">
      <items count="161">
        <item h="1" m="1" x="87"/>
        <item h="1" m="1" x="136"/>
        <item h="1" m="1" x="126"/>
        <item h="1" m="1" x="119"/>
        <item h="1" m="1" x="98"/>
        <item h="1" m="1" x="90"/>
        <item h="1" m="1" x="147"/>
        <item h="1" m="1" x="130"/>
        <item h="1" m="1" x="113"/>
        <item h="1" m="1" x="106"/>
        <item h="1" m="1" x="100"/>
        <item h="1" m="1" x="92"/>
        <item h="1" m="1" x="83"/>
        <item h="1" m="1" x="149"/>
        <item h="1" m="1" x="132"/>
        <item h="1" m="1" x="115"/>
        <item h="1" m="1" x="107"/>
        <item h="1" m="1" x="102"/>
        <item h="1" m="1" x="94"/>
        <item h="1" m="1" x="85"/>
        <item h="1" m="1" x="158"/>
        <item h="1" m="1" x="152"/>
        <item h="1" m="1" x="143"/>
        <item h="1" m="1" x="135"/>
        <item h="1" m="1" x="125"/>
        <item h="1" m="1" x="118"/>
        <item h="1" m="1" x="110"/>
        <item h="1" m="1" x="105"/>
        <item h="1" m="1" x="97"/>
        <item h="1" m="1" x="89"/>
        <item h="1" m="1" x="81"/>
        <item h="1" m="1" x="155"/>
        <item h="1" m="1" x="146"/>
        <item h="1" m="1" x="139"/>
        <item h="1" m="1" x="129"/>
        <item h="1" m="1" x="121"/>
        <item h="1" m="1" x="112"/>
        <item h="1" m="1" x="99"/>
        <item h="1" m="1" x="91"/>
        <item h="1" m="1" x="82"/>
        <item h="1" m="1" x="156"/>
        <item h="1" m="1" x="148"/>
        <item h="1" m="1" x="140"/>
        <item h="1" m="1" x="131"/>
        <item h="1" m="1" x="122"/>
        <item h="1" m="1" x="114"/>
        <item h="1" m="1" x="108"/>
        <item h="1" m="1" x="101"/>
        <item h="1" m="1" x="93"/>
        <item h="1" m="1" x="84"/>
        <item h="1" m="1" x="157"/>
        <item h="1" m="1" x="150"/>
        <item h="1" m="1" x="141"/>
        <item h="1" m="1" x="133"/>
        <item h="1" m="1" x="123"/>
        <item h="1" m="1" x="116"/>
        <item h="1" m="1" x="111"/>
        <item h="1" m="1" x="104"/>
        <item h="1" m="1" x="96"/>
        <item h="1" m="1" x="88"/>
        <item h="1" m="1" x="80"/>
        <item h="1" m="1" x="153"/>
        <item h="1" m="1" x="144"/>
        <item h="1" m="1" x="137"/>
        <item h="1" m="1" x="127"/>
        <item h="1" m="1" x="120"/>
        <item h="1" m="1" x="151"/>
        <item h="1" m="1" x="142"/>
        <item h="1" m="1" x="134"/>
        <item h="1" m="1" x="124"/>
        <item h="1" m="1" x="117"/>
        <item h="1" m="1" x="109"/>
        <item h="1" m="1" x="103"/>
        <item h="1" m="1" x="95"/>
        <item h="1" m="1" x="86"/>
        <item h="1" m="1" x="159"/>
        <item h="1" m="1" x="154"/>
        <item h="1" m="1" x="145"/>
        <item h="1" m="1" x="138"/>
        <item h="1" m="1" x="128"/>
        <item h="1" x="0"/>
        <item h="1" x="1"/>
        <item h="1" x="2"/>
        <item h="1" x="3"/>
        <item h="1" x="4"/>
        <item h="1" x="5"/>
        <item h="1" x="6"/>
        <item h="1" x="7"/>
        <item h="1" x="8"/>
        <item h="1" x="9"/>
        <item h="1" x="10"/>
        <item h="1" x="11"/>
        <item h="1" x="12"/>
        <item h="1" x="13"/>
        <item h="1" x="14"/>
        <item h="1" x="15"/>
        <item h="1" x="16"/>
        <item x="17"/>
        <item x="18"/>
        <item x="19"/>
        <item x="20"/>
        <item x="21"/>
        <item x="22"/>
        <item x="23"/>
        <item x="24"/>
        <item x="25"/>
        <item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t="default"/>
      </items>
    </pivotField>
    <pivotField dataField="1" showAll="0"/>
    <pivotField dataField="1" showAll="0"/>
    <pivotField numFmtId="3" showAll="0"/>
    <pivotField dataField="1" showAll="0" defaultSubtotal="0">
      <items count="160">
        <item m="1" x="87"/>
        <item m="1" x="136"/>
        <item m="1" x="126"/>
        <item m="1" x="119"/>
        <item m="1" x="98"/>
        <item m="1" x="90"/>
        <item m="1" x="147"/>
        <item m="1" x="130"/>
        <item m="1" x="113"/>
        <item m="1" x="106"/>
        <item m="1" x="100"/>
        <item m="1" x="92"/>
        <item m="1" x="83"/>
        <item m="1" x="149"/>
        <item m="1" x="132"/>
        <item m="1" x="115"/>
        <item m="1" x="107"/>
        <item m="1" x="102"/>
        <item m="1" x="94"/>
        <item m="1" x="85"/>
        <item m="1" x="158"/>
        <item m="1" x="152"/>
        <item m="1" x="143"/>
        <item m="1" x="135"/>
        <item m="1" x="125"/>
        <item m="1" x="118"/>
        <item m="1" x="110"/>
        <item m="1" x="105"/>
        <item m="1" x="97"/>
        <item m="1" x="89"/>
        <item m="1" x="81"/>
        <item m="1" x="155"/>
        <item m="1" x="146"/>
        <item m="1" x="139"/>
        <item m="1" x="129"/>
        <item m="1" x="121"/>
        <item m="1" x="112"/>
        <item m="1" x="99"/>
        <item m="1" x="91"/>
        <item m="1" x="82"/>
        <item m="1" x="156"/>
        <item m="1" x="148"/>
        <item m="1" x="140"/>
        <item m="1" x="131"/>
        <item m="1" x="122"/>
        <item m="1" x="114"/>
        <item m="1" x="108"/>
        <item m="1" x="101"/>
        <item m="1" x="93"/>
        <item m="1" x="84"/>
        <item m="1" x="157"/>
        <item m="1" x="150"/>
        <item m="1" x="141"/>
        <item m="1" x="133"/>
        <item m="1" x="123"/>
        <item m="1" x="116"/>
        <item m="1" x="111"/>
        <item m="1" x="104"/>
        <item m="1" x="96"/>
        <item m="1" x="88"/>
        <item m="1" x="80"/>
        <item m="1" x="153"/>
        <item m="1" x="144"/>
        <item m="1" x="137"/>
        <item m="1" x="127"/>
        <item m="1" x="120"/>
        <item m="1" x="151"/>
        <item m="1" x="142"/>
        <item m="1" x="134"/>
        <item m="1" x="124"/>
        <item m="1" x="117"/>
        <item m="1" x="109"/>
        <item m="1" x="103"/>
        <item m="1" x="95"/>
        <item m="1" x="86"/>
        <item m="1" x="159"/>
        <item m="1" x="154"/>
        <item m="1" x="145"/>
        <item m="1" x="138"/>
        <item m="1" x="1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s>
    </pivotField>
  </pivotFields>
  <rowFields count="1">
    <field x="0"/>
  </rowFields>
  <rowItems count="32">
    <i>
      <x/>
    </i>
    <i>
      <x v="8"/>
    </i>
    <i>
      <x v="11"/>
    </i>
    <i>
      <x v="18"/>
    </i>
    <i>
      <x v="27"/>
    </i>
    <i>
      <x v="43"/>
    </i>
    <i>
      <x v="44"/>
    </i>
    <i>
      <x v="72"/>
    </i>
    <i>
      <x v="76"/>
    </i>
    <i>
      <x v="94"/>
    </i>
    <i>
      <x v="116"/>
    </i>
    <i>
      <x v="119"/>
    </i>
    <i>
      <x v="125"/>
    </i>
    <i>
      <x v="136"/>
    </i>
    <i>
      <x v="138"/>
    </i>
    <i>
      <x v="143"/>
    </i>
    <i>
      <x v="151"/>
    </i>
    <i>
      <x v="154"/>
    </i>
    <i>
      <x v="158"/>
    </i>
    <i>
      <x v="160"/>
    </i>
    <i>
      <x v="167"/>
    </i>
    <i>
      <x v="168"/>
    </i>
    <i>
      <x v="171"/>
    </i>
    <i>
      <x v="179"/>
    </i>
    <i>
      <x v="202"/>
    </i>
    <i>
      <x v="213"/>
    </i>
    <i>
      <x v="218"/>
    </i>
    <i>
      <x v="235"/>
    </i>
    <i>
      <x v="243"/>
    </i>
    <i>
      <x v="247"/>
    </i>
    <i>
      <x v="248"/>
    </i>
    <i t="grand">
      <x/>
    </i>
  </rowItems>
  <colFields count="1">
    <field x="-2"/>
  </colFields>
  <colItems count="5">
    <i>
      <x/>
    </i>
    <i i="1">
      <x v="1"/>
    </i>
    <i i="2">
      <x v="2"/>
    </i>
    <i i="3">
      <x v="3"/>
    </i>
    <i i="4">
      <x v="4"/>
    </i>
  </colItems>
  <pageFields count="1">
    <pageField fld="2" hier="-1"/>
  </pageFields>
  <dataFields count="5">
    <dataField name="Min of Rank" fld="3" subtotal="min" baseField="0" baseItem="0"/>
    <dataField name="Count of Movie" fld="1" subtotal="count" baseField="0" baseItem="0"/>
    <dataField name="Average of Rating" fld="4" subtotal="average" baseField="0" baseItem="12"/>
    <dataField name="Min of Help_date" fld="6" subtotal="min" baseField="0" baseItem="12" numFmtId="1"/>
    <dataField name="Max of Help_date" fld="6" subtotal="max" baseField="0" baseItem="12"/>
  </dataFields>
  <formats count="3">
    <format dxfId="3">
      <pivotArea dataOnly="0" labelOnly="1" outline="0" fieldPosition="0">
        <references count="1">
          <reference field="4294967294" count="1">
            <x v="3"/>
          </reference>
        </references>
      </pivotArea>
    </format>
    <format dxfId="2">
      <pivotArea outline="0" fieldPosition="0">
        <references count="1">
          <reference field="4294967294" count="1">
            <x v="3"/>
          </reference>
        </references>
      </pivotArea>
    </format>
    <format dxfId="1">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_Date" sourceName="M_Date">
  <pivotTables>
    <pivotTable tabId="2" name="PivotTable1"/>
  </pivotTables>
  <data>
    <tabular pivotCacheId="2">
      <items count="160">
        <i x="0"/>
        <i x="1"/>
        <i x="2"/>
        <i x="3"/>
        <i x="4"/>
        <i x="5"/>
        <i x="6"/>
        <i x="7"/>
        <i x="8"/>
        <i x="9"/>
        <i x="10"/>
        <i x="11"/>
        <i x="12"/>
        <i x="13"/>
        <i x="14"/>
        <i x="15"/>
        <i x="16"/>
        <i x="17" s="1"/>
        <i x="18" s="1"/>
        <i x="19" s="1"/>
        <i x="20" s="1"/>
        <i x="21" s="1"/>
        <i x="22" s="1"/>
        <i x="23" s="1"/>
        <i x="24" s="1"/>
        <i x="25" s="1"/>
        <i x="26" s="1"/>
        <i x="27"/>
        <i x="28"/>
        <i x="29"/>
        <i x="30"/>
        <i x="31"/>
        <i x="32"/>
        <i x="33"/>
        <i x="34"/>
        <i x="35"/>
        <i x="36"/>
        <i x="37"/>
        <i x="38"/>
        <i x="39"/>
        <i x="40"/>
        <i x="41"/>
        <i x="42"/>
        <i x="43"/>
        <i x="44"/>
        <i x="45"/>
        <i x="46"/>
        <i x="47"/>
        <i x="48"/>
        <i x="49"/>
        <i x="50"/>
        <i x="51"/>
        <i x="52"/>
        <i x="53"/>
        <i x="54"/>
        <i x="55"/>
        <i x="56"/>
        <i x="57"/>
        <i x="58"/>
        <i x="59"/>
        <i x="60"/>
        <i x="61"/>
        <i x="62"/>
        <i x="63"/>
        <i x="64"/>
        <i x="65"/>
        <i x="66"/>
        <i x="67"/>
        <i x="68"/>
        <i x="69"/>
        <i x="70"/>
        <i x="71"/>
        <i x="72"/>
        <i x="73"/>
        <i x="74"/>
        <i x="75"/>
        <i x="76"/>
        <i x="77"/>
        <i x="78"/>
        <i x="79"/>
        <i x="87" nd="1"/>
        <i x="136" nd="1"/>
        <i x="126" nd="1"/>
        <i x="119" nd="1"/>
        <i x="98" nd="1"/>
        <i x="90" nd="1"/>
        <i x="147" nd="1"/>
        <i x="130" nd="1"/>
        <i x="113" nd="1"/>
        <i x="106" nd="1"/>
        <i x="100" nd="1"/>
        <i x="92" nd="1"/>
        <i x="83" nd="1"/>
        <i x="149" nd="1"/>
        <i x="132" nd="1"/>
        <i x="115" nd="1"/>
        <i x="107" nd="1"/>
        <i x="102" nd="1"/>
        <i x="94" nd="1"/>
        <i x="85" nd="1"/>
        <i x="158" nd="1"/>
        <i x="152" nd="1"/>
        <i x="143" nd="1"/>
        <i x="135" nd="1"/>
        <i x="125" nd="1"/>
        <i x="118" nd="1"/>
        <i x="110" nd="1"/>
        <i x="105" nd="1"/>
        <i x="97" nd="1"/>
        <i x="89" nd="1"/>
        <i x="81" nd="1"/>
        <i x="155" nd="1"/>
        <i x="146" nd="1"/>
        <i x="139" nd="1"/>
        <i x="129" nd="1"/>
        <i x="121" nd="1"/>
        <i x="112" nd="1"/>
        <i x="99" nd="1"/>
        <i x="91" nd="1"/>
        <i x="82" nd="1"/>
        <i x="156" nd="1"/>
        <i x="148" nd="1"/>
        <i x="140" nd="1"/>
        <i x="131" nd="1"/>
        <i x="122" nd="1"/>
        <i x="114" nd="1"/>
        <i x="108" nd="1"/>
        <i x="101" nd="1"/>
        <i x="93" nd="1"/>
        <i x="84" nd="1"/>
        <i x="157" nd="1"/>
        <i x="150" nd="1"/>
        <i x="141" nd="1"/>
        <i x="133" nd="1"/>
        <i x="123" nd="1"/>
        <i x="116" nd="1"/>
        <i x="111" nd="1"/>
        <i x="104" nd="1"/>
        <i x="96" nd="1"/>
        <i x="88" nd="1"/>
        <i x="80" nd="1"/>
        <i x="153" nd="1"/>
        <i x="144" nd="1"/>
        <i x="137" nd="1"/>
        <i x="127" nd="1"/>
        <i x="120" nd="1"/>
        <i x="151" nd="1"/>
        <i x="142" nd="1"/>
        <i x="134" nd="1"/>
        <i x="124" nd="1"/>
        <i x="117" nd="1"/>
        <i x="109" nd="1"/>
        <i x="103" nd="1"/>
        <i x="95" nd="1"/>
        <i x="86" nd="1"/>
        <i x="159" nd="1"/>
        <i x="154" nd="1"/>
        <i x="145" nd="1"/>
        <i x="138" nd="1"/>
        <i x="128"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_Date" cache="Slicer_M_Date" caption="M_Date" style="SlicerStyleDark6"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M_Date 1" cache="Slicer_M_Date" caption="M_Date" rowHeight="241300"/>
</slicers>
</file>

<file path=xl/theme/_rels/themeOverride1.xml.rels><?xml version="1.0" encoding="UTF-8" standalone="yes"?>
<Relationships xmlns="http://schemas.openxmlformats.org/package/2006/relationships"><Relationship Id="rId1" Type="http://schemas.openxmlformats.org/officeDocument/2006/relationships/image" Target="../media/image5.jpeg"/></Relationships>
</file>

<file path=xl/theme/_rels/themeOverride2.xml.rels><?xml version="1.0" encoding="UTF-8" standalone="yes"?>
<Relationships xmlns="http://schemas.openxmlformats.org/package/2006/relationships"><Relationship Id="rId1" Type="http://schemas.openxmlformats.org/officeDocument/2006/relationships/image" Target="../media/image5.jpe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Aspect">
    <a:dk1>
      <a:sysClr val="windowText" lastClr="000000"/>
    </a:dk1>
    <a:lt1>
      <a:sysClr val="window" lastClr="FFFFFF"/>
    </a:lt1>
    <a:dk2>
      <a:srgbClr val="323232"/>
    </a:dk2>
    <a:lt2>
      <a:srgbClr val="E3DED1"/>
    </a:lt2>
    <a:accent1>
      <a:srgbClr val="F07F09"/>
    </a:accent1>
    <a:accent2>
      <a:srgbClr val="9F2936"/>
    </a:accent2>
    <a:accent3>
      <a:srgbClr val="1B587C"/>
    </a:accent3>
    <a:accent4>
      <a:srgbClr val="4E8542"/>
    </a:accent4>
    <a:accent5>
      <a:srgbClr val="604878"/>
    </a:accent5>
    <a:accent6>
      <a:srgbClr val="C19859"/>
    </a:accent6>
    <a:hlink>
      <a:srgbClr val="6B9F25"/>
    </a:hlink>
    <a:folHlink>
      <a:srgbClr val="B26B02"/>
    </a:folHlink>
  </a:clrScheme>
  <a:fontScheme name="Aspect">
    <a:majorFont>
      <a:latin typeface="Verdana"/>
      <a:ea typeface=""/>
      <a:cs typeface=""/>
      <a:font script="Jpan" typeface="ＭＳ ゴシック"/>
      <a:font script="Hang" typeface="굴림"/>
      <a:font script="Hans" typeface="微软雅黑"/>
      <a:font script="Hant" typeface="微軟正黑體"/>
      <a:font script="Arab" typeface="Tahoma"/>
      <a:font script="Hebr" typeface="Tahoma"/>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ajorFont>
    <a:minorFont>
      <a:latin typeface="Verdana"/>
      <a:ea typeface=""/>
      <a:cs typeface=""/>
      <a:font script="Jpan" typeface="ＭＳ ゴシック"/>
      <a:font script="Hang" typeface="굴림"/>
      <a:font script="Hans" typeface="微软雅黑"/>
      <a:font script="Hant" typeface="微軟正黑體"/>
      <a:font script="Arab" typeface="Tahoma"/>
      <a:font script="Hebr" typeface="Tahoma"/>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spect">
    <a:fillStyleLst>
      <a:solidFill>
        <a:schemeClr val="phClr"/>
      </a:solidFill>
      <a:gradFill rotWithShape="1">
        <a:gsLst>
          <a:gs pos="0">
            <a:schemeClr val="phClr">
              <a:tint val="65000"/>
              <a:satMod val="270000"/>
            </a:schemeClr>
          </a:gs>
          <a:gs pos="25000">
            <a:schemeClr val="phClr">
              <a:tint val="60000"/>
              <a:satMod val="300000"/>
            </a:schemeClr>
          </a:gs>
          <a:gs pos="100000">
            <a:schemeClr val="phClr">
              <a:tint val="29000"/>
              <a:satMod val="400000"/>
            </a:schemeClr>
          </a:gs>
        </a:gsLst>
        <a:lin ang="16200000" scaled="1"/>
      </a:gradFill>
      <a:gradFill rotWithShape="1">
        <a:gsLst>
          <a:gs pos="0">
            <a:schemeClr val="phClr">
              <a:shade val="45000"/>
              <a:satMod val="155000"/>
            </a:schemeClr>
          </a:gs>
          <a:gs pos="60000">
            <a:schemeClr val="phClr">
              <a:shade val="95000"/>
              <a:satMod val="150000"/>
            </a:schemeClr>
          </a:gs>
          <a:gs pos="100000">
            <a:schemeClr val="phClr">
              <a:tint val="87000"/>
              <a:satMod val="250000"/>
            </a:schemeClr>
          </a:gs>
        </a:gsLst>
        <a:lin ang="16200000" scaled="0"/>
      </a:gradFill>
    </a:fillStyleLst>
    <a:lnStyleLst>
      <a:ln w="9525" cap="flat" cmpd="sng" algn="ctr">
        <a:solidFill>
          <a:schemeClr val="phClr">
            <a:satMod val="150000"/>
          </a:schemeClr>
        </a:solidFill>
        <a:prstDash val="solid"/>
      </a:ln>
      <a:ln w="42500" cap="flat" cmpd="sng" algn="ctr">
        <a:solidFill>
          <a:schemeClr val="phClr"/>
        </a:solidFill>
        <a:prstDash val="solid"/>
      </a:ln>
      <a:ln w="38100" cap="flat" cmpd="sng" algn="ctr">
        <a:solidFill>
          <a:schemeClr val="phClr"/>
        </a:solidFill>
        <a:prstDash val="solid"/>
      </a:ln>
    </a:lnStyleLst>
    <a:effectStyleLst>
      <a:effectStyle>
        <a:effectLst>
          <a:outerShdw blurRad="65500" dist="38100" dir="5400000" rotWithShape="0">
            <a:srgbClr val="000000">
              <a:alpha val="40000"/>
            </a:srgbClr>
          </a:outerShdw>
        </a:effectLst>
      </a:effectStyle>
      <a:effectStyle>
        <a:effectLst>
          <a:outerShdw blurRad="65500" dist="38100" dir="5400000" rotWithShape="0">
            <a:srgbClr val="000000">
              <a:alpha val="40000"/>
            </a:srgbClr>
          </a:outerShdw>
        </a:effectLst>
      </a:effectStyle>
      <a:effectStyle>
        <a:effectLst>
          <a:outerShdw blurRad="65500" dist="38100" dir="5400000" rotWithShape="0">
            <a:srgbClr val="000000">
              <a:alpha val="40000"/>
            </a:srgbClr>
          </a:outerShdw>
        </a:effectLst>
        <a:scene3d>
          <a:camera prst="orthographicFront" fov="0">
            <a:rot lat="0" lon="0" rev="0"/>
          </a:camera>
          <a:lightRig rig="contrasting" dir="t">
            <a:rot lat="0" lon="0" rev="12000000"/>
          </a:lightRig>
        </a:scene3d>
        <a:sp3d prstMaterial="powder">
          <a:bevelT h="50800"/>
        </a:sp3d>
      </a:effectStyle>
    </a:effectStyleLst>
    <a:bgFillStyleLst>
      <a:solidFill>
        <a:schemeClr val="phClr"/>
      </a:solidFill>
      <a:gradFill rotWithShape="1">
        <a:gsLst>
          <a:gs pos="0">
            <a:schemeClr val="phClr">
              <a:shade val="35000"/>
              <a:satMod val="150000"/>
            </a:schemeClr>
          </a:gs>
          <a:gs pos="45000">
            <a:schemeClr val="phClr">
              <a:shade val="68000"/>
              <a:satMod val="155000"/>
            </a:schemeClr>
          </a:gs>
          <a:gs pos="100000">
            <a:schemeClr val="phClr">
              <a:tint val="70000"/>
              <a:satMod val="175000"/>
            </a:schemeClr>
          </a:gs>
        </a:gsLst>
        <a:lin ang="16200000" scaled="0"/>
      </a:gradFill>
      <a:blipFill>
        <a:blip xmlns:r="http://schemas.openxmlformats.org/officeDocument/2006/relationships" r:embed="rId1">
          <a:duotone>
            <a:schemeClr val="phClr">
              <a:shade val="800"/>
              <a:satMod val="150000"/>
            </a:schemeClr>
            <a:schemeClr val="phClr">
              <a:tint val="80000"/>
              <a:satMod val="150000"/>
            </a:schemeClr>
          </a:duotone>
        </a:blip>
        <a:tile tx="0" ty="0" sx="75000" sy="75000" flip="none" algn="tl"/>
      </a:blipFill>
    </a:bgFillStyleLst>
  </a:fmtScheme>
</a:themeOverride>
</file>

<file path=xl/theme/themeOverride2.xml><?xml version="1.0" encoding="utf-8"?>
<a:themeOverride xmlns:a="http://schemas.openxmlformats.org/drawingml/2006/main">
  <a:clrScheme name="Aspect">
    <a:dk1>
      <a:sysClr val="windowText" lastClr="000000"/>
    </a:dk1>
    <a:lt1>
      <a:sysClr val="window" lastClr="FFFFFF"/>
    </a:lt1>
    <a:dk2>
      <a:srgbClr val="323232"/>
    </a:dk2>
    <a:lt2>
      <a:srgbClr val="E3DED1"/>
    </a:lt2>
    <a:accent1>
      <a:srgbClr val="F07F09"/>
    </a:accent1>
    <a:accent2>
      <a:srgbClr val="9F2936"/>
    </a:accent2>
    <a:accent3>
      <a:srgbClr val="1B587C"/>
    </a:accent3>
    <a:accent4>
      <a:srgbClr val="4E8542"/>
    </a:accent4>
    <a:accent5>
      <a:srgbClr val="604878"/>
    </a:accent5>
    <a:accent6>
      <a:srgbClr val="C19859"/>
    </a:accent6>
    <a:hlink>
      <a:srgbClr val="6B9F25"/>
    </a:hlink>
    <a:folHlink>
      <a:srgbClr val="B26B02"/>
    </a:folHlink>
  </a:clrScheme>
  <a:fontScheme name="Aspect">
    <a:majorFont>
      <a:latin typeface="Verdana"/>
      <a:ea typeface=""/>
      <a:cs typeface=""/>
      <a:font script="Jpan" typeface="ＭＳ ゴシック"/>
      <a:font script="Hang" typeface="굴림"/>
      <a:font script="Hans" typeface="微软雅黑"/>
      <a:font script="Hant" typeface="微軟正黑體"/>
      <a:font script="Arab" typeface="Tahoma"/>
      <a:font script="Hebr" typeface="Tahoma"/>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ajorFont>
    <a:minorFont>
      <a:latin typeface="Verdana"/>
      <a:ea typeface=""/>
      <a:cs typeface=""/>
      <a:font script="Jpan" typeface="ＭＳ ゴシック"/>
      <a:font script="Hang" typeface="굴림"/>
      <a:font script="Hans" typeface="微软雅黑"/>
      <a:font script="Hant" typeface="微軟正黑體"/>
      <a:font script="Arab" typeface="Tahoma"/>
      <a:font script="Hebr" typeface="Tahoma"/>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spect">
    <a:fillStyleLst>
      <a:solidFill>
        <a:schemeClr val="phClr"/>
      </a:solidFill>
      <a:gradFill rotWithShape="1">
        <a:gsLst>
          <a:gs pos="0">
            <a:schemeClr val="phClr">
              <a:tint val="65000"/>
              <a:satMod val="270000"/>
            </a:schemeClr>
          </a:gs>
          <a:gs pos="25000">
            <a:schemeClr val="phClr">
              <a:tint val="60000"/>
              <a:satMod val="300000"/>
            </a:schemeClr>
          </a:gs>
          <a:gs pos="100000">
            <a:schemeClr val="phClr">
              <a:tint val="29000"/>
              <a:satMod val="400000"/>
            </a:schemeClr>
          </a:gs>
        </a:gsLst>
        <a:lin ang="16200000" scaled="1"/>
      </a:gradFill>
      <a:gradFill rotWithShape="1">
        <a:gsLst>
          <a:gs pos="0">
            <a:schemeClr val="phClr">
              <a:shade val="45000"/>
              <a:satMod val="155000"/>
            </a:schemeClr>
          </a:gs>
          <a:gs pos="60000">
            <a:schemeClr val="phClr">
              <a:shade val="95000"/>
              <a:satMod val="150000"/>
            </a:schemeClr>
          </a:gs>
          <a:gs pos="100000">
            <a:schemeClr val="phClr">
              <a:tint val="87000"/>
              <a:satMod val="250000"/>
            </a:schemeClr>
          </a:gs>
        </a:gsLst>
        <a:lin ang="16200000" scaled="0"/>
      </a:gradFill>
    </a:fillStyleLst>
    <a:lnStyleLst>
      <a:ln w="9525" cap="flat" cmpd="sng" algn="ctr">
        <a:solidFill>
          <a:schemeClr val="phClr">
            <a:satMod val="150000"/>
          </a:schemeClr>
        </a:solidFill>
        <a:prstDash val="solid"/>
      </a:ln>
      <a:ln w="42500" cap="flat" cmpd="sng" algn="ctr">
        <a:solidFill>
          <a:schemeClr val="phClr"/>
        </a:solidFill>
        <a:prstDash val="solid"/>
      </a:ln>
      <a:ln w="38100" cap="flat" cmpd="sng" algn="ctr">
        <a:solidFill>
          <a:schemeClr val="phClr"/>
        </a:solidFill>
        <a:prstDash val="solid"/>
      </a:ln>
    </a:lnStyleLst>
    <a:effectStyleLst>
      <a:effectStyle>
        <a:effectLst>
          <a:outerShdw blurRad="65500" dist="38100" dir="5400000" rotWithShape="0">
            <a:srgbClr val="000000">
              <a:alpha val="40000"/>
            </a:srgbClr>
          </a:outerShdw>
        </a:effectLst>
      </a:effectStyle>
      <a:effectStyle>
        <a:effectLst>
          <a:outerShdw blurRad="65500" dist="38100" dir="5400000" rotWithShape="0">
            <a:srgbClr val="000000">
              <a:alpha val="40000"/>
            </a:srgbClr>
          </a:outerShdw>
        </a:effectLst>
      </a:effectStyle>
      <a:effectStyle>
        <a:effectLst>
          <a:outerShdw blurRad="65500" dist="38100" dir="5400000" rotWithShape="0">
            <a:srgbClr val="000000">
              <a:alpha val="40000"/>
            </a:srgbClr>
          </a:outerShdw>
        </a:effectLst>
        <a:scene3d>
          <a:camera prst="orthographicFront" fov="0">
            <a:rot lat="0" lon="0" rev="0"/>
          </a:camera>
          <a:lightRig rig="contrasting" dir="t">
            <a:rot lat="0" lon="0" rev="12000000"/>
          </a:lightRig>
        </a:scene3d>
        <a:sp3d prstMaterial="powder">
          <a:bevelT h="50800"/>
        </a:sp3d>
      </a:effectStyle>
    </a:effectStyleLst>
    <a:bgFillStyleLst>
      <a:solidFill>
        <a:schemeClr val="phClr"/>
      </a:solidFill>
      <a:gradFill rotWithShape="1">
        <a:gsLst>
          <a:gs pos="0">
            <a:schemeClr val="phClr">
              <a:shade val="35000"/>
              <a:satMod val="150000"/>
            </a:schemeClr>
          </a:gs>
          <a:gs pos="45000">
            <a:schemeClr val="phClr">
              <a:shade val="68000"/>
              <a:satMod val="155000"/>
            </a:schemeClr>
          </a:gs>
          <a:gs pos="100000">
            <a:schemeClr val="phClr">
              <a:tint val="70000"/>
              <a:satMod val="175000"/>
            </a:schemeClr>
          </a:gs>
        </a:gsLst>
        <a:lin ang="16200000" scaled="0"/>
      </a:gradFill>
      <a:blipFill>
        <a:blip xmlns:r="http://schemas.openxmlformats.org/officeDocument/2006/relationships" r:embed="rId1">
          <a:duotone>
            <a:schemeClr val="phClr">
              <a:shade val="800"/>
              <a:satMod val="150000"/>
            </a:schemeClr>
            <a:schemeClr val="phClr">
              <a:tint val="80000"/>
              <a:satMod val="150000"/>
            </a:schemeClr>
          </a:duotone>
        </a:blip>
        <a:tile tx="0" ty="0" sx="75000" sy="75000" flip="none" algn="tl"/>
      </a:blipFill>
    </a:bgFillStyleLst>
  </a:fmtScheme>
</a:themeOverride>
</file>

<file path=xl/worksheets/_rels/sheet1.xml.rels><?xml version="1.0" encoding="UTF-8" standalone="yes"?>
<Relationships xmlns="http://schemas.openxmlformats.org/package/2006/relationships"><Relationship Id="rId117" Type="http://schemas.openxmlformats.org/officeDocument/2006/relationships/hyperlink" Target="http://www.imdb.com/title/tt0457430/" TargetMode="External"/><Relationship Id="rId21" Type="http://schemas.openxmlformats.org/officeDocument/2006/relationships/hyperlink" Target="http://www.imdb.com/title/tt0317248/" TargetMode="External"/><Relationship Id="rId42" Type="http://schemas.openxmlformats.org/officeDocument/2006/relationships/hyperlink" Target="http://www.imdb.com/title/tt0245429/" TargetMode="External"/><Relationship Id="rId63" Type="http://schemas.openxmlformats.org/officeDocument/2006/relationships/hyperlink" Target="http://www.imdb.com/title/tt0910970/" TargetMode="External"/><Relationship Id="rId84" Type="http://schemas.openxmlformats.org/officeDocument/2006/relationships/hyperlink" Target="http://www.imdb.com/title/tt0119488/" TargetMode="External"/><Relationship Id="rId138" Type="http://schemas.openxmlformats.org/officeDocument/2006/relationships/hyperlink" Target="http://www.imdb.com/title/tt0025316/" TargetMode="External"/><Relationship Id="rId159" Type="http://schemas.openxmlformats.org/officeDocument/2006/relationships/hyperlink" Target="http://www.imdb.com/title/tt0395169/" TargetMode="External"/><Relationship Id="rId170" Type="http://schemas.openxmlformats.org/officeDocument/2006/relationships/hyperlink" Target="http://www.imdb.com/title/tt0079470/" TargetMode="External"/><Relationship Id="rId191" Type="http://schemas.openxmlformats.org/officeDocument/2006/relationships/hyperlink" Target="http://www.imdb.com/title/tt0440963/" TargetMode="External"/><Relationship Id="rId205" Type="http://schemas.openxmlformats.org/officeDocument/2006/relationships/hyperlink" Target="http://www.imdb.com/title/tt0056218/" TargetMode="External"/><Relationship Id="rId226" Type="http://schemas.openxmlformats.org/officeDocument/2006/relationships/hyperlink" Target="http://www.imdb.com/title/tt0107290/" TargetMode="External"/><Relationship Id="rId247" Type="http://schemas.openxmlformats.org/officeDocument/2006/relationships/hyperlink" Target="http://www.imdb.com/title/tt0061811/" TargetMode="External"/><Relationship Id="rId107" Type="http://schemas.openxmlformats.org/officeDocument/2006/relationships/hyperlink" Target="http://www.imdb.com/title/tt0372784/" TargetMode="External"/><Relationship Id="rId11" Type="http://schemas.openxmlformats.org/officeDocument/2006/relationships/hyperlink" Target="http://www.imdb.com/title/tt0080684/" TargetMode="External"/><Relationship Id="rId32" Type="http://schemas.openxmlformats.org/officeDocument/2006/relationships/hyperlink" Target="http://www.imdb.com/title/tt0043014/" TargetMode="External"/><Relationship Id="rId53" Type="http://schemas.openxmlformats.org/officeDocument/2006/relationships/hyperlink" Target="http://www.imdb.com/title/tt0052357/" TargetMode="External"/><Relationship Id="rId74" Type="http://schemas.openxmlformats.org/officeDocument/2006/relationships/hyperlink" Target="http://www.imdb.com/title/tt0095765/" TargetMode="External"/><Relationship Id="rId128" Type="http://schemas.openxmlformats.org/officeDocument/2006/relationships/hyperlink" Target="http://www.imdb.com/title/tt0086250/" TargetMode="External"/><Relationship Id="rId149" Type="http://schemas.openxmlformats.org/officeDocument/2006/relationships/hyperlink" Target="http://www.imdb.com/title/tt0032138/" TargetMode="External"/><Relationship Id="rId5" Type="http://schemas.openxmlformats.org/officeDocument/2006/relationships/hyperlink" Target="http://www.imdb.com/title/tt0060196/" TargetMode="External"/><Relationship Id="rId95" Type="http://schemas.openxmlformats.org/officeDocument/2006/relationships/hyperlink" Target="http://www.imdb.com/title/tt0086879/" TargetMode="External"/><Relationship Id="rId160" Type="http://schemas.openxmlformats.org/officeDocument/2006/relationships/hyperlink" Target="http://www.imdb.com/title/tt2106476/" TargetMode="External"/><Relationship Id="rId181" Type="http://schemas.openxmlformats.org/officeDocument/2006/relationships/hyperlink" Target="http://www.imdb.com/title/tt0092005/" TargetMode="External"/><Relationship Id="rId216" Type="http://schemas.openxmlformats.org/officeDocument/2006/relationships/hyperlink" Target="http://www.imdb.com/title/tt0338564/" TargetMode="External"/><Relationship Id="rId237" Type="http://schemas.openxmlformats.org/officeDocument/2006/relationships/hyperlink" Target="http://www.imdb.com/title/tt1255953/" TargetMode="External"/><Relationship Id="rId22" Type="http://schemas.openxmlformats.org/officeDocument/2006/relationships/hyperlink" Target="http://www.imdb.com/title/tt0102926/" TargetMode="External"/><Relationship Id="rId43" Type="http://schemas.openxmlformats.org/officeDocument/2006/relationships/hyperlink" Target="http://www.imdb.com/title/tt1454468/" TargetMode="External"/><Relationship Id="rId64" Type="http://schemas.openxmlformats.org/officeDocument/2006/relationships/hyperlink" Target="http://www.imdb.com/title/tt0405094/" TargetMode="External"/><Relationship Id="rId118" Type="http://schemas.openxmlformats.org/officeDocument/2006/relationships/hyperlink" Target="http://www.imdb.com/title/tt1049413/" TargetMode="External"/><Relationship Id="rId139" Type="http://schemas.openxmlformats.org/officeDocument/2006/relationships/hyperlink" Target="http://www.imdb.com/title/tt0046911/" TargetMode="External"/><Relationship Id="rId85" Type="http://schemas.openxmlformats.org/officeDocument/2006/relationships/hyperlink" Target="http://www.imdb.com/title/tt0364569/" TargetMode="External"/><Relationship Id="rId150" Type="http://schemas.openxmlformats.org/officeDocument/2006/relationships/hyperlink" Target="http://www.imdb.com/title/tt0091763/" TargetMode="External"/><Relationship Id="rId171" Type="http://schemas.openxmlformats.org/officeDocument/2006/relationships/hyperlink" Target="http://www.imdb.com/title/tt0758758/" TargetMode="External"/><Relationship Id="rId192" Type="http://schemas.openxmlformats.org/officeDocument/2006/relationships/hyperlink" Target="http://www.imdb.com/title/tt0268978/" TargetMode="External"/><Relationship Id="rId206" Type="http://schemas.openxmlformats.org/officeDocument/2006/relationships/hyperlink" Target="http://www.imdb.com/title/tt0075148/" TargetMode="External"/><Relationship Id="rId227" Type="http://schemas.openxmlformats.org/officeDocument/2006/relationships/hyperlink" Target="http://www.imdb.com/title/tt0044081/" TargetMode="External"/><Relationship Id="rId248" Type="http://schemas.openxmlformats.org/officeDocument/2006/relationships/hyperlink" Target="http://www.imdb.com/title/tt0036613/" TargetMode="External"/><Relationship Id="rId12" Type="http://schemas.openxmlformats.org/officeDocument/2006/relationships/hyperlink" Target="http://www.imdb.com/title/tt0120737/" TargetMode="External"/><Relationship Id="rId17" Type="http://schemas.openxmlformats.org/officeDocument/2006/relationships/hyperlink" Target="http://www.imdb.com/title/tt0076759/" TargetMode="External"/><Relationship Id="rId33" Type="http://schemas.openxmlformats.org/officeDocument/2006/relationships/hyperlink" Target="http://www.imdb.com/title/tt0120586/" TargetMode="External"/><Relationship Id="rId38" Type="http://schemas.openxmlformats.org/officeDocument/2006/relationships/hyperlink" Target="http://www.imdb.com/title/tt0021749/" TargetMode="External"/><Relationship Id="rId59" Type="http://schemas.openxmlformats.org/officeDocument/2006/relationships/hyperlink" Target="http://www.imdb.com/title/tt0090605/" TargetMode="External"/><Relationship Id="rId103" Type="http://schemas.openxmlformats.org/officeDocument/2006/relationships/hyperlink" Target="http://www.imdb.com/title/tt0081398/" TargetMode="External"/><Relationship Id="rId108" Type="http://schemas.openxmlformats.org/officeDocument/2006/relationships/hyperlink" Target="http://www.imdb.com/title/tt1832382/" TargetMode="External"/><Relationship Id="rId124" Type="http://schemas.openxmlformats.org/officeDocument/2006/relationships/hyperlink" Target="http://www.imdb.com/title/tt0012349/" TargetMode="External"/><Relationship Id="rId129" Type="http://schemas.openxmlformats.org/officeDocument/2006/relationships/hyperlink" Target="http://www.imdb.com/title/tt0044741/" TargetMode="External"/><Relationship Id="rId54" Type="http://schemas.openxmlformats.org/officeDocument/2006/relationships/hyperlink" Target="http://www.imdb.com/title/tt0169547/" TargetMode="External"/><Relationship Id="rId70" Type="http://schemas.openxmlformats.org/officeDocument/2006/relationships/hyperlink" Target="http://www.imdb.com/title/tt0056172/" TargetMode="External"/><Relationship Id="rId75" Type="http://schemas.openxmlformats.org/officeDocument/2006/relationships/hyperlink" Target="http://www.imdb.com/title/tt0110357/" TargetMode="External"/><Relationship Id="rId91" Type="http://schemas.openxmlformats.org/officeDocument/2006/relationships/hyperlink" Target="http://www.imdb.com/title/tt0040522/" TargetMode="External"/><Relationship Id="rId96" Type="http://schemas.openxmlformats.org/officeDocument/2006/relationships/hyperlink" Target="http://www.imdb.com/title/tt0062622/" TargetMode="External"/><Relationship Id="rId140" Type="http://schemas.openxmlformats.org/officeDocument/2006/relationships/hyperlink" Target="http://www.imdb.com/title/tt0477348/" TargetMode="External"/><Relationship Id="rId145" Type="http://schemas.openxmlformats.org/officeDocument/2006/relationships/hyperlink" Target="http://www.imdb.com/title/tt0044079/" TargetMode="External"/><Relationship Id="rId161" Type="http://schemas.openxmlformats.org/officeDocument/2006/relationships/hyperlink" Target="http://www.imdb.com/title/tt1291584/" TargetMode="External"/><Relationship Id="rId166" Type="http://schemas.openxmlformats.org/officeDocument/2006/relationships/hyperlink" Target="http://www.imdb.com/title/tt0038787/" TargetMode="External"/><Relationship Id="rId182" Type="http://schemas.openxmlformats.org/officeDocument/2006/relationships/hyperlink" Target="http://www.imdb.com/title/tt0053198/" TargetMode="External"/><Relationship Id="rId187" Type="http://schemas.openxmlformats.org/officeDocument/2006/relationships/hyperlink" Target="http://www.imdb.com/title/tt0245712/" TargetMode="External"/><Relationship Id="rId217" Type="http://schemas.openxmlformats.org/officeDocument/2006/relationships/hyperlink" Target="http://www.imdb.com/title/tt0120382/" TargetMode="External"/><Relationship Id="rId1" Type="http://schemas.openxmlformats.org/officeDocument/2006/relationships/hyperlink" Target="http://www.imdb.com/title/tt0111161/" TargetMode="External"/><Relationship Id="rId6" Type="http://schemas.openxmlformats.org/officeDocument/2006/relationships/hyperlink" Target="http://www.imdb.com/title/tt0468569/" TargetMode="External"/><Relationship Id="rId212" Type="http://schemas.openxmlformats.org/officeDocument/2006/relationships/hyperlink" Target="http://www.imdb.com/title/tt0065214/" TargetMode="External"/><Relationship Id="rId233" Type="http://schemas.openxmlformats.org/officeDocument/2006/relationships/hyperlink" Target="http://www.imdb.com/title/tt0903624/" TargetMode="External"/><Relationship Id="rId238" Type="http://schemas.openxmlformats.org/officeDocument/2006/relationships/hyperlink" Target="http://www.imdb.com/title/tt0063522/" TargetMode="External"/><Relationship Id="rId23" Type="http://schemas.openxmlformats.org/officeDocument/2006/relationships/hyperlink" Target="http://www.imdb.com/title/tt0114369/" TargetMode="External"/><Relationship Id="rId28" Type="http://schemas.openxmlformats.org/officeDocument/2006/relationships/hyperlink" Target="http://www.imdb.com/title/tt0047396/" TargetMode="External"/><Relationship Id="rId49" Type="http://schemas.openxmlformats.org/officeDocument/2006/relationships/hyperlink" Target="http://www.imdb.com/title/tt0118799/" TargetMode="External"/><Relationship Id="rId114" Type="http://schemas.openxmlformats.org/officeDocument/2006/relationships/hyperlink" Target="http://www.imdb.com/title/tt0047296/" TargetMode="External"/><Relationship Id="rId119" Type="http://schemas.openxmlformats.org/officeDocument/2006/relationships/hyperlink" Target="http://www.imdb.com/title/tt0017925/" TargetMode="External"/><Relationship Id="rId44" Type="http://schemas.openxmlformats.org/officeDocument/2006/relationships/hyperlink" Target="http://www.imdb.com/title/tt0053125/" TargetMode="External"/><Relationship Id="rId60" Type="http://schemas.openxmlformats.org/officeDocument/2006/relationships/hyperlink" Target="http://www.imdb.com/title/tt0120689/" TargetMode="External"/><Relationship Id="rId65" Type="http://schemas.openxmlformats.org/officeDocument/2006/relationships/hyperlink" Target="http://www.imdb.com/title/tt0435761/" TargetMode="External"/><Relationship Id="rId81" Type="http://schemas.openxmlformats.org/officeDocument/2006/relationships/hyperlink" Target="http://www.imdb.com/title/tt0338013/" TargetMode="External"/><Relationship Id="rId86" Type="http://schemas.openxmlformats.org/officeDocument/2006/relationships/hyperlink" Target="http://www.imdb.com/title/tt0045152/" TargetMode="External"/><Relationship Id="rId130" Type="http://schemas.openxmlformats.org/officeDocument/2006/relationships/hyperlink" Target="http://www.imdb.com/title/tt0089881/" TargetMode="External"/><Relationship Id="rId135" Type="http://schemas.openxmlformats.org/officeDocument/2006/relationships/hyperlink" Target="http://www.imdb.com/title/tt0015864/" TargetMode="External"/><Relationship Id="rId151" Type="http://schemas.openxmlformats.org/officeDocument/2006/relationships/hyperlink" Target="http://www.imdb.com/title/tt0401792/" TargetMode="External"/><Relationship Id="rId156" Type="http://schemas.openxmlformats.org/officeDocument/2006/relationships/hyperlink" Target="http://www.imdb.com/title/tt0031381/" TargetMode="External"/><Relationship Id="rId177" Type="http://schemas.openxmlformats.org/officeDocument/2006/relationships/hyperlink" Target="http://www.imdb.com/title/tt0052618/" TargetMode="External"/><Relationship Id="rId198" Type="http://schemas.openxmlformats.org/officeDocument/2006/relationships/hyperlink" Target="http://www.imdb.com/title/tt0093779/" TargetMode="External"/><Relationship Id="rId172" Type="http://schemas.openxmlformats.org/officeDocument/2006/relationships/hyperlink" Target="http://www.imdb.com/title/tt0036868/" TargetMode="External"/><Relationship Id="rId193" Type="http://schemas.openxmlformats.org/officeDocument/2006/relationships/hyperlink" Target="http://www.imdb.com/title/tt0060827/" TargetMode="External"/><Relationship Id="rId202" Type="http://schemas.openxmlformats.org/officeDocument/2006/relationships/hyperlink" Target="http://www.imdb.com/title/tt0047528/" TargetMode="External"/><Relationship Id="rId207" Type="http://schemas.openxmlformats.org/officeDocument/2006/relationships/hyperlink" Target="http://www.imdb.com/title/tt0070047/" TargetMode="External"/><Relationship Id="rId223" Type="http://schemas.openxmlformats.org/officeDocument/2006/relationships/hyperlink" Target="http://www.imdb.com/title/tt1201607/" TargetMode="External"/><Relationship Id="rId228" Type="http://schemas.openxmlformats.org/officeDocument/2006/relationships/hyperlink" Target="http://www.imdb.com/title/tt0796366/" TargetMode="External"/><Relationship Id="rId244" Type="http://schemas.openxmlformats.org/officeDocument/2006/relationships/hyperlink" Target="http://www.imdb.com/title/tt0111495/" TargetMode="External"/><Relationship Id="rId249" Type="http://schemas.openxmlformats.org/officeDocument/2006/relationships/hyperlink" Target="http://www.imdb.com/title/tt0112471/" TargetMode="External"/><Relationship Id="rId13" Type="http://schemas.openxmlformats.org/officeDocument/2006/relationships/hyperlink" Target="http://www.imdb.com/title/tt0073486/" TargetMode="External"/><Relationship Id="rId18" Type="http://schemas.openxmlformats.org/officeDocument/2006/relationships/hyperlink" Target="http://www.imdb.com/title/tt0109830/" TargetMode="External"/><Relationship Id="rId39" Type="http://schemas.openxmlformats.org/officeDocument/2006/relationships/hyperlink" Target="http://www.imdb.com/title/tt0057012/" TargetMode="External"/><Relationship Id="rId109" Type="http://schemas.openxmlformats.org/officeDocument/2006/relationships/hyperlink" Target="http://www.imdb.com/title/tt0361748/" TargetMode="External"/><Relationship Id="rId34" Type="http://schemas.openxmlformats.org/officeDocument/2006/relationships/hyperlink" Target="http://www.imdb.com/title/tt0078788/" TargetMode="External"/><Relationship Id="rId50" Type="http://schemas.openxmlformats.org/officeDocument/2006/relationships/hyperlink" Target="http://www.imdb.com/title/tt0081505/" TargetMode="External"/><Relationship Id="rId55" Type="http://schemas.openxmlformats.org/officeDocument/2006/relationships/hyperlink" Target="http://www.imdb.com/title/tt1853728/" TargetMode="External"/><Relationship Id="rId76" Type="http://schemas.openxmlformats.org/officeDocument/2006/relationships/hyperlink" Target="http://www.imdb.com/title/tt0040897/" TargetMode="External"/><Relationship Id="rId97" Type="http://schemas.openxmlformats.org/officeDocument/2006/relationships/hyperlink" Target="http://www.imdb.com/title/tt0051201/" TargetMode="External"/><Relationship Id="rId104" Type="http://schemas.openxmlformats.org/officeDocument/2006/relationships/hyperlink" Target="http://www.imdb.com/title/tt0050212/" TargetMode="External"/><Relationship Id="rId120" Type="http://schemas.openxmlformats.org/officeDocument/2006/relationships/hyperlink" Target="http://www.imdb.com/title/tt0050976/" TargetMode="External"/><Relationship Id="rId125" Type="http://schemas.openxmlformats.org/officeDocument/2006/relationships/hyperlink" Target="http://www.imdb.com/title/tt0083658/" TargetMode="External"/><Relationship Id="rId141" Type="http://schemas.openxmlformats.org/officeDocument/2006/relationships/hyperlink" Target="http://www.imdb.com/title/tt0167404/" TargetMode="External"/><Relationship Id="rId146" Type="http://schemas.openxmlformats.org/officeDocument/2006/relationships/hyperlink" Target="http://www.imdb.com/title/tt0112641/" TargetMode="External"/><Relationship Id="rId167" Type="http://schemas.openxmlformats.org/officeDocument/2006/relationships/hyperlink" Target="http://www.imdb.com/title/tt0046912/" TargetMode="External"/><Relationship Id="rId188" Type="http://schemas.openxmlformats.org/officeDocument/2006/relationships/hyperlink" Target="http://www.imdb.com/title/tt0347149/" TargetMode="External"/><Relationship Id="rId7" Type="http://schemas.openxmlformats.org/officeDocument/2006/relationships/hyperlink" Target="http://www.imdb.com/title/tt0050083/" TargetMode="External"/><Relationship Id="rId71" Type="http://schemas.openxmlformats.org/officeDocument/2006/relationships/hyperlink" Target="http://www.imdb.com/title/tt0056592/" TargetMode="External"/><Relationship Id="rId92" Type="http://schemas.openxmlformats.org/officeDocument/2006/relationships/hyperlink" Target="http://www.imdb.com/title/tt0042192/" TargetMode="External"/><Relationship Id="rId162" Type="http://schemas.openxmlformats.org/officeDocument/2006/relationships/hyperlink" Target="http://www.imdb.com/title/tt1305806/" TargetMode="External"/><Relationship Id="rId183" Type="http://schemas.openxmlformats.org/officeDocument/2006/relationships/hyperlink" Target="http://www.imdb.com/title/tt0114746/" TargetMode="External"/><Relationship Id="rId213" Type="http://schemas.openxmlformats.org/officeDocument/2006/relationships/hyperlink" Target="http://www.imdb.com/title/tt0072684/" TargetMode="External"/><Relationship Id="rId218" Type="http://schemas.openxmlformats.org/officeDocument/2006/relationships/hyperlink" Target="http://www.imdb.com/title/tt0046250/" TargetMode="External"/><Relationship Id="rId234" Type="http://schemas.openxmlformats.org/officeDocument/2006/relationships/hyperlink" Target="http://www.imdb.com/title/tt1136608/" TargetMode="External"/><Relationship Id="rId239" Type="http://schemas.openxmlformats.org/officeDocument/2006/relationships/hyperlink" Target="http://www.imdb.com/title/tt0113247/" TargetMode="External"/><Relationship Id="rId2" Type="http://schemas.openxmlformats.org/officeDocument/2006/relationships/hyperlink" Target="http://www.imdb.com/title/tt0068646/" TargetMode="External"/><Relationship Id="rId29" Type="http://schemas.openxmlformats.org/officeDocument/2006/relationships/hyperlink" Target="http://www.imdb.com/title/tt0038650/" TargetMode="External"/><Relationship Id="rId250" Type="http://schemas.openxmlformats.org/officeDocument/2006/relationships/hyperlink" Target="http://www.imdb.com/title/tt0070511/" TargetMode="External"/><Relationship Id="rId24" Type="http://schemas.openxmlformats.org/officeDocument/2006/relationships/hyperlink" Target="http://www.imdb.com/title/tt0064116/" TargetMode="External"/><Relationship Id="rId40" Type="http://schemas.openxmlformats.org/officeDocument/2006/relationships/hyperlink" Target="http://www.imdb.com/title/tt0078748/" TargetMode="External"/><Relationship Id="rId45" Type="http://schemas.openxmlformats.org/officeDocument/2006/relationships/hyperlink" Target="http://www.imdb.com/title/tt0088763/" TargetMode="External"/><Relationship Id="rId66" Type="http://schemas.openxmlformats.org/officeDocument/2006/relationships/hyperlink" Target="http://www.imdb.com/title/tt0032553/" TargetMode="External"/><Relationship Id="rId87" Type="http://schemas.openxmlformats.org/officeDocument/2006/relationships/hyperlink" Target="http://www.imdb.com/title/tt0017136/" TargetMode="External"/><Relationship Id="rId110" Type="http://schemas.openxmlformats.org/officeDocument/2006/relationships/hyperlink" Target="http://www.imdb.com/title/tt0059578/" TargetMode="External"/><Relationship Id="rId115" Type="http://schemas.openxmlformats.org/officeDocument/2006/relationships/hyperlink" Target="http://www.imdb.com/title/tt0057115/" TargetMode="External"/><Relationship Id="rId131" Type="http://schemas.openxmlformats.org/officeDocument/2006/relationships/hyperlink" Target="http://www.imdb.com/title/tt0116282/" TargetMode="External"/><Relationship Id="rId136" Type="http://schemas.openxmlformats.org/officeDocument/2006/relationships/hyperlink" Target="http://www.imdb.com/title/tt0077416/" TargetMode="External"/><Relationship Id="rId157" Type="http://schemas.openxmlformats.org/officeDocument/2006/relationships/hyperlink" Target="http://www.imdb.com/title/tt0044706/" TargetMode="External"/><Relationship Id="rId178" Type="http://schemas.openxmlformats.org/officeDocument/2006/relationships/hyperlink" Target="http://www.imdb.com/title/tt0048424/" TargetMode="External"/><Relationship Id="rId61" Type="http://schemas.openxmlformats.org/officeDocument/2006/relationships/hyperlink" Target="http://www.imdb.com/title/tt1675434/" TargetMode="External"/><Relationship Id="rId82" Type="http://schemas.openxmlformats.org/officeDocument/2006/relationships/hyperlink" Target="http://www.imdb.com/title/tt0093058/" TargetMode="External"/><Relationship Id="rId152" Type="http://schemas.openxmlformats.org/officeDocument/2006/relationships/hyperlink" Target="http://www.imdb.com/title/tt0064115/" TargetMode="External"/><Relationship Id="rId173" Type="http://schemas.openxmlformats.org/officeDocument/2006/relationships/hyperlink" Target="http://www.imdb.com/title/tt0074958/" TargetMode="External"/><Relationship Id="rId194" Type="http://schemas.openxmlformats.org/officeDocument/2006/relationships/hyperlink" Target="http://www.imdb.com/title/tt0049406/" TargetMode="External"/><Relationship Id="rId199" Type="http://schemas.openxmlformats.org/officeDocument/2006/relationships/hyperlink" Target="http://www.imdb.com/title/tt0061184/" TargetMode="External"/><Relationship Id="rId203" Type="http://schemas.openxmlformats.org/officeDocument/2006/relationships/hyperlink" Target="http://www.imdb.com/title/tt0052561/" TargetMode="External"/><Relationship Id="rId208" Type="http://schemas.openxmlformats.org/officeDocument/2006/relationships/hyperlink" Target="http://www.imdb.com/title/tt1010048/" TargetMode="External"/><Relationship Id="rId229" Type="http://schemas.openxmlformats.org/officeDocument/2006/relationships/hyperlink" Target="http://www.imdb.com/title/tt0382932/" TargetMode="External"/><Relationship Id="rId19" Type="http://schemas.openxmlformats.org/officeDocument/2006/relationships/hyperlink" Target="http://www.imdb.com/title/tt0133093/" TargetMode="External"/><Relationship Id="rId224" Type="http://schemas.openxmlformats.org/officeDocument/2006/relationships/hyperlink" Target="http://www.imdb.com/title/tt0069281/" TargetMode="External"/><Relationship Id="rId240" Type="http://schemas.openxmlformats.org/officeDocument/2006/relationships/hyperlink" Target="http://www.imdb.com/title/tt1187043/" TargetMode="External"/><Relationship Id="rId245" Type="http://schemas.openxmlformats.org/officeDocument/2006/relationships/hyperlink" Target="http://www.imdb.com/title/tt0029947/" TargetMode="External"/><Relationship Id="rId14" Type="http://schemas.openxmlformats.org/officeDocument/2006/relationships/hyperlink" Target="http://www.imdb.com/title/tt0099685/" TargetMode="External"/><Relationship Id="rId30" Type="http://schemas.openxmlformats.org/officeDocument/2006/relationships/hyperlink" Target="http://www.imdb.com/title/tt0054215/" TargetMode="External"/><Relationship Id="rId35" Type="http://schemas.openxmlformats.org/officeDocument/2006/relationships/hyperlink" Target="http://www.imdb.com/title/tt0103064/" TargetMode="External"/><Relationship Id="rId56" Type="http://schemas.openxmlformats.org/officeDocument/2006/relationships/hyperlink" Target="http://www.imdb.com/title/tt0036775/" TargetMode="External"/><Relationship Id="rId77" Type="http://schemas.openxmlformats.org/officeDocument/2006/relationships/hyperlink" Target="http://www.imdb.com/title/tt0041959/" TargetMode="External"/><Relationship Id="rId100" Type="http://schemas.openxmlformats.org/officeDocument/2006/relationships/hyperlink" Target="http://www.imdb.com/title/tt0105695/" TargetMode="External"/><Relationship Id="rId105" Type="http://schemas.openxmlformats.org/officeDocument/2006/relationships/hyperlink" Target="http://www.imdb.com/title/tt0095016/" TargetMode="External"/><Relationship Id="rId126" Type="http://schemas.openxmlformats.org/officeDocument/2006/relationships/hyperlink" Target="http://www.imdb.com/title/tt0050986/" TargetMode="External"/><Relationship Id="rId147" Type="http://schemas.openxmlformats.org/officeDocument/2006/relationships/hyperlink" Target="http://www.imdb.com/title/tt0055031/" TargetMode="External"/><Relationship Id="rId168" Type="http://schemas.openxmlformats.org/officeDocument/2006/relationships/hyperlink" Target="http://www.imdb.com/title/tt0848228/" TargetMode="External"/><Relationship Id="rId8" Type="http://schemas.openxmlformats.org/officeDocument/2006/relationships/hyperlink" Target="http://www.imdb.com/title/tt0108052/" TargetMode="External"/><Relationship Id="rId51" Type="http://schemas.openxmlformats.org/officeDocument/2006/relationships/hyperlink" Target="http://www.imdb.com/title/tt0407887/" TargetMode="External"/><Relationship Id="rId72" Type="http://schemas.openxmlformats.org/officeDocument/2006/relationships/hyperlink" Target="http://www.imdb.com/title/tt0105236/" TargetMode="External"/><Relationship Id="rId93" Type="http://schemas.openxmlformats.org/officeDocument/2006/relationships/hyperlink" Target="http://www.imdb.com/title/tt0071853/" TargetMode="External"/><Relationship Id="rId98" Type="http://schemas.openxmlformats.org/officeDocument/2006/relationships/hyperlink" Target="http://www.imdb.com/title/tt0053604/" TargetMode="External"/><Relationship Id="rId121" Type="http://schemas.openxmlformats.org/officeDocument/2006/relationships/hyperlink" Target="http://www.imdb.com/title/tt0113277/" TargetMode="External"/><Relationship Id="rId142" Type="http://schemas.openxmlformats.org/officeDocument/2006/relationships/hyperlink" Target="http://www.imdb.com/title/tt0120735/" TargetMode="External"/><Relationship Id="rId163" Type="http://schemas.openxmlformats.org/officeDocument/2006/relationships/hyperlink" Target="http://www.imdb.com/title/tt0266543/" TargetMode="External"/><Relationship Id="rId184" Type="http://schemas.openxmlformats.org/officeDocument/2006/relationships/hyperlink" Target="http://www.imdb.com/title/tt0107048/" TargetMode="External"/><Relationship Id="rId189" Type="http://schemas.openxmlformats.org/officeDocument/2006/relationships/hyperlink" Target="http://www.imdb.com/title/tt0978762/" TargetMode="External"/><Relationship Id="rId219" Type="http://schemas.openxmlformats.org/officeDocument/2006/relationships/hyperlink" Target="http://www.imdb.com/title/tt0454876/" TargetMode="External"/><Relationship Id="rId3" Type="http://schemas.openxmlformats.org/officeDocument/2006/relationships/hyperlink" Target="http://www.imdb.com/title/tt0071562/" TargetMode="External"/><Relationship Id="rId214" Type="http://schemas.openxmlformats.org/officeDocument/2006/relationships/hyperlink" Target="http://www.imdb.com/title/tt0198781/" TargetMode="External"/><Relationship Id="rId230" Type="http://schemas.openxmlformats.org/officeDocument/2006/relationships/hyperlink" Target="http://www.imdb.com/title/tt1220719/" TargetMode="External"/><Relationship Id="rId235" Type="http://schemas.openxmlformats.org/officeDocument/2006/relationships/hyperlink" Target="http://www.imdb.com/title/tt1130884/" TargetMode="External"/><Relationship Id="rId25" Type="http://schemas.openxmlformats.org/officeDocument/2006/relationships/hyperlink" Target="http://www.imdb.com/title/tt0034583/" TargetMode="External"/><Relationship Id="rId46" Type="http://schemas.openxmlformats.org/officeDocument/2006/relationships/hyperlink" Target="http://www.imdb.com/title/tt0033467/" TargetMode="External"/><Relationship Id="rId67" Type="http://schemas.openxmlformats.org/officeDocument/2006/relationships/hyperlink" Target="http://www.imdb.com/title/tt0066921/" TargetMode="External"/><Relationship Id="rId116" Type="http://schemas.openxmlformats.org/officeDocument/2006/relationships/hyperlink" Target="http://www.imdb.com/title/tt0363163/" TargetMode="External"/><Relationship Id="rId137" Type="http://schemas.openxmlformats.org/officeDocument/2006/relationships/hyperlink" Target="http://www.imdb.com/title/tt0061512/" TargetMode="External"/><Relationship Id="rId158" Type="http://schemas.openxmlformats.org/officeDocument/2006/relationships/hyperlink" Target="http://www.imdb.com/title/tt0075686/" TargetMode="External"/><Relationship Id="rId20" Type="http://schemas.openxmlformats.org/officeDocument/2006/relationships/hyperlink" Target="http://www.imdb.com/title/tt0167261/" TargetMode="External"/><Relationship Id="rId41" Type="http://schemas.openxmlformats.org/officeDocument/2006/relationships/hyperlink" Target="http://www.imdb.com/title/tt0027977/" TargetMode="External"/><Relationship Id="rId62" Type="http://schemas.openxmlformats.org/officeDocument/2006/relationships/hyperlink" Target="http://www.imdb.com/title/tt0172495/" TargetMode="External"/><Relationship Id="rId83" Type="http://schemas.openxmlformats.org/officeDocument/2006/relationships/hyperlink" Target="http://www.imdb.com/title/tt0112573/" TargetMode="External"/><Relationship Id="rId88" Type="http://schemas.openxmlformats.org/officeDocument/2006/relationships/hyperlink" Target="http://www.imdb.com/title/tt0071315/" TargetMode="External"/><Relationship Id="rId111" Type="http://schemas.openxmlformats.org/officeDocument/2006/relationships/hyperlink" Target="http://www.imdb.com/title/tt0031679/" TargetMode="External"/><Relationship Id="rId132" Type="http://schemas.openxmlformats.org/officeDocument/2006/relationships/hyperlink" Target="http://www.imdb.com/title/tt1205489/" TargetMode="External"/><Relationship Id="rId153" Type="http://schemas.openxmlformats.org/officeDocument/2006/relationships/hyperlink" Target="http://www.imdb.com/title/tt0266697/" TargetMode="External"/><Relationship Id="rId174" Type="http://schemas.openxmlformats.org/officeDocument/2006/relationships/hyperlink" Target="http://www.imdb.com/title/tt0088247/" TargetMode="External"/><Relationship Id="rId179" Type="http://schemas.openxmlformats.org/officeDocument/2006/relationships/hyperlink" Target="http://www.imdb.com/title/tt0038355/" TargetMode="External"/><Relationship Id="rId195" Type="http://schemas.openxmlformats.org/officeDocument/2006/relationships/hyperlink" Target="http://www.imdb.com/title/tt0061722/" TargetMode="External"/><Relationship Id="rId209" Type="http://schemas.openxmlformats.org/officeDocument/2006/relationships/hyperlink" Target="http://www.imdb.com/title/tt0107207/" TargetMode="External"/><Relationship Id="rId190" Type="http://schemas.openxmlformats.org/officeDocument/2006/relationships/hyperlink" Target="http://www.imdb.com/title/tt0083987/" TargetMode="External"/><Relationship Id="rId204" Type="http://schemas.openxmlformats.org/officeDocument/2006/relationships/hyperlink" Target="http://www.imdb.com/title/tt0056801/" TargetMode="External"/><Relationship Id="rId220" Type="http://schemas.openxmlformats.org/officeDocument/2006/relationships/hyperlink" Target="http://www.imdb.com/title/tt0325980/" TargetMode="External"/><Relationship Id="rId225" Type="http://schemas.openxmlformats.org/officeDocument/2006/relationships/hyperlink" Target="http://www.imdb.com/title/tt0079944/" TargetMode="External"/><Relationship Id="rId241" Type="http://schemas.openxmlformats.org/officeDocument/2006/relationships/hyperlink" Target="http://www.imdb.com/title/tt1655442/" TargetMode="External"/><Relationship Id="rId246" Type="http://schemas.openxmlformats.org/officeDocument/2006/relationships/hyperlink" Target="http://www.imdb.com/title/tt0327056/" TargetMode="External"/><Relationship Id="rId15" Type="http://schemas.openxmlformats.org/officeDocument/2006/relationships/hyperlink" Target="http://www.imdb.com/title/tt0047478/" TargetMode="External"/><Relationship Id="rId36" Type="http://schemas.openxmlformats.org/officeDocument/2006/relationships/hyperlink" Target="http://www.imdb.com/title/tt0209144/" TargetMode="External"/><Relationship Id="rId57" Type="http://schemas.openxmlformats.org/officeDocument/2006/relationships/hyperlink" Target="http://www.imdb.com/title/tt0075314/" TargetMode="External"/><Relationship Id="rId106" Type="http://schemas.openxmlformats.org/officeDocument/2006/relationships/hyperlink" Target="http://www.imdb.com/title/tt0055630/" TargetMode="External"/><Relationship Id="rId127" Type="http://schemas.openxmlformats.org/officeDocument/2006/relationships/hyperlink" Target="http://www.imdb.com/title/tt0032976/" TargetMode="External"/><Relationship Id="rId10" Type="http://schemas.openxmlformats.org/officeDocument/2006/relationships/hyperlink" Target="http://www.imdb.com/title/tt0137523/" TargetMode="External"/><Relationship Id="rId31" Type="http://schemas.openxmlformats.org/officeDocument/2006/relationships/hyperlink" Target="http://www.imdb.com/title/tt0110413/" TargetMode="External"/><Relationship Id="rId52" Type="http://schemas.openxmlformats.org/officeDocument/2006/relationships/hyperlink" Target="http://www.imdb.com/title/tt0050825/" TargetMode="External"/><Relationship Id="rId73" Type="http://schemas.openxmlformats.org/officeDocument/2006/relationships/hyperlink" Target="http://www.imdb.com/title/tt0082096/" TargetMode="External"/><Relationship Id="rId78" Type="http://schemas.openxmlformats.org/officeDocument/2006/relationships/hyperlink" Target="http://www.imdb.com/title/tt0087843/" TargetMode="External"/><Relationship Id="rId94" Type="http://schemas.openxmlformats.org/officeDocument/2006/relationships/hyperlink" Target="http://www.imdb.com/title/tt0119698/" TargetMode="External"/><Relationship Id="rId99" Type="http://schemas.openxmlformats.org/officeDocument/2006/relationships/hyperlink" Target="http://www.imdb.com/title/tt0070735/" TargetMode="External"/><Relationship Id="rId101" Type="http://schemas.openxmlformats.org/officeDocument/2006/relationships/hyperlink" Target="http://www.imdb.com/title/tt0095327/" TargetMode="External"/><Relationship Id="rId122" Type="http://schemas.openxmlformats.org/officeDocument/2006/relationships/hyperlink" Target="http://www.imdb.com/title/tt0080678/" TargetMode="External"/><Relationship Id="rId143" Type="http://schemas.openxmlformats.org/officeDocument/2006/relationships/hyperlink" Target="http://www.imdb.com/title/tt0073195/" TargetMode="External"/><Relationship Id="rId148" Type="http://schemas.openxmlformats.org/officeDocument/2006/relationships/hyperlink" Target="http://www.imdb.com/title/tt0032551/" TargetMode="External"/><Relationship Id="rId164" Type="http://schemas.openxmlformats.org/officeDocument/2006/relationships/hyperlink" Target="http://www.imdb.com/title/tt0096283/" TargetMode="External"/><Relationship Id="rId169" Type="http://schemas.openxmlformats.org/officeDocument/2006/relationships/hyperlink" Target="http://www.imdb.com/title/tt0892769/" TargetMode="External"/><Relationship Id="rId185" Type="http://schemas.openxmlformats.org/officeDocument/2006/relationships/hyperlink" Target="http://www.imdb.com/title/tt0246578/" TargetMode="External"/><Relationship Id="rId4" Type="http://schemas.openxmlformats.org/officeDocument/2006/relationships/hyperlink" Target="http://www.imdb.com/title/tt0110912/" TargetMode="External"/><Relationship Id="rId9" Type="http://schemas.openxmlformats.org/officeDocument/2006/relationships/hyperlink" Target="http://www.imdb.com/title/tt0167260/" TargetMode="External"/><Relationship Id="rId180" Type="http://schemas.openxmlformats.org/officeDocument/2006/relationships/hyperlink" Target="http://www.imdb.com/title/tt1504320/" TargetMode="External"/><Relationship Id="rId210" Type="http://schemas.openxmlformats.org/officeDocument/2006/relationships/hyperlink" Target="http://www.imdb.com/title/tt0046359/" TargetMode="External"/><Relationship Id="rId215" Type="http://schemas.openxmlformats.org/officeDocument/2006/relationships/hyperlink" Target="http://www.imdb.com/title/tt0083922/" TargetMode="External"/><Relationship Id="rId236" Type="http://schemas.openxmlformats.org/officeDocument/2006/relationships/hyperlink" Target="http://www.imdb.com/title/tt0095953/" TargetMode="External"/><Relationship Id="rId26" Type="http://schemas.openxmlformats.org/officeDocument/2006/relationships/hyperlink" Target="http://www.imdb.com/title/tt0114814/" TargetMode="External"/><Relationship Id="rId231" Type="http://schemas.openxmlformats.org/officeDocument/2006/relationships/hyperlink" Target="http://www.imdb.com/title/tt0058461/" TargetMode="External"/><Relationship Id="rId47" Type="http://schemas.openxmlformats.org/officeDocument/2006/relationships/hyperlink" Target="http://www.imdb.com/title/tt0253474/" TargetMode="External"/><Relationship Id="rId68" Type="http://schemas.openxmlformats.org/officeDocument/2006/relationships/hyperlink" Target="http://www.imdb.com/title/tt0482571/" TargetMode="External"/><Relationship Id="rId89" Type="http://schemas.openxmlformats.org/officeDocument/2006/relationships/hyperlink" Target="http://www.imdb.com/title/tt0042876/" TargetMode="External"/><Relationship Id="rId112" Type="http://schemas.openxmlformats.org/officeDocument/2006/relationships/hyperlink" Target="http://www.imdb.com/title/tt0208092/" TargetMode="External"/><Relationship Id="rId133" Type="http://schemas.openxmlformats.org/officeDocument/2006/relationships/hyperlink" Target="http://www.imdb.com/title/tt0052311/" TargetMode="External"/><Relationship Id="rId154" Type="http://schemas.openxmlformats.org/officeDocument/2006/relationships/hyperlink" Target="http://www.imdb.com/title/tt0084787/" TargetMode="External"/><Relationship Id="rId175" Type="http://schemas.openxmlformats.org/officeDocument/2006/relationships/hyperlink" Target="http://www.imdb.com/title/tt0405159/" TargetMode="External"/><Relationship Id="rId196" Type="http://schemas.openxmlformats.org/officeDocument/2006/relationships/hyperlink" Target="http://www.imdb.com/title/tt1979320/" TargetMode="External"/><Relationship Id="rId200" Type="http://schemas.openxmlformats.org/officeDocument/2006/relationships/hyperlink" Target="http://www.imdb.com/title/tt0054997/" TargetMode="External"/><Relationship Id="rId16" Type="http://schemas.openxmlformats.org/officeDocument/2006/relationships/hyperlink" Target="http://www.imdb.com/title/tt1375666/" TargetMode="External"/><Relationship Id="rId221" Type="http://schemas.openxmlformats.org/officeDocument/2006/relationships/hyperlink" Target="http://www.imdb.com/title/tt0353969/" TargetMode="External"/><Relationship Id="rId242" Type="http://schemas.openxmlformats.org/officeDocument/2006/relationships/hyperlink" Target="http://www.imdb.com/title/tt0087544/" TargetMode="External"/><Relationship Id="rId37" Type="http://schemas.openxmlformats.org/officeDocument/2006/relationships/hyperlink" Target="http://www.imdb.com/title/tt0120815/" TargetMode="External"/><Relationship Id="rId58" Type="http://schemas.openxmlformats.org/officeDocument/2006/relationships/hyperlink" Target="http://www.imdb.com/title/tt1345836/" TargetMode="External"/><Relationship Id="rId79" Type="http://schemas.openxmlformats.org/officeDocument/2006/relationships/hyperlink" Target="http://www.imdb.com/title/tt0180093/" TargetMode="External"/><Relationship Id="rId102" Type="http://schemas.openxmlformats.org/officeDocument/2006/relationships/hyperlink" Target="http://www.imdb.com/title/tt0097576/" TargetMode="External"/><Relationship Id="rId123" Type="http://schemas.openxmlformats.org/officeDocument/2006/relationships/hyperlink" Target="http://www.imdb.com/title/tt0033870/" TargetMode="External"/><Relationship Id="rId144" Type="http://schemas.openxmlformats.org/officeDocument/2006/relationships/hyperlink" Target="http://www.imdb.com/title/tt0119217/" TargetMode="External"/><Relationship Id="rId90" Type="http://schemas.openxmlformats.org/officeDocument/2006/relationships/hyperlink" Target="http://www.imdb.com/title/tt0053291/" TargetMode="External"/><Relationship Id="rId165" Type="http://schemas.openxmlformats.org/officeDocument/2006/relationships/hyperlink" Target="http://www.imdb.com/title/tt0434409/" TargetMode="External"/><Relationship Id="rId186" Type="http://schemas.openxmlformats.org/officeDocument/2006/relationships/hyperlink" Target="http://www.imdb.com/title/tt0072890/" TargetMode="External"/><Relationship Id="rId211" Type="http://schemas.openxmlformats.org/officeDocument/2006/relationships/hyperlink" Target="http://www.imdb.com/title/tt0040746/" TargetMode="External"/><Relationship Id="rId232" Type="http://schemas.openxmlformats.org/officeDocument/2006/relationships/hyperlink" Target="http://www.imdb.com/title/tt0401383/" TargetMode="External"/><Relationship Id="rId27" Type="http://schemas.openxmlformats.org/officeDocument/2006/relationships/hyperlink" Target="http://www.imdb.com/title/tt0082971/" TargetMode="External"/><Relationship Id="rId48" Type="http://schemas.openxmlformats.org/officeDocument/2006/relationships/hyperlink" Target="http://www.imdb.com/title/tt0022100/" TargetMode="External"/><Relationship Id="rId69" Type="http://schemas.openxmlformats.org/officeDocument/2006/relationships/hyperlink" Target="http://www.imdb.com/title/tt0211915/" TargetMode="External"/><Relationship Id="rId113" Type="http://schemas.openxmlformats.org/officeDocument/2006/relationships/hyperlink" Target="http://www.imdb.com/title/tt0114709/" TargetMode="External"/><Relationship Id="rId134" Type="http://schemas.openxmlformats.org/officeDocument/2006/relationships/hyperlink" Target="http://www.imdb.com/title/tt0118715/" TargetMode="External"/><Relationship Id="rId80" Type="http://schemas.openxmlformats.org/officeDocument/2006/relationships/hyperlink" Target="http://www.imdb.com/title/tt0086190/" TargetMode="External"/><Relationship Id="rId155" Type="http://schemas.openxmlformats.org/officeDocument/2006/relationships/hyperlink" Target="http://www.imdb.com/title/tt0117951/" TargetMode="External"/><Relationship Id="rId176" Type="http://schemas.openxmlformats.org/officeDocument/2006/relationships/hyperlink" Target="http://www.imdb.com/title/tt0469494/" TargetMode="External"/><Relationship Id="rId197" Type="http://schemas.openxmlformats.org/officeDocument/2006/relationships/hyperlink" Target="http://www.imdb.com/title/tt0947798/" TargetMode="External"/><Relationship Id="rId201" Type="http://schemas.openxmlformats.org/officeDocument/2006/relationships/hyperlink" Target="http://www.imdb.com/title/tt0056217/" TargetMode="External"/><Relationship Id="rId222" Type="http://schemas.openxmlformats.org/officeDocument/2006/relationships/hyperlink" Target="http://www.imdb.com/title/tt0020629/" TargetMode="External"/><Relationship Id="rId243" Type="http://schemas.openxmlformats.org/officeDocument/2006/relationships/hyperlink" Target="http://www.imdb.com/title/tt0101414/"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www.oscars.org/awards/academyawards/legacy/best-pictures.html" TargetMode="Externa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drawing" Target="../drawings/drawing2.xml"/><Relationship Id="rId7" Type="http://schemas.openxmlformats.org/officeDocument/2006/relationships/ctrlProp" Target="../ctrlProps/ctrlProp3.xml"/><Relationship Id="rId2" Type="http://schemas.openxmlformats.org/officeDocument/2006/relationships/printerSettings" Target="../printerSettings/printerSettings1.bin"/><Relationship Id="rId1" Type="http://schemas.openxmlformats.org/officeDocument/2006/relationships/hyperlink" Target="http://www.exceldashboardtemplates.com/" TargetMode="External"/><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E262"/>
  <sheetViews>
    <sheetView workbookViewId="0">
      <selection activeCell="G3" sqref="G3"/>
    </sheetView>
  </sheetViews>
  <sheetFormatPr defaultRowHeight="15" x14ac:dyDescent="0.25"/>
  <cols>
    <col min="2" max="2" width="9.42578125" customWidth="1"/>
    <col min="3" max="3" width="6.42578125" style="82" bestFit="1" customWidth="1"/>
    <col min="4" max="4" width="53.7109375" bestFit="1" customWidth="1"/>
    <col min="5" max="5" width="7.28515625" bestFit="1" customWidth="1"/>
  </cols>
  <sheetData>
    <row r="1" spans="1:5" x14ac:dyDescent="0.25">
      <c r="A1">
        <v>2</v>
      </c>
      <c r="D1" s="64"/>
    </row>
    <row r="2" spans="1:5" x14ac:dyDescent="0.25">
      <c r="D2" s="64"/>
    </row>
    <row r="3" spans="1:5" x14ac:dyDescent="0.25">
      <c r="B3" s="83" t="s">
        <v>3</v>
      </c>
      <c r="C3" s="84" t="s">
        <v>4</v>
      </c>
      <c r="D3" s="85" t="s">
        <v>545</v>
      </c>
      <c r="E3" s="86" t="s">
        <v>5</v>
      </c>
    </row>
    <row r="4" spans="1:5" x14ac:dyDescent="0.25">
      <c r="B4" s="87">
        <v>1</v>
      </c>
      <c r="C4" s="88">
        <v>9.1999999999999993</v>
      </c>
      <c r="D4" s="89" t="s">
        <v>308</v>
      </c>
      <c r="E4" s="90">
        <v>1071904</v>
      </c>
    </row>
    <row r="5" spans="1:5" x14ac:dyDescent="0.25">
      <c r="B5" s="91">
        <v>2</v>
      </c>
      <c r="C5" s="92">
        <v>9.1999999999999993</v>
      </c>
      <c r="D5" s="93" t="s">
        <v>180</v>
      </c>
      <c r="E5" s="94">
        <v>751381</v>
      </c>
    </row>
    <row r="6" spans="1:5" x14ac:dyDescent="0.25">
      <c r="B6" s="87">
        <v>3</v>
      </c>
      <c r="C6" s="88">
        <v>9</v>
      </c>
      <c r="D6" s="89" t="s">
        <v>190</v>
      </c>
      <c r="E6" s="90">
        <v>488889</v>
      </c>
    </row>
    <row r="7" spans="1:5" x14ac:dyDescent="0.25">
      <c r="B7" s="91">
        <v>4</v>
      </c>
      <c r="C7" s="92">
        <v>8.9</v>
      </c>
      <c r="D7" s="93" t="s">
        <v>304</v>
      </c>
      <c r="E7" s="94">
        <v>830504</v>
      </c>
    </row>
    <row r="8" spans="1:5" x14ac:dyDescent="0.25">
      <c r="B8" s="87">
        <v>5</v>
      </c>
      <c r="C8" s="88">
        <v>8.9</v>
      </c>
      <c r="D8" s="89" t="s">
        <v>156</v>
      </c>
      <c r="E8" s="90">
        <v>322961</v>
      </c>
    </row>
    <row r="9" spans="1:5" x14ac:dyDescent="0.25">
      <c r="B9" s="91">
        <v>6</v>
      </c>
      <c r="C9" s="92">
        <v>8.9</v>
      </c>
      <c r="D9" s="93" t="s">
        <v>448</v>
      </c>
      <c r="E9" s="94">
        <v>1045186</v>
      </c>
    </row>
    <row r="10" spans="1:5" x14ac:dyDescent="0.25">
      <c r="B10" s="87">
        <v>7</v>
      </c>
      <c r="C10" s="88">
        <v>8.9</v>
      </c>
      <c r="D10" s="89" t="s">
        <v>100</v>
      </c>
      <c r="E10" s="90">
        <v>264112</v>
      </c>
    </row>
    <row r="11" spans="1:5" x14ac:dyDescent="0.25">
      <c r="B11" s="91">
        <v>8</v>
      </c>
      <c r="C11" s="92">
        <v>8.9</v>
      </c>
      <c r="D11" s="93" t="s">
        <v>298</v>
      </c>
      <c r="E11" s="94">
        <v>545703</v>
      </c>
    </row>
    <row r="12" spans="1:5" x14ac:dyDescent="0.25">
      <c r="B12" s="87">
        <v>9</v>
      </c>
      <c r="C12" s="88">
        <v>8.8000000000000007</v>
      </c>
      <c r="D12" s="89" t="s">
        <v>404</v>
      </c>
      <c r="E12" s="90">
        <v>758388</v>
      </c>
    </row>
    <row r="13" spans="1:5" x14ac:dyDescent="0.25">
      <c r="B13" s="91">
        <v>10</v>
      </c>
      <c r="C13" s="92">
        <v>8.8000000000000007</v>
      </c>
      <c r="D13" s="93" t="s">
        <v>354</v>
      </c>
      <c r="E13" s="94">
        <v>814389</v>
      </c>
    </row>
    <row r="14" spans="1:5" x14ac:dyDescent="0.25">
      <c r="B14" s="87">
        <v>11</v>
      </c>
      <c r="C14" s="88">
        <v>8.8000000000000007</v>
      </c>
      <c r="D14" s="89" t="s">
        <v>224</v>
      </c>
      <c r="E14" s="90">
        <v>519895</v>
      </c>
    </row>
    <row r="15" spans="1:5" x14ac:dyDescent="0.25">
      <c r="B15" s="91">
        <v>12</v>
      </c>
      <c r="C15" s="92">
        <v>8.8000000000000007</v>
      </c>
      <c r="D15" s="93" t="s">
        <v>382</v>
      </c>
      <c r="E15" s="94">
        <v>784999</v>
      </c>
    </row>
    <row r="16" spans="1:5" x14ac:dyDescent="0.25">
      <c r="B16" s="87">
        <v>13</v>
      </c>
      <c r="C16" s="88">
        <v>8.6999999999999993</v>
      </c>
      <c r="D16" s="89" t="s">
        <v>200</v>
      </c>
      <c r="E16" s="90">
        <v>447005</v>
      </c>
    </row>
    <row r="17" spans="2:5" x14ac:dyDescent="0.25">
      <c r="B17" s="91">
        <v>14</v>
      </c>
      <c r="C17" s="92">
        <v>8.6999999999999993</v>
      </c>
      <c r="D17" s="93" t="s">
        <v>280</v>
      </c>
      <c r="E17" s="94">
        <v>465445</v>
      </c>
    </row>
    <row r="18" spans="2:5" x14ac:dyDescent="0.25">
      <c r="B18" s="87">
        <v>15</v>
      </c>
      <c r="C18" s="88">
        <v>8.6999999999999993</v>
      </c>
      <c r="D18" s="89" t="s">
        <v>92</v>
      </c>
      <c r="E18" s="90">
        <v>161969</v>
      </c>
    </row>
    <row r="19" spans="2:5" x14ac:dyDescent="0.25">
      <c r="B19" s="91">
        <v>16</v>
      </c>
      <c r="C19" s="92">
        <v>8.6999999999999993</v>
      </c>
      <c r="D19" s="93" t="s">
        <v>472</v>
      </c>
      <c r="E19" s="94">
        <v>844938</v>
      </c>
    </row>
    <row r="20" spans="2:5" x14ac:dyDescent="0.25">
      <c r="B20" s="87">
        <v>17</v>
      </c>
      <c r="C20" s="88">
        <v>8.6999999999999993</v>
      </c>
      <c r="D20" s="89" t="s">
        <v>210</v>
      </c>
      <c r="E20" s="90">
        <v>585132</v>
      </c>
    </row>
    <row r="21" spans="2:5" x14ac:dyDescent="0.25">
      <c r="B21" s="91">
        <v>18</v>
      </c>
      <c r="C21" s="92">
        <v>8.6999999999999993</v>
      </c>
      <c r="D21" s="93" t="s">
        <v>300</v>
      </c>
      <c r="E21" s="94">
        <v>711386</v>
      </c>
    </row>
    <row r="22" spans="2:5" x14ac:dyDescent="0.25">
      <c r="B22" s="87">
        <v>19</v>
      </c>
      <c r="C22" s="88">
        <v>8.6999999999999993</v>
      </c>
      <c r="D22" s="89" t="s">
        <v>358</v>
      </c>
      <c r="E22" s="90">
        <v>770559</v>
      </c>
    </row>
    <row r="23" spans="2:5" x14ac:dyDescent="0.25">
      <c r="B23" s="91">
        <v>20</v>
      </c>
      <c r="C23" s="92">
        <v>8.6999999999999993</v>
      </c>
      <c r="D23" s="93" t="s">
        <v>388</v>
      </c>
      <c r="E23" s="94">
        <v>680983</v>
      </c>
    </row>
    <row r="24" spans="2:5" x14ac:dyDescent="0.25">
      <c r="B24" s="87">
        <v>21</v>
      </c>
      <c r="C24" s="88">
        <v>8.6</v>
      </c>
      <c r="D24" s="89" t="s">
        <v>384</v>
      </c>
      <c r="E24" s="90">
        <v>349902</v>
      </c>
    </row>
    <row r="25" spans="2:5" x14ac:dyDescent="0.25">
      <c r="B25" s="91">
        <v>22</v>
      </c>
      <c r="C25" s="92">
        <v>8.6</v>
      </c>
      <c r="D25" s="93" t="s">
        <v>286</v>
      </c>
      <c r="E25" s="94">
        <v>527492</v>
      </c>
    </row>
    <row r="26" spans="2:5" x14ac:dyDescent="0.25">
      <c r="B26" s="87">
        <v>23</v>
      </c>
      <c r="C26" s="88">
        <v>8.6</v>
      </c>
      <c r="D26" s="89" t="s">
        <v>322</v>
      </c>
      <c r="E26" s="90">
        <v>625620</v>
      </c>
    </row>
    <row r="27" spans="2:5" x14ac:dyDescent="0.25">
      <c r="B27" s="91">
        <v>24</v>
      </c>
      <c r="C27" s="92">
        <v>8.6</v>
      </c>
      <c r="D27" s="93" t="s">
        <v>168</v>
      </c>
      <c r="E27" s="94">
        <v>145769</v>
      </c>
    </row>
    <row r="28" spans="2:5" x14ac:dyDescent="0.25">
      <c r="B28" s="87">
        <v>25</v>
      </c>
      <c r="C28" s="88">
        <v>8.6</v>
      </c>
      <c r="D28" s="89" t="s">
        <v>42</v>
      </c>
      <c r="E28" s="90">
        <v>278743</v>
      </c>
    </row>
    <row r="29" spans="2:5" x14ac:dyDescent="0.25">
      <c r="B29" s="91">
        <v>26</v>
      </c>
      <c r="C29" s="92">
        <v>8.6</v>
      </c>
      <c r="D29" s="93" t="s">
        <v>324</v>
      </c>
      <c r="E29" s="94">
        <v>481594</v>
      </c>
    </row>
    <row r="30" spans="2:5" x14ac:dyDescent="0.25">
      <c r="B30" s="87">
        <v>27</v>
      </c>
      <c r="C30" s="88">
        <v>8.6</v>
      </c>
      <c r="D30" s="89" t="s">
        <v>232</v>
      </c>
      <c r="E30" s="90">
        <v>439557</v>
      </c>
    </row>
    <row r="31" spans="2:5" x14ac:dyDescent="0.25">
      <c r="B31" s="91">
        <v>28</v>
      </c>
      <c r="C31" s="92">
        <v>8.6</v>
      </c>
      <c r="D31" s="93" t="s">
        <v>90</v>
      </c>
      <c r="E31" s="94">
        <v>213122</v>
      </c>
    </row>
    <row r="32" spans="2:5" x14ac:dyDescent="0.25">
      <c r="B32" s="87">
        <v>29</v>
      </c>
      <c r="C32" s="88">
        <v>8.6</v>
      </c>
      <c r="D32" s="89" t="s">
        <v>48</v>
      </c>
      <c r="E32" s="90">
        <v>180212</v>
      </c>
    </row>
    <row r="33" spans="2:5" x14ac:dyDescent="0.25">
      <c r="B33" s="91">
        <v>30</v>
      </c>
      <c r="C33" s="92">
        <v>8.6</v>
      </c>
      <c r="D33" s="93" t="s">
        <v>126</v>
      </c>
      <c r="E33" s="94">
        <v>272065</v>
      </c>
    </row>
    <row r="34" spans="2:5" x14ac:dyDescent="0.25">
      <c r="B34" s="87">
        <v>31</v>
      </c>
      <c r="C34" s="88">
        <v>8.6</v>
      </c>
      <c r="D34" s="89" t="s">
        <v>302</v>
      </c>
      <c r="E34" s="90">
        <v>454516</v>
      </c>
    </row>
    <row r="35" spans="2:5" x14ac:dyDescent="0.25">
      <c r="B35" s="91">
        <v>32</v>
      </c>
      <c r="C35" s="92">
        <v>8.5</v>
      </c>
      <c r="D35" s="93" t="s">
        <v>68</v>
      </c>
      <c r="E35" s="94">
        <v>95571</v>
      </c>
    </row>
    <row r="36" spans="2:5" x14ac:dyDescent="0.25">
      <c r="B36" s="87">
        <v>33</v>
      </c>
      <c r="C36" s="88">
        <v>8.5</v>
      </c>
      <c r="D36" s="89" t="s">
        <v>342</v>
      </c>
      <c r="E36" s="90">
        <v>495932</v>
      </c>
    </row>
    <row r="37" spans="2:5" x14ac:dyDescent="0.25">
      <c r="B37" s="91">
        <v>34</v>
      </c>
      <c r="C37" s="92">
        <v>8.5</v>
      </c>
      <c r="D37" s="93" t="s">
        <v>216</v>
      </c>
      <c r="E37" s="94">
        <v>309699</v>
      </c>
    </row>
    <row r="38" spans="2:5" x14ac:dyDescent="0.25">
      <c r="B38" s="87">
        <v>35</v>
      </c>
      <c r="C38" s="88">
        <v>8.5</v>
      </c>
      <c r="D38" s="89" t="s">
        <v>284</v>
      </c>
      <c r="E38" s="90">
        <v>479572</v>
      </c>
    </row>
    <row r="39" spans="2:5" x14ac:dyDescent="0.25">
      <c r="B39" s="91">
        <v>36</v>
      </c>
      <c r="C39" s="92">
        <v>8.5</v>
      </c>
      <c r="D39" s="93" t="s">
        <v>366</v>
      </c>
      <c r="E39" s="94">
        <v>557394</v>
      </c>
    </row>
    <row r="40" spans="2:5" x14ac:dyDescent="0.25">
      <c r="B40" s="87">
        <v>37</v>
      </c>
      <c r="C40" s="88">
        <v>8.5</v>
      </c>
      <c r="D40" s="89" t="s">
        <v>346</v>
      </c>
      <c r="E40" s="90">
        <v>546922</v>
      </c>
    </row>
    <row r="41" spans="2:5" x14ac:dyDescent="0.25">
      <c r="B41" s="91">
        <v>38</v>
      </c>
      <c r="C41" s="92">
        <v>8.5</v>
      </c>
      <c r="D41" s="93" t="s">
        <v>16</v>
      </c>
      <c r="E41" s="94">
        <v>62840</v>
      </c>
    </row>
    <row r="42" spans="2:5" x14ac:dyDescent="0.25">
      <c r="B42" s="87">
        <v>39</v>
      </c>
      <c r="C42" s="88">
        <v>8.5</v>
      </c>
      <c r="D42" s="89" t="s">
        <v>150</v>
      </c>
      <c r="E42" s="90">
        <v>249013</v>
      </c>
    </row>
    <row r="43" spans="2:5" x14ac:dyDescent="0.25">
      <c r="B43" s="91">
        <v>40</v>
      </c>
      <c r="C43" s="92">
        <v>8.5</v>
      </c>
      <c r="D43" s="93" t="s">
        <v>214</v>
      </c>
      <c r="E43" s="94">
        <v>360007</v>
      </c>
    </row>
    <row r="44" spans="2:5" x14ac:dyDescent="0.25">
      <c r="B44" s="87">
        <v>41</v>
      </c>
      <c r="C44" s="88">
        <v>8.5</v>
      </c>
      <c r="D44" s="89" t="s">
        <v>22</v>
      </c>
      <c r="E44" s="90">
        <v>80077</v>
      </c>
    </row>
    <row r="45" spans="2:5" x14ac:dyDescent="0.25">
      <c r="B45" s="91">
        <v>42</v>
      </c>
      <c r="C45" s="92">
        <v>8.5</v>
      </c>
      <c r="D45" s="93" t="s">
        <v>380</v>
      </c>
      <c r="E45" s="94">
        <v>244430</v>
      </c>
    </row>
    <row r="46" spans="2:5" x14ac:dyDescent="0.25">
      <c r="B46" s="87">
        <v>43</v>
      </c>
      <c r="C46" s="88">
        <v>8.5</v>
      </c>
      <c r="D46" s="89" t="s">
        <v>502</v>
      </c>
      <c r="E46" s="90">
        <v>33721</v>
      </c>
    </row>
    <row r="47" spans="2:5" x14ac:dyDescent="0.25">
      <c r="B47" s="91">
        <v>44</v>
      </c>
      <c r="C47" s="92">
        <v>8.5</v>
      </c>
      <c r="D47" s="93" t="s">
        <v>120</v>
      </c>
      <c r="E47" s="94">
        <v>155574</v>
      </c>
    </row>
    <row r="48" spans="2:5" x14ac:dyDescent="0.25">
      <c r="B48" s="87">
        <v>45</v>
      </c>
      <c r="C48" s="88">
        <v>8.5</v>
      </c>
      <c r="D48" s="89" t="s">
        <v>254</v>
      </c>
      <c r="E48" s="90">
        <v>433401</v>
      </c>
    </row>
    <row r="49" spans="2:5" x14ac:dyDescent="0.25">
      <c r="B49" s="91">
        <v>46</v>
      </c>
      <c r="C49" s="92">
        <v>8.4</v>
      </c>
      <c r="D49" s="93" t="s">
        <v>38</v>
      </c>
      <c r="E49" s="94">
        <v>216576</v>
      </c>
    </row>
    <row r="50" spans="2:5" x14ac:dyDescent="0.25">
      <c r="B50" s="87">
        <v>47</v>
      </c>
      <c r="C50" s="88">
        <v>8.4</v>
      </c>
      <c r="D50" s="89" t="s">
        <v>390</v>
      </c>
      <c r="E50" s="90">
        <v>297265</v>
      </c>
    </row>
    <row r="51" spans="2:5" x14ac:dyDescent="0.25">
      <c r="B51" s="91">
        <v>48</v>
      </c>
      <c r="C51" s="92">
        <v>8.4</v>
      </c>
      <c r="D51" s="93" t="s">
        <v>18</v>
      </c>
      <c r="E51" s="94">
        <v>68920</v>
      </c>
    </row>
    <row r="52" spans="2:5" x14ac:dyDescent="0.25">
      <c r="B52" s="87">
        <v>49</v>
      </c>
      <c r="C52" s="88">
        <v>8.4</v>
      </c>
      <c r="D52" s="89" t="s">
        <v>338</v>
      </c>
      <c r="E52" s="90">
        <v>237603</v>
      </c>
    </row>
    <row r="53" spans="2:5" x14ac:dyDescent="0.25">
      <c r="B53" s="91">
        <v>50</v>
      </c>
      <c r="C53" s="92">
        <v>8.4</v>
      </c>
      <c r="D53" s="93" t="s">
        <v>228</v>
      </c>
      <c r="E53" s="94">
        <v>380225</v>
      </c>
    </row>
    <row r="54" spans="2:5" x14ac:dyDescent="0.25">
      <c r="B54" s="87">
        <v>51</v>
      </c>
      <c r="C54" s="88">
        <v>8.4</v>
      </c>
      <c r="D54" s="89" t="s">
        <v>424</v>
      </c>
      <c r="E54" s="90">
        <v>540726</v>
      </c>
    </row>
    <row r="55" spans="2:5" x14ac:dyDescent="0.25">
      <c r="B55" s="91">
        <v>52</v>
      </c>
      <c r="C55" s="92">
        <v>8.4</v>
      </c>
      <c r="D55" s="93" t="s">
        <v>102</v>
      </c>
      <c r="E55" s="94">
        <v>78867</v>
      </c>
    </row>
    <row r="56" spans="2:5" x14ac:dyDescent="0.25">
      <c r="B56" s="87">
        <v>53</v>
      </c>
      <c r="C56" s="88">
        <v>8.4</v>
      </c>
      <c r="D56" s="89" t="s">
        <v>114</v>
      </c>
      <c r="E56" s="90">
        <v>162865</v>
      </c>
    </row>
    <row r="57" spans="2:5" x14ac:dyDescent="0.25">
      <c r="B57" s="91">
        <v>54</v>
      </c>
      <c r="C57" s="92">
        <v>8.4</v>
      </c>
      <c r="D57" s="93" t="s">
        <v>352</v>
      </c>
      <c r="E57" s="94">
        <v>555796</v>
      </c>
    </row>
    <row r="58" spans="2:5" x14ac:dyDescent="0.25">
      <c r="B58" s="87">
        <v>55</v>
      </c>
      <c r="C58" s="88">
        <v>8.4</v>
      </c>
      <c r="D58" s="89" t="s">
        <v>490</v>
      </c>
      <c r="E58" s="90">
        <v>450505</v>
      </c>
    </row>
    <row r="59" spans="2:5" x14ac:dyDescent="0.25">
      <c r="B59" s="91">
        <v>56</v>
      </c>
      <c r="C59" s="92">
        <v>8.4</v>
      </c>
      <c r="D59" s="93" t="s">
        <v>46</v>
      </c>
      <c r="E59" s="94">
        <v>66255</v>
      </c>
    </row>
    <row r="60" spans="2:5" x14ac:dyDescent="0.25">
      <c r="B60" s="87">
        <v>57</v>
      </c>
      <c r="C60" s="88">
        <v>8.4</v>
      </c>
      <c r="D60" s="89" t="s">
        <v>206</v>
      </c>
      <c r="E60" s="90">
        <v>321465</v>
      </c>
    </row>
    <row r="61" spans="2:5" x14ac:dyDescent="0.25">
      <c r="B61" s="91">
        <v>58</v>
      </c>
      <c r="C61" s="92">
        <v>8.4</v>
      </c>
      <c r="D61" s="93" t="s">
        <v>496</v>
      </c>
      <c r="E61" s="94">
        <v>672751</v>
      </c>
    </row>
    <row r="62" spans="2:5" x14ac:dyDescent="0.25">
      <c r="B62" s="87">
        <v>59</v>
      </c>
      <c r="C62" s="88">
        <v>8.4</v>
      </c>
      <c r="D62" s="89" t="s">
        <v>258</v>
      </c>
      <c r="E62" s="90">
        <v>325439</v>
      </c>
    </row>
    <row r="63" spans="2:5" x14ac:dyDescent="0.25">
      <c r="B63" s="91">
        <v>60</v>
      </c>
      <c r="C63" s="92">
        <v>8.4</v>
      </c>
      <c r="D63" s="93" t="s">
        <v>356</v>
      </c>
      <c r="E63" s="94">
        <v>447680</v>
      </c>
    </row>
    <row r="64" spans="2:5" x14ac:dyDescent="0.25">
      <c r="B64" s="87">
        <v>61</v>
      </c>
      <c r="C64" s="88">
        <v>8.4</v>
      </c>
      <c r="D64" s="89" t="s">
        <v>486</v>
      </c>
      <c r="E64" s="90">
        <v>223271</v>
      </c>
    </row>
    <row r="65" spans="2:5" x14ac:dyDescent="0.25">
      <c r="B65" s="91">
        <v>62</v>
      </c>
      <c r="C65" s="92">
        <v>8.4</v>
      </c>
      <c r="D65" s="93" t="s">
        <v>364</v>
      </c>
      <c r="E65" s="94">
        <v>598332</v>
      </c>
    </row>
    <row r="66" spans="2:5" x14ac:dyDescent="0.25">
      <c r="B66" s="87">
        <v>63</v>
      </c>
      <c r="C66" s="88">
        <v>8.4</v>
      </c>
      <c r="D66" s="89" t="s">
        <v>450</v>
      </c>
      <c r="E66" s="90">
        <v>430863</v>
      </c>
    </row>
    <row r="67" spans="2:5" x14ac:dyDescent="0.25">
      <c r="B67" s="91">
        <v>64</v>
      </c>
      <c r="C67" s="92">
        <v>8.4</v>
      </c>
      <c r="D67" s="93" t="s">
        <v>426</v>
      </c>
      <c r="E67" s="94">
        <v>168022</v>
      </c>
    </row>
    <row r="68" spans="2:5" x14ac:dyDescent="0.25">
      <c r="B68" s="87">
        <v>65</v>
      </c>
      <c r="C68" s="88">
        <v>8.4</v>
      </c>
      <c r="D68" s="89" t="s">
        <v>478</v>
      </c>
      <c r="E68" s="90">
        <v>320991</v>
      </c>
    </row>
    <row r="69" spans="2:5" x14ac:dyDescent="0.25">
      <c r="B69" s="91">
        <v>66</v>
      </c>
      <c r="C69" s="92">
        <v>8.4</v>
      </c>
      <c r="D69" s="93" t="s">
        <v>36</v>
      </c>
      <c r="E69" s="94">
        <v>78329</v>
      </c>
    </row>
    <row r="70" spans="2:5" x14ac:dyDescent="0.25">
      <c r="B70" s="87">
        <v>67</v>
      </c>
      <c r="C70" s="88">
        <v>8.4</v>
      </c>
      <c r="D70" s="89" t="s">
        <v>176</v>
      </c>
      <c r="E70" s="90">
        <v>356779</v>
      </c>
    </row>
    <row r="71" spans="2:5" x14ac:dyDescent="0.25">
      <c r="B71" s="91">
        <v>68</v>
      </c>
      <c r="C71" s="92">
        <v>8.4</v>
      </c>
      <c r="D71" s="93" t="s">
        <v>428</v>
      </c>
      <c r="E71" s="94">
        <v>497983</v>
      </c>
    </row>
    <row r="72" spans="2:5" x14ac:dyDescent="0.25">
      <c r="B72" s="87">
        <v>69</v>
      </c>
      <c r="C72" s="88">
        <v>8.4</v>
      </c>
      <c r="D72" s="89" t="s">
        <v>374</v>
      </c>
      <c r="E72" s="90">
        <v>351134</v>
      </c>
    </row>
    <row r="73" spans="2:5" x14ac:dyDescent="0.25">
      <c r="B73" s="91">
        <v>70</v>
      </c>
      <c r="C73" s="92">
        <v>8.4</v>
      </c>
      <c r="D73" s="93" t="s">
        <v>136</v>
      </c>
      <c r="E73" s="94">
        <v>130531</v>
      </c>
    </row>
    <row r="74" spans="2:5" x14ac:dyDescent="0.25">
      <c r="B74" s="87">
        <v>71</v>
      </c>
      <c r="C74" s="88">
        <v>8.4</v>
      </c>
      <c r="D74" s="89" t="s">
        <v>142</v>
      </c>
      <c r="E74" s="90">
        <v>143215</v>
      </c>
    </row>
    <row r="75" spans="2:5" x14ac:dyDescent="0.25">
      <c r="B75" s="91">
        <v>72</v>
      </c>
      <c r="C75" s="92">
        <v>8.4</v>
      </c>
      <c r="D75" s="93" t="s">
        <v>288</v>
      </c>
      <c r="E75" s="94">
        <v>416840</v>
      </c>
    </row>
    <row r="76" spans="2:5" x14ac:dyDescent="0.25">
      <c r="B76" s="87">
        <v>73</v>
      </c>
      <c r="C76" s="88">
        <v>8.4</v>
      </c>
      <c r="D76" s="89" t="s">
        <v>230</v>
      </c>
      <c r="E76" s="90">
        <v>118641</v>
      </c>
    </row>
    <row r="77" spans="2:5" x14ac:dyDescent="0.25">
      <c r="B77" s="91">
        <v>74</v>
      </c>
      <c r="C77" s="92">
        <v>8.3000000000000007</v>
      </c>
      <c r="D77" s="93" t="s">
        <v>268</v>
      </c>
      <c r="E77" s="94">
        <v>93024</v>
      </c>
    </row>
    <row r="78" spans="2:5" x14ac:dyDescent="0.25">
      <c r="B78" s="87">
        <v>75</v>
      </c>
      <c r="C78" s="88">
        <v>8.3000000000000007</v>
      </c>
      <c r="D78" s="89" t="s">
        <v>306</v>
      </c>
      <c r="E78" s="90">
        <v>361740</v>
      </c>
    </row>
    <row r="79" spans="2:5" x14ac:dyDescent="0.25">
      <c r="B79" s="91">
        <v>76</v>
      </c>
      <c r="C79" s="92">
        <v>8.3000000000000007</v>
      </c>
      <c r="D79" s="93" t="s">
        <v>60</v>
      </c>
      <c r="E79" s="94">
        <v>55469</v>
      </c>
    </row>
    <row r="80" spans="2:5" x14ac:dyDescent="0.25">
      <c r="B80" s="87">
        <v>77</v>
      </c>
      <c r="C80" s="88">
        <v>8.3000000000000007</v>
      </c>
      <c r="D80" s="89" t="s">
        <v>62</v>
      </c>
      <c r="E80" s="90">
        <v>81076</v>
      </c>
    </row>
    <row r="81" spans="2:5" x14ac:dyDescent="0.25">
      <c r="B81" s="91">
        <v>78</v>
      </c>
      <c r="C81" s="92">
        <v>8.3000000000000007</v>
      </c>
      <c r="D81" s="93" t="s">
        <v>250</v>
      </c>
      <c r="E81" s="94">
        <v>146293</v>
      </c>
    </row>
    <row r="82" spans="2:5" x14ac:dyDescent="0.25">
      <c r="B82" s="87">
        <v>79</v>
      </c>
      <c r="C82" s="88">
        <v>8.3000000000000007</v>
      </c>
      <c r="D82" s="89" t="s">
        <v>368</v>
      </c>
      <c r="E82" s="90">
        <v>378814</v>
      </c>
    </row>
    <row r="83" spans="2:5" x14ac:dyDescent="0.25">
      <c r="B83" s="91">
        <v>80</v>
      </c>
      <c r="C83" s="92">
        <v>8.3000000000000007</v>
      </c>
      <c r="D83" s="93" t="s">
        <v>244</v>
      </c>
      <c r="E83" s="94">
        <v>410111</v>
      </c>
    </row>
    <row r="84" spans="2:5" x14ac:dyDescent="0.25">
      <c r="B84" s="87">
        <v>81</v>
      </c>
      <c r="C84" s="88">
        <v>8.3000000000000007</v>
      </c>
      <c r="D84" s="89" t="s">
        <v>408</v>
      </c>
      <c r="E84" s="90">
        <v>437665</v>
      </c>
    </row>
    <row r="85" spans="2:5" x14ac:dyDescent="0.25">
      <c r="B85" s="91">
        <v>82</v>
      </c>
      <c r="C85" s="92">
        <v>8.3000000000000007</v>
      </c>
      <c r="D85" s="93" t="s">
        <v>264</v>
      </c>
      <c r="E85" s="94">
        <v>305714</v>
      </c>
    </row>
    <row r="86" spans="2:5" x14ac:dyDescent="0.25">
      <c r="B86" s="87">
        <v>83</v>
      </c>
      <c r="C86" s="88">
        <v>8.3000000000000007</v>
      </c>
      <c r="D86" s="89" t="s">
        <v>314</v>
      </c>
      <c r="E86" s="90">
        <v>480170</v>
      </c>
    </row>
    <row r="87" spans="2:5" x14ac:dyDescent="0.25">
      <c r="B87" s="91">
        <v>84</v>
      </c>
      <c r="C87" s="92">
        <v>8.3000000000000007</v>
      </c>
      <c r="D87" s="93" t="s">
        <v>336</v>
      </c>
      <c r="E87" s="94">
        <v>296956</v>
      </c>
    </row>
    <row r="88" spans="2:5" x14ac:dyDescent="0.25">
      <c r="B88" s="87">
        <v>85</v>
      </c>
      <c r="C88" s="88">
        <v>8.3000000000000007</v>
      </c>
      <c r="D88" s="89" t="s">
        <v>400</v>
      </c>
      <c r="E88" s="90">
        <v>217584</v>
      </c>
    </row>
    <row r="89" spans="2:5" x14ac:dyDescent="0.25">
      <c r="B89" s="91">
        <v>86</v>
      </c>
      <c r="C89" s="92">
        <v>8.3000000000000007</v>
      </c>
      <c r="D89" s="93" t="s">
        <v>78</v>
      </c>
      <c r="E89" s="94">
        <v>99981</v>
      </c>
    </row>
    <row r="90" spans="2:5" x14ac:dyDescent="0.25">
      <c r="B90" s="87">
        <v>87</v>
      </c>
      <c r="C90" s="88">
        <v>8.3000000000000007</v>
      </c>
      <c r="D90" s="89" t="s">
        <v>12</v>
      </c>
      <c r="E90" s="90">
        <v>74994</v>
      </c>
    </row>
    <row r="91" spans="2:5" x14ac:dyDescent="0.25">
      <c r="B91" s="91">
        <v>88</v>
      </c>
      <c r="C91" s="92">
        <v>8.3000000000000007</v>
      </c>
      <c r="D91" s="93" t="s">
        <v>188</v>
      </c>
      <c r="E91" s="94">
        <v>147914</v>
      </c>
    </row>
    <row r="92" spans="2:5" x14ac:dyDescent="0.25">
      <c r="B92" s="87">
        <v>89</v>
      </c>
      <c r="C92" s="88">
        <v>8.3000000000000007</v>
      </c>
      <c r="D92" s="89" t="s">
        <v>66</v>
      </c>
      <c r="E92" s="90">
        <v>69011</v>
      </c>
    </row>
    <row r="93" spans="2:5" x14ac:dyDescent="0.25">
      <c r="B93" s="91">
        <v>90</v>
      </c>
      <c r="C93" s="92">
        <v>8.3000000000000007</v>
      </c>
      <c r="D93" s="93" t="s">
        <v>122</v>
      </c>
      <c r="E93" s="94">
        <v>120126</v>
      </c>
    </row>
    <row r="94" spans="2:5" x14ac:dyDescent="0.25">
      <c r="B94" s="87">
        <v>91</v>
      </c>
      <c r="C94" s="88">
        <v>8.3000000000000007</v>
      </c>
      <c r="D94" s="89" t="s">
        <v>56</v>
      </c>
      <c r="E94" s="90">
        <v>57490</v>
      </c>
    </row>
    <row r="95" spans="2:5" x14ac:dyDescent="0.25">
      <c r="B95" s="91">
        <v>92</v>
      </c>
      <c r="C95" s="92">
        <v>8.3000000000000007</v>
      </c>
      <c r="D95" s="93" t="s">
        <v>64</v>
      </c>
      <c r="E95" s="94">
        <v>57417</v>
      </c>
    </row>
    <row r="96" spans="2:5" x14ac:dyDescent="0.25">
      <c r="B96" s="87">
        <v>93</v>
      </c>
      <c r="C96" s="88">
        <v>8.3000000000000007</v>
      </c>
      <c r="D96" s="89" t="s">
        <v>198</v>
      </c>
      <c r="E96" s="90">
        <v>265075</v>
      </c>
    </row>
    <row r="97" spans="2:5" x14ac:dyDescent="0.25">
      <c r="B97" s="91">
        <v>94</v>
      </c>
      <c r="C97" s="92">
        <v>8.3000000000000007</v>
      </c>
      <c r="D97" s="93" t="s">
        <v>340</v>
      </c>
      <c r="E97" s="94">
        <v>135618</v>
      </c>
    </row>
    <row r="98" spans="2:5" x14ac:dyDescent="0.25">
      <c r="B98" s="87">
        <v>95</v>
      </c>
      <c r="C98" s="88">
        <v>8.3000000000000007</v>
      </c>
      <c r="D98" s="89" t="s">
        <v>246</v>
      </c>
      <c r="E98" s="90">
        <v>183169</v>
      </c>
    </row>
    <row r="99" spans="2:5" x14ac:dyDescent="0.25">
      <c r="B99" s="91">
        <v>96</v>
      </c>
      <c r="C99" s="92">
        <v>8.3000000000000007</v>
      </c>
      <c r="D99" s="93" t="s">
        <v>166</v>
      </c>
      <c r="E99" s="94">
        <v>275055</v>
      </c>
    </row>
    <row r="100" spans="2:5" x14ac:dyDescent="0.25">
      <c r="B100" s="87">
        <v>97</v>
      </c>
      <c r="C100" s="88">
        <v>8.3000000000000007</v>
      </c>
      <c r="D100" s="89" t="s">
        <v>110</v>
      </c>
      <c r="E100" s="90">
        <v>36241</v>
      </c>
    </row>
    <row r="101" spans="2:5" x14ac:dyDescent="0.25">
      <c r="B101" s="91">
        <v>98</v>
      </c>
      <c r="C101" s="92">
        <v>8.3000000000000007</v>
      </c>
      <c r="D101" s="93" t="s">
        <v>128</v>
      </c>
      <c r="E101" s="94">
        <v>70921</v>
      </c>
    </row>
    <row r="102" spans="2:5" x14ac:dyDescent="0.25">
      <c r="B102" s="87">
        <v>99</v>
      </c>
      <c r="C102" s="88">
        <v>8.3000000000000007</v>
      </c>
      <c r="D102" s="89" t="s">
        <v>186</v>
      </c>
      <c r="E102" s="90">
        <v>117819</v>
      </c>
    </row>
    <row r="103" spans="2:5" x14ac:dyDescent="0.25">
      <c r="B103" s="91">
        <v>100</v>
      </c>
      <c r="C103" s="92">
        <v>8.3000000000000007</v>
      </c>
      <c r="D103" s="93" t="s">
        <v>290</v>
      </c>
      <c r="E103" s="94">
        <v>190549</v>
      </c>
    </row>
    <row r="104" spans="2:5" x14ac:dyDescent="0.25">
      <c r="B104" s="87">
        <v>101</v>
      </c>
      <c r="C104" s="88">
        <v>8.3000000000000007</v>
      </c>
      <c r="D104" s="89" t="s">
        <v>272</v>
      </c>
      <c r="E104" s="90">
        <v>75713</v>
      </c>
    </row>
    <row r="105" spans="2:5" x14ac:dyDescent="0.25">
      <c r="B105" s="91">
        <v>102</v>
      </c>
      <c r="C105" s="92">
        <v>8.3000000000000007</v>
      </c>
      <c r="D105" s="93" t="s">
        <v>278</v>
      </c>
      <c r="E105" s="94">
        <v>336055</v>
      </c>
    </row>
    <row r="106" spans="2:5" x14ac:dyDescent="0.25">
      <c r="B106" s="87">
        <v>103</v>
      </c>
      <c r="C106" s="88">
        <v>8.3000000000000007</v>
      </c>
      <c r="D106" s="89" t="s">
        <v>222</v>
      </c>
      <c r="E106" s="90">
        <v>160636</v>
      </c>
    </row>
    <row r="107" spans="2:5" x14ac:dyDescent="0.25">
      <c r="B107" s="91">
        <v>104</v>
      </c>
      <c r="C107" s="92">
        <v>8.3000000000000007</v>
      </c>
      <c r="D107" s="93" t="s">
        <v>104</v>
      </c>
      <c r="E107" s="94">
        <v>102421</v>
      </c>
    </row>
    <row r="108" spans="2:5" x14ac:dyDescent="0.25">
      <c r="B108" s="87">
        <v>105</v>
      </c>
      <c r="C108" s="88">
        <v>8.3000000000000007</v>
      </c>
      <c r="D108" s="89" t="s">
        <v>270</v>
      </c>
      <c r="E108" s="90">
        <v>395178</v>
      </c>
    </row>
    <row r="109" spans="2:5" x14ac:dyDescent="0.25">
      <c r="B109" s="91">
        <v>106</v>
      </c>
      <c r="C109" s="92">
        <v>8.3000000000000007</v>
      </c>
      <c r="D109" s="93" t="s">
        <v>134</v>
      </c>
      <c r="E109" s="94">
        <v>49855</v>
      </c>
    </row>
    <row r="110" spans="2:5" x14ac:dyDescent="0.25">
      <c r="B110" s="87">
        <v>107</v>
      </c>
      <c r="C110" s="88">
        <v>8.3000000000000007</v>
      </c>
      <c r="D110" s="89" t="s">
        <v>416</v>
      </c>
      <c r="E110" s="90">
        <v>604923</v>
      </c>
    </row>
    <row r="111" spans="2:5" x14ac:dyDescent="0.25">
      <c r="B111" s="91">
        <v>108</v>
      </c>
      <c r="C111" s="92">
        <v>8.3000000000000007</v>
      </c>
      <c r="D111" s="93" t="s">
        <v>480</v>
      </c>
      <c r="E111" s="94">
        <v>93088</v>
      </c>
    </row>
    <row r="112" spans="2:5" x14ac:dyDescent="0.25">
      <c r="B112" s="87">
        <v>109</v>
      </c>
      <c r="C112" s="88">
        <v>8.1999999999999993</v>
      </c>
      <c r="D112" s="89" t="s">
        <v>456</v>
      </c>
      <c r="E112" s="90">
        <v>505702</v>
      </c>
    </row>
    <row r="113" spans="2:5" x14ac:dyDescent="0.25">
      <c r="B113" s="91">
        <v>110</v>
      </c>
      <c r="C113" s="92">
        <v>8.1999999999999993</v>
      </c>
      <c r="D113" s="93" t="s">
        <v>152</v>
      </c>
      <c r="E113" s="94">
        <v>94509</v>
      </c>
    </row>
    <row r="114" spans="2:5" x14ac:dyDescent="0.25">
      <c r="B114" s="87">
        <v>111</v>
      </c>
      <c r="C114" s="88">
        <v>8.1999999999999993</v>
      </c>
      <c r="D114" s="89" t="s">
        <v>28</v>
      </c>
      <c r="E114" s="90">
        <v>54505</v>
      </c>
    </row>
    <row r="115" spans="2:5" x14ac:dyDescent="0.25">
      <c r="B115" s="91">
        <v>112</v>
      </c>
      <c r="C115" s="92">
        <v>8.1999999999999993</v>
      </c>
      <c r="D115" s="93" t="s">
        <v>370</v>
      </c>
      <c r="E115" s="94">
        <v>392241</v>
      </c>
    </row>
    <row r="116" spans="2:5" x14ac:dyDescent="0.25">
      <c r="B116" s="87">
        <v>113</v>
      </c>
      <c r="C116" s="88">
        <v>8.1999999999999993</v>
      </c>
      <c r="D116" s="89" t="s">
        <v>326</v>
      </c>
      <c r="E116" s="90">
        <v>369869</v>
      </c>
    </row>
    <row r="117" spans="2:5" x14ac:dyDescent="0.25">
      <c r="B117" s="91">
        <v>114</v>
      </c>
      <c r="C117" s="92">
        <v>8.1999999999999993</v>
      </c>
      <c r="D117" s="93" t="s">
        <v>88</v>
      </c>
      <c r="E117" s="94">
        <v>68966</v>
      </c>
    </row>
    <row r="118" spans="2:5" x14ac:dyDescent="0.25">
      <c r="B118" s="87">
        <v>115</v>
      </c>
      <c r="C118" s="88">
        <v>8.1999999999999993</v>
      </c>
      <c r="D118" s="89" t="s">
        <v>146</v>
      </c>
      <c r="E118" s="90">
        <v>110551</v>
      </c>
    </row>
    <row r="119" spans="2:5" x14ac:dyDescent="0.25">
      <c r="B119" s="91">
        <v>116</v>
      </c>
      <c r="C119" s="92">
        <v>8.1999999999999993</v>
      </c>
      <c r="D119" s="93" t="s">
        <v>406</v>
      </c>
      <c r="E119" s="94">
        <v>168689</v>
      </c>
    </row>
    <row r="120" spans="2:5" x14ac:dyDescent="0.25">
      <c r="B120" s="87">
        <v>117</v>
      </c>
      <c r="C120" s="88">
        <v>8.1999999999999993</v>
      </c>
      <c r="D120" s="89" t="s">
        <v>422</v>
      </c>
      <c r="E120" s="90">
        <v>313115</v>
      </c>
    </row>
    <row r="121" spans="2:5" x14ac:dyDescent="0.25">
      <c r="B121" s="91">
        <v>118</v>
      </c>
      <c r="C121" s="92">
        <v>8.1999999999999993</v>
      </c>
      <c r="D121" s="93" t="s">
        <v>464</v>
      </c>
      <c r="E121" s="94">
        <v>377485</v>
      </c>
    </row>
    <row r="122" spans="2:5" x14ac:dyDescent="0.25">
      <c r="B122" s="87">
        <v>119</v>
      </c>
      <c r="C122" s="88">
        <v>8.1999999999999993</v>
      </c>
      <c r="D122" s="89" t="s">
        <v>10</v>
      </c>
      <c r="E122" s="90">
        <v>34819</v>
      </c>
    </row>
    <row r="123" spans="2:5" x14ac:dyDescent="0.25">
      <c r="B123" s="91">
        <v>120</v>
      </c>
      <c r="C123" s="92">
        <v>8.1999999999999993</v>
      </c>
      <c r="D123" s="93" t="s">
        <v>106</v>
      </c>
      <c r="E123" s="94">
        <v>74369</v>
      </c>
    </row>
    <row r="124" spans="2:5" x14ac:dyDescent="0.25">
      <c r="B124" s="87">
        <v>121</v>
      </c>
      <c r="C124" s="88">
        <v>8.1999999999999993</v>
      </c>
      <c r="D124" s="89" t="s">
        <v>318</v>
      </c>
      <c r="E124" s="90">
        <v>297114</v>
      </c>
    </row>
    <row r="125" spans="2:5" x14ac:dyDescent="0.25">
      <c r="B125" s="91">
        <v>122</v>
      </c>
      <c r="C125" s="92">
        <v>8.1999999999999993</v>
      </c>
      <c r="D125" s="93" t="s">
        <v>226</v>
      </c>
      <c r="E125" s="94">
        <v>111071</v>
      </c>
    </row>
    <row r="126" spans="2:5" x14ac:dyDescent="0.25">
      <c r="B126" s="87">
        <v>123</v>
      </c>
      <c r="C126" s="88">
        <v>8.1999999999999993</v>
      </c>
      <c r="D126" s="89" t="s">
        <v>40</v>
      </c>
      <c r="E126" s="90">
        <v>81135</v>
      </c>
    </row>
    <row r="127" spans="2:5" x14ac:dyDescent="0.25">
      <c r="B127" s="91">
        <v>124</v>
      </c>
      <c r="C127" s="92">
        <v>8.1999999999999993</v>
      </c>
      <c r="D127" s="93" t="s">
        <v>6</v>
      </c>
      <c r="E127" s="94">
        <v>35316</v>
      </c>
    </row>
    <row r="128" spans="2:5" x14ac:dyDescent="0.25">
      <c r="B128" s="87">
        <v>125</v>
      </c>
      <c r="C128" s="88">
        <v>8.1999999999999993</v>
      </c>
      <c r="D128" s="89" t="s">
        <v>234</v>
      </c>
      <c r="E128" s="90">
        <v>326683</v>
      </c>
    </row>
    <row r="129" spans="2:5" x14ac:dyDescent="0.25">
      <c r="B129" s="91">
        <v>126</v>
      </c>
      <c r="C129" s="92">
        <v>8.1999999999999993</v>
      </c>
      <c r="D129" s="93" t="s">
        <v>108</v>
      </c>
      <c r="E129" s="94">
        <v>41744</v>
      </c>
    </row>
    <row r="130" spans="2:5" x14ac:dyDescent="0.25">
      <c r="B130" s="87">
        <v>127</v>
      </c>
      <c r="C130" s="88">
        <v>8.1999999999999993</v>
      </c>
      <c r="D130" s="89" t="s">
        <v>32</v>
      </c>
      <c r="E130" s="90">
        <v>61069</v>
      </c>
    </row>
    <row r="131" spans="2:5" x14ac:dyDescent="0.25">
      <c r="B131" s="91">
        <v>128</v>
      </c>
      <c r="C131" s="92">
        <v>8.1999999999999993</v>
      </c>
      <c r="D131" s="93" t="s">
        <v>242</v>
      </c>
      <c r="E131" s="94">
        <v>344351</v>
      </c>
    </row>
    <row r="132" spans="2:5" x14ac:dyDescent="0.25">
      <c r="B132" s="87">
        <v>129</v>
      </c>
      <c r="C132" s="88">
        <v>8.1999999999999993</v>
      </c>
      <c r="D132" s="89" t="s">
        <v>76</v>
      </c>
      <c r="E132" s="90">
        <v>27215</v>
      </c>
    </row>
    <row r="133" spans="2:5" x14ac:dyDescent="0.25">
      <c r="B133" s="91">
        <v>130</v>
      </c>
      <c r="C133" s="92">
        <v>8.1999999999999993</v>
      </c>
      <c r="D133" s="93" t="s">
        <v>256</v>
      </c>
      <c r="E133" s="94">
        <v>55197</v>
      </c>
    </row>
    <row r="134" spans="2:5" x14ac:dyDescent="0.25">
      <c r="B134" s="87">
        <v>131</v>
      </c>
      <c r="C134" s="88">
        <v>8.1999999999999993</v>
      </c>
      <c r="D134" s="89" t="s">
        <v>330</v>
      </c>
      <c r="E134" s="90">
        <v>285542</v>
      </c>
    </row>
    <row r="135" spans="2:5" x14ac:dyDescent="0.25">
      <c r="B135" s="91">
        <v>132</v>
      </c>
      <c r="C135" s="92">
        <v>8.1999999999999993</v>
      </c>
      <c r="D135" s="93" t="s">
        <v>442</v>
      </c>
      <c r="E135" s="94">
        <v>367352</v>
      </c>
    </row>
    <row r="136" spans="2:5" x14ac:dyDescent="0.25">
      <c r="B136" s="87">
        <v>133</v>
      </c>
      <c r="C136" s="88">
        <v>8.1999999999999993</v>
      </c>
      <c r="D136" s="89" t="s">
        <v>112</v>
      </c>
      <c r="E136" s="90">
        <v>52508</v>
      </c>
    </row>
    <row r="137" spans="2:5" x14ac:dyDescent="0.25">
      <c r="B137" s="91">
        <v>134</v>
      </c>
      <c r="C137" s="92">
        <v>8.1999999999999993</v>
      </c>
      <c r="D137" s="93" t="s">
        <v>348</v>
      </c>
      <c r="E137" s="94">
        <v>348568</v>
      </c>
    </row>
    <row r="138" spans="2:5" x14ac:dyDescent="0.25">
      <c r="B138" s="87">
        <v>135</v>
      </c>
      <c r="C138" s="88">
        <v>8.1999999999999993</v>
      </c>
      <c r="D138" s="89" t="s">
        <v>8</v>
      </c>
      <c r="E138" s="90">
        <v>41458</v>
      </c>
    </row>
    <row r="139" spans="2:5" x14ac:dyDescent="0.25">
      <c r="B139" s="91">
        <v>136</v>
      </c>
      <c r="C139" s="92">
        <v>8.1999999999999993</v>
      </c>
      <c r="D139" s="93" t="s">
        <v>212</v>
      </c>
      <c r="E139" s="94">
        <v>161747</v>
      </c>
    </row>
    <row r="140" spans="2:5" x14ac:dyDescent="0.25">
      <c r="B140" s="87">
        <v>137</v>
      </c>
      <c r="C140" s="88">
        <v>8.1999999999999993</v>
      </c>
      <c r="D140" s="89" t="s">
        <v>160</v>
      </c>
      <c r="E140" s="90">
        <v>84470</v>
      </c>
    </row>
    <row r="141" spans="2:5" x14ac:dyDescent="0.25">
      <c r="B141" s="91">
        <v>138</v>
      </c>
      <c r="C141" s="92">
        <v>8.1</v>
      </c>
      <c r="D141" s="93" t="s">
        <v>20</v>
      </c>
      <c r="E141" s="94">
        <v>43205</v>
      </c>
    </row>
    <row r="142" spans="2:5" x14ac:dyDescent="0.25">
      <c r="B142" s="87">
        <v>139</v>
      </c>
      <c r="C142" s="88">
        <v>8.1</v>
      </c>
      <c r="D142" s="89" t="s">
        <v>94</v>
      </c>
      <c r="E142" s="90">
        <v>26777</v>
      </c>
    </row>
    <row r="143" spans="2:5" x14ac:dyDescent="0.25">
      <c r="B143" s="91">
        <v>140</v>
      </c>
      <c r="C143" s="92">
        <v>8.1</v>
      </c>
      <c r="D143" s="93" t="s">
        <v>432</v>
      </c>
      <c r="E143" s="94">
        <v>397628</v>
      </c>
    </row>
    <row r="144" spans="2:5" x14ac:dyDescent="0.25">
      <c r="B144" s="87">
        <v>141</v>
      </c>
      <c r="C144" s="88">
        <v>8.1</v>
      </c>
      <c r="D144" s="89" t="s">
        <v>360</v>
      </c>
      <c r="E144" s="90">
        <v>475862</v>
      </c>
    </row>
    <row r="145" spans="2:5" x14ac:dyDescent="0.25">
      <c r="B145" s="91">
        <v>142</v>
      </c>
      <c r="C145" s="92">
        <v>8.1</v>
      </c>
      <c r="D145" s="93" t="s">
        <v>344</v>
      </c>
      <c r="E145" s="94">
        <v>277636</v>
      </c>
    </row>
    <row r="146" spans="2:5" x14ac:dyDescent="0.25">
      <c r="B146" s="87">
        <v>143</v>
      </c>
      <c r="C146" s="88">
        <v>8.1</v>
      </c>
      <c r="D146" s="89" t="s">
        <v>196</v>
      </c>
      <c r="E146" s="90">
        <v>267827</v>
      </c>
    </row>
    <row r="147" spans="2:5" x14ac:dyDescent="0.25">
      <c r="B147" s="91">
        <v>144</v>
      </c>
      <c r="C147" s="92">
        <v>8.1</v>
      </c>
      <c r="D147" s="93" t="s">
        <v>334</v>
      </c>
      <c r="E147" s="94">
        <v>366430</v>
      </c>
    </row>
    <row r="148" spans="2:5" x14ac:dyDescent="0.25">
      <c r="B148" s="87">
        <v>145</v>
      </c>
      <c r="C148" s="88">
        <v>8.1</v>
      </c>
      <c r="D148" s="89" t="s">
        <v>72</v>
      </c>
      <c r="E148" s="90">
        <v>64124</v>
      </c>
    </row>
    <row r="149" spans="2:5" x14ac:dyDescent="0.25">
      <c r="B149" s="91">
        <v>146</v>
      </c>
      <c r="C149" s="92">
        <v>8.1</v>
      </c>
      <c r="D149" s="93" t="s">
        <v>316</v>
      </c>
      <c r="E149" s="94">
        <v>216669</v>
      </c>
    </row>
    <row r="150" spans="2:5" x14ac:dyDescent="0.25">
      <c r="B150" s="87">
        <v>147</v>
      </c>
      <c r="C150" s="88">
        <v>8.1</v>
      </c>
      <c r="D150" s="89" t="s">
        <v>130</v>
      </c>
      <c r="E150" s="90">
        <v>25742</v>
      </c>
    </row>
    <row r="151" spans="2:5" x14ac:dyDescent="0.25">
      <c r="B151" s="91">
        <v>148</v>
      </c>
      <c r="C151" s="92">
        <v>8.1</v>
      </c>
      <c r="D151" s="93" t="s">
        <v>34</v>
      </c>
      <c r="E151" s="94">
        <v>42227</v>
      </c>
    </row>
    <row r="152" spans="2:5" x14ac:dyDescent="0.25">
      <c r="B152" s="87">
        <v>149</v>
      </c>
      <c r="C152" s="88">
        <v>8.1</v>
      </c>
      <c r="D152" s="89" t="s">
        <v>30</v>
      </c>
      <c r="E152" s="90">
        <v>192425</v>
      </c>
    </row>
    <row r="153" spans="2:5" x14ac:dyDescent="0.25">
      <c r="B153" s="91">
        <v>150</v>
      </c>
      <c r="C153" s="92">
        <v>8.1</v>
      </c>
      <c r="D153" s="93" t="s">
        <v>260</v>
      </c>
      <c r="E153" s="94">
        <v>202044</v>
      </c>
    </row>
    <row r="154" spans="2:5" x14ac:dyDescent="0.25">
      <c r="B154" s="87">
        <v>151</v>
      </c>
      <c r="C154" s="88">
        <v>8.1</v>
      </c>
      <c r="D154" s="89" t="s">
        <v>418</v>
      </c>
      <c r="E154" s="90">
        <v>459794</v>
      </c>
    </row>
    <row r="155" spans="2:5" x14ac:dyDescent="0.25">
      <c r="B155" s="91">
        <v>152</v>
      </c>
      <c r="C155" s="92">
        <v>8.1</v>
      </c>
      <c r="D155" s="93" t="s">
        <v>172</v>
      </c>
      <c r="E155" s="94">
        <v>102995</v>
      </c>
    </row>
    <row r="156" spans="2:5" x14ac:dyDescent="0.25">
      <c r="B156" s="87">
        <v>153</v>
      </c>
      <c r="C156" s="88">
        <v>8.1</v>
      </c>
      <c r="D156" s="89" t="s">
        <v>394</v>
      </c>
      <c r="E156" s="90">
        <v>470244</v>
      </c>
    </row>
    <row r="157" spans="2:5" x14ac:dyDescent="0.25">
      <c r="B157" s="91">
        <v>154</v>
      </c>
      <c r="C157" s="92">
        <v>8.1</v>
      </c>
      <c r="D157" s="93" t="s">
        <v>240</v>
      </c>
      <c r="E157" s="94">
        <v>175041</v>
      </c>
    </row>
    <row r="158" spans="2:5" x14ac:dyDescent="0.25">
      <c r="B158" s="87">
        <v>155</v>
      </c>
      <c r="C158" s="88">
        <v>8.1</v>
      </c>
      <c r="D158" s="89" t="s">
        <v>332</v>
      </c>
      <c r="E158" s="90">
        <v>312510</v>
      </c>
    </row>
    <row r="159" spans="2:5" x14ac:dyDescent="0.25">
      <c r="B159" s="91">
        <v>156</v>
      </c>
      <c r="C159" s="92">
        <v>8.1</v>
      </c>
      <c r="D159" s="93" t="s">
        <v>26</v>
      </c>
      <c r="E159" s="94">
        <v>148410</v>
      </c>
    </row>
    <row r="160" spans="2:5" x14ac:dyDescent="0.25">
      <c r="B160" s="87">
        <v>157</v>
      </c>
      <c r="C160" s="88">
        <v>8.1</v>
      </c>
      <c r="D160" s="89" t="s">
        <v>74</v>
      </c>
      <c r="E160" s="90">
        <v>56791</v>
      </c>
    </row>
    <row r="161" spans="2:5" x14ac:dyDescent="0.25">
      <c r="B161" s="91">
        <v>158</v>
      </c>
      <c r="C161" s="92">
        <v>8.1</v>
      </c>
      <c r="D161" s="93" t="s">
        <v>208</v>
      </c>
      <c r="E161" s="94">
        <v>127072</v>
      </c>
    </row>
    <row r="162" spans="2:5" x14ac:dyDescent="0.25">
      <c r="B162" s="87">
        <v>159</v>
      </c>
      <c r="C162" s="88">
        <v>8.1</v>
      </c>
      <c r="D162" s="89" t="s">
        <v>410</v>
      </c>
      <c r="E162" s="90">
        <v>180270</v>
      </c>
    </row>
    <row r="163" spans="2:5" x14ac:dyDescent="0.25">
      <c r="B163" s="91">
        <v>160</v>
      </c>
      <c r="C163" s="92">
        <v>8.1</v>
      </c>
      <c r="D163" s="93" t="s">
        <v>500</v>
      </c>
      <c r="E163" s="94">
        <v>39033</v>
      </c>
    </row>
    <row r="164" spans="2:5" x14ac:dyDescent="0.25">
      <c r="B164" s="87">
        <v>161</v>
      </c>
      <c r="C164" s="88">
        <v>8.1</v>
      </c>
      <c r="D164" s="89" t="s">
        <v>488</v>
      </c>
      <c r="E164" s="90">
        <v>190877</v>
      </c>
    </row>
    <row r="165" spans="2:5" x14ac:dyDescent="0.25">
      <c r="B165" s="91">
        <v>162</v>
      </c>
      <c r="C165" s="92">
        <v>8.1</v>
      </c>
      <c r="D165" s="93" t="s">
        <v>462</v>
      </c>
      <c r="E165" s="94">
        <v>73505</v>
      </c>
    </row>
    <row r="166" spans="2:5" x14ac:dyDescent="0.25">
      <c r="B166" s="87">
        <v>163</v>
      </c>
      <c r="C166" s="88">
        <v>8.1</v>
      </c>
      <c r="D166" s="89" t="s">
        <v>392</v>
      </c>
      <c r="E166" s="90">
        <v>406678</v>
      </c>
    </row>
    <row r="167" spans="2:5" x14ac:dyDescent="0.25">
      <c r="B167" s="91">
        <v>164</v>
      </c>
      <c r="C167" s="92">
        <v>8.1</v>
      </c>
      <c r="D167" s="93" t="s">
        <v>274</v>
      </c>
      <c r="E167" s="94">
        <v>88095</v>
      </c>
    </row>
    <row r="168" spans="2:5" x14ac:dyDescent="0.25">
      <c r="B168" s="87">
        <v>165</v>
      </c>
      <c r="C168" s="88">
        <v>8.1</v>
      </c>
      <c r="D168" s="89" t="s">
        <v>420</v>
      </c>
      <c r="E168" s="90">
        <v>507750</v>
      </c>
    </row>
    <row r="169" spans="2:5" x14ac:dyDescent="0.25">
      <c r="B169" s="91">
        <v>166</v>
      </c>
      <c r="C169" s="92">
        <v>8.1</v>
      </c>
      <c r="D169" s="93" t="s">
        <v>50</v>
      </c>
      <c r="E169" s="94">
        <v>52582</v>
      </c>
    </row>
    <row r="170" spans="2:5" x14ac:dyDescent="0.25">
      <c r="B170" s="87">
        <v>167</v>
      </c>
      <c r="C170" s="88">
        <v>8.1</v>
      </c>
      <c r="D170" s="89" t="s">
        <v>84</v>
      </c>
      <c r="E170" s="90">
        <v>65745</v>
      </c>
    </row>
    <row r="171" spans="2:5" x14ac:dyDescent="0.25">
      <c r="B171" s="91">
        <v>168</v>
      </c>
      <c r="C171" s="92">
        <v>8.1</v>
      </c>
      <c r="D171" s="93" t="s">
        <v>494</v>
      </c>
      <c r="E171" s="94">
        <v>568037</v>
      </c>
    </row>
    <row r="172" spans="2:5" x14ac:dyDescent="0.25">
      <c r="B172" s="87">
        <v>169</v>
      </c>
      <c r="C172" s="88">
        <v>8.1</v>
      </c>
      <c r="D172" s="89" t="s">
        <v>468</v>
      </c>
      <c r="E172" s="90">
        <v>249971</v>
      </c>
    </row>
    <row r="173" spans="2:5" x14ac:dyDescent="0.25">
      <c r="B173" s="91">
        <v>170</v>
      </c>
      <c r="C173" s="92">
        <v>8.1</v>
      </c>
      <c r="D173" s="93" t="s">
        <v>218</v>
      </c>
      <c r="E173" s="94">
        <v>183277</v>
      </c>
    </row>
    <row r="174" spans="2:5" x14ac:dyDescent="0.25">
      <c r="B174" s="87">
        <v>171</v>
      </c>
      <c r="C174" s="88">
        <v>8.1</v>
      </c>
      <c r="D174" s="89" t="s">
        <v>430</v>
      </c>
      <c r="E174" s="90">
        <v>263344</v>
      </c>
    </row>
    <row r="175" spans="2:5" x14ac:dyDescent="0.25">
      <c r="B175" s="91">
        <v>172</v>
      </c>
      <c r="C175" s="92">
        <v>8.1</v>
      </c>
      <c r="D175" s="93" t="s">
        <v>52</v>
      </c>
      <c r="E175" s="94">
        <v>27843</v>
      </c>
    </row>
    <row r="176" spans="2:5" x14ac:dyDescent="0.25">
      <c r="B176" s="87">
        <v>173</v>
      </c>
      <c r="C176" s="88">
        <v>8.1</v>
      </c>
      <c r="D176" s="89" t="s">
        <v>202</v>
      </c>
      <c r="E176" s="90">
        <v>69929</v>
      </c>
    </row>
    <row r="177" spans="2:5" x14ac:dyDescent="0.25">
      <c r="B177" s="91">
        <v>174</v>
      </c>
      <c r="C177" s="92">
        <v>8.1</v>
      </c>
      <c r="D177" s="93" t="s">
        <v>252</v>
      </c>
      <c r="E177" s="94">
        <v>378300</v>
      </c>
    </row>
    <row r="178" spans="2:5" x14ac:dyDescent="0.25">
      <c r="B178" s="87">
        <v>175</v>
      </c>
      <c r="C178" s="88">
        <v>8.1</v>
      </c>
      <c r="D178" s="89" t="s">
        <v>414</v>
      </c>
      <c r="E178" s="90">
        <v>303571</v>
      </c>
    </row>
    <row r="179" spans="2:5" x14ac:dyDescent="0.25">
      <c r="B179" s="91">
        <v>176</v>
      </c>
      <c r="C179" s="92">
        <v>8.1</v>
      </c>
      <c r="D179" s="93" t="s">
        <v>440</v>
      </c>
      <c r="E179" s="94">
        <v>252241</v>
      </c>
    </row>
    <row r="180" spans="2:5" x14ac:dyDescent="0.25">
      <c r="B180" s="87">
        <v>177</v>
      </c>
      <c r="C180" s="88">
        <v>8.1</v>
      </c>
      <c r="D180" s="89" t="s">
        <v>118</v>
      </c>
      <c r="E180" s="90">
        <v>106455</v>
      </c>
    </row>
    <row r="181" spans="2:5" x14ac:dyDescent="0.25">
      <c r="B181" s="91">
        <v>178</v>
      </c>
      <c r="C181" s="92">
        <v>8.1</v>
      </c>
      <c r="D181" s="93" t="s">
        <v>96</v>
      </c>
      <c r="E181" s="94">
        <v>44437</v>
      </c>
    </row>
    <row r="182" spans="2:5" x14ac:dyDescent="0.25">
      <c r="B182" s="87">
        <v>179</v>
      </c>
      <c r="C182" s="88">
        <v>8.1</v>
      </c>
      <c r="D182" s="89" t="s">
        <v>54</v>
      </c>
      <c r="E182" s="90">
        <v>47119</v>
      </c>
    </row>
    <row r="183" spans="2:5" x14ac:dyDescent="0.25">
      <c r="B183" s="91">
        <v>180</v>
      </c>
      <c r="C183" s="92">
        <v>8.1</v>
      </c>
      <c r="D183" s="93" t="s">
        <v>476</v>
      </c>
      <c r="E183" s="94">
        <v>288159</v>
      </c>
    </row>
    <row r="184" spans="2:5" x14ac:dyDescent="0.25">
      <c r="B184" s="87">
        <v>181</v>
      </c>
      <c r="C184" s="88">
        <v>8.1</v>
      </c>
      <c r="D184" s="89" t="s">
        <v>262</v>
      </c>
      <c r="E184" s="90">
        <v>182230</v>
      </c>
    </row>
    <row r="185" spans="2:5" x14ac:dyDescent="0.25">
      <c r="B185" s="91">
        <v>182</v>
      </c>
      <c r="C185" s="92">
        <v>8.1</v>
      </c>
      <c r="D185" s="93" t="s">
        <v>124</v>
      </c>
      <c r="E185" s="94">
        <v>46028</v>
      </c>
    </row>
    <row r="186" spans="2:5" x14ac:dyDescent="0.25">
      <c r="B186" s="87">
        <v>183</v>
      </c>
      <c r="C186" s="88">
        <v>8.1</v>
      </c>
      <c r="D186" s="89" t="s">
        <v>328</v>
      </c>
      <c r="E186" s="90">
        <v>316945</v>
      </c>
    </row>
    <row r="187" spans="2:5" x14ac:dyDescent="0.25">
      <c r="B187" s="91">
        <v>184</v>
      </c>
      <c r="C187" s="92">
        <v>8.1</v>
      </c>
      <c r="D187" s="93" t="s">
        <v>292</v>
      </c>
      <c r="E187" s="94">
        <v>282250</v>
      </c>
    </row>
    <row r="188" spans="2:5" x14ac:dyDescent="0.25">
      <c r="B188" s="87">
        <v>185</v>
      </c>
      <c r="C188" s="88">
        <v>8</v>
      </c>
      <c r="D188" s="89" t="s">
        <v>376</v>
      </c>
      <c r="E188" s="90">
        <v>398128</v>
      </c>
    </row>
    <row r="189" spans="2:5" x14ac:dyDescent="0.25">
      <c r="B189" s="91">
        <v>186</v>
      </c>
      <c r="C189" s="92">
        <v>8</v>
      </c>
      <c r="D189" s="93" t="s">
        <v>194</v>
      </c>
      <c r="E189" s="94">
        <v>126624</v>
      </c>
    </row>
    <row r="190" spans="2:5" x14ac:dyDescent="0.25">
      <c r="B190" s="87">
        <v>187</v>
      </c>
      <c r="C190" s="88">
        <v>8</v>
      </c>
      <c r="D190" s="89" t="s">
        <v>362</v>
      </c>
      <c r="E190" s="90">
        <v>120868</v>
      </c>
    </row>
    <row r="191" spans="2:5" x14ac:dyDescent="0.25">
      <c r="B191" s="91">
        <v>188</v>
      </c>
      <c r="C191" s="92">
        <v>8</v>
      </c>
      <c r="D191" s="93" t="s">
        <v>412</v>
      </c>
      <c r="E191" s="94">
        <v>121059</v>
      </c>
    </row>
    <row r="192" spans="2:5" x14ac:dyDescent="0.25">
      <c r="B192" s="87">
        <v>189</v>
      </c>
      <c r="C192" s="88">
        <v>8</v>
      </c>
      <c r="D192" s="89" t="s">
        <v>458</v>
      </c>
      <c r="E192" s="90">
        <v>67759</v>
      </c>
    </row>
    <row r="193" spans="2:5" x14ac:dyDescent="0.25">
      <c r="B193" s="91">
        <v>190</v>
      </c>
      <c r="C193" s="92">
        <v>8</v>
      </c>
      <c r="D193" s="93" t="s">
        <v>238</v>
      </c>
      <c r="E193" s="94">
        <v>110584</v>
      </c>
    </row>
    <row r="194" spans="2:5" x14ac:dyDescent="0.25">
      <c r="B194" s="87">
        <v>191</v>
      </c>
      <c r="C194" s="88">
        <v>8</v>
      </c>
      <c r="D194" s="89" t="s">
        <v>436</v>
      </c>
      <c r="E194" s="90">
        <v>322172</v>
      </c>
    </row>
    <row r="195" spans="2:5" x14ac:dyDescent="0.25">
      <c r="B195" s="91">
        <v>192</v>
      </c>
      <c r="C195" s="92">
        <v>8</v>
      </c>
      <c r="D195" s="93" t="s">
        <v>372</v>
      </c>
      <c r="E195" s="94">
        <v>344294</v>
      </c>
    </row>
    <row r="196" spans="2:5" x14ac:dyDescent="0.25">
      <c r="B196" s="87">
        <v>193</v>
      </c>
      <c r="C196" s="88">
        <v>8</v>
      </c>
      <c r="D196" s="89" t="s">
        <v>154</v>
      </c>
      <c r="E196" s="90">
        <v>36479</v>
      </c>
    </row>
    <row r="197" spans="2:5" x14ac:dyDescent="0.25">
      <c r="B197" s="91">
        <v>194</v>
      </c>
      <c r="C197" s="92">
        <v>8</v>
      </c>
      <c r="D197" s="93" t="s">
        <v>98</v>
      </c>
      <c r="E197" s="94">
        <v>44571</v>
      </c>
    </row>
    <row r="198" spans="2:5" x14ac:dyDescent="0.25">
      <c r="B198" s="87">
        <v>195</v>
      </c>
      <c r="C198" s="88">
        <v>8</v>
      </c>
      <c r="D198" s="89" t="s">
        <v>164</v>
      </c>
      <c r="E198" s="90">
        <v>149389</v>
      </c>
    </row>
    <row r="199" spans="2:5" x14ac:dyDescent="0.25">
      <c r="B199" s="91">
        <v>196</v>
      </c>
      <c r="C199" s="92">
        <v>8</v>
      </c>
      <c r="D199" s="93" t="s">
        <v>504</v>
      </c>
      <c r="E199" s="94">
        <v>28676</v>
      </c>
    </row>
    <row r="200" spans="2:5" x14ac:dyDescent="0.25">
      <c r="B200" s="87">
        <v>197</v>
      </c>
      <c r="C200" s="88">
        <v>8</v>
      </c>
      <c r="D200" s="89" t="s">
        <v>466</v>
      </c>
      <c r="E200" s="90">
        <v>373745</v>
      </c>
    </row>
    <row r="201" spans="2:5" x14ac:dyDescent="0.25">
      <c r="B201" s="91">
        <v>198</v>
      </c>
      <c r="C201" s="92">
        <v>8</v>
      </c>
      <c r="D201" s="93" t="s">
        <v>266</v>
      </c>
      <c r="E201" s="94">
        <v>207589</v>
      </c>
    </row>
    <row r="202" spans="2:5" x14ac:dyDescent="0.25">
      <c r="B202" s="87">
        <v>199</v>
      </c>
      <c r="C202" s="88">
        <v>8</v>
      </c>
      <c r="D202" s="89" t="s">
        <v>158</v>
      </c>
      <c r="E202" s="90">
        <v>38192</v>
      </c>
    </row>
    <row r="203" spans="2:5" x14ac:dyDescent="0.25">
      <c r="B203" s="91">
        <v>200</v>
      </c>
      <c r="C203" s="92">
        <v>8</v>
      </c>
      <c r="D203" s="93" t="s">
        <v>132</v>
      </c>
      <c r="E203" s="94">
        <v>43710</v>
      </c>
    </row>
    <row r="204" spans="2:5" x14ac:dyDescent="0.25">
      <c r="B204" s="87">
        <v>201</v>
      </c>
      <c r="C204" s="88">
        <v>8</v>
      </c>
      <c r="D204" s="89" t="s">
        <v>138</v>
      </c>
      <c r="E204" s="90">
        <v>39917</v>
      </c>
    </row>
    <row r="205" spans="2:5" x14ac:dyDescent="0.25">
      <c r="B205" s="91">
        <v>202</v>
      </c>
      <c r="C205" s="92">
        <v>8</v>
      </c>
      <c r="D205" s="93" t="s">
        <v>86</v>
      </c>
      <c r="E205" s="94">
        <v>32409</v>
      </c>
    </row>
    <row r="206" spans="2:5" x14ac:dyDescent="0.25">
      <c r="B206" s="87">
        <v>203</v>
      </c>
      <c r="C206" s="88">
        <v>8</v>
      </c>
      <c r="D206" s="89" t="s">
        <v>116</v>
      </c>
      <c r="E206" s="90">
        <v>32242</v>
      </c>
    </row>
    <row r="207" spans="2:5" x14ac:dyDescent="0.25">
      <c r="B207" s="91">
        <v>204</v>
      </c>
      <c r="C207" s="92">
        <v>8</v>
      </c>
      <c r="D207" s="93" t="s">
        <v>144</v>
      </c>
      <c r="E207" s="94">
        <v>54451</v>
      </c>
    </row>
    <row r="208" spans="2:5" x14ac:dyDescent="0.25">
      <c r="B208" s="87">
        <v>205</v>
      </c>
      <c r="C208" s="88">
        <v>8</v>
      </c>
      <c r="D208" s="89" t="s">
        <v>140</v>
      </c>
      <c r="E208" s="90">
        <v>53501</v>
      </c>
    </row>
    <row r="209" spans="2:5" x14ac:dyDescent="0.25">
      <c r="B209" s="91">
        <v>206</v>
      </c>
      <c r="C209" s="92">
        <v>8</v>
      </c>
      <c r="D209" s="93" t="s">
        <v>204</v>
      </c>
      <c r="E209" s="94">
        <v>220323</v>
      </c>
    </row>
    <row r="210" spans="2:5" x14ac:dyDescent="0.25">
      <c r="B210" s="87">
        <v>207</v>
      </c>
      <c r="C210" s="88">
        <v>8</v>
      </c>
      <c r="D210" s="89" t="s">
        <v>184</v>
      </c>
      <c r="E210" s="90">
        <v>213984</v>
      </c>
    </row>
    <row r="211" spans="2:5" x14ac:dyDescent="0.25">
      <c r="B211" s="91">
        <v>208</v>
      </c>
      <c r="C211" s="92">
        <v>8</v>
      </c>
      <c r="D211" s="93" t="s">
        <v>446</v>
      </c>
      <c r="E211" s="94">
        <v>425904</v>
      </c>
    </row>
    <row r="212" spans="2:5" x14ac:dyDescent="0.25">
      <c r="B212" s="87">
        <v>209</v>
      </c>
      <c r="C212" s="88">
        <v>8</v>
      </c>
      <c r="D212" s="89" t="s">
        <v>294</v>
      </c>
      <c r="E212" s="90">
        <v>65291</v>
      </c>
    </row>
    <row r="213" spans="2:5" x14ac:dyDescent="0.25">
      <c r="B213" s="91">
        <v>210</v>
      </c>
      <c r="C213" s="92">
        <v>8</v>
      </c>
      <c r="D213" s="93" t="s">
        <v>82</v>
      </c>
      <c r="E213" s="94">
        <v>33518</v>
      </c>
    </row>
    <row r="214" spans="2:5" x14ac:dyDescent="0.25">
      <c r="B214" s="87">
        <v>211</v>
      </c>
      <c r="C214" s="88">
        <v>8</v>
      </c>
      <c r="D214" s="89" t="s">
        <v>58</v>
      </c>
      <c r="E214" s="90">
        <v>66041</v>
      </c>
    </row>
    <row r="215" spans="2:5" x14ac:dyDescent="0.25">
      <c r="B215" s="91">
        <v>212</v>
      </c>
      <c r="C215" s="92">
        <v>8</v>
      </c>
      <c r="D215" s="93" t="s">
        <v>174</v>
      </c>
      <c r="E215" s="94">
        <v>51331</v>
      </c>
    </row>
    <row r="216" spans="2:5" x14ac:dyDescent="0.25">
      <c r="B216" s="87">
        <v>213</v>
      </c>
      <c r="C216" s="88">
        <v>8</v>
      </c>
      <c r="D216" s="89" t="s">
        <v>192</v>
      </c>
      <c r="E216" s="90">
        <v>69583</v>
      </c>
    </row>
    <row r="217" spans="2:5" x14ac:dyDescent="0.25">
      <c r="B217" s="91">
        <v>214</v>
      </c>
      <c r="C217" s="92">
        <v>8</v>
      </c>
      <c r="D217" s="93" t="s">
        <v>378</v>
      </c>
      <c r="E217" s="94">
        <v>328336</v>
      </c>
    </row>
    <row r="218" spans="2:5" x14ac:dyDescent="0.25">
      <c r="B218" s="87">
        <v>215</v>
      </c>
      <c r="C218" s="88">
        <v>8</v>
      </c>
      <c r="D218" s="89" t="s">
        <v>236</v>
      </c>
      <c r="E218" s="90">
        <v>27430</v>
      </c>
    </row>
    <row r="219" spans="2:5" x14ac:dyDescent="0.25">
      <c r="B219" s="91">
        <v>216</v>
      </c>
      <c r="C219" s="92">
        <v>8</v>
      </c>
      <c r="D219" s="93" t="s">
        <v>386</v>
      </c>
      <c r="E219" s="94">
        <v>63858</v>
      </c>
    </row>
    <row r="220" spans="2:5" x14ac:dyDescent="0.25">
      <c r="B220" s="87">
        <v>217</v>
      </c>
      <c r="C220" s="88">
        <v>8</v>
      </c>
      <c r="D220" s="89" t="s">
        <v>350</v>
      </c>
      <c r="E220" s="90">
        <v>407875</v>
      </c>
    </row>
    <row r="221" spans="2:5" x14ac:dyDescent="0.25">
      <c r="B221" s="91">
        <v>218</v>
      </c>
      <c r="C221" s="92">
        <v>8</v>
      </c>
      <c r="D221" s="93" t="s">
        <v>80</v>
      </c>
      <c r="E221" s="94">
        <v>63443</v>
      </c>
    </row>
    <row r="222" spans="2:5" x14ac:dyDescent="0.25">
      <c r="B222" s="87">
        <v>219</v>
      </c>
      <c r="C222" s="88">
        <v>8</v>
      </c>
      <c r="D222" s="89" t="s">
        <v>492</v>
      </c>
      <c r="E222" s="90">
        <v>246325</v>
      </c>
    </row>
    <row r="223" spans="2:5" x14ac:dyDescent="0.25">
      <c r="B223" s="91">
        <v>220</v>
      </c>
      <c r="C223" s="92">
        <v>8</v>
      </c>
      <c r="D223" s="93" t="s">
        <v>402</v>
      </c>
      <c r="E223" s="94">
        <v>519625</v>
      </c>
    </row>
    <row r="224" spans="2:5" x14ac:dyDescent="0.25">
      <c r="B224" s="87">
        <v>221</v>
      </c>
      <c r="C224" s="88">
        <v>8</v>
      </c>
      <c r="D224" s="89" t="s">
        <v>396</v>
      </c>
      <c r="E224" s="90">
        <v>33873</v>
      </c>
    </row>
    <row r="225" spans="2:5" x14ac:dyDescent="0.25">
      <c r="B225" s="91">
        <v>222</v>
      </c>
      <c r="C225" s="92">
        <v>8</v>
      </c>
      <c r="D225" s="93" t="s">
        <v>14</v>
      </c>
      <c r="E225" s="94">
        <v>38373</v>
      </c>
    </row>
    <row r="226" spans="2:5" x14ac:dyDescent="0.25">
      <c r="B226" s="87">
        <v>223</v>
      </c>
      <c r="C226" s="88">
        <v>8</v>
      </c>
      <c r="D226" s="89" t="s">
        <v>482</v>
      </c>
      <c r="E226" s="90">
        <v>303847</v>
      </c>
    </row>
    <row r="227" spans="2:5" x14ac:dyDescent="0.25">
      <c r="B227" s="91">
        <v>224</v>
      </c>
      <c r="C227" s="92">
        <v>8</v>
      </c>
      <c r="D227" s="93" t="s">
        <v>178</v>
      </c>
      <c r="E227" s="94">
        <v>30643</v>
      </c>
    </row>
    <row r="228" spans="2:5" x14ac:dyDescent="0.25">
      <c r="B228" s="87">
        <v>225</v>
      </c>
      <c r="C228" s="88">
        <v>8</v>
      </c>
      <c r="D228" s="89" t="s">
        <v>220</v>
      </c>
      <c r="E228" s="90">
        <v>43524</v>
      </c>
    </row>
    <row r="229" spans="2:5" x14ac:dyDescent="0.25">
      <c r="B229" s="91">
        <v>226</v>
      </c>
      <c r="C229" s="92">
        <v>8</v>
      </c>
      <c r="D229" s="93" t="s">
        <v>296</v>
      </c>
      <c r="E229" s="94">
        <v>344256</v>
      </c>
    </row>
    <row r="230" spans="2:5" x14ac:dyDescent="0.25">
      <c r="B230" s="87">
        <v>227</v>
      </c>
      <c r="C230" s="88">
        <v>8</v>
      </c>
      <c r="D230" s="89" t="s">
        <v>70</v>
      </c>
      <c r="E230" s="90">
        <v>60767</v>
      </c>
    </row>
    <row r="231" spans="2:5" x14ac:dyDescent="0.25">
      <c r="B231" s="91">
        <v>228</v>
      </c>
      <c r="C231" s="92">
        <v>8</v>
      </c>
      <c r="D231" s="93" t="s">
        <v>460</v>
      </c>
      <c r="E231" s="94">
        <v>362442</v>
      </c>
    </row>
    <row r="232" spans="2:5" x14ac:dyDescent="0.25">
      <c r="B232" s="87">
        <v>229</v>
      </c>
      <c r="C232" s="88">
        <v>8</v>
      </c>
      <c r="D232" s="89" t="s">
        <v>434</v>
      </c>
      <c r="E232" s="90">
        <v>316890</v>
      </c>
    </row>
    <row r="233" spans="2:5" x14ac:dyDescent="0.25">
      <c r="B233" s="91">
        <v>230</v>
      </c>
      <c r="C233" s="92">
        <v>8</v>
      </c>
      <c r="D233" s="93" t="s">
        <v>444</v>
      </c>
      <c r="E233" s="94">
        <v>86593</v>
      </c>
    </row>
    <row r="234" spans="2:5" x14ac:dyDescent="0.25">
      <c r="B234" s="87">
        <v>231</v>
      </c>
      <c r="C234" s="88">
        <v>8</v>
      </c>
      <c r="D234" s="89" t="s">
        <v>148</v>
      </c>
      <c r="E234" s="90">
        <v>82374</v>
      </c>
    </row>
    <row r="235" spans="2:5" x14ac:dyDescent="0.25">
      <c r="B235" s="91">
        <v>232</v>
      </c>
      <c r="C235" s="92">
        <v>8</v>
      </c>
      <c r="D235" s="93" t="s">
        <v>438</v>
      </c>
      <c r="E235" s="94">
        <v>69702</v>
      </c>
    </row>
    <row r="236" spans="2:5" x14ac:dyDescent="0.25">
      <c r="B236" s="87">
        <v>233</v>
      </c>
      <c r="C236" s="88">
        <v>8</v>
      </c>
      <c r="D236" s="89" t="s">
        <v>498</v>
      </c>
      <c r="E236" s="90">
        <v>352517</v>
      </c>
    </row>
    <row r="237" spans="2:5" x14ac:dyDescent="0.25">
      <c r="B237" s="91">
        <v>234</v>
      </c>
      <c r="C237" s="92">
        <v>8</v>
      </c>
      <c r="D237" s="93" t="s">
        <v>454</v>
      </c>
      <c r="E237" s="94">
        <v>388592</v>
      </c>
    </row>
    <row r="238" spans="2:5" x14ac:dyDescent="0.25">
      <c r="B238" s="87">
        <v>235</v>
      </c>
      <c r="C238" s="88">
        <v>8</v>
      </c>
      <c r="D238" s="89" t="s">
        <v>474</v>
      </c>
      <c r="E238" s="90">
        <v>436151</v>
      </c>
    </row>
    <row r="239" spans="2:5" x14ac:dyDescent="0.25">
      <c r="B239" s="91">
        <v>236</v>
      </c>
      <c r="C239" s="92">
        <v>8</v>
      </c>
      <c r="D239" s="93" t="s">
        <v>276</v>
      </c>
      <c r="E239" s="94">
        <v>276674</v>
      </c>
    </row>
    <row r="240" spans="2:5" x14ac:dyDescent="0.25">
      <c r="B240" s="87">
        <v>237</v>
      </c>
      <c r="C240" s="88">
        <v>8</v>
      </c>
      <c r="D240" s="89" t="s">
        <v>470</v>
      </c>
      <c r="E240" s="90">
        <v>36751</v>
      </c>
    </row>
    <row r="241" spans="2:5" x14ac:dyDescent="0.25">
      <c r="B241" s="91">
        <v>238</v>
      </c>
      <c r="C241" s="92">
        <v>8</v>
      </c>
      <c r="D241" s="93" t="s">
        <v>170</v>
      </c>
      <c r="E241" s="94">
        <v>103929</v>
      </c>
    </row>
    <row r="242" spans="2:5" x14ac:dyDescent="0.25">
      <c r="B242" s="87">
        <v>239</v>
      </c>
      <c r="C242" s="88">
        <v>8</v>
      </c>
      <c r="D242" s="89" t="s">
        <v>320</v>
      </c>
      <c r="E242" s="90">
        <v>63865</v>
      </c>
    </row>
    <row r="243" spans="2:5" x14ac:dyDescent="0.25">
      <c r="B243" s="91">
        <v>240</v>
      </c>
      <c r="C243" s="92">
        <v>8</v>
      </c>
      <c r="D243" s="93" t="s">
        <v>452</v>
      </c>
      <c r="E243" s="94">
        <v>83178</v>
      </c>
    </row>
    <row r="244" spans="2:5" x14ac:dyDescent="0.25">
      <c r="B244" s="87">
        <v>241</v>
      </c>
      <c r="C244" s="88">
        <v>8</v>
      </c>
      <c r="D244" s="89" t="s">
        <v>484</v>
      </c>
      <c r="E244" s="90">
        <v>132672</v>
      </c>
    </row>
    <row r="245" spans="2:5" x14ac:dyDescent="0.25">
      <c r="B245" s="91">
        <v>242</v>
      </c>
      <c r="C245" s="92">
        <v>8</v>
      </c>
      <c r="D245" s="93" t="s">
        <v>248</v>
      </c>
      <c r="E245" s="94">
        <v>53307</v>
      </c>
    </row>
    <row r="246" spans="2:5" x14ac:dyDescent="0.25">
      <c r="B246" s="87">
        <v>243</v>
      </c>
      <c r="C246" s="88">
        <v>7.9</v>
      </c>
      <c r="D246" s="89" t="s">
        <v>282</v>
      </c>
      <c r="E246" s="90">
        <v>189229</v>
      </c>
    </row>
    <row r="247" spans="2:5" x14ac:dyDescent="0.25">
      <c r="B247" s="91">
        <v>244</v>
      </c>
      <c r="C247" s="92">
        <v>7.9</v>
      </c>
      <c r="D247" s="93" t="s">
        <v>310</v>
      </c>
      <c r="E247" s="94">
        <v>43438</v>
      </c>
    </row>
    <row r="248" spans="2:5" x14ac:dyDescent="0.25">
      <c r="B248" s="87">
        <v>245</v>
      </c>
      <c r="C248" s="88">
        <v>7.9</v>
      </c>
      <c r="D248" s="89" t="s">
        <v>24</v>
      </c>
      <c r="E248" s="90">
        <v>35695</v>
      </c>
    </row>
    <row r="249" spans="2:5" x14ac:dyDescent="0.25">
      <c r="B249" s="91">
        <v>246</v>
      </c>
      <c r="C249" s="92">
        <v>7.9</v>
      </c>
      <c r="D249" s="93" t="s">
        <v>398</v>
      </c>
      <c r="E249" s="94">
        <v>256159</v>
      </c>
    </row>
    <row r="250" spans="2:5" x14ac:dyDescent="0.25">
      <c r="B250" s="87">
        <v>247</v>
      </c>
      <c r="C250" s="88">
        <v>7.9</v>
      </c>
      <c r="D250" s="89" t="s">
        <v>162</v>
      </c>
      <c r="E250" s="90">
        <v>37081</v>
      </c>
    </row>
    <row r="251" spans="2:5" x14ac:dyDescent="0.25">
      <c r="B251" s="91">
        <v>248</v>
      </c>
      <c r="C251" s="92">
        <v>7.9</v>
      </c>
      <c r="D251" s="93" t="s">
        <v>44</v>
      </c>
      <c r="E251" s="94">
        <v>45893</v>
      </c>
    </row>
    <row r="252" spans="2:5" x14ac:dyDescent="0.25">
      <c r="B252" s="87">
        <v>249</v>
      </c>
      <c r="C252" s="88">
        <v>7.9</v>
      </c>
      <c r="D252" s="89" t="s">
        <v>312</v>
      </c>
      <c r="E252" s="90">
        <v>100974</v>
      </c>
    </row>
    <row r="253" spans="2:5" x14ac:dyDescent="0.25">
      <c r="B253" s="91">
        <v>250</v>
      </c>
      <c r="C253" s="92">
        <v>7.9</v>
      </c>
      <c r="D253" s="93" t="s">
        <v>182</v>
      </c>
      <c r="E253" s="94">
        <v>62517</v>
      </c>
    </row>
    <row r="254" spans="2:5" x14ac:dyDescent="0.25">
      <c r="B254" s="95" t="s">
        <v>546</v>
      </c>
      <c r="D254" s="64"/>
    </row>
    <row r="255" spans="2:5" x14ac:dyDescent="0.25">
      <c r="B255" s="96"/>
      <c r="D255" s="64"/>
    </row>
    <row r="256" spans="2:5" x14ac:dyDescent="0.25">
      <c r="B256" s="97" t="s">
        <v>547</v>
      </c>
      <c r="D256" s="64"/>
    </row>
    <row r="257" spans="2:4" x14ac:dyDescent="0.25">
      <c r="B257" s="96"/>
      <c r="D257" s="64"/>
    </row>
    <row r="258" spans="2:4" x14ac:dyDescent="0.25">
      <c r="B258" s="98" t="s">
        <v>548</v>
      </c>
      <c r="D258" s="64"/>
    </row>
    <row r="259" spans="2:4" x14ac:dyDescent="0.25">
      <c r="B259" s="99" t="s">
        <v>549</v>
      </c>
      <c r="D259" s="64"/>
    </row>
    <row r="260" spans="2:4" x14ac:dyDescent="0.25">
      <c r="B260" s="99" t="s">
        <v>550</v>
      </c>
      <c r="D260" s="64"/>
    </row>
    <row r="261" spans="2:4" x14ac:dyDescent="0.25">
      <c r="B261" s="99" t="s">
        <v>551</v>
      </c>
      <c r="D261" s="64"/>
    </row>
    <row r="262" spans="2:4" x14ac:dyDescent="0.25">
      <c r="B262" s="99" t="s">
        <v>552</v>
      </c>
      <c r="D262" s="64"/>
    </row>
  </sheetData>
  <hyperlinks>
    <hyperlink ref="D4" r:id="rId1"/>
    <hyperlink ref="D5" r:id="rId2" display="http://www.imdb.com/title/tt0068646/"/>
    <hyperlink ref="D6" r:id="rId3" display="http://www.imdb.com/title/tt0071562/"/>
    <hyperlink ref="D7" r:id="rId4" display="http://www.imdb.com/title/tt0110912/"/>
    <hyperlink ref="D8" r:id="rId5" display="http://www.imdb.com/title/tt0060196/"/>
    <hyperlink ref="D9" r:id="rId6" display="http://www.imdb.com/title/tt0468569/"/>
    <hyperlink ref="D10" r:id="rId7" display="http://www.imdb.com/title/tt0050083/"/>
    <hyperlink ref="D11" r:id="rId8" display="http://www.imdb.com/title/tt0108052/"/>
    <hyperlink ref="D12" r:id="rId9" display="http://www.imdb.com/title/tt0167260/"/>
    <hyperlink ref="D13" r:id="rId10" display="http://www.imdb.com/title/tt0137523/"/>
    <hyperlink ref="D14" r:id="rId11" display="http://www.imdb.com/title/tt0080684/"/>
    <hyperlink ref="D15" r:id="rId12" display="http://www.imdb.com/title/tt0120737/"/>
    <hyperlink ref="D16" r:id="rId13" display="http://www.imdb.com/title/tt0073486/"/>
    <hyperlink ref="D17" r:id="rId14" display="http://www.imdb.com/title/tt0099685/"/>
    <hyperlink ref="D18" r:id="rId15" display="http://www.imdb.com/title/tt0047478/"/>
    <hyperlink ref="D19" r:id="rId16" display="http://www.imdb.com/title/tt1375666/"/>
    <hyperlink ref="D20" r:id="rId17" display="http://www.imdb.com/title/tt0076759/"/>
    <hyperlink ref="D21" r:id="rId18" display="http://www.imdb.com/title/tt0109830/"/>
    <hyperlink ref="D22" r:id="rId19" display="http://www.imdb.com/title/tt0133093/"/>
    <hyperlink ref="D23" r:id="rId20" display="http://www.imdb.com/title/tt0167261/"/>
    <hyperlink ref="D24" r:id="rId21" display="http://www.imdb.com/title/tt0317248/"/>
    <hyperlink ref="D25" r:id="rId22" display="http://www.imdb.com/title/tt0102926/"/>
    <hyperlink ref="D26" r:id="rId23" display="http://www.imdb.com/title/tt0114369/"/>
    <hyperlink ref="D27" r:id="rId24" display="http://www.imdb.com/title/tt0064116/"/>
    <hyperlink ref="D28" r:id="rId25" display="http://www.imdb.com/title/tt0034583/"/>
    <hyperlink ref="D29" r:id="rId26" display="http://www.imdb.com/title/tt0114814/"/>
    <hyperlink ref="D30" r:id="rId27" display="http://www.imdb.com/title/tt0082971/"/>
    <hyperlink ref="D31" r:id="rId28" display="http://www.imdb.com/title/tt0047396/"/>
    <hyperlink ref="D32" r:id="rId29" display="http://www.imdb.com/title/tt0038650/"/>
    <hyperlink ref="D33" r:id="rId30" display="http://www.imdb.com/title/tt0054215/"/>
    <hyperlink ref="D34" r:id="rId31" display="http://www.imdb.com/title/tt0110413/"/>
    <hyperlink ref="D35" r:id="rId32" display="http://www.imdb.com/title/tt0043014/"/>
    <hyperlink ref="D36" r:id="rId33" display="http://www.imdb.com/title/tt0120586/"/>
    <hyperlink ref="D37" r:id="rId34" display="http://www.imdb.com/title/tt0078788/"/>
    <hyperlink ref="D38" r:id="rId35" display="http://www.imdb.com/title/tt0103064/"/>
    <hyperlink ref="D39" r:id="rId36" display="http://www.imdb.com/title/tt0209144/"/>
    <hyperlink ref="D40" r:id="rId37" display="http://www.imdb.com/title/tt0120815/"/>
    <hyperlink ref="D41" r:id="rId38" display="http://www.imdb.com/title/tt0021749/"/>
    <hyperlink ref="D42" r:id="rId39" display="http://www.imdb.com/title/tt0057012/"/>
    <hyperlink ref="D43" r:id="rId40" display="http://www.imdb.com/title/tt0078748/"/>
    <hyperlink ref="D44" r:id="rId41" display="http://www.imdb.com/title/tt0027977/"/>
    <hyperlink ref="D45" r:id="rId42" display="http://www.imdb.com/title/tt0245429/"/>
    <hyperlink ref="D46" r:id="rId43" display="http://www.imdb.com/title/tt1454468/"/>
    <hyperlink ref="D47" r:id="rId44" display="http://www.imdb.com/title/tt0053125/"/>
    <hyperlink ref="D48" r:id="rId45" display="http://www.imdb.com/title/tt0088763/"/>
    <hyperlink ref="D49" r:id="rId46" display="http://www.imdb.com/title/tt0033467/"/>
    <hyperlink ref="D50" r:id="rId47" display="http://www.imdb.com/title/tt0253474/"/>
    <hyperlink ref="D51" r:id="rId48" display="http://www.imdb.com/title/tt0022100/"/>
    <hyperlink ref="D52" r:id="rId49" display="http://www.imdb.com/title/tt0118799/"/>
    <hyperlink ref="D53" r:id="rId50" display="http://www.imdb.com/title/tt0081505/"/>
    <hyperlink ref="D54" r:id="rId51" display="http://www.imdb.com/title/tt0407887/"/>
    <hyperlink ref="D55" r:id="rId52" display="http://www.imdb.com/title/tt0050825/"/>
    <hyperlink ref="D56" r:id="rId53" display="http://www.imdb.com/title/tt0052357/"/>
    <hyperlink ref="D57" r:id="rId54" display="http://www.imdb.com/title/tt0169547/"/>
    <hyperlink ref="D58" r:id="rId55" display="http://www.imdb.com/title/tt1853728/"/>
    <hyperlink ref="D59" r:id="rId56" display="http://www.imdb.com/title/tt0036775/"/>
    <hyperlink ref="D60" r:id="rId57" display="http://www.imdb.com/title/tt0075314/"/>
    <hyperlink ref="D61" r:id="rId58" display="http://www.imdb.com/title/tt1345836/"/>
    <hyperlink ref="D62" r:id="rId59" display="http://www.imdb.com/title/tt0090605/"/>
    <hyperlink ref="D63" r:id="rId60" display="http://www.imdb.com/title/tt0120689/"/>
    <hyperlink ref="D64" r:id="rId61" display="http://www.imdb.com/title/tt1675434/"/>
    <hyperlink ref="D65" r:id="rId62" display="http://www.imdb.com/title/tt0172495/"/>
    <hyperlink ref="D66" r:id="rId63" display="http://www.imdb.com/title/tt0910970/"/>
    <hyperlink ref="D67" r:id="rId64" display="http://www.imdb.com/title/tt0405094/"/>
    <hyperlink ref="D68" r:id="rId65" display="http://www.imdb.com/title/tt0435761/"/>
    <hyperlink ref="D69" r:id="rId66" display="http://www.imdb.com/title/tt0032553/"/>
    <hyperlink ref="D70" r:id="rId67" display="http://www.imdb.com/title/tt0066921/"/>
    <hyperlink ref="D71" r:id="rId68" display="http://www.imdb.com/title/tt0482571/"/>
    <hyperlink ref="D72" r:id="rId69" display="http://www.imdb.com/title/tt0211915/"/>
    <hyperlink ref="D73" r:id="rId70" display="http://www.imdb.com/title/tt0056172/"/>
    <hyperlink ref="D74" r:id="rId71" display="http://www.imdb.com/title/tt0056592/"/>
    <hyperlink ref="D75" r:id="rId72" display="http://www.imdb.com/title/tt0105236/"/>
    <hyperlink ref="D76" r:id="rId73" display="http://www.imdb.com/title/tt0082096/"/>
    <hyperlink ref="D77" r:id="rId74" display="http://www.imdb.com/title/tt0095765/"/>
    <hyperlink ref="D78" r:id="rId75" display="http://www.imdb.com/title/tt0110357/"/>
    <hyperlink ref="D79" r:id="rId76" display="http://www.imdb.com/title/tt0040897/"/>
    <hyperlink ref="D80" r:id="rId77" display="http://www.imdb.com/title/tt0041959/"/>
    <hyperlink ref="D81" r:id="rId78" display="http://www.imdb.com/title/tt0087843/"/>
    <hyperlink ref="D82" r:id="rId79" display="http://www.imdb.com/title/tt0180093/"/>
    <hyperlink ref="D83" r:id="rId80" display="http://www.imdb.com/title/tt0086190/"/>
    <hyperlink ref="D84" r:id="rId81" display="http://www.imdb.com/title/tt0338013/"/>
    <hyperlink ref="D85" r:id="rId82" display="http://www.imdb.com/title/tt0093058/"/>
    <hyperlink ref="D86" r:id="rId83" display="http://www.imdb.com/title/tt0112573/"/>
    <hyperlink ref="D87" r:id="rId84" display="http://www.imdb.com/title/tt0119488/"/>
    <hyperlink ref="D88" r:id="rId85" display="http://www.imdb.com/title/tt0364569/"/>
    <hyperlink ref="D89" r:id="rId86" display="http://www.imdb.com/title/tt0045152/"/>
    <hyperlink ref="D90" r:id="rId87" display="http://www.imdb.com/title/tt0017136/"/>
    <hyperlink ref="D91" r:id="rId88" display="http://www.imdb.com/title/tt0071315/"/>
    <hyperlink ref="D92" r:id="rId89" display="http://www.imdb.com/title/tt0042876/"/>
    <hyperlink ref="D93" r:id="rId90" display="http://www.imdb.com/title/tt0053291/"/>
    <hyperlink ref="D94" r:id="rId91" display="http://www.imdb.com/title/tt0040522/"/>
    <hyperlink ref="D95" r:id="rId92" display="http://www.imdb.com/title/tt0042192/"/>
    <hyperlink ref="D96" r:id="rId93" display="http://www.imdb.com/title/tt0071853/"/>
    <hyperlink ref="D97" r:id="rId94" display="http://www.imdb.com/title/tt0119698/"/>
    <hyperlink ref="D98" r:id="rId95" display="http://www.imdb.com/title/tt0086879/"/>
    <hyperlink ref="D99" r:id="rId96" display="http://www.imdb.com/title/tt0062622/"/>
    <hyperlink ref="D100" r:id="rId97" display="http://www.imdb.com/title/tt0051201/"/>
    <hyperlink ref="D101" r:id="rId98" display="http://www.imdb.com/title/tt0053604/"/>
    <hyperlink ref="D102" r:id="rId99" display="http://www.imdb.com/title/tt0070735/"/>
    <hyperlink ref="D103" r:id="rId100" display="http://www.imdb.com/title/tt0105695/"/>
    <hyperlink ref="D104" r:id="rId101" display="http://www.imdb.com/title/tt0095327/"/>
    <hyperlink ref="D105" r:id="rId102" display="http://www.imdb.com/title/tt0097576/"/>
    <hyperlink ref="D106" r:id="rId103" display="http://www.imdb.com/title/tt0081398/"/>
    <hyperlink ref="D107" r:id="rId104" display="http://www.imdb.com/title/tt0050212/"/>
    <hyperlink ref="D108" r:id="rId105" display="http://www.imdb.com/title/tt0095016/"/>
    <hyperlink ref="D109" r:id="rId106" display="http://www.imdb.com/title/tt0055630/"/>
    <hyperlink ref="D110" r:id="rId107" display="http://www.imdb.com/title/tt0372784/"/>
    <hyperlink ref="D111" r:id="rId108" display="http://www.imdb.com/title/tt1832382/"/>
    <hyperlink ref="D112" r:id="rId109" display="http://www.imdb.com/title/tt0361748/"/>
    <hyperlink ref="D113" r:id="rId110" display="http://www.imdb.com/title/tt0059578/"/>
    <hyperlink ref="D114" r:id="rId111" display="http://www.imdb.com/title/tt0031679/"/>
    <hyperlink ref="D115" r:id="rId112" display="http://www.imdb.com/title/tt0208092/"/>
    <hyperlink ref="D116" r:id="rId113" display="http://www.imdb.com/title/tt0114709/"/>
    <hyperlink ref="D117" r:id="rId114" display="http://www.imdb.com/title/tt0047296/"/>
    <hyperlink ref="D118" r:id="rId115" display="http://www.imdb.com/title/tt0057115/"/>
    <hyperlink ref="D119" r:id="rId116" display="http://www.imdb.com/title/tt0363163/"/>
    <hyperlink ref="D120" r:id="rId117" display="http://www.imdb.com/title/tt0457430/"/>
    <hyperlink ref="D121" r:id="rId118" display="http://www.imdb.com/title/tt1049413/"/>
    <hyperlink ref="D122" r:id="rId119" display="http://www.imdb.com/title/tt0017925/"/>
    <hyperlink ref="D123" r:id="rId120" display="http://www.imdb.com/title/tt0050976/"/>
    <hyperlink ref="D124" r:id="rId121" display="http://www.imdb.com/title/tt0113277/"/>
    <hyperlink ref="D125" r:id="rId122" display="http://www.imdb.com/title/tt0080678/"/>
    <hyperlink ref="D126" r:id="rId123" display="http://www.imdb.com/title/tt0033870/"/>
    <hyperlink ref="D127" r:id="rId124" display="http://www.imdb.com/title/tt0012349/"/>
    <hyperlink ref="D128" r:id="rId125" display="http://www.imdb.com/title/tt0083658/"/>
    <hyperlink ref="D129" r:id="rId126" display="http://www.imdb.com/title/tt0050986/"/>
    <hyperlink ref="D130" r:id="rId127" display="http://www.imdb.com/title/tt0032976/"/>
    <hyperlink ref="D131" r:id="rId128" display="http://www.imdb.com/title/tt0086250/"/>
    <hyperlink ref="D132" r:id="rId129" display="http://www.imdb.com/title/tt0044741/"/>
    <hyperlink ref="D133" r:id="rId130" display="http://www.imdb.com/title/tt0089881/"/>
    <hyperlink ref="D134" r:id="rId131" display="http://www.imdb.com/title/tt0116282/"/>
    <hyperlink ref="D135" r:id="rId132" display="http://www.imdb.com/title/tt1205489/"/>
    <hyperlink ref="D136" r:id="rId133" display="http://www.imdb.com/title/tt0052311/"/>
    <hyperlink ref="D137" r:id="rId134" display="http://www.imdb.com/title/tt0118715/"/>
    <hyperlink ref="D138" r:id="rId135" display="http://www.imdb.com/title/tt0015864/"/>
    <hyperlink ref="D139" r:id="rId136" display="http://www.imdb.com/title/tt0077416/"/>
    <hyperlink ref="D140" r:id="rId137" display="http://www.imdb.com/title/tt0061512/"/>
    <hyperlink ref="D141" r:id="rId138" display="http://www.imdb.com/title/tt0025316/"/>
    <hyperlink ref="D142" r:id="rId139" display="http://www.imdb.com/title/tt0046911/"/>
    <hyperlink ref="D143" r:id="rId140" display="http://www.imdb.com/title/tt0477348/"/>
    <hyperlink ref="D144" r:id="rId141" display="http://www.imdb.com/title/tt0167404/"/>
    <hyperlink ref="D145" r:id="rId142" display="http://www.imdb.com/title/tt0120735/"/>
    <hyperlink ref="D146" r:id="rId143" display="http://www.imdb.com/title/tt0073195/"/>
    <hyperlink ref="D147" r:id="rId144" display="http://www.imdb.com/title/tt0119217/"/>
    <hyperlink ref="D148" r:id="rId145" display="http://www.imdb.com/title/tt0044079/"/>
    <hyperlink ref="D149" r:id="rId146" display="http://www.imdb.com/title/tt0112641/"/>
    <hyperlink ref="D150" r:id="rId147" display="http://www.imdb.com/title/tt0055031/"/>
    <hyperlink ref="D151" r:id="rId148" display="http://www.imdb.com/title/tt0032551/"/>
    <hyperlink ref="D152" r:id="rId149" display="http://www.imdb.com/title/tt0032138/"/>
    <hyperlink ref="D153" r:id="rId150" display="http://www.imdb.com/title/tt0091763/"/>
    <hyperlink ref="D154" r:id="rId151" display="http://www.imdb.com/title/tt0401792/"/>
    <hyperlink ref="D155" r:id="rId152" display="http://www.imdb.com/title/tt0064115/"/>
    <hyperlink ref="D156" r:id="rId153" display="http://www.imdb.com/title/tt0266697/"/>
    <hyperlink ref="D157" r:id="rId154" display="http://www.imdb.com/title/tt0084787/"/>
    <hyperlink ref="D158" r:id="rId155" display="http://www.imdb.com/title/tt0117951/"/>
    <hyperlink ref="D159" r:id="rId156" display="http://www.imdb.com/title/tt0031381/"/>
    <hyperlink ref="D160" r:id="rId157" display="http://www.imdb.com/title/tt0044706/"/>
    <hyperlink ref="D161" r:id="rId158" display="http://www.imdb.com/title/tt0075686/"/>
    <hyperlink ref="D162" r:id="rId159" display="http://www.imdb.com/title/tt0395169/"/>
    <hyperlink ref="D163" r:id="rId160" display="http://www.imdb.com/title/tt2106476/"/>
    <hyperlink ref="D164" r:id="rId161" display="http://www.imdb.com/title/tt1291584/"/>
    <hyperlink ref="D165" r:id="rId162" display="http://www.imdb.com/title/tt1305806/"/>
    <hyperlink ref="D166" r:id="rId163" display="http://www.imdb.com/title/tt0266543/"/>
    <hyperlink ref="D167" r:id="rId164" display="http://www.imdb.com/title/tt0096283/"/>
    <hyperlink ref="D168" r:id="rId165" display="http://www.imdb.com/title/tt0434409/"/>
    <hyperlink ref="D169" r:id="rId166" display="http://www.imdb.com/title/tt0038787/"/>
    <hyperlink ref="D170" r:id="rId167" display="http://www.imdb.com/title/tt0046912/"/>
    <hyperlink ref="D171" r:id="rId168" display="http://www.imdb.com/title/tt0848228/"/>
    <hyperlink ref="D172" r:id="rId169" display="http://www.imdb.com/title/tt0892769/"/>
    <hyperlink ref="D173" r:id="rId170" display="http://www.imdb.com/title/tt0079470/"/>
    <hyperlink ref="D174" r:id="rId171" display="http://www.imdb.com/title/tt0758758/"/>
    <hyperlink ref="D175" r:id="rId172" display="http://www.imdb.com/title/tt0036868/"/>
    <hyperlink ref="D176" r:id="rId173" display="http://www.imdb.com/title/tt0074958/"/>
    <hyperlink ref="D177" r:id="rId174" display="http://www.imdb.com/title/tt0088247/"/>
    <hyperlink ref="D178" r:id="rId175" display="http://www.imdb.com/title/tt0405159/"/>
    <hyperlink ref="D179" r:id="rId176" display="http://www.imdb.com/title/tt0469494/"/>
    <hyperlink ref="D180" r:id="rId177" display="http://www.imdb.com/title/tt0052618/"/>
    <hyperlink ref="D181" r:id="rId178" display="http://www.imdb.com/title/tt0048424/"/>
    <hyperlink ref="D182" r:id="rId179" display="http://www.imdb.com/title/tt0038355/"/>
    <hyperlink ref="D183" r:id="rId180" display="http://www.imdb.com/title/tt1504320/"/>
    <hyperlink ref="D184" r:id="rId181" display="http://www.imdb.com/title/tt0092005/"/>
    <hyperlink ref="D185" r:id="rId182" display="http://www.imdb.com/title/tt0053198/"/>
    <hyperlink ref="D186" r:id="rId183" display="http://www.imdb.com/title/tt0114746/"/>
    <hyperlink ref="D187" r:id="rId184" display="http://www.imdb.com/title/tt0107048/"/>
    <hyperlink ref="D188" r:id="rId185" display="http://www.imdb.com/title/tt0246578/"/>
    <hyperlink ref="D189" r:id="rId186" display="http://www.imdb.com/title/tt0072890/"/>
    <hyperlink ref="D190" r:id="rId187" display="http://www.imdb.com/title/tt0245712/"/>
    <hyperlink ref="D191" r:id="rId188" display="http://www.imdb.com/title/tt0347149/"/>
    <hyperlink ref="D192" r:id="rId189" display="http://www.imdb.com/title/tt0978762/"/>
    <hyperlink ref="D193" r:id="rId190" display="http://www.imdb.com/title/tt0083987/"/>
    <hyperlink ref="D194" r:id="rId191" display="http://www.imdb.com/title/tt0440963/"/>
    <hyperlink ref="D195" r:id="rId192" display="http://www.imdb.com/title/tt0268978/"/>
    <hyperlink ref="D196" r:id="rId193" display="http://www.imdb.com/title/tt0060827/"/>
    <hyperlink ref="D197" r:id="rId194" display="http://www.imdb.com/title/tt0049406/"/>
    <hyperlink ref="D198" r:id="rId195" display="http://www.imdb.com/title/tt0061722/"/>
    <hyperlink ref="D199" r:id="rId196" display="http://www.imdb.com/title/tt1979320/"/>
    <hyperlink ref="D200" r:id="rId197" display="http://www.imdb.com/title/tt0947798/"/>
    <hyperlink ref="D201" r:id="rId198" display="http://www.imdb.com/title/tt0093779/"/>
    <hyperlink ref="D202" r:id="rId199" display="http://www.imdb.com/title/tt0061184/"/>
    <hyperlink ref="D203" r:id="rId200" display="http://www.imdb.com/title/tt0054997/"/>
    <hyperlink ref="D204" r:id="rId201" display="http://www.imdb.com/title/tt0056217/"/>
    <hyperlink ref="D205" r:id="rId202" display="http://www.imdb.com/title/tt0047528/"/>
    <hyperlink ref="D206" r:id="rId203" display="http://www.imdb.com/title/tt0052561/"/>
    <hyperlink ref="D207" r:id="rId204" display="http://www.imdb.com/title/tt0056801/"/>
    <hyperlink ref="D208" r:id="rId205" display="http://www.imdb.com/title/tt0056218/"/>
    <hyperlink ref="D209" r:id="rId206" display="http://www.imdb.com/title/tt0075148/"/>
    <hyperlink ref="D210" r:id="rId207" display="http://www.imdb.com/title/tt0070047/"/>
    <hyperlink ref="D211" r:id="rId208" display="http://www.imdb.com/title/tt1010048/"/>
    <hyperlink ref="D212" r:id="rId209" display="http://www.imdb.com/title/tt0107207/"/>
    <hyperlink ref="D213" r:id="rId210" display="http://www.imdb.com/title/tt0046359/"/>
    <hyperlink ref="D214" r:id="rId211" display="http://www.imdb.com/title/tt0040746/"/>
    <hyperlink ref="D215" r:id="rId212" display="http://www.imdb.com/title/tt0065214/"/>
    <hyperlink ref="D216" r:id="rId213" display="http://www.imdb.com/title/tt0072684/"/>
    <hyperlink ref="D217" r:id="rId214" display="http://www.imdb.com/title/tt0198781/"/>
    <hyperlink ref="D218" r:id="rId215" display="http://www.imdb.com/title/tt0083922/"/>
    <hyperlink ref="D219" r:id="rId216" display="http://www.imdb.com/title/tt0338564/"/>
    <hyperlink ref="D220" r:id="rId217" display="http://www.imdb.com/title/tt0120382/"/>
    <hyperlink ref="D221" r:id="rId218" display="http://www.imdb.com/title/tt0046250/"/>
    <hyperlink ref="D222" r:id="rId219" display="http://www.imdb.com/title/tt0454876/"/>
    <hyperlink ref="D223" r:id="rId220" display="http://www.imdb.com/title/tt0325980/"/>
    <hyperlink ref="D224" r:id="rId221" display="http://www.imdb.com/title/tt0353969/"/>
    <hyperlink ref="D225" r:id="rId222" display="http://www.imdb.com/title/tt0020629/"/>
    <hyperlink ref="D226" r:id="rId223" display="http://www.imdb.com/title/tt1201607/"/>
    <hyperlink ref="D227" r:id="rId224" display="http://www.imdb.com/title/tt0069281/"/>
    <hyperlink ref="D228" r:id="rId225" display="http://www.imdb.com/title/tt0079944/"/>
    <hyperlink ref="D229" r:id="rId226" display="http://www.imdb.com/title/tt0107290/"/>
    <hyperlink ref="D230" r:id="rId227" display="http://www.imdb.com/title/tt0044081/"/>
    <hyperlink ref="D231" r:id="rId228" display="http://www.imdb.com/title/tt0796366/"/>
    <hyperlink ref="D232" r:id="rId229" display="http://www.imdb.com/title/tt0382932/"/>
    <hyperlink ref="D233" r:id="rId230" display="http://www.imdb.com/title/tt1220719/"/>
    <hyperlink ref="D234" r:id="rId231" display="http://www.imdb.com/title/tt0058461/"/>
    <hyperlink ref="D235" r:id="rId232" display="http://www.imdb.com/title/tt0401383/"/>
    <hyperlink ref="D236" r:id="rId233" display="http://www.imdb.com/title/tt0903624/"/>
    <hyperlink ref="D237" r:id="rId234" display="http://www.imdb.com/title/tt1136608/"/>
    <hyperlink ref="D238" r:id="rId235" display="http://www.imdb.com/title/tt1130884/"/>
    <hyperlink ref="D239" r:id="rId236" display="http://www.imdb.com/title/tt0095953/"/>
    <hyperlink ref="D240" r:id="rId237" display="http://www.imdb.com/title/tt1255953/"/>
    <hyperlink ref="D241" r:id="rId238" display="http://www.imdb.com/title/tt0063522/"/>
    <hyperlink ref="D242" r:id="rId239" display="http://www.imdb.com/title/tt0113247/"/>
    <hyperlink ref="D243" r:id="rId240" display="http://www.imdb.com/title/tt1187043/"/>
    <hyperlink ref="D244" r:id="rId241" display="http://www.imdb.com/title/tt1655442/"/>
    <hyperlink ref="D245" r:id="rId242" display="http://www.imdb.com/title/tt0087544/"/>
    <hyperlink ref="D246" r:id="rId243" display="http://www.imdb.com/title/tt0101414/"/>
    <hyperlink ref="D247" r:id="rId244" display="http://www.imdb.com/title/tt0111495/"/>
    <hyperlink ref="D248" r:id="rId245" display="http://www.imdb.com/title/tt0029947/"/>
    <hyperlink ref="D249" r:id="rId246" display="http://www.imdb.com/title/tt0327056/"/>
    <hyperlink ref="D250" r:id="rId247" display="http://www.imdb.com/title/tt0061811/"/>
    <hyperlink ref="D251" r:id="rId248" display="http://www.imdb.com/title/tt0036613/"/>
    <hyperlink ref="D252" r:id="rId249" display="http://www.imdb.com/title/tt0112471/"/>
    <hyperlink ref="D253" r:id="rId250" display="http://www.imdb.com/title/tt007051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B1:S254"/>
  <sheetViews>
    <sheetView workbookViewId="0">
      <selection activeCell="O1" sqref="O1"/>
    </sheetView>
  </sheetViews>
  <sheetFormatPr defaultRowHeight="15" x14ac:dyDescent="0.25"/>
  <cols>
    <col min="2" max="2" width="34" customWidth="1"/>
    <col min="3" max="3" width="29.85546875" customWidth="1"/>
    <col min="4" max="4" width="8.5703125" customWidth="1"/>
    <col min="5" max="5" width="11.28515625" customWidth="1"/>
    <col min="6" max="6" width="11.42578125" customWidth="1"/>
    <col min="9" max="9" width="5.140625" customWidth="1"/>
    <col min="10" max="10" width="27.85546875" customWidth="1"/>
    <col min="12" max="12" width="28" customWidth="1"/>
    <col min="13" max="13" width="36.28515625" customWidth="1"/>
    <col min="15" max="15" width="40.42578125" customWidth="1"/>
  </cols>
  <sheetData>
    <row r="1" spans="2:19" x14ac:dyDescent="0.25">
      <c r="D1" s="55" t="s">
        <v>528</v>
      </c>
      <c r="F1">
        <f>AVERAGE(F5:F254)</f>
        <v>8.2467999999999986</v>
      </c>
      <c r="G1" s="55">
        <f>MAX(G5:G254)</f>
        <v>1071904</v>
      </c>
      <c r="H1" s="55" t="s">
        <v>528</v>
      </c>
      <c r="L1">
        <v>115</v>
      </c>
      <c r="O1" s="105" t="s">
        <v>854</v>
      </c>
    </row>
    <row r="2" spans="2:19" x14ac:dyDescent="0.25">
      <c r="B2" s="11" t="s">
        <v>8</v>
      </c>
      <c r="C2" s="80" t="str">
        <f>LEFT(B2,(LEN(B2)-(LEN(D2)+2)))</f>
        <v xml:space="preserve">The Gold Rush </v>
      </c>
      <c r="D2" s="81">
        <f>VALUE(MID(B2,FIND("(",B2)+1,FIND(")",B2)-FIND("(",B2)-1))</f>
        <v>1925</v>
      </c>
      <c r="L2" t="str">
        <f>INDEX(M_Order,L1,1)</f>
        <v>Network (1976)</v>
      </c>
      <c r="O2" s="104">
        <f t="array" ref="O2">SUM(COUNTIF(Oscar_Win,MyMovies))</f>
        <v>37</v>
      </c>
    </row>
    <row r="3" spans="2:19" x14ac:dyDescent="0.25">
      <c r="L3" t="str">
        <f>VLOOKUP(L2,HypTable,2,FALSE)</f>
        <v>http://www.imdb.com/title/tt0074958/</v>
      </c>
      <c r="O3" s="102" t="s">
        <v>528</v>
      </c>
    </row>
    <row r="4" spans="2:19" x14ac:dyDescent="0.25">
      <c r="B4" s="1" t="s">
        <v>0</v>
      </c>
      <c r="C4" s="1" t="s">
        <v>1</v>
      </c>
      <c r="D4" s="1" t="s">
        <v>2</v>
      </c>
      <c r="E4" s="1" t="s">
        <v>3</v>
      </c>
      <c r="F4" s="1" t="s">
        <v>4</v>
      </c>
      <c r="G4" s="1" t="s">
        <v>5</v>
      </c>
      <c r="H4" s="1" t="s">
        <v>531</v>
      </c>
      <c r="J4" s="59" t="s">
        <v>538</v>
      </c>
      <c r="M4" s="100" t="s">
        <v>803</v>
      </c>
      <c r="O4" s="1" t="s">
        <v>853</v>
      </c>
    </row>
    <row r="5" spans="2:19" x14ac:dyDescent="0.25">
      <c r="B5" s="2" t="s">
        <v>6</v>
      </c>
      <c r="C5" s="9" t="s">
        <v>7</v>
      </c>
      <c r="D5" s="10">
        <v>1921</v>
      </c>
      <c r="E5" s="3">
        <v>124</v>
      </c>
      <c r="F5" s="3">
        <v>8.1999999999999993</v>
      </c>
      <c r="G5" s="4">
        <v>35316</v>
      </c>
      <c r="H5" s="57">
        <v>1921</v>
      </c>
      <c r="I5" s="55"/>
      <c r="J5" s="61" t="s">
        <v>100</v>
      </c>
      <c r="L5" s="101" t="s">
        <v>308</v>
      </c>
      <c r="M5" s="101" t="s">
        <v>553</v>
      </c>
      <c r="O5" s="103" t="s">
        <v>804</v>
      </c>
      <c r="S5">
        <f t="array" ref="S5">COUNT(O5=MyMovies)</f>
        <v>0</v>
      </c>
    </row>
    <row r="6" spans="2:19" x14ac:dyDescent="0.25">
      <c r="B6" s="2" t="s">
        <v>8</v>
      </c>
      <c r="C6" s="9" t="s">
        <v>9</v>
      </c>
      <c r="D6" s="10">
        <v>1925</v>
      </c>
      <c r="E6" s="3">
        <v>135</v>
      </c>
      <c r="F6" s="3">
        <v>8.1999999999999993</v>
      </c>
      <c r="G6" s="4">
        <v>41458</v>
      </c>
      <c r="H6" s="57">
        <v>1925</v>
      </c>
      <c r="I6" s="55"/>
      <c r="J6" s="61" t="s">
        <v>166</v>
      </c>
      <c r="L6" s="101" t="s">
        <v>180</v>
      </c>
      <c r="M6" s="101" t="s">
        <v>554</v>
      </c>
      <c r="O6" s="103" t="s">
        <v>485</v>
      </c>
      <c r="S6">
        <f t="array" ref="S6">COUNT(O6=MyMovies)</f>
        <v>0</v>
      </c>
    </row>
    <row r="7" spans="2:19" x14ac:dyDescent="0.25">
      <c r="B7" s="2" t="s">
        <v>10</v>
      </c>
      <c r="C7" s="9" t="s">
        <v>11</v>
      </c>
      <c r="D7" s="10">
        <v>1926</v>
      </c>
      <c r="E7" s="3">
        <v>119</v>
      </c>
      <c r="F7" s="3">
        <v>8.1999999999999993</v>
      </c>
      <c r="G7" s="4">
        <v>34819</v>
      </c>
      <c r="H7" s="57">
        <v>1926</v>
      </c>
      <c r="I7" s="55"/>
      <c r="J7" s="61" t="s">
        <v>452</v>
      </c>
      <c r="L7" s="101" t="s">
        <v>190</v>
      </c>
      <c r="M7" s="101" t="s">
        <v>555</v>
      </c>
      <c r="O7" s="103" t="s">
        <v>477</v>
      </c>
      <c r="S7">
        <f t="array" ref="S7">COUNT(O7=MyMovies)</f>
        <v>0</v>
      </c>
    </row>
    <row r="8" spans="2:19" x14ac:dyDescent="0.25">
      <c r="B8" s="2" t="s">
        <v>12</v>
      </c>
      <c r="C8" s="9" t="s">
        <v>13</v>
      </c>
      <c r="D8" s="10">
        <v>1927</v>
      </c>
      <c r="E8" s="3">
        <v>87</v>
      </c>
      <c r="F8" s="3">
        <v>8.3000000000000007</v>
      </c>
      <c r="G8" s="4">
        <v>74994</v>
      </c>
      <c r="H8" s="57">
        <v>1927</v>
      </c>
      <c r="I8" s="55"/>
      <c r="J8" s="61" t="s">
        <v>144</v>
      </c>
      <c r="L8" s="101" t="s">
        <v>304</v>
      </c>
      <c r="M8" s="101" t="s">
        <v>556</v>
      </c>
      <c r="O8" s="103" t="s">
        <v>805</v>
      </c>
      <c r="S8">
        <f t="array" ref="S8">COUNT(O8=MyMovies)</f>
        <v>0</v>
      </c>
    </row>
    <row r="9" spans="2:19" x14ac:dyDescent="0.25">
      <c r="B9" s="2" t="s">
        <v>14</v>
      </c>
      <c r="C9" s="9" t="s">
        <v>15</v>
      </c>
      <c r="D9" s="10">
        <v>1930</v>
      </c>
      <c r="E9" s="3">
        <v>222</v>
      </c>
      <c r="F9" s="3">
        <v>8</v>
      </c>
      <c r="G9" s="4">
        <v>38373</v>
      </c>
      <c r="H9" s="57">
        <v>1930</v>
      </c>
      <c r="I9" s="55"/>
      <c r="J9" s="61" t="s">
        <v>372</v>
      </c>
      <c r="L9" s="101" t="s">
        <v>156</v>
      </c>
      <c r="M9" s="101" t="s">
        <v>557</v>
      </c>
      <c r="O9" s="103" t="s">
        <v>447</v>
      </c>
      <c r="S9">
        <f t="array" ref="S9">COUNT(O9=MyMovies)</f>
        <v>0</v>
      </c>
    </row>
    <row r="10" spans="2:19" x14ac:dyDescent="0.25">
      <c r="B10" s="2" t="s">
        <v>16</v>
      </c>
      <c r="C10" s="9" t="s">
        <v>17</v>
      </c>
      <c r="D10" s="10">
        <v>1931</v>
      </c>
      <c r="E10" s="3">
        <v>38</v>
      </c>
      <c r="F10" s="3">
        <v>8.5</v>
      </c>
      <c r="G10" s="4">
        <v>62840</v>
      </c>
      <c r="H10" s="57">
        <v>1931</v>
      </c>
      <c r="I10" s="55"/>
      <c r="J10" s="61" t="s">
        <v>176</v>
      </c>
      <c r="L10" s="101" t="s">
        <v>448</v>
      </c>
      <c r="M10" s="101" t="s">
        <v>558</v>
      </c>
      <c r="O10" s="103" t="s">
        <v>433</v>
      </c>
      <c r="S10">
        <f t="array" ref="S10">COUNT(O10=MyMovies)</f>
        <v>0</v>
      </c>
    </row>
    <row r="11" spans="2:19" x14ac:dyDescent="0.25">
      <c r="B11" s="2" t="s">
        <v>18</v>
      </c>
      <c r="C11" s="9" t="s">
        <v>19</v>
      </c>
      <c r="D11" s="10">
        <v>1931</v>
      </c>
      <c r="E11" s="3">
        <v>48</v>
      </c>
      <c r="F11" s="3">
        <v>8.4</v>
      </c>
      <c r="G11" s="4">
        <v>68920</v>
      </c>
      <c r="H11" s="57">
        <v>1931</v>
      </c>
      <c r="I11" s="55"/>
      <c r="J11" s="61" t="s">
        <v>148</v>
      </c>
      <c r="L11" s="101" t="s">
        <v>100</v>
      </c>
      <c r="M11" s="101" t="s">
        <v>559</v>
      </c>
      <c r="O11" s="103" t="s">
        <v>425</v>
      </c>
      <c r="S11">
        <f t="array" ref="S11">COUNT(O11=MyMovies)</f>
        <v>0</v>
      </c>
    </row>
    <row r="12" spans="2:19" x14ac:dyDescent="0.25">
      <c r="B12" s="2" t="s">
        <v>20</v>
      </c>
      <c r="C12" s="9" t="s">
        <v>21</v>
      </c>
      <c r="D12" s="10">
        <v>1934</v>
      </c>
      <c r="E12" s="3">
        <v>138</v>
      </c>
      <c r="F12" s="3">
        <v>8.1</v>
      </c>
      <c r="G12" s="4">
        <v>43205</v>
      </c>
      <c r="H12" s="57">
        <v>1934</v>
      </c>
      <c r="I12" s="55"/>
      <c r="J12" s="61" t="s">
        <v>480</v>
      </c>
      <c r="L12" s="101" t="s">
        <v>298</v>
      </c>
      <c r="M12" s="101" t="s">
        <v>560</v>
      </c>
      <c r="O12" s="103" t="s">
        <v>806</v>
      </c>
      <c r="S12">
        <f t="array" ref="S12">COUNT(O12=MyMovies)</f>
        <v>0</v>
      </c>
    </row>
    <row r="13" spans="2:19" x14ac:dyDescent="0.25">
      <c r="B13" s="2" t="s">
        <v>22</v>
      </c>
      <c r="C13" s="9" t="s">
        <v>23</v>
      </c>
      <c r="D13" s="10">
        <v>1936</v>
      </c>
      <c r="E13" s="3">
        <v>41</v>
      </c>
      <c r="F13" s="3">
        <v>8.5</v>
      </c>
      <c r="G13" s="4">
        <v>80077</v>
      </c>
      <c r="H13" s="57">
        <v>1936</v>
      </c>
      <c r="I13" s="55"/>
      <c r="J13" s="61" t="s">
        <v>70</v>
      </c>
      <c r="L13" s="101" t="s">
        <v>404</v>
      </c>
      <c r="M13" s="101" t="s">
        <v>561</v>
      </c>
      <c r="O13" s="103" t="s">
        <v>415</v>
      </c>
      <c r="S13">
        <f t="array" ref="S13">COUNT(O13=MyMovies)</f>
        <v>0</v>
      </c>
    </row>
    <row r="14" spans="2:19" x14ac:dyDescent="0.25">
      <c r="B14" s="2" t="s">
        <v>24</v>
      </c>
      <c r="C14" s="9" t="s">
        <v>25</v>
      </c>
      <c r="D14" s="10">
        <v>1938</v>
      </c>
      <c r="E14" s="3">
        <v>245</v>
      </c>
      <c r="F14" s="3">
        <v>7.9</v>
      </c>
      <c r="G14" s="4">
        <v>35695</v>
      </c>
      <c r="H14" s="57">
        <v>1938</v>
      </c>
      <c r="I14" s="55"/>
      <c r="J14" s="61" t="s">
        <v>214</v>
      </c>
      <c r="L14" s="101" t="s">
        <v>354</v>
      </c>
      <c r="M14" s="101" t="s">
        <v>562</v>
      </c>
      <c r="O14" s="103" t="s">
        <v>405</v>
      </c>
      <c r="S14">
        <f t="array" ref="S14">COUNT(O14=MyMovies)</f>
        <v>0</v>
      </c>
    </row>
    <row r="15" spans="2:19" x14ac:dyDescent="0.25">
      <c r="B15" s="2" t="s">
        <v>26</v>
      </c>
      <c r="C15" s="9" t="s">
        <v>27</v>
      </c>
      <c r="D15" s="10">
        <v>1939</v>
      </c>
      <c r="E15" s="3">
        <v>156</v>
      </c>
      <c r="F15" s="3">
        <v>8.1</v>
      </c>
      <c r="G15" s="4">
        <v>148410</v>
      </c>
      <c r="H15" s="57">
        <v>1939</v>
      </c>
      <c r="I15" s="55"/>
      <c r="J15" s="61" t="s">
        <v>258</v>
      </c>
      <c r="L15" s="101" t="s">
        <v>224</v>
      </c>
      <c r="M15" s="101" t="s">
        <v>563</v>
      </c>
      <c r="O15" s="103" t="s">
        <v>807</v>
      </c>
      <c r="S15">
        <f t="array" ref="S15">COUNT(O15=MyMovies)</f>
        <v>0</v>
      </c>
    </row>
    <row r="16" spans="2:19" x14ac:dyDescent="0.25">
      <c r="B16" s="2" t="s">
        <v>28</v>
      </c>
      <c r="C16" s="9" t="s">
        <v>29</v>
      </c>
      <c r="D16" s="10">
        <v>1939</v>
      </c>
      <c r="E16" s="3">
        <v>111</v>
      </c>
      <c r="F16" s="3">
        <v>8.1999999999999993</v>
      </c>
      <c r="G16" s="4">
        <v>54505</v>
      </c>
      <c r="H16" s="57">
        <v>1939</v>
      </c>
      <c r="I16" s="55"/>
      <c r="J16" s="61" t="s">
        <v>64</v>
      </c>
      <c r="L16" s="101" t="s">
        <v>382</v>
      </c>
      <c r="M16" s="101" t="s">
        <v>564</v>
      </c>
      <c r="O16" s="103" t="s">
        <v>373</v>
      </c>
      <c r="S16">
        <f t="array" ref="S16">COUNT(O16=MyMovies)</f>
        <v>0</v>
      </c>
    </row>
    <row r="17" spans="2:19" x14ac:dyDescent="0.25">
      <c r="B17" s="2" t="s">
        <v>30</v>
      </c>
      <c r="C17" s="9" t="s">
        <v>31</v>
      </c>
      <c r="D17" s="10">
        <v>1939</v>
      </c>
      <c r="E17" s="3">
        <v>149</v>
      </c>
      <c r="F17" s="3">
        <v>8.1</v>
      </c>
      <c r="G17" s="4">
        <v>192425</v>
      </c>
      <c r="H17" s="57">
        <v>1939</v>
      </c>
      <c r="I17" s="55"/>
      <c r="J17" s="61" t="s">
        <v>14</v>
      </c>
      <c r="L17" s="101" t="s">
        <v>200</v>
      </c>
      <c r="M17" s="101" t="s">
        <v>565</v>
      </c>
      <c r="O17" s="103" t="s">
        <v>365</v>
      </c>
      <c r="S17">
        <f t="array" ref="S17">COUNT(O17=MyMovies)</f>
        <v>0</v>
      </c>
    </row>
    <row r="18" spans="2:19" x14ac:dyDescent="0.25">
      <c r="B18" s="2" t="s">
        <v>32</v>
      </c>
      <c r="C18" s="9" t="s">
        <v>33</v>
      </c>
      <c r="D18" s="10">
        <v>1940</v>
      </c>
      <c r="E18" s="3">
        <v>127</v>
      </c>
      <c r="F18" s="3">
        <v>8.1999999999999993</v>
      </c>
      <c r="G18" s="4">
        <v>61069</v>
      </c>
      <c r="H18" s="57">
        <v>1940</v>
      </c>
      <c r="I18" s="55"/>
      <c r="J18" s="61" t="s">
        <v>246</v>
      </c>
      <c r="L18" s="101" t="s">
        <v>280</v>
      </c>
      <c r="M18" s="101" t="s">
        <v>566</v>
      </c>
      <c r="O18" s="103" t="s">
        <v>353</v>
      </c>
      <c r="S18">
        <f t="array" ref="S18">COUNT(O18=MyMovies)</f>
        <v>0</v>
      </c>
    </row>
    <row r="19" spans="2:19" x14ac:dyDescent="0.25">
      <c r="B19" s="2" t="s">
        <v>34</v>
      </c>
      <c r="C19" s="9" t="s">
        <v>35</v>
      </c>
      <c r="D19" s="10">
        <v>1940</v>
      </c>
      <c r="E19" s="3">
        <v>148</v>
      </c>
      <c r="F19" s="3">
        <v>8.1</v>
      </c>
      <c r="G19" s="4">
        <v>42227</v>
      </c>
      <c r="H19" s="57">
        <v>1940</v>
      </c>
      <c r="I19" s="55"/>
      <c r="J19" s="61" t="s">
        <v>374</v>
      </c>
      <c r="L19" s="101" t="s">
        <v>92</v>
      </c>
      <c r="M19" s="101" t="s">
        <v>567</v>
      </c>
      <c r="O19" s="103" t="s">
        <v>808</v>
      </c>
      <c r="S19">
        <f t="array" ref="S19">COUNT(O19=MyMovies)</f>
        <v>0</v>
      </c>
    </row>
    <row r="20" spans="2:19" x14ac:dyDescent="0.25">
      <c r="B20" s="2" t="s">
        <v>36</v>
      </c>
      <c r="C20" s="9" t="s">
        <v>37</v>
      </c>
      <c r="D20" s="10">
        <v>1940</v>
      </c>
      <c r="E20" s="3">
        <v>66</v>
      </c>
      <c r="F20" s="3">
        <v>8.4</v>
      </c>
      <c r="G20" s="4">
        <v>78329</v>
      </c>
      <c r="H20" s="57">
        <v>1940</v>
      </c>
      <c r="I20" s="55"/>
      <c r="J20" s="61" t="s">
        <v>352</v>
      </c>
      <c r="L20" s="101" t="s">
        <v>472</v>
      </c>
      <c r="M20" s="101" t="s">
        <v>568</v>
      </c>
      <c r="O20" s="103" t="s">
        <v>809</v>
      </c>
      <c r="S20">
        <f t="array" ref="S20">COUNT(O20=MyMovies)</f>
        <v>0</v>
      </c>
    </row>
    <row r="21" spans="2:19" x14ac:dyDescent="0.25">
      <c r="B21" s="2" t="s">
        <v>38</v>
      </c>
      <c r="C21" s="9" t="s">
        <v>39</v>
      </c>
      <c r="D21" s="10">
        <v>1941</v>
      </c>
      <c r="E21" s="3">
        <v>46</v>
      </c>
      <c r="F21" s="3">
        <v>8.4</v>
      </c>
      <c r="G21" s="4">
        <v>216576</v>
      </c>
      <c r="H21" s="57">
        <v>1941</v>
      </c>
      <c r="I21" s="55"/>
      <c r="J21" s="61" t="s">
        <v>342</v>
      </c>
      <c r="L21" s="101" t="s">
        <v>210</v>
      </c>
      <c r="M21" s="101" t="s">
        <v>569</v>
      </c>
      <c r="O21" s="103" t="s">
        <v>810</v>
      </c>
      <c r="S21">
        <f t="array" ref="S21">COUNT(O21=MyMovies)</f>
        <v>0</v>
      </c>
    </row>
    <row r="22" spans="2:19" x14ac:dyDescent="0.25">
      <c r="B22" s="2" t="s">
        <v>40</v>
      </c>
      <c r="C22" s="9" t="s">
        <v>41</v>
      </c>
      <c r="D22" s="10">
        <v>1941</v>
      </c>
      <c r="E22" s="3">
        <v>123</v>
      </c>
      <c r="F22" s="3">
        <v>8.1999999999999993</v>
      </c>
      <c r="G22" s="4">
        <v>81135</v>
      </c>
      <c r="H22" s="57">
        <v>1941</v>
      </c>
      <c r="I22" s="55"/>
      <c r="J22" s="61" t="s">
        <v>362</v>
      </c>
      <c r="L22" s="101" t="s">
        <v>300</v>
      </c>
      <c r="M22" s="101" t="s">
        <v>570</v>
      </c>
      <c r="O22" s="103" t="s">
        <v>315</v>
      </c>
      <c r="S22">
        <f t="array" ref="S22">COUNT(O22=MyMovies)</f>
        <v>0</v>
      </c>
    </row>
    <row r="23" spans="2:19" x14ac:dyDescent="0.25">
      <c r="B23" s="2" t="s">
        <v>42</v>
      </c>
      <c r="C23" s="9" t="s">
        <v>43</v>
      </c>
      <c r="D23" s="10">
        <v>1942</v>
      </c>
      <c r="E23" s="3">
        <v>25</v>
      </c>
      <c r="F23" s="3">
        <v>8.6</v>
      </c>
      <c r="G23" s="4">
        <v>278743</v>
      </c>
      <c r="H23" s="57">
        <v>1942</v>
      </c>
      <c r="I23" s="55"/>
      <c r="J23" s="61" t="s">
        <v>116</v>
      </c>
      <c r="L23" s="101" t="s">
        <v>358</v>
      </c>
      <c r="M23" s="101" t="s">
        <v>571</v>
      </c>
      <c r="O23" s="103" t="s">
        <v>301</v>
      </c>
      <c r="S23">
        <f t="array" ref="S23">COUNT(O23=MyMovies)</f>
        <v>0</v>
      </c>
    </row>
    <row r="24" spans="2:19" x14ac:dyDescent="0.25">
      <c r="B24" s="2" t="s">
        <v>44</v>
      </c>
      <c r="C24" s="9" t="s">
        <v>45</v>
      </c>
      <c r="D24" s="10">
        <v>1944</v>
      </c>
      <c r="E24" s="3">
        <v>248</v>
      </c>
      <c r="F24" s="3">
        <v>7.9</v>
      </c>
      <c r="G24" s="4">
        <v>45893</v>
      </c>
      <c r="H24" s="57">
        <v>1944</v>
      </c>
      <c r="I24" s="55"/>
      <c r="J24" s="61" t="s">
        <v>208</v>
      </c>
      <c r="L24" s="101" t="s">
        <v>388</v>
      </c>
      <c r="M24" s="101" t="s">
        <v>572</v>
      </c>
      <c r="O24" s="103" t="s">
        <v>811</v>
      </c>
      <c r="S24">
        <f t="array" ref="S24">COUNT(O24=MyMovies)</f>
        <v>0</v>
      </c>
    </row>
    <row r="25" spans="2:19" x14ac:dyDescent="0.25">
      <c r="B25" s="2" t="s">
        <v>46</v>
      </c>
      <c r="C25" s="9" t="s">
        <v>47</v>
      </c>
      <c r="D25" s="10">
        <v>1944</v>
      </c>
      <c r="E25" s="3">
        <v>56</v>
      </c>
      <c r="F25" s="3">
        <v>8.4</v>
      </c>
      <c r="G25" s="4">
        <v>66255</v>
      </c>
      <c r="H25" s="57">
        <v>1944</v>
      </c>
      <c r="I25" s="55"/>
      <c r="J25" s="61" t="s">
        <v>216</v>
      </c>
      <c r="L25" s="101" t="s">
        <v>384</v>
      </c>
      <c r="M25" s="101" t="s">
        <v>573</v>
      </c>
      <c r="O25" s="103" t="s">
        <v>291</v>
      </c>
      <c r="S25">
        <f t="array" ref="S25">COUNT(O25=MyMovies)</f>
        <v>0</v>
      </c>
    </row>
    <row r="26" spans="2:19" x14ac:dyDescent="0.25">
      <c r="B26" s="2" t="s">
        <v>48</v>
      </c>
      <c r="C26" s="9" t="s">
        <v>49</v>
      </c>
      <c r="D26" s="10">
        <v>1946</v>
      </c>
      <c r="E26" s="3">
        <v>29</v>
      </c>
      <c r="F26" s="3">
        <v>8.6</v>
      </c>
      <c r="G26" s="4">
        <v>180212</v>
      </c>
      <c r="H26" s="57">
        <v>1946</v>
      </c>
      <c r="I26" s="55"/>
      <c r="J26" s="61" t="s">
        <v>44</v>
      </c>
      <c r="L26" s="101" t="s">
        <v>286</v>
      </c>
      <c r="M26" s="101" t="s">
        <v>574</v>
      </c>
      <c r="O26" s="103" t="s">
        <v>287</v>
      </c>
      <c r="S26">
        <f t="array" ref="S26">COUNT(O26=MyMovies)</f>
        <v>0</v>
      </c>
    </row>
    <row r="27" spans="2:19" x14ac:dyDescent="0.25">
      <c r="B27" s="2" t="s">
        <v>50</v>
      </c>
      <c r="C27" s="9" t="s">
        <v>51</v>
      </c>
      <c r="D27" s="10">
        <v>1946</v>
      </c>
      <c r="E27" s="3">
        <v>166</v>
      </c>
      <c r="F27" s="3">
        <v>8.1</v>
      </c>
      <c r="G27" s="4">
        <v>52582</v>
      </c>
      <c r="H27" s="57">
        <v>1946</v>
      </c>
      <c r="I27" s="55"/>
      <c r="J27" s="61" t="s">
        <v>254</v>
      </c>
      <c r="L27" s="101" t="s">
        <v>322</v>
      </c>
      <c r="M27" s="101" t="s">
        <v>575</v>
      </c>
      <c r="O27" s="103" t="s">
        <v>812</v>
      </c>
      <c r="S27">
        <f t="array" ref="S27">COUNT(O27=MyMovies)</f>
        <v>0</v>
      </c>
    </row>
    <row r="28" spans="2:19" x14ac:dyDescent="0.25">
      <c r="B28" s="2" t="s">
        <v>52</v>
      </c>
      <c r="C28" s="9" t="s">
        <v>53</v>
      </c>
      <c r="D28" s="10">
        <v>1946</v>
      </c>
      <c r="E28" s="3">
        <v>172</v>
      </c>
      <c r="F28" s="3">
        <v>8.1</v>
      </c>
      <c r="G28" s="4">
        <v>27843</v>
      </c>
      <c r="H28" s="57">
        <v>1946</v>
      </c>
      <c r="I28" s="55"/>
      <c r="J28" s="61" t="s">
        <v>192</v>
      </c>
      <c r="L28" s="101" t="s">
        <v>168</v>
      </c>
      <c r="M28" s="101" t="s">
        <v>576</v>
      </c>
      <c r="O28" s="103" t="s">
        <v>813</v>
      </c>
      <c r="S28">
        <f t="array" ref="S28">COUNT(O28=MyMovies)</f>
        <v>0</v>
      </c>
    </row>
    <row r="29" spans="2:19" x14ac:dyDescent="0.25">
      <c r="B29" s="2" t="s">
        <v>54</v>
      </c>
      <c r="C29" s="9" t="s">
        <v>55</v>
      </c>
      <c r="D29" s="10">
        <v>1946</v>
      </c>
      <c r="E29" s="3">
        <v>179</v>
      </c>
      <c r="F29" s="3">
        <v>8.1</v>
      </c>
      <c r="G29" s="4">
        <v>47119</v>
      </c>
      <c r="H29" s="57">
        <v>1946</v>
      </c>
      <c r="I29" s="55"/>
      <c r="J29" s="61" t="s">
        <v>416</v>
      </c>
      <c r="L29" s="101" t="s">
        <v>42</v>
      </c>
      <c r="M29" s="101" t="s">
        <v>577</v>
      </c>
      <c r="O29" s="103" t="s">
        <v>277</v>
      </c>
      <c r="S29">
        <f t="array" ref="S29">COUNT(O29=MyMovies)</f>
        <v>0</v>
      </c>
    </row>
    <row r="30" spans="2:19" x14ac:dyDescent="0.25">
      <c r="B30" s="2" t="s">
        <v>56</v>
      </c>
      <c r="C30" s="9" t="s">
        <v>57</v>
      </c>
      <c r="D30" s="10">
        <v>1948</v>
      </c>
      <c r="E30" s="3">
        <v>91</v>
      </c>
      <c r="F30" s="3">
        <v>8.3000000000000007</v>
      </c>
      <c r="G30" s="4">
        <v>57490</v>
      </c>
      <c r="H30" s="57">
        <v>1948</v>
      </c>
      <c r="I30" s="55"/>
      <c r="J30" s="61" t="s">
        <v>282</v>
      </c>
      <c r="L30" s="101" t="s">
        <v>324</v>
      </c>
      <c r="M30" s="101" t="s">
        <v>578</v>
      </c>
      <c r="O30" s="103" t="s">
        <v>814</v>
      </c>
      <c r="S30">
        <f t="array" ref="S30">COUNT(O30=MyMovies)</f>
        <v>0</v>
      </c>
    </row>
    <row r="31" spans="2:19" x14ac:dyDescent="0.25">
      <c r="B31" s="2" t="s">
        <v>58</v>
      </c>
      <c r="C31" s="9" t="s">
        <v>59</v>
      </c>
      <c r="D31" s="10">
        <v>1948</v>
      </c>
      <c r="E31" s="3">
        <v>211</v>
      </c>
      <c r="F31" s="3">
        <v>8</v>
      </c>
      <c r="G31" s="4">
        <v>66041</v>
      </c>
      <c r="H31" s="57">
        <v>1948</v>
      </c>
      <c r="I31" s="55"/>
      <c r="J31" s="61" t="s">
        <v>312</v>
      </c>
      <c r="L31" s="101" t="s">
        <v>232</v>
      </c>
      <c r="M31" s="101" t="s">
        <v>579</v>
      </c>
      <c r="O31" s="103" t="s">
        <v>261</v>
      </c>
      <c r="S31">
        <f t="array" ref="S31">COUNT(O31=MyMovies)</f>
        <v>0</v>
      </c>
    </row>
    <row r="32" spans="2:19" x14ac:dyDescent="0.25">
      <c r="B32" s="2" t="s">
        <v>60</v>
      </c>
      <c r="C32" s="9" t="s">
        <v>61</v>
      </c>
      <c r="D32" s="10">
        <v>1948</v>
      </c>
      <c r="E32" s="3">
        <v>76</v>
      </c>
      <c r="F32" s="3">
        <v>8.3000000000000007</v>
      </c>
      <c r="G32" s="4">
        <v>55469</v>
      </c>
      <c r="H32" s="57">
        <v>1948</v>
      </c>
      <c r="I32" s="55"/>
      <c r="J32" s="61" t="s">
        <v>118</v>
      </c>
      <c r="L32" s="101" t="s">
        <v>90</v>
      </c>
      <c r="M32" s="101" t="s">
        <v>580</v>
      </c>
      <c r="O32" s="103" t="s">
        <v>815</v>
      </c>
      <c r="S32">
        <f t="array" ref="S32">COUNT(O32=MyMovies)</f>
        <v>0</v>
      </c>
    </row>
    <row r="33" spans="2:19" x14ac:dyDescent="0.25">
      <c r="B33" s="2" t="s">
        <v>62</v>
      </c>
      <c r="C33" s="9" t="s">
        <v>63</v>
      </c>
      <c r="D33" s="10">
        <v>1949</v>
      </c>
      <c r="E33" s="3">
        <v>77</v>
      </c>
      <c r="F33" s="3">
        <v>8.3000000000000007</v>
      </c>
      <c r="G33" s="4">
        <v>81076</v>
      </c>
      <c r="H33" s="57">
        <v>1949</v>
      </c>
      <c r="I33" s="55"/>
      <c r="J33" s="61" t="s">
        <v>56</v>
      </c>
      <c r="L33" s="101" t="s">
        <v>48</v>
      </c>
      <c r="M33" s="101" t="s">
        <v>581</v>
      </c>
      <c r="O33" s="103" t="s">
        <v>247</v>
      </c>
      <c r="S33">
        <f t="array" ref="S33">COUNT(O33=MyMovies)</f>
        <v>0</v>
      </c>
    </row>
    <row r="34" spans="2:19" x14ac:dyDescent="0.25">
      <c r="B34" s="2" t="s">
        <v>64</v>
      </c>
      <c r="C34" s="9" t="s">
        <v>65</v>
      </c>
      <c r="D34" s="10">
        <v>1950</v>
      </c>
      <c r="E34" s="3">
        <v>92</v>
      </c>
      <c r="F34" s="3">
        <v>8.3000000000000007</v>
      </c>
      <c r="G34" s="4">
        <v>57417</v>
      </c>
      <c r="H34" s="57">
        <v>1950</v>
      </c>
      <c r="I34" s="55"/>
      <c r="J34" s="61" t="s">
        <v>466</v>
      </c>
      <c r="L34" s="101" t="s">
        <v>126</v>
      </c>
      <c r="M34" s="101" t="s">
        <v>582</v>
      </c>
      <c r="O34" s="103" t="s">
        <v>816</v>
      </c>
      <c r="S34">
        <f t="array" ref="S34">COUNT(O34=MyMovies)</f>
        <v>0</v>
      </c>
    </row>
    <row r="35" spans="2:19" x14ac:dyDescent="0.25">
      <c r="B35" s="2" t="s">
        <v>66</v>
      </c>
      <c r="C35" s="9" t="s">
        <v>67</v>
      </c>
      <c r="D35" s="10">
        <v>1950</v>
      </c>
      <c r="E35" s="3">
        <v>89</v>
      </c>
      <c r="F35" s="3">
        <v>8.3000000000000007</v>
      </c>
      <c r="G35" s="4">
        <v>69011</v>
      </c>
      <c r="H35" s="57">
        <v>1950</v>
      </c>
      <c r="I35" s="55"/>
      <c r="J35" s="61" t="s">
        <v>234</v>
      </c>
      <c r="L35" s="101" t="s">
        <v>302</v>
      </c>
      <c r="M35" s="101" t="s">
        <v>583</v>
      </c>
      <c r="O35" s="103" t="s">
        <v>239</v>
      </c>
      <c r="S35">
        <f t="array" ref="S35">COUNT(O35=MyMovies)</f>
        <v>0</v>
      </c>
    </row>
    <row r="36" spans="2:19" x14ac:dyDescent="0.25">
      <c r="B36" s="2" t="s">
        <v>68</v>
      </c>
      <c r="C36" s="9" t="s">
        <v>69</v>
      </c>
      <c r="D36" s="10">
        <v>1950</v>
      </c>
      <c r="E36" s="3">
        <v>32</v>
      </c>
      <c r="F36" s="3">
        <v>8.5</v>
      </c>
      <c r="G36" s="4">
        <v>95571</v>
      </c>
      <c r="H36" s="57">
        <v>1950</v>
      </c>
      <c r="I36" s="55"/>
      <c r="J36" s="61" t="s">
        <v>314</v>
      </c>
      <c r="L36" s="101" t="s">
        <v>68</v>
      </c>
      <c r="M36" s="101" t="s">
        <v>584</v>
      </c>
      <c r="O36" s="103" t="s">
        <v>817</v>
      </c>
      <c r="S36">
        <f t="array" ref="S36">COUNT(O36=MyMovies)</f>
        <v>0</v>
      </c>
    </row>
    <row r="37" spans="2:19" x14ac:dyDescent="0.25">
      <c r="B37" s="2" t="s">
        <v>70</v>
      </c>
      <c r="C37" s="9" t="s">
        <v>71</v>
      </c>
      <c r="D37" s="10">
        <v>1951</v>
      </c>
      <c r="E37" s="3">
        <v>227</v>
      </c>
      <c r="F37" s="3">
        <v>8</v>
      </c>
      <c r="G37" s="4">
        <v>60767</v>
      </c>
      <c r="H37" s="57">
        <v>1951</v>
      </c>
      <c r="I37" s="55"/>
      <c r="J37" s="61" t="s">
        <v>24</v>
      </c>
      <c r="L37" s="101" t="s">
        <v>342</v>
      </c>
      <c r="M37" s="101" t="s">
        <v>585</v>
      </c>
      <c r="O37" s="103" t="s">
        <v>818</v>
      </c>
      <c r="S37">
        <f t="array" ref="S37">COUNT(O37=MyMovies)</f>
        <v>0</v>
      </c>
    </row>
    <row r="38" spans="2:19" x14ac:dyDescent="0.25">
      <c r="B38" s="2" t="s">
        <v>72</v>
      </c>
      <c r="C38" s="9" t="s">
        <v>73</v>
      </c>
      <c r="D38" s="10">
        <v>1951</v>
      </c>
      <c r="E38" s="3">
        <v>145</v>
      </c>
      <c r="F38" s="3">
        <v>8.1</v>
      </c>
      <c r="G38" s="4">
        <v>64124</v>
      </c>
      <c r="H38" s="57">
        <v>1951</v>
      </c>
      <c r="I38" s="55"/>
      <c r="J38" s="61" t="s">
        <v>172</v>
      </c>
      <c r="L38" s="101" t="s">
        <v>216</v>
      </c>
      <c r="M38" s="101" t="s">
        <v>586</v>
      </c>
      <c r="O38" s="103" t="s">
        <v>819</v>
      </c>
      <c r="S38">
        <f t="array" ref="S38">COUNT(O38=MyMovies)</f>
        <v>0</v>
      </c>
    </row>
    <row r="39" spans="2:19" x14ac:dyDescent="0.25">
      <c r="B39" s="2" t="s">
        <v>74</v>
      </c>
      <c r="C39" s="9" t="s">
        <v>75</v>
      </c>
      <c r="D39" s="10">
        <v>1952</v>
      </c>
      <c r="E39" s="3">
        <v>157</v>
      </c>
      <c r="F39" s="3">
        <v>8.1</v>
      </c>
      <c r="G39" s="4">
        <v>56791</v>
      </c>
      <c r="H39" s="57">
        <v>1952</v>
      </c>
      <c r="I39" s="55"/>
      <c r="J39" s="61" t="s">
        <v>42</v>
      </c>
      <c r="L39" s="101" t="s">
        <v>284</v>
      </c>
      <c r="M39" s="101" t="s">
        <v>587</v>
      </c>
      <c r="O39" s="103" t="s">
        <v>213</v>
      </c>
      <c r="S39">
        <f t="array" ref="S39">COUNT(O39=MyMovies)</f>
        <v>0</v>
      </c>
    </row>
    <row r="40" spans="2:19" x14ac:dyDescent="0.25">
      <c r="B40" s="2" t="s">
        <v>76</v>
      </c>
      <c r="C40" s="9" t="s">
        <v>77</v>
      </c>
      <c r="D40" s="10">
        <v>1952</v>
      </c>
      <c r="E40" s="3">
        <v>129</v>
      </c>
      <c r="F40" s="3">
        <v>8.1999999999999993</v>
      </c>
      <c r="G40" s="4">
        <v>27215</v>
      </c>
      <c r="H40" s="57">
        <v>1952</v>
      </c>
      <c r="I40" s="55"/>
      <c r="J40" s="61" t="s">
        <v>316</v>
      </c>
      <c r="L40" s="101" t="s">
        <v>366</v>
      </c>
      <c r="M40" s="101" t="s">
        <v>588</v>
      </c>
      <c r="O40" s="103" t="s">
        <v>209</v>
      </c>
      <c r="S40">
        <f t="array" ref="S40">COUNT(O40=MyMovies)</f>
        <v>0</v>
      </c>
    </row>
    <row r="41" spans="2:19" x14ac:dyDescent="0.25">
      <c r="B41" s="2" t="s">
        <v>78</v>
      </c>
      <c r="C41" s="9" t="s">
        <v>79</v>
      </c>
      <c r="D41" s="10">
        <v>1952</v>
      </c>
      <c r="E41" s="3">
        <v>86</v>
      </c>
      <c r="F41" s="3">
        <v>8.3000000000000007</v>
      </c>
      <c r="G41" s="4">
        <v>99981</v>
      </c>
      <c r="H41" s="57">
        <v>1952</v>
      </c>
      <c r="I41" s="55"/>
      <c r="J41" s="61" t="s">
        <v>188</v>
      </c>
      <c r="L41" s="101" t="s">
        <v>346</v>
      </c>
      <c r="M41" s="101" t="s">
        <v>589</v>
      </c>
      <c r="O41" s="103" t="s">
        <v>205</v>
      </c>
      <c r="S41">
        <f t="array" ref="S41">COUNT(O41=MyMovies)</f>
        <v>0</v>
      </c>
    </row>
    <row r="42" spans="2:19" x14ac:dyDescent="0.25">
      <c r="B42" s="2" t="s">
        <v>80</v>
      </c>
      <c r="C42" s="9" t="s">
        <v>81</v>
      </c>
      <c r="D42" s="10">
        <v>1953</v>
      </c>
      <c r="E42" s="3">
        <v>218</v>
      </c>
      <c r="F42" s="3">
        <v>8</v>
      </c>
      <c r="G42" s="4">
        <v>63443</v>
      </c>
      <c r="H42" s="57">
        <v>1953</v>
      </c>
      <c r="I42" s="55"/>
      <c r="J42" s="61" t="s">
        <v>268</v>
      </c>
      <c r="L42" s="101" t="s">
        <v>16</v>
      </c>
      <c r="M42" s="101" t="s">
        <v>590</v>
      </c>
      <c r="O42" s="103" t="s">
        <v>820</v>
      </c>
      <c r="S42">
        <f t="array" ref="S42">COUNT(O42=MyMovies)</f>
        <v>0</v>
      </c>
    </row>
    <row r="43" spans="2:19" x14ac:dyDescent="0.25">
      <c r="B43" s="2" t="s">
        <v>82</v>
      </c>
      <c r="C43" s="9" t="s">
        <v>83</v>
      </c>
      <c r="D43" s="10">
        <v>1953</v>
      </c>
      <c r="E43" s="3">
        <v>210</v>
      </c>
      <c r="F43" s="3">
        <v>8</v>
      </c>
      <c r="G43" s="4">
        <v>33518</v>
      </c>
      <c r="H43" s="57">
        <v>1953</v>
      </c>
      <c r="I43" s="55"/>
      <c r="J43" s="61" t="s">
        <v>38</v>
      </c>
      <c r="L43" s="101" t="s">
        <v>150</v>
      </c>
      <c r="M43" s="101" t="s">
        <v>591</v>
      </c>
      <c r="O43" s="103" t="s">
        <v>821</v>
      </c>
      <c r="S43">
        <f t="array" ref="S43">COUNT(O43=MyMovies)</f>
        <v>0</v>
      </c>
    </row>
    <row r="44" spans="2:19" x14ac:dyDescent="0.25">
      <c r="B44" s="2" t="s">
        <v>84</v>
      </c>
      <c r="C44" s="9" t="s">
        <v>85</v>
      </c>
      <c r="D44" s="10">
        <v>1954</v>
      </c>
      <c r="E44" s="3">
        <v>167</v>
      </c>
      <c r="F44" s="3">
        <v>8.1</v>
      </c>
      <c r="G44" s="4">
        <v>65745</v>
      </c>
      <c r="H44" s="57">
        <v>1954</v>
      </c>
      <c r="I44" s="55"/>
      <c r="J44" s="61" t="s">
        <v>16</v>
      </c>
      <c r="L44" s="101" t="s">
        <v>214</v>
      </c>
      <c r="M44" s="101" t="s">
        <v>592</v>
      </c>
      <c r="O44" s="103" t="s">
        <v>187</v>
      </c>
      <c r="S44">
        <f t="array" ref="S44">COUNT(O44=MyMovies)</f>
        <v>0</v>
      </c>
    </row>
    <row r="45" spans="2:19" x14ac:dyDescent="0.25">
      <c r="B45" s="2" t="s">
        <v>86</v>
      </c>
      <c r="C45" s="9" t="s">
        <v>87</v>
      </c>
      <c r="D45" s="10">
        <v>1954</v>
      </c>
      <c r="E45" s="3">
        <v>202</v>
      </c>
      <c r="F45" s="3">
        <v>8</v>
      </c>
      <c r="G45" s="4">
        <v>32409</v>
      </c>
      <c r="H45" s="57">
        <v>1954</v>
      </c>
      <c r="I45" s="55"/>
      <c r="J45" s="61" t="s">
        <v>384</v>
      </c>
      <c r="L45" s="101" t="s">
        <v>22</v>
      </c>
      <c r="M45" s="101" t="s">
        <v>593</v>
      </c>
      <c r="O45" s="103" t="s">
        <v>181</v>
      </c>
      <c r="S45">
        <f t="array" ref="S45">COUNT(O45=MyMovies)</f>
        <v>0</v>
      </c>
    </row>
    <row r="46" spans="2:19" x14ac:dyDescent="0.25">
      <c r="B46" s="2" t="s">
        <v>88</v>
      </c>
      <c r="C46" s="9" t="s">
        <v>89</v>
      </c>
      <c r="D46" s="10">
        <v>1954</v>
      </c>
      <c r="E46" s="3">
        <v>114</v>
      </c>
      <c r="F46" s="3">
        <v>8.1999999999999993</v>
      </c>
      <c r="G46" s="4">
        <v>68966</v>
      </c>
      <c r="H46" s="57">
        <v>1954</v>
      </c>
      <c r="I46" s="55"/>
      <c r="J46" s="61" t="s">
        <v>160</v>
      </c>
      <c r="L46" s="101" t="s">
        <v>380</v>
      </c>
      <c r="M46" s="101" t="s">
        <v>594</v>
      </c>
      <c r="O46" s="103" t="s">
        <v>822</v>
      </c>
      <c r="S46">
        <f t="array" ref="S46">COUNT(O46=MyMovies)</f>
        <v>0</v>
      </c>
    </row>
    <row r="47" spans="2:19" x14ac:dyDescent="0.25">
      <c r="B47" s="2" t="s">
        <v>90</v>
      </c>
      <c r="C47" s="9" t="s">
        <v>91</v>
      </c>
      <c r="D47" s="10">
        <v>1954</v>
      </c>
      <c r="E47" s="3">
        <v>28</v>
      </c>
      <c r="F47" s="3">
        <v>8.6</v>
      </c>
      <c r="G47" s="4">
        <v>213122</v>
      </c>
      <c r="H47" s="57">
        <v>1954</v>
      </c>
      <c r="I47" s="55"/>
      <c r="J47" s="61" t="s">
        <v>230</v>
      </c>
      <c r="L47" s="101" t="s">
        <v>502</v>
      </c>
      <c r="M47" s="101" t="s">
        <v>595</v>
      </c>
      <c r="O47" s="103" t="s">
        <v>823</v>
      </c>
      <c r="S47">
        <f t="array" ref="S47">COUNT(O47=MyMovies)</f>
        <v>0</v>
      </c>
    </row>
    <row r="48" spans="2:19" x14ac:dyDescent="0.25">
      <c r="B48" s="2" t="s">
        <v>92</v>
      </c>
      <c r="C48" s="9" t="s">
        <v>93</v>
      </c>
      <c r="D48" s="10">
        <v>1954</v>
      </c>
      <c r="E48" s="3">
        <v>15</v>
      </c>
      <c r="F48" s="3">
        <v>8.6999999999999993</v>
      </c>
      <c r="G48" s="4">
        <v>161969</v>
      </c>
      <c r="H48" s="57">
        <v>1954</v>
      </c>
      <c r="I48" s="55"/>
      <c r="J48" s="61" t="s">
        <v>94</v>
      </c>
      <c r="L48" s="101" t="s">
        <v>120</v>
      </c>
      <c r="M48" s="101" t="s">
        <v>596</v>
      </c>
      <c r="O48" s="103" t="s">
        <v>824</v>
      </c>
      <c r="S48">
        <f t="array" ref="S48">COUNT(O48=MyMovies)</f>
        <v>0</v>
      </c>
    </row>
    <row r="49" spans="2:19" x14ac:dyDescent="0.25">
      <c r="B49" s="2" t="s">
        <v>94</v>
      </c>
      <c r="C49" s="9" t="s">
        <v>95</v>
      </c>
      <c r="D49" s="10">
        <v>1955</v>
      </c>
      <c r="E49" s="3">
        <v>139</v>
      </c>
      <c r="F49" s="3">
        <v>8.1</v>
      </c>
      <c r="G49" s="4">
        <v>26777</v>
      </c>
      <c r="H49" s="57">
        <v>1955</v>
      </c>
      <c r="I49" s="55"/>
      <c r="J49" s="61" t="s">
        <v>84</v>
      </c>
      <c r="L49" s="101" t="s">
        <v>254</v>
      </c>
      <c r="M49" s="101" t="s">
        <v>597</v>
      </c>
      <c r="O49" s="103" t="s">
        <v>825</v>
      </c>
      <c r="S49">
        <f t="array" ref="S49">COUNT(O49=MyMovies)</f>
        <v>0</v>
      </c>
    </row>
    <row r="50" spans="2:19" x14ac:dyDescent="0.25">
      <c r="B50" s="2" t="s">
        <v>96</v>
      </c>
      <c r="C50" s="9" t="s">
        <v>97</v>
      </c>
      <c r="D50" s="10">
        <v>1955</v>
      </c>
      <c r="E50" s="3">
        <v>178</v>
      </c>
      <c r="F50" s="3">
        <v>8.1</v>
      </c>
      <c r="G50" s="4">
        <v>44437</v>
      </c>
      <c r="H50" s="57">
        <v>1955</v>
      </c>
      <c r="I50" s="55"/>
      <c r="J50" s="61" t="s">
        <v>270</v>
      </c>
      <c r="L50" s="101" t="s">
        <v>38</v>
      </c>
      <c r="M50" s="101" t="s">
        <v>598</v>
      </c>
      <c r="O50" s="103" t="s">
        <v>163</v>
      </c>
      <c r="S50">
        <f t="array" ref="S50">COUNT(O50=MyMovies)</f>
        <v>0</v>
      </c>
    </row>
    <row r="51" spans="2:19" x14ac:dyDescent="0.25">
      <c r="B51" s="2" t="s">
        <v>98</v>
      </c>
      <c r="C51" s="9" t="s">
        <v>99</v>
      </c>
      <c r="D51" s="10">
        <v>1956</v>
      </c>
      <c r="E51" s="3">
        <v>194</v>
      </c>
      <c r="F51" s="3">
        <v>8</v>
      </c>
      <c r="G51" s="4">
        <v>44571</v>
      </c>
      <c r="H51" s="57">
        <v>1956</v>
      </c>
      <c r="I51" s="55"/>
      <c r="J51" s="61" t="s">
        <v>454</v>
      </c>
      <c r="L51" s="101" t="s">
        <v>390</v>
      </c>
      <c r="M51" s="101" t="s">
        <v>599</v>
      </c>
      <c r="O51" s="103" t="s">
        <v>826</v>
      </c>
      <c r="S51">
        <f t="array" ref="S51">COUNT(O51=MyMovies)</f>
        <v>0</v>
      </c>
    </row>
    <row r="52" spans="2:19" x14ac:dyDescent="0.25">
      <c r="B52" s="2" t="s">
        <v>100</v>
      </c>
      <c r="C52" s="9" t="s">
        <v>101</v>
      </c>
      <c r="D52" s="10">
        <v>1957</v>
      </c>
      <c r="E52" s="3">
        <v>7</v>
      </c>
      <c r="F52" s="3">
        <v>8.9</v>
      </c>
      <c r="G52" s="4">
        <v>264112</v>
      </c>
      <c r="H52" s="57">
        <v>1957</v>
      </c>
      <c r="I52" s="55"/>
      <c r="J52" s="61" t="s">
        <v>490</v>
      </c>
      <c r="L52" s="101" t="s">
        <v>18</v>
      </c>
      <c r="M52" s="101" t="s">
        <v>600</v>
      </c>
      <c r="O52" s="103" t="s">
        <v>827</v>
      </c>
      <c r="S52">
        <f t="array" ref="S52">COUNT(O52=MyMovies)</f>
        <v>0</v>
      </c>
    </row>
    <row r="53" spans="2:19" x14ac:dyDescent="0.25">
      <c r="B53" s="2" t="s">
        <v>102</v>
      </c>
      <c r="C53" s="9" t="s">
        <v>103</v>
      </c>
      <c r="D53" s="10">
        <v>1957</v>
      </c>
      <c r="E53" s="3">
        <v>52</v>
      </c>
      <c r="F53" s="3">
        <v>8.4</v>
      </c>
      <c r="G53" s="4">
        <v>78867</v>
      </c>
      <c r="H53" s="57">
        <v>1957</v>
      </c>
      <c r="I53" s="55"/>
      <c r="J53" s="61" t="s">
        <v>194</v>
      </c>
      <c r="L53" s="101" t="s">
        <v>338</v>
      </c>
      <c r="M53" s="101" t="s">
        <v>601</v>
      </c>
      <c r="O53" s="103" t="s">
        <v>828</v>
      </c>
      <c r="S53">
        <f t="array" ref="S53">COUNT(O53=MyMovies)</f>
        <v>0</v>
      </c>
    </row>
    <row r="54" spans="2:19" x14ac:dyDescent="0.25">
      <c r="B54" s="2" t="s">
        <v>104</v>
      </c>
      <c r="C54" s="9" t="s">
        <v>105</v>
      </c>
      <c r="D54" s="10">
        <v>1957</v>
      </c>
      <c r="E54" s="3">
        <v>104</v>
      </c>
      <c r="F54" s="3">
        <v>8.3000000000000007</v>
      </c>
      <c r="G54" s="4">
        <v>102421</v>
      </c>
      <c r="H54" s="57">
        <v>1957</v>
      </c>
      <c r="I54" s="55"/>
      <c r="J54" s="61" t="s">
        <v>376</v>
      </c>
      <c r="L54" s="101" t="s">
        <v>228</v>
      </c>
      <c r="M54" s="101" t="s">
        <v>602</v>
      </c>
      <c r="O54" s="103" t="s">
        <v>829</v>
      </c>
      <c r="S54">
        <f t="array" ref="S54">COUNT(O54=MyMovies)</f>
        <v>0</v>
      </c>
    </row>
    <row r="55" spans="2:19" x14ac:dyDescent="0.25">
      <c r="B55" s="2" t="s">
        <v>106</v>
      </c>
      <c r="C55" s="9" t="s">
        <v>107</v>
      </c>
      <c r="D55" s="10">
        <v>1957</v>
      </c>
      <c r="E55" s="3">
        <v>120</v>
      </c>
      <c r="F55" s="3">
        <v>8.1999999999999993</v>
      </c>
      <c r="G55" s="4">
        <v>74369</v>
      </c>
      <c r="H55" s="57">
        <v>1957</v>
      </c>
      <c r="I55" s="55"/>
      <c r="J55" s="61" t="s">
        <v>46</v>
      </c>
      <c r="L55" s="101" t="s">
        <v>424</v>
      </c>
      <c r="M55" s="101" t="s">
        <v>603</v>
      </c>
      <c r="O55" s="103" t="s">
        <v>137</v>
      </c>
      <c r="S55">
        <f t="array" ref="S55">COUNT(O55=MyMovies)</f>
        <v>0</v>
      </c>
    </row>
    <row r="56" spans="2:19" x14ac:dyDescent="0.25">
      <c r="B56" s="2" t="s">
        <v>108</v>
      </c>
      <c r="C56" s="9" t="s">
        <v>109</v>
      </c>
      <c r="D56" s="10">
        <v>1957</v>
      </c>
      <c r="E56" s="3">
        <v>126</v>
      </c>
      <c r="F56" s="3">
        <v>8.1999999999999993</v>
      </c>
      <c r="G56" s="4">
        <v>41744</v>
      </c>
      <c r="H56" s="57">
        <v>1957</v>
      </c>
      <c r="I56" s="55"/>
      <c r="J56" s="61" t="s">
        <v>406</v>
      </c>
      <c r="L56" s="101" t="s">
        <v>102</v>
      </c>
      <c r="M56" s="101" t="s">
        <v>604</v>
      </c>
      <c r="O56" s="103" t="s">
        <v>830</v>
      </c>
      <c r="S56">
        <f t="array" ref="S56">COUNT(O56=MyMovies)</f>
        <v>0</v>
      </c>
    </row>
    <row r="57" spans="2:19" x14ac:dyDescent="0.25">
      <c r="B57" s="2" t="s">
        <v>110</v>
      </c>
      <c r="C57" s="9" t="s">
        <v>111</v>
      </c>
      <c r="D57" s="10">
        <v>1957</v>
      </c>
      <c r="E57" s="3">
        <v>97</v>
      </c>
      <c r="F57" s="3">
        <v>8.3000000000000007</v>
      </c>
      <c r="G57" s="4">
        <v>36241</v>
      </c>
      <c r="H57" s="57">
        <v>1957</v>
      </c>
      <c r="I57" s="55"/>
      <c r="J57" s="61" t="s">
        <v>150</v>
      </c>
      <c r="L57" s="101" t="s">
        <v>114</v>
      </c>
      <c r="M57" s="101" t="s">
        <v>605</v>
      </c>
      <c r="O57" s="103" t="s">
        <v>129</v>
      </c>
      <c r="S57">
        <f t="array" ref="S57">COUNT(O57=MyMovies)</f>
        <v>0</v>
      </c>
    </row>
    <row r="58" spans="2:19" x14ac:dyDescent="0.25">
      <c r="B58" s="2" t="s">
        <v>112</v>
      </c>
      <c r="C58" s="9" t="s">
        <v>113</v>
      </c>
      <c r="D58" s="10">
        <v>1958</v>
      </c>
      <c r="E58" s="3">
        <v>133</v>
      </c>
      <c r="F58" s="3">
        <v>8.1999999999999993</v>
      </c>
      <c r="G58" s="4">
        <v>52508</v>
      </c>
      <c r="H58" s="57">
        <v>1958</v>
      </c>
      <c r="I58" s="55"/>
      <c r="J58" s="60" t="s">
        <v>408</v>
      </c>
      <c r="L58" s="101" t="s">
        <v>352</v>
      </c>
      <c r="M58" s="101" t="s">
        <v>606</v>
      </c>
      <c r="O58" s="103" t="s">
        <v>119</v>
      </c>
      <c r="S58">
        <f t="array" ref="S58">COUNT(O58=MyMovies)</f>
        <v>0</v>
      </c>
    </row>
    <row r="59" spans="2:19" x14ac:dyDescent="0.25">
      <c r="B59" s="2" t="s">
        <v>114</v>
      </c>
      <c r="C59" s="9" t="s">
        <v>115</v>
      </c>
      <c r="D59" s="10">
        <v>1958</v>
      </c>
      <c r="E59" s="3">
        <v>53</v>
      </c>
      <c r="F59" s="3">
        <v>8.4</v>
      </c>
      <c r="G59" s="4">
        <v>162865</v>
      </c>
      <c r="H59" s="57">
        <v>1958</v>
      </c>
      <c r="I59" s="55"/>
      <c r="J59" s="61" t="s">
        <v>236</v>
      </c>
      <c r="L59" s="101" t="s">
        <v>490</v>
      </c>
      <c r="M59" s="101" t="s">
        <v>607</v>
      </c>
      <c r="O59" s="103" t="s">
        <v>831</v>
      </c>
      <c r="S59">
        <f t="array" ref="S59">COUNT(O59=MyMovies)</f>
        <v>0</v>
      </c>
    </row>
    <row r="60" spans="2:19" x14ac:dyDescent="0.25">
      <c r="B60" s="2" t="s">
        <v>116</v>
      </c>
      <c r="C60" s="9" t="s">
        <v>117</v>
      </c>
      <c r="D60" s="10">
        <v>1959</v>
      </c>
      <c r="E60" s="3">
        <v>203</v>
      </c>
      <c r="F60" s="3">
        <v>8</v>
      </c>
      <c r="G60" s="4">
        <v>32242</v>
      </c>
      <c r="H60" s="57">
        <v>1959</v>
      </c>
      <c r="I60" s="55"/>
      <c r="J60" s="61" t="s">
        <v>330</v>
      </c>
      <c r="L60" s="101" t="s">
        <v>46</v>
      </c>
      <c r="M60" s="101" t="s">
        <v>608</v>
      </c>
      <c r="O60" s="103" t="s">
        <v>105</v>
      </c>
      <c r="S60">
        <f t="array" ref="S60">COUNT(O60=MyMovies)</f>
        <v>0</v>
      </c>
    </row>
    <row r="61" spans="2:19" x14ac:dyDescent="0.25">
      <c r="B61" s="2" t="s">
        <v>118</v>
      </c>
      <c r="C61" s="9" t="s">
        <v>119</v>
      </c>
      <c r="D61" s="10">
        <v>1959</v>
      </c>
      <c r="E61" s="3">
        <v>177</v>
      </c>
      <c r="F61" s="3">
        <v>8.1</v>
      </c>
      <c r="G61" s="4">
        <v>106455</v>
      </c>
      <c r="H61" s="57">
        <v>1959</v>
      </c>
      <c r="I61" s="55"/>
      <c r="J61" s="61" t="s">
        <v>354</v>
      </c>
      <c r="L61" s="101" t="s">
        <v>206</v>
      </c>
      <c r="M61" s="101" t="s">
        <v>609</v>
      </c>
      <c r="O61" s="103" t="s">
        <v>832</v>
      </c>
      <c r="S61">
        <f t="array" ref="S61">COUNT(O61=MyMovies)</f>
        <v>0</v>
      </c>
    </row>
    <row r="62" spans="2:19" x14ac:dyDescent="0.25">
      <c r="B62" s="2" t="s">
        <v>120</v>
      </c>
      <c r="C62" s="9" t="s">
        <v>121</v>
      </c>
      <c r="D62" s="10">
        <v>1959</v>
      </c>
      <c r="E62" s="3">
        <v>44</v>
      </c>
      <c r="F62" s="3">
        <v>8.5</v>
      </c>
      <c r="G62" s="4">
        <v>155574</v>
      </c>
      <c r="H62" s="57">
        <v>1959</v>
      </c>
      <c r="I62" s="55"/>
      <c r="J62" s="61" t="s">
        <v>392</v>
      </c>
      <c r="L62" s="101" t="s">
        <v>496</v>
      </c>
      <c r="M62" s="101" t="s">
        <v>610</v>
      </c>
      <c r="O62" s="103" t="s">
        <v>833</v>
      </c>
      <c r="S62">
        <f t="array" ref="S62">COUNT(O62=MyMovies)</f>
        <v>0</v>
      </c>
    </row>
    <row r="63" spans="2:19" x14ac:dyDescent="0.25">
      <c r="B63" s="2" t="s">
        <v>122</v>
      </c>
      <c r="C63" s="9" t="s">
        <v>123</v>
      </c>
      <c r="D63" s="10">
        <v>1959</v>
      </c>
      <c r="E63" s="3">
        <v>90</v>
      </c>
      <c r="F63" s="3">
        <v>8.3000000000000007</v>
      </c>
      <c r="G63" s="4">
        <v>120126</v>
      </c>
      <c r="H63" s="57">
        <v>1959</v>
      </c>
      <c r="I63" s="55"/>
      <c r="J63" s="61" t="s">
        <v>152</v>
      </c>
      <c r="L63" s="101" t="s">
        <v>258</v>
      </c>
      <c r="M63" s="101" t="s">
        <v>611</v>
      </c>
      <c r="O63" s="103" t="s">
        <v>89</v>
      </c>
      <c r="S63">
        <f t="array" ref="S63">COUNT(O63=MyMovies)</f>
        <v>0</v>
      </c>
    </row>
    <row r="64" spans="2:19" x14ac:dyDescent="0.25">
      <c r="B64" s="2" t="s">
        <v>124</v>
      </c>
      <c r="C64" s="9" t="s">
        <v>125</v>
      </c>
      <c r="D64" s="10">
        <v>1959</v>
      </c>
      <c r="E64" s="3">
        <v>182</v>
      </c>
      <c r="F64" s="3">
        <v>8.1</v>
      </c>
      <c r="G64" s="4">
        <v>46028</v>
      </c>
      <c r="H64" s="57">
        <v>1959</v>
      </c>
      <c r="I64" s="55"/>
      <c r="J64" s="61" t="s">
        <v>300</v>
      </c>
      <c r="L64" s="101" t="s">
        <v>356</v>
      </c>
      <c r="M64" s="101" t="s">
        <v>612</v>
      </c>
      <c r="O64" s="103" t="s">
        <v>834</v>
      </c>
      <c r="S64">
        <f t="array" ref="S64">COUNT(O64=MyMovies)</f>
        <v>0</v>
      </c>
    </row>
    <row r="65" spans="2:19" x14ac:dyDescent="0.25">
      <c r="B65" s="2" t="s">
        <v>126</v>
      </c>
      <c r="C65" s="9" t="s">
        <v>127</v>
      </c>
      <c r="D65" s="10">
        <v>1960</v>
      </c>
      <c r="E65" s="3">
        <v>30</v>
      </c>
      <c r="F65" s="3">
        <v>8.6</v>
      </c>
      <c r="G65" s="4">
        <v>272065</v>
      </c>
      <c r="H65" s="57">
        <v>1960</v>
      </c>
      <c r="I65" s="55"/>
      <c r="J65" s="61" t="s">
        <v>264</v>
      </c>
      <c r="L65" s="101" t="s">
        <v>486</v>
      </c>
      <c r="M65" s="101" t="s">
        <v>613</v>
      </c>
      <c r="O65" s="103" t="s">
        <v>835</v>
      </c>
      <c r="S65">
        <f t="array" ref="S65">COUNT(O65=MyMovies)</f>
        <v>0</v>
      </c>
    </row>
    <row r="66" spans="2:19" x14ac:dyDescent="0.25">
      <c r="B66" s="2" t="s">
        <v>128</v>
      </c>
      <c r="C66" s="9" t="s">
        <v>129</v>
      </c>
      <c r="D66" s="10">
        <v>1960</v>
      </c>
      <c r="E66" s="3">
        <v>98</v>
      </c>
      <c r="F66" s="3">
        <v>8.3000000000000007</v>
      </c>
      <c r="G66" s="4">
        <v>70921</v>
      </c>
      <c r="H66" s="57">
        <v>1960</v>
      </c>
      <c r="I66" s="55"/>
      <c r="J66" s="61" t="s">
        <v>238</v>
      </c>
      <c r="L66" s="101" t="s">
        <v>364</v>
      </c>
      <c r="M66" s="101" t="s">
        <v>614</v>
      </c>
      <c r="O66" s="103" t="s">
        <v>836</v>
      </c>
      <c r="S66">
        <f t="array" ref="S66">COUNT(O66=MyMovies)</f>
        <v>0</v>
      </c>
    </row>
    <row r="67" spans="2:19" x14ac:dyDescent="0.25">
      <c r="B67" s="2" t="s">
        <v>130</v>
      </c>
      <c r="C67" s="9" t="s">
        <v>131</v>
      </c>
      <c r="D67" s="10">
        <v>1961</v>
      </c>
      <c r="E67" s="3">
        <v>147</v>
      </c>
      <c r="F67" s="3">
        <v>8.1</v>
      </c>
      <c r="G67" s="4">
        <v>25742</v>
      </c>
      <c r="H67" s="57">
        <v>1961</v>
      </c>
      <c r="I67" s="55"/>
      <c r="J67" s="61" t="s">
        <v>364</v>
      </c>
      <c r="L67" s="101" t="s">
        <v>450</v>
      </c>
      <c r="M67" s="101" t="s">
        <v>615</v>
      </c>
      <c r="O67" s="103" t="s">
        <v>65</v>
      </c>
      <c r="S67">
        <f t="array" ref="S67">COUNT(O67=MyMovies)</f>
        <v>0</v>
      </c>
    </row>
    <row r="68" spans="2:19" x14ac:dyDescent="0.25">
      <c r="B68" s="2" t="s">
        <v>132</v>
      </c>
      <c r="C68" s="9" t="s">
        <v>133</v>
      </c>
      <c r="D68" s="10">
        <v>1961</v>
      </c>
      <c r="E68" s="3">
        <v>200</v>
      </c>
      <c r="F68" s="3">
        <v>8</v>
      </c>
      <c r="G68" s="4">
        <v>43710</v>
      </c>
      <c r="H68" s="57">
        <v>1961</v>
      </c>
      <c r="I68" s="55"/>
      <c r="J68" s="61" t="s">
        <v>26</v>
      </c>
      <c r="L68" s="101" t="s">
        <v>426</v>
      </c>
      <c r="M68" s="101" t="s">
        <v>616</v>
      </c>
      <c r="O68" s="103" t="s">
        <v>837</v>
      </c>
      <c r="S68">
        <f t="array" ref="S68">COUNT(O68=MyMovies)</f>
        <v>0</v>
      </c>
    </row>
    <row r="69" spans="2:19" x14ac:dyDescent="0.25">
      <c r="B69" s="2" t="s">
        <v>134</v>
      </c>
      <c r="C69" s="9" t="s">
        <v>135</v>
      </c>
      <c r="D69" s="10">
        <v>1961</v>
      </c>
      <c r="E69" s="3">
        <v>106</v>
      </c>
      <c r="F69" s="3">
        <v>8.3000000000000007</v>
      </c>
      <c r="G69" s="4">
        <v>49855</v>
      </c>
      <c r="H69" s="57">
        <v>1961</v>
      </c>
      <c r="I69" s="55"/>
      <c r="J69" s="61" t="s">
        <v>334</v>
      </c>
      <c r="L69" s="101" t="s">
        <v>478</v>
      </c>
      <c r="M69" s="101" t="s">
        <v>617</v>
      </c>
      <c r="O69" s="103" t="s">
        <v>838</v>
      </c>
      <c r="S69">
        <f t="array" ref="S69">COUNT(O69=MyMovies)</f>
        <v>0</v>
      </c>
    </row>
    <row r="70" spans="2:19" x14ac:dyDescent="0.25">
      <c r="B70" s="2" t="s">
        <v>136</v>
      </c>
      <c r="C70" s="9" t="s">
        <v>137</v>
      </c>
      <c r="D70" s="10">
        <v>1962</v>
      </c>
      <c r="E70" s="3">
        <v>70</v>
      </c>
      <c r="F70" s="3">
        <v>8.4</v>
      </c>
      <c r="G70" s="4">
        <v>130531</v>
      </c>
      <c r="H70" s="57">
        <v>1962</v>
      </c>
      <c r="I70" s="55"/>
      <c r="J70" s="61" t="s">
        <v>280</v>
      </c>
      <c r="L70" s="101" t="s">
        <v>36</v>
      </c>
      <c r="M70" s="101" t="s">
        <v>618</v>
      </c>
      <c r="O70" s="103" t="s">
        <v>839</v>
      </c>
      <c r="S70">
        <f t="array" ref="S70">COUNT(O70=MyMovies)</f>
        <v>0</v>
      </c>
    </row>
    <row r="71" spans="2:19" x14ac:dyDescent="0.25">
      <c r="B71" s="2" t="s">
        <v>138</v>
      </c>
      <c r="C71" s="9" t="s">
        <v>139</v>
      </c>
      <c r="D71" s="10">
        <v>1962</v>
      </c>
      <c r="E71" s="3">
        <v>201</v>
      </c>
      <c r="F71" s="3">
        <v>8</v>
      </c>
      <c r="G71" s="4">
        <v>39917</v>
      </c>
      <c r="H71" s="57">
        <v>1962</v>
      </c>
      <c r="I71" s="55"/>
      <c r="J71" s="61" t="s">
        <v>442</v>
      </c>
      <c r="L71" s="101" t="s">
        <v>176</v>
      </c>
      <c r="M71" s="101" t="s">
        <v>619</v>
      </c>
      <c r="O71" s="103" t="s">
        <v>53</v>
      </c>
      <c r="S71">
        <f t="array" ref="S71">COUNT(O71=MyMovies)</f>
        <v>0</v>
      </c>
    </row>
    <row r="72" spans="2:19" x14ac:dyDescent="0.25">
      <c r="B72" s="2" t="s">
        <v>140</v>
      </c>
      <c r="C72" s="9" t="s">
        <v>141</v>
      </c>
      <c r="D72" s="10">
        <v>1962</v>
      </c>
      <c r="E72" s="3">
        <v>205</v>
      </c>
      <c r="F72" s="3">
        <v>8</v>
      </c>
      <c r="G72" s="4">
        <v>53501</v>
      </c>
      <c r="H72" s="57">
        <v>1962</v>
      </c>
      <c r="I72" s="55"/>
      <c r="J72" s="61" t="s">
        <v>272</v>
      </c>
      <c r="L72" s="101" t="s">
        <v>428</v>
      </c>
      <c r="M72" s="101" t="s">
        <v>620</v>
      </c>
      <c r="O72" s="103" t="s">
        <v>840</v>
      </c>
      <c r="S72">
        <f t="array" ref="S72">COUNT(O72=MyMovies)</f>
        <v>0</v>
      </c>
    </row>
    <row r="73" spans="2:19" x14ac:dyDescent="0.25">
      <c r="B73" s="2" t="s">
        <v>142</v>
      </c>
      <c r="C73" s="9" t="s">
        <v>143</v>
      </c>
      <c r="D73" s="10">
        <v>1962</v>
      </c>
      <c r="E73" s="3">
        <v>71</v>
      </c>
      <c r="F73" s="3">
        <v>8.4</v>
      </c>
      <c r="G73" s="4">
        <v>143215</v>
      </c>
      <c r="H73" s="57">
        <v>1962</v>
      </c>
      <c r="I73" s="55"/>
      <c r="J73" s="61" t="s">
        <v>502</v>
      </c>
      <c r="L73" s="101" t="s">
        <v>374</v>
      </c>
      <c r="M73" s="101" t="s">
        <v>621</v>
      </c>
      <c r="O73" s="103" t="s">
        <v>841</v>
      </c>
      <c r="S73">
        <f t="array" ref="S73">COUNT(O73=MyMovies)</f>
        <v>0</v>
      </c>
    </row>
    <row r="74" spans="2:19" x14ac:dyDescent="0.25">
      <c r="B74" s="2" t="s">
        <v>144</v>
      </c>
      <c r="C74" s="9" t="s">
        <v>145</v>
      </c>
      <c r="D74" s="10">
        <v>1963</v>
      </c>
      <c r="E74" s="3">
        <v>204</v>
      </c>
      <c r="F74" s="3">
        <v>8</v>
      </c>
      <c r="G74" s="4">
        <v>54451</v>
      </c>
      <c r="H74" s="57">
        <v>1963</v>
      </c>
      <c r="I74" s="55"/>
      <c r="J74" s="61" t="s">
        <v>292</v>
      </c>
      <c r="L74" s="101" t="s">
        <v>136</v>
      </c>
      <c r="M74" s="101" t="s">
        <v>622</v>
      </c>
      <c r="O74" s="103" t="s">
        <v>43</v>
      </c>
      <c r="S74">
        <f t="array" ref="S74">COUNT(O74=MyMovies)</f>
        <v>0</v>
      </c>
    </row>
    <row r="75" spans="2:19" x14ac:dyDescent="0.25">
      <c r="B75" s="2" t="s">
        <v>146</v>
      </c>
      <c r="C75" s="9" t="s">
        <v>147</v>
      </c>
      <c r="D75" s="10">
        <v>1963</v>
      </c>
      <c r="E75" s="3">
        <v>115</v>
      </c>
      <c r="F75" s="3">
        <v>8.1999999999999993</v>
      </c>
      <c r="G75" s="4">
        <v>110551</v>
      </c>
      <c r="H75" s="57">
        <v>1963</v>
      </c>
      <c r="I75" s="55"/>
      <c r="J75" s="61" t="s">
        <v>482</v>
      </c>
      <c r="L75" s="101" t="s">
        <v>142</v>
      </c>
      <c r="M75" s="101" t="s">
        <v>623</v>
      </c>
      <c r="O75" s="103" t="s">
        <v>842</v>
      </c>
      <c r="S75">
        <f t="array" ref="S75">COUNT(O75=MyMovies)</f>
        <v>0</v>
      </c>
    </row>
    <row r="76" spans="2:19" x14ac:dyDescent="0.25">
      <c r="B76" s="2" t="s">
        <v>148</v>
      </c>
      <c r="C76" s="9" t="s">
        <v>149</v>
      </c>
      <c r="D76" s="10">
        <v>1964</v>
      </c>
      <c r="E76" s="3">
        <v>231</v>
      </c>
      <c r="F76" s="3">
        <v>8</v>
      </c>
      <c r="G76" s="4">
        <v>82374</v>
      </c>
      <c r="H76" s="57">
        <v>1964</v>
      </c>
      <c r="I76" s="55"/>
      <c r="J76" s="61" t="s">
        <v>318</v>
      </c>
      <c r="L76" s="101" t="s">
        <v>288</v>
      </c>
      <c r="M76" s="101" t="s">
        <v>624</v>
      </c>
      <c r="O76" s="103" t="s">
        <v>843</v>
      </c>
      <c r="S76">
        <f t="array" ref="S76">COUNT(O76=MyMovies)</f>
        <v>0</v>
      </c>
    </row>
    <row r="77" spans="2:19" x14ac:dyDescent="0.25">
      <c r="B77" s="2" t="s">
        <v>150</v>
      </c>
      <c r="C77" s="9" t="s">
        <v>151</v>
      </c>
      <c r="D77" s="10">
        <v>1964</v>
      </c>
      <c r="E77" s="3">
        <v>39</v>
      </c>
      <c r="F77" s="3">
        <v>8.5</v>
      </c>
      <c r="G77" s="4">
        <v>249013</v>
      </c>
      <c r="H77" s="57">
        <v>1964</v>
      </c>
      <c r="I77" s="55"/>
      <c r="J77" s="61" t="s">
        <v>74</v>
      </c>
      <c r="L77" s="101" t="s">
        <v>230</v>
      </c>
      <c r="M77" s="101" t="s">
        <v>625</v>
      </c>
      <c r="O77" s="103" t="s">
        <v>33</v>
      </c>
      <c r="S77">
        <f t="array" ref="S77">COUNT(O77=MyMovies)</f>
        <v>0</v>
      </c>
    </row>
    <row r="78" spans="2:19" x14ac:dyDescent="0.25">
      <c r="B78" s="2" t="s">
        <v>152</v>
      </c>
      <c r="C78" s="9" t="s">
        <v>153</v>
      </c>
      <c r="D78" s="10">
        <v>1965</v>
      </c>
      <c r="E78" s="3">
        <v>110</v>
      </c>
      <c r="F78" s="3">
        <v>8.1999999999999993</v>
      </c>
      <c r="G78" s="4">
        <v>94509</v>
      </c>
      <c r="H78" s="57">
        <v>1965</v>
      </c>
      <c r="I78" s="55"/>
      <c r="J78" s="61" t="s">
        <v>410</v>
      </c>
      <c r="L78" s="101" t="s">
        <v>268</v>
      </c>
      <c r="M78" s="101" t="s">
        <v>626</v>
      </c>
      <c r="O78" s="103" t="s">
        <v>27</v>
      </c>
      <c r="S78">
        <f t="array" ref="S78">COUNT(O78=MyMovies)</f>
        <v>0</v>
      </c>
    </row>
    <row r="79" spans="2:19" x14ac:dyDescent="0.25">
      <c r="B79" s="2" t="s">
        <v>154</v>
      </c>
      <c r="C79" s="9" t="s">
        <v>155</v>
      </c>
      <c r="D79" s="10">
        <v>1966</v>
      </c>
      <c r="E79" s="3">
        <v>193</v>
      </c>
      <c r="F79" s="3">
        <v>8</v>
      </c>
      <c r="G79" s="4">
        <v>36479</v>
      </c>
      <c r="H79" s="57">
        <v>1966</v>
      </c>
      <c r="I79" s="55"/>
      <c r="J79" s="61" t="s">
        <v>468</v>
      </c>
      <c r="L79" s="101" t="s">
        <v>306</v>
      </c>
      <c r="M79" s="101" t="s">
        <v>627</v>
      </c>
      <c r="O79" s="103" t="s">
        <v>844</v>
      </c>
      <c r="S79">
        <f t="array" ref="S79">COUNT(O79=MyMovies)</f>
        <v>0</v>
      </c>
    </row>
    <row r="80" spans="2:19" x14ac:dyDescent="0.25">
      <c r="B80" s="2" t="s">
        <v>156</v>
      </c>
      <c r="C80" s="9" t="s">
        <v>157</v>
      </c>
      <c r="D80" s="10">
        <v>1966</v>
      </c>
      <c r="E80" s="3">
        <v>5</v>
      </c>
      <c r="F80" s="3">
        <v>8.9</v>
      </c>
      <c r="G80" s="4">
        <v>322961</v>
      </c>
      <c r="H80" s="57">
        <v>1966</v>
      </c>
      <c r="I80" s="55"/>
      <c r="J80" s="61" t="s">
        <v>412</v>
      </c>
      <c r="L80" s="101" t="s">
        <v>60</v>
      </c>
      <c r="M80" s="101" t="s">
        <v>628</v>
      </c>
      <c r="O80" s="103" t="s">
        <v>845</v>
      </c>
      <c r="S80">
        <f t="array" ref="S80">COUNT(O80=MyMovies)</f>
        <v>0</v>
      </c>
    </row>
    <row r="81" spans="2:19" x14ac:dyDescent="0.25">
      <c r="B81" s="2" t="s">
        <v>158</v>
      </c>
      <c r="C81" s="9" t="s">
        <v>159</v>
      </c>
      <c r="D81" s="10">
        <v>1966</v>
      </c>
      <c r="E81" s="3">
        <v>199</v>
      </c>
      <c r="F81" s="3">
        <v>8</v>
      </c>
      <c r="G81" s="4">
        <v>38192</v>
      </c>
      <c r="H81" s="57">
        <v>1966</v>
      </c>
      <c r="I81" s="55"/>
      <c r="J81" s="61" t="s">
        <v>76</v>
      </c>
      <c r="L81" s="101" t="s">
        <v>62</v>
      </c>
      <c r="M81" s="101" t="s">
        <v>629</v>
      </c>
      <c r="O81" s="103" t="s">
        <v>846</v>
      </c>
      <c r="S81">
        <f t="array" ref="S81">COUNT(O81=MyMovies)</f>
        <v>0</v>
      </c>
    </row>
    <row r="82" spans="2:19" x14ac:dyDescent="0.25">
      <c r="B82" s="2" t="s">
        <v>160</v>
      </c>
      <c r="C82" s="9" t="s">
        <v>161</v>
      </c>
      <c r="D82" s="10">
        <v>1967</v>
      </c>
      <c r="E82" s="3">
        <v>137</v>
      </c>
      <c r="F82" s="3">
        <v>8.1999999999999993</v>
      </c>
      <c r="G82" s="4">
        <v>84470</v>
      </c>
      <c r="H82" s="57">
        <v>1967</v>
      </c>
      <c r="I82" s="55"/>
      <c r="J82" s="61" t="s">
        <v>162</v>
      </c>
      <c r="L82" s="101" t="s">
        <v>250</v>
      </c>
      <c r="M82" s="101" t="s">
        <v>630</v>
      </c>
      <c r="O82" s="103" t="s">
        <v>847</v>
      </c>
      <c r="S82">
        <f t="array" ref="S82">COUNT(O82=MyMovies)</f>
        <v>0</v>
      </c>
    </row>
    <row r="83" spans="2:19" x14ac:dyDescent="0.25">
      <c r="B83" s="2" t="s">
        <v>162</v>
      </c>
      <c r="C83" s="9" t="s">
        <v>163</v>
      </c>
      <c r="D83" s="10">
        <v>1967</v>
      </c>
      <c r="E83" s="3">
        <v>247</v>
      </c>
      <c r="F83" s="3">
        <v>7.9</v>
      </c>
      <c r="G83" s="4">
        <v>37081</v>
      </c>
      <c r="H83" s="57">
        <v>1967</v>
      </c>
      <c r="I83" s="55"/>
      <c r="J83" s="61" t="s">
        <v>294</v>
      </c>
      <c r="L83" s="101" t="s">
        <v>368</v>
      </c>
      <c r="M83" s="101" t="s">
        <v>631</v>
      </c>
      <c r="O83" s="103" t="s">
        <v>21</v>
      </c>
      <c r="S83">
        <f t="array" ref="S83">COUNT(O83=MyMovies)</f>
        <v>0</v>
      </c>
    </row>
    <row r="84" spans="2:19" x14ac:dyDescent="0.25">
      <c r="B84" s="2" t="s">
        <v>164</v>
      </c>
      <c r="C84" s="9" t="s">
        <v>165</v>
      </c>
      <c r="D84" s="10">
        <v>1967</v>
      </c>
      <c r="E84" s="3">
        <v>195</v>
      </c>
      <c r="F84" s="3">
        <v>8</v>
      </c>
      <c r="G84" s="4">
        <v>149389</v>
      </c>
      <c r="H84" s="57">
        <v>1967</v>
      </c>
      <c r="I84" s="55"/>
      <c r="J84" s="61" t="s">
        <v>470</v>
      </c>
      <c r="L84" s="101" t="s">
        <v>244</v>
      </c>
      <c r="M84" s="101" t="s">
        <v>632</v>
      </c>
      <c r="O84" s="103" t="s">
        <v>848</v>
      </c>
      <c r="S84">
        <f t="array" ref="S84">COUNT(O84=MyMovies)</f>
        <v>0</v>
      </c>
    </row>
    <row r="85" spans="2:19" x14ac:dyDescent="0.25">
      <c r="B85" s="2" t="s">
        <v>166</v>
      </c>
      <c r="C85" s="9" t="s">
        <v>167</v>
      </c>
      <c r="D85" s="10">
        <v>1968</v>
      </c>
      <c r="E85" s="3">
        <v>96</v>
      </c>
      <c r="F85" s="3">
        <v>8.3000000000000007</v>
      </c>
      <c r="G85" s="4">
        <v>275055</v>
      </c>
      <c r="H85" s="57">
        <v>1968</v>
      </c>
      <c r="I85" s="55"/>
      <c r="J85" s="61" t="s">
        <v>472</v>
      </c>
      <c r="L85" s="101" t="s">
        <v>408</v>
      </c>
      <c r="M85" s="101" t="s">
        <v>633</v>
      </c>
      <c r="O85" s="103" t="s">
        <v>849</v>
      </c>
      <c r="S85">
        <f t="array" ref="S85">COUNT(O85=MyMovies)</f>
        <v>0</v>
      </c>
    </row>
    <row r="86" spans="2:19" x14ac:dyDescent="0.25">
      <c r="B86" s="2" t="s">
        <v>168</v>
      </c>
      <c r="C86" s="9" t="s">
        <v>169</v>
      </c>
      <c r="D86" s="10">
        <v>1968</v>
      </c>
      <c r="E86" s="3">
        <v>24</v>
      </c>
      <c r="F86" s="3">
        <v>8.6</v>
      </c>
      <c r="G86" s="4">
        <v>145769</v>
      </c>
      <c r="H86" s="57">
        <v>1968</v>
      </c>
      <c r="I86" s="55"/>
      <c r="J86" s="61" t="s">
        <v>278</v>
      </c>
      <c r="L86" s="101" t="s">
        <v>264</v>
      </c>
      <c r="M86" s="101" t="s">
        <v>634</v>
      </c>
      <c r="O86" s="103" t="s">
        <v>850</v>
      </c>
      <c r="S86">
        <f t="array" ref="S86">COUNT(O86=MyMovies)</f>
        <v>0</v>
      </c>
    </row>
    <row r="87" spans="2:19" x14ac:dyDescent="0.25">
      <c r="B87" s="2" t="s">
        <v>170</v>
      </c>
      <c r="C87" s="9" t="s">
        <v>171</v>
      </c>
      <c r="D87" s="10">
        <v>1968</v>
      </c>
      <c r="E87" s="3">
        <v>238</v>
      </c>
      <c r="F87" s="3">
        <v>8</v>
      </c>
      <c r="G87" s="4">
        <v>103929</v>
      </c>
      <c r="H87" s="57">
        <v>1968</v>
      </c>
      <c r="I87" s="55"/>
      <c r="J87" s="61" t="s">
        <v>386</v>
      </c>
      <c r="L87" s="101" t="s">
        <v>314</v>
      </c>
      <c r="M87" s="101" t="s">
        <v>635</v>
      </c>
      <c r="O87" s="103" t="s">
        <v>15</v>
      </c>
      <c r="S87">
        <f t="array" ref="S87">COUNT(O87=MyMovies)</f>
        <v>0</v>
      </c>
    </row>
    <row r="88" spans="2:19" x14ac:dyDescent="0.25">
      <c r="B88" s="2" t="s">
        <v>172</v>
      </c>
      <c r="C88" s="9" t="s">
        <v>173</v>
      </c>
      <c r="D88" s="10">
        <v>1969</v>
      </c>
      <c r="E88" s="3">
        <v>152</v>
      </c>
      <c r="F88" s="3">
        <v>8.1</v>
      </c>
      <c r="G88" s="4">
        <v>102995</v>
      </c>
      <c r="H88" s="57">
        <v>1969</v>
      </c>
      <c r="I88" s="55"/>
      <c r="J88" s="61" t="s">
        <v>456</v>
      </c>
      <c r="L88" s="101" t="s">
        <v>336</v>
      </c>
      <c r="M88" s="101" t="s">
        <v>636</v>
      </c>
      <c r="O88" s="103" t="s">
        <v>851</v>
      </c>
      <c r="S88">
        <f t="array" ref="S88">COUNT(O88=MyMovies)</f>
        <v>0</v>
      </c>
    </row>
    <row r="89" spans="2:19" x14ac:dyDescent="0.25">
      <c r="B89" s="2" t="s">
        <v>174</v>
      </c>
      <c r="C89" s="9" t="s">
        <v>175</v>
      </c>
      <c r="D89" s="10">
        <v>1969</v>
      </c>
      <c r="E89" s="3">
        <v>212</v>
      </c>
      <c r="F89" s="3">
        <v>8</v>
      </c>
      <c r="G89" s="4">
        <v>51331</v>
      </c>
      <c r="H89" s="57">
        <v>1969</v>
      </c>
      <c r="I89" s="55"/>
      <c r="J89" s="61" t="s">
        <v>430</v>
      </c>
      <c r="L89" s="101" t="s">
        <v>400</v>
      </c>
      <c r="M89" s="101" t="s">
        <v>637</v>
      </c>
      <c r="O89" s="103" t="s">
        <v>852</v>
      </c>
      <c r="S89">
        <f t="array" ref="S89">COUNT(O89=MyMovies)</f>
        <v>0</v>
      </c>
    </row>
    <row r="90" spans="2:19" x14ac:dyDescent="0.25">
      <c r="B90" s="2" t="s">
        <v>176</v>
      </c>
      <c r="C90" s="9" t="s">
        <v>177</v>
      </c>
      <c r="D90" s="10">
        <v>1971</v>
      </c>
      <c r="E90" s="3">
        <v>67</v>
      </c>
      <c r="F90" s="3">
        <v>8.4</v>
      </c>
      <c r="G90" s="4">
        <v>356779</v>
      </c>
      <c r="H90" s="57">
        <v>1971</v>
      </c>
      <c r="I90" s="55"/>
      <c r="J90" s="61" t="s">
        <v>444</v>
      </c>
      <c r="L90" s="101" t="s">
        <v>78</v>
      </c>
      <c r="M90" s="101" t="s">
        <v>638</v>
      </c>
    </row>
    <row r="91" spans="2:19" x14ac:dyDescent="0.25">
      <c r="B91" s="2" t="s">
        <v>178</v>
      </c>
      <c r="C91" s="9" t="s">
        <v>179</v>
      </c>
      <c r="D91" s="10">
        <v>1972</v>
      </c>
      <c r="E91" s="3">
        <v>224</v>
      </c>
      <c r="F91" s="3">
        <v>8</v>
      </c>
      <c r="G91" s="4">
        <v>30643</v>
      </c>
      <c r="H91" s="57">
        <v>1972</v>
      </c>
      <c r="I91" s="55"/>
      <c r="J91" s="61" t="s">
        <v>20</v>
      </c>
      <c r="L91" s="101" t="s">
        <v>12</v>
      </c>
      <c r="M91" s="101" t="s">
        <v>639</v>
      </c>
    </row>
    <row r="92" spans="2:19" x14ac:dyDescent="0.25">
      <c r="B92" s="2" t="s">
        <v>180</v>
      </c>
      <c r="C92" s="9" t="s">
        <v>181</v>
      </c>
      <c r="D92" s="10">
        <v>1972</v>
      </c>
      <c r="E92" s="3">
        <v>2</v>
      </c>
      <c r="F92" s="3">
        <v>9.1999999999999993</v>
      </c>
      <c r="G92" s="4">
        <v>751381</v>
      </c>
      <c r="H92" s="57">
        <v>1972</v>
      </c>
      <c r="I92" s="55"/>
      <c r="J92" s="61" t="s">
        <v>48</v>
      </c>
      <c r="L92" s="101" t="s">
        <v>188</v>
      </c>
      <c r="M92" s="101" t="s">
        <v>640</v>
      </c>
    </row>
    <row r="93" spans="2:19" x14ac:dyDescent="0.25">
      <c r="B93" s="2" t="s">
        <v>182</v>
      </c>
      <c r="C93" s="9" t="s">
        <v>183</v>
      </c>
      <c r="D93" s="10">
        <v>1973</v>
      </c>
      <c r="E93" s="3">
        <v>250</v>
      </c>
      <c r="F93" s="3">
        <v>7.9</v>
      </c>
      <c r="G93" s="4">
        <v>62517</v>
      </c>
      <c r="H93" s="57">
        <v>1973</v>
      </c>
      <c r="I93" s="55"/>
      <c r="J93" s="61" t="s">
        <v>196</v>
      </c>
      <c r="L93" s="101" t="s">
        <v>66</v>
      </c>
      <c r="M93" s="101" t="s">
        <v>641</v>
      </c>
    </row>
    <row r="94" spans="2:19" x14ac:dyDescent="0.25">
      <c r="B94" s="2" t="s">
        <v>184</v>
      </c>
      <c r="C94" s="9" t="s">
        <v>185</v>
      </c>
      <c r="D94" s="10">
        <v>1973</v>
      </c>
      <c r="E94" s="3">
        <v>207</v>
      </c>
      <c r="F94" s="3">
        <v>8</v>
      </c>
      <c r="G94" s="4">
        <v>213984</v>
      </c>
      <c r="H94" s="57">
        <v>1973</v>
      </c>
      <c r="I94" s="55"/>
      <c r="J94" s="61" t="s">
        <v>130</v>
      </c>
      <c r="L94" s="101" t="s">
        <v>122</v>
      </c>
      <c r="M94" s="101" t="s">
        <v>642</v>
      </c>
    </row>
    <row r="95" spans="2:19" x14ac:dyDescent="0.25">
      <c r="B95" s="2" t="s">
        <v>186</v>
      </c>
      <c r="C95" s="9" t="s">
        <v>187</v>
      </c>
      <c r="D95" s="10">
        <v>1973</v>
      </c>
      <c r="E95" s="3">
        <v>99</v>
      </c>
      <c r="F95" s="3">
        <v>8.3000000000000007</v>
      </c>
      <c r="G95" s="4">
        <v>117819</v>
      </c>
      <c r="H95" s="57">
        <v>1973</v>
      </c>
      <c r="I95" s="55"/>
      <c r="J95" s="61" t="s">
        <v>296</v>
      </c>
      <c r="L95" s="101" t="s">
        <v>56</v>
      </c>
      <c r="M95" s="101" t="s">
        <v>643</v>
      </c>
    </row>
    <row r="96" spans="2:19" x14ac:dyDescent="0.25">
      <c r="B96" s="2" t="s">
        <v>188</v>
      </c>
      <c r="C96" s="9" t="s">
        <v>189</v>
      </c>
      <c r="D96" s="10">
        <v>1974</v>
      </c>
      <c r="E96" s="3">
        <v>88</v>
      </c>
      <c r="F96" s="3">
        <v>8.3000000000000007</v>
      </c>
      <c r="G96" s="4">
        <v>147914</v>
      </c>
      <c r="H96" s="57">
        <v>1974</v>
      </c>
      <c r="I96" s="55"/>
      <c r="J96" s="61" t="s">
        <v>394</v>
      </c>
      <c r="L96" s="101" t="s">
        <v>64</v>
      </c>
      <c r="M96" s="101" t="s">
        <v>644</v>
      </c>
    </row>
    <row r="97" spans="2:13" x14ac:dyDescent="0.25">
      <c r="B97" s="2" t="s">
        <v>190</v>
      </c>
      <c r="C97" s="9" t="s">
        <v>191</v>
      </c>
      <c r="D97" s="10">
        <v>1974</v>
      </c>
      <c r="E97" s="3">
        <v>3</v>
      </c>
      <c r="F97" s="3">
        <v>9</v>
      </c>
      <c r="G97" s="4">
        <v>488889</v>
      </c>
      <c r="H97" s="57">
        <v>1974</v>
      </c>
      <c r="I97" s="55"/>
      <c r="J97" s="61" t="s">
        <v>336</v>
      </c>
      <c r="L97" s="101" t="s">
        <v>198</v>
      </c>
      <c r="M97" s="101" t="s">
        <v>645</v>
      </c>
    </row>
    <row r="98" spans="2:13" x14ac:dyDescent="0.25">
      <c r="B98" s="2" t="s">
        <v>192</v>
      </c>
      <c r="C98" s="9" t="s">
        <v>193</v>
      </c>
      <c r="D98" s="10">
        <v>1975</v>
      </c>
      <c r="E98" s="3">
        <v>213</v>
      </c>
      <c r="F98" s="3">
        <v>8</v>
      </c>
      <c r="G98" s="4">
        <v>69583</v>
      </c>
      <c r="H98" s="57">
        <v>1975</v>
      </c>
      <c r="I98" s="55"/>
      <c r="J98" s="61" t="s">
        <v>320</v>
      </c>
      <c r="L98" s="101" t="s">
        <v>340</v>
      </c>
      <c r="M98" s="101" t="s">
        <v>646</v>
      </c>
    </row>
    <row r="99" spans="2:13" x14ac:dyDescent="0.25">
      <c r="B99" s="2" t="s">
        <v>194</v>
      </c>
      <c r="C99" s="9" t="s">
        <v>195</v>
      </c>
      <c r="D99" s="10">
        <v>1975</v>
      </c>
      <c r="E99" s="3">
        <v>186</v>
      </c>
      <c r="F99" s="3">
        <v>8</v>
      </c>
      <c r="G99" s="4">
        <v>126624</v>
      </c>
      <c r="H99" s="57">
        <v>1975</v>
      </c>
      <c r="I99" s="55"/>
      <c r="J99" s="61" t="s">
        <v>86</v>
      </c>
      <c r="L99" s="101" t="s">
        <v>246</v>
      </c>
      <c r="M99" s="101" t="s">
        <v>647</v>
      </c>
    </row>
    <row r="100" spans="2:13" x14ac:dyDescent="0.25">
      <c r="B100" s="2" t="s">
        <v>196</v>
      </c>
      <c r="C100" s="9" t="s">
        <v>197</v>
      </c>
      <c r="D100" s="10">
        <v>1975</v>
      </c>
      <c r="E100" s="3">
        <v>143</v>
      </c>
      <c r="F100" s="3">
        <v>8.1</v>
      </c>
      <c r="G100" s="4">
        <v>267827</v>
      </c>
      <c r="H100" s="57">
        <v>1975</v>
      </c>
      <c r="I100" s="55"/>
      <c r="J100" s="61" t="s">
        <v>136</v>
      </c>
      <c r="L100" s="101" t="s">
        <v>166</v>
      </c>
      <c r="M100" s="101" t="s">
        <v>648</v>
      </c>
    </row>
    <row r="101" spans="2:13" x14ac:dyDescent="0.25">
      <c r="B101" s="2" t="s">
        <v>198</v>
      </c>
      <c r="C101" s="9" t="s">
        <v>199</v>
      </c>
      <c r="D101" s="10">
        <v>1975</v>
      </c>
      <c r="E101" s="3">
        <v>93</v>
      </c>
      <c r="F101" s="3">
        <v>8.3000000000000007</v>
      </c>
      <c r="G101" s="4">
        <v>265075</v>
      </c>
      <c r="H101" s="57">
        <v>1975</v>
      </c>
      <c r="I101" s="55"/>
      <c r="J101" s="61" t="s">
        <v>302</v>
      </c>
      <c r="L101" s="101" t="s">
        <v>110</v>
      </c>
      <c r="M101" s="101" t="s">
        <v>649</v>
      </c>
    </row>
    <row r="102" spans="2:13" x14ac:dyDescent="0.25">
      <c r="B102" s="2" t="s">
        <v>200</v>
      </c>
      <c r="C102" s="9" t="s">
        <v>201</v>
      </c>
      <c r="D102" s="10">
        <v>1975</v>
      </c>
      <c r="E102" s="3">
        <v>13</v>
      </c>
      <c r="F102" s="3">
        <v>8.6999999999999993</v>
      </c>
      <c r="G102" s="4">
        <v>447005</v>
      </c>
      <c r="H102" s="57">
        <v>1975</v>
      </c>
      <c r="I102" s="55"/>
      <c r="J102" s="61" t="s">
        <v>338</v>
      </c>
      <c r="L102" s="101" t="s">
        <v>128</v>
      </c>
      <c r="M102" s="101" t="s">
        <v>650</v>
      </c>
    </row>
    <row r="103" spans="2:13" x14ac:dyDescent="0.25">
      <c r="B103" s="2" t="s">
        <v>202</v>
      </c>
      <c r="C103" s="9" t="s">
        <v>203</v>
      </c>
      <c r="D103" s="10">
        <v>1976</v>
      </c>
      <c r="E103" s="3">
        <v>173</v>
      </c>
      <c r="F103" s="3">
        <v>8.1</v>
      </c>
      <c r="G103" s="4">
        <v>69929</v>
      </c>
      <c r="H103" s="57">
        <v>1976</v>
      </c>
      <c r="I103" s="55"/>
      <c r="J103" s="61" t="s">
        <v>218</v>
      </c>
      <c r="L103" s="101" t="s">
        <v>186</v>
      </c>
      <c r="M103" s="101" t="s">
        <v>651</v>
      </c>
    </row>
    <row r="104" spans="2:13" x14ac:dyDescent="0.25">
      <c r="B104" s="2" t="s">
        <v>204</v>
      </c>
      <c r="C104" s="9" t="s">
        <v>205</v>
      </c>
      <c r="D104" s="10">
        <v>1976</v>
      </c>
      <c r="E104" s="3">
        <v>206</v>
      </c>
      <c r="F104" s="3">
        <v>8</v>
      </c>
      <c r="G104" s="4">
        <v>220323</v>
      </c>
      <c r="H104" s="57">
        <v>1976</v>
      </c>
      <c r="I104" s="55"/>
      <c r="J104" s="61" t="s">
        <v>492</v>
      </c>
      <c r="L104" s="101" t="s">
        <v>290</v>
      </c>
      <c r="M104" s="101" t="s">
        <v>652</v>
      </c>
    </row>
    <row r="105" spans="2:13" x14ac:dyDescent="0.25">
      <c r="B105" s="2" t="s">
        <v>206</v>
      </c>
      <c r="C105" s="9" t="s">
        <v>207</v>
      </c>
      <c r="D105" s="10">
        <v>1976</v>
      </c>
      <c r="E105" s="3">
        <v>57</v>
      </c>
      <c r="F105" s="3">
        <v>8.4</v>
      </c>
      <c r="G105" s="4">
        <v>321465</v>
      </c>
      <c r="H105" s="57">
        <v>1976</v>
      </c>
      <c r="I105" s="55"/>
      <c r="J105" s="61" t="s">
        <v>344</v>
      </c>
      <c r="L105" s="101" t="s">
        <v>272</v>
      </c>
      <c r="M105" s="101" t="s">
        <v>653</v>
      </c>
    </row>
    <row r="106" spans="2:13" x14ac:dyDescent="0.25">
      <c r="B106" s="2" t="s">
        <v>208</v>
      </c>
      <c r="C106" s="9" t="s">
        <v>209</v>
      </c>
      <c r="D106" s="10">
        <v>1977</v>
      </c>
      <c r="E106" s="3">
        <v>158</v>
      </c>
      <c r="F106" s="3">
        <v>8.1</v>
      </c>
      <c r="G106" s="4">
        <v>127072</v>
      </c>
      <c r="H106" s="57">
        <v>1977</v>
      </c>
      <c r="I106" s="55"/>
      <c r="J106" s="61" t="s">
        <v>18</v>
      </c>
      <c r="L106" s="101" t="s">
        <v>278</v>
      </c>
      <c r="M106" s="101" t="s">
        <v>654</v>
      </c>
    </row>
    <row r="107" spans="2:13" x14ac:dyDescent="0.25">
      <c r="B107" s="2" t="s">
        <v>210</v>
      </c>
      <c r="C107" s="9" t="s">
        <v>211</v>
      </c>
      <c r="D107" s="10">
        <v>1977</v>
      </c>
      <c r="E107" s="3">
        <v>17</v>
      </c>
      <c r="F107" s="3">
        <v>8.6999999999999993</v>
      </c>
      <c r="G107" s="4">
        <v>585132</v>
      </c>
      <c r="H107" s="57">
        <v>1977</v>
      </c>
      <c r="I107" s="55"/>
      <c r="J107" s="61" t="s">
        <v>458</v>
      </c>
      <c r="L107" s="101" t="s">
        <v>222</v>
      </c>
      <c r="M107" s="101" t="s">
        <v>655</v>
      </c>
    </row>
    <row r="108" spans="2:13" x14ac:dyDescent="0.25">
      <c r="B108" s="2" t="s">
        <v>212</v>
      </c>
      <c r="C108" s="9" t="s">
        <v>213</v>
      </c>
      <c r="D108" s="10">
        <v>1978</v>
      </c>
      <c r="E108" s="3">
        <v>136</v>
      </c>
      <c r="F108" s="3">
        <v>8.1999999999999993</v>
      </c>
      <c r="G108" s="4">
        <v>161747</v>
      </c>
      <c r="H108" s="57">
        <v>1978</v>
      </c>
      <c r="I108" s="55"/>
      <c r="J108" s="61" t="s">
        <v>366</v>
      </c>
      <c r="L108" s="101" t="s">
        <v>104</v>
      </c>
      <c r="M108" s="101" t="s">
        <v>656</v>
      </c>
    </row>
    <row r="109" spans="2:13" x14ac:dyDescent="0.25">
      <c r="B109" s="2" t="s">
        <v>214</v>
      </c>
      <c r="C109" s="9" t="s">
        <v>215</v>
      </c>
      <c r="D109" s="10">
        <v>1979</v>
      </c>
      <c r="E109" s="3">
        <v>40</v>
      </c>
      <c r="F109" s="3">
        <v>8.5</v>
      </c>
      <c r="G109" s="4">
        <v>360007</v>
      </c>
      <c r="H109" s="57">
        <v>1979</v>
      </c>
      <c r="I109" s="55"/>
      <c r="J109" s="61" t="s">
        <v>396</v>
      </c>
      <c r="L109" s="101" t="s">
        <v>270</v>
      </c>
      <c r="M109" s="101" t="s">
        <v>657</v>
      </c>
    </row>
    <row r="110" spans="2:13" x14ac:dyDescent="0.25">
      <c r="B110" s="2" t="s">
        <v>216</v>
      </c>
      <c r="C110" s="9" t="s">
        <v>217</v>
      </c>
      <c r="D110" s="10">
        <v>1979</v>
      </c>
      <c r="E110" s="3">
        <v>34</v>
      </c>
      <c r="F110" s="3">
        <v>8.5</v>
      </c>
      <c r="G110" s="4">
        <v>309699</v>
      </c>
      <c r="H110" s="57">
        <v>1979</v>
      </c>
      <c r="I110" s="55"/>
      <c r="J110" s="61" t="s">
        <v>12</v>
      </c>
      <c r="L110" s="101" t="s">
        <v>134</v>
      </c>
      <c r="M110" s="101" t="s">
        <v>658</v>
      </c>
    </row>
    <row r="111" spans="2:13" x14ac:dyDescent="0.25">
      <c r="B111" s="2" t="s">
        <v>218</v>
      </c>
      <c r="C111" s="9" t="s">
        <v>219</v>
      </c>
      <c r="D111" s="10">
        <v>1979</v>
      </c>
      <c r="E111" s="3">
        <v>170</v>
      </c>
      <c r="F111" s="3">
        <v>8.1</v>
      </c>
      <c r="G111" s="4">
        <v>183277</v>
      </c>
      <c r="H111" s="57">
        <v>1979</v>
      </c>
      <c r="I111" s="55"/>
      <c r="J111" s="61" t="s">
        <v>414</v>
      </c>
      <c r="L111" s="101" t="s">
        <v>416</v>
      </c>
      <c r="M111" s="101" t="s">
        <v>659</v>
      </c>
    </row>
    <row r="112" spans="2:13" x14ac:dyDescent="0.25">
      <c r="B112" s="2" t="s">
        <v>220</v>
      </c>
      <c r="C112" s="9" t="s">
        <v>221</v>
      </c>
      <c r="D112" s="10">
        <v>1979</v>
      </c>
      <c r="E112" s="3">
        <v>225</v>
      </c>
      <c r="F112" s="3">
        <v>8</v>
      </c>
      <c r="G112" s="4">
        <v>43524</v>
      </c>
      <c r="H112" s="57">
        <v>1979</v>
      </c>
      <c r="I112" s="55"/>
      <c r="J112" s="61" t="s">
        <v>22</v>
      </c>
      <c r="L112" s="101" t="s">
        <v>480</v>
      </c>
      <c r="M112" s="101" t="s">
        <v>660</v>
      </c>
    </row>
    <row r="113" spans="2:13" x14ac:dyDescent="0.25">
      <c r="B113" s="2" t="s">
        <v>222</v>
      </c>
      <c r="C113" s="9" t="s">
        <v>223</v>
      </c>
      <c r="D113" s="10">
        <v>1980</v>
      </c>
      <c r="E113" s="3">
        <v>103</v>
      </c>
      <c r="F113" s="3">
        <v>8.3000000000000007</v>
      </c>
      <c r="G113" s="4">
        <v>160636</v>
      </c>
      <c r="H113" s="57">
        <v>1980</v>
      </c>
      <c r="I113" s="55"/>
      <c r="J113" s="61" t="s">
        <v>378</v>
      </c>
      <c r="L113" s="101" t="s">
        <v>456</v>
      </c>
      <c r="M113" s="101" t="s">
        <v>661</v>
      </c>
    </row>
    <row r="114" spans="2:13" x14ac:dyDescent="0.25">
      <c r="B114" s="2" t="s">
        <v>224</v>
      </c>
      <c r="C114" s="9" t="s">
        <v>225</v>
      </c>
      <c r="D114" s="10">
        <v>1980</v>
      </c>
      <c r="E114" s="3">
        <v>11</v>
      </c>
      <c r="F114" s="3">
        <v>8.8000000000000007</v>
      </c>
      <c r="G114" s="4">
        <v>519895</v>
      </c>
      <c r="H114" s="57">
        <v>1980</v>
      </c>
      <c r="I114" s="55"/>
      <c r="J114" s="61" t="s">
        <v>198</v>
      </c>
      <c r="L114" s="101" t="s">
        <v>152</v>
      </c>
      <c r="M114" s="101" t="s">
        <v>662</v>
      </c>
    </row>
    <row r="115" spans="2:13" x14ac:dyDescent="0.25">
      <c r="B115" s="2" t="s">
        <v>226</v>
      </c>
      <c r="C115" s="9" t="s">
        <v>227</v>
      </c>
      <c r="D115" s="10">
        <v>1980</v>
      </c>
      <c r="E115" s="3">
        <v>122</v>
      </c>
      <c r="F115" s="3">
        <v>8.1999999999999993</v>
      </c>
      <c r="G115" s="4">
        <v>111071</v>
      </c>
      <c r="H115" s="57">
        <v>1980</v>
      </c>
      <c r="I115" s="55"/>
      <c r="J115" s="61" t="s">
        <v>28</v>
      </c>
      <c r="L115" s="101" t="s">
        <v>28</v>
      </c>
      <c r="M115" s="101" t="s">
        <v>663</v>
      </c>
    </row>
    <row r="116" spans="2:13" x14ac:dyDescent="0.25">
      <c r="B116" s="2" t="s">
        <v>228</v>
      </c>
      <c r="C116" s="9" t="s">
        <v>229</v>
      </c>
      <c r="D116" s="10">
        <v>1980</v>
      </c>
      <c r="E116" s="3">
        <v>50</v>
      </c>
      <c r="F116" s="3">
        <v>8.4</v>
      </c>
      <c r="G116" s="4">
        <v>380225</v>
      </c>
      <c r="H116" s="57">
        <v>1980</v>
      </c>
      <c r="I116" s="55"/>
      <c r="J116" s="61" t="s">
        <v>274</v>
      </c>
      <c r="L116" s="101" t="s">
        <v>370</v>
      </c>
      <c r="M116" s="101" t="s">
        <v>664</v>
      </c>
    </row>
    <row r="117" spans="2:13" x14ac:dyDescent="0.25">
      <c r="B117" s="2" t="s">
        <v>230</v>
      </c>
      <c r="C117" s="9" t="s">
        <v>231</v>
      </c>
      <c r="D117" s="10">
        <v>1981</v>
      </c>
      <c r="E117" s="3">
        <v>73</v>
      </c>
      <c r="F117" s="3">
        <v>8.4</v>
      </c>
      <c r="G117" s="4">
        <v>118641</v>
      </c>
      <c r="H117" s="57">
        <v>1981</v>
      </c>
      <c r="I117" s="55"/>
      <c r="J117" s="61" t="s">
        <v>398</v>
      </c>
      <c r="L117" s="101" t="s">
        <v>326</v>
      </c>
      <c r="M117" s="101" t="s">
        <v>665</v>
      </c>
    </row>
    <row r="118" spans="2:13" x14ac:dyDescent="0.25">
      <c r="B118" s="2" t="s">
        <v>232</v>
      </c>
      <c r="C118" s="9" t="s">
        <v>233</v>
      </c>
      <c r="D118" s="10">
        <v>1981</v>
      </c>
      <c r="E118" s="3">
        <v>27</v>
      </c>
      <c r="F118" s="3">
        <v>8.6</v>
      </c>
      <c r="G118" s="4">
        <v>439557</v>
      </c>
      <c r="H118" s="57">
        <v>1981</v>
      </c>
      <c r="I118" s="55"/>
      <c r="J118" s="61" t="s">
        <v>248</v>
      </c>
      <c r="L118" s="101" t="s">
        <v>88</v>
      </c>
      <c r="M118" s="101" t="s">
        <v>666</v>
      </c>
    </row>
    <row r="119" spans="2:13" x14ac:dyDescent="0.25">
      <c r="B119" s="2" t="s">
        <v>234</v>
      </c>
      <c r="C119" s="9" t="s">
        <v>235</v>
      </c>
      <c r="D119" s="10">
        <v>1982</v>
      </c>
      <c r="E119" s="3">
        <v>125</v>
      </c>
      <c r="F119" s="3">
        <v>8.1999999999999993</v>
      </c>
      <c r="G119" s="4">
        <v>326683</v>
      </c>
      <c r="H119" s="57">
        <v>1982</v>
      </c>
      <c r="I119" s="55"/>
      <c r="J119" s="61" t="s">
        <v>202</v>
      </c>
      <c r="L119" s="101" t="s">
        <v>146</v>
      </c>
      <c r="M119" s="101" t="s">
        <v>667</v>
      </c>
    </row>
    <row r="120" spans="2:13" x14ac:dyDescent="0.25">
      <c r="B120" s="2" t="s">
        <v>236</v>
      </c>
      <c r="C120" s="9" t="s">
        <v>237</v>
      </c>
      <c r="D120" s="10">
        <v>1982</v>
      </c>
      <c r="E120" s="3">
        <v>215</v>
      </c>
      <c r="F120" s="3">
        <v>8</v>
      </c>
      <c r="G120" s="4">
        <v>27430</v>
      </c>
      <c r="H120" s="57">
        <v>1982</v>
      </c>
      <c r="I120" s="55"/>
      <c r="J120" s="61" t="s">
        <v>432</v>
      </c>
      <c r="L120" s="101" t="s">
        <v>406</v>
      </c>
      <c r="M120" s="101" t="s">
        <v>668</v>
      </c>
    </row>
    <row r="121" spans="2:13" x14ac:dyDescent="0.25">
      <c r="B121" s="2" t="s">
        <v>238</v>
      </c>
      <c r="C121" s="9" t="s">
        <v>239</v>
      </c>
      <c r="D121" s="10">
        <v>1982</v>
      </c>
      <c r="E121" s="3">
        <v>190</v>
      </c>
      <c r="F121" s="3">
        <v>8</v>
      </c>
      <c r="G121" s="4">
        <v>110584</v>
      </c>
      <c r="H121" s="57">
        <v>1982</v>
      </c>
      <c r="I121" s="55"/>
      <c r="J121" s="61" t="s">
        <v>120</v>
      </c>
      <c r="L121" s="101" t="s">
        <v>422</v>
      </c>
      <c r="M121" s="101" t="s">
        <v>669</v>
      </c>
    </row>
    <row r="122" spans="2:13" x14ac:dyDescent="0.25">
      <c r="B122" s="2" t="s">
        <v>240</v>
      </c>
      <c r="C122" s="9" t="s">
        <v>241</v>
      </c>
      <c r="D122" s="10">
        <v>1982</v>
      </c>
      <c r="E122" s="3">
        <v>154</v>
      </c>
      <c r="F122" s="3">
        <v>8.1</v>
      </c>
      <c r="G122" s="4">
        <v>175041</v>
      </c>
      <c r="H122" s="57">
        <v>1982</v>
      </c>
      <c r="I122" s="55"/>
      <c r="J122" s="61" t="s">
        <v>50</v>
      </c>
      <c r="L122" s="101" t="s">
        <v>464</v>
      </c>
      <c r="M122" s="101" t="s">
        <v>670</v>
      </c>
    </row>
    <row r="123" spans="2:13" x14ac:dyDescent="0.25">
      <c r="B123" s="2" t="s">
        <v>242</v>
      </c>
      <c r="C123" s="9" t="s">
        <v>243</v>
      </c>
      <c r="D123" s="10">
        <v>1983</v>
      </c>
      <c r="E123" s="3">
        <v>128</v>
      </c>
      <c r="F123" s="3">
        <v>8.1999999999999993</v>
      </c>
      <c r="G123" s="4">
        <v>344351</v>
      </c>
      <c r="H123" s="57">
        <v>1983</v>
      </c>
      <c r="I123" s="55"/>
      <c r="J123" s="61" t="s">
        <v>400</v>
      </c>
      <c r="L123" s="101" t="s">
        <v>10</v>
      </c>
      <c r="M123" s="101" t="s">
        <v>671</v>
      </c>
    </row>
    <row r="124" spans="2:13" x14ac:dyDescent="0.25">
      <c r="B124" s="2" t="s">
        <v>244</v>
      </c>
      <c r="C124" s="9" t="s">
        <v>245</v>
      </c>
      <c r="D124" s="10">
        <v>1983</v>
      </c>
      <c r="E124" s="3">
        <v>80</v>
      </c>
      <c r="F124" s="3">
        <v>8.3000000000000007</v>
      </c>
      <c r="G124" s="4">
        <v>410111</v>
      </c>
      <c r="H124" s="57">
        <v>1983</v>
      </c>
      <c r="I124" s="55"/>
      <c r="J124" s="61" t="s">
        <v>88</v>
      </c>
      <c r="L124" s="101" t="s">
        <v>106</v>
      </c>
      <c r="M124" s="101" t="s">
        <v>672</v>
      </c>
    </row>
    <row r="125" spans="2:13" x14ac:dyDescent="0.25">
      <c r="B125" s="2" t="s">
        <v>246</v>
      </c>
      <c r="C125" s="9" t="s">
        <v>247</v>
      </c>
      <c r="D125" s="10">
        <v>1984</v>
      </c>
      <c r="E125" s="3">
        <v>95</v>
      </c>
      <c r="F125" s="3">
        <v>8.3000000000000007</v>
      </c>
      <c r="G125" s="4">
        <v>183169</v>
      </c>
      <c r="H125" s="57">
        <v>1984</v>
      </c>
      <c r="I125" s="55"/>
      <c r="J125" s="61" t="s">
        <v>250</v>
      </c>
      <c r="L125" s="101" t="s">
        <v>318</v>
      </c>
      <c r="M125" s="101" t="s">
        <v>673</v>
      </c>
    </row>
    <row r="126" spans="2:13" x14ac:dyDescent="0.25">
      <c r="B126" s="2" t="s">
        <v>248</v>
      </c>
      <c r="C126" s="9" t="s">
        <v>249</v>
      </c>
      <c r="D126" s="10">
        <v>1984</v>
      </c>
      <c r="E126" s="3">
        <v>242</v>
      </c>
      <c r="F126" s="3">
        <v>8</v>
      </c>
      <c r="G126" s="4">
        <v>53307</v>
      </c>
      <c r="H126" s="57">
        <v>1984</v>
      </c>
      <c r="I126" s="55"/>
      <c r="J126" s="61" t="s">
        <v>168</v>
      </c>
      <c r="L126" s="101" t="s">
        <v>226</v>
      </c>
      <c r="M126" s="101" t="s">
        <v>674</v>
      </c>
    </row>
    <row r="127" spans="2:13" x14ac:dyDescent="0.25">
      <c r="B127" s="2" t="s">
        <v>250</v>
      </c>
      <c r="C127" s="9" t="s">
        <v>251</v>
      </c>
      <c r="D127" s="10">
        <v>1984</v>
      </c>
      <c r="E127" s="3">
        <v>78</v>
      </c>
      <c r="F127" s="3">
        <v>8.3000000000000007</v>
      </c>
      <c r="G127" s="4">
        <v>146293</v>
      </c>
      <c r="H127" s="57">
        <v>1984</v>
      </c>
      <c r="I127" s="55"/>
      <c r="J127" s="61" t="s">
        <v>200</v>
      </c>
      <c r="L127" s="101" t="s">
        <v>40</v>
      </c>
      <c r="M127" s="101" t="s">
        <v>675</v>
      </c>
    </row>
    <row r="128" spans="2:13" x14ac:dyDescent="0.25">
      <c r="B128" s="2" t="s">
        <v>252</v>
      </c>
      <c r="C128" s="9" t="s">
        <v>253</v>
      </c>
      <c r="D128" s="10">
        <v>1984</v>
      </c>
      <c r="E128" s="3">
        <v>174</v>
      </c>
      <c r="F128" s="3">
        <v>8.1</v>
      </c>
      <c r="G128" s="4">
        <v>378300</v>
      </c>
      <c r="H128" s="57">
        <v>1984</v>
      </c>
      <c r="I128" s="55"/>
      <c r="J128" s="61" t="s">
        <v>422</v>
      </c>
      <c r="L128" s="101" t="s">
        <v>6</v>
      </c>
      <c r="M128" s="101" t="s">
        <v>676</v>
      </c>
    </row>
    <row r="129" spans="2:13" x14ac:dyDescent="0.25">
      <c r="B129" s="2" t="s">
        <v>254</v>
      </c>
      <c r="C129" s="9" t="s">
        <v>255</v>
      </c>
      <c r="D129" s="10">
        <v>1985</v>
      </c>
      <c r="E129" s="3">
        <v>45</v>
      </c>
      <c r="F129" s="3">
        <v>8.5</v>
      </c>
      <c r="G129" s="4">
        <v>433401</v>
      </c>
      <c r="H129" s="57">
        <v>1985</v>
      </c>
      <c r="I129" s="55"/>
      <c r="J129" s="61" t="s">
        <v>182</v>
      </c>
      <c r="L129" s="101" t="s">
        <v>234</v>
      </c>
      <c r="M129" s="101" t="s">
        <v>677</v>
      </c>
    </row>
    <row r="130" spans="2:13" x14ac:dyDescent="0.25">
      <c r="B130" s="2" t="s">
        <v>256</v>
      </c>
      <c r="C130" s="9" t="s">
        <v>257</v>
      </c>
      <c r="D130" s="10">
        <v>1985</v>
      </c>
      <c r="E130" s="3">
        <v>130</v>
      </c>
      <c r="F130" s="3">
        <v>8.1999999999999993</v>
      </c>
      <c r="G130" s="4">
        <v>55197</v>
      </c>
      <c r="H130" s="57">
        <v>1985</v>
      </c>
      <c r="I130" s="55"/>
      <c r="J130" s="61" t="s">
        <v>102</v>
      </c>
      <c r="L130" s="101" t="s">
        <v>108</v>
      </c>
      <c r="M130" s="101" t="s">
        <v>678</v>
      </c>
    </row>
    <row r="131" spans="2:13" x14ac:dyDescent="0.25">
      <c r="B131" s="2" t="s">
        <v>258</v>
      </c>
      <c r="C131" s="9" t="s">
        <v>259</v>
      </c>
      <c r="D131" s="10">
        <v>1986</v>
      </c>
      <c r="E131" s="3">
        <v>59</v>
      </c>
      <c r="F131" s="3">
        <v>8.4</v>
      </c>
      <c r="G131" s="4">
        <v>325439</v>
      </c>
      <c r="H131" s="57">
        <v>1986</v>
      </c>
      <c r="I131" s="55"/>
      <c r="J131" s="61" t="s">
        <v>154</v>
      </c>
      <c r="L131" s="101" t="s">
        <v>32</v>
      </c>
      <c r="M131" s="101" t="s">
        <v>679</v>
      </c>
    </row>
    <row r="132" spans="2:13" x14ac:dyDescent="0.25">
      <c r="B132" s="2" t="s">
        <v>260</v>
      </c>
      <c r="C132" s="9" t="s">
        <v>261</v>
      </c>
      <c r="D132" s="10">
        <v>1986</v>
      </c>
      <c r="E132" s="3">
        <v>150</v>
      </c>
      <c r="F132" s="3">
        <v>8.1</v>
      </c>
      <c r="G132" s="4">
        <v>202044</v>
      </c>
      <c r="H132" s="57">
        <v>1986</v>
      </c>
      <c r="I132" s="55"/>
      <c r="J132" s="61" t="s">
        <v>402</v>
      </c>
      <c r="L132" s="101" t="s">
        <v>242</v>
      </c>
      <c r="M132" s="101" t="s">
        <v>680</v>
      </c>
    </row>
    <row r="133" spans="2:13" x14ac:dyDescent="0.25">
      <c r="B133" s="2" t="s">
        <v>262</v>
      </c>
      <c r="C133" s="9" t="s">
        <v>263</v>
      </c>
      <c r="D133" s="10">
        <v>1986</v>
      </c>
      <c r="E133" s="3">
        <v>181</v>
      </c>
      <c r="F133" s="3">
        <v>8.1</v>
      </c>
      <c r="G133" s="4">
        <v>182230</v>
      </c>
      <c r="H133" s="57">
        <v>1986</v>
      </c>
      <c r="I133" s="55"/>
      <c r="J133" s="61" t="s">
        <v>260</v>
      </c>
      <c r="L133" s="101" t="s">
        <v>76</v>
      </c>
      <c r="M133" s="101" t="s">
        <v>681</v>
      </c>
    </row>
    <row r="134" spans="2:13" x14ac:dyDescent="0.25">
      <c r="B134" s="2" t="s">
        <v>264</v>
      </c>
      <c r="C134" s="9" t="s">
        <v>265</v>
      </c>
      <c r="D134" s="10">
        <v>1987</v>
      </c>
      <c r="E134" s="3">
        <v>82</v>
      </c>
      <c r="F134" s="3">
        <v>8.3000000000000007</v>
      </c>
      <c r="G134" s="4">
        <v>305714</v>
      </c>
      <c r="H134" s="57">
        <v>1987</v>
      </c>
      <c r="I134" s="55"/>
      <c r="J134" s="61" t="s">
        <v>340</v>
      </c>
      <c r="L134" s="101" t="s">
        <v>256</v>
      </c>
      <c r="M134" s="101" t="s">
        <v>682</v>
      </c>
    </row>
    <row r="135" spans="2:13" x14ac:dyDescent="0.25">
      <c r="B135" s="2" t="s">
        <v>266</v>
      </c>
      <c r="C135" s="9" t="s">
        <v>267</v>
      </c>
      <c r="D135" s="10">
        <v>1987</v>
      </c>
      <c r="E135" s="3">
        <v>198</v>
      </c>
      <c r="F135" s="3">
        <v>8</v>
      </c>
      <c r="G135" s="4">
        <v>207589</v>
      </c>
      <c r="H135" s="57">
        <v>1987</v>
      </c>
      <c r="I135" s="55"/>
      <c r="J135" s="61" t="s">
        <v>126</v>
      </c>
      <c r="L135" s="101" t="s">
        <v>330</v>
      </c>
      <c r="M135" s="101" t="s">
        <v>683</v>
      </c>
    </row>
    <row r="136" spans="2:13" x14ac:dyDescent="0.25">
      <c r="B136" s="2" t="s">
        <v>268</v>
      </c>
      <c r="C136" s="9" t="s">
        <v>269</v>
      </c>
      <c r="D136" s="10">
        <v>1988</v>
      </c>
      <c r="E136" s="3">
        <v>74</v>
      </c>
      <c r="F136" s="3">
        <v>8.3000000000000007</v>
      </c>
      <c r="G136" s="4">
        <v>93024</v>
      </c>
      <c r="H136" s="57">
        <v>1988</v>
      </c>
      <c r="I136" s="55"/>
      <c r="J136" s="61" t="s">
        <v>304</v>
      </c>
      <c r="L136" s="101" t="s">
        <v>442</v>
      </c>
      <c r="M136" s="101" t="s">
        <v>684</v>
      </c>
    </row>
    <row r="137" spans="2:13" x14ac:dyDescent="0.25">
      <c r="B137" s="2" t="s">
        <v>270</v>
      </c>
      <c r="C137" s="9" t="s">
        <v>271</v>
      </c>
      <c r="D137" s="10">
        <v>1988</v>
      </c>
      <c r="E137" s="3">
        <v>105</v>
      </c>
      <c r="F137" s="3">
        <v>8.3000000000000007</v>
      </c>
      <c r="G137" s="4">
        <v>395178</v>
      </c>
      <c r="H137" s="57">
        <v>1988</v>
      </c>
      <c r="I137" s="55"/>
      <c r="J137" s="61" t="s">
        <v>222</v>
      </c>
      <c r="L137" s="101" t="s">
        <v>112</v>
      </c>
      <c r="M137" s="101" t="s">
        <v>685</v>
      </c>
    </row>
    <row r="138" spans="2:13" x14ac:dyDescent="0.25">
      <c r="B138" s="2" t="s">
        <v>272</v>
      </c>
      <c r="C138" s="9" t="s">
        <v>273</v>
      </c>
      <c r="D138" s="10">
        <v>1988</v>
      </c>
      <c r="E138" s="3">
        <v>101</v>
      </c>
      <c r="F138" s="3">
        <v>8.3000000000000007</v>
      </c>
      <c r="G138" s="4">
        <v>75713</v>
      </c>
      <c r="H138" s="57">
        <v>1988</v>
      </c>
      <c r="I138" s="55"/>
      <c r="J138" s="61" t="s">
        <v>232</v>
      </c>
      <c r="L138" s="101" t="s">
        <v>348</v>
      </c>
      <c r="M138" s="101" t="s">
        <v>686</v>
      </c>
    </row>
    <row r="139" spans="2:13" x14ac:dyDescent="0.25">
      <c r="B139" s="2" t="s">
        <v>274</v>
      </c>
      <c r="C139" s="9" t="s">
        <v>275</v>
      </c>
      <c r="D139" s="10">
        <v>1988</v>
      </c>
      <c r="E139" s="3">
        <v>164</v>
      </c>
      <c r="F139" s="3">
        <v>8.1</v>
      </c>
      <c r="G139" s="4">
        <v>88095</v>
      </c>
      <c r="H139" s="57">
        <v>1988</v>
      </c>
      <c r="I139" s="55"/>
      <c r="J139" s="61" t="s">
        <v>276</v>
      </c>
      <c r="L139" s="101" t="s">
        <v>8</v>
      </c>
      <c r="M139" s="101" t="s">
        <v>687</v>
      </c>
    </row>
    <row r="140" spans="2:13" x14ac:dyDescent="0.25">
      <c r="B140" s="2" t="s">
        <v>276</v>
      </c>
      <c r="C140" s="9" t="s">
        <v>277</v>
      </c>
      <c r="D140" s="10">
        <v>1988</v>
      </c>
      <c r="E140" s="3">
        <v>236</v>
      </c>
      <c r="F140" s="3">
        <v>8</v>
      </c>
      <c r="G140" s="4">
        <v>276674</v>
      </c>
      <c r="H140" s="57">
        <v>1988</v>
      </c>
      <c r="I140" s="55"/>
      <c r="J140" s="61" t="s">
        <v>256</v>
      </c>
      <c r="L140" s="101" t="s">
        <v>212</v>
      </c>
      <c r="M140" s="101" t="s">
        <v>688</v>
      </c>
    </row>
    <row r="141" spans="2:13" x14ac:dyDescent="0.25">
      <c r="B141" s="2" t="s">
        <v>278</v>
      </c>
      <c r="C141" s="9" t="s">
        <v>279</v>
      </c>
      <c r="D141" s="10">
        <v>1989</v>
      </c>
      <c r="E141" s="3">
        <v>102</v>
      </c>
      <c r="F141" s="3">
        <v>8.3000000000000007</v>
      </c>
      <c r="G141" s="4">
        <v>336055</v>
      </c>
      <c r="H141" s="57">
        <v>1989</v>
      </c>
      <c r="I141" s="55"/>
      <c r="J141" s="61" t="s">
        <v>66</v>
      </c>
      <c r="L141" s="101" t="s">
        <v>160</v>
      </c>
      <c r="M141" s="101" t="s">
        <v>689</v>
      </c>
    </row>
    <row r="142" spans="2:13" x14ac:dyDescent="0.25">
      <c r="B142" s="2" t="s">
        <v>280</v>
      </c>
      <c r="C142" s="9" t="s">
        <v>281</v>
      </c>
      <c r="D142" s="10">
        <v>1990</v>
      </c>
      <c r="E142" s="3">
        <v>14</v>
      </c>
      <c r="F142" s="3">
        <v>8.6999999999999993</v>
      </c>
      <c r="G142" s="4">
        <v>465445</v>
      </c>
      <c r="H142" s="57">
        <v>1990</v>
      </c>
      <c r="I142" s="55"/>
      <c r="J142" s="61" t="s">
        <v>434</v>
      </c>
      <c r="L142" s="101" t="s">
        <v>20</v>
      </c>
      <c r="M142" s="101" t="s">
        <v>690</v>
      </c>
    </row>
    <row r="143" spans="2:13" x14ac:dyDescent="0.25">
      <c r="B143" s="2" t="s">
        <v>282</v>
      </c>
      <c r="C143" s="9" t="s">
        <v>283</v>
      </c>
      <c r="D143" s="10">
        <v>1991</v>
      </c>
      <c r="E143" s="3">
        <v>243</v>
      </c>
      <c r="F143" s="3">
        <v>7.9</v>
      </c>
      <c r="G143" s="4">
        <v>189229</v>
      </c>
      <c r="H143" s="57">
        <v>1991</v>
      </c>
      <c r="I143" s="55"/>
      <c r="J143" s="61" t="s">
        <v>90</v>
      </c>
      <c r="L143" s="101" t="s">
        <v>94</v>
      </c>
      <c r="M143" s="101" t="s">
        <v>691</v>
      </c>
    </row>
    <row r="144" spans="2:13" x14ac:dyDescent="0.25">
      <c r="B144" s="2" t="s">
        <v>284</v>
      </c>
      <c r="C144" s="9" t="s">
        <v>285</v>
      </c>
      <c r="D144" s="10">
        <v>1991</v>
      </c>
      <c r="E144" s="3">
        <v>35</v>
      </c>
      <c r="F144" s="3">
        <v>8.5</v>
      </c>
      <c r="G144" s="4">
        <v>479572</v>
      </c>
      <c r="H144" s="57">
        <v>1991</v>
      </c>
      <c r="I144" s="55"/>
      <c r="J144" s="61" t="s">
        <v>32</v>
      </c>
      <c r="L144" s="101" t="s">
        <v>432</v>
      </c>
      <c r="M144" s="101" t="s">
        <v>692</v>
      </c>
    </row>
    <row r="145" spans="2:13" x14ac:dyDescent="0.25">
      <c r="B145" s="2" t="s">
        <v>286</v>
      </c>
      <c r="C145" s="9" t="s">
        <v>287</v>
      </c>
      <c r="D145" s="10">
        <v>1991</v>
      </c>
      <c r="E145" s="3">
        <v>22</v>
      </c>
      <c r="F145" s="3">
        <v>8.6</v>
      </c>
      <c r="G145" s="4">
        <v>527492</v>
      </c>
      <c r="H145" s="57">
        <v>1991</v>
      </c>
      <c r="I145" s="55"/>
      <c r="J145" s="61" t="s">
        <v>368</v>
      </c>
      <c r="L145" s="101" t="s">
        <v>360</v>
      </c>
      <c r="M145" s="101" t="s">
        <v>693</v>
      </c>
    </row>
    <row r="146" spans="2:13" x14ac:dyDescent="0.25">
      <c r="B146" s="2" t="s">
        <v>288</v>
      </c>
      <c r="C146" s="9" t="s">
        <v>289</v>
      </c>
      <c r="D146" s="10">
        <v>1992</v>
      </c>
      <c r="E146" s="3">
        <v>72</v>
      </c>
      <c r="F146" s="3">
        <v>8.4</v>
      </c>
      <c r="G146" s="4">
        <v>416840</v>
      </c>
      <c r="H146" s="57">
        <v>1992</v>
      </c>
      <c r="I146" s="55"/>
      <c r="J146" s="61" t="s">
        <v>288</v>
      </c>
      <c r="L146" s="101" t="s">
        <v>344</v>
      </c>
      <c r="M146" s="101" t="s">
        <v>694</v>
      </c>
    </row>
    <row r="147" spans="2:13" x14ac:dyDescent="0.25">
      <c r="B147" s="2" t="s">
        <v>290</v>
      </c>
      <c r="C147" s="9" t="s">
        <v>291</v>
      </c>
      <c r="D147" s="10">
        <v>1992</v>
      </c>
      <c r="E147" s="3">
        <v>100</v>
      </c>
      <c r="F147" s="3">
        <v>8.3000000000000007</v>
      </c>
      <c r="G147" s="4">
        <v>190549</v>
      </c>
      <c r="H147" s="57">
        <v>1992</v>
      </c>
      <c r="I147" s="55"/>
      <c r="J147" s="61" t="s">
        <v>204</v>
      </c>
      <c r="L147" s="101" t="s">
        <v>196</v>
      </c>
      <c r="M147" s="101" t="s">
        <v>695</v>
      </c>
    </row>
    <row r="148" spans="2:13" x14ac:dyDescent="0.25">
      <c r="B148" s="2" t="s">
        <v>292</v>
      </c>
      <c r="C148" s="9" t="s">
        <v>293</v>
      </c>
      <c r="D148" s="10">
        <v>1993</v>
      </c>
      <c r="E148" s="3">
        <v>184</v>
      </c>
      <c r="F148" s="3">
        <v>8.1</v>
      </c>
      <c r="G148" s="4">
        <v>282250</v>
      </c>
      <c r="H148" s="57">
        <v>1993</v>
      </c>
      <c r="I148" s="55"/>
      <c r="J148" s="61" t="s">
        <v>80</v>
      </c>
      <c r="L148" s="101" t="s">
        <v>334</v>
      </c>
      <c r="M148" s="101" t="s">
        <v>696</v>
      </c>
    </row>
    <row r="149" spans="2:13" x14ac:dyDescent="0.25">
      <c r="B149" s="2" t="s">
        <v>294</v>
      </c>
      <c r="C149" s="9" t="s">
        <v>295</v>
      </c>
      <c r="D149" s="10">
        <v>1993</v>
      </c>
      <c r="E149" s="3">
        <v>209</v>
      </c>
      <c r="F149" s="3">
        <v>8</v>
      </c>
      <c r="G149" s="4">
        <v>65291</v>
      </c>
      <c r="H149" s="57">
        <v>1993</v>
      </c>
      <c r="I149" s="55"/>
      <c r="J149" s="61" t="s">
        <v>58</v>
      </c>
      <c r="L149" s="101" t="s">
        <v>72</v>
      </c>
      <c r="M149" s="101" t="s">
        <v>697</v>
      </c>
    </row>
    <row r="150" spans="2:13" x14ac:dyDescent="0.25">
      <c r="B150" s="2" t="s">
        <v>296</v>
      </c>
      <c r="C150" s="9" t="s">
        <v>297</v>
      </c>
      <c r="D150" s="10">
        <v>1993</v>
      </c>
      <c r="E150" s="3">
        <v>226</v>
      </c>
      <c r="F150" s="3">
        <v>8</v>
      </c>
      <c r="G150" s="4">
        <v>344256</v>
      </c>
      <c r="H150" s="57">
        <v>1993</v>
      </c>
      <c r="I150" s="55"/>
      <c r="J150" s="61" t="s">
        <v>170</v>
      </c>
      <c r="L150" s="101" t="s">
        <v>316</v>
      </c>
      <c r="M150" s="101" t="s">
        <v>698</v>
      </c>
    </row>
    <row r="151" spans="2:13" x14ac:dyDescent="0.25">
      <c r="B151" s="2" t="s">
        <v>298</v>
      </c>
      <c r="C151" s="9" t="s">
        <v>299</v>
      </c>
      <c r="D151" s="10">
        <v>1993</v>
      </c>
      <c r="E151" s="3">
        <v>8</v>
      </c>
      <c r="F151" s="3">
        <v>8.9</v>
      </c>
      <c r="G151" s="4">
        <v>545703</v>
      </c>
      <c r="H151" s="57">
        <v>1993</v>
      </c>
      <c r="I151" s="55"/>
      <c r="J151" s="61" t="s">
        <v>504</v>
      </c>
      <c r="L151" s="101" t="s">
        <v>130</v>
      </c>
      <c r="M151" s="101" t="s">
        <v>699</v>
      </c>
    </row>
    <row r="152" spans="2:13" x14ac:dyDescent="0.25">
      <c r="B152" s="2" t="s">
        <v>300</v>
      </c>
      <c r="C152" s="9" t="s">
        <v>301</v>
      </c>
      <c r="D152" s="10">
        <v>1994</v>
      </c>
      <c r="E152" s="3">
        <v>18</v>
      </c>
      <c r="F152" s="3">
        <v>8.6999999999999993</v>
      </c>
      <c r="G152" s="4">
        <v>711386</v>
      </c>
      <c r="H152" s="57">
        <v>1994</v>
      </c>
      <c r="I152" s="55"/>
      <c r="J152" s="61" t="s">
        <v>346</v>
      </c>
      <c r="L152" s="101" t="s">
        <v>34</v>
      </c>
      <c r="M152" s="101" t="s">
        <v>700</v>
      </c>
    </row>
    <row r="153" spans="2:13" x14ac:dyDescent="0.25">
      <c r="B153" s="2" t="s">
        <v>302</v>
      </c>
      <c r="C153" s="9" t="s">
        <v>303</v>
      </c>
      <c r="D153" s="10">
        <v>1994</v>
      </c>
      <c r="E153" s="3">
        <v>31</v>
      </c>
      <c r="F153" s="3">
        <v>8.6</v>
      </c>
      <c r="G153" s="4">
        <v>454516</v>
      </c>
      <c r="H153" s="57">
        <v>1994</v>
      </c>
      <c r="I153" s="55"/>
      <c r="J153" s="61" t="s">
        <v>242</v>
      </c>
      <c r="L153" s="101" t="s">
        <v>30</v>
      </c>
      <c r="M153" s="101" t="s">
        <v>701</v>
      </c>
    </row>
    <row r="154" spans="2:13" x14ac:dyDescent="0.25">
      <c r="B154" s="2" t="s">
        <v>304</v>
      </c>
      <c r="C154" s="9" t="s">
        <v>305</v>
      </c>
      <c r="D154" s="10">
        <v>1994</v>
      </c>
      <c r="E154" s="3">
        <v>4</v>
      </c>
      <c r="F154" s="3">
        <v>8.9</v>
      </c>
      <c r="G154" s="4">
        <v>830504</v>
      </c>
      <c r="H154" s="57">
        <v>1994</v>
      </c>
      <c r="I154" s="55"/>
      <c r="J154" s="61" t="s">
        <v>298</v>
      </c>
      <c r="L154" s="101" t="s">
        <v>260</v>
      </c>
      <c r="M154" s="101" t="s">
        <v>702</v>
      </c>
    </row>
    <row r="155" spans="2:13" x14ac:dyDescent="0.25">
      <c r="B155" s="2" t="s">
        <v>306</v>
      </c>
      <c r="C155" s="9" t="s">
        <v>307</v>
      </c>
      <c r="D155" s="10">
        <v>1994</v>
      </c>
      <c r="E155" s="3">
        <v>75</v>
      </c>
      <c r="F155" s="3">
        <v>8.3000000000000007</v>
      </c>
      <c r="G155" s="4">
        <v>361740</v>
      </c>
      <c r="H155" s="57">
        <v>1994</v>
      </c>
      <c r="I155" s="55"/>
      <c r="J155" s="61" t="s">
        <v>322</v>
      </c>
      <c r="L155" s="101" t="s">
        <v>418</v>
      </c>
      <c r="M155" s="101" t="s">
        <v>703</v>
      </c>
    </row>
    <row r="156" spans="2:13" x14ac:dyDescent="0.25">
      <c r="B156" s="2" t="s">
        <v>308</v>
      </c>
      <c r="C156" s="9" t="s">
        <v>309</v>
      </c>
      <c r="D156" s="10">
        <v>1994</v>
      </c>
      <c r="E156" s="3">
        <v>1</v>
      </c>
      <c r="F156" s="3">
        <v>9.1999999999999993</v>
      </c>
      <c r="G156" s="4">
        <v>1071904</v>
      </c>
      <c r="H156" s="57">
        <v>1994</v>
      </c>
      <c r="I156" s="55"/>
      <c r="J156" s="61" t="s">
        <v>92</v>
      </c>
      <c r="L156" s="101" t="s">
        <v>172</v>
      </c>
      <c r="M156" s="101" t="s">
        <v>704</v>
      </c>
    </row>
    <row r="157" spans="2:13" x14ac:dyDescent="0.25">
      <c r="B157" s="2" t="s">
        <v>310</v>
      </c>
      <c r="C157" s="9" t="s">
        <v>311</v>
      </c>
      <c r="D157" s="10">
        <v>1994</v>
      </c>
      <c r="E157" s="3">
        <v>244</v>
      </c>
      <c r="F157" s="3">
        <v>7.9</v>
      </c>
      <c r="G157" s="4">
        <v>43438</v>
      </c>
      <c r="H157" s="57">
        <v>1994</v>
      </c>
      <c r="I157" s="55"/>
      <c r="J157" s="61" t="s">
        <v>474</v>
      </c>
      <c r="L157" s="101" t="s">
        <v>394</v>
      </c>
      <c r="M157" s="101" t="s">
        <v>705</v>
      </c>
    </row>
    <row r="158" spans="2:13" x14ac:dyDescent="0.25">
      <c r="B158" s="2" t="s">
        <v>312</v>
      </c>
      <c r="C158" s="9" t="s">
        <v>313</v>
      </c>
      <c r="D158" s="10">
        <v>1995</v>
      </c>
      <c r="E158" s="3">
        <v>249</v>
      </c>
      <c r="F158" s="3">
        <v>7.9</v>
      </c>
      <c r="G158" s="4">
        <v>100974</v>
      </c>
      <c r="H158" s="57">
        <v>1995</v>
      </c>
      <c r="I158" s="55"/>
      <c r="J158" s="61" t="s">
        <v>418</v>
      </c>
      <c r="L158" s="101" t="s">
        <v>240</v>
      </c>
      <c r="M158" s="101" t="s">
        <v>706</v>
      </c>
    </row>
    <row r="159" spans="2:13" x14ac:dyDescent="0.25">
      <c r="B159" s="2" t="s">
        <v>314</v>
      </c>
      <c r="C159" s="9" t="s">
        <v>315</v>
      </c>
      <c r="D159" s="10">
        <v>1995</v>
      </c>
      <c r="E159" s="3">
        <v>83</v>
      </c>
      <c r="F159" s="3">
        <v>8.3000000000000007</v>
      </c>
      <c r="G159" s="4">
        <v>480170</v>
      </c>
      <c r="H159" s="57">
        <v>1995</v>
      </c>
      <c r="I159" s="55"/>
      <c r="J159" s="61" t="s">
        <v>78</v>
      </c>
      <c r="L159" s="101" t="s">
        <v>332</v>
      </c>
      <c r="M159" s="101" t="s">
        <v>707</v>
      </c>
    </row>
    <row r="160" spans="2:13" x14ac:dyDescent="0.25">
      <c r="B160" s="2" t="s">
        <v>316</v>
      </c>
      <c r="C160" s="9" t="s">
        <v>317</v>
      </c>
      <c r="D160" s="10">
        <v>1995</v>
      </c>
      <c r="E160" s="3">
        <v>146</v>
      </c>
      <c r="F160" s="3">
        <v>8.1</v>
      </c>
      <c r="G160" s="4">
        <v>216669</v>
      </c>
      <c r="H160" s="57">
        <v>1995</v>
      </c>
      <c r="I160" s="55"/>
      <c r="J160" s="61" t="s">
        <v>178</v>
      </c>
      <c r="L160" s="101" t="s">
        <v>26</v>
      </c>
      <c r="M160" s="101" t="s">
        <v>708</v>
      </c>
    </row>
    <row r="161" spans="2:13" x14ac:dyDescent="0.25">
      <c r="B161" s="2" t="s">
        <v>318</v>
      </c>
      <c r="C161" s="9" t="s">
        <v>319</v>
      </c>
      <c r="D161" s="10">
        <v>1995</v>
      </c>
      <c r="E161" s="3">
        <v>121</v>
      </c>
      <c r="F161" s="3">
        <v>8.1999999999999993</v>
      </c>
      <c r="G161" s="4">
        <v>297114</v>
      </c>
      <c r="H161" s="57">
        <v>1995</v>
      </c>
      <c r="I161" s="55"/>
      <c r="J161" s="61" t="s">
        <v>446</v>
      </c>
      <c r="L161" s="101" t="s">
        <v>74</v>
      </c>
      <c r="M161" s="101" t="s">
        <v>709</v>
      </c>
    </row>
    <row r="162" spans="2:13" x14ac:dyDescent="0.25">
      <c r="B162" s="2" t="s">
        <v>320</v>
      </c>
      <c r="C162" s="9" t="s">
        <v>321</v>
      </c>
      <c r="D162" s="10">
        <v>1995</v>
      </c>
      <c r="E162" s="3">
        <v>239</v>
      </c>
      <c r="F162" s="3">
        <v>8</v>
      </c>
      <c r="G162" s="4">
        <v>63865</v>
      </c>
      <c r="H162" s="57">
        <v>1995</v>
      </c>
      <c r="I162" s="55"/>
      <c r="J162" s="61" t="s">
        <v>370</v>
      </c>
      <c r="L162" s="101" t="s">
        <v>208</v>
      </c>
      <c r="M162" s="101" t="s">
        <v>710</v>
      </c>
    </row>
    <row r="163" spans="2:13" x14ac:dyDescent="0.25">
      <c r="B163" s="2" t="s">
        <v>322</v>
      </c>
      <c r="C163" s="9" t="s">
        <v>323</v>
      </c>
      <c r="D163" s="10">
        <v>1995</v>
      </c>
      <c r="E163" s="3">
        <v>23</v>
      </c>
      <c r="F163" s="3">
        <v>8.6</v>
      </c>
      <c r="G163" s="4">
        <v>625620</v>
      </c>
      <c r="H163" s="57">
        <v>1995</v>
      </c>
      <c r="I163" s="55"/>
      <c r="J163" s="61" t="s">
        <v>122</v>
      </c>
      <c r="L163" s="101" t="s">
        <v>410</v>
      </c>
      <c r="M163" s="101" t="s">
        <v>711</v>
      </c>
    </row>
    <row r="164" spans="2:13" x14ac:dyDescent="0.25">
      <c r="B164" s="2" t="s">
        <v>324</v>
      </c>
      <c r="C164" s="9" t="s">
        <v>325</v>
      </c>
      <c r="D164" s="10">
        <v>1995</v>
      </c>
      <c r="E164" s="3">
        <v>26</v>
      </c>
      <c r="F164" s="3">
        <v>8.6</v>
      </c>
      <c r="G164" s="4">
        <v>481594</v>
      </c>
      <c r="H164" s="57">
        <v>1995</v>
      </c>
      <c r="I164" s="55"/>
      <c r="J164" s="61" t="s">
        <v>380</v>
      </c>
      <c r="L164" s="101" t="s">
        <v>500</v>
      </c>
      <c r="M164" s="101" t="s">
        <v>712</v>
      </c>
    </row>
    <row r="165" spans="2:13" x14ac:dyDescent="0.25">
      <c r="B165" s="2" t="s">
        <v>326</v>
      </c>
      <c r="C165" s="9" t="s">
        <v>327</v>
      </c>
      <c r="D165" s="10">
        <v>1995</v>
      </c>
      <c r="E165" s="3">
        <v>113</v>
      </c>
      <c r="F165" s="3">
        <v>8.1999999999999993</v>
      </c>
      <c r="G165" s="4">
        <v>369869</v>
      </c>
      <c r="H165" s="57">
        <v>1995</v>
      </c>
      <c r="I165" s="55"/>
      <c r="J165" s="61" t="s">
        <v>82</v>
      </c>
      <c r="L165" s="101" t="s">
        <v>488</v>
      </c>
      <c r="M165" s="101" t="s">
        <v>713</v>
      </c>
    </row>
    <row r="166" spans="2:13" x14ac:dyDescent="0.25">
      <c r="B166" s="2" t="s">
        <v>328</v>
      </c>
      <c r="C166" s="9" t="s">
        <v>329</v>
      </c>
      <c r="D166" s="10">
        <v>1995</v>
      </c>
      <c r="E166" s="3">
        <v>183</v>
      </c>
      <c r="F166" s="3">
        <v>8.1</v>
      </c>
      <c r="G166" s="4">
        <v>316945</v>
      </c>
      <c r="H166" s="57">
        <v>1995</v>
      </c>
      <c r="I166" s="55"/>
      <c r="J166" s="61" t="s">
        <v>220</v>
      </c>
      <c r="L166" s="101" t="s">
        <v>462</v>
      </c>
      <c r="M166" s="101" t="s">
        <v>714</v>
      </c>
    </row>
    <row r="167" spans="2:13" x14ac:dyDescent="0.25">
      <c r="B167" s="2" t="s">
        <v>330</v>
      </c>
      <c r="C167" s="9" t="s">
        <v>331</v>
      </c>
      <c r="D167" s="10">
        <v>1996</v>
      </c>
      <c r="E167" s="3">
        <v>131</v>
      </c>
      <c r="F167" s="3">
        <v>8.1999999999999993</v>
      </c>
      <c r="G167" s="4">
        <v>285542</v>
      </c>
      <c r="H167" s="57">
        <v>1996</v>
      </c>
      <c r="I167" s="55"/>
      <c r="J167" s="61" t="s">
        <v>262</v>
      </c>
      <c r="L167" s="101" t="s">
        <v>392</v>
      </c>
      <c r="M167" s="101" t="s">
        <v>715</v>
      </c>
    </row>
    <row r="168" spans="2:13" x14ac:dyDescent="0.25">
      <c r="B168" s="2" t="s">
        <v>332</v>
      </c>
      <c r="C168" s="9" t="s">
        <v>333</v>
      </c>
      <c r="D168" s="10">
        <v>1996</v>
      </c>
      <c r="E168" s="3">
        <v>155</v>
      </c>
      <c r="F168" s="3">
        <v>8.1</v>
      </c>
      <c r="G168" s="4">
        <v>312510</v>
      </c>
      <c r="H168" s="57">
        <v>1996</v>
      </c>
      <c r="I168" s="55"/>
      <c r="J168" s="61" t="s">
        <v>460</v>
      </c>
      <c r="L168" s="101" t="s">
        <v>274</v>
      </c>
      <c r="M168" s="101" t="s">
        <v>716</v>
      </c>
    </row>
    <row r="169" spans="2:13" x14ac:dyDescent="0.25">
      <c r="B169" s="2" t="s">
        <v>334</v>
      </c>
      <c r="C169" s="9" t="s">
        <v>335</v>
      </c>
      <c r="D169" s="10">
        <v>1997</v>
      </c>
      <c r="E169" s="3">
        <v>144</v>
      </c>
      <c r="F169" s="3">
        <v>8.1</v>
      </c>
      <c r="G169" s="4">
        <v>366430</v>
      </c>
      <c r="H169" s="57">
        <v>1997</v>
      </c>
      <c r="I169" s="55"/>
      <c r="J169" s="61" t="s">
        <v>210</v>
      </c>
      <c r="L169" s="101" t="s">
        <v>420</v>
      </c>
      <c r="M169" s="101" t="s">
        <v>717</v>
      </c>
    </row>
    <row r="170" spans="2:13" x14ac:dyDescent="0.25">
      <c r="B170" s="2" t="s">
        <v>336</v>
      </c>
      <c r="C170" s="9" t="s">
        <v>337</v>
      </c>
      <c r="D170" s="10">
        <v>1997</v>
      </c>
      <c r="E170" s="3">
        <v>84</v>
      </c>
      <c r="F170" s="3">
        <v>8.3000000000000007</v>
      </c>
      <c r="G170" s="4">
        <v>296956</v>
      </c>
      <c r="H170" s="57">
        <v>1997</v>
      </c>
      <c r="I170" s="55"/>
      <c r="J170" s="61" t="s">
        <v>224</v>
      </c>
      <c r="L170" s="101" t="s">
        <v>50</v>
      </c>
      <c r="M170" s="101" t="s">
        <v>718</v>
      </c>
    </row>
    <row r="171" spans="2:13" x14ac:dyDescent="0.25">
      <c r="B171" s="2" t="s">
        <v>338</v>
      </c>
      <c r="C171" s="9" t="s">
        <v>339</v>
      </c>
      <c r="D171" s="10">
        <v>1997</v>
      </c>
      <c r="E171" s="3">
        <v>49</v>
      </c>
      <c r="F171" s="3">
        <v>8.4</v>
      </c>
      <c r="G171" s="4">
        <v>237603</v>
      </c>
      <c r="H171" s="57">
        <v>1997</v>
      </c>
      <c r="I171" s="55"/>
      <c r="J171" s="61" t="s">
        <v>244</v>
      </c>
      <c r="L171" s="101" t="s">
        <v>84</v>
      </c>
      <c r="M171" s="101" t="s">
        <v>719</v>
      </c>
    </row>
    <row r="172" spans="2:13" x14ac:dyDescent="0.25">
      <c r="B172" s="2" t="s">
        <v>340</v>
      </c>
      <c r="C172" s="9" t="s">
        <v>341</v>
      </c>
      <c r="D172" s="10">
        <v>1997</v>
      </c>
      <c r="E172" s="3">
        <v>94</v>
      </c>
      <c r="F172" s="3">
        <v>8.3000000000000007</v>
      </c>
      <c r="G172" s="4">
        <v>135618</v>
      </c>
      <c r="H172" s="57">
        <v>1997</v>
      </c>
      <c r="I172" s="55"/>
      <c r="J172" s="61" t="s">
        <v>72</v>
      </c>
      <c r="L172" s="101" t="s">
        <v>494</v>
      </c>
      <c r="M172" s="101" t="s">
        <v>720</v>
      </c>
    </row>
    <row r="173" spans="2:13" x14ac:dyDescent="0.25">
      <c r="B173" s="2" t="s">
        <v>342</v>
      </c>
      <c r="C173" s="9" t="s">
        <v>343</v>
      </c>
      <c r="D173" s="10">
        <v>1998</v>
      </c>
      <c r="E173" s="3">
        <v>33</v>
      </c>
      <c r="F173" s="3">
        <v>8.5</v>
      </c>
      <c r="G173" s="4">
        <v>495932</v>
      </c>
      <c r="H173" s="57">
        <v>1998</v>
      </c>
      <c r="I173" s="55"/>
      <c r="J173" s="61" t="s">
        <v>68</v>
      </c>
      <c r="L173" s="101" t="s">
        <v>468</v>
      </c>
      <c r="M173" s="101" t="s">
        <v>721</v>
      </c>
    </row>
    <row r="174" spans="2:13" x14ac:dyDescent="0.25">
      <c r="B174" s="2" t="s">
        <v>344</v>
      </c>
      <c r="C174" s="9" t="s">
        <v>345</v>
      </c>
      <c r="D174" s="10">
        <v>1998</v>
      </c>
      <c r="E174" s="3">
        <v>142</v>
      </c>
      <c r="F174" s="3">
        <v>8.1</v>
      </c>
      <c r="G174" s="4">
        <v>277636</v>
      </c>
      <c r="H174" s="57">
        <v>1998</v>
      </c>
      <c r="I174" s="55"/>
      <c r="J174" s="61" t="s">
        <v>206</v>
      </c>
      <c r="L174" s="101" t="s">
        <v>218</v>
      </c>
      <c r="M174" s="101" t="s">
        <v>722</v>
      </c>
    </row>
    <row r="175" spans="2:13" x14ac:dyDescent="0.25">
      <c r="B175" s="2" t="s">
        <v>346</v>
      </c>
      <c r="C175" s="9" t="s">
        <v>347</v>
      </c>
      <c r="D175" s="10">
        <v>1998</v>
      </c>
      <c r="E175" s="3">
        <v>37</v>
      </c>
      <c r="F175" s="3">
        <v>8.5</v>
      </c>
      <c r="G175" s="4">
        <v>546922</v>
      </c>
      <c r="H175" s="57">
        <v>1998</v>
      </c>
      <c r="I175" s="55"/>
      <c r="J175" s="61" t="s">
        <v>284</v>
      </c>
      <c r="L175" s="101" t="s">
        <v>430</v>
      </c>
      <c r="M175" s="101" t="s">
        <v>723</v>
      </c>
    </row>
    <row r="176" spans="2:13" x14ac:dyDescent="0.25">
      <c r="B176" s="2" t="s">
        <v>348</v>
      </c>
      <c r="C176" s="9" t="s">
        <v>349</v>
      </c>
      <c r="D176" s="10">
        <v>1998</v>
      </c>
      <c r="E176" s="3">
        <v>134</v>
      </c>
      <c r="F176" s="3">
        <v>8.1999999999999993</v>
      </c>
      <c r="G176" s="4">
        <v>348568</v>
      </c>
      <c r="H176" s="57">
        <v>1998</v>
      </c>
      <c r="I176" s="55"/>
      <c r="J176" s="61" t="s">
        <v>124</v>
      </c>
      <c r="L176" s="101" t="s">
        <v>52</v>
      </c>
      <c r="M176" s="101" t="s">
        <v>724</v>
      </c>
    </row>
    <row r="177" spans="2:13" x14ac:dyDescent="0.25">
      <c r="B177" s="2" t="s">
        <v>350</v>
      </c>
      <c r="C177" s="9" t="s">
        <v>351</v>
      </c>
      <c r="D177" s="10">
        <v>1998</v>
      </c>
      <c r="E177" s="3">
        <v>217</v>
      </c>
      <c r="F177" s="3">
        <v>8</v>
      </c>
      <c r="G177" s="4">
        <v>407875</v>
      </c>
      <c r="H177" s="57">
        <v>1998</v>
      </c>
      <c r="I177" s="55"/>
      <c r="J177" s="61" t="s">
        <v>128</v>
      </c>
      <c r="L177" s="101" t="s">
        <v>202</v>
      </c>
      <c r="M177" s="101" t="s">
        <v>725</v>
      </c>
    </row>
    <row r="178" spans="2:13" x14ac:dyDescent="0.25">
      <c r="B178" s="2" t="s">
        <v>352</v>
      </c>
      <c r="C178" s="9" t="s">
        <v>353</v>
      </c>
      <c r="D178" s="10">
        <v>1999</v>
      </c>
      <c r="E178" s="3">
        <v>54</v>
      </c>
      <c r="F178" s="3">
        <v>8.4</v>
      </c>
      <c r="G178" s="4">
        <v>555796</v>
      </c>
      <c r="H178" s="57">
        <v>1999</v>
      </c>
      <c r="I178" s="55"/>
      <c r="J178" s="61" t="s">
        <v>484</v>
      </c>
      <c r="L178" s="101" t="s">
        <v>252</v>
      </c>
      <c r="M178" s="101" t="s">
        <v>726</v>
      </c>
    </row>
    <row r="179" spans="2:13" x14ac:dyDescent="0.25">
      <c r="B179" s="2" t="s">
        <v>354</v>
      </c>
      <c r="C179" s="9" t="s">
        <v>355</v>
      </c>
      <c r="D179" s="10">
        <v>1999</v>
      </c>
      <c r="E179" s="3">
        <v>10</v>
      </c>
      <c r="F179" s="3">
        <v>8.8000000000000007</v>
      </c>
      <c r="G179" s="4">
        <v>814389</v>
      </c>
      <c r="H179" s="57">
        <v>1999</v>
      </c>
      <c r="I179" s="55"/>
      <c r="J179" s="61" t="s">
        <v>494</v>
      </c>
      <c r="L179" s="101" t="s">
        <v>414</v>
      </c>
      <c r="M179" s="101" t="s">
        <v>727</v>
      </c>
    </row>
    <row r="180" spans="2:13" x14ac:dyDescent="0.25">
      <c r="B180" s="2" t="s">
        <v>356</v>
      </c>
      <c r="C180" s="9" t="s">
        <v>357</v>
      </c>
      <c r="D180" s="10">
        <v>1999</v>
      </c>
      <c r="E180" s="3">
        <v>60</v>
      </c>
      <c r="F180" s="3">
        <v>8.4</v>
      </c>
      <c r="G180" s="4">
        <v>447680</v>
      </c>
      <c r="H180" s="57">
        <v>1999</v>
      </c>
      <c r="I180" s="55"/>
      <c r="J180" s="61" t="s">
        <v>52</v>
      </c>
      <c r="L180" s="101" t="s">
        <v>440</v>
      </c>
      <c r="M180" s="101" t="s">
        <v>728</v>
      </c>
    </row>
    <row r="181" spans="2:13" x14ac:dyDescent="0.25">
      <c r="B181" s="2" t="s">
        <v>358</v>
      </c>
      <c r="C181" s="9" t="s">
        <v>359</v>
      </c>
      <c r="D181" s="10">
        <v>1999</v>
      </c>
      <c r="E181" s="3">
        <v>19</v>
      </c>
      <c r="F181" s="3">
        <v>8.6999999999999993</v>
      </c>
      <c r="G181" s="4">
        <v>770559</v>
      </c>
      <c r="H181" s="57">
        <v>1999</v>
      </c>
      <c r="I181" s="55"/>
      <c r="J181" s="61" t="s">
        <v>348</v>
      </c>
      <c r="L181" s="101" t="s">
        <v>118</v>
      </c>
      <c r="M181" s="101" t="s">
        <v>729</v>
      </c>
    </row>
    <row r="182" spans="2:13" x14ac:dyDescent="0.25">
      <c r="B182" s="2" t="s">
        <v>360</v>
      </c>
      <c r="C182" s="9" t="s">
        <v>361</v>
      </c>
      <c r="D182" s="10">
        <v>1999</v>
      </c>
      <c r="E182" s="3">
        <v>141</v>
      </c>
      <c r="F182" s="3">
        <v>8.1</v>
      </c>
      <c r="G182" s="4">
        <v>475862</v>
      </c>
      <c r="H182" s="57">
        <v>1999</v>
      </c>
      <c r="I182" s="55"/>
      <c r="J182" s="61" t="s">
        <v>54</v>
      </c>
      <c r="L182" s="101" t="s">
        <v>96</v>
      </c>
      <c r="M182" s="101" t="s">
        <v>730</v>
      </c>
    </row>
    <row r="183" spans="2:13" x14ac:dyDescent="0.25">
      <c r="B183" s="2" t="s">
        <v>362</v>
      </c>
      <c r="C183" s="9" t="s">
        <v>363</v>
      </c>
      <c r="D183" s="10">
        <v>2000</v>
      </c>
      <c r="E183" s="3">
        <v>187</v>
      </c>
      <c r="F183" s="3">
        <v>8</v>
      </c>
      <c r="G183" s="4">
        <v>120868</v>
      </c>
      <c r="H183" s="57">
        <v>2000</v>
      </c>
      <c r="I183" s="55"/>
      <c r="J183" s="61" t="s">
        <v>436</v>
      </c>
      <c r="L183" s="101" t="s">
        <v>54</v>
      </c>
      <c r="M183" s="101" t="s">
        <v>731</v>
      </c>
    </row>
    <row r="184" spans="2:13" x14ac:dyDescent="0.25">
      <c r="B184" s="2" t="s">
        <v>364</v>
      </c>
      <c r="C184" s="9" t="s">
        <v>365</v>
      </c>
      <c r="D184" s="10">
        <v>2000</v>
      </c>
      <c r="E184" s="3">
        <v>62</v>
      </c>
      <c r="F184" s="3">
        <v>8.4</v>
      </c>
      <c r="G184" s="4">
        <v>598332</v>
      </c>
      <c r="H184" s="57">
        <v>2000</v>
      </c>
      <c r="I184" s="55"/>
      <c r="J184" s="61" t="s">
        <v>104</v>
      </c>
      <c r="L184" s="101" t="s">
        <v>476</v>
      </c>
      <c r="M184" s="101" t="s">
        <v>732</v>
      </c>
    </row>
    <row r="185" spans="2:13" x14ac:dyDescent="0.25">
      <c r="B185" s="2" t="s">
        <v>366</v>
      </c>
      <c r="C185" s="9" t="s">
        <v>367</v>
      </c>
      <c r="D185" s="10">
        <v>2000</v>
      </c>
      <c r="E185" s="3">
        <v>36</v>
      </c>
      <c r="F185" s="3">
        <v>8.5</v>
      </c>
      <c r="G185" s="4">
        <v>557394</v>
      </c>
      <c r="H185" s="57">
        <v>2000</v>
      </c>
      <c r="I185" s="55"/>
      <c r="J185" s="61" t="s">
        <v>448</v>
      </c>
      <c r="L185" s="101" t="s">
        <v>262</v>
      </c>
      <c r="M185" s="101" t="s">
        <v>733</v>
      </c>
    </row>
    <row r="186" spans="2:13" x14ac:dyDescent="0.25">
      <c r="B186" s="2" t="s">
        <v>368</v>
      </c>
      <c r="C186" s="9" t="s">
        <v>369</v>
      </c>
      <c r="D186" s="10">
        <v>2000</v>
      </c>
      <c r="E186" s="3">
        <v>79</v>
      </c>
      <c r="F186" s="3">
        <v>8.3000000000000007</v>
      </c>
      <c r="G186" s="4">
        <v>378814</v>
      </c>
      <c r="H186" s="57">
        <v>2000</v>
      </c>
      <c r="I186" s="55"/>
      <c r="J186" s="61" t="s">
        <v>496</v>
      </c>
      <c r="L186" s="101" t="s">
        <v>124</v>
      </c>
      <c r="M186" s="101" t="s">
        <v>734</v>
      </c>
    </row>
    <row r="187" spans="2:13" x14ac:dyDescent="0.25">
      <c r="B187" s="2" t="s">
        <v>370</v>
      </c>
      <c r="C187" s="9" t="s">
        <v>371</v>
      </c>
      <c r="D187" s="10">
        <v>2000</v>
      </c>
      <c r="E187" s="3">
        <v>112</v>
      </c>
      <c r="F187" s="3">
        <v>8.1999999999999993</v>
      </c>
      <c r="G187" s="4">
        <v>392241</v>
      </c>
      <c r="H187" s="57">
        <v>2000</v>
      </c>
      <c r="I187" s="55"/>
      <c r="J187" s="61" t="s">
        <v>212</v>
      </c>
      <c r="L187" s="101" t="s">
        <v>328</v>
      </c>
      <c r="M187" s="101" t="s">
        <v>735</v>
      </c>
    </row>
    <row r="188" spans="2:13" x14ac:dyDescent="0.25">
      <c r="B188" s="2" t="s">
        <v>372</v>
      </c>
      <c r="C188" s="9" t="s">
        <v>373</v>
      </c>
      <c r="D188" s="10">
        <v>2001</v>
      </c>
      <c r="E188" s="3">
        <v>192</v>
      </c>
      <c r="F188" s="3">
        <v>8</v>
      </c>
      <c r="G188" s="4">
        <v>344294</v>
      </c>
      <c r="H188" s="57">
        <v>2001</v>
      </c>
      <c r="I188" s="55"/>
      <c r="J188" s="61" t="s">
        <v>424</v>
      </c>
      <c r="L188" s="101" t="s">
        <v>292</v>
      </c>
      <c r="M188" s="101" t="s">
        <v>736</v>
      </c>
    </row>
    <row r="189" spans="2:13" x14ac:dyDescent="0.25">
      <c r="B189" s="2" t="s">
        <v>374</v>
      </c>
      <c r="C189" s="9" t="s">
        <v>375</v>
      </c>
      <c r="D189" s="10">
        <v>2001</v>
      </c>
      <c r="E189" s="3">
        <v>69</v>
      </c>
      <c r="F189" s="3">
        <v>8.4</v>
      </c>
      <c r="G189" s="4">
        <v>351134</v>
      </c>
      <c r="H189" s="57">
        <v>2001</v>
      </c>
      <c r="I189" s="55"/>
      <c r="J189" s="61" t="s">
        <v>438</v>
      </c>
      <c r="L189" s="101" t="s">
        <v>376</v>
      </c>
      <c r="M189" s="101" t="s">
        <v>737</v>
      </c>
    </row>
    <row r="190" spans="2:13" x14ac:dyDescent="0.25">
      <c r="B190" s="2" t="s">
        <v>376</v>
      </c>
      <c r="C190" s="9" t="s">
        <v>377</v>
      </c>
      <c r="D190" s="10">
        <v>2001</v>
      </c>
      <c r="E190" s="3">
        <v>185</v>
      </c>
      <c r="F190" s="3">
        <v>8</v>
      </c>
      <c r="G190" s="4">
        <v>398128</v>
      </c>
      <c r="H190" s="57">
        <v>2001</v>
      </c>
      <c r="I190" s="55"/>
      <c r="J190" s="61" t="s">
        <v>226</v>
      </c>
      <c r="L190" s="101" t="s">
        <v>194</v>
      </c>
      <c r="M190" s="101" t="s">
        <v>738</v>
      </c>
    </row>
    <row r="191" spans="2:13" x14ac:dyDescent="0.25">
      <c r="B191" s="2" t="s">
        <v>378</v>
      </c>
      <c r="C191" s="9" t="s">
        <v>379</v>
      </c>
      <c r="D191" s="10">
        <v>2001</v>
      </c>
      <c r="E191" s="3">
        <v>214</v>
      </c>
      <c r="F191" s="3">
        <v>8</v>
      </c>
      <c r="G191" s="4">
        <v>328336</v>
      </c>
      <c r="H191" s="57">
        <v>2001</v>
      </c>
      <c r="I191" s="55"/>
      <c r="J191" s="61" t="s">
        <v>184</v>
      </c>
      <c r="L191" s="101" t="s">
        <v>362</v>
      </c>
      <c r="M191" s="101" t="s">
        <v>739</v>
      </c>
    </row>
    <row r="192" spans="2:13" x14ac:dyDescent="0.25">
      <c r="B192" s="2" t="s">
        <v>380</v>
      </c>
      <c r="C192" s="9" t="s">
        <v>381</v>
      </c>
      <c r="D192" s="10">
        <v>2001</v>
      </c>
      <c r="E192" s="3">
        <v>42</v>
      </c>
      <c r="F192" s="3">
        <v>8.5</v>
      </c>
      <c r="G192" s="4">
        <v>244430</v>
      </c>
      <c r="H192" s="57">
        <v>2001</v>
      </c>
      <c r="I192" s="55"/>
      <c r="J192" s="61" t="s">
        <v>10</v>
      </c>
      <c r="L192" s="101" t="s">
        <v>412</v>
      </c>
      <c r="M192" s="101" t="s">
        <v>740</v>
      </c>
    </row>
    <row r="193" spans="2:13" x14ac:dyDescent="0.25">
      <c r="B193" s="2" t="s">
        <v>382</v>
      </c>
      <c r="C193" s="9" t="s">
        <v>383</v>
      </c>
      <c r="D193" s="10">
        <v>2001</v>
      </c>
      <c r="E193" s="3">
        <v>12</v>
      </c>
      <c r="F193" s="3">
        <v>8.8000000000000007</v>
      </c>
      <c r="G193" s="4">
        <v>784999</v>
      </c>
      <c r="H193" s="57">
        <v>2001</v>
      </c>
      <c r="I193" s="55"/>
      <c r="J193" s="61" t="s">
        <v>180</v>
      </c>
      <c r="L193" s="101" t="s">
        <v>458</v>
      </c>
      <c r="M193" s="101" t="s">
        <v>741</v>
      </c>
    </row>
    <row r="194" spans="2:13" x14ac:dyDescent="0.25">
      <c r="B194" s="2" t="s">
        <v>384</v>
      </c>
      <c r="C194" s="9" t="s">
        <v>385</v>
      </c>
      <c r="D194" s="10">
        <v>2002</v>
      </c>
      <c r="E194" s="3">
        <v>21</v>
      </c>
      <c r="F194" s="3">
        <v>8.6</v>
      </c>
      <c r="G194" s="4">
        <v>349902</v>
      </c>
      <c r="H194" s="57">
        <v>2002</v>
      </c>
      <c r="I194" s="55"/>
      <c r="J194" s="61" t="s">
        <v>190</v>
      </c>
      <c r="L194" s="101" t="s">
        <v>238</v>
      </c>
      <c r="M194" s="101" t="s">
        <v>742</v>
      </c>
    </row>
    <row r="195" spans="2:13" x14ac:dyDescent="0.25">
      <c r="B195" s="2" t="s">
        <v>386</v>
      </c>
      <c r="C195" s="9" t="s">
        <v>387</v>
      </c>
      <c r="D195" s="10">
        <v>2002</v>
      </c>
      <c r="E195" s="3">
        <v>216</v>
      </c>
      <c r="F195" s="3">
        <v>8</v>
      </c>
      <c r="G195" s="4">
        <v>63858</v>
      </c>
      <c r="H195" s="57">
        <v>2002</v>
      </c>
      <c r="I195" s="55"/>
      <c r="J195" s="61" t="s">
        <v>8</v>
      </c>
      <c r="L195" s="101" t="s">
        <v>436</v>
      </c>
      <c r="M195" s="101" t="s">
        <v>743</v>
      </c>
    </row>
    <row r="196" spans="2:13" x14ac:dyDescent="0.25">
      <c r="B196" s="2" t="s">
        <v>388</v>
      </c>
      <c r="C196" s="9" t="s">
        <v>389</v>
      </c>
      <c r="D196" s="10">
        <v>2002</v>
      </c>
      <c r="E196" s="3">
        <v>20</v>
      </c>
      <c r="F196" s="3">
        <v>8.6999999999999993</v>
      </c>
      <c r="G196" s="4">
        <v>680983</v>
      </c>
      <c r="H196" s="57">
        <v>2002</v>
      </c>
      <c r="I196" s="55"/>
      <c r="J196" s="61" t="s">
        <v>156</v>
      </c>
      <c r="L196" s="101" t="s">
        <v>372</v>
      </c>
      <c r="M196" s="101" t="s">
        <v>744</v>
      </c>
    </row>
    <row r="197" spans="2:13" x14ac:dyDescent="0.25">
      <c r="B197" s="2" t="s">
        <v>390</v>
      </c>
      <c r="C197" s="9" t="s">
        <v>391</v>
      </c>
      <c r="D197" s="10">
        <v>2002</v>
      </c>
      <c r="E197" s="3">
        <v>47</v>
      </c>
      <c r="F197" s="3">
        <v>8.4</v>
      </c>
      <c r="G197" s="4">
        <v>297265</v>
      </c>
      <c r="H197" s="57">
        <v>2002</v>
      </c>
      <c r="I197" s="55"/>
      <c r="J197" s="61" t="s">
        <v>164</v>
      </c>
      <c r="L197" s="101" t="s">
        <v>154</v>
      </c>
      <c r="M197" s="101" t="s">
        <v>745</v>
      </c>
    </row>
    <row r="198" spans="2:13" x14ac:dyDescent="0.25">
      <c r="B198" s="2" t="s">
        <v>392</v>
      </c>
      <c r="C198" s="9" t="s">
        <v>393</v>
      </c>
      <c r="D198" s="10">
        <v>2003</v>
      </c>
      <c r="E198" s="3">
        <v>163</v>
      </c>
      <c r="F198" s="3">
        <v>8.1</v>
      </c>
      <c r="G198" s="4">
        <v>406678</v>
      </c>
      <c r="H198" s="57">
        <v>2003</v>
      </c>
      <c r="I198" s="55"/>
      <c r="J198" s="61" t="s">
        <v>34</v>
      </c>
      <c r="L198" s="101" t="s">
        <v>98</v>
      </c>
      <c r="M198" s="101" t="s">
        <v>746</v>
      </c>
    </row>
    <row r="199" spans="2:13" x14ac:dyDescent="0.25">
      <c r="B199" s="2" t="s">
        <v>394</v>
      </c>
      <c r="C199" s="9" t="s">
        <v>395</v>
      </c>
      <c r="D199" s="10">
        <v>2003</v>
      </c>
      <c r="E199" s="3">
        <v>153</v>
      </c>
      <c r="F199" s="3">
        <v>8.1</v>
      </c>
      <c r="G199" s="4">
        <v>470244</v>
      </c>
      <c r="H199" s="57">
        <v>2003</v>
      </c>
      <c r="I199" s="55"/>
      <c r="J199" s="61" t="s">
        <v>36</v>
      </c>
      <c r="L199" s="101" t="s">
        <v>164</v>
      </c>
      <c r="M199" s="101" t="s">
        <v>747</v>
      </c>
    </row>
    <row r="200" spans="2:13" x14ac:dyDescent="0.25">
      <c r="B200" s="2" t="s">
        <v>396</v>
      </c>
      <c r="C200" s="9" t="s">
        <v>397</v>
      </c>
      <c r="D200" s="10">
        <v>2003</v>
      </c>
      <c r="E200" s="3">
        <v>221</v>
      </c>
      <c r="F200" s="3">
        <v>8</v>
      </c>
      <c r="G200" s="4">
        <v>33873</v>
      </c>
      <c r="H200" s="57">
        <v>2003</v>
      </c>
      <c r="I200" s="55"/>
      <c r="J200" s="61" t="s">
        <v>146</v>
      </c>
      <c r="L200" s="101" t="s">
        <v>504</v>
      </c>
      <c r="M200" s="101" t="s">
        <v>748</v>
      </c>
    </row>
    <row r="201" spans="2:13" x14ac:dyDescent="0.25">
      <c r="B201" s="2" t="s">
        <v>398</v>
      </c>
      <c r="C201" s="9" t="s">
        <v>399</v>
      </c>
      <c r="D201" s="10">
        <v>2003</v>
      </c>
      <c r="E201" s="3">
        <v>246</v>
      </c>
      <c r="F201" s="3">
        <v>7.9</v>
      </c>
      <c r="G201" s="4">
        <v>256159</v>
      </c>
      <c r="H201" s="57">
        <v>2003</v>
      </c>
      <c r="I201" s="55"/>
      <c r="J201" s="61" t="s">
        <v>356</v>
      </c>
      <c r="L201" s="101" t="s">
        <v>466</v>
      </c>
      <c r="M201" s="101" t="s">
        <v>749</v>
      </c>
    </row>
    <row r="202" spans="2:13" x14ac:dyDescent="0.25">
      <c r="B202" s="2" t="s">
        <v>400</v>
      </c>
      <c r="C202" s="9" t="s">
        <v>401</v>
      </c>
      <c r="D202" s="10">
        <v>2003</v>
      </c>
      <c r="E202" s="3">
        <v>85</v>
      </c>
      <c r="F202" s="3">
        <v>8.3000000000000007</v>
      </c>
      <c r="G202" s="4">
        <v>217584</v>
      </c>
      <c r="H202" s="57">
        <v>2003</v>
      </c>
      <c r="I202" s="55"/>
      <c r="J202" s="61" t="s">
        <v>498</v>
      </c>
      <c r="L202" s="101" t="s">
        <v>266</v>
      </c>
      <c r="M202" s="101" t="s">
        <v>750</v>
      </c>
    </row>
    <row r="203" spans="2:13" x14ac:dyDescent="0.25">
      <c r="B203" s="2" t="s">
        <v>402</v>
      </c>
      <c r="C203" s="9" t="s">
        <v>403</v>
      </c>
      <c r="D203" s="10">
        <v>2003</v>
      </c>
      <c r="E203" s="3">
        <v>220</v>
      </c>
      <c r="F203" s="3">
        <v>8</v>
      </c>
      <c r="G203" s="4">
        <v>519625</v>
      </c>
      <c r="H203" s="57">
        <v>2003</v>
      </c>
      <c r="I203" s="55"/>
      <c r="J203" s="61" t="s">
        <v>500</v>
      </c>
      <c r="L203" s="101" t="s">
        <v>158</v>
      </c>
      <c r="M203" s="101" t="s">
        <v>751</v>
      </c>
    </row>
    <row r="204" spans="2:13" x14ac:dyDescent="0.25">
      <c r="B204" s="2" t="s">
        <v>404</v>
      </c>
      <c r="C204" s="9" t="s">
        <v>405</v>
      </c>
      <c r="D204" s="10">
        <v>2003</v>
      </c>
      <c r="E204" s="3">
        <v>9</v>
      </c>
      <c r="F204" s="3">
        <v>8.8000000000000007</v>
      </c>
      <c r="G204" s="4">
        <v>758388</v>
      </c>
      <c r="H204" s="57">
        <v>2003</v>
      </c>
      <c r="I204" s="55"/>
      <c r="J204" s="61" t="s">
        <v>132</v>
      </c>
      <c r="L204" s="101" t="s">
        <v>132</v>
      </c>
      <c r="M204" s="101" t="s">
        <v>752</v>
      </c>
    </row>
    <row r="205" spans="2:13" x14ac:dyDescent="0.25">
      <c r="B205" s="2" t="s">
        <v>406</v>
      </c>
      <c r="C205" s="9" t="s">
        <v>407</v>
      </c>
      <c r="D205" s="10">
        <v>2004</v>
      </c>
      <c r="E205" s="3">
        <v>116</v>
      </c>
      <c r="F205" s="3">
        <v>8.1999999999999993</v>
      </c>
      <c r="G205" s="4">
        <v>168689</v>
      </c>
      <c r="H205" s="57">
        <v>2004</v>
      </c>
      <c r="I205" s="55"/>
      <c r="J205" s="61" t="s">
        <v>486</v>
      </c>
      <c r="L205" s="101" t="s">
        <v>138</v>
      </c>
      <c r="M205" s="101" t="s">
        <v>753</v>
      </c>
    </row>
    <row r="206" spans="2:13" x14ac:dyDescent="0.25">
      <c r="B206" s="2" t="s">
        <v>408</v>
      </c>
      <c r="C206" s="9" t="s">
        <v>409</v>
      </c>
      <c r="D206" s="10">
        <v>2004</v>
      </c>
      <c r="E206" s="3">
        <v>81</v>
      </c>
      <c r="F206" s="3">
        <v>8.3000000000000007</v>
      </c>
      <c r="G206" s="4">
        <v>437665</v>
      </c>
      <c r="H206" s="57">
        <v>2004</v>
      </c>
      <c r="I206" s="55"/>
      <c r="J206" s="61" t="s">
        <v>6</v>
      </c>
      <c r="L206" s="101" t="s">
        <v>86</v>
      </c>
      <c r="M206" s="101" t="s">
        <v>754</v>
      </c>
    </row>
    <row r="207" spans="2:13" x14ac:dyDescent="0.25">
      <c r="B207" s="2" t="s">
        <v>410</v>
      </c>
      <c r="C207" s="9" t="s">
        <v>411</v>
      </c>
      <c r="D207" s="10">
        <v>2004</v>
      </c>
      <c r="E207" s="3">
        <v>159</v>
      </c>
      <c r="F207" s="3">
        <v>8.1</v>
      </c>
      <c r="G207" s="4">
        <v>180270</v>
      </c>
      <c r="H207" s="57">
        <v>2004</v>
      </c>
      <c r="I207" s="55"/>
      <c r="J207" s="61" t="s">
        <v>98</v>
      </c>
      <c r="L207" s="101" t="s">
        <v>116</v>
      </c>
      <c r="M207" s="101" t="s">
        <v>755</v>
      </c>
    </row>
    <row r="208" spans="2:13" x14ac:dyDescent="0.25">
      <c r="B208" s="2" t="s">
        <v>412</v>
      </c>
      <c r="C208" s="9" t="s">
        <v>413</v>
      </c>
      <c r="D208" s="10">
        <v>2004</v>
      </c>
      <c r="E208" s="3">
        <v>188</v>
      </c>
      <c r="F208" s="3">
        <v>8</v>
      </c>
      <c r="G208" s="4">
        <v>121059</v>
      </c>
      <c r="H208" s="57">
        <v>2004</v>
      </c>
      <c r="I208" s="55"/>
      <c r="J208" s="61" t="s">
        <v>476</v>
      </c>
      <c r="L208" s="101" t="s">
        <v>144</v>
      </c>
      <c r="M208" s="101" t="s">
        <v>756</v>
      </c>
    </row>
    <row r="209" spans="2:13" x14ac:dyDescent="0.25">
      <c r="B209" s="2" t="s">
        <v>414</v>
      </c>
      <c r="C209" s="9" t="s">
        <v>415</v>
      </c>
      <c r="D209" s="10">
        <v>2004</v>
      </c>
      <c r="E209" s="3">
        <v>175</v>
      </c>
      <c r="F209" s="3">
        <v>8.1</v>
      </c>
      <c r="G209" s="4">
        <v>303571</v>
      </c>
      <c r="H209" s="57">
        <v>2004</v>
      </c>
      <c r="I209" s="55"/>
      <c r="J209" s="61" t="s">
        <v>306</v>
      </c>
      <c r="L209" s="101" t="s">
        <v>140</v>
      </c>
      <c r="M209" s="101" t="s">
        <v>757</v>
      </c>
    </row>
    <row r="210" spans="2:13" x14ac:dyDescent="0.25">
      <c r="B210" s="2" t="s">
        <v>416</v>
      </c>
      <c r="C210" s="9" t="s">
        <v>417</v>
      </c>
      <c r="D210" s="10">
        <v>2005</v>
      </c>
      <c r="E210" s="3">
        <v>107</v>
      </c>
      <c r="F210" s="3">
        <v>8.3000000000000007</v>
      </c>
      <c r="G210" s="4">
        <v>604923</v>
      </c>
      <c r="H210" s="57">
        <v>2005</v>
      </c>
      <c r="I210" s="55"/>
      <c r="J210" s="61" t="s">
        <v>426</v>
      </c>
      <c r="L210" s="101" t="s">
        <v>204</v>
      </c>
      <c r="M210" s="101" t="s">
        <v>758</v>
      </c>
    </row>
    <row r="211" spans="2:13" x14ac:dyDescent="0.25">
      <c r="B211" s="2" t="s">
        <v>418</v>
      </c>
      <c r="C211" s="9" t="s">
        <v>419</v>
      </c>
      <c r="D211" s="10">
        <v>2005</v>
      </c>
      <c r="E211" s="3">
        <v>151</v>
      </c>
      <c r="F211" s="3">
        <v>8.1</v>
      </c>
      <c r="G211" s="4">
        <v>459794</v>
      </c>
      <c r="H211" s="57">
        <v>2005</v>
      </c>
      <c r="I211" s="55"/>
      <c r="J211" s="61" t="s">
        <v>382</v>
      </c>
      <c r="L211" s="101" t="s">
        <v>184</v>
      </c>
      <c r="M211" s="101" t="s">
        <v>759</v>
      </c>
    </row>
    <row r="212" spans="2:13" x14ac:dyDescent="0.25">
      <c r="B212" s="2" t="s">
        <v>420</v>
      </c>
      <c r="C212" s="9" t="s">
        <v>421</v>
      </c>
      <c r="D212" s="10">
        <v>2005</v>
      </c>
      <c r="E212" s="3">
        <v>165</v>
      </c>
      <c r="F212" s="3">
        <v>8.1</v>
      </c>
      <c r="G212" s="4">
        <v>507750</v>
      </c>
      <c r="H212" s="57">
        <v>2005</v>
      </c>
      <c r="I212" s="55"/>
      <c r="J212" s="61" t="s">
        <v>404</v>
      </c>
      <c r="L212" s="101" t="s">
        <v>446</v>
      </c>
      <c r="M212" s="101" t="s">
        <v>760</v>
      </c>
    </row>
    <row r="213" spans="2:13" x14ac:dyDescent="0.25">
      <c r="B213" s="2" t="s">
        <v>422</v>
      </c>
      <c r="C213" s="9" t="s">
        <v>423</v>
      </c>
      <c r="D213" s="10">
        <v>2006</v>
      </c>
      <c r="E213" s="3">
        <v>117</v>
      </c>
      <c r="F213" s="3">
        <v>8.1999999999999993</v>
      </c>
      <c r="G213" s="4">
        <v>313115</v>
      </c>
      <c r="H213" s="57">
        <v>2006</v>
      </c>
      <c r="I213" s="55"/>
      <c r="J213" s="61" t="s">
        <v>388</v>
      </c>
      <c r="L213" s="101" t="s">
        <v>294</v>
      </c>
      <c r="M213" s="101" t="s">
        <v>761</v>
      </c>
    </row>
    <row r="214" spans="2:13" x14ac:dyDescent="0.25">
      <c r="B214" s="2" t="s">
        <v>424</v>
      </c>
      <c r="C214" s="9" t="s">
        <v>425</v>
      </c>
      <c r="D214" s="10">
        <v>2006</v>
      </c>
      <c r="E214" s="3">
        <v>51</v>
      </c>
      <c r="F214" s="3">
        <v>8.4</v>
      </c>
      <c r="G214" s="4">
        <v>540726</v>
      </c>
      <c r="H214" s="57">
        <v>2006</v>
      </c>
      <c r="I214" s="55"/>
      <c r="J214" s="61" t="s">
        <v>40</v>
      </c>
      <c r="L214" s="101" t="s">
        <v>82</v>
      </c>
      <c r="M214" s="101" t="s">
        <v>762</v>
      </c>
    </row>
    <row r="215" spans="2:13" x14ac:dyDescent="0.25">
      <c r="B215" s="2" t="s">
        <v>426</v>
      </c>
      <c r="C215" s="9" t="s">
        <v>427</v>
      </c>
      <c r="D215" s="10">
        <v>2006</v>
      </c>
      <c r="E215" s="3">
        <v>64</v>
      </c>
      <c r="F215" s="3">
        <v>8.4</v>
      </c>
      <c r="G215" s="4">
        <v>168022</v>
      </c>
      <c r="H215" s="57">
        <v>2006</v>
      </c>
      <c r="I215" s="55"/>
      <c r="J215" s="61" t="s">
        <v>138</v>
      </c>
      <c r="L215" s="101" t="s">
        <v>58</v>
      </c>
      <c r="M215" s="101" t="s">
        <v>763</v>
      </c>
    </row>
    <row r="216" spans="2:13" x14ac:dyDescent="0.25">
      <c r="B216" s="2" t="s">
        <v>428</v>
      </c>
      <c r="C216" s="9" t="s">
        <v>429</v>
      </c>
      <c r="D216" s="10">
        <v>2006</v>
      </c>
      <c r="E216" s="3">
        <v>68</v>
      </c>
      <c r="F216" s="3">
        <v>8.4</v>
      </c>
      <c r="G216" s="4">
        <v>497983</v>
      </c>
      <c r="H216" s="57">
        <v>2006</v>
      </c>
      <c r="I216" s="55"/>
      <c r="J216" s="61" t="s">
        <v>140</v>
      </c>
      <c r="L216" s="101" t="s">
        <v>174</v>
      </c>
      <c r="M216" s="101" t="s">
        <v>764</v>
      </c>
    </row>
    <row r="217" spans="2:13" x14ac:dyDescent="0.25">
      <c r="B217" s="2" t="s">
        <v>430</v>
      </c>
      <c r="C217" s="9" t="s">
        <v>431</v>
      </c>
      <c r="D217" s="10">
        <v>2007</v>
      </c>
      <c r="E217" s="3">
        <v>171</v>
      </c>
      <c r="F217" s="3">
        <v>8.1</v>
      </c>
      <c r="G217" s="4">
        <v>263344</v>
      </c>
      <c r="H217" s="57">
        <v>2007</v>
      </c>
      <c r="I217" s="55"/>
      <c r="J217" s="61" t="s">
        <v>358</v>
      </c>
      <c r="L217" s="101" t="s">
        <v>192</v>
      </c>
      <c r="M217" s="101" t="s">
        <v>765</v>
      </c>
    </row>
    <row r="218" spans="2:13" x14ac:dyDescent="0.25">
      <c r="B218" s="2" t="s">
        <v>432</v>
      </c>
      <c r="C218" s="9" t="s">
        <v>433</v>
      </c>
      <c r="D218" s="10">
        <v>2007</v>
      </c>
      <c r="E218" s="3">
        <v>140</v>
      </c>
      <c r="F218" s="3">
        <v>8.1</v>
      </c>
      <c r="G218" s="4">
        <v>397628</v>
      </c>
      <c r="H218" s="57">
        <v>2007</v>
      </c>
      <c r="I218" s="55"/>
      <c r="J218" s="61" t="s">
        <v>96</v>
      </c>
      <c r="L218" s="101" t="s">
        <v>378</v>
      </c>
      <c r="M218" s="101" t="s">
        <v>766</v>
      </c>
    </row>
    <row r="219" spans="2:13" x14ac:dyDescent="0.25">
      <c r="B219" s="2" t="s">
        <v>434</v>
      </c>
      <c r="C219" s="9" t="s">
        <v>435</v>
      </c>
      <c r="D219" s="10">
        <v>2007</v>
      </c>
      <c r="E219" s="3">
        <v>229</v>
      </c>
      <c r="F219" s="3">
        <v>8</v>
      </c>
      <c r="G219" s="4">
        <v>316890</v>
      </c>
      <c r="H219" s="57">
        <v>2007</v>
      </c>
      <c r="I219" s="55"/>
      <c r="J219" s="61" t="s">
        <v>390</v>
      </c>
      <c r="L219" s="101" t="s">
        <v>236</v>
      </c>
      <c r="M219" s="101" t="s">
        <v>767</v>
      </c>
    </row>
    <row r="220" spans="2:13" x14ac:dyDescent="0.25">
      <c r="B220" s="2" t="s">
        <v>436</v>
      </c>
      <c r="C220" s="9" t="s">
        <v>437</v>
      </c>
      <c r="D220" s="10">
        <v>2007</v>
      </c>
      <c r="E220" s="3">
        <v>191</v>
      </c>
      <c r="F220" s="3">
        <v>8</v>
      </c>
      <c r="G220" s="4">
        <v>322172</v>
      </c>
      <c r="H220" s="57">
        <v>2007</v>
      </c>
      <c r="I220" s="55"/>
      <c r="J220" s="61" t="s">
        <v>428</v>
      </c>
      <c r="L220" s="101" t="s">
        <v>386</v>
      </c>
      <c r="M220" s="101" t="s">
        <v>768</v>
      </c>
    </row>
    <row r="221" spans="2:13" x14ac:dyDescent="0.25">
      <c r="B221" s="2" t="s">
        <v>438</v>
      </c>
      <c r="C221" s="9" t="s">
        <v>439</v>
      </c>
      <c r="D221" s="10">
        <v>2007</v>
      </c>
      <c r="E221" s="3">
        <v>232</v>
      </c>
      <c r="F221" s="3">
        <v>8</v>
      </c>
      <c r="G221" s="4">
        <v>69702</v>
      </c>
      <c r="H221" s="57">
        <v>2007</v>
      </c>
      <c r="I221" s="55"/>
      <c r="J221" s="61" t="s">
        <v>266</v>
      </c>
      <c r="L221" s="101" t="s">
        <v>350</v>
      </c>
      <c r="M221" s="101" t="s">
        <v>769</v>
      </c>
    </row>
    <row r="222" spans="2:13" x14ac:dyDescent="0.25">
      <c r="B222" s="2" t="s">
        <v>440</v>
      </c>
      <c r="C222" s="9" t="s">
        <v>441</v>
      </c>
      <c r="D222" s="10">
        <v>2007</v>
      </c>
      <c r="E222" s="3">
        <v>176</v>
      </c>
      <c r="F222" s="3">
        <v>8.1</v>
      </c>
      <c r="G222" s="4">
        <v>252241</v>
      </c>
      <c r="H222" s="57">
        <v>2007</v>
      </c>
      <c r="I222" s="55"/>
      <c r="J222" s="61" t="s">
        <v>462</v>
      </c>
      <c r="L222" s="101" t="s">
        <v>80</v>
      </c>
      <c r="M222" s="101" t="s">
        <v>770</v>
      </c>
    </row>
    <row r="223" spans="2:13" x14ac:dyDescent="0.25">
      <c r="B223" s="2" t="s">
        <v>442</v>
      </c>
      <c r="C223" s="9" t="s">
        <v>443</v>
      </c>
      <c r="D223" s="10">
        <v>2008</v>
      </c>
      <c r="E223" s="3">
        <v>132</v>
      </c>
      <c r="F223" s="3">
        <v>8.1999999999999993</v>
      </c>
      <c r="G223" s="4">
        <v>367352</v>
      </c>
      <c r="H223" s="57">
        <v>2008</v>
      </c>
      <c r="I223" s="55"/>
      <c r="J223" s="61" t="s">
        <v>106</v>
      </c>
      <c r="L223" s="101" t="s">
        <v>492</v>
      </c>
      <c r="M223" s="101" t="s">
        <v>771</v>
      </c>
    </row>
    <row r="224" spans="2:13" x14ac:dyDescent="0.25">
      <c r="B224" s="2" t="s">
        <v>444</v>
      </c>
      <c r="C224" s="9" t="s">
        <v>445</v>
      </c>
      <c r="D224" s="10">
        <v>2008</v>
      </c>
      <c r="E224" s="3">
        <v>230</v>
      </c>
      <c r="F224" s="3">
        <v>8</v>
      </c>
      <c r="G224" s="4">
        <v>86593</v>
      </c>
      <c r="H224" s="57">
        <v>2008</v>
      </c>
      <c r="I224" s="55"/>
      <c r="J224" s="61" t="s">
        <v>308</v>
      </c>
      <c r="L224" s="101" t="s">
        <v>402</v>
      </c>
      <c r="M224" s="101" t="s">
        <v>772</v>
      </c>
    </row>
    <row r="225" spans="2:13" x14ac:dyDescent="0.25">
      <c r="B225" s="2" t="s">
        <v>446</v>
      </c>
      <c r="C225" s="9" t="s">
        <v>447</v>
      </c>
      <c r="D225" s="10">
        <v>2008</v>
      </c>
      <c r="E225" s="3">
        <v>208</v>
      </c>
      <c r="F225" s="3">
        <v>8</v>
      </c>
      <c r="G225" s="4">
        <v>425904</v>
      </c>
      <c r="H225" s="57">
        <v>2008</v>
      </c>
      <c r="I225" s="55"/>
      <c r="J225" s="61" t="s">
        <v>228</v>
      </c>
      <c r="L225" s="101" t="s">
        <v>396</v>
      </c>
      <c r="M225" s="101" t="s">
        <v>773</v>
      </c>
    </row>
    <row r="226" spans="2:13" x14ac:dyDescent="0.25">
      <c r="B226" s="2" t="s">
        <v>448</v>
      </c>
      <c r="C226" s="9" t="s">
        <v>449</v>
      </c>
      <c r="D226" s="10">
        <v>2008</v>
      </c>
      <c r="E226" s="3">
        <v>6</v>
      </c>
      <c r="F226" s="3">
        <v>8.9</v>
      </c>
      <c r="G226" s="4">
        <v>1045186</v>
      </c>
      <c r="H226" s="57">
        <v>2008</v>
      </c>
      <c r="I226" s="55"/>
      <c r="J226" s="61" t="s">
        <v>286</v>
      </c>
      <c r="L226" s="101" t="s">
        <v>14</v>
      </c>
      <c r="M226" s="101" t="s">
        <v>774</v>
      </c>
    </row>
    <row r="227" spans="2:13" x14ac:dyDescent="0.25">
      <c r="B227" s="2" t="s">
        <v>450</v>
      </c>
      <c r="C227" s="9" t="s">
        <v>451</v>
      </c>
      <c r="D227" s="10">
        <v>2008</v>
      </c>
      <c r="E227" s="3">
        <v>63</v>
      </c>
      <c r="F227" s="3">
        <v>8.4</v>
      </c>
      <c r="G227" s="4">
        <v>430863</v>
      </c>
      <c r="H227" s="57">
        <v>2008</v>
      </c>
      <c r="I227" s="55"/>
      <c r="J227" s="61" t="s">
        <v>360</v>
      </c>
      <c r="L227" s="101" t="s">
        <v>482</v>
      </c>
      <c r="M227" s="101" t="s">
        <v>775</v>
      </c>
    </row>
    <row r="228" spans="2:13" x14ac:dyDescent="0.25">
      <c r="B228" s="2" t="s">
        <v>452</v>
      </c>
      <c r="C228" s="9" t="s">
        <v>453</v>
      </c>
      <c r="D228" s="10">
        <v>2009</v>
      </c>
      <c r="E228" s="3">
        <v>240</v>
      </c>
      <c r="F228" s="3">
        <v>8</v>
      </c>
      <c r="G228" s="4">
        <v>83178</v>
      </c>
      <c r="H228" s="57">
        <v>2009</v>
      </c>
      <c r="I228" s="55"/>
      <c r="J228" s="61" t="s">
        <v>186</v>
      </c>
      <c r="L228" s="101" t="s">
        <v>178</v>
      </c>
      <c r="M228" s="101" t="s">
        <v>776</v>
      </c>
    </row>
    <row r="229" spans="2:13" x14ac:dyDescent="0.25">
      <c r="B229" s="2" t="s">
        <v>454</v>
      </c>
      <c r="C229" s="9" t="s">
        <v>455</v>
      </c>
      <c r="D229" s="10">
        <v>2009</v>
      </c>
      <c r="E229" s="3">
        <v>234</v>
      </c>
      <c r="F229" s="3">
        <v>8</v>
      </c>
      <c r="G229" s="4">
        <v>388592</v>
      </c>
      <c r="H229" s="57">
        <v>2009</v>
      </c>
      <c r="I229" s="55"/>
      <c r="J229" s="61" t="s">
        <v>252</v>
      </c>
      <c r="L229" s="101" t="s">
        <v>220</v>
      </c>
      <c r="M229" s="101" t="s">
        <v>777</v>
      </c>
    </row>
    <row r="230" spans="2:13" x14ac:dyDescent="0.25">
      <c r="B230" s="2" t="s">
        <v>456</v>
      </c>
      <c r="C230" s="9" t="s">
        <v>457</v>
      </c>
      <c r="D230" s="10">
        <v>2009</v>
      </c>
      <c r="E230" s="3">
        <v>109</v>
      </c>
      <c r="F230" s="3">
        <v>8.1999999999999993</v>
      </c>
      <c r="G230" s="4">
        <v>505702</v>
      </c>
      <c r="H230" s="57">
        <v>2009</v>
      </c>
      <c r="I230" s="55"/>
      <c r="J230" s="61" t="s">
        <v>240</v>
      </c>
      <c r="L230" s="101" t="s">
        <v>296</v>
      </c>
      <c r="M230" s="101" t="s">
        <v>778</v>
      </c>
    </row>
    <row r="231" spans="2:13" x14ac:dyDescent="0.25">
      <c r="B231" s="2" t="s">
        <v>458</v>
      </c>
      <c r="C231" s="9" t="s">
        <v>459</v>
      </c>
      <c r="D231" s="10">
        <v>2009</v>
      </c>
      <c r="E231" s="3">
        <v>189</v>
      </c>
      <c r="F231" s="3">
        <v>8</v>
      </c>
      <c r="G231" s="4">
        <v>67759</v>
      </c>
      <c r="H231" s="57">
        <v>2009</v>
      </c>
      <c r="I231" s="55"/>
      <c r="J231" s="61" t="s">
        <v>62</v>
      </c>
      <c r="L231" s="101" t="s">
        <v>70</v>
      </c>
      <c r="M231" s="101" t="s">
        <v>779</v>
      </c>
    </row>
    <row r="232" spans="2:13" x14ac:dyDescent="0.25">
      <c r="B232" s="2" t="s">
        <v>460</v>
      </c>
      <c r="C232" s="9" t="s">
        <v>461</v>
      </c>
      <c r="D232" s="10">
        <v>2009</v>
      </c>
      <c r="E232" s="3">
        <v>228</v>
      </c>
      <c r="F232" s="3">
        <v>8</v>
      </c>
      <c r="G232" s="4">
        <v>362442</v>
      </c>
      <c r="H232" s="57">
        <v>2009</v>
      </c>
      <c r="I232" s="55"/>
      <c r="J232" s="61" t="s">
        <v>60</v>
      </c>
      <c r="L232" s="101" t="s">
        <v>460</v>
      </c>
      <c r="M232" s="101" t="s">
        <v>780</v>
      </c>
    </row>
    <row r="233" spans="2:13" x14ac:dyDescent="0.25">
      <c r="B233" s="2" t="s">
        <v>462</v>
      </c>
      <c r="C233" s="9" t="s">
        <v>463</v>
      </c>
      <c r="D233" s="10">
        <v>2009</v>
      </c>
      <c r="E233" s="3">
        <v>162</v>
      </c>
      <c r="F233" s="3">
        <v>8.1</v>
      </c>
      <c r="G233" s="4">
        <v>73505</v>
      </c>
      <c r="H233" s="57">
        <v>2009</v>
      </c>
      <c r="I233" s="55"/>
      <c r="J233" s="61" t="s">
        <v>350</v>
      </c>
      <c r="L233" s="101" t="s">
        <v>434</v>
      </c>
      <c r="M233" s="101" t="s">
        <v>781</v>
      </c>
    </row>
    <row r="234" spans="2:13" x14ac:dyDescent="0.25">
      <c r="B234" s="2" t="s">
        <v>464</v>
      </c>
      <c r="C234" s="9" t="s">
        <v>465</v>
      </c>
      <c r="D234" s="10">
        <v>2009</v>
      </c>
      <c r="E234" s="3">
        <v>118</v>
      </c>
      <c r="F234" s="3">
        <v>8.1999999999999993</v>
      </c>
      <c r="G234" s="4">
        <v>377485</v>
      </c>
      <c r="H234" s="57">
        <v>2009</v>
      </c>
      <c r="I234" s="55"/>
      <c r="J234" s="61" t="s">
        <v>324</v>
      </c>
      <c r="L234" s="101" t="s">
        <v>444</v>
      </c>
      <c r="M234" s="101" t="s">
        <v>782</v>
      </c>
    </row>
    <row r="235" spans="2:13" x14ac:dyDescent="0.25">
      <c r="B235" s="2" t="s">
        <v>466</v>
      </c>
      <c r="C235" s="9" t="s">
        <v>467</v>
      </c>
      <c r="D235" s="10">
        <v>2010</v>
      </c>
      <c r="E235" s="3">
        <v>197</v>
      </c>
      <c r="F235" s="3">
        <v>8</v>
      </c>
      <c r="G235" s="4">
        <v>373745</v>
      </c>
      <c r="H235" s="57">
        <v>2010</v>
      </c>
      <c r="I235" s="55"/>
      <c r="J235" s="61" t="s">
        <v>174</v>
      </c>
      <c r="L235" s="101" t="s">
        <v>148</v>
      </c>
      <c r="M235" s="101" t="s">
        <v>783</v>
      </c>
    </row>
    <row r="236" spans="2:13" x14ac:dyDescent="0.25">
      <c r="B236" s="2" t="s">
        <v>468</v>
      </c>
      <c r="C236" s="9" t="s">
        <v>469</v>
      </c>
      <c r="D236" s="10">
        <v>2010</v>
      </c>
      <c r="E236" s="3">
        <v>169</v>
      </c>
      <c r="F236" s="3">
        <v>8.1</v>
      </c>
      <c r="G236" s="4">
        <v>249971</v>
      </c>
      <c r="H236" s="57">
        <v>2010</v>
      </c>
      <c r="I236" s="55"/>
      <c r="J236" s="61" t="s">
        <v>30</v>
      </c>
      <c r="L236" s="101" t="s">
        <v>438</v>
      </c>
      <c r="M236" s="101" t="s">
        <v>784</v>
      </c>
    </row>
    <row r="237" spans="2:13" x14ac:dyDescent="0.25">
      <c r="B237" s="2" t="s">
        <v>470</v>
      </c>
      <c r="C237" s="9" t="s">
        <v>471</v>
      </c>
      <c r="D237" s="10">
        <v>2010</v>
      </c>
      <c r="E237" s="3">
        <v>237</v>
      </c>
      <c r="F237" s="3">
        <v>8</v>
      </c>
      <c r="G237" s="4">
        <v>36751</v>
      </c>
      <c r="H237" s="57">
        <v>2010</v>
      </c>
      <c r="I237" s="55"/>
      <c r="J237" s="61" t="s">
        <v>440</v>
      </c>
      <c r="L237" s="101" t="s">
        <v>498</v>
      </c>
      <c r="M237" s="101" t="s">
        <v>785</v>
      </c>
    </row>
    <row r="238" spans="2:13" x14ac:dyDescent="0.25">
      <c r="B238" s="2" t="s">
        <v>472</v>
      </c>
      <c r="C238" s="9" t="s">
        <v>473</v>
      </c>
      <c r="D238" s="10">
        <v>2010</v>
      </c>
      <c r="E238" s="3">
        <v>16</v>
      </c>
      <c r="F238" s="3">
        <v>8.6999999999999993</v>
      </c>
      <c r="G238" s="4">
        <v>844938</v>
      </c>
      <c r="H238" s="57">
        <v>2010</v>
      </c>
      <c r="I238" s="55"/>
      <c r="J238" s="61" t="s">
        <v>310</v>
      </c>
      <c r="L238" s="101" t="s">
        <v>454</v>
      </c>
      <c r="M238" s="101" t="s">
        <v>786</v>
      </c>
    </row>
    <row r="239" spans="2:13" x14ac:dyDescent="0.25">
      <c r="B239" s="2" t="s">
        <v>474</v>
      </c>
      <c r="C239" s="9" t="s">
        <v>475</v>
      </c>
      <c r="D239" s="10">
        <v>2010</v>
      </c>
      <c r="E239" s="3">
        <v>235</v>
      </c>
      <c r="F239" s="3">
        <v>8</v>
      </c>
      <c r="G239" s="4">
        <v>436151</v>
      </c>
      <c r="H239" s="57">
        <v>2010</v>
      </c>
      <c r="I239" s="55"/>
      <c r="J239" s="61" t="s">
        <v>142</v>
      </c>
      <c r="L239" s="101" t="s">
        <v>474</v>
      </c>
      <c r="M239" s="101" t="s">
        <v>787</v>
      </c>
    </row>
    <row r="240" spans="2:13" x14ac:dyDescent="0.25">
      <c r="B240" s="2" t="s">
        <v>476</v>
      </c>
      <c r="C240" s="9" t="s">
        <v>477</v>
      </c>
      <c r="D240" s="10">
        <v>2010</v>
      </c>
      <c r="E240" s="3">
        <v>180</v>
      </c>
      <c r="F240" s="3">
        <v>8.1</v>
      </c>
      <c r="G240" s="4">
        <v>288159</v>
      </c>
      <c r="H240" s="57">
        <v>2010</v>
      </c>
      <c r="I240" s="55"/>
      <c r="J240" s="61" t="s">
        <v>112</v>
      </c>
      <c r="L240" s="101" t="s">
        <v>276</v>
      </c>
      <c r="M240" s="101" t="s">
        <v>788</v>
      </c>
    </row>
    <row r="241" spans="2:13" x14ac:dyDescent="0.25">
      <c r="B241" s="2" t="s">
        <v>478</v>
      </c>
      <c r="C241" s="9" t="s">
        <v>479</v>
      </c>
      <c r="D241" s="10">
        <v>2010</v>
      </c>
      <c r="E241" s="3">
        <v>65</v>
      </c>
      <c r="F241" s="3">
        <v>8.4</v>
      </c>
      <c r="G241" s="4">
        <v>320991</v>
      </c>
      <c r="H241" s="57">
        <v>2010</v>
      </c>
      <c r="I241" s="55"/>
      <c r="J241" s="61" t="s">
        <v>326</v>
      </c>
      <c r="L241" s="101" t="s">
        <v>470</v>
      </c>
      <c r="M241" s="101" t="s">
        <v>789</v>
      </c>
    </row>
    <row r="242" spans="2:13" x14ac:dyDescent="0.25">
      <c r="B242" s="2" t="s">
        <v>480</v>
      </c>
      <c r="C242" s="9" t="s">
        <v>481</v>
      </c>
      <c r="D242" s="10">
        <v>2011</v>
      </c>
      <c r="E242" s="3">
        <v>108</v>
      </c>
      <c r="F242" s="3">
        <v>8.3000000000000007</v>
      </c>
      <c r="G242" s="4">
        <v>93088</v>
      </c>
      <c r="H242" s="57">
        <v>2011</v>
      </c>
      <c r="I242" s="55"/>
      <c r="J242" s="61" t="s">
        <v>478</v>
      </c>
      <c r="L242" s="101" t="s">
        <v>170</v>
      </c>
      <c r="M242" s="101" t="s">
        <v>790</v>
      </c>
    </row>
    <row r="243" spans="2:13" x14ac:dyDescent="0.25">
      <c r="B243" s="2" t="s">
        <v>482</v>
      </c>
      <c r="C243" s="9" t="s">
        <v>483</v>
      </c>
      <c r="D243" s="10">
        <v>2011</v>
      </c>
      <c r="E243" s="3">
        <v>223</v>
      </c>
      <c r="F243" s="3">
        <v>8</v>
      </c>
      <c r="G243" s="4">
        <v>303847</v>
      </c>
      <c r="H243" s="57">
        <v>2011</v>
      </c>
      <c r="I243" s="55"/>
      <c r="J243" s="61" t="s">
        <v>332</v>
      </c>
      <c r="L243" s="101" t="s">
        <v>320</v>
      </c>
      <c r="M243" s="101" t="s">
        <v>791</v>
      </c>
    </row>
    <row r="244" spans="2:13" x14ac:dyDescent="0.25">
      <c r="B244" s="2" t="s">
        <v>484</v>
      </c>
      <c r="C244" s="9" t="s">
        <v>485</v>
      </c>
      <c r="D244" s="10">
        <v>2011</v>
      </c>
      <c r="E244" s="3">
        <v>241</v>
      </c>
      <c r="F244" s="3">
        <v>8</v>
      </c>
      <c r="G244" s="4">
        <v>132672</v>
      </c>
      <c r="H244" s="57">
        <v>2011</v>
      </c>
      <c r="I244" s="55"/>
      <c r="J244" s="61" t="s">
        <v>328</v>
      </c>
      <c r="L244" s="101" t="s">
        <v>452</v>
      </c>
      <c r="M244" s="101" t="s">
        <v>792</v>
      </c>
    </row>
    <row r="245" spans="2:13" x14ac:dyDescent="0.25">
      <c r="B245" s="2" t="s">
        <v>486</v>
      </c>
      <c r="C245" s="9" t="s">
        <v>487</v>
      </c>
      <c r="D245" s="10">
        <v>2011</v>
      </c>
      <c r="E245" s="3">
        <v>61</v>
      </c>
      <c r="F245" s="3">
        <v>8.4</v>
      </c>
      <c r="G245" s="4">
        <v>223271</v>
      </c>
      <c r="H245" s="57">
        <v>2011</v>
      </c>
      <c r="I245" s="55"/>
      <c r="J245" s="61" t="s">
        <v>290</v>
      </c>
      <c r="L245" s="101" t="s">
        <v>484</v>
      </c>
      <c r="M245" s="101" t="s">
        <v>793</v>
      </c>
    </row>
    <row r="246" spans="2:13" x14ac:dyDescent="0.25">
      <c r="B246" s="2" t="s">
        <v>488</v>
      </c>
      <c r="C246" s="9" t="s">
        <v>489</v>
      </c>
      <c r="D246" s="10">
        <v>2011</v>
      </c>
      <c r="E246" s="3">
        <v>161</v>
      </c>
      <c r="F246" s="3">
        <v>8.1</v>
      </c>
      <c r="G246" s="4">
        <v>190877</v>
      </c>
      <c r="H246" s="57">
        <v>2011</v>
      </c>
      <c r="I246" s="55"/>
      <c r="J246" s="61" t="s">
        <v>464</v>
      </c>
      <c r="L246" s="101" t="s">
        <v>248</v>
      </c>
      <c r="M246" s="101" t="s">
        <v>794</v>
      </c>
    </row>
    <row r="247" spans="2:13" x14ac:dyDescent="0.25">
      <c r="B247" s="2" t="s">
        <v>490</v>
      </c>
      <c r="C247" s="9" t="s">
        <v>491</v>
      </c>
      <c r="D247" s="10">
        <v>2012</v>
      </c>
      <c r="E247" s="3">
        <v>55</v>
      </c>
      <c r="F247" s="3">
        <v>8.4</v>
      </c>
      <c r="G247" s="4">
        <v>450505</v>
      </c>
      <c r="H247" s="57">
        <v>2012</v>
      </c>
      <c r="I247" s="55"/>
      <c r="J247" s="61" t="s">
        <v>420</v>
      </c>
      <c r="L247" s="101" t="s">
        <v>282</v>
      </c>
      <c r="M247" s="101" t="s">
        <v>795</v>
      </c>
    </row>
    <row r="248" spans="2:13" x14ac:dyDescent="0.25">
      <c r="B248" s="2" t="s">
        <v>492</v>
      </c>
      <c r="C248" s="9" t="s">
        <v>493</v>
      </c>
      <c r="D248" s="10">
        <v>2012</v>
      </c>
      <c r="E248" s="3">
        <v>219</v>
      </c>
      <c r="F248" s="3">
        <v>8</v>
      </c>
      <c r="G248" s="4">
        <v>246325</v>
      </c>
      <c r="H248" s="57">
        <v>2012</v>
      </c>
      <c r="I248" s="55"/>
      <c r="J248" s="61" t="s">
        <v>114</v>
      </c>
      <c r="L248" s="101" t="s">
        <v>310</v>
      </c>
      <c r="M248" s="101" t="s">
        <v>796</v>
      </c>
    </row>
    <row r="249" spans="2:13" x14ac:dyDescent="0.25">
      <c r="B249" s="2" t="s">
        <v>494</v>
      </c>
      <c r="C249" s="9" t="s">
        <v>495</v>
      </c>
      <c r="D249" s="10">
        <v>2012</v>
      </c>
      <c r="E249" s="3">
        <v>168</v>
      </c>
      <c r="F249" s="3">
        <v>8.1</v>
      </c>
      <c r="G249" s="4">
        <v>568037</v>
      </c>
      <c r="H249" s="57">
        <v>2012</v>
      </c>
      <c r="I249" s="55"/>
      <c r="J249" s="61" t="s">
        <v>450</v>
      </c>
      <c r="L249" s="101" t="s">
        <v>24</v>
      </c>
      <c r="M249" s="101" t="s">
        <v>797</v>
      </c>
    </row>
    <row r="250" spans="2:13" x14ac:dyDescent="0.25">
      <c r="B250" s="2" t="s">
        <v>496</v>
      </c>
      <c r="C250" s="9" t="s">
        <v>497</v>
      </c>
      <c r="D250" s="10">
        <v>2012</v>
      </c>
      <c r="E250" s="3">
        <v>58</v>
      </c>
      <c r="F250" s="3">
        <v>8.4</v>
      </c>
      <c r="G250" s="4">
        <v>672751</v>
      </c>
      <c r="H250" s="57">
        <v>2012</v>
      </c>
      <c r="I250" s="55"/>
      <c r="J250" s="61" t="s">
        <v>488</v>
      </c>
      <c r="L250" s="101" t="s">
        <v>398</v>
      </c>
      <c r="M250" s="101" t="s">
        <v>798</v>
      </c>
    </row>
    <row r="251" spans="2:13" x14ac:dyDescent="0.25">
      <c r="B251" s="2" t="s">
        <v>498</v>
      </c>
      <c r="C251" s="9" t="s">
        <v>499</v>
      </c>
      <c r="D251" s="10">
        <v>2012</v>
      </c>
      <c r="E251" s="3">
        <v>233</v>
      </c>
      <c r="F251" s="3">
        <v>8</v>
      </c>
      <c r="G251" s="4">
        <v>352517</v>
      </c>
      <c r="H251" s="57">
        <v>2012</v>
      </c>
      <c r="I251" s="55"/>
      <c r="J251" s="61" t="s">
        <v>158</v>
      </c>
      <c r="L251" s="101" t="s">
        <v>162</v>
      </c>
      <c r="M251" s="101" t="s">
        <v>799</v>
      </c>
    </row>
    <row r="252" spans="2:13" x14ac:dyDescent="0.25">
      <c r="B252" s="2" t="s">
        <v>500</v>
      </c>
      <c r="C252" s="9" t="s">
        <v>501</v>
      </c>
      <c r="D252" s="10">
        <v>2012</v>
      </c>
      <c r="E252" s="3">
        <v>160</v>
      </c>
      <c r="F252" s="3">
        <v>8.1</v>
      </c>
      <c r="G252" s="4">
        <v>39033</v>
      </c>
      <c r="H252" s="57">
        <v>2012</v>
      </c>
      <c r="I252" s="55"/>
      <c r="J252" s="61" t="s">
        <v>108</v>
      </c>
      <c r="L252" s="101" t="s">
        <v>44</v>
      </c>
      <c r="M252" s="101" t="s">
        <v>800</v>
      </c>
    </row>
    <row r="253" spans="2:13" x14ac:dyDescent="0.25">
      <c r="B253" s="2" t="s">
        <v>502</v>
      </c>
      <c r="C253" s="9" t="s">
        <v>503</v>
      </c>
      <c r="D253" s="10">
        <v>2013</v>
      </c>
      <c r="E253" s="3">
        <v>43</v>
      </c>
      <c r="F253" s="3">
        <v>8.5</v>
      </c>
      <c r="G253" s="4">
        <v>33721</v>
      </c>
      <c r="H253" s="57">
        <v>2013</v>
      </c>
      <c r="I253" s="55"/>
      <c r="J253" s="61" t="s">
        <v>110</v>
      </c>
      <c r="L253" s="101" t="s">
        <v>312</v>
      </c>
      <c r="M253" s="101" t="s">
        <v>801</v>
      </c>
    </row>
    <row r="254" spans="2:13" x14ac:dyDescent="0.25">
      <c r="B254" s="2" t="s">
        <v>504</v>
      </c>
      <c r="C254" s="9" t="s">
        <v>505</v>
      </c>
      <c r="D254" s="10">
        <v>2013</v>
      </c>
      <c r="E254" s="3">
        <v>196</v>
      </c>
      <c r="F254" s="3">
        <v>8</v>
      </c>
      <c r="G254" s="4">
        <v>28676</v>
      </c>
      <c r="H254" s="57">
        <v>2013</v>
      </c>
      <c r="I254" s="55"/>
      <c r="J254" s="61" t="s">
        <v>134</v>
      </c>
      <c r="L254" s="101" t="s">
        <v>182</v>
      </c>
      <c r="M254" s="101" t="s">
        <v>802</v>
      </c>
    </row>
  </sheetData>
  <sortState ref="J5:J254">
    <sortCondition ref="J4"/>
  </sortState>
  <conditionalFormatting sqref="O5:O89">
    <cfRule type="expression" dxfId="0" priority="1">
      <formula>(COUNTIF(MyMovies,O5)=0)*(O5&lt;&gt;"")</formula>
    </cfRule>
  </conditionalFormatting>
  <hyperlinks>
    <hyperlink ref="O1" r:id="rId1"/>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L35"/>
  <sheetViews>
    <sheetView workbookViewId="0">
      <selection activeCell="G22" sqref="G22"/>
    </sheetView>
  </sheetViews>
  <sheetFormatPr defaultRowHeight="15" x14ac:dyDescent="0.25"/>
  <cols>
    <col min="1" max="1" width="32.85546875" bestFit="1" customWidth="1"/>
    <col min="2" max="2" width="17.7109375" bestFit="1" customWidth="1"/>
    <col min="3" max="3" width="14.85546875" bestFit="1" customWidth="1"/>
    <col min="4" max="4" width="16.7109375" customWidth="1"/>
    <col min="5" max="5" width="16.5703125" customWidth="1"/>
    <col min="6" max="6" width="18.140625" customWidth="1"/>
    <col min="7" max="7" width="19" customWidth="1"/>
    <col min="8" max="8" width="12.28515625" customWidth="1"/>
    <col min="10" max="10" width="14.140625" customWidth="1"/>
  </cols>
  <sheetData>
    <row r="1" spans="1:12" x14ac:dyDescent="0.25">
      <c r="A1" s="5" t="s">
        <v>2</v>
      </c>
      <c r="B1" t="s">
        <v>510</v>
      </c>
      <c r="E1" s="13" t="s">
        <v>511</v>
      </c>
      <c r="F1" s="13" t="s">
        <v>512</v>
      </c>
      <c r="G1" s="13" t="s">
        <v>513</v>
      </c>
      <c r="H1" s="13" t="s">
        <v>5</v>
      </c>
      <c r="I1" s="13" t="s">
        <v>4</v>
      </c>
      <c r="J1" s="13" t="s">
        <v>520</v>
      </c>
      <c r="K1" s="13" t="s">
        <v>534</v>
      </c>
      <c r="L1" s="13" t="s">
        <v>535</v>
      </c>
    </row>
    <row r="2" spans="1:12" x14ac:dyDescent="0.25">
      <c r="E2" s="12">
        <f>+GETPIVOTDATA("Min of Rank",$A$3)</f>
        <v>7</v>
      </c>
      <c r="F2" s="12">
        <f>+GETPIVOTDATA("Count of Movie",$A$3)</f>
        <v>31</v>
      </c>
      <c r="G2" s="12" t="str">
        <f ca="1">OFFSET(Data!$E$4,MATCH(E2,MyRank,0),-3)</f>
        <v>12 Angry Men (1957)</v>
      </c>
      <c r="H2" s="14">
        <f ca="1">VLOOKUP($G$2,MyData,6,FALSE)</f>
        <v>264112</v>
      </c>
      <c r="I2" s="12">
        <f ca="1">VLOOKUP($G$2,MyData,5,FALSE)</f>
        <v>8.9</v>
      </c>
      <c r="J2" s="12">
        <f>+GETPIVOTDATA("Average of Rating",$A$3)</f>
        <v>8.241935483870968</v>
      </c>
      <c r="K2">
        <f>+GETPIVOTDATA("Min of Help_date",$A$3)</f>
        <v>1950</v>
      </c>
      <c r="L2">
        <f>+GETPIVOTDATA("Max of Help_date",$A$3)</f>
        <v>1959</v>
      </c>
    </row>
    <row r="3" spans="1:12" x14ac:dyDescent="0.25">
      <c r="A3" s="5" t="s">
        <v>506</v>
      </c>
      <c r="B3" t="s">
        <v>509</v>
      </c>
      <c r="C3" t="s">
        <v>508</v>
      </c>
      <c r="D3" t="s">
        <v>521</v>
      </c>
      <c r="E3" s="56" t="s">
        <v>532</v>
      </c>
      <c r="F3" t="s">
        <v>533</v>
      </c>
    </row>
    <row r="4" spans="1:12" x14ac:dyDescent="0.25">
      <c r="A4" s="6" t="s">
        <v>100</v>
      </c>
      <c r="B4" s="7">
        <v>7</v>
      </c>
      <c r="C4" s="7">
        <v>1</v>
      </c>
      <c r="D4" s="7">
        <v>8.9</v>
      </c>
      <c r="E4" s="58">
        <v>1957</v>
      </c>
      <c r="F4" s="7">
        <v>1957</v>
      </c>
    </row>
    <row r="5" spans="1:12" x14ac:dyDescent="0.25">
      <c r="A5" s="6" t="s">
        <v>70</v>
      </c>
      <c r="B5" s="7">
        <v>227</v>
      </c>
      <c r="C5" s="7">
        <v>1</v>
      </c>
      <c r="D5" s="7">
        <v>8</v>
      </c>
      <c r="E5" s="58">
        <v>1951</v>
      </c>
      <c r="F5" s="7">
        <v>1951</v>
      </c>
    </row>
    <row r="6" spans="1:12" x14ac:dyDescent="0.25">
      <c r="A6" s="6" t="s">
        <v>64</v>
      </c>
      <c r="B6" s="7">
        <v>92</v>
      </c>
      <c r="C6" s="7">
        <v>1</v>
      </c>
      <c r="D6" s="7">
        <v>8.3000000000000007</v>
      </c>
      <c r="E6" s="58">
        <v>1950</v>
      </c>
      <c r="F6" s="7">
        <v>1950</v>
      </c>
    </row>
    <row r="7" spans="1:12" x14ac:dyDescent="0.25">
      <c r="A7" s="6" t="s">
        <v>116</v>
      </c>
      <c r="B7" s="7">
        <v>203</v>
      </c>
      <c r="C7" s="7">
        <v>1</v>
      </c>
      <c r="D7" s="7">
        <v>8</v>
      </c>
      <c r="E7" s="58">
        <v>1959</v>
      </c>
      <c r="F7" s="7">
        <v>1959</v>
      </c>
    </row>
    <row r="8" spans="1:12" x14ac:dyDescent="0.25">
      <c r="A8" s="6" t="s">
        <v>118</v>
      </c>
      <c r="B8" s="7">
        <v>177</v>
      </c>
      <c r="C8" s="7">
        <v>1</v>
      </c>
      <c r="D8" s="7">
        <v>8.1</v>
      </c>
      <c r="E8" s="58">
        <v>1959</v>
      </c>
      <c r="F8" s="7">
        <v>1959</v>
      </c>
    </row>
    <row r="9" spans="1:12" x14ac:dyDescent="0.25">
      <c r="A9" s="6" t="s">
        <v>94</v>
      </c>
      <c r="B9" s="7">
        <v>139</v>
      </c>
      <c r="C9" s="7">
        <v>1</v>
      </c>
      <c r="D9" s="7">
        <v>8.1</v>
      </c>
      <c r="E9" s="58">
        <v>1955</v>
      </c>
      <c r="F9" s="7">
        <v>1955</v>
      </c>
    </row>
    <row r="10" spans="1:12" x14ac:dyDescent="0.25">
      <c r="A10" s="6" t="s">
        <v>84</v>
      </c>
      <c r="B10" s="7">
        <v>167</v>
      </c>
      <c r="C10" s="7">
        <v>1</v>
      </c>
      <c r="D10" s="7">
        <v>8.1</v>
      </c>
      <c r="E10" s="58">
        <v>1954</v>
      </c>
      <c r="F10" s="7">
        <v>1954</v>
      </c>
    </row>
    <row r="11" spans="1:12" x14ac:dyDescent="0.25">
      <c r="A11" s="6" t="s">
        <v>74</v>
      </c>
      <c r="B11" s="7">
        <v>157</v>
      </c>
      <c r="C11" s="7">
        <v>1</v>
      </c>
      <c r="D11" s="7">
        <v>8.1</v>
      </c>
      <c r="E11" s="58">
        <v>1952</v>
      </c>
      <c r="F11" s="7">
        <v>1952</v>
      </c>
    </row>
    <row r="12" spans="1:12" x14ac:dyDescent="0.25">
      <c r="A12" s="6" t="s">
        <v>76</v>
      </c>
      <c r="B12" s="7">
        <v>129</v>
      </c>
      <c r="C12" s="7">
        <v>1</v>
      </c>
      <c r="D12" s="7">
        <v>8.1999999999999993</v>
      </c>
      <c r="E12" s="58">
        <v>1952</v>
      </c>
      <c r="F12" s="7">
        <v>1952</v>
      </c>
    </row>
    <row r="13" spans="1:12" x14ac:dyDescent="0.25">
      <c r="A13" s="6" t="s">
        <v>86</v>
      </c>
      <c r="B13" s="7">
        <v>202</v>
      </c>
      <c r="C13" s="7">
        <v>1</v>
      </c>
      <c r="D13" s="7">
        <v>8</v>
      </c>
      <c r="E13" s="58">
        <v>1954</v>
      </c>
      <c r="F13" s="7">
        <v>1954</v>
      </c>
    </row>
    <row r="14" spans="1:12" x14ac:dyDescent="0.25">
      <c r="A14" s="6" t="s">
        <v>120</v>
      </c>
      <c r="B14" s="7">
        <v>44</v>
      </c>
      <c r="C14" s="7">
        <v>1</v>
      </c>
      <c r="D14" s="7">
        <v>8.5</v>
      </c>
      <c r="E14" s="58">
        <v>1959</v>
      </c>
      <c r="F14" s="7">
        <v>1959</v>
      </c>
    </row>
    <row r="15" spans="1:12" x14ac:dyDescent="0.25">
      <c r="A15" s="6" t="s">
        <v>88</v>
      </c>
      <c r="B15" s="7">
        <v>114</v>
      </c>
      <c r="C15" s="7">
        <v>1</v>
      </c>
      <c r="D15" s="7">
        <v>8.1999999999999993</v>
      </c>
      <c r="E15" s="58">
        <v>1954</v>
      </c>
      <c r="F15" s="7">
        <v>1954</v>
      </c>
    </row>
    <row r="16" spans="1:12" x14ac:dyDescent="0.25">
      <c r="A16" s="6" t="s">
        <v>102</v>
      </c>
      <c r="B16" s="7">
        <v>52</v>
      </c>
      <c r="C16" s="7">
        <v>1</v>
      </c>
      <c r="D16" s="7">
        <v>8.4</v>
      </c>
      <c r="E16" s="58">
        <v>1957</v>
      </c>
      <c r="F16" s="7">
        <v>1957</v>
      </c>
    </row>
    <row r="17" spans="1:6" x14ac:dyDescent="0.25">
      <c r="A17" s="6" t="s">
        <v>66</v>
      </c>
      <c r="B17" s="7">
        <v>89</v>
      </c>
      <c r="C17" s="7">
        <v>1</v>
      </c>
      <c r="D17" s="7">
        <v>8.3000000000000007</v>
      </c>
      <c r="E17" s="58">
        <v>1950</v>
      </c>
      <c r="F17" s="7">
        <v>1950</v>
      </c>
    </row>
    <row r="18" spans="1:6" x14ac:dyDescent="0.25">
      <c r="A18" s="6" t="s">
        <v>90</v>
      </c>
      <c r="B18" s="7">
        <v>28</v>
      </c>
      <c r="C18" s="7">
        <v>1</v>
      </c>
      <c r="D18" s="7">
        <v>8.6</v>
      </c>
      <c r="E18" s="58">
        <v>1954</v>
      </c>
      <c r="F18" s="7">
        <v>1954</v>
      </c>
    </row>
    <row r="19" spans="1:6" x14ac:dyDescent="0.25">
      <c r="A19" s="6" t="s">
        <v>80</v>
      </c>
      <c r="B19" s="7">
        <v>218</v>
      </c>
      <c r="C19" s="7">
        <v>1</v>
      </c>
      <c r="D19" s="7">
        <v>8</v>
      </c>
      <c r="E19" s="58">
        <v>1953</v>
      </c>
      <c r="F19" s="7">
        <v>1953</v>
      </c>
    </row>
    <row r="20" spans="1:6" x14ac:dyDescent="0.25">
      <c r="A20" s="6" t="s">
        <v>92</v>
      </c>
      <c r="B20" s="7">
        <v>15</v>
      </c>
      <c r="C20" s="7">
        <v>1</v>
      </c>
      <c r="D20" s="7">
        <v>8.6999999999999993</v>
      </c>
      <c r="E20" s="58">
        <v>1954</v>
      </c>
      <c r="F20" s="7">
        <v>1954</v>
      </c>
    </row>
    <row r="21" spans="1:6" x14ac:dyDescent="0.25">
      <c r="A21" s="6" t="s">
        <v>78</v>
      </c>
      <c r="B21" s="7">
        <v>86</v>
      </c>
      <c r="C21" s="7">
        <v>1</v>
      </c>
      <c r="D21" s="7">
        <v>8.3000000000000007</v>
      </c>
      <c r="E21" s="58">
        <v>1952</v>
      </c>
      <c r="F21" s="7">
        <v>1952</v>
      </c>
    </row>
    <row r="22" spans="1:6" x14ac:dyDescent="0.25">
      <c r="A22" s="6" t="s">
        <v>122</v>
      </c>
      <c r="B22" s="7">
        <v>90</v>
      </c>
      <c r="C22" s="7">
        <v>1</v>
      </c>
      <c r="D22" s="7">
        <v>8.3000000000000007</v>
      </c>
      <c r="E22" s="58">
        <v>1959</v>
      </c>
      <c r="F22" s="7">
        <v>1959</v>
      </c>
    </row>
    <row r="23" spans="1:6" x14ac:dyDescent="0.25">
      <c r="A23" s="6" t="s">
        <v>82</v>
      </c>
      <c r="B23" s="7">
        <v>210</v>
      </c>
      <c r="C23" s="7">
        <v>1</v>
      </c>
      <c r="D23" s="7">
        <v>8</v>
      </c>
      <c r="E23" s="58">
        <v>1953</v>
      </c>
      <c r="F23" s="7">
        <v>1953</v>
      </c>
    </row>
    <row r="24" spans="1:6" x14ac:dyDescent="0.25">
      <c r="A24" s="6" t="s">
        <v>72</v>
      </c>
      <c r="B24" s="7">
        <v>145</v>
      </c>
      <c r="C24" s="7">
        <v>1</v>
      </c>
      <c r="D24" s="7">
        <v>8.1</v>
      </c>
      <c r="E24" s="58">
        <v>1951</v>
      </c>
      <c r="F24" s="7">
        <v>1951</v>
      </c>
    </row>
    <row r="25" spans="1:6" x14ac:dyDescent="0.25">
      <c r="A25" s="6" t="s">
        <v>68</v>
      </c>
      <c r="B25" s="7">
        <v>32</v>
      </c>
      <c r="C25" s="7">
        <v>1</v>
      </c>
      <c r="D25" s="7">
        <v>8.5</v>
      </c>
      <c r="E25" s="58">
        <v>1950</v>
      </c>
      <c r="F25" s="7">
        <v>1950</v>
      </c>
    </row>
    <row r="26" spans="1:6" x14ac:dyDescent="0.25">
      <c r="A26" s="6" t="s">
        <v>124</v>
      </c>
      <c r="B26" s="7">
        <v>182</v>
      </c>
      <c r="C26" s="7">
        <v>1</v>
      </c>
      <c r="D26" s="7">
        <v>8.1</v>
      </c>
      <c r="E26" s="58">
        <v>1959</v>
      </c>
      <c r="F26" s="7">
        <v>1959</v>
      </c>
    </row>
    <row r="27" spans="1:6" x14ac:dyDescent="0.25">
      <c r="A27" s="6" t="s">
        <v>104</v>
      </c>
      <c r="B27" s="7">
        <v>104</v>
      </c>
      <c r="C27" s="7">
        <v>1</v>
      </c>
      <c r="D27" s="7">
        <v>8.3000000000000007</v>
      </c>
      <c r="E27" s="58">
        <v>1957</v>
      </c>
      <c r="F27" s="7">
        <v>1957</v>
      </c>
    </row>
    <row r="28" spans="1:6" x14ac:dyDescent="0.25">
      <c r="A28" s="6" t="s">
        <v>98</v>
      </c>
      <c r="B28" s="7">
        <v>194</v>
      </c>
      <c r="C28" s="7">
        <v>1</v>
      </c>
      <c r="D28" s="7">
        <v>8</v>
      </c>
      <c r="E28" s="58">
        <v>1956</v>
      </c>
      <c r="F28" s="7">
        <v>1956</v>
      </c>
    </row>
    <row r="29" spans="1:6" x14ac:dyDescent="0.25">
      <c r="A29" s="6" t="s">
        <v>96</v>
      </c>
      <c r="B29" s="7">
        <v>178</v>
      </c>
      <c r="C29" s="7">
        <v>1</v>
      </c>
      <c r="D29" s="7">
        <v>8.1</v>
      </c>
      <c r="E29" s="58">
        <v>1955</v>
      </c>
      <c r="F29" s="7">
        <v>1955</v>
      </c>
    </row>
    <row r="30" spans="1:6" x14ac:dyDescent="0.25">
      <c r="A30" s="6" t="s">
        <v>106</v>
      </c>
      <c r="B30" s="7">
        <v>120</v>
      </c>
      <c r="C30" s="7">
        <v>1</v>
      </c>
      <c r="D30" s="7">
        <v>8.1999999999999993</v>
      </c>
      <c r="E30" s="58">
        <v>1957</v>
      </c>
      <c r="F30" s="7">
        <v>1957</v>
      </c>
    </row>
    <row r="31" spans="1:6" x14ac:dyDescent="0.25">
      <c r="A31" s="6" t="s">
        <v>112</v>
      </c>
      <c r="B31" s="7">
        <v>133</v>
      </c>
      <c r="C31" s="7">
        <v>1</v>
      </c>
      <c r="D31" s="7">
        <v>8.1999999999999993</v>
      </c>
      <c r="E31" s="58">
        <v>1958</v>
      </c>
      <c r="F31" s="7">
        <v>1958</v>
      </c>
    </row>
    <row r="32" spans="1:6" x14ac:dyDescent="0.25">
      <c r="A32" s="6" t="s">
        <v>114</v>
      </c>
      <c r="B32" s="7">
        <v>53</v>
      </c>
      <c r="C32" s="7">
        <v>1</v>
      </c>
      <c r="D32" s="7">
        <v>8.4</v>
      </c>
      <c r="E32" s="58">
        <v>1958</v>
      </c>
      <c r="F32" s="7">
        <v>1958</v>
      </c>
    </row>
    <row r="33" spans="1:6" x14ac:dyDescent="0.25">
      <c r="A33" s="6" t="s">
        <v>108</v>
      </c>
      <c r="B33" s="7">
        <v>126</v>
      </c>
      <c r="C33" s="7">
        <v>1</v>
      </c>
      <c r="D33" s="7">
        <v>8.1999999999999993</v>
      </c>
      <c r="E33" s="58">
        <v>1957</v>
      </c>
      <c r="F33" s="7">
        <v>1957</v>
      </c>
    </row>
    <row r="34" spans="1:6" x14ac:dyDescent="0.25">
      <c r="A34" s="6" t="s">
        <v>110</v>
      </c>
      <c r="B34" s="7">
        <v>97</v>
      </c>
      <c r="C34" s="7">
        <v>1</v>
      </c>
      <c r="D34" s="7">
        <v>8.3000000000000007</v>
      </c>
      <c r="E34" s="58">
        <v>1957</v>
      </c>
      <c r="F34" s="7">
        <v>1957</v>
      </c>
    </row>
    <row r="35" spans="1:6" x14ac:dyDescent="0.25">
      <c r="A35" s="6" t="s">
        <v>507</v>
      </c>
      <c r="B35" s="7">
        <v>7</v>
      </c>
      <c r="C35" s="7">
        <v>31</v>
      </c>
      <c r="D35" s="7">
        <v>8.241935483870968</v>
      </c>
      <c r="E35" s="58">
        <v>1950</v>
      </c>
      <c r="F35" s="7">
        <v>1959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dimension ref="A1:T69"/>
  <sheetViews>
    <sheetView showGridLines="0" tabSelected="1" zoomScaleNormal="100" workbookViewId="0">
      <selection activeCell="P1" sqref="P1:T1"/>
    </sheetView>
  </sheetViews>
  <sheetFormatPr defaultColWidth="0" defaultRowHeight="15" zeroHeight="1" x14ac:dyDescent="0.25"/>
  <cols>
    <col min="1" max="1" width="2" customWidth="1"/>
    <col min="2" max="2" width="9.140625" customWidth="1"/>
    <col min="3" max="3" width="6.85546875" bestFit="1" customWidth="1"/>
    <col min="4" max="4" width="8" bestFit="1" customWidth="1"/>
    <col min="5" max="5" width="43.7109375" bestFit="1" customWidth="1"/>
    <col min="6" max="7" width="1.28515625" customWidth="1"/>
    <col min="8" max="9" width="9.140625" customWidth="1"/>
    <col min="10" max="10" width="6.28515625" bestFit="1" customWidth="1"/>
    <col min="11" max="11" width="9.85546875" bestFit="1" customWidth="1"/>
    <col min="12" max="12" width="9.140625" customWidth="1"/>
    <col min="13" max="13" width="13.42578125" customWidth="1"/>
    <col min="14" max="14" width="5.7109375" customWidth="1"/>
    <col min="15" max="15" width="11.42578125" customWidth="1"/>
    <col min="16" max="16" width="1" customWidth="1"/>
    <col min="17" max="20" width="9.140625" customWidth="1"/>
    <col min="21" max="16384" width="9.140625" hidden="1"/>
  </cols>
  <sheetData>
    <row r="1" spans="2:20" ht="18.75" customHeight="1" x14ac:dyDescent="0.3">
      <c r="C1" s="107" t="s">
        <v>544</v>
      </c>
      <c r="D1" s="107"/>
      <c r="E1" s="107"/>
      <c r="F1" s="107"/>
      <c r="G1" s="107"/>
      <c r="H1" s="107"/>
      <c r="I1" s="107"/>
      <c r="J1" s="107"/>
      <c r="K1" s="107"/>
      <c r="L1" s="107"/>
      <c r="M1" s="107"/>
      <c r="N1" s="107"/>
      <c r="O1" s="107"/>
      <c r="P1" s="121" t="s">
        <v>855</v>
      </c>
      <c r="Q1" s="121"/>
      <c r="R1" s="121"/>
      <c r="S1" s="121"/>
      <c r="T1" s="121"/>
    </row>
    <row r="2" spans="2:20" ht="7.5" customHeight="1" thickBot="1" x14ac:dyDescent="0.3"/>
    <row r="3" spans="2:20" ht="15.75" thickBot="1" x14ac:dyDescent="0.3">
      <c r="B3" s="20"/>
      <c r="C3" s="21"/>
      <c r="D3" s="21"/>
      <c r="E3" s="22" t="s">
        <v>514</v>
      </c>
      <c r="F3" s="23"/>
      <c r="H3" s="112" t="str">
        <f>+Odom!C19</f>
        <v>Psycho (1960)</v>
      </c>
      <c r="I3" s="113"/>
      <c r="J3" s="113"/>
      <c r="K3" s="113"/>
      <c r="L3" s="113"/>
      <c r="M3" s="21"/>
      <c r="N3" s="21"/>
      <c r="O3" s="23"/>
      <c r="Q3" s="20"/>
      <c r="R3" s="21"/>
      <c r="S3" s="21"/>
      <c r="T3" s="23"/>
    </row>
    <row r="4" spans="2:20" ht="21.75" thickBot="1" x14ac:dyDescent="0.4">
      <c r="B4" s="24"/>
      <c r="C4" s="18"/>
      <c r="D4" s="18"/>
      <c r="E4" s="106" t="str">
        <f ca="1">+'Pivot 1'!G2</f>
        <v>12 Angry Men (1957)</v>
      </c>
      <c r="F4" s="25"/>
      <c r="H4" s="24"/>
      <c r="I4" s="18"/>
      <c r="J4" s="19"/>
      <c r="K4" s="18"/>
      <c r="L4" s="18"/>
      <c r="M4" s="114" t="s">
        <v>540</v>
      </c>
      <c r="N4" s="114"/>
      <c r="O4" s="115"/>
      <c r="Q4" s="108" t="s">
        <v>528</v>
      </c>
      <c r="R4" s="109"/>
      <c r="S4" s="109"/>
      <c r="T4" s="110"/>
    </row>
    <row r="5" spans="2:20" ht="15.75" thickBot="1" x14ac:dyDescent="0.3">
      <c r="B5" s="24"/>
      <c r="C5" s="18"/>
      <c r="D5" s="18"/>
      <c r="E5" s="16" t="s">
        <v>515</v>
      </c>
      <c r="F5" s="25"/>
      <c r="H5" s="24"/>
      <c r="I5" s="18"/>
      <c r="J5" s="18"/>
      <c r="K5" s="18"/>
      <c r="L5" s="18"/>
      <c r="M5" s="18"/>
      <c r="N5" s="18"/>
      <c r="O5" s="25"/>
      <c r="Q5" s="24"/>
      <c r="R5" s="18"/>
      <c r="S5" s="18"/>
      <c r="T5" s="25"/>
    </row>
    <row r="6" spans="2:20" ht="15.75" thickBot="1" x14ac:dyDescent="0.3">
      <c r="B6" s="24"/>
      <c r="C6" s="18"/>
      <c r="D6" s="18"/>
      <c r="E6" s="76">
        <f>+'Pivot 1'!E2</f>
        <v>7</v>
      </c>
      <c r="F6" s="25"/>
      <c r="H6" s="24"/>
      <c r="I6" s="18"/>
      <c r="J6" s="18"/>
      <c r="K6" s="18"/>
      <c r="L6" s="18"/>
      <c r="M6" s="18"/>
      <c r="N6" s="18"/>
      <c r="O6" s="25"/>
      <c r="Q6" s="24"/>
      <c r="R6" s="18"/>
      <c r="S6" s="18"/>
      <c r="T6" s="25"/>
    </row>
    <row r="7" spans="2:20" ht="15.75" thickBot="1" x14ac:dyDescent="0.3">
      <c r="B7" s="24"/>
      <c r="C7" s="18"/>
      <c r="D7" s="18"/>
      <c r="E7" s="15" t="s">
        <v>516</v>
      </c>
      <c r="F7" s="25"/>
      <c r="H7" s="24"/>
      <c r="I7" s="18"/>
      <c r="J7" s="18"/>
      <c r="K7" s="18"/>
      <c r="L7" s="18"/>
      <c r="M7" s="18"/>
      <c r="N7" s="18"/>
      <c r="O7" s="25"/>
      <c r="Q7" s="24"/>
      <c r="R7" s="18"/>
      <c r="S7" s="18"/>
      <c r="T7" s="25"/>
    </row>
    <row r="8" spans="2:20" ht="19.5" thickBot="1" x14ac:dyDescent="0.35">
      <c r="B8" s="24"/>
      <c r="C8" s="18"/>
      <c r="D8" s="18"/>
      <c r="E8" s="77">
        <f ca="1">+'Pivot 1'!H2</f>
        <v>264112</v>
      </c>
      <c r="F8" s="25"/>
      <c r="H8" s="24"/>
      <c r="I8" s="18"/>
      <c r="J8" s="18"/>
      <c r="K8" s="18"/>
      <c r="L8" s="18"/>
      <c r="M8" s="72" t="s">
        <v>541</v>
      </c>
      <c r="N8" s="63">
        <f>+Odom!C21</f>
        <v>30</v>
      </c>
      <c r="O8" s="25"/>
      <c r="Q8" s="118" t="str">
        <f>HYPERLINK(Data!L3,Data!L2)</f>
        <v>Network (1976)</v>
      </c>
      <c r="R8" s="119"/>
      <c r="S8" s="119"/>
      <c r="T8" s="120"/>
    </row>
    <row r="9" spans="2:20" ht="15.75" thickBot="1" x14ac:dyDescent="0.3">
      <c r="B9" s="24"/>
      <c r="C9" s="18"/>
      <c r="D9" s="18"/>
      <c r="E9" s="17" t="s">
        <v>517</v>
      </c>
      <c r="F9" s="25"/>
      <c r="H9" s="26"/>
      <c r="I9" s="27"/>
      <c r="J9" s="27"/>
      <c r="K9" s="27"/>
      <c r="L9" s="27"/>
      <c r="M9" s="27"/>
      <c r="N9" s="27"/>
      <c r="O9" s="28"/>
      <c r="Q9" s="26"/>
      <c r="R9" s="27"/>
      <c r="S9" s="27"/>
      <c r="T9" s="28"/>
    </row>
    <row r="10" spans="2:20" ht="15.75" thickBot="1" x14ac:dyDescent="0.3">
      <c r="B10" s="24"/>
      <c r="C10" s="18"/>
      <c r="D10" s="18"/>
      <c r="E10" s="78">
        <f ca="1">+'Pivot 1'!I2</f>
        <v>8.9</v>
      </c>
      <c r="F10" s="25"/>
    </row>
    <row r="11" spans="2:20" ht="15.75" thickBot="1" x14ac:dyDescent="0.3">
      <c r="B11" s="24"/>
      <c r="C11" s="18"/>
      <c r="D11" s="18"/>
      <c r="E11" s="18" t="s">
        <v>518</v>
      </c>
      <c r="F11" s="25"/>
    </row>
    <row r="12" spans="2:20" ht="15.75" thickBot="1" x14ac:dyDescent="0.3">
      <c r="B12" s="24"/>
      <c r="C12" s="18"/>
      <c r="D12" s="18"/>
      <c r="E12" s="78">
        <f>+'Pivot 1'!J2</f>
        <v>8.241935483870968</v>
      </c>
      <c r="F12" s="25"/>
    </row>
    <row r="13" spans="2:20" ht="15.75" thickBot="1" x14ac:dyDescent="0.3">
      <c r="B13" s="24"/>
      <c r="C13" s="18"/>
      <c r="D13" s="18"/>
      <c r="E13" s="18" t="s">
        <v>519</v>
      </c>
      <c r="F13" s="25"/>
    </row>
    <row r="14" spans="2:20" ht="15.75" thickBot="1" x14ac:dyDescent="0.3">
      <c r="B14" s="24"/>
      <c r="C14" s="18"/>
      <c r="D14" s="18"/>
      <c r="E14" s="77">
        <f>+'Pivot 1'!F2</f>
        <v>31</v>
      </c>
      <c r="F14" s="25"/>
    </row>
    <row r="15" spans="2:20" ht="15.75" thickBot="1" x14ac:dyDescent="0.3">
      <c r="B15" s="24"/>
      <c r="C15" s="18"/>
      <c r="D15" s="18"/>
      <c r="E15" s="17" t="s">
        <v>536</v>
      </c>
      <c r="F15" s="25"/>
    </row>
    <row r="16" spans="2:20" ht="15.75" thickBot="1" x14ac:dyDescent="0.3">
      <c r="B16" s="24"/>
      <c r="C16" s="18"/>
      <c r="D16" s="18"/>
      <c r="E16" s="106" t="str">
        <f>"From "&amp;'Pivot 1'!K2&amp;" Through "&amp;'Pivot 1'!L2</f>
        <v>From 1950 Through 1959</v>
      </c>
      <c r="F16" s="25"/>
    </row>
    <row r="17" spans="2:12" ht="15.75" thickBot="1" x14ac:dyDescent="0.3">
      <c r="B17" s="26"/>
      <c r="C17" s="27"/>
      <c r="D17" s="27"/>
      <c r="E17" s="27"/>
      <c r="F17" s="28"/>
    </row>
    <row r="18" spans="2:12" ht="8.25" customHeight="1" x14ac:dyDescent="0.25"/>
    <row r="19" spans="2:12" x14ac:dyDescent="0.25">
      <c r="C19" s="68" t="s">
        <v>3</v>
      </c>
      <c r="D19" s="68" t="s">
        <v>4</v>
      </c>
      <c r="E19" s="116" t="s">
        <v>1</v>
      </c>
      <c r="F19" s="117"/>
      <c r="G19" s="117"/>
      <c r="H19" s="117"/>
      <c r="I19" s="117"/>
      <c r="J19" s="68" t="s">
        <v>543</v>
      </c>
      <c r="K19" s="68" t="s">
        <v>5</v>
      </c>
    </row>
    <row r="20" spans="2:12" x14ac:dyDescent="0.25">
      <c r="C20" s="73">
        <f>+Bins!A23</f>
        <v>50</v>
      </c>
      <c r="D20" s="74">
        <f ca="1">+Bins!B23</f>
        <v>8.4</v>
      </c>
      <c r="E20" s="111" t="str">
        <f ca="1">+Bins!D23</f>
        <v>The Shining</v>
      </c>
      <c r="F20" s="111"/>
      <c r="G20" s="111"/>
      <c r="H20" s="111"/>
      <c r="I20" s="111"/>
      <c r="J20" s="65">
        <f ca="1">+Bins!C23</f>
        <v>1980</v>
      </c>
      <c r="K20" s="75">
        <f ca="1">+Bins!F23</f>
        <v>380225</v>
      </c>
      <c r="L20" s="71"/>
    </row>
    <row r="21" spans="2:12" x14ac:dyDescent="0.25">
      <c r="C21" s="73">
        <f>+Bins!A24</f>
        <v>51</v>
      </c>
      <c r="D21" s="74">
        <f ca="1">+Bins!B24</f>
        <v>8.4</v>
      </c>
      <c r="E21" s="111" t="str">
        <f ca="1">+Bins!D24</f>
        <v>The Departed</v>
      </c>
      <c r="F21" s="111"/>
      <c r="G21" s="111"/>
      <c r="H21" s="111"/>
      <c r="I21" s="111"/>
      <c r="J21" s="65">
        <f ca="1">+Bins!C24</f>
        <v>2006</v>
      </c>
      <c r="K21" s="75">
        <f ca="1">+Bins!F24</f>
        <v>540726</v>
      </c>
      <c r="L21" s="71"/>
    </row>
    <row r="22" spans="2:12" x14ac:dyDescent="0.25">
      <c r="C22" s="73">
        <f>+Bins!A25</f>
        <v>52</v>
      </c>
      <c r="D22" s="74">
        <f ca="1">+Bins!B25</f>
        <v>8.4</v>
      </c>
      <c r="E22" s="111" t="str">
        <f ca="1">+Bins!D25</f>
        <v>Paths of Glory</v>
      </c>
      <c r="F22" s="111"/>
      <c r="G22" s="111"/>
      <c r="H22" s="111"/>
      <c r="I22" s="111"/>
      <c r="J22" s="65">
        <f ca="1">+Bins!C25</f>
        <v>1957</v>
      </c>
      <c r="K22" s="75">
        <f ca="1">+Bins!F25</f>
        <v>78867</v>
      </c>
      <c r="L22" s="71"/>
    </row>
    <row r="23" spans="2:12" x14ac:dyDescent="0.25">
      <c r="C23" s="73">
        <f>+Bins!A26</f>
        <v>53</v>
      </c>
      <c r="D23" s="74">
        <f ca="1">+Bins!B26</f>
        <v>8.4</v>
      </c>
      <c r="E23" s="111" t="str">
        <f ca="1">+Bins!D26</f>
        <v>Vertigo</v>
      </c>
      <c r="F23" s="111"/>
      <c r="G23" s="111"/>
      <c r="H23" s="111"/>
      <c r="I23" s="111"/>
      <c r="J23" s="65">
        <f ca="1">+Bins!C26</f>
        <v>1958</v>
      </c>
      <c r="K23" s="75">
        <f ca="1">+Bins!F26</f>
        <v>162865</v>
      </c>
      <c r="L23" s="71"/>
    </row>
    <row r="24" spans="2:12" x14ac:dyDescent="0.25">
      <c r="C24" s="73">
        <f>+Bins!A27</f>
        <v>54</v>
      </c>
      <c r="D24" s="74">
        <f ca="1">+Bins!B27</f>
        <v>8.4</v>
      </c>
      <c r="E24" s="111" t="str">
        <f ca="1">+Bins!D27</f>
        <v>American Beauty</v>
      </c>
      <c r="F24" s="111"/>
      <c r="G24" s="111"/>
      <c r="H24" s="111"/>
      <c r="I24" s="111"/>
      <c r="J24" s="65">
        <f ca="1">+Bins!C27</f>
        <v>1999</v>
      </c>
      <c r="K24" s="75">
        <f ca="1">+Bins!F27</f>
        <v>555796</v>
      </c>
      <c r="L24" s="71"/>
    </row>
    <row r="25" spans="2:12" x14ac:dyDescent="0.25">
      <c r="C25" s="73">
        <f>+Bins!A28</f>
        <v>55</v>
      </c>
      <c r="D25" s="74">
        <f ca="1">+Bins!B28</f>
        <v>8.4</v>
      </c>
      <c r="E25" s="111" t="str">
        <f ca="1">+Bins!D28</f>
        <v>Django Unchained</v>
      </c>
      <c r="F25" s="111"/>
      <c r="G25" s="111"/>
      <c r="H25" s="111"/>
      <c r="I25" s="111"/>
      <c r="J25" s="65">
        <f ca="1">+Bins!C28</f>
        <v>2012</v>
      </c>
      <c r="K25" s="75">
        <f ca="1">+Bins!F28</f>
        <v>450505</v>
      </c>
      <c r="L25" s="71"/>
    </row>
    <row r="26" spans="2:12" x14ac:dyDescent="0.25">
      <c r="C26" s="73">
        <f>+Bins!A29</f>
        <v>56</v>
      </c>
      <c r="D26" s="74">
        <f ca="1">+Bins!B29</f>
        <v>8.4</v>
      </c>
      <c r="E26" s="111" t="str">
        <f ca="1">+Bins!D29</f>
        <v>Double Indemnity</v>
      </c>
      <c r="F26" s="111"/>
      <c r="G26" s="111"/>
      <c r="H26" s="111"/>
      <c r="I26" s="111"/>
      <c r="J26" s="65">
        <f ca="1">+Bins!C29</f>
        <v>1944</v>
      </c>
      <c r="K26" s="75">
        <f ca="1">+Bins!F29</f>
        <v>66255</v>
      </c>
      <c r="L26" s="71"/>
    </row>
    <row r="27" spans="2:12" x14ac:dyDescent="0.25">
      <c r="C27" s="73">
        <f>+Bins!A30</f>
        <v>57</v>
      </c>
      <c r="D27" s="74">
        <f ca="1">+Bins!B30</f>
        <v>8.4</v>
      </c>
      <c r="E27" s="111" t="str">
        <f ca="1">+Bins!D30</f>
        <v>Taxi Driver</v>
      </c>
      <c r="F27" s="111"/>
      <c r="G27" s="111"/>
      <c r="H27" s="111"/>
      <c r="I27" s="111"/>
      <c r="J27" s="65">
        <f ca="1">+Bins!C30</f>
        <v>1976</v>
      </c>
      <c r="K27" s="75">
        <f ca="1">+Bins!F30</f>
        <v>321465</v>
      </c>
      <c r="L27" s="71"/>
    </row>
    <row r="28" spans="2:12" x14ac:dyDescent="0.25">
      <c r="C28" s="73">
        <f>+Bins!A31</f>
        <v>58</v>
      </c>
      <c r="D28" s="74">
        <f ca="1">+Bins!B31</f>
        <v>8.4</v>
      </c>
      <c r="E28" s="111" t="str">
        <f ca="1">+Bins!D31</f>
        <v>The Dark Knight Rises</v>
      </c>
      <c r="F28" s="111"/>
      <c r="G28" s="111"/>
      <c r="H28" s="111"/>
      <c r="I28" s="111"/>
      <c r="J28" s="65">
        <f ca="1">+Bins!C31</f>
        <v>2012</v>
      </c>
      <c r="K28" s="75">
        <f ca="1">+Bins!F31</f>
        <v>672751</v>
      </c>
      <c r="L28" s="71"/>
    </row>
    <row r="29" spans="2:12" x14ac:dyDescent="0.25">
      <c r="C29" s="73">
        <f>+Bins!A32</f>
        <v>59</v>
      </c>
      <c r="D29" s="74">
        <f ca="1">+Bins!B32</f>
        <v>8.4</v>
      </c>
      <c r="E29" s="111" t="str">
        <f ca="1">+Bins!D32</f>
        <v>Aliens</v>
      </c>
      <c r="F29" s="111"/>
      <c r="G29" s="111"/>
      <c r="H29" s="111"/>
      <c r="I29" s="111"/>
      <c r="J29" s="65">
        <f ca="1">+Bins!C32</f>
        <v>1986</v>
      </c>
      <c r="K29" s="75">
        <f ca="1">+Bins!F32</f>
        <v>325439</v>
      </c>
      <c r="L29" s="71"/>
    </row>
    <row r="30" spans="2:12" hidden="1" x14ac:dyDescent="0.25"/>
    <row r="31" spans="2:12" hidden="1" x14ac:dyDescent="0.25"/>
    <row r="32" spans="2:1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spans="3:3" hidden="1" x14ac:dyDescent="0.25"/>
    <row r="66" spans="3:3" hidden="1" x14ac:dyDescent="0.25"/>
    <row r="67" spans="3:3" hidden="1" x14ac:dyDescent="0.25"/>
    <row r="68" spans="3:3" hidden="1" x14ac:dyDescent="0.25"/>
    <row r="69" spans="3:3" hidden="1" x14ac:dyDescent="0.25">
      <c r="C69" t="s">
        <v>528</v>
      </c>
    </row>
  </sheetData>
  <mergeCells count="17">
    <mergeCell ref="P1:T1"/>
    <mergeCell ref="C1:O1"/>
    <mergeCell ref="Q4:T4"/>
    <mergeCell ref="E27:I27"/>
    <mergeCell ref="E28:I28"/>
    <mergeCell ref="E29:I29"/>
    <mergeCell ref="E22:I22"/>
    <mergeCell ref="E23:I23"/>
    <mergeCell ref="E24:I24"/>
    <mergeCell ref="E25:I25"/>
    <mergeCell ref="E26:I26"/>
    <mergeCell ref="H3:L3"/>
    <mergeCell ref="M4:O4"/>
    <mergeCell ref="E19:I19"/>
    <mergeCell ref="E20:I20"/>
    <mergeCell ref="E21:I21"/>
    <mergeCell ref="Q8:T8"/>
  </mergeCells>
  <hyperlinks>
    <hyperlink ref="P1" r:id="rId1"/>
  </hyperlinks>
  <pageMargins left="0.7" right="0.7" top="0.75" bottom="0.75" header="0.3" footer="0.3"/>
  <pageSetup orientation="portrait" r:id="rId2"/>
  <drawing r:id="rId3"/>
  <legacyDrawing r:id="rId4"/>
  <mc:AlternateContent xmlns:mc="http://schemas.openxmlformats.org/markup-compatibility/2006">
    <mc:Choice Requires="x14">
      <controls>
        <mc:AlternateContent xmlns:mc="http://schemas.openxmlformats.org/markup-compatibility/2006">
          <mc:Choice Requires="x14">
            <control shapeId="3074" r:id="rId5" name="Drop Down 2">
              <controlPr defaultSize="0" autoLine="0" autoPict="0">
                <anchor moveWithCells="1">
                  <from>
                    <xdr:col>12</xdr:col>
                    <xdr:colOff>419100</xdr:colOff>
                    <xdr:row>5</xdr:row>
                    <xdr:rowOff>47625</xdr:rowOff>
                  </from>
                  <to>
                    <xdr:col>14</xdr:col>
                    <xdr:colOff>504825</xdr:colOff>
                    <xdr:row>6</xdr:row>
                    <xdr:rowOff>57150</xdr:rowOff>
                  </to>
                </anchor>
              </controlPr>
            </control>
          </mc:Choice>
        </mc:AlternateContent>
        <mc:AlternateContent xmlns:mc="http://schemas.openxmlformats.org/markup-compatibility/2006">
          <mc:Choice Requires="x14">
            <control shapeId="3103" r:id="rId6" name="Scroll Bar 31">
              <controlPr defaultSize="0" autoPict="0">
                <anchor moveWithCells="1">
                  <from>
                    <xdr:col>1</xdr:col>
                    <xdr:colOff>47625</xdr:colOff>
                    <xdr:row>18</xdr:row>
                    <xdr:rowOff>28575</xdr:rowOff>
                  </from>
                  <to>
                    <xdr:col>1</xdr:col>
                    <xdr:colOff>371475</xdr:colOff>
                    <xdr:row>1048576</xdr:row>
                    <xdr:rowOff>19050</xdr:rowOff>
                  </to>
                </anchor>
              </controlPr>
            </control>
          </mc:Choice>
        </mc:AlternateContent>
        <mc:AlternateContent xmlns:mc="http://schemas.openxmlformats.org/markup-compatibility/2006">
          <mc:Choice Requires="x14">
            <control shapeId="3208" r:id="rId7" name="Drop Down 136">
              <controlPr defaultSize="0" autoLine="0" autoPict="0">
                <anchor moveWithCells="1">
                  <from>
                    <xdr:col>16</xdr:col>
                    <xdr:colOff>152400</xdr:colOff>
                    <xdr:row>4</xdr:row>
                    <xdr:rowOff>9525</xdr:rowOff>
                  </from>
                  <to>
                    <xdr:col>19</xdr:col>
                    <xdr:colOff>457200</xdr:colOff>
                    <xdr:row>5</xdr:row>
                    <xdr:rowOff>95250</xdr:rowOff>
                  </to>
                </anchor>
              </controlPr>
            </control>
          </mc:Choice>
        </mc:AlternateContent>
      </controls>
    </mc:Choice>
  </mc:AlternateContent>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Q25"/>
  <sheetViews>
    <sheetView showGridLines="0" workbookViewId="0">
      <selection activeCell="R12" sqref="R12"/>
    </sheetView>
  </sheetViews>
  <sheetFormatPr defaultRowHeight="15" x14ac:dyDescent="0.25"/>
  <sheetData>
    <row r="1" spans="1:17" ht="15.75" thickTop="1" x14ac:dyDescent="0.25">
      <c r="A1" s="29" t="s">
        <v>522</v>
      </c>
      <c r="B1" s="30" t="s">
        <v>523</v>
      </c>
      <c r="C1" s="30" t="s">
        <v>524</v>
      </c>
      <c r="D1" s="31" t="s">
        <v>525</v>
      </c>
      <c r="E1" s="30" t="s">
        <v>526</v>
      </c>
      <c r="F1" s="32" t="s">
        <v>527</v>
      </c>
      <c r="G1" s="33"/>
      <c r="H1" s="34" t="s">
        <v>528</v>
      </c>
      <c r="I1" s="35"/>
      <c r="J1" s="35"/>
      <c r="K1" s="35"/>
      <c r="L1" s="35"/>
      <c r="M1" s="35"/>
      <c r="N1" s="35"/>
      <c r="O1" s="35"/>
      <c r="P1" s="36"/>
      <c r="Q1" s="37" t="s">
        <v>528</v>
      </c>
    </row>
    <row r="2" spans="1:17" ht="19.5" x14ac:dyDescent="0.25">
      <c r="A2" s="38">
        <v>180</v>
      </c>
      <c r="B2" s="33">
        <v>180</v>
      </c>
      <c r="C2" s="54" t="str">
        <f>F2&amp;" %"</f>
        <v>30 %</v>
      </c>
      <c r="D2" s="33" t="s">
        <v>529</v>
      </c>
      <c r="E2" s="36"/>
      <c r="F2" s="39">
        <f>+C21</f>
        <v>30</v>
      </c>
      <c r="G2" s="40"/>
      <c r="H2" s="41" t="s">
        <v>528</v>
      </c>
      <c r="I2" s="35"/>
      <c r="J2" s="35"/>
      <c r="K2" s="42" t="s">
        <v>528</v>
      </c>
      <c r="L2" s="35"/>
      <c r="M2" s="35"/>
      <c r="N2" s="35"/>
      <c r="O2" s="35"/>
      <c r="P2" s="36"/>
      <c r="Q2" s="36"/>
    </row>
    <row r="3" spans="1:17" x14ac:dyDescent="0.25">
      <c r="A3" s="38">
        <v>180</v>
      </c>
      <c r="B3" s="33">
        <f ca="1">((180/100)*C3)-1</f>
        <v>20.6</v>
      </c>
      <c r="C3" s="43">
        <f ca="1">FORECAST(F2, (OFFSET(D3,MATCH(F2,$D$3:$D$13,1)-1,1,2,1)),OFFSET(D3,MATCH(F2,$D$3:$D$13,1)-1,0,2,1))</f>
        <v>12</v>
      </c>
      <c r="D3" s="44">
        <v>0</v>
      </c>
      <c r="E3" s="33">
        <v>0</v>
      </c>
      <c r="F3" s="45">
        <v>1</v>
      </c>
      <c r="G3" s="46"/>
      <c r="H3" s="35"/>
      <c r="I3" s="35"/>
      <c r="J3" s="35"/>
      <c r="K3" s="35" t="s">
        <v>528</v>
      </c>
      <c r="L3" s="35"/>
      <c r="M3" s="35"/>
      <c r="N3" s="35"/>
      <c r="O3" s="35"/>
      <c r="P3" s="36"/>
      <c r="Q3" s="36"/>
    </row>
    <row r="4" spans="1:17" x14ac:dyDescent="0.25">
      <c r="A4" s="47"/>
      <c r="B4" s="33">
        <v>2</v>
      </c>
      <c r="C4" s="33"/>
      <c r="D4" s="48">
        <f>+D3+($D$13-$D$3)/10</f>
        <v>25</v>
      </c>
      <c r="E4" s="33">
        <v>10</v>
      </c>
      <c r="F4" s="45">
        <f>+D4</f>
        <v>25</v>
      </c>
      <c r="G4" s="46"/>
      <c r="H4" s="35"/>
      <c r="I4" s="36"/>
      <c r="J4" s="36"/>
      <c r="K4" s="36"/>
      <c r="L4" s="36"/>
      <c r="M4" s="36"/>
      <c r="N4" s="36"/>
      <c r="O4" s="35"/>
      <c r="P4" s="36"/>
      <c r="Q4" s="36"/>
    </row>
    <row r="5" spans="1:17" x14ac:dyDescent="0.25">
      <c r="A5" s="47"/>
      <c r="B5" s="33">
        <f ca="1">360-SUM(B2:B4)</f>
        <v>157.4</v>
      </c>
      <c r="C5" s="33"/>
      <c r="D5" s="48">
        <f t="shared" ref="D5:D12" si="0">+D4+($D$13-$D$3)/10</f>
        <v>50</v>
      </c>
      <c r="E5" s="33">
        <v>20</v>
      </c>
      <c r="F5" s="45">
        <f t="shared" ref="F5:F13" si="1">+D5</f>
        <v>50</v>
      </c>
      <c r="G5" s="46"/>
      <c r="H5" s="35"/>
      <c r="I5" s="35"/>
      <c r="J5" s="35"/>
      <c r="K5" s="35"/>
      <c r="L5" s="35"/>
      <c r="M5" s="35"/>
      <c r="N5" s="35"/>
      <c r="O5" s="35"/>
      <c r="P5" s="36"/>
      <c r="Q5" s="36"/>
    </row>
    <row r="6" spans="1:17" x14ac:dyDescent="0.25">
      <c r="A6" s="47"/>
      <c r="B6" s="33"/>
      <c r="C6" s="33"/>
      <c r="D6" s="48">
        <f t="shared" si="0"/>
        <v>75</v>
      </c>
      <c r="E6" s="33">
        <v>30</v>
      </c>
      <c r="F6" s="45">
        <f t="shared" si="1"/>
        <v>75</v>
      </c>
      <c r="G6" s="46"/>
      <c r="H6" s="35"/>
      <c r="I6" s="35"/>
      <c r="J6" s="35"/>
      <c r="K6" s="35"/>
      <c r="L6" s="35"/>
      <c r="M6" s="35"/>
      <c r="N6" s="35"/>
      <c r="O6" s="35"/>
      <c r="P6" s="36"/>
      <c r="Q6" s="36"/>
    </row>
    <row r="7" spans="1:17" x14ac:dyDescent="0.25">
      <c r="A7" s="47"/>
      <c r="B7" s="33"/>
      <c r="C7" s="33"/>
      <c r="D7" s="48">
        <f t="shared" si="0"/>
        <v>100</v>
      </c>
      <c r="E7" s="33">
        <v>40</v>
      </c>
      <c r="F7" s="45">
        <f t="shared" si="1"/>
        <v>100</v>
      </c>
      <c r="G7" s="46"/>
      <c r="H7" s="35"/>
      <c r="I7" s="35"/>
      <c r="J7" s="35"/>
      <c r="K7" s="35"/>
      <c r="L7" s="35"/>
      <c r="M7" s="35"/>
      <c r="N7" s="35"/>
      <c r="O7" s="35"/>
      <c r="P7" s="36"/>
      <c r="Q7" s="36"/>
    </row>
    <row r="8" spans="1:17" x14ac:dyDescent="0.25">
      <c r="A8" s="47"/>
      <c r="B8" s="33"/>
      <c r="C8" s="33"/>
      <c r="D8" s="48">
        <f t="shared" si="0"/>
        <v>125</v>
      </c>
      <c r="E8" s="33">
        <v>50</v>
      </c>
      <c r="F8" s="45">
        <f t="shared" si="1"/>
        <v>125</v>
      </c>
      <c r="G8" s="46"/>
      <c r="H8" s="35"/>
      <c r="I8" s="35"/>
      <c r="J8" s="35"/>
      <c r="K8" s="35"/>
      <c r="L8" s="35"/>
      <c r="M8" s="35"/>
      <c r="N8" s="35"/>
      <c r="O8" s="35"/>
      <c r="P8" s="36"/>
      <c r="Q8" s="36"/>
    </row>
    <row r="9" spans="1:17" x14ac:dyDescent="0.25">
      <c r="A9" s="47"/>
      <c r="B9" s="33"/>
      <c r="C9" s="33"/>
      <c r="D9" s="48">
        <f t="shared" si="0"/>
        <v>150</v>
      </c>
      <c r="E9" s="33">
        <v>60</v>
      </c>
      <c r="F9" s="45">
        <f t="shared" si="1"/>
        <v>150</v>
      </c>
      <c r="G9" s="46"/>
      <c r="H9" s="35"/>
      <c r="I9" s="35"/>
      <c r="J9" s="35"/>
      <c r="K9" s="35"/>
      <c r="L9" s="35"/>
      <c r="M9" s="35"/>
      <c r="N9" s="35"/>
      <c r="O9" s="35"/>
      <c r="P9" s="36"/>
      <c r="Q9" s="36"/>
    </row>
    <row r="10" spans="1:17" x14ac:dyDescent="0.25">
      <c r="A10" s="47"/>
      <c r="B10" s="33"/>
      <c r="C10" s="33"/>
      <c r="D10" s="48">
        <f t="shared" si="0"/>
        <v>175</v>
      </c>
      <c r="E10" s="33">
        <v>70</v>
      </c>
      <c r="F10" s="45">
        <f t="shared" si="1"/>
        <v>175</v>
      </c>
      <c r="G10" s="46"/>
      <c r="H10" s="35"/>
      <c r="I10" s="35"/>
      <c r="J10" s="35"/>
      <c r="K10" s="35"/>
      <c r="L10" s="35"/>
      <c r="M10" s="35"/>
      <c r="N10" s="35"/>
      <c r="O10" s="35"/>
      <c r="P10" s="36"/>
      <c r="Q10" s="36"/>
    </row>
    <row r="11" spans="1:17" x14ac:dyDescent="0.25">
      <c r="A11" s="47"/>
      <c r="B11" s="33"/>
      <c r="C11" s="33"/>
      <c r="D11" s="48">
        <f t="shared" si="0"/>
        <v>200</v>
      </c>
      <c r="E11" s="33">
        <v>80</v>
      </c>
      <c r="F11" s="45">
        <f t="shared" si="1"/>
        <v>200</v>
      </c>
      <c r="G11" s="46"/>
      <c r="H11" s="35"/>
      <c r="I11" s="35"/>
      <c r="J11" s="35"/>
      <c r="K11" s="35"/>
      <c r="L11" s="35"/>
      <c r="M11" s="35"/>
      <c r="N11" s="35"/>
      <c r="O11" s="35"/>
      <c r="P11" s="36"/>
      <c r="Q11" s="36"/>
    </row>
    <row r="12" spans="1:17" x14ac:dyDescent="0.25">
      <c r="A12" s="47"/>
      <c r="B12" s="33"/>
      <c r="C12" s="33"/>
      <c r="D12" s="48">
        <f t="shared" si="0"/>
        <v>225</v>
      </c>
      <c r="E12" s="33">
        <v>90</v>
      </c>
      <c r="F12" s="45">
        <f t="shared" si="1"/>
        <v>225</v>
      </c>
      <c r="G12" s="46"/>
      <c r="H12" s="35"/>
      <c r="I12" s="35"/>
      <c r="J12" s="35"/>
      <c r="K12" s="35"/>
      <c r="L12" s="35"/>
      <c r="M12" s="35"/>
      <c r="N12" s="35"/>
      <c r="O12" s="35"/>
      <c r="P12" s="36"/>
      <c r="Q12" s="36"/>
    </row>
    <row r="13" spans="1:17" x14ac:dyDescent="0.25">
      <c r="A13" s="38"/>
      <c r="B13" s="33"/>
      <c r="C13" s="33"/>
      <c r="D13" s="44">
        <v>250</v>
      </c>
      <c r="E13" s="33">
        <v>100</v>
      </c>
      <c r="F13" s="45">
        <f t="shared" si="1"/>
        <v>250</v>
      </c>
      <c r="G13" s="46"/>
      <c r="H13" s="35"/>
      <c r="I13" s="35"/>
      <c r="J13" s="35"/>
      <c r="K13" s="35"/>
      <c r="L13" s="35"/>
      <c r="M13" s="35"/>
      <c r="N13" s="35"/>
      <c r="O13" s="35"/>
      <c r="P13" s="36"/>
      <c r="Q13" s="36"/>
    </row>
    <row r="14" spans="1:17" ht="15.75" thickBot="1" x14ac:dyDescent="0.3">
      <c r="A14" s="49">
        <f>SUM(A2:A12)</f>
        <v>360</v>
      </c>
      <c r="B14" s="50">
        <f ca="1">SUM(B2:B12)</f>
        <v>360</v>
      </c>
      <c r="C14" s="50"/>
      <c r="D14" s="51" t="s">
        <v>530</v>
      </c>
      <c r="E14" s="52"/>
      <c r="F14" s="53"/>
      <c r="G14" s="36"/>
      <c r="H14" s="35"/>
      <c r="I14" s="35"/>
      <c r="J14" s="35"/>
      <c r="K14" s="35"/>
      <c r="L14" s="35"/>
      <c r="M14" s="35"/>
      <c r="N14" s="35"/>
      <c r="O14" s="35"/>
      <c r="P14" s="36"/>
      <c r="Q14" s="36"/>
    </row>
    <row r="15" spans="1:17" ht="15.75" thickTop="1" x14ac:dyDescent="0.25">
      <c r="A15" s="33"/>
      <c r="B15" s="33"/>
      <c r="C15" s="33"/>
      <c r="D15" s="36"/>
      <c r="E15" s="36"/>
      <c r="F15" s="36"/>
      <c r="G15" s="36"/>
      <c r="H15" s="36"/>
      <c r="I15" s="36"/>
      <c r="J15" s="36"/>
      <c r="K15" s="36"/>
      <c r="L15" s="36"/>
      <c r="M15" s="36"/>
      <c r="N15" s="36"/>
      <c r="O15" s="36"/>
      <c r="P15" s="36"/>
      <c r="Q15" s="36"/>
    </row>
    <row r="16" spans="1:17" x14ac:dyDescent="0.25">
      <c r="A16" s="36"/>
      <c r="B16" s="33"/>
      <c r="C16" s="33"/>
      <c r="D16" s="36"/>
      <c r="E16" s="36"/>
      <c r="F16" s="36"/>
      <c r="G16" s="36"/>
      <c r="H16" s="36"/>
      <c r="I16" s="36"/>
      <c r="J16" s="36"/>
      <c r="K16" s="36"/>
      <c r="L16" s="36"/>
      <c r="M16" s="36"/>
      <c r="N16" s="36"/>
      <c r="O16" s="36"/>
      <c r="P16" s="36"/>
      <c r="Q16" s="36"/>
    </row>
    <row r="17" spans="1:17" x14ac:dyDescent="0.25">
      <c r="A17" s="36"/>
      <c r="B17" s="33"/>
      <c r="C17" s="33"/>
      <c r="D17" s="36"/>
      <c r="E17" s="36"/>
      <c r="F17" s="36"/>
      <c r="G17" s="36"/>
      <c r="H17" s="36"/>
      <c r="I17" s="36"/>
      <c r="J17" s="36"/>
      <c r="K17" s="36"/>
      <c r="L17" s="36"/>
      <c r="M17" s="36"/>
      <c r="N17" s="36"/>
      <c r="O17" s="36"/>
      <c r="P17" s="36"/>
      <c r="Q17" s="36"/>
    </row>
    <row r="18" spans="1:17" x14ac:dyDescent="0.25">
      <c r="A18" s="36" t="s">
        <v>537</v>
      </c>
      <c r="C18" s="33">
        <v>131</v>
      </c>
      <c r="D18" s="36"/>
      <c r="E18" s="36"/>
      <c r="F18" s="36"/>
      <c r="G18" s="36"/>
      <c r="H18" s="36"/>
      <c r="I18" s="36"/>
      <c r="J18" s="36"/>
      <c r="K18" s="36"/>
      <c r="L18" s="36"/>
      <c r="M18" s="36"/>
      <c r="N18" s="36"/>
      <c r="O18" s="36"/>
      <c r="P18" s="36"/>
      <c r="Q18" s="36"/>
    </row>
    <row r="19" spans="1:17" x14ac:dyDescent="0.25">
      <c r="A19" s="36" t="s">
        <v>539</v>
      </c>
      <c r="C19" s="62" t="str">
        <f>INDEX(M_Order,C18,0)</f>
        <v>Psycho (1960)</v>
      </c>
      <c r="D19" s="36"/>
      <c r="E19" s="36"/>
      <c r="F19" s="36"/>
      <c r="G19" s="36"/>
      <c r="H19" s="36"/>
      <c r="I19" s="36"/>
      <c r="J19" s="36"/>
      <c r="K19" s="36"/>
      <c r="L19" s="36"/>
      <c r="M19" s="36"/>
      <c r="N19" s="36"/>
      <c r="O19" s="36"/>
      <c r="P19" s="36"/>
      <c r="Q19" s="36"/>
    </row>
    <row r="20" spans="1:17" x14ac:dyDescent="0.25">
      <c r="A20" s="36" t="s">
        <v>4</v>
      </c>
      <c r="B20" s="33"/>
      <c r="C20" s="33">
        <f>VLOOKUP($C$19,MyData,5,FALSE)</f>
        <v>8.6</v>
      </c>
      <c r="D20" s="36"/>
      <c r="E20" s="36"/>
      <c r="F20" s="36"/>
      <c r="G20" s="36"/>
      <c r="H20" s="36"/>
      <c r="I20" s="36"/>
      <c r="J20" s="36"/>
      <c r="K20" s="36"/>
      <c r="L20" s="36"/>
      <c r="M20" s="36"/>
      <c r="N20" s="36"/>
      <c r="O20" s="36"/>
      <c r="P20" s="36"/>
      <c r="Q20" s="36"/>
    </row>
    <row r="21" spans="1:17" x14ac:dyDescent="0.25">
      <c r="A21" s="36" t="s">
        <v>3</v>
      </c>
      <c r="B21" s="33"/>
      <c r="C21" s="33">
        <f>VLOOKUP($C$19,MyData,4,FALSE)</f>
        <v>30</v>
      </c>
      <c r="D21" s="36"/>
      <c r="E21" s="36"/>
      <c r="F21" s="36"/>
      <c r="G21" s="36"/>
      <c r="H21" s="36"/>
      <c r="I21" s="36"/>
      <c r="J21" s="36"/>
      <c r="K21" s="36"/>
      <c r="L21" s="36"/>
      <c r="M21" s="36"/>
      <c r="N21" s="36"/>
      <c r="O21" s="36"/>
      <c r="P21" s="36"/>
      <c r="Q21" s="36"/>
    </row>
    <row r="22" spans="1:17" x14ac:dyDescent="0.25">
      <c r="A22" s="36"/>
      <c r="B22" s="33"/>
      <c r="C22" s="33"/>
      <c r="D22" s="36"/>
      <c r="E22" s="36"/>
      <c r="F22" s="36"/>
      <c r="G22" s="36"/>
      <c r="H22" s="36"/>
      <c r="I22" s="36"/>
      <c r="J22" s="36"/>
      <c r="K22" s="36"/>
      <c r="L22" s="36"/>
      <c r="M22" s="36"/>
      <c r="N22" s="36"/>
      <c r="O22" s="36"/>
      <c r="P22" s="36"/>
      <c r="Q22" s="36"/>
    </row>
    <row r="23" spans="1:17" x14ac:dyDescent="0.25">
      <c r="A23" s="36"/>
      <c r="B23" s="33"/>
      <c r="C23" s="33"/>
      <c r="D23" s="36"/>
      <c r="E23" s="36"/>
      <c r="F23" s="36"/>
      <c r="G23" s="36"/>
      <c r="H23" s="36"/>
      <c r="I23" s="36"/>
      <c r="J23" s="36"/>
      <c r="K23" s="36"/>
      <c r="L23" s="36"/>
      <c r="M23" s="36"/>
      <c r="N23" s="36"/>
      <c r="O23" s="36"/>
      <c r="P23" s="36"/>
      <c r="Q23" s="36"/>
    </row>
    <row r="24" spans="1:17" x14ac:dyDescent="0.25">
      <c r="A24" s="36"/>
      <c r="B24" s="33"/>
      <c r="C24" s="33"/>
      <c r="D24" s="36"/>
      <c r="E24" s="36"/>
      <c r="F24" s="36"/>
      <c r="G24" s="36"/>
      <c r="H24" s="36"/>
      <c r="I24" s="36"/>
      <c r="J24" s="36"/>
      <c r="K24" s="36"/>
      <c r="L24" s="36"/>
      <c r="M24" s="36"/>
      <c r="N24" s="36"/>
      <c r="O24" s="36"/>
      <c r="P24" s="36"/>
      <c r="Q24" s="36"/>
    </row>
    <row r="25" spans="1:17" x14ac:dyDescent="0.25">
      <c r="A25" s="36"/>
      <c r="B25" s="33"/>
      <c r="C25" s="33"/>
      <c r="D25" s="36"/>
      <c r="E25" s="36"/>
      <c r="F25" s="36"/>
      <c r="G25" s="36"/>
      <c r="H25" s="36"/>
      <c r="I25" s="36"/>
      <c r="J25" s="36"/>
      <c r="K25" s="36"/>
      <c r="L25" s="36"/>
      <c r="M25" s="36"/>
      <c r="N25" s="36"/>
      <c r="O25" s="36"/>
      <c r="P25" s="36"/>
      <c r="Q25" s="36"/>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I34"/>
  <sheetViews>
    <sheetView showGridLines="0" topLeftCell="A5" workbookViewId="0">
      <selection activeCell="S15" sqref="S15"/>
    </sheetView>
  </sheetViews>
  <sheetFormatPr defaultRowHeight="15" x14ac:dyDescent="0.25"/>
  <cols>
    <col min="6" max="6" width="14.28515625" customWidth="1"/>
    <col min="15" max="15" width="6.7109375" customWidth="1"/>
  </cols>
  <sheetData>
    <row r="1" spans="1:4" x14ac:dyDescent="0.25">
      <c r="A1" t="s">
        <v>542</v>
      </c>
    </row>
    <row r="6" spans="1:4" x14ac:dyDescent="0.25">
      <c r="B6" s="8">
        <v>1920</v>
      </c>
      <c r="C6" s="8">
        <f>+B6+10</f>
        <v>1930</v>
      </c>
      <c r="D6">
        <f t="shared" ref="D6:D15" si="0">SUMPRODUCT(--(M_Date&gt;=B6),--(M_Date&lt;C6))</f>
        <v>4</v>
      </c>
    </row>
    <row r="7" spans="1:4" x14ac:dyDescent="0.25">
      <c r="B7" s="8">
        <f t="shared" ref="B7:B15" si="1">+C6</f>
        <v>1930</v>
      </c>
      <c r="C7" s="8">
        <f t="shared" ref="C7:C14" si="2">+B7+10</f>
        <v>1940</v>
      </c>
      <c r="D7">
        <f t="shared" si="0"/>
        <v>9</v>
      </c>
    </row>
    <row r="8" spans="1:4" x14ac:dyDescent="0.25">
      <c r="B8" s="8">
        <f t="shared" si="1"/>
        <v>1940</v>
      </c>
      <c r="C8" s="8">
        <f t="shared" si="2"/>
        <v>1950</v>
      </c>
      <c r="D8">
        <f t="shared" si="0"/>
        <v>16</v>
      </c>
    </row>
    <row r="9" spans="1:4" x14ac:dyDescent="0.25">
      <c r="B9" s="8">
        <f t="shared" si="1"/>
        <v>1950</v>
      </c>
      <c r="C9" s="8">
        <f t="shared" si="2"/>
        <v>1960</v>
      </c>
      <c r="D9">
        <f t="shared" si="0"/>
        <v>31</v>
      </c>
    </row>
    <row r="10" spans="1:4" x14ac:dyDescent="0.25">
      <c r="B10" s="8">
        <f t="shared" si="1"/>
        <v>1960</v>
      </c>
      <c r="C10" s="8">
        <f t="shared" si="2"/>
        <v>1970</v>
      </c>
      <c r="D10">
        <f t="shared" si="0"/>
        <v>25</v>
      </c>
    </row>
    <row r="11" spans="1:4" x14ac:dyDescent="0.25">
      <c r="B11" s="8">
        <f t="shared" si="1"/>
        <v>1970</v>
      </c>
      <c r="C11" s="8">
        <f t="shared" si="2"/>
        <v>1980</v>
      </c>
      <c r="D11">
        <f t="shared" si="0"/>
        <v>23</v>
      </c>
    </row>
    <row r="12" spans="1:4" x14ac:dyDescent="0.25">
      <c r="B12" s="8">
        <f t="shared" si="1"/>
        <v>1980</v>
      </c>
      <c r="C12" s="8">
        <f t="shared" si="2"/>
        <v>1990</v>
      </c>
      <c r="D12">
        <f t="shared" si="0"/>
        <v>29</v>
      </c>
    </row>
    <row r="13" spans="1:4" x14ac:dyDescent="0.25">
      <c r="B13" s="8">
        <f t="shared" si="1"/>
        <v>1990</v>
      </c>
      <c r="C13" s="8">
        <f t="shared" si="2"/>
        <v>2000</v>
      </c>
      <c r="D13">
        <f t="shared" si="0"/>
        <v>41</v>
      </c>
    </row>
    <row r="14" spans="1:4" x14ac:dyDescent="0.25">
      <c r="B14" s="8">
        <f t="shared" si="1"/>
        <v>2000</v>
      </c>
      <c r="C14" s="8">
        <f t="shared" si="2"/>
        <v>2010</v>
      </c>
      <c r="D14">
        <f t="shared" si="0"/>
        <v>52</v>
      </c>
    </row>
    <row r="15" spans="1:4" x14ac:dyDescent="0.25">
      <c r="B15" s="8">
        <f t="shared" si="1"/>
        <v>2010</v>
      </c>
      <c r="C15" s="8">
        <v>2020</v>
      </c>
      <c r="D15">
        <f t="shared" si="0"/>
        <v>20</v>
      </c>
    </row>
    <row r="17" spans="1:9" x14ac:dyDescent="0.25">
      <c r="D17">
        <f>SUM(D6:D15)</f>
        <v>250</v>
      </c>
    </row>
    <row r="20" spans="1:9" s="79" customFormat="1" ht="9" customHeight="1" x14ac:dyDescent="0.25"/>
    <row r="22" spans="1:9" x14ac:dyDescent="0.25">
      <c r="A22" s="66" t="s">
        <v>3</v>
      </c>
      <c r="B22" s="67" t="s">
        <v>4</v>
      </c>
      <c r="C22" s="67" t="s">
        <v>543</v>
      </c>
      <c r="D22" s="67" t="s">
        <v>1</v>
      </c>
      <c r="E22" s="67"/>
      <c r="F22" s="69" t="s">
        <v>5</v>
      </c>
      <c r="G22" s="67"/>
      <c r="H22" s="67"/>
      <c r="I22" s="67"/>
    </row>
    <row r="23" spans="1:9" x14ac:dyDescent="0.25">
      <c r="A23" s="8">
        <v>50</v>
      </c>
      <c r="B23" s="8">
        <f ca="1">OFFSET(Data!$E$4,MATCH(Bins!$A23,MyRank,0),1)</f>
        <v>8.4</v>
      </c>
      <c r="C23" s="8">
        <f ca="1">OFFSET(Data!$E$4,MATCH(Bins!$A23,MyRank,0),-1)</f>
        <v>1980</v>
      </c>
      <c r="D23" s="6" t="str">
        <f ca="1">OFFSET(Data!$E$4,MATCH(Bins!$A23,MyRank,0),-2)</f>
        <v>The Shining</v>
      </c>
      <c r="F23" s="70">
        <f ca="1">OFFSET(Data!$E$4,MATCH(Bins!$A23,MyRank,0),2)</f>
        <v>380225</v>
      </c>
    </row>
    <row r="24" spans="1:9" x14ac:dyDescent="0.25">
      <c r="A24" s="8">
        <f>+A23+1</f>
        <v>51</v>
      </c>
      <c r="B24" s="8">
        <f ca="1">OFFSET(Data!$E$4,MATCH(Bins!$A24,MyRank,0),1)</f>
        <v>8.4</v>
      </c>
      <c r="C24" s="8">
        <f ca="1">OFFSET(Data!$E$4,MATCH(Bins!$A24,MyRank,0),-1)</f>
        <v>2006</v>
      </c>
      <c r="D24" s="6" t="str">
        <f ca="1">OFFSET(Data!$E$4,MATCH(Bins!$A24,MyRank,0),-2)</f>
        <v>The Departed</v>
      </c>
      <c r="F24" s="70">
        <f ca="1">OFFSET(Data!$E$4,MATCH(Bins!$A24,MyRank,0),2)</f>
        <v>540726</v>
      </c>
    </row>
    <row r="25" spans="1:9" x14ac:dyDescent="0.25">
      <c r="A25" s="8">
        <f t="shared" ref="A25:A32" si="3">+A24+1</f>
        <v>52</v>
      </c>
      <c r="B25" s="8">
        <f ca="1">OFFSET(Data!$E$4,MATCH(Bins!$A25,MyRank,0),1)</f>
        <v>8.4</v>
      </c>
      <c r="C25" s="8">
        <f ca="1">OFFSET(Data!$E$4,MATCH(Bins!$A25,MyRank,0),-1)</f>
        <v>1957</v>
      </c>
      <c r="D25" s="6" t="str">
        <f ca="1">OFFSET(Data!$E$4,MATCH(Bins!$A25,MyRank,0),-2)</f>
        <v>Paths of Glory</v>
      </c>
      <c r="F25" s="70">
        <f ca="1">OFFSET(Data!$E$4,MATCH(Bins!$A25,MyRank,0),2)</f>
        <v>78867</v>
      </c>
    </row>
    <row r="26" spans="1:9" x14ac:dyDescent="0.25">
      <c r="A26" s="8">
        <f t="shared" si="3"/>
        <v>53</v>
      </c>
      <c r="B26" s="8">
        <f ca="1">OFFSET(Data!$E$4,MATCH(Bins!$A26,MyRank,0),1)</f>
        <v>8.4</v>
      </c>
      <c r="C26" s="8">
        <f ca="1">OFFSET(Data!$E$4,MATCH(Bins!$A26,MyRank,0),-1)</f>
        <v>1958</v>
      </c>
      <c r="D26" s="6" t="str">
        <f ca="1">OFFSET(Data!$E$4,MATCH(Bins!$A26,MyRank,0),-2)</f>
        <v>Vertigo</v>
      </c>
      <c r="F26" s="70">
        <f ca="1">OFFSET(Data!$E$4,MATCH(Bins!$A26,MyRank,0),2)</f>
        <v>162865</v>
      </c>
    </row>
    <row r="27" spans="1:9" x14ac:dyDescent="0.25">
      <c r="A27" s="8">
        <f t="shared" si="3"/>
        <v>54</v>
      </c>
      <c r="B27" s="8">
        <f ca="1">OFFSET(Data!$E$4,MATCH(Bins!$A27,MyRank,0),1)</f>
        <v>8.4</v>
      </c>
      <c r="C27" s="8">
        <f ca="1">OFFSET(Data!$E$4,MATCH(Bins!$A27,MyRank,0),-1)</f>
        <v>1999</v>
      </c>
      <c r="D27" s="6" t="str">
        <f ca="1">OFFSET(Data!$E$4,MATCH(Bins!$A27,MyRank,0),-2)</f>
        <v>American Beauty</v>
      </c>
      <c r="F27" s="70">
        <f ca="1">OFFSET(Data!$E$4,MATCH(Bins!$A27,MyRank,0),2)</f>
        <v>555796</v>
      </c>
    </row>
    <row r="28" spans="1:9" x14ac:dyDescent="0.25">
      <c r="A28" s="8">
        <f t="shared" si="3"/>
        <v>55</v>
      </c>
      <c r="B28" s="8">
        <f ca="1">OFFSET(Data!$E$4,MATCH(Bins!$A28,MyRank,0),1)</f>
        <v>8.4</v>
      </c>
      <c r="C28" s="8">
        <f ca="1">OFFSET(Data!$E$4,MATCH(Bins!$A28,MyRank,0),-1)</f>
        <v>2012</v>
      </c>
      <c r="D28" s="6" t="str">
        <f ca="1">OFFSET(Data!$E$4,MATCH(Bins!$A28,MyRank,0),-2)</f>
        <v>Django Unchained</v>
      </c>
      <c r="F28" s="70">
        <f ca="1">OFFSET(Data!$E$4,MATCH(Bins!$A28,MyRank,0),2)</f>
        <v>450505</v>
      </c>
    </row>
    <row r="29" spans="1:9" x14ac:dyDescent="0.25">
      <c r="A29" s="8">
        <f t="shared" si="3"/>
        <v>56</v>
      </c>
      <c r="B29" s="8">
        <f ca="1">OFFSET(Data!$E$4,MATCH(Bins!$A29,MyRank,0),1)</f>
        <v>8.4</v>
      </c>
      <c r="C29" s="8">
        <f ca="1">OFFSET(Data!$E$4,MATCH(Bins!$A29,MyRank,0),-1)</f>
        <v>1944</v>
      </c>
      <c r="D29" s="6" t="str">
        <f ca="1">OFFSET(Data!$E$4,MATCH(Bins!$A29,MyRank,0),-2)</f>
        <v>Double Indemnity</v>
      </c>
      <c r="F29" s="70">
        <f ca="1">OFFSET(Data!$E$4,MATCH(Bins!$A29,MyRank,0),2)</f>
        <v>66255</v>
      </c>
    </row>
    <row r="30" spans="1:9" x14ac:dyDescent="0.25">
      <c r="A30" s="8">
        <f t="shared" si="3"/>
        <v>57</v>
      </c>
      <c r="B30" s="8">
        <f ca="1">OFFSET(Data!$E$4,MATCH(Bins!$A30,MyRank,0),1)</f>
        <v>8.4</v>
      </c>
      <c r="C30" s="8">
        <f ca="1">OFFSET(Data!$E$4,MATCH(Bins!$A30,MyRank,0),-1)</f>
        <v>1976</v>
      </c>
      <c r="D30" s="6" t="str">
        <f ca="1">OFFSET(Data!$E$4,MATCH(Bins!$A30,MyRank,0),-2)</f>
        <v>Taxi Driver</v>
      </c>
      <c r="F30" s="70">
        <f ca="1">OFFSET(Data!$E$4,MATCH(Bins!$A30,MyRank,0),2)</f>
        <v>321465</v>
      </c>
    </row>
    <row r="31" spans="1:9" x14ac:dyDescent="0.25">
      <c r="A31" s="8">
        <f t="shared" si="3"/>
        <v>58</v>
      </c>
      <c r="B31" s="8">
        <f ca="1">OFFSET(Data!$E$4,MATCH(Bins!$A31,MyRank,0),1)</f>
        <v>8.4</v>
      </c>
      <c r="C31" s="8">
        <f ca="1">OFFSET(Data!$E$4,MATCH(Bins!$A31,MyRank,0),-1)</f>
        <v>2012</v>
      </c>
      <c r="D31" s="6" t="str">
        <f ca="1">OFFSET(Data!$E$4,MATCH(Bins!$A31,MyRank,0),-2)</f>
        <v>The Dark Knight Rises</v>
      </c>
      <c r="F31" s="70">
        <f ca="1">OFFSET(Data!$E$4,MATCH(Bins!$A31,MyRank,0),2)</f>
        <v>672751</v>
      </c>
    </row>
    <row r="32" spans="1:9" x14ac:dyDescent="0.25">
      <c r="A32" s="8">
        <f t="shared" si="3"/>
        <v>59</v>
      </c>
      <c r="B32" s="8">
        <f ca="1">OFFSET(Data!$E$4,MATCH(Bins!$A32,MyRank,0),1)</f>
        <v>8.4</v>
      </c>
      <c r="C32" s="8">
        <f ca="1">OFFSET(Data!$E$4,MATCH(Bins!$A32,MyRank,0),-1)</f>
        <v>1986</v>
      </c>
      <c r="D32" s="6" t="str">
        <f ca="1">OFFSET(Data!$E$4,MATCH(Bins!$A32,MyRank,0),-2)</f>
        <v>Aliens</v>
      </c>
      <c r="F32" s="70">
        <f ca="1">OFFSET(Data!$E$4,MATCH(Bins!$A32,MyRank,0),2)</f>
        <v>325439</v>
      </c>
    </row>
    <row r="33" spans="1:4" x14ac:dyDescent="0.25">
      <c r="A33" s="8"/>
      <c r="B33" s="8"/>
      <c r="C33" s="8"/>
      <c r="D33" s="6"/>
    </row>
    <row r="34" spans="1:4" x14ac:dyDescent="0.25">
      <c r="A34" s="8"/>
      <c r="B34" s="8"/>
      <c r="C34"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Original Data</vt:lpstr>
      <vt:lpstr>Data</vt:lpstr>
      <vt:lpstr>Pivot 1</vt:lpstr>
      <vt:lpstr>DashBoard</vt:lpstr>
      <vt:lpstr>Odom</vt:lpstr>
      <vt:lpstr>Bins</vt:lpstr>
      <vt:lpstr>HypTable</vt:lpstr>
      <vt:lpstr>M_Date</vt:lpstr>
      <vt:lpstr>M_Order</vt:lpstr>
      <vt:lpstr>Movie_Date</vt:lpstr>
      <vt:lpstr>MyData</vt:lpstr>
      <vt:lpstr>MyMovies</vt:lpstr>
      <vt:lpstr>MyRank</vt:lpstr>
      <vt:lpstr>Oscar_Win</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Pistulka</dc:creator>
  <cp:lastModifiedBy>BW ADMIN</cp:lastModifiedBy>
  <dcterms:created xsi:type="dcterms:W3CDTF">2013-11-09T16:10:30Z</dcterms:created>
  <dcterms:modified xsi:type="dcterms:W3CDTF">2013-12-09T04:52:05Z</dcterms:modified>
</cp:coreProperties>
</file>