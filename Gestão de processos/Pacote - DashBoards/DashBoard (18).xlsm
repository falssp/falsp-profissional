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ed8474972ef4d7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Robert\Desktop\Export 2\"/>
    </mc:Choice>
  </mc:AlternateContent>
  <bookViews>
    <workbookView xWindow="795" yWindow="225" windowWidth="7950" windowHeight="8910" tabRatio="368"/>
  </bookViews>
  <sheets>
    <sheet name="dashboard" sheetId="8" r:id="rId1"/>
    <sheet name="data" sheetId="6" r:id="rId2"/>
    <sheet name="control" sheetId="9" r:id="rId3"/>
    <sheet name="calculations" sheetId="5" r:id="rId4"/>
  </sheets>
  <definedNames>
    <definedName name="myCurrentPeriod">control!$C$4</definedName>
    <definedName name="myDashboard">dashboard!$A$1:$L$31</definedName>
    <definedName name="myFileName">control!$C$14</definedName>
    <definedName name="myPageBreak">control!$C$11</definedName>
    <definedName name="myPageOrientation">control!$C$10</definedName>
    <definedName name="myPeriodEnd">control!$C$17</definedName>
    <definedName name="myPeriodStart">control!$C$16</definedName>
    <definedName name="myPPTTheme">control!$C$6</definedName>
    <definedName name="myScaleFactor">control!$C$8</definedName>
    <definedName name="myTitle">control!$C$13</definedName>
    <definedName name="myTop">control!$C$7</definedName>
  </definedNames>
  <calcPr calcId="152511"/>
</workbook>
</file>

<file path=xl/calcChain.xml><?xml version="1.0" encoding="utf-8"?>
<calcChain xmlns="http://schemas.openxmlformats.org/spreadsheetml/2006/main">
  <c r="C14" i="9" l="1"/>
  <c r="O42" i="5" l="1"/>
  <c r="O47" i="5" s="1"/>
  <c r="C16" i="6"/>
  <c r="F14" i="5"/>
  <c r="F12" i="5"/>
  <c r="F11" i="5"/>
  <c r="F10" i="5"/>
  <c r="B17" i="6"/>
  <c r="C17" i="6" s="1"/>
  <c r="O44" i="5" l="1"/>
  <c r="O45" i="5"/>
  <c r="N42" i="5"/>
  <c r="O49" i="5"/>
  <c r="B18" i="6"/>
  <c r="C18" i="6" s="1"/>
  <c r="B45" i="5"/>
  <c r="B44" i="5"/>
  <c r="B54" i="5"/>
  <c r="B53" i="5"/>
  <c r="B52" i="5"/>
  <c r="B49" i="5"/>
  <c r="B48" i="5"/>
  <c r="B47" i="5"/>
  <c r="C11" i="5"/>
  <c r="E11" i="5"/>
  <c r="D11" i="5"/>
  <c r="C13" i="5"/>
  <c r="C31" i="5" s="1"/>
  <c r="C32" i="5" s="1"/>
  <c r="E13" i="5"/>
  <c r="C29" i="5" s="1"/>
  <c r="D13" i="5"/>
  <c r="C28" i="5" s="1"/>
  <c r="G30" i="5" s="1"/>
  <c r="G32" i="5" s="1"/>
  <c r="C12" i="5"/>
  <c r="C23" i="5" s="1"/>
  <c r="E12" i="5"/>
  <c r="C21" i="5" s="1"/>
  <c r="D12" i="5"/>
  <c r="C20" i="5" s="1"/>
  <c r="B26" i="5"/>
  <c r="B18" i="5"/>
  <c r="F32" i="5"/>
  <c r="F24" i="5"/>
  <c r="C14" i="5"/>
  <c r="E37" i="5" s="1"/>
  <c r="E14" i="5"/>
  <c r="D14" i="5"/>
  <c r="E10" i="5"/>
  <c r="D10" i="5"/>
  <c r="C10" i="5"/>
  <c r="D9" i="5"/>
  <c r="E9" i="5"/>
  <c r="C9" i="5"/>
  <c r="B14" i="5"/>
  <c r="B13" i="5"/>
  <c r="B12" i="5"/>
  <c r="B11" i="5"/>
  <c r="B10" i="5"/>
  <c r="N44" i="5" l="1"/>
  <c r="N47" i="5"/>
  <c r="N45" i="5"/>
  <c r="N49" i="5"/>
  <c r="M42" i="5"/>
  <c r="D37" i="5"/>
  <c r="B19" i="6"/>
  <c r="C19" i="6" s="1"/>
  <c r="J54" i="5"/>
  <c r="N54" i="5"/>
  <c r="M54" i="5"/>
  <c r="K54" i="5"/>
  <c r="I54" i="5"/>
  <c r="E54" i="5"/>
  <c r="G54" i="5"/>
  <c r="L54" i="5"/>
  <c r="F54" i="5"/>
  <c r="H54" i="5"/>
  <c r="G52" i="5"/>
  <c r="O54" i="5"/>
  <c r="D54" i="5"/>
  <c r="I52" i="5"/>
  <c r="N52" i="5"/>
  <c r="M53" i="5"/>
  <c r="I53" i="5"/>
  <c r="K53" i="5"/>
  <c r="O53" i="5"/>
  <c r="N53" i="5"/>
  <c r="J53" i="5"/>
  <c r="G53" i="5"/>
  <c r="H53" i="5"/>
  <c r="L53" i="5"/>
  <c r="F53" i="5"/>
  <c r="E53" i="5"/>
  <c r="D53" i="5"/>
  <c r="H30" i="5"/>
  <c r="H32" i="5" s="1"/>
  <c r="C24" i="5"/>
  <c r="O52" i="5"/>
  <c r="G22" i="5"/>
  <c r="G24" i="5" s="1"/>
  <c r="J52" i="5"/>
  <c r="L52" i="5"/>
  <c r="F52" i="5"/>
  <c r="K52" i="5"/>
  <c r="E52" i="5"/>
  <c r="H52" i="5"/>
  <c r="M52" i="5"/>
  <c r="D52" i="5"/>
  <c r="B20" i="6" l="1"/>
  <c r="C20" i="6" s="1"/>
  <c r="L42" i="5"/>
  <c r="M44" i="5"/>
  <c r="M45" i="5"/>
  <c r="M47" i="5"/>
  <c r="M49" i="5"/>
  <c r="B21" i="6"/>
  <c r="C21" i="6" s="1"/>
  <c r="H22" i="5"/>
  <c r="H24" i="5" s="1"/>
  <c r="I30" i="5"/>
  <c r="I32" i="5" s="1"/>
  <c r="K42" i="5" l="1"/>
  <c r="L49" i="5"/>
  <c r="L44" i="5"/>
  <c r="L47" i="5"/>
  <c r="L45" i="5"/>
  <c r="I22" i="5"/>
  <c r="I24" i="5" s="1"/>
  <c r="B22" i="6"/>
  <c r="C22" i="6" s="1"/>
  <c r="J42" i="5" l="1"/>
  <c r="K45" i="5"/>
  <c r="K49" i="5"/>
  <c r="K44" i="5"/>
  <c r="K47" i="5"/>
  <c r="B23" i="6"/>
  <c r="C23" i="6" s="1"/>
  <c r="C37" i="5"/>
  <c r="C22" i="5"/>
  <c r="G7" i="8"/>
  <c r="I42" i="5" l="1"/>
  <c r="J45" i="5"/>
  <c r="J49" i="5"/>
  <c r="J44" i="5"/>
  <c r="J47" i="5"/>
  <c r="B24" i="6"/>
  <c r="C24" i="6" s="1"/>
  <c r="F7" i="8"/>
  <c r="F13" i="5"/>
  <c r="C30" i="5" s="1"/>
  <c r="F23" i="5"/>
  <c r="H23" i="5"/>
  <c r="G23" i="5"/>
  <c r="H42" i="5" l="1"/>
  <c r="I47" i="5"/>
  <c r="I45" i="5"/>
  <c r="I49" i="5"/>
  <c r="I44" i="5"/>
  <c r="B25" i="6"/>
  <c r="C25" i="6" s="1"/>
  <c r="I43" i="5" s="1"/>
  <c r="G31" i="5"/>
  <c r="F31" i="5"/>
  <c r="H31" i="5"/>
  <c r="G42" i="5" l="1"/>
  <c r="H47" i="5"/>
  <c r="H45" i="5"/>
  <c r="H44" i="5"/>
  <c r="H49" i="5"/>
  <c r="H43" i="5"/>
  <c r="B26" i="6"/>
  <c r="C26" i="6" s="1"/>
  <c r="J43" i="5" s="1"/>
  <c r="F42" i="5" l="1"/>
  <c r="G47" i="5"/>
  <c r="G45" i="5"/>
  <c r="G49" i="5"/>
  <c r="G43" i="5"/>
  <c r="G44" i="5"/>
  <c r="B27" i="6"/>
  <c r="C27" i="6" s="1"/>
  <c r="K43" i="5" s="1"/>
  <c r="E42" i="5" l="1"/>
  <c r="F43" i="5"/>
  <c r="F44" i="5"/>
  <c r="F45" i="5"/>
  <c r="F47" i="5"/>
  <c r="F49" i="5"/>
  <c r="B28" i="6"/>
  <c r="C28" i="6" s="1"/>
  <c r="L43" i="5" s="1"/>
  <c r="D42" i="5" l="1"/>
  <c r="E43" i="5"/>
  <c r="E44" i="5"/>
  <c r="E47" i="5"/>
  <c r="E45" i="5"/>
  <c r="E49" i="5"/>
  <c r="B29" i="6"/>
  <c r="C29" i="6" s="1"/>
  <c r="M43" i="5" s="1"/>
  <c r="D49" i="5" l="1"/>
  <c r="D47" i="5"/>
  <c r="D43" i="5"/>
  <c r="D45" i="5"/>
  <c r="D44" i="5"/>
  <c r="B30" i="6"/>
  <c r="C30" i="6" s="1"/>
  <c r="N43" i="5" s="1"/>
  <c r="B31" i="6" l="1"/>
  <c r="C31" i="6" s="1"/>
  <c r="O43" i="5" s="1"/>
  <c r="B32" i="6" l="1"/>
  <c r="C32" i="6" s="1"/>
  <c r="B33" i="6" l="1"/>
  <c r="C33" i="6" s="1"/>
  <c r="B34" i="6" l="1"/>
  <c r="C34" i="6" s="1"/>
  <c r="B35" i="6" l="1"/>
  <c r="C35" i="6" s="1"/>
  <c r="B36" i="6" l="1"/>
  <c r="C4" i="5" l="1"/>
  <c r="C5" i="5" s="1"/>
  <c r="C36" i="6"/>
  <c r="B37" i="6"/>
  <c r="C37" i="6" s="1"/>
  <c r="J2" i="8" l="1"/>
  <c r="K2" i="8"/>
  <c r="J48" i="5"/>
  <c r="M48" i="5"/>
  <c r="K48" i="5"/>
  <c r="B38" i="6"/>
  <c r="C38" i="6" s="1"/>
  <c r="O48" i="5" l="1"/>
  <c r="N48" i="5"/>
  <c r="F48" i="5"/>
  <c r="H48" i="5"/>
  <c r="L48" i="5"/>
  <c r="G48" i="5"/>
  <c r="C13" i="9"/>
  <c r="I4" i="8"/>
  <c r="F4" i="8"/>
  <c r="G4" i="8"/>
  <c r="B4" i="8"/>
  <c r="D4" i="8"/>
  <c r="I48" i="5"/>
  <c r="D48" i="5"/>
  <c r="O46" i="5"/>
  <c r="E48" i="5"/>
  <c r="B39" i="6"/>
  <c r="C39" i="6" s="1"/>
  <c r="B40" i="6" l="1"/>
  <c r="C40" i="6" s="1"/>
  <c r="B41" i="6" l="1"/>
  <c r="C41" i="6" s="1"/>
  <c r="B42" i="6" l="1"/>
  <c r="C42" i="6" s="1"/>
  <c r="B43" i="6" l="1"/>
  <c r="C43" i="6" s="1"/>
  <c r="B44" i="6" l="1"/>
  <c r="C44" i="6" s="1"/>
  <c r="B45" i="6" l="1"/>
  <c r="C45" i="6" s="1"/>
  <c r="B46" i="6" l="1"/>
  <c r="C46" i="6" s="1"/>
  <c r="B47" i="6" l="1"/>
  <c r="C47" i="6" s="1"/>
  <c r="B48" i="6" l="1"/>
  <c r="C48" i="6" s="1"/>
  <c r="B49" i="6" l="1"/>
  <c r="C49" i="6" s="1"/>
  <c r="B50" i="6" l="1"/>
  <c r="C50" i="6" s="1"/>
  <c r="B51" i="6" l="1"/>
  <c r="C51" i="6" s="1"/>
  <c r="B52" i="6" l="1"/>
  <c r="C52" i="6" s="1"/>
  <c r="B53" i="6" l="1"/>
  <c r="C53" i="6" s="1"/>
  <c r="B54" i="6" l="1"/>
  <c r="C54" i="6" s="1"/>
  <c r="B55" i="6" l="1"/>
  <c r="C55" i="6" s="1"/>
  <c r="B56" i="6" l="1"/>
  <c r="C56" i="6" s="1"/>
  <c r="B57" i="6" l="1"/>
  <c r="C57" i="6" s="1"/>
  <c r="B58" i="6" l="1"/>
  <c r="C58" i="6" s="1"/>
  <c r="B59" i="6" l="1"/>
  <c r="C59" i="6" s="1"/>
  <c r="B60" i="6" l="1"/>
  <c r="C60" i="6" s="1"/>
  <c r="B61" i="6" l="1"/>
  <c r="C61" i="6" s="1"/>
  <c r="B62" i="6" l="1"/>
  <c r="C62" i="6" s="1"/>
  <c r="B63" i="6" l="1"/>
  <c r="C63" i="6" s="1"/>
  <c r="B64" i="6" l="1"/>
  <c r="C64" i="6" s="1"/>
  <c r="B65" i="6" l="1"/>
  <c r="C65" i="6" s="1"/>
  <c r="B66" i="6" l="1"/>
  <c r="C66" i="6" s="1"/>
  <c r="B67" i="6" l="1"/>
  <c r="C67" i="6" s="1"/>
  <c r="B68" i="6" l="1"/>
  <c r="C68" i="6" s="1"/>
  <c r="B69" i="6" l="1"/>
  <c r="C69" i="6" s="1"/>
</calcChain>
</file>

<file path=xl/sharedStrings.xml><?xml version="1.0" encoding="utf-8"?>
<sst xmlns="http://schemas.openxmlformats.org/spreadsheetml/2006/main" count="88" uniqueCount="59">
  <si>
    <t>Actual</t>
  </si>
  <si>
    <t>Target</t>
  </si>
  <si>
    <t>Status of report</t>
  </si>
  <si>
    <t>Service Level</t>
  </si>
  <si>
    <t>Service Level last 12 weeks</t>
  </si>
  <si>
    <t>Availability last 12 weeks</t>
  </si>
  <si>
    <t>Customer Satisfaction last 12 weeks</t>
  </si>
  <si>
    <t>Calls incoming and handled last 12 weeks</t>
  </si>
  <si>
    <t>Scale Dummy</t>
  </si>
  <si>
    <t>Customer satisfaction</t>
  </si>
  <si>
    <t>Availability</t>
  </si>
  <si>
    <t>Handled Calls</t>
  </si>
  <si>
    <t>Incoming Calls</t>
  </si>
  <si>
    <t>Performance Dashboard - Customer Care Center</t>
  </si>
  <si>
    <t>Poor</t>
  </si>
  <si>
    <t>Average</t>
  </si>
  <si>
    <t>Good</t>
  </si>
  <si>
    <t>Data</t>
  </si>
  <si>
    <t>n/a</t>
  </si>
  <si>
    <t>Min Average</t>
  </si>
  <si>
    <t>Min Good</t>
  </si>
  <si>
    <t>Consolidate Data</t>
  </si>
  <si>
    <t>Dashboard Bullet Graphs</t>
  </si>
  <si>
    <t>in 000</t>
  </si>
  <si>
    <t>Actuals last 12 weeks</t>
  </si>
  <si>
    <t>Targets</t>
  </si>
  <si>
    <t>Dashboard Column Charts</t>
  </si>
  <si>
    <t>in %</t>
  </si>
  <si>
    <t>Dashboard Customer Satisfaction Scale</t>
  </si>
  <si>
    <t>X-Value</t>
  </si>
  <si>
    <t>Y-Value</t>
  </si>
  <si>
    <t>Actual 2</t>
  </si>
  <si>
    <t>school grades 1: excellent, ... 6: fail</t>
  </si>
  <si>
    <t>PPT Scale Factor</t>
  </si>
  <si>
    <t>PPT Top Offset</t>
  </si>
  <si>
    <t>PPT Theme</t>
  </si>
  <si>
    <t>Export from week</t>
  </si>
  <si>
    <t>Export to week</t>
  </si>
  <si>
    <t>first week included in export</t>
  </si>
  <si>
    <t>top offset on PPT slide in pixel</t>
  </si>
  <si>
    <t>last week included in export</t>
  </si>
  <si>
    <t>Calculations</t>
  </si>
  <si>
    <t>Control</t>
  </si>
  <si>
    <t>Title</t>
  </si>
  <si>
    <t>Current week</t>
  </si>
  <si>
    <t>Current Calendar Week</t>
  </si>
  <si>
    <t>Start of week</t>
  </si>
  <si>
    <t>Week</t>
  </si>
  <si>
    <t>Filename</t>
  </si>
  <si>
    <t>DOC orientation</t>
  </si>
  <si>
    <t>page orientation of Word document. 0 = portrait; 1 = landscape</t>
  </si>
  <si>
    <t>DOC page breaks</t>
  </si>
  <si>
    <t>page brakes after each dashboard. 0 = no page break; 1 = page break</t>
  </si>
  <si>
    <t>target cell of spinner on dashboard</t>
  </si>
  <si>
    <t>resizing exported dashboard image by this factor</t>
  </si>
  <si>
    <t>Example: C:\Users\Robert\Documents\Custom Office-Template\RM Template.potx</t>
  </si>
  <si>
    <t>slide title in PowerPoint slides and headers in Word documents</t>
  </si>
  <si>
    <t>name of export file (time stamp will be added by code)</t>
  </si>
  <si>
    <t>improved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</si>
</sst>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\,\ dd/mm"/>
    <numFmt numFmtId="165" formatCode="ddd\,\ dd/mm/yyyy"/>
    <numFmt numFmtId="166" formatCode="#,##0.0,"/>
    <numFmt numFmtId="167" formatCode="&quot;Week &quot;0"/>
    <numFmt numFmtId="168" formatCode="&quot;W&quot;\ 0"/>
    <numFmt numFmtId="169" formatCode="#,##0;;"/>
  </numFmts>
  <fonts count="11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4"/>
      <color indexed="8"/>
      <name val="Calibri"/>
      <family val="2"/>
      <scheme val="minor"/>
    </font>
    <font>
      <sz val="16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protection hidden="1"/>
    </xf>
  </cellStyleXfs>
  <cellXfs count="72">
    <xf numFmtId="0" fontId="0" fillId="0" borderId="0" xfId="0">
      <protection hidden="1"/>
    </xf>
    <xf numFmtId="0" fontId="6" fillId="0" borderId="1" xfId="0" applyFont="1" applyBorder="1" applyAlignment="1" applyProtection="1">
      <alignment horizontal="left" vertical="center" indent="1"/>
      <protection hidden="1"/>
    </xf>
    <xf numFmtId="0" fontId="5" fillId="0" borderId="0" xfId="0" applyFont="1" applyFill="1" applyAlignment="1" applyProtection="1">
      <alignment horizontal="left" vertical="center" indent="2"/>
      <protection locked="0"/>
    </xf>
    <xf numFmtId="0" fontId="7" fillId="0" borderId="1" xfId="0" applyFont="1" applyBorder="1" applyAlignment="1" applyProtection="1">
      <alignment horizontal="left" vertical="center" wrapText="1" indent="2"/>
      <protection hidden="1"/>
    </xf>
    <xf numFmtId="0" fontId="7" fillId="0" borderId="0" xfId="0" applyFont="1" applyBorder="1" applyAlignment="1" applyProtection="1">
      <alignment horizontal="left" vertical="center" wrapText="1" indent="2"/>
      <protection hidden="1"/>
    </xf>
    <xf numFmtId="0" fontId="8" fillId="0" borderId="0" xfId="0" applyFont="1" applyAlignment="1" applyProtection="1">
      <alignment vertical="center"/>
      <protection hidden="1"/>
    </xf>
    <xf numFmtId="0" fontId="8" fillId="0" borderId="0" xfId="0" applyFont="1" applyProtection="1">
      <protection hidden="1"/>
    </xf>
    <xf numFmtId="0" fontId="8" fillId="0" borderId="0" xfId="0" applyFont="1" applyBorder="1" applyAlignment="1" applyProtection="1">
      <alignment vertical="center"/>
      <protection hidden="1"/>
    </xf>
    <xf numFmtId="3" fontId="8" fillId="0" borderId="0" xfId="0" applyNumberFormat="1" applyFont="1" applyFill="1" applyBorder="1" applyAlignment="1" applyProtection="1">
      <alignment vertical="center"/>
      <protection hidden="1"/>
    </xf>
    <xf numFmtId="0" fontId="7" fillId="0" borderId="0" xfId="0" applyFont="1" applyAlignment="1" applyProtection="1">
      <alignment horizontal="left" vertical="center" indent="1"/>
      <protection hidden="1"/>
    </xf>
    <xf numFmtId="9" fontId="2" fillId="0" borderId="0" xfId="0" applyNumberFormat="1" applyFont="1" applyBorder="1" applyProtection="1">
      <protection hidden="1"/>
    </xf>
    <xf numFmtId="0" fontId="2" fillId="0" borderId="0" xfId="0" applyFont="1" applyBorder="1" applyProtection="1">
      <protection hidden="1"/>
    </xf>
    <xf numFmtId="0" fontId="2" fillId="0" borderId="0" xfId="0" applyFont="1">
      <protection hidden="1"/>
    </xf>
    <xf numFmtId="0" fontId="7" fillId="0" borderId="1" xfId="0" applyFont="1" applyBorder="1" applyAlignment="1" applyProtection="1">
      <alignment horizontal="center" vertical="center"/>
      <protection hidden="1"/>
    </xf>
    <xf numFmtId="165" fontId="8" fillId="0" borderId="1" xfId="0" applyNumberFormat="1" applyFont="1" applyBorder="1" applyAlignment="1" applyProtection="1">
      <alignment horizontal="center" vertical="center"/>
      <protection hidden="1"/>
    </xf>
    <xf numFmtId="167" fontId="8" fillId="0" borderId="1" xfId="0" applyNumberFormat="1" applyFont="1" applyBorder="1" applyAlignment="1" applyProtection="1">
      <alignment horizontal="center" vertical="center"/>
      <protection hidden="1"/>
    </xf>
    <xf numFmtId="0" fontId="7" fillId="0" borderId="2" xfId="0" applyFont="1" applyBorder="1" applyAlignment="1" applyProtection="1">
      <alignment horizontal="center" vertical="center" wrapText="1"/>
      <protection hidden="1"/>
    </xf>
    <xf numFmtId="0" fontId="7" fillId="0" borderId="0" xfId="0" applyFont="1" applyBorder="1" applyAlignment="1" applyProtection="1">
      <alignment horizontal="center" vertical="center" wrapText="1"/>
      <protection hidden="1"/>
    </xf>
    <xf numFmtId="0" fontId="8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Protection="1">
      <protection hidden="1"/>
    </xf>
    <xf numFmtId="0" fontId="8" fillId="0" borderId="0" xfId="0" applyFont="1" applyBorder="1" applyAlignment="1" applyProtection="1">
      <alignment horizontal="left" vertical="center" indent="2"/>
      <protection hidden="1"/>
    </xf>
    <xf numFmtId="14" fontId="8" fillId="0" borderId="0" xfId="0" applyNumberFormat="1" applyFont="1" applyFill="1" applyBorder="1" applyAlignment="1" applyProtection="1">
      <alignment horizontal="center" vertical="center"/>
      <protection hidden="1"/>
    </xf>
    <xf numFmtId="9" fontId="2" fillId="0" borderId="0" xfId="0" applyNumberFormat="1" applyFont="1" applyFill="1" applyBorder="1" applyProtection="1">
      <protection hidden="1"/>
    </xf>
    <xf numFmtId="0" fontId="2" fillId="2" borderId="0" xfId="0" applyFont="1" applyFill="1" applyBorder="1" applyAlignment="1" applyProtection="1">
      <alignment horizontal="center" vertical="center"/>
      <protection hidden="1"/>
    </xf>
    <xf numFmtId="0" fontId="2" fillId="3" borderId="0" xfId="0" applyFont="1" applyFill="1" applyBorder="1" applyAlignment="1" applyProtection="1">
      <alignment horizontal="center" vertical="center"/>
      <protection hidden="1"/>
    </xf>
    <xf numFmtId="0" fontId="2" fillId="4" borderId="0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/>
      <protection hidden="1"/>
    </xf>
    <xf numFmtId="3" fontId="8" fillId="0" borderId="0" xfId="0" applyNumberFormat="1" applyFont="1" applyFill="1" applyBorder="1" applyAlignment="1" applyProtection="1">
      <alignment horizontal="right" vertical="center"/>
      <protection hidden="1"/>
    </xf>
    <xf numFmtId="9" fontId="8" fillId="0" borderId="0" xfId="0" applyNumberFormat="1" applyFont="1" applyFill="1" applyBorder="1" applyAlignment="1" applyProtection="1">
      <alignment vertical="center"/>
      <protection hidden="1"/>
    </xf>
    <xf numFmtId="4" fontId="8" fillId="0" borderId="0" xfId="0" applyNumberFormat="1" applyFont="1" applyFill="1" applyBorder="1" applyAlignment="1" applyProtection="1">
      <alignment vertical="center"/>
      <protection hidden="1"/>
    </xf>
    <xf numFmtId="4" fontId="8" fillId="0" borderId="0" xfId="0" applyNumberFormat="1" applyFont="1" applyFill="1" applyBorder="1" applyAlignment="1" applyProtection="1">
      <alignment horizontal="right" vertical="center"/>
      <protection hidden="1"/>
    </xf>
    <xf numFmtId="0" fontId="8" fillId="0" borderId="0" xfId="0" applyFont="1" applyBorder="1" applyAlignment="1" applyProtection="1">
      <alignment horizontal="left" indent="2"/>
      <protection hidden="1"/>
    </xf>
    <xf numFmtId="4" fontId="4" fillId="0" borderId="0" xfId="0" applyNumberFormat="1" applyFont="1" applyFill="1" applyBorder="1" applyProtection="1">
      <protection hidden="1"/>
    </xf>
    <xf numFmtId="0" fontId="7" fillId="0" borderId="0" xfId="0" applyFont="1" applyBorder="1" applyAlignment="1" applyProtection="1">
      <alignment horizontal="left" vertical="center" indent="1"/>
      <protection hidden="1"/>
    </xf>
    <xf numFmtId="166" fontId="8" fillId="0" borderId="0" xfId="0" applyNumberFormat="1" applyFont="1" applyFill="1" applyBorder="1" applyAlignment="1" applyProtection="1">
      <alignment vertical="center"/>
      <protection hidden="1"/>
    </xf>
    <xf numFmtId="0" fontId="9" fillId="0" borderId="1" xfId="0" applyFont="1" applyBorder="1" applyAlignment="1" applyProtection="1">
      <alignment horizontal="left" vertical="center" wrapText="1" indent="2"/>
      <protection hidden="1"/>
    </xf>
    <xf numFmtId="0" fontId="8" fillId="6" borderId="0" xfId="0" applyNumberFormat="1" applyFont="1" applyFill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vertical="center"/>
      <protection hidden="1"/>
    </xf>
    <xf numFmtId="0" fontId="9" fillId="0" borderId="1" xfId="0" applyFont="1" applyBorder="1" applyAlignment="1" applyProtection="1">
      <alignment horizontal="left" vertical="center" indent="2"/>
      <protection hidden="1"/>
    </xf>
    <xf numFmtId="0" fontId="1" fillId="0" borderId="1" xfId="0" applyFont="1" applyBorder="1" applyAlignment="1" applyProtection="1">
      <alignment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1" fillId="0" borderId="0" xfId="0" applyFont="1" applyAlignment="1" applyProtection="1">
      <alignment horizontal="right" vertical="center" indent="1"/>
      <protection hidden="1"/>
    </xf>
    <xf numFmtId="0" fontId="1" fillId="6" borderId="0" xfId="0" applyFont="1" applyFill="1" applyAlignment="1" applyProtection="1">
      <alignment horizontal="left" vertical="center" indent="1"/>
      <protection locked="0"/>
    </xf>
    <xf numFmtId="0" fontId="1" fillId="6" borderId="0" xfId="0" applyFont="1" applyFill="1" applyAlignment="1" applyProtection="1">
      <alignment horizontal="center" vertical="center"/>
      <protection locked="0"/>
    </xf>
    <xf numFmtId="9" fontId="1" fillId="6" borderId="0" xfId="0" applyNumberFormat="1" applyFont="1" applyFill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 vertical="center"/>
      <protection hidden="1"/>
    </xf>
    <xf numFmtId="9" fontId="8" fillId="6" borderId="0" xfId="0" applyNumberFormat="1" applyFont="1" applyFill="1" applyBorder="1" applyAlignment="1" applyProtection="1">
      <alignment vertical="center"/>
      <protection locked="0" hidden="1"/>
    </xf>
    <xf numFmtId="4" fontId="8" fillId="6" borderId="0" xfId="0" applyNumberFormat="1" applyFont="1" applyFill="1" applyBorder="1" applyAlignment="1" applyProtection="1">
      <alignment vertical="center"/>
      <protection locked="0" hidden="1"/>
    </xf>
    <xf numFmtId="3" fontId="8" fillId="6" borderId="0" xfId="0" applyNumberFormat="1" applyFont="1" applyFill="1" applyBorder="1" applyAlignment="1" applyProtection="1">
      <alignment horizontal="center" vertical="center"/>
      <protection locked="0" hidden="1"/>
    </xf>
    <xf numFmtId="164" fontId="8" fillId="0" borderId="0" xfId="0" applyNumberFormat="1" applyFont="1" applyBorder="1" applyAlignment="1" applyProtection="1">
      <alignment horizontal="center" vertical="center"/>
      <protection hidden="1"/>
    </xf>
    <xf numFmtId="0" fontId="8" fillId="0" borderId="2" xfId="0" applyFont="1" applyBorder="1" applyAlignment="1" applyProtection="1">
      <alignment vertical="center"/>
      <protection hidden="1"/>
    </xf>
    <xf numFmtId="0" fontId="7" fillId="0" borderId="2" xfId="0" applyFont="1" applyBorder="1" applyAlignment="1" applyProtection="1">
      <alignment horizontal="left" vertical="center" indent="1"/>
      <protection hidden="1"/>
    </xf>
    <xf numFmtId="168" fontId="8" fillId="0" borderId="0" xfId="0" applyNumberFormat="1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left" vertical="center" indent="3"/>
      <protection hidden="1"/>
    </xf>
    <xf numFmtId="0" fontId="8" fillId="0" borderId="2" xfId="0" applyFont="1" applyBorder="1" applyAlignment="1" applyProtection="1">
      <alignment horizontal="center" vertical="top" wrapText="1"/>
      <protection hidden="1"/>
    </xf>
    <xf numFmtId="0" fontId="7" fillId="0" borderId="2" xfId="0" applyFont="1" applyBorder="1" applyAlignment="1" applyProtection="1">
      <alignment horizontal="left" vertical="center" wrapText="1" indent="2"/>
      <protection hidden="1"/>
    </xf>
    <xf numFmtId="3" fontId="8" fillId="0" borderId="3" xfId="0" applyNumberFormat="1" applyFont="1" applyBorder="1" applyAlignment="1" applyProtection="1">
      <alignment horizontal="center" vertical="center"/>
      <protection hidden="1"/>
    </xf>
    <xf numFmtId="3" fontId="8" fillId="0" borderId="0" xfId="0" applyNumberFormat="1" applyFont="1" applyBorder="1" applyAlignment="1" applyProtection="1">
      <alignment horizontal="center" vertical="center"/>
      <protection hidden="1"/>
    </xf>
    <xf numFmtId="165" fontId="8" fillId="0" borderId="0" xfId="0" applyNumberFormat="1" applyFont="1" applyFill="1" applyBorder="1" applyAlignment="1" applyProtection="1">
      <alignment horizontal="center" vertical="center"/>
      <protection hidden="1"/>
    </xf>
    <xf numFmtId="3" fontId="8" fillId="6" borderId="0" xfId="0" applyNumberFormat="1" applyFont="1" applyFill="1" applyBorder="1" applyAlignment="1" applyProtection="1">
      <alignment vertical="center"/>
      <protection locked="0"/>
    </xf>
    <xf numFmtId="9" fontId="8" fillId="6" borderId="0" xfId="0" applyNumberFormat="1" applyFont="1" applyFill="1" applyBorder="1" applyAlignment="1" applyProtection="1">
      <alignment vertical="center"/>
      <protection locked="0"/>
    </xf>
    <xf numFmtId="4" fontId="8" fillId="6" borderId="0" xfId="0" applyNumberFormat="1" applyFont="1" applyFill="1" applyBorder="1" applyAlignment="1" applyProtection="1">
      <alignment vertical="center"/>
      <protection locked="0"/>
    </xf>
    <xf numFmtId="165" fontId="8" fillId="6" borderId="0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horizontal="right" vertical="center"/>
      <protection hidden="1"/>
    </xf>
    <xf numFmtId="169" fontId="8" fillId="0" borderId="2" xfId="0" applyNumberFormat="1" applyFont="1" applyBorder="1" applyAlignment="1" applyProtection="1">
      <alignment horizontal="right" vertical="center"/>
      <protection hidden="1"/>
    </xf>
    <xf numFmtId="0" fontId="8" fillId="0" borderId="1" xfId="0" applyFont="1" applyBorder="1" applyAlignment="1" applyProtection="1">
      <alignment horizontal="center" vertical="center"/>
      <protection hidden="1"/>
    </xf>
    <xf numFmtId="0" fontId="7" fillId="0" borderId="2" xfId="0" applyFont="1" applyBorder="1" applyAlignment="1" applyProtection="1">
      <alignment horizontal="center" vertical="center" wrapText="1"/>
      <protection hidden="1"/>
    </xf>
    <xf numFmtId="0" fontId="8" fillId="0" borderId="3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/>
      <protection hidden="1"/>
    </xf>
    <xf numFmtId="3" fontId="10" fillId="0" borderId="0" xfId="0" applyNumberFormat="1" applyFont="1" applyBorder="1" applyAlignment="1" applyProtection="1">
      <alignment horizontal="center" vertical="center"/>
      <protection hidden="1"/>
    </xf>
  </cellXfs>
  <cellStyles count="1">
    <cellStyle name="Standard" xfId="0" builtinId="0"/>
  </cellStyles>
  <dxfs count="3">
    <dxf>
      <border>
        <left style="thin">
          <color rgb="FFE5ECF6"/>
        </left>
        <right style="thin">
          <color rgb="FFE5ECF6"/>
        </right>
        <top style="thin">
          <color rgb="FFE5ECF6"/>
        </top>
        <bottom style="thin">
          <color rgb="FFE5ECF6"/>
        </bottom>
        <vertical style="thin">
          <color rgb="FFE5ECF6"/>
        </vertical>
        <horizontal style="thin">
          <color rgb="FFE5ECF6"/>
        </horizontal>
      </border>
    </dxf>
    <dxf>
      <font>
        <color auto="1"/>
      </font>
      <fill>
        <patternFill>
          <bgColor rgb="FFEBEBEB"/>
        </patternFill>
      </fill>
      <border>
        <left style="thin">
          <color rgb="FFE5ECF6"/>
        </left>
        <right style="thin">
          <color rgb="FFE5ECF6"/>
        </right>
        <top style="thin">
          <color rgb="FFE5ECF6"/>
        </top>
        <bottom style="thin">
          <color rgb="FFE5ECF6"/>
        </bottom>
        <vertical style="thin">
          <color rgb="FFE5ECF6"/>
        </vertical>
        <horizontal style="thin">
          <color rgb="FFE5ECF6"/>
        </horizontal>
      </border>
    </dxf>
    <dxf>
      <font>
        <color theme="0"/>
      </font>
      <fill>
        <patternFill>
          <bgColor rgb="FF113388"/>
        </patternFill>
      </fill>
      <border>
        <left style="thin">
          <color rgb="FFE5ECF6"/>
        </left>
        <right style="thin">
          <color rgb="FFE5ECF6"/>
        </right>
        <top style="thin">
          <color rgb="FFE5ECF6"/>
        </top>
        <bottom style="thin">
          <color rgb="FFE5ECF6"/>
        </bottom>
        <vertical style="thin">
          <color rgb="FFE5ECF6"/>
        </vertical>
        <horizontal style="thin">
          <color rgb="FFE5ECF6"/>
        </horizontal>
      </border>
    </dxf>
  </dxfs>
  <tableStyles count="1" defaultTableStyle="TableStyleMedium9" defaultPivotStyle="PivotStyleLight16">
    <tableStyle name="Euler Hermes" pivot="0" count="3">
      <tableStyleElement type="headerRow" dxfId="2"/>
      <tableStyleElement type="firstRowStripe" dxfId="1"/>
      <tableStyleElement type="secondRow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5F5F5F"/>
      <rgbColor rgb="00FFFF00"/>
      <rgbColor rgb="00FF00FF"/>
      <rgbColor rgb="00C0C0C0"/>
      <rgbColor rgb="00800000"/>
      <rgbColor rgb="00008000"/>
      <rgbColor rgb="00808080"/>
      <rgbColor rgb="00808000"/>
      <rgbColor rgb="00800080"/>
      <rgbColor rgb="00EAEAEA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66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969696"/>
      <rgbColor rgb="00CCFFCC"/>
      <rgbColor rgb="00FFFF99"/>
      <rgbColor rgb="0099CCFF"/>
      <rgbColor rgb="00FF99CC"/>
      <rgbColor rgb="00EAEAEA"/>
      <rgbColor rgb="00E3E3E3"/>
      <rgbColor rgb="004D4D4D"/>
      <rgbColor rgb="00DDDDDD"/>
      <rgbColor rgb="0099CC00"/>
      <rgbColor rgb="00FFCC00"/>
      <rgbColor rgb="00FF9900"/>
      <rgbColor rgb="00FF6600"/>
      <rgbColor rgb="00666699"/>
      <rgbColor rgb="00969696"/>
      <rgbColor rgb="00F8F8F8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988764044943819E-2"/>
          <c:y val="0.15000073242545128"/>
          <c:w val="0.8848314606741573"/>
          <c:h val="0.4400021484479904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calculations!$F$20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dLbls>
            <c:numFmt formatCode="0%;;" sourceLinked="0"/>
            <c:spPr>
              <a:noFill/>
              <a:ln w="25400">
                <a:noFill/>
              </a:ln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calculations!$F$22:$F$24</c:f>
              <c:numCache>
                <c:formatCode>0%</c:formatCode>
                <c:ptCount val="3"/>
                <c:pt idx="0">
                  <c:v>0</c:v>
                </c:pt>
                <c:pt idx="1">
                  <c:v>0.57999999999999996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calculations!$G$20</c:f>
              <c:strCache>
                <c:ptCount val="1"/>
                <c:pt idx="0">
                  <c:v>Poor</c:v>
                </c:pt>
              </c:strCache>
            </c:strRef>
          </c:tx>
          <c:spPr>
            <a:solidFill>
              <a:srgbClr val="808080"/>
            </a:solidFill>
            <a:ln w="25400">
              <a:noFill/>
            </a:ln>
          </c:spPr>
          <c:invertIfNegative val="0"/>
          <c:val>
            <c:numRef>
              <c:f>calculations!$G$22:$G$24</c:f>
              <c:numCache>
                <c:formatCode>0%</c:formatCode>
                <c:ptCount val="3"/>
                <c:pt idx="0">
                  <c:v>0.35</c:v>
                </c:pt>
                <c:pt idx="1">
                  <c:v>0</c:v>
                </c:pt>
                <c:pt idx="2">
                  <c:v>0.35</c:v>
                </c:pt>
              </c:numCache>
            </c:numRef>
          </c:val>
        </c:ser>
        <c:ser>
          <c:idx val="2"/>
          <c:order val="2"/>
          <c:tx>
            <c:strRef>
              <c:f>calculations!$H$20</c:f>
              <c:strCache>
                <c:ptCount val="1"/>
                <c:pt idx="0">
                  <c:v>Average</c:v>
                </c:pt>
              </c:strCache>
            </c:strRef>
          </c:tx>
          <c:spPr>
            <a:solidFill>
              <a:srgbClr val="969696"/>
            </a:solidFill>
            <a:ln w="25400">
              <a:noFill/>
            </a:ln>
          </c:spPr>
          <c:invertIfNegative val="0"/>
          <c:val>
            <c:numRef>
              <c:f>calculations!$H$22:$H$24</c:f>
              <c:numCache>
                <c:formatCode>0%</c:formatCode>
                <c:ptCount val="3"/>
                <c:pt idx="0">
                  <c:v>0.35</c:v>
                </c:pt>
                <c:pt idx="1">
                  <c:v>0.12</c:v>
                </c:pt>
                <c:pt idx="2">
                  <c:v>0.35</c:v>
                </c:pt>
              </c:numCache>
            </c:numRef>
          </c:val>
        </c:ser>
        <c:ser>
          <c:idx val="3"/>
          <c:order val="3"/>
          <c:tx>
            <c:strRef>
              <c:f>calculations!$I$22</c:f>
              <c:strCache>
                <c:ptCount val="1"/>
                <c:pt idx="0">
                  <c:v>0%</c:v>
                </c:pt>
              </c:strCache>
            </c:strRef>
          </c:tx>
          <c:spPr>
            <a:solidFill>
              <a:srgbClr val="E3E3E3"/>
            </a:solidFill>
            <a:ln w="25400">
              <a:noFill/>
            </a:ln>
          </c:spPr>
          <c:invertIfNegative val="0"/>
          <c:val>
            <c:numRef>
              <c:f>calculations!$I$22:$I$24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84211040"/>
        <c:axId val="384212216"/>
      </c:barChart>
      <c:scatterChart>
        <c:scatterStyle val="lineMarker"/>
        <c:varyColors val="0"/>
        <c:ser>
          <c:idx val="4"/>
          <c:order val="4"/>
          <c:tx>
            <c:strRef>
              <c:f>calculations!$B$23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calculations!$C$23:$C$24</c:f>
              <c:numCache>
                <c:formatCode>0%</c:formatCode>
                <c:ptCount val="2"/>
                <c:pt idx="0">
                  <c:v>0.6</c:v>
                </c:pt>
                <c:pt idx="1">
                  <c:v>0.6</c:v>
                </c:pt>
              </c:numCache>
            </c:numRef>
          </c:xVal>
          <c:yVal>
            <c:numRef>
              <c:f>calculations!$D$23:$D$24</c:f>
              <c:numCache>
                <c:formatCode>General</c:formatCode>
                <c:ptCount val="2"/>
                <c:pt idx="0">
                  <c:v>1.2</c:v>
                </c:pt>
                <c:pt idx="1">
                  <c:v>2.8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207512"/>
        <c:axId val="384204768"/>
      </c:scatterChart>
      <c:catAx>
        <c:axId val="384211040"/>
        <c:scaling>
          <c:orientation val="minMax"/>
        </c:scaling>
        <c:delete val="0"/>
        <c:axPos val="l"/>
        <c:majorTickMark val="none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384212216"/>
        <c:crosses val="autoZero"/>
        <c:auto val="1"/>
        <c:lblAlgn val="ctr"/>
        <c:lblOffset val="100"/>
        <c:tickMarkSkip val="1"/>
        <c:noMultiLvlLbl val="0"/>
      </c:catAx>
      <c:valAx>
        <c:axId val="384212216"/>
        <c:scaling>
          <c:orientation val="minMax"/>
          <c:max val="1"/>
          <c:min val="0"/>
        </c:scaling>
        <c:delete val="0"/>
        <c:axPos val="b"/>
        <c:numFmt formatCode="0%" sourceLinked="1"/>
        <c:majorTickMark val="out"/>
        <c:minorTickMark val="none"/>
        <c:tickLblPos val="nextTo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384211040"/>
        <c:crosses val="autoZero"/>
        <c:crossBetween val="between"/>
      </c:valAx>
      <c:valAx>
        <c:axId val="38420751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384204768"/>
        <c:crosses val="autoZero"/>
        <c:crossBetween val="midCat"/>
      </c:valAx>
      <c:valAx>
        <c:axId val="384204768"/>
        <c:scaling>
          <c:orientation val="minMax"/>
          <c:max val="3"/>
          <c:min val="1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crossAx val="384207512"/>
        <c:crosses val="max"/>
        <c:crossBetween val="midCat"/>
      </c:valAx>
      <c:spPr>
        <a:solidFill>
          <a:srgbClr val="E3E3E3"/>
        </a:solidFill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-3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988764044943819E-2"/>
          <c:y val="0.15000073242545128"/>
          <c:w val="0.8848314606741573"/>
          <c:h val="0.4400021484479904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calculations!$F$28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dLbls>
            <c:numFmt formatCode="0%;;" sourceLinked="0"/>
            <c:spPr>
              <a:noFill/>
              <a:ln w="25400">
                <a:noFill/>
              </a:ln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calculations!$F$30:$F$32</c:f>
              <c:numCache>
                <c:formatCode>0%</c:formatCode>
                <c:ptCount val="3"/>
                <c:pt idx="0">
                  <c:v>0</c:v>
                </c:pt>
                <c:pt idx="1">
                  <c:v>0.93000420280441676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calculations!$G$28</c:f>
              <c:strCache>
                <c:ptCount val="1"/>
                <c:pt idx="0">
                  <c:v>Poor</c:v>
                </c:pt>
              </c:strCache>
            </c:strRef>
          </c:tx>
          <c:spPr>
            <a:solidFill>
              <a:srgbClr val="808080"/>
            </a:solidFill>
            <a:ln w="25400">
              <a:noFill/>
            </a:ln>
          </c:spPr>
          <c:invertIfNegative val="0"/>
          <c:val>
            <c:numRef>
              <c:f>calculations!$G$30:$G$32</c:f>
              <c:numCache>
                <c:formatCode>0%</c:formatCode>
                <c:ptCount val="3"/>
                <c:pt idx="0">
                  <c:v>0.7</c:v>
                </c:pt>
                <c:pt idx="1">
                  <c:v>0</c:v>
                </c:pt>
                <c:pt idx="2">
                  <c:v>0.7</c:v>
                </c:pt>
              </c:numCache>
            </c:numRef>
          </c:val>
        </c:ser>
        <c:ser>
          <c:idx val="2"/>
          <c:order val="2"/>
          <c:tx>
            <c:strRef>
              <c:f>calculations!$H$28</c:f>
              <c:strCache>
                <c:ptCount val="1"/>
                <c:pt idx="0">
                  <c:v>Average</c:v>
                </c:pt>
              </c:strCache>
            </c:strRef>
          </c:tx>
          <c:spPr>
            <a:solidFill>
              <a:srgbClr val="969696"/>
            </a:solidFill>
            <a:ln w="25400">
              <a:noFill/>
            </a:ln>
          </c:spPr>
          <c:invertIfNegative val="0"/>
          <c:val>
            <c:numRef>
              <c:f>calculations!$H$30:$H$32</c:f>
              <c:numCache>
                <c:formatCode>0%</c:formatCode>
                <c:ptCount val="3"/>
                <c:pt idx="0">
                  <c:v>0.20000000000000007</c:v>
                </c:pt>
                <c:pt idx="1">
                  <c:v>0</c:v>
                </c:pt>
                <c:pt idx="2">
                  <c:v>0.20000000000000007</c:v>
                </c:pt>
              </c:numCache>
            </c:numRef>
          </c:val>
        </c:ser>
        <c:ser>
          <c:idx val="3"/>
          <c:order val="3"/>
          <c:tx>
            <c:strRef>
              <c:f>calculations!$I$30</c:f>
              <c:strCache>
                <c:ptCount val="1"/>
                <c:pt idx="0">
                  <c:v>0%</c:v>
                </c:pt>
              </c:strCache>
            </c:strRef>
          </c:tx>
          <c:spPr>
            <a:solidFill>
              <a:srgbClr val="E3E3E3"/>
            </a:solidFill>
            <a:ln w="25400">
              <a:noFill/>
            </a:ln>
          </c:spPr>
          <c:invertIfNegative val="0"/>
          <c:val>
            <c:numRef>
              <c:f>calculations!$I$30:$I$32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30886904"/>
        <c:axId val="430887688"/>
      </c:barChart>
      <c:scatterChart>
        <c:scatterStyle val="lineMarker"/>
        <c:varyColors val="0"/>
        <c:ser>
          <c:idx val="4"/>
          <c:order val="4"/>
          <c:tx>
            <c:strRef>
              <c:f>calculations!$B$31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calculations!$C$31:$C$32</c:f>
              <c:numCache>
                <c:formatCode>0%</c:formatCode>
                <c:ptCount val="2"/>
                <c:pt idx="0">
                  <c:v>0.85</c:v>
                </c:pt>
                <c:pt idx="1">
                  <c:v>0.85</c:v>
                </c:pt>
              </c:numCache>
            </c:numRef>
          </c:xVal>
          <c:yVal>
            <c:numRef>
              <c:f>calculations!$D$31:$D$32</c:f>
              <c:numCache>
                <c:formatCode>General</c:formatCode>
                <c:ptCount val="2"/>
                <c:pt idx="0">
                  <c:v>1.2</c:v>
                </c:pt>
                <c:pt idx="1">
                  <c:v>2.8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882984"/>
        <c:axId val="430886120"/>
      </c:scatterChart>
      <c:catAx>
        <c:axId val="430886904"/>
        <c:scaling>
          <c:orientation val="minMax"/>
        </c:scaling>
        <c:delete val="0"/>
        <c:axPos val="l"/>
        <c:majorTickMark val="none"/>
        <c:minorTickMark val="none"/>
        <c:tickLblPos val="none"/>
        <c:spPr>
          <a:ln w="9525">
            <a:noFill/>
          </a:ln>
        </c:spPr>
        <c:crossAx val="430887688"/>
        <c:crosses val="autoZero"/>
        <c:auto val="1"/>
        <c:lblAlgn val="ctr"/>
        <c:lblOffset val="100"/>
        <c:tickMarkSkip val="1"/>
        <c:noMultiLvlLbl val="0"/>
      </c:catAx>
      <c:valAx>
        <c:axId val="430887688"/>
        <c:scaling>
          <c:orientation val="minMax"/>
          <c:max val="1"/>
          <c:min val="0"/>
        </c:scaling>
        <c:delete val="0"/>
        <c:axPos val="b"/>
        <c:numFmt formatCode="0%" sourceLinked="1"/>
        <c:majorTickMark val="out"/>
        <c:minorTickMark val="none"/>
        <c:tickLblPos val="nextTo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430886904"/>
        <c:crosses val="autoZero"/>
        <c:crossBetween val="between"/>
      </c:valAx>
      <c:valAx>
        <c:axId val="430882984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430886120"/>
        <c:crosses val="autoZero"/>
        <c:crossBetween val="midCat"/>
      </c:valAx>
      <c:valAx>
        <c:axId val="430886120"/>
        <c:scaling>
          <c:orientation val="minMax"/>
          <c:max val="3"/>
          <c:min val="1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crossAx val="430882984"/>
        <c:crosses val="max"/>
        <c:crossBetween val="midCat"/>
      </c:valAx>
      <c:spPr>
        <a:solidFill>
          <a:srgbClr val="E3E3E3"/>
        </a:solidFill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898876404494381E-2"/>
          <c:y val="0.40833665638555"/>
          <c:w val="0.9466292134831461"/>
          <c:h val="0.33333604602902039"/>
        </c:manualLayout>
      </c:layout>
      <c:scatterChart>
        <c:scatterStyle val="lineMarker"/>
        <c:varyColors val="0"/>
        <c:ser>
          <c:idx val="6"/>
          <c:order val="0"/>
          <c:tx>
            <c:strRef>
              <c:f>calculations!$C$36</c:f>
              <c:strCache>
                <c:ptCount val="1"/>
                <c:pt idx="0">
                  <c:v>Target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20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  <a:prstDash val="solid"/>
              </a:ln>
            </c:spPr>
          </c:marker>
          <c:dLbls>
            <c:dLbl>
              <c:idx val="0"/>
              <c:layout>
                <c:manualLayout>
                  <c:x val="-9.3322929976645388E-2"/>
                  <c:y val="-0.47323957766475166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400" b="0"/>
                </a:pPr>
                <a:endParaRPr lang="de-DE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calculations!$C$37</c:f>
              <c:numCache>
                <c:formatCode>#,##0.00</c:formatCode>
                <c:ptCount val="1"/>
                <c:pt idx="0">
                  <c:v>3.04</c:v>
                </c:pt>
              </c:numCache>
            </c:numRef>
          </c:xVal>
          <c:yVal>
            <c:numRef>
              <c:f>calculations!$C$38</c:f>
              <c:numCache>
                <c:formatCode>#,##0.00</c:formatCode>
                <c:ptCount val="1"/>
                <c:pt idx="0">
                  <c:v>0.1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calculations!$D$36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calculations!$D$37:$E$37</c:f>
              <c:numCache>
                <c:formatCode>#,##0.00</c:formatCode>
                <c:ptCount val="2"/>
                <c:pt idx="0">
                  <c:v>2.5</c:v>
                </c:pt>
                <c:pt idx="1">
                  <c:v>2.5</c:v>
                </c:pt>
              </c:numCache>
            </c:numRef>
          </c:xVal>
          <c:yVal>
            <c:numRef>
              <c:f>calculations!$D$38:$E$38</c:f>
              <c:numCache>
                <c:formatCode>#,##0.00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886512"/>
        <c:axId val="430883768"/>
      </c:scatterChart>
      <c:valAx>
        <c:axId val="430886512"/>
        <c:scaling>
          <c:orientation val="minMax"/>
          <c:max val="6"/>
          <c:min val="1"/>
        </c:scaling>
        <c:delete val="0"/>
        <c:axPos val="b"/>
        <c:numFmt formatCode="General" sourceLinked="0"/>
        <c:majorTickMark val="none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430883768"/>
        <c:crosses val="autoZero"/>
        <c:crossBetween val="midCat"/>
        <c:majorUnit val="1"/>
      </c:valAx>
      <c:valAx>
        <c:axId val="430883768"/>
        <c:scaling>
          <c:orientation val="minMax"/>
          <c:max val="1"/>
          <c:min val="0"/>
        </c:scaling>
        <c:delete val="1"/>
        <c:axPos val="l"/>
        <c:numFmt formatCode="#,##0.00" sourceLinked="1"/>
        <c:majorTickMark val="out"/>
        <c:minorTickMark val="none"/>
        <c:tickLblPos val="nextTo"/>
        <c:crossAx val="430886512"/>
        <c:crosses val="autoZero"/>
        <c:crossBetween val="midCat"/>
      </c:valAx>
      <c:spPr>
        <a:gradFill rotWithShape="0">
          <a:gsLst>
            <a:gs pos="0">
              <a:srgbClr val="008000"/>
            </a:gs>
            <a:gs pos="100000">
              <a:srgbClr val="FF0000"/>
            </a:gs>
          </a:gsLst>
          <a:lin ang="0" scaled="1"/>
        </a:gradFill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314606741573038E-2"/>
          <c:y val="6.8750000000000006E-2"/>
          <c:w val="0.898876404494382"/>
          <c:h val="0.756249999999999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calculations!$B$47</c:f>
              <c:strCache>
                <c:ptCount val="1"/>
                <c:pt idx="0">
                  <c:v>Service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0%;;" sourceLinked="0"/>
            <c:spPr>
              <a:noFill/>
              <a:ln w="25400">
                <a:noFill/>
              </a:ln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calculations!$D$43:$O$43</c:f>
              <c:numCache>
                <c:formatCode>#,##0;;</c:formatCode>
                <c:ptCount val="12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</c:numCache>
            </c:numRef>
          </c:cat>
          <c:val>
            <c:numRef>
              <c:f>calculations!$D$47:$O$47</c:f>
              <c:numCache>
                <c:formatCode>0%</c:formatCode>
                <c:ptCount val="12"/>
                <c:pt idx="0">
                  <c:v>0.51</c:v>
                </c:pt>
                <c:pt idx="1">
                  <c:v>0.59</c:v>
                </c:pt>
                <c:pt idx="2">
                  <c:v>0.69</c:v>
                </c:pt>
                <c:pt idx="3">
                  <c:v>0.66</c:v>
                </c:pt>
                <c:pt idx="4">
                  <c:v>0.74</c:v>
                </c:pt>
                <c:pt idx="5">
                  <c:v>0.62</c:v>
                </c:pt>
                <c:pt idx="6">
                  <c:v>0.65</c:v>
                </c:pt>
                <c:pt idx="7">
                  <c:v>0.68</c:v>
                </c:pt>
                <c:pt idx="8">
                  <c:v>0.57999999999999996</c:v>
                </c:pt>
                <c:pt idx="9">
                  <c:v>0.75</c:v>
                </c:pt>
                <c:pt idx="10">
                  <c:v>0.8</c:v>
                </c:pt>
                <c:pt idx="11">
                  <c:v>0.57999999999999996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30888472"/>
        <c:axId val="430889256"/>
      </c:barChart>
      <c:scatterChart>
        <c:scatterStyle val="lineMarker"/>
        <c:varyColors val="0"/>
        <c:ser>
          <c:idx val="1"/>
          <c:order val="1"/>
          <c:tx>
            <c:strRef>
              <c:f>calculations!$B$52</c:f>
              <c:strCache>
                <c:ptCount val="1"/>
                <c:pt idx="0">
                  <c:v>Service Level</c:v>
                </c:pt>
              </c:strCache>
            </c:strRef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1"/>
            <c:val val="0.5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calculations!$D$52:$O$52</c:f>
              <c:numCache>
                <c:formatCode>0%</c:formatCode>
                <c:ptCount val="12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  <c:pt idx="10">
                  <c:v>0.6</c:v>
                </c:pt>
                <c:pt idx="11">
                  <c:v>0.6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888472"/>
        <c:axId val="430889256"/>
      </c:scatterChart>
      <c:catAx>
        <c:axId val="430888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Calendar Weeks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#,##0;;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430889256"/>
        <c:crosses val="autoZero"/>
        <c:auto val="1"/>
        <c:lblAlgn val="ctr"/>
        <c:lblOffset val="100"/>
        <c:noMultiLvlLbl val="0"/>
      </c:catAx>
      <c:valAx>
        <c:axId val="430889256"/>
        <c:scaling>
          <c:orientation val="minMax"/>
          <c:max val="1"/>
        </c:scaling>
        <c:delete val="0"/>
        <c:axPos val="l"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430888472"/>
        <c:crosses val="autoZero"/>
        <c:crossBetween val="between"/>
        <c:majorUnit val="0.2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de-DE"/>
    </a:p>
  </c:txPr>
  <c:printSettings>
    <c:headerFooter/>
    <c:pageMargins b="0.78740157499999996" l="0.70000000000000051" r="0.70000000000000051" t="0.78740157499999996" header="0.30000000000000027" footer="0.30000000000000027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314606741573038E-2"/>
          <c:y val="7.1874999999999994E-2"/>
          <c:w val="0.898876404494382"/>
          <c:h val="0.753125000000000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calculations!$B$48</c:f>
              <c:strCache>
                <c:ptCount val="1"/>
                <c:pt idx="0">
                  <c:v>Availability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dLbls>
            <c:numFmt formatCode="0%;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calculations!$D$43:$O$43</c:f>
              <c:numCache>
                <c:formatCode>#,##0;;</c:formatCode>
                <c:ptCount val="12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</c:numCache>
            </c:numRef>
          </c:cat>
          <c:val>
            <c:numRef>
              <c:f>calculations!$D$48:$O$48</c:f>
              <c:numCache>
                <c:formatCode>0%</c:formatCode>
                <c:ptCount val="12"/>
                <c:pt idx="0">
                  <c:v>0.8600210328222726</c:v>
                </c:pt>
                <c:pt idx="1">
                  <c:v>0.94997880457821116</c:v>
                </c:pt>
                <c:pt idx="2">
                  <c:v>0.92001426194437841</c:v>
                </c:pt>
                <c:pt idx="3">
                  <c:v>0.86000629326620515</c:v>
                </c:pt>
                <c:pt idx="4">
                  <c:v>0.83000166306336276</c:v>
                </c:pt>
                <c:pt idx="5">
                  <c:v>0.83001089066717171</c:v>
                </c:pt>
                <c:pt idx="6">
                  <c:v>0.91998710887144031</c:v>
                </c:pt>
                <c:pt idx="7">
                  <c:v>0.84001098637003468</c:v>
                </c:pt>
                <c:pt idx="8">
                  <c:v>0.87999176615891317</c:v>
                </c:pt>
                <c:pt idx="9">
                  <c:v>0.94001831501831501</c:v>
                </c:pt>
                <c:pt idx="10">
                  <c:v>0.76998191681735983</c:v>
                </c:pt>
                <c:pt idx="11">
                  <c:v>0.93000420280441676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30888080"/>
        <c:axId val="430889648"/>
      </c:barChart>
      <c:scatterChart>
        <c:scatterStyle val="lineMarker"/>
        <c:varyColors val="0"/>
        <c:ser>
          <c:idx val="1"/>
          <c:order val="1"/>
          <c:tx>
            <c:strRef>
              <c:f>calculations!$B$53</c:f>
              <c:strCache>
                <c:ptCount val="1"/>
                <c:pt idx="0">
                  <c:v>Availability</c:v>
                </c:pt>
              </c:strCache>
            </c:strRef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1"/>
            <c:val val="0.5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calculations!$D$53:$O$53</c:f>
              <c:numCache>
                <c:formatCode>0%</c:formatCode>
                <c:ptCount val="12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888080"/>
        <c:axId val="430889648"/>
      </c:scatterChart>
      <c:catAx>
        <c:axId val="43088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Calendar Weeks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#,##0;;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430889648"/>
        <c:crosses val="autoZero"/>
        <c:auto val="1"/>
        <c:lblAlgn val="ctr"/>
        <c:lblOffset val="100"/>
        <c:noMultiLvlLbl val="0"/>
      </c:catAx>
      <c:valAx>
        <c:axId val="430889648"/>
        <c:scaling>
          <c:orientation val="minMax"/>
          <c:max val="1"/>
        </c:scaling>
        <c:delete val="0"/>
        <c:axPos val="l"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430888080"/>
        <c:crosses val="autoZero"/>
        <c:crossBetween val="between"/>
        <c:majorUnit val="0.2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de-DE"/>
    </a:p>
  </c:tx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69662921348315E-2"/>
          <c:y val="0.13000042317846086"/>
          <c:w val="0.9044943820224719"/>
          <c:h val="0.695002296587926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calculations!$B$44</c:f>
              <c:strCache>
                <c:ptCount val="1"/>
                <c:pt idx="0">
                  <c:v>Incoming Calls in 000</c:v>
                </c:pt>
              </c:strCache>
            </c:strRef>
          </c:tx>
          <c:spPr>
            <a:solidFill>
              <a:srgbClr val="C0C0C0"/>
            </a:solidFill>
            <a:ln w="25400">
              <a:noFill/>
            </a:ln>
          </c:spPr>
          <c:invertIfNegative val="0"/>
          <c:cat>
            <c:numRef>
              <c:f>calculations!$D$43:$O$43</c:f>
              <c:numCache>
                <c:formatCode>#,##0;;</c:formatCode>
                <c:ptCount val="12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</c:numCache>
            </c:numRef>
          </c:cat>
          <c:val>
            <c:numRef>
              <c:f>calculations!$D$44:$O$44</c:f>
              <c:numCache>
                <c:formatCode>#,##0.0,</c:formatCode>
                <c:ptCount val="12"/>
                <c:pt idx="0">
                  <c:v>18067</c:v>
                </c:pt>
                <c:pt idx="1">
                  <c:v>21231</c:v>
                </c:pt>
                <c:pt idx="2">
                  <c:v>33656</c:v>
                </c:pt>
                <c:pt idx="3">
                  <c:v>31780</c:v>
                </c:pt>
                <c:pt idx="4">
                  <c:v>30065</c:v>
                </c:pt>
                <c:pt idx="5">
                  <c:v>21119</c:v>
                </c:pt>
                <c:pt idx="6">
                  <c:v>34132</c:v>
                </c:pt>
                <c:pt idx="7">
                  <c:v>29127</c:v>
                </c:pt>
                <c:pt idx="8">
                  <c:v>29148</c:v>
                </c:pt>
                <c:pt idx="9">
                  <c:v>26208</c:v>
                </c:pt>
                <c:pt idx="10">
                  <c:v>22120</c:v>
                </c:pt>
                <c:pt idx="11">
                  <c:v>26173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431821848"/>
        <c:axId val="431824592"/>
      </c:barChart>
      <c:barChart>
        <c:barDir val="col"/>
        <c:grouping val="clustered"/>
        <c:varyColors val="0"/>
        <c:ser>
          <c:idx val="1"/>
          <c:order val="1"/>
          <c:tx>
            <c:strRef>
              <c:f>calculations!$B$45</c:f>
              <c:strCache>
                <c:ptCount val="1"/>
                <c:pt idx="0">
                  <c:v>Handled Calls in 000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25400">
              <a:noFill/>
            </a:ln>
          </c:spPr>
          <c:invertIfNegative val="0"/>
          <c:cat>
            <c:numRef>
              <c:f>calculations!$D$43:$O$43</c:f>
              <c:numCache>
                <c:formatCode>#,##0;;</c:formatCode>
                <c:ptCount val="12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</c:numCache>
            </c:numRef>
          </c:cat>
          <c:val>
            <c:numRef>
              <c:f>calculations!$D$45:$O$45</c:f>
              <c:numCache>
                <c:formatCode>#,##0.0,</c:formatCode>
                <c:ptCount val="12"/>
                <c:pt idx="0">
                  <c:v>15538</c:v>
                </c:pt>
                <c:pt idx="1">
                  <c:v>20169</c:v>
                </c:pt>
                <c:pt idx="2">
                  <c:v>30964</c:v>
                </c:pt>
                <c:pt idx="3">
                  <c:v>27331</c:v>
                </c:pt>
                <c:pt idx="4">
                  <c:v>24954</c:v>
                </c:pt>
                <c:pt idx="5">
                  <c:v>17529</c:v>
                </c:pt>
                <c:pt idx="6">
                  <c:v>31401</c:v>
                </c:pt>
                <c:pt idx="7">
                  <c:v>24467</c:v>
                </c:pt>
                <c:pt idx="8">
                  <c:v>25650</c:v>
                </c:pt>
                <c:pt idx="9">
                  <c:v>24636</c:v>
                </c:pt>
                <c:pt idx="10">
                  <c:v>17032</c:v>
                </c:pt>
                <c:pt idx="11">
                  <c:v>24341</c:v>
                </c:pt>
              </c:numCache>
            </c:numRef>
          </c:val>
        </c:ser>
        <c:ser>
          <c:idx val="2"/>
          <c:order val="2"/>
          <c:tx>
            <c:strRef>
              <c:f>calculations!$B$46</c:f>
              <c:strCache>
                <c:ptCount val="1"/>
                <c:pt idx="0">
                  <c:v>Scale Dummy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cat>
            <c:numRef>
              <c:f>calculations!$D$43:$O$43</c:f>
              <c:numCache>
                <c:formatCode>#,##0;;</c:formatCode>
                <c:ptCount val="12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</c:numCache>
            </c:numRef>
          </c:cat>
          <c:val>
            <c:numRef>
              <c:f>calculations!$D$46:$O$46</c:f>
              <c:numCache>
                <c:formatCode>#,##0.0,</c:formatCode>
                <c:ptCount val="12"/>
                <c:pt idx="11">
                  <c:v>34132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overlap val="100"/>
        <c:axId val="431822632"/>
        <c:axId val="431822240"/>
      </c:barChart>
      <c:catAx>
        <c:axId val="431821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Calendar Weeks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#,##0;;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431824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1824592"/>
        <c:scaling>
          <c:orientation val="minMax"/>
        </c:scaling>
        <c:delete val="0"/>
        <c:axPos val="l"/>
        <c:numFmt formatCode="#,##0,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431821848"/>
        <c:crosses val="autoZero"/>
        <c:crossBetween val="between"/>
      </c:valAx>
      <c:catAx>
        <c:axId val="431822632"/>
        <c:scaling>
          <c:orientation val="minMax"/>
        </c:scaling>
        <c:delete val="1"/>
        <c:axPos val="b"/>
        <c:numFmt formatCode="#,##0;;" sourceLinked="1"/>
        <c:majorTickMark val="out"/>
        <c:minorTickMark val="none"/>
        <c:tickLblPos val="nextTo"/>
        <c:crossAx val="431822240"/>
        <c:crosses val="autoZero"/>
        <c:auto val="1"/>
        <c:lblAlgn val="ctr"/>
        <c:lblOffset val="100"/>
        <c:noMultiLvlLbl val="0"/>
      </c:catAx>
      <c:valAx>
        <c:axId val="431822240"/>
        <c:scaling>
          <c:orientation val="minMax"/>
        </c:scaling>
        <c:delete val="1"/>
        <c:axPos val="r"/>
        <c:numFmt formatCode="#,##0.0," sourceLinked="1"/>
        <c:majorTickMark val="out"/>
        <c:minorTickMark val="none"/>
        <c:tickLblPos val="nextTo"/>
        <c:crossAx val="43182263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5.8988764044943819E-2"/>
          <c:y val="2.3333333333333331E-2"/>
          <c:w val="0.8735955056179775"/>
          <c:h val="6.6666994750656169E-2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028" footer="0.49212598450000028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606741573033713E-2"/>
          <c:y val="9.0624999999999997E-2"/>
          <c:w val="0.9213483146067416"/>
          <c:h val="0.73958333333333337"/>
        </c:manualLayout>
      </c:layout>
      <c:lineChart>
        <c:grouping val="standard"/>
        <c:varyColors val="0"/>
        <c:ser>
          <c:idx val="0"/>
          <c:order val="0"/>
          <c:tx>
            <c:strRef>
              <c:f>calculations!$B$49</c:f>
              <c:strCache>
                <c:ptCount val="1"/>
                <c:pt idx="0">
                  <c:v>Customer satisfaction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</c:spPr>
          </c:marker>
          <c:dLbls>
            <c:numFmt formatCode="#,##0.0" sourceLinked="0"/>
            <c:spPr>
              <a:solidFill>
                <a:schemeClr val="bg1"/>
              </a:solidFill>
              <a:ln w="25400">
                <a:noFill/>
              </a:ln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calculations!$D$43:$O$43</c:f>
              <c:numCache>
                <c:formatCode>#,##0;;</c:formatCode>
                <c:ptCount val="12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</c:numCache>
            </c:numRef>
          </c:cat>
          <c:val>
            <c:numRef>
              <c:f>calculations!$D$49:$O$49</c:f>
              <c:numCache>
                <c:formatCode>#,##0.00</c:formatCode>
                <c:ptCount val="12"/>
                <c:pt idx="0">
                  <c:v>2.08</c:v>
                </c:pt>
                <c:pt idx="1">
                  <c:v>2.66</c:v>
                </c:pt>
                <c:pt idx="2">
                  <c:v>2.4500000000000002</c:v>
                </c:pt>
                <c:pt idx="3">
                  <c:v>2.02</c:v>
                </c:pt>
                <c:pt idx="4">
                  <c:v>2.69</c:v>
                </c:pt>
                <c:pt idx="5">
                  <c:v>3.37</c:v>
                </c:pt>
                <c:pt idx="6">
                  <c:v>2.0299999999999998</c:v>
                </c:pt>
                <c:pt idx="7">
                  <c:v>2.21</c:v>
                </c:pt>
                <c:pt idx="8">
                  <c:v>2.59</c:v>
                </c:pt>
                <c:pt idx="9">
                  <c:v>3.05</c:v>
                </c:pt>
                <c:pt idx="10">
                  <c:v>3.69</c:v>
                </c:pt>
                <c:pt idx="11">
                  <c:v>3.04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calculations!$B$54</c:f>
              <c:strCache>
                <c:ptCount val="1"/>
                <c:pt idx="0">
                  <c:v>Customer satisfaction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calculations!$D$54:$O$54</c:f>
              <c:numCache>
                <c:formatCode>#,##0.00</c:formatCode>
                <c:ptCount val="12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827336"/>
        <c:axId val="431825768"/>
      </c:lineChart>
      <c:catAx>
        <c:axId val="431827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Calendar Weeks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#,##0;;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431825768"/>
        <c:crosses val="autoZero"/>
        <c:auto val="1"/>
        <c:lblAlgn val="ctr"/>
        <c:lblOffset val="100"/>
        <c:noMultiLvlLbl val="0"/>
      </c:catAx>
      <c:valAx>
        <c:axId val="431825768"/>
        <c:scaling>
          <c:orientation val="minMax"/>
          <c:min val="1"/>
        </c:scaling>
        <c:delete val="0"/>
        <c:axPos val="l"/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431827336"/>
        <c:crosses val="autoZero"/>
        <c:crossBetween val="between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de-DE"/>
    </a:p>
  </c:txPr>
  <c:printSettings>
    <c:headerFooter/>
    <c:pageMargins b="0.78740157499999996" l="0.70000000000000007" r="0.70000000000000007" t="0.78740157499999996" header="0.30000000000000004" footer="0.30000000000000004"/>
    <c:pageSetup orientation="portrait"/>
  </c:printSettings>
</c:chartSpace>
</file>

<file path=xl/ctrlProps/ctrlProp1.xml><?xml version="1.0" encoding="utf-8"?>
<formControlPr xmlns="http://schemas.microsoft.com/office/spreadsheetml/2009/9/main" objectType="Spin" dx="16" fmlaLink="control!$C$4" max="54" min="1" page="10" val="22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85725</xdr:rowOff>
    </xdr:from>
    <xdr:to>
      <xdr:col>2</xdr:col>
      <xdr:colOff>0</xdr:colOff>
      <xdr:row>10</xdr:row>
      <xdr:rowOff>85725</xdr:rowOff>
    </xdr:to>
    <xdr:graphicFrame macro="">
      <xdr:nvGraphicFramePr>
        <xdr:cNvPr id="549577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5</xdr:row>
      <xdr:rowOff>85725</xdr:rowOff>
    </xdr:from>
    <xdr:to>
      <xdr:col>4</xdr:col>
      <xdr:colOff>0</xdr:colOff>
      <xdr:row>10</xdr:row>
      <xdr:rowOff>85725</xdr:rowOff>
    </xdr:to>
    <xdr:graphicFrame macro="">
      <xdr:nvGraphicFramePr>
        <xdr:cNvPr id="549577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4</xdr:row>
      <xdr:rowOff>0</xdr:rowOff>
    </xdr:from>
    <xdr:to>
      <xdr:col>11</xdr:col>
      <xdr:colOff>0</xdr:colOff>
      <xdr:row>10</xdr:row>
      <xdr:rowOff>0</xdr:rowOff>
    </xdr:to>
    <xdr:graphicFrame macro="">
      <xdr:nvGraphicFramePr>
        <xdr:cNvPr id="549576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12</xdr:row>
      <xdr:rowOff>0</xdr:rowOff>
    </xdr:from>
    <xdr:to>
      <xdr:col>2</xdr:col>
      <xdr:colOff>0</xdr:colOff>
      <xdr:row>31</xdr:row>
      <xdr:rowOff>0</xdr:rowOff>
    </xdr:to>
    <xdr:graphicFrame macro="">
      <xdr:nvGraphicFramePr>
        <xdr:cNvPr id="549576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12</xdr:row>
      <xdr:rowOff>0</xdr:rowOff>
    </xdr:from>
    <xdr:to>
      <xdr:col>4</xdr:col>
      <xdr:colOff>0</xdr:colOff>
      <xdr:row>31</xdr:row>
      <xdr:rowOff>0</xdr:rowOff>
    </xdr:to>
    <xdr:graphicFrame macro="">
      <xdr:nvGraphicFramePr>
        <xdr:cNvPr id="549576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12</xdr:row>
      <xdr:rowOff>0</xdr:rowOff>
    </xdr:from>
    <xdr:to>
      <xdr:col>7</xdr:col>
      <xdr:colOff>0</xdr:colOff>
      <xdr:row>31</xdr:row>
      <xdr:rowOff>0</xdr:rowOff>
    </xdr:to>
    <xdr:graphicFrame macro="">
      <xdr:nvGraphicFramePr>
        <xdr:cNvPr id="5495769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12</xdr:row>
      <xdr:rowOff>0</xdr:rowOff>
    </xdr:from>
    <xdr:to>
      <xdr:col>11</xdr:col>
      <xdr:colOff>0</xdr:colOff>
      <xdr:row>31</xdr:row>
      <xdr:rowOff>0</xdr:rowOff>
    </xdr:to>
    <xdr:graphicFrame macro="">
      <xdr:nvGraphicFramePr>
        <xdr:cNvPr id="5495766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1</xdr:row>
          <xdr:rowOff>0</xdr:rowOff>
        </xdr:from>
        <xdr:to>
          <xdr:col>9</xdr:col>
          <xdr:colOff>0</xdr:colOff>
          <xdr:row>1</xdr:row>
          <xdr:rowOff>323850</xdr:rowOff>
        </xdr:to>
        <xdr:sp macro="" textlink="">
          <xdr:nvSpPr>
            <xdr:cNvPr id="2083630" name="Spinner" hidden="1">
              <a:extLst>
                <a:ext uri="{63B3BB69-23CF-44E3-9099-C40C66FF867C}">
                  <a14:compatExt spid="_x0000_s2083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tabColor rgb="FFC00000"/>
    <pageSetUpPr fitToPage="1"/>
  </sheetPr>
  <dimension ref="A1:K31"/>
  <sheetViews>
    <sheetView showGridLines="0" tabSelected="1" zoomScaleNormal="100" workbookViewId="0"/>
  </sheetViews>
  <sheetFormatPr baseColWidth="10" defaultColWidth="10.7109375" defaultRowHeight="15" customHeight="1" x14ac:dyDescent="0.2"/>
  <cols>
    <col min="1" max="1" width="1.7109375" style="5" customWidth="1"/>
    <col min="2" max="2" width="48.7109375" style="5" customWidth="1"/>
    <col min="3" max="3" width="2.7109375" style="5" customWidth="1"/>
    <col min="4" max="4" width="48.7109375" style="5" customWidth="1"/>
    <col min="5" max="5" width="2.7109375" style="5" customWidth="1"/>
    <col min="6" max="7" width="24.7109375" style="5" customWidth="1"/>
    <col min="8" max="8" width="2.7109375" style="5" customWidth="1"/>
    <col min="9" max="9" width="4.7109375" style="5" customWidth="1"/>
    <col min="10" max="11" width="22.7109375" style="5" customWidth="1"/>
    <col min="12" max="12" width="1.7109375" style="5" customWidth="1"/>
    <col min="13" max="16384" width="10.7109375" style="5"/>
  </cols>
  <sheetData>
    <row r="1" spans="1:11" ht="15" customHeight="1" x14ac:dyDescent="0.25">
      <c r="A1" s="12"/>
    </row>
    <row r="2" spans="1:11" ht="30" customHeight="1" thickBot="1" x14ac:dyDescent="0.25">
      <c r="B2" s="40" t="s">
        <v>13</v>
      </c>
      <c r="C2" s="39"/>
      <c r="D2" s="39"/>
      <c r="E2" s="13"/>
      <c r="F2" s="67" t="s">
        <v>58</v>
      </c>
      <c r="G2" s="13"/>
      <c r="H2" s="13"/>
      <c r="I2" s="13"/>
      <c r="J2" s="14">
        <f>calculations!$C$4</f>
        <v>41785</v>
      </c>
      <c r="K2" s="15">
        <f>calculations!$C$5</f>
        <v>22</v>
      </c>
    </row>
    <row r="4" spans="1:11" ht="20.100000000000001" customHeight="1" x14ac:dyDescent="0.2">
      <c r="B4" s="16" t="str">
        <f>"Service Level "&amp;TEXT($K$2,"W 0")</f>
        <v>Service Level W 22</v>
      </c>
      <c r="C4" s="7"/>
      <c r="D4" s="16" t="str">
        <f>"Availability "&amp;TEXT($K$2,"W 0")</f>
        <v>Availability W 22</v>
      </c>
      <c r="E4" s="7"/>
      <c r="F4" s="16" t="str">
        <f>"Calls incoming "&amp;TEXT($K$2,"W 0")</f>
        <v>Calls incoming W 22</v>
      </c>
      <c r="G4" s="16" t="str">
        <f>"Calls handled "&amp;TEXT($K$2,"W 0")</f>
        <v>Calls handled W 22</v>
      </c>
      <c r="H4" s="7"/>
      <c r="I4" s="68" t="str">
        <f>"Customer Satisfaction "&amp;TEXT($K$2,"W 0")</f>
        <v>Customer Satisfaction W 22</v>
      </c>
      <c r="J4" s="68"/>
      <c r="K4" s="68"/>
    </row>
    <row r="5" spans="1:11" ht="15" customHeight="1" x14ac:dyDescent="0.2">
      <c r="B5" s="17"/>
      <c r="C5" s="7"/>
      <c r="D5" s="17"/>
      <c r="E5" s="7"/>
      <c r="H5" s="7"/>
      <c r="I5" s="69" t="s">
        <v>32</v>
      </c>
      <c r="J5" s="69"/>
      <c r="K5" s="69"/>
    </row>
    <row r="6" spans="1:11" ht="15" customHeight="1" x14ac:dyDescent="0.2">
      <c r="B6" s="17"/>
      <c r="C6" s="7"/>
      <c r="D6" s="17"/>
      <c r="E6" s="7"/>
      <c r="H6" s="7"/>
      <c r="I6" s="18"/>
      <c r="J6" s="18"/>
      <c r="K6" s="18"/>
    </row>
    <row r="7" spans="1:11" ht="15" customHeight="1" x14ac:dyDescent="0.25">
      <c r="B7" s="7"/>
      <c r="C7" s="7"/>
      <c r="D7" s="7"/>
      <c r="E7" s="7"/>
      <c r="F7" s="71">
        <f>calculations!$F$10</f>
        <v>26173</v>
      </c>
      <c r="G7" s="71">
        <f>calculations!$F$11</f>
        <v>24341</v>
      </c>
      <c r="H7" s="7"/>
      <c r="I7" s="12"/>
      <c r="J7" s="7"/>
      <c r="K7" s="7"/>
    </row>
    <row r="8" spans="1:11" ht="15" customHeight="1" x14ac:dyDescent="0.25">
      <c r="B8" s="7"/>
      <c r="C8" s="7"/>
      <c r="D8" s="7"/>
      <c r="E8" s="7"/>
      <c r="F8" s="71"/>
      <c r="G8" s="71"/>
      <c r="H8" s="7"/>
      <c r="I8" s="12"/>
      <c r="J8" s="7"/>
      <c r="K8" s="7"/>
    </row>
    <row r="9" spans="1:11" ht="15" customHeight="1" x14ac:dyDescent="0.25">
      <c r="B9" s="7"/>
      <c r="C9" s="7"/>
      <c r="D9" s="7"/>
      <c r="E9" s="7"/>
      <c r="F9" s="71"/>
      <c r="G9" s="71"/>
      <c r="H9" s="7"/>
      <c r="I9" s="12"/>
      <c r="J9" s="7"/>
      <c r="K9" s="7"/>
    </row>
    <row r="10" spans="1:11" ht="15" customHeight="1" x14ac:dyDescent="0.2">
      <c r="B10" s="7"/>
      <c r="C10" s="7"/>
      <c r="D10" s="7"/>
      <c r="E10" s="7"/>
      <c r="H10" s="7"/>
      <c r="I10" s="70"/>
      <c r="J10" s="70"/>
      <c r="K10" s="70"/>
    </row>
    <row r="11" spans="1:11" ht="15" customHeight="1" x14ac:dyDescent="0.2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 ht="20.100000000000001" customHeight="1" x14ac:dyDescent="0.2">
      <c r="B12" s="16" t="s">
        <v>4</v>
      </c>
      <c r="C12" s="7"/>
      <c r="D12" s="16" t="s">
        <v>5</v>
      </c>
      <c r="E12" s="7"/>
      <c r="F12" s="68" t="s">
        <v>7</v>
      </c>
      <c r="G12" s="68"/>
      <c r="H12" s="7"/>
      <c r="I12" s="68" t="s">
        <v>6</v>
      </c>
      <c r="J12" s="68"/>
      <c r="K12" s="68"/>
    </row>
    <row r="13" spans="1:11" ht="15" customHeight="1" x14ac:dyDescent="0.2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 ht="15" customHeight="1" x14ac:dyDescent="0.2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 ht="15" customHeight="1" x14ac:dyDescent="0.2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 ht="15" customHeight="1" x14ac:dyDescent="0.2">
      <c r="B16" s="7"/>
      <c r="C16" s="7"/>
      <c r="D16" s="7"/>
      <c r="E16" s="7"/>
      <c r="F16" s="17"/>
      <c r="G16" s="17"/>
      <c r="H16" s="7"/>
      <c r="I16" s="7"/>
      <c r="J16" s="7"/>
      <c r="K16" s="7"/>
    </row>
    <row r="17" spans="2:11" ht="15" customHeight="1" x14ac:dyDescent="0.2">
      <c r="B17" s="7"/>
      <c r="C17" s="7"/>
      <c r="D17" s="7"/>
      <c r="E17" s="7"/>
      <c r="F17" s="17"/>
      <c r="G17" s="17"/>
      <c r="H17" s="7"/>
      <c r="I17" s="7"/>
      <c r="J17" s="7"/>
      <c r="K17" s="7"/>
    </row>
    <row r="18" spans="2:11" ht="15" customHeight="1" x14ac:dyDescent="0.2">
      <c r="B18" s="7"/>
      <c r="C18" s="7"/>
      <c r="D18" s="7"/>
      <c r="E18" s="7"/>
      <c r="F18" s="17"/>
      <c r="G18" s="17"/>
      <c r="H18" s="7"/>
      <c r="I18" s="7"/>
      <c r="J18" s="7"/>
      <c r="K18" s="7"/>
    </row>
    <row r="19" spans="2:11" ht="15" customHeight="1" x14ac:dyDescent="0.2">
      <c r="B19" s="7"/>
      <c r="C19" s="7"/>
      <c r="D19" s="7"/>
      <c r="E19" s="7"/>
      <c r="F19" s="17"/>
      <c r="G19" s="17"/>
      <c r="H19" s="7"/>
      <c r="I19" s="7"/>
      <c r="J19" s="7"/>
      <c r="K19" s="7"/>
    </row>
    <row r="20" spans="2:11" ht="15" customHeight="1" x14ac:dyDescent="0.2">
      <c r="B20" s="7"/>
      <c r="C20" s="7"/>
      <c r="D20" s="7"/>
      <c r="E20" s="7"/>
      <c r="F20" s="17"/>
      <c r="G20" s="17"/>
      <c r="H20" s="7"/>
      <c r="I20" s="7"/>
      <c r="J20" s="7"/>
      <c r="K20" s="7"/>
    </row>
    <row r="21" spans="2:11" ht="15" customHeight="1" x14ac:dyDescent="0.2">
      <c r="B21" s="7"/>
      <c r="C21" s="7"/>
      <c r="D21" s="7"/>
      <c r="E21" s="7"/>
      <c r="F21" s="17"/>
      <c r="G21" s="17"/>
      <c r="H21" s="7"/>
      <c r="I21" s="7"/>
      <c r="J21" s="7"/>
      <c r="K21" s="7"/>
    </row>
    <row r="22" spans="2:11" ht="15" customHeight="1" x14ac:dyDescent="0.2">
      <c r="B22" s="7"/>
      <c r="C22" s="7"/>
      <c r="D22" s="7"/>
      <c r="E22" s="7"/>
      <c r="F22" s="7"/>
      <c r="G22" s="7"/>
      <c r="H22" s="7"/>
      <c r="I22" s="7"/>
      <c r="J22" s="7"/>
      <c r="K22" s="7"/>
    </row>
    <row r="23" spans="2:11" ht="15" customHeight="1" x14ac:dyDescent="0.2">
      <c r="B23" s="7"/>
      <c r="C23" s="7"/>
      <c r="D23" s="7"/>
      <c r="E23" s="7"/>
      <c r="F23" s="7"/>
      <c r="G23" s="7"/>
      <c r="H23" s="7"/>
      <c r="I23" s="7"/>
      <c r="J23" s="7"/>
      <c r="K23" s="7"/>
    </row>
    <row r="24" spans="2:11" ht="15" customHeight="1" x14ac:dyDescent="0.2">
      <c r="B24" s="7"/>
      <c r="C24" s="7"/>
      <c r="D24" s="7"/>
      <c r="E24" s="7"/>
      <c r="F24" s="7"/>
      <c r="G24" s="7"/>
      <c r="H24" s="7"/>
      <c r="I24" s="7"/>
      <c r="J24" s="7"/>
      <c r="K24" s="7"/>
    </row>
    <row r="25" spans="2:11" ht="15" customHeight="1" x14ac:dyDescent="0.2">
      <c r="B25" s="7"/>
      <c r="C25" s="7"/>
      <c r="D25" s="7"/>
      <c r="E25" s="7"/>
      <c r="F25" s="7"/>
      <c r="G25" s="7"/>
      <c r="H25" s="7"/>
      <c r="I25" s="7"/>
      <c r="J25" s="7"/>
      <c r="K25" s="7"/>
    </row>
    <row r="26" spans="2:11" ht="15" customHeight="1" x14ac:dyDescent="0.2">
      <c r="B26" s="7"/>
      <c r="C26" s="7"/>
      <c r="D26" s="7"/>
      <c r="E26" s="7"/>
      <c r="F26" s="7"/>
      <c r="G26" s="7"/>
      <c r="H26" s="7"/>
      <c r="I26" s="7"/>
      <c r="J26" s="7"/>
      <c r="K26" s="7"/>
    </row>
    <row r="27" spans="2:11" ht="15" customHeight="1" x14ac:dyDescent="0.2">
      <c r="B27" s="7"/>
      <c r="C27" s="7"/>
      <c r="D27" s="7"/>
      <c r="E27" s="7"/>
      <c r="F27" s="7"/>
      <c r="G27" s="7"/>
      <c r="H27" s="7"/>
      <c r="I27" s="7"/>
      <c r="J27" s="7"/>
      <c r="K27" s="7"/>
    </row>
    <row r="28" spans="2:11" ht="15" customHeight="1" x14ac:dyDescent="0.2">
      <c r="B28" s="7"/>
      <c r="C28" s="7"/>
      <c r="D28" s="7"/>
      <c r="E28" s="7"/>
      <c r="F28" s="7"/>
      <c r="G28" s="7"/>
      <c r="H28" s="7"/>
      <c r="I28" s="7"/>
      <c r="J28" s="7"/>
      <c r="K28" s="7"/>
    </row>
    <row r="29" spans="2:11" ht="15" customHeight="1" x14ac:dyDescent="0.2">
      <c r="B29" s="7"/>
      <c r="C29" s="7"/>
      <c r="D29" s="7"/>
      <c r="E29" s="7"/>
      <c r="F29" s="7"/>
      <c r="G29" s="7"/>
      <c r="H29" s="7"/>
      <c r="I29" s="7"/>
      <c r="J29" s="7"/>
      <c r="K29" s="7"/>
    </row>
    <row r="30" spans="2:11" ht="15" customHeight="1" x14ac:dyDescent="0.2">
      <c r="B30" s="7"/>
      <c r="C30" s="7"/>
      <c r="D30" s="7"/>
      <c r="E30" s="7"/>
      <c r="F30" s="7"/>
      <c r="G30" s="7"/>
      <c r="H30" s="7"/>
      <c r="I30" s="18"/>
      <c r="J30" s="18"/>
      <c r="K30" s="18"/>
    </row>
    <row r="31" spans="2:11" ht="15" customHeight="1" x14ac:dyDescent="0.2">
      <c r="B31" s="7"/>
      <c r="C31" s="7"/>
      <c r="D31" s="7"/>
      <c r="E31" s="7"/>
      <c r="F31" s="7"/>
      <c r="G31" s="7"/>
      <c r="H31" s="7"/>
      <c r="I31" s="18"/>
      <c r="J31" s="18"/>
      <c r="K31" s="18"/>
    </row>
  </sheetData>
  <mergeCells count="7">
    <mergeCell ref="I4:K4"/>
    <mergeCell ref="I5:K5"/>
    <mergeCell ref="I12:K12"/>
    <mergeCell ref="I10:K10"/>
    <mergeCell ref="F7:F9"/>
    <mergeCell ref="G7:G9"/>
    <mergeCell ref="F12:G12"/>
  </mergeCells>
  <phoneticPr fontId="3" type="noConversion"/>
  <printOptions horizontalCentered="1"/>
  <pageMargins left="0.19685039370078741" right="0.19685039370078741" top="0.39370078740157483" bottom="0.39370078740157483" header="0.19685039370078741" footer="0.19685039370078741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3630" r:id="rId4" name="Spinner">
              <controlPr defaultSize="0" autoPict="0">
                <anchor moveWithCells="1" sizeWithCells="1">
                  <from>
                    <xdr:col>8</xdr:col>
                    <xdr:colOff>66675</xdr:colOff>
                    <xdr:row>1</xdr:row>
                    <xdr:rowOff>0</xdr:rowOff>
                  </from>
                  <to>
                    <xdr:col>9</xdr:col>
                    <xdr:colOff>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>
    <tabColor rgb="FF002060"/>
    <pageSetUpPr fitToPage="1"/>
  </sheetPr>
  <dimension ref="B2:G69"/>
  <sheetViews>
    <sheetView showGridLines="0" zoomScaleNormal="100" zoomScaleSheetLayoutView="25" workbookViewId="0"/>
  </sheetViews>
  <sheetFormatPr baseColWidth="10" defaultColWidth="10.7109375" defaultRowHeight="15" customHeight="1" x14ac:dyDescent="0.2"/>
  <cols>
    <col min="1" max="1" width="1.7109375" style="5" customWidth="1"/>
    <col min="2" max="2" width="25.7109375" style="5" customWidth="1"/>
    <col min="3" max="7" width="12.7109375" style="5" customWidth="1"/>
    <col min="8" max="60" width="10.7109375" style="5" customWidth="1"/>
    <col min="61" max="16384" width="10.7109375" style="5"/>
  </cols>
  <sheetData>
    <row r="2" spans="2:7" ht="30" customHeight="1" thickBot="1" x14ac:dyDescent="0.25">
      <c r="B2" s="37" t="s">
        <v>17</v>
      </c>
      <c r="C2" s="3"/>
      <c r="D2" s="3"/>
      <c r="E2" s="3"/>
      <c r="F2" s="3"/>
      <c r="G2" s="3"/>
    </row>
    <row r="4" spans="2:7" ht="20.100000000000001" customHeight="1" x14ac:dyDescent="0.2">
      <c r="B4" s="53" t="s">
        <v>25</v>
      </c>
      <c r="C4" s="52"/>
      <c r="D4" s="52"/>
      <c r="E4" s="52"/>
      <c r="F4" s="52"/>
      <c r="G4" s="52"/>
    </row>
    <row r="5" spans="2:7" ht="15" customHeight="1" x14ac:dyDescent="0.2">
      <c r="B5" s="35"/>
      <c r="C5" s="7"/>
      <c r="D5" s="7"/>
      <c r="E5" s="7"/>
      <c r="F5" s="7"/>
      <c r="G5" s="7"/>
    </row>
    <row r="6" spans="2:7" ht="15" customHeight="1" x14ac:dyDescent="0.2">
      <c r="C6" s="51" t="s">
        <v>1</v>
      </c>
      <c r="D6" s="51" t="s">
        <v>19</v>
      </c>
      <c r="E6" s="51" t="s">
        <v>20</v>
      </c>
    </row>
    <row r="7" spans="2:7" ht="15" customHeight="1" x14ac:dyDescent="0.2">
      <c r="B7" s="21" t="s">
        <v>12</v>
      </c>
      <c r="C7" s="50" t="s">
        <v>18</v>
      </c>
      <c r="D7" s="50" t="s">
        <v>18</v>
      </c>
      <c r="E7" s="50" t="s">
        <v>18</v>
      </c>
    </row>
    <row r="8" spans="2:7" ht="15" customHeight="1" x14ac:dyDescent="0.2">
      <c r="B8" s="21" t="s">
        <v>11</v>
      </c>
      <c r="C8" s="48">
        <v>0.8</v>
      </c>
      <c r="D8" s="48">
        <v>0.65</v>
      </c>
      <c r="E8" s="48">
        <v>0.85</v>
      </c>
    </row>
    <row r="9" spans="2:7" ht="15" customHeight="1" x14ac:dyDescent="0.2">
      <c r="B9" s="21" t="s">
        <v>3</v>
      </c>
      <c r="C9" s="48">
        <v>0.6</v>
      </c>
      <c r="D9" s="48">
        <v>0.35</v>
      </c>
      <c r="E9" s="48">
        <v>0.7</v>
      </c>
    </row>
    <row r="10" spans="2:7" ht="15" customHeight="1" x14ac:dyDescent="0.2">
      <c r="B10" s="21" t="s">
        <v>9</v>
      </c>
      <c r="C10" s="49">
        <v>2.5</v>
      </c>
      <c r="D10" s="50" t="s">
        <v>18</v>
      </c>
      <c r="E10" s="50" t="s">
        <v>18</v>
      </c>
    </row>
    <row r="11" spans="2:7" ht="15" customHeight="1" x14ac:dyDescent="0.2">
      <c r="B11" s="21" t="s">
        <v>10</v>
      </c>
      <c r="C11" s="48">
        <v>0.85</v>
      </c>
      <c r="D11" s="48">
        <v>0.7</v>
      </c>
      <c r="E11" s="48">
        <v>0.9</v>
      </c>
    </row>
    <row r="13" spans="2:7" ht="20.100000000000001" customHeight="1" x14ac:dyDescent="0.2">
      <c r="B13" s="53" t="s">
        <v>17</v>
      </c>
      <c r="C13" s="52"/>
      <c r="D13" s="52"/>
      <c r="E13" s="52"/>
      <c r="F13" s="52"/>
      <c r="G13" s="52"/>
    </row>
    <row r="15" spans="2:7" ht="30" x14ac:dyDescent="0.2">
      <c r="B15" s="56" t="s">
        <v>46</v>
      </c>
      <c r="C15" s="56" t="s">
        <v>47</v>
      </c>
      <c r="D15" s="56" t="s">
        <v>12</v>
      </c>
      <c r="E15" s="56" t="s">
        <v>11</v>
      </c>
      <c r="F15" s="56" t="s">
        <v>3</v>
      </c>
      <c r="G15" s="56" t="s">
        <v>9</v>
      </c>
    </row>
    <row r="16" spans="2:7" ht="15" customHeight="1" x14ac:dyDescent="0.2">
      <c r="B16" s="64">
        <v>41638</v>
      </c>
      <c r="C16" s="58">
        <f>ROUNDDOWN((B16-DATE(YEAR(B16+MOD(8-WEEKDAY(B16),7)-3),1,1)-3+MOD(WEEKDAY(DATE(YEAR(B16+MOD(8-WEEKDAY(B16),7)-3),1,1))+1,7))/7+1,0)</f>
        <v>1</v>
      </c>
      <c r="D16" s="61">
        <v>18830</v>
      </c>
      <c r="E16" s="61">
        <v>16382</v>
      </c>
      <c r="F16" s="62">
        <v>0.68</v>
      </c>
      <c r="G16" s="63">
        <v>2.66</v>
      </c>
    </row>
    <row r="17" spans="2:7" ht="15" customHeight="1" x14ac:dyDescent="0.2">
      <c r="B17" s="60">
        <f>B16+7</f>
        <v>41645</v>
      </c>
      <c r="C17" s="59">
        <f t="shared" ref="C17:C69" si="0">ROUNDDOWN((B17-DATE(YEAR(B17+MOD(8-WEEKDAY(B17),7)-3),1,1)-3+MOD(WEEKDAY(DATE(YEAR(B17+MOD(8-WEEKDAY(B17),7)-3),1,1))+1,7))/7+1,0)</f>
        <v>2</v>
      </c>
      <c r="D17" s="61">
        <v>21273</v>
      </c>
      <c r="E17" s="61">
        <v>16593</v>
      </c>
      <c r="F17" s="62">
        <v>0.7</v>
      </c>
      <c r="G17" s="63">
        <v>1.96</v>
      </c>
    </row>
    <row r="18" spans="2:7" ht="15" customHeight="1" x14ac:dyDescent="0.2">
      <c r="B18" s="60">
        <f t="shared" ref="B18:B69" si="1">B17+7</f>
        <v>41652</v>
      </c>
      <c r="C18" s="59">
        <f t="shared" si="0"/>
        <v>3</v>
      </c>
      <c r="D18" s="61">
        <v>28546</v>
      </c>
      <c r="E18" s="61">
        <v>21695</v>
      </c>
      <c r="F18" s="62">
        <v>0.64</v>
      </c>
      <c r="G18" s="63">
        <v>1.83</v>
      </c>
    </row>
    <row r="19" spans="2:7" ht="15" customHeight="1" x14ac:dyDescent="0.2">
      <c r="B19" s="60">
        <f t="shared" si="1"/>
        <v>41659</v>
      </c>
      <c r="C19" s="59">
        <f t="shared" si="0"/>
        <v>4</v>
      </c>
      <c r="D19" s="61">
        <v>34328</v>
      </c>
      <c r="E19" s="61">
        <v>27806</v>
      </c>
      <c r="F19" s="62">
        <v>0.54</v>
      </c>
      <c r="G19" s="63">
        <v>3.04</v>
      </c>
    </row>
    <row r="20" spans="2:7" ht="15" customHeight="1" x14ac:dyDescent="0.2">
      <c r="B20" s="60">
        <f t="shared" si="1"/>
        <v>41666</v>
      </c>
      <c r="C20" s="59">
        <f t="shared" si="0"/>
        <v>5</v>
      </c>
      <c r="D20" s="61">
        <v>32753</v>
      </c>
      <c r="E20" s="61">
        <v>28823</v>
      </c>
      <c r="F20" s="62">
        <v>0.78</v>
      </c>
      <c r="G20" s="63">
        <v>3.01</v>
      </c>
    </row>
    <row r="21" spans="2:7" ht="15" customHeight="1" x14ac:dyDescent="0.2">
      <c r="B21" s="60">
        <f t="shared" si="1"/>
        <v>41673</v>
      </c>
      <c r="C21" s="59">
        <f t="shared" si="0"/>
        <v>6</v>
      </c>
      <c r="D21" s="61">
        <v>19075</v>
      </c>
      <c r="E21" s="61">
        <v>13734</v>
      </c>
      <c r="F21" s="62">
        <v>0.78</v>
      </c>
      <c r="G21" s="63">
        <v>3.06</v>
      </c>
    </row>
    <row r="22" spans="2:7" ht="15" customHeight="1" x14ac:dyDescent="0.2">
      <c r="B22" s="60">
        <f t="shared" si="1"/>
        <v>41680</v>
      </c>
      <c r="C22" s="59">
        <f t="shared" si="0"/>
        <v>7</v>
      </c>
      <c r="D22" s="61">
        <v>22372</v>
      </c>
      <c r="E22" s="61">
        <v>18345</v>
      </c>
      <c r="F22" s="62">
        <v>0.78</v>
      </c>
      <c r="G22" s="63">
        <v>2.0099999999999998</v>
      </c>
    </row>
    <row r="23" spans="2:7" ht="15" customHeight="1" x14ac:dyDescent="0.2">
      <c r="B23" s="60">
        <f t="shared" si="1"/>
        <v>41687</v>
      </c>
      <c r="C23" s="59">
        <f t="shared" si="0"/>
        <v>8</v>
      </c>
      <c r="D23" s="61">
        <v>19642</v>
      </c>
      <c r="E23" s="61">
        <v>18071</v>
      </c>
      <c r="F23" s="62">
        <v>0.53</v>
      </c>
      <c r="G23" s="63">
        <v>3.09</v>
      </c>
    </row>
    <row r="24" spans="2:7" ht="15" customHeight="1" x14ac:dyDescent="0.2">
      <c r="B24" s="60">
        <f t="shared" si="1"/>
        <v>41694</v>
      </c>
      <c r="C24" s="59">
        <f t="shared" si="0"/>
        <v>9</v>
      </c>
      <c r="D24" s="61">
        <v>19446</v>
      </c>
      <c r="E24" s="61">
        <v>17112</v>
      </c>
      <c r="F24" s="62">
        <v>0.67</v>
      </c>
      <c r="G24" s="63">
        <v>3.47</v>
      </c>
    </row>
    <row r="25" spans="2:7" ht="15" customHeight="1" x14ac:dyDescent="0.2">
      <c r="B25" s="60">
        <f t="shared" si="1"/>
        <v>41701</v>
      </c>
      <c r="C25" s="59">
        <f t="shared" si="0"/>
        <v>10</v>
      </c>
      <c r="D25" s="61">
        <v>23142</v>
      </c>
      <c r="E25" s="61">
        <v>21291</v>
      </c>
      <c r="F25" s="62">
        <v>0.59</v>
      </c>
      <c r="G25" s="63">
        <v>2.71</v>
      </c>
    </row>
    <row r="26" spans="2:7" ht="15" customHeight="1" x14ac:dyDescent="0.2">
      <c r="B26" s="60">
        <f t="shared" si="1"/>
        <v>41708</v>
      </c>
      <c r="C26" s="59">
        <f t="shared" si="0"/>
        <v>11</v>
      </c>
      <c r="D26" s="61">
        <v>18067</v>
      </c>
      <c r="E26" s="61">
        <v>15538</v>
      </c>
      <c r="F26" s="62">
        <v>0.51</v>
      </c>
      <c r="G26" s="63">
        <v>2.08</v>
      </c>
    </row>
    <row r="27" spans="2:7" ht="15" customHeight="1" x14ac:dyDescent="0.2">
      <c r="B27" s="60">
        <f t="shared" si="1"/>
        <v>41715</v>
      </c>
      <c r="C27" s="59">
        <f t="shared" si="0"/>
        <v>12</v>
      </c>
      <c r="D27" s="61">
        <v>21231</v>
      </c>
      <c r="E27" s="61">
        <v>20169</v>
      </c>
      <c r="F27" s="62">
        <v>0.59</v>
      </c>
      <c r="G27" s="63">
        <v>2.66</v>
      </c>
    </row>
    <row r="28" spans="2:7" ht="15" customHeight="1" x14ac:dyDescent="0.2">
      <c r="B28" s="60">
        <f t="shared" si="1"/>
        <v>41722</v>
      </c>
      <c r="C28" s="59">
        <f t="shared" si="0"/>
        <v>13</v>
      </c>
      <c r="D28" s="61">
        <v>33656</v>
      </c>
      <c r="E28" s="61">
        <v>30964</v>
      </c>
      <c r="F28" s="62">
        <v>0.69</v>
      </c>
      <c r="G28" s="63">
        <v>2.4500000000000002</v>
      </c>
    </row>
    <row r="29" spans="2:7" ht="15" customHeight="1" x14ac:dyDescent="0.2">
      <c r="B29" s="60">
        <f t="shared" si="1"/>
        <v>41729</v>
      </c>
      <c r="C29" s="59">
        <f t="shared" si="0"/>
        <v>14</v>
      </c>
      <c r="D29" s="61">
        <v>31780</v>
      </c>
      <c r="E29" s="61">
        <v>27331</v>
      </c>
      <c r="F29" s="62">
        <v>0.66</v>
      </c>
      <c r="G29" s="63">
        <v>2.02</v>
      </c>
    </row>
    <row r="30" spans="2:7" ht="15" customHeight="1" x14ac:dyDescent="0.2">
      <c r="B30" s="60">
        <f t="shared" si="1"/>
        <v>41736</v>
      </c>
      <c r="C30" s="59">
        <f t="shared" si="0"/>
        <v>15</v>
      </c>
      <c r="D30" s="61">
        <v>30065</v>
      </c>
      <c r="E30" s="61">
        <v>24954</v>
      </c>
      <c r="F30" s="62">
        <v>0.74</v>
      </c>
      <c r="G30" s="63">
        <v>2.69</v>
      </c>
    </row>
    <row r="31" spans="2:7" ht="15" customHeight="1" x14ac:dyDescent="0.2">
      <c r="B31" s="60">
        <f t="shared" si="1"/>
        <v>41743</v>
      </c>
      <c r="C31" s="59">
        <f t="shared" si="0"/>
        <v>16</v>
      </c>
      <c r="D31" s="61">
        <v>21119</v>
      </c>
      <c r="E31" s="61">
        <v>17529</v>
      </c>
      <c r="F31" s="62">
        <v>0.62</v>
      </c>
      <c r="G31" s="63">
        <v>3.37</v>
      </c>
    </row>
    <row r="32" spans="2:7" ht="15" customHeight="1" x14ac:dyDescent="0.2">
      <c r="B32" s="60">
        <f t="shared" si="1"/>
        <v>41750</v>
      </c>
      <c r="C32" s="59">
        <f t="shared" si="0"/>
        <v>17</v>
      </c>
      <c r="D32" s="61">
        <v>34132</v>
      </c>
      <c r="E32" s="61">
        <v>31401</v>
      </c>
      <c r="F32" s="62">
        <v>0.65</v>
      </c>
      <c r="G32" s="63">
        <v>2.0299999999999998</v>
      </c>
    </row>
    <row r="33" spans="2:7" ht="15" customHeight="1" x14ac:dyDescent="0.2">
      <c r="B33" s="60">
        <f t="shared" si="1"/>
        <v>41757</v>
      </c>
      <c r="C33" s="59">
        <f t="shared" si="0"/>
        <v>18</v>
      </c>
      <c r="D33" s="61">
        <v>29127</v>
      </c>
      <c r="E33" s="61">
        <v>24467</v>
      </c>
      <c r="F33" s="62">
        <v>0.68</v>
      </c>
      <c r="G33" s="63">
        <v>2.21</v>
      </c>
    </row>
    <row r="34" spans="2:7" ht="15" customHeight="1" x14ac:dyDescent="0.2">
      <c r="B34" s="60">
        <f t="shared" si="1"/>
        <v>41764</v>
      </c>
      <c r="C34" s="59">
        <f t="shared" si="0"/>
        <v>19</v>
      </c>
      <c r="D34" s="61">
        <v>29148</v>
      </c>
      <c r="E34" s="61">
        <v>25650</v>
      </c>
      <c r="F34" s="62">
        <v>0.57999999999999996</v>
      </c>
      <c r="G34" s="63">
        <v>2.59</v>
      </c>
    </row>
    <row r="35" spans="2:7" ht="15" customHeight="1" x14ac:dyDescent="0.2">
      <c r="B35" s="60">
        <f t="shared" si="1"/>
        <v>41771</v>
      </c>
      <c r="C35" s="59">
        <f t="shared" si="0"/>
        <v>20</v>
      </c>
      <c r="D35" s="61">
        <v>26208</v>
      </c>
      <c r="E35" s="61">
        <v>24636</v>
      </c>
      <c r="F35" s="62">
        <v>0.75</v>
      </c>
      <c r="G35" s="63">
        <v>3.05</v>
      </c>
    </row>
    <row r="36" spans="2:7" ht="15" customHeight="1" x14ac:dyDescent="0.2">
      <c r="B36" s="60">
        <f t="shared" si="1"/>
        <v>41778</v>
      </c>
      <c r="C36" s="59">
        <f t="shared" si="0"/>
        <v>21</v>
      </c>
      <c r="D36" s="61">
        <v>22120</v>
      </c>
      <c r="E36" s="61">
        <v>17032</v>
      </c>
      <c r="F36" s="62">
        <v>0.8</v>
      </c>
      <c r="G36" s="63">
        <v>3.69</v>
      </c>
    </row>
    <row r="37" spans="2:7" ht="15" customHeight="1" x14ac:dyDescent="0.2">
      <c r="B37" s="60">
        <f t="shared" si="1"/>
        <v>41785</v>
      </c>
      <c r="C37" s="59">
        <f t="shared" si="0"/>
        <v>22</v>
      </c>
      <c r="D37" s="61">
        <v>26173</v>
      </c>
      <c r="E37" s="61">
        <v>24341</v>
      </c>
      <c r="F37" s="62">
        <v>0.57999999999999996</v>
      </c>
      <c r="G37" s="63">
        <v>3.04</v>
      </c>
    </row>
    <row r="38" spans="2:7" ht="15" customHeight="1" x14ac:dyDescent="0.2">
      <c r="B38" s="60">
        <f t="shared" si="1"/>
        <v>41792</v>
      </c>
      <c r="C38" s="59">
        <f t="shared" si="0"/>
        <v>23</v>
      </c>
      <c r="D38" s="61">
        <v>19019</v>
      </c>
      <c r="E38" s="61">
        <v>14074</v>
      </c>
      <c r="F38" s="62">
        <v>0.51</v>
      </c>
      <c r="G38" s="63">
        <v>2.21</v>
      </c>
    </row>
    <row r="39" spans="2:7" ht="15" customHeight="1" x14ac:dyDescent="0.2">
      <c r="B39" s="60">
        <f t="shared" si="1"/>
        <v>41799</v>
      </c>
      <c r="C39" s="59">
        <f t="shared" si="0"/>
        <v>24</v>
      </c>
      <c r="D39" s="61">
        <v>27713</v>
      </c>
      <c r="E39" s="61">
        <v>20785</v>
      </c>
      <c r="F39" s="62">
        <v>0.6</v>
      </c>
      <c r="G39" s="63">
        <v>2.37</v>
      </c>
    </row>
    <row r="40" spans="2:7" ht="15" customHeight="1" x14ac:dyDescent="0.2">
      <c r="B40" s="60">
        <f t="shared" si="1"/>
        <v>41806</v>
      </c>
      <c r="C40" s="59">
        <f t="shared" si="0"/>
        <v>25</v>
      </c>
      <c r="D40" s="61">
        <v>24829</v>
      </c>
      <c r="E40" s="61">
        <v>20608</v>
      </c>
      <c r="F40" s="62">
        <v>0.63</v>
      </c>
      <c r="G40" s="63">
        <v>2.36</v>
      </c>
    </row>
    <row r="41" spans="2:7" ht="15" customHeight="1" x14ac:dyDescent="0.2">
      <c r="B41" s="60">
        <f t="shared" si="1"/>
        <v>41813</v>
      </c>
      <c r="C41" s="59">
        <f t="shared" si="0"/>
        <v>26</v>
      </c>
      <c r="D41" s="61">
        <v>23310</v>
      </c>
      <c r="E41" s="61">
        <v>16317</v>
      </c>
      <c r="F41" s="62">
        <v>0.75</v>
      </c>
      <c r="G41" s="63">
        <v>3.68</v>
      </c>
    </row>
    <row r="42" spans="2:7" ht="15" customHeight="1" x14ac:dyDescent="0.2">
      <c r="B42" s="60">
        <f t="shared" si="1"/>
        <v>41820</v>
      </c>
      <c r="C42" s="59">
        <f t="shared" si="0"/>
        <v>27</v>
      </c>
      <c r="D42" s="61">
        <v>34489</v>
      </c>
      <c r="E42" s="61">
        <v>24142</v>
      </c>
      <c r="F42" s="62">
        <v>0.55000000000000004</v>
      </c>
      <c r="G42" s="63">
        <v>3.07</v>
      </c>
    </row>
    <row r="43" spans="2:7" ht="15" customHeight="1" x14ac:dyDescent="0.2">
      <c r="B43" s="60">
        <f t="shared" si="1"/>
        <v>41827</v>
      </c>
      <c r="C43" s="59">
        <f t="shared" si="0"/>
        <v>28</v>
      </c>
      <c r="D43" s="61">
        <v>17626</v>
      </c>
      <c r="E43" s="61">
        <v>16040</v>
      </c>
      <c r="F43" s="62">
        <v>0.62</v>
      </c>
      <c r="G43" s="63">
        <v>3.29</v>
      </c>
    </row>
    <row r="44" spans="2:7" ht="15" customHeight="1" x14ac:dyDescent="0.2">
      <c r="B44" s="60">
        <f t="shared" si="1"/>
        <v>41834</v>
      </c>
      <c r="C44" s="59">
        <f t="shared" si="0"/>
        <v>29</v>
      </c>
      <c r="D44" s="61">
        <v>33292</v>
      </c>
      <c r="E44" s="61">
        <v>28631</v>
      </c>
      <c r="F44" s="62">
        <v>0.57999999999999996</v>
      </c>
      <c r="G44" s="63">
        <v>3.46</v>
      </c>
    </row>
    <row r="45" spans="2:7" ht="15" customHeight="1" x14ac:dyDescent="0.2">
      <c r="B45" s="60">
        <f t="shared" si="1"/>
        <v>41841</v>
      </c>
      <c r="C45" s="59">
        <f t="shared" si="0"/>
        <v>30</v>
      </c>
      <c r="D45" s="61">
        <v>17738</v>
      </c>
      <c r="E45" s="61">
        <v>14013</v>
      </c>
      <c r="F45" s="62">
        <v>0.8</v>
      </c>
      <c r="G45" s="63">
        <v>2.2599999999999998</v>
      </c>
    </row>
    <row r="46" spans="2:7" ht="15" customHeight="1" x14ac:dyDescent="0.2">
      <c r="B46" s="60">
        <f t="shared" si="1"/>
        <v>41848</v>
      </c>
      <c r="C46" s="59">
        <f t="shared" si="0"/>
        <v>31</v>
      </c>
      <c r="D46" s="61">
        <v>32942</v>
      </c>
      <c r="E46" s="61">
        <v>26024</v>
      </c>
      <c r="F46" s="62">
        <v>0.59</v>
      </c>
      <c r="G46" s="63">
        <v>1.99</v>
      </c>
    </row>
    <row r="47" spans="2:7" ht="15" customHeight="1" x14ac:dyDescent="0.2">
      <c r="B47" s="60">
        <f t="shared" si="1"/>
        <v>41855</v>
      </c>
      <c r="C47" s="59">
        <f t="shared" si="0"/>
        <v>32</v>
      </c>
      <c r="D47" s="61">
        <v>29589</v>
      </c>
      <c r="E47" s="61">
        <v>25151</v>
      </c>
      <c r="F47" s="62">
        <v>0.65</v>
      </c>
      <c r="G47" s="63">
        <v>2.71</v>
      </c>
    </row>
    <row r="48" spans="2:7" ht="15" customHeight="1" x14ac:dyDescent="0.2">
      <c r="B48" s="60">
        <f t="shared" si="1"/>
        <v>41862</v>
      </c>
      <c r="C48" s="59">
        <f t="shared" si="0"/>
        <v>33</v>
      </c>
      <c r="D48" s="61">
        <v>32354</v>
      </c>
      <c r="E48" s="61">
        <v>24913</v>
      </c>
      <c r="F48" s="62">
        <v>0.52</v>
      </c>
      <c r="G48" s="63">
        <v>3.85</v>
      </c>
    </row>
    <row r="49" spans="2:7" ht="15" customHeight="1" x14ac:dyDescent="0.2">
      <c r="B49" s="60">
        <f t="shared" si="1"/>
        <v>41869</v>
      </c>
      <c r="C49" s="59">
        <f t="shared" si="0"/>
        <v>34</v>
      </c>
      <c r="D49" s="61">
        <v>34230</v>
      </c>
      <c r="E49" s="61">
        <v>30807</v>
      </c>
      <c r="F49" s="62">
        <v>0.72</v>
      </c>
      <c r="G49" s="63">
        <v>2.31</v>
      </c>
    </row>
    <row r="50" spans="2:7" ht="15" customHeight="1" x14ac:dyDescent="0.2">
      <c r="B50" s="60">
        <f t="shared" si="1"/>
        <v>41876</v>
      </c>
      <c r="C50" s="59">
        <f t="shared" si="0"/>
        <v>35</v>
      </c>
      <c r="D50" s="61">
        <v>20209</v>
      </c>
      <c r="E50" s="61">
        <v>17784</v>
      </c>
      <c r="F50" s="62">
        <v>0.63</v>
      </c>
      <c r="G50" s="63">
        <v>2.89</v>
      </c>
    </row>
    <row r="51" spans="2:7" ht="15" customHeight="1" x14ac:dyDescent="0.2">
      <c r="B51" s="60">
        <f t="shared" si="1"/>
        <v>41883</v>
      </c>
      <c r="C51" s="59">
        <f t="shared" si="0"/>
        <v>36</v>
      </c>
      <c r="D51" s="61">
        <v>19453</v>
      </c>
      <c r="E51" s="61">
        <v>16341</v>
      </c>
      <c r="F51" s="62">
        <v>0.5</v>
      </c>
      <c r="G51" s="63">
        <v>3.56</v>
      </c>
    </row>
    <row r="52" spans="2:7" ht="15" customHeight="1" x14ac:dyDescent="0.2">
      <c r="B52" s="60">
        <f t="shared" si="1"/>
        <v>41890</v>
      </c>
      <c r="C52" s="59">
        <f t="shared" si="0"/>
        <v>37</v>
      </c>
      <c r="D52" s="61">
        <v>32228</v>
      </c>
      <c r="E52" s="61">
        <v>24171</v>
      </c>
      <c r="F52" s="62">
        <v>0.69</v>
      </c>
      <c r="G52" s="63">
        <v>3.55</v>
      </c>
    </row>
    <row r="53" spans="2:7" ht="15" customHeight="1" x14ac:dyDescent="0.2">
      <c r="B53" s="60">
        <f t="shared" si="1"/>
        <v>41897</v>
      </c>
      <c r="C53" s="59">
        <f t="shared" si="0"/>
        <v>38</v>
      </c>
      <c r="D53" s="61">
        <v>26726</v>
      </c>
      <c r="E53" s="61">
        <v>19777</v>
      </c>
      <c r="F53" s="62">
        <v>0.73</v>
      </c>
      <c r="G53" s="63">
        <v>2.2200000000000002</v>
      </c>
    </row>
    <row r="54" spans="2:7" ht="15" customHeight="1" x14ac:dyDescent="0.2">
      <c r="B54" s="60">
        <f t="shared" si="1"/>
        <v>41904</v>
      </c>
      <c r="C54" s="59">
        <f t="shared" si="0"/>
        <v>39</v>
      </c>
      <c r="D54" s="61">
        <v>27573</v>
      </c>
      <c r="E54" s="61">
        <v>25919</v>
      </c>
      <c r="F54" s="62">
        <v>0.66</v>
      </c>
      <c r="G54" s="63">
        <v>3.9</v>
      </c>
    </row>
    <row r="55" spans="2:7" ht="15" customHeight="1" x14ac:dyDescent="0.2">
      <c r="B55" s="60">
        <f t="shared" si="1"/>
        <v>41911</v>
      </c>
      <c r="C55" s="59">
        <f t="shared" si="0"/>
        <v>40</v>
      </c>
      <c r="D55" s="61">
        <v>33922</v>
      </c>
      <c r="E55" s="61">
        <v>23745</v>
      </c>
      <c r="F55" s="62">
        <v>0.68</v>
      </c>
      <c r="G55" s="63">
        <v>1.94</v>
      </c>
    </row>
    <row r="56" spans="2:7" ht="15" customHeight="1" x14ac:dyDescent="0.2">
      <c r="B56" s="60">
        <f t="shared" si="1"/>
        <v>41918</v>
      </c>
      <c r="C56" s="59">
        <f t="shared" si="0"/>
        <v>41</v>
      </c>
      <c r="D56" s="61">
        <v>20741</v>
      </c>
      <c r="E56" s="61">
        <v>17008</v>
      </c>
      <c r="F56" s="62">
        <v>0.74</v>
      </c>
      <c r="G56" s="63">
        <v>3.23</v>
      </c>
    </row>
    <row r="57" spans="2:7" ht="15" customHeight="1" x14ac:dyDescent="0.2">
      <c r="B57" s="60">
        <f t="shared" si="1"/>
        <v>41925</v>
      </c>
      <c r="C57" s="59">
        <f t="shared" si="0"/>
        <v>42</v>
      </c>
      <c r="D57" s="61">
        <v>31990</v>
      </c>
      <c r="E57" s="61">
        <v>23033</v>
      </c>
      <c r="F57" s="62">
        <v>0.61</v>
      </c>
      <c r="G57" s="63">
        <v>2.23</v>
      </c>
    </row>
    <row r="58" spans="2:7" ht="15" customHeight="1" x14ac:dyDescent="0.2">
      <c r="B58" s="60">
        <f t="shared" si="1"/>
        <v>41932</v>
      </c>
      <c r="C58" s="59">
        <f t="shared" si="0"/>
        <v>43</v>
      </c>
      <c r="D58" s="61">
        <v>24514</v>
      </c>
      <c r="E58" s="61">
        <v>18876</v>
      </c>
      <c r="F58" s="62">
        <v>0.74</v>
      </c>
      <c r="G58" s="63">
        <v>2.84</v>
      </c>
    </row>
    <row r="59" spans="2:7" ht="15" customHeight="1" x14ac:dyDescent="0.2">
      <c r="B59" s="60">
        <f t="shared" si="1"/>
        <v>41939</v>
      </c>
      <c r="C59" s="59">
        <f t="shared" si="0"/>
        <v>44</v>
      </c>
      <c r="D59" s="61">
        <v>33264</v>
      </c>
      <c r="E59" s="61">
        <v>27276</v>
      </c>
      <c r="F59" s="62">
        <v>0.68</v>
      </c>
      <c r="G59" s="63">
        <v>2.82</v>
      </c>
    </row>
    <row r="60" spans="2:7" ht="15" customHeight="1" x14ac:dyDescent="0.2">
      <c r="B60" s="60">
        <f t="shared" si="1"/>
        <v>41946</v>
      </c>
      <c r="C60" s="59">
        <f t="shared" si="0"/>
        <v>45</v>
      </c>
      <c r="D60" s="61">
        <v>33824</v>
      </c>
      <c r="E60" s="61">
        <v>31795</v>
      </c>
      <c r="F60" s="62">
        <v>0.55000000000000004</v>
      </c>
      <c r="G60" s="63">
        <v>3.63</v>
      </c>
    </row>
    <row r="61" spans="2:7" ht="15" customHeight="1" x14ac:dyDescent="0.2">
      <c r="B61" s="60">
        <f t="shared" si="1"/>
        <v>41953</v>
      </c>
      <c r="C61" s="59">
        <f t="shared" si="0"/>
        <v>46</v>
      </c>
      <c r="D61" s="61">
        <v>23758</v>
      </c>
      <c r="E61" s="61">
        <v>17819</v>
      </c>
      <c r="F61" s="62">
        <v>0.69</v>
      </c>
      <c r="G61" s="63">
        <v>2.7</v>
      </c>
    </row>
    <row r="62" spans="2:7" ht="15" customHeight="1" x14ac:dyDescent="0.2">
      <c r="B62" s="60">
        <f t="shared" si="1"/>
        <v>41960</v>
      </c>
      <c r="C62" s="59">
        <f t="shared" si="0"/>
        <v>47</v>
      </c>
      <c r="D62" s="61">
        <v>32949</v>
      </c>
      <c r="E62" s="61">
        <v>29984</v>
      </c>
      <c r="F62" s="62">
        <v>0.56999999999999995</v>
      </c>
      <c r="G62" s="63">
        <v>1.87</v>
      </c>
    </row>
    <row r="63" spans="2:7" ht="15" customHeight="1" x14ac:dyDescent="0.2">
      <c r="B63" s="60">
        <f t="shared" si="1"/>
        <v>41967</v>
      </c>
      <c r="C63" s="59">
        <f t="shared" si="0"/>
        <v>48</v>
      </c>
      <c r="D63" s="61">
        <v>21658</v>
      </c>
      <c r="E63" s="61">
        <v>15161</v>
      </c>
      <c r="F63" s="62">
        <v>0.64</v>
      </c>
      <c r="G63" s="63">
        <v>2.61</v>
      </c>
    </row>
    <row r="64" spans="2:7" ht="15" customHeight="1" x14ac:dyDescent="0.2">
      <c r="B64" s="60">
        <f t="shared" si="1"/>
        <v>41974</v>
      </c>
      <c r="C64" s="59">
        <f t="shared" si="0"/>
        <v>49</v>
      </c>
      <c r="D64" s="61">
        <v>24185</v>
      </c>
      <c r="E64" s="61">
        <v>20557</v>
      </c>
      <c r="F64" s="62">
        <v>0.6</v>
      </c>
      <c r="G64" s="63">
        <v>3.53</v>
      </c>
    </row>
    <row r="65" spans="2:7" ht="15" customHeight="1" x14ac:dyDescent="0.2">
      <c r="B65" s="60">
        <f t="shared" si="1"/>
        <v>41981</v>
      </c>
      <c r="C65" s="59">
        <f t="shared" si="0"/>
        <v>50</v>
      </c>
      <c r="D65" s="61">
        <v>26089</v>
      </c>
      <c r="E65" s="61">
        <v>18262</v>
      </c>
      <c r="F65" s="62">
        <v>0.8</v>
      </c>
      <c r="G65" s="63">
        <v>3.26</v>
      </c>
    </row>
    <row r="66" spans="2:7" ht="15" customHeight="1" x14ac:dyDescent="0.2">
      <c r="B66" s="60">
        <f t="shared" si="1"/>
        <v>41988</v>
      </c>
      <c r="C66" s="59">
        <f t="shared" si="0"/>
        <v>51</v>
      </c>
      <c r="D66" s="61">
        <v>23954</v>
      </c>
      <c r="E66" s="61">
        <v>18205</v>
      </c>
      <c r="F66" s="62">
        <v>0.7</v>
      </c>
      <c r="G66" s="63">
        <v>3.68</v>
      </c>
    </row>
    <row r="67" spans="2:7" ht="15" customHeight="1" x14ac:dyDescent="0.2">
      <c r="B67" s="60">
        <f t="shared" si="1"/>
        <v>41995</v>
      </c>
      <c r="C67" s="59">
        <f t="shared" si="0"/>
        <v>52</v>
      </c>
      <c r="D67" s="61">
        <v>24556</v>
      </c>
      <c r="E67" s="61">
        <v>20873</v>
      </c>
      <c r="F67" s="62">
        <v>0.6</v>
      </c>
      <c r="G67" s="63">
        <v>2.11</v>
      </c>
    </row>
    <row r="68" spans="2:7" ht="15" customHeight="1" x14ac:dyDescent="0.2">
      <c r="B68" s="60">
        <f t="shared" si="1"/>
        <v>42002</v>
      </c>
      <c r="C68" s="59">
        <f t="shared" si="0"/>
        <v>1</v>
      </c>
      <c r="D68" s="61">
        <v>19586</v>
      </c>
      <c r="E68" s="61">
        <v>15473</v>
      </c>
      <c r="F68" s="62">
        <v>0.69</v>
      </c>
      <c r="G68" s="63">
        <v>3.13</v>
      </c>
    </row>
    <row r="69" spans="2:7" ht="15" customHeight="1" x14ac:dyDescent="0.2">
      <c r="B69" s="60">
        <f t="shared" si="1"/>
        <v>42009</v>
      </c>
      <c r="C69" s="59">
        <f t="shared" si="0"/>
        <v>2</v>
      </c>
      <c r="D69" s="61">
        <v>25424</v>
      </c>
      <c r="E69" s="61">
        <v>23644</v>
      </c>
      <c r="F69" s="62">
        <v>0.5</v>
      </c>
      <c r="G69" s="63">
        <v>3.02</v>
      </c>
    </row>
  </sheetData>
  <phoneticPr fontId="3" type="noConversion"/>
  <pageMargins left="0.19685039370078741" right="0.19685039370078741" top="0.39370078740157483" bottom="0.78740157480314965" header="0.19685039370078741" footer="0.19685039370078741"/>
  <pageSetup paperSize="9" fitToHeight="0" orientation="portrait" r:id="rId1"/>
  <headerFooter>
    <oddFooter>&amp;C&amp;"-,Standard"&amp;9page &amp;P of &amp;N</oddFooter>
  </headerFooter>
  <colBreaks count="1" manualBreakCount="1">
    <brk id="2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>
    <tabColor rgb="FF002060"/>
    <pageSetUpPr fitToPage="1"/>
  </sheetPr>
  <dimension ref="B2:D17"/>
  <sheetViews>
    <sheetView showGridLines="0" zoomScaleNormal="100" workbookViewId="0"/>
  </sheetViews>
  <sheetFormatPr baseColWidth="10" defaultColWidth="10.7109375" defaultRowHeight="15" customHeight="1" x14ac:dyDescent="0.2"/>
  <cols>
    <col min="1" max="1" width="1.7109375" style="42" customWidth="1"/>
    <col min="2" max="2" width="18.7109375" style="42" customWidth="1"/>
    <col min="3" max="3" width="50.7109375" style="42" customWidth="1"/>
    <col min="4" max="4" width="80.7109375" style="42" customWidth="1"/>
    <col min="5" max="16384" width="10.7109375" style="42"/>
  </cols>
  <sheetData>
    <row r="2" spans="2:4" ht="30" customHeight="1" thickBot="1" x14ac:dyDescent="0.25">
      <c r="B2" s="1" t="s">
        <v>42</v>
      </c>
      <c r="C2" s="41"/>
      <c r="D2" s="41"/>
    </row>
    <row r="4" spans="2:4" ht="15" customHeight="1" x14ac:dyDescent="0.2">
      <c r="B4" s="21" t="s">
        <v>44</v>
      </c>
      <c r="C4" s="38">
        <v>22</v>
      </c>
      <c r="D4" s="2" t="s">
        <v>53</v>
      </c>
    </row>
    <row r="6" spans="2:4" ht="15" customHeight="1" x14ac:dyDescent="0.2">
      <c r="B6" s="43" t="s">
        <v>35</v>
      </c>
      <c r="C6" s="44"/>
      <c r="D6" s="2" t="s">
        <v>55</v>
      </c>
    </row>
    <row r="7" spans="2:4" ht="15" customHeight="1" x14ac:dyDescent="0.2">
      <c r="B7" s="43" t="s">
        <v>34</v>
      </c>
      <c r="C7" s="45">
        <v>80</v>
      </c>
      <c r="D7" s="2" t="s">
        <v>39</v>
      </c>
    </row>
    <row r="8" spans="2:4" ht="15" customHeight="1" x14ac:dyDescent="0.2">
      <c r="B8" s="43" t="s">
        <v>33</v>
      </c>
      <c r="C8" s="46">
        <v>0.7</v>
      </c>
      <c r="D8" s="2" t="s">
        <v>54</v>
      </c>
    </row>
    <row r="10" spans="2:4" ht="15" customHeight="1" x14ac:dyDescent="0.2">
      <c r="B10" s="43" t="s">
        <v>49</v>
      </c>
      <c r="C10" s="45">
        <v>0</v>
      </c>
      <c r="D10" s="2" t="s">
        <v>50</v>
      </c>
    </row>
    <row r="11" spans="2:4" ht="15" customHeight="1" x14ac:dyDescent="0.2">
      <c r="B11" s="43" t="s">
        <v>51</v>
      </c>
      <c r="C11" s="45">
        <v>0</v>
      </c>
      <c r="D11" s="2" t="s">
        <v>52</v>
      </c>
    </row>
    <row r="13" spans="2:4" ht="15" customHeight="1" x14ac:dyDescent="0.2">
      <c r="B13" s="43" t="s">
        <v>43</v>
      </c>
      <c r="C13" s="44" t="str">
        <f>dashboard!$B$2&amp;" / "&amp;TEXT(dashboard!$K$2,"W 0")</f>
        <v>Performance Dashboard - Customer Care Center / W 22</v>
      </c>
      <c r="D13" s="2" t="s">
        <v>56</v>
      </c>
    </row>
    <row r="14" spans="2:4" ht="15" customHeight="1" x14ac:dyDescent="0.2">
      <c r="B14" s="43" t="s">
        <v>48</v>
      </c>
      <c r="C14" s="44" t="str">
        <f>dashboard!$B$2</f>
        <v>Performance Dashboard - Customer Care Center</v>
      </c>
      <c r="D14" s="2" t="s">
        <v>57</v>
      </c>
    </row>
    <row r="16" spans="2:4" ht="15" customHeight="1" x14ac:dyDescent="0.2">
      <c r="B16" s="43" t="s">
        <v>36</v>
      </c>
      <c r="C16" s="45">
        <v>10</v>
      </c>
      <c r="D16" s="2" t="s">
        <v>38</v>
      </c>
    </row>
    <row r="17" spans="2:4" ht="15" customHeight="1" x14ac:dyDescent="0.2">
      <c r="B17" s="43" t="s">
        <v>37</v>
      </c>
      <c r="C17" s="45">
        <v>16</v>
      </c>
      <c r="D17" s="2" t="s">
        <v>40</v>
      </c>
    </row>
  </sheetData>
  <pageMargins left="0.19685039370078741" right="0.19685039370078741" top="0.59055118110236227" bottom="0.59055118110236227" header="0.19685039370078741" footer="0.19685039370078741"/>
  <pageSetup paperSize="9" fitToHeight="0" orientation="landscape" r:id="rId1"/>
  <headerFooter>
    <oddFooter>&amp;C&amp;"-,Standard"&amp;9page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>
    <tabColor theme="0" tint="-0.499984740745262"/>
    <pageSetUpPr fitToPage="1"/>
  </sheetPr>
  <dimension ref="A1:O54"/>
  <sheetViews>
    <sheetView showGridLines="0" zoomScaleNormal="70" workbookViewId="0"/>
  </sheetViews>
  <sheetFormatPr baseColWidth="10" defaultColWidth="10.7109375" defaultRowHeight="15" customHeight="1" x14ac:dyDescent="0.25"/>
  <cols>
    <col min="1" max="1" width="1.7109375" style="6" customWidth="1"/>
    <col min="2" max="2" width="44.42578125" style="6" customWidth="1"/>
    <col min="3" max="16384" width="10.7109375" style="6"/>
  </cols>
  <sheetData>
    <row r="1" spans="1:15" ht="15" customHeight="1" x14ac:dyDescent="0.25">
      <c r="C1" s="4"/>
      <c r="D1" s="5"/>
      <c r="E1" s="5"/>
      <c r="F1" s="5"/>
      <c r="G1" s="5"/>
      <c r="H1" s="5"/>
      <c r="I1" s="5"/>
      <c r="J1" s="5"/>
      <c r="K1" s="5"/>
      <c r="L1" s="5"/>
      <c r="M1" s="5"/>
      <c r="N1" s="5"/>
    </row>
    <row r="2" spans="1:15" ht="30" customHeight="1" thickBot="1" x14ac:dyDescent="0.3">
      <c r="B2" s="37" t="s">
        <v>41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 ht="15" customHeight="1" x14ac:dyDescent="0.25">
      <c r="B3" s="5"/>
      <c r="C3" s="7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</row>
    <row r="4" spans="1:15" ht="15" customHeight="1" x14ac:dyDescent="0.25">
      <c r="A4" s="20"/>
      <c r="B4" s="21" t="s">
        <v>2</v>
      </c>
      <c r="C4" s="22">
        <f>INDEX(data!$B$16:$B$69,myCurrentPeriod,1)</f>
        <v>41785</v>
      </c>
      <c r="D4" s="7"/>
      <c r="E4" s="7"/>
      <c r="F4" s="5"/>
      <c r="G4" s="5"/>
      <c r="H4" s="5"/>
      <c r="I4" s="5"/>
      <c r="J4" s="5"/>
      <c r="K4" s="5"/>
      <c r="L4" s="5"/>
      <c r="M4" s="5"/>
      <c r="N4" s="5"/>
      <c r="O4" s="5"/>
    </row>
    <row r="5" spans="1:15" ht="15" customHeight="1" x14ac:dyDescent="0.25">
      <c r="A5" s="20"/>
      <c r="B5" s="21" t="s">
        <v>45</v>
      </c>
      <c r="C5" s="54">
        <f>ROUNDDOWN(($C$4-DATE(YEAR($C$4+MOD(8-WEEKDAY($C$4),7)-3),1,1)-3+MOD(WEEKDAY(DATE(YEAR($C$4+MOD(8-WEEKDAY($C$4),7)-3),1,1))+1,7))/7+1,0)</f>
        <v>22</v>
      </c>
      <c r="D5" s="20"/>
      <c r="E5" s="7"/>
      <c r="F5" s="5"/>
      <c r="G5" s="5"/>
      <c r="H5" s="5"/>
      <c r="I5" s="5"/>
      <c r="J5" s="5"/>
      <c r="K5" s="5"/>
      <c r="L5" s="5"/>
      <c r="M5" s="5"/>
      <c r="N5" s="5"/>
      <c r="O5" s="5"/>
    </row>
    <row r="7" spans="1:15" ht="20.100000000000001" customHeight="1" x14ac:dyDescent="0.25">
      <c r="B7" s="57" t="s">
        <v>21</v>
      </c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</row>
    <row r="9" spans="1:15" ht="15" customHeight="1" x14ac:dyDescent="0.25">
      <c r="B9" s="20"/>
      <c r="C9" s="28" t="str">
        <f>data!C6</f>
        <v>Target</v>
      </c>
      <c r="D9" s="28" t="str">
        <f>data!D6</f>
        <v>Min Average</v>
      </c>
      <c r="E9" s="28" t="str">
        <f>data!E6</f>
        <v>Min Good</v>
      </c>
      <c r="F9" s="28" t="s">
        <v>0</v>
      </c>
      <c r="G9" s="20"/>
    </row>
    <row r="10" spans="1:15" ht="15" customHeight="1" x14ac:dyDescent="0.25">
      <c r="B10" s="21" t="str">
        <f>data!B7</f>
        <v>Incoming Calls</v>
      </c>
      <c r="C10" s="29" t="str">
        <f>data!C7</f>
        <v>n/a</v>
      </c>
      <c r="D10" s="29" t="str">
        <f>data!D7</f>
        <v>n/a</v>
      </c>
      <c r="E10" s="29" t="str">
        <f>data!E7</f>
        <v>n/a</v>
      </c>
      <c r="F10" s="8">
        <f>INDEX(data!$D$16:$D$69,myCurrentPeriod,1)</f>
        <v>26173</v>
      </c>
      <c r="G10" s="20"/>
    </row>
    <row r="11" spans="1:15" ht="15" customHeight="1" x14ac:dyDescent="0.25">
      <c r="B11" s="21" t="str">
        <f>data!B8</f>
        <v>Handled Calls</v>
      </c>
      <c r="C11" s="30">
        <f>data!C8</f>
        <v>0.8</v>
      </c>
      <c r="D11" s="30">
        <f>data!D8</f>
        <v>0.65</v>
      </c>
      <c r="E11" s="30">
        <f>data!E8</f>
        <v>0.85</v>
      </c>
      <c r="F11" s="8">
        <f>INDEX(data!$E$16:$E$69,myCurrentPeriod,1)</f>
        <v>24341</v>
      </c>
      <c r="G11" s="20"/>
    </row>
    <row r="12" spans="1:15" ht="15" customHeight="1" x14ac:dyDescent="0.25">
      <c r="B12" s="21" t="str">
        <f>data!B9</f>
        <v>Service Level</v>
      </c>
      <c r="C12" s="30">
        <f>data!C9</f>
        <v>0.6</v>
      </c>
      <c r="D12" s="30">
        <f>data!D9</f>
        <v>0.35</v>
      </c>
      <c r="E12" s="30">
        <f>data!E9</f>
        <v>0.7</v>
      </c>
      <c r="F12" s="30">
        <f>INDEX(data!$F$16:$F$69,myCurrentPeriod,1)</f>
        <v>0.57999999999999996</v>
      </c>
      <c r="G12" s="20"/>
    </row>
    <row r="13" spans="1:15" ht="15" customHeight="1" x14ac:dyDescent="0.25">
      <c r="B13" s="21" t="str">
        <f>data!B11</f>
        <v>Availability</v>
      </c>
      <c r="C13" s="30">
        <f>data!C11</f>
        <v>0.85</v>
      </c>
      <c r="D13" s="30">
        <f>data!D11</f>
        <v>0.7</v>
      </c>
      <c r="E13" s="30">
        <f>data!E11</f>
        <v>0.9</v>
      </c>
      <c r="F13" s="30">
        <f>IF(F10&gt;0,F11/F10,0)</f>
        <v>0.93000420280441676</v>
      </c>
      <c r="G13" s="20"/>
    </row>
    <row r="14" spans="1:15" ht="15" customHeight="1" x14ac:dyDescent="0.25">
      <c r="B14" s="21" t="str">
        <f>data!B10</f>
        <v>Customer satisfaction</v>
      </c>
      <c r="C14" s="31">
        <f>data!C10</f>
        <v>2.5</v>
      </c>
      <c r="D14" s="32" t="str">
        <f>data!D10</f>
        <v>n/a</v>
      </c>
      <c r="E14" s="32" t="str">
        <f>data!E10</f>
        <v>n/a</v>
      </c>
      <c r="F14" s="31">
        <f>INDEX(data!$G$16:$G$69,myCurrentPeriod,1)</f>
        <v>3.04</v>
      </c>
      <c r="G14" s="20"/>
    </row>
    <row r="16" spans="1:15" ht="20.100000000000001" customHeight="1" x14ac:dyDescent="0.25">
      <c r="B16" s="57" t="s">
        <v>22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</row>
    <row r="18" spans="1:10" ht="15" customHeight="1" x14ac:dyDescent="0.25">
      <c r="B18" s="9" t="str">
        <f>data!B9</f>
        <v>Service Level</v>
      </c>
    </row>
    <row r="19" spans="1:10" ht="15" customHeight="1" x14ac:dyDescent="0.25">
      <c r="F19" s="20"/>
      <c r="G19" s="20"/>
      <c r="H19" s="20"/>
      <c r="I19" s="20"/>
    </row>
    <row r="20" spans="1:10" ht="15" customHeight="1" x14ac:dyDescent="0.25">
      <c r="B20" s="55" t="s">
        <v>19</v>
      </c>
      <c r="C20" s="23">
        <f>$D$12</f>
        <v>0.35</v>
      </c>
      <c r="D20" s="10"/>
      <c r="E20" s="10"/>
      <c r="F20" s="47" t="s">
        <v>0</v>
      </c>
      <c r="G20" s="47" t="s">
        <v>14</v>
      </c>
      <c r="H20" s="47" t="s">
        <v>15</v>
      </c>
      <c r="I20" s="47" t="s">
        <v>16</v>
      </c>
    </row>
    <row r="21" spans="1:10" ht="15" customHeight="1" x14ac:dyDescent="0.25">
      <c r="B21" s="55" t="s">
        <v>20</v>
      </c>
      <c r="C21" s="23">
        <f>$E$12</f>
        <v>0.7</v>
      </c>
      <c r="D21" s="10"/>
      <c r="E21" s="10"/>
      <c r="F21" s="24"/>
      <c r="G21" s="25"/>
      <c r="H21" s="26"/>
      <c r="I21" s="27"/>
    </row>
    <row r="22" spans="1:10" ht="15" customHeight="1" x14ac:dyDescent="0.25">
      <c r="B22" s="55" t="s">
        <v>0</v>
      </c>
      <c r="C22" s="23">
        <f>$F$12</f>
        <v>0.57999999999999996</v>
      </c>
      <c r="D22" s="10"/>
      <c r="E22" s="10"/>
      <c r="F22" s="10">
        <v>0</v>
      </c>
      <c r="G22" s="10">
        <f>C20</f>
        <v>0.35</v>
      </c>
      <c r="H22" s="10">
        <f>MAX(C21-G22,0)</f>
        <v>0.35</v>
      </c>
      <c r="I22" s="10">
        <f>MAX(C23-SUM(G22:H22),0)</f>
        <v>0</v>
      </c>
    </row>
    <row r="23" spans="1:10" ht="15" customHeight="1" x14ac:dyDescent="0.25">
      <c r="B23" s="55" t="s">
        <v>1</v>
      </c>
      <c r="C23" s="23">
        <f>$C$12</f>
        <v>0.6</v>
      </c>
      <c r="D23" s="11">
        <v>1.2</v>
      </c>
      <c r="E23" s="10"/>
      <c r="F23" s="10">
        <f>C22</f>
        <v>0.57999999999999996</v>
      </c>
      <c r="G23" s="10">
        <f>MAX(C20-C22,0)</f>
        <v>0</v>
      </c>
      <c r="H23" s="10">
        <f>MAX(MIN(C21-C20,C21-C22),0)</f>
        <v>0.12</v>
      </c>
      <c r="I23" s="10">
        <v>0</v>
      </c>
    </row>
    <row r="24" spans="1:10" ht="15" customHeight="1" x14ac:dyDescent="0.25">
      <c r="B24" s="11"/>
      <c r="C24" s="23">
        <f>$C$23</f>
        <v>0.6</v>
      </c>
      <c r="D24" s="11">
        <v>2.8</v>
      </c>
      <c r="E24" s="11"/>
      <c r="F24" s="10">
        <f>F22</f>
        <v>0</v>
      </c>
      <c r="G24" s="10">
        <f>G22</f>
        <v>0.35</v>
      </c>
      <c r="H24" s="10">
        <f>H22</f>
        <v>0.35</v>
      </c>
      <c r="I24" s="10">
        <f>I22</f>
        <v>0</v>
      </c>
    </row>
    <row r="25" spans="1:10" ht="15" customHeight="1" x14ac:dyDescent="0.25">
      <c r="F25" s="20"/>
      <c r="G25" s="20"/>
      <c r="H25" s="20"/>
      <c r="I25" s="20"/>
    </row>
    <row r="26" spans="1:10" ht="15" customHeight="1" x14ac:dyDescent="0.25">
      <c r="B26" s="9" t="str">
        <f>data!B11</f>
        <v>Availability</v>
      </c>
      <c r="F26" s="20"/>
      <c r="G26" s="20"/>
      <c r="H26" s="20"/>
      <c r="I26" s="20"/>
    </row>
    <row r="27" spans="1:10" ht="15" customHeight="1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</row>
    <row r="28" spans="1:10" ht="15" customHeight="1" x14ac:dyDescent="0.25">
      <c r="A28" s="20"/>
      <c r="B28" s="55" t="s">
        <v>19</v>
      </c>
      <c r="C28" s="23">
        <f>$D$13</f>
        <v>0.7</v>
      </c>
      <c r="D28" s="10"/>
      <c r="E28" s="10"/>
      <c r="F28" s="47" t="s">
        <v>0</v>
      </c>
      <c r="G28" s="47" t="s">
        <v>14</v>
      </c>
      <c r="H28" s="47" t="s">
        <v>15</v>
      </c>
      <c r="I28" s="47" t="s">
        <v>16</v>
      </c>
      <c r="J28" s="20"/>
    </row>
    <row r="29" spans="1:10" ht="15" customHeight="1" x14ac:dyDescent="0.25">
      <c r="A29" s="20"/>
      <c r="B29" s="55" t="s">
        <v>20</v>
      </c>
      <c r="C29" s="23">
        <f>$E$13</f>
        <v>0.9</v>
      </c>
      <c r="D29" s="10"/>
      <c r="E29" s="10"/>
      <c r="F29" s="24"/>
      <c r="G29" s="25"/>
      <c r="H29" s="26"/>
      <c r="I29" s="27"/>
      <c r="J29" s="20"/>
    </row>
    <row r="30" spans="1:10" ht="15" customHeight="1" x14ac:dyDescent="0.25">
      <c r="A30" s="20"/>
      <c r="B30" s="55" t="s">
        <v>0</v>
      </c>
      <c r="C30" s="23">
        <f>$F$13</f>
        <v>0.93000420280441676</v>
      </c>
      <c r="D30" s="10"/>
      <c r="E30" s="10"/>
      <c r="F30" s="10">
        <v>0</v>
      </c>
      <c r="G30" s="10">
        <f>C28</f>
        <v>0.7</v>
      </c>
      <c r="H30" s="10">
        <f>MAX(C29-G30,0)</f>
        <v>0.20000000000000007</v>
      </c>
      <c r="I30" s="10">
        <f>MAX(C31-SUM(G30:H30),0)</f>
        <v>0</v>
      </c>
      <c r="J30" s="20"/>
    </row>
    <row r="31" spans="1:10" ht="15" customHeight="1" x14ac:dyDescent="0.25">
      <c r="A31" s="20"/>
      <c r="B31" s="55" t="s">
        <v>1</v>
      </c>
      <c r="C31" s="23">
        <f>$C$13</f>
        <v>0.85</v>
      </c>
      <c r="D31" s="11">
        <v>1.2</v>
      </c>
      <c r="E31" s="10"/>
      <c r="F31" s="10">
        <f>C30</f>
        <v>0.93000420280441676</v>
      </c>
      <c r="G31" s="10">
        <f>MAX(C28-C30,0)</f>
        <v>0</v>
      </c>
      <c r="H31" s="10">
        <f>MAX(MIN(C29-C28,C29-C30),0)</f>
        <v>0</v>
      </c>
      <c r="I31" s="10">
        <v>0</v>
      </c>
      <c r="J31" s="20"/>
    </row>
    <row r="32" spans="1:10" ht="15" customHeight="1" x14ac:dyDescent="0.25">
      <c r="A32" s="20"/>
      <c r="B32" s="11"/>
      <c r="C32" s="23">
        <f>$C$31</f>
        <v>0.85</v>
      </c>
      <c r="D32" s="11">
        <v>2.8</v>
      </c>
      <c r="E32" s="11"/>
      <c r="F32" s="10">
        <f>F30</f>
        <v>0</v>
      </c>
      <c r="G32" s="10">
        <f>G30</f>
        <v>0.7</v>
      </c>
      <c r="H32" s="10">
        <f>H30</f>
        <v>0.20000000000000007</v>
      </c>
      <c r="I32" s="10">
        <f>I30</f>
        <v>0</v>
      </c>
      <c r="J32" s="20"/>
    </row>
    <row r="33" spans="2:15" ht="15" customHeight="1" x14ac:dyDescent="0.25">
      <c r="F33" s="20"/>
      <c r="G33" s="20"/>
      <c r="H33" s="20"/>
      <c r="I33" s="20"/>
    </row>
    <row r="34" spans="2:15" ht="20.100000000000001" customHeight="1" x14ac:dyDescent="0.25">
      <c r="B34" s="57" t="s">
        <v>28</v>
      </c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</row>
    <row r="36" spans="2:15" ht="15" customHeight="1" x14ac:dyDescent="0.25">
      <c r="B36" s="20"/>
      <c r="C36" s="19" t="s">
        <v>1</v>
      </c>
      <c r="D36" s="19" t="s">
        <v>0</v>
      </c>
      <c r="E36" s="19" t="s">
        <v>31</v>
      </c>
      <c r="F36" s="20"/>
      <c r="G36" s="20"/>
    </row>
    <row r="37" spans="2:15" ht="15" customHeight="1" x14ac:dyDescent="0.25">
      <c r="B37" s="33" t="s">
        <v>29</v>
      </c>
      <c r="C37" s="34">
        <f>$F$14</f>
        <v>3.04</v>
      </c>
      <c r="D37" s="34">
        <f>$C$14</f>
        <v>2.5</v>
      </c>
      <c r="E37" s="34">
        <f>$C$14</f>
        <v>2.5</v>
      </c>
      <c r="F37" s="20"/>
      <c r="G37" s="20"/>
    </row>
    <row r="38" spans="2:15" ht="15" customHeight="1" x14ac:dyDescent="0.25">
      <c r="B38" s="33" t="s">
        <v>30</v>
      </c>
      <c r="C38" s="34">
        <v>0.1</v>
      </c>
      <c r="D38" s="34">
        <v>0</v>
      </c>
      <c r="E38" s="34">
        <v>1</v>
      </c>
      <c r="F38" s="20"/>
      <c r="G38" s="20"/>
    </row>
    <row r="39" spans="2:15" ht="15" customHeight="1" x14ac:dyDescent="0.25">
      <c r="B39" s="20"/>
      <c r="C39" s="20"/>
      <c r="D39" s="20"/>
      <c r="E39" s="20"/>
      <c r="F39" s="20"/>
      <c r="G39" s="20"/>
    </row>
    <row r="40" spans="2:15" ht="20.100000000000001" customHeight="1" x14ac:dyDescent="0.25">
      <c r="B40" s="57" t="s">
        <v>26</v>
      </c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</row>
    <row r="42" spans="2:15" ht="15" customHeight="1" x14ac:dyDescent="0.25">
      <c r="B42" s="35" t="s">
        <v>24</v>
      </c>
      <c r="C42" s="20"/>
      <c r="D42" s="65">
        <f t="shared" ref="D42:M42" si="0">IF(E42-1&lt;=0,-1,E42-1)</f>
        <v>11</v>
      </c>
      <c r="E42" s="65">
        <f t="shared" si="0"/>
        <v>12</v>
      </c>
      <c r="F42" s="65">
        <f t="shared" si="0"/>
        <v>13</v>
      </c>
      <c r="G42" s="65">
        <f t="shared" si="0"/>
        <v>14</v>
      </c>
      <c r="H42" s="65">
        <f t="shared" si="0"/>
        <v>15</v>
      </c>
      <c r="I42" s="65">
        <f t="shared" si="0"/>
        <v>16</v>
      </c>
      <c r="J42" s="65">
        <f t="shared" si="0"/>
        <v>17</v>
      </c>
      <c r="K42" s="65">
        <f t="shared" si="0"/>
        <v>18</v>
      </c>
      <c r="L42" s="65">
        <f t="shared" si="0"/>
        <v>19</v>
      </c>
      <c r="M42" s="65">
        <f t="shared" si="0"/>
        <v>20</v>
      </c>
      <c r="N42" s="65">
        <f>IF(O42-1&lt;=0,-1,O42-1)</f>
        <v>21</v>
      </c>
      <c r="O42" s="65">
        <f>myCurrentPeriod</f>
        <v>22</v>
      </c>
    </row>
    <row r="43" spans="2:15" ht="15" customHeight="1" x14ac:dyDescent="0.25">
      <c r="B43" s="20"/>
      <c r="C43" s="20"/>
      <c r="D43" s="66">
        <f>IF(D$42&gt;0,INDEX(data!$C$16:$C$69,D$42,1),0)</f>
        <v>11</v>
      </c>
      <c r="E43" s="66">
        <f>IF(E$42&gt;0,INDEX(data!$C$16:$C$69,E$42,1),0)</f>
        <v>12</v>
      </c>
      <c r="F43" s="66">
        <f>IF(F$42&gt;0,INDEX(data!$C$16:$C$69,F$42,1),0)</f>
        <v>13</v>
      </c>
      <c r="G43" s="66">
        <f>IF(G$42&gt;0,INDEX(data!$C$16:$C$69,G$42,1),0)</f>
        <v>14</v>
      </c>
      <c r="H43" s="66">
        <f>IF(H$42&gt;0,INDEX(data!$C$16:$C$69,H$42,1),0)</f>
        <v>15</v>
      </c>
      <c r="I43" s="66">
        <f>IF(I$42&gt;0,INDEX(data!$C$16:$C$69,I$42,1),0)</f>
        <v>16</v>
      </c>
      <c r="J43" s="66">
        <f>IF(J$42&gt;0,INDEX(data!$C$16:$C$69,J$42,1),0)</f>
        <v>17</v>
      </c>
      <c r="K43" s="66">
        <f>IF(K$42&gt;0,INDEX(data!$C$16:$C$69,K$42,1),0)</f>
        <v>18</v>
      </c>
      <c r="L43" s="66">
        <f>IF(L$42&gt;0,INDEX(data!$C$16:$C$69,L$42,1),0)</f>
        <v>19</v>
      </c>
      <c r="M43" s="66">
        <f>IF(M$42&gt;0,INDEX(data!$C$16:$C$69,M$42,1),0)</f>
        <v>20</v>
      </c>
      <c r="N43" s="66">
        <f>IF(N$42&gt;0,INDEX(data!$C$16:$C$69,N$42,1),0)</f>
        <v>21</v>
      </c>
      <c r="O43" s="66">
        <f>IF(O$42&gt;0,INDEX(data!$C$16:$C$69,O$42,1),0)</f>
        <v>22</v>
      </c>
    </row>
    <row r="44" spans="2:15" ht="15" customHeight="1" x14ac:dyDescent="0.25">
      <c r="B44" s="21" t="str">
        <f>data!$B$7&amp;" in 000"</f>
        <v>Incoming Calls in 000</v>
      </c>
      <c r="C44" s="19" t="s">
        <v>23</v>
      </c>
      <c r="D44" s="36">
        <f>IF(D$42&gt;0,INDEX(data!$D$16:$D$69,D$42,1),0)</f>
        <v>18067</v>
      </c>
      <c r="E44" s="36">
        <f>IF(E$42&gt;0,INDEX(data!$D$16:$D$69,E$42,1),0)</f>
        <v>21231</v>
      </c>
      <c r="F44" s="36">
        <f>IF(F$42&gt;0,INDEX(data!$D$16:$D$69,F$42,1),0)</f>
        <v>33656</v>
      </c>
      <c r="G44" s="36">
        <f>IF(G$42&gt;0,INDEX(data!$D$16:$D$69,G$42,1),0)</f>
        <v>31780</v>
      </c>
      <c r="H44" s="36">
        <f>IF(H$42&gt;0,INDEX(data!$D$16:$D$69,H$42,1),0)</f>
        <v>30065</v>
      </c>
      <c r="I44" s="36">
        <f>IF(I$42&gt;0,INDEX(data!$D$16:$D$69,I$42,1),0)</f>
        <v>21119</v>
      </c>
      <c r="J44" s="36">
        <f>IF(J$42&gt;0,INDEX(data!$D$16:$D$69,J$42,1),0)</f>
        <v>34132</v>
      </c>
      <c r="K44" s="36">
        <f>IF(K$42&gt;0,INDEX(data!$D$16:$D$69,K$42,1),0)</f>
        <v>29127</v>
      </c>
      <c r="L44" s="36">
        <f>IF(L$42&gt;0,INDEX(data!$D$16:$D$69,L$42,1),0)</f>
        <v>29148</v>
      </c>
      <c r="M44" s="36">
        <f>IF(M$42&gt;0,INDEX(data!$D$16:$D$69,M$42,1),0)</f>
        <v>26208</v>
      </c>
      <c r="N44" s="36">
        <f>IF(N$42&gt;0,INDEX(data!$D$16:$D$69,N$42,1),0)</f>
        <v>22120</v>
      </c>
      <c r="O44" s="36">
        <f>IF(O$42&gt;0,INDEX(data!$D$16:$D$69,O$42,1),0)</f>
        <v>26173</v>
      </c>
    </row>
    <row r="45" spans="2:15" ht="15" customHeight="1" x14ac:dyDescent="0.25">
      <c r="B45" s="21" t="str">
        <f>data!$B$8&amp;" in 000"</f>
        <v>Handled Calls in 000</v>
      </c>
      <c r="C45" s="19" t="s">
        <v>23</v>
      </c>
      <c r="D45" s="36">
        <f>IF(D$42&gt;0,INDEX(data!$E$16:$E$69,D$42,1),0)</f>
        <v>15538</v>
      </c>
      <c r="E45" s="36">
        <f>IF(E$42&gt;0,INDEX(data!$E$16:$E$69,E$42,1),0)</f>
        <v>20169</v>
      </c>
      <c r="F45" s="36">
        <f>IF(F$42&gt;0,INDEX(data!$E$16:$E$69,F$42,1),0)</f>
        <v>30964</v>
      </c>
      <c r="G45" s="36">
        <f>IF(G$42&gt;0,INDEX(data!$E$16:$E$69,G$42,1),0)</f>
        <v>27331</v>
      </c>
      <c r="H45" s="36">
        <f>IF(H$42&gt;0,INDEX(data!$E$16:$E$69,H$42,1),0)</f>
        <v>24954</v>
      </c>
      <c r="I45" s="36">
        <f>IF(I$42&gt;0,INDEX(data!$E$16:$E$69,I$42,1),0)</f>
        <v>17529</v>
      </c>
      <c r="J45" s="36">
        <f>IF(J$42&gt;0,INDEX(data!$E$16:$E$69,J$42,1),0)</f>
        <v>31401</v>
      </c>
      <c r="K45" s="36">
        <f>IF(K$42&gt;0,INDEX(data!$E$16:$E$69,K$42,1),0)</f>
        <v>24467</v>
      </c>
      <c r="L45" s="36">
        <f>IF(L$42&gt;0,INDEX(data!$E$16:$E$69,L$42,1),0)</f>
        <v>25650</v>
      </c>
      <c r="M45" s="36">
        <f>IF(M$42&gt;0,INDEX(data!$E$16:$E$69,M$42,1),0)</f>
        <v>24636</v>
      </c>
      <c r="N45" s="36">
        <f>IF(N$42&gt;0,INDEX(data!$E$16:$E$69,N$42,1),0)</f>
        <v>17032</v>
      </c>
      <c r="O45" s="36">
        <f>IF(O$42&gt;0,INDEX(data!$E$16:$E$69,O$42,1),0)</f>
        <v>24341</v>
      </c>
    </row>
    <row r="46" spans="2:15" ht="15" customHeight="1" x14ac:dyDescent="0.25">
      <c r="B46" s="21" t="s">
        <v>8</v>
      </c>
      <c r="C46" s="20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>
        <f>MAX(D44:O45)</f>
        <v>34132</v>
      </c>
    </row>
    <row r="47" spans="2:15" ht="15" customHeight="1" x14ac:dyDescent="0.25">
      <c r="B47" s="21" t="str">
        <f>data!$B$9</f>
        <v>Service Level</v>
      </c>
      <c r="C47" s="19" t="s">
        <v>27</v>
      </c>
      <c r="D47" s="30">
        <f>IF(D$42&gt;0,INDEX(data!$F$16:$F$69,D$42,1),0)</f>
        <v>0.51</v>
      </c>
      <c r="E47" s="30">
        <f>IF(E$42&gt;0,INDEX(data!$F$16:$F$69,E$42,1),0)</f>
        <v>0.59</v>
      </c>
      <c r="F47" s="30">
        <f>IF(F$42&gt;0,INDEX(data!$F$16:$F$69,F$42,1),0)</f>
        <v>0.69</v>
      </c>
      <c r="G47" s="30">
        <f>IF(G$42&gt;0,INDEX(data!$F$16:$F$69,G$42,1),0)</f>
        <v>0.66</v>
      </c>
      <c r="H47" s="30">
        <f>IF(H$42&gt;0,INDEX(data!$F$16:$F$69,H$42,1),0)</f>
        <v>0.74</v>
      </c>
      <c r="I47" s="30">
        <f>IF(I$42&gt;0,INDEX(data!$F$16:$F$69,I$42,1),0)</f>
        <v>0.62</v>
      </c>
      <c r="J47" s="30">
        <f>IF(J$42&gt;0,INDEX(data!$F$16:$F$69,J$42,1),0)</f>
        <v>0.65</v>
      </c>
      <c r="K47" s="30">
        <f>IF(K$42&gt;0,INDEX(data!$F$16:$F$69,K$42,1),0)</f>
        <v>0.68</v>
      </c>
      <c r="L47" s="30">
        <f>IF(L$42&gt;0,INDEX(data!$F$16:$F$69,L$42,1),0)</f>
        <v>0.57999999999999996</v>
      </c>
      <c r="M47" s="30">
        <f>IF(M$42&gt;0,INDEX(data!$F$16:$F$69,M$42,1),0)</f>
        <v>0.75</v>
      </c>
      <c r="N47" s="30">
        <f>IF(N$42&gt;0,INDEX(data!$F$16:$F$69,N$42,1),0)</f>
        <v>0.8</v>
      </c>
      <c r="O47" s="30">
        <f>IF(O$42&gt;0,INDEX(data!$F$16:$F$69,O$42,1),0)</f>
        <v>0.57999999999999996</v>
      </c>
    </row>
    <row r="48" spans="2:15" ht="15" customHeight="1" x14ac:dyDescent="0.25">
      <c r="B48" s="21" t="str">
        <f>data!$B$11</f>
        <v>Availability</v>
      </c>
      <c r="C48" s="19" t="s">
        <v>27</v>
      </c>
      <c r="D48" s="30">
        <f t="shared" ref="D48:O48" si="1">IF(D44&gt;0,D45/D44,0)</f>
        <v>0.8600210328222726</v>
      </c>
      <c r="E48" s="30">
        <f t="shared" si="1"/>
        <v>0.94997880457821116</v>
      </c>
      <c r="F48" s="30">
        <f t="shared" si="1"/>
        <v>0.92001426194437841</v>
      </c>
      <c r="G48" s="30">
        <f t="shared" si="1"/>
        <v>0.86000629326620515</v>
      </c>
      <c r="H48" s="30">
        <f t="shared" si="1"/>
        <v>0.83000166306336276</v>
      </c>
      <c r="I48" s="30">
        <f t="shared" si="1"/>
        <v>0.83001089066717171</v>
      </c>
      <c r="J48" s="30">
        <f t="shared" si="1"/>
        <v>0.91998710887144031</v>
      </c>
      <c r="K48" s="30">
        <f t="shared" si="1"/>
        <v>0.84001098637003468</v>
      </c>
      <c r="L48" s="30">
        <f t="shared" si="1"/>
        <v>0.87999176615891317</v>
      </c>
      <c r="M48" s="30">
        <f t="shared" si="1"/>
        <v>0.94001831501831501</v>
      </c>
      <c r="N48" s="30">
        <f t="shared" si="1"/>
        <v>0.76998191681735983</v>
      </c>
      <c r="O48" s="30">
        <f t="shared" si="1"/>
        <v>0.93000420280441676</v>
      </c>
    </row>
    <row r="49" spans="2:15" ht="15" customHeight="1" x14ac:dyDescent="0.25">
      <c r="B49" s="21" t="str">
        <f>data!$B$10</f>
        <v>Customer satisfaction</v>
      </c>
      <c r="C49" s="20"/>
      <c r="D49" s="31">
        <f>IF(D$42&gt;0,INDEX(data!$G$16:$G$69,D$42,1),0)</f>
        <v>2.08</v>
      </c>
      <c r="E49" s="31">
        <f>IF(E$42&gt;0,INDEX(data!$G$16:$G$69,E$42,1),0)</f>
        <v>2.66</v>
      </c>
      <c r="F49" s="31">
        <f>IF(F$42&gt;0,INDEX(data!$G$16:$G$69,F$42,1),0)</f>
        <v>2.4500000000000002</v>
      </c>
      <c r="G49" s="31">
        <f>IF(G$42&gt;0,INDEX(data!$G$16:$G$69,G$42,1),0)</f>
        <v>2.02</v>
      </c>
      <c r="H49" s="31">
        <f>IF(H$42&gt;0,INDEX(data!$G$16:$G$69,H$42,1),0)</f>
        <v>2.69</v>
      </c>
      <c r="I49" s="31">
        <f>IF(I$42&gt;0,INDEX(data!$G$16:$G$69,I$42,1),0)</f>
        <v>3.37</v>
      </c>
      <c r="J49" s="31">
        <f>IF(J$42&gt;0,INDEX(data!$G$16:$G$69,J$42,1),0)</f>
        <v>2.0299999999999998</v>
      </c>
      <c r="K49" s="31">
        <f>IF(K$42&gt;0,INDEX(data!$G$16:$G$69,K$42,1),0)</f>
        <v>2.21</v>
      </c>
      <c r="L49" s="31">
        <f>IF(L$42&gt;0,INDEX(data!$G$16:$G$69,L$42,1),0)</f>
        <v>2.59</v>
      </c>
      <c r="M49" s="31">
        <f>IF(M$42&gt;0,INDEX(data!$G$16:$G$69,M$42,1),0)</f>
        <v>3.05</v>
      </c>
      <c r="N49" s="31">
        <f>IF(N$42&gt;0,INDEX(data!$G$16:$G$69,N$42,1),0)</f>
        <v>3.69</v>
      </c>
      <c r="O49" s="31">
        <f>IF(O$42&gt;0,INDEX(data!$G$16:$G$69,O$42,1),0)</f>
        <v>3.04</v>
      </c>
    </row>
    <row r="51" spans="2:15" ht="15" customHeight="1" x14ac:dyDescent="0.25">
      <c r="B51" s="9" t="s">
        <v>25</v>
      </c>
    </row>
    <row r="52" spans="2:15" ht="15" customHeight="1" x14ac:dyDescent="0.25">
      <c r="B52" s="21" t="str">
        <f>data!$B$9</f>
        <v>Service Level</v>
      </c>
      <c r="C52" s="19" t="s">
        <v>27</v>
      </c>
      <c r="D52" s="30">
        <f>$C$12</f>
        <v>0.6</v>
      </c>
      <c r="E52" s="30">
        <f t="shared" ref="E52:O52" si="2">$C$12</f>
        <v>0.6</v>
      </c>
      <c r="F52" s="30">
        <f t="shared" si="2"/>
        <v>0.6</v>
      </c>
      <c r="G52" s="30">
        <f t="shared" si="2"/>
        <v>0.6</v>
      </c>
      <c r="H52" s="30">
        <f t="shared" si="2"/>
        <v>0.6</v>
      </c>
      <c r="I52" s="30">
        <f t="shared" si="2"/>
        <v>0.6</v>
      </c>
      <c r="J52" s="30">
        <f t="shared" si="2"/>
        <v>0.6</v>
      </c>
      <c r="K52" s="30">
        <f t="shared" si="2"/>
        <v>0.6</v>
      </c>
      <c r="L52" s="30">
        <f t="shared" si="2"/>
        <v>0.6</v>
      </c>
      <c r="M52" s="30">
        <f t="shared" si="2"/>
        <v>0.6</v>
      </c>
      <c r="N52" s="30">
        <f t="shared" si="2"/>
        <v>0.6</v>
      </c>
      <c r="O52" s="30">
        <f t="shared" si="2"/>
        <v>0.6</v>
      </c>
    </row>
    <row r="53" spans="2:15" ht="15" customHeight="1" x14ac:dyDescent="0.25">
      <c r="B53" s="21" t="str">
        <f>data!$B$11</f>
        <v>Availability</v>
      </c>
      <c r="C53" s="19" t="s">
        <v>27</v>
      </c>
      <c r="D53" s="30">
        <f>$C$13</f>
        <v>0.85</v>
      </c>
      <c r="E53" s="30">
        <f t="shared" ref="E53:O53" si="3">$C$13</f>
        <v>0.85</v>
      </c>
      <c r="F53" s="30">
        <f t="shared" si="3"/>
        <v>0.85</v>
      </c>
      <c r="G53" s="30">
        <f t="shared" si="3"/>
        <v>0.85</v>
      </c>
      <c r="H53" s="30">
        <f t="shared" si="3"/>
        <v>0.85</v>
      </c>
      <c r="I53" s="30">
        <f t="shared" si="3"/>
        <v>0.85</v>
      </c>
      <c r="J53" s="30">
        <f t="shared" si="3"/>
        <v>0.85</v>
      </c>
      <c r="K53" s="30">
        <f t="shared" si="3"/>
        <v>0.85</v>
      </c>
      <c r="L53" s="30">
        <f t="shared" si="3"/>
        <v>0.85</v>
      </c>
      <c r="M53" s="30">
        <f t="shared" si="3"/>
        <v>0.85</v>
      </c>
      <c r="N53" s="30">
        <f t="shared" si="3"/>
        <v>0.85</v>
      </c>
      <c r="O53" s="30">
        <f t="shared" si="3"/>
        <v>0.85</v>
      </c>
    </row>
    <row r="54" spans="2:15" ht="15" customHeight="1" x14ac:dyDescent="0.25">
      <c r="B54" s="21" t="str">
        <f>data!$B$10</f>
        <v>Customer satisfaction</v>
      </c>
      <c r="C54" s="20"/>
      <c r="D54" s="31">
        <f>$C$14</f>
        <v>2.5</v>
      </c>
      <c r="E54" s="31">
        <f t="shared" ref="E54:O54" si="4">$C$14</f>
        <v>2.5</v>
      </c>
      <c r="F54" s="31">
        <f t="shared" si="4"/>
        <v>2.5</v>
      </c>
      <c r="G54" s="31">
        <f t="shared" si="4"/>
        <v>2.5</v>
      </c>
      <c r="H54" s="31">
        <f t="shared" si="4"/>
        <v>2.5</v>
      </c>
      <c r="I54" s="31">
        <f t="shared" si="4"/>
        <v>2.5</v>
      </c>
      <c r="J54" s="31">
        <f t="shared" si="4"/>
        <v>2.5</v>
      </c>
      <c r="K54" s="31">
        <f t="shared" si="4"/>
        <v>2.5</v>
      </c>
      <c r="L54" s="31">
        <f t="shared" si="4"/>
        <v>2.5</v>
      </c>
      <c r="M54" s="31">
        <f t="shared" si="4"/>
        <v>2.5</v>
      </c>
      <c r="N54" s="31">
        <f t="shared" si="4"/>
        <v>2.5</v>
      </c>
      <c r="O54" s="31">
        <f t="shared" si="4"/>
        <v>2.5</v>
      </c>
    </row>
  </sheetData>
  <phoneticPr fontId="0" type="noConversion"/>
  <pageMargins left="0.70866141732283472" right="0.70866141732283472" top="0.78740157480314965" bottom="0.78740157480314965" header="0.31496062992125984" footer="0.31496062992125984"/>
  <pageSetup paperSize="9" scale="72" fitToHeight="0" orientation="landscape" r:id="rId1"/>
  <headerFooter>
    <oddFooter>&amp;C&amp;"-,Standard"&amp;9page &amp;P of &amp;N</oddFooter>
  </headerFooter>
</worksheet>
</file>

<file path=customUI/_rels/customUI14.xml.rels><?xml version="1.0" encoding="UTF-8" standalone="yes"?>
<Relationships xmlns="http://schemas.openxmlformats.org/package/2006/relationships"><Relationship Id="internet" Type="http://schemas.openxmlformats.org/officeDocument/2006/relationships/image" Target="images/internet.png"/><Relationship Id="xps" Type="http://schemas.openxmlformats.org/officeDocument/2006/relationships/image" Target="images/xps.png"/><Relationship Id="jpeg" Type="http://schemas.openxmlformats.org/officeDocument/2006/relationships/image" Target="images/jpeg.png"/><Relationship Id="pdf" Type="http://schemas.openxmlformats.org/officeDocument/2006/relationships/image" Target="images/pdf.png"/><Relationship Id="png" Type="http://schemas.openxmlformats.org/officeDocument/2006/relationships/image" Target="images/png.png"/><Relationship Id="bmp" Type="http://schemas.openxmlformats.org/officeDocument/2006/relationships/image" Target="images/bmp.png"/><Relationship Id="powerpoint" Type="http://schemas.openxmlformats.org/officeDocument/2006/relationships/image" Target="images/powerpoint.png"/><Relationship Id="word" Type="http://schemas.openxmlformats.org/officeDocument/2006/relationships/image" Target="images/word.png"/><Relationship Id="gif" Type="http://schemas.openxmlformats.org/officeDocument/2006/relationships/image" Target="images/gif.png"/></Relationships>
</file>

<file path=customUI/customUI14.xml><?xml version="1.0" encoding="utf-8"?>
<customUI xmlns="http://schemas.microsoft.com/office/2009/07/customui">
  <ribbon>
    <tabs>
      <tab id="Export2Apps" label="EXPORT TO OTHER APPS" insertAfterMso="TabAddIns">
        <group id="customGroup1" label="Office">
          <button id="customButton1" label="Export to PPT" size="large" screentip="Export Dashboard to PowerPoint" onAction="Export2PPT" image="powerpoint"/>
          <button id="customButton2" label="Export to Word" size="large" screentip="Export Dashboard to Word" onAction="Export2Word" image="word"/>
        </group>
        <group id="customGroup2" label="PDF / XPS">
          <button id="customButton3" label="Export to PDF" size="large" screentip="Export Dashboard to PDF" onAction="Export2PDF" image="pdf"/>
          <button id="customButton4" label="Export to XPS" size="large" screentip="Export Dashboard to XPS" onAction="Export2XPS" image="xps"/>
        </group>
        <group id="customGroup3" label="Images">
          <button id="customButton5" label="Export to PNG" size="large" screentip="Export Dashboard to PNG" onAction="Export2PNG" image="png"/>
          <button id="customButton6" label="Export to JPEG" size="large" screentip="Export Dashboard to JPEG" onAction="Export2JPEG" image="jpeg"/>
          <button id="customButton7" label="Export to GIF" size="large" screentip="Export Dashboard to GIF" onAction="Export2GIF" image="gif"/>
          <button id="customButton8" label="Export to BMP" size="large" screentip="Export Dashboard to BMP" onAction="Export2BMP" image="bmp"/>
        </group>
        <group id="customGroup4" label="Blog">
          <button id="customButton9" label="Clearly and Simply" size="large" screentip="Visit Clearly and Simply" onAction="VisitCS" image="interne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11</vt:i4>
      </vt:variant>
    </vt:vector>
  </HeadingPairs>
  <TitlesOfParts>
    <vt:vector size="15" baseType="lpstr">
      <vt:lpstr>dashboard</vt:lpstr>
      <vt:lpstr>data</vt:lpstr>
      <vt:lpstr>control</vt:lpstr>
      <vt:lpstr>calculations</vt:lpstr>
      <vt:lpstr>myCurrentPeriod</vt:lpstr>
      <vt:lpstr>myDashboard</vt:lpstr>
      <vt:lpstr>myFileName</vt:lpstr>
      <vt:lpstr>myPageBreak</vt:lpstr>
      <vt:lpstr>myPageOrientation</vt:lpstr>
      <vt:lpstr>myPeriodEnd</vt:lpstr>
      <vt:lpstr>myPeriodStart</vt:lpstr>
      <vt:lpstr>myPPTTheme</vt:lpstr>
      <vt:lpstr>myScaleFactor</vt:lpstr>
      <vt:lpstr>myTitle</vt:lpstr>
      <vt:lpstr>myTop</vt:lpstr>
    </vt:vector>
  </TitlesOfParts>
  <Manager>Robert Mundigl</Manager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Excel Dashboards to other Applications (improved version)</dc:title>
  <dc:subject>Performance Dashboard Customer Care Center</dc:subject>
  <dc:creator>Robert Mundigl</dc:creator>
  <dc:description>www.clearlyandsimply.com</dc:description>
  <cp:lastModifiedBy>Robert Mundigl</cp:lastModifiedBy>
  <cp:revision>1</cp:revision>
  <cp:lastPrinted>2015-07-06T11:56:01Z</cp:lastPrinted>
  <dcterms:created xsi:type="dcterms:W3CDTF">2015-07-05T10:00:00Z</dcterms:created>
  <dcterms:modified xsi:type="dcterms:W3CDTF">2015-07-06T12:32:42Z</dcterms:modified>
  <cp:category>Dashboards; Microsoft Excel; Tools</cp:category>
</cp:coreProperties>
</file>