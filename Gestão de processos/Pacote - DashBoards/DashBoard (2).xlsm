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9200" windowHeight="7245" firstSheet="4" activeTab="4"/>
  </bookViews>
  <sheets>
    <sheet name="data" sheetId="1" state="hidden" r:id="rId1"/>
    <sheet name="calculations" sheetId="4" state="hidden" r:id="rId2"/>
    <sheet name="selected data" sheetId="5" state="hidden" r:id="rId3"/>
    <sheet name="images" sheetId="6" state="hidden" r:id="rId4"/>
    <sheet name="dashboard" sheetId="3" r:id="rId5"/>
  </sheets>
  <definedNames>
    <definedName name="__IntlFixup" hidden="1">TRUE</definedName>
    <definedName name="base">data!$C$2:$C$33</definedName>
    <definedName name="clicked_button">calculations!$D$3</definedName>
    <definedName name="corresponding">data!$D$2:$D$33</definedName>
    <definedName name="imagea">images!$B$1</definedName>
    <definedName name="imageb">images!$B$2</definedName>
    <definedName name="imagec">images!$B$3</definedName>
    <definedName name="_xlnm.Print_Area" localSheetId="4">dashboard!$A:$U</definedName>
    <definedName name="selecteddata">(base,corresponding,target)</definedName>
    <definedName name="selectimage">CHOOSE(calculations!$D$4,imagea,imageb,imagec)</definedName>
    <definedName name="selecttext">CHOOSE(calculations!$D$4,texta,textb,textc)</definedName>
    <definedName name="selectvar">(varbase,varcorresp,vartarget)</definedName>
    <definedName name="target">data!$F$2:$F$33</definedName>
    <definedName name="texta">images!$B$4</definedName>
    <definedName name="textb">images!$B$5</definedName>
    <definedName name="textc">images!$B$6</definedName>
    <definedName name="varbase">data!$H$3:$I$33</definedName>
    <definedName name="varcorresp">data!$J$3:$K$33</definedName>
    <definedName name="vartarget">data!$L$3:$M$33</definedName>
  </definedNames>
  <calcPr calcId="145621"/>
</workbook>
</file>

<file path=xl/calcChain.xml><?xml version="1.0" encoding="utf-8"?>
<calcChain xmlns="http://schemas.openxmlformats.org/spreadsheetml/2006/main">
  <c r="H5" i="5" l="1"/>
  <c r="G5" i="5"/>
  <c r="F5" i="5"/>
  <c r="D6" i="5" l="1"/>
  <c r="M4" i="5"/>
  <c r="I5" i="5"/>
  <c r="I6" i="5" s="1"/>
  <c r="D4" i="4"/>
  <c r="L4" i="5" s="1"/>
  <c r="D5" i="5"/>
  <c r="J5" i="5" s="1"/>
  <c r="J6" i="5" s="1"/>
  <c r="H6" i="5" l="1"/>
  <c r="F6" i="5"/>
  <c r="G6" i="5"/>
  <c r="E5" i="5"/>
  <c r="L5" i="5"/>
  <c r="K5" i="5"/>
  <c r="F18" i="5" s="1"/>
  <c r="D7" i="5"/>
  <c r="E4" i="5"/>
  <c r="C4" i="4"/>
  <c r="C5" i="5" s="1"/>
  <c r="E18" i="5" l="1"/>
  <c r="G18" i="5"/>
  <c r="J7" i="5"/>
</calcChain>
</file>

<file path=xl/sharedStrings.xml><?xml version="1.0" encoding="utf-8"?>
<sst xmlns="http://schemas.openxmlformats.org/spreadsheetml/2006/main" count="145" uniqueCount="77">
  <si>
    <t xml:space="preserve"> </t>
  </si>
  <si>
    <t>Base</t>
  </si>
  <si>
    <t>Corresp:</t>
  </si>
  <si>
    <t>Current</t>
  </si>
  <si>
    <t>Proportionate</t>
  </si>
  <si>
    <t>Variance</t>
  </si>
  <si>
    <t>Target</t>
  </si>
  <si>
    <t>Month</t>
  </si>
  <si>
    <t>with Base</t>
  </si>
  <si>
    <t>with Target</t>
  </si>
  <si>
    <t>December</t>
  </si>
  <si>
    <t>31.12.2014</t>
  </si>
  <si>
    <t>31.08.2014</t>
  </si>
  <si>
    <t>31.08.2015</t>
  </si>
  <si>
    <t>30.09.2015</t>
  </si>
  <si>
    <t xml:space="preserve">Amount </t>
  </si>
  <si>
    <t>%</t>
  </si>
  <si>
    <t>Amount</t>
  </si>
  <si>
    <t>Absolute Deposit</t>
  </si>
  <si>
    <t>CASA Deposit</t>
  </si>
  <si>
    <t>Average Deposit</t>
  </si>
  <si>
    <t>Weekly Deposit  10-09-2015</t>
  </si>
  <si>
    <t>No of Current A/Cs Opened during Month</t>
  </si>
  <si>
    <t>No of Current A/cs Opened Progressive</t>
  </si>
  <si>
    <t>Number of Depositors Accounts (CASA)</t>
  </si>
  <si>
    <t>Profit/Loss</t>
  </si>
  <si>
    <t>Advances</t>
  </si>
  <si>
    <t>Performing Adances</t>
  </si>
  <si>
    <t>Classified Advances</t>
  </si>
  <si>
    <t>Non Fund Base Advances</t>
  </si>
  <si>
    <t>Non Fund Base Income</t>
  </si>
  <si>
    <t>Home Remittance</t>
  </si>
  <si>
    <t>Cost of Fund</t>
  </si>
  <si>
    <t>Intermediation Cost</t>
  </si>
  <si>
    <t>Imports</t>
  </si>
  <si>
    <t>Exports</t>
  </si>
  <si>
    <t>NBP Adv: Sal: O/S</t>
  </si>
  <si>
    <t>Overdue Adv: Sal: over 90 Days</t>
  </si>
  <si>
    <t>Agr: Finance O/S</t>
  </si>
  <si>
    <t>NBP Karobar O/S</t>
  </si>
  <si>
    <t>Recovery of Stuck-up</t>
  </si>
  <si>
    <t>Recovery in Charge Off A/Cs</t>
  </si>
  <si>
    <t>Write Off</t>
  </si>
  <si>
    <t>Income</t>
  </si>
  <si>
    <t>Expenditure Excluding Administrative Exp.</t>
  </si>
  <si>
    <t>Personal Expenses</t>
  </si>
  <si>
    <t>Other Expenses</t>
  </si>
  <si>
    <t>KPI</t>
  </si>
  <si>
    <t>KPI selection</t>
  </si>
  <si>
    <t>Button Selection</t>
  </si>
  <si>
    <t>KPI Selected</t>
  </si>
  <si>
    <t>Current Month</t>
  </si>
  <si>
    <t>Base Month</t>
  </si>
  <si>
    <t>Corresponding Month</t>
  </si>
  <si>
    <t>Base/Corresp/Target Data</t>
  </si>
  <si>
    <t>target 31/08/2015</t>
  </si>
  <si>
    <t>vs target 31/08/2015</t>
  </si>
  <si>
    <t>Short Name</t>
  </si>
  <si>
    <t>Abs. Deposit</t>
  </si>
  <si>
    <t>short name</t>
  </si>
  <si>
    <t>(vs 31/08/2015)</t>
  </si>
  <si>
    <t>var %</t>
  </si>
  <si>
    <t>Target (31/08/2015)</t>
  </si>
  <si>
    <t>Base Month (31/12/2014)</t>
  </si>
  <si>
    <t>Corresp. Month (31/08/2014)</t>
  </si>
  <si>
    <t>with Corresp. Month</t>
  </si>
  <si>
    <t>Week. Dep. 10-09</t>
  </si>
  <si>
    <t>A/Cs Opened during Month</t>
  </si>
  <si>
    <t>A/cs Opened Progressive</t>
  </si>
  <si>
    <t>Dep.Accounts (CASA)</t>
  </si>
  <si>
    <t>Non Fund Base Adv.</t>
  </si>
  <si>
    <t>Adv: Sal: over 90 Days</t>
  </si>
  <si>
    <t>Exp.Excl. Admin. Exp.</t>
  </si>
  <si>
    <t>Corresp. Month</t>
  </si>
  <si>
    <t>Target Month</t>
  </si>
  <si>
    <t xml:space="preserve"> 31/12/2014</t>
  </si>
  <si>
    <t>Diagram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</si>
</sst>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_(* #,##0.00_);_(* \(#,##0.00\);_(* &quot;-&quot;??_);_(@_)"/>
    <numFmt numFmtId="165" formatCode="0.000"/>
    <numFmt numFmtId="166" formatCode="0.0%"/>
    <numFmt numFmtId="167" formatCode="#,##0.00&quot; $&quot;;[Red]\-#,##0.00&quot; $&quot;"/>
    <numFmt numFmtId="168" formatCode="_-* #,##0_-;\-* #,##0_-;_-* &quot;-&quot;_-;_-@_-"/>
    <numFmt numFmtId="169" formatCode="_-* #,##0.00_-;\-* #,##0.00_-;_-* &quot;-&quot;??_-;_-@_-"/>
    <numFmt numFmtId="170" formatCode="&quot; $&quot;* #,##0.00_ ;"/>
    <numFmt numFmtId="171" formatCode="_-* #,##0.00\ _F_-;\-* #,##0.00\ _F_-;_-* &quot;-&quot;??\ _F_-;_-@_-"/>
    <numFmt numFmtId="172" formatCode="[&gt;1]\ &quot;Pk of &quot;\ #;[=1]\ &quot;Each&quot;;\ 0.000\ &quot; km&quot;"/>
    <numFmt numFmtId="173" formatCode="0.00_)"/>
    <numFmt numFmtId="174" formatCode="_-&quot;$&quot;* #,##0_-;\-&quot;$&quot;* #,##0_-;_-&quot;$&quot;* &quot;-&quot;_-;_-@_-"/>
    <numFmt numFmtId="175" formatCode="_-&quot;$&quot;* #,##0.00_-;\-&quot;$&quot;* #,##0.00_-;_-&quot;$&quot;* &quot;-&quot;??_-;_-@_-"/>
    <numFmt numFmtId="176" formatCode="_-&quot;£&quot;* #,##0_-;\-&quot;£&quot;* #,##0_-;_-&quot;£&quot;* &quot;-&quot;_-;_-@_-"/>
    <numFmt numFmtId="177" formatCode="_-&quot;£&quot;* #,##0.00_-;\-&quot;£&quot;* #,##0.00_-;_-&quot;£&quot;* &quot;-&quot;??_-;_-@_-"/>
    <numFmt numFmtId="178" formatCode="_-* #,##0.00_р_._-;\-* #,##0.00_р_._-;_-* &quot;-&quot;??_р_._-;_-@_-"/>
  </numFmts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name val="Calibri"/>
      <family val="2"/>
    </font>
    <font>
      <b/>
      <sz val="10"/>
      <name val="Calibri"/>
      <family val="2"/>
    </font>
    <font>
      <sz val="11"/>
      <color indexed="8"/>
      <name val="Calibri"/>
      <family val="2"/>
    </font>
    <font>
      <sz val="11"/>
      <name val="Calibri"/>
      <family val="2"/>
    </font>
    <font>
      <sz val="12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Times New Roman"/>
      <family val="1"/>
    </font>
    <font>
      <b/>
      <i/>
      <sz val="16"/>
      <name val="Helv"/>
    </font>
    <font>
      <sz val="10"/>
      <name val="Courier"/>
      <family val="3"/>
    </font>
    <font>
      <b/>
      <sz val="12"/>
      <name val="Albertus Medium"/>
      <family val="2"/>
    </font>
    <font>
      <b/>
      <sz val="10"/>
      <name val="Times New Roman"/>
      <family val="1"/>
    </font>
    <font>
      <sz val="10"/>
      <name val="Calibri"/>
      <family val="2"/>
      <scheme val="minor"/>
    </font>
    <font>
      <sz val="10"/>
      <name val="Calibri"/>
      <family val="2"/>
    </font>
    <font>
      <sz val="11"/>
      <color rgb="FFEEAA00"/>
      <name val="Calibri"/>
      <family val="2"/>
      <scheme val="minor"/>
    </font>
    <font>
      <b/>
      <sz val="20"/>
      <color rgb="FFEEAA00"/>
      <name val="Calibri"/>
      <family val="2"/>
      <charset val="161"/>
      <scheme val="minor"/>
    </font>
    <font>
      <b/>
      <sz val="16"/>
      <color rgb="FFEEAA00"/>
      <name val="Calibri"/>
      <family val="2"/>
      <charset val="161"/>
      <scheme val="minor"/>
    </font>
    <font>
      <b/>
      <sz val="12"/>
      <color rgb="FFEEAA00"/>
      <name val="Calibri"/>
      <family val="2"/>
      <charset val="161"/>
      <scheme val="minor"/>
    </font>
    <font>
      <sz val="11"/>
      <color rgb="FF464646"/>
      <name val="Calibri"/>
      <family val="2"/>
      <scheme val="minor"/>
    </font>
    <font>
      <b/>
      <sz val="12"/>
      <color rgb="FF6B6B6B"/>
      <name val="Calibri"/>
      <family val="2"/>
      <charset val="161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F5F5F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rgb="FF6B6B6B"/>
      </left>
      <right style="thin">
        <color rgb="FF6B6B6B"/>
      </right>
      <top/>
      <bottom/>
      <diagonal/>
    </border>
  </borders>
  <cellStyleXfs count="68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2" fillId="0" borderId="0"/>
    <xf numFmtId="164" fontId="5" fillId="0" borderId="0" applyFont="0" applyFill="0" applyBorder="0" applyAlignment="0" applyProtection="0"/>
    <xf numFmtId="167" fontId="2" fillId="0" borderId="0" applyFill="0" applyBorder="0" applyAlignment="0"/>
    <xf numFmtId="167" fontId="2" fillId="0" borderId="0" applyFill="0" applyBorder="0" applyAlignment="0"/>
    <xf numFmtId="167" fontId="2" fillId="0" borderId="0" applyFill="0" applyBorder="0" applyAlignment="0"/>
    <xf numFmtId="167" fontId="2" fillId="0" borderId="0" applyFill="0" applyBorder="0" applyAlignment="0"/>
    <xf numFmtId="167" fontId="2" fillId="0" borderId="0" applyFill="0" applyBorder="0" applyAlignment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70" fontId="7" fillId="0" borderId="0" applyFont="0" applyFill="0" applyBorder="0" applyAlignment="0" applyProtection="0"/>
    <xf numFmtId="38" fontId="8" fillId="3" borderId="0" applyNumberFormat="0" applyBorder="0" applyAlignment="0" applyProtection="0"/>
    <xf numFmtId="0" fontId="9" fillId="0" borderId="2" applyNumberFormat="0" applyAlignment="0" applyProtection="0">
      <alignment horizontal="left" vertical="center"/>
    </xf>
    <xf numFmtId="0" fontId="9" fillId="0" borderId="3">
      <alignment horizontal="left" vertical="center"/>
    </xf>
    <xf numFmtId="10" fontId="8" fillId="4" borderId="1" applyNumberFormat="0" applyBorder="0" applyAlignment="0" applyProtection="0"/>
    <xf numFmtId="171" fontId="2" fillId="0" borderId="0" applyFont="0" applyFill="0" applyBorder="0" applyAlignment="0" applyProtection="0"/>
    <xf numFmtId="172" fontId="10" fillId="0" borderId="0" applyFill="0" applyBorder="0">
      <alignment horizontal="center" vertical="top"/>
    </xf>
    <xf numFmtId="173" fontId="1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173" fontId="12" fillId="0" borderId="0"/>
    <xf numFmtId="173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5" borderId="0"/>
    <xf numFmtId="0" fontId="13" fillId="0" borderId="0">
      <alignment horizontal="left" vertical="center"/>
    </xf>
    <xf numFmtId="0" fontId="14" fillId="0" borderId="0" applyNumberFormat="0" applyFill="0" applyBorder="0" applyProtection="0">
      <alignment vertical="center"/>
    </xf>
    <xf numFmtId="168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74" fontId="2" fillId="0" borderId="0" applyFont="0" applyFill="0" applyBorder="0" applyAlignment="0" applyProtection="0"/>
    <xf numFmtId="175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0" fontId="2" fillId="0" borderId="0"/>
    <xf numFmtId="178" fontId="2" fillId="0" borderId="0" applyFont="0" applyFill="0" applyBorder="0" applyAlignment="0" applyProtection="0"/>
  </cellStyleXfs>
  <cellXfs count="49">
    <xf numFmtId="0" fontId="0" fillId="0" borderId="0" xfId="0"/>
    <xf numFmtId="0" fontId="2" fillId="0" borderId="0" xfId="2" applyAlignment="1">
      <alignment horizontal="center" vertical="center"/>
    </xf>
    <xf numFmtId="0" fontId="4" fillId="2" borderId="5" xfId="2" applyFont="1" applyFill="1" applyBorder="1" applyAlignment="1">
      <alignment horizontal="center" vertical="center"/>
    </xf>
    <xf numFmtId="0" fontId="3" fillId="7" borderId="4" xfId="2" applyFont="1" applyFill="1" applyBorder="1" applyAlignment="1">
      <alignment horizontal="center" vertical="center"/>
    </xf>
    <xf numFmtId="0" fontId="3" fillId="8" borderId="4" xfId="2" applyFont="1" applyFill="1" applyBorder="1" applyAlignment="1">
      <alignment horizontal="center" vertical="center"/>
    </xf>
    <xf numFmtId="0" fontId="3" fillId="6" borderId="4" xfId="2" applyFont="1" applyFill="1" applyBorder="1" applyAlignment="1">
      <alignment horizontal="center" vertical="center"/>
    </xf>
    <xf numFmtId="0" fontId="3" fillId="9" borderId="4" xfId="2" applyFont="1" applyFill="1" applyBorder="1" applyAlignment="1">
      <alignment horizontal="center" vertical="center"/>
    </xf>
    <xf numFmtId="0" fontId="3" fillId="10" borderId="4" xfId="2" applyFont="1" applyFill="1" applyBorder="1" applyAlignment="1">
      <alignment horizontal="center" vertical="center"/>
    </xf>
    <xf numFmtId="0" fontId="3" fillId="2" borderId="6" xfId="2" applyFont="1" applyFill="1" applyBorder="1" applyAlignment="1">
      <alignment horizontal="center" vertical="center"/>
    </xf>
    <xf numFmtId="0" fontId="3" fillId="2" borderId="7" xfId="2" applyFont="1" applyFill="1" applyBorder="1" applyAlignment="1">
      <alignment horizontal="center" vertical="center"/>
    </xf>
    <xf numFmtId="0" fontId="6" fillId="0" borderId="4" xfId="2" applyFont="1" applyFill="1" applyBorder="1" applyAlignment="1">
      <alignment horizontal="center" vertical="center"/>
    </xf>
    <xf numFmtId="165" fontId="15" fillId="7" borderId="4" xfId="4" applyNumberFormat="1" applyFont="1" applyFill="1" applyBorder="1" applyAlignment="1">
      <alignment horizontal="center" vertical="center"/>
    </xf>
    <xf numFmtId="165" fontId="15" fillId="8" borderId="4" xfId="4" applyNumberFormat="1" applyFont="1" applyFill="1" applyBorder="1" applyAlignment="1">
      <alignment horizontal="center" vertical="center"/>
    </xf>
    <xf numFmtId="165" fontId="15" fillId="6" borderId="4" xfId="4" applyNumberFormat="1" applyFont="1" applyFill="1" applyBorder="1" applyAlignment="1">
      <alignment horizontal="center" vertical="center"/>
    </xf>
    <xf numFmtId="165" fontId="15" fillId="9" borderId="4" xfId="4" applyNumberFormat="1" applyFont="1" applyFill="1" applyBorder="1" applyAlignment="1">
      <alignment horizontal="center" vertical="center"/>
    </xf>
    <xf numFmtId="165" fontId="15" fillId="10" borderId="4" xfId="4" applyNumberFormat="1" applyFont="1" applyFill="1" applyBorder="1" applyAlignment="1">
      <alignment horizontal="center" vertical="center"/>
    </xf>
    <xf numFmtId="165" fontId="16" fillId="7" borderId="4" xfId="2" applyNumberFormat="1" applyFont="1" applyFill="1" applyBorder="1" applyAlignment="1">
      <alignment horizontal="center" vertical="center"/>
    </xf>
    <xf numFmtId="10" fontId="16" fillId="7" borderId="4" xfId="1" applyNumberFormat="1" applyFont="1" applyFill="1" applyBorder="1" applyAlignment="1">
      <alignment horizontal="center" vertical="center"/>
    </xf>
    <xf numFmtId="165" fontId="16" fillId="8" borderId="4" xfId="2" applyNumberFormat="1" applyFont="1" applyFill="1" applyBorder="1" applyAlignment="1">
      <alignment horizontal="center" vertical="center"/>
    </xf>
    <xf numFmtId="166" fontId="16" fillId="8" borderId="4" xfId="1" applyNumberFormat="1" applyFont="1" applyFill="1" applyBorder="1" applyAlignment="1">
      <alignment horizontal="center" vertical="center"/>
    </xf>
    <xf numFmtId="165" fontId="16" fillId="9" borderId="4" xfId="2" applyNumberFormat="1" applyFont="1" applyFill="1" applyBorder="1" applyAlignment="1">
      <alignment horizontal="center" vertical="center"/>
    </xf>
    <xf numFmtId="10" fontId="16" fillId="9" borderId="4" xfId="1" applyNumberFormat="1" applyFont="1" applyFill="1" applyBorder="1" applyAlignment="1">
      <alignment horizontal="center" vertical="center"/>
    </xf>
    <xf numFmtId="0" fontId="2" fillId="0" borderId="0" xfId="2" applyFont="1" applyFill="1" applyAlignment="1">
      <alignment horizontal="center" vertical="center"/>
    </xf>
    <xf numFmtId="165" fontId="2" fillId="0" borderId="0" xfId="2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11" borderId="0" xfId="0" applyFill="1"/>
    <xf numFmtId="10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left" vertical="center"/>
    </xf>
    <xf numFmtId="9" fontId="0" fillId="0" borderId="0" xfId="0" applyNumberFormat="1" applyAlignment="1">
      <alignment horizontal="center" vertical="center"/>
    </xf>
    <xf numFmtId="0" fontId="0" fillId="12" borderId="0" xfId="0" applyFill="1"/>
    <xf numFmtId="0" fontId="0" fillId="11" borderId="0" xfId="0" applyFill="1" applyProtection="1"/>
    <xf numFmtId="0" fontId="0" fillId="12" borderId="0" xfId="0" applyFill="1" applyProtection="1"/>
    <xf numFmtId="0" fontId="17" fillId="12" borderId="0" xfId="0" applyFont="1" applyFill="1" applyProtection="1"/>
    <xf numFmtId="0" fontId="0" fillId="12" borderId="0" xfId="0" applyFill="1" applyBorder="1" applyProtection="1"/>
    <xf numFmtId="0" fontId="18" fillId="12" borderId="0" xfId="0" applyFont="1" applyFill="1" applyBorder="1" applyAlignment="1" applyProtection="1">
      <alignment horizontal="center" vertical="center" wrapText="1"/>
    </xf>
    <xf numFmtId="0" fontId="19" fillId="12" borderId="0" xfId="0" applyFont="1" applyFill="1" applyBorder="1" applyAlignment="1" applyProtection="1">
      <alignment horizontal="center" vertical="center" wrapText="1"/>
    </xf>
    <xf numFmtId="14" fontId="20" fillId="12" borderId="0" xfId="0" applyNumberFormat="1" applyFont="1" applyFill="1" applyBorder="1" applyAlignment="1" applyProtection="1">
      <alignment horizontal="center" vertical="center" wrapText="1"/>
    </xf>
    <xf numFmtId="0" fontId="21" fillId="12" borderId="0" xfId="0" applyFont="1" applyFill="1" applyProtection="1"/>
    <xf numFmtId="0" fontId="22" fillId="12" borderId="0" xfId="0" applyFont="1" applyFill="1" applyBorder="1" applyAlignment="1" applyProtection="1">
      <alignment horizontal="center" vertical="center" wrapText="1"/>
    </xf>
    <xf numFmtId="0" fontId="22" fillId="12" borderId="9" xfId="0" applyFont="1" applyFill="1" applyBorder="1" applyAlignment="1" applyProtection="1">
      <alignment horizontal="center" vertical="center" wrapText="1"/>
    </xf>
    <xf numFmtId="14" fontId="20" fillId="12" borderId="9" xfId="0" applyNumberFormat="1" applyFont="1" applyFill="1" applyBorder="1" applyAlignment="1" applyProtection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2" fillId="0" borderId="8" xfId="2" applyBorder="1" applyAlignment="1">
      <alignment horizontal="center" vertical="center"/>
    </xf>
    <xf numFmtId="0" fontId="3" fillId="7" borderId="4" xfId="2" applyFont="1" applyFill="1" applyBorder="1" applyAlignment="1">
      <alignment horizontal="center" vertical="center"/>
    </xf>
    <xf numFmtId="0" fontId="3" fillId="8" borderId="4" xfId="2" applyFont="1" applyFill="1" applyBorder="1" applyAlignment="1">
      <alignment horizontal="center" vertical="center"/>
    </xf>
    <xf numFmtId="0" fontId="3" fillId="9" borderId="4" xfId="2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</cellXfs>
  <cellStyles count="68">
    <cellStyle name="Calc Currency (0)" xfId="5"/>
    <cellStyle name="Calc Currency (0) 2" xfId="6"/>
    <cellStyle name="Calc Currency (0) 3" xfId="7"/>
    <cellStyle name="Calc Currency (0) 4" xfId="8"/>
    <cellStyle name="Calc Currency (0) 5" xfId="9"/>
    <cellStyle name="Comma 10" xfId="10"/>
    <cellStyle name="Comma 10 2" xfId="11"/>
    <cellStyle name="Comma 11" xfId="12"/>
    <cellStyle name="Comma 2" xfId="4"/>
    <cellStyle name="Comma 3" xfId="13"/>
    <cellStyle name="Comma 3 2" xfId="14"/>
    <cellStyle name="Comma 3 2 2" xfId="15"/>
    <cellStyle name="Comma 4" xfId="16"/>
    <cellStyle name="Comma 5" xfId="17"/>
    <cellStyle name="Comma 6" xfId="18"/>
    <cellStyle name="Comma 7" xfId="19"/>
    <cellStyle name="Comma 8" xfId="20"/>
    <cellStyle name="Comma 9" xfId="21"/>
    <cellStyle name="Dezimal [0]_Compiling Utility Macros" xfId="22"/>
    <cellStyle name="Dezimal_Compiling Utility Macros" xfId="23"/>
    <cellStyle name="Dollar" xfId="24"/>
    <cellStyle name="Grey" xfId="25"/>
    <cellStyle name="Header1" xfId="26"/>
    <cellStyle name="Header2" xfId="27"/>
    <cellStyle name="Input [yellow]" xfId="28"/>
    <cellStyle name="Milliers_1018" xfId="29"/>
    <cellStyle name="MOQ" xfId="30"/>
    <cellStyle name="Normal" xfId="0" builtinId="0"/>
    <cellStyle name="Normal - Style1" xfId="31"/>
    <cellStyle name="Normal 10" xfId="2"/>
    <cellStyle name="Normal 2" xfId="32"/>
    <cellStyle name="Normal 3" xfId="33"/>
    <cellStyle name="Normal 3 2" xfId="34"/>
    <cellStyle name="Normal 3 2 2" xfId="35"/>
    <cellStyle name="Normal 3 3" xfId="36"/>
    <cellStyle name="Normal 3 4" xfId="37"/>
    <cellStyle name="Normal 3 5" xfId="38"/>
    <cellStyle name="Normal 38" xfId="39"/>
    <cellStyle name="Normal 4" xfId="40"/>
    <cellStyle name="Normal 5" xfId="41"/>
    <cellStyle name="Normal 5 2" xfId="42"/>
    <cellStyle name="Normal 6" xfId="43"/>
    <cellStyle name="Normal 7" xfId="44"/>
    <cellStyle name="Normal 7 2" xfId="3"/>
    <cellStyle name="Normal 8" xfId="45"/>
    <cellStyle name="Normal 8 2" xfId="46"/>
    <cellStyle name="Normal 8 2 2" xfId="47"/>
    <cellStyle name="Normal 9 2" xfId="48"/>
    <cellStyle name="Normal 9 2 2" xfId="49"/>
    <cellStyle name="Percent" xfId="1" builtinId="5"/>
    <cellStyle name="Percent [2]" xfId="50"/>
    <cellStyle name="Percent [2] 2" xfId="51"/>
    <cellStyle name="Percent 2" xfId="52"/>
    <cellStyle name="Percent 3" xfId="53"/>
    <cellStyle name="Percent 4" xfId="54"/>
    <cellStyle name="Percent 5" xfId="55"/>
    <cellStyle name="Percent 6" xfId="56"/>
    <cellStyle name="Standard_Anpassen der Amortisation" xfId="57"/>
    <cellStyle name="Sub-group Hdg" xfId="58"/>
    <cellStyle name="Sub-heading" xfId="59"/>
    <cellStyle name="Tusental (0)_pldt" xfId="60"/>
    <cellStyle name="Tusental_pldt" xfId="61"/>
    <cellStyle name="Valuta (0)_pldt" xfId="62"/>
    <cellStyle name="Valuta_pldt" xfId="63"/>
    <cellStyle name="Währung [0]_Compiling Utility Macros" xfId="64"/>
    <cellStyle name="Währung_Compiling Utility Macros" xfId="65"/>
    <cellStyle name="Обычный_budget-Dec-01" xfId="66"/>
    <cellStyle name="Финансовый_MBCR Overseas-Revised" xfId="67"/>
  </cellStyles>
  <dxfs count="0"/>
  <tableStyles count="0" defaultTableStyle="TableStyleMedium2" defaultPivotStyle="PivotStyleLight16"/>
  <colors>
    <mruColors>
      <color rgb="FF6B6B6B"/>
      <color rgb="FF585858"/>
      <color rgb="FF464646"/>
      <color rgb="FFF5F5F5"/>
      <color rgb="FFFBFBFB"/>
      <color rgb="FFEEAA00"/>
      <color rgb="FFFFD05B"/>
      <color rgb="FFAE884D"/>
      <color rgb="FFFFBF1B"/>
      <color rgb="FFD4BF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081681924075475"/>
          <c:y val="2.660285758272201E-2"/>
          <c:w val="0.87990627883843286"/>
          <c:h val="0.90143697672515033"/>
        </c:manualLayout>
      </c:layout>
      <c:bubbleChart>
        <c:varyColors val="0"/>
        <c:ser>
          <c:idx val="0"/>
          <c:order val="0"/>
          <c:spPr>
            <a:solidFill>
              <a:srgbClr val="FFD05B"/>
            </a:solidFill>
          </c:spPr>
          <c:invertIfNegative val="0"/>
          <c:dLbls>
            <c:dLbl>
              <c:idx val="0"/>
              <c:layout/>
              <c:tx>
                <c:strRef>
                  <c:f>'selected data'!$K$5</c:f>
                  <c:strCache>
                    <c:ptCount val="1"/>
                    <c:pt idx="0">
                      <c:v>-23%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tx>
                <c:strRef>
                  <c:f>'selected data'!$D$19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tx>
                <c:rich>
                  <a:bodyPr/>
                  <a:lstStyle/>
                  <a:p>
                    <a:r>
                      <a:t>2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tx>
                <c:rich>
                  <a:bodyPr/>
                  <a:lstStyle/>
                  <a:p>
                    <a:r>
                      <a:t>2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tx>
                <c:rich>
                  <a:bodyPr/>
                  <a:lstStyle/>
                  <a:p>
                    <a:r>
                      <a:t>2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tx>
                <c:rich>
                  <a:bodyPr/>
                  <a:lstStyle/>
                  <a:p>
                    <a:r>
                      <a:t>1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tx>
                <c:rich>
                  <a:bodyPr/>
                  <a:lstStyle/>
                  <a:p>
                    <a:r>
                      <a:t>2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tx>
                <c:rich>
                  <a:bodyPr/>
                  <a:lstStyle/>
                  <a:p>
                    <a:r>
                      <a:t>1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tx>
                <c:rich>
                  <a:bodyPr/>
                  <a:lstStyle/>
                  <a:p>
                    <a:r>
                      <a:t>1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tx>
                <c:rich>
                  <a:bodyPr/>
                  <a:lstStyle/>
                  <a:p>
                    <a:r>
                      <a:t>2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tx>
                <c:rich>
                  <a:bodyPr/>
                  <a:lstStyle/>
                  <a:p>
                    <a:r>
                      <a:t>1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tx>
                <c:rich>
                  <a:bodyPr/>
                  <a:lstStyle/>
                  <a:p>
                    <a:r>
                      <a:t>1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tx>
                <c:rich>
                  <a:bodyPr/>
                  <a:lstStyle/>
                  <a:p>
                    <a:r>
                      <a:t>1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tx>
                <c:rich>
                  <a:bodyPr/>
                  <a:lstStyle/>
                  <a:p>
                    <a:r>
                      <a:t>4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tx>
                <c:rich>
                  <a:bodyPr/>
                  <a:lstStyle/>
                  <a:p>
                    <a:r>
                      <a:t>6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tx>
                <c:rich>
                  <a:bodyPr/>
                  <a:lstStyle/>
                  <a:p>
                    <a:r>
                      <a:t>1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tx>
                <c:rich>
                  <a:bodyPr/>
                  <a:lstStyle/>
                  <a:p>
                    <a:r>
                      <a:t>1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tx>
                <c:rich>
                  <a:bodyPr/>
                  <a:lstStyle/>
                  <a:p>
                    <a:r>
                      <a:t>4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tx>
                <c:rich>
                  <a:bodyPr/>
                  <a:lstStyle/>
                  <a:p>
                    <a:r>
                      <a:t>4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tx>
                <c:rich>
                  <a:bodyPr/>
                  <a:lstStyle/>
                  <a:p>
                    <a:r>
                      <a:t>3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tx>
                <c:rich>
                  <a:bodyPr/>
                  <a:lstStyle/>
                  <a:p>
                    <a:r>
                      <a:t>6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tx>
                <c:rich>
                  <a:bodyPr/>
                  <a:lstStyle/>
                  <a:p>
                    <a:r>
                      <a:t>2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"/>
              <c:tx>
                <c:rich>
                  <a:bodyPr/>
                  <a:lstStyle/>
                  <a:p>
                    <a:r>
                      <a:t>2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tx>
                <c:rich>
                  <a:bodyPr/>
                  <a:lstStyle/>
                  <a:p>
                    <a:r>
                      <a:t>6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tx>
                <c:rich>
                  <a:bodyPr/>
                  <a:lstStyle/>
                  <a:p>
                    <a:r>
                      <a:t>2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"/>
              <c:tx>
                <c:rich>
                  <a:bodyPr/>
                  <a:lstStyle/>
                  <a:p>
                    <a:r>
                      <a:t>5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tx>
                <c:rich>
                  <a:bodyPr/>
                  <a:lstStyle/>
                  <a:p>
                    <a:r>
                      <a:t>1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tx>
                <c:rich>
                  <a:bodyPr/>
                  <a:lstStyle/>
                  <a:p>
                    <a:r>
                      <a:t>3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4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'selected data'!$D$18</c:f>
              <c:numCache>
                <c:formatCode>General</c:formatCode>
                <c:ptCount val="1"/>
                <c:pt idx="0">
                  <c:v>0.09</c:v>
                </c:pt>
              </c:numCache>
            </c:numRef>
          </c:xVal>
          <c:yVal>
            <c:numRef>
              <c:f>'selected data'!$E$18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</c:ser>
        <c:ser>
          <c:idx val="1"/>
          <c:order val="1"/>
          <c:spPr>
            <a:solidFill>
              <a:srgbClr val="EEAA00"/>
            </a:solidFill>
            <a:ln w="25400">
              <a:noFill/>
            </a:ln>
          </c:spPr>
          <c:invertIfNegative val="0"/>
          <c:dLbls>
            <c:dLbl>
              <c:idx val="0"/>
              <c:layout/>
              <c:tx>
                <c:strRef>
                  <c:f>'selected data'!$K$5</c:f>
                  <c:strCache>
                    <c:ptCount val="1"/>
                    <c:pt idx="0">
                      <c:v>-23%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400" b="1"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tx>
                <c:rich>
                  <a:bodyPr/>
                  <a:lstStyle/>
                  <a:p>
                    <a:r>
                      <a:t>5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tx>
                <c:rich>
                  <a:bodyPr/>
                  <a:lstStyle/>
                  <a:p>
                    <a:r>
                      <a:t>2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tx>
                <c:rich>
                  <a:bodyPr/>
                  <a:lstStyle/>
                  <a:p>
                    <a:r>
                      <a:t>2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tx>
                <c:rich>
                  <a:bodyPr/>
                  <a:lstStyle/>
                  <a:p>
                    <a:r>
                      <a:t>2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tx>
                <c:rich>
                  <a:bodyPr/>
                  <a:lstStyle/>
                  <a:p>
                    <a:r>
                      <a:t>1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tx>
                <c:rich>
                  <a:bodyPr/>
                  <a:lstStyle/>
                  <a:p>
                    <a:r>
                      <a:t>2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tx>
                <c:rich>
                  <a:bodyPr/>
                  <a:lstStyle/>
                  <a:p>
                    <a:r>
                      <a:t>1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tx>
                <c:rich>
                  <a:bodyPr/>
                  <a:lstStyle/>
                  <a:p>
                    <a:r>
                      <a:t>1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tx>
                <c:rich>
                  <a:bodyPr/>
                  <a:lstStyle/>
                  <a:p>
                    <a:r>
                      <a:t>2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tx>
                <c:rich>
                  <a:bodyPr/>
                  <a:lstStyle/>
                  <a:p>
                    <a:r>
                      <a:t>1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tx>
                <c:rich>
                  <a:bodyPr/>
                  <a:lstStyle/>
                  <a:p>
                    <a:r>
                      <a:t>1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tx>
                <c:rich>
                  <a:bodyPr/>
                  <a:lstStyle/>
                  <a:p>
                    <a:r>
                      <a:t>1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tx>
                <c:rich>
                  <a:bodyPr/>
                  <a:lstStyle/>
                  <a:p>
                    <a:r>
                      <a:t>4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tx>
                <c:rich>
                  <a:bodyPr/>
                  <a:lstStyle/>
                  <a:p>
                    <a:r>
                      <a:t>6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tx>
                <c:rich>
                  <a:bodyPr/>
                  <a:lstStyle/>
                  <a:p>
                    <a:r>
                      <a:t>1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tx>
                <c:rich>
                  <a:bodyPr/>
                  <a:lstStyle/>
                  <a:p>
                    <a:r>
                      <a:t>1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tx>
                <c:rich>
                  <a:bodyPr/>
                  <a:lstStyle/>
                  <a:p>
                    <a:r>
                      <a:t>4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tx>
                <c:rich>
                  <a:bodyPr/>
                  <a:lstStyle/>
                  <a:p>
                    <a:r>
                      <a:t>4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tx>
                <c:rich>
                  <a:bodyPr/>
                  <a:lstStyle/>
                  <a:p>
                    <a:r>
                      <a:t>3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tx>
                <c:rich>
                  <a:bodyPr/>
                  <a:lstStyle/>
                  <a:p>
                    <a:r>
                      <a:t>6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tx>
                <c:rich>
                  <a:bodyPr/>
                  <a:lstStyle/>
                  <a:p>
                    <a:r>
                      <a:t>2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"/>
              <c:tx>
                <c:rich>
                  <a:bodyPr/>
                  <a:lstStyle/>
                  <a:p>
                    <a:r>
                      <a:t>2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tx>
                <c:rich>
                  <a:bodyPr/>
                  <a:lstStyle/>
                  <a:p>
                    <a:r>
                      <a:t>6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tx>
                <c:rich>
                  <a:bodyPr/>
                  <a:lstStyle/>
                  <a:p>
                    <a:r>
                      <a:t>2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"/>
              <c:tx>
                <c:rich>
                  <a:bodyPr/>
                  <a:lstStyle/>
                  <a:p>
                    <a:r>
                      <a:t>5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tx>
                <c:rich>
                  <a:bodyPr/>
                  <a:lstStyle/>
                  <a:p>
                    <a:r>
                      <a:t>1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tx>
                <c:rich>
                  <a:bodyPr/>
                  <a:lstStyle/>
                  <a:p>
                    <a:r>
                      <a:t>3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'selected data'!$D$18</c:f>
              <c:numCache>
                <c:formatCode>General</c:formatCode>
                <c:ptCount val="1"/>
                <c:pt idx="0">
                  <c:v>0.09</c:v>
                </c:pt>
              </c:numCache>
            </c:numRef>
          </c:xVal>
          <c:yVal>
            <c:numRef>
              <c:f>'selected data'!$F$18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</c:ser>
        <c:ser>
          <c:idx val="2"/>
          <c:order val="2"/>
          <c:spPr>
            <a:solidFill>
              <a:srgbClr val="AE884D"/>
            </a:solidFill>
            <a:ln w="25400">
              <a:noFill/>
            </a:ln>
          </c:spPr>
          <c:invertIfNegative val="0"/>
          <c:dLbls>
            <c:dLbl>
              <c:idx val="0"/>
              <c:layout/>
              <c:tx>
                <c:strRef>
                  <c:f>'selected data'!$K$5</c:f>
                  <c:strCache>
                    <c:ptCount val="1"/>
                    <c:pt idx="0">
                      <c:v>-23%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tx>
                <c:rich>
                  <a:bodyPr/>
                  <a:lstStyle/>
                  <a:p>
                    <a:r>
                      <a:t>5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tx>
                <c:strRef>
                  <c:f>'selected data'!$D$20</c:f>
                  <c:strCache>
                    <c:ptCount val="1"/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tx>
                <c:rich>
                  <a:bodyPr/>
                  <a:lstStyle/>
                  <a:p>
                    <a:r>
                      <a:t>2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tx>
                <c:rich>
                  <a:bodyPr/>
                  <a:lstStyle/>
                  <a:p>
                    <a:r>
                      <a:t>2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tx>
                <c:rich>
                  <a:bodyPr/>
                  <a:lstStyle/>
                  <a:p>
                    <a:r>
                      <a:t>1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tx>
                <c:rich>
                  <a:bodyPr/>
                  <a:lstStyle/>
                  <a:p>
                    <a:r>
                      <a:t>2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tx>
                <c:rich>
                  <a:bodyPr/>
                  <a:lstStyle/>
                  <a:p>
                    <a:r>
                      <a:t>1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tx>
                <c:rich>
                  <a:bodyPr/>
                  <a:lstStyle/>
                  <a:p>
                    <a:r>
                      <a:t>1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tx>
                <c:rich>
                  <a:bodyPr/>
                  <a:lstStyle/>
                  <a:p>
                    <a:r>
                      <a:t>2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tx>
                <c:rich>
                  <a:bodyPr/>
                  <a:lstStyle/>
                  <a:p>
                    <a:r>
                      <a:t>1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layout>
                <c:manualLayout>
                  <c:x val="-2.5922587989754345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t>1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tx>
                <c:rich>
                  <a:bodyPr/>
                  <a:lstStyle/>
                  <a:p>
                    <a:r>
                      <a:t>1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tx>
                <c:rich>
                  <a:bodyPr/>
                  <a:lstStyle/>
                  <a:p>
                    <a:r>
                      <a:t>4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tx>
                <c:rich>
                  <a:bodyPr/>
                  <a:lstStyle/>
                  <a:p>
                    <a:r>
                      <a:t>6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tx>
                <c:rich>
                  <a:bodyPr/>
                  <a:lstStyle/>
                  <a:p>
                    <a:r>
                      <a:t>1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tx>
                <c:rich>
                  <a:bodyPr/>
                  <a:lstStyle/>
                  <a:p>
                    <a:r>
                      <a:t>1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tx>
                <c:rich>
                  <a:bodyPr/>
                  <a:lstStyle/>
                  <a:p>
                    <a:r>
                      <a:t>4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tx>
                <c:rich>
                  <a:bodyPr/>
                  <a:lstStyle/>
                  <a:p>
                    <a:r>
                      <a:t>4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tx>
                <c:rich>
                  <a:bodyPr/>
                  <a:lstStyle/>
                  <a:p>
                    <a:r>
                      <a:t>3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tx>
                <c:rich>
                  <a:bodyPr/>
                  <a:lstStyle/>
                  <a:p>
                    <a:r>
                      <a:t>6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tx>
                <c:rich>
                  <a:bodyPr/>
                  <a:lstStyle/>
                  <a:p>
                    <a:r>
                      <a:t>2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"/>
              <c:tx>
                <c:rich>
                  <a:bodyPr/>
                  <a:lstStyle/>
                  <a:p>
                    <a:r>
                      <a:t>2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tx>
                <c:rich>
                  <a:bodyPr/>
                  <a:lstStyle/>
                  <a:p>
                    <a:r>
                      <a:t>6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tx>
                <c:rich>
                  <a:bodyPr/>
                  <a:lstStyle/>
                  <a:p>
                    <a:r>
                      <a:t>2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"/>
              <c:tx>
                <c:rich>
                  <a:bodyPr/>
                  <a:lstStyle/>
                  <a:p>
                    <a:r>
                      <a:t>5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tx>
                <c:rich>
                  <a:bodyPr/>
                  <a:lstStyle/>
                  <a:p>
                    <a:r>
                      <a:t>1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tx>
                <c:rich>
                  <a:bodyPr/>
                  <a:lstStyle/>
                  <a:p>
                    <a:r>
                      <a:t>3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4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'selected data'!$D$18</c:f>
              <c:numCache>
                <c:formatCode>General</c:formatCode>
                <c:ptCount val="1"/>
                <c:pt idx="0">
                  <c:v>0.09</c:v>
                </c:pt>
              </c:numCache>
            </c:numRef>
          </c:xVal>
          <c:yVal>
            <c:numRef>
              <c:f>'selected data'!$G$18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60"/>
        <c:showNegBubbles val="0"/>
        <c:axId val="184556544"/>
        <c:axId val="185598720"/>
      </c:bubbleChart>
      <c:valAx>
        <c:axId val="184556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5598720"/>
        <c:crosses val="autoZero"/>
        <c:crossBetween val="midCat"/>
        <c:majorUnit val="1"/>
        <c:minorUnit val="1"/>
      </c:valAx>
      <c:valAx>
        <c:axId val="185598720"/>
        <c:scaling>
          <c:orientation val="minMax"/>
          <c:max val="3.5"/>
          <c:min val="0.5"/>
        </c:scaling>
        <c:delete val="1"/>
        <c:axPos val="l"/>
        <c:numFmt formatCode="General" sourceLinked="1"/>
        <c:majorTickMark val="none"/>
        <c:minorTickMark val="none"/>
        <c:tickLblPos val="none"/>
        <c:crossAx val="184556544"/>
        <c:crosses val="autoZero"/>
        <c:crossBetween val="midCat"/>
        <c:majorUnit val="3"/>
        <c:min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'selected data'!$L$4</c:f>
          <c:strCache>
            <c:ptCount val="1"/>
            <c:pt idx="0">
              <c:v>Variance with Base</c:v>
            </c:pt>
          </c:strCache>
        </c:strRef>
      </c:tx>
      <c:layout>
        <c:manualLayout>
          <c:xMode val="edge"/>
          <c:yMode val="edge"/>
          <c:x val="0.29872894331001792"/>
          <c:y val="5.7971014492753624E-2"/>
        </c:manualLayout>
      </c:layout>
      <c:overlay val="1"/>
      <c:txPr>
        <a:bodyPr/>
        <a:lstStyle/>
        <a:p>
          <a:pPr>
            <a:defRPr sz="1600">
              <a:solidFill>
                <a:srgbClr val="464646"/>
              </a:solidFill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EEAA00"/>
            </a:solidFill>
          </c:spPr>
          <c:invertIfNegative val="0"/>
          <c:dLbls>
            <c:numFmt formatCode="#,##0" sourceLinked="0"/>
            <c:txPr>
              <a:bodyPr/>
              <a:lstStyle/>
              <a:p>
                <a:pPr>
                  <a:defRPr sz="14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'selected data'!$L$4</c:f>
              <c:strCache>
                <c:ptCount val="1"/>
                <c:pt idx="0">
                  <c:v>Variance with Base</c:v>
                </c:pt>
              </c:strCache>
            </c:strRef>
          </c:cat>
          <c:val>
            <c:numRef>
              <c:f>'selected data'!$L$5</c:f>
              <c:numCache>
                <c:formatCode>General</c:formatCode>
                <c:ptCount val="1"/>
                <c:pt idx="0">
                  <c:v>-1246.7070000000003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81"/>
        <c:axId val="184523776"/>
        <c:axId val="185702272"/>
      </c:barChart>
      <c:catAx>
        <c:axId val="184523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txPr>
          <a:bodyPr/>
          <a:lstStyle/>
          <a:p>
            <a:pPr>
              <a:defRPr b="1">
                <a:solidFill>
                  <a:srgbClr val="464646"/>
                </a:solidFill>
              </a:defRPr>
            </a:pPr>
            <a:endParaRPr lang="en-US"/>
          </a:p>
        </c:txPr>
        <c:crossAx val="185702272"/>
        <c:crosses val="autoZero"/>
        <c:auto val="1"/>
        <c:lblAlgn val="ctr"/>
        <c:lblOffset val="100"/>
        <c:noMultiLvlLbl val="0"/>
      </c:catAx>
      <c:valAx>
        <c:axId val="1857022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452377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</c:spPr>
          <c:dPt>
            <c:idx val="0"/>
            <c:bubble3D val="0"/>
            <c:spPr>
              <a:solidFill>
                <a:srgbClr val="AE884D"/>
              </a:solidFill>
            </c:spPr>
          </c:dPt>
          <c:dPt>
            <c:idx val="1"/>
            <c:bubble3D val="0"/>
            <c:spPr>
              <a:solidFill>
                <a:srgbClr val="E3E3E3"/>
              </a:solidFill>
            </c:spPr>
          </c:dPt>
          <c:val>
            <c:numRef>
              <c:f>'selected data'!$J$5:$J$6</c:f>
              <c:numCache>
                <c:formatCode>General</c:formatCode>
                <c:ptCount val="2"/>
                <c:pt idx="0">
                  <c:v>0.77232072618148306</c:v>
                </c:pt>
                <c:pt idx="1">
                  <c:v>0.22767927381851694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4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AE884D"/>
            </a:solidFill>
          </c:spPr>
          <c:invertIfNegative val="0"/>
          <c:dLbls>
            <c:numFmt formatCode="#,##0" sourceLinked="0"/>
            <c:txPr>
              <a:bodyPr/>
              <a:lstStyle/>
              <a:p>
                <a:pPr>
                  <a:defRPr sz="14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'selected data'!$D$4:$E$4</c:f>
              <c:strCache>
                <c:ptCount val="2"/>
                <c:pt idx="0">
                  <c:v>Current Month</c:v>
                </c:pt>
                <c:pt idx="1">
                  <c:v>Base</c:v>
                </c:pt>
              </c:strCache>
            </c:strRef>
          </c:cat>
          <c:val>
            <c:numRef>
              <c:f>'selected data'!$D$5</c:f>
              <c:numCache>
                <c:formatCode>General</c:formatCode>
                <c:ptCount val="1"/>
                <c:pt idx="0">
                  <c:v>4160.8440000000001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81"/>
        <c:overlap val="100"/>
        <c:axId val="185736192"/>
        <c:axId val="185755520"/>
      </c:barChart>
      <c:catAx>
        <c:axId val="185736192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b="1">
                <a:solidFill>
                  <a:srgbClr val="464646"/>
                </a:solidFill>
              </a:defRPr>
            </a:pPr>
            <a:endParaRPr lang="en-US"/>
          </a:p>
        </c:txPr>
        <c:crossAx val="185755520"/>
        <c:crosses val="autoZero"/>
        <c:auto val="1"/>
        <c:lblAlgn val="ctr"/>
        <c:lblOffset val="100"/>
        <c:noMultiLvlLbl val="0"/>
      </c:catAx>
      <c:valAx>
        <c:axId val="1857555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573619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Amounts</c:v>
          </c:tx>
          <c:spPr>
            <a:solidFill>
              <a:srgbClr val="AE884D"/>
            </a:solidFill>
          </c:spPr>
          <c:invertIfNegative val="0"/>
          <c:dLbls>
            <c:numFmt formatCode="#,##0.00" sourceLinked="0"/>
            <c:txPr>
              <a:bodyPr/>
              <a:lstStyle/>
              <a:p>
                <a:pPr>
                  <a:defRPr b="1">
                    <a:solidFill>
                      <a:srgbClr val="464646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'selected data'!$F$4:$H$4</c:f>
              <c:strCache>
                <c:ptCount val="3"/>
                <c:pt idx="0">
                  <c:v>Current Month</c:v>
                </c:pt>
                <c:pt idx="1">
                  <c:v>Base Month</c:v>
                </c:pt>
                <c:pt idx="2">
                  <c:v>Corresponding Month</c:v>
                </c:pt>
              </c:strCache>
            </c:strRef>
          </c:cat>
          <c:val>
            <c:numRef>
              <c:f>'selected data'!$F$5:$H$5</c:f>
              <c:numCache>
                <c:formatCode>General</c:formatCode>
                <c:ptCount val="3"/>
                <c:pt idx="0">
                  <c:v>4160.8440000000001</c:v>
                </c:pt>
                <c:pt idx="1">
                  <c:v>5407.5510000000004</c:v>
                </c:pt>
                <c:pt idx="2">
                  <c:v>3934.1880000000001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799424"/>
        <c:axId val="185800960"/>
      </c:barChart>
      <c:lineChart>
        <c:grouping val="standard"/>
        <c:varyColors val="0"/>
        <c:ser>
          <c:idx val="1"/>
          <c:order val="1"/>
          <c:tx>
            <c:v>Target</c:v>
          </c:tx>
          <c:spPr>
            <a:ln>
              <a:solidFill>
                <a:srgbClr val="EEAA00"/>
              </a:solidFill>
              <a:prstDash val="sysDash"/>
            </a:ln>
          </c:spPr>
          <c:marker>
            <c:symbol val="none"/>
          </c:marker>
          <c:val>
            <c:numRef>
              <c:f>'selected data'!$F$6:$H$6</c:f>
              <c:numCache>
                <c:formatCode>General</c:formatCode>
                <c:ptCount val="3"/>
                <c:pt idx="0">
                  <c:v>5387.4560903888887</c:v>
                </c:pt>
                <c:pt idx="1">
                  <c:v>5387.4560903888887</c:v>
                </c:pt>
                <c:pt idx="2">
                  <c:v>5387.4560903888887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799424"/>
        <c:axId val="185800960"/>
      </c:lineChart>
      <c:catAx>
        <c:axId val="18579942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rgbClr val="464646"/>
                </a:solidFill>
              </a:defRPr>
            </a:pPr>
            <a:endParaRPr lang="en-US"/>
          </a:p>
        </c:txPr>
        <c:crossAx val="185800960"/>
        <c:crosses val="autoZero"/>
        <c:auto val="1"/>
        <c:lblAlgn val="ctr"/>
        <c:lblOffset val="100"/>
        <c:noMultiLvlLbl val="0"/>
      </c:catAx>
      <c:valAx>
        <c:axId val="18580096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85799424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86749755771869874"/>
          <c:y val="0.42499364050081972"/>
          <c:w val="0.11962565036670975"/>
          <c:h val="0.13507311586051743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16" fmlaLink="calculations!$C$3" fmlaRange="calculations!$B$3:$B$31" sel="2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4.emf"/><Relationship Id="rId7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image" Target="../media/image5.emf"/><Relationship Id="rId9" Type="http://schemas.openxmlformats.org/officeDocument/2006/relationships/image" Target="../media/image7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157649</xdr:colOff>
      <xdr:row>1</xdr:row>
      <xdr:rowOff>143362</xdr:rowOff>
    </xdr:from>
    <xdr:to>
      <xdr:col>1</xdr:col>
      <xdr:colOff>1805474</xdr:colOff>
      <xdr:row>1</xdr:row>
      <xdr:rowOff>1791187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7249" y="2086462"/>
          <a:ext cx="1647825" cy="1647825"/>
        </a:xfrm>
        <a:prstGeom prst="rect">
          <a:avLst/>
        </a:prstGeom>
      </xdr:spPr>
    </xdr:pic>
    <xdr:clientData/>
  </xdr:twoCellAnchor>
  <xdr:twoCellAnchor editAs="oneCell">
    <xdr:from>
      <xdr:col>1</xdr:col>
      <xdr:colOff>157162</xdr:colOff>
      <xdr:row>2</xdr:row>
      <xdr:rowOff>152400</xdr:rowOff>
    </xdr:from>
    <xdr:to>
      <xdr:col>1</xdr:col>
      <xdr:colOff>1805962</xdr:colOff>
      <xdr:row>2</xdr:row>
      <xdr:rowOff>1801200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762" y="4038600"/>
          <a:ext cx="1648800" cy="1648800"/>
        </a:xfrm>
        <a:prstGeom prst="rect">
          <a:avLst/>
        </a:prstGeom>
      </xdr:spPr>
    </xdr:pic>
    <xdr:clientData/>
  </xdr:twoCellAnchor>
  <xdr:twoCellAnchor editAs="oneCell">
    <xdr:from>
      <xdr:col>1</xdr:col>
      <xdr:colOff>157162</xdr:colOff>
      <xdr:row>0</xdr:row>
      <xdr:rowOff>133350</xdr:rowOff>
    </xdr:from>
    <xdr:to>
      <xdr:col>1</xdr:col>
      <xdr:colOff>1805962</xdr:colOff>
      <xdr:row>0</xdr:row>
      <xdr:rowOff>1782150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762" y="133350"/>
          <a:ext cx="1648800" cy="164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548122</xdr:colOff>
      <xdr:row>27</xdr:row>
      <xdr:rowOff>135090</xdr:rowOff>
    </xdr:from>
    <xdr:to>
      <xdr:col>15</xdr:col>
      <xdr:colOff>201759</xdr:colOff>
      <xdr:row>47</xdr:row>
      <xdr:rowOff>1740</xdr:rowOff>
    </xdr:to>
    <xdr:sp macro="" textlink="">
      <xdr:nvSpPr>
        <xdr:cNvPr id="2" name="Rectangle 1"/>
        <xdr:cNvSpPr/>
      </xdr:nvSpPr>
      <xdr:spPr>
        <a:xfrm>
          <a:off x="9082522" y="5278590"/>
          <a:ext cx="263237" cy="3676650"/>
        </a:xfrm>
        <a:prstGeom prst="rect">
          <a:avLst/>
        </a:prstGeom>
        <a:solidFill>
          <a:srgbClr val="E3E3E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431223</xdr:colOff>
      <xdr:row>25</xdr:row>
      <xdr:rowOff>103916</xdr:rowOff>
    </xdr:from>
    <xdr:to>
      <xdr:col>21</xdr:col>
      <xdr:colOff>116032</xdr:colOff>
      <xdr:row>50</xdr:row>
      <xdr:rowOff>57150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205221</xdr:colOff>
      <xdr:row>26</xdr:row>
      <xdr:rowOff>182714</xdr:rowOff>
    </xdr:from>
    <xdr:to>
      <xdr:col>14</xdr:col>
      <xdr:colOff>319522</xdr:colOff>
      <xdr:row>47</xdr:row>
      <xdr:rowOff>125564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285749</xdr:colOff>
          <xdr:row>30</xdr:row>
          <xdr:rowOff>28574</xdr:rowOff>
        </xdr:from>
        <xdr:to>
          <xdr:col>18</xdr:col>
          <xdr:colOff>523874</xdr:colOff>
          <xdr:row>34</xdr:row>
          <xdr:rowOff>114299</xdr:rowOff>
        </xdr:to>
        <xdr:pic>
          <xdr:nvPicPr>
            <xdr:cNvPr id="32" name="Picture 31"/>
            <xdr:cNvPicPr>
              <a:picLocks noChangeAspect="1" noChangeArrowheads="1"/>
              <a:extLst>
                <a:ext uri="{84589F7E-364E-4C9E-8A38-B11213B215E9}">
                  <a14:cameraTool cellRange="selectimage" spid="_x0000_s3097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0648949" y="5743574"/>
              <a:ext cx="847725" cy="8477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133349</xdr:rowOff>
        </xdr:from>
        <xdr:to>
          <xdr:col>19</xdr:col>
          <xdr:colOff>209550</xdr:colOff>
          <xdr:row>35</xdr:row>
          <xdr:rowOff>76200</xdr:rowOff>
        </xdr:to>
        <xdr:pic>
          <xdr:nvPicPr>
            <xdr:cNvPr id="33" name="Picture 32"/>
            <xdr:cNvPicPr>
              <a:picLocks noChangeAspect="1" noChangeArrowheads="1"/>
              <a:extLst>
                <a:ext uri="{84589F7E-364E-4C9E-8A38-B11213B215E9}">
                  <a14:cameraTool cellRange="selecttext" spid="_x0000_s3098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10363200" y="6419849"/>
              <a:ext cx="1428750" cy="32385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0</xdr:col>
      <xdr:colOff>257175</xdr:colOff>
      <xdr:row>3</xdr:row>
      <xdr:rowOff>135086</xdr:rowOff>
    </xdr:from>
    <xdr:to>
      <xdr:col>8</xdr:col>
      <xdr:colOff>514350</xdr:colOff>
      <xdr:row>19</xdr:row>
      <xdr:rowOff>96986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180976</xdr:colOff>
      <xdr:row>13</xdr:row>
      <xdr:rowOff>92224</xdr:rowOff>
    </xdr:from>
    <xdr:to>
      <xdr:col>4</xdr:col>
      <xdr:colOff>581026</xdr:colOff>
      <xdr:row>15</xdr:row>
      <xdr:rowOff>54123</xdr:rowOff>
    </xdr:to>
    <xdr:sp macro="" textlink="'selected data'!D6">
      <xdr:nvSpPr>
        <xdr:cNvPr id="15" name="Rectangle 14"/>
        <xdr:cNvSpPr/>
      </xdr:nvSpPr>
      <xdr:spPr>
        <a:xfrm>
          <a:off x="1999385" y="2568724"/>
          <a:ext cx="1006186" cy="3428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9B609D0-28F8-4261-8F4D-0B63879DAE02}" type="TxLink">
            <a:rPr lang="en-US" sz="1400" b="1" i="0" u="none" strike="noStrike">
              <a:solidFill>
                <a:srgbClr val="464646"/>
              </a:solidFill>
              <a:latin typeface="Calibri"/>
            </a:rPr>
            <a:pPr algn="ctr"/>
            <a:t>Current: </a:t>
          </a:fld>
          <a:endParaRPr lang="en-US" sz="1400" b="1">
            <a:solidFill>
              <a:srgbClr val="464646"/>
            </a:solidFill>
          </a:endParaRPr>
        </a:p>
      </xdr:txBody>
    </xdr:sp>
    <xdr:clientData/>
  </xdr:twoCellAnchor>
  <xdr:twoCellAnchor>
    <xdr:from>
      <xdr:col>4</xdr:col>
      <xdr:colOff>219075</xdr:colOff>
      <xdr:row>13</xdr:row>
      <xdr:rowOff>92224</xdr:rowOff>
    </xdr:from>
    <xdr:to>
      <xdr:col>6</xdr:col>
      <xdr:colOff>9525</xdr:colOff>
      <xdr:row>15</xdr:row>
      <xdr:rowOff>54123</xdr:rowOff>
    </xdr:to>
    <xdr:sp macro="" textlink="'selected data'!D7">
      <xdr:nvSpPr>
        <xdr:cNvPr id="17" name="Rectangle 16"/>
        <xdr:cNvSpPr/>
      </xdr:nvSpPr>
      <xdr:spPr>
        <a:xfrm>
          <a:off x="2657475" y="2568724"/>
          <a:ext cx="1009650" cy="3428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571FAAD-0470-4EBB-863C-19EFF675A178}" type="TxLink">
            <a:rPr lang="en-US" sz="1600" b="1" i="0" u="none" strike="noStrike">
              <a:solidFill>
                <a:srgbClr val="EEAA00"/>
              </a:solidFill>
              <a:latin typeface="Calibri"/>
            </a:rPr>
            <a:pPr algn="ctr"/>
            <a:t>4161</a:t>
          </a:fld>
          <a:endParaRPr lang="en-US" sz="1600" b="1">
            <a:solidFill>
              <a:srgbClr val="EEAA00"/>
            </a:solidFill>
          </a:endParaRPr>
        </a:p>
      </xdr:txBody>
    </xdr:sp>
    <xdr:clientData/>
  </xdr:twoCellAnchor>
  <xdr:twoCellAnchor>
    <xdr:from>
      <xdr:col>3</xdr:col>
      <xdr:colOff>47625</xdr:colOff>
      <xdr:row>11</xdr:row>
      <xdr:rowOff>87461</xdr:rowOff>
    </xdr:from>
    <xdr:to>
      <xdr:col>6</xdr:col>
      <xdr:colOff>171450</xdr:colOff>
      <xdr:row>13</xdr:row>
      <xdr:rowOff>49360</xdr:rowOff>
    </xdr:to>
    <xdr:sp macro="" textlink="'selected data'!M5">
      <xdr:nvSpPr>
        <xdr:cNvPr id="16" name="Rectangle 15"/>
        <xdr:cNvSpPr/>
      </xdr:nvSpPr>
      <xdr:spPr>
        <a:xfrm>
          <a:off x="1876425" y="2182961"/>
          <a:ext cx="1952625" cy="3428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ED54D60-AA6E-4CDC-A76A-CA2519F4F299}" type="TxLink">
            <a:rPr lang="en-US" sz="1200" b="1" i="0" u="none" strike="noStrike">
              <a:solidFill>
                <a:srgbClr val="464646"/>
              </a:solidFill>
              <a:latin typeface="Calibri"/>
            </a:rPr>
            <a:pPr algn="ctr"/>
            <a:t>(vs 31/08/2015)</a:t>
          </a:fld>
          <a:endParaRPr lang="en-US" sz="1200" b="1">
            <a:solidFill>
              <a:srgbClr val="464646"/>
            </a:solidFill>
          </a:endParaRPr>
        </a:p>
      </xdr:txBody>
    </xdr:sp>
    <xdr:clientData/>
  </xdr:twoCellAnchor>
  <xdr:twoCellAnchor>
    <xdr:from>
      <xdr:col>3</xdr:col>
      <xdr:colOff>228600</xdr:colOff>
      <xdr:row>6</xdr:row>
      <xdr:rowOff>144611</xdr:rowOff>
    </xdr:from>
    <xdr:to>
      <xdr:col>5</xdr:col>
      <xdr:colOff>581025</xdr:colOff>
      <xdr:row>11</xdr:row>
      <xdr:rowOff>30311</xdr:rowOff>
    </xdr:to>
    <xdr:sp macro="" textlink="'selected data'!M4">
      <xdr:nvSpPr>
        <xdr:cNvPr id="14" name="Rectangle 13"/>
        <xdr:cNvSpPr/>
      </xdr:nvSpPr>
      <xdr:spPr>
        <a:xfrm>
          <a:off x="2057400" y="1287611"/>
          <a:ext cx="1571625" cy="8382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DCEDE18E-CD69-47E4-A909-9F925EF60F40}" type="TxLink">
            <a:rPr lang="en-US" sz="1800" b="1" i="0" u="none" strike="noStrike">
              <a:solidFill>
                <a:srgbClr val="464646"/>
              </a:solidFill>
              <a:latin typeface="Calibri"/>
            </a:rPr>
            <a:pPr algn="ctr"/>
            <a:t>CASA Deposit</a:t>
          </a:fld>
          <a:endParaRPr lang="en-US" sz="1800" b="1">
            <a:solidFill>
              <a:srgbClr val="464646"/>
            </a:solidFill>
          </a:endParaRPr>
        </a:p>
      </xdr:txBody>
    </xdr:sp>
    <xdr:clientData/>
  </xdr:twoCellAnchor>
  <xdr:twoCellAnchor>
    <xdr:from>
      <xdr:col>1</xdr:col>
      <xdr:colOff>205220</xdr:colOff>
      <xdr:row>25</xdr:row>
      <xdr:rowOff>163664</xdr:rowOff>
    </xdr:from>
    <xdr:to>
      <xdr:col>7</xdr:col>
      <xdr:colOff>319521</xdr:colOff>
      <xdr:row>46</xdr:row>
      <xdr:rowOff>106514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0</xdr:row>
          <xdr:rowOff>152400</xdr:rowOff>
        </xdr:from>
        <xdr:to>
          <xdr:col>3</xdr:col>
          <xdr:colOff>266700</xdr:colOff>
          <xdr:row>2</xdr:row>
          <xdr:rowOff>57150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4</xdr:col>
      <xdr:colOff>500495</xdr:colOff>
      <xdr:row>22</xdr:row>
      <xdr:rowOff>96989</xdr:rowOff>
    </xdr:from>
    <xdr:to>
      <xdr:col>8</xdr:col>
      <xdr:colOff>144606</xdr:colOff>
      <xdr:row>24</xdr:row>
      <xdr:rowOff>110370</xdr:rowOff>
    </xdr:to>
    <xdr:sp macro="[0]!Changebutton" textlink="">
      <xdr:nvSpPr>
        <xdr:cNvPr id="4" name="Button1"/>
        <xdr:cNvSpPr/>
      </xdr:nvSpPr>
      <xdr:spPr>
        <a:xfrm>
          <a:off x="2938895" y="4287989"/>
          <a:ext cx="2082511" cy="394381"/>
        </a:xfrm>
        <a:prstGeom prst="roundRect">
          <a:avLst/>
        </a:prstGeom>
        <a:solidFill>
          <a:srgbClr val="EEAA00"/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Base Month (31/12/2014)</a:t>
          </a:r>
        </a:p>
      </xdr:txBody>
    </xdr:sp>
    <xdr:clientData fLocksWithSheet="0" fPrintsWithSheet="0"/>
  </xdr:twoCellAnchor>
  <xdr:twoCellAnchor>
    <xdr:from>
      <xdr:col>8</xdr:col>
      <xdr:colOff>600507</xdr:colOff>
      <xdr:row>22</xdr:row>
      <xdr:rowOff>96989</xdr:rowOff>
    </xdr:from>
    <xdr:to>
      <xdr:col>12</xdr:col>
      <xdr:colOff>248082</xdr:colOff>
      <xdr:row>24</xdr:row>
      <xdr:rowOff>110370</xdr:rowOff>
    </xdr:to>
    <xdr:sp macro="[0]!Changebutton" textlink="">
      <xdr:nvSpPr>
        <xdr:cNvPr id="5" name="Button2"/>
        <xdr:cNvSpPr/>
      </xdr:nvSpPr>
      <xdr:spPr>
        <a:xfrm>
          <a:off x="5477307" y="4287989"/>
          <a:ext cx="2085975" cy="394381"/>
        </a:xfrm>
        <a:prstGeom prst="roundRect">
          <a:avLst/>
        </a:prstGeom>
        <a:solidFill>
          <a:srgbClr val="E7E6E6"/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404040"/>
              </a:solidFill>
            </a:rPr>
            <a:t>Corresp. Month (31/08/2014)</a:t>
          </a:r>
        </a:p>
      </xdr:txBody>
    </xdr:sp>
    <xdr:clientData fLocksWithSheet="0" fPrintsWithSheet="0"/>
  </xdr:twoCellAnchor>
  <xdr:twoCellAnchor>
    <xdr:from>
      <xdr:col>13</xdr:col>
      <xdr:colOff>90920</xdr:colOff>
      <xdr:row>22</xdr:row>
      <xdr:rowOff>94154</xdr:rowOff>
    </xdr:from>
    <xdr:to>
      <xdr:col>16</xdr:col>
      <xdr:colOff>348095</xdr:colOff>
      <xdr:row>24</xdr:row>
      <xdr:rowOff>113204</xdr:rowOff>
    </xdr:to>
    <xdr:sp macro="[0]!Changebutton" textlink="">
      <xdr:nvSpPr>
        <xdr:cNvPr id="6" name="Button3"/>
        <xdr:cNvSpPr/>
      </xdr:nvSpPr>
      <xdr:spPr>
        <a:xfrm>
          <a:off x="8015720" y="4285154"/>
          <a:ext cx="2085975" cy="400050"/>
        </a:xfrm>
        <a:prstGeom prst="roundRect">
          <a:avLst/>
        </a:prstGeom>
        <a:solidFill>
          <a:srgbClr val="E7E6E6"/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404040"/>
              </a:solidFill>
            </a:rPr>
            <a:t>Target (31/08/2015)</a:t>
          </a:r>
        </a:p>
      </xdr:txBody>
    </xdr:sp>
    <xdr:clientData fLocksWithSheet="0" fPrintsWithSheet="0"/>
  </xdr:twoCellAnchor>
  <xdr:twoCellAnchor>
    <xdr:from>
      <xdr:col>3</xdr:col>
      <xdr:colOff>447675</xdr:colOff>
      <xdr:row>13</xdr:row>
      <xdr:rowOff>58886</xdr:rowOff>
    </xdr:from>
    <xdr:to>
      <xdr:col>5</xdr:col>
      <xdr:colOff>447675</xdr:colOff>
      <xdr:row>13</xdr:row>
      <xdr:rowOff>58886</xdr:rowOff>
    </xdr:to>
    <xdr:cxnSp macro="">
      <xdr:nvCxnSpPr>
        <xdr:cNvPr id="9" name="Straight Connector 8"/>
        <xdr:cNvCxnSpPr/>
      </xdr:nvCxnSpPr>
      <xdr:spPr>
        <a:xfrm>
          <a:off x="2276475" y="2535386"/>
          <a:ext cx="1219200" cy="0"/>
        </a:xfrm>
        <a:prstGeom prst="line">
          <a:avLst/>
        </a:prstGeom>
        <a:ln w="22225">
          <a:solidFill>
            <a:srgbClr val="CCCCC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447675</xdr:colOff>
      <xdr:row>8</xdr:row>
      <xdr:rowOff>96986</xdr:rowOff>
    </xdr:from>
    <xdr:to>
      <xdr:col>5</xdr:col>
      <xdr:colOff>428625</xdr:colOff>
      <xdr:row>13</xdr:row>
      <xdr:rowOff>77936</xdr:rowOff>
    </xdr:to>
    <xdr:sp macro="" textlink="'selected data'!J7">
      <xdr:nvSpPr>
        <xdr:cNvPr id="10" name="Rectangle 9"/>
        <xdr:cNvSpPr/>
      </xdr:nvSpPr>
      <xdr:spPr>
        <a:xfrm>
          <a:off x="2266084" y="1620986"/>
          <a:ext cx="1193223" cy="933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296C579-F5B9-4D58-8E5A-15A8258679DB}" type="TxLink">
            <a:rPr lang="en-US" sz="2200" b="1" i="0" u="none" strike="noStrike">
              <a:solidFill>
                <a:srgbClr val="EEAA00"/>
              </a:solidFill>
              <a:latin typeface="Calibri"/>
            </a:rPr>
            <a:pPr algn="ctr"/>
            <a:t>77,23%</a:t>
          </a:fld>
          <a:endParaRPr lang="en-US" sz="2200" b="1">
            <a:solidFill>
              <a:srgbClr val="EEAA00"/>
            </a:solidFill>
          </a:endParaRPr>
        </a:p>
      </xdr:txBody>
    </xdr:sp>
    <xdr:clientData/>
  </xdr:twoCellAnchor>
  <xdr:twoCellAnchor>
    <xdr:from>
      <xdr:col>7</xdr:col>
      <xdr:colOff>555048</xdr:colOff>
      <xdr:row>2</xdr:row>
      <xdr:rowOff>44165</xdr:rowOff>
    </xdr:from>
    <xdr:to>
      <xdr:col>20</xdr:col>
      <xdr:colOff>520412</xdr:colOff>
      <xdr:row>20</xdr:row>
      <xdr:rowOff>15590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490971</xdr:colOff>
      <xdr:row>26</xdr:row>
      <xdr:rowOff>68414</xdr:rowOff>
    </xdr:from>
    <xdr:to>
      <xdr:col>6</xdr:col>
      <xdr:colOff>5196</xdr:colOff>
      <xdr:row>28</xdr:row>
      <xdr:rowOff>30313</xdr:rowOff>
    </xdr:to>
    <xdr:sp macro="" textlink="'selected data'!M4">
      <xdr:nvSpPr>
        <xdr:cNvPr id="26" name="Rectangle 25"/>
        <xdr:cNvSpPr/>
      </xdr:nvSpPr>
      <xdr:spPr>
        <a:xfrm>
          <a:off x="1710171" y="5021414"/>
          <a:ext cx="1952625" cy="3428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CEDE18E-CD69-47E4-A909-9F925EF60F40}" type="TxLink">
            <a:rPr lang="en-US" sz="1800" b="1" i="0" u="none" strike="noStrike">
              <a:solidFill>
                <a:srgbClr val="464646"/>
              </a:solidFill>
              <a:latin typeface="Calibri"/>
            </a:rPr>
            <a:pPr algn="ctr"/>
            <a:t>CASA Deposit</a:t>
          </a:fld>
          <a:endParaRPr lang="en-US" sz="1800" b="1">
            <a:solidFill>
              <a:srgbClr val="464646"/>
            </a:solidFill>
          </a:endParaRPr>
        </a:p>
      </xdr:txBody>
    </xdr:sp>
    <xdr:clientData/>
  </xdr:twoCellAnchor>
  <xdr:twoCellAnchor>
    <xdr:from>
      <xdr:col>12</xdr:col>
      <xdr:colOff>523875</xdr:colOff>
      <xdr:row>1</xdr:row>
      <xdr:rowOff>96986</xdr:rowOff>
    </xdr:from>
    <xdr:to>
      <xdr:col>14</xdr:col>
      <xdr:colOff>314325</xdr:colOff>
      <xdr:row>3</xdr:row>
      <xdr:rowOff>58885</xdr:rowOff>
    </xdr:to>
    <xdr:sp macro="" textlink="'selected data'!I6">
      <xdr:nvSpPr>
        <xdr:cNvPr id="27" name="Rectangle 26"/>
        <xdr:cNvSpPr/>
      </xdr:nvSpPr>
      <xdr:spPr>
        <a:xfrm>
          <a:off x="7839075" y="287486"/>
          <a:ext cx="1009650" cy="3428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A78C861-F139-4D34-9295-0CA56447BA3B}" type="TxLink">
            <a:rPr lang="en-US" sz="1600" b="1" i="0" u="none" strike="noStrike">
              <a:solidFill>
                <a:srgbClr val="EEAA00"/>
              </a:solidFill>
              <a:latin typeface="Calibri"/>
            </a:rPr>
            <a:pPr algn="ctr"/>
            <a:t>5.387,46</a:t>
          </a:fld>
          <a:endParaRPr lang="en-US" sz="1600" b="1">
            <a:solidFill>
              <a:srgbClr val="EEAA00"/>
            </a:solidFill>
          </a:endParaRPr>
        </a:p>
      </xdr:txBody>
    </xdr:sp>
    <xdr:clientData/>
  </xdr:twoCellAnchor>
  <xdr:twoCellAnchor>
    <xdr:from>
      <xdr:col>11</xdr:col>
      <xdr:colOff>390525</xdr:colOff>
      <xdr:row>1</xdr:row>
      <xdr:rowOff>96986</xdr:rowOff>
    </xdr:from>
    <xdr:to>
      <xdr:col>13</xdr:col>
      <xdr:colOff>180975</xdr:colOff>
      <xdr:row>3</xdr:row>
      <xdr:rowOff>58885</xdr:rowOff>
    </xdr:to>
    <xdr:sp macro="" textlink="">
      <xdr:nvSpPr>
        <xdr:cNvPr id="28" name="Rectangle 27"/>
        <xdr:cNvSpPr/>
      </xdr:nvSpPr>
      <xdr:spPr>
        <a:xfrm>
          <a:off x="7096125" y="287486"/>
          <a:ext cx="1009650" cy="3428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i="0" u="none" strike="noStrike">
              <a:solidFill>
                <a:srgbClr val="464646"/>
              </a:solidFill>
              <a:latin typeface="Calibri"/>
            </a:rPr>
            <a:t>Target:</a:t>
          </a:r>
        </a:p>
      </xdr:txBody>
    </xdr:sp>
    <xdr:clientData/>
  </xdr:twoCellAnchor>
  <xdr:twoCellAnchor>
    <xdr:from>
      <xdr:col>17</xdr:col>
      <xdr:colOff>87891</xdr:colOff>
      <xdr:row>37</xdr:row>
      <xdr:rowOff>167126</xdr:rowOff>
    </xdr:from>
    <xdr:to>
      <xdr:col>19</xdr:col>
      <xdr:colOff>212387</xdr:colOff>
      <xdr:row>44</xdr:row>
      <xdr:rowOff>33777</xdr:rowOff>
    </xdr:to>
    <xdr:grpSp>
      <xdr:nvGrpSpPr>
        <xdr:cNvPr id="11" name="Group 10"/>
        <xdr:cNvGrpSpPr/>
      </xdr:nvGrpSpPr>
      <xdr:grpSpPr>
        <a:xfrm>
          <a:off x="10451091" y="7215626"/>
          <a:ext cx="1343696" cy="1200151"/>
          <a:chOff x="7158038" y="11315700"/>
          <a:chExt cx="1733549" cy="1552575"/>
        </a:xfrm>
      </xdr:grpSpPr>
      <xdr:sp macro="" textlink="">
        <xdr:nvSpPr>
          <xdr:cNvPr id="3" name="Oval 2"/>
          <xdr:cNvSpPr/>
        </xdr:nvSpPr>
        <xdr:spPr>
          <a:xfrm>
            <a:off x="7158038" y="11315700"/>
            <a:ext cx="390525" cy="390525"/>
          </a:xfrm>
          <a:prstGeom prst="ellipse">
            <a:avLst/>
          </a:prstGeom>
          <a:solidFill>
            <a:srgbClr val="AE884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" name="Oval 21"/>
          <xdr:cNvSpPr/>
        </xdr:nvSpPr>
        <xdr:spPr>
          <a:xfrm>
            <a:off x="7158038" y="11896725"/>
            <a:ext cx="390525" cy="390525"/>
          </a:xfrm>
          <a:prstGeom prst="ellipse">
            <a:avLst/>
          </a:prstGeom>
          <a:solidFill>
            <a:srgbClr val="EEAA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" name="Oval 22"/>
          <xdr:cNvSpPr/>
        </xdr:nvSpPr>
        <xdr:spPr>
          <a:xfrm>
            <a:off x="7158038" y="12477750"/>
            <a:ext cx="390525" cy="390525"/>
          </a:xfrm>
          <a:prstGeom prst="ellipse">
            <a:avLst/>
          </a:prstGeom>
          <a:solidFill>
            <a:srgbClr val="FFD05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7500937" y="11315700"/>
            <a:ext cx="1390650" cy="3714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100" b="1">
                <a:solidFill>
                  <a:srgbClr val="464646"/>
                </a:solidFill>
              </a:rPr>
              <a:t>Over 20% Var</a:t>
            </a:r>
          </a:p>
        </xdr:txBody>
      </xdr:sp>
      <xdr:sp macro="" textlink="">
        <xdr:nvSpPr>
          <xdr:cNvPr id="24" name="Rectangle 23"/>
          <xdr:cNvSpPr/>
        </xdr:nvSpPr>
        <xdr:spPr>
          <a:xfrm>
            <a:off x="7500937" y="11901488"/>
            <a:ext cx="1390650" cy="3714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100" b="1">
                <a:solidFill>
                  <a:srgbClr val="464646"/>
                </a:solidFill>
              </a:rPr>
              <a:t>Under 20% Var</a:t>
            </a:r>
          </a:p>
        </xdr:txBody>
      </xdr:sp>
      <xdr:sp macro="" textlink="">
        <xdr:nvSpPr>
          <xdr:cNvPr id="25" name="Rectangle 24"/>
          <xdr:cNvSpPr/>
        </xdr:nvSpPr>
        <xdr:spPr>
          <a:xfrm>
            <a:off x="7500937" y="12487275"/>
            <a:ext cx="1390650" cy="3714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100" b="1">
                <a:solidFill>
                  <a:srgbClr val="464646"/>
                </a:solidFill>
              </a:rPr>
              <a:t>Negative Var</a:t>
            </a:r>
          </a:p>
        </xdr:txBody>
      </xdr:sp>
    </xdr:grpSp>
    <xdr:clientData/>
  </xdr:twoCellAnchor>
  <xdr:twoCellAnchor>
    <xdr:from>
      <xdr:col>0</xdr:col>
      <xdr:colOff>352425</xdr:colOff>
      <xdr:row>21</xdr:row>
      <xdr:rowOff>76200</xdr:rowOff>
    </xdr:from>
    <xdr:to>
      <xdr:col>20</xdr:col>
      <xdr:colOff>438150</xdr:colOff>
      <xdr:row>21</xdr:row>
      <xdr:rowOff>76200</xdr:rowOff>
    </xdr:to>
    <xdr:cxnSp macro="">
      <xdr:nvCxnSpPr>
        <xdr:cNvPr id="13" name="Straight Connector 12"/>
        <xdr:cNvCxnSpPr/>
      </xdr:nvCxnSpPr>
      <xdr:spPr>
        <a:xfrm>
          <a:off x="352425" y="4076700"/>
          <a:ext cx="12277725" cy="0"/>
        </a:xfrm>
        <a:prstGeom prst="line">
          <a:avLst/>
        </a:prstGeom>
        <a:ln w="12700">
          <a:solidFill>
            <a:srgbClr val="464646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256276</xdr:colOff>
      <xdr:row>3</xdr:row>
      <xdr:rowOff>9525</xdr:rowOff>
    </xdr:from>
    <xdr:to>
      <xdr:col>1</xdr:col>
      <xdr:colOff>226179</xdr:colOff>
      <xdr:row>6</xdr:row>
      <xdr:rowOff>19050</xdr:rowOff>
    </xdr:to>
    <xdr:pic macro="[0]!Createpdf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276" y="581025"/>
          <a:ext cx="579503" cy="581025"/>
        </a:xfrm>
        <a:prstGeom prst="rect">
          <a:avLst/>
        </a:prstGeom>
      </xdr:spPr>
    </xdr:pic>
    <xdr:clientData fLocksWithSheet="0" fPrintsWithSheet="0"/>
  </xdr:twoCellAnchor>
  <xdr:twoCellAnchor>
    <xdr:from>
      <xdr:col>0</xdr:col>
      <xdr:colOff>38100</xdr:colOff>
      <xdr:row>5</xdr:row>
      <xdr:rowOff>114300</xdr:rowOff>
    </xdr:from>
    <xdr:to>
      <xdr:col>1</xdr:col>
      <xdr:colOff>438150</xdr:colOff>
      <xdr:row>7</xdr:row>
      <xdr:rowOff>76199</xdr:rowOff>
    </xdr:to>
    <xdr:sp macro="" textlink="">
      <xdr:nvSpPr>
        <xdr:cNvPr id="31" name="Rectangle 30"/>
        <xdr:cNvSpPr/>
      </xdr:nvSpPr>
      <xdr:spPr>
        <a:xfrm>
          <a:off x="38100" y="1066800"/>
          <a:ext cx="1009650" cy="3428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i="0" u="none" strike="noStrike">
              <a:solidFill>
                <a:srgbClr val="464646"/>
              </a:solidFill>
              <a:latin typeface="Calibri"/>
            </a:rPr>
            <a:t>PDF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49</xdr:row>
          <xdr:rowOff>123825</xdr:rowOff>
        </xdr:from>
        <xdr:to>
          <xdr:col>14</xdr:col>
          <xdr:colOff>514350</xdr:colOff>
          <xdr:row>51</xdr:row>
          <xdr:rowOff>133350</xdr:rowOff>
        </xdr:to>
        <xdr:pic>
          <xdr:nvPicPr>
            <xdr:cNvPr id="38" name="Picture 37"/>
            <xdr:cNvPicPr>
              <a:picLocks noChangeAspect="1" noChangeArrowheads="1"/>
              <a:extLst>
                <a:ext uri="{84589F7E-364E-4C9E-8A38-B11213B215E9}">
                  <a14:cameraTool cellRange="images!$H$8:$K$9" spid="_x0000_s309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5353050" y="9458325"/>
              <a:ext cx="3695700" cy="390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33"/>
  <sheetViews>
    <sheetView showGridLines="0" topLeftCell="C1" zoomScale="90" zoomScaleNormal="90" workbookViewId="0">
      <selection activeCell="M5" sqref="M5"/>
    </sheetView>
  </sheetViews>
  <sheetFormatPr defaultColWidth="9.140625" defaultRowHeight="12.75"/>
  <cols>
    <col min="1" max="1" width="2.42578125" style="1" customWidth="1"/>
    <col min="2" max="2" width="39.42578125" style="1" bestFit="1" customWidth="1"/>
    <col min="3" max="3" width="16.5703125" style="1" customWidth="1"/>
    <col min="4" max="4" width="15.7109375" style="1" bestFit="1" customWidth="1"/>
    <col min="5" max="5" width="15" style="1" customWidth="1"/>
    <col min="6" max="7" width="17.5703125" style="1" bestFit="1" customWidth="1"/>
    <col min="8" max="9" width="11.7109375" style="1" customWidth="1"/>
    <col min="10" max="11" width="15.28515625" style="1" customWidth="1"/>
    <col min="12" max="12" width="18.85546875" style="1" customWidth="1"/>
    <col min="13" max="13" width="11.7109375" style="1" customWidth="1"/>
    <col min="14" max="14" width="18.85546875" style="1" customWidth="1"/>
    <col min="15" max="15" width="38.140625" style="1" bestFit="1" customWidth="1"/>
    <col min="16" max="16384" width="9.140625" style="1"/>
  </cols>
  <sheetData>
    <row r="1" spans="2:15" ht="21.75" customHeight="1">
      <c r="H1" s="44"/>
      <c r="I1" s="44"/>
      <c r="J1" s="44"/>
      <c r="K1" s="44"/>
      <c r="L1" s="44"/>
      <c r="M1" s="44"/>
    </row>
    <row r="2" spans="2:15">
      <c r="B2" s="2" t="s">
        <v>47</v>
      </c>
      <c r="C2" s="3" t="s">
        <v>1</v>
      </c>
      <c r="D2" s="4" t="s">
        <v>2</v>
      </c>
      <c r="E2" s="5" t="s">
        <v>3</v>
      </c>
      <c r="F2" s="6" t="s">
        <v>4</v>
      </c>
      <c r="G2" s="7" t="s">
        <v>4</v>
      </c>
      <c r="H2" s="45" t="s">
        <v>5</v>
      </c>
      <c r="I2" s="45"/>
      <c r="J2" s="46" t="s">
        <v>5</v>
      </c>
      <c r="K2" s="46"/>
      <c r="L2" s="47" t="s">
        <v>5</v>
      </c>
      <c r="M2" s="47"/>
      <c r="N2" s="7" t="s">
        <v>6</v>
      </c>
    </row>
    <row r="3" spans="2:15">
      <c r="B3" s="8"/>
      <c r="C3" s="3" t="s">
        <v>0</v>
      </c>
      <c r="D3" s="4" t="s">
        <v>7</v>
      </c>
      <c r="E3" s="5" t="s">
        <v>7</v>
      </c>
      <c r="F3" s="6" t="s">
        <v>6</v>
      </c>
      <c r="G3" s="7" t="s">
        <v>6</v>
      </c>
      <c r="H3" s="45" t="s">
        <v>8</v>
      </c>
      <c r="I3" s="45"/>
      <c r="J3" s="46" t="s">
        <v>65</v>
      </c>
      <c r="K3" s="46"/>
      <c r="L3" s="47" t="s">
        <v>9</v>
      </c>
      <c r="M3" s="47"/>
      <c r="N3" s="7" t="s">
        <v>10</v>
      </c>
    </row>
    <row r="4" spans="2:15">
      <c r="B4" s="9"/>
      <c r="C4" s="3" t="s">
        <v>11</v>
      </c>
      <c r="D4" s="4" t="s">
        <v>12</v>
      </c>
      <c r="E4" s="5" t="s">
        <v>13</v>
      </c>
      <c r="F4" s="6" t="s">
        <v>13</v>
      </c>
      <c r="G4" s="7" t="s">
        <v>14</v>
      </c>
      <c r="H4" s="3" t="s">
        <v>15</v>
      </c>
      <c r="I4" s="3" t="s">
        <v>16</v>
      </c>
      <c r="J4" s="4" t="s">
        <v>17</v>
      </c>
      <c r="K4" s="4" t="s">
        <v>16</v>
      </c>
      <c r="L4" s="6" t="s">
        <v>17</v>
      </c>
      <c r="M4" s="6" t="s">
        <v>16</v>
      </c>
      <c r="N4" s="7">
        <v>2015</v>
      </c>
      <c r="O4" s="1" t="s">
        <v>57</v>
      </c>
    </row>
    <row r="5" spans="2:15" s="22" customFormat="1" ht="17.100000000000001" customHeight="1">
      <c r="B5" s="10" t="s">
        <v>18</v>
      </c>
      <c r="C5" s="11">
        <v>6266.4949999999999</v>
      </c>
      <c r="D5" s="12">
        <v>0</v>
      </c>
      <c r="E5" s="13">
        <v>8359.8739999999998</v>
      </c>
      <c r="F5" s="14">
        <v>6389.1091277222222</v>
      </c>
      <c r="G5" s="15">
        <v>6526.8667209444438</v>
      </c>
      <c r="H5" s="16">
        <v>2093.3789999999999</v>
      </c>
      <c r="I5" s="17">
        <v>0.33405899150960783</v>
      </c>
      <c r="J5" s="18">
        <v>8359.8739999999998</v>
      </c>
      <c r="K5" s="19">
        <v>0</v>
      </c>
      <c r="L5" s="20">
        <v>1970.7648722777776</v>
      </c>
      <c r="M5" s="21">
        <v>0.30845691204845233</v>
      </c>
      <c r="N5" s="15">
        <v>6966.2267019999999</v>
      </c>
      <c r="O5" s="23" t="s">
        <v>58</v>
      </c>
    </row>
    <row r="6" spans="2:15" s="22" customFormat="1" ht="17.100000000000001" customHeight="1">
      <c r="B6" s="10" t="s">
        <v>19</v>
      </c>
      <c r="C6" s="11">
        <v>5407.5510000000004</v>
      </c>
      <c r="D6" s="12">
        <v>3934.1880000000001</v>
      </c>
      <c r="E6" s="13">
        <v>4160.8440000000001</v>
      </c>
      <c r="F6" s="14">
        <v>5387.4560903888887</v>
      </c>
      <c r="G6" s="15">
        <v>5507.3750539444436</v>
      </c>
      <c r="H6" s="16">
        <v>-1246.7070000000003</v>
      </c>
      <c r="I6" s="17">
        <v>-0.23054928192078081</v>
      </c>
      <c r="J6" s="18">
        <v>226.65599999999995</v>
      </c>
      <c r="K6" s="19">
        <v>5.7611888399842597E-2</v>
      </c>
      <c r="L6" s="20">
        <v>-1226.6120903888886</v>
      </c>
      <c r="M6" s="21">
        <v>-0.22767927381851696</v>
      </c>
      <c r="N6" s="15">
        <v>5893.2191459999995</v>
      </c>
      <c r="O6" s="22" t="s">
        <v>19</v>
      </c>
    </row>
    <row r="7" spans="2:15" s="22" customFormat="1" ht="17.100000000000001" customHeight="1">
      <c r="B7" s="10" t="s">
        <v>20</v>
      </c>
      <c r="C7" s="11">
        <v>5433.8267692307691</v>
      </c>
      <c r="D7" s="12">
        <v>5482.2396666666664</v>
      </c>
      <c r="E7" s="13">
        <v>5791.8329211455548</v>
      </c>
      <c r="F7" s="14">
        <v>5862.5331629228385</v>
      </c>
      <c r="G7" s="15">
        <v>5930.5292193333335</v>
      </c>
      <c r="H7" s="16">
        <v>358.00615191478573</v>
      </c>
      <c r="I7" s="17">
        <v>6.5884719391867227E-2</v>
      </c>
      <c r="J7" s="18">
        <v>309.59325447888841</v>
      </c>
      <c r="K7" s="19">
        <v>5.6472039404130717E-2</v>
      </c>
      <c r="L7" s="20">
        <v>-70.700241777283736</v>
      </c>
      <c r="M7" s="21">
        <v>-1.2059674514836392E-2</v>
      </c>
      <c r="N7" s="15">
        <v>6206.569702702991</v>
      </c>
      <c r="O7" s="22" t="s">
        <v>20</v>
      </c>
    </row>
    <row r="8" spans="2:15" s="22" customFormat="1" ht="17.100000000000001" customHeight="1">
      <c r="B8" s="10" t="s">
        <v>21</v>
      </c>
      <c r="C8" s="11">
        <v>6266.4949999999999</v>
      </c>
      <c r="D8" s="12">
        <v>4908.91</v>
      </c>
      <c r="E8" s="13">
        <v>8776.6949999999997</v>
      </c>
      <c r="F8" s="14">
        <v>6389.1091277222222</v>
      </c>
      <c r="G8" s="15">
        <v>6526.8667209444438</v>
      </c>
      <c r="H8" s="16">
        <v>2510.1999999999998</v>
      </c>
      <c r="I8" s="17">
        <v>0.40057480297997522</v>
      </c>
      <c r="J8" s="18">
        <v>3867.7849999999999</v>
      </c>
      <c r="K8" s="19">
        <v>0.78791116561517727</v>
      </c>
      <c r="L8" s="20">
        <v>2387.5858722777775</v>
      </c>
      <c r="M8" s="21">
        <v>0.37369621093464944</v>
      </c>
      <c r="N8" s="15">
        <v>6966.2267019999999</v>
      </c>
      <c r="O8" s="22" t="s">
        <v>66</v>
      </c>
    </row>
    <row r="9" spans="2:15" s="22" customFormat="1" ht="17.100000000000001" customHeight="1">
      <c r="B9" s="10" t="s">
        <v>22</v>
      </c>
      <c r="C9" s="11">
        <v>2280</v>
      </c>
      <c r="D9" s="12">
        <v>20</v>
      </c>
      <c r="E9" s="13">
        <v>41</v>
      </c>
      <c r="F9" s="14">
        <v>190</v>
      </c>
      <c r="G9" s="15">
        <v>190</v>
      </c>
      <c r="H9" s="16">
        <v>-2239</v>
      </c>
      <c r="I9" s="17">
        <v>-0.98201754385964912</v>
      </c>
      <c r="J9" s="18">
        <v>21</v>
      </c>
      <c r="K9" s="19">
        <v>1.05</v>
      </c>
      <c r="L9" s="20">
        <v>-149</v>
      </c>
      <c r="M9" s="21">
        <v>-0.78421052631578947</v>
      </c>
      <c r="N9" s="15">
        <v>2280</v>
      </c>
      <c r="O9" s="22" t="s">
        <v>67</v>
      </c>
    </row>
    <row r="10" spans="2:15" s="22" customFormat="1" ht="17.100000000000001" customHeight="1">
      <c r="B10" s="10" t="s">
        <v>23</v>
      </c>
      <c r="C10" s="11">
        <v>157</v>
      </c>
      <c r="D10" s="12">
        <v>340</v>
      </c>
      <c r="E10" s="13">
        <v>263</v>
      </c>
      <c r="F10" s="14">
        <v>2280</v>
      </c>
      <c r="G10" s="15">
        <v>2280</v>
      </c>
      <c r="H10" s="16">
        <v>106</v>
      </c>
      <c r="I10" s="17">
        <v>0.67515923566878977</v>
      </c>
      <c r="J10" s="18">
        <v>-77</v>
      </c>
      <c r="K10" s="19">
        <v>-0.22647058823529412</v>
      </c>
      <c r="L10" s="20">
        <v>-2017</v>
      </c>
      <c r="M10" s="21">
        <v>-0.88464912280701757</v>
      </c>
      <c r="N10" s="15">
        <v>2280</v>
      </c>
      <c r="O10" s="22" t="s">
        <v>68</v>
      </c>
    </row>
    <row r="11" spans="2:15" s="22" customFormat="1" ht="17.100000000000001" customHeight="1">
      <c r="B11" s="10" t="s">
        <v>24</v>
      </c>
      <c r="C11" s="11">
        <v>0</v>
      </c>
      <c r="D11" s="12">
        <v>0</v>
      </c>
      <c r="E11" s="13">
        <v>0</v>
      </c>
      <c r="F11" s="14">
        <v>0</v>
      </c>
      <c r="G11" s="15">
        <v>0</v>
      </c>
      <c r="H11" s="16">
        <v>0</v>
      </c>
      <c r="I11" s="17">
        <v>0</v>
      </c>
      <c r="J11" s="18">
        <v>0</v>
      </c>
      <c r="K11" s="19">
        <v>0</v>
      </c>
      <c r="L11" s="20">
        <v>0</v>
      </c>
      <c r="M11" s="21">
        <v>0</v>
      </c>
      <c r="N11" s="15">
        <v>0</v>
      </c>
      <c r="O11" s="22" t="s">
        <v>69</v>
      </c>
    </row>
    <row r="12" spans="2:15" s="22" customFormat="1" ht="17.100000000000001" customHeight="1">
      <c r="B12" s="10" t="s">
        <v>25</v>
      </c>
      <c r="C12" s="11">
        <v>-26.512000000000036</v>
      </c>
      <c r="D12" s="12">
        <v>-13.201999999999984</v>
      </c>
      <c r="E12" s="13">
        <v>32.36953931</v>
      </c>
      <c r="F12" s="14">
        <v>25.347089431938741</v>
      </c>
      <c r="G12" s="15">
        <v>28.869012333795538</v>
      </c>
      <c r="H12" s="16">
        <v>58.881539310000036</v>
      </c>
      <c r="I12" s="17">
        <v>-2.2209391713186464</v>
      </c>
      <c r="J12" s="18">
        <v>45.571539309999984</v>
      </c>
      <c r="K12" s="19">
        <v>-3.4518663316164249</v>
      </c>
      <c r="L12" s="20">
        <v>7.0224498780612592</v>
      </c>
      <c r="M12" s="21">
        <v>0.27705152881232126</v>
      </c>
      <c r="N12" s="15">
        <v>39.416257913547</v>
      </c>
      <c r="O12" s="22" t="s">
        <v>25</v>
      </c>
    </row>
    <row r="13" spans="2:15" s="22" customFormat="1" ht="17.100000000000001" customHeight="1">
      <c r="B13" s="10" t="s">
        <v>26</v>
      </c>
      <c r="C13" s="11">
        <v>1220.9970000000003</v>
      </c>
      <c r="D13" s="12">
        <v>1135.671</v>
      </c>
      <c r="E13" s="13">
        <v>1224.3410000000001</v>
      </c>
      <c r="F13" s="14">
        <v>1281.4566666666667</v>
      </c>
      <c r="G13" s="15">
        <v>1280.0202499999996</v>
      </c>
      <c r="H13" s="16">
        <v>3.3439999999998236</v>
      </c>
      <c r="I13" s="17">
        <v>2.738745467842937E-3</v>
      </c>
      <c r="J13" s="18">
        <v>88.670000000000073</v>
      </c>
      <c r="K13" s="19">
        <v>7.8077189608610306E-2</v>
      </c>
      <c r="L13" s="20">
        <v>-57.115666666666584</v>
      </c>
      <c r="M13" s="21">
        <v>-4.4570891979700121E-2</v>
      </c>
      <c r="N13" s="15">
        <v>1311.6860000000001</v>
      </c>
      <c r="O13" s="22" t="s">
        <v>26</v>
      </c>
    </row>
    <row r="14" spans="2:15" s="22" customFormat="1" ht="17.100000000000001" customHeight="1">
      <c r="B14" s="10" t="s">
        <v>27</v>
      </c>
      <c r="C14" s="11">
        <v>0</v>
      </c>
      <c r="D14" s="12">
        <v>0</v>
      </c>
      <c r="E14" s="13">
        <v>0</v>
      </c>
      <c r="F14" s="14">
        <v>0</v>
      </c>
      <c r="G14" s="15">
        <v>0</v>
      </c>
      <c r="H14" s="16">
        <v>0</v>
      </c>
      <c r="I14" s="17">
        <v>0</v>
      </c>
      <c r="J14" s="18">
        <v>0</v>
      </c>
      <c r="K14" s="19">
        <v>0</v>
      </c>
      <c r="L14" s="20">
        <v>0</v>
      </c>
      <c r="M14" s="21">
        <v>0</v>
      </c>
      <c r="N14" s="15">
        <v>0</v>
      </c>
      <c r="O14" s="22" t="s">
        <v>27</v>
      </c>
    </row>
    <row r="15" spans="2:15" s="22" customFormat="1" ht="17.100000000000001" customHeight="1">
      <c r="B15" s="10" t="s">
        <v>28</v>
      </c>
      <c r="C15" s="11">
        <v>361.96300000000002</v>
      </c>
      <c r="D15" s="12">
        <v>365.63200000000001</v>
      </c>
      <c r="E15" s="13">
        <v>352.93899999999996</v>
      </c>
      <c r="F15" s="14">
        <v>280.12166666666661</v>
      </c>
      <c r="G15" s="15">
        <v>260.89774999999997</v>
      </c>
      <c r="H15" s="16">
        <v>-9.0240000000000578</v>
      </c>
      <c r="I15" s="17">
        <v>-2.4930724963601412E-2</v>
      </c>
      <c r="J15" s="18">
        <v>-12.69300000000004</v>
      </c>
      <c r="K15" s="19">
        <v>-3.4715232802380647E-2</v>
      </c>
      <c r="L15" s="20">
        <v>72.817333333333352</v>
      </c>
      <c r="M15" s="21">
        <v>0.25994895075354174</v>
      </c>
      <c r="N15" s="15">
        <v>239.20099999999999</v>
      </c>
      <c r="O15" s="22" t="s">
        <v>28</v>
      </c>
    </row>
    <row r="16" spans="2:15" s="22" customFormat="1" ht="17.100000000000001" customHeight="1">
      <c r="B16" s="10" t="s">
        <v>29</v>
      </c>
      <c r="C16" s="11">
        <v>4252.1737499999999</v>
      </c>
      <c r="D16" s="12">
        <v>389.19399999999996</v>
      </c>
      <c r="E16" s="13">
        <v>337.64073760999997</v>
      </c>
      <c r="F16" s="14">
        <v>4677.3911249999992</v>
      </c>
      <c r="G16" s="15">
        <v>4730.5432968750001</v>
      </c>
      <c r="H16" s="16">
        <v>-3914.5330123899998</v>
      </c>
      <c r="I16" s="17">
        <v>-0.92059573350924329</v>
      </c>
      <c r="J16" s="18">
        <v>-51.553262389999986</v>
      </c>
      <c r="K16" s="19">
        <v>-0.13246160626833917</v>
      </c>
      <c r="L16" s="20">
        <v>-4339.7503873899996</v>
      </c>
      <c r="M16" s="21">
        <v>-0.92781430319022129</v>
      </c>
      <c r="N16" s="15">
        <v>4889.9998125000002</v>
      </c>
      <c r="O16" s="22" t="s">
        <v>70</v>
      </c>
    </row>
    <row r="17" spans="2:15" s="22" customFormat="1" ht="17.100000000000001" customHeight="1">
      <c r="B17" s="10" t="s">
        <v>30</v>
      </c>
      <c r="C17" s="11">
        <v>103.71600000000001</v>
      </c>
      <c r="D17" s="12">
        <v>68.13300000000001</v>
      </c>
      <c r="E17" s="13">
        <v>75.643999999999991</v>
      </c>
      <c r="F17" s="14">
        <v>88.603333333333339</v>
      </c>
      <c r="G17" s="15">
        <v>99.678750000000008</v>
      </c>
      <c r="H17" s="16">
        <v>-28.072000000000017</v>
      </c>
      <c r="I17" s="17">
        <v>-0.27066219291141208</v>
      </c>
      <c r="J17" s="18">
        <v>7.5109999999999815</v>
      </c>
      <c r="K17" s="19">
        <v>0.11024026536333319</v>
      </c>
      <c r="L17" s="20">
        <v>-12.959333333333348</v>
      </c>
      <c r="M17" s="21">
        <v>-0.14626236785673993</v>
      </c>
      <c r="N17" s="15">
        <v>132.90499999999997</v>
      </c>
      <c r="O17" s="22" t="s">
        <v>30</v>
      </c>
    </row>
    <row r="18" spans="2:15" s="22" customFormat="1" ht="17.100000000000001" customHeight="1">
      <c r="B18" s="10" t="s">
        <v>31</v>
      </c>
      <c r="C18" s="11">
        <v>25.082000000000001</v>
      </c>
      <c r="D18" s="12">
        <v>6.8319999999999999</v>
      </c>
      <c r="E18" s="13">
        <v>33.171999999999997</v>
      </c>
      <c r="F18" s="14">
        <v>18.393466666666669</v>
      </c>
      <c r="G18" s="15">
        <v>20.69265</v>
      </c>
      <c r="H18" s="16">
        <v>8.0899999999999963</v>
      </c>
      <c r="I18" s="17">
        <v>0.32254206203652008</v>
      </c>
      <c r="J18" s="18">
        <v>26.339999999999996</v>
      </c>
      <c r="K18" s="19">
        <v>3.8553864168618261</v>
      </c>
      <c r="L18" s="20">
        <v>14.778533333333328</v>
      </c>
      <c r="M18" s="21">
        <v>0.80346644823161817</v>
      </c>
      <c r="N18" s="15">
        <v>27.590200000000003</v>
      </c>
      <c r="O18" s="22" t="s">
        <v>31</v>
      </c>
    </row>
    <row r="19" spans="2:15" s="22" customFormat="1" ht="17.100000000000001" customHeight="1">
      <c r="B19" s="10" t="s">
        <v>32</v>
      </c>
      <c r="C19" s="11">
        <v>0.46765950483202856</v>
      </c>
      <c r="D19" s="12">
        <v>0.45019240133302296</v>
      </c>
      <c r="E19" s="13">
        <v>0.30679659430275508</v>
      </c>
      <c r="F19" s="14">
        <v>0.37312554501983897</v>
      </c>
      <c r="G19" s="15">
        <v>0.37277152167500527</v>
      </c>
      <c r="H19" s="16">
        <v>-0.16086291052927348</v>
      </c>
      <c r="I19" s="17">
        <v>-0.34397442769189812</v>
      </c>
      <c r="J19" s="18">
        <v>-0.14339580703026789</v>
      </c>
      <c r="K19" s="19">
        <v>-0.31852116252000667</v>
      </c>
      <c r="L19" s="20">
        <v>-6.632895071708389E-2</v>
      </c>
      <c r="M19" s="21">
        <v>-0.1777657724119564</v>
      </c>
      <c r="N19" s="15">
        <v>0.36997216594049387</v>
      </c>
      <c r="O19" s="22" t="s">
        <v>32</v>
      </c>
    </row>
    <row r="20" spans="2:15" s="22" customFormat="1" ht="17.100000000000001" customHeight="1">
      <c r="B20" s="10" t="s">
        <v>33</v>
      </c>
      <c r="C20" s="11">
        <v>0.36029260368930105</v>
      </c>
      <c r="D20" s="12">
        <v>0.3032710583161099</v>
      </c>
      <c r="E20" s="13">
        <v>0.26046597949500777</v>
      </c>
      <c r="F20" s="14">
        <v>0.29487225093083114</v>
      </c>
      <c r="G20" s="15">
        <v>0.29182775642501518</v>
      </c>
      <c r="H20" s="16">
        <v>-9.9826624194293279E-2</v>
      </c>
      <c r="I20" s="17">
        <v>-0.27707097834397659</v>
      </c>
      <c r="J20" s="18">
        <v>-4.2805078821102127E-2</v>
      </c>
      <c r="K20" s="19">
        <v>-0.14114462177424433</v>
      </c>
      <c r="L20" s="20">
        <v>-3.4406271435823366E-2</v>
      </c>
      <c r="M20" s="21">
        <v>-0.11668195744839389</v>
      </c>
      <c r="N20" s="15">
        <v>0.28158883475773244</v>
      </c>
      <c r="O20" s="22" t="s">
        <v>33</v>
      </c>
    </row>
    <row r="21" spans="2:15" s="22" customFormat="1" ht="17.100000000000001" customHeight="1">
      <c r="B21" s="10" t="s">
        <v>34</v>
      </c>
      <c r="C21" s="11">
        <v>1473.2370000000001</v>
      </c>
      <c r="D21" s="12">
        <v>1473.2370000000001</v>
      </c>
      <c r="E21" s="13">
        <v>0</v>
      </c>
      <c r="F21" s="14">
        <v>1080.3738000000001</v>
      </c>
      <c r="G21" s="15">
        <v>1215.4205250000002</v>
      </c>
      <c r="H21" s="16">
        <v>-1473.2370000000001</v>
      </c>
      <c r="I21" s="17">
        <v>-1</v>
      </c>
      <c r="J21" s="18">
        <v>-1473.2370000000001</v>
      </c>
      <c r="K21" s="19">
        <v>-1</v>
      </c>
      <c r="L21" s="20">
        <v>-1080.3738000000001</v>
      </c>
      <c r="M21" s="21">
        <v>-1</v>
      </c>
      <c r="N21" s="15">
        <v>1620.5607000000002</v>
      </c>
      <c r="O21" s="22" t="s">
        <v>34</v>
      </c>
    </row>
    <row r="22" spans="2:15" s="22" customFormat="1" ht="17.100000000000001" customHeight="1">
      <c r="B22" s="10" t="s">
        <v>35</v>
      </c>
      <c r="C22" s="11">
        <v>78.792000000000002</v>
      </c>
      <c r="D22" s="12">
        <v>76.043999999999997</v>
      </c>
      <c r="E22" s="13">
        <v>2.2519999999999998</v>
      </c>
      <c r="F22" s="14">
        <v>63.0336</v>
      </c>
      <c r="G22" s="15">
        <v>70.912800000000004</v>
      </c>
      <c r="H22" s="16">
        <v>-76.540000000000006</v>
      </c>
      <c r="I22" s="17">
        <v>-0.97141841811351415</v>
      </c>
      <c r="J22" s="18">
        <v>-73.792000000000002</v>
      </c>
      <c r="K22" s="19">
        <v>-0.97038556625111783</v>
      </c>
      <c r="L22" s="20">
        <v>-60.781599999999997</v>
      </c>
      <c r="M22" s="21">
        <v>-0.96427302264189252</v>
      </c>
      <c r="N22" s="15">
        <v>94.550399999999996</v>
      </c>
      <c r="O22" s="23" t="s">
        <v>35</v>
      </c>
    </row>
    <row r="23" spans="2:15" s="22" customFormat="1" ht="17.100000000000001" customHeight="1">
      <c r="B23" s="10" t="s">
        <v>36</v>
      </c>
      <c r="C23" s="11">
        <v>128.208</v>
      </c>
      <c r="D23" s="12">
        <v>116.77300000000001</v>
      </c>
      <c r="E23" s="13">
        <v>137.208</v>
      </c>
      <c r="F23" s="14">
        <v>143.01933333333332</v>
      </c>
      <c r="G23" s="15">
        <v>146.40150000000003</v>
      </c>
      <c r="H23" s="16">
        <v>9</v>
      </c>
      <c r="I23" s="17">
        <v>7.0198427555222764E-2</v>
      </c>
      <c r="J23" s="18">
        <v>20.434999999999988</v>
      </c>
      <c r="K23" s="19">
        <v>0.17499764500355378</v>
      </c>
      <c r="L23" s="20">
        <v>-5.811333333333323</v>
      </c>
      <c r="M23" s="21">
        <v>-4.0633201105677953E-2</v>
      </c>
      <c r="N23" s="15">
        <v>156.54799999999997</v>
      </c>
      <c r="O23" s="22" t="s">
        <v>36</v>
      </c>
    </row>
    <row r="24" spans="2:15" s="22" customFormat="1" ht="17.100000000000001" customHeight="1">
      <c r="B24" s="10" t="s">
        <v>37</v>
      </c>
      <c r="C24" s="11">
        <v>12.245999999999999</v>
      </c>
      <c r="D24" s="12">
        <v>11.138000000000002</v>
      </c>
      <c r="E24" s="13">
        <v>12.362</v>
      </c>
      <c r="F24" s="14">
        <v>10.612666666666668</v>
      </c>
      <c r="G24" s="15">
        <v>10.4085</v>
      </c>
      <c r="H24" s="16">
        <v>0.11600000000000144</v>
      </c>
      <c r="I24" s="17">
        <v>9.4724808100605466E-3</v>
      </c>
      <c r="J24" s="18">
        <v>1.2239999999999984</v>
      </c>
      <c r="K24" s="19">
        <v>0.10989405638355165</v>
      </c>
      <c r="L24" s="20">
        <v>1.7493333333333325</v>
      </c>
      <c r="M24" s="21">
        <v>0.16483447452729433</v>
      </c>
      <c r="N24" s="15">
        <v>9.7959999999999994</v>
      </c>
      <c r="O24" s="22" t="s">
        <v>71</v>
      </c>
    </row>
    <row r="25" spans="2:15" s="22" customFormat="1" ht="17.100000000000001" customHeight="1">
      <c r="B25" s="10" t="s">
        <v>38</v>
      </c>
      <c r="C25" s="11">
        <v>5.0599999999999996</v>
      </c>
      <c r="D25" s="12">
        <v>5.1379999999999999</v>
      </c>
      <c r="E25" s="13">
        <v>4.75</v>
      </c>
      <c r="F25" s="14">
        <v>11.629333333333335</v>
      </c>
      <c r="G25" s="15">
        <v>12.450500000000002</v>
      </c>
      <c r="H25" s="16">
        <v>-0.30999999999999961</v>
      </c>
      <c r="I25" s="17">
        <v>-6.1264822134387283E-2</v>
      </c>
      <c r="J25" s="18">
        <v>-0.3879999999999999</v>
      </c>
      <c r="K25" s="19">
        <v>-7.5515764889061879E-2</v>
      </c>
      <c r="L25" s="20">
        <v>-6.8793333333333351</v>
      </c>
      <c r="M25" s="21">
        <v>-0.59155010318734247</v>
      </c>
      <c r="N25" s="15">
        <v>14.914000000000001</v>
      </c>
      <c r="O25" s="22" t="s">
        <v>38</v>
      </c>
    </row>
    <row r="26" spans="2:15" s="22" customFormat="1" ht="17.100000000000001" hidden="1" customHeight="1">
      <c r="B26" s="10" t="s">
        <v>39</v>
      </c>
      <c r="C26" s="11">
        <v>0</v>
      </c>
      <c r="D26" s="12">
        <v>0</v>
      </c>
      <c r="E26" s="13">
        <v>0</v>
      </c>
      <c r="F26" s="14">
        <v>0</v>
      </c>
      <c r="G26" s="15">
        <v>0</v>
      </c>
      <c r="H26" s="16">
        <v>0</v>
      </c>
      <c r="I26" s="17">
        <v>0</v>
      </c>
      <c r="J26" s="18">
        <v>0</v>
      </c>
      <c r="K26" s="19">
        <v>0</v>
      </c>
      <c r="L26" s="20">
        <v>0</v>
      </c>
      <c r="M26" s="21">
        <v>0</v>
      </c>
      <c r="N26" s="15">
        <v>0</v>
      </c>
      <c r="O26" s="22" t="s">
        <v>39</v>
      </c>
    </row>
    <row r="27" spans="2:15" s="22" customFormat="1" ht="17.100000000000001" hidden="1" customHeight="1">
      <c r="B27" s="10" t="s">
        <v>40</v>
      </c>
      <c r="C27" s="11">
        <v>0</v>
      </c>
      <c r="D27" s="12">
        <v>0</v>
      </c>
      <c r="E27" s="13">
        <v>0</v>
      </c>
      <c r="F27" s="14">
        <v>0</v>
      </c>
      <c r="G27" s="15">
        <v>0</v>
      </c>
      <c r="H27" s="16">
        <v>0</v>
      </c>
      <c r="I27" s="17">
        <v>0</v>
      </c>
      <c r="J27" s="18">
        <v>0</v>
      </c>
      <c r="K27" s="19">
        <v>0</v>
      </c>
      <c r="L27" s="20">
        <v>0</v>
      </c>
      <c r="M27" s="21">
        <v>0</v>
      </c>
      <c r="N27" s="15">
        <v>0</v>
      </c>
      <c r="O27" s="22" t="s">
        <v>40</v>
      </c>
    </row>
    <row r="28" spans="2:15" s="22" customFormat="1" ht="17.100000000000001" hidden="1" customHeight="1">
      <c r="B28" s="10" t="s">
        <v>41</v>
      </c>
      <c r="C28" s="11">
        <v>0</v>
      </c>
      <c r="D28" s="12">
        <v>0</v>
      </c>
      <c r="E28" s="13">
        <v>0</v>
      </c>
      <c r="F28" s="14">
        <v>0</v>
      </c>
      <c r="G28" s="15">
        <v>0</v>
      </c>
      <c r="H28" s="16">
        <v>0</v>
      </c>
      <c r="I28" s="17">
        <v>0</v>
      </c>
      <c r="J28" s="18">
        <v>0</v>
      </c>
      <c r="K28" s="19">
        <v>0</v>
      </c>
      <c r="L28" s="20">
        <v>0</v>
      </c>
      <c r="M28" s="21">
        <v>0</v>
      </c>
      <c r="N28" s="15">
        <v>0</v>
      </c>
      <c r="O28" s="22" t="s">
        <v>41</v>
      </c>
    </row>
    <row r="29" spans="2:15" s="22" customFormat="1" ht="17.100000000000001" hidden="1" customHeight="1">
      <c r="B29" s="10" t="s">
        <v>42</v>
      </c>
      <c r="C29" s="11">
        <v>0</v>
      </c>
      <c r="D29" s="12">
        <v>0</v>
      </c>
      <c r="E29" s="13">
        <v>0</v>
      </c>
      <c r="F29" s="14">
        <v>0</v>
      </c>
      <c r="G29" s="15">
        <v>0</v>
      </c>
      <c r="H29" s="16">
        <v>0</v>
      </c>
      <c r="I29" s="17">
        <v>0</v>
      </c>
      <c r="J29" s="18">
        <v>0</v>
      </c>
      <c r="K29" s="19">
        <v>0</v>
      </c>
      <c r="L29" s="20">
        <v>0</v>
      </c>
      <c r="M29" s="21">
        <v>0</v>
      </c>
      <c r="N29" s="15">
        <v>0</v>
      </c>
      <c r="O29" s="22" t="s">
        <v>42</v>
      </c>
    </row>
    <row r="30" spans="2:15" s="22" customFormat="1" ht="17.100000000000001" customHeight="1">
      <c r="B30" s="10" t="s">
        <v>43</v>
      </c>
      <c r="C30" s="11">
        <v>560.92399999999998</v>
      </c>
      <c r="D30" s="12">
        <v>409.78899999999999</v>
      </c>
      <c r="E30" s="13">
        <v>345.67500000000001</v>
      </c>
      <c r="F30" s="14">
        <v>415.29262304999429</v>
      </c>
      <c r="G30" s="15">
        <v>469.80591138754562</v>
      </c>
      <c r="H30" s="16">
        <v>-215.24899999999997</v>
      </c>
      <c r="I30" s="17">
        <v>-0.38374004321441046</v>
      </c>
      <c r="J30" s="18">
        <v>-64.113999999999976</v>
      </c>
      <c r="K30" s="19">
        <v>-0.15645612742167306</v>
      </c>
      <c r="L30" s="20">
        <v>-69.617623049994279</v>
      </c>
      <c r="M30" s="21">
        <v>-0.16763510639487925</v>
      </c>
      <c r="N30" s="15">
        <v>636.32481825229695</v>
      </c>
      <c r="O30" s="22" t="s">
        <v>43</v>
      </c>
    </row>
    <row r="31" spans="2:15" s="22" customFormat="1" ht="17.100000000000001" customHeight="1">
      <c r="B31" s="10" t="s">
        <v>44</v>
      </c>
      <c r="C31" s="11">
        <v>346.73</v>
      </c>
      <c r="D31" s="12">
        <v>271.05599999999998</v>
      </c>
      <c r="E31" s="13">
        <v>177.08499999999998</v>
      </c>
      <c r="F31" s="14">
        <v>222.14426695138889</v>
      </c>
      <c r="G31" s="15">
        <v>252.16047405374999</v>
      </c>
      <c r="H31" s="16">
        <v>-169.64500000000004</v>
      </c>
      <c r="I31" s="17">
        <v>-0.48927119084013504</v>
      </c>
      <c r="J31" s="18">
        <v>-93.971000000000004</v>
      </c>
      <c r="K31" s="19">
        <v>-0.34668481789740868</v>
      </c>
      <c r="L31" s="20">
        <v>-45.059266951388906</v>
      </c>
      <c r="M31" s="21">
        <v>-0.20283785654143882</v>
      </c>
      <c r="N31" s="15">
        <v>345.20666033874994</v>
      </c>
      <c r="O31" s="22" t="s">
        <v>72</v>
      </c>
    </row>
    <row r="32" spans="2:15" s="22" customFormat="1" ht="17.100000000000001" customHeight="1">
      <c r="B32" s="10" t="s">
        <v>45</v>
      </c>
      <c r="C32" s="11">
        <v>158.91</v>
      </c>
      <c r="D32" s="12">
        <v>107.09499999999998</v>
      </c>
      <c r="E32" s="13">
        <v>95.575999999999993</v>
      </c>
      <c r="F32" s="14">
        <v>115.26666666666668</v>
      </c>
      <c r="G32" s="15">
        <v>129.67500000000004</v>
      </c>
      <c r="H32" s="16">
        <v>-63.334000000000003</v>
      </c>
      <c r="I32" s="17">
        <v>-0.39855263985903971</v>
      </c>
      <c r="J32" s="18">
        <v>-11.518999999999991</v>
      </c>
      <c r="K32" s="19">
        <v>-0.10755870955693536</v>
      </c>
      <c r="L32" s="20">
        <v>-19.690666666666687</v>
      </c>
      <c r="M32" s="21">
        <v>-0.17082706766917308</v>
      </c>
      <c r="N32" s="15">
        <v>172.9</v>
      </c>
      <c r="O32" s="22" t="s">
        <v>45</v>
      </c>
    </row>
    <row r="33" spans="2:15" s="22" customFormat="1" ht="17.100000000000001" customHeight="1">
      <c r="B33" s="10" t="s">
        <v>46</v>
      </c>
      <c r="C33" s="11">
        <v>81.796000000000006</v>
      </c>
      <c r="D33" s="12">
        <v>44.839999999999996</v>
      </c>
      <c r="E33" s="13">
        <v>40.643000000000001</v>
      </c>
      <c r="F33" s="14">
        <v>52.534600000000005</v>
      </c>
      <c r="G33" s="15">
        <v>59.101424999999999</v>
      </c>
      <c r="H33" s="16">
        <v>-41.153000000000006</v>
      </c>
      <c r="I33" s="17">
        <v>-0.50311751185877063</v>
      </c>
      <c r="J33" s="18">
        <v>-4.1969999999999956</v>
      </c>
      <c r="K33" s="19">
        <v>-9.359946476360384E-2</v>
      </c>
      <c r="L33" s="20">
        <v>-11.891600000000004</v>
      </c>
      <c r="M33" s="21">
        <v>-0.2263574863042643</v>
      </c>
      <c r="N33" s="15">
        <v>78.801899999999989</v>
      </c>
      <c r="O33" s="22" t="s">
        <v>46</v>
      </c>
    </row>
  </sheetData>
  <mergeCells count="9">
    <mergeCell ref="H1:I1"/>
    <mergeCell ref="J1:K1"/>
    <mergeCell ref="L1:M1"/>
    <mergeCell ref="H3:I3"/>
    <mergeCell ref="J3:K3"/>
    <mergeCell ref="L3:M3"/>
    <mergeCell ref="H2:I2"/>
    <mergeCell ref="J2:K2"/>
    <mergeCell ref="L2:M2"/>
  </mergeCells>
  <pageMargins left="1.18" right="0.5" top="0" bottom="0" header="0.5" footer="0.5"/>
  <pageSetup paperSize="5" scale="88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D31"/>
  <sheetViews>
    <sheetView workbookViewId="0">
      <selection activeCell="C20" sqref="C20"/>
    </sheetView>
  </sheetViews>
  <sheetFormatPr defaultRowHeight="15"/>
  <cols>
    <col min="1" max="1" width="24.85546875" style="24" customWidth="1"/>
    <col min="2" max="2" width="39.42578125" style="24" bestFit="1" customWidth="1"/>
    <col min="3" max="3" width="26.28515625" style="24" bestFit="1" customWidth="1"/>
    <col min="4" max="4" width="20.5703125" style="24" bestFit="1" customWidth="1"/>
    <col min="5" max="5" width="10.5703125" style="24" bestFit="1" customWidth="1"/>
    <col min="6" max="16384" width="9.140625" style="24"/>
  </cols>
  <sheetData>
    <row r="2" spans="1:4">
      <c r="B2" s="24" t="s">
        <v>47</v>
      </c>
      <c r="C2" s="24" t="s">
        <v>48</v>
      </c>
      <c r="D2" s="24" t="s">
        <v>49</v>
      </c>
    </row>
    <row r="3" spans="1:4">
      <c r="A3" s="25" t="s">
        <v>63</v>
      </c>
      <c r="B3" s="24" t="s">
        <v>18</v>
      </c>
      <c r="C3" s="24">
        <v>2</v>
      </c>
      <c r="D3" s="24" t="s">
        <v>63</v>
      </c>
    </row>
    <row r="4" spans="1:4">
      <c r="A4" s="24" t="s">
        <v>64</v>
      </c>
      <c r="B4" s="24" t="s">
        <v>19</v>
      </c>
      <c r="C4" s="24" t="str">
        <f>INDEX($B$3:$B$31,C3)</f>
        <v>CASA Deposit</v>
      </c>
      <c r="D4" s="24">
        <f>MATCH(clicked_button,A3:A5)</f>
        <v>1</v>
      </c>
    </row>
    <row r="5" spans="1:4">
      <c r="A5" s="24" t="s">
        <v>62</v>
      </c>
      <c r="B5" s="24" t="s">
        <v>20</v>
      </c>
    </row>
    <row r="6" spans="1:4">
      <c r="B6" s="24" t="s">
        <v>21</v>
      </c>
    </row>
    <row r="7" spans="1:4">
      <c r="B7" s="24" t="s">
        <v>22</v>
      </c>
    </row>
    <row r="8" spans="1:4">
      <c r="B8" s="24" t="s">
        <v>23</v>
      </c>
    </row>
    <row r="9" spans="1:4">
      <c r="B9" s="24" t="s">
        <v>24</v>
      </c>
    </row>
    <row r="10" spans="1:4">
      <c r="B10" s="24" t="s">
        <v>25</v>
      </c>
    </row>
    <row r="11" spans="1:4">
      <c r="B11" s="24" t="s">
        <v>26</v>
      </c>
    </row>
    <row r="12" spans="1:4">
      <c r="B12" s="24" t="s">
        <v>27</v>
      </c>
    </row>
    <row r="13" spans="1:4">
      <c r="B13" s="24" t="s">
        <v>28</v>
      </c>
    </row>
    <row r="14" spans="1:4">
      <c r="B14" s="24" t="s">
        <v>29</v>
      </c>
    </row>
    <row r="15" spans="1:4">
      <c r="B15" s="24" t="s">
        <v>30</v>
      </c>
    </row>
    <row r="16" spans="1:4">
      <c r="B16" s="24" t="s">
        <v>31</v>
      </c>
    </row>
    <row r="17" spans="2:2">
      <c r="B17" s="24" t="s">
        <v>32</v>
      </c>
    </row>
    <row r="18" spans="2:2">
      <c r="B18" s="24" t="s">
        <v>33</v>
      </c>
    </row>
    <row r="19" spans="2:2">
      <c r="B19" s="24" t="s">
        <v>34</v>
      </c>
    </row>
    <row r="20" spans="2:2">
      <c r="B20" s="24" t="s">
        <v>35</v>
      </c>
    </row>
    <row r="21" spans="2:2">
      <c r="B21" s="24" t="s">
        <v>36</v>
      </c>
    </row>
    <row r="22" spans="2:2">
      <c r="B22" s="24" t="s">
        <v>37</v>
      </c>
    </row>
    <row r="23" spans="2:2">
      <c r="B23" s="24" t="s">
        <v>38</v>
      </c>
    </row>
    <row r="24" spans="2:2">
      <c r="B24" s="24" t="s">
        <v>39</v>
      </c>
    </row>
    <row r="25" spans="2:2">
      <c r="B25" s="24" t="s">
        <v>40</v>
      </c>
    </row>
    <row r="26" spans="2:2">
      <c r="B26" s="24" t="s">
        <v>41</v>
      </c>
    </row>
    <row r="27" spans="2:2">
      <c r="B27" s="24" t="s">
        <v>42</v>
      </c>
    </row>
    <row r="28" spans="2:2">
      <c r="B28" s="24" t="s">
        <v>43</v>
      </c>
    </row>
    <row r="29" spans="2:2">
      <c r="B29" s="24" t="s">
        <v>44</v>
      </c>
    </row>
    <row r="30" spans="2:2">
      <c r="B30" s="24" t="s">
        <v>45</v>
      </c>
    </row>
    <row r="31" spans="2:2">
      <c r="B31" s="24" t="s">
        <v>46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M20"/>
  <sheetViews>
    <sheetView topLeftCell="B1" workbookViewId="0">
      <selection activeCell="E37" sqref="E37"/>
    </sheetView>
  </sheetViews>
  <sheetFormatPr defaultRowHeight="15"/>
  <cols>
    <col min="1" max="2" width="3.5703125" style="24" customWidth="1"/>
    <col min="3" max="3" width="26.28515625" style="24" bestFit="1" customWidth="1"/>
    <col min="4" max="4" width="14.140625" style="24" bestFit="1" customWidth="1"/>
    <col min="5" max="5" width="25.28515625" style="24" bestFit="1" customWidth="1"/>
    <col min="6" max="7" width="22" style="24" customWidth="1"/>
    <col min="8" max="8" width="28" style="24" bestFit="1" customWidth="1"/>
    <col min="9" max="9" width="19.140625" style="24" customWidth="1"/>
    <col min="10" max="10" width="19" style="24" bestFit="1" customWidth="1"/>
    <col min="11" max="11" width="15.7109375" style="24" bestFit="1" customWidth="1"/>
    <col min="12" max="12" width="16.42578125" style="24" customWidth="1"/>
    <col min="13" max="13" width="14.5703125" style="24" bestFit="1" customWidth="1"/>
    <col min="14" max="16384" width="9.140625" style="24"/>
  </cols>
  <sheetData>
    <row r="3" spans="3:13">
      <c r="E3" s="24" t="s">
        <v>54</v>
      </c>
      <c r="M3" s="24" t="s">
        <v>59</v>
      </c>
    </row>
    <row r="4" spans="3:13">
      <c r="C4" s="24" t="s">
        <v>50</v>
      </c>
      <c r="D4" s="24" t="s">
        <v>51</v>
      </c>
      <c r="E4" s="24" t="str">
        <f>INDEX(selecteddata,1,0,calculations!$D$4)</f>
        <v>Base</v>
      </c>
      <c r="F4" s="24" t="s">
        <v>51</v>
      </c>
      <c r="G4" s="24" t="s">
        <v>52</v>
      </c>
      <c r="H4" s="24" t="s">
        <v>53</v>
      </c>
      <c r="I4" s="24" t="s">
        <v>55</v>
      </c>
      <c r="J4" s="24" t="s">
        <v>56</v>
      </c>
      <c r="K4" s="24" t="s">
        <v>61</v>
      </c>
      <c r="L4" s="24" t="str">
        <f>"Variance "&amp;INDEX(selectvar,1,1,calculations!$D$4)</f>
        <v>Variance with Base</v>
      </c>
      <c r="M4" s="24" t="str">
        <f>INDEX(data!$O$5:$O$33,calculations!$C$3)</f>
        <v>CASA Deposit</v>
      </c>
    </row>
    <row r="5" spans="3:13">
      <c r="C5" s="24" t="str">
        <f>calculations!C4</f>
        <v>CASA Deposit</v>
      </c>
      <c r="D5" s="24">
        <f>INDEX(data!$E$5:$E$33,calculations!$C$3)</f>
        <v>4160.8440000000001</v>
      </c>
      <c r="E5" s="24">
        <f>INDEX(selecteddata,calculations!$C$3+3,0,calculations!$D$4)</f>
        <v>5407.5510000000004</v>
      </c>
      <c r="F5" s="24">
        <f>INDEX(data!$E$5:$E$33,calculations!$C$3)</f>
        <v>4160.8440000000001</v>
      </c>
      <c r="G5" s="24">
        <f>INDEX(data!$C$5:$C$33,calculations!$C$3)</f>
        <v>5407.5510000000004</v>
      </c>
      <c r="H5" s="24">
        <f>INDEX(data!$D$5:$D$33,calculations!$C$3)</f>
        <v>3934.1880000000001</v>
      </c>
      <c r="I5" s="24">
        <f>INDEX(data!$F$5:$F$33,calculations!$C$3)</f>
        <v>5387.4560903888887</v>
      </c>
      <c r="J5" s="24">
        <f>IFERROR(D5/I5,"")</f>
        <v>0.77232072618148306</v>
      </c>
      <c r="K5" s="30">
        <f>INDEX(selectvar,calculations!$C$3+2,2,calculations!$D$4)</f>
        <v>-0.23054928192078081</v>
      </c>
      <c r="L5" s="24">
        <f>INDEX(selectvar,calculations!$C$3+2,1,calculations!$D$4)</f>
        <v>-1246.7070000000003</v>
      </c>
      <c r="M5" s="24" t="s">
        <v>60</v>
      </c>
    </row>
    <row r="6" spans="3:13">
      <c r="D6" s="28" t="str">
        <f>"Current: "</f>
        <v xml:space="preserve">Current: </v>
      </c>
      <c r="F6" s="24">
        <f>I5</f>
        <v>5387.4560903888887</v>
      </c>
      <c r="G6" s="24">
        <f>I5</f>
        <v>5387.4560903888887</v>
      </c>
      <c r="H6" s="24">
        <f>I5</f>
        <v>5387.4560903888887</v>
      </c>
      <c r="I6" s="28">
        <f>I5</f>
        <v>5387.4560903888887</v>
      </c>
      <c r="J6" s="24">
        <f>IFERROR(IF(1-J5&lt;0,0,1-J5),"")</f>
        <v>0.22767927381851694</v>
      </c>
    </row>
    <row r="7" spans="3:13">
      <c r="D7" s="29">
        <f>D5</f>
        <v>4160.8440000000001</v>
      </c>
      <c r="J7" s="27">
        <f>J5</f>
        <v>0.77232072618148306</v>
      </c>
    </row>
    <row r="16" spans="3:13">
      <c r="C16" s="43"/>
      <c r="D16" s="43"/>
      <c r="E16" s="43"/>
      <c r="F16" s="43"/>
      <c r="G16" s="43"/>
    </row>
    <row r="17" spans="3:7">
      <c r="C17" s="48" t="s">
        <v>76</v>
      </c>
      <c r="D17" s="48"/>
      <c r="E17" s="48"/>
      <c r="F17" s="48"/>
      <c r="G17" s="48"/>
    </row>
    <row r="18" spans="3:7">
      <c r="C18" s="43">
        <v>0</v>
      </c>
      <c r="D18" s="43">
        <v>0.09</v>
      </c>
      <c r="E18" s="43">
        <f>IF(K5&lt;C18,1,#N/A)</f>
        <v>1</v>
      </c>
      <c r="F18" s="43" t="e">
        <f>IF(AND(K5&lt;C19,K5&gt;=C18),2,#N/A)</f>
        <v>#N/A</v>
      </c>
      <c r="G18" s="43" t="e">
        <f>IF(K5&gt;=C20,3,#N/A)</f>
        <v>#N/A</v>
      </c>
    </row>
    <row r="19" spans="3:7">
      <c r="C19" s="43">
        <v>0.2</v>
      </c>
      <c r="D19" s="43"/>
      <c r="E19" s="43"/>
      <c r="F19" s="43"/>
      <c r="G19" s="43"/>
    </row>
    <row r="20" spans="3:7">
      <c r="C20" s="43">
        <v>0.2</v>
      </c>
      <c r="D20" s="43"/>
      <c r="E20" s="43"/>
      <c r="F20" s="43"/>
      <c r="G20" s="43"/>
    </row>
  </sheetData>
  <mergeCells count="1">
    <mergeCell ref="C17:G17"/>
  </mergeCells>
  <pageMargins left="0.7" right="0.7" top="0.75" bottom="0.75" header="0.3" footer="0.3"/>
  <pageSetup paperSize="9" orientation="portrait" r:id="rId1"/>
  <ignoredErrors>
    <ignoredError sqref="E5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7"/>
  <sheetViews>
    <sheetView topLeftCell="A4" zoomScaleNormal="100" workbookViewId="0">
      <selection activeCell="H8" sqref="H8:K9"/>
    </sheetView>
  </sheetViews>
  <sheetFormatPr defaultRowHeight="15"/>
  <cols>
    <col min="2" max="2" width="29.140625" customWidth="1"/>
    <col min="4" max="4" width="38.28515625" bestFit="1" customWidth="1"/>
    <col min="8" max="11" width="16" customWidth="1"/>
  </cols>
  <sheetData>
    <row r="1" spans="1:14" ht="153" customHeight="1">
      <c r="A1" s="35"/>
      <c r="B1" s="35"/>
      <c r="C1" s="35"/>
      <c r="D1" s="39"/>
      <c r="E1" s="33"/>
      <c r="F1" s="33"/>
      <c r="G1" s="33"/>
      <c r="H1" s="33"/>
      <c r="I1" s="33"/>
      <c r="J1" s="33"/>
      <c r="K1" s="33"/>
      <c r="L1" s="33"/>
      <c r="M1" s="33"/>
      <c r="N1" s="33"/>
    </row>
    <row r="2" spans="1:14" ht="153" customHeight="1">
      <c r="A2" s="35"/>
      <c r="B2" s="35"/>
      <c r="C2" s="35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</row>
    <row r="3" spans="1:14" ht="153" customHeight="1">
      <c r="A3" s="35"/>
      <c r="B3" s="35"/>
      <c r="C3" s="35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</row>
    <row r="4" spans="1:14" ht="34.5" customHeight="1">
      <c r="A4" s="35"/>
      <c r="B4" s="36" t="s">
        <v>52</v>
      </c>
      <c r="C4" s="35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</row>
    <row r="5" spans="1:14" ht="34.5" customHeight="1">
      <c r="A5" s="33"/>
      <c r="B5" s="36" t="s">
        <v>73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</row>
    <row r="6" spans="1:14" ht="34.5" customHeight="1">
      <c r="A6" s="33"/>
      <c r="B6" s="36" t="s">
        <v>74</v>
      </c>
      <c r="C6" s="33"/>
      <c r="D6" s="33"/>
      <c r="E6" s="33"/>
      <c r="F6" s="37"/>
      <c r="G6" s="37"/>
      <c r="H6" s="37"/>
      <c r="I6" s="37"/>
      <c r="J6" s="37"/>
      <c r="K6" s="37"/>
      <c r="L6" s="37"/>
      <c r="M6" s="37"/>
      <c r="N6" s="33"/>
    </row>
    <row r="7" spans="1:14" ht="30" customHeight="1">
      <c r="A7" s="33"/>
      <c r="B7" s="33"/>
      <c r="C7" s="33"/>
      <c r="D7" s="33"/>
      <c r="E7" s="33"/>
      <c r="F7" s="37"/>
      <c r="G7" s="37"/>
      <c r="H7" s="37"/>
      <c r="I7" s="37"/>
      <c r="J7" s="37"/>
      <c r="K7" s="37"/>
      <c r="L7" s="37"/>
      <c r="M7" s="37"/>
      <c r="N7" s="33"/>
    </row>
    <row r="8" spans="1:14" ht="17.25" customHeight="1">
      <c r="A8" s="33"/>
      <c r="B8" s="36"/>
      <c r="C8" s="33"/>
      <c r="D8" s="33"/>
      <c r="E8" s="33"/>
      <c r="F8" s="37"/>
      <c r="G8" s="37"/>
      <c r="H8" s="40" t="s">
        <v>51</v>
      </c>
      <c r="I8" s="41" t="s">
        <v>52</v>
      </c>
      <c r="J8" s="41" t="s">
        <v>73</v>
      </c>
      <c r="K8" s="40" t="s">
        <v>74</v>
      </c>
      <c r="L8" s="37"/>
      <c r="M8" s="37"/>
      <c r="N8" s="33"/>
    </row>
    <row r="9" spans="1:14" ht="17.25" customHeight="1">
      <c r="A9" s="33"/>
      <c r="B9" s="36"/>
      <c r="C9" s="33"/>
      <c r="D9" s="33"/>
      <c r="E9" s="33"/>
      <c r="F9" s="37"/>
      <c r="G9" s="37"/>
      <c r="H9" s="38">
        <v>42247</v>
      </c>
      <c r="I9" s="42" t="s">
        <v>75</v>
      </c>
      <c r="J9" s="42">
        <v>41882</v>
      </c>
      <c r="K9" s="38">
        <v>42247</v>
      </c>
      <c r="L9" s="37"/>
      <c r="M9" s="37"/>
      <c r="N9" s="33"/>
    </row>
    <row r="10" spans="1:14" ht="26.25" customHeight="1">
      <c r="A10" s="33"/>
      <c r="B10" s="36"/>
      <c r="C10" s="33"/>
      <c r="D10" s="33"/>
      <c r="E10" s="33"/>
      <c r="F10" s="37"/>
      <c r="G10" s="37"/>
      <c r="H10" s="37"/>
      <c r="I10" s="37"/>
      <c r="J10" s="37"/>
      <c r="K10" s="37"/>
      <c r="L10" s="37"/>
      <c r="M10" s="37"/>
      <c r="N10" s="33"/>
    </row>
    <row r="11" spans="1:14" ht="26.25" customHeight="1">
      <c r="A11" s="33"/>
      <c r="B11" s="36"/>
      <c r="C11" s="33"/>
      <c r="D11" s="33"/>
      <c r="E11" s="33"/>
      <c r="F11" s="37"/>
      <c r="G11" s="37"/>
      <c r="H11" s="37"/>
      <c r="I11" s="37"/>
      <c r="J11" s="37"/>
      <c r="K11" s="37"/>
      <c r="L11" s="37"/>
      <c r="M11" s="37"/>
      <c r="N11" s="33"/>
    </row>
    <row r="12" spans="1:14" ht="34.5" customHeight="1">
      <c r="A12" s="33"/>
      <c r="B12" s="36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</row>
    <row r="13" spans="1:14" ht="34.5" customHeight="1">
      <c r="A13" s="33"/>
      <c r="B13" s="36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14" ht="26.25">
      <c r="A14" s="33"/>
      <c r="B14" s="36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</row>
    <row r="15" spans="1:14" ht="26.25">
      <c r="A15" s="33"/>
      <c r="B15" s="36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</row>
    <row r="16" spans="1:14" ht="26.25">
      <c r="A16" s="33"/>
      <c r="B16" s="36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</row>
    <row r="17" spans="1:14" ht="26.25">
      <c r="A17" s="33"/>
      <c r="B17" s="36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</row>
    <row r="18" spans="1:14" ht="26.25">
      <c r="A18" s="33"/>
      <c r="B18" s="36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</row>
    <row r="19" spans="1:14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</row>
    <row r="21" spans="1:14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</row>
    <row r="22" spans="1:14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</row>
    <row r="23" spans="1:14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</row>
    <row r="24" spans="1:14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</row>
    <row r="25" spans="1:14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</row>
    <row r="26" spans="1:14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</row>
    <row r="27" spans="1:14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</row>
    <row r="28" spans="1:14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</row>
    <row r="29" spans="1:14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</row>
    <row r="30" spans="1:14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</row>
    <row r="31" spans="1:14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</row>
    <row r="32" spans="1:14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</row>
    <row r="33" spans="1:14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</row>
    <row r="34" spans="1:14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</row>
    <row r="35" spans="1:14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</row>
    <row r="36" spans="1:14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</row>
    <row r="37" spans="1:14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AJ98"/>
  <sheetViews>
    <sheetView showRowColHeaders="0" tabSelected="1" zoomScaleNormal="100" workbookViewId="0">
      <selection activeCell="L36" sqref="L36"/>
    </sheetView>
  </sheetViews>
  <sheetFormatPr defaultColWidth="0" defaultRowHeight="15" zeroHeight="1"/>
  <cols>
    <col min="1" max="21" width="9.140625" style="33" customWidth="1"/>
    <col min="22" max="22" width="6.7109375" style="33" customWidth="1"/>
    <col min="23" max="23" width="9.140625" style="26" hidden="1" customWidth="1"/>
    <col min="24" max="16384" width="9.140625" style="26" hidden="1"/>
  </cols>
  <sheetData>
    <row r="1" spans="1:22">
      <c r="A1" s="32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>
      <c r="A2" s="32"/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</row>
    <row r="3" spans="1:22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</row>
    <row r="4" spans="1:22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</row>
    <row r="5" spans="1:22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</row>
    <row r="6" spans="1:22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</row>
    <row r="7" spans="1:22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</row>
    <row r="8" spans="1:22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</row>
    <row r="9" spans="1:22">
      <c r="A9" s="32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</row>
    <row r="10" spans="1:22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</row>
    <row r="11" spans="1:22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</row>
    <row r="12" spans="1:22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</row>
    <row r="13" spans="1:22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</row>
    <row r="14" spans="1:22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</row>
    <row r="15" spans="1:22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</row>
    <row r="16" spans="1:22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</row>
    <row r="17" spans="17:36">
      <c r="W17" s="31"/>
    </row>
    <row r="18" spans="17:36">
      <c r="W18" s="31"/>
    </row>
    <row r="19" spans="17:36">
      <c r="Q19" s="34"/>
      <c r="W19" s="31"/>
    </row>
    <row r="20" spans="17:36"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</row>
    <row r="21" spans="17:36"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</row>
    <row r="22" spans="17:36"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</row>
    <row r="23" spans="17:36"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</row>
    <row r="24" spans="17:36"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</row>
    <row r="25" spans="17:36"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</row>
    <row r="26" spans="17:36"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</row>
    <row r="27" spans="17:36"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</row>
    <row r="28" spans="17:36"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</row>
    <row r="29" spans="17:36"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</row>
    <row r="30" spans="17:36"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</row>
    <row r="31" spans="17:36"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</row>
    <row r="32" spans="17:36"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</row>
    <row r="33" spans="23:36"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</row>
    <row r="34" spans="23:36"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</row>
    <row r="35" spans="23:36"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</row>
    <row r="36" spans="23:36"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</row>
    <row r="37" spans="23:36"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</row>
    <row r="38" spans="23:36"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</row>
    <row r="39" spans="23:36"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</row>
    <row r="40" spans="23:36"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</row>
    <row r="41" spans="23:36"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</row>
    <row r="42" spans="23:36"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</row>
    <row r="43" spans="23:36"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</row>
    <row r="44" spans="23:36"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</row>
    <row r="45" spans="23:36"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</row>
    <row r="46" spans="23:36"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</row>
    <row r="47" spans="23:36"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</row>
    <row r="48" spans="23:36"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</row>
    <row r="49" spans="23:36"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</row>
    <row r="50" spans="23:36"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</row>
    <row r="51" spans="23:36"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</row>
    <row r="52" spans="23:36"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</row>
    <row r="53" spans="23:36" hidden="1"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</row>
    <row r="54" spans="23:36" hidden="1"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</row>
    <row r="55" spans="23:36" hidden="1"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</row>
    <row r="56" spans="23:36" hidden="1"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</row>
    <row r="57" spans="23:36" hidden="1"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</row>
    <row r="58" spans="23:36" hidden="1"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</row>
    <row r="59" spans="23:36" hidden="1"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</row>
    <row r="60" spans="23:36" hidden="1"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</row>
    <row r="61" spans="23:36" hidden="1"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</row>
    <row r="62" spans="23:36" hidden="1"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</row>
    <row r="63" spans="23:36" hidden="1"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</row>
    <row r="64" spans="23:36" hidden="1"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</row>
    <row r="65" spans="23:36" hidden="1"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</row>
    <row r="66" spans="23:36" hidden="1"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</row>
    <row r="67" spans="23:36" hidden="1"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</row>
    <row r="68" spans="23:36" hidden="1"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</row>
    <row r="69" spans="23:36" hidden="1"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</row>
    <row r="70" spans="23:36" hidden="1"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</row>
    <row r="71" spans="23:36" hidden="1"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</row>
    <row r="72" spans="23:36" hidden="1"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</row>
    <row r="73" spans="23:36" hidden="1"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</row>
    <row r="74" spans="23:36" hidden="1"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</row>
    <row r="75" spans="23:36" hidden="1"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</row>
    <row r="76" spans="23:36" hidden="1"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</row>
    <row r="77" spans="23:36" hidden="1"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</row>
    <row r="78" spans="23:36" hidden="1"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</row>
    <row r="79" spans="23:36" hidden="1"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</row>
    <row r="80" spans="23:36" hidden="1"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</row>
    <row r="81" spans="23:36" hidden="1"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</row>
    <row r="82" spans="23:36" hidden="1"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</row>
    <row r="83" spans="23:36" hidden="1"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</row>
    <row r="84" spans="23:36" hidden="1"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</row>
    <row r="85" spans="23:36" hidden="1"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</row>
    <row r="86" spans="23:36" hidden="1"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</row>
    <row r="87" spans="23:36" hidden="1"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</row>
    <row r="88" spans="23:36" hidden="1"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</row>
    <row r="89" spans="23:36" hidden="1"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</row>
    <row r="90" spans="23:36" hidden="1"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</row>
    <row r="91" spans="23:36" hidden="1"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</row>
    <row r="92" spans="23:36" hidden="1"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</row>
    <row r="93" spans="23:36" hidden="1"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</row>
    <row r="94" spans="23:36" hidden="1"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</row>
    <row r="95" spans="23:36" hidden="1"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</row>
    <row r="96" spans="23:36" hidden="1"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</row>
    <row r="97" spans="23:36" hidden="1"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</row>
    <row r="98" spans="23:36" hidden="1"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</row>
  </sheetData>
  <sheetProtection sheet="1" objects="1" scenarios="1"/>
  <pageMargins left="0.7" right="0.7" top="0.75" bottom="0.75" header="0.3" footer="0.3"/>
  <pageSetup paperSize="8" scale="6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print="0" autoLine="0" autoPict="0">
                <anchor moveWithCells="1">
                  <from>
                    <xdr:col>0</xdr:col>
                    <xdr:colOff>314325</xdr:colOff>
                    <xdr:row>0</xdr:row>
                    <xdr:rowOff>152400</xdr:rowOff>
                  </from>
                  <to>
                    <xdr:col>3</xdr:col>
                    <xdr:colOff>266700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data</vt:lpstr>
      <vt:lpstr>calculations</vt:lpstr>
      <vt:lpstr>selected data</vt:lpstr>
      <vt:lpstr>images</vt:lpstr>
      <vt:lpstr>dashboard</vt:lpstr>
      <vt:lpstr>base</vt:lpstr>
      <vt:lpstr>clicked_button</vt:lpstr>
      <vt:lpstr>corresponding</vt:lpstr>
      <vt:lpstr>imagea</vt:lpstr>
      <vt:lpstr>imageb</vt:lpstr>
      <vt:lpstr>imagec</vt:lpstr>
      <vt:lpstr>dashboard!Print_Area</vt:lpstr>
      <vt:lpstr>target</vt:lpstr>
      <vt:lpstr>texta</vt:lpstr>
      <vt:lpstr>textb</vt:lpstr>
      <vt:lpstr>textc</vt:lpstr>
      <vt:lpstr>varbase</vt:lpstr>
      <vt:lpstr>varcorresp</vt:lpstr>
      <vt:lpstr>vartarget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NBP</dc:creator>
  <cp:lastModifiedBy>george gourgoulias</cp:lastModifiedBy>
  <cp:lastPrinted>2015-10-28T12:37:46Z</cp:lastPrinted>
  <dcterms:created xsi:type="dcterms:W3CDTF">2015-09-15T08:10:46Z</dcterms:created>
  <dcterms:modified xsi:type="dcterms:W3CDTF">2015-10-28T12:38:07Z</dcterms:modified>
</cp:coreProperties>
</file>