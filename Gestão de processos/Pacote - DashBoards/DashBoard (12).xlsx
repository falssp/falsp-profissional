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12585" yWindow="-15" windowWidth="12630" windowHeight="12405"/>
  </bookViews>
  <sheets>
    <sheet name="Dashboard" sheetId="6" r:id="rId1"/>
    <sheet name="Raw" sheetId="1" r:id="rId2"/>
    <sheet name="Calculate" sheetId="4" state="hidden" r:id="rId3"/>
  </sheets>
  <definedNames>
    <definedName name="__IntlFixup" hidden="1">TRUE</definedName>
    <definedName name="Slicer_KPI">#N/A</definedName>
  </definedNames>
  <calcPr calcId="14562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3" i="4" l="1"/>
  <c r="AB4" i="4" l="1"/>
  <c r="AB5" i="4"/>
  <c r="AB2" i="4"/>
  <c r="AA2" i="4"/>
  <c r="AC3" i="4" s="1"/>
  <c r="AE7" i="4" l="1"/>
  <c r="AB8" i="4"/>
  <c r="AE8" i="4"/>
  <c r="AE9" i="4"/>
  <c r="AB7" i="4"/>
  <c r="H27" i="6" s="1"/>
  <c r="AB9" i="4"/>
  <c r="AC5" i="4"/>
  <c r="AC4" i="4"/>
  <c r="AC9" i="4" l="1"/>
  <c r="R29" i="6" s="1"/>
  <c r="P27" i="6"/>
  <c r="L27" i="6"/>
  <c r="AC7" i="4"/>
  <c r="AD7" i="4" s="1"/>
  <c r="AC8" i="4"/>
  <c r="AE4" i="4"/>
  <c r="AD4" i="4"/>
  <c r="AD3" i="4"/>
  <c r="AE5" i="4"/>
  <c r="AD5" i="4"/>
  <c r="AE3" i="4"/>
  <c r="N29" i="6" l="1"/>
  <c r="AD8" i="4"/>
  <c r="L29" i="6" s="1"/>
  <c r="AD9" i="4"/>
  <c r="P29" i="6" s="1"/>
  <c r="J29" i="6"/>
  <c r="H29" i="6"/>
</calcChain>
</file>

<file path=xl/sharedStrings.xml><?xml version="1.0" encoding="utf-8"?>
<sst xmlns="http://schemas.openxmlformats.org/spreadsheetml/2006/main" count="154" uniqueCount="70">
  <si>
    <t xml:space="preserve"> </t>
  </si>
  <si>
    <t>Base</t>
  </si>
  <si>
    <t>Corresp:</t>
  </si>
  <si>
    <t>Current</t>
  </si>
  <si>
    <t>Proportionate</t>
  </si>
  <si>
    <t>Variance</t>
  </si>
  <si>
    <t>Target</t>
  </si>
  <si>
    <t>Month</t>
  </si>
  <si>
    <t>with Base</t>
  </si>
  <si>
    <t>Corresp: Month</t>
  </si>
  <si>
    <t>with Target</t>
  </si>
  <si>
    <t>December</t>
  </si>
  <si>
    <t>31.12.2014</t>
  </si>
  <si>
    <t>31.08.2014</t>
  </si>
  <si>
    <t>31.08.2015</t>
  </si>
  <si>
    <t>30.09.2015</t>
  </si>
  <si>
    <t xml:space="preserve">Amount </t>
  </si>
  <si>
    <t>%</t>
  </si>
  <si>
    <t>Amount</t>
  </si>
  <si>
    <t>Absolute Deposit</t>
  </si>
  <si>
    <t>CASA Deposit</t>
  </si>
  <si>
    <t>Average Deposit</t>
  </si>
  <si>
    <t>Weekly Deposit  10-09-2015</t>
  </si>
  <si>
    <t>No of Current A/Cs Opened during Month</t>
  </si>
  <si>
    <t>No of Current A/cs Opened Progressive</t>
  </si>
  <si>
    <t>Number of Depositors Accounts (CASA)</t>
  </si>
  <si>
    <t>Profit/Loss</t>
  </si>
  <si>
    <t>Advances</t>
  </si>
  <si>
    <t>Performing Adances</t>
  </si>
  <si>
    <t>Classified Advances</t>
  </si>
  <si>
    <t>Non Fund Base Advances</t>
  </si>
  <si>
    <t>Non Fund Base Income</t>
  </si>
  <si>
    <t>Home Remittance</t>
  </si>
  <si>
    <t>Cost of Fund</t>
  </si>
  <si>
    <t>Intermediation Cost</t>
  </si>
  <si>
    <t>Imports</t>
  </si>
  <si>
    <t>Exports</t>
  </si>
  <si>
    <t>NBP Adv: Sal: O/S</t>
  </si>
  <si>
    <t>Overdue Adv: Sal: over 90 Days</t>
  </si>
  <si>
    <t>Agr: Finance O/S</t>
  </si>
  <si>
    <t>NBP Karobar O/S</t>
  </si>
  <si>
    <t>Recovery of Stuck-up</t>
  </si>
  <si>
    <t>Recovery in Charge Off A/Cs</t>
  </si>
  <si>
    <t>Write Off</t>
  </si>
  <si>
    <t>Income</t>
  </si>
  <si>
    <t>Expenditure Excluding Administrative Exp.</t>
  </si>
  <si>
    <t>Personal Expenses</t>
  </si>
  <si>
    <t>Other Expenses</t>
  </si>
  <si>
    <t>KPI</t>
  </si>
  <si>
    <t>Row</t>
  </si>
  <si>
    <t>Sum of Row</t>
  </si>
  <si>
    <t>Base [31/12/2014]</t>
  </si>
  <si>
    <t>Corresp Month [31/08/2014]</t>
  </si>
  <si>
    <t>Current Month [31/08/2015]</t>
  </si>
  <si>
    <t>Porportionate target [30/09/2015]</t>
  </si>
  <si>
    <t>Target [Dec 2015]</t>
  </si>
  <si>
    <t>Proportionate target [31/08/2015]</t>
  </si>
  <si>
    <t>Variance with Base</t>
  </si>
  <si>
    <t>Variance with Base [%]</t>
  </si>
  <si>
    <t>Variance with Corresp : Month [%]</t>
  </si>
  <si>
    <t xml:space="preserve">Variance with Corresp : Month </t>
  </si>
  <si>
    <t>Variance with Target [%]</t>
  </si>
  <si>
    <t xml:space="preserve">Variance with Target </t>
  </si>
  <si>
    <t>Combo Box 1</t>
  </si>
  <si>
    <t>Combo Box 2</t>
  </si>
  <si>
    <t>Combo Box 3</t>
  </si>
  <si>
    <t xml:space="preserve">Slicer </t>
  </si>
  <si>
    <t>#</t>
  </si>
  <si>
    <t>Max</t>
  </si>
  <si>
    <t>Min</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</si>
</sst>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0.000"/>
    <numFmt numFmtId="166" formatCode="0.0%"/>
    <numFmt numFmtId="167" formatCode="#,##0.00&quot; $&quot;;[Red]\-#,##0.00&quot; $&quot;"/>
    <numFmt numFmtId="168" formatCode="&quot; $&quot;* #,##0.00_ ;"/>
    <numFmt numFmtId="169" formatCode="_-* #,##0.00\ _F_-;\-* #,##0.00\ _F_-;_-* &quot;-&quot;??\ _F_-;_-@_-"/>
    <numFmt numFmtId="170" formatCode="[&gt;1]\ &quot;Pk of &quot;\ #;[=1]\ &quot;Each&quot;;\ 0.000\ &quot; km&quot;"/>
    <numFmt numFmtId="171" formatCode="0.00_)"/>
    <numFmt numFmtId="172" formatCode="_-&quot;£&quot;* #,##0_-;\-&quot;£&quot;* #,##0_-;_-&quot;£&quot;* &quot;-&quot;_-;_-@_-"/>
    <numFmt numFmtId="173" formatCode="_-&quot;£&quot;* #,##0.00_-;\-&quot;£&quot;* #,##0.00_-;_-&quot;£&quot;* &quot;-&quot;??_-;_-@_-"/>
    <numFmt numFmtId="174" formatCode="_-* #,##0.00_р_._-;\-* #,##0.00_р_._-;_-* &quot;-&quot;??_р_._-;_-@_-"/>
    <numFmt numFmtId="175" formatCode="#,##0.000&quot;&quot;"/>
    <numFmt numFmtId="176" formatCode="#,##0.000"/>
  </numFmts>
  <fonts count="20">
    <font>
      <sz val="11"/>
      <color theme="1"/>
      <name val="Calibri"/>
      <family val="2"/>
      <scheme val="minor"/>
    </font>
    <font>
      <sz val="11"/>
      <color theme="1"/>
      <name val="Calibri"/>
      <family val="2"/>
      <scheme val="minor"/>
    </font>
    <font>
      <sz val="10"/>
      <name val="Arial"/>
      <family val="2"/>
    </font>
    <font>
      <b/>
      <sz val="9"/>
      <name val="Calibri"/>
      <family val="2"/>
    </font>
    <font>
      <b/>
      <sz val="10"/>
      <name val="Calibri"/>
      <family val="2"/>
    </font>
    <font>
      <sz val="11"/>
      <color indexed="8"/>
      <name val="Calibri"/>
      <family val="2"/>
    </font>
    <font>
      <sz val="11"/>
      <name val="Calibri"/>
      <family val="2"/>
    </font>
    <font>
      <sz val="12"/>
      <name val="Arial"/>
      <family val="2"/>
    </font>
    <font>
      <sz val="8"/>
      <name val="Arial"/>
      <family val="2"/>
    </font>
    <font>
      <b/>
      <sz val="12"/>
      <name val="Arial"/>
      <family val="2"/>
    </font>
    <font>
      <sz val="10"/>
      <name val="Times New Roman"/>
      <family val="1"/>
    </font>
    <font>
      <b/>
      <i/>
      <sz val="16"/>
      <name val="Helv"/>
    </font>
    <font>
      <sz val="10"/>
      <name val="Courier"/>
      <family val="3"/>
    </font>
    <font>
      <b/>
      <sz val="12"/>
      <name val="Albertus Medium"/>
      <family val="2"/>
    </font>
    <font>
      <b/>
      <sz val="10"/>
      <name val="Times New Roman"/>
      <family val="1"/>
    </font>
    <font>
      <sz val="10"/>
      <name val="Calibri"/>
      <family val="2"/>
      <scheme val="minor"/>
    </font>
    <font>
      <sz val="10"/>
      <name val="Calibri"/>
      <family val="2"/>
    </font>
    <font>
      <b/>
      <sz val="10"/>
      <name val="Arial"/>
      <family val="2"/>
    </font>
    <font>
      <b/>
      <sz val="11"/>
      <color theme="0"/>
      <name val="Calibri"/>
      <family val="2"/>
      <scheme val="minor"/>
    </font>
    <font>
      <b/>
      <sz val="11"/>
      <color theme="1"/>
      <name val="Calibri"/>
      <family val="2"/>
      <scheme val="minor"/>
    </font>
  </fonts>
  <fills count="7">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26"/>
        <bgColor indexed="64"/>
      </patternFill>
    </fill>
    <fill>
      <patternFill patternType="solid">
        <fgColor indexed="58"/>
        <bgColor indexed="64"/>
      </patternFill>
    </fill>
    <fill>
      <patternFill patternType="solid">
        <fgColor theme="1"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style="thin">
        <color indexed="64"/>
      </left>
      <right/>
      <top/>
      <bottom/>
      <diagonal/>
    </border>
    <border>
      <left/>
      <right/>
      <top style="thin">
        <color indexed="64"/>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68">
    <xf numFmtId="0" fontId="0" fillId="0" borderId="0"/>
    <xf numFmtId="9" fontId="1" fillId="0" borderId="0" applyFont="0" applyFill="0" applyBorder="0" applyAlignment="0" applyProtection="0"/>
    <xf numFmtId="0" fontId="2" fillId="0" borderId="0"/>
    <xf numFmtId="0" fontId="2" fillId="0" borderId="0"/>
    <xf numFmtId="164" fontId="5" fillId="0" borderId="0" applyFont="0" applyFill="0" applyBorder="0" applyAlignment="0" applyProtection="0"/>
    <xf numFmtId="167" fontId="2" fillId="0" borderId="0" applyFill="0" applyBorder="0" applyAlignment="0"/>
    <xf numFmtId="167" fontId="2" fillId="0" borderId="0" applyFill="0" applyBorder="0" applyAlignment="0"/>
    <xf numFmtId="167" fontId="2" fillId="0" borderId="0" applyFill="0" applyBorder="0" applyAlignment="0"/>
    <xf numFmtId="167" fontId="2" fillId="0" borderId="0" applyFill="0" applyBorder="0" applyAlignment="0"/>
    <xf numFmtId="167" fontId="2" fillId="0" borderId="0" applyFill="0" applyBorder="0" applyAlignment="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168" fontId="7" fillId="0" borderId="0" applyFont="0" applyFill="0" applyBorder="0" applyAlignment="0" applyProtection="0"/>
    <xf numFmtId="38" fontId="8" fillId="3" borderId="0" applyNumberFormat="0" applyBorder="0" applyAlignment="0" applyProtection="0"/>
    <xf numFmtId="0" fontId="9" fillId="0" borderId="2" applyNumberFormat="0" applyAlignment="0" applyProtection="0">
      <alignment horizontal="left" vertical="center"/>
    </xf>
    <xf numFmtId="0" fontId="9" fillId="0" borderId="3">
      <alignment horizontal="left" vertical="center"/>
    </xf>
    <xf numFmtId="10" fontId="8" fillId="4" borderId="1" applyNumberFormat="0" applyBorder="0" applyAlignment="0" applyProtection="0"/>
    <xf numFmtId="169" fontId="2" fillId="0" borderId="0" applyFont="0" applyFill="0" applyBorder="0" applyAlignment="0" applyProtection="0"/>
    <xf numFmtId="170" fontId="10" fillId="0" borderId="0" applyFill="0" applyBorder="0">
      <alignment horizontal="center" vertical="top"/>
    </xf>
    <xf numFmtId="171"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171" fontId="12" fillId="0" borderId="0"/>
    <xf numFmtId="171" fontId="1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0" fontId="2" fillId="5" borderId="0"/>
    <xf numFmtId="0" fontId="13" fillId="0" borderId="0">
      <alignment horizontal="left" vertical="center"/>
    </xf>
    <xf numFmtId="0" fontId="14" fillId="0" borderId="0" applyNumberFormat="0" applyFill="0" applyBorder="0" applyProtection="0">
      <alignment vertical="center"/>
    </xf>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0" fontId="2" fillId="0" borderId="0"/>
    <xf numFmtId="174" fontId="2" fillId="0" borderId="0" applyFont="0" applyFill="0" applyBorder="0" applyAlignment="0" applyProtection="0"/>
  </cellStyleXfs>
  <cellXfs count="53">
    <xf numFmtId="0" fontId="0" fillId="0" borderId="0" xfId="0"/>
    <xf numFmtId="0" fontId="2" fillId="0" borderId="0" xfId="2"/>
    <xf numFmtId="0" fontId="2" fillId="0" borderId="0" xfId="2" applyFont="1" applyFill="1"/>
    <xf numFmtId="0" fontId="3" fillId="2" borderId="4" xfId="2" applyFont="1" applyFill="1" applyBorder="1" applyAlignment="1">
      <alignment horizontal="center"/>
    </xf>
    <xf numFmtId="0" fontId="6" fillId="0" borderId="4" xfId="2" applyFont="1" applyFill="1" applyBorder="1"/>
    <xf numFmtId="165" fontId="15" fillId="0" borderId="4" xfId="4" applyNumberFormat="1" applyFont="1" applyFill="1" applyBorder="1" applyAlignment="1">
      <alignment horizontal="right"/>
    </xf>
    <xf numFmtId="165" fontId="16" fillId="0" borderId="4" xfId="2" applyNumberFormat="1" applyFont="1" applyFill="1" applyBorder="1" applyAlignment="1">
      <alignment horizontal="right"/>
    </xf>
    <xf numFmtId="10" fontId="16" fillId="0" borderId="4" xfId="1" applyNumberFormat="1" applyFont="1" applyFill="1" applyBorder="1" applyAlignment="1">
      <alignment horizontal="right"/>
    </xf>
    <xf numFmtId="166" fontId="16" fillId="0" borderId="4" xfId="1" applyNumberFormat="1" applyFont="1" applyFill="1" applyBorder="1" applyAlignment="1">
      <alignment horizontal="right"/>
    </xf>
    <xf numFmtId="0" fontId="4" fillId="2" borderId="5" xfId="2" applyFont="1" applyFill="1" applyBorder="1" applyAlignment="1">
      <alignment horizontal="center"/>
    </xf>
    <xf numFmtId="0" fontId="3" fillId="2" borderId="6" xfId="2" applyFont="1" applyFill="1" applyBorder="1" applyAlignment="1">
      <alignment horizontal="center"/>
    </xf>
    <xf numFmtId="0" fontId="3" fillId="2" borderId="7" xfId="2" applyFont="1" applyFill="1" applyBorder="1" applyAlignment="1">
      <alignment horizontal="center"/>
    </xf>
    <xf numFmtId="165" fontId="2" fillId="0" borderId="0" xfId="2" applyNumberFormat="1" applyFont="1" applyFill="1"/>
    <xf numFmtId="175" fontId="2" fillId="0" borderId="0" xfId="2" applyNumberFormat="1" applyFont="1" applyFill="1"/>
    <xf numFmtId="0" fontId="2" fillId="0" borderId="1" xfId="2" applyBorder="1" applyAlignment="1">
      <alignment horizontal="left"/>
    </xf>
    <xf numFmtId="0" fontId="2" fillId="0" borderId="0" xfId="2" applyBorder="1"/>
    <xf numFmtId="0" fontId="2" fillId="0" borderId="1" xfId="2" applyFont="1" applyFill="1" applyBorder="1"/>
    <xf numFmtId="0" fontId="6" fillId="0" borderId="1" xfId="2" applyFont="1" applyFill="1" applyBorder="1"/>
    <xf numFmtId="165" fontId="15" fillId="0" borderId="1" xfId="4" applyNumberFormat="1" applyFont="1" applyFill="1" applyBorder="1" applyAlignment="1">
      <alignment horizontal="right"/>
    </xf>
    <xf numFmtId="165" fontId="16" fillId="0" borderId="1" xfId="2" applyNumberFormat="1" applyFont="1" applyFill="1" applyBorder="1" applyAlignment="1">
      <alignment horizontal="right"/>
    </xf>
    <xf numFmtId="10" fontId="16" fillId="0" borderId="1" xfId="1" applyNumberFormat="1" applyFont="1" applyFill="1" applyBorder="1" applyAlignment="1">
      <alignment horizontal="right"/>
    </xf>
    <xf numFmtId="166" fontId="16" fillId="0" borderId="1" xfId="1" applyNumberFormat="1" applyFont="1" applyFill="1" applyBorder="1" applyAlignment="1">
      <alignment horizontal="right"/>
    </xf>
    <xf numFmtId="0" fontId="2" fillId="0" borderId="0" xfId="2" applyFill="1" applyBorder="1"/>
    <xf numFmtId="175" fontId="2" fillId="0" borderId="0" xfId="2" applyNumberFormat="1" applyFont="1" applyFill="1" applyBorder="1"/>
    <xf numFmtId="0" fontId="2" fillId="0" borderId="0" xfId="2" applyFont="1" applyFill="1" applyBorder="1"/>
    <xf numFmtId="165" fontId="2" fillId="0" borderId="0" xfId="2" applyNumberFormat="1" applyFont="1" applyFill="1" applyBorder="1"/>
    <xf numFmtId="0" fontId="2" fillId="0" borderId="0" xfId="2" applyFont="1" applyBorder="1"/>
    <xf numFmtId="0" fontId="2" fillId="0" borderId="1" xfId="2" applyFont="1" applyBorder="1"/>
    <xf numFmtId="0" fontId="2" fillId="0" borderId="8" xfId="2" applyFont="1" applyBorder="1"/>
    <xf numFmtId="0" fontId="4" fillId="0" borderId="1" xfId="2" applyFont="1" applyFill="1" applyBorder="1" applyAlignment="1">
      <alignment horizontal="center"/>
    </xf>
    <xf numFmtId="0" fontId="17" fillId="0" borderId="1" xfId="2" applyFont="1" applyBorder="1" applyAlignment="1">
      <alignment horizontal="center" vertical="center"/>
    </xf>
    <xf numFmtId="0" fontId="2" fillId="0" borderId="9" xfId="2" applyFont="1" applyBorder="1"/>
    <xf numFmtId="0" fontId="0" fillId="0" borderId="10" xfId="0" pivotButton="1" applyBorder="1"/>
    <xf numFmtId="0" fontId="0" fillId="0" borderId="11" xfId="0" applyBorder="1"/>
    <xf numFmtId="0" fontId="0" fillId="0" borderId="12" xfId="0" applyBorder="1" applyAlignment="1">
      <alignment horizontal="left"/>
    </xf>
    <xf numFmtId="0" fontId="0" fillId="0" borderId="13" xfId="0" applyNumberFormat="1" applyBorder="1"/>
    <xf numFmtId="0" fontId="2" fillId="0" borderId="1" xfId="2" applyFont="1" applyBorder="1" applyAlignment="1">
      <alignment horizontal="center" vertical="center"/>
    </xf>
    <xf numFmtId="175" fontId="2" fillId="0" borderId="1" xfId="2" applyNumberFormat="1" applyFont="1" applyBorder="1"/>
    <xf numFmtId="176" fontId="2" fillId="0" borderId="1" xfId="2" applyNumberFormat="1" applyFont="1" applyBorder="1"/>
    <xf numFmtId="10" fontId="2" fillId="0" borderId="1" xfId="1" applyNumberFormat="1" applyFont="1" applyBorder="1"/>
    <xf numFmtId="10" fontId="2" fillId="0" borderId="0" xfId="1" applyNumberFormat="1" applyFont="1" applyFill="1"/>
    <xf numFmtId="0" fontId="0" fillId="0" borderId="0" xfId="0" applyFont="1" applyFill="1" applyProtection="1"/>
    <xf numFmtId="0" fontId="0" fillId="6" borderId="0" xfId="0" applyFont="1" applyFill="1" applyProtection="1"/>
    <xf numFmtId="0" fontId="0" fillId="0" borderId="0" xfId="0" applyFont="1" applyFill="1" applyAlignment="1" applyProtection="1">
      <alignment horizontal="center" vertical="center"/>
    </xf>
    <xf numFmtId="0" fontId="0" fillId="6" borderId="0" xfId="0" applyFont="1" applyFill="1" applyAlignment="1" applyProtection="1">
      <alignment horizontal="center" vertical="center"/>
    </xf>
    <xf numFmtId="166" fontId="19" fillId="0" borderId="0" xfId="1" applyNumberFormat="1" applyFont="1" applyFill="1" applyAlignment="1" applyProtection="1">
      <alignment horizontal="center" vertical="center"/>
    </xf>
    <xf numFmtId="176" fontId="19" fillId="0" borderId="0" xfId="0" applyNumberFormat="1" applyFont="1" applyFill="1" applyAlignment="1" applyProtection="1">
      <alignment horizontal="center" vertical="center"/>
    </xf>
    <xf numFmtId="10" fontId="19" fillId="0" borderId="0" xfId="1" applyNumberFormat="1" applyFont="1" applyFill="1" applyAlignment="1" applyProtection="1">
      <alignment horizontal="center" vertical="center"/>
    </xf>
    <xf numFmtId="0" fontId="0" fillId="0" borderId="0" xfId="0" applyFont="1" applyFill="1" applyProtection="1">
      <protection locked="0"/>
    </xf>
    <xf numFmtId="0" fontId="0" fillId="0" borderId="0" xfId="0" applyFont="1" applyFill="1" applyAlignment="1" applyProtection="1">
      <alignment horizontal="center" vertical="center"/>
      <protection locked="0"/>
    </xf>
    <xf numFmtId="0" fontId="0" fillId="6" borderId="0" xfId="0" applyFont="1" applyFill="1" applyProtection="1">
      <protection locked="0"/>
    </xf>
    <xf numFmtId="0" fontId="18" fillId="6" borderId="0" xfId="0" applyFont="1" applyFill="1" applyAlignment="1" applyProtection="1">
      <alignment horizontal="center" vertical="center" wrapText="1"/>
    </xf>
    <xf numFmtId="0" fontId="3" fillId="2" borderId="4" xfId="2" applyFont="1" applyFill="1" applyBorder="1" applyAlignment="1">
      <alignment horizontal="center"/>
    </xf>
  </cellXfs>
  <cellStyles count="68">
    <cellStyle name="Calc Currency (0)" xfId="5"/>
    <cellStyle name="Calc Currency (0) 2" xfId="6"/>
    <cellStyle name="Calc Currency (0) 3" xfId="7"/>
    <cellStyle name="Calc Currency (0) 4" xfId="8"/>
    <cellStyle name="Calc Currency (0) 5" xfId="9"/>
    <cellStyle name="Comma 10" xfId="10"/>
    <cellStyle name="Comma 10 2" xfId="11"/>
    <cellStyle name="Comma 11" xfId="12"/>
    <cellStyle name="Comma 2" xfId="4"/>
    <cellStyle name="Comma 3" xfId="13"/>
    <cellStyle name="Comma 3 2" xfId="14"/>
    <cellStyle name="Comma 3 2 2" xfId="15"/>
    <cellStyle name="Comma 4" xfId="16"/>
    <cellStyle name="Comma 5" xfId="17"/>
    <cellStyle name="Comma 6" xfId="18"/>
    <cellStyle name="Comma 7" xfId="19"/>
    <cellStyle name="Comma 8" xfId="20"/>
    <cellStyle name="Comma 9" xfId="21"/>
    <cellStyle name="Dezimal [0]_Compiling Utility Macros" xfId="22"/>
    <cellStyle name="Dezimal_Compiling Utility Macros" xfId="23"/>
    <cellStyle name="Dollar" xfId="24"/>
    <cellStyle name="Grey" xfId="25"/>
    <cellStyle name="Header1" xfId="26"/>
    <cellStyle name="Header2" xfId="27"/>
    <cellStyle name="Input [yellow]" xfId="28"/>
    <cellStyle name="Milliers_1018" xfId="29"/>
    <cellStyle name="MOQ" xfId="30"/>
    <cellStyle name="Normal" xfId="0" builtinId="0"/>
    <cellStyle name="Normal - Style1" xfId="31"/>
    <cellStyle name="Normal 10" xfId="2"/>
    <cellStyle name="Normal 2" xfId="32"/>
    <cellStyle name="Normal 3" xfId="33"/>
    <cellStyle name="Normal 3 2" xfId="34"/>
    <cellStyle name="Normal 3 2 2" xfId="35"/>
    <cellStyle name="Normal 3 3" xfId="36"/>
    <cellStyle name="Normal 3 4" xfId="37"/>
    <cellStyle name="Normal 3 5" xfId="38"/>
    <cellStyle name="Normal 38" xfId="39"/>
    <cellStyle name="Normal 4" xfId="40"/>
    <cellStyle name="Normal 5" xfId="41"/>
    <cellStyle name="Normal 5 2" xfId="42"/>
    <cellStyle name="Normal 6" xfId="43"/>
    <cellStyle name="Normal 7" xfId="44"/>
    <cellStyle name="Normal 7 2" xfId="3"/>
    <cellStyle name="Normal 8" xfId="45"/>
    <cellStyle name="Normal 8 2" xfId="46"/>
    <cellStyle name="Normal 8 2 2" xfId="47"/>
    <cellStyle name="Normal 9 2" xfId="48"/>
    <cellStyle name="Normal 9 2 2" xfId="49"/>
    <cellStyle name="Percent" xfId="1" builtinId="5"/>
    <cellStyle name="Percent [2]" xfId="50"/>
    <cellStyle name="Percent [2] 2" xfId="51"/>
    <cellStyle name="Percent 2" xfId="52"/>
    <cellStyle name="Percent 3" xfId="53"/>
    <cellStyle name="Percent 4" xfId="54"/>
    <cellStyle name="Percent 5" xfId="55"/>
    <cellStyle name="Percent 6" xfId="56"/>
    <cellStyle name="Standard_Anpassen der Amortisation" xfId="57"/>
    <cellStyle name="Sub-group Hdg" xfId="58"/>
    <cellStyle name="Sub-heading" xfId="59"/>
    <cellStyle name="Tusental (0)_pldt" xfId="60"/>
    <cellStyle name="Tusental_pldt" xfId="61"/>
    <cellStyle name="Valuta (0)_pldt" xfId="62"/>
    <cellStyle name="Valuta_pldt" xfId="63"/>
    <cellStyle name="Währung [0]_Compiling Utility Macros" xfId="64"/>
    <cellStyle name="Währung_Compiling Utility Macros" xfId="65"/>
    <cellStyle name="Обычный_budget-Dec-01" xfId="66"/>
    <cellStyle name="Финансовый_MBCR Overseas-Revised" xfId="67"/>
  </cellStyles>
  <dxfs count="11">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FF0000"/>
      </font>
    </dxf>
    <dxf>
      <font>
        <color rgb="FFFF0000"/>
      </font>
    </dxf>
    <dxf>
      <font>
        <color rgb="FFFF0000"/>
      </font>
    </dxf>
    <dxf>
      <font>
        <color rgb="FFFF0000"/>
      </font>
    </dxf>
    <dxf>
      <font>
        <sz val="10"/>
      </font>
      <border>
        <left/>
        <right/>
        <top/>
        <bottom/>
      </border>
    </dxf>
    <dxf>
      <font>
        <sz val="10"/>
      </font>
      <border>
        <left/>
        <right/>
        <top/>
        <bottom/>
      </border>
    </dxf>
    <dxf>
      <fill>
        <patternFill patternType="none">
          <bgColor auto="1"/>
        </patternFill>
      </fill>
    </dxf>
  </dxfs>
  <tableStyles count="2" defaultTableStyle="TableStyleMedium2" defaultPivotStyle="PivotStyleLight16">
    <tableStyle name="Slicer Style 1" pivot="0" table="0" count="1">
      <tableStyleElement type="wholeTable" dxfId="10"/>
    </tableStyle>
    <tableStyle name="Slicer Style 2" pivot="0" table="0" count="6">
      <tableStyleElement type="wholeTable" dxfId="9"/>
      <tableStyleElement type="headerRow" dxfId="8"/>
    </tableStyle>
  </tableStyles>
  <colors>
    <mruColors>
      <color rgb="FF88E2EC"/>
    </mruColors>
  </colors>
  <extLst>
    <ext xmlns:x14="http://schemas.microsoft.com/office/spreadsheetml/2009/9/main" uri="{46F421CA-312F-682f-3DD2-61675219B42D}">
      <x14:dxfs count="4">
        <dxf>
          <font>
            <b/>
            <i val="0"/>
            <sz val="10"/>
            <color theme="0"/>
          </font>
          <fill>
            <patternFill>
              <bgColor theme="1" tint="0.34998626667073579"/>
            </patternFill>
          </fill>
        </dxf>
        <dxf>
          <font>
            <b/>
            <i val="0"/>
            <sz val="10"/>
            <color theme="1"/>
          </font>
          <fill>
            <gradientFill degree="90">
              <stop position="0">
                <color theme="0" tint="-0.49803155613879818"/>
              </stop>
              <stop position="1">
                <color theme="0" tint="-5.0965910824915313E-2"/>
              </stop>
            </gradientFill>
          </fill>
        </dxf>
        <dxf>
          <font>
            <b/>
            <i val="0"/>
            <sz val="10"/>
            <color theme="0"/>
          </font>
          <fill>
            <patternFill>
              <bgColor theme="1" tint="0.24994659260841701"/>
            </patternFill>
          </fill>
        </dxf>
        <dxf>
          <font>
            <b val="0"/>
            <i val="0"/>
            <sz val="10"/>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9492242595204514E-2"/>
          <c:y val="0.18659160068582265"/>
          <c:w val="0.94358251057827924"/>
          <c:h val="0.76037823567768215"/>
        </c:manualLayout>
      </c:layout>
      <c:barChart>
        <c:barDir val="col"/>
        <c:grouping val="clustered"/>
        <c:varyColors val="0"/>
        <c:ser>
          <c:idx val="0"/>
          <c:order val="0"/>
          <c:tx>
            <c:strRef>
              <c:f>Calculate!$AC$2</c:f>
              <c:strCache>
                <c:ptCount val="1"/>
                <c:pt idx="0">
                  <c:v>Amount</c:v>
                </c:pt>
              </c:strCache>
            </c:strRef>
          </c:tx>
          <c:spPr>
            <a:solidFill>
              <a:schemeClr val="accent2">
                <a:lumMod val="60000"/>
                <a:lumOff val="40000"/>
              </a:schemeClr>
            </a:solidFill>
          </c:spPr>
          <c:invertIfNegative val="0"/>
          <c:dLbls>
            <c:dLbl>
              <c:idx val="2"/>
              <c:layout>
                <c:manualLayout>
                  <c:x val="0"/>
                  <c:y val="-5.8097299710702897E-3"/>
                </c:manualLayout>
              </c:layout>
              <c:showLegendKey val="0"/>
              <c:showVal val="1"/>
              <c:showCatName val="0"/>
              <c:showSerName val="0"/>
              <c:showPercent val="0"/>
              <c:showBubbleSize val="0"/>
            </c:dLbl>
            <c:txPr>
              <a:bodyPr/>
              <a:lstStyle/>
              <a:p>
                <a:pPr>
                  <a:defRPr sz="1200" b="1">
                    <a:solidFill>
                      <a:schemeClr val="bg1"/>
                    </a:solidFill>
                  </a:defRPr>
                </a:pPr>
                <a:endParaRPr lang="en-US"/>
              </a:p>
            </c:txPr>
            <c:showLegendKey val="0"/>
            <c:showVal val="1"/>
            <c:showCatName val="0"/>
            <c:showSerName val="0"/>
            <c:showPercent val="0"/>
            <c:showBubbleSize val="0"/>
            <c:showLeaderLines val="0"/>
          </c:dLbls>
          <c:val>
            <c:numRef>
              <c:f>Calculate!$AC$3:$AC$5</c:f>
              <c:numCache>
                <c:formatCode>#,##0.000""</c:formatCode>
                <c:ptCount val="3"/>
                <c:pt idx="0">
                  <c:v>6266.4949999999999</c:v>
                </c:pt>
                <c:pt idx="1">
                  <c:v>8359.8739999999998</c:v>
                </c:pt>
                <c:pt idx="2">
                  <c:v>6966.2267019999999</c:v>
                </c:pt>
              </c:numCache>
            </c:numRef>
          </c:val>
        </c:ser>
        <c:ser>
          <c:idx val="1"/>
          <c:order val="1"/>
          <c:tx>
            <c:strRef>
              <c:f>Calculate!$AD$2</c:f>
              <c:strCache>
                <c:ptCount val="1"/>
                <c:pt idx="0">
                  <c:v>Max</c:v>
                </c:pt>
              </c:strCache>
            </c:strRef>
          </c:tx>
          <c:spPr>
            <a:solidFill>
              <a:schemeClr val="accent2">
                <a:lumMod val="75000"/>
              </a:schemeClr>
            </a:solidFill>
          </c:spPr>
          <c:invertIfNegative val="0"/>
          <c:dLbls>
            <c:dLbl>
              <c:idx val="2"/>
              <c:layout/>
              <c:showLegendKey val="0"/>
              <c:showVal val="1"/>
              <c:showCatName val="0"/>
              <c:showSerName val="0"/>
              <c:showPercent val="0"/>
              <c:showBubbleSize val="0"/>
            </c:dLbl>
            <c:txPr>
              <a:bodyPr/>
              <a:lstStyle/>
              <a:p>
                <a:pPr>
                  <a:defRPr>
                    <a:noFill/>
                  </a:defRPr>
                </a:pPr>
                <a:endParaRPr lang="en-US"/>
              </a:p>
            </c:txPr>
            <c:showLegendKey val="0"/>
            <c:showVal val="0"/>
            <c:showCatName val="0"/>
            <c:showSerName val="0"/>
            <c:showPercent val="0"/>
            <c:showBubbleSize val="0"/>
          </c:dLbls>
          <c:val>
            <c:numRef>
              <c:f>Calculate!$AD$3:$AD$5</c:f>
              <c:numCache>
                <c:formatCode>#,##0.000""</c:formatCode>
                <c:ptCount val="3"/>
                <c:pt idx="0">
                  <c:v>#N/A</c:v>
                </c:pt>
                <c:pt idx="1">
                  <c:v>8359.8739999999998</c:v>
                </c:pt>
                <c:pt idx="2">
                  <c:v>#N/A</c:v>
                </c:pt>
              </c:numCache>
            </c:numRef>
          </c:val>
        </c:ser>
        <c:ser>
          <c:idx val="2"/>
          <c:order val="2"/>
          <c:tx>
            <c:strRef>
              <c:f>Calculate!$AE$2</c:f>
              <c:strCache>
                <c:ptCount val="1"/>
                <c:pt idx="0">
                  <c:v>Min</c:v>
                </c:pt>
              </c:strCache>
            </c:strRef>
          </c:tx>
          <c:spPr>
            <a:solidFill>
              <a:schemeClr val="accent2">
                <a:lumMod val="20000"/>
                <a:lumOff val="80000"/>
              </a:schemeClr>
            </a:solidFill>
          </c:spPr>
          <c:invertIfNegative val="0"/>
          <c:dLbls>
            <c:numFmt formatCode="#,##0.000" sourceLinked="0"/>
            <c:txPr>
              <a:bodyPr/>
              <a:lstStyle/>
              <a:p>
                <a:pPr>
                  <a:defRPr>
                    <a:noFill/>
                  </a:defRPr>
                </a:pPr>
                <a:endParaRPr lang="en-US"/>
              </a:p>
            </c:txPr>
            <c:showLegendKey val="0"/>
            <c:showVal val="1"/>
            <c:showCatName val="0"/>
            <c:showSerName val="0"/>
            <c:showPercent val="0"/>
            <c:showBubbleSize val="0"/>
            <c:showLeaderLines val="0"/>
          </c:dLbls>
          <c:val>
            <c:numRef>
              <c:f>Calculate!$AE$3:$AE$5</c:f>
              <c:numCache>
                <c:formatCode>#,##0.000""</c:formatCode>
                <c:ptCount val="3"/>
                <c:pt idx="0">
                  <c:v>6266.4949999999999</c:v>
                </c:pt>
                <c:pt idx="1">
                  <c:v>#N/A</c:v>
                </c:pt>
                <c:pt idx="2">
                  <c:v>#N/A</c:v>
                </c:pt>
              </c:numCache>
            </c:numRef>
          </c:val>
        </c:ser>
        <c:dLbls>
          <c:showLegendKey val="0"/>
          <c:showVal val="0"/>
          <c:showCatName val="0"/>
          <c:showSerName val="0"/>
          <c:showPercent val="0"/>
          <c:showBubbleSize val="0"/>
        </c:dLbls>
        <c:gapWidth val="150"/>
        <c:overlap val="100"/>
        <c:axId val="90486272"/>
        <c:axId val="93131136"/>
      </c:barChart>
      <c:catAx>
        <c:axId val="90486272"/>
        <c:scaling>
          <c:orientation val="minMax"/>
        </c:scaling>
        <c:delete val="0"/>
        <c:axPos val="b"/>
        <c:numFmt formatCode="General" sourceLinked="1"/>
        <c:majorTickMark val="none"/>
        <c:minorTickMark val="none"/>
        <c:tickLblPos val="none"/>
        <c:spPr>
          <a:ln w="15875">
            <a:solidFill>
              <a:schemeClr val="bg1"/>
            </a:solidFill>
            <a:miter lim="800000"/>
          </a:ln>
        </c:spPr>
        <c:txPr>
          <a:bodyPr/>
          <a:lstStyle/>
          <a:p>
            <a:pPr>
              <a:defRPr>
                <a:solidFill>
                  <a:schemeClr val="bg1"/>
                </a:solidFill>
              </a:defRPr>
            </a:pPr>
            <a:endParaRPr lang="en-US"/>
          </a:p>
        </c:txPr>
        <c:crossAx val="93131136"/>
        <c:crosses val="autoZero"/>
        <c:auto val="1"/>
        <c:lblAlgn val="ctr"/>
        <c:lblOffset val="100"/>
        <c:noMultiLvlLbl val="0"/>
      </c:catAx>
      <c:valAx>
        <c:axId val="93131136"/>
        <c:scaling>
          <c:orientation val="minMax"/>
        </c:scaling>
        <c:delete val="1"/>
        <c:axPos val="l"/>
        <c:numFmt formatCode="#,##0.000&quot;&quot;" sourceLinked="1"/>
        <c:majorTickMark val="out"/>
        <c:minorTickMark val="none"/>
        <c:tickLblPos val="nextTo"/>
        <c:crossAx val="9048627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Drop" dropLines="6" dropStyle="combo" dx="16" fmlaLink="Calculate!$AA$4" fmlaRange="Calculate!$U$2:$U$7" noThreeD="1" sel="3" val="0"/>
</file>

<file path=xl/ctrlProps/ctrlProp2.xml><?xml version="1.0" encoding="utf-8"?>
<formControlPr xmlns="http://schemas.microsoft.com/office/spreadsheetml/2009/9/main" objectType="Drop" dropLines="6" dropStyle="combo" dx="16" fmlaLink="Calculate!$AA$3" fmlaRange="Calculate!$U$2:$U$7" noThreeD="1" val="0"/>
</file>

<file path=xl/ctrlProps/ctrlProp3.xml><?xml version="1.0" encoding="utf-8"?>
<formControlPr xmlns="http://schemas.microsoft.com/office/spreadsheetml/2009/9/main" objectType="Drop" dropLines="6" dropStyle="combo" dx="16" fmlaLink="Calculate!$AA$5" fmlaRange="Calculate!$U$2:$U$7" noThreeD="1" sel="6"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13</xdr:col>
      <xdr:colOff>200025</xdr:colOff>
      <xdr:row>3</xdr:row>
      <xdr:rowOff>85725</xdr:rowOff>
    </xdr:from>
    <xdr:ext cx="184731" cy="264560"/>
    <xdr:sp macro="" textlink="">
      <xdr:nvSpPr>
        <xdr:cNvPr id="5" name="TextBox 4"/>
        <xdr:cNvSpPr txBox="1"/>
      </xdr:nvSpPr>
      <xdr:spPr>
        <a:xfrm>
          <a:off x="5095875" y="60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twoCellAnchor>
    <xdr:from>
      <xdr:col>0</xdr:col>
      <xdr:colOff>95251</xdr:colOff>
      <xdr:row>0</xdr:row>
      <xdr:rowOff>95249</xdr:rowOff>
    </xdr:from>
    <xdr:to>
      <xdr:col>18</xdr:col>
      <xdr:colOff>104774</xdr:colOff>
      <xdr:row>30</xdr:row>
      <xdr:rowOff>180974</xdr:rowOff>
    </xdr:to>
    <xdr:grpSp>
      <xdr:nvGrpSpPr>
        <xdr:cNvPr id="18" name="Group 17"/>
        <xdr:cNvGrpSpPr/>
      </xdr:nvGrpSpPr>
      <xdr:grpSpPr>
        <a:xfrm>
          <a:off x="95251" y="95249"/>
          <a:ext cx="8896348" cy="5724525"/>
          <a:chOff x="95251" y="95249"/>
          <a:chExt cx="8896348" cy="5705475"/>
        </a:xfrm>
      </xdr:grpSpPr>
      <mc:AlternateContent xmlns:mc="http://schemas.openxmlformats.org/markup-compatibility/2006" xmlns:a14="http://schemas.microsoft.com/office/drawing/2010/main">
        <mc:Choice Requires="a14">
          <xdr:graphicFrame macro="">
            <xdr:nvGraphicFramePr>
              <xdr:cNvPr id="2" name="KPI 2"/>
              <xdr:cNvGraphicFramePr/>
            </xdr:nvGraphicFramePr>
            <xdr:xfrm>
              <a:off x="95251" y="95249"/>
              <a:ext cx="2543174" cy="5705475"/>
            </xdr:xfrm>
            <a:graphic>
              <a:graphicData uri="http://schemas.microsoft.com/office/drawing/2010/slicer">
                <sle:slicer xmlns:sle="http://schemas.microsoft.com/office/drawing/2010/slicer" name="KPI 2"/>
              </a:graphicData>
            </a:graphic>
          </xdr:graphicFrame>
        </mc:Choice>
        <mc:Fallback xmlns="">
          <xdr:sp macro="" textlink="">
            <xdr:nvSpPr>
              <xdr:cNvPr id="0" name=""/>
              <xdr:cNvSpPr>
                <a:spLocks noTextEdit="1"/>
              </xdr:cNvSpPr>
            </xdr:nvSpPr>
            <xdr:spPr>
              <a:xfrm>
                <a:off x="95251" y="95249"/>
                <a:ext cx="2543174" cy="5705475"/>
              </a:xfrm>
              <a:prstGeom prst="rect">
                <a:avLst/>
              </a:prstGeom>
              <a:solidFill>
                <a:prstClr val="white"/>
              </a:solidFill>
              <a:ln w="1">
                <a:solidFill>
                  <a:prstClr val="green"/>
                </a:solidFill>
              </a:ln>
            </xdr:spPr>
            <xdr:txBody>
              <a:bodyPr vertOverflow="clip" horzOverflow="clip"/>
              <a:lstStyle/>
              <a:p>
                <a:r>
                  <a:rPr lang="en-AU"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aphicFrame macro="">
        <xdr:nvGraphicFramePr>
          <xdr:cNvPr id="3" name="Chart 2"/>
          <xdr:cNvGraphicFramePr>
            <a:graphicFrameLocks/>
          </xdr:cNvGraphicFramePr>
        </xdr:nvGraphicFramePr>
        <xdr:xfrm>
          <a:off x="2619374" y="180974"/>
          <a:ext cx="6372225" cy="4381501"/>
        </xdr:xfrm>
        <a:graphic>
          <a:graphicData uri="http://schemas.openxmlformats.org/drawingml/2006/chart">
            <c:chart xmlns:c="http://schemas.openxmlformats.org/drawingml/2006/chart" xmlns:r="http://schemas.openxmlformats.org/officeDocument/2006/relationships" r:id="rId1"/>
          </a:graphicData>
        </a:graphic>
      </xdr:graphicFrame>
      <xdr:sp macro="" textlink="Calculate!$AB$2">
        <xdr:nvSpPr>
          <xdr:cNvPr id="4" name="TextBox 3"/>
          <xdr:cNvSpPr txBox="1"/>
        </xdr:nvSpPr>
        <xdr:spPr>
          <a:xfrm>
            <a:off x="2828925" y="200025"/>
            <a:ext cx="6057900" cy="390524"/>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BB2F34-9C71-4320-9BF4-87AB1B4B4D76}" type="TxLink">
              <a:rPr lang="en-AU" sz="2000" b="1">
                <a:solidFill>
                  <a:schemeClr val="bg1"/>
                </a:solidFill>
                <a:latin typeface="+mn-lt"/>
                <a:ea typeface="Adobe Heiti Std R" pitchFamily="34" charset="-128"/>
              </a:rPr>
              <a:pPr algn="ctr"/>
              <a:t>Absolute Deposit</a:t>
            </a:fld>
            <a:endParaRPr lang="en-AU" sz="2000" b="1">
              <a:solidFill>
                <a:schemeClr val="bg1"/>
              </a:solidFill>
              <a:latin typeface="+mn-lt"/>
              <a:ea typeface="Adobe Heiti Std R" pitchFamily="34" charset="-128"/>
            </a:endParaRPr>
          </a:p>
        </xdr:txBody>
      </xdr:sp>
      <mc:AlternateContent xmlns:mc="http://schemas.openxmlformats.org/markup-compatibility/2006">
        <mc:Choice xmlns:a14="http://schemas.microsoft.com/office/drawing/2010/main" Requires="a14">
          <xdr:sp macro="" textlink="">
            <xdr:nvSpPr>
              <xdr:cNvPr id="5121" name="Drop Down 1" hidden="1">
                <a:extLst>
                  <a:ext uri="{63B3BB69-23CF-44E3-9099-C40C66FF867C}">
                    <a14:compatExt spid="_x0000_s5121"/>
                  </a:ext>
                </a:extLst>
              </xdr:cNvPr>
              <xdr:cNvSpPr/>
            </xdr:nvSpPr>
            <xdr:spPr>
              <a:xfrm>
                <a:off x="4886325" y="4543425"/>
                <a:ext cx="1943100" cy="190500"/>
              </a:xfrm>
              <a:prstGeom prst="rect">
                <a:avLst/>
              </a:prstGeom>
            </xdr:spPr>
          </xdr:sp>
        </mc:Choice>
        <mc:Fallback/>
      </mc:AlternateContent>
      <mc:AlternateContent xmlns:mc="http://schemas.openxmlformats.org/markup-compatibility/2006">
        <mc:Choice xmlns:a14="http://schemas.microsoft.com/office/drawing/2010/main" Requires="a14">
          <xdr:sp macro="" textlink="">
            <xdr:nvSpPr>
              <xdr:cNvPr id="5122" name="Drop Down 2" hidden="1">
                <a:extLst>
                  <a:ext uri="{63B3BB69-23CF-44E3-9099-C40C66FF867C}">
                    <a14:compatExt spid="_x0000_s5122"/>
                  </a:ext>
                </a:extLst>
              </xdr:cNvPr>
              <xdr:cNvSpPr/>
            </xdr:nvSpPr>
            <xdr:spPr>
              <a:xfrm>
                <a:off x="2828925" y="4543425"/>
                <a:ext cx="1981200" cy="190500"/>
              </a:xfrm>
              <a:prstGeom prst="rect">
                <a:avLst/>
              </a:prstGeom>
            </xdr:spPr>
          </xdr:sp>
        </mc:Choice>
        <mc:Fallback/>
      </mc:AlternateContent>
      <mc:AlternateContent xmlns:mc="http://schemas.openxmlformats.org/markup-compatibility/2006">
        <mc:Choice xmlns:a14="http://schemas.microsoft.com/office/drawing/2010/main" Requires="a14">
          <xdr:sp macro="" textlink="">
            <xdr:nvSpPr>
              <xdr:cNvPr id="5123" name="Drop Down 3" hidden="1">
                <a:extLst>
                  <a:ext uri="{63B3BB69-23CF-44E3-9099-C40C66FF867C}">
                    <a14:compatExt spid="_x0000_s5123"/>
                  </a:ext>
                </a:extLst>
              </xdr:cNvPr>
              <xdr:cNvSpPr/>
            </xdr:nvSpPr>
            <xdr:spPr>
              <a:xfrm>
                <a:off x="6943725" y="4543425"/>
                <a:ext cx="1981200" cy="190500"/>
              </a:xfrm>
              <a:prstGeom prst="rect">
                <a:avLst/>
              </a:prstGeom>
            </xdr:spPr>
          </xdr:sp>
        </mc:Choice>
        <mc:Fallback/>
      </mc:AlternateContent>
      <xdr:grpSp>
        <xdr:nvGrpSpPr>
          <xdr:cNvPr id="7" name="Group 6"/>
          <xdr:cNvGrpSpPr/>
        </xdr:nvGrpSpPr>
        <xdr:grpSpPr>
          <a:xfrm>
            <a:off x="4772025" y="647700"/>
            <a:ext cx="2057400" cy="108000"/>
            <a:chOff x="13115925" y="2038350"/>
            <a:chExt cx="2171700" cy="190500"/>
          </a:xfrm>
        </xdr:grpSpPr>
        <xdr:sp macro="" textlink="">
          <xdr:nvSpPr>
            <xdr:cNvPr id="6" name="TextBox 5"/>
            <xdr:cNvSpPr txBox="1"/>
          </xdr:nvSpPr>
          <xdr:spPr>
            <a:xfrm>
              <a:off x="13839825" y="2038350"/>
              <a:ext cx="180975" cy="190500"/>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sp macro="" textlink="">
          <xdr:nvSpPr>
            <xdr:cNvPr id="10" name="TextBox 9"/>
            <xdr:cNvSpPr txBox="1"/>
          </xdr:nvSpPr>
          <xdr:spPr>
            <a:xfrm>
              <a:off x="13115925" y="2038350"/>
              <a:ext cx="7239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AU" sz="1100" b="1">
                  <a:solidFill>
                    <a:schemeClr val="bg1"/>
                  </a:solidFill>
                </a:rPr>
                <a:t>MAX</a:t>
              </a:r>
            </a:p>
          </xdr:txBody>
        </xdr:sp>
        <xdr:sp macro="" textlink="">
          <xdr:nvSpPr>
            <xdr:cNvPr id="11" name="TextBox 10"/>
            <xdr:cNvSpPr txBox="1"/>
          </xdr:nvSpPr>
          <xdr:spPr>
            <a:xfrm>
              <a:off x="14382750" y="2038350"/>
              <a:ext cx="7239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AU" sz="1100" b="1">
                  <a:solidFill>
                    <a:schemeClr val="bg1"/>
                  </a:solidFill>
                </a:rPr>
                <a:t>MIN</a:t>
              </a:r>
            </a:p>
          </xdr:txBody>
        </xdr:sp>
        <xdr:sp macro="" textlink="">
          <xdr:nvSpPr>
            <xdr:cNvPr id="12" name="TextBox 11"/>
            <xdr:cNvSpPr txBox="1"/>
          </xdr:nvSpPr>
          <xdr:spPr>
            <a:xfrm>
              <a:off x="15106650" y="2038350"/>
              <a:ext cx="180975" cy="190500"/>
            </a:xfrm>
            <a:prstGeom prst="rect">
              <a:avLst/>
            </a:prstGeom>
            <a:solidFill>
              <a:schemeClr val="accent2">
                <a:lumMod val="20000"/>
                <a:lumOff val="80000"/>
              </a:schemeClr>
            </a:solidFill>
            <a:ln w="9525" cmpd="sng">
              <a:solidFill>
                <a:schemeClr val="accent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grpSp>
      <xdr:sp macro="" textlink="">
        <xdr:nvSpPr>
          <xdr:cNvPr id="14" name="TextBox 13"/>
          <xdr:cNvSpPr txBox="1"/>
        </xdr:nvSpPr>
        <xdr:spPr>
          <a:xfrm>
            <a:off x="2505075" y="180547"/>
            <a:ext cx="209550" cy="5439505"/>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2304.583269328701" createdVersion="4" refreshedVersion="4" minRefreshableVersion="3" recordCount="23">
  <cacheSource type="worksheet">
    <worksheetSource ref="AG2:AH25" sheet="Calculate"/>
  </cacheSource>
  <cacheFields count="2">
    <cacheField name="KPI" numFmtId="0">
      <sharedItems count="23">
        <s v="Absolute Deposit"/>
        <s v="Advances"/>
        <s v="Agr: Finance O/S"/>
        <s v="Average Deposit"/>
        <s v="CASA Deposit"/>
        <s v="Classified Advances"/>
        <s v="Cost of Fund"/>
        <s v="Expenditure Excluding Administrative Exp."/>
        <s v="Exports"/>
        <s v="Home Remittance"/>
        <s v="Imports"/>
        <s v="Income"/>
        <s v="Intermediation Cost"/>
        <s v="NBP Adv: Sal: O/S"/>
        <s v="No of Current A/Cs Opened during Month"/>
        <s v="No of Current A/cs Opened Progressive"/>
        <s v="Non Fund Base Advances"/>
        <s v="Non Fund Base Income"/>
        <s v="Other Expenses"/>
        <s v="Overdue Adv: Sal: over 90 Days"/>
        <s v="Personal Expenses"/>
        <s v="Profit/Loss"/>
        <s v="Weekly Deposit  10-09-2015"/>
      </sharedItems>
    </cacheField>
    <cacheField name="Row" numFmtId="0">
      <sharedItems containsSemiMixedTypes="0" containsString="0" containsNumber="1" containsInteger="1" minValue="1" maxValue="2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
  <r>
    <x v="0"/>
    <n v="1"/>
  </r>
  <r>
    <x v="1"/>
    <n v="2"/>
  </r>
  <r>
    <x v="2"/>
    <n v="3"/>
  </r>
  <r>
    <x v="3"/>
    <n v="4"/>
  </r>
  <r>
    <x v="4"/>
    <n v="5"/>
  </r>
  <r>
    <x v="5"/>
    <n v="6"/>
  </r>
  <r>
    <x v="6"/>
    <n v="7"/>
  </r>
  <r>
    <x v="7"/>
    <n v="8"/>
  </r>
  <r>
    <x v="8"/>
    <n v="9"/>
  </r>
  <r>
    <x v="9"/>
    <n v="10"/>
  </r>
  <r>
    <x v="10"/>
    <n v="11"/>
  </r>
  <r>
    <x v="11"/>
    <n v="12"/>
  </r>
  <r>
    <x v="12"/>
    <n v="13"/>
  </r>
  <r>
    <x v="13"/>
    <n v="14"/>
  </r>
  <r>
    <x v="14"/>
    <n v="15"/>
  </r>
  <r>
    <x v="15"/>
    <n v="16"/>
  </r>
  <r>
    <x v="16"/>
    <n v="17"/>
  </r>
  <r>
    <x v="17"/>
    <n v="18"/>
  </r>
  <r>
    <x v="18"/>
    <n v="19"/>
  </r>
  <r>
    <x v="19"/>
    <n v="20"/>
  </r>
  <r>
    <x v="20"/>
    <n v="21"/>
  </r>
  <r>
    <x v="21"/>
    <n v="22"/>
  </r>
  <r>
    <x v="22"/>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rowHeaderCaption="KPI">
  <location ref="AJ2:AK3" firstHeaderRow="1" firstDataRow="1" firstDataCol="1"/>
  <pivotFields count="2">
    <pivotField axis="axisRow" showAll="0">
      <items count="24">
        <item x="0"/>
        <item h="1" x="1"/>
        <item h="1" x="2"/>
        <item h="1" x="3"/>
        <item h="1" x="4"/>
        <item h="1" x="5"/>
        <item h="1" x="6"/>
        <item h="1" x="7"/>
        <item h="1" x="8"/>
        <item h="1" x="9"/>
        <item h="1" x="10"/>
        <item h="1" x="11"/>
        <item h="1" x="12"/>
        <item h="1" x="13"/>
        <item h="1" x="14"/>
        <item h="1" x="15"/>
        <item h="1" x="16"/>
        <item h="1" x="17"/>
        <item h="1" x="18"/>
        <item h="1" x="19"/>
        <item h="1" x="20"/>
        <item h="1" x="21"/>
        <item h="1" x="22"/>
        <item t="default"/>
      </items>
    </pivotField>
    <pivotField dataField="1" showAll="0"/>
  </pivotFields>
  <rowFields count="1">
    <field x="0"/>
  </rowFields>
  <rowItems count="1">
    <i>
      <x/>
    </i>
  </rowItems>
  <colItems count="1">
    <i/>
  </colItems>
  <dataFields count="1">
    <dataField name="Sum of Row" fld="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KPI" sourceName="KPI">
  <pivotTables>
    <pivotTable tabId="4" name="PivotTable4"/>
  </pivotTables>
  <data>
    <tabular pivotCacheId="1">
      <items count="23">
        <i x="0" s="1"/>
        <i x="1"/>
        <i x="2"/>
        <i x="3"/>
        <i x="4"/>
        <i x="5"/>
        <i x="6"/>
        <i x="7"/>
        <i x="8"/>
        <i x="9"/>
        <i x="10"/>
        <i x="11"/>
        <i x="12"/>
        <i x="13"/>
        <i x="14"/>
        <i x="15"/>
        <i x="16"/>
        <i x="17"/>
        <i x="18"/>
        <i x="19"/>
        <i x="20"/>
        <i x="21"/>
        <i x="2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KPI 2" cache="Slicer_KPI" caption="KPI" showCaption="0" style="Slicer Style 2" rowHeight="2124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U31"/>
  <sheetViews>
    <sheetView showGridLines="0" tabSelected="1" workbookViewId="0">
      <selection activeCell="T1" sqref="T1"/>
    </sheetView>
  </sheetViews>
  <sheetFormatPr defaultColWidth="0" defaultRowHeight="15" zeroHeight="1"/>
  <cols>
    <col min="1" max="1" width="3.5703125" style="48" customWidth="1"/>
    <col min="2" max="4" width="9.140625" style="48" customWidth="1"/>
    <col min="5" max="5" width="8" style="48" customWidth="1"/>
    <col min="6" max="7" width="1.7109375" style="48" customWidth="1"/>
    <col min="8" max="8" width="13.7109375" style="41" customWidth="1"/>
    <col min="9" max="9" width="1.7109375" style="41" customWidth="1"/>
    <col min="10" max="10" width="13.7109375" style="41" customWidth="1"/>
    <col min="11" max="11" width="1.7109375" style="41" customWidth="1"/>
    <col min="12" max="12" width="13.7109375" style="41" customWidth="1"/>
    <col min="13" max="13" width="1.7109375" style="41" customWidth="1"/>
    <col min="14" max="14" width="13.7109375" style="41" customWidth="1"/>
    <col min="15" max="15" width="1.7109375" style="41" customWidth="1"/>
    <col min="16" max="16" width="13.7109375" style="41" customWidth="1"/>
    <col min="17" max="17" width="1.7109375" style="41" customWidth="1"/>
    <col min="18" max="18" width="13.7109375" style="41" customWidth="1"/>
    <col min="19" max="19" width="4.5703125" style="41" customWidth="1"/>
    <col min="20" max="20" width="3.5703125" style="41" customWidth="1"/>
    <col min="21" max="21" width="2.7109375" style="41" hidden="1" customWidth="1"/>
    <col min="22" max="16384" width="9.140625" style="41" hidden="1"/>
  </cols>
  <sheetData>
    <row r="1" spans="3:20" ht="14.25" customHeight="1"/>
    <row r="2" spans="3:20">
      <c r="G2" s="50"/>
      <c r="H2" s="42"/>
      <c r="I2" s="42"/>
      <c r="J2" s="42"/>
      <c r="K2" s="42"/>
      <c r="L2" s="42"/>
      <c r="M2" s="42"/>
      <c r="N2" s="42"/>
      <c r="O2" s="42"/>
      <c r="P2" s="42"/>
      <c r="Q2" s="42"/>
      <c r="R2" s="42"/>
      <c r="S2" s="42"/>
    </row>
    <row r="3" spans="3:20">
      <c r="C3" s="49"/>
      <c r="G3" s="50"/>
      <c r="H3" s="42"/>
      <c r="I3" s="42"/>
      <c r="J3" s="44"/>
      <c r="K3" s="44"/>
      <c r="L3" s="44"/>
      <c r="M3" s="44"/>
      <c r="N3" s="44"/>
      <c r="O3" s="44"/>
      <c r="P3" s="44"/>
      <c r="Q3" s="44"/>
      <c r="R3" s="42"/>
      <c r="S3" s="42"/>
      <c r="T3" s="43"/>
    </row>
    <row r="4" spans="3:20">
      <c r="G4" s="50"/>
      <c r="H4" s="42"/>
      <c r="I4" s="42"/>
      <c r="J4" s="42"/>
      <c r="K4" s="42"/>
      <c r="L4" s="42"/>
      <c r="M4" s="42"/>
      <c r="N4" s="42"/>
      <c r="O4" s="42"/>
      <c r="P4" s="42"/>
      <c r="Q4" s="42"/>
      <c r="R4" s="42"/>
      <c r="S4" s="42"/>
    </row>
    <row r="5" spans="3:20">
      <c r="G5" s="50"/>
      <c r="H5" s="42"/>
      <c r="I5" s="42"/>
      <c r="J5" s="42"/>
      <c r="K5" s="42"/>
      <c r="L5" s="42"/>
      <c r="M5" s="42"/>
      <c r="N5" s="42"/>
      <c r="O5" s="42"/>
      <c r="P5" s="42"/>
      <c r="Q5" s="42"/>
      <c r="R5" s="42"/>
      <c r="S5" s="42"/>
    </row>
    <row r="6" spans="3:20">
      <c r="G6" s="50"/>
      <c r="H6" s="42"/>
      <c r="I6" s="42"/>
      <c r="J6" s="42"/>
      <c r="K6" s="42"/>
      <c r="L6" s="42"/>
      <c r="M6" s="42"/>
      <c r="N6" s="42"/>
      <c r="O6" s="42"/>
      <c r="P6" s="42"/>
      <c r="Q6" s="42"/>
      <c r="R6" s="42"/>
      <c r="S6" s="42"/>
    </row>
    <row r="7" spans="3:20">
      <c r="G7" s="50"/>
      <c r="H7" s="42"/>
      <c r="I7" s="42"/>
      <c r="J7" s="42"/>
      <c r="K7" s="42"/>
      <c r="L7" s="42"/>
      <c r="M7" s="42"/>
      <c r="N7" s="42"/>
      <c r="O7" s="42"/>
      <c r="P7" s="42"/>
      <c r="Q7" s="42"/>
      <c r="R7" s="42"/>
      <c r="S7" s="42"/>
    </row>
    <row r="8" spans="3:20">
      <c r="G8" s="50"/>
      <c r="H8" s="42"/>
      <c r="I8" s="42"/>
      <c r="J8" s="42"/>
      <c r="K8" s="42"/>
      <c r="L8" s="42"/>
      <c r="M8" s="42"/>
      <c r="N8" s="42"/>
      <c r="O8" s="42"/>
      <c r="P8" s="42"/>
      <c r="Q8" s="42"/>
      <c r="R8" s="42"/>
      <c r="S8" s="42"/>
    </row>
    <row r="9" spans="3:20">
      <c r="G9" s="50"/>
      <c r="H9" s="42"/>
      <c r="I9" s="42"/>
      <c r="J9" s="42"/>
      <c r="K9" s="42"/>
      <c r="L9" s="42"/>
      <c r="M9" s="42"/>
      <c r="N9" s="42"/>
      <c r="O9" s="42"/>
      <c r="P9" s="42"/>
      <c r="Q9" s="42"/>
      <c r="R9" s="42"/>
      <c r="S9" s="42"/>
    </row>
    <row r="10" spans="3:20">
      <c r="G10" s="50"/>
      <c r="H10" s="42"/>
      <c r="I10" s="42"/>
      <c r="J10" s="42"/>
      <c r="K10" s="42"/>
      <c r="L10" s="42"/>
      <c r="M10" s="42"/>
      <c r="N10" s="42"/>
      <c r="O10" s="42"/>
      <c r="P10" s="42"/>
      <c r="Q10" s="42"/>
      <c r="R10" s="42"/>
      <c r="S10" s="42"/>
    </row>
    <row r="11" spans="3:20" ht="15.75" customHeight="1">
      <c r="G11" s="50"/>
      <c r="H11" s="42"/>
      <c r="I11" s="42"/>
      <c r="J11" s="42"/>
      <c r="K11" s="42"/>
      <c r="L11" s="42"/>
      <c r="M11" s="42"/>
      <c r="N11" s="42"/>
      <c r="O11" s="42"/>
      <c r="P11" s="42"/>
      <c r="Q11" s="42"/>
      <c r="R11" s="42"/>
      <c r="S11" s="42"/>
    </row>
    <row r="12" spans="3:20">
      <c r="G12" s="50"/>
      <c r="H12" s="42"/>
      <c r="I12" s="42"/>
      <c r="J12" s="42"/>
      <c r="K12" s="42"/>
      <c r="L12" s="42"/>
      <c r="M12" s="42"/>
      <c r="N12" s="42"/>
      <c r="O12" s="42"/>
      <c r="P12" s="42"/>
      <c r="Q12" s="42"/>
      <c r="R12" s="42"/>
      <c r="S12" s="42"/>
    </row>
    <row r="13" spans="3:20">
      <c r="G13" s="50"/>
      <c r="H13" s="42"/>
      <c r="I13" s="42"/>
      <c r="J13" s="42"/>
      <c r="K13" s="42"/>
      <c r="L13" s="42"/>
      <c r="M13" s="42"/>
      <c r="N13" s="42"/>
      <c r="O13" s="42"/>
      <c r="P13" s="42"/>
      <c r="Q13" s="42"/>
      <c r="R13" s="42"/>
      <c r="S13" s="42"/>
    </row>
    <row r="14" spans="3:20">
      <c r="G14" s="50"/>
      <c r="H14" s="42"/>
      <c r="I14" s="42"/>
      <c r="J14" s="42"/>
      <c r="K14" s="42"/>
      <c r="L14" s="42"/>
      <c r="M14" s="42"/>
      <c r="N14" s="42"/>
      <c r="O14" s="42"/>
      <c r="P14" s="42"/>
      <c r="Q14" s="42"/>
      <c r="R14" s="42"/>
      <c r="S14" s="42"/>
    </row>
    <row r="15" spans="3:20">
      <c r="G15" s="50"/>
      <c r="H15" s="42"/>
      <c r="I15" s="42"/>
      <c r="J15" s="42"/>
      <c r="K15" s="42"/>
      <c r="L15" s="42"/>
      <c r="M15" s="42"/>
      <c r="N15" s="42"/>
      <c r="O15" s="42"/>
      <c r="P15" s="42"/>
      <c r="Q15" s="42"/>
      <c r="R15" s="42"/>
      <c r="S15" s="42"/>
    </row>
    <row r="16" spans="3:20">
      <c r="G16" s="50"/>
      <c r="H16" s="42"/>
      <c r="I16" s="42"/>
      <c r="J16" s="42"/>
      <c r="K16" s="42"/>
      <c r="L16" s="42"/>
      <c r="M16" s="42"/>
      <c r="N16" s="42"/>
      <c r="O16" s="42"/>
      <c r="P16" s="42"/>
      <c r="Q16" s="42"/>
      <c r="R16" s="42"/>
      <c r="S16" s="42"/>
    </row>
    <row r="17" spans="7:19">
      <c r="G17" s="50"/>
      <c r="H17" s="42"/>
      <c r="I17" s="42"/>
      <c r="J17" s="42"/>
      <c r="K17" s="42"/>
      <c r="L17" s="42"/>
      <c r="M17" s="42"/>
      <c r="N17" s="42"/>
      <c r="O17" s="42"/>
      <c r="P17" s="42"/>
      <c r="Q17" s="42"/>
      <c r="R17" s="42"/>
      <c r="S17" s="42"/>
    </row>
    <row r="18" spans="7:19">
      <c r="G18" s="50"/>
      <c r="H18" s="42"/>
      <c r="I18" s="42"/>
      <c r="J18" s="42"/>
      <c r="K18" s="42"/>
      <c r="L18" s="42"/>
      <c r="M18" s="42"/>
      <c r="N18" s="42"/>
      <c r="O18" s="42"/>
      <c r="P18" s="42"/>
      <c r="Q18" s="42"/>
      <c r="R18" s="42"/>
      <c r="S18" s="42"/>
    </row>
    <row r="19" spans="7:19">
      <c r="G19" s="50"/>
      <c r="H19" s="42"/>
      <c r="I19" s="42"/>
      <c r="J19" s="42"/>
      <c r="K19" s="42"/>
      <c r="L19" s="42"/>
      <c r="M19" s="42"/>
      <c r="N19" s="42"/>
      <c r="O19" s="42"/>
      <c r="P19" s="42"/>
      <c r="Q19" s="42"/>
      <c r="R19" s="42"/>
      <c r="S19" s="42"/>
    </row>
    <row r="20" spans="7:19">
      <c r="G20" s="50"/>
      <c r="H20" s="42"/>
      <c r="I20" s="42"/>
      <c r="J20" s="42"/>
      <c r="K20" s="42"/>
      <c r="L20" s="42"/>
      <c r="M20" s="42"/>
      <c r="N20" s="42"/>
      <c r="O20" s="42"/>
      <c r="P20" s="42"/>
      <c r="Q20" s="42"/>
      <c r="R20" s="42"/>
      <c r="S20" s="42"/>
    </row>
    <row r="21" spans="7:19">
      <c r="G21" s="50"/>
      <c r="H21" s="42"/>
      <c r="I21" s="42"/>
      <c r="J21" s="42"/>
      <c r="K21" s="42"/>
      <c r="L21" s="42"/>
      <c r="M21" s="42"/>
      <c r="N21" s="42"/>
      <c r="O21" s="42"/>
      <c r="P21" s="42"/>
      <c r="Q21" s="42"/>
      <c r="R21" s="42"/>
      <c r="S21" s="42"/>
    </row>
    <row r="22" spans="7:19">
      <c r="G22" s="50"/>
      <c r="H22" s="42"/>
      <c r="I22" s="42"/>
      <c r="J22" s="42"/>
      <c r="K22" s="42"/>
      <c r="L22" s="42"/>
      <c r="M22" s="42"/>
      <c r="N22" s="42"/>
      <c r="O22" s="42"/>
      <c r="P22" s="42"/>
      <c r="Q22" s="42"/>
      <c r="R22" s="42"/>
      <c r="S22" s="42"/>
    </row>
    <row r="23" spans="7:19">
      <c r="G23" s="50"/>
      <c r="H23" s="42"/>
      <c r="I23" s="42"/>
      <c r="J23" s="42"/>
      <c r="K23" s="42"/>
      <c r="L23" s="42"/>
      <c r="M23" s="42"/>
      <c r="N23" s="42"/>
      <c r="O23" s="42"/>
      <c r="P23" s="42"/>
      <c r="Q23" s="42"/>
      <c r="R23" s="42"/>
      <c r="S23" s="42"/>
    </row>
    <row r="24" spans="7:19">
      <c r="G24" s="50"/>
      <c r="H24" s="42"/>
      <c r="I24" s="42"/>
      <c r="J24" s="42"/>
      <c r="K24" s="42"/>
      <c r="L24" s="42"/>
      <c r="M24" s="42"/>
      <c r="N24" s="42"/>
      <c r="O24" s="42"/>
      <c r="P24" s="42"/>
      <c r="Q24" s="42"/>
      <c r="R24" s="42"/>
      <c r="S24" s="42"/>
    </row>
    <row r="25" spans="7:19">
      <c r="G25" s="50"/>
      <c r="H25" s="42"/>
      <c r="I25" s="42"/>
      <c r="J25" s="42"/>
      <c r="K25" s="42"/>
      <c r="L25" s="42"/>
      <c r="M25" s="42"/>
      <c r="N25" s="42"/>
      <c r="O25" s="42"/>
      <c r="P25" s="42"/>
      <c r="Q25" s="42"/>
      <c r="R25" s="42"/>
      <c r="S25" s="42"/>
    </row>
    <row r="26" spans="7:19" ht="9.9499999999999993" customHeight="1">
      <c r="G26" s="50"/>
      <c r="H26" s="42"/>
      <c r="I26" s="42"/>
      <c r="J26" s="42"/>
      <c r="K26" s="42"/>
      <c r="L26" s="42"/>
      <c r="M26" s="42"/>
      <c r="N26" s="42"/>
      <c r="O26" s="42"/>
      <c r="P26" s="42"/>
      <c r="Q26" s="42"/>
      <c r="R26" s="42"/>
      <c r="S26" s="42"/>
    </row>
    <row r="27" spans="7:19" ht="30" customHeight="1">
      <c r="G27" s="50"/>
      <c r="H27" s="51" t="str">
        <f>IF(Calculate!AE7=1,Calculate!AB7,"")</f>
        <v>Varinace with
Base [31/12/2014]</v>
      </c>
      <c r="I27" s="51"/>
      <c r="J27" s="51"/>
      <c r="K27" s="42"/>
      <c r="L27" s="51" t="str">
        <f>IF(Calculate!AE8=1,Calculate!AB8,"")</f>
        <v/>
      </c>
      <c r="M27" s="51"/>
      <c r="N27" s="51"/>
      <c r="O27" s="42"/>
      <c r="P27" s="51" t="str">
        <f>IF(Calculate!AE9=1,Calculate!AB9,"")</f>
        <v>Varinace with
Target [Dec 2015]</v>
      </c>
      <c r="Q27" s="51"/>
      <c r="R27" s="51"/>
      <c r="S27" s="42"/>
    </row>
    <row r="28" spans="7:19" ht="4.5" customHeight="1">
      <c r="G28" s="50"/>
      <c r="H28" s="42"/>
      <c r="I28" s="42"/>
      <c r="J28" s="42"/>
      <c r="K28" s="42"/>
      <c r="L28" s="42"/>
      <c r="M28" s="42"/>
      <c r="N28" s="42"/>
      <c r="O28" s="42"/>
      <c r="P28" s="42"/>
      <c r="Q28" s="42"/>
      <c r="R28" s="42"/>
      <c r="S28" s="42"/>
    </row>
    <row r="29" spans="7:19">
      <c r="G29" s="50"/>
      <c r="H29" s="45">
        <f>IF(Calculate!AE7=1,Calculate!AD7,"")</f>
        <v>0.33405899150960783</v>
      </c>
      <c r="I29" s="42"/>
      <c r="J29" s="46">
        <f>IF(Calculate!AE7=1,Calculate!AC7,"")</f>
        <v>2093.3789999999999</v>
      </c>
      <c r="K29" s="42"/>
      <c r="L29" s="47" t="str">
        <f>IF(Calculate!AE8=1,Calculate!AD8,"")</f>
        <v/>
      </c>
      <c r="M29" s="42"/>
      <c r="N29" s="46" t="str">
        <f>IF(Calculate!AE8=1,Calculate!AC8,"")</f>
        <v/>
      </c>
      <c r="O29" s="42"/>
      <c r="P29" s="47">
        <f>IF(Calculate!AE9=1,Calculate!AD9,"")</f>
        <v>0.20005770090713304</v>
      </c>
      <c r="Q29" s="42"/>
      <c r="R29" s="46">
        <f>IF(Calculate!AE9=1,Calculate!AC9,"")</f>
        <v>1393.6472979999999</v>
      </c>
      <c r="S29" s="42"/>
    </row>
    <row r="30" spans="7:19" ht="9.75" customHeight="1">
      <c r="G30" s="50"/>
      <c r="H30" s="42"/>
      <c r="I30" s="42"/>
      <c r="J30" s="42"/>
      <c r="K30" s="42"/>
      <c r="L30" s="42"/>
      <c r="M30" s="42"/>
      <c r="N30" s="42"/>
      <c r="O30" s="42"/>
      <c r="P30" s="42"/>
      <c r="Q30" s="42"/>
      <c r="R30" s="42"/>
      <c r="S30" s="42"/>
    </row>
    <row r="31" spans="7:19"/>
  </sheetData>
  <sheetProtection selectLockedCells="1"/>
  <mergeCells count="3">
    <mergeCell ref="H27:J27"/>
    <mergeCell ref="P27:R27"/>
    <mergeCell ref="L27:N27"/>
  </mergeCells>
  <conditionalFormatting sqref="J29 H29">
    <cfRule type="expression" dxfId="7" priority="15">
      <formula>$J$29&lt;0</formula>
    </cfRule>
  </conditionalFormatting>
  <conditionalFormatting sqref="N29">
    <cfRule type="expression" dxfId="6" priority="17">
      <formula>$N$29&lt;0</formula>
    </cfRule>
  </conditionalFormatting>
  <conditionalFormatting sqref="R29 P29">
    <cfRule type="expression" dxfId="5" priority="19">
      <formula>$R$29&lt;0</formula>
    </cfRule>
  </conditionalFormatting>
  <conditionalFormatting sqref="L29">
    <cfRule type="expression" dxfId="4" priority="1">
      <formula>$N$29&lt;0</formula>
    </cfRule>
  </conditionalFormatting>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Drop Down 1">
              <controlPr defaultSize="0" autoLine="0" autoPict="0">
                <anchor moveWithCells="1">
                  <from>
                    <xdr:col>11</xdr:col>
                    <xdr:colOff>0</xdr:colOff>
                    <xdr:row>23</xdr:row>
                    <xdr:rowOff>180975</xdr:rowOff>
                  </from>
                  <to>
                    <xdr:col>14</xdr:col>
                    <xdr:colOff>0</xdr:colOff>
                    <xdr:row>24</xdr:row>
                    <xdr:rowOff>180975</xdr:rowOff>
                  </to>
                </anchor>
              </controlPr>
            </control>
          </mc:Choice>
        </mc:AlternateContent>
        <mc:AlternateContent xmlns:mc="http://schemas.openxmlformats.org/markup-compatibility/2006">
          <mc:Choice Requires="x14">
            <control shapeId="5122" r:id="rId5" name="Drop Down 2">
              <controlPr defaultSize="0" autoLine="0" autoPict="0">
                <anchor moveWithCells="1">
                  <from>
                    <xdr:col>7</xdr:col>
                    <xdr:colOff>0</xdr:colOff>
                    <xdr:row>23</xdr:row>
                    <xdr:rowOff>180975</xdr:rowOff>
                  </from>
                  <to>
                    <xdr:col>10</xdr:col>
                    <xdr:colOff>38100</xdr:colOff>
                    <xdr:row>24</xdr:row>
                    <xdr:rowOff>180975</xdr:rowOff>
                  </to>
                </anchor>
              </controlPr>
            </control>
          </mc:Choice>
        </mc:AlternateContent>
        <mc:AlternateContent xmlns:mc="http://schemas.openxmlformats.org/markup-compatibility/2006">
          <mc:Choice Requires="x14">
            <control shapeId="5123" r:id="rId6" name="Drop Down 3">
              <controlPr defaultSize="0" autoLine="0" autoPict="0">
                <anchor moveWithCells="1">
                  <from>
                    <xdr:col>15</xdr:col>
                    <xdr:colOff>0</xdr:colOff>
                    <xdr:row>23</xdr:row>
                    <xdr:rowOff>180975</xdr:rowOff>
                  </from>
                  <to>
                    <xdr:col>18</xdr:col>
                    <xdr:colOff>38100</xdr:colOff>
                    <xdr:row>24</xdr:row>
                    <xdr:rowOff>180975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6" stopIfTrue="1" id="{F9663EF9-AF03-460C-BD8F-4E0D57ACD0E2}">
            <xm:f>Calculate!$AE$7&lt;&gt;1</xm:f>
            <x14:dxf>
              <fill>
                <patternFill>
                  <bgColor theme="1" tint="0.24994659260841701"/>
                </patternFill>
              </fill>
            </x14:dxf>
          </x14:cfRule>
          <xm:sqref>J29 H29</xm:sqref>
        </x14:conditionalFormatting>
        <x14:conditionalFormatting xmlns:xm="http://schemas.microsoft.com/office/excel/2006/main">
          <x14:cfRule type="expression" priority="18" stopIfTrue="1" id="{1F76664A-D46B-4EA1-98E2-D237DF23373B}">
            <xm:f>Calculate!$AE$8&lt;&gt;1</xm:f>
            <x14:dxf>
              <fill>
                <patternFill>
                  <bgColor theme="1" tint="0.24994659260841701"/>
                </patternFill>
              </fill>
            </x14:dxf>
          </x14:cfRule>
          <xm:sqref>N29</xm:sqref>
        </x14:conditionalFormatting>
        <x14:conditionalFormatting xmlns:xm="http://schemas.microsoft.com/office/excel/2006/main">
          <x14:cfRule type="expression" priority="20" stopIfTrue="1" id="{53FB7095-1F5F-41B9-A818-E87752BCA4C7}">
            <xm:f>Calculate!$AE$9&lt;&gt;1</xm:f>
            <x14:dxf>
              <fill>
                <patternFill>
                  <bgColor theme="1" tint="0.24994659260841701"/>
                </patternFill>
              </fill>
            </x14:dxf>
          </x14:cfRule>
          <xm:sqref>R29 P29</xm:sqref>
        </x14:conditionalFormatting>
        <x14:conditionalFormatting xmlns:xm="http://schemas.microsoft.com/office/excel/2006/main">
          <x14:cfRule type="expression" priority="2" stopIfTrue="1" id="{B1380AF1-0FC6-400A-9D9C-2D69222BF3B7}">
            <xm:f>Calculate!$AE$8&lt;&gt;1</xm:f>
            <x14:dxf>
              <fill>
                <patternFill>
                  <bgColor theme="1" tint="0.24994659260841701"/>
                </patternFill>
              </fill>
            </x14:dxf>
          </x14:cfRule>
          <xm:sqref>L29</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R33"/>
  <sheetViews>
    <sheetView zoomScale="90" zoomScaleNormal="90" workbookViewId="0">
      <selection activeCell="S10" sqref="S10"/>
    </sheetView>
  </sheetViews>
  <sheetFormatPr defaultColWidth="9.140625" defaultRowHeight="12.75"/>
  <cols>
    <col min="1" max="1" width="2.42578125" style="1" customWidth="1"/>
    <col min="2" max="2" width="39.42578125" style="1" bestFit="1" customWidth="1"/>
    <col min="3" max="5" width="10.28515625" style="1" customWidth="1"/>
    <col min="6" max="7" width="11.5703125" style="1" bestFit="1" customWidth="1"/>
    <col min="8" max="14" width="10.28515625" style="1" customWidth="1"/>
    <col min="15" max="15" width="9.140625" style="1"/>
    <col min="16" max="16" width="10" style="1" bestFit="1" customWidth="1"/>
    <col min="17" max="16384" width="9.140625" style="1"/>
  </cols>
  <sheetData>
    <row r="2" spans="2:18">
      <c r="B2" s="9" t="s">
        <v>48</v>
      </c>
      <c r="C2" s="3" t="s">
        <v>1</v>
      </c>
      <c r="D2" s="3" t="s">
        <v>2</v>
      </c>
      <c r="E2" s="3" t="s">
        <v>3</v>
      </c>
      <c r="F2" s="3" t="s">
        <v>4</v>
      </c>
      <c r="G2" s="3" t="s">
        <v>4</v>
      </c>
      <c r="H2" s="52" t="s">
        <v>5</v>
      </c>
      <c r="I2" s="52"/>
      <c r="J2" s="52" t="s">
        <v>5</v>
      </c>
      <c r="K2" s="52"/>
      <c r="L2" s="52" t="s">
        <v>5</v>
      </c>
      <c r="M2" s="52"/>
      <c r="N2" s="3" t="s">
        <v>6</v>
      </c>
    </row>
    <row r="3" spans="2:18">
      <c r="B3" s="10"/>
      <c r="C3" s="3" t="s">
        <v>0</v>
      </c>
      <c r="D3" s="3" t="s">
        <v>7</v>
      </c>
      <c r="E3" s="3" t="s">
        <v>7</v>
      </c>
      <c r="F3" s="3" t="s">
        <v>6</v>
      </c>
      <c r="G3" s="3" t="s">
        <v>6</v>
      </c>
      <c r="H3" s="52" t="s">
        <v>8</v>
      </c>
      <c r="I3" s="52"/>
      <c r="J3" s="52" t="s">
        <v>9</v>
      </c>
      <c r="K3" s="52"/>
      <c r="L3" s="52" t="s">
        <v>10</v>
      </c>
      <c r="M3" s="52"/>
      <c r="N3" s="3" t="s">
        <v>11</v>
      </c>
    </row>
    <row r="4" spans="2:18">
      <c r="B4" s="11"/>
      <c r="C4" s="3" t="s">
        <v>12</v>
      </c>
      <c r="D4" s="3" t="s">
        <v>13</v>
      </c>
      <c r="E4" s="3" t="s">
        <v>14</v>
      </c>
      <c r="F4" s="3" t="s">
        <v>14</v>
      </c>
      <c r="G4" s="3" t="s">
        <v>15</v>
      </c>
      <c r="H4" s="3" t="s">
        <v>16</v>
      </c>
      <c r="I4" s="3" t="s">
        <v>17</v>
      </c>
      <c r="J4" s="3" t="s">
        <v>18</v>
      </c>
      <c r="K4" s="3" t="s">
        <v>17</v>
      </c>
      <c r="L4" s="3" t="s">
        <v>18</v>
      </c>
      <c r="M4" s="3" t="s">
        <v>17</v>
      </c>
      <c r="N4" s="3">
        <v>2015</v>
      </c>
    </row>
    <row r="5" spans="2:18" s="2" customFormat="1" ht="17.100000000000001" customHeight="1">
      <c r="B5" s="4" t="s">
        <v>19</v>
      </c>
      <c r="C5" s="5">
        <v>6266.4949999999999</v>
      </c>
      <c r="D5" s="5">
        <v>0</v>
      </c>
      <c r="E5" s="5">
        <v>8359.8739999999998</v>
      </c>
      <c r="F5" s="5">
        <v>6389.1091277222222</v>
      </c>
      <c r="G5" s="5">
        <v>6526.8667209444438</v>
      </c>
      <c r="H5" s="6">
        <v>2093.3789999999999</v>
      </c>
      <c r="I5" s="7">
        <v>0.33405899150960783</v>
      </c>
      <c r="J5" s="6">
        <v>8359.8739999999998</v>
      </c>
      <c r="K5" s="8">
        <v>0</v>
      </c>
      <c r="L5" s="6">
        <v>1970.7648722777776</v>
      </c>
      <c r="M5" s="7">
        <v>0.30845691204845233</v>
      </c>
      <c r="N5" s="5">
        <v>6966.2267019999999</v>
      </c>
      <c r="P5" s="12"/>
      <c r="Q5" s="40"/>
    </row>
    <row r="6" spans="2:18" s="2" customFormat="1" ht="17.100000000000001" customHeight="1">
      <c r="B6" s="4" t="s">
        <v>20</v>
      </c>
      <c r="C6" s="5">
        <v>5407.5510000000004</v>
      </c>
      <c r="D6" s="5">
        <v>3934.1880000000001</v>
      </c>
      <c r="E6" s="5">
        <v>4160.8440000000001</v>
      </c>
      <c r="F6" s="5">
        <v>5387.4560903888887</v>
      </c>
      <c r="G6" s="5">
        <v>5507.3750539444436</v>
      </c>
      <c r="H6" s="6">
        <v>-1246.7070000000003</v>
      </c>
      <c r="I6" s="7">
        <v>-0.23054928192078081</v>
      </c>
      <c r="J6" s="6">
        <v>226.65599999999995</v>
      </c>
      <c r="K6" s="8">
        <v>5.7611888399842597E-2</v>
      </c>
      <c r="L6" s="6">
        <v>-1226.6120903888886</v>
      </c>
      <c r="M6" s="7">
        <v>-0.22767927381851696</v>
      </c>
      <c r="N6" s="5">
        <v>5893.2191459999995</v>
      </c>
      <c r="P6" s="12"/>
      <c r="Q6" s="40"/>
    </row>
    <row r="7" spans="2:18" s="2" customFormat="1" ht="17.100000000000001" customHeight="1">
      <c r="B7" s="4" t="s">
        <v>21</v>
      </c>
      <c r="C7" s="5">
        <v>5433.8267692307691</v>
      </c>
      <c r="D7" s="5">
        <v>5482.2396666666664</v>
      </c>
      <c r="E7" s="5">
        <v>5791.8329211455548</v>
      </c>
      <c r="F7" s="5">
        <v>5862.5331629228385</v>
      </c>
      <c r="G7" s="5">
        <v>5930.5292193333335</v>
      </c>
      <c r="H7" s="6">
        <v>358.00615191478573</v>
      </c>
      <c r="I7" s="7">
        <v>6.5884719391867227E-2</v>
      </c>
      <c r="J7" s="6">
        <v>309.59325447888841</v>
      </c>
      <c r="K7" s="8">
        <v>5.6472039404130717E-2</v>
      </c>
      <c r="L7" s="6">
        <v>-70.700241777283736</v>
      </c>
      <c r="M7" s="7">
        <v>-1.2059674514836392E-2</v>
      </c>
      <c r="N7" s="5">
        <v>6206.569702702991</v>
      </c>
      <c r="P7" s="12"/>
      <c r="Q7" s="40"/>
    </row>
    <row r="8" spans="2:18" s="2" customFormat="1" ht="17.100000000000001" customHeight="1">
      <c r="B8" s="4" t="s">
        <v>22</v>
      </c>
      <c r="C8" s="5">
        <v>6266.4949999999999</v>
      </c>
      <c r="D8" s="5">
        <v>4908.91</v>
      </c>
      <c r="E8" s="5">
        <v>8776.6949999999997</v>
      </c>
      <c r="F8" s="5">
        <v>6389.1091277222222</v>
      </c>
      <c r="G8" s="5">
        <v>6526.8667209444438</v>
      </c>
      <c r="H8" s="6">
        <v>2510.1999999999998</v>
      </c>
      <c r="I8" s="7">
        <v>0.40057480297997522</v>
      </c>
      <c r="J8" s="6">
        <v>3867.7849999999999</v>
      </c>
      <c r="K8" s="8">
        <v>0.78791116561517727</v>
      </c>
      <c r="L8" s="6">
        <v>2387.5858722777775</v>
      </c>
      <c r="M8" s="7">
        <v>0.37369621093464944</v>
      </c>
      <c r="N8" s="5">
        <v>6966.2267019999999</v>
      </c>
      <c r="P8" s="12"/>
      <c r="Q8" s="40"/>
    </row>
    <row r="9" spans="2:18" s="2" customFormat="1" ht="17.100000000000001" customHeight="1">
      <c r="B9" s="4" t="s">
        <v>23</v>
      </c>
      <c r="C9" s="5">
        <v>2280</v>
      </c>
      <c r="D9" s="5">
        <v>20</v>
      </c>
      <c r="E9" s="5">
        <v>41</v>
      </c>
      <c r="F9" s="5">
        <v>190</v>
      </c>
      <c r="G9" s="5">
        <v>190</v>
      </c>
      <c r="H9" s="6">
        <v>-2239</v>
      </c>
      <c r="I9" s="7">
        <v>-0.98201754385964912</v>
      </c>
      <c r="J9" s="6">
        <v>21</v>
      </c>
      <c r="K9" s="8">
        <v>1.05</v>
      </c>
      <c r="L9" s="6">
        <v>-149</v>
      </c>
      <c r="M9" s="7">
        <v>-0.78421052631578947</v>
      </c>
      <c r="N9" s="5">
        <v>2280</v>
      </c>
      <c r="P9" s="12"/>
      <c r="Q9" s="40"/>
    </row>
    <row r="10" spans="2:18" s="2" customFormat="1" ht="17.100000000000001" customHeight="1">
      <c r="B10" s="4" t="s">
        <v>24</v>
      </c>
      <c r="C10" s="5">
        <v>157</v>
      </c>
      <c r="D10" s="5">
        <v>340</v>
      </c>
      <c r="E10" s="5">
        <v>263</v>
      </c>
      <c r="F10" s="5">
        <v>2280</v>
      </c>
      <c r="G10" s="5">
        <v>2280</v>
      </c>
      <c r="H10" s="6">
        <v>106</v>
      </c>
      <c r="I10" s="7">
        <v>0.67515923566878977</v>
      </c>
      <c r="J10" s="6">
        <v>-77</v>
      </c>
      <c r="K10" s="8">
        <v>-0.22647058823529412</v>
      </c>
      <c r="L10" s="6">
        <v>-2017</v>
      </c>
      <c r="M10" s="7">
        <v>-0.88464912280701757</v>
      </c>
      <c r="N10" s="5">
        <v>2280</v>
      </c>
      <c r="P10" s="12"/>
      <c r="Q10" s="40"/>
    </row>
    <row r="11" spans="2:18" s="2" customFormat="1" ht="17.100000000000001" customHeight="1">
      <c r="B11" s="4" t="s">
        <v>25</v>
      </c>
      <c r="C11" s="5">
        <v>0</v>
      </c>
      <c r="D11" s="5">
        <v>0</v>
      </c>
      <c r="E11" s="5">
        <v>0</v>
      </c>
      <c r="F11" s="5">
        <v>0</v>
      </c>
      <c r="G11" s="5">
        <v>0</v>
      </c>
      <c r="H11" s="6">
        <v>0</v>
      </c>
      <c r="I11" s="7">
        <v>0</v>
      </c>
      <c r="J11" s="6">
        <v>0</v>
      </c>
      <c r="K11" s="8">
        <v>0</v>
      </c>
      <c r="L11" s="6">
        <v>0</v>
      </c>
      <c r="M11" s="7">
        <v>0</v>
      </c>
      <c r="N11" s="5">
        <v>0</v>
      </c>
      <c r="P11" s="12"/>
      <c r="Q11" s="40"/>
      <c r="R11" s="40"/>
    </row>
    <row r="12" spans="2:18" s="2" customFormat="1" ht="17.100000000000001" customHeight="1">
      <c r="B12" s="4" t="s">
        <v>26</v>
      </c>
      <c r="C12" s="5">
        <v>-26.512000000000036</v>
      </c>
      <c r="D12" s="5">
        <v>-13.201999999999984</v>
      </c>
      <c r="E12" s="5">
        <v>32.36953931</v>
      </c>
      <c r="F12" s="5">
        <v>25.347089431938741</v>
      </c>
      <c r="G12" s="5">
        <v>28.869012333795538</v>
      </c>
      <c r="H12" s="6">
        <v>58.881539310000036</v>
      </c>
      <c r="I12" s="7">
        <v>-2.2209391713186464</v>
      </c>
      <c r="J12" s="6">
        <v>45.571539309999984</v>
      </c>
      <c r="K12" s="8">
        <v>-3.4518663316164249</v>
      </c>
      <c r="L12" s="6">
        <v>7.0224498780612592</v>
      </c>
      <c r="M12" s="7">
        <v>0.27705152881232126</v>
      </c>
      <c r="N12" s="5">
        <v>39.416257913547</v>
      </c>
      <c r="P12" s="12"/>
      <c r="Q12" s="40"/>
    </row>
    <row r="13" spans="2:18" s="2" customFormat="1" ht="17.100000000000001" customHeight="1">
      <c r="B13" s="4" t="s">
        <v>27</v>
      </c>
      <c r="C13" s="5">
        <v>1220.9970000000003</v>
      </c>
      <c r="D13" s="5">
        <v>1135.671</v>
      </c>
      <c r="E13" s="5">
        <v>1224.3410000000001</v>
      </c>
      <c r="F13" s="5">
        <v>1281.4566666666667</v>
      </c>
      <c r="G13" s="5">
        <v>1280.0202499999996</v>
      </c>
      <c r="H13" s="6">
        <v>3.3439999999998236</v>
      </c>
      <c r="I13" s="7">
        <v>2.738745467842937E-3</v>
      </c>
      <c r="J13" s="6">
        <v>88.670000000000073</v>
      </c>
      <c r="K13" s="8">
        <v>7.8077189608610306E-2</v>
      </c>
      <c r="L13" s="6">
        <v>-57.115666666666584</v>
      </c>
      <c r="M13" s="7">
        <v>-4.4570891979700121E-2</v>
      </c>
      <c r="N13" s="5">
        <v>1311.6860000000001</v>
      </c>
      <c r="P13" s="12"/>
      <c r="Q13" s="40"/>
    </row>
    <row r="14" spans="2:18" s="2" customFormat="1" ht="17.100000000000001" customHeight="1">
      <c r="B14" s="4" t="s">
        <v>28</v>
      </c>
      <c r="C14" s="5">
        <v>0</v>
      </c>
      <c r="D14" s="5">
        <v>0</v>
      </c>
      <c r="E14" s="5">
        <v>0</v>
      </c>
      <c r="F14" s="5">
        <v>0</v>
      </c>
      <c r="G14" s="5">
        <v>0</v>
      </c>
      <c r="H14" s="6">
        <v>0</v>
      </c>
      <c r="I14" s="7">
        <v>0</v>
      </c>
      <c r="J14" s="6">
        <v>0</v>
      </c>
      <c r="K14" s="8">
        <v>0</v>
      </c>
      <c r="L14" s="6">
        <v>0</v>
      </c>
      <c r="M14" s="7">
        <v>0</v>
      </c>
      <c r="N14" s="5">
        <v>0</v>
      </c>
      <c r="P14" s="12"/>
      <c r="Q14" s="40"/>
    </row>
    <row r="15" spans="2:18" s="2" customFormat="1" ht="17.100000000000001" customHeight="1">
      <c r="B15" s="4" t="s">
        <v>29</v>
      </c>
      <c r="C15" s="5">
        <v>361.96300000000002</v>
      </c>
      <c r="D15" s="5">
        <v>365.63200000000001</v>
      </c>
      <c r="E15" s="5">
        <v>352.93899999999996</v>
      </c>
      <c r="F15" s="5">
        <v>280.12166666666661</v>
      </c>
      <c r="G15" s="5">
        <v>260.89774999999997</v>
      </c>
      <c r="H15" s="6">
        <v>-9.0240000000000578</v>
      </c>
      <c r="I15" s="7">
        <v>-2.4930724963601412E-2</v>
      </c>
      <c r="J15" s="6">
        <v>-12.69300000000004</v>
      </c>
      <c r="K15" s="8">
        <v>-3.4715232802380647E-2</v>
      </c>
      <c r="L15" s="6">
        <v>72.817333333333352</v>
      </c>
      <c r="M15" s="7">
        <v>0.25994895075354174</v>
      </c>
      <c r="N15" s="5">
        <v>239.20099999999999</v>
      </c>
      <c r="P15" s="12"/>
      <c r="Q15" s="40"/>
    </row>
    <row r="16" spans="2:18" s="2" customFormat="1" ht="17.100000000000001" customHeight="1">
      <c r="B16" s="4" t="s">
        <v>30</v>
      </c>
      <c r="C16" s="5">
        <v>4252.1737499999999</v>
      </c>
      <c r="D16" s="5">
        <v>389.19399999999996</v>
      </c>
      <c r="E16" s="5">
        <v>337.64073760999997</v>
      </c>
      <c r="F16" s="5">
        <v>4677.3911249999992</v>
      </c>
      <c r="G16" s="5">
        <v>4730.5432968750001</v>
      </c>
      <c r="H16" s="6">
        <v>-3914.5330123899998</v>
      </c>
      <c r="I16" s="7">
        <v>-0.92059573350924329</v>
      </c>
      <c r="J16" s="6">
        <v>-51.553262389999986</v>
      </c>
      <c r="K16" s="8">
        <v>-0.13246160626833917</v>
      </c>
      <c r="L16" s="6">
        <v>-4339.7503873899996</v>
      </c>
      <c r="M16" s="7">
        <v>-0.92781430319022129</v>
      </c>
      <c r="N16" s="5">
        <v>4889.9998125000002</v>
      </c>
      <c r="P16" s="12"/>
      <c r="Q16" s="40"/>
    </row>
    <row r="17" spans="2:17" s="2" customFormat="1" ht="17.100000000000001" customHeight="1">
      <c r="B17" s="4" t="s">
        <v>31</v>
      </c>
      <c r="C17" s="5">
        <v>103.71600000000001</v>
      </c>
      <c r="D17" s="5">
        <v>68.13300000000001</v>
      </c>
      <c r="E17" s="5">
        <v>75.643999999999991</v>
      </c>
      <c r="F17" s="5">
        <v>88.603333333333339</v>
      </c>
      <c r="G17" s="5">
        <v>99.678750000000008</v>
      </c>
      <c r="H17" s="6">
        <v>-28.072000000000017</v>
      </c>
      <c r="I17" s="7">
        <v>-0.27066219291141208</v>
      </c>
      <c r="J17" s="6">
        <v>7.5109999999999815</v>
      </c>
      <c r="K17" s="8">
        <v>0.11024026536333319</v>
      </c>
      <c r="L17" s="6">
        <v>-12.959333333333348</v>
      </c>
      <c r="M17" s="7">
        <v>-0.14626236785673993</v>
      </c>
      <c r="N17" s="5">
        <v>132.90499999999997</v>
      </c>
      <c r="P17" s="12"/>
      <c r="Q17" s="40"/>
    </row>
    <row r="18" spans="2:17" s="2" customFormat="1" ht="17.100000000000001" customHeight="1">
      <c r="B18" s="4" t="s">
        <v>32</v>
      </c>
      <c r="C18" s="5">
        <v>25.082000000000001</v>
      </c>
      <c r="D18" s="5">
        <v>6.8319999999999999</v>
      </c>
      <c r="E18" s="5">
        <v>33.171999999999997</v>
      </c>
      <c r="F18" s="5">
        <v>18.393466666666669</v>
      </c>
      <c r="G18" s="5">
        <v>20.69265</v>
      </c>
      <c r="H18" s="6">
        <v>8.0899999999999963</v>
      </c>
      <c r="I18" s="7">
        <v>0.32254206203652008</v>
      </c>
      <c r="J18" s="6">
        <v>26.339999999999996</v>
      </c>
      <c r="K18" s="8">
        <v>3.8553864168618261</v>
      </c>
      <c r="L18" s="6">
        <v>14.778533333333328</v>
      </c>
      <c r="M18" s="7">
        <v>0.80346644823161817</v>
      </c>
      <c r="N18" s="5">
        <v>27.590200000000003</v>
      </c>
      <c r="P18" s="12"/>
      <c r="Q18" s="40"/>
    </row>
    <row r="19" spans="2:17" s="2" customFormat="1" ht="17.100000000000001" customHeight="1">
      <c r="B19" s="4" t="s">
        <v>33</v>
      </c>
      <c r="C19" s="5">
        <v>0.46765950483202856</v>
      </c>
      <c r="D19" s="5">
        <v>0.45019240133302296</v>
      </c>
      <c r="E19" s="5">
        <v>0.30679659430275508</v>
      </c>
      <c r="F19" s="5">
        <v>0.37312554501983897</v>
      </c>
      <c r="G19" s="5">
        <v>0.37277152167500527</v>
      </c>
      <c r="H19" s="6">
        <v>-0.16086291052927348</v>
      </c>
      <c r="I19" s="7">
        <v>-0.34397442769189812</v>
      </c>
      <c r="J19" s="6">
        <v>-0.14339580703026789</v>
      </c>
      <c r="K19" s="8">
        <v>-0.31852116252000667</v>
      </c>
      <c r="L19" s="6">
        <v>-6.632895071708389E-2</v>
      </c>
      <c r="M19" s="7">
        <v>-0.1777657724119564</v>
      </c>
      <c r="N19" s="5">
        <v>0.36997216594049387</v>
      </c>
      <c r="P19" s="12"/>
      <c r="Q19" s="40"/>
    </row>
    <row r="20" spans="2:17" s="2" customFormat="1" ht="17.100000000000001" customHeight="1">
      <c r="B20" s="4" t="s">
        <v>34</v>
      </c>
      <c r="C20" s="5">
        <v>0.36029260368930105</v>
      </c>
      <c r="D20" s="5">
        <v>0.3032710583161099</v>
      </c>
      <c r="E20" s="5">
        <v>0.26046597949500777</v>
      </c>
      <c r="F20" s="5">
        <v>0.29487225093083114</v>
      </c>
      <c r="G20" s="5">
        <v>0.29182775642501518</v>
      </c>
      <c r="H20" s="6">
        <v>-9.9826624194293279E-2</v>
      </c>
      <c r="I20" s="7">
        <v>-0.27707097834397659</v>
      </c>
      <c r="J20" s="6">
        <v>-4.2805078821102127E-2</v>
      </c>
      <c r="K20" s="8">
        <v>-0.14114462177424433</v>
      </c>
      <c r="L20" s="6">
        <v>-3.4406271435823366E-2</v>
      </c>
      <c r="M20" s="7">
        <v>-0.11668195744839389</v>
      </c>
      <c r="N20" s="5">
        <v>0.28158883475773244</v>
      </c>
      <c r="P20" s="12"/>
      <c r="Q20" s="40"/>
    </row>
    <row r="21" spans="2:17" s="2" customFormat="1" ht="17.100000000000001" customHeight="1">
      <c r="B21" s="4" t="s">
        <v>35</v>
      </c>
      <c r="C21" s="5">
        <v>1473.2370000000001</v>
      </c>
      <c r="D21" s="5">
        <v>1473.2370000000001</v>
      </c>
      <c r="E21" s="5">
        <v>0</v>
      </c>
      <c r="F21" s="5">
        <v>1080.3738000000001</v>
      </c>
      <c r="G21" s="5">
        <v>1215.4205250000002</v>
      </c>
      <c r="H21" s="6">
        <v>-1473.2370000000001</v>
      </c>
      <c r="I21" s="7">
        <v>-1</v>
      </c>
      <c r="J21" s="6">
        <v>-1473.2370000000001</v>
      </c>
      <c r="K21" s="8">
        <v>-1</v>
      </c>
      <c r="L21" s="6">
        <v>-1080.3738000000001</v>
      </c>
      <c r="M21" s="7">
        <v>-1</v>
      </c>
      <c r="N21" s="5">
        <v>1620.5607000000002</v>
      </c>
      <c r="P21" s="12"/>
      <c r="Q21" s="40"/>
    </row>
    <row r="22" spans="2:17" s="2" customFormat="1" ht="17.100000000000001" customHeight="1">
      <c r="B22" s="4" t="s">
        <v>36</v>
      </c>
      <c r="C22" s="5">
        <v>78.792000000000002</v>
      </c>
      <c r="D22" s="5">
        <v>76.043999999999997</v>
      </c>
      <c r="E22" s="5">
        <v>2.2519999999999998</v>
      </c>
      <c r="F22" s="5">
        <v>63.0336</v>
      </c>
      <c r="G22" s="5">
        <v>70.912800000000004</v>
      </c>
      <c r="H22" s="6">
        <v>-76.540000000000006</v>
      </c>
      <c r="I22" s="7">
        <v>-0.97141841811351415</v>
      </c>
      <c r="J22" s="6">
        <v>-73.792000000000002</v>
      </c>
      <c r="K22" s="8">
        <v>-0.97038556625111783</v>
      </c>
      <c r="L22" s="6">
        <v>-60.781599999999997</v>
      </c>
      <c r="M22" s="7">
        <v>-0.96427302264189252</v>
      </c>
      <c r="N22" s="5">
        <v>94.550399999999996</v>
      </c>
      <c r="P22" s="12"/>
      <c r="Q22" s="40"/>
    </row>
    <row r="23" spans="2:17" s="2" customFormat="1" ht="17.100000000000001" customHeight="1">
      <c r="B23" s="4" t="s">
        <v>37</v>
      </c>
      <c r="C23" s="5">
        <v>128.208</v>
      </c>
      <c r="D23" s="5">
        <v>116.77300000000001</v>
      </c>
      <c r="E23" s="5">
        <v>137.208</v>
      </c>
      <c r="F23" s="5">
        <v>143.01933333333332</v>
      </c>
      <c r="G23" s="5">
        <v>146.40150000000003</v>
      </c>
      <c r="H23" s="6">
        <v>9</v>
      </c>
      <c r="I23" s="7">
        <v>7.0198427555222764E-2</v>
      </c>
      <c r="J23" s="6">
        <v>20.434999999999988</v>
      </c>
      <c r="K23" s="8">
        <v>0.17499764500355378</v>
      </c>
      <c r="L23" s="6">
        <v>-5.811333333333323</v>
      </c>
      <c r="M23" s="7">
        <v>-4.0633201105677953E-2</v>
      </c>
      <c r="N23" s="5">
        <v>156.54799999999997</v>
      </c>
      <c r="P23" s="12"/>
      <c r="Q23" s="40"/>
    </row>
    <row r="24" spans="2:17" s="2" customFormat="1" ht="17.100000000000001" customHeight="1">
      <c r="B24" s="4" t="s">
        <v>38</v>
      </c>
      <c r="C24" s="5">
        <v>12.245999999999999</v>
      </c>
      <c r="D24" s="5">
        <v>11.138000000000002</v>
      </c>
      <c r="E24" s="5">
        <v>12.362</v>
      </c>
      <c r="F24" s="5">
        <v>10.612666666666668</v>
      </c>
      <c r="G24" s="5">
        <v>10.4085</v>
      </c>
      <c r="H24" s="6">
        <v>0.11600000000000144</v>
      </c>
      <c r="I24" s="7">
        <v>9.4724808100605466E-3</v>
      </c>
      <c r="J24" s="6">
        <v>1.2239999999999984</v>
      </c>
      <c r="K24" s="8">
        <v>0.10989405638355165</v>
      </c>
      <c r="L24" s="6">
        <v>1.7493333333333325</v>
      </c>
      <c r="M24" s="7">
        <v>0.16483447452729433</v>
      </c>
      <c r="N24" s="5">
        <v>9.7959999999999994</v>
      </c>
      <c r="P24" s="12"/>
      <c r="Q24" s="40"/>
    </row>
    <row r="25" spans="2:17" s="2" customFormat="1" ht="17.100000000000001" customHeight="1">
      <c r="B25" s="4" t="s">
        <v>39</v>
      </c>
      <c r="C25" s="5">
        <v>5.0599999999999996</v>
      </c>
      <c r="D25" s="5">
        <v>5.1379999999999999</v>
      </c>
      <c r="E25" s="5">
        <v>4.75</v>
      </c>
      <c r="F25" s="5">
        <v>11.629333333333335</v>
      </c>
      <c r="G25" s="5">
        <v>12.450500000000002</v>
      </c>
      <c r="H25" s="6">
        <v>-0.30999999999999961</v>
      </c>
      <c r="I25" s="7">
        <v>-6.1264822134387283E-2</v>
      </c>
      <c r="J25" s="6">
        <v>-0.3879999999999999</v>
      </c>
      <c r="K25" s="8">
        <v>-7.5515764889061879E-2</v>
      </c>
      <c r="L25" s="6">
        <v>-6.8793333333333351</v>
      </c>
      <c r="M25" s="7">
        <v>-0.59155010318734247</v>
      </c>
      <c r="N25" s="5">
        <v>14.914000000000001</v>
      </c>
      <c r="P25" s="12"/>
      <c r="Q25" s="40"/>
    </row>
    <row r="26" spans="2:17" s="2" customFormat="1" ht="17.100000000000001" hidden="1" customHeight="1">
      <c r="B26" s="4" t="s">
        <v>40</v>
      </c>
      <c r="C26" s="5">
        <v>0</v>
      </c>
      <c r="D26" s="5">
        <v>0</v>
      </c>
      <c r="E26" s="5">
        <v>0</v>
      </c>
      <c r="F26" s="5">
        <v>0</v>
      </c>
      <c r="G26" s="5">
        <v>0</v>
      </c>
      <c r="H26" s="6">
        <v>0</v>
      </c>
      <c r="I26" s="7">
        <v>0</v>
      </c>
      <c r="J26" s="6">
        <v>0</v>
      </c>
      <c r="K26" s="8">
        <v>0</v>
      </c>
      <c r="L26" s="6">
        <v>0</v>
      </c>
      <c r="M26" s="7">
        <v>0</v>
      </c>
      <c r="N26" s="5">
        <v>0</v>
      </c>
      <c r="P26" s="12"/>
      <c r="Q26" s="40"/>
    </row>
    <row r="27" spans="2:17" s="2" customFormat="1" ht="17.100000000000001" hidden="1" customHeight="1">
      <c r="B27" s="4" t="s">
        <v>41</v>
      </c>
      <c r="C27" s="5">
        <v>0</v>
      </c>
      <c r="D27" s="5">
        <v>0</v>
      </c>
      <c r="E27" s="5">
        <v>0</v>
      </c>
      <c r="F27" s="5">
        <v>0</v>
      </c>
      <c r="G27" s="5">
        <v>0</v>
      </c>
      <c r="H27" s="6">
        <v>0</v>
      </c>
      <c r="I27" s="7">
        <v>0</v>
      </c>
      <c r="J27" s="6">
        <v>0</v>
      </c>
      <c r="K27" s="8">
        <v>0</v>
      </c>
      <c r="L27" s="6">
        <v>0</v>
      </c>
      <c r="M27" s="7">
        <v>0</v>
      </c>
      <c r="N27" s="5">
        <v>0</v>
      </c>
      <c r="P27" s="12"/>
      <c r="Q27" s="40"/>
    </row>
    <row r="28" spans="2:17" s="2" customFormat="1" ht="17.100000000000001" hidden="1" customHeight="1">
      <c r="B28" s="4" t="s">
        <v>42</v>
      </c>
      <c r="C28" s="5">
        <v>0</v>
      </c>
      <c r="D28" s="5">
        <v>0</v>
      </c>
      <c r="E28" s="5">
        <v>0</v>
      </c>
      <c r="F28" s="5">
        <v>0</v>
      </c>
      <c r="G28" s="5">
        <v>0</v>
      </c>
      <c r="H28" s="6">
        <v>0</v>
      </c>
      <c r="I28" s="7">
        <v>0</v>
      </c>
      <c r="J28" s="6">
        <v>0</v>
      </c>
      <c r="K28" s="8">
        <v>0</v>
      </c>
      <c r="L28" s="6">
        <v>0</v>
      </c>
      <c r="M28" s="7">
        <v>0</v>
      </c>
      <c r="N28" s="5">
        <v>0</v>
      </c>
      <c r="P28" s="12"/>
      <c r="Q28" s="40"/>
    </row>
    <row r="29" spans="2:17" s="2" customFormat="1" ht="17.100000000000001" hidden="1" customHeight="1">
      <c r="B29" s="4" t="s">
        <v>43</v>
      </c>
      <c r="C29" s="5">
        <v>0</v>
      </c>
      <c r="D29" s="5">
        <v>0</v>
      </c>
      <c r="E29" s="5">
        <v>0</v>
      </c>
      <c r="F29" s="5">
        <v>0</v>
      </c>
      <c r="G29" s="5">
        <v>0</v>
      </c>
      <c r="H29" s="6">
        <v>0</v>
      </c>
      <c r="I29" s="7">
        <v>0</v>
      </c>
      <c r="J29" s="6">
        <v>0</v>
      </c>
      <c r="K29" s="8">
        <v>0</v>
      </c>
      <c r="L29" s="6">
        <v>0</v>
      </c>
      <c r="M29" s="7">
        <v>0</v>
      </c>
      <c r="N29" s="5">
        <v>0</v>
      </c>
      <c r="P29" s="12"/>
      <c r="Q29" s="40"/>
    </row>
    <row r="30" spans="2:17" s="2" customFormat="1" ht="17.100000000000001" customHeight="1">
      <c r="B30" s="4" t="s">
        <v>44</v>
      </c>
      <c r="C30" s="5">
        <v>560.92399999999998</v>
      </c>
      <c r="D30" s="5">
        <v>409.78899999999999</v>
      </c>
      <c r="E30" s="5">
        <v>345.67500000000001</v>
      </c>
      <c r="F30" s="5">
        <v>415.29262304999429</v>
      </c>
      <c r="G30" s="5">
        <v>469.80591138754562</v>
      </c>
      <c r="H30" s="6">
        <v>-215.24899999999997</v>
      </c>
      <c r="I30" s="7">
        <v>-0.38374004321441046</v>
      </c>
      <c r="J30" s="6">
        <v>-64.113999999999976</v>
      </c>
      <c r="K30" s="8">
        <v>-0.15645612742167306</v>
      </c>
      <c r="L30" s="6">
        <v>-69.617623049994279</v>
      </c>
      <c r="M30" s="7">
        <v>-0.16763510639487925</v>
      </c>
      <c r="N30" s="5">
        <v>636.32481825229695</v>
      </c>
      <c r="P30" s="12"/>
      <c r="Q30" s="40"/>
    </row>
    <row r="31" spans="2:17" s="2" customFormat="1" ht="17.100000000000001" customHeight="1">
      <c r="B31" s="4" t="s">
        <v>45</v>
      </c>
      <c r="C31" s="5">
        <v>346.73</v>
      </c>
      <c r="D31" s="5">
        <v>271.05599999999998</v>
      </c>
      <c r="E31" s="5">
        <v>177.08499999999998</v>
      </c>
      <c r="F31" s="5">
        <v>222.14426695138889</v>
      </c>
      <c r="G31" s="5">
        <v>252.16047405374999</v>
      </c>
      <c r="H31" s="6">
        <v>-169.64500000000004</v>
      </c>
      <c r="I31" s="7">
        <v>-0.48927119084013504</v>
      </c>
      <c r="J31" s="6">
        <v>-93.971000000000004</v>
      </c>
      <c r="K31" s="8">
        <v>-0.34668481789740868</v>
      </c>
      <c r="L31" s="6">
        <v>-45.059266951388906</v>
      </c>
      <c r="M31" s="7">
        <v>-0.20283785654143882</v>
      </c>
      <c r="N31" s="5">
        <v>345.20666033874994</v>
      </c>
      <c r="P31" s="12"/>
      <c r="Q31" s="40"/>
    </row>
    <row r="32" spans="2:17" s="2" customFormat="1" ht="17.100000000000001" customHeight="1">
      <c r="B32" s="4" t="s">
        <v>46</v>
      </c>
      <c r="C32" s="5">
        <v>158.91</v>
      </c>
      <c r="D32" s="5">
        <v>107.09499999999998</v>
      </c>
      <c r="E32" s="5">
        <v>95.575999999999993</v>
      </c>
      <c r="F32" s="5">
        <v>115.26666666666668</v>
      </c>
      <c r="G32" s="5">
        <v>129.67500000000004</v>
      </c>
      <c r="H32" s="6">
        <v>-63.334000000000003</v>
      </c>
      <c r="I32" s="7">
        <v>-0.39855263985903971</v>
      </c>
      <c r="J32" s="6">
        <v>-11.518999999999991</v>
      </c>
      <c r="K32" s="8">
        <v>-0.10755870955693536</v>
      </c>
      <c r="L32" s="6">
        <v>-19.690666666666687</v>
      </c>
      <c r="M32" s="7">
        <v>-0.17082706766917308</v>
      </c>
      <c r="N32" s="5">
        <v>172.9</v>
      </c>
      <c r="P32" s="12"/>
      <c r="Q32" s="40"/>
    </row>
    <row r="33" spans="2:17" s="2" customFormat="1" ht="17.100000000000001" customHeight="1">
      <c r="B33" s="4" t="s">
        <v>47</v>
      </c>
      <c r="C33" s="5">
        <v>81.796000000000006</v>
      </c>
      <c r="D33" s="5">
        <v>44.839999999999996</v>
      </c>
      <c r="E33" s="5">
        <v>40.643000000000001</v>
      </c>
      <c r="F33" s="5">
        <v>52.534600000000005</v>
      </c>
      <c r="G33" s="5">
        <v>59.101424999999999</v>
      </c>
      <c r="H33" s="6">
        <v>-41.153000000000006</v>
      </c>
      <c r="I33" s="7">
        <v>-0.50311751185877063</v>
      </c>
      <c r="J33" s="6">
        <v>-4.1969999999999956</v>
      </c>
      <c r="K33" s="8">
        <v>-9.359946476360384E-2</v>
      </c>
      <c r="L33" s="6">
        <v>-11.891600000000004</v>
      </c>
      <c r="M33" s="7">
        <v>-0.2263574863042643</v>
      </c>
      <c r="N33" s="5">
        <v>78.801899999999989</v>
      </c>
      <c r="P33" s="12"/>
      <c r="Q33" s="40"/>
    </row>
  </sheetData>
  <mergeCells count="6">
    <mergeCell ref="H3:I3"/>
    <mergeCell ref="J3:K3"/>
    <mergeCell ref="L3:M3"/>
    <mergeCell ref="H2:I2"/>
    <mergeCell ref="J2:K2"/>
    <mergeCell ref="L2:M2"/>
  </mergeCells>
  <pageMargins left="1.18" right="0.5" top="0" bottom="0" header="0.5" footer="0.5"/>
  <pageSetup paperSize="5" scale="8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2:AK35"/>
  <sheetViews>
    <sheetView showGridLines="0" showRowColHeaders="0" zoomScale="90" zoomScaleNormal="90" workbookViewId="0">
      <selection activeCell="AD8" sqref="AD8"/>
    </sheetView>
  </sheetViews>
  <sheetFormatPr defaultColWidth="9.140625" defaultRowHeight="12.75"/>
  <cols>
    <col min="1" max="1" width="2.42578125" style="1" customWidth="1"/>
    <col min="2" max="2" width="3.28515625" style="1" bestFit="1" customWidth="1"/>
    <col min="3" max="3" width="39.42578125" style="1" bestFit="1" customWidth="1"/>
    <col min="4" max="4" width="17.42578125" style="1" bestFit="1" customWidth="1"/>
    <col min="5" max="5" width="26.42578125" style="1" bestFit="1" customWidth="1"/>
    <col min="6" max="6" width="26" style="1" bestFit="1" customWidth="1"/>
    <col min="7" max="8" width="31.5703125" style="1" bestFit="1" customWidth="1"/>
    <col min="9" max="9" width="18.85546875" style="1" bestFit="1" customWidth="1"/>
    <col min="10" max="10" width="22.140625" style="1" customWidth="1"/>
    <col min="11" max="11" width="29.7109375" style="1" bestFit="1" customWidth="1"/>
    <col min="12" max="12" width="32.28515625" style="1" bestFit="1" customWidth="1"/>
    <col min="13" max="13" width="20.85546875" style="1" bestFit="1" customWidth="1"/>
    <col min="14" max="14" width="23.5703125" style="1" bestFit="1" customWidth="1"/>
    <col min="15" max="15" width="16.7109375" style="1" bestFit="1" customWidth="1"/>
    <col min="16" max="16" width="2.7109375" style="1" customWidth="1"/>
    <col min="17" max="17" width="3" style="26" bestFit="1" customWidth="1"/>
    <col min="18" max="18" width="30.140625" style="26" bestFit="1" customWidth="1"/>
    <col min="19" max="20" width="2.7109375" style="26" customWidth="1"/>
    <col min="21" max="21" width="30.140625" style="26" bestFit="1" customWidth="1"/>
    <col min="22" max="22" width="3.28515625" style="26" bestFit="1" customWidth="1"/>
    <col min="23" max="23" width="2.7109375" style="26" customWidth="1"/>
    <col min="24" max="24" width="30.140625" style="26" bestFit="1" customWidth="1"/>
    <col min="25" max="25" width="2.7109375" style="26" customWidth="1"/>
    <col min="26" max="26" width="12.85546875" style="26" bestFit="1" customWidth="1"/>
    <col min="27" max="27" width="3.28515625" style="26" bestFit="1" customWidth="1"/>
    <col min="28" max="28" width="37.28515625" style="26" bestFit="1" customWidth="1"/>
    <col min="29" max="29" width="10.42578125" style="26" bestFit="1" customWidth="1"/>
    <col min="30" max="30" width="10.5703125" style="26" bestFit="1" customWidth="1"/>
    <col min="31" max="31" width="9.85546875" style="26" customWidth="1"/>
    <col min="32" max="32" width="2.7109375" style="22" customWidth="1"/>
    <col min="33" max="33" width="39.42578125" style="1" bestFit="1" customWidth="1"/>
    <col min="34" max="34" width="4.5703125" style="1" bestFit="1" customWidth="1"/>
    <col min="35" max="35" width="2.7109375" style="1" customWidth="1"/>
    <col min="36" max="36" width="16.42578125" style="1" customWidth="1"/>
    <col min="37" max="37" width="11.42578125" style="1" bestFit="1" customWidth="1"/>
    <col min="38" max="38" width="2.7109375" style="1" customWidth="1"/>
    <col min="39" max="16384" width="9.140625" style="1"/>
  </cols>
  <sheetData>
    <row r="2" spans="2:37" ht="15">
      <c r="B2" s="14">
        <v>0</v>
      </c>
      <c r="C2" s="14">
        <v>1</v>
      </c>
      <c r="D2" s="14">
        <v>2</v>
      </c>
      <c r="E2" s="14">
        <v>3</v>
      </c>
      <c r="F2" s="14">
        <v>4</v>
      </c>
      <c r="G2" s="14">
        <v>5</v>
      </c>
      <c r="H2" s="14">
        <v>6</v>
      </c>
      <c r="I2" s="14">
        <v>7</v>
      </c>
      <c r="J2" s="14">
        <v>8</v>
      </c>
      <c r="K2" s="14">
        <v>9</v>
      </c>
      <c r="L2" s="14">
        <v>10</v>
      </c>
      <c r="M2" s="14">
        <v>11</v>
      </c>
      <c r="N2" s="14">
        <v>12</v>
      </c>
      <c r="O2" s="14">
        <v>13</v>
      </c>
      <c r="Q2" s="27">
        <v>1</v>
      </c>
      <c r="R2" s="27" t="s">
        <v>48</v>
      </c>
      <c r="T2" s="27">
        <v>1</v>
      </c>
      <c r="U2" s="27" t="s">
        <v>51</v>
      </c>
      <c r="V2" s="27">
        <v>2</v>
      </c>
      <c r="X2" s="27" t="s">
        <v>51</v>
      </c>
      <c r="Z2" s="27" t="s">
        <v>66</v>
      </c>
      <c r="AA2" s="27">
        <f>MATCH($AJ$3,AG3:$AG$25,0)</f>
        <v>1</v>
      </c>
      <c r="AB2" s="27" t="str">
        <f>INDEX($C$4:$O$26,MATCH($AJ$3,AG3:$AG$25,0),1)</f>
        <v>Absolute Deposit</v>
      </c>
      <c r="AC2" s="36" t="s">
        <v>18</v>
      </c>
      <c r="AD2" s="36" t="s">
        <v>68</v>
      </c>
      <c r="AE2" s="36" t="s">
        <v>69</v>
      </c>
      <c r="AG2" s="29" t="s">
        <v>48</v>
      </c>
      <c r="AH2" s="29" t="s">
        <v>49</v>
      </c>
      <c r="AJ2" s="32" t="s">
        <v>48</v>
      </c>
      <c r="AK2" s="33" t="s">
        <v>50</v>
      </c>
    </row>
    <row r="3" spans="2:37" ht="15">
      <c r="B3" s="30" t="s">
        <v>67</v>
      </c>
      <c r="C3" s="30" t="s">
        <v>48</v>
      </c>
      <c r="D3" s="30" t="s">
        <v>51</v>
      </c>
      <c r="E3" s="30" t="s">
        <v>52</v>
      </c>
      <c r="F3" s="30" t="s">
        <v>53</v>
      </c>
      <c r="G3" s="30" t="s">
        <v>56</v>
      </c>
      <c r="H3" s="30" t="s">
        <v>54</v>
      </c>
      <c r="I3" s="30" t="s">
        <v>57</v>
      </c>
      <c r="J3" s="30" t="s">
        <v>58</v>
      </c>
      <c r="K3" s="30" t="s">
        <v>60</v>
      </c>
      <c r="L3" s="30" t="s">
        <v>59</v>
      </c>
      <c r="M3" s="30" t="s">
        <v>62</v>
      </c>
      <c r="N3" s="30" t="s">
        <v>61</v>
      </c>
      <c r="O3" s="30" t="s">
        <v>55</v>
      </c>
      <c r="Q3" s="27">
        <v>2</v>
      </c>
      <c r="R3" s="27" t="s">
        <v>51</v>
      </c>
      <c r="T3" s="27">
        <v>2</v>
      </c>
      <c r="U3" s="27" t="s">
        <v>52</v>
      </c>
      <c r="V3" s="27">
        <v>3</v>
      </c>
      <c r="X3" s="27" t="s">
        <v>52</v>
      </c>
      <c r="Z3" s="27" t="s">
        <v>63</v>
      </c>
      <c r="AA3" s="27">
        <v>1</v>
      </c>
      <c r="AB3" s="27" t="str">
        <f>VLOOKUP(AA3,$T$2:$V$8,2,0)</f>
        <v>Base [31/12/2014]</v>
      </c>
      <c r="AC3" s="37">
        <f>INDEX($C$4:$O$26,$AA$2,MATCH(AB3,$R$2:$R$14,0))</f>
        <v>6266.4949999999999</v>
      </c>
      <c r="AD3" s="37" t="e">
        <f>IF(AC3=MAX($AC$3:$AC$5),AC3,NA())</f>
        <v>#N/A</v>
      </c>
      <c r="AE3" s="37">
        <f>IF(AC3=MIN($AC$3:$AC$5),AC3,NA())</f>
        <v>6266.4949999999999</v>
      </c>
      <c r="AG3" s="17" t="s">
        <v>19</v>
      </c>
      <c r="AH3" s="16">
        <v>1</v>
      </c>
      <c r="AI3" s="13"/>
      <c r="AJ3" s="34" t="s">
        <v>19</v>
      </c>
      <c r="AK3" s="35">
        <v>1</v>
      </c>
    </row>
    <row r="4" spans="2:37" ht="15">
      <c r="B4" s="16">
        <v>1</v>
      </c>
      <c r="C4" s="17" t="s">
        <v>19</v>
      </c>
      <c r="D4" s="18">
        <v>6266.4949999999999</v>
      </c>
      <c r="E4" s="18">
        <v>0</v>
      </c>
      <c r="F4" s="18">
        <v>8359.8739999999998</v>
      </c>
      <c r="G4" s="18">
        <v>6389.1091277222222</v>
      </c>
      <c r="H4" s="18">
        <v>6526.8667209444438</v>
      </c>
      <c r="I4" s="19">
        <v>2093.3789999999999</v>
      </c>
      <c r="J4" s="20">
        <v>0.33405899150960783</v>
      </c>
      <c r="K4" s="19">
        <v>8359.8739999999998</v>
      </c>
      <c r="L4" s="21">
        <v>0</v>
      </c>
      <c r="M4" s="19">
        <v>1970.7648722777776</v>
      </c>
      <c r="N4" s="20">
        <v>0.30845691204845233</v>
      </c>
      <c r="O4" s="18">
        <v>6966.2267019999999</v>
      </c>
      <c r="Q4" s="27">
        <v>3</v>
      </c>
      <c r="R4" s="27" t="s">
        <v>52</v>
      </c>
      <c r="T4" s="27">
        <v>3</v>
      </c>
      <c r="U4" s="27" t="s">
        <v>53</v>
      </c>
      <c r="V4" s="27">
        <v>4</v>
      </c>
      <c r="X4" s="27" t="s">
        <v>55</v>
      </c>
      <c r="Z4" s="27" t="s">
        <v>64</v>
      </c>
      <c r="AA4" s="27">
        <v>3</v>
      </c>
      <c r="AB4" s="27" t="str">
        <f t="shared" ref="AB4:AB5" si="0">VLOOKUP(AA4,$T$2:$V$8,2,0)</f>
        <v>Current Month [31/08/2015]</v>
      </c>
      <c r="AC4" s="37">
        <f>INDEX($C$4:$O$26,$AA$2,MATCH(AB4,$R$2:$R$14,0))</f>
        <v>8359.8739999999998</v>
      </c>
      <c r="AD4" s="37">
        <f t="shared" ref="AD4:AD5" si="1">IF(AC4=MAX($AC$3:$AC$5),AC4,NA())</f>
        <v>8359.8739999999998</v>
      </c>
      <c r="AE4" s="37" t="e">
        <f t="shared" ref="AE4:AE5" si="2">IF(AC4=MIN($AC$3:$AC$5),AC4,NA())</f>
        <v>#N/A</v>
      </c>
      <c r="AG4" s="17" t="s">
        <v>27</v>
      </c>
      <c r="AH4" s="16">
        <v>2</v>
      </c>
      <c r="AI4" s="2"/>
      <c r="AJ4"/>
      <c r="AK4"/>
    </row>
    <row r="5" spans="2:37" ht="15">
      <c r="B5" s="16">
        <v>8</v>
      </c>
      <c r="C5" s="17" t="s">
        <v>27</v>
      </c>
      <c r="D5" s="18">
        <v>1220.9970000000003</v>
      </c>
      <c r="E5" s="18">
        <v>1135.671</v>
      </c>
      <c r="F5" s="18">
        <v>1224.3410000000001</v>
      </c>
      <c r="G5" s="18">
        <v>1281.4566666666667</v>
      </c>
      <c r="H5" s="18">
        <v>1280.0202499999996</v>
      </c>
      <c r="I5" s="19">
        <v>3.3439999999998236</v>
      </c>
      <c r="J5" s="20">
        <v>2.738745467842937E-3</v>
      </c>
      <c r="K5" s="19">
        <v>88.670000000000073</v>
      </c>
      <c r="L5" s="21">
        <v>7.8077189608610306E-2</v>
      </c>
      <c r="M5" s="19">
        <v>-57.115666666666584</v>
      </c>
      <c r="N5" s="20">
        <v>-4.4570891979700121E-2</v>
      </c>
      <c r="O5" s="18">
        <v>1311.6860000000001</v>
      </c>
      <c r="Q5" s="27">
        <v>4</v>
      </c>
      <c r="R5" s="27" t="s">
        <v>53</v>
      </c>
      <c r="T5" s="27">
        <v>4</v>
      </c>
      <c r="U5" s="27" t="s">
        <v>56</v>
      </c>
      <c r="V5" s="27">
        <v>5</v>
      </c>
      <c r="Z5" s="27" t="s">
        <v>65</v>
      </c>
      <c r="AA5" s="27">
        <v>6</v>
      </c>
      <c r="AB5" s="27" t="str">
        <f t="shared" si="0"/>
        <v>Target [Dec 2015]</v>
      </c>
      <c r="AC5" s="37">
        <f>INDEX($C$4:$O$26,$AA$2,MATCH(AB5,$R$2:$R$14,0))</f>
        <v>6966.2267019999999</v>
      </c>
      <c r="AD5" s="37" t="e">
        <f t="shared" si="1"/>
        <v>#N/A</v>
      </c>
      <c r="AE5" s="37" t="e">
        <f t="shared" si="2"/>
        <v>#N/A</v>
      </c>
      <c r="AG5" s="17" t="s">
        <v>39</v>
      </c>
      <c r="AH5" s="16">
        <v>3</v>
      </c>
      <c r="AI5" s="2"/>
      <c r="AJ5"/>
      <c r="AK5"/>
    </row>
    <row r="6" spans="2:37" ht="15">
      <c r="B6" s="16">
        <v>19</v>
      </c>
      <c r="C6" s="17" t="s">
        <v>39</v>
      </c>
      <c r="D6" s="18">
        <v>5.0599999999999996</v>
      </c>
      <c r="E6" s="18">
        <v>5.1379999999999999</v>
      </c>
      <c r="F6" s="18">
        <v>4.75</v>
      </c>
      <c r="G6" s="18">
        <v>11.629333333333335</v>
      </c>
      <c r="H6" s="18">
        <v>12.450500000000002</v>
      </c>
      <c r="I6" s="19">
        <v>-0.30999999999999961</v>
      </c>
      <c r="J6" s="20">
        <v>-6.1264822134387283E-2</v>
      </c>
      <c r="K6" s="19">
        <v>-0.3879999999999999</v>
      </c>
      <c r="L6" s="21">
        <v>-7.5515764889061879E-2</v>
      </c>
      <c r="M6" s="19">
        <v>-6.8793333333333351</v>
      </c>
      <c r="N6" s="20">
        <v>-0.59155010318734247</v>
      </c>
      <c r="O6" s="18">
        <v>14.914000000000001</v>
      </c>
      <c r="Q6" s="27">
        <v>5</v>
      </c>
      <c r="R6" s="27" t="s">
        <v>56</v>
      </c>
      <c r="T6" s="27">
        <v>5</v>
      </c>
      <c r="U6" s="27" t="s">
        <v>54</v>
      </c>
      <c r="V6" s="27">
        <v>6</v>
      </c>
      <c r="W6" s="28"/>
      <c r="X6" s="27" t="s">
        <v>53</v>
      </c>
      <c r="AG6" s="17" t="s">
        <v>21</v>
      </c>
      <c r="AH6" s="16">
        <v>4</v>
      </c>
      <c r="AI6" s="2"/>
      <c r="AJ6"/>
      <c r="AK6"/>
    </row>
    <row r="7" spans="2:37" s="2" customFormat="1" ht="17.100000000000001" customHeight="1">
      <c r="B7" s="16">
        <v>3</v>
      </c>
      <c r="C7" s="17" t="s">
        <v>21</v>
      </c>
      <c r="D7" s="18">
        <v>5433.8267692307691</v>
      </c>
      <c r="E7" s="18">
        <v>5482.2396666666664</v>
      </c>
      <c r="F7" s="18">
        <v>5791.8329211455548</v>
      </c>
      <c r="G7" s="18">
        <v>5862.5331629228385</v>
      </c>
      <c r="H7" s="18">
        <v>5930.5292193333335</v>
      </c>
      <c r="I7" s="19">
        <v>358.00615191478573</v>
      </c>
      <c r="J7" s="20">
        <v>6.5884719391867227E-2</v>
      </c>
      <c r="K7" s="19">
        <v>309.59325447888841</v>
      </c>
      <c r="L7" s="21">
        <v>5.6472039404130717E-2</v>
      </c>
      <c r="M7" s="19">
        <v>-70.700241777283736</v>
      </c>
      <c r="N7" s="20">
        <v>-1.2059674514836392E-2</v>
      </c>
      <c r="O7" s="18">
        <v>6206.569702702991</v>
      </c>
      <c r="P7" s="12"/>
      <c r="Q7" s="27">
        <v>6</v>
      </c>
      <c r="R7" s="27" t="s">
        <v>54</v>
      </c>
      <c r="S7" s="26"/>
      <c r="T7" s="16">
        <v>6</v>
      </c>
      <c r="U7" s="27" t="s">
        <v>55</v>
      </c>
      <c r="V7" s="27">
        <v>13</v>
      </c>
      <c r="W7" s="28"/>
      <c r="X7" s="26"/>
      <c r="Y7" s="26"/>
      <c r="Z7" s="26"/>
      <c r="AA7" s="26"/>
      <c r="AB7" s="27" t="str">
        <f>IF(AND(SUMPRODUCT(COUNTIF(AB3,$X$2:$X$4))&gt;0,OR(AB4=$X$6,AB5=$X$6)),"Varinace with"&amp;CHAR(10)&amp;AB3,"")</f>
        <v>Varinace with
Base [31/12/2014]</v>
      </c>
      <c r="AC7" s="38">
        <f>IF(AND(SUMPRODUCT(COUNTIF(AB3,$X$2:$X$4))&gt;0,OR(AB4=$X$6,AB5=$X$6)),IF(AB4=$X$6,AC4-AC3,AC5-AC3),"")</f>
        <v>2093.3789999999999</v>
      </c>
      <c r="AD7" s="39">
        <f>IFERROR(IF(AC7&lt;0,-ABS(IF(AND(SUMPRODUCT(COUNTIF(AB3,$X$2:$X$4))&gt;0,OR(AB4=$X$6,AB5=$X$6)),IF(AB4=$X$6,(AC4-AC3)/AC3,(AC5-AC3)/AC3),"")),ABS(IF(AND(SUMPRODUCT(COUNTIF(AB3,$X$2:$X$4))&gt;0,OR(AB4=$X$6,AB5=$X$6)),IF(AB4=$X$6,(AC4-AC3)/AC3,(AC5-AC3)/AC3),""))),"")</f>
        <v>0.33405899150960783</v>
      </c>
      <c r="AE7" s="27">
        <f>IF(AND(SUMPRODUCT(COUNTIF(AB3,$X$2:$X$4))&gt;0,OR(AB4=$X$6,AB5=$X$6)),1,0)</f>
        <v>1</v>
      </c>
      <c r="AF7" s="23"/>
      <c r="AG7" s="17" t="s">
        <v>20</v>
      </c>
      <c r="AH7" s="16">
        <v>5</v>
      </c>
      <c r="AJ7"/>
      <c r="AK7"/>
    </row>
    <row r="8" spans="2:37" s="2" customFormat="1" ht="17.100000000000001" customHeight="1">
      <c r="B8" s="16">
        <v>2</v>
      </c>
      <c r="C8" s="17" t="s">
        <v>20</v>
      </c>
      <c r="D8" s="18">
        <v>5407.5510000000004</v>
      </c>
      <c r="E8" s="18">
        <v>3934.1880000000001</v>
      </c>
      <c r="F8" s="18">
        <v>4160.8440000000001</v>
      </c>
      <c r="G8" s="18">
        <v>5387.4560903888887</v>
      </c>
      <c r="H8" s="18">
        <v>5507.3750539444436</v>
      </c>
      <c r="I8" s="19">
        <v>-1246.7070000000003</v>
      </c>
      <c r="J8" s="20">
        <v>-0.23054928192078081</v>
      </c>
      <c r="K8" s="19">
        <v>226.65599999999995</v>
      </c>
      <c r="L8" s="21">
        <v>5.7611888399842597E-2</v>
      </c>
      <c r="M8" s="19">
        <v>-1226.6120903888886</v>
      </c>
      <c r="N8" s="20">
        <v>-0.22767927381851696</v>
      </c>
      <c r="O8" s="18">
        <v>5893.2191459999995</v>
      </c>
      <c r="P8" s="12"/>
      <c r="Q8" s="27">
        <v>7</v>
      </c>
      <c r="R8" s="27" t="s">
        <v>57</v>
      </c>
      <c r="S8" s="26"/>
      <c r="T8" s="31"/>
      <c r="U8" s="31"/>
      <c r="V8" s="31"/>
      <c r="W8" s="26"/>
      <c r="X8" s="26"/>
      <c r="Y8" s="26"/>
      <c r="Z8" s="26"/>
      <c r="AA8" s="26"/>
      <c r="AB8" s="27" t="str">
        <f>IF(AND(SUMPRODUCT(COUNTIF(AB4,$X$2:$X$4))&gt;0,OR(AB3=$X$6,AB5=$X$6)),"Varinace with "&amp;CHAR(10)&amp;AB4,"")</f>
        <v/>
      </c>
      <c r="AC8" s="38" t="str">
        <f>IF(AND(SUMPRODUCT(COUNTIF(AB4,$X$2:$X$4))&gt;0,OR(AB3=$X$6,AB5=$X$6)),IF(AB5=$X$6,AC5-AC4,AC3-AC4),"")</f>
        <v/>
      </c>
      <c r="AD8" s="39" t="str">
        <f>IFERROR(IF(AC8&lt;0,-ABS(IF(AND(SUMPRODUCT(COUNTIF(AB4,$X$2:$X$4))&gt;0,OR(AB3=$X$6,AB5=$X$6)),IF(AB3=$X$6,(AC3-AC4)/AC4,(AC5-AC4)/AC4),"")),ABS(IF(AND(SUMPRODUCT(COUNTIF(AB4,$X$2:$X$4))&gt;0,OR(AB3=$X$6,AB5=$X$6)),IF(AB3=$X$6,(AC3-AC4)/AC4,(AC5-AC4)/AC4),""))),"")</f>
        <v/>
      </c>
      <c r="AE8" s="27">
        <f>IF(AND(SUMPRODUCT(COUNTIF(AB4,$X$2:$X$4))&gt;0,OR(AB3=$X$6,AB5=$X$6)),1,0)</f>
        <v>0</v>
      </c>
      <c r="AF8" s="24"/>
      <c r="AG8" s="17" t="s">
        <v>29</v>
      </c>
      <c r="AH8" s="16">
        <v>6</v>
      </c>
      <c r="AJ8"/>
      <c r="AK8"/>
    </row>
    <row r="9" spans="2:37" s="2" customFormat="1" ht="17.100000000000001" customHeight="1">
      <c r="B9" s="16">
        <v>9</v>
      </c>
      <c r="C9" s="17" t="s">
        <v>29</v>
      </c>
      <c r="D9" s="18">
        <v>361.96300000000002</v>
      </c>
      <c r="E9" s="18">
        <v>365.63200000000001</v>
      </c>
      <c r="F9" s="18">
        <v>352.93899999999996</v>
      </c>
      <c r="G9" s="18">
        <v>280.12166666666661</v>
      </c>
      <c r="H9" s="18">
        <v>260.89774999999997</v>
      </c>
      <c r="I9" s="19">
        <v>-9.0240000000000578</v>
      </c>
      <c r="J9" s="20">
        <v>-2.4930724963601412E-2</v>
      </c>
      <c r="K9" s="19">
        <v>-12.69300000000004</v>
      </c>
      <c r="L9" s="21">
        <v>-3.4715232802380647E-2</v>
      </c>
      <c r="M9" s="19">
        <v>72.817333333333352</v>
      </c>
      <c r="N9" s="20">
        <v>0.25994895075354174</v>
      </c>
      <c r="O9" s="18">
        <v>239.20099999999999</v>
      </c>
      <c r="P9" s="12"/>
      <c r="Q9" s="27">
        <v>8</v>
      </c>
      <c r="R9" s="27" t="s">
        <v>58</v>
      </c>
      <c r="S9" s="26"/>
      <c r="T9" s="26"/>
      <c r="U9" s="26"/>
      <c r="V9" s="26"/>
      <c r="W9" s="26"/>
      <c r="X9" s="26"/>
      <c r="Y9" s="26"/>
      <c r="Z9" s="26"/>
      <c r="AA9" s="26"/>
      <c r="AB9" s="27" t="str">
        <f>IF(AND(SUMPRODUCT(COUNTIF(AB5,$X$2:$X$4))&gt;0,OR(AB3=$X$6,AB4=$X$6)),"Varinace with"&amp;CHAR(10)&amp;AB5,"")</f>
        <v>Varinace with
Target [Dec 2015]</v>
      </c>
      <c r="AC9" s="38">
        <f>IF(AND(SUMPRODUCT(COUNTIF(AB5,$X$2:$X$4))&gt;0,OR(AB4=$X$6,AB3=$X$6)),IF(AB3=$X$6,AC3-AC5,AC4-AC5),"")</f>
        <v>1393.6472979999999</v>
      </c>
      <c r="AD9" s="39">
        <f>IFERROR(IF(AC9&lt;0,-ABS(IF(AND(SUMPRODUCT(COUNTIF(AB5,$X$2:$X$4))&gt;0,OR(AB4=$X$6,AB3=$X$6)),IF(AB3=$X$6,(AC3-AC5)/AC5,(AC4-AC5)/AC5),"")),ABS(IF(AND(SUMPRODUCT(COUNTIF(AB5,$X$2:$X$4))&gt;0,OR(AB4=$X$6,AB3=$X$6)),IF(AB3=$X$6,(AC3-AC5)/AC5,(AC4-AC5)/AC5),""))),"")</f>
        <v>0.20005770090713304</v>
      </c>
      <c r="AE9" s="27">
        <f>IF(AND(SUMPRODUCT(COUNTIF(AB5,$X$2:$X$4))&gt;0,OR(AB3=$X$6,AB4=$X$6)),1,0)</f>
        <v>1</v>
      </c>
      <c r="AF9" s="24"/>
      <c r="AG9" s="17" t="s">
        <v>33</v>
      </c>
      <c r="AH9" s="16">
        <v>7</v>
      </c>
      <c r="AJ9"/>
      <c r="AK9"/>
    </row>
    <row r="10" spans="2:37" s="2" customFormat="1" ht="17.100000000000001" customHeight="1">
      <c r="B10" s="16">
        <v>13</v>
      </c>
      <c r="C10" s="17" t="s">
        <v>33</v>
      </c>
      <c r="D10" s="18">
        <v>0.46765950483202856</v>
      </c>
      <c r="E10" s="18">
        <v>0.45019240133302296</v>
      </c>
      <c r="F10" s="18">
        <v>0.30679659430275508</v>
      </c>
      <c r="G10" s="18">
        <v>0.37312554501983897</v>
      </c>
      <c r="H10" s="18">
        <v>0.37277152167500527</v>
      </c>
      <c r="I10" s="19">
        <v>-0.16086291052927348</v>
      </c>
      <c r="J10" s="20">
        <v>-0.34397442769189812</v>
      </c>
      <c r="K10" s="19">
        <v>-0.14339580703026789</v>
      </c>
      <c r="L10" s="21">
        <v>-0.31852116252000667</v>
      </c>
      <c r="M10" s="19">
        <v>-6.632895071708389E-2</v>
      </c>
      <c r="N10" s="20">
        <v>-0.1777657724119564</v>
      </c>
      <c r="O10" s="18">
        <v>0.36997216594049387</v>
      </c>
      <c r="P10" s="12"/>
      <c r="Q10" s="27">
        <v>9</v>
      </c>
      <c r="R10" s="27" t="s">
        <v>60</v>
      </c>
      <c r="S10" s="26"/>
      <c r="T10" s="26"/>
      <c r="U10" s="26"/>
      <c r="V10" s="26"/>
      <c r="W10" s="26"/>
      <c r="X10" s="26"/>
      <c r="Y10" s="26"/>
      <c r="Z10" s="26"/>
      <c r="AA10" s="26"/>
      <c r="AB10" s="26"/>
      <c r="AC10" s="26"/>
      <c r="AD10" s="26"/>
      <c r="AE10" s="26"/>
      <c r="AF10" s="23"/>
      <c r="AG10" s="17" t="s">
        <v>45</v>
      </c>
      <c r="AH10" s="16">
        <v>8</v>
      </c>
      <c r="AJ10"/>
      <c r="AK10"/>
    </row>
    <row r="11" spans="2:37" s="2" customFormat="1" ht="17.100000000000001" customHeight="1">
      <c r="B11" s="16">
        <v>21</v>
      </c>
      <c r="C11" s="17" t="s">
        <v>45</v>
      </c>
      <c r="D11" s="18">
        <v>346.73</v>
      </c>
      <c r="E11" s="18">
        <v>271.05599999999998</v>
      </c>
      <c r="F11" s="18">
        <v>177.08499999999998</v>
      </c>
      <c r="G11" s="18">
        <v>222.14426695138889</v>
      </c>
      <c r="H11" s="18">
        <v>252.16047405374999</v>
      </c>
      <c r="I11" s="19">
        <v>-169.64500000000004</v>
      </c>
      <c r="J11" s="20">
        <v>-0.48927119084013504</v>
      </c>
      <c r="K11" s="19">
        <v>-93.971000000000004</v>
      </c>
      <c r="L11" s="21">
        <v>-0.34668481789740868</v>
      </c>
      <c r="M11" s="19">
        <v>-45.059266951388906</v>
      </c>
      <c r="N11" s="20">
        <v>-0.20283785654143882</v>
      </c>
      <c r="O11" s="18">
        <v>345.20666033874994</v>
      </c>
      <c r="P11" s="12"/>
      <c r="Q11" s="27">
        <v>10</v>
      </c>
      <c r="R11" s="27" t="s">
        <v>59</v>
      </c>
      <c r="S11" s="26"/>
      <c r="T11" s="26"/>
      <c r="U11" s="26"/>
      <c r="V11" s="26"/>
      <c r="W11" s="26"/>
      <c r="X11" s="26"/>
      <c r="Y11" s="26"/>
      <c r="Z11" s="26"/>
      <c r="AA11" s="26"/>
      <c r="AB11" s="26"/>
      <c r="AC11" s="26"/>
      <c r="AD11" s="26"/>
      <c r="AE11" s="26"/>
      <c r="AF11" s="23"/>
      <c r="AG11" s="17" t="s">
        <v>36</v>
      </c>
      <c r="AH11" s="16">
        <v>9</v>
      </c>
      <c r="AJ11"/>
      <c r="AK11"/>
    </row>
    <row r="12" spans="2:37" s="2" customFormat="1" ht="17.100000000000001" customHeight="1">
      <c r="B12" s="16">
        <v>16</v>
      </c>
      <c r="C12" s="17" t="s">
        <v>36</v>
      </c>
      <c r="D12" s="18">
        <v>78.792000000000002</v>
      </c>
      <c r="E12" s="18">
        <v>76.043999999999997</v>
      </c>
      <c r="F12" s="18">
        <v>2.2519999999999998</v>
      </c>
      <c r="G12" s="18">
        <v>63.0336</v>
      </c>
      <c r="H12" s="18">
        <v>70.912800000000004</v>
      </c>
      <c r="I12" s="19">
        <v>-76.540000000000006</v>
      </c>
      <c r="J12" s="20">
        <v>-0.97141841811351415</v>
      </c>
      <c r="K12" s="19">
        <v>-73.792000000000002</v>
      </c>
      <c r="L12" s="21">
        <v>-0.97038556625111783</v>
      </c>
      <c r="M12" s="19">
        <v>-60.781599999999997</v>
      </c>
      <c r="N12" s="20">
        <v>-0.96427302264189252</v>
      </c>
      <c r="O12" s="18">
        <v>94.550399999999996</v>
      </c>
      <c r="P12" s="12"/>
      <c r="Q12" s="27">
        <v>11</v>
      </c>
      <c r="R12" s="27" t="s">
        <v>62</v>
      </c>
      <c r="S12" s="26"/>
      <c r="T12" s="26"/>
      <c r="U12" s="26"/>
      <c r="V12" s="26"/>
      <c r="W12" s="26"/>
      <c r="X12" s="26"/>
      <c r="Y12" s="26"/>
      <c r="Z12" s="26"/>
      <c r="AA12" s="26"/>
      <c r="AB12" s="26"/>
      <c r="AC12" s="26"/>
      <c r="AD12" s="26"/>
      <c r="AE12" s="26"/>
      <c r="AF12" s="24"/>
      <c r="AG12" s="17" t="s">
        <v>32</v>
      </c>
      <c r="AH12" s="16">
        <v>10</v>
      </c>
      <c r="AJ12"/>
      <c r="AK12"/>
    </row>
    <row r="13" spans="2:37" s="2" customFormat="1" ht="17.100000000000001" customHeight="1">
      <c r="B13" s="16">
        <v>12</v>
      </c>
      <c r="C13" s="17" t="s">
        <v>32</v>
      </c>
      <c r="D13" s="18">
        <v>25.082000000000001</v>
      </c>
      <c r="E13" s="18">
        <v>6.8319999999999999</v>
      </c>
      <c r="F13" s="18">
        <v>33.171999999999997</v>
      </c>
      <c r="G13" s="18">
        <v>18.393466666666669</v>
      </c>
      <c r="H13" s="18">
        <v>20.69265</v>
      </c>
      <c r="I13" s="19">
        <v>8.0899999999999963</v>
      </c>
      <c r="J13" s="20">
        <v>0.32254206203652008</v>
      </c>
      <c r="K13" s="19">
        <v>26.339999999999996</v>
      </c>
      <c r="L13" s="21">
        <v>3.8553864168618261</v>
      </c>
      <c r="M13" s="19">
        <v>14.778533333333328</v>
      </c>
      <c r="N13" s="20">
        <v>0.80346644823161817</v>
      </c>
      <c r="O13" s="18">
        <v>27.590200000000003</v>
      </c>
      <c r="P13" s="12"/>
      <c r="Q13" s="27">
        <v>12</v>
      </c>
      <c r="R13" s="27" t="s">
        <v>61</v>
      </c>
      <c r="S13" s="26"/>
      <c r="T13" s="26"/>
      <c r="U13" s="26"/>
      <c r="V13" s="26"/>
      <c r="W13" s="26"/>
      <c r="X13" s="24"/>
      <c r="Y13" s="26"/>
      <c r="Z13" s="26"/>
      <c r="AA13" s="26"/>
      <c r="AB13" s="26"/>
      <c r="AC13" s="26"/>
      <c r="AD13" s="26"/>
      <c r="AE13" s="26"/>
      <c r="AF13" s="23"/>
      <c r="AG13" s="17" t="s">
        <v>35</v>
      </c>
      <c r="AH13" s="16">
        <v>11</v>
      </c>
      <c r="AJ13"/>
      <c r="AK13"/>
    </row>
    <row r="14" spans="2:37" s="2" customFormat="1" ht="17.100000000000001" customHeight="1">
      <c r="B14" s="16">
        <v>15</v>
      </c>
      <c r="C14" s="17" t="s">
        <v>35</v>
      </c>
      <c r="D14" s="18">
        <v>1473.2370000000001</v>
      </c>
      <c r="E14" s="18">
        <v>1473.2370000000001</v>
      </c>
      <c r="F14" s="18">
        <v>0</v>
      </c>
      <c r="G14" s="18">
        <v>1080.3738000000001</v>
      </c>
      <c r="H14" s="18">
        <v>1215.4205250000002</v>
      </c>
      <c r="I14" s="19">
        <v>-1473.2370000000001</v>
      </c>
      <c r="J14" s="20">
        <v>-1</v>
      </c>
      <c r="K14" s="19">
        <v>-1473.2370000000001</v>
      </c>
      <c r="L14" s="21">
        <v>-1</v>
      </c>
      <c r="M14" s="19">
        <v>-1080.3738000000001</v>
      </c>
      <c r="N14" s="20">
        <v>-1</v>
      </c>
      <c r="O14" s="18">
        <v>1620.5607000000002</v>
      </c>
      <c r="P14" s="12"/>
      <c r="Q14" s="27">
        <v>13</v>
      </c>
      <c r="R14" s="27" t="s">
        <v>55</v>
      </c>
      <c r="S14" s="26"/>
      <c r="T14" s="26"/>
      <c r="U14" s="26"/>
      <c r="V14" s="26"/>
      <c r="W14" s="26"/>
      <c r="X14" s="24"/>
      <c r="Y14" s="26"/>
      <c r="Z14" s="26"/>
      <c r="AA14" s="26"/>
      <c r="AB14" s="26"/>
      <c r="AC14" s="26"/>
      <c r="AD14" s="26"/>
      <c r="AE14" s="26"/>
      <c r="AF14" s="23"/>
      <c r="AG14" s="17" t="s">
        <v>44</v>
      </c>
      <c r="AH14" s="16">
        <v>12</v>
      </c>
      <c r="AJ14"/>
      <c r="AK14"/>
    </row>
    <row r="15" spans="2:37" s="2" customFormat="1" ht="17.100000000000001" customHeight="1">
      <c r="B15" s="16">
        <v>20</v>
      </c>
      <c r="C15" s="17" t="s">
        <v>44</v>
      </c>
      <c r="D15" s="18">
        <v>560.92399999999998</v>
      </c>
      <c r="E15" s="18">
        <v>409.78899999999999</v>
      </c>
      <c r="F15" s="18">
        <v>345.67500000000001</v>
      </c>
      <c r="G15" s="18">
        <v>415.29262304999429</v>
      </c>
      <c r="H15" s="18">
        <v>469.80591138754562</v>
      </c>
      <c r="I15" s="19">
        <v>-215.24899999999997</v>
      </c>
      <c r="J15" s="20">
        <v>-0.38374004321441046</v>
      </c>
      <c r="K15" s="19">
        <v>-64.113999999999976</v>
      </c>
      <c r="L15" s="21">
        <v>-0.15645612742167306</v>
      </c>
      <c r="M15" s="19">
        <v>-69.617623049994279</v>
      </c>
      <c r="N15" s="20">
        <v>-0.16763510639487925</v>
      </c>
      <c r="O15" s="18">
        <v>636.32481825229695</v>
      </c>
      <c r="P15" s="12"/>
      <c r="Q15" s="25"/>
      <c r="R15" s="24"/>
      <c r="V15" s="26"/>
      <c r="W15" s="26"/>
      <c r="X15" s="24"/>
      <c r="Y15" s="26"/>
      <c r="Z15" s="24"/>
      <c r="AA15" s="24"/>
      <c r="AB15" s="24"/>
      <c r="AC15" s="24"/>
      <c r="AD15" s="24"/>
      <c r="AE15" s="24"/>
      <c r="AF15" s="24"/>
      <c r="AG15" s="17" t="s">
        <v>34</v>
      </c>
      <c r="AH15" s="16">
        <v>13</v>
      </c>
      <c r="AJ15"/>
      <c r="AK15"/>
    </row>
    <row r="16" spans="2:37" s="2" customFormat="1" ht="17.100000000000001" customHeight="1">
      <c r="B16" s="16">
        <v>14</v>
      </c>
      <c r="C16" s="17" t="s">
        <v>34</v>
      </c>
      <c r="D16" s="18">
        <v>0.36029260368930105</v>
      </c>
      <c r="E16" s="18">
        <v>0.3032710583161099</v>
      </c>
      <c r="F16" s="18">
        <v>0.26046597949500777</v>
      </c>
      <c r="G16" s="18">
        <v>0.29487225093083114</v>
      </c>
      <c r="H16" s="18">
        <v>0.29182775642501518</v>
      </c>
      <c r="I16" s="19">
        <v>-9.9826624194293279E-2</v>
      </c>
      <c r="J16" s="20">
        <v>-0.27707097834397659</v>
      </c>
      <c r="K16" s="19">
        <v>-4.2805078821102127E-2</v>
      </c>
      <c r="L16" s="21">
        <v>-0.14114462177424433</v>
      </c>
      <c r="M16" s="19">
        <v>-3.4406271435823366E-2</v>
      </c>
      <c r="N16" s="20">
        <v>-0.11668195744839389</v>
      </c>
      <c r="O16" s="18">
        <v>0.28158883475773244</v>
      </c>
      <c r="P16" s="12"/>
      <c r="Q16" s="25"/>
      <c r="R16" s="24"/>
      <c r="S16" s="24"/>
      <c r="T16" s="24"/>
      <c r="U16" s="24"/>
      <c r="V16" s="24"/>
      <c r="W16" s="24"/>
      <c r="X16" s="24"/>
      <c r="Y16" s="24"/>
      <c r="Z16" s="24"/>
      <c r="AA16" s="24"/>
      <c r="AB16" s="24"/>
      <c r="AC16" s="24"/>
      <c r="AD16" s="24"/>
      <c r="AE16" s="24"/>
      <c r="AF16" s="24"/>
      <c r="AG16" s="17" t="s">
        <v>37</v>
      </c>
      <c r="AH16" s="16">
        <v>14</v>
      </c>
      <c r="AJ16"/>
      <c r="AK16"/>
    </row>
    <row r="17" spans="2:37" s="2" customFormat="1" ht="17.100000000000001" customHeight="1">
      <c r="B17" s="16">
        <v>17</v>
      </c>
      <c r="C17" s="17" t="s">
        <v>37</v>
      </c>
      <c r="D17" s="18">
        <v>128.208</v>
      </c>
      <c r="E17" s="18">
        <v>116.77300000000001</v>
      </c>
      <c r="F17" s="18">
        <v>137.208</v>
      </c>
      <c r="G17" s="18">
        <v>143.01933333333332</v>
      </c>
      <c r="H17" s="18">
        <v>146.40150000000003</v>
      </c>
      <c r="I17" s="19">
        <v>9</v>
      </c>
      <c r="J17" s="20">
        <v>7.0198427555222764E-2</v>
      </c>
      <c r="K17" s="19">
        <v>20.434999999999988</v>
      </c>
      <c r="L17" s="21">
        <v>0.17499764500355378</v>
      </c>
      <c r="M17" s="19">
        <v>-5.811333333333323</v>
      </c>
      <c r="N17" s="20">
        <v>-4.0633201105677953E-2</v>
      </c>
      <c r="O17" s="18">
        <v>156.54799999999997</v>
      </c>
      <c r="P17" s="12"/>
      <c r="Q17" s="25"/>
      <c r="R17" s="24"/>
      <c r="S17" s="24"/>
      <c r="T17" s="24"/>
      <c r="U17" s="24"/>
      <c r="V17" s="24"/>
      <c r="W17" s="24"/>
      <c r="X17" s="24"/>
      <c r="Y17" s="24"/>
      <c r="Z17" s="24"/>
      <c r="AA17" s="24"/>
      <c r="AB17" s="24"/>
      <c r="AC17" s="24"/>
      <c r="AD17" s="24"/>
      <c r="AE17" s="24"/>
      <c r="AF17" s="23"/>
      <c r="AG17" s="17" t="s">
        <v>23</v>
      </c>
      <c r="AH17" s="16">
        <v>15</v>
      </c>
      <c r="AJ17"/>
      <c r="AK17"/>
    </row>
    <row r="18" spans="2:37" s="2" customFormat="1" ht="17.100000000000001" customHeight="1">
      <c r="B18" s="16">
        <v>5</v>
      </c>
      <c r="C18" s="17" t="s">
        <v>23</v>
      </c>
      <c r="D18" s="18">
        <v>2280</v>
      </c>
      <c r="E18" s="18">
        <v>20</v>
      </c>
      <c r="F18" s="18">
        <v>41</v>
      </c>
      <c r="G18" s="18">
        <v>190</v>
      </c>
      <c r="H18" s="18">
        <v>190</v>
      </c>
      <c r="I18" s="19">
        <v>-2239</v>
      </c>
      <c r="J18" s="20">
        <v>-0.98201754385964912</v>
      </c>
      <c r="K18" s="19">
        <v>21</v>
      </c>
      <c r="L18" s="21">
        <v>1.05</v>
      </c>
      <c r="M18" s="19">
        <v>-149</v>
      </c>
      <c r="N18" s="20">
        <v>-0.78421052631578947</v>
      </c>
      <c r="O18" s="18">
        <v>2280</v>
      </c>
      <c r="P18" s="12"/>
      <c r="Q18" s="25"/>
      <c r="R18" s="24"/>
      <c r="S18" s="24"/>
      <c r="T18" s="24"/>
      <c r="U18" s="24"/>
      <c r="V18" s="24"/>
      <c r="W18" s="24"/>
      <c r="X18" s="24"/>
      <c r="Y18" s="24"/>
      <c r="Z18" s="24"/>
      <c r="AA18" s="24"/>
      <c r="AB18" s="24"/>
      <c r="AC18" s="24"/>
      <c r="AD18" s="24"/>
      <c r="AE18" s="24"/>
      <c r="AF18" s="23"/>
      <c r="AG18" s="17" t="s">
        <v>24</v>
      </c>
      <c r="AH18" s="16">
        <v>16</v>
      </c>
      <c r="AJ18"/>
      <c r="AK18"/>
    </row>
    <row r="19" spans="2:37" s="2" customFormat="1" ht="17.100000000000001" customHeight="1">
      <c r="B19" s="16">
        <v>6</v>
      </c>
      <c r="C19" s="17" t="s">
        <v>24</v>
      </c>
      <c r="D19" s="18">
        <v>157</v>
      </c>
      <c r="E19" s="18">
        <v>340</v>
      </c>
      <c r="F19" s="18">
        <v>263</v>
      </c>
      <c r="G19" s="18">
        <v>2280</v>
      </c>
      <c r="H19" s="18">
        <v>2280</v>
      </c>
      <c r="I19" s="19">
        <v>106</v>
      </c>
      <c r="J19" s="20">
        <v>0.67515923566878977</v>
      </c>
      <c r="K19" s="19">
        <v>-77</v>
      </c>
      <c r="L19" s="21">
        <v>-0.22647058823529412</v>
      </c>
      <c r="M19" s="19">
        <v>-2017</v>
      </c>
      <c r="N19" s="20">
        <v>-0.88464912280701757</v>
      </c>
      <c r="O19" s="18">
        <v>2280</v>
      </c>
      <c r="P19" s="12"/>
      <c r="Q19" s="25"/>
      <c r="R19" s="24"/>
      <c r="S19" s="24"/>
      <c r="T19" s="24"/>
      <c r="U19" s="24"/>
      <c r="V19" s="24"/>
      <c r="W19" s="24"/>
      <c r="X19" s="24"/>
      <c r="Y19" s="24"/>
      <c r="Z19" s="24"/>
      <c r="AA19" s="24"/>
      <c r="AB19" s="24"/>
      <c r="AC19" s="24"/>
      <c r="AD19" s="24"/>
      <c r="AE19" s="24"/>
      <c r="AF19" s="24"/>
      <c r="AG19" s="17" t="s">
        <v>30</v>
      </c>
      <c r="AH19" s="16">
        <v>17</v>
      </c>
      <c r="AJ19"/>
      <c r="AK19"/>
    </row>
    <row r="20" spans="2:37" s="2" customFormat="1" ht="17.100000000000001" customHeight="1">
      <c r="B20" s="16">
        <v>10</v>
      </c>
      <c r="C20" s="17" t="s">
        <v>30</v>
      </c>
      <c r="D20" s="18">
        <v>4252.1737499999999</v>
      </c>
      <c r="E20" s="18">
        <v>389.19399999999996</v>
      </c>
      <c r="F20" s="18">
        <v>337.64073760999997</v>
      </c>
      <c r="G20" s="18">
        <v>4677.3911249999992</v>
      </c>
      <c r="H20" s="18">
        <v>4730.5432968750001</v>
      </c>
      <c r="I20" s="19">
        <v>-3914.5330123899998</v>
      </c>
      <c r="J20" s="20">
        <v>-0.92059573350924329</v>
      </c>
      <c r="K20" s="19">
        <v>-51.553262389999986</v>
      </c>
      <c r="L20" s="21">
        <v>-0.13246160626833917</v>
      </c>
      <c r="M20" s="19">
        <v>-4339.7503873899996</v>
      </c>
      <c r="N20" s="20">
        <v>-0.92781430319022129</v>
      </c>
      <c r="O20" s="18">
        <v>4889.9998125000002</v>
      </c>
      <c r="P20" s="12"/>
      <c r="Q20" s="25"/>
      <c r="R20" s="24"/>
      <c r="S20" s="24"/>
      <c r="T20" s="24"/>
      <c r="U20" s="24"/>
      <c r="V20" s="24"/>
      <c r="W20" s="24"/>
      <c r="X20" s="24"/>
      <c r="Y20" s="24"/>
      <c r="Z20" s="24"/>
      <c r="AA20" s="24"/>
      <c r="AB20" s="24"/>
      <c r="AC20" s="24"/>
      <c r="AD20" s="24"/>
      <c r="AE20" s="24"/>
      <c r="AF20" s="24"/>
      <c r="AG20" s="17" t="s">
        <v>31</v>
      </c>
      <c r="AH20" s="16">
        <v>18</v>
      </c>
      <c r="AJ20"/>
      <c r="AK20"/>
    </row>
    <row r="21" spans="2:37" s="2" customFormat="1" ht="17.100000000000001" customHeight="1">
      <c r="B21" s="16">
        <v>11</v>
      </c>
      <c r="C21" s="17" t="s">
        <v>31</v>
      </c>
      <c r="D21" s="18">
        <v>103.71600000000001</v>
      </c>
      <c r="E21" s="18">
        <v>68.13300000000001</v>
      </c>
      <c r="F21" s="18">
        <v>75.643999999999991</v>
      </c>
      <c r="G21" s="18">
        <v>88.603333333333339</v>
      </c>
      <c r="H21" s="18">
        <v>99.678750000000008</v>
      </c>
      <c r="I21" s="19">
        <v>-28.072000000000017</v>
      </c>
      <c r="J21" s="20">
        <v>-0.27066219291141208</v>
      </c>
      <c r="K21" s="19">
        <v>7.5109999999999815</v>
      </c>
      <c r="L21" s="21">
        <v>0.11024026536333319</v>
      </c>
      <c r="M21" s="19">
        <v>-12.959333333333348</v>
      </c>
      <c r="N21" s="20">
        <v>-0.14626236785673993</v>
      </c>
      <c r="O21" s="18">
        <v>132.90499999999997</v>
      </c>
      <c r="P21" s="12"/>
      <c r="Q21" s="25"/>
      <c r="R21" s="24"/>
      <c r="S21" s="24"/>
      <c r="T21" s="24"/>
      <c r="U21" s="24"/>
      <c r="V21" s="24"/>
      <c r="W21" s="24"/>
      <c r="X21" s="24"/>
      <c r="Y21" s="24"/>
      <c r="Z21" s="24"/>
      <c r="AA21" s="24"/>
      <c r="AB21" s="24"/>
      <c r="AC21" s="24"/>
      <c r="AD21" s="24"/>
      <c r="AE21" s="24"/>
      <c r="AF21" s="24"/>
      <c r="AG21" s="17" t="s">
        <v>47</v>
      </c>
      <c r="AH21" s="16">
        <v>19</v>
      </c>
      <c r="AJ21"/>
      <c r="AK21"/>
    </row>
    <row r="22" spans="2:37" s="2" customFormat="1" ht="17.100000000000001" customHeight="1">
      <c r="B22" s="16">
        <v>23</v>
      </c>
      <c r="C22" s="17" t="s">
        <v>47</v>
      </c>
      <c r="D22" s="18">
        <v>81.796000000000006</v>
      </c>
      <c r="E22" s="18">
        <v>44.839999999999996</v>
      </c>
      <c r="F22" s="18">
        <v>40.643000000000001</v>
      </c>
      <c r="G22" s="18">
        <v>52.534600000000005</v>
      </c>
      <c r="H22" s="18">
        <v>59.101424999999999</v>
      </c>
      <c r="I22" s="19">
        <v>-41.153000000000006</v>
      </c>
      <c r="J22" s="20">
        <v>-0.50311751185877063</v>
      </c>
      <c r="K22" s="19">
        <v>-4.1969999999999956</v>
      </c>
      <c r="L22" s="21">
        <v>-9.359946476360384E-2</v>
      </c>
      <c r="M22" s="19">
        <v>-11.891600000000004</v>
      </c>
      <c r="N22" s="20">
        <v>-0.2263574863042643</v>
      </c>
      <c r="O22" s="18">
        <v>78.801899999999989</v>
      </c>
      <c r="P22" s="12"/>
      <c r="Q22" s="25"/>
      <c r="R22" s="24"/>
      <c r="S22" s="24"/>
      <c r="T22" s="24"/>
      <c r="U22" s="24"/>
      <c r="V22" s="24"/>
      <c r="W22" s="24"/>
      <c r="X22" s="24"/>
      <c r="Y22" s="24"/>
      <c r="Z22" s="24"/>
      <c r="AA22" s="24"/>
      <c r="AB22" s="24"/>
      <c r="AC22" s="24"/>
      <c r="AD22" s="24"/>
      <c r="AE22" s="24"/>
      <c r="AF22" s="24"/>
      <c r="AG22" s="17" t="s">
        <v>38</v>
      </c>
      <c r="AH22" s="16">
        <v>20</v>
      </c>
      <c r="AJ22"/>
      <c r="AK22"/>
    </row>
    <row r="23" spans="2:37" s="2" customFormat="1" ht="17.100000000000001" customHeight="1">
      <c r="B23" s="16">
        <v>18</v>
      </c>
      <c r="C23" s="17" t="s">
        <v>38</v>
      </c>
      <c r="D23" s="18">
        <v>12.245999999999999</v>
      </c>
      <c r="E23" s="18">
        <v>11.138000000000002</v>
      </c>
      <c r="F23" s="18">
        <v>12.362</v>
      </c>
      <c r="G23" s="18">
        <v>10.612666666666668</v>
      </c>
      <c r="H23" s="18">
        <v>10.4085</v>
      </c>
      <c r="I23" s="19">
        <v>0.11600000000000144</v>
      </c>
      <c r="J23" s="20">
        <v>9.4724808100605466E-3</v>
      </c>
      <c r="K23" s="19">
        <v>1.2239999999999984</v>
      </c>
      <c r="L23" s="21">
        <v>0.10989405638355165</v>
      </c>
      <c r="M23" s="19">
        <v>1.7493333333333325</v>
      </c>
      <c r="N23" s="20">
        <v>0.16483447452729433</v>
      </c>
      <c r="O23" s="18">
        <v>9.7959999999999994</v>
      </c>
      <c r="P23" s="12"/>
      <c r="Q23" s="25"/>
      <c r="R23" s="24"/>
      <c r="S23" s="24"/>
      <c r="T23" s="24"/>
      <c r="U23" s="24"/>
      <c r="V23" s="24"/>
      <c r="W23" s="24"/>
      <c r="X23" s="24"/>
      <c r="Y23" s="24"/>
      <c r="Z23" s="24"/>
      <c r="AA23" s="24"/>
      <c r="AB23" s="24"/>
      <c r="AC23" s="24"/>
      <c r="AD23" s="24"/>
      <c r="AE23" s="24"/>
      <c r="AF23" s="24"/>
      <c r="AG23" s="17" t="s">
        <v>46</v>
      </c>
      <c r="AH23" s="16">
        <v>21</v>
      </c>
      <c r="AJ23"/>
      <c r="AK23"/>
    </row>
    <row r="24" spans="2:37" s="2" customFormat="1" ht="17.100000000000001" customHeight="1">
      <c r="B24" s="16">
        <v>22</v>
      </c>
      <c r="C24" s="17" t="s">
        <v>46</v>
      </c>
      <c r="D24" s="18">
        <v>158.91</v>
      </c>
      <c r="E24" s="18">
        <v>107.09499999999998</v>
      </c>
      <c r="F24" s="18">
        <v>95.575999999999993</v>
      </c>
      <c r="G24" s="18">
        <v>115.26666666666668</v>
      </c>
      <c r="H24" s="18">
        <v>129.67500000000004</v>
      </c>
      <c r="I24" s="19">
        <v>-63.334000000000003</v>
      </c>
      <c r="J24" s="20">
        <v>-0.39855263985903971</v>
      </c>
      <c r="K24" s="19">
        <v>-11.518999999999991</v>
      </c>
      <c r="L24" s="21">
        <v>-0.10755870955693536</v>
      </c>
      <c r="M24" s="19">
        <v>-19.690666666666687</v>
      </c>
      <c r="N24" s="20">
        <v>-0.17082706766917308</v>
      </c>
      <c r="O24" s="18">
        <v>172.9</v>
      </c>
      <c r="P24" s="12"/>
      <c r="Q24" s="25"/>
      <c r="R24" s="24"/>
      <c r="S24" s="24"/>
      <c r="T24" s="24"/>
      <c r="U24" s="24"/>
      <c r="V24" s="24"/>
      <c r="W24" s="24"/>
      <c r="X24" s="24"/>
      <c r="Y24" s="24"/>
      <c r="Z24" s="24"/>
      <c r="AA24" s="24"/>
      <c r="AB24" s="24"/>
      <c r="AC24" s="24"/>
      <c r="AD24" s="24"/>
      <c r="AE24" s="24"/>
      <c r="AF24" s="24"/>
      <c r="AG24" s="17" t="s">
        <v>26</v>
      </c>
      <c r="AH24" s="16">
        <v>22</v>
      </c>
      <c r="AJ24"/>
      <c r="AK24"/>
    </row>
    <row r="25" spans="2:37" s="2" customFormat="1" ht="17.100000000000001" customHeight="1">
      <c r="B25" s="16">
        <v>7</v>
      </c>
      <c r="C25" s="17" t="s">
        <v>26</v>
      </c>
      <c r="D25" s="18">
        <v>-26.512000000000036</v>
      </c>
      <c r="E25" s="18">
        <v>-13.201999999999984</v>
      </c>
      <c r="F25" s="18">
        <v>32.36953931</v>
      </c>
      <c r="G25" s="18">
        <v>25.347089431938741</v>
      </c>
      <c r="H25" s="18">
        <v>28.869012333795538</v>
      </c>
      <c r="I25" s="19">
        <v>58.881539310000036</v>
      </c>
      <c r="J25" s="20">
        <v>-2.2209391713186464</v>
      </c>
      <c r="K25" s="19">
        <v>45.571539309999984</v>
      </c>
      <c r="L25" s="21">
        <v>-3.4518663316164249</v>
      </c>
      <c r="M25" s="19">
        <v>7.0224498780612592</v>
      </c>
      <c r="N25" s="20">
        <v>0.27705152881232126</v>
      </c>
      <c r="O25" s="18">
        <v>39.416257913547</v>
      </c>
      <c r="P25" s="12"/>
      <c r="Q25" s="25"/>
      <c r="R25" s="24"/>
      <c r="S25" s="24"/>
      <c r="T25" s="24"/>
      <c r="U25" s="24"/>
      <c r="V25" s="24"/>
      <c r="W25" s="24"/>
      <c r="X25" s="24"/>
      <c r="Y25" s="24"/>
      <c r="Z25" s="24"/>
      <c r="AA25" s="24"/>
      <c r="AB25" s="24"/>
      <c r="AC25" s="24"/>
      <c r="AD25" s="24"/>
      <c r="AE25" s="24"/>
      <c r="AF25" s="24"/>
      <c r="AG25" s="17" t="s">
        <v>22</v>
      </c>
      <c r="AH25" s="16">
        <v>23</v>
      </c>
      <c r="AJ25"/>
      <c r="AK25"/>
    </row>
    <row r="26" spans="2:37" s="2" customFormat="1" ht="17.100000000000001" customHeight="1">
      <c r="B26" s="16">
        <v>4</v>
      </c>
      <c r="C26" s="17" t="s">
        <v>22</v>
      </c>
      <c r="D26" s="18">
        <v>6266.4949999999999</v>
      </c>
      <c r="E26" s="18">
        <v>4908.91</v>
      </c>
      <c r="F26" s="18">
        <v>8776.6949999999997</v>
      </c>
      <c r="G26" s="18">
        <v>6389.1091277222222</v>
      </c>
      <c r="H26" s="18">
        <v>6526.8667209444438</v>
      </c>
      <c r="I26" s="19">
        <v>2510.1999999999998</v>
      </c>
      <c r="J26" s="20">
        <v>0.40057480297997522</v>
      </c>
      <c r="K26" s="19">
        <v>3867.7849999999999</v>
      </c>
      <c r="L26" s="21">
        <v>0.78791116561517727</v>
      </c>
      <c r="M26" s="19">
        <v>2387.5858722777775</v>
      </c>
      <c r="N26" s="20">
        <v>0.37369621093464944</v>
      </c>
      <c r="O26" s="18">
        <v>6966.2267019999999</v>
      </c>
      <c r="P26" s="12"/>
      <c r="Q26" s="25"/>
      <c r="R26" s="24"/>
      <c r="S26" s="24"/>
      <c r="T26" s="24"/>
      <c r="U26" s="24"/>
      <c r="V26" s="24"/>
      <c r="W26" s="24"/>
      <c r="X26" s="24"/>
      <c r="Y26" s="24"/>
      <c r="Z26" s="24"/>
      <c r="AA26" s="24"/>
      <c r="AB26" s="24"/>
      <c r="AC26" s="24"/>
      <c r="AD26" s="24"/>
      <c r="AE26" s="24"/>
      <c r="AF26" s="24"/>
      <c r="AG26" s="1"/>
      <c r="AH26" s="1"/>
      <c r="AI26" s="1"/>
      <c r="AJ26"/>
      <c r="AK26"/>
    </row>
    <row r="27" spans="2:37" s="2" customFormat="1" ht="17.100000000000001" customHeight="1">
      <c r="B27" s="1"/>
      <c r="C27" s="1"/>
      <c r="D27" s="1"/>
      <c r="E27" s="1"/>
      <c r="F27" s="1"/>
      <c r="G27" s="1"/>
      <c r="H27" s="1"/>
      <c r="I27" s="1"/>
      <c r="J27" s="1"/>
      <c r="K27" s="1"/>
      <c r="L27" s="1"/>
      <c r="M27" s="1"/>
      <c r="N27" s="1"/>
      <c r="O27" s="1"/>
      <c r="P27" s="12"/>
      <c r="Q27" s="25"/>
      <c r="R27" s="24"/>
      <c r="S27" s="24"/>
      <c r="T27" s="24"/>
      <c r="U27" s="24"/>
      <c r="V27" s="24"/>
      <c r="W27" s="24"/>
      <c r="X27" s="26"/>
      <c r="Y27" s="24"/>
      <c r="Z27" s="24"/>
      <c r="AA27" s="24"/>
      <c r="AB27" s="24"/>
      <c r="AC27" s="24"/>
      <c r="AD27" s="24"/>
      <c r="AE27" s="24"/>
      <c r="AF27" s="24"/>
      <c r="AG27" s="1"/>
      <c r="AH27" s="1"/>
      <c r="AI27" s="1"/>
      <c r="AJ27" s="1"/>
      <c r="AK27" s="1"/>
    </row>
    <row r="28" spans="2:37" s="2" customFormat="1" ht="17.100000000000001" customHeight="1">
      <c r="B28" s="1"/>
      <c r="C28" s="1"/>
      <c r="D28" s="1"/>
      <c r="E28" s="1"/>
      <c r="F28" s="1"/>
      <c r="G28" s="1"/>
      <c r="H28" s="1"/>
      <c r="I28" s="1"/>
      <c r="J28" s="1"/>
      <c r="K28" s="1"/>
      <c r="L28" s="1"/>
      <c r="M28" s="1"/>
      <c r="N28" s="1"/>
      <c r="O28" s="1"/>
      <c r="P28" s="12"/>
      <c r="Q28" s="25"/>
      <c r="R28" s="24"/>
      <c r="S28" s="24"/>
      <c r="T28" s="24"/>
      <c r="U28" s="24"/>
      <c r="V28" s="24"/>
      <c r="W28" s="24"/>
      <c r="X28" s="26"/>
      <c r="Y28" s="24"/>
      <c r="Z28" s="24"/>
      <c r="AA28" s="24"/>
      <c r="AB28" s="24"/>
      <c r="AC28" s="24"/>
      <c r="AD28" s="24"/>
      <c r="AE28" s="24"/>
      <c r="AF28" s="24"/>
      <c r="AG28" s="1"/>
      <c r="AH28" s="1"/>
      <c r="AI28" s="1"/>
      <c r="AJ28" s="1"/>
      <c r="AK28" s="1"/>
    </row>
    <row r="29" spans="2:37" s="2" customFormat="1" ht="17.100000000000001" customHeight="1">
      <c r="B29" s="1"/>
      <c r="C29" s="1"/>
      <c r="D29" s="1"/>
      <c r="E29" s="1"/>
      <c r="F29" s="1"/>
      <c r="G29" s="1"/>
      <c r="H29" s="1"/>
      <c r="I29" s="1"/>
      <c r="J29" s="1"/>
      <c r="K29" s="1"/>
      <c r="L29" s="1"/>
      <c r="M29" s="1"/>
      <c r="N29" s="1"/>
      <c r="O29" s="1"/>
      <c r="P29" s="12"/>
      <c r="Q29" s="26"/>
      <c r="R29" s="26"/>
      <c r="S29" s="24"/>
      <c r="T29" s="24"/>
      <c r="U29" s="24"/>
      <c r="V29" s="24"/>
      <c r="W29" s="24"/>
      <c r="X29" s="26"/>
      <c r="Y29" s="24"/>
      <c r="Z29" s="26"/>
      <c r="AA29" s="26"/>
      <c r="AB29" s="26"/>
      <c r="AC29" s="26"/>
      <c r="AD29" s="26"/>
      <c r="AE29" s="26"/>
      <c r="AF29" s="24"/>
      <c r="AG29" s="1"/>
      <c r="AH29" s="1"/>
      <c r="AI29" s="1"/>
      <c r="AJ29" s="1"/>
      <c r="AK29" s="1"/>
    </row>
    <row r="30" spans="2:37">
      <c r="I30" s="15"/>
    </row>
    <row r="31" spans="2:37">
      <c r="I31" s="15"/>
    </row>
    <row r="32" spans="2:37">
      <c r="I32" s="15"/>
    </row>
    <row r="33" spans="9:9">
      <c r="I33" s="15"/>
    </row>
    <row r="34" spans="9:9">
      <c r="I34" s="15"/>
    </row>
    <row r="35" spans="9:9">
      <c r="I35" s="15"/>
    </row>
  </sheetData>
  <pageMargins left="1.18" right="0.5" top="0" bottom="0" header="0.5" footer="0.5"/>
  <pageSetup paperSize="5" scale="88" orientation="landscape"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vt:lpstr>
      <vt:lpstr>Calculate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NBP</dc:creator>
  <cp:lastModifiedBy>Windows User</cp:lastModifiedBy>
  <cp:lastPrinted>2015-10-29T05:41:59Z</cp:lastPrinted>
  <dcterms:created xsi:type="dcterms:W3CDTF">2015-09-15T08:10:46Z</dcterms:created>
  <dcterms:modified xsi:type="dcterms:W3CDTF">2015-10-30T06:56:03Z</dcterms:modified>
</cp:coreProperties>
</file>