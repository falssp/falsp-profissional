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PNRao\Desktop\myDocs\"/>
    </mc:Choice>
  </mc:AlternateContent>
  <bookViews>
    <workbookView xWindow="120" yWindow="75" windowWidth="18975" windowHeight="9915"/>
  </bookViews>
  <sheets>
    <sheet name="Home" sheetId="4" r:id="rId1"/>
    <sheet name="SalesByRegion" sheetId="5" r:id="rId2"/>
    <sheet name="SalesByStoreLevel" sheetId="1" r:id="rId3"/>
    <sheet name="Dashboard" sheetId="2" r:id="rId4"/>
    <sheet name="Data" sheetId="3" r:id="rId5"/>
  </sheets>
  <calcPr calcId="152511"/>
  <pivotCaches>
    <pivotCache cacheId="0" r:id="rId6"/>
  </pivotCaches>
</workbook>
</file>

<file path=xl/calcChain.xml><?xml version="1.0" encoding="utf-8"?>
<calcChain xmlns="http://schemas.openxmlformats.org/spreadsheetml/2006/main">
  <c r="G7" i="5" l="1"/>
  <c r="H7" i="5"/>
  <c r="G8" i="5"/>
  <c r="H8" i="5"/>
  <c r="G9" i="5"/>
  <c r="H9" i="5"/>
  <c r="G10" i="5"/>
  <c r="H10" i="5"/>
  <c r="H6" i="5"/>
  <c r="I6" i="5"/>
  <c r="G6" i="5"/>
  <c r="D9" i="5"/>
  <c r="D10" i="5"/>
  <c r="D8" i="5"/>
  <c r="D7" i="5"/>
  <c r="D11" i="5" l="1"/>
  <c r="B18" i="5"/>
  <c r="I7" i="5"/>
  <c r="I8" i="5"/>
  <c r="I10" i="5"/>
  <c r="I9" i="5"/>
</calcChain>
</file>

<file path=xl/sharedStrings.xml><?xml version="1.0" encoding="utf-8"?>
<sst xmlns="http://schemas.openxmlformats.org/spreadsheetml/2006/main" count="35058" uniqueCount="1331">
  <si>
    <t>Sales</t>
  </si>
  <si>
    <t>East</t>
  </si>
  <si>
    <t>West</t>
  </si>
  <si>
    <t>South</t>
  </si>
  <si>
    <t>Medium</t>
  </si>
  <si>
    <t>Region</t>
  </si>
  <si>
    <t>Central</t>
  </si>
  <si>
    <t>State</t>
  </si>
  <si>
    <t>Illinois</t>
  </si>
  <si>
    <t>Washington</t>
  </si>
  <si>
    <t>North Carolina</t>
  </si>
  <si>
    <t>Iowa</t>
  </si>
  <si>
    <t>Oregon</t>
  </si>
  <si>
    <t>Texas</t>
  </si>
  <si>
    <t>New Mexico</t>
  </si>
  <si>
    <t>New York</t>
  </si>
  <si>
    <t>Arkansas</t>
  </si>
  <si>
    <t>Arizona</t>
  </si>
  <si>
    <t>Oklahoma</t>
  </si>
  <si>
    <t>Tennessee</t>
  </si>
  <si>
    <t>New Jersey</t>
  </si>
  <si>
    <t>Maine</t>
  </si>
  <si>
    <t>Wisconsin</t>
  </si>
  <si>
    <t>Florida</t>
  </si>
  <si>
    <t>California</t>
  </si>
  <si>
    <t>Minnesota</t>
  </si>
  <si>
    <t>Georgia</t>
  </si>
  <si>
    <t>New Hampshire</t>
  </si>
  <si>
    <t>Kansas</t>
  </si>
  <si>
    <t>South Carolina</t>
  </si>
  <si>
    <t>Michigan</t>
  </si>
  <si>
    <t>Maryland</t>
  </si>
  <si>
    <t>Idaho</t>
  </si>
  <si>
    <t>Utah</t>
  </si>
  <si>
    <t>Ohio</t>
  </si>
  <si>
    <t>Pennsylvania</t>
  </si>
  <si>
    <t>Colorado</t>
  </si>
  <si>
    <t>Kentucky</t>
  </si>
  <si>
    <t>Indiana</t>
  </si>
  <si>
    <t>MA</t>
  </si>
  <si>
    <t>North Dakota</t>
  </si>
  <si>
    <t>MO</t>
  </si>
  <si>
    <t>Virginia</t>
  </si>
  <si>
    <t>Connecticut</t>
  </si>
  <si>
    <t>Alabama</t>
  </si>
  <si>
    <t>Louisiana</t>
  </si>
  <si>
    <t>Nebraska</t>
  </si>
  <si>
    <t>Wyoming</t>
  </si>
  <si>
    <t>Vermont</t>
  </si>
  <si>
    <t>Rhode Island</t>
  </si>
  <si>
    <t>Delaware</t>
  </si>
  <si>
    <t>West Virginia</t>
  </si>
  <si>
    <t>Mississippi</t>
  </si>
  <si>
    <t>South Dakota</t>
  </si>
  <si>
    <t>Nevada</t>
  </si>
  <si>
    <t>Montana</t>
  </si>
  <si>
    <t>Product Sub-Category</t>
  </si>
  <si>
    <t>Storage &amp; Organization</t>
  </si>
  <si>
    <t>Scissors, Rulers and Trimmers</t>
  </si>
  <si>
    <t>Office Furnishings</t>
  </si>
  <si>
    <t>Tables</t>
  </si>
  <si>
    <t>Telephones and Communication</t>
  </si>
  <si>
    <t>Computer Peripherals</t>
  </si>
  <si>
    <t>Pens &amp; Art Supplies</t>
  </si>
  <si>
    <t>Rubber Bands</t>
  </si>
  <si>
    <t>Labels</t>
  </si>
  <si>
    <t>Paper</t>
  </si>
  <si>
    <t>Office Machines</t>
  </si>
  <si>
    <t>Bookcases</t>
  </si>
  <si>
    <t>Binders and Binder Accessories</t>
  </si>
  <si>
    <t>Appliances</t>
  </si>
  <si>
    <t>Envelopes</t>
  </si>
  <si>
    <t>Chairs &amp; Chairmats</t>
  </si>
  <si>
    <t>Copiers and Fax</t>
  </si>
  <si>
    <t>Row ID</t>
  </si>
  <si>
    <t>Order ID</t>
  </si>
  <si>
    <t>Order Date</t>
  </si>
  <si>
    <t>Order Priority</t>
  </si>
  <si>
    <t>Unit Price</t>
  </si>
  <si>
    <t>City</t>
  </si>
  <si>
    <t>Customer Segment</t>
  </si>
  <si>
    <t>Product Category</t>
  </si>
  <si>
    <t>Low</t>
  </si>
  <si>
    <t>Highland Park</t>
  </si>
  <si>
    <t>Small Business</t>
  </si>
  <si>
    <t>Office Supplies</t>
  </si>
  <si>
    <t>Not Specified</t>
  </si>
  <si>
    <t>Edmonds</t>
  </si>
  <si>
    <t>Corporate</t>
  </si>
  <si>
    <t>High</t>
  </si>
  <si>
    <t>Elk Plain</t>
  </si>
  <si>
    <t>Furniture</t>
  </si>
  <si>
    <t>Technology</t>
  </si>
  <si>
    <t>High Point</t>
  </si>
  <si>
    <t>Ames</t>
  </si>
  <si>
    <t>Critical</t>
  </si>
  <si>
    <t>Albany</t>
  </si>
  <si>
    <t>Home Office</t>
  </si>
  <si>
    <t>Pflugerville</t>
  </si>
  <si>
    <t>Santa Fe</t>
  </si>
  <si>
    <t>Consumer</t>
  </si>
  <si>
    <t>Garner</t>
  </si>
  <si>
    <t>East Meadow</t>
  </si>
  <si>
    <t>Little Rock</t>
  </si>
  <si>
    <t>Prescott Valley</t>
  </si>
  <si>
    <t>Moore</t>
  </si>
  <si>
    <t>Cleveland</t>
  </si>
  <si>
    <t>Avenel</t>
  </si>
  <si>
    <t>Lewiston</t>
  </si>
  <si>
    <t>Brookfield</t>
  </si>
  <si>
    <t>Troy</t>
  </si>
  <si>
    <t>Tamarac</t>
  </si>
  <si>
    <t>Bethpage</t>
  </si>
  <si>
    <t>West Linn</t>
  </si>
  <si>
    <t>Long Beach</t>
  </si>
  <si>
    <t>Miramar</t>
  </si>
  <si>
    <t>Lemon Grove</t>
  </si>
  <si>
    <t>Holbrook</t>
  </si>
  <si>
    <t>Blaine</t>
  </si>
  <si>
    <t>Atlanta</t>
  </si>
  <si>
    <t>Burleson</t>
  </si>
  <si>
    <t>Hollywood</t>
  </si>
  <si>
    <t>Auburn</t>
  </si>
  <si>
    <t>Brunswick</t>
  </si>
  <si>
    <t>Hudson</t>
  </si>
  <si>
    <t>Garden City</t>
  </si>
  <si>
    <t>Davis</t>
  </si>
  <si>
    <t>Deer Park</t>
  </si>
  <si>
    <t>Taylors</t>
  </si>
  <si>
    <t>Tinley Park</t>
  </si>
  <si>
    <t>Urbandale</t>
  </si>
  <si>
    <t>Allen Park</t>
  </si>
  <si>
    <t>Ann Arbor</t>
  </si>
  <si>
    <t>Scottsdale</t>
  </si>
  <si>
    <t>Sanford</t>
  </si>
  <si>
    <t>Columbia</t>
  </si>
  <si>
    <t>Crofton</t>
  </si>
  <si>
    <t>Redwood City</t>
  </si>
  <si>
    <t>College Station</t>
  </si>
  <si>
    <t>Pleasant Grove</t>
  </si>
  <si>
    <t>Bend</t>
  </si>
  <si>
    <t>Mount Vernon</t>
  </si>
  <si>
    <t>Bartlesville</t>
  </si>
  <si>
    <t>Grove City</t>
  </si>
  <si>
    <t>East Los Angeles</t>
  </si>
  <si>
    <t>Marysville</t>
  </si>
  <si>
    <t>San Marcos</t>
  </si>
  <si>
    <t>Fort Dodge</t>
  </si>
  <si>
    <t>Altoona</t>
  </si>
  <si>
    <t>Highlands Ranch</t>
  </si>
  <si>
    <t>Rock Island</t>
  </si>
  <si>
    <t>Orlando</t>
  </si>
  <si>
    <t>East Point</t>
  </si>
  <si>
    <t>Wheeling</t>
  </si>
  <si>
    <t>Wilmette</t>
  </si>
  <si>
    <t>Murray</t>
  </si>
  <si>
    <t>Monroeville</t>
  </si>
  <si>
    <t>Fayetteville</t>
  </si>
  <si>
    <t>Van Buren</t>
  </si>
  <si>
    <t>Waukegan</t>
  </si>
  <si>
    <t>Camp Springs</t>
  </si>
  <si>
    <t>Pasadena</t>
  </si>
  <si>
    <t>Gurnee</t>
  </si>
  <si>
    <t>Lafayette</t>
  </si>
  <si>
    <t>Lake Jackson</t>
  </si>
  <si>
    <t>Rockford</t>
  </si>
  <si>
    <t>Maplewood</t>
  </si>
  <si>
    <t>Ocoee</t>
  </si>
  <si>
    <t>White Plains</t>
  </si>
  <si>
    <t>Sheboygan</t>
  </si>
  <si>
    <t>Munster</t>
  </si>
  <si>
    <t>Henderson</t>
  </si>
  <si>
    <t>Oceanside</t>
  </si>
  <si>
    <t>Merrillville</t>
  </si>
  <si>
    <t>Watertown</t>
  </si>
  <si>
    <t>Wellesley</t>
  </si>
  <si>
    <t>Poinciana</t>
  </si>
  <si>
    <t>Lima</t>
  </si>
  <si>
    <t>Gallatin</t>
  </si>
  <si>
    <t>Joliet</t>
  </si>
  <si>
    <t>Kearns</t>
  </si>
  <si>
    <t>Kenosha</t>
  </si>
  <si>
    <t>Aurora</t>
  </si>
  <si>
    <t>Lancaster</t>
  </si>
  <si>
    <t>Dickinson</t>
  </si>
  <si>
    <t>Park Ridge</t>
  </si>
  <si>
    <t>Saratoga</t>
  </si>
  <si>
    <t>The Colony</t>
  </si>
  <si>
    <t>Hagerstown</t>
  </si>
  <si>
    <t>Townsend</t>
  </si>
  <si>
    <t>Joplin</t>
  </si>
  <si>
    <t>Overland Park</t>
  </si>
  <si>
    <t>Chico</t>
  </si>
  <si>
    <t>Winchester</t>
  </si>
  <si>
    <t>Quincy</t>
  </si>
  <si>
    <t>Fairborn</t>
  </si>
  <si>
    <t>Grand Rapids</t>
  </si>
  <si>
    <t>Concord</t>
  </si>
  <si>
    <t>New Bedford</t>
  </si>
  <si>
    <t>Xenia</t>
  </si>
  <si>
    <t>Chula Vista</t>
  </si>
  <si>
    <t>Garland</t>
  </si>
  <si>
    <t>Alton</t>
  </si>
  <si>
    <t>Radnor</t>
  </si>
  <si>
    <t>Coos Bay</t>
  </si>
  <si>
    <t>Blacksburg</t>
  </si>
  <si>
    <t>Pendleton</t>
  </si>
  <si>
    <t>Oakton</t>
  </si>
  <si>
    <t>Surprise</t>
  </si>
  <si>
    <t>Mount Prospect</t>
  </si>
  <si>
    <t>Derry</t>
  </si>
  <si>
    <t>Stamford</t>
  </si>
  <si>
    <t>Bessemer</t>
  </si>
  <si>
    <t>Indianapolis</t>
  </si>
  <si>
    <t>Smithtown</t>
  </si>
  <si>
    <t>Westfield</t>
  </si>
  <si>
    <t>Monroe</t>
  </si>
  <si>
    <t>Papillion</t>
  </si>
  <si>
    <t>Shelby</t>
  </si>
  <si>
    <t>Southfield</t>
  </si>
  <si>
    <t>Rock Springs</t>
  </si>
  <si>
    <t>Saint Cloud</t>
  </si>
  <si>
    <t>Prairie Village</t>
  </si>
  <si>
    <t>Mankato</t>
  </si>
  <si>
    <t>Norristown</t>
  </si>
  <si>
    <t>Roswell</t>
  </si>
  <si>
    <t>Bettendorf</t>
  </si>
  <si>
    <t>Elgin</t>
  </si>
  <si>
    <t>Ponca City</t>
  </si>
  <si>
    <t>Owatonna</t>
  </si>
  <si>
    <t>Glastonbury</t>
  </si>
  <si>
    <t>Norwich</t>
  </si>
  <si>
    <t>Shelton</t>
  </si>
  <si>
    <t>Tooele</t>
  </si>
  <si>
    <t>Roseville</t>
  </si>
  <si>
    <t>Parker</t>
  </si>
  <si>
    <t>Benton</t>
  </si>
  <si>
    <t>Bangor</t>
  </si>
  <si>
    <t>Burlington</t>
  </si>
  <si>
    <t>Cheshire</t>
  </si>
  <si>
    <t>Englewood</t>
  </si>
  <si>
    <t>Providence</t>
  </si>
  <si>
    <t>Novi</t>
  </si>
  <si>
    <t>Parkville</t>
  </si>
  <si>
    <t>Fairfax</t>
  </si>
  <si>
    <t>Westerville</t>
  </si>
  <si>
    <t>Hampton</t>
  </si>
  <si>
    <t>Pharr</t>
  </si>
  <si>
    <t>Wheaton</t>
  </si>
  <si>
    <t>Calumet City</t>
  </si>
  <si>
    <t>Ormond Beach</t>
  </si>
  <si>
    <t>Oviedo</t>
  </si>
  <si>
    <t>Appleton</t>
  </si>
  <si>
    <t>Rancho Cucamonga</t>
  </si>
  <si>
    <t>North Platte</t>
  </si>
  <si>
    <t>Wilmington</t>
  </si>
  <si>
    <t>Vacaville</t>
  </si>
  <si>
    <t>Vallejo</t>
  </si>
  <si>
    <t>Neenah</t>
  </si>
  <si>
    <t>Hilliard</t>
  </si>
  <si>
    <t>Richfield</t>
  </si>
  <si>
    <t>Duncanville</t>
  </si>
  <si>
    <t>Oak Forest</t>
  </si>
  <si>
    <t>Albuquerque</t>
  </si>
  <si>
    <t>Boise</t>
  </si>
  <si>
    <t>Broken Arrow</t>
  </si>
  <si>
    <t>Rose Hill</t>
  </si>
  <si>
    <t>Port Huron</t>
  </si>
  <si>
    <t>Medford</t>
  </si>
  <si>
    <t>Mandan</t>
  </si>
  <si>
    <t>Slidell</t>
  </si>
  <si>
    <t>Mount Lebanon</t>
  </si>
  <si>
    <t>Leawood</t>
  </si>
  <si>
    <t>Bremerton</t>
  </si>
  <si>
    <t>Nampa</t>
  </si>
  <si>
    <t>Palo Alto</t>
  </si>
  <si>
    <t>Paradise</t>
  </si>
  <si>
    <t>Friendswood</t>
  </si>
  <si>
    <t>Levittown</t>
  </si>
  <si>
    <t>Cranston</t>
  </si>
  <si>
    <t>Bowling Green</t>
  </si>
  <si>
    <t>Wichita</t>
  </si>
  <si>
    <t>Canton</t>
  </si>
  <si>
    <t>Reynoldsburg</t>
  </si>
  <si>
    <t>Barrington</t>
  </si>
  <si>
    <t>Linden</t>
  </si>
  <si>
    <t>Sayreville</t>
  </si>
  <si>
    <t>West Mifflin</t>
  </si>
  <si>
    <t>Bismarck</t>
  </si>
  <si>
    <t>Port Arthur</t>
  </si>
  <si>
    <t>Evans</t>
  </si>
  <si>
    <t>Alexandria</t>
  </si>
  <si>
    <t>Sun Prairie</t>
  </si>
  <si>
    <t>Reston</t>
  </si>
  <si>
    <t>Antioch</t>
  </si>
  <si>
    <t>Westbrook</t>
  </si>
  <si>
    <t>Covington</t>
  </si>
  <si>
    <t>Gastonia</t>
  </si>
  <si>
    <t>Superior</t>
  </si>
  <si>
    <t>Ferguson</t>
  </si>
  <si>
    <t>Gadsden</t>
  </si>
  <si>
    <t>Odenton</t>
  </si>
  <si>
    <t>Georgetown</t>
  </si>
  <si>
    <t>Woodbury</t>
  </si>
  <si>
    <t>Owasso</t>
  </si>
  <si>
    <t>Newark</t>
  </si>
  <si>
    <t>Vancouver</t>
  </si>
  <si>
    <t>Charleston</t>
  </si>
  <si>
    <t>Crystal Lake</t>
  </si>
  <si>
    <t>Marshalltown</t>
  </si>
  <si>
    <t>Durango</t>
  </si>
  <si>
    <t>Hawthorne</t>
  </si>
  <si>
    <t>Randallstown</t>
  </si>
  <si>
    <t>Huntington Beach</t>
  </si>
  <si>
    <t>Colorado Springs</t>
  </si>
  <si>
    <t>Richmond</t>
  </si>
  <si>
    <t>El Centro</t>
  </si>
  <si>
    <t>North Olmsted</t>
  </si>
  <si>
    <t>Laurel</t>
  </si>
  <si>
    <t>Aspen Hill</t>
  </si>
  <si>
    <t>Laguna Hills</t>
  </si>
  <si>
    <t>Fort Collins</t>
  </si>
  <si>
    <t>Tuscaloosa</t>
  </si>
  <si>
    <t>Palm Coast</t>
  </si>
  <si>
    <t>San Luis Obispo</t>
  </si>
  <si>
    <t>Springfield</t>
  </si>
  <si>
    <t>El Cajon</t>
  </si>
  <si>
    <t>Oro Valley</t>
  </si>
  <si>
    <t>Vicksburg</t>
  </si>
  <si>
    <t>Marietta</t>
  </si>
  <si>
    <t>Lakewood</t>
  </si>
  <si>
    <t>Littleton</t>
  </si>
  <si>
    <t>Waxahachie</t>
  </si>
  <si>
    <t>Winter Springs</t>
  </si>
  <si>
    <t>Country Club Hills</t>
  </si>
  <si>
    <t>Eden Prairie</t>
  </si>
  <si>
    <t>Kissimmee</t>
  </si>
  <si>
    <t>Lodi</t>
  </si>
  <si>
    <t>Pompano Beach</t>
  </si>
  <si>
    <t>Southgate</t>
  </si>
  <si>
    <t>Hopkinton</t>
  </si>
  <si>
    <t>Wooster</t>
  </si>
  <si>
    <t>Woodland</t>
  </si>
  <si>
    <t>Freeport</t>
  </si>
  <si>
    <t>Indian Trail</t>
  </si>
  <si>
    <t>Carpentersville</t>
  </si>
  <si>
    <t>North Miami</t>
  </si>
  <si>
    <t>Hilton Head Island</t>
  </si>
  <si>
    <t>Mount Pleasant</t>
  </si>
  <si>
    <t>Oakville</t>
  </si>
  <si>
    <t>Myrtle Beach</t>
  </si>
  <si>
    <t>Oakland</t>
  </si>
  <si>
    <t>Pullman</t>
  </si>
  <si>
    <t>Rexburg</t>
  </si>
  <si>
    <t>Twin Falls</t>
  </si>
  <si>
    <t>Carbondale</t>
  </si>
  <si>
    <t>Mountain View</t>
  </si>
  <si>
    <t>Murrieta</t>
  </si>
  <si>
    <t>Smithfield</t>
  </si>
  <si>
    <t>Santa Clara</t>
  </si>
  <si>
    <t>New Bern</t>
  </si>
  <si>
    <t>Ossining</t>
  </si>
  <si>
    <t>Riviera Beach</t>
  </si>
  <si>
    <t>Santa Maria</t>
  </si>
  <si>
    <t>Franklin Square</t>
  </si>
  <si>
    <t>Swansea</t>
  </si>
  <si>
    <t>Dover</t>
  </si>
  <si>
    <t>Davie</t>
  </si>
  <si>
    <t>Ozark</t>
  </si>
  <si>
    <t>Sioux Falls</t>
  </si>
  <si>
    <t>Bethesda</t>
  </si>
  <si>
    <t>Hickory</t>
  </si>
  <si>
    <t>Logan</t>
  </si>
  <si>
    <t>West Hollywood</t>
  </si>
  <si>
    <t>Marrero</t>
  </si>
  <si>
    <t>Syracuse</t>
  </si>
  <si>
    <t>Mansfield</t>
  </si>
  <si>
    <t>Edinburg</t>
  </si>
  <si>
    <t>Edmond</t>
  </si>
  <si>
    <t>Santa Ana</t>
  </si>
  <si>
    <t>Rocky Mount</t>
  </si>
  <si>
    <t>Portland</t>
  </si>
  <si>
    <t>Gahanna</t>
  </si>
  <si>
    <t>Burnsville</t>
  </si>
  <si>
    <t>Ottumwa</t>
  </si>
  <si>
    <t>Weslaco</t>
  </si>
  <si>
    <t>Moorhead</t>
  </si>
  <si>
    <t>Pueblo West</t>
  </si>
  <si>
    <t>Pueblo</t>
  </si>
  <si>
    <t>Biddeford</t>
  </si>
  <si>
    <t>Attleboro</t>
  </si>
  <si>
    <t>Harrisonburg</t>
  </si>
  <si>
    <t>Coconut Creek</t>
  </si>
  <si>
    <t>Stow</t>
  </si>
  <si>
    <t>Gainesville</t>
  </si>
  <si>
    <t>Wentzville</t>
  </si>
  <si>
    <t>Fort Lauderdale</t>
  </si>
  <si>
    <t>Fruit Cove</t>
  </si>
  <si>
    <t>Montgomery</t>
  </si>
  <si>
    <t>Hobart</t>
  </si>
  <si>
    <t>Annandale</t>
  </si>
  <si>
    <t>Kankakee</t>
  </si>
  <si>
    <t>Brentwood</t>
  </si>
  <si>
    <t>Peachtree City</t>
  </si>
  <si>
    <t>Saco</t>
  </si>
  <si>
    <t>Cohoes</t>
  </si>
  <si>
    <t>Gorham</t>
  </si>
  <si>
    <t>Euclid</t>
  </si>
  <si>
    <t>North Port</t>
  </si>
  <si>
    <t>Rapid City</t>
  </si>
  <si>
    <t>Los Altos</t>
  </si>
  <si>
    <t>Apex</t>
  </si>
  <si>
    <t>Norfolk</t>
  </si>
  <si>
    <t>Carlsbad</t>
  </si>
  <si>
    <t>Dracut</t>
  </si>
  <si>
    <t>Gloucester</t>
  </si>
  <si>
    <t>Jersey City</t>
  </si>
  <si>
    <t>Sterling Heights</t>
  </si>
  <si>
    <t>League City</t>
  </si>
  <si>
    <t>Puyallup</t>
  </si>
  <si>
    <t>Redmond</t>
  </si>
  <si>
    <t>Pine Bluff</t>
  </si>
  <si>
    <t>Buffalo</t>
  </si>
  <si>
    <t>Escondido</t>
  </si>
  <si>
    <t>Harrison</t>
  </si>
  <si>
    <t>Kent</t>
  </si>
  <si>
    <t>New Brunswick</t>
  </si>
  <si>
    <t>Thornton</t>
  </si>
  <si>
    <t>Romeoville</t>
  </si>
  <si>
    <t>Abington</t>
  </si>
  <si>
    <t>Farmington</t>
  </si>
  <si>
    <t>Montclair</t>
  </si>
  <si>
    <t>Lincoln</t>
  </si>
  <si>
    <t>Rochester</t>
  </si>
  <si>
    <t>New Albany</t>
  </si>
  <si>
    <t>Garfield</t>
  </si>
  <si>
    <t>Saint Louis</t>
  </si>
  <si>
    <t>Lees Summit</t>
  </si>
  <si>
    <t>Tempe</t>
  </si>
  <si>
    <t>Asbury Park</t>
  </si>
  <si>
    <t>Rowlett</t>
  </si>
  <si>
    <t>Addison</t>
  </si>
  <si>
    <t>Pico Rivera</t>
  </si>
  <si>
    <t>Longmeadow</t>
  </si>
  <si>
    <t>Garfield Heights</t>
  </si>
  <si>
    <t>Orem</t>
  </si>
  <si>
    <t>Twentynine Palms</t>
  </si>
  <si>
    <t>Eastpointe</t>
  </si>
  <si>
    <t>Goleta</t>
  </si>
  <si>
    <t>Carrollton</t>
  </si>
  <si>
    <t>Greenville</t>
  </si>
  <si>
    <t>Eagle</t>
  </si>
  <si>
    <t>Fort Wayne</t>
  </si>
  <si>
    <t>Louisville</t>
  </si>
  <si>
    <t>Saint Petersburg</t>
  </si>
  <si>
    <t>Minneapolis</t>
  </si>
  <si>
    <t>North Miami Beach</t>
  </si>
  <si>
    <t>Muskogee</t>
  </si>
  <si>
    <t>Shoreview</t>
  </si>
  <si>
    <t>Wilkes Barre</t>
  </si>
  <si>
    <t>Oak Park</t>
  </si>
  <si>
    <t>Tualatin</t>
  </si>
  <si>
    <t>Naugatuck</t>
  </si>
  <si>
    <t>Seymour</t>
  </si>
  <si>
    <t>Murfreesboro</t>
  </si>
  <si>
    <t>Oak Lawn</t>
  </si>
  <si>
    <t>Anacortes</t>
  </si>
  <si>
    <t>Valley Stream</t>
  </si>
  <si>
    <t>Santa Monica</t>
  </si>
  <si>
    <t>Salisbury</t>
  </si>
  <si>
    <t>West Scarborough</t>
  </si>
  <si>
    <t>Rogers</t>
  </si>
  <si>
    <t>Lindenhurst</t>
  </si>
  <si>
    <t>Jackson</t>
  </si>
  <si>
    <t>Gardner</t>
  </si>
  <si>
    <t>Lexington</t>
  </si>
  <si>
    <t>Parsippany</t>
  </si>
  <si>
    <t>Stockton</t>
  </si>
  <si>
    <t>Omaha</t>
  </si>
  <si>
    <t>Beavercreek</t>
  </si>
  <si>
    <t>East Haven</t>
  </si>
  <si>
    <t>Braintree</t>
  </si>
  <si>
    <t>South Burlington</t>
  </si>
  <si>
    <t>Livonia</t>
  </si>
  <si>
    <t>Dalton</t>
  </si>
  <si>
    <t>Prior Lake</t>
  </si>
  <si>
    <t>Edgewood</t>
  </si>
  <si>
    <t>La Mesa</t>
  </si>
  <si>
    <t>Jacksonville</t>
  </si>
  <si>
    <t>Clarksville</t>
  </si>
  <si>
    <t>Longview</t>
  </si>
  <si>
    <t>Hinesville</t>
  </si>
  <si>
    <t>Royal Oak</t>
  </si>
  <si>
    <t>Clearfield</t>
  </si>
  <si>
    <t>Carson City</t>
  </si>
  <si>
    <t>Columbus</t>
  </si>
  <si>
    <t>Burbank</t>
  </si>
  <si>
    <t>Seatac</t>
  </si>
  <si>
    <t>Lewisville</t>
  </si>
  <si>
    <t>Eau Claire</t>
  </si>
  <si>
    <t>Olathe</t>
  </si>
  <si>
    <t>Belvidere</t>
  </si>
  <si>
    <t>Flagstaff</t>
  </si>
  <si>
    <t>South Portland</t>
  </si>
  <si>
    <t>Dix Hills</t>
  </si>
  <si>
    <t>Bristol</t>
  </si>
  <si>
    <t>Champaign</t>
  </si>
  <si>
    <t>Douglasville</t>
  </si>
  <si>
    <t>Fort Worth</t>
  </si>
  <si>
    <t>Glen Ellyn</t>
  </si>
  <si>
    <t>Winter Garden</t>
  </si>
  <si>
    <t>Centereach</t>
  </si>
  <si>
    <t>Rutland</t>
  </si>
  <si>
    <t>Port Saint Lucie</t>
  </si>
  <si>
    <t>Reading</t>
  </si>
  <si>
    <t>Dearborn Heights</t>
  </si>
  <si>
    <t>Oak Creek</t>
  </si>
  <si>
    <t>Moreno Valley</t>
  </si>
  <si>
    <t>Enid</t>
  </si>
  <si>
    <t>Huntsville</t>
  </si>
  <si>
    <t>Salt Lake City</t>
  </si>
  <si>
    <t>Laramie</t>
  </si>
  <si>
    <t>Somerville</t>
  </si>
  <si>
    <t>Aloha</t>
  </si>
  <si>
    <t>Saint Peters</t>
  </si>
  <si>
    <t>Arlington Heights</t>
  </si>
  <si>
    <t>Midwest City</t>
  </si>
  <si>
    <t>Lakeland</t>
  </si>
  <si>
    <t>Elmhurst</t>
  </si>
  <si>
    <t>Birmingham</t>
  </si>
  <si>
    <t>Menlo Park</t>
  </si>
  <si>
    <t>Upper Saint Clair</t>
  </si>
  <si>
    <t>Inglewood</t>
  </si>
  <si>
    <t>Lansing</t>
  </si>
  <si>
    <t>Maryville</t>
  </si>
  <si>
    <t>Plainview</t>
  </si>
  <si>
    <t>Plum</t>
  </si>
  <si>
    <t>East Orange</t>
  </si>
  <si>
    <t>Belchertown</t>
  </si>
  <si>
    <t>Forest Park</t>
  </si>
  <si>
    <t>Kalamazoo</t>
  </si>
  <si>
    <t>Ithaca</t>
  </si>
  <si>
    <t>Hobbs</t>
  </si>
  <si>
    <t>Meridian</t>
  </si>
  <si>
    <t>Lake Charles</t>
  </si>
  <si>
    <t>Coral Springs</t>
  </si>
  <si>
    <t>Chattanooga</t>
  </si>
  <si>
    <t>Eugene</t>
  </si>
  <si>
    <t>Alamogordo</t>
  </si>
  <si>
    <t>Newnan</t>
  </si>
  <si>
    <t>Goldsboro</t>
  </si>
  <si>
    <t>Lincoln Park</t>
  </si>
  <si>
    <t>Homewood</t>
  </si>
  <si>
    <t>Dallas</t>
  </si>
  <si>
    <t>Ellicott City</t>
  </si>
  <si>
    <t>Parkersburg</t>
  </si>
  <si>
    <t>Memphis</t>
  </si>
  <si>
    <t>Oak Ridge</t>
  </si>
  <si>
    <t>Palm Springs</t>
  </si>
  <si>
    <t>Owensboro</t>
  </si>
  <si>
    <t>Paducah</t>
  </si>
  <si>
    <t>Seattle</t>
  </si>
  <si>
    <t>Petaluma</t>
  </si>
  <si>
    <t>Saint Paul</t>
  </si>
  <si>
    <t>Wilkinsburg</t>
  </si>
  <si>
    <t>San Jose</t>
  </si>
  <si>
    <t>Opelika</t>
  </si>
  <si>
    <t>Shirley</t>
  </si>
  <si>
    <t>Cuyahoga Falls</t>
  </si>
  <si>
    <t>Bozeman</t>
  </si>
  <si>
    <t>Waukesha</t>
  </si>
  <si>
    <t>Las Vegas</t>
  </si>
  <si>
    <t>North Las Vegas</t>
  </si>
  <si>
    <t>Royal Palm Beach</t>
  </si>
  <si>
    <t>Bakersfield</t>
  </si>
  <si>
    <t>Lombard</t>
  </si>
  <si>
    <t>Northampton</t>
  </si>
  <si>
    <t>Citrus Heights</t>
  </si>
  <si>
    <t>Iselin</t>
  </si>
  <si>
    <t>Flower Mound</t>
  </si>
  <si>
    <t>Muskego</t>
  </si>
  <si>
    <t>Hoboken</t>
  </si>
  <si>
    <t>Lake In The Hills</t>
  </si>
  <si>
    <t>Saint Charles</t>
  </si>
  <si>
    <t>Redondo Beach</t>
  </si>
  <si>
    <t>Rahway</t>
  </si>
  <si>
    <t>West Valley City</t>
  </si>
  <si>
    <t>West Babylon</t>
  </si>
  <si>
    <t>Minnetonka Mills</t>
  </si>
  <si>
    <t>Bentonville</t>
  </si>
  <si>
    <t>Council Bluffs</t>
  </si>
  <si>
    <t>Lebanon</t>
  </si>
  <si>
    <t>Bennington</t>
  </si>
  <si>
    <t>Ridgewood</t>
  </si>
  <si>
    <t>Independence</t>
  </si>
  <si>
    <t>Killingly Center</t>
  </si>
  <si>
    <t>Roy</t>
  </si>
  <si>
    <t>Hanover</t>
  </si>
  <si>
    <t>Apopka</t>
  </si>
  <si>
    <t>Andover</t>
  </si>
  <si>
    <t>Easton</t>
  </si>
  <si>
    <t>San Francisco</t>
  </si>
  <si>
    <t>Cedar Rapids</t>
  </si>
  <si>
    <t>North Kingstown</t>
  </si>
  <si>
    <t>Sparks</t>
  </si>
  <si>
    <t>Deland</t>
  </si>
  <si>
    <t>Cottage Lake</t>
  </si>
  <si>
    <t>Lorain</t>
  </si>
  <si>
    <t>Boca Raton</t>
  </si>
  <si>
    <t>Kingsport</t>
  </si>
  <si>
    <t>Amarillo</t>
  </si>
  <si>
    <t>Corvallis</t>
  </si>
  <si>
    <t>Land O Lakes</t>
  </si>
  <si>
    <t>Batavia</t>
  </si>
  <si>
    <t>Lake Oswego</t>
  </si>
  <si>
    <t>Chester</t>
  </si>
  <si>
    <t>Colchester</t>
  </si>
  <si>
    <t>Pomona</t>
  </si>
  <si>
    <t>Muscatine</t>
  </si>
  <si>
    <t>Hamilton</t>
  </si>
  <si>
    <t>Red Wing</t>
  </si>
  <si>
    <t>Rome</t>
  </si>
  <si>
    <t>Franklin</t>
  </si>
  <si>
    <t>Chapel Hill</t>
  </si>
  <si>
    <t>Bethel Park</t>
  </si>
  <si>
    <t>Carol City</t>
  </si>
  <si>
    <t>Hackensack</t>
  </si>
  <si>
    <t>Claremont</t>
  </si>
  <si>
    <t>San Juan</t>
  </si>
  <si>
    <t>Michigan City</t>
  </si>
  <si>
    <t>Glendale</t>
  </si>
  <si>
    <t>Jamestown</t>
  </si>
  <si>
    <t>Essex</t>
  </si>
  <si>
    <t>Shaker Heights</t>
  </si>
  <si>
    <t>Newton</t>
  </si>
  <si>
    <t>Holland</t>
  </si>
  <si>
    <t>Russellville</t>
  </si>
  <si>
    <t>Inkster</t>
  </si>
  <si>
    <t>Camden</t>
  </si>
  <si>
    <t>Waldorf</t>
  </si>
  <si>
    <t>Bradenton</t>
  </si>
  <si>
    <t>Enterprise</t>
  </si>
  <si>
    <t>Youngstown</t>
  </si>
  <si>
    <t>Salinas</t>
  </si>
  <si>
    <t>Post Falls</t>
  </si>
  <si>
    <t>La Crosse</t>
  </si>
  <si>
    <t>Mundelein</t>
  </si>
  <si>
    <t>Goffstown</t>
  </si>
  <si>
    <t>Danville</t>
  </si>
  <si>
    <t>Spring</t>
  </si>
  <si>
    <t>Mentor</t>
  </si>
  <si>
    <t>Madison</t>
  </si>
  <si>
    <t>Redford</t>
  </si>
  <si>
    <t>Shawnee</t>
  </si>
  <si>
    <t>Roanoke</t>
  </si>
  <si>
    <t>Kansas City</t>
  </si>
  <si>
    <t>Gilroy</t>
  </si>
  <si>
    <t>Delray Beach</t>
  </si>
  <si>
    <t>Deltona</t>
  </si>
  <si>
    <t>Athens</t>
  </si>
  <si>
    <t>Altamonte Springs</t>
  </si>
  <si>
    <t>Vestavia Hills</t>
  </si>
  <si>
    <t>Tulsa</t>
  </si>
  <si>
    <t>Trenton</t>
  </si>
  <si>
    <t>Shreveport</t>
  </si>
  <si>
    <t>Kennesaw</t>
  </si>
  <si>
    <t>Ipswich</t>
  </si>
  <si>
    <t>Talladega</t>
  </si>
  <si>
    <t>University City</t>
  </si>
  <si>
    <t>Lawndale</t>
  </si>
  <si>
    <t>Eureka</t>
  </si>
  <si>
    <t>McKeesport</t>
  </si>
  <si>
    <t>Sarasota</t>
  </si>
  <si>
    <t>Crown Point</t>
  </si>
  <si>
    <t>Belleville</t>
  </si>
  <si>
    <t>San Carlos</t>
  </si>
  <si>
    <t>Bedford</t>
  </si>
  <si>
    <t>Grafton</t>
  </si>
  <si>
    <t>Roselle</t>
  </si>
  <si>
    <t>Torrington</t>
  </si>
  <si>
    <t>La Vista</t>
  </si>
  <si>
    <t>Lacey</t>
  </si>
  <si>
    <t>Thousand Oaks</t>
  </si>
  <si>
    <t>Hacienda Heights</t>
  </si>
  <si>
    <t>Florence</t>
  </si>
  <si>
    <t>Iowa City</t>
  </si>
  <si>
    <t>Urbana</t>
  </si>
  <si>
    <t>Tacoma</t>
  </si>
  <si>
    <t>Cumberland</t>
  </si>
  <si>
    <t>Keizer</t>
  </si>
  <si>
    <t>Roosevelt</t>
  </si>
  <si>
    <t>Severna Park</t>
  </si>
  <si>
    <t>Schererville</t>
  </si>
  <si>
    <t>Huber Heights</t>
  </si>
  <si>
    <t>Spanish Fork</t>
  </si>
  <si>
    <t>South Bend</t>
  </si>
  <si>
    <t>Southbury</t>
  </si>
  <si>
    <t>Stoughton</t>
  </si>
  <si>
    <t>Waterbury</t>
  </si>
  <si>
    <t>Fort Lee</t>
  </si>
  <si>
    <t>Baton Rouge</t>
  </si>
  <si>
    <t>Oregon City</t>
  </si>
  <si>
    <t>Clovis</t>
  </si>
  <si>
    <t>Cedar Park</t>
  </si>
  <si>
    <t>Oakland Park</t>
  </si>
  <si>
    <t>Wausau</t>
  </si>
  <si>
    <t>Draper</t>
  </si>
  <si>
    <t>Sioux City</t>
  </si>
  <si>
    <t>King of Prussia</t>
  </si>
  <si>
    <t>Mesa</t>
  </si>
  <si>
    <t>Grants Pass</t>
  </si>
  <si>
    <t>Emporia</t>
  </si>
  <si>
    <t>Sudbury</t>
  </si>
  <si>
    <t>Great Falls</t>
  </si>
  <si>
    <t>Biloxi</t>
  </si>
  <si>
    <t>Medina</t>
  </si>
  <si>
    <t>Ponte Vedra Beach</t>
  </si>
  <si>
    <t>Bellevue</t>
  </si>
  <si>
    <t>Buffalo Grove</t>
  </si>
  <si>
    <t>Nashville</t>
  </si>
  <si>
    <t>Dundalk</t>
  </si>
  <si>
    <t>Hialeah</t>
  </si>
  <si>
    <t>Keene</t>
  </si>
  <si>
    <t>Manteca</t>
  </si>
  <si>
    <t>Hutchinson</t>
  </si>
  <si>
    <t>Sierra Vista</t>
  </si>
  <si>
    <t>Mobile</t>
  </si>
  <si>
    <t>El Paso</t>
  </si>
  <si>
    <t>Palm Beach Gardens</t>
  </si>
  <si>
    <t>Hendersonville</t>
  </si>
  <si>
    <t>Greenwich</t>
  </si>
  <si>
    <t>Palmer</t>
  </si>
  <si>
    <t>Fargo</t>
  </si>
  <si>
    <t>Clinton</t>
  </si>
  <si>
    <t>Harker Heights</t>
  </si>
  <si>
    <t>North Ridgeville</t>
  </si>
  <si>
    <t>Green Bay</t>
  </si>
  <si>
    <t>Greenwood</t>
  </si>
  <si>
    <t>South Plainfield</t>
  </si>
  <si>
    <t>Dublin</t>
  </si>
  <si>
    <t>Mesquite</t>
  </si>
  <si>
    <t>Rock Hill</t>
  </si>
  <si>
    <t>Fairfield</t>
  </si>
  <si>
    <t>New Orleans</t>
  </si>
  <si>
    <t>Denton</t>
  </si>
  <si>
    <t>Bowie</t>
  </si>
  <si>
    <t>Virginia Beach</t>
  </si>
  <si>
    <t>Torrance</t>
  </si>
  <si>
    <t>Texarkana</t>
  </si>
  <si>
    <t>San Gabriel</t>
  </si>
  <si>
    <t>Mason City</t>
  </si>
  <si>
    <t>Searcy</t>
  </si>
  <si>
    <t>Aiken</t>
  </si>
  <si>
    <t>Olney</t>
  </si>
  <si>
    <t>East Saint Louis</t>
  </si>
  <si>
    <t>Highland</t>
  </si>
  <si>
    <t>Glen Burnie</t>
  </si>
  <si>
    <t>Tigard</t>
  </si>
  <si>
    <t>Calexico</t>
  </si>
  <si>
    <t>Milwaukee</t>
  </si>
  <si>
    <t>Wheat Ridge</t>
  </si>
  <si>
    <t>Smyrna</t>
  </si>
  <si>
    <t>Elyria</t>
  </si>
  <si>
    <t>Spanaway</t>
  </si>
  <si>
    <t>East Cleveland</t>
  </si>
  <si>
    <t>New Britain</t>
  </si>
  <si>
    <t>Salem</t>
  </si>
  <si>
    <t>Union</t>
  </si>
  <si>
    <t>Lawrence</t>
  </si>
  <si>
    <t>Adrian</t>
  </si>
  <si>
    <t>Farmington Hills</t>
  </si>
  <si>
    <t>Mishawaka</t>
  </si>
  <si>
    <t>Midland</t>
  </si>
  <si>
    <t>Massillon</t>
  </si>
  <si>
    <t>Janesville</t>
  </si>
  <si>
    <t>Corsicana</t>
  </si>
  <si>
    <t>Arlington</t>
  </si>
  <si>
    <t>Orland Park</t>
  </si>
  <si>
    <t>Stratford</t>
  </si>
  <si>
    <t>Dumont</t>
  </si>
  <si>
    <t>Walla Walla</t>
  </si>
  <si>
    <t>North Little Rock</t>
  </si>
  <si>
    <t>Taylor</t>
  </si>
  <si>
    <t>Ewing</t>
  </si>
  <si>
    <t>Woodbridge</t>
  </si>
  <si>
    <t>Dubuque</t>
  </si>
  <si>
    <t>Panama City</t>
  </si>
  <si>
    <t>Harlingen</t>
  </si>
  <si>
    <t>Peoria</t>
  </si>
  <si>
    <t>Billings</t>
  </si>
  <si>
    <t>Kirkland</t>
  </si>
  <si>
    <t>Carol Stream</t>
  </si>
  <si>
    <t>Hopkins</t>
  </si>
  <si>
    <t>Layton</t>
  </si>
  <si>
    <t>Scranton</t>
  </si>
  <si>
    <t>Boston</t>
  </si>
  <si>
    <t>Glendale Heights</t>
  </si>
  <si>
    <t>Prescott</t>
  </si>
  <si>
    <t>Wylie</t>
  </si>
  <si>
    <t>Grand Prairie</t>
  </si>
  <si>
    <t>Petersburg</t>
  </si>
  <si>
    <t>Brookings</t>
  </si>
  <si>
    <t>Downers Grove</t>
  </si>
  <si>
    <t>Coon Rapids</t>
  </si>
  <si>
    <t>Fountain</t>
  </si>
  <si>
    <t>Fremont</t>
  </si>
  <si>
    <t>Tallahassee</t>
  </si>
  <si>
    <t>Redding</t>
  </si>
  <si>
    <t>Hopatcong</t>
  </si>
  <si>
    <t>Lubbock</t>
  </si>
  <si>
    <t>Carteret</t>
  </si>
  <si>
    <t>San Clemente</t>
  </si>
  <si>
    <t>Magna</t>
  </si>
  <si>
    <t>Hattiesburg</t>
  </si>
  <si>
    <t>New Iberia</t>
  </si>
  <si>
    <t>Woodridge</t>
  </si>
  <si>
    <t>Jeffersonville</t>
  </si>
  <si>
    <t>Brownsville</t>
  </si>
  <si>
    <t>Morristown</t>
  </si>
  <si>
    <t>Owosso</t>
  </si>
  <si>
    <t>Reno</t>
  </si>
  <si>
    <t>Elk Grove Village</t>
  </si>
  <si>
    <t>New Milford</t>
  </si>
  <si>
    <t>Encinitas</t>
  </si>
  <si>
    <t>Bridgeton</t>
  </si>
  <si>
    <t>Redlands</t>
  </si>
  <si>
    <t>San Antonio</t>
  </si>
  <si>
    <t>Boardman</t>
  </si>
  <si>
    <t>Essex Junction</t>
  </si>
  <si>
    <t>Bellingham</t>
  </si>
  <si>
    <t>Glen Cove</t>
  </si>
  <si>
    <t>Riverside</t>
  </si>
  <si>
    <t>Burien</t>
  </si>
  <si>
    <t>South Boston</t>
  </si>
  <si>
    <t>Taunton</t>
  </si>
  <si>
    <t>Westerly</t>
  </si>
  <si>
    <t>Merrimack</t>
  </si>
  <si>
    <t>Madison Heights</t>
  </si>
  <si>
    <t>Lawton</t>
  </si>
  <si>
    <t>Findlay</t>
  </si>
  <si>
    <t>Conroe</t>
  </si>
  <si>
    <t>Central Falls</t>
  </si>
  <si>
    <t>Port Chester</t>
  </si>
  <si>
    <t>Tinton Falls</t>
  </si>
  <si>
    <t>Kettering</t>
  </si>
  <si>
    <t>Belle Glade</t>
  </si>
  <si>
    <t>Oxford</t>
  </si>
  <si>
    <t>Portsmouth</t>
  </si>
  <si>
    <t>Saginaw</t>
  </si>
  <si>
    <t>Walker</t>
  </si>
  <si>
    <t>Sulphur Springs</t>
  </si>
  <si>
    <t>Tysons Corner</t>
  </si>
  <si>
    <t>Temecula</t>
  </si>
  <si>
    <t>East Chicago</t>
  </si>
  <si>
    <t>Mooresville</t>
  </si>
  <si>
    <t>Apple Valley</t>
  </si>
  <si>
    <t>Tonawanda</t>
  </si>
  <si>
    <t>Fords</t>
  </si>
  <si>
    <t>Augusta</t>
  </si>
  <si>
    <t>Old Bridge</t>
  </si>
  <si>
    <t>Orange</t>
  </si>
  <si>
    <t>Hazleton</t>
  </si>
  <si>
    <t>Plano</t>
  </si>
  <si>
    <t>Caldwell</t>
  </si>
  <si>
    <t>Lunenburg</t>
  </si>
  <si>
    <t>Charlotte</t>
  </si>
  <si>
    <t>Cottage Grove</t>
  </si>
  <si>
    <t>Kingsville</t>
  </si>
  <si>
    <t>Derby</t>
  </si>
  <si>
    <t>Marshfield</t>
  </si>
  <si>
    <t>Coral Gables</t>
  </si>
  <si>
    <t>Shakopee</t>
  </si>
  <si>
    <t>Berkeley</t>
  </si>
  <si>
    <t>Pocatello</t>
  </si>
  <si>
    <t>Drexel Hill</t>
  </si>
  <si>
    <t>Jupiter</t>
  </si>
  <si>
    <t>Webster</t>
  </si>
  <si>
    <t>Anaheim</t>
  </si>
  <si>
    <t>Foxborough</t>
  </si>
  <si>
    <t>Southbridge</t>
  </si>
  <si>
    <t>East Hartford</t>
  </si>
  <si>
    <t>Cabot</t>
  </si>
  <si>
    <t>West Chicago</t>
  </si>
  <si>
    <t>Highland Village</t>
  </si>
  <si>
    <t>Middletown</t>
  </si>
  <si>
    <t>Hot Springs</t>
  </si>
  <si>
    <t>Gillette</t>
  </si>
  <si>
    <t>Muskegon</t>
  </si>
  <si>
    <t>Sunnyvale</t>
  </si>
  <si>
    <t>Saugus</t>
  </si>
  <si>
    <t>Melbourne</t>
  </si>
  <si>
    <t>Merritt Island</t>
  </si>
  <si>
    <t>Florissant</t>
  </si>
  <si>
    <t>Stevens Point</t>
  </si>
  <si>
    <t>Modesto</t>
  </si>
  <si>
    <t>Spring Hill</t>
  </si>
  <si>
    <t>Sunrise</t>
  </si>
  <si>
    <t>Penn Hills</t>
  </si>
  <si>
    <t>West Palm Beach</t>
  </si>
  <si>
    <t>Winter Haven</t>
  </si>
  <si>
    <t>Provo</t>
  </si>
  <si>
    <t>Gladstone</t>
  </si>
  <si>
    <t>Coventry</t>
  </si>
  <si>
    <t>Lyndhurst</t>
  </si>
  <si>
    <t>Hammond</t>
  </si>
  <si>
    <t>Terre Haute</t>
  </si>
  <si>
    <t>Kingston</t>
  </si>
  <si>
    <t>Waterville</t>
  </si>
  <si>
    <t>Colonial Heights</t>
  </si>
  <si>
    <t>Yucaipa</t>
  </si>
  <si>
    <t>Warwick</t>
  </si>
  <si>
    <t>Sandusky</t>
  </si>
  <si>
    <t>Loveland</t>
  </si>
  <si>
    <t>Grand Island</t>
  </si>
  <si>
    <t>Sandy Springs</t>
  </si>
  <si>
    <t>Northbrook</t>
  </si>
  <si>
    <t>Hanover Park</t>
  </si>
  <si>
    <t>Tewksbury</t>
  </si>
  <si>
    <t>Hurst</t>
  </si>
  <si>
    <t>Irving</t>
  </si>
  <si>
    <t>Clayton</t>
  </si>
  <si>
    <t>Dennis</t>
  </si>
  <si>
    <t>Lindenwold</t>
  </si>
  <si>
    <t>Palisades Park</t>
  </si>
  <si>
    <t>Odessa</t>
  </si>
  <si>
    <t>Paris</t>
  </si>
  <si>
    <t>York</t>
  </si>
  <si>
    <t>Bloomington</t>
  </si>
  <si>
    <t>Detroit</t>
  </si>
  <si>
    <t>Broomfield</t>
  </si>
  <si>
    <t>Chicago</t>
  </si>
  <si>
    <t>Chesapeake</t>
  </si>
  <si>
    <t>Bay City</t>
  </si>
  <si>
    <t>Morgantown</t>
  </si>
  <si>
    <t>Northport</t>
  </si>
  <si>
    <t>Vincennes</t>
  </si>
  <si>
    <t>Steubenville</t>
  </si>
  <si>
    <t>Richardson</t>
  </si>
  <si>
    <t>Kenmore</t>
  </si>
  <si>
    <t>Maple Grove</t>
  </si>
  <si>
    <t>Schenectady</t>
  </si>
  <si>
    <t>Laguna Niguel</t>
  </si>
  <si>
    <t>Avondale</t>
  </si>
  <si>
    <t>Rochester Hills</t>
  </si>
  <si>
    <t>Bullhead City</t>
  </si>
  <si>
    <t>Spartanburg</t>
  </si>
  <si>
    <t>Herndon</t>
  </si>
  <si>
    <t>La Quinta</t>
  </si>
  <si>
    <t>Brooklyn</t>
  </si>
  <si>
    <t>Issaquah</t>
  </si>
  <si>
    <t>Kennewick</t>
  </si>
  <si>
    <t>Valparaiso</t>
  </si>
  <si>
    <t>East Massapequa</t>
  </si>
  <si>
    <t>Wilson</t>
  </si>
  <si>
    <t>Everett</t>
  </si>
  <si>
    <t>Allentown</t>
  </si>
  <si>
    <t>Whittier</t>
  </si>
  <si>
    <t>Atascadero</t>
  </si>
  <si>
    <t>Sharon</t>
  </si>
  <si>
    <t>Central Islip</t>
  </si>
  <si>
    <t>New London</t>
  </si>
  <si>
    <t>Somerset</t>
  </si>
  <si>
    <t>East Brunswick</t>
  </si>
  <si>
    <t>Edison</t>
  </si>
  <si>
    <t>Mint Hill</t>
  </si>
  <si>
    <t>Flint</t>
  </si>
  <si>
    <t>Collierville</t>
  </si>
  <si>
    <t>Kokomo</t>
  </si>
  <si>
    <t>Pacifica</t>
  </si>
  <si>
    <t>Secaucus</t>
  </si>
  <si>
    <t>Bossier City</t>
  </si>
  <si>
    <t>Saint Louis Park</t>
  </si>
  <si>
    <t>Cedar Falls</t>
  </si>
  <si>
    <t>Holladay</t>
  </si>
  <si>
    <t>Germantown</t>
  </si>
  <si>
    <t>Morgan Hill</t>
  </si>
  <si>
    <t>Londonderry</t>
  </si>
  <si>
    <t>Helena</t>
  </si>
  <si>
    <t>Cedar Hill</t>
  </si>
  <si>
    <t>Inver Grove Heights</t>
  </si>
  <si>
    <t>Woodmere</t>
  </si>
  <si>
    <t>Rocklin</t>
  </si>
  <si>
    <t>Winter Park</t>
  </si>
  <si>
    <t>Chandler</t>
  </si>
  <si>
    <t>Frankfort</t>
  </si>
  <si>
    <t>Oswego</t>
  </si>
  <si>
    <t>Potomac</t>
  </si>
  <si>
    <t>Pleasure Ridge Park</t>
  </si>
  <si>
    <t>Lehi</t>
  </si>
  <si>
    <t>Belmont</t>
  </si>
  <si>
    <t>Leominster</t>
  </si>
  <si>
    <t>Grapevine</t>
  </si>
  <si>
    <t>Fresno</t>
  </si>
  <si>
    <t>Tampa</t>
  </si>
  <si>
    <t>Yakima</t>
  </si>
  <si>
    <t>Harrisburg</t>
  </si>
  <si>
    <t>Visalia</t>
  </si>
  <si>
    <t>Rutherford</t>
  </si>
  <si>
    <t>Sherwood</t>
  </si>
  <si>
    <t>The Woodlands</t>
  </si>
  <si>
    <t>Streamwood</t>
  </si>
  <si>
    <t>Killeen</t>
  </si>
  <si>
    <t>American Fork</t>
  </si>
  <si>
    <t>Bountiful</t>
  </si>
  <si>
    <t>Norman</t>
  </si>
  <si>
    <t>North Tonawanda</t>
  </si>
  <si>
    <t>Mcminnville</t>
  </si>
  <si>
    <t>Sun City</t>
  </si>
  <si>
    <t>Rotterdam</t>
  </si>
  <si>
    <t>Boulder</t>
  </si>
  <si>
    <t>Brooklyn Center</t>
  </si>
  <si>
    <t>Farragut</t>
  </si>
  <si>
    <t>Kingman</t>
  </si>
  <si>
    <t>Minot</t>
  </si>
  <si>
    <t>Scarsdale</t>
  </si>
  <si>
    <t>Jonesboro</t>
  </si>
  <si>
    <t>El Mirage</t>
  </si>
  <si>
    <t>West Islip</t>
  </si>
  <si>
    <t>Fitchburg</t>
  </si>
  <si>
    <t>Port Charlotte</t>
  </si>
  <si>
    <t>Pahrump</t>
  </si>
  <si>
    <t>Mcallen</t>
  </si>
  <si>
    <t>Elmira</t>
  </si>
  <si>
    <t>Cheyenne</t>
  </si>
  <si>
    <t>Pittsburg</t>
  </si>
  <si>
    <t>Brandon</t>
  </si>
  <si>
    <t>Lakeville</t>
  </si>
  <si>
    <t>Manitowoc</t>
  </si>
  <si>
    <t>Vernon Hills</t>
  </si>
  <si>
    <t>West Des Moines</t>
  </si>
  <si>
    <t>El Dorado Hills</t>
  </si>
  <si>
    <t>New City</t>
  </si>
  <si>
    <t>Duluth</t>
  </si>
  <si>
    <t>Dayton</t>
  </si>
  <si>
    <t>Haltom City</t>
  </si>
  <si>
    <t>Mechanicsville</t>
  </si>
  <si>
    <t>Hermitage</t>
  </si>
  <si>
    <t>Oshkosh</t>
  </si>
  <si>
    <t>Goodyear</t>
  </si>
  <si>
    <t>Granite Bay</t>
  </si>
  <si>
    <t>Olive Branch</t>
  </si>
  <si>
    <t>Weatherford</t>
  </si>
  <si>
    <t>Bryant</t>
  </si>
  <si>
    <t>Union City</t>
  </si>
  <si>
    <t>Milford</t>
  </si>
  <si>
    <t>Pembroke Pines</t>
  </si>
  <si>
    <t>Hempstead</t>
  </si>
  <si>
    <t>Tracy</t>
  </si>
  <si>
    <t>Perry Hall</t>
  </si>
  <si>
    <t>Yuba City</t>
  </si>
  <si>
    <t>West Springfield</t>
  </si>
  <si>
    <t>North Bergen</t>
  </si>
  <si>
    <t>Rockland</t>
  </si>
  <si>
    <t>Kentwood</t>
  </si>
  <si>
    <t>Noblesville</t>
  </si>
  <si>
    <t>Savage</t>
  </si>
  <si>
    <t>Franklin Park</t>
  </si>
  <si>
    <t>Cudahy</t>
  </si>
  <si>
    <t>New Berlin</t>
  </si>
  <si>
    <t>Horn Lake</t>
  </si>
  <si>
    <t>Worcester</t>
  </si>
  <si>
    <t>Des Plaines</t>
  </si>
  <si>
    <t>Mason</t>
  </si>
  <si>
    <t>Chambersburg</t>
  </si>
  <si>
    <t>Beverly Hills</t>
  </si>
  <si>
    <t>Gresham</t>
  </si>
  <si>
    <t>Oakdale</t>
  </si>
  <si>
    <t>Upper Arlington</t>
  </si>
  <si>
    <t>Greer</t>
  </si>
  <si>
    <t>Webster Groves</t>
  </si>
  <si>
    <t>Huntington</t>
  </si>
  <si>
    <t>Phenix City</t>
  </si>
  <si>
    <t>Palm Harbor</t>
  </si>
  <si>
    <t>Minnetonka</t>
  </si>
  <si>
    <t>Deerfield Beach</t>
  </si>
  <si>
    <t>Dunwoody</t>
  </si>
  <si>
    <t>Miami</t>
  </si>
  <si>
    <t>Rosenberg</t>
  </si>
  <si>
    <t>Paterson</t>
  </si>
  <si>
    <t>Cambridge</t>
  </si>
  <si>
    <t>Knoxville</t>
  </si>
  <si>
    <t>Irvington</t>
  </si>
  <si>
    <t>Los Banos</t>
  </si>
  <si>
    <t>San Angelo</t>
  </si>
  <si>
    <t>Strongsville</t>
  </si>
  <si>
    <t>Plainfield</t>
  </si>
  <si>
    <t>Depew</t>
  </si>
  <si>
    <t>Foster City</t>
  </si>
  <si>
    <t>Commerce City</t>
  </si>
  <si>
    <t>Las Cruces</t>
  </si>
  <si>
    <t>Edina</t>
  </si>
  <si>
    <t>Baldwin</t>
  </si>
  <si>
    <t>Hoover</t>
  </si>
  <si>
    <t>Houston</t>
  </si>
  <si>
    <t>Pittsburgh</t>
  </si>
  <si>
    <t>Brookline</t>
  </si>
  <si>
    <t>Johnson City</t>
  </si>
  <si>
    <t>Westborough</t>
  </si>
  <si>
    <t>Lake Elsinore</t>
  </si>
  <si>
    <t>Reisterstown</t>
  </si>
  <si>
    <t>Duxbury</t>
  </si>
  <si>
    <t>Galesburg</t>
  </si>
  <si>
    <t>Wayne</t>
  </si>
  <si>
    <t>Wyckoff</t>
  </si>
  <si>
    <t>Grand Forks</t>
  </si>
  <si>
    <t>Lake Forest</t>
  </si>
  <si>
    <t>Paragould</t>
  </si>
  <si>
    <t>Needham</t>
  </si>
  <si>
    <t>North Pembroke</t>
  </si>
  <si>
    <t>Arvada</t>
  </si>
  <si>
    <t>Springville</t>
  </si>
  <si>
    <t>Hicksville</t>
  </si>
  <si>
    <t>Austin</t>
  </si>
  <si>
    <t>Costa Mesa</t>
  </si>
  <si>
    <t>Ankeny</t>
  </si>
  <si>
    <t>Bergenfield</t>
  </si>
  <si>
    <t>Abilene</t>
  </si>
  <si>
    <t>Branford</t>
  </si>
  <si>
    <t>Danbury</t>
  </si>
  <si>
    <t>Evanston</t>
  </si>
  <si>
    <t>Portage</t>
  </si>
  <si>
    <t>Leavenworth</t>
  </si>
  <si>
    <t>Maryland Heights</t>
  </si>
  <si>
    <t>Tyler</t>
  </si>
  <si>
    <t>Davenport</t>
  </si>
  <si>
    <t>Conway</t>
  </si>
  <si>
    <t>Warren</t>
  </si>
  <si>
    <t>Lufkin</t>
  </si>
  <si>
    <t>Decatur</t>
  </si>
  <si>
    <t>North Plainfield</t>
  </si>
  <si>
    <t>Midvale</t>
  </si>
  <si>
    <t>Bethlehem</t>
  </si>
  <si>
    <t>Parkland</t>
  </si>
  <si>
    <t>Pontiac</t>
  </si>
  <si>
    <t>Coachella</t>
  </si>
  <si>
    <t>Missouri City</t>
  </si>
  <si>
    <t>East Longmeadow</t>
  </si>
  <si>
    <t>Milton</t>
  </si>
  <si>
    <t>Mineral Wells</t>
  </si>
  <si>
    <t>Martinez</t>
  </si>
  <si>
    <t>Beaverton</t>
  </si>
  <si>
    <t>Wilbraham</t>
  </si>
  <si>
    <t>Houma</t>
  </si>
  <si>
    <t>Lake Worth</t>
  </si>
  <si>
    <t>Haverhill</t>
  </si>
  <si>
    <t>South Vineland</t>
  </si>
  <si>
    <t>Jefferson City</t>
  </si>
  <si>
    <t>Tucson</t>
  </si>
  <si>
    <t>Metairie</t>
  </si>
  <si>
    <t>Glenview</t>
  </si>
  <si>
    <t>Shrewsbury</t>
  </si>
  <si>
    <t>Falmouth</t>
  </si>
  <si>
    <t>Spokane</t>
  </si>
  <si>
    <t>Lehigh Acres</t>
  </si>
  <si>
    <t>Wichita Falls</t>
  </si>
  <si>
    <t>North Babylon</t>
  </si>
  <si>
    <t>Victoria</t>
  </si>
  <si>
    <t>Laurinburg</t>
  </si>
  <si>
    <t>Anderson</t>
  </si>
  <si>
    <t>Trumbull</t>
  </si>
  <si>
    <t>Atlantic City</t>
  </si>
  <si>
    <t>Collinsville</t>
  </si>
  <si>
    <t>Eden</t>
  </si>
  <si>
    <t>Cleveland Heights</t>
  </si>
  <si>
    <t>Warner Robins</t>
  </si>
  <si>
    <t>Naperville</t>
  </si>
  <si>
    <t>Elizabeth</t>
  </si>
  <si>
    <t>Colonia</t>
  </si>
  <si>
    <t>Commack</t>
  </si>
  <si>
    <t>Bolingbrook</t>
  </si>
  <si>
    <t>Long Branch</t>
  </si>
  <si>
    <t>Pepperell</t>
  </si>
  <si>
    <t>Fort Myers</t>
  </si>
  <si>
    <t>College Park</t>
  </si>
  <si>
    <t>Dodge City</t>
  </si>
  <si>
    <t>Philadelphia</t>
  </si>
  <si>
    <t>Wakefield</t>
  </si>
  <si>
    <t>Akron</t>
  </si>
  <si>
    <t>Ontario</t>
  </si>
  <si>
    <t>Norton</t>
  </si>
  <si>
    <t>Mustang</t>
  </si>
  <si>
    <t>Sacramento</t>
  </si>
  <si>
    <t>Fall River</t>
  </si>
  <si>
    <t>Kendall</t>
  </si>
  <si>
    <t>Klamath Falls</t>
  </si>
  <si>
    <t>Moscow</t>
  </si>
  <si>
    <t>Fort Thomas</t>
  </si>
  <si>
    <t>Granite City</t>
  </si>
  <si>
    <t>Woodstock</t>
  </si>
  <si>
    <t>Whitehall</t>
  </si>
  <si>
    <t>Coeur D Alene</t>
  </si>
  <si>
    <t>Hays</t>
  </si>
  <si>
    <t>Raleigh</t>
  </si>
  <si>
    <t>Cranford</t>
  </si>
  <si>
    <t>Summit</t>
  </si>
  <si>
    <t>Hazelwood</t>
  </si>
  <si>
    <t>Pensacola</t>
  </si>
  <si>
    <t>Kearney</t>
  </si>
  <si>
    <t>Pekin</t>
  </si>
  <si>
    <t>Lenexa</t>
  </si>
  <si>
    <t>Burke</t>
  </si>
  <si>
    <t>New Smyrna Beach</t>
  </si>
  <si>
    <t>Statesboro</t>
  </si>
  <si>
    <t>Waterloo</t>
  </si>
  <si>
    <t>Gary</t>
  </si>
  <si>
    <t>Eagle Pass</t>
  </si>
  <si>
    <t>Fort Bragg</t>
  </si>
  <si>
    <t>Willingboro</t>
  </si>
  <si>
    <t>Troutdale</t>
  </si>
  <si>
    <t>Woodburn</t>
  </si>
  <si>
    <t>Renton</t>
  </si>
  <si>
    <t>New Rochelle</t>
  </si>
  <si>
    <t>Titusville</t>
  </si>
  <si>
    <t>North Royalton</t>
  </si>
  <si>
    <t>West Milford</t>
  </si>
  <si>
    <t>Elmwood Park</t>
  </si>
  <si>
    <t>Nashua</t>
  </si>
  <si>
    <t>South Orange</t>
  </si>
  <si>
    <t>Willoughby</t>
  </si>
  <si>
    <t>Sault Sainte Marie</t>
  </si>
  <si>
    <t>Keller</t>
  </si>
  <si>
    <t>Marion</t>
  </si>
  <si>
    <t>Waynesboro</t>
  </si>
  <si>
    <t>Los Gatos</t>
  </si>
  <si>
    <t>Middle River</t>
  </si>
  <si>
    <t>Bothell</t>
  </si>
  <si>
    <t>Butte</t>
  </si>
  <si>
    <t>La Porte</t>
  </si>
  <si>
    <t>Ashland</t>
  </si>
  <si>
    <t>Waterford</t>
  </si>
  <si>
    <t>Westland</t>
  </si>
  <si>
    <t>Pennsauken</t>
  </si>
  <si>
    <t>Newington</t>
  </si>
  <si>
    <t>North Arlington</t>
  </si>
  <si>
    <t>Maple Shade</t>
  </si>
  <si>
    <t>Yonkers</t>
  </si>
  <si>
    <t>Ogden</t>
  </si>
  <si>
    <t>Pearl</t>
  </si>
  <si>
    <t>Phoenix</t>
  </si>
  <si>
    <t>Wauwatosa</t>
  </si>
  <si>
    <t>Beckley</t>
  </si>
  <si>
    <t>Wake Forest</t>
  </si>
  <si>
    <t>Cheektowaga</t>
  </si>
  <si>
    <t>Westlake</t>
  </si>
  <si>
    <t>Fridley</t>
  </si>
  <si>
    <t>Mauldin</t>
  </si>
  <si>
    <t>Palm Bay</t>
  </si>
  <si>
    <t>Des Moines</t>
  </si>
  <si>
    <t>Kenner</t>
  </si>
  <si>
    <t>Creve Coeur</t>
  </si>
  <si>
    <t>Eagan</t>
  </si>
  <si>
    <t>State College</t>
  </si>
  <si>
    <t>Palatine</t>
  </si>
  <si>
    <t>Cornelius</t>
  </si>
  <si>
    <t>Walpole</t>
  </si>
  <si>
    <t>Melrose Park</t>
  </si>
  <si>
    <t>Racine</t>
  </si>
  <si>
    <t>Laredo</t>
  </si>
  <si>
    <t>Gilbert</t>
  </si>
  <si>
    <t>Lynnwood</t>
  </si>
  <si>
    <t>Euless</t>
  </si>
  <si>
    <t>Raytown</t>
  </si>
  <si>
    <t>Casselberry</t>
  </si>
  <si>
    <t>Montebello</t>
  </si>
  <si>
    <t>Baltimore</t>
  </si>
  <si>
    <t>Cloverleaf</t>
  </si>
  <si>
    <t>Granger</t>
  </si>
  <si>
    <t>Oxnard</t>
  </si>
  <si>
    <t>Laconia</t>
  </si>
  <si>
    <t>Tiverton</t>
  </si>
  <si>
    <t>Berea</t>
  </si>
  <si>
    <t>Woonsocket</t>
  </si>
  <si>
    <t>Holden</t>
  </si>
  <si>
    <t>Pikesville</t>
  </si>
  <si>
    <t>Silver Spring</t>
  </si>
  <si>
    <t>Aberdeen</t>
  </si>
  <si>
    <t>Niagara Falls</t>
  </si>
  <si>
    <t>Phillipsburg</t>
  </si>
  <si>
    <t>Scotch Plains</t>
  </si>
  <si>
    <t>Denver</t>
  </si>
  <si>
    <t>Plant City</t>
  </si>
  <si>
    <t>West Lafayette</t>
  </si>
  <si>
    <t>Brooklyn Park</t>
  </si>
  <si>
    <t>Kannapolis</t>
  </si>
  <si>
    <t>Cliffside Park</t>
  </si>
  <si>
    <t>Mission Viejo</t>
  </si>
  <si>
    <t>Bloomfield</t>
  </si>
  <si>
    <t>Bayonne</t>
  </si>
  <si>
    <t>Passaic</t>
  </si>
  <si>
    <t>Liberal</t>
  </si>
  <si>
    <t>Fort Pierce</t>
  </si>
  <si>
    <t>Agawam</t>
  </si>
  <si>
    <t>Greensboro</t>
  </si>
  <si>
    <t>Nutley</t>
  </si>
  <si>
    <t>Olympia</t>
  </si>
  <si>
    <t>Beverly</t>
  </si>
  <si>
    <t>Hanson</t>
  </si>
  <si>
    <t>Bourne</t>
  </si>
  <si>
    <t>Dedham</t>
  </si>
  <si>
    <t>Texas City</t>
  </si>
  <si>
    <t>Springdale</t>
  </si>
  <si>
    <t>Savannah</t>
  </si>
  <si>
    <t>Topeka</t>
  </si>
  <si>
    <t>Millville</t>
  </si>
  <si>
    <t>Round Rock</t>
  </si>
  <si>
    <t>West Seneca</t>
  </si>
  <si>
    <t>Watauga</t>
  </si>
  <si>
    <t>Camarillo</t>
  </si>
  <si>
    <t>Nicholasville</t>
  </si>
  <si>
    <t>Greensburg</t>
  </si>
  <si>
    <t>Baytown</t>
  </si>
  <si>
    <t>Fort Smith</t>
  </si>
  <si>
    <t>Hastings</t>
  </si>
  <si>
    <t>Northglenn</t>
  </si>
  <si>
    <t>Elkhart</t>
  </si>
  <si>
    <t>Dunedin</t>
  </si>
  <si>
    <t>Objective</t>
  </si>
  <si>
    <t>Understanding the perormance of the Sales based on the different levels of the Store and Geographics</t>
  </si>
  <si>
    <t>Data</t>
  </si>
  <si>
    <t>Analysis</t>
  </si>
  <si>
    <t>Row Labels</t>
  </si>
  <si>
    <t>Grand Total</t>
  </si>
  <si>
    <t>(All)</t>
  </si>
  <si>
    <t>Total Sales</t>
  </si>
  <si>
    <t>% Sales</t>
  </si>
  <si>
    <t>Observations:</t>
  </si>
  <si>
    <t>Central Region is Contributing the Maximum Sales (32.18%)</t>
  </si>
  <si>
    <t>Products from Technology Category is cotributing more as compares to the other catgories</t>
  </si>
  <si>
    <t>Official sub category is doing very well while compares to the other sub-categories</t>
  </si>
  <si>
    <t>Please note: This is a dummy data used for illustrating a simple dashboard</t>
  </si>
  <si>
    <t>Sample sales data of a dummy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</si>
</sst>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(* #,##0.00_);_(* \(#,##0.0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MS Sans Serif"/>
      <family val="2"/>
    </font>
    <font>
      <sz val="10"/>
      <name val="MS Sans Serif"/>
      <family val="2"/>
    </font>
    <font>
      <sz val="8"/>
      <color theme="1"/>
      <name val="Calibri"/>
      <family val="2"/>
      <scheme val="minor"/>
    </font>
    <font>
      <sz val="11"/>
      <color theme="1"/>
      <name val="Webdings"/>
      <family val="1"/>
      <charset val="2"/>
    </font>
    <font>
      <u/>
      <sz val="11"/>
      <color theme="6" tint="-0.499984740745262"/>
      <name val="Calibri"/>
      <family val="2"/>
      <scheme val="minor"/>
    </font>
    <font>
      <i/>
      <sz val="10"/>
      <color rgb="FFC0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3">
    <xf numFmtId="0" fontId="0" fillId="0" borderId="0" xfId="0"/>
    <xf numFmtId="0" fontId="0" fillId="0" borderId="0" xfId="0" applyFill="1"/>
    <xf numFmtId="0" fontId="6" fillId="0" borderId="0" xfId="0" applyFont="1" applyFill="1"/>
    <xf numFmtId="0" fontId="0" fillId="0" borderId="0" xfId="0" applyNumberFormat="1" applyFill="1"/>
    <xf numFmtId="0" fontId="0" fillId="0" borderId="0" xfId="0" quotePrefix="1" applyNumberFormat="1" applyFill="1"/>
    <xf numFmtId="14" fontId="0" fillId="0" borderId="0" xfId="1" quotePrefix="1" applyNumberFormat="1" applyFont="1" applyFill="1"/>
    <xf numFmtId="0" fontId="0" fillId="0" borderId="0" xfId="1" applyNumberFormat="1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8" borderId="0" xfId="0" applyFill="1"/>
    <xf numFmtId="0" fontId="0" fillId="8" borderId="0" xfId="0" applyFill="1" applyAlignment="1">
      <alignment horizontal="left"/>
    </xf>
    <xf numFmtId="0" fontId="0" fillId="8" borderId="0" xfId="0" applyNumberFormat="1" applyFill="1"/>
    <xf numFmtId="10" fontId="0" fillId="8" borderId="0" xfId="2" applyNumberFormat="1" applyFont="1" applyFill="1"/>
    <xf numFmtId="10" fontId="0" fillId="8" borderId="0" xfId="0" applyNumberFormat="1" applyFill="1"/>
    <xf numFmtId="10" fontId="4" fillId="8" borderId="0" xfId="0" applyNumberFormat="1" applyFont="1" applyFill="1"/>
    <xf numFmtId="0" fontId="4" fillId="8" borderId="0" xfId="0" applyFont="1" applyFill="1"/>
    <xf numFmtId="0" fontId="8" fillId="8" borderId="0" xfId="0" applyFont="1" applyFill="1"/>
    <xf numFmtId="0" fontId="9" fillId="8" borderId="0" xfId="0" applyFont="1" applyFill="1"/>
    <xf numFmtId="0" fontId="8" fillId="3" borderId="0" xfId="0" applyFont="1" applyFill="1"/>
    <xf numFmtId="0" fontId="11" fillId="3" borderId="0" xfId="0" applyFont="1" applyFill="1"/>
    <xf numFmtId="0" fontId="7" fillId="7" borderId="0" xfId="0" applyFont="1" applyFill="1" applyAlignment="1">
      <alignment textRotation="255"/>
    </xf>
    <xf numFmtId="0" fontId="8" fillId="2" borderId="0" xfId="0" applyFont="1" applyFill="1"/>
    <xf numFmtId="49" fontId="5" fillId="2" borderId="1" xfId="0" applyNumberFormat="1" applyFont="1" applyFill="1" applyBorder="1"/>
    <xf numFmtId="0" fontId="5" fillId="2" borderId="1" xfId="0" applyNumberFormat="1" applyFont="1" applyFill="1" applyBorder="1"/>
    <xf numFmtId="0" fontId="5" fillId="2" borderId="1" xfId="1" applyNumberFormat="1" applyFont="1" applyFill="1" applyBorder="1"/>
    <xf numFmtId="0" fontId="12" fillId="8" borderId="0" xfId="0" applyFont="1" applyFill="1" applyAlignment="1">
      <alignment horizontal="left"/>
    </xf>
    <xf numFmtId="0" fontId="0" fillId="8" borderId="0" xfId="0" applyNumberFormat="1" applyFill="1" applyAlignment="1">
      <alignment horizontal="left"/>
    </xf>
    <xf numFmtId="0" fontId="3" fillId="8" borderId="0" xfId="0" applyFont="1" applyFill="1"/>
    <xf numFmtId="0" fontId="3" fillId="8" borderId="0" xfId="0" applyFont="1" applyFill="1" applyAlignment="1">
      <alignment vertical="center" wrapText="1"/>
    </xf>
    <xf numFmtId="0" fontId="0" fillId="5" borderId="0" xfId="0" applyFill="1"/>
    <xf numFmtId="0" fontId="2" fillId="7" borderId="0" xfId="0" applyFont="1" applyFill="1"/>
    <xf numFmtId="0" fontId="2" fillId="5" borderId="0" xfId="0" applyFont="1" applyFill="1"/>
    <xf numFmtId="0" fontId="2" fillId="4" borderId="0" xfId="0" applyFont="1" applyFill="1"/>
    <xf numFmtId="0" fontId="0" fillId="6" borderId="0" xfId="0" applyFill="1"/>
    <xf numFmtId="0" fontId="13" fillId="0" borderId="0" xfId="0" applyFont="1" applyAlignment="1">
      <alignment horizontal="center"/>
    </xf>
    <xf numFmtId="0" fontId="7" fillId="7" borderId="0" xfId="0" applyFont="1" applyFill="1" applyAlignment="1">
      <alignment horizontal="center" textRotation="255"/>
    </xf>
    <xf numFmtId="0" fontId="0" fillId="3" borderId="0" xfId="0" applyFill="1" applyAlignment="1">
      <alignment horizontal="left" vertical="center" wrapText="1" indent="7"/>
    </xf>
    <xf numFmtId="0" fontId="0" fillId="2" borderId="0" xfId="0" applyFill="1" applyAlignment="1">
      <alignment horizontal="left" vertical="center" wrapText="1" indent="7"/>
    </xf>
    <xf numFmtId="0" fontId="7" fillId="4" borderId="0" xfId="0" applyFont="1" applyFill="1" applyAlignment="1">
      <alignment horizontal="center" textRotation="255"/>
    </xf>
    <xf numFmtId="0" fontId="7" fillId="5" borderId="0" xfId="0" applyFont="1" applyFill="1" applyAlignment="1">
      <alignment horizontal="center" textRotation="255"/>
    </xf>
    <xf numFmtId="0" fontId="0" fillId="3" borderId="0" xfId="0" applyFill="1" applyAlignment="1">
      <alignment horizontal="left" vertical="center" wrapText="1"/>
    </xf>
    <xf numFmtId="0" fontId="10" fillId="3" borderId="0" xfId="0" applyFont="1" applyFill="1" applyAlignment="1">
      <alignment horizontal="left" vertical="center" wrapText="1"/>
    </xf>
  </cellXfs>
  <cellStyles count="3">
    <cellStyle name="Comma" xfId="1" builtinId="3"/>
    <cellStyle name="Normal" xfId="0" builtinId="0"/>
    <cellStyle name="Percent" xfId="2" builtinId="5"/>
  </cellStyles>
  <dxfs count="8">
    <dxf>
      <alignment horizontal="left" readingOrder="0"/>
    </dxf>
    <dxf>
      <fill>
        <patternFill>
          <bgColor theme="2"/>
        </patternFill>
      </fill>
    </dxf>
    <dxf>
      <fill>
        <patternFill patternType="solid">
          <bgColor theme="2"/>
        </patternFill>
      </fill>
    </dxf>
    <dxf>
      <alignment horizontal="left" readingOrder="0"/>
    </dxf>
    <dxf>
      <font>
        <sz val="10"/>
      </font>
    </dxf>
    <dxf>
      <fill>
        <patternFill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SalesByRegion!$H$6</c:f>
              <c:strCache>
                <c:ptCount val="1"/>
                <c:pt idx="0">
                  <c:v>Total Sales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SalesByRegion!$G$7:$G$10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SalesByRegion!$H$7:$H$10</c:f>
              <c:numCache>
                <c:formatCode>General</c:formatCode>
                <c:ptCount val="4"/>
                <c:pt idx="0">
                  <c:v>2926872.6240000026</c:v>
                </c:pt>
                <c:pt idx="1">
                  <c:v>2016317.4625000034</c:v>
                </c:pt>
                <c:pt idx="2">
                  <c:v>1918528.427499997</c:v>
                </c:pt>
                <c:pt idx="3">
                  <c:v>2232802.6244999981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1053392"/>
        <c:axId val="191054800"/>
      </c:barChart>
      <c:lineChart>
        <c:grouping val="standard"/>
        <c:varyColors val="0"/>
        <c:ser>
          <c:idx val="1"/>
          <c:order val="1"/>
          <c:tx>
            <c:strRef>
              <c:f>SalesByRegion!$I$6</c:f>
              <c:strCache>
                <c:ptCount val="1"/>
                <c:pt idx="0">
                  <c:v>% Sales</c:v>
                </c:pt>
              </c:strCache>
            </c:strRef>
          </c:tx>
          <c:dLbls>
            <c:numFmt formatCode="0.00%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SalesByRegion!$G$7:$G$10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SalesByRegion!$I$7:$I$10</c:f>
              <c:numCache>
                <c:formatCode>General</c:formatCode>
                <c:ptCount val="4"/>
                <c:pt idx="0">
                  <c:v>0.32182811820730389</c:v>
                </c:pt>
                <c:pt idx="1">
                  <c:v>0.22170683115621009</c:v>
                </c:pt>
                <c:pt idx="2">
                  <c:v>0.21095430955438169</c:v>
                </c:pt>
                <c:pt idx="3">
                  <c:v>0.24551074108210427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077944"/>
        <c:axId val="191055184"/>
      </c:lineChart>
      <c:catAx>
        <c:axId val="19105339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91054800"/>
        <c:crosses val="autoZero"/>
        <c:auto val="1"/>
        <c:lblAlgn val="ctr"/>
        <c:lblOffset val="100"/>
        <c:noMultiLvlLbl val="0"/>
      </c:catAx>
      <c:valAx>
        <c:axId val="19105480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91053392"/>
        <c:crosses val="autoZero"/>
        <c:crossBetween val="between"/>
      </c:valAx>
      <c:valAx>
        <c:axId val="191055184"/>
        <c:scaling>
          <c:orientation val="minMax"/>
        </c:scaling>
        <c:delete val="0"/>
        <c:axPos val="r"/>
        <c:numFmt formatCode="0.00%" sourceLinked="0"/>
        <c:majorTickMark val="out"/>
        <c:minorTickMark val="none"/>
        <c:tickLblPos val="nextTo"/>
        <c:crossAx val="191077944"/>
        <c:crosses val="max"/>
        <c:crossBetween val="between"/>
      </c:valAx>
      <c:catAx>
        <c:axId val="1910779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1055184"/>
        <c:crosses val="autoZero"/>
        <c:auto val="1"/>
        <c:lblAlgn val="ctr"/>
        <c:lblOffset val="100"/>
        <c:noMultiLvlLbl val="0"/>
      </c:cat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1"/>
    </mc:Choice>
    <mc:Fallback>
      <c:style val="11"/>
    </mc:Fallback>
  </mc:AlternateContent>
  <c:pivotSource>
    <c:name>[Sample Dashboard (Sales Data).xlsx]SalesByStoreLevel!PivotTable4</c:name>
    <c:fmtId val="4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Sales By Category</a:t>
            </a:r>
          </a:p>
        </c:rich>
      </c:tx>
      <c:layout/>
      <c:overlay val="0"/>
    </c:title>
    <c:autoTitleDeleted val="0"/>
    <c:pivotFmts>
      <c:pivotFmt>
        <c:idx val="0"/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SalesByStoreLevel!$C$6</c:f>
              <c:strCache>
                <c:ptCount val="1"/>
                <c:pt idx="0">
                  <c:v>Total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SalesByStoreLevel!$B$7:$B$9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SalesByStoreLevel!$C$7:$C$9</c:f>
              <c:numCache>
                <c:formatCode>General</c:formatCode>
                <c:ptCount val="3"/>
                <c:pt idx="0">
                  <c:v>3044064.7859999971</c:v>
                </c:pt>
                <c:pt idx="1">
                  <c:v>2243073.4500000007</c:v>
                </c:pt>
                <c:pt idx="2">
                  <c:v>3807382.9024999989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Dashboard (Sales Data).xlsx]SalesByStoreLevel!PivotTable6</c:name>
    <c:fmtId val="4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Sales By Sub-Category</a:t>
            </a:r>
          </a:p>
        </c:rich>
      </c:tx>
      <c:layout/>
      <c:overlay val="0"/>
    </c:title>
    <c:autoTitleDeleted val="0"/>
    <c:pivotFmts>
      <c:pivotFmt>
        <c:idx val="0"/>
        <c:spPr>
          <a:ln>
            <a:solidFill>
              <a:schemeClr val="bg1">
                <a:lumMod val="85000"/>
              </a:schemeClr>
            </a:solidFill>
          </a:ln>
        </c:spPr>
      </c:pivotFmt>
    </c:pivotFmts>
    <c:plotArea>
      <c:layout/>
      <c:lineChart>
        <c:grouping val="standard"/>
        <c:varyColors val="1"/>
        <c:ser>
          <c:idx val="0"/>
          <c:order val="0"/>
          <c:tx>
            <c:strRef>
              <c:f>SalesByStoreLevel!$G$6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chemeClr val="bg1">
                  <a:lumMod val="85000"/>
                </a:schemeClr>
              </a:solidFill>
            </a:ln>
          </c:spPr>
          <c:cat>
            <c:strRef>
              <c:f>SalesByStoreLevel!$F$7:$F$23</c:f>
              <c:strCache>
                <c:ptCount val="17"/>
                <c:pt idx="0">
                  <c:v>Appliances</c:v>
                </c:pt>
                <c:pt idx="1">
                  <c:v>Binders and Binder Accessories</c:v>
                </c:pt>
                <c:pt idx="2">
                  <c:v>Bookcases</c:v>
                </c:pt>
                <c:pt idx="3">
                  <c:v>Chairs &amp; Chairmats</c:v>
                </c:pt>
                <c:pt idx="4">
                  <c:v>Computer Peripherals</c:v>
                </c:pt>
                <c:pt idx="5">
                  <c:v>Copiers and Fax</c:v>
                </c:pt>
                <c:pt idx="6">
                  <c:v>Envelopes</c:v>
                </c:pt>
                <c:pt idx="7">
                  <c:v>Labels</c:v>
                </c:pt>
                <c:pt idx="8">
                  <c:v>Office Furnishings</c:v>
                </c:pt>
                <c:pt idx="9">
                  <c:v>Office Machines</c:v>
                </c:pt>
                <c:pt idx="10">
                  <c:v>Paper</c:v>
                </c:pt>
                <c:pt idx="11">
                  <c:v>Pens &amp; Art Supplies</c:v>
                </c:pt>
                <c:pt idx="12">
                  <c:v>Rubber Bands</c:v>
                </c:pt>
                <c:pt idx="13">
                  <c:v>Scissors, Rulers and Trimmers</c:v>
                </c:pt>
                <c:pt idx="14">
                  <c:v>Storage &amp; Organization</c:v>
                </c:pt>
                <c:pt idx="15">
                  <c:v>Tables</c:v>
                </c:pt>
                <c:pt idx="16">
                  <c:v>Telephones and Communication</c:v>
                </c:pt>
              </c:strCache>
            </c:strRef>
          </c:cat>
          <c:val>
            <c:numRef>
              <c:f>SalesByStoreLevel!$G$7:$G$23</c:f>
              <c:numCache>
                <c:formatCode>General</c:formatCode>
                <c:ptCount val="17"/>
                <c:pt idx="0">
                  <c:v>474028.81000000029</c:v>
                </c:pt>
                <c:pt idx="1">
                  <c:v>559070.03000000061</c:v>
                </c:pt>
                <c:pt idx="2">
                  <c:v>581857.77000000014</c:v>
                </c:pt>
                <c:pt idx="3">
                  <c:v>953531.68</c:v>
                </c:pt>
                <c:pt idx="4">
                  <c:v>486024.6700000001</c:v>
                </c:pt>
                <c:pt idx="5">
                  <c:v>723695.29000000015</c:v>
                </c:pt>
                <c:pt idx="6">
                  <c:v>114881.07000000002</c:v>
                </c:pt>
                <c:pt idx="7">
                  <c:v>20456.419999999991</c:v>
                </c:pt>
                <c:pt idx="8">
                  <c:v>406931.68000000017</c:v>
                </c:pt>
                <c:pt idx="9">
                  <c:v>1439922.7799999993</c:v>
                </c:pt>
                <c:pt idx="10">
                  <c:v>253178.25999999989</c:v>
                </c:pt>
                <c:pt idx="11">
                  <c:v>102956.49</c:v>
                </c:pt>
                <c:pt idx="12">
                  <c:v>7494.4500000000016</c:v>
                </c:pt>
                <c:pt idx="13">
                  <c:v>28656.300000000007</c:v>
                </c:pt>
                <c:pt idx="14">
                  <c:v>682351.62000000046</c:v>
                </c:pt>
                <c:pt idx="15">
                  <c:v>1101743.6560000007</c:v>
                </c:pt>
                <c:pt idx="16">
                  <c:v>1157740.1624999992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643616"/>
        <c:axId val="191644000"/>
      </c:lineChart>
      <c:catAx>
        <c:axId val="19164361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91644000"/>
        <c:crosses val="autoZero"/>
        <c:auto val="1"/>
        <c:lblAlgn val="ctr"/>
        <c:lblOffset val="100"/>
        <c:noMultiLvlLbl val="0"/>
      </c:catAx>
      <c:valAx>
        <c:axId val="19164400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91643616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1"/>
    </mc:Choice>
    <mc:Fallback>
      <c:style val="11"/>
    </mc:Fallback>
  </mc:AlternateContent>
  <c:pivotSource>
    <c:name>[Sample Dashboard (Sales Data).xlsx]SalesByStoreLevel!PivotTable4</c:name>
    <c:fmtId val="6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Sales By Category</a:t>
            </a:r>
          </a:p>
        </c:rich>
      </c:tx>
      <c:layout/>
      <c:overlay val="0"/>
    </c:title>
    <c:autoTitleDeleted val="0"/>
    <c:pivotFmts>
      <c:pivotFmt>
        <c:idx val="0"/>
        <c:dLbl>
          <c:idx val="0"/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layout>
            <c:manualLayout>
              <c:x val="0.17333333333333334"/>
              <c:y val="0"/>
            </c:manualLayout>
          </c:layout>
          <c:spPr/>
          <c:txPr>
            <a:bodyPr/>
            <a:lstStyle/>
            <a:p>
              <a:pPr>
                <a:defRPr/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4"/>
        <c:dLbl>
          <c:idx val="0"/>
          <c:layout>
            <c:manualLayout>
              <c:x val="-0.04"/>
              <c:y val="-0.12121212121212122"/>
            </c:manualLayout>
          </c:layout>
          <c:spPr/>
          <c:txPr>
            <a:bodyPr/>
            <a:lstStyle/>
            <a:p>
              <a:pPr>
                <a:defRPr/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5"/>
        <c:dLbl>
          <c:idx val="0"/>
          <c:layout>
            <c:manualLayout>
              <c:x val="5.7777777777777775E-2"/>
              <c:y val="-8.6580086580086604E-2"/>
            </c:manualLayout>
          </c:layout>
          <c:spPr/>
          <c:txPr>
            <a:bodyPr/>
            <a:lstStyle/>
            <a:p>
              <a:pPr>
                <a:defRPr/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SalesByStoreLevel!$C$6</c:f>
              <c:strCache>
                <c:ptCount val="1"/>
                <c:pt idx="0">
                  <c:v>Total</c:v>
                </c:pt>
              </c:strCache>
            </c:strRef>
          </c:tx>
          <c:dLbls>
            <c:dLbl>
              <c:idx val="0"/>
              <c:layout>
                <c:manualLayout>
                  <c:x val="5.7777777777777775E-2"/>
                  <c:y val="-8.6580086580086604E-2"/>
                </c:manualLayout>
              </c:layout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layout>
                <c:manualLayout>
                  <c:x val="0.17333333333333334"/>
                  <c:y val="0"/>
                </c:manualLayout>
              </c:layout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-0.04"/>
                  <c:y val="-0.12121212121212122"/>
                </c:manualLayout>
              </c:layout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/>
            <c:txPr>
              <a:bodyPr/>
              <a:lstStyle/>
              <a:p>
                <a:pPr>
                  <a:defRPr/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SalesByStoreLevel!$B$7:$B$9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SalesByStoreLevel!$C$7:$C$9</c:f>
              <c:numCache>
                <c:formatCode>General</c:formatCode>
                <c:ptCount val="3"/>
                <c:pt idx="0">
                  <c:v>3044064.7859999971</c:v>
                </c:pt>
                <c:pt idx="1">
                  <c:v>2243073.4500000007</c:v>
                </c:pt>
                <c:pt idx="2">
                  <c:v>3807382.9024999989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Dashboard (Sales Data).xlsx]SalesByStoreLevel!PivotTable6</c:name>
    <c:fmtId val="6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Sales By Sub-Category</a:t>
            </a:r>
          </a:p>
        </c:rich>
      </c:tx>
      <c:layout/>
      <c:overlay val="0"/>
    </c:title>
    <c:autoTitleDeleted val="0"/>
    <c:pivotFmts>
      <c:pivotFmt>
        <c:idx val="0"/>
        <c:spPr>
          <a:ln>
            <a:solidFill>
              <a:schemeClr val="bg1">
                <a:lumMod val="85000"/>
              </a:schemeClr>
            </a:solidFill>
          </a:ln>
        </c:spPr>
        <c:dLbl>
          <c:idx val="0"/>
          <c:spPr/>
          <c:txPr>
            <a:bodyPr/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>
            <a:solidFill>
              <a:schemeClr val="bg1">
                <a:lumMod val="85000"/>
              </a:schemeClr>
            </a:solidFill>
          </a:ln>
        </c:spPr>
        <c:dLbl>
          <c:idx val="0"/>
          <c:spPr/>
          <c:txPr>
            <a:bodyPr/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>
            <a:solidFill>
              <a:schemeClr val="bg1">
                <a:lumMod val="85000"/>
              </a:schemeClr>
            </a:solidFill>
          </a:ln>
        </c:spPr>
      </c:pivotFmt>
    </c:pivotFmts>
    <c:plotArea>
      <c:layout/>
      <c:lineChart>
        <c:grouping val="standard"/>
        <c:varyColors val="1"/>
        <c:ser>
          <c:idx val="0"/>
          <c:order val="0"/>
          <c:tx>
            <c:strRef>
              <c:f>SalesByStoreLevel!$G$6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chemeClr val="bg1">
                  <a:lumMod val="85000"/>
                </a:schemeClr>
              </a:solidFill>
            </a:ln>
          </c:spPr>
          <c:cat>
            <c:strRef>
              <c:f>SalesByStoreLevel!$F$7:$F$23</c:f>
              <c:strCache>
                <c:ptCount val="17"/>
                <c:pt idx="0">
                  <c:v>Appliances</c:v>
                </c:pt>
                <c:pt idx="1">
                  <c:v>Binders and Binder Accessories</c:v>
                </c:pt>
                <c:pt idx="2">
                  <c:v>Bookcases</c:v>
                </c:pt>
                <c:pt idx="3">
                  <c:v>Chairs &amp; Chairmats</c:v>
                </c:pt>
                <c:pt idx="4">
                  <c:v>Computer Peripherals</c:v>
                </c:pt>
                <c:pt idx="5">
                  <c:v>Copiers and Fax</c:v>
                </c:pt>
                <c:pt idx="6">
                  <c:v>Envelopes</c:v>
                </c:pt>
                <c:pt idx="7">
                  <c:v>Labels</c:v>
                </c:pt>
                <c:pt idx="8">
                  <c:v>Office Furnishings</c:v>
                </c:pt>
                <c:pt idx="9">
                  <c:v>Office Machines</c:v>
                </c:pt>
                <c:pt idx="10">
                  <c:v>Paper</c:v>
                </c:pt>
                <c:pt idx="11">
                  <c:v>Pens &amp; Art Supplies</c:v>
                </c:pt>
                <c:pt idx="12">
                  <c:v>Rubber Bands</c:v>
                </c:pt>
                <c:pt idx="13">
                  <c:v>Scissors, Rulers and Trimmers</c:v>
                </c:pt>
                <c:pt idx="14">
                  <c:v>Storage &amp; Organization</c:v>
                </c:pt>
                <c:pt idx="15">
                  <c:v>Tables</c:v>
                </c:pt>
                <c:pt idx="16">
                  <c:v>Telephones and Communication</c:v>
                </c:pt>
              </c:strCache>
            </c:strRef>
          </c:cat>
          <c:val>
            <c:numRef>
              <c:f>SalesByStoreLevel!$G$7:$G$23</c:f>
              <c:numCache>
                <c:formatCode>General</c:formatCode>
                <c:ptCount val="17"/>
                <c:pt idx="0">
                  <c:v>474028.81000000029</c:v>
                </c:pt>
                <c:pt idx="1">
                  <c:v>559070.03000000061</c:v>
                </c:pt>
                <c:pt idx="2">
                  <c:v>581857.77000000014</c:v>
                </c:pt>
                <c:pt idx="3">
                  <c:v>953531.68</c:v>
                </c:pt>
                <c:pt idx="4">
                  <c:v>486024.6700000001</c:v>
                </c:pt>
                <c:pt idx="5">
                  <c:v>723695.29000000015</c:v>
                </c:pt>
                <c:pt idx="6">
                  <c:v>114881.07000000002</c:v>
                </c:pt>
                <c:pt idx="7">
                  <c:v>20456.419999999991</c:v>
                </c:pt>
                <c:pt idx="8">
                  <c:v>406931.68000000017</c:v>
                </c:pt>
                <c:pt idx="9">
                  <c:v>1439922.7799999993</c:v>
                </c:pt>
                <c:pt idx="10">
                  <c:v>253178.25999999989</c:v>
                </c:pt>
                <c:pt idx="11">
                  <c:v>102956.49</c:v>
                </c:pt>
                <c:pt idx="12">
                  <c:v>7494.4500000000016</c:v>
                </c:pt>
                <c:pt idx="13">
                  <c:v>28656.300000000007</c:v>
                </c:pt>
                <c:pt idx="14">
                  <c:v>682351.62000000046</c:v>
                </c:pt>
                <c:pt idx="15">
                  <c:v>1101743.6560000007</c:v>
                </c:pt>
                <c:pt idx="16">
                  <c:v>1157740.1624999992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77600"/>
        <c:axId val="192086176"/>
      </c:lineChart>
      <c:catAx>
        <c:axId val="19207760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92086176"/>
        <c:crosses val="autoZero"/>
        <c:auto val="1"/>
        <c:lblAlgn val="ctr"/>
        <c:lblOffset val="100"/>
        <c:noMultiLvlLbl val="0"/>
      </c:catAx>
      <c:valAx>
        <c:axId val="19208617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92077600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/>
          <a:lstStyle/>
          <a:p>
            <a:pPr>
              <a:defRPr sz="1100" u="sng"/>
            </a:pPr>
            <a:r>
              <a:rPr lang="en-US" sz="1100" u="sng"/>
              <a:t>Sales By Region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SalesByRegion!$H$6</c:f>
              <c:strCache>
                <c:ptCount val="1"/>
                <c:pt idx="0">
                  <c:v>Total Sales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SalesByRegion!$G$7:$G$10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SalesByRegion!$H$7:$H$10</c:f>
              <c:numCache>
                <c:formatCode>General</c:formatCode>
                <c:ptCount val="4"/>
                <c:pt idx="0">
                  <c:v>2926872.6240000026</c:v>
                </c:pt>
                <c:pt idx="1">
                  <c:v>2016317.4625000034</c:v>
                </c:pt>
                <c:pt idx="2">
                  <c:v>1918528.427499997</c:v>
                </c:pt>
                <c:pt idx="3">
                  <c:v>2232802.6244999981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2102896"/>
        <c:axId val="192104184"/>
      </c:barChart>
      <c:lineChart>
        <c:grouping val="standard"/>
        <c:varyColors val="0"/>
        <c:ser>
          <c:idx val="1"/>
          <c:order val="1"/>
          <c:tx>
            <c:strRef>
              <c:f>SalesByRegion!$I$6</c:f>
              <c:strCache>
                <c:ptCount val="1"/>
                <c:pt idx="0">
                  <c:v>% Sales</c:v>
                </c:pt>
              </c:strCache>
            </c:strRef>
          </c:tx>
          <c:dLbls>
            <c:numFmt formatCode="0.00%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SalesByRegion!$G$7:$G$10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SalesByRegion!$I$7:$I$10</c:f>
              <c:numCache>
                <c:formatCode>General</c:formatCode>
                <c:ptCount val="4"/>
                <c:pt idx="0">
                  <c:v>0.32182811820730389</c:v>
                </c:pt>
                <c:pt idx="1">
                  <c:v>0.22170683115621009</c:v>
                </c:pt>
                <c:pt idx="2">
                  <c:v>0.21095430955438169</c:v>
                </c:pt>
                <c:pt idx="3">
                  <c:v>0.24551074108210427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34320"/>
        <c:axId val="192175256"/>
      </c:lineChart>
      <c:catAx>
        <c:axId val="19210289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92104184"/>
        <c:crosses val="autoZero"/>
        <c:auto val="1"/>
        <c:lblAlgn val="ctr"/>
        <c:lblOffset val="100"/>
        <c:noMultiLvlLbl val="0"/>
      </c:catAx>
      <c:valAx>
        <c:axId val="19210418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92102896"/>
        <c:crosses val="autoZero"/>
        <c:crossBetween val="between"/>
      </c:valAx>
      <c:valAx>
        <c:axId val="192175256"/>
        <c:scaling>
          <c:orientation val="minMax"/>
        </c:scaling>
        <c:delete val="0"/>
        <c:axPos val="r"/>
        <c:numFmt formatCode="0.00%" sourceLinked="0"/>
        <c:majorTickMark val="out"/>
        <c:minorTickMark val="none"/>
        <c:tickLblPos val="nextTo"/>
        <c:crossAx val="192134320"/>
        <c:crosses val="max"/>
        <c:crossBetween val="between"/>
      </c:valAx>
      <c:catAx>
        <c:axId val="1921343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75256"/>
        <c:crosses val="autoZero"/>
        <c:auto val="1"/>
        <c:lblAlgn val="ctr"/>
        <c:lblOffset val="100"/>
        <c:noMultiLvlLbl val="0"/>
      </c:cat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Dashboard!A1"/><Relationship Id="rId2" Type="http://schemas.openxmlformats.org/officeDocument/2006/relationships/hyperlink" Target="#SalesByStoreLevel!A1"/><Relationship Id="rId1" Type="http://schemas.openxmlformats.org/officeDocument/2006/relationships/hyperlink" Target="#SalesByRegion!A1"/><Relationship Id="rId5" Type="http://schemas.openxmlformats.org/officeDocument/2006/relationships/hyperlink" Target="http://www.analysistabs.com/" TargetMode="External"/><Relationship Id="rId4" Type="http://schemas.openxmlformats.org/officeDocument/2006/relationships/hyperlink" Target="#Data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#Home!A1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Home!A1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hyperlink" Target="#Home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Hom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13</xdr:row>
      <xdr:rowOff>9525</xdr:rowOff>
    </xdr:from>
    <xdr:to>
      <xdr:col>5</xdr:col>
      <xdr:colOff>333374</xdr:colOff>
      <xdr:row>14</xdr:row>
      <xdr:rowOff>95250</xdr:rowOff>
    </xdr:to>
    <xdr:sp macro="" textlink="">
      <xdr:nvSpPr>
        <xdr:cNvPr id="2" name="Rounded Rectangle 1">
          <a:hlinkClick xmlns:r="http://schemas.openxmlformats.org/officeDocument/2006/relationships" r:id="rId1"/>
        </xdr:cNvPr>
        <xdr:cNvSpPr/>
      </xdr:nvSpPr>
      <xdr:spPr>
        <a:xfrm>
          <a:off x="1428749" y="2476500"/>
          <a:ext cx="1543050" cy="276225"/>
        </a:xfrm>
        <a:prstGeom prst="round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rtlCol="0" anchor="ctr"/>
        <a:lstStyle/>
        <a:p>
          <a:pPr algn="ctr"/>
          <a:r>
            <a:rPr lang="en-US" sz="1100"/>
            <a:t>Sales By Region</a:t>
          </a:r>
        </a:p>
      </xdr:txBody>
    </xdr:sp>
    <xdr:clientData/>
  </xdr:twoCellAnchor>
  <xdr:twoCellAnchor>
    <xdr:from>
      <xdr:col>6</xdr:col>
      <xdr:colOff>114300</xdr:colOff>
      <xdr:row>13</xdr:row>
      <xdr:rowOff>9525</xdr:rowOff>
    </xdr:from>
    <xdr:to>
      <xdr:col>8</xdr:col>
      <xdr:colOff>438150</xdr:colOff>
      <xdr:row>14</xdr:row>
      <xdr:rowOff>95250</xdr:rowOff>
    </xdr:to>
    <xdr:sp macro="" textlink="">
      <xdr:nvSpPr>
        <xdr:cNvPr id="3" name="Rounded Rectangle 2">
          <a:hlinkClick xmlns:r="http://schemas.openxmlformats.org/officeDocument/2006/relationships" r:id="rId2"/>
        </xdr:cNvPr>
        <xdr:cNvSpPr/>
      </xdr:nvSpPr>
      <xdr:spPr>
        <a:xfrm>
          <a:off x="3362325" y="2476500"/>
          <a:ext cx="1543050" cy="276225"/>
        </a:xfrm>
        <a:prstGeom prst="round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rtlCol="0" anchor="ctr"/>
        <a:lstStyle/>
        <a:p>
          <a:pPr algn="ctr"/>
          <a:r>
            <a:rPr lang="en-US" sz="1100"/>
            <a:t>Sales By Store Levele </a:t>
          </a:r>
        </a:p>
      </xdr:txBody>
    </xdr:sp>
    <xdr:clientData/>
  </xdr:twoCellAnchor>
  <xdr:twoCellAnchor>
    <xdr:from>
      <xdr:col>9</xdr:col>
      <xdr:colOff>257175</xdr:colOff>
      <xdr:row>13</xdr:row>
      <xdr:rowOff>0</xdr:rowOff>
    </xdr:from>
    <xdr:to>
      <xdr:col>11</xdr:col>
      <xdr:colOff>390525</xdr:colOff>
      <xdr:row>14</xdr:row>
      <xdr:rowOff>85725</xdr:rowOff>
    </xdr:to>
    <xdr:sp macro="" textlink="">
      <xdr:nvSpPr>
        <xdr:cNvPr id="4" name="Rounded Rectangle 3">
          <a:hlinkClick xmlns:r="http://schemas.openxmlformats.org/officeDocument/2006/relationships" r:id="rId3"/>
        </xdr:cNvPr>
        <xdr:cNvSpPr/>
      </xdr:nvSpPr>
      <xdr:spPr>
        <a:xfrm>
          <a:off x="5334000" y="2466975"/>
          <a:ext cx="1352550" cy="276225"/>
        </a:xfrm>
        <a:prstGeom prst="round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rtlCol="0" anchor="ctr"/>
        <a:lstStyle/>
        <a:p>
          <a:pPr algn="ctr"/>
          <a:r>
            <a:rPr lang="en-US" sz="1100"/>
            <a:t>Dashboard</a:t>
          </a:r>
        </a:p>
      </xdr:txBody>
    </xdr:sp>
    <xdr:clientData/>
  </xdr:twoCellAnchor>
  <xdr:twoCellAnchor>
    <xdr:from>
      <xdr:col>12</xdr:col>
      <xdr:colOff>152400</xdr:colOff>
      <xdr:row>12</xdr:row>
      <xdr:rowOff>171450</xdr:rowOff>
    </xdr:from>
    <xdr:to>
      <xdr:col>13</xdr:col>
      <xdr:colOff>142875</xdr:colOff>
      <xdr:row>14</xdr:row>
      <xdr:rowOff>57150</xdr:rowOff>
    </xdr:to>
    <xdr:sp macro="" textlink="">
      <xdr:nvSpPr>
        <xdr:cNvPr id="5" name="Rounded Rectangle 4">
          <a:hlinkClick xmlns:r="http://schemas.openxmlformats.org/officeDocument/2006/relationships" r:id="rId4"/>
        </xdr:cNvPr>
        <xdr:cNvSpPr/>
      </xdr:nvSpPr>
      <xdr:spPr>
        <a:xfrm>
          <a:off x="7058025" y="2447925"/>
          <a:ext cx="600075" cy="266700"/>
        </a:xfrm>
        <a:prstGeom prst="roundRect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r>
            <a:rPr lang="en-US" sz="1100"/>
            <a:t>Data</a:t>
          </a:r>
        </a:p>
      </xdr:txBody>
    </xdr:sp>
    <xdr:clientData/>
  </xdr:twoCellAnchor>
  <xdr:oneCellAnchor>
    <xdr:from>
      <xdr:col>5</xdr:col>
      <xdr:colOff>245999</xdr:colOff>
      <xdr:row>0</xdr:row>
      <xdr:rowOff>57150</xdr:rowOff>
    </xdr:from>
    <xdr:ext cx="2716276" cy="468013"/>
    <xdr:sp macro="" textlink="">
      <xdr:nvSpPr>
        <xdr:cNvPr id="8" name="Rectangle 7"/>
        <xdr:cNvSpPr/>
      </xdr:nvSpPr>
      <xdr:spPr>
        <a:xfrm>
          <a:off x="2884424" y="57150"/>
          <a:ext cx="2716276" cy="46801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l"/>
          <a:r>
            <a:rPr lang="en-US" sz="2400" b="0" cap="none" spc="0">
              <a:ln w="18415" cmpd="sng">
                <a:solidFill>
                  <a:srgbClr val="FFFFFF"/>
                </a:solidFill>
                <a:prstDash val="solid"/>
              </a:ln>
              <a:solidFill>
                <a:srgbClr val="FFFFFF"/>
              </a:solidFill>
              <a:effectLst>
                <a:outerShdw blurRad="63500" dir="3600000" algn="tl" rotWithShape="0">
                  <a:srgbClr val="000000">
                    <a:alpha val="70000"/>
                  </a:srgbClr>
                </a:outerShdw>
              </a:effectLst>
            </a:rPr>
            <a:t>Sample Dashboard</a:t>
          </a:r>
        </a:p>
      </xdr:txBody>
    </xdr:sp>
    <xdr:clientData/>
  </xdr:oneCellAnchor>
  <xdr:twoCellAnchor>
    <xdr:from>
      <xdr:col>3</xdr:col>
      <xdr:colOff>0</xdr:colOff>
      <xdr:row>17</xdr:row>
      <xdr:rowOff>85725</xdr:rowOff>
    </xdr:from>
    <xdr:to>
      <xdr:col>12</xdr:col>
      <xdr:colOff>114300</xdr:colOff>
      <xdr:row>21</xdr:row>
      <xdr:rowOff>0</xdr:rowOff>
    </xdr:to>
    <xdr:sp macro="" textlink="">
      <xdr:nvSpPr>
        <xdr:cNvPr id="9" name="Rectangle 8">
          <a:hlinkClick xmlns:r="http://schemas.openxmlformats.org/officeDocument/2006/relationships" r:id="rId5" tooltip="Click here to visit ANALYSISTABS.COM"/>
        </xdr:cNvPr>
        <xdr:cNvSpPr/>
      </xdr:nvSpPr>
      <xdr:spPr>
        <a:xfrm>
          <a:off x="1419225" y="3314700"/>
          <a:ext cx="5600700" cy="676275"/>
        </a:xfrm>
        <a:prstGeom prst="rect">
          <a:avLst/>
        </a:prstGeom>
        <a:ln w="38100" cmpd="sng"/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100" u="sng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examples and free tutorials, visit:</a:t>
          </a:r>
        </a:p>
        <a:p>
          <a:pPr algn="ctr"/>
          <a:r>
            <a:rPr lang="en-US" sz="2400" b="1"/>
            <a:t>ANALYSIS</a:t>
          </a:r>
          <a:r>
            <a:rPr lang="en-US" sz="2400" b="1" baseline="0">
              <a:solidFill>
                <a:srgbClr val="FFC000"/>
              </a:solidFill>
            </a:rPr>
            <a:t>TABS</a:t>
          </a:r>
          <a:r>
            <a:rPr lang="en-US" sz="2400" b="1" baseline="0"/>
            <a:t>.COM</a:t>
          </a:r>
          <a:endParaRPr lang="en-US" sz="24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257175</xdr:colOff>
      <xdr:row>3</xdr:row>
      <xdr:rowOff>47625</xdr:rowOff>
    </xdr:from>
    <xdr:to>
      <xdr:col>13</xdr:col>
      <xdr:colOff>342901</xdr:colOff>
      <xdr:row>16</xdr:row>
      <xdr:rowOff>47625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4</xdr:col>
      <xdr:colOff>436499</xdr:colOff>
      <xdr:row>0</xdr:row>
      <xdr:rowOff>47625</xdr:rowOff>
    </xdr:from>
    <xdr:ext cx="2411476" cy="468013"/>
    <xdr:sp macro="" textlink="">
      <xdr:nvSpPr>
        <xdr:cNvPr id="7" name="Rectangle 6"/>
        <xdr:cNvSpPr/>
      </xdr:nvSpPr>
      <xdr:spPr>
        <a:xfrm>
          <a:off x="3332099" y="47625"/>
          <a:ext cx="2411476" cy="46801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l"/>
          <a:r>
            <a:rPr lang="en-US" sz="2400" b="0" cap="none" spc="0">
              <a:ln w="18415" cmpd="sng">
                <a:solidFill>
                  <a:srgbClr val="FFFFFF"/>
                </a:solidFill>
                <a:prstDash val="solid"/>
              </a:ln>
              <a:solidFill>
                <a:srgbClr val="FFFFFF"/>
              </a:solidFill>
              <a:effectLst>
                <a:outerShdw blurRad="63500" dir="3600000" algn="tl" rotWithShape="0">
                  <a:srgbClr val="000000">
                    <a:alpha val="70000"/>
                  </a:srgbClr>
                </a:outerShdw>
              </a:effectLst>
            </a:rPr>
            <a:t>Sales By Region</a:t>
          </a:r>
        </a:p>
      </xdr:txBody>
    </xdr:sp>
    <xdr:clientData/>
  </xdr:oneCellAnchor>
  <xdr:twoCellAnchor>
    <xdr:from>
      <xdr:col>12</xdr:col>
      <xdr:colOff>800100</xdr:colOff>
      <xdr:row>0</xdr:row>
      <xdr:rowOff>161925</xdr:rowOff>
    </xdr:from>
    <xdr:to>
      <xdr:col>13</xdr:col>
      <xdr:colOff>552450</xdr:colOff>
      <xdr:row>2</xdr:row>
      <xdr:rowOff>47625</xdr:rowOff>
    </xdr:to>
    <xdr:sp macro="" textlink="">
      <xdr:nvSpPr>
        <xdr:cNvPr id="8" name="Rounded Rectangle 7">
          <a:hlinkClick xmlns:r="http://schemas.openxmlformats.org/officeDocument/2006/relationships" r:id="rId2"/>
        </xdr:cNvPr>
        <xdr:cNvSpPr/>
      </xdr:nvSpPr>
      <xdr:spPr>
        <a:xfrm>
          <a:off x="8467725" y="161925"/>
          <a:ext cx="600075" cy="266700"/>
        </a:xfrm>
        <a:prstGeom prst="roundRect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r>
            <a:rPr lang="en-US" sz="1100"/>
            <a:t>Home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17398</xdr:colOff>
      <xdr:row>0</xdr:row>
      <xdr:rowOff>28575</xdr:rowOff>
    </xdr:from>
    <xdr:ext cx="3735451" cy="468013"/>
    <xdr:sp macro="" textlink="">
      <xdr:nvSpPr>
        <xdr:cNvPr id="3" name="Rectangle 2"/>
        <xdr:cNvSpPr/>
      </xdr:nvSpPr>
      <xdr:spPr>
        <a:xfrm>
          <a:off x="3360673" y="28575"/>
          <a:ext cx="3735451" cy="46801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l"/>
          <a:r>
            <a:rPr lang="en-US" sz="2400" b="0" cap="none" spc="0">
              <a:ln w="18415" cmpd="sng">
                <a:solidFill>
                  <a:srgbClr val="FFFFFF"/>
                </a:solidFill>
                <a:prstDash val="solid"/>
              </a:ln>
              <a:solidFill>
                <a:srgbClr val="FFFFFF"/>
              </a:solidFill>
              <a:effectLst>
                <a:outerShdw blurRad="63500" dir="3600000" algn="tl" rotWithShape="0">
                  <a:srgbClr val="000000">
                    <a:alpha val="70000"/>
                  </a:srgbClr>
                </a:outerShdw>
              </a:effectLst>
            </a:rPr>
            <a:t>Sales By Store Level</a:t>
          </a:r>
        </a:p>
      </xdr:txBody>
    </xdr:sp>
    <xdr:clientData/>
  </xdr:oneCellAnchor>
  <xdr:twoCellAnchor>
    <xdr:from>
      <xdr:col>0</xdr:col>
      <xdr:colOff>200025</xdr:colOff>
      <xdr:row>10</xdr:row>
      <xdr:rowOff>76200</xdr:rowOff>
    </xdr:from>
    <xdr:to>
      <xdr:col>4</xdr:col>
      <xdr:colOff>95250</xdr:colOff>
      <xdr:row>21</xdr:row>
      <xdr:rowOff>171450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180974</xdr:colOff>
      <xdr:row>3</xdr:row>
      <xdr:rowOff>47625</xdr:rowOff>
    </xdr:from>
    <xdr:to>
      <xdr:col>13</xdr:col>
      <xdr:colOff>628649</xdr:colOff>
      <xdr:row>22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428625</xdr:colOff>
      <xdr:row>0</xdr:row>
      <xdr:rowOff>171450</xdr:rowOff>
    </xdr:from>
    <xdr:to>
      <xdr:col>13</xdr:col>
      <xdr:colOff>361950</xdr:colOff>
      <xdr:row>2</xdr:row>
      <xdr:rowOff>57150</xdr:rowOff>
    </xdr:to>
    <xdr:sp macro="" textlink="">
      <xdr:nvSpPr>
        <xdr:cNvPr id="7" name="Rounded Rectangle 6">
          <a:hlinkClick xmlns:r="http://schemas.openxmlformats.org/officeDocument/2006/relationships" r:id="rId3"/>
        </xdr:cNvPr>
        <xdr:cNvSpPr/>
      </xdr:nvSpPr>
      <xdr:spPr>
        <a:xfrm>
          <a:off x="9677400" y="171450"/>
          <a:ext cx="704850" cy="266700"/>
        </a:xfrm>
        <a:prstGeom prst="roundRect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r>
            <a:rPr lang="en-US" sz="1100"/>
            <a:t>Home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398399</xdr:colOff>
      <xdr:row>0</xdr:row>
      <xdr:rowOff>38100</xdr:rowOff>
    </xdr:from>
    <xdr:ext cx="1792352" cy="468013"/>
    <xdr:sp macro="" textlink="">
      <xdr:nvSpPr>
        <xdr:cNvPr id="2" name="Rectangle 1"/>
        <xdr:cNvSpPr/>
      </xdr:nvSpPr>
      <xdr:spPr>
        <a:xfrm>
          <a:off x="4227449" y="38100"/>
          <a:ext cx="1792352" cy="46801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l"/>
          <a:r>
            <a:rPr lang="en-US" sz="2400" b="0" cap="none" spc="0">
              <a:ln w="18415" cmpd="sng">
                <a:solidFill>
                  <a:srgbClr val="FFFFFF"/>
                </a:solidFill>
                <a:prstDash val="solid"/>
              </a:ln>
              <a:solidFill>
                <a:srgbClr val="FFFFFF"/>
              </a:solidFill>
              <a:effectLst>
                <a:outerShdw blurRad="63500" dir="3600000" algn="tl" rotWithShape="0">
                  <a:srgbClr val="000000">
                    <a:alpha val="70000"/>
                  </a:srgbClr>
                </a:outerShdw>
              </a:effectLst>
            </a:rPr>
            <a:t>Dashboard</a:t>
          </a:r>
        </a:p>
      </xdr:txBody>
    </xdr:sp>
    <xdr:clientData/>
  </xdr:oneCellAnchor>
  <xdr:twoCellAnchor>
    <xdr:from>
      <xdr:col>1</xdr:col>
      <xdr:colOff>57149</xdr:colOff>
      <xdr:row>17</xdr:row>
      <xdr:rowOff>190499</xdr:rowOff>
    </xdr:from>
    <xdr:to>
      <xdr:col>6</xdr:col>
      <xdr:colOff>552450</xdr:colOff>
      <xdr:row>32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123825</xdr:colOff>
      <xdr:row>17</xdr:row>
      <xdr:rowOff>171449</xdr:rowOff>
    </xdr:from>
    <xdr:to>
      <xdr:col>16</xdr:col>
      <xdr:colOff>19050</xdr:colOff>
      <xdr:row>33</xdr:row>
      <xdr:rowOff>28574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28576</xdr:colOff>
      <xdr:row>3</xdr:row>
      <xdr:rowOff>114299</xdr:rowOff>
    </xdr:from>
    <xdr:to>
      <xdr:col>8</xdr:col>
      <xdr:colOff>342900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0</xdr:colOff>
      <xdr:row>1</xdr:row>
      <xdr:rowOff>0</xdr:rowOff>
    </xdr:from>
    <xdr:to>
      <xdr:col>15</xdr:col>
      <xdr:colOff>600075</xdr:colOff>
      <xdr:row>2</xdr:row>
      <xdr:rowOff>76200</xdr:rowOff>
    </xdr:to>
    <xdr:sp macro="" textlink="">
      <xdr:nvSpPr>
        <xdr:cNvPr id="6" name="Rounded Rectangle 5">
          <a:hlinkClick xmlns:r="http://schemas.openxmlformats.org/officeDocument/2006/relationships" r:id="rId4"/>
        </xdr:cNvPr>
        <xdr:cNvSpPr/>
      </xdr:nvSpPr>
      <xdr:spPr>
        <a:xfrm>
          <a:off x="9572625" y="190500"/>
          <a:ext cx="600075" cy="266700"/>
        </a:xfrm>
        <a:prstGeom prst="roundRect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r>
            <a:rPr lang="en-US" sz="1100"/>
            <a:t>Home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0</xdr:row>
      <xdr:rowOff>0</xdr:rowOff>
    </xdr:from>
    <xdr:to>
      <xdr:col>13</xdr:col>
      <xdr:colOff>600075</xdr:colOff>
      <xdr:row>1</xdr:row>
      <xdr:rowOff>76200</xdr:rowOff>
    </xdr:to>
    <xdr:sp macro="" textlink="">
      <xdr:nvSpPr>
        <xdr:cNvPr id="2" name="Rounded Rectangle 1">
          <a:hlinkClick xmlns:r="http://schemas.openxmlformats.org/officeDocument/2006/relationships" r:id="rId1"/>
        </xdr:cNvPr>
        <xdr:cNvSpPr/>
      </xdr:nvSpPr>
      <xdr:spPr>
        <a:xfrm>
          <a:off x="8124825" y="0"/>
          <a:ext cx="600075" cy="266700"/>
        </a:xfrm>
        <a:prstGeom prst="roundRect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r>
            <a:rPr lang="en-US" sz="1100"/>
            <a:t>Home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pnr" refreshedDate="41342.887288888887" createdVersion="3" refreshedVersion="3" minRefreshableVersion="3" recordCount="5000">
  <cacheSource type="worksheet">
    <worksheetSource ref="A1:L5001" sheet="Data"/>
  </cacheSource>
  <cacheFields count="12">
    <cacheField name="Row ID" numFmtId="0">
      <sharedItems containsSemiMixedTypes="0" containsString="0" containsNumber="1" containsInteger="1" minValue="1" maxValue="5000"/>
    </cacheField>
    <cacheField name="Order ID" numFmtId="0">
      <sharedItems containsSemiMixedTypes="0" containsString="0" containsNumber="1" containsInteger="1" minValue="3" maxValue="35590"/>
    </cacheField>
    <cacheField name="Order Date" numFmtId="14">
      <sharedItems containsSemiMixedTypes="0" containsNonDate="0" containsDate="1" containsString="0" minDate="2009-01-01T00:00:00" maxDate="2012-12-31T00:00:00"/>
    </cacheField>
    <cacheField name="Order Priority" numFmtId="0">
      <sharedItems/>
    </cacheField>
    <cacheField name="City" numFmtId="0">
      <sharedItems count="1225">
        <s v="Highland Park"/>
        <s v="Edmonds"/>
        <s v="Elk Plain"/>
        <s v="High Point"/>
        <s v="Ames"/>
        <s v="Albany"/>
        <s v="Pflugerville"/>
        <s v="Santa Fe"/>
        <s v="Garner"/>
        <s v="East Meadow"/>
        <s v="Little Rock"/>
        <s v="Prescott Valley"/>
        <s v="Moore"/>
        <s v="Cleveland"/>
        <s v="Avenel"/>
        <s v="Lewiston"/>
        <s v="Brookfield"/>
        <s v="Troy"/>
        <s v="Tamarac"/>
        <s v="Bethpage"/>
        <s v="West Linn"/>
        <s v="Long Beach"/>
        <s v="Miramar"/>
        <s v="Lemon Grove"/>
        <s v="Holbrook"/>
        <s v="Blaine"/>
        <s v="Atlanta"/>
        <s v="Burleson"/>
        <s v="Hollywood"/>
        <s v="Auburn"/>
        <s v="Brunswick"/>
        <s v="Hudson"/>
        <s v="Garden City"/>
        <s v="Davis"/>
        <s v="Deer Park"/>
        <s v="Taylors"/>
        <s v="Tinley Park"/>
        <s v="Urbandale"/>
        <s v="Allen Park"/>
        <s v="Ann Arbor"/>
        <s v="Scottsdale"/>
        <s v="Sanford"/>
        <s v="Columbia"/>
        <s v="Crofton"/>
        <s v="Redwood City"/>
        <s v="College Station"/>
        <s v="Pleasant Grove"/>
        <s v="Bend"/>
        <s v="Mount Vernon"/>
        <s v="Bartlesville"/>
        <s v="Grove City"/>
        <s v="East Los Angeles"/>
        <s v="Marysville"/>
        <s v="San Marcos"/>
        <s v="Fort Dodge"/>
        <s v="Altoona"/>
        <s v="Highlands Ranch"/>
        <s v="Rock Island"/>
        <s v="Orlando"/>
        <s v="East Point"/>
        <s v="Wheeling"/>
        <s v="Wilmette"/>
        <s v="Murray"/>
        <s v="Monroeville"/>
        <s v="Fayetteville"/>
        <s v="Van Buren"/>
        <s v="Waukegan"/>
        <s v="Camp Springs"/>
        <s v="Pasadena"/>
        <s v="Gurnee"/>
        <s v="Lafayette"/>
        <s v="Lake Jackson"/>
        <s v="Rockford"/>
        <s v="Maplewood"/>
        <s v="Ocoee"/>
        <s v="White Plains"/>
        <s v="Sheboygan"/>
        <s v="Munster"/>
        <s v="Henderson"/>
        <s v="Oceanside"/>
        <s v="Merrillville"/>
        <s v="Watertown"/>
        <s v="Wellesley"/>
        <s v="Poinciana"/>
        <s v="Lima"/>
        <s v="Gallatin"/>
        <s v="Joliet"/>
        <s v="Kearns"/>
        <s v="Kenosha"/>
        <s v="Aurora"/>
        <s v="Lancaster"/>
        <s v="Dickinson"/>
        <s v="Park Ridge"/>
        <s v="Saratoga"/>
        <s v="The Colony"/>
        <s v="Hagerstown"/>
        <s v="Townsend"/>
        <s v="Joplin"/>
        <s v="Overland Park"/>
        <s v="Chico"/>
        <s v="Winchester"/>
        <s v="Quincy"/>
        <s v="Fairborn"/>
        <s v="Grand Rapids"/>
        <s v="Concord"/>
        <s v="New Bedford"/>
        <s v="Xenia"/>
        <s v="Chula Vista"/>
        <s v="Garland"/>
        <s v="Alton"/>
        <s v="Radnor"/>
        <s v="Coos Bay"/>
        <s v="Blacksburg"/>
        <s v="Pendleton"/>
        <s v="Oakton"/>
        <s v="Surprise"/>
        <s v="Mount Prospect"/>
        <s v="Derry"/>
        <s v="Stamford"/>
        <s v="Bessemer"/>
        <s v="Indianapolis"/>
        <s v="Smithtown"/>
        <s v="Westfield"/>
        <s v="Monroe"/>
        <s v="Papillion"/>
        <s v="Shelby"/>
        <s v="Southfield"/>
        <s v="Rock Springs"/>
        <s v="Saint Cloud"/>
        <s v="Prairie Village"/>
        <s v="Mankato"/>
        <s v="Norristown"/>
        <s v="Roswell"/>
        <s v="Bettendorf"/>
        <s v="Elgin"/>
        <s v="Ponca City"/>
        <s v="Owatonna"/>
        <s v="Glastonbury"/>
        <s v="Norwich"/>
        <s v="Shelton"/>
        <s v="Tooele"/>
        <s v="Roseville"/>
        <s v="Parker"/>
        <s v="Benton"/>
        <s v="Bangor"/>
        <s v="Burlington"/>
        <s v="Cheshire"/>
        <s v="Englewood"/>
        <s v="Providence"/>
        <s v="Novi"/>
        <s v="Parkville"/>
        <s v="Fairfax"/>
        <s v="Westerville"/>
        <s v="Hampton"/>
        <s v="Pharr"/>
        <s v="Wheaton"/>
        <s v="Calumet City"/>
        <s v="Ormond Beach"/>
        <s v="Oviedo"/>
        <s v="Appleton"/>
        <s v="Rancho Cucamonga"/>
        <s v="North Platte"/>
        <s v="Wilmington"/>
        <s v="Vacaville"/>
        <s v="Vallejo"/>
        <s v="Neenah"/>
        <s v="Hilliard"/>
        <s v="Richfield"/>
        <s v="Duncanville"/>
        <s v="Oak Forest"/>
        <s v="Albuquerque"/>
        <s v="Boise"/>
        <s v="Broken Arrow"/>
        <s v="Rose Hill"/>
        <s v="Port Huron"/>
        <s v="Medford"/>
        <s v="Mandan"/>
        <s v="Slidell"/>
        <s v="Mount Lebanon"/>
        <s v="Leawood"/>
        <s v="Bremerton"/>
        <s v="Nampa"/>
        <s v="Palo Alto"/>
        <s v="Paradise"/>
        <s v="Friendswood"/>
        <s v="Levittown"/>
        <s v="Cranston"/>
        <s v="Bowling Green"/>
        <s v="Wichita"/>
        <s v="Canton"/>
        <s v="Reynoldsburg"/>
        <s v="Barrington"/>
        <s v="Linden"/>
        <s v="Sayreville"/>
        <s v="West Mifflin"/>
        <s v="Bismarck"/>
        <s v="Port Arthur"/>
        <s v="Evans"/>
        <s v="Alexandria"/>
        <s v="Sun Prairie"/>
        <s v="Reston"/>
        <s v="Antioch"/>
        <s v="Westbrook"/>
        <s v="Covington"/>
        <s v="Gastonia"/>
        <s v="Superior"/>
        <s v="Ferguson"/>
        <s v="Gadsden"/>
        <s v="Odenton"/>
        <s v="Georgetown"/>
        <s v="Woodbury"/>
        <s v="Owasso"/>
        <s v="Newark"/>
        <s v="Vancouver"/>
        <s v="Charleston"/>
        <s v="Crystal Lake"/>
        <s v="Marshalltown"/>
        <s v="Durango"/>
        <s v="Hawthorne"/>
        <s v="Randallstown"/>
        <s v="Huntington Beach"/>
        <s v="Colorado Springs"/>
        <s v="Richmond"/>
        <s v="El Centro"/>
        <s v="North Olmsted"/>
        <s v="Laurel"/>
        <s v="Aspen Hill"/>
        <s v="Laguna Hills"/>
        <s v="Fort Collins"/>
        <s v="Tuscaloosa"/>
        <s v="Palm Coast"/>
        <s v="San Luis Obispo"/>
        <s v="Springfield"/>
        <s v="El Cajon"/>
        <s v="Oro Valley"/>
        <s v="Vicksburg"/>
        <s v="Marietta"/>
        <s v="Lakewood"/>
        <s v="Littleton"/>
        <s v="Waxahachie"/>
        <s v="Winter Springs"/>
        <s v="Country Club Hills"/>
        <s v="Eden Prairie"/>
        <s v="Kissimmee"/>
        <s v="Lodi"/>
        <s v="Pompano Beach"/>
        <s v="Southgate"/>
        <s v="Hopkinton"/>
        <s v="Wooster"/>
        <s v="Woodland"/>
        <s v="Freeport"/>
        <s v="Indian Trail"/>
        <s v="Carpentersville"/>
        <s v="North Miami"/>
        <s v="Hilton Head Island"/>
        <s v="Mount Pleasant"/>
        <s v="Oakville"/>
        <s v="Myrtle Beach"/>
        <s v="Oakland"/>
        <s v="Pullman"/>
        <s v="Rexburg"/>
        <s v="Twin Falls"/>
        <s v="Carbondale"/>
        <s v="Mountain View"/>
        <s v="Murrieta"/>
        <s v="Smithfield"/>
        <s v="Santa Clara"/>
        <s v="New Bern"/>
        <s v="Ossining"/>
        <s v="Riviera Beach"/>
        <s v="Santa Maria"/>
        <s v="Franklin Square"/>
        <s v="Swansea"/>
        <s v="Dover"/>
        <s v="Davie"/>
        <s v="Ozark"/>
        <s v="Sioux Falls"/>
        <s v="Bethesda"/>
        <s v="Hickory"/>
        <s v="Logan"/>
        <s v="West Hollywood"/>
        <s v="Marrero"/>
        <s v="Syracuse"/>
        <s v="Mansfield"/>
        <s v="Edinburg"/>
        <s v="Edmond"/>
        <s v="Santa Ana"/>
        <s v="Rocky Mount"/>
        <s v="Portland"/>
        <s v="Gahanna"/>
        <s v="Burnsville"/>
        <s v="Ottumwa"/>
        <s v="Weslaco"/>
        <s v="Moorhead"/>
        <s v="Pueblo West"/>
        <s v="Pueblo"/>
        <s v="Biddeford"/>
        <s v="Attleboro"/>
        <s v="Harrisonburg"/>
        <s v="Coconut Creek"/>
        <s v="Stow"/>
        <s v="Gainesville"/>
        <s v="Wentzville"/>
        <s v="Fort Lauderdale"/>
        <s v="Fruit Cove"/>
        <s v="Montgomery"/>
        <s v="Hobart"/>
        <s v="Annandale"/>
        <s v="Kankakee"/>
        <s v="Brentwood"/>
        <s v="Peachtree City"/>
        <s v="Saco"/>
        <s v="Cohoes"/>
        <s v="Gorham"/>
        <s v="Euclid"/>
        <s v="North Port"/>
        <s v="Rapid City"/>
        <s v="Los Altos"/>
        <s v="Apex"/>
        <s v="Norfolk"/>
        <s v="Carlsbad"/>
        <s v="Dracut"/>
        <s v="Gloucester"/>
        <s v="Jersey City"/>
        <s v="Sterling Heights"/>
        <s v="League City"/>
        <s v="Puyallup"/>
        <s v="Redmond"/>
        <s v="Pine Bluff"/>
        <s v="Buffalo"/>
        <s v="Escondido"/>
        <s v="Harrison"/>
        <s v="Kent"/>
        <s v="New Brunswick"/>
        <s v="Thornton"/>
        <s v="Romeoville"/>
        <s v="Abington"/>
        <s v="Farmington"/>
        <s v="Montclair"/>
        <s v="Lincoln"/>
        <s v="Rochester"/>
        <s v="New Albany"/>
        <s v="Garfield"/>
        <s v="Saint Louis"/>
        <s v="Lees Summit"/>
        <s v="Tempe"/>
        <s v="Asbury Park"/>
        <s v="Rowlett"/>
        <s v="Addison"/>
        <s v="Pico Rivera"/>
        <s v="Longmeadow"/>
        <s v="Garfield Heights"/>
        <s v="Orem"/>
        <s v="Twentynine Palms"/>
        <s v="Eastpointe"/>
        <s v="Goleta"/>
        <s v="Carrollton"/>
        <s v="Greenville"/>
        <s v="Eagle"/>
        <s v="Fort Wayne"/>
        <s v="Louisville"/>
        <s v="Saint Petersburg"/>
        <s v="Minneapolis"/>
        <s v="North Miami Beach"/>
        <s v="Muskogee"/>
        <s v="Shoreview"/>
        <s v="Wilkes Barre"/>
        <s v="Oak Park"/>
        <s v="Tualatin"/>
        <s v="Naugatuck"/>
        <s v="Seymour"/>
        <s v="Murfreesboro"/>
        <s v="Oak Lawn"/>
        <s v="Anacortes"/>
        <s v="Valley Stream"/>
        <s v="Santa Monica"/>
        <s v="Salisbury"/>
        <s v="West Scarborough"/>
        <s v="Rogers"/>
        <s v="Lindenhurst"/>
        <s v="Jackson"/>
        <s v="Gardner"/>
        <s v="Lexington"/>
        <s v="Parsippany"/>
        <s v="Stockton"/>
        <s v="Omaha"/>
        <s v="Beavercreek"/>
        <s v="East Haven"/>
        <s v="Braintree"/>
        <s v="South Burlington"/>
        <s v="Livonia"/>
        <s v="Dalton"/>
        <s v="Prior Lake"/>
        <s v="Edgewood"/>
        <s v="La Mesa"/>
        <s v="Jacksonville"/>
        <s v="Clarksville"/>
        <s v="Longview"/>
        <s v="Hinesville"/>
        <s v="Royal Oak"/>
        <s v="Clearfield"/>
        <s v="Carson City"/>
        <s v="Columbus"/>
        <s v="Burbank"/>
        <s v="Seatac"/>
        <s v="Lewisville"/>
        <s v="Eau Claire"/>
        <s v="Olathe"/>
        <s v="Belvidere"/>
        <s v="Flagstaff"/>
        <s v="South Portland"/>
        <s v="Dix Hills"/>
        <s v="Bristol"/>
        <s v="Champaign"/>
        <s v="Douglasville"/>
        <s v="Fort Worth"/>
        <s v="Glen Ellyn"/>
        <s v="Winter Garden"/>
        <s v="Centereach"/>
        <s v="Rutland"/>
        <s v="Port Saint Lucie"/>
        <s v="Reading"/>
        <s v="Dearborn Heights"/>
        <s v="Oak Creek"/>
        <s v="Moreno Valley"/>
        <s v="Enid"/>
        <s v="Huntsville"/>
        <s v="Salt Lake City"/>
        <s v="Laramie"/>
        <s v="Somerville"/>
        <s v="Aloha"/>
        <s v="Saint Peters"/>
        <s v="Arlington Heights"/>
        <s v="Midwest City"/>
        <s v="Lakeland"/>
        <s v="Elmhurst"/>
        <s v="Birmingham"/>
        <s v="Menlo Park"/>
        <s v="Upper Saint Clair"/>
        <s v="Inglewood"/>
        <s v="Lansing"/>
        <s v="Maryville"/>
        <s v="Plainview"/>
        <s v="Plum"/>
        <s v="East Orange"/>
        <s v="Belchertown"/>
        <s v="Forest Park"/>
        <s v="Kalamazoo"/>
        <s v="Ithaca"/>
        <s v="Hobbs"/>
        <s v="Meridian"/>
        <s v="Lake Charles"/>
        <s v="Coral Springs"/>
        <s v="Chattanooga"/>
        <s v="Eugene"/>
        <s v="Alamogordo"/>
        <s v="Newnan"/>
        <s v="Goldsboro"/>
        <s v="Lincoln Park"/>
        <s v="Homewood"/>
        <s v="Dallas"/>
        <s v="Ellicott City"/>
        <s v="Parkersburg"/>
        <s v="Memphis"/>
        <s v="Oak Ridge"/>
        <s v="Palm Springs"/>
        <s v="Owensboro"/>
        <s v="Paducah"/>
        <s v="Seattle"/>
        <s v="Petaluma"/>
        <s v="Saint Paul"/>
        <s v="Wilkinsburg"/>
        <s v="San Jose"/>
        <s v="Opelika"/>
        <s v="Shirley"/>
        <s v="Cuyahoga Falls"/>
        <s v="Bozeman"/>
        <s v="Waukesha"/>
        <s v="Las Vegas"/>
        <s v="North Las Vegas"/>
        <s v="Royal Palm Beach"/>
        <s v="Bakersfield"/>
        <s v="Lombard"/>
        <s v="Northampton"/>
        <s v="Citrus Heights"/>
        <s v="Iselin"/>
        <s v="Flower Mound"/>
        <s v="Muskego"/>
        <s v="Hoboken"/>
        <s v="Lake In The Hills"/>
        <s v="Saint Charles"/>
        <s v="Redondo Beach"/>
        <s v="Rahway"/>
        <s v="West Valley City"/>
        <s v="West Babylon"/>
        <s v="Minnetonka Mills"/>
        <s v="Bentonville"/>
        <s v="Council Bluffs"/>
        <s v="Lebanon"/>
        <s v="Bennington"/>
        <s v="Ridgewood"/>
        <s v="Independence"/>
        <s v="Killingly Center"/>
        <s v="Roy"/>
        <s v="Hanover"/>
        <s v="Apopka"/>
        <s v="Andover"/>
        <s v="Easton"/>
        <s v="San Francisco"/>
        <s v="Cedar Rapids"/>
        <s v="North Kingstown"/>
        <s v="Sparks"/>
        <s v="Deland"/>
        <s v="Cottage Lake"/>
        <s v="Lorain"/>
        <s v="Boca Raton"/>
        <s v="Kingsport"/>
        <s v="Amarillo"/>
        <s v="Corvallis"/>
        <s v="Land O Lakes"/>
        <s v="Batavia"/>
        <s v="Lake Oswego"/>
        <s v="Chester"/>
        <s v="Colchester"/>
        <s v="Pomona"/>
        <s v="Muscatine"/>
        <s v="Hamilton"/>
        <s v="Red Wing"/>
        <s v="Rome"/>
        <s v="Franklin"/>
        <s v="Chapel Hill"/>
        <s v="Bethel Park"/>
        <s v="Carol City"/>
        <s v="Hackensack"/>
        <s v="Claremont"/>
        <s v="San Juan"/>
        <s v="Michigan City"/>
        <s v="Glendale"/>
        <s v="Jamestown"/>
        <s v="Essex"/>
        <s v="Shaker Heights"/>
        <s v="Newton"/>
        <s v="Holland"/>
        <s v="Russellville"/>
        <s v="Inkster"/>
        <s v="Camden"/>
        <s v="Waldorf"/>
        <s v="Bradenton"/>
        <s v="Enterprise"/>
        <s v="Youngstown"/>
        <s v="Salinas"/>
        <s v="Post Falls"/>
        <s v="La Crosse"/>
        <s v="Mundelein"/>
        <s v="Goffstown"/>
        <s v="Danville"/>
        <s v="Spring"/>
        <s v="Mentor"/>
        <s v="Madison"/>
        <s v="Redford"/>
        <s v="Shawnee"/>
        <s v="Roanoke"/>
        <s v="Kansas City"/>
        <s v="Gilroy"/>
        <s v="Delray Beach"/>
        <s v="Deltona"/>
        <s v="Athens"/>
        <s v="Altamonte Springs"/>
        <s v="Vestavia Hills"/>
        <s v="Tulsa"/>
        <s v="Trenton"/>
        <s v="Shreveport"/>
        <s v="Kennesaw"/>
        <s v="Ipswich"/>
        <s v="Talladega"/>
        <s v="University City"/>
        <s v="Lawndale"/>
        <s v="Eureka"/>
        <s v="McKeesport"/>
        <s v="Sarasota"/>
        <s v="Crown Point"/>
        <s v="Belleville"/>
        <s v="San Carlos"/>
        <s v="Bedford"/>
        <s v="Grafton"/>
        <s v="Roselle"/>
        <s v="Torrington"/>
        <s v="La Vista"/>
        <s v="Lacey"/>
        <s v="Thousand Oaks"/>
        <s v="Hacienda Heights"/>
        <s v="Florence"/>
        <s v="Iowa City"/>
        <s v="Urbana"/>
        <s v="Tacoma"/>
        <s v="Cumberland"/>
        <s v="Keizer"/>
        <s v="Roosevelt"/>
        <s v="Severna Park"/>
        <s v="Schererville"/>
        <s v="Huber Heights"/>
        <s v="Spanish Fork"/>
        <s v="South Bend"/>
        <s v="Southbury"/>
        <s v="Stoughton"/>
        <s v="Waterbury"/>
        <s v="Fort Lee"/>
        <s v="Baton Rouge"/>
        <s v="Oregon City"/>
        <s v="Clovis"/>
        <s v="Cedar Park"/>
        <s v="Oakland Park"/>
        <s v="Wausau"/>
        <s v="Draper"/>
        <s v="Sioux City"/>
        <s v="King of Prussia"/>
        <s v="Mesa"/>
        <s v="Grants Pass"/>
        <s v="Emporia"/>
        <s v="Sudbury"/>
        <s v="Great Falls"/>
        <s v="Biloxi"/>
        <s v="Medina"/>
        <s v="Ponte Vedra Beach"/>
        <s v="Bellevue"/>
        <s v="Buffalo Grove"/>
        <s v="Nashville"/>
        <s v="Dundalk"/>
        <s v="Hialeah"/>
        <s v="Keene"/>
        <s v="Manteca"/>
        <s v="Hutchinson"/>
        <s v="Sierra Vista"/>
        <s v="Mobile"/>
        <s v="El Paso"/>
        <s v="Palm Beach Gardens"/>
        <s v="Hendersonville"/>
        <s v="Greenwich"/>
        <s v="Palmer"/>
        <s v="Fargo"/>
        <s v="Clinton"/>
        <s v="Harker Heights"/>
        <s v="North Ridgeville"/>
        <s v="Green Bay"/>
        <s v="Greenwood"/>
        <s v="South Plainfield"/>
        <s v="Dublin"/>
        <s v="Mesquite"/>
        <s v="Rock Hill"/>
        <s v="Fairfield"/>
        <s v="New Orleans"/>
        <s v="Denton"/>
        <s v="Bowie"/>
        <s v="Virginia Beach"/>
        <s v="Torrance"/>
        <s v="Texarkana"/>
        <s v="San Gabriel"/>
        <s v="Mason City"/>
        <s v="Searcy"/>
        <s v="Aiken"/>
        <s v="Olney"/>
        <s v="East Saint Louis"/>
        <s v="Highland"/>
        <s v="Glen Burnie"/>
        <s v="Tigard"/>
        <s v="Calexico"/>
        <s v="Milwaukee"/>
        <s v="Wheat Ridge"/>
        <s v="Smyrna"/>
        <s v="Elyria"/>
        <s v="Spanaway"/>
        <s v="East Cleveland"/>
        <s v="New Britain"/>
        <s v="Salem"/>
        <s v="Union"/>
        <s v="Lawrence"/>
        <s v="Adrian"/>
        <s v="Farmington Hills"/>
        <s v="Mishawaka"/>
        <s v="Midland"/>
        <s v="Massillon"/>
        <s v="Janesville"/>
        <s v="Corsicana"/>
        <s v="Arlington"/>
        <s v="Orland Park"/>
        <s v="Stratford"/>
        <s v="Dumont"/>
        <s v="Walla Walla"/>
        <s v="North Little Rock"/>
        <s v="Taylor"/>
        <s v="Ewing"/>
        <s v="Woodbridge"/>
        <s v="Dubuque"/>
        <s v="Panama City"/>
        <s v="Harlingen"/>
        <s v="Peoria"/>
        <s v="Billings"/>
        <s v="Kirkland"/>
        <s v="Carol Stream"/>
        <s v="Hopkins"/>
        <s v="Layton"/>
        <s v="Scranton"/>
        <s v="Boston"/>
        <s v="Glendale Heights"/>
        <s v="Prescott"/>
        <s v="Wylie"/>
        <s v="Grand Prairie"/>
        <s v="Petersburg"/>
        <s v="Brookings"/>
        <s v="Downers Grove"/>
        <s v="Coon Rapids"/>
        <s v="Fountain"/>
        <s v="Fremont"/>
        <s v="Tallahassee"/>
        <s v="Redding"/>
        <s v="Hopatcong"/>
        <s v="Lubbock"/>
        <s v="Carteret"/>
        <s v="San Clemente"/>
        <s v="Magna"/>
        <s v="Hattiesburg"/>
        <s v="New Iberia"/>
        <s v="Woodridge"/>
        <s v="Jeffersonville"/>
        <s v="Brownsville"/>
        <s v="Morristown"/>
        <s v="Owosso"/>
        <s v="Reno"/>
        <s v="Elk Grove Village"/>
        <s v="New Milford"/>
        <s v="Encinitas"/>
        <s v="Bridgeton"/>
        <s v="Redlands"/>
        <s v="San Antonio"/>
        <s v="Boardman"/>
        <s v="Essex Junction"/>
        <s v="Bellingham"/>
        <s v="Glen Cove"/>
        <s v="Riverside"/>
        <s v="Burien"/>
        <s v="South Boston"/>
        <s v="Taunton"/>
        <s v="Westerly"/>
        <s v="Merrimack"/>
        <s v="Madison Heights"/>
        <s v="Lawton"/>
        <s v="Findlay"/>
        <s v="Conroe"/>
        <s v="Central Falls"/>
        <s v="Port Chester"/>
        <s v="Tinton Falls"/>
        <s v="Kettering"/>
        <s v="Belle Glade"/>
        <s v="Oxford"/>
        <s v="Portsmouth"/>
        <s v="Saginaw"/>
        <s v="Walker"/>
        <s v="Sulphur Springs"/>
        <s v="Tysons Corner"/>
        <s v="Temecula"/>
        <s v="East Chicago"/>
        <s v="Mooresville"/>
        <s v="Apple Valley"/>
        <s v="Tonawanda"/>
        <s v="Fords"/>
        <s v="Augusta"/>
        <s v="Old Bridge"/>
        <s v="Orange"/>
        <s v="Hazleton"/>
        <s v="Plano"/>
        <s v="Caldwell"/>
        <s v="Lunenburg"/>
        <s v="Charlotte"/>
        <s v="Delaware"/>
        <s v="Cottage Grove"/>
        <s v="Kingsville"/>
        <s v="Derby"/>
        <s v="Marshfield"/>
        <s v="Coral Gables"/>
        <s v="Shakopee"/>
        <s v="Berkeley"/>
        <s v="Pocatello"/>
        <s v="Drexel Hill"/>
        <s v="Jupiter"/>
        <s v="Webster"/>
        <s v="Anaheim"/>
        <s v="Foxborough"/>
        <s v="Southbridge"/>
        <s v="East Hartford"/>
        <s v="Cabot"/>
        <s v="West Chicago"/>
        <s v="Highland Village"/>
        <s v="Middletown"/>
        <s v="Hot Springs"/>
        <s v="Gillette"/>
        <s v="Muskegon"/>
        <s v="Sunnyvale"/>
        <s v="Saugus"/>
        <s v="Melbourne"/>
        <s v="Merritt Island"/>
        <s v="Florissant"/>
        <s v="Stevens Point"/>
        <s v="Modesto"/>
        <s v="Spring Hill"/>
        <s v="Sunrise"/>
        <s v="Penn Hills"/>
        <s v="West Palm Beach"/>
        <s v="Winter Haven"/>
        <s v="Provo"/>
        <s v="Gladstone"/>
        <s v="Coventry"/>
        <s v="Lyndhurst"/>
        <s v="Hammond"/>
        <s v="Terre Haute"/>
        <s v="Kingston"/>
        <s v="Waterville"/>
        <s v="Colonial Heights"/>
        <s v="Yucaipa"/>
        <s v="Warwick"/>
        <s v="Sandusky"/>
        <s v="Loveland"/>
        <s v="Grand Island"/>
        <s v="Sandy Springs"/>
        <s v="Northbrook"/>
        <s v="Hanover Park"/>
        <s v="Tewksbury"/>
        <s v="Hurst"/>
        <s v="Irving"/>
        <s v="Clayton"/>
        <s v="Dennis"/>
        <s v="Lindenwold"/>
        <s v="Palisades Park"/>
        <s v="Odessa"/>
        <s v="Paris"/>
        <s v="York"/>
        <s v="Bloomington"/>
        <s v="Detroit"/>
        <s v="Broomfield"/>
        <s v="Chicago"/>
        <s v="Chesapeake"/>
        <s v="Bay City"/>
        <s v="Morgantown"/>
        <s v="Northport"/>
        <s v="Vincennes"/>
        <s v="Steubenville"/>
        <s v="Richardson"/>
        <s v="Kenmore"/>
        <s v="Maple Grove"/>
        <s v="Schenectady"/>
        <s v="Laguna Niguel"/>
        <s v="Avondale"/>
        <s v="Rochester Hills"/>
        <s v="Bullhead City"/>
        <s v="Spartanburg"/>
        <s v="Herndon"/>
        <s v="La Quinta"/>
        <s v="Brooklyn"/>
        <s v="Issaquah"/>
        <s v="Kennewick"/>
        <s v="Valparaiso"/>
        <s v="East Massapequa"/>
        <s v="Wilson"/>
        <s v="Everett"/>
        <s v="Allentown"/>
        <s v="Whittier"/>
        <s v="Atascadero"/>
        <s v="Sharon"/>
        <s v="Central Islip"/>
        <s v="New London"/>
        <s v="Somerset"/>
        <s v="East Brunswick"/>
        <s v="Edison"/>
        <s v="Mint Hill"/>
        <s v="Flint"/>
        <s v="Collierville"/>
        <s v="Kokomo"/>
        <s v="Pacifica"/>
        <s v="Secaucus"/>
        <s v="Bossier City"/>
        <s v="Saint Louis Park"/>
        <s v="Cedar Falls"/>
        <s v="Holladay"/>
        <s v="Germantown"/>
        <s v="Morgan Hill"/>
        <s v="Londonderry"/>
        <s v="Helena"/>
        <s v="Cedar Hill"/>
        <s v="Inver Grove Heights"/>
        <s v="Woodmere"/>
        <s v="Rocklin"/>
        <s v="Winter Park"/>
        <s v="Chandler"/>
        <s v="Frankfort"/>
        <s v="Oswego"/>
        <s v="Potomac"/>
        <s v="Pleasure Ridge Park"/>
        <s v="Lehi"/>
        <s v="Belmont"/>
        <s v="Leominster"/>
        <s v="Grapevine"/>
        <s v="Fresno"/>
        <s v="Tampa"/>
        <s v="Wyoming"/>
        <s v="Yakima"/>
        <s v="Harrisburg"/>
        <s v="Visalia"/>
        <s v="Rutherford"/>
        <s v="Sherwood"/>
        <s v="The Woodlands"/>
        <s v="Streamwood"/>
        <s v="Killeen"/>
        <s v="American Fork"/>
        <s v="Bountiful"/>
        <s v="Norman"/>
        <s v="North Tonawanda"/>
        <s v="Mcminnville"/>
        <s v="Sun City"/>
        <s v="Rotterdam"/>
        <s v="Boulder"/>
        <s v="Brooklyn Center"/>
        <s v="Farragut"/>
        <s v="Kingman"/>
        <s v="Minot"/>
        <s v="Scarsdale"/>
        <s v="Jonesboro"/>
        <s v="El Mirage"/>
        <s v="West Islip"/>
        <s v="Fitchburg"/>
        <s v="Port Charlotte"/>
        <s v="Pahrump"/>
        <s v="Mcallen"/>
        <s v="Elmira"/>
        <s v="Cheyenne"/>
        <s v="Pittsburg"/>
        <s v="Brandon"/>
        <s v="Lakeville"/>
        <s v="Manitowoc"/>
        <s v="Vernon Hills"/>
        <s v="West Des Moines"/>
        <s v="El Dorado Hills"/>
        <s v="New City"/>
        <s v="Duluth"/>
        <s v="Dayton"/>
        <s v="Haltom City"/>
        <s v="Mechanicsville"/>
        <s v="Hermitage"/>
        <s v="Oshkosh"/>
        <s v="Goodyear"/>
        <s v="Granite Bay"/>
        <s v="Olive Branch"/>
        <s v="Weatherford"/>
        <s v="Bryant"/>
        <s v="Union City"/>
        <s v="Milford"/>
        <s v="Pembroke Pines"/>
        <s v="Hempstead"/>
        <s v="Tracy"/>
        <s v="Perry Hall"/>
        <s v="Yuba City"/>
        <s v="West Springfield"/>
        <s v="North Bergen"/>
        <s v="Rockland"/>
        <s v="Kentwood"/>
        <s v="Noblesville"/>
        <s v="Savage"/>
        <s v="Franklin Park"/>
        <s v="Cudahy"/>
        <s v="New Berlin"/>
        <s v="Horn Lake"/>
        <s v="Worcester"/>
        <s v="Des Plaines"/>
        <s v="Mason"/>
        <s v="Chambersburg"/>
        <s v="Beverly Hills"/>
        <s v="Gresham"/>
        <s v="Oakdale"/>
        <s v="Upper Arlington"/>
        <s v="Greer"/>
        <s v="Webster Groves"/>
        <s v="Huntington"/>
        <s v="Phenix City"/>
        <s v="Palm Harbor"/>
        <s v="Minnetonka"/>
        <s v="Deerfield Beach"/>
        <s v="Dunwoody"/>
        <s v="Miami"/>
        <s v="Rosenberg"/>
        <s v="Paterson"/>
        <s v="Cambridge"/>
        <s v="Knoxville"/>
        <s v="Irvington"/>
        <s v="Los Banos"/>
        <s v="San Angelo"/>
        <s v="Strongsville"/>
        <s v="Plainfield"/>
        <s v="Depew"/>
        <s v="Foster City"/>
        <s v="Commerce City"/>
        <s v="Las Cruces"/>
        <s v="Edina"/>
        <s v="Baldwin"/>
        <s v="Hoover"/>
        <s v="Houston"/>
        <s v="Pittsburgh"/>
        <s v="Brookline"/>
        <s v="Johnson City"/>
        <s v="Westborough"/>
        <s v="Lake Elsinore"/>
        <s v="Reisterstown"/>
        <s v="Duxbury"/>
        <s v="Galesburg"/>
        <s v="Wayne"/>
        <s v="Wyckoff"/>
        <s v="Grand Forks"/>
        <s v="Lake Forest"/>
        <s v="Paragould"/>
        <s v="Needham"/>
        <s v="North Pembroke"/>
        <s v="Arvada"/>
        <s v="Springville"/>
        <s v="Hicksville"/>
        <s v="Austin"/>
        <s v="Costa Mesa"/>
        <s v="Ankeny"/>
        <s v="Bergenfield"/>
        <s v="Abilene"/>
        <s v="Branford"/>
        <s v="Danbury"/>
        <s v="Evanston"/>
        <s v="Portage"/>
        <s v="Leavenworth"/>
        <s v="Maryland Heights"/>
        <s v="Tyler"/>
        <s v="Davenport"/>
        <s v="Conway"/>
        <s v="Warren"/>
        <s v="Lufkin"/>
        <s v="Decatur"/>
        <s v="North Plainfield"/>
        <s v="Midvale"/>
        <s v="Bethlehem"/>
        <s v="Parkland"/>
        <s v="Pontiac"/>
        <s v="Coachella"/>
        <s v="Missouri City"/>
        <s v="East Longmeadow"/>
        <s v="Milton"/>
        <s v="Mineral Wells"/>
        <s v="Martinez"/>
        <s v="Beaverton"/>
        <s v="Wilbraham"/>
        <s v="Houma"/>
        <s v="Lake Worth"/>
        <s v="Haverhill"/>
        <s v="South Vineland"/>
        <s v="Jefferson City"/>
        <s v="Tucson"/>
        <s v="Metairie"/>
        <s v="Glenview"/>
        <s v="Shrewsbury"/>
        <s v="Falmouth"/>
        <s v="Spokane"/>
        <s v="Lehigh Acres"/>
        <s v="Wichita Falls"/>
        <s v="North Babylon"/>
        <s v="Victoria"/>
        <s v="Laurinburg"/>
        <s v="Anderson"/>
        <s v="Trumbull"/>
        <s v="Atlantic City"/>
        <s v="Collinsville"/>
        <s v="Eden"/>
        <s v="Cleveland Heights"/>
        <s v="Warner Robins"/>
        <s v="Naperville"/>
        <s v="Elizabeth"/>
        <s v="Colonia"/>
        <s v="Commack"/>
        <s v="Bolingbrook"/>
        <s v="Long Branch"/>
        <s v="Pepperell"/>
        <s v="Fort Myers"/>
        <s v="College Park"/>
        <s v="Dodge City"/>
        <s v="Philadelphia"/>
        <s v="Wakefield"/>
        <s v="Akron"/>
        <s v="Ontario"/>
        <s v="Norton"/>
        <s v="Mustang"/>
        <s v="Sacramento"/>
        <s v="Fall River"/>
        <s v="Kendall"/>
        <s v="Klamath Falls"/>
        <s v="Moscow"/>
        <s v="Fort Thomas"/>
        <s v="Granite City"/>
        <s v="Woodstock"/>
        <s v="Whitehall"/>
        <s v="Coeur D Alene"/>
        <s v="Hays"/>
        <s v="Raleigh"/>
        <s v="Cranford"/>
        <s v="Summit"/>
        <s v="Hazelwood"/>
        <s v="Pensacola"/>
        <s v="Kearney"/>
        <s v="Pekin"/>
        <s v="Lenexa"/>
        <s v="Burke"/>
        <s v="New Smyrna Beach"/>
        <s v="Statesboro"/>
        <s v="Waterloo"/>
        <s v="Gary"/>
        <s v="Eagle Pass"/>
        <s v="Fort Bragg"/>
        <s v="Willingboro"/>
        <s v="Troutdale"/>
        <s v="Woodburn"/>
        <s v="Renton"/>
        <s v="New Rochelle"/>
        <s v="Titusville"/>
        <s v="North Royalton"/>
        <s v="West Milford"/>
        <s v="Elmwood Park"/>
        <s v="Nashua"/>
        <s v="South Orange"/>
        <s v="Willoughby"/>
        <s v="Sault Sainte Marie"/>
        <s v="Keller"/>
        <s v="Marion"/>
        <s v="Waynesboro"/>
        <s v="Los Gatos"/>
        <s v="Middle River"/>
        <s v="Bothell"/>
        <s v="Butte"/>
        <s v="La Porte"/>
        <s v="Ashland"/>
        <s v="Waterford"/>
        <s v="Westland"/>
        <s v="Pennsauken"/>
        <s v="Newington"/>
        <s v="North Arlington"/>
        <s v="Maple Shade"/>
        <s v="Yonkers"/>
        <s v="Ogden"/>
        <s v="Pearl"/>
        <s v="Phoenix"/>
        <s v="Wauwatosa"/>
        <s v="Beckley"/>
        <s v="Wake Forest"/>
        <s v="Cheektowaga"/>
        <s v="Westlake"/>
        <s v="Fridley"/>
        <s v="Mauldin"/>
        <s v="Palm Bay"/>
        <s v="Des Moines"/>
        <s v="Kenner"/>
        <s v="Creve Coeur"/>
        <s v="Eagan"/>
        <s v="State College"/>
        <s v="Palatine"/>
        <s v="Cornelius"/>
        <s v="Walpole"/>
        <s v="Melrose Park"/>
        <s v="Racine"/>
        <s v="Laredo"/>
        <s v="Gilbert"/>
        <s v="Lynnwood"/>
        <s v="Euless"/>
        <s v="Raytown"/>
        <s v="Casselberry"/>
        <s v="Montebello"/>
        <s v="Baltimore"/>
        <s v="Cloverleaf"/>
        <s v="Granger"/>
        <s v="Oxnard"/>
        <s v="Laconia"/>
        <s v="Tiverton"/>
        <s v="Berea"/>
        <s v="Woonsocket"/>
        <s v="Holden"/>
        <s v="Pikesville"/>
        <s v="Silver Spring"/>
        <s v="Aberdeen"/>
        <s v="Niagara Falls"/>
        <s v="Phillipsburg"/>
        <s v="Scotch Plains"/>
        <s v="Denver"/>
        <s v="Plant City"/>
        <s v="West Lafayette"/>
        <s v="Brooklyn Park"/>
        <s v="Kannapolis"/>
        <s v="Cliffside Park"/>
        <s v="Mission Viejo"/>
        <s v="Bloomfield"/>
        <s v="Bayonne"/>
        <s v="Passaic"/>
        <s v="Liberal"/>
        <s v="Fort Pierce"/>
        <s v="Agawam"/>
        <s v="Greensboro"/>
        <s v="Nutley"/>
        <s v="Olympia"/>
        <s v="Beverly"/>
        <s v="Hanson"/>
        <s v="Bourne"/>
        <s v="Dedham"/>
        <s v="Texas City"/>
        <s v="Springdale"/>
        <s v="Savannah"/>
        <s v="Topeka"/>
        <s v="Millville"/>
        <s v="Round Rock"/>
        <s v="West Seneca"/>
        <s v="Watauga"/>
        <s v="Camarillo"/>
        <s v="Nicholasville"/>
        <s v="Greensburg"/>
        <s v="Baytown"/>
        <s v="Fort Smith"/>
        <s v="Hastings"/>
        <s v="Northglenn"/>
        <s v="Elkhart"/>
        <s v="Dunedin"/>
      </sharedItems>
    </cacheField>
    <cacheField name="State" numFmtId="0">
      <sharedItems count="48">
        <s v="Illinois"/>
        <s v="Washington"/>
        <s v="North Carolina"/>
        <s v="Iowa"/>
        <s v="Oregon"/>
        <s v="Texas"/>
        <s v="New Mexico"/>
        <s v="New York"/>
        <s v="Arkansas"/>
        <s v="Arizona"/>
        <s v="Oklahoma"/>
        <s v="Tennessee"/>
        <s v="New Jersey"/>
        <s v="Maine"/>
        <s v="Wisconsin"/>
        <s v="Florida"/>
        <s v="California"/>
        <s v="Minnesota"/>
        <s v="Georgia"/>
        <s v="New Hampshire"/>
        <s v="Kansas"/>
        <s v="South Carolina"/>
        <s v="Michigan"/>
        <s v="Maryland"/>
        <s v="Idaho"/>
        <s v="Utah"/>
        <s v="Ohio"/>
        <s v="Pennsylvania"/>
        <s v="Colorado"/>
        <s v="Kentucky"/>
        <s v="Indiana"/>
        <s v="MA"/>
        <s v="North Dakota"/>
        <s v="MO"/>
        <s v="Virginia"/>
        <s v="Connecticut"/>
        <s v="Alabama"/>
        <s v="Louisiana"/>
        <s v="Nebraska"/>
        <s v="Wyoming"/>
        <s v="Vermont"/>
        <s v="Rhode Island"/>
        <s v="Delaware"/>
        <s v="West Virginia"/>
        <s v="Mississippi"/>
        <s v="South Dakota"/>
        <s v="Nevada"/>
        <s v="Montana"/>
      </sharedItems>
    </cacheField>
    <cacheField name="Region" numFmtId="0">
      <sharedItems count="4">
        <s v="Central"/>
        <s v="West"/>
        <s v="South"/>
        <s v="East"/>
      </sharedItems>
    </cacheField>
    <cacheField name="Customer Segment" numFmtId="0">
      <sharedItems/>
    </cacheField>
    <cacheField name="Product Category" numFmtId="0">
      <sharedItems count="3">
        <s v="Office Supplies"/>
        <s v="Furniture"/>
        <s v="Technology"/>
      </sharedItems>
    </cacheField>
    <cacheField name="Product Sub-Category" numFmtId="0">
      <sharedItems count="17">
        <s v="Storage &amp; Organization"/>
        <s v="Scissors, Rulers and Trimmers"/>
        <s v="Office Furnishings"/>
        <s v="Tables"/>
        <s v="Telephones and Communication"/>
        <s v="Computer Peripherals"/>
        <s v="Pens &amp; Art Supplies"/>
        <s v="Rubber Bands"/>
        <s v="Labels"/>
        <s v="Paper"/>
        <s v="Office Machines"/>
        <s v="Bookcases"/>
        <s v="Binders and Binder Accessories"/>
        <s v="Appliances"/>
        <s v="Envelopes"/>
        <s v="Chairs &amp; Chairmats"/>
        <s v="Copiers and Fax"/>
      </sharedItems>
    </cacheField>
    <cacheField name="Sales" numFmtId="0">
      <sharedItems containsSemiMixedTypes="0" containsString="0" containsNumber="1" minValue="2.2400000000000002" maxValue="89061.05"/>
    </cacheField>
    <cacheField name="Unit Price" numFmtId="0">
      <sharedItems containsSemiMixedTypes="0" containsString="0" containsNumber="1" minValue="1.1399999999999999" maxValue="6783.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000">
  <r>
    <n v="1"/>
    <n v="3"/>
    <d v="2010-10-13T00:00:00"/>
    <s v="Low"/>
    <x v="0"/>
    <x v="0"/>
    <x v="0"/>
    <s v="Small Business"/>
    <x v="0"/>
    <x v="0"/>
    <n v="261.54000000000002"/>
    <n v="38.94"/>
  </r>
  <r>
    <n v="2"/>
    <n v="6"/>
    <d v="2012-02-20T00:00:00"/>
    <s v="Not Specified"/>
    <x v="1"/>
    <x v="1"/>
    <x v="1"/>
    <s v="Corporate"/>
    <x v="0"/>
    <x v="1"/>
    <n v="6.93"/>
    <n v="2.08"/>
  </r>
  <r>
    <n v="3"/>
    <n v="32"/>
    <d v="2011-07-15T00:00:00"/>
    <s v="High"/>
    <x v="2"/>
    <x v="1"/>
    <x v="1"/>
    <s v="Corporate"/>
    <x v="1"/>
    <x v="2"/>
    <n v="2808.08"/>
    <n v="107.53"/>
  </r>
  <r>
    <n v="4"/>
    <n v="32"/>
    <d v="2011-07-15T00:00:00"/>
    <s v="High"/>
    <x v="2"/>
    <x v="1"/>
    <x v="1"/>
    <s v="Corporate"/>
    <x v="1"/>
    <x v="3"/>
    <n v="1761.4"/>
    <n v="70.89"/>
  </r>
  <r>
    <n v="5"/>
    <n v="32"/>
    <d v="2011-07-15T00:00:00"/>
    <s v="High"/>
    <x v="2"/>
    <x v="1"/>
    <x v="1"/>
    <s v="Corporate"/>
    <x v="2"/>
    <x v="4"/>
    <n v="160.23349999999999"/>
    <n v="7.99"/>
  </r>
  <r>
    <n v="6"/>
    <n v="32"/>
    <d v="2011-07-15T00:00:00"/>
    <s v="High"/>
    <x v="3"/>
    <x v="2"/>
    <x v="2"/>
    <s v="Corporate"/>
    <x v="2"/>
    <x v="5"/>
    <n v="140.56"/>
    <n v="8.4600000000000009"/>
  </r>
  <r>
    <n v="7"/>
    <n v="35"/>
    <d v="2011-10-22T00:00:00"/>
    <s v="Not Specified"/>
    <x v="4"/>
    <x v="3"/>
    <x v="0"/>
    <s v="Corporate"/>
    <x v="0"/>
    <x v="6"/>
    <n v="288.56"/>
    <n v="9.11"/>
  </r>
  <r>
    <n v="8"/>
    <n v="35"/>
    <d v="2011-10-22T00:00:00"/>
    <s v="Not Specified"/>
    <x v="4"/>
    <x v="3"/>
    <x v="0"/>
    <s v="Corporate"/>
    <x v="2"/>
    <x v="4"/>
    <n v="1892.848"/>
    <n v="155.99"/>
  </r>
  <r>
    <n v="9"/>
    <n v="36"/>
    <d v="2011-11-02T00:00:00"/>
    <s v="Critical"/>
    <x v="5"/>
    <x v="4"/>
    <x v="1"/>
    <s v="Home Office"/>
    <x v="2"/>
    <x v="4"/>
    <n v="2484.7455"/>
    <n v="65.989999999999995"/>
  </r>
  <r>
    <n v="10"/>
    <n v="65"/>
    <d v="2011-03-17T00:00:00"/>
    <s v="Critical"/>
    <x v="6"/>
    <x v="5"/>
    <x v="0"/>
    <s v="Corporate"/>
    <x v="2"/>
    <x v="5"/>
    <n v="3812.73"/>
    <n v="115.79"/>
  </r>
  <r>
    <n v="11"/>
    <n v="66"/>
    <d v="2009-01-19T00:00:00"/>
    <s v="Low"/>
    <x v="7"/>
    <x v="6"/>
    <x v="1"/>
    <s v="Consumer"/>
    <x v="0"/>
    <x v="6"/>
    <n v="108.15"/>
    <n v="2.88"/>
  </r>
  <r>
    <n v="12"/>
    <n v="69"/>
    <d v="2009-06-03T00:00:00"/>
    <s v="Not Specified"/>
    <x v="8"/>
    <x v="2"/>
    <x v="2"/>
    <s v="Corporate"/>
    <x v="1"/>
    <x v="2"/>
    <n v="1186.06"/>
    <n v="30.93"/>
  </r>
  <r>
    <n v="13"/>
    <n v="69"/>
    <d v="2009-06-03T00:00:00"/>
    <s v="Not Specified"/>
    <x v="8"/>
    <x v="2"/>
    <x v="2"/>
    <s v="Corporate"/>
    <x v="0"/>
    <x v="6"/>
    <n v="51.53"/>
    <n v="1.68"/>
  </r>
  <r>
    <n v="14"/>
    <n v="70"/>
    <d v="2010-12-17T00:00:00"/>
    <s v="Low"/>
    <x v="9"/>
    <x v="7"/>
    <x v="3"/>
    <s v="Home Office"/>
    <x v="0"/>
    <x v="7"/>
    <n v="90.05"/>
    <n v="1.86"/>
  </r>
  <r>
    <n v="15"/>
    <n v="70"/>
    <d v="2010-12-17T00:00:00"/>
    <s v="Low"/>
    <x v="9"/>
    <x v="7"/>
    <x v="3"/>
    <s v="Home Office"/>
    <x v="2"/>
    <x v="4"/>
    <n v="7804.53"/>
    <n v="205.99"/>
  </r>
  <r>
    <n v="16"/>
    <n v="96"/>
    <d v="2009-04-16T00:00:00"/>
    <s v="High"/>
    <x v="10"/>
    <x v="8"/>
    <x v="2"/>
    <s v="Home Office"/>
    <x v="2"/>
    <x v="4"/>
    <n v="4158.1234999999997"/>
    <n v="125.99"/>
  </r>
  <r>
    <n v="17"/>
    <n v="97"/>
    <d v="2010-01-28T00:00:00"/>
    <s v="Medium"/>
    <x v="11"/>
    <x v="9"/>
    <x v="1"/>
    <s v="Consumer"/>
    <x v="0"/>
    <x v="8"/>
    <n v="75.569999999999993"/>
    <n v="2.89"/>
  </r>
  <r>
    <n v="18"/>
    <n v="129"/>
    <d v="2012-11-18T00:00:00"/>
    <s v="Low"/>
    <x v="12"/>
    <x v="10"/>
    <x v="0"/>
    <s v="Corporate"/>
    <x v="0"/>
    <x v="9"/>
    <n v="32.72"/>
    <n v="6.48"/>
  </r>
  <r>
    <n v="19"/>
    <n v="130"/>
    <d v="2012-05-07T00:00:00"/>
    <s v="High"/>
    <x v="13"/>
    <x v="11"/>
    <x v="2"/>
    <s v="Corporate"/>
    <x v="2"/>
    <x v="10"/>
    <n v="461.89"/>
    <n v="150.97999999999999"/>
  </r>
  <r>
    <n v="20"/>
    <n v="130"/>
    <d v="2012-05-07T00:00:00"/>
    <s v="High"/>
    <x v="13"/>
    <x v="11"/>
    <x v="2"/>
    <s v="Corporate"/>
    <x v="0"/>
    <x v="9"/>
    <n v="575.11"/>
    <n v="18.97"/>
  </r>
  <r>
    <n v="21"/>
    <n v="130"/>
    <d v="2012-05-07T00:00:00"/>
    <s v="High"/>
    <x v="13"/>
    <x v="11"/>
    <x v="2"/>
    <s v="Corporate"/>
    <x v="0"/>
    <x v="0"/>
    <n v="236.46"/>
    <n v="9.7100000000000009"/>
  </r>
  <r>
    <n v="22"/>
    <n v="132"/>
    <d v="2010-06-10T00:00:00"/>
    <s v="Medium"/>
    <x v="14"/>
    <x v="12"/>
    <x v="3"/>
    <s v="Consumer"/>
    <x v="2"/>
    <x v="4"/>
    <n v="192.81399999999999"/>
    <n v="7.99"/>
  </r>
  <r>
    <n v="23"/>
    <n v="132"/>
    <d v="2010-06-10T00:00:00"/>
    <s v="Medium"/>
    <x v="15"/>
    <x v="13"/>
    <x v="3"/>
    <s v="Consumer"/>
    <x v="1"/>
    <x v="11"/>
    <n v="4011.65"/>
    <n v="130.97999999999999"/>
  </r>
  <r>
    <n v="24"/>
    <n v="134"/>
    <d v="2012-04-30T00:00:00"/>
    <s v="Not Specified"/>
    <x v="16"/>
    <x v="14"/>
    <x v="0"/>
    <s v="Home Office"/>
    <x v="0"/>
    <x v="0"/>
    <n v="1132.5999999999999"/>
    <n v="95.99"/>
  </r>
  <r>
    <n v="25"/>
    <n v="135"/>
    <d v="2011-10-20T00:00:00"/>
    <s v="Not Specified"/>
    <x v="17"/>
    <x v="7"/>
    <x v="3"/>
    <s v="Consumer"/>
    <x v="2"/>
    <x v="5"/>
    <n v="125.85"/>
    <n v="4.9800000000000004"/>
  </r>
  <r>
    <n v="26"/>
    <n v="166"/>
    <d v="2011-09-11T00:00:00"/>
    <s v="High"/>
    <x v="18"/>
    <x v="15"/>
    <x v="2"/>
    <s v="Consumer"/>
    <x v="2"/>
    <x v="4"/>
    <n v="567.93599999999992"/>
    <n v="65.989999999999995"/>
  </r>
  <r>
    <n v="27"/>
    <n v="193"/>
    <d v="2010-08-07T00:00:00"/>
    <s v="Critical"/>
    <x v="19"/>
    <x v="7"/>
    <x v="3"/>
    <s v="Consumer"/>
    <x v="0"/>
    <x v="0"/>
    <n v="174.89"/>
    <n v="12.44"/>
  </r>
  <r>
    <n v="28"/>
    <n v="194"/>
    <d v="2012-04-04T00:00:00"/>
    <s v="Medium"/>
    <x v="20"/>
    <x v="4"/>
    <x v="1"/>
    <s v="Corporate"/>
    <x v="1"/>
    <x v="2"/>
    <n v="329.03"/>
    <n v="7.28"/>
  </r>
  <r>
    <n v="29"/>
    <n v="194"/>
    <d v="2012-04-04T00:00:00"/>
    <s v="Medium"/>
    <x v="20"/>
    <x v="4"/>
    <x v="1"/>
    <s v="Corporate"/>
    <x v="0"/>
    <x v="1"/>
    <n v="20.190000000000001"/>
    <n v="3.14"/>
  </r>
  <r>
    <n v="30"/>
    <n v="195"/>
    <d v="2010-12-27T00:00:00"/>
    <s v="Medium"/>
    <x v="21"/>
    <x v="16"/>
    <x v="1"/>
    <s v="Home Office"/>
    <x v="0"/>
    <x v="6"/>
    <n v="1315.74"/>
    <n v="36.549999999999997"/>
  </r>
  <r>
    <n v="31"/>
    <n v="197"/>
    <d v="2011-04-06T00:00:00"/>
    <s v="High"/>
    <x v="22"/>
    <x v="15"/>
    <x v="2"/>
    <s v="Home Office"/>
    <x v="0"/>
    <x v="1"/>
    <n v="310.52"/>
    <n v="12.98"/>
  </r>
  <r>
    <n v="32"/>
    <n v="224"/>
    <d v="2009-06-17T00:00:00"/>
    <s v="Not Specified"/>
    <x v="23"/>
    <x v="16"/>
    <x v="1"/>
    <s v="Corporate"/>
    <x v="1"/>
    <x v="2"/>
    <n v="184.86"/>
    <n v="7.38"/>
  </r>
  <r>
    <n v="33"/>
    <n v="224"/>
    <d v="2009-06-17T00:00:00"/>
    <s v="Not Specified"/>
    <x v="23"/>
    <x v="16"/>
    <x v="1"/>
    <s v="Corporate"/>
    <x v="0"/>
    <x v="9"/>
    <n v="267.85000000000002"/>
    <n v="5.98"/>
  </r>
  <r>
    <n v="34"/>
    <n v="224"/>
    <d v="2009-06-17T00:00:00"/>
    <s v="Not Specified"/>
    <x v="23"/>
    <x v="16"/>
    <x v="1"/>
    <s v="Corporate"/>
    <x v="0"/>
    <x v="0"/>
    <n v="528.5"/>
    <n v="15.42"/>
  </r>
  <r>
    <n v="35"/>
    <n v="225"/>
    <d v="2011-05-24T00:00:00"/>
    <s v="Critical"/>
    <x v="24"/>
    <x v="7"/>
    <x v="3"/>
    <s v="Home Office"/>
    <x v="0"/>
    <x v="6"/>
    <n v="126.58"/>
    <n v="5.58"/>
  </r>
  <r>
    <n v="36"/>
    <n v="225"/>
    <d v="2011-05-24T00:00:00"/>
    <s v="Critical"/>
    <x v="24"/>
    <x v="7"/>
    <x v="3"/>
    <s v="Home Office"/>
    <x v="0"/>
    <x v="6"/>
    <n v="23.7"/>
    <n v="19.84"/>
  </r>
  <r>
    <n v="37"/>
    <n v="229"/>
    <d v="2010-12-28T00:00:00"/>
    <s v="Critical"/>
    <x v="25"/>
    <x v="17"/>
    <x v="0"/>
    <s v="Consumer"/>
    <x v="1"/>
    <x v="2"/>
    <n v="586.11"/>
    <n v="12.64"/>
  </r>
  <r>
    <n v="38"/>
    <n v="229"/>
    <d v="2010-12-28T00:00:00"/>
    <s v="Critical"/>
    <x v="26"/>
    <x v="18"/>
    <x v="2"/>
    <s v="Consumer"/>
    <x v="0"/>
    <x v="12"/>
    <n v="599.1"/>
    <n v="24.92"/>
  </r>
  <r>
    <n v="39"/>
    <n v="230"/>
    <d v="2010-10-26T00:00:00"/>
    <s v="Critical"/>
    <x v="27"/>
    <x v="5"/>
    <x v="0"/>
    <s v="Corporate"/>
    <x v="0"/>
    <x v="6"/>
    <n v="2029.75"/>
    <n v="43.98"/>
  </r>
  <r>
    <n v="40"/>
    <n v="230"/>
    <d v="2010-10-26T00:00:00"/>
    <s v="Critical"/>
    <x v="27"/>
    <x v="5"/>
    <x v="0"/>
    <s v="Corporate"/>
    <x v="2"/>
    <x v="4"/>
    <n v="1118.396"/>
    <n v="125.99"/>
  </r>
  <r>
    <n v="41"/>
    <n v="231"/>
    <d v="2009-09-28T00:00:00"/>
    <s v="High"/>
    <x v="28"/>
    <x v="15"/>
    <x v="2"/>
    <s v="Small Business"/>
    <x v="0"/>
    <x v="13"/>
    <n v="689.74"/>
    <n v="363.25"/>
  </r>
  <r>
    <n v="42"/>
    <n v="258"/>
    <d v="2010-12-28T00:00:00"/>
    <s v="Critical"/>
    <x v="29"/>
    <x v="13"/>
    <x v="3"/>
    <s v="Home Office"/>
    <x v="0"/>
    <x v="9"/>
    <n v="154.35"/>
    <n v="6.48"/>
  </r>
  <r>
    <n v="43"/>
    <n v="258"/>
    <d v="2010-12-28T00:00:00"/>
    <s v="Critical"/>
    <x v="30"/>
    <x v="13"/>
    <x v="3"/>
    <s v="Home Office"/>
    <x v="0"/>
    <x v="0"/>
    <n v="201.36"/>
    <n v="20.98"/>
  </r>
  <r>
    <n v="44"/>
    <n v="258"/>
    <d v="2010-12-28T00:00:00"/>
    <s v="Critical"/>
    <x v="31"/>
    <x v="19"/>
    <x v="3"/>
    <s v="Home Office"/>
    <x v="0"/>
    <x v="12"/>
    <n v="216.77"/>
    <n v="6.54"/>
  </r>
  <r>
    <n v="45"/>
    <n v="261"/>
    <d v="2010-06-28T00:00:00"/>
    <s v="Medium"/>
    <x v="32"/>
    <x v="20"/>
    <x v="0"/>
    <s v="Small Business"/>
    <x v="2"/>
    <x v="4"/>
    <n v="5677.6089999999995"/>
    <n v="140.99"/>
  </r>
  <r>
    <n v="46"/>
    <n v="263"/>
    <d v="2009-05-16T00:00:00"/>
    <s v="High"/>
    <x v="33"/>
    <x v="16"/>
    <x v="1"/>
    <s v="Corporate"/>
    <x v="0"/>
    <x v="12"/>
    <n v="136.77000000000001"/>
    <n v="5.4"/>
  </r>
  <r>
    <n v="47"/>
    <n v="290"/>
    <d v="2009-01-05T00:00:00"/>
    <s v="Not Specified"/>
    <x v="34"/>
    <x v="7"/>
    <x v="3"/>
    <s v="Home Office"/>
    <x v="0"/>
    <x v="9"/>
    <n v="188.73"/>
    <n v="7.64"/>
  </r>
  <r>
    <n v="48"/>
    <n v="292"/>
    <d v="2012-01-12T00:00:00"/>
    <s v="High"/>
    <x v="35"/>
    <x v="21"/>
    <x v="2"/>
    <s v="Consumer"/>
    <x v="0"/>
    <x v="14"/>
    <n v="412.62"/>
    <n v="9.9"/>
  </r>
  <r>
    <n v="49"/>
    <n v="293"/>
    <d v="2012-10-01T00:00:00"/>
    <s v="High"/>
    <x v="36"/>
    <x v="0"/>
    <x v="0"/>
    <s v="Consumer"/>
    <x v="0"/>
    <x v="13"/>
    <n v="10123.02"/>
    <n v="208.16"/>
  </r>
  <r>
    <n v="50"/>
    <n v="293"/>
    <d v="2012-10-01T00:00:00"/>
    <s v="High"/>
    <x v="36"/>
    <x v="0"/>
    <x v="0"/>
    <s v="Consumer"/>
    <x v="0"/>
    <x v="12"/>
    <n v="244.57"/>
    <n v="8.69"/>
  </r>
  <r>
    <n v="51"/>
    <n v="294"/>
    <d v="2010-07-15T00:00:00"/>
    <s v="Medium"/>
    <x v="37"/>
    <x v="3"/>
    <x v="0"/>
    <s v="Home Office"/>
    <x v="0"/>
    <x v="0"/>
    <n v="6375.28"/>
    <n v="193.17"/>
  </r>
  <r>
    <n v="52"/>
    <n v="322"/>
    <d v="2012-03-18T00:00:00"/>
    <s v="Critical"/>
    <x v="38"/>
    <x v="22"/>
    <x v="0"/>
    <s v="Corporate"/>
    <x v="2"/>
    <x v="4"/>
    <n v="2634.8554999999997"/>
    <n v="155.99"/>
  </r>
  <r>
    <n v="53"/>
    <n v="322"/>
    <d v="2012-03-18T00:00:00"/>
    <s v="Critical"/>
    <x v="39"/>
    <x v="22"/>
    <x v="0"/>
    <s v="Corporate"/>
    <x v="0"/>
    <x v="9"/>
    <n v="281"/>
    <n v="6.48"/>
  </r>
  <r>
    <n v="54"/>
    <n v="323"/>
    <d v="2009-03-25T00:00:00"/>
    <s v="Critical"/>
    <x v="40"/>
    <x v="9"/>
    <x v="1"/>
    <s v="Small Business"/>
    <x v="0"/>
    <x v="14"/>
    <n v="108.09"/>
    <n v="5.68"/>
  </r>
  <r>
    <n v="55"/>
    <n v="323"/>
    <d v="2009-03-25T00:00:00"/>
    <s v="Critical"/>
    <x v="40"/>
    <x v="9"/>
    <x v="1"/>
    <s v="Small Business"/>
    <x v="0"/>
    <x v="9"/>
    <n v="55.34"/>
    <n v="22.84"/>
  </r>
  <r>
    <n v="56"/>
    <n v="324"/>
    <d v="2012-03-19T00:00:00"/>
    <s v="Critical"/>
    <x v="41"/>
    <x v="2"/>
    <x v="2"/>
    <s v="Small Business"/>
    <x v="2"/>
    <x v="4"/>
    <n v="3872.634"/>
    <n v="179.99"/>
  </r>
  <r>
    <n v="57"/>
    <n v="325"/>
    <d v="2010-10-16T00:00:00"/>
    <s v="Low"/>
    <x v="41"/>
    <x v="13"/>
    <x v="3"/>
    <s v="Corporate"/>
    <x v="2"/>
    <x v="4"/>
    <n v="884.12750000000005"/>
    <n v="115.99"/>
  </r>
  <r>
    <n v="58"/>
    <n v="326"/>
    <d v="2011-06-03T00:00:00"/>
    <s v="High"/>
    <x v="42"/>
    <x v="23"/>
    <x v="3"/>
    <s v="Consumer"/>
    <x v="0"/>
    <x v="12"/>
    <n v="218.27"/>
    <n v="5.99"/>
  </r>
  <r>
    <n v="59"/>
    <n v="326"/>
    <d v="2011-06-03T00:00:00"/>
    <s v="High"/>
    <x v="43"/>
    <x v="23"/>
    <x v="3"/>
    <s v="Consumer"/>
    <x v="0"/>
    <x v="7"/>
    <n v="100.95"/>
    <n v="5.81"/>
  </r>
  <r>
    <n v="60"/>
    <n v="353"/>
    <d v="2010-12-30T00:00:00"/>
    <s v="Low"/>
    <x v="44"/>
    <x v="16"/>
    <x v="1"/>
    <s v="Home Office"/>
    <x v="0"/>
    <x v="6"/>
    <n v="46.94"/>
    <n v="2.21"/>
  </r>
  <r>
    <n v="61"/>
    <n v="355"/>
    <d v="2009-06-13T00:00:00"/>
    <s v="Low"/>
    <x v="45"/>
    <x v="5"/>
    <x v="0"/>
    <s v="Small Business"/>
    <x v="2"/>
    <x v="4"/>
    <n v="1239.6315"/>
    <n v="85.99"/>
  </r>
  <r>
    <n v="62"/>
    <n v="358"/>
    <d v="2010-09-19T00:00:00"/>
    <s v="High"/>
    <x v="15"/>
    <x v="24"/>
    <x v="1"/>
    <s v="Corporate"/>
    <x v="1"/>
    <x v="11"/>
    <n v="1640.9"/>
    <n v="48.58"/>
  </r>
  <r>
    <n v="63"/>
    <n v="358"/>
    <d v="2010-09-19T00:00:00"/>
    <s v="High"/>
    <x v="15"/>
    <x v="24"/>
    <x v="1"/>
    <s v="Corporate"/>
    <x v="2"/>
    <x v="5"/>
    <n v="1235.8699999999999"/>
    <n v="39.479999999999997"/>
  </r>
  <r>
    <n v="64"/>
    <n v="359"/>
    <d v="2009-12-18T00:00:00"/>
    <s v="Medium"/>
    <x v="46"/>
    <x v="25"/>
    <x v="1"/>
    <s v="Corporate"/>
    <x v="1"/>
    <x v="3"/>
    <n v="3659.66"/>
    <n v="124.49"/>
  </r>
  <r>
    <n v="65"/>
    <n v="384"/>
    <d v="2012-03-02T00:00:00"/>
    <s v="Low"/>
    <x v="47"/>
    <x v="4"/>
    <x v="1"/>
    <s v="Corporate"/>
    <x v="1"/>
    <x v="3"/>
    <n v="7666.04"/>
    <n v="146.05000000000001"/>
  </r>
  <r>
    <n v="66"/>
    <n v="386"/>
    <d v="2011-01-24T00:00:00"/>
    <s v="High"/>
    <x v="48"/>
    <x v="26"/>
    <x v="3"/>
    <s v="Corporate"/>
    <x v="0"/>
    <x v="8"/>
    <n v="14.96"/>
    <n v="3.69"/>
  </r>
  <r>
    <n v="67"/>
    <n v="386"/>
    <d v="2011-01-24T00:00:00"/>
    <s v="High"/>
    <x v="48"/>
    <x v="26"/>
    <x v="3"/>
    <s v="Corporate"/>
    <x v="0"/>
    <x v="6"/>
    <n v="15.69"/>
    <n v="3.85"/>
  </r>
  <r>
    <n v="68"/>
    <n v="388"/>
    <d v="2012-12-15T00:00:00"/>
    <s v="Not Specified"/>
    <x v="49"/>
    <x v="10"/>
    <x v="0"/>
    <s v="Home Office"/>
    <x v="0"/>
    <x v="13"/>
    <n v="517.92999999999995"/>
    <n v="11.7"/>
  </r>
  <r>
    <n v="69"/>
    <n v="416"/>
    <d v="2010-09-26T00:00:00"/>
    <s v="Low"/>
    <x v="50"/>
    <x v="26"/>
    <x v="3"/>
    <s v="Consumer"/>
    <x v="2"/>
    <x v="4"/>
    <n v="1156.6714999999999"/>
    <n v="65.989999999999995"/>
  </r>
  <r>
    <n v="70"/>
    <n v="417"/>
    <d v="2009-02-05T00:00:00"/>
    <s v="Medium"/>
    <x v="51"/>
    <x v="16"/>
    <x v="1"/>
    <s v="Small Business"/>
    <x v="2"/>
    <x v="10"/>
    <n v="15260.78"/>
    <n v="500.98"/>
  </r>
  <r>
    <n v="71"/>
    <n v="417"/>
    <d v="2009-02-05T00:00:00"/>
    <s v="Medium"/>
    <x v="51"/>
    <x v="16"/>
    <x v="1"/>
    <s v="Small Business"/>
    <x v="0"/>
    <x v="0"/>
    <n v="540.41"/>
    <n v="178.47"/>
  </r>
  <r>
    <n v="72"/>
    <n v="420"/>
    <d v="2011-10-30T00:00:00"/>
    <s v="Not Specified"/>
    <x v="52"/>
    <x v="1"/>
    <x v="1"/>
    <s v="Small Business"/>
    <x v="0"/>
    <x v="9"/>
    <n v="43.29"/>
    <n v="4.9800000000000004"/>
  </r>
  <r>
    <n v="73"/>
    <n v="420"/>
    <d v="2011-10-30T00:00:00"/>
    <s v="Not Specified"/>
    <x v="52"/>
    <x v="1"/>
    <x v="1"/>
    <s v="Small Business"/>
    <x v="0"/>
    <x v="9"/>
    <n v="41.7"/>
    <n v="5.78"/>
  </r>
  <r>
    <n v="74"/>
    <n v="448"/>
    <d v="2011-08-20T00:00:00"/>
    <s v="Medium"/>
    <x v="21"/>
    <x v="16"/>
    <x v="1"/>
    <s v="Corporate"/>
    <x v="2"/>
    <x v="4"/>
    <n v="1162.4005"/>
    <n v="65.989999999999995"/>
  </r>
  <r>
    <n v="75"/>
    <n v="449"/>
    <d v="2011-07-19T00:00:00"/>
    <s v="High"/>
    <x v="53"/>
    <x v="5"/>
    <x v="0"/>
    <s v="Corporate"/>
    <x v="1"/>
    <x v="2"/>
    <n v="356.7"/>
    <n v="7.38"/>
  </r>
  <r>
    <n v="76"/>
    <n v="450"/>
    <d v="2011-03-04T00:00:00"/>
    <s v="Not Specified"/>
    <x v="54"/>
    <x v="3"/>
    <x v="0"/>
    <s v="Consumer"/>
    <x v="0"/>
    <x v="6"/>
    <n v="1000.78"/>
    <n v="34.58"/>
  </r>
  <r>
    <n v="77"/>
    <n v="450"/>
    <d v="2011-03-04T00:00:00"/>
    <s v="Not Specified"/>
    <x v="54"/>
    <x v="3"/>
    <x v="0"/>
    <s v="Consumer"/>
    <x v="0"/>
    <x v="0"/>
    <n v="543.72"/>
    <n v="15.7"/>
  </r>
  <r>
    <n v="78"/>
    <n v="454"/>
    <d v="2011-12-26T00:00:00"/>
    <s v="Low"/>
    <x v="55"/>
    <x v="27"/>
    <x v="3"/>
    <s v="Small Business"/>
    <x v="0"/>
    <x v="7"/>
    <n v="234.2"/>
    <n v="6.08"/>
  </r>
  <r>
    <n v="79"/>
    <n v="481"/>
    <d v="2012-10-07T00:00:00"/>
    <s v="High"/>
    <x v="56"/>
    <x v="28"/>
    <x v="1"/>
    <s v="Home Office"/>
    <x v="2"/>
    <x v="4"/>
    <n v="4509.3774999999996"/>
    <n v="115.99"/>
  </r>
  <r>
    <n v="80"/>
    <n v="483"/>
    <d v="2011-07-10T00:00:00"/>
    <s v="High"/>
    <x v="57"/>
    <x v="0"/>
    <x v="0"/>
    <s v="Corporate"/>
    <x v="2"/>
    <x v="4"/>
    <n v="4965.7594999999992"/>
    <n v="195.99"/>
  </r>
  <r>
    <n v="81"/>
    <n v="487"/>
    <d v="2012-08-17T00:00:00"/>
    <s v="Critical"/>
    <x v="58"/>
    <x v="15"/>
    <x v="2"/>
    <s v="Corporate"/>
    <x v="0"/>
    <x v="13"/>
    <n v="210.4"/>
    <n v="10.89"/>
  </r>
  <r>
    <n v="82"/>
    <n v="512"/>
    <d v="2011-05-19T00:00:00"/>
    <s v="Low"/>
    <x v="59"/>
    <x v="18"/>
    <x v="2"/>
    <s v="Home Office"/>
    <x v="1"/>
    <x v="15"/>
    <n v="1309.53"/>
    <n v="218.08"/>
  </r>
  <r>
    <n v="83"/>
    <n v="512"/>
    <d v="2011-05-19T00:00:00"/>
    <s v="Low"/>
    <x v="59"/>
    <x v="18"/>
    <x v="2"/>
    <s v="Home Office"/>
    <x v="0"/>
    <x v="0"/>
    <n v="806.37"/>
    <n v="15.42"/>
  </r>
  <r>
    <n v="84"/>
    <n v="513"/>
    <d v="2011-04-30T00:00:00"/>
    <s v="High"/>
    <x v="13"/>
    <x v="26"/>
    <x v="3"/>
    <s v="Home Office"/>
    <x v="1"/>
    <x v="15"/>
    <n v="5437.92"/>
    <n v="150.88999999999999"/>
  </r>
  <r>
    <n v="85"/>
    <n v="515"/>
    <d v="2010-08-28T00:00:00"/>
    <s v="Not Specified"/>
    <x v="60"/>
    <x v="0"/>
    <x v="0"/>
    <s v="Consumer"/>
    <x v="0"/>
    <x v="13"/>
    <n v="394.27"/>
    <n v="21.78"/>
  </r>
  <r>
    <n v="86"/>
    <n v="515"/>
    <d v="2010-08-28T00:00:00"/>
    <s v="Not Specified"/>
    <x v="61"/>
    <x v="0"/>
    <x v="0"/>
    <s v="Consumer"/>
    <x v="1"/>
    <x v="2"/>
    <n v="146.69"/>
    <n v="6.64"/>
  </r>
  <r>
    <n v="87"/>
    <n v="548"/>
    <d v="2009-09-20T00:00:00"/>
    <s v="Critical"/>
    <x v="62"/>
    <x v="29"/>
    <x v="2"/>
    <s v="Home Office"/>
    <x v="0"/>
    <x v="8"/>
    <n v="129.49"/>
    <n v="3.08"/>
  </r>
  <r>
    <n v="88"/>
    <n v="548"/>
    <d v="2009-09-20T00:00:00"/>
    <s v="Critical"/>
    <x v="62"/>
    <x v="29"/>
    <x v="2"/>
    <s v="Home Office"/>
    <x v="0"/>
    <x v="9"/>
    <n v="202.95"/>
    <n v="6.48"/>
  </r>
  <r>
    <n v="89"/>
    <n v="548"/>
    <d v="2009-09-20T00:00:00"/>
    <s v="Critical"/>
    <x v="62"/>
    <x v="29"/>
    <x v="2"/>
    <s v="Home Office"/>
    <x v="2"/>
    <x v="4"/>
    <n v="2753.1925000000001"/>
    <n v="125.99"/>
  </r>
  <r>
    <n v="90"/>
    <n v="549"/>
    <d v="2012-07-12T00:00:00"/>
    <s v="Critical"/>
    <x v="63"/>
    <x v="27"/>
    <x v="3"/>
    <s v="Consumer"/>
    <x v="0"/>
    <x v="9"/>
    <n v="70.239999999999995"/>
    <n v="4.9800000000000004"/>
  </r>
  <r>
    <n v="91"/>
    <n v="549"/>
    <d v="2012-07-12T00:00:00"/>
    <s v="Critical"/>
    <x v="63"/>
    <x v="27"/>
    <x v="3"/>
    <s v="Consumer"/>
    <x v="0"/>
    <x v="9"/>
    <n v="40.75"/>
    <n v="6.48"/>
  </r>
  <r>
    <n v="92"/>
    <n v="549"/>
    <d v="2012-07-12T00:00:00"/>
    <s v="Critical"/>
    <x v="63"/>
    <x v="27"/>
    <x v="3"/>
    <s v="Consumer"/>
    <x v="0"/>
    <x v="0"/>
    <n v="1150.8800000000001"/>
    <n v="38.94"/>
  </r>
  <r>
    <n v="93"/>
    <n v="610"/>
    <d v="2011-08-01T00:00:00"/>
    <s v="Critical"/>
    <x v="64"/>
    <x v="8"/>
    <x v="2"/>
    <s v="Home Office"/>
    <x v="0"/>
    <x v="9"/>
    <n v="283.64999999999998"/>
    <n v="6.68"/>
  </r>
  <r>
    <n v="94"/>
    <n v="611"/>
    <d v="2010-01-26T00:00:00"/>
    <s v="Critical"/>
    <x v="13"/>
    <x v="26"/>
    <x v="3"/>
    <s v="Home Office"/>
    <x v="0"/>
    <x v="0"/>
    <n v="840.04"/>
    <n v="17.7"/>
  </r>
  <r>
    <n v="95"/>
    <n v="612"/>
    <d v="2012-10-20T00:00:00"/>
    <s v="Medium"/>
    <x v="65"/>
    <x v="8"/>
    <x v="2"/>
    <s v="Corporate"/>
    <x v="0"/>
    <x v="9"/>
    <n v="262.87"/>
    <n v="5.28"/>
  </r>
  <r>
    <n v="96"/>
    <n v="612"/>
    <d v="2012-10-20T00:00:00"/>
    <s v="Medium"/>
    <x v="65"/>
    <x v="8"/>
    <x v="2"/>
    <s v="Corporate"/>
    <x v="2"/>
    <x v="4"/>
    <n v="2531.0875000000001"/>
    <n v="65.989999999999995"/>
  </r>
  <r>
    <n v="97"/>
    <n v="613"/>
    <d v="2011-06-17T00:00:00"/>
    <s v="High"/>
    <x v="66"/>
    <x v="0"/>
    <x v="0"/>
    <s v="Corporate"/>
    <x v="0"/>
    <x v="12"/>
    <n v="93.54"/>
    <n v="7.3"/>
  </r>
  <r>
    <n v="98"/>
    <n v="613"/>
    <d v="2011-06-17T00:00:00"/>
    <s v="High"/>
    <x v="66"/>
    <x v="0"/>
    <x v="0"/>
    <s v="Corporate"/>
    <x v="0"/>
    <x v="0"/>
    <n v="905.08"/>
    <n v="42.76"/>
  </r>
  <r>
    <n v="99"/>
    <n v="614"/>
    <d v="2012-11-30T00:00:00"/>
    <s v="High"/>
    <x v="67"/>
    <x v="23"/>
    <x v="3"/>
    <s v="Corporate"/>
    <x v="1"/>
    <x v="2"/>
    <n v="628.22"/>
    <n v="14.34"/>
  </r>
  <r>
    <n v="100"/>
    <n v="614"/>
    <d v="2012-11-30T00:00:00"/>
    <s v="High"/>
    <x v="67"/>
    <x v="23"/>
    <x v="3"/>
    <s v="Corporate"/>
    <x v="1"/>
    <x v="3"/>
    <n v="3366.1"/>
    <n v="138.75"/>
  </r>
  <r>
    <n v="101"/>
    <n v="640"/>
    <d v="2010-01-22T00:00:00"/>
    <s v="High"/>
    <x v="68"/>
    <x v="5"/>
    <x v="0"/>
    <s v="Consumer"/>
    <x v="1"/>
    <x v="11"/>
    <n v="4913.6899999999996"/>
    <n v="120.98"/>
  </r>
  <r>
    <n v="102"/>
    <n v="640"/>
    <d v="2010-01-22T00:00:00"/>
    <s v="High"/>
    <x v="68"/>
    <x v="5"/>
    <x v="0"/>
    <s v="Consumer"/>
    <x v="0"/>
    <x v="9"/>
    <n v="464.77"/>
    <n v="18.97"/>
  </r>
  <r>
    <n v="103"/>
    <n v="643"/>
    <d v="2011-03-24T00:00:00"/>
    <s v="High"/>
    <x v="69"/>
    <x v="0"/>
    <x v="0"/>
    <s v="Corporate"/>
    <x v="0"/>
    <x v="0"/>
    <n v="2781.82"/>
    <n v="138.13999999999999"/>
  </r>
  <r>
    <n v="104"/>
    <n v="644"/>
    <d v="2012-04-30T00:00:00"/>
    <s v="Critical"/>
    <x v="29"/>
    <x v="7"/>
    <x v="3"/>
    <s v="Corporate"/>
    <x v="1"/>
    <x v="15"/>
    <n v="1679.58"/>
    <n v="320.98"/>
  </r>
  <r>
    <n v="105"/>
    <n v="645"/>
    <d v="2009-12-02T00:00:00"/>
    <s v="High"/>
    <x v="70"/>
    <x v="30"/>
    <x v="0"/>
    <s v="Consumer"/>
    <x v="0"/>
    <x v="12"/>
    <n v="557.85"/>
    <n v="12.95"/>
  </r>
  <r>
    <n v="106"/>
    <n v="646"/>
    <d v="2009-11-21T00:00:00"/>
    <s v="High"/>
    <x v="71"/>
    <x v="5"/>
    <x v="0"/>
    <s v="Small Business"/>
    <x v="0"/>
    <x v="1"/>
    <n v="173.2"/>
    <n v="9.31"/>
  </r>
  <r>
    <n v="107"/>
    <n v="678"/>
    <d v="2010-02-26T00:00:00"/>
    <s v="Low"/>
    <x v="72"/>
    <x v="0"/>
    <x v="0"/>
    <s v="Home Office"/>
    <x v="0"/>
    <x v="9"/>
    <n v="228.41"/>
    <n v="4.9800000000000004"/>
  </r>
  <r>
    <n v="108"/>
    <n v="706"/>
    <d v="2011-09-08T00:00:00"/>
    <s v="Critical"/>
    <x v="73"/>
    <x v="17"/>
    <x v="0"/>
    <s v="Consumer"/>
    <x v="0"/>
    <x v="6"/>
    <n v="75.14"/>
    <n v="1.76"/>
  </r>
  <r>
    <n v="109"/>
    <n v="710"/>
    <d v="2010-01-01T00:00:00"/>
    <s v="Low"/>
    <x v="74"/>
    <x v="15"/>
    <x v="2"/>
    <s v="Corporate"/>
    <x v="0"/>
    <x v="12"/>
    <n v="161.77000000000001"/>
    <n v="3.58"/>
  </r>
  <r>
    <n v="110"/>
    <n v="710"/>
    <d v="2010-01-01T00:00:00"/>
    <s v="Low"/>
    <x v="74"/>
    <x v="15"/>
    <x v="2"/>
    <s v="Corporate"/>
    <x v="1"/>
    <x v="2"/>
    <n v="447.09"/>
    <n v="41.32"/>
  </r>
  <r>
    <n v="111"/>
    <n v="710"/>
    <d v="2010-01-01T00:00:00"/>
    <s v="Low"/>
    <x v="74"/>
    <x v="15"/>
    <x v="2"/>
    <s v="Corporate"/>
    <x v="2"/>
    <x v="10"/>
    <n v="4192.88"/>
    <n v="145.44999999999999"/>
  </r>
  <r>
    <n v="112"/>
    <n v="738"/>
    <d v="2010-03-01T00:00:00"/>
    <s v="Not Specified"/>
    <x v="75"/>
    <x v="7"/>
    <x v="3"/>
    <s v="Corporate"/>
    <x v="0"/>
    <x v="13"/>
    <n v="560.51"/>
    <n v="80.98"/>
  </r>
  <r>
    <n v="113"/>
    <n v="738"/>
    <d v="2010-03-01T00:00:00"/>
    <s v="Not Specified"/>
    <x v="75"/>
    <x v="7"/>
    <x v="3"/>
    <s v="Corporate"/>
    <x v="0"/>
    <x v="9"/>
    <n v="189.95"/>
    <n v="6.48"/>
  </r>
  <r>
    <n v="114"/>
    <n v="740"/>
    <d v="2011-07-15T00:00:00"/>
    <s v="Medium"/>
    <x v="76"/>
    <x v="14"/>
    <x v="0"/>
    <s v="Corporate"/>
    <x v="0"/>
    <x v="8"/>
    <n v="28.01"/>
    <n v="4.9800000000000004"/>
  </r>
  <r>
    <n v="115"/>
    <n v="769"/>
    <d v="2010-06-01T00:00:00"/>
    <s v="Medium"/>
    <x v="77"/>
    <x v="30"/>
    <x v="0"/>
    <s v="Consumer"/>
    <x v="2"/>
    <x v="10"/>
    <n v="4261.9399999999996"/>
    <n v="115.99"/>
  </r>
  <r>
    <n v="116"/>
    <n v="771"/>
    <d v="2011-06-16T00:00:00"/>
    <s v="Critical"/>
    <x v="78"/>
    <x v="29"/>
    <x v="2"/>
    <s v="Home Office"/>
    <x v="0"/>
    <x v="9"/>
    <n v="88.84"/>
    <n v="4.9800000000000004"/>
  </r>
  <r>
    <n v="117"/>
    <n v="772"/>
    <d v="2010-04-16T00:00:00"/>
    <s v="High"/>
    <x v="79"/>
    <x v="7"/>
    <x v="3"/>
    <s v="Consumer"/>
    <x v="0"/>
    <x v="13"/>
    <n v="589.24"/>
    <n v="17.52"/>
  </r>
  <r>
    <n v="118"/>
    <n v="772"/>
    <d v="2010-04-16T00:00:00"/>
    <s v="High"/>
    <x v="79"/>
    <x v="7"/>
    <x v="3"/>
    <s v="Consumer"/>
    <x v="0"/>
    <x v="14"/>
    <n v="233.05"/>
    <n v="9.9"/>
  </r>
  <r>
    <n v="119"/>
    <n v="773"/>
    <d v="2010-09-25T00:00:00"/>
    <s v="Medium"/>
    <x v="80"/>
    <x v="30"/>
    <x v="0"/>
    <s v="Home Office"/>
    <x v="2"/>
    <x v="4"/>
    <n v="2071.3395"/>
    <n v="65.989999999999995"/>
  </r>
  <r>
    <n v="120"/>
    <n v="774"/>
    <d v="2011-12-03T00:00:00"/>
    <s v="Critical"/>
    <x v="5"/>
    <x v="4"/>
    <x v="1"/>
    <s v="Small Business"/>
    <x v="0"/>
    <x v="13"/>
    <n v="126.57"/>
    <n v="4.4800000000000004"/>
  </r>
  <r>
    <n v="121"/>
    <n v="775"/>
    <d v="2011-03-17T00:00:00"/>
    <s v="Critical"/>
    <x v="81"/>
    <x v="31"/>
    <x v="3"/>
    <s v="Small Business"/>
    <x v="0"/>
    <x v="7"/>
    <n v="43.57"/>
    <n v="1.26"/>
  </r>
  <r>
    <n v="122"/>
    <n v="775"/>
    <d v="2011-03-17T00:00:00"/>
    <s v="Critical"/>
    <x v="82"/>
    <x v="31"/>
    <x v="3"/>
    <s v="Small Business"/>
    <x v="0"/>
    <x v="6"/>
    <n v="31.87"/>
    <n v="4.26"/>
  </r>
  <r>
    <n v="123"/>
    <n v="801"/>
    <d v="2012-02-17T00:00:00"/>
    <s v="Critical"/>
    <x v="83"/>
    <x v="15"/>
    <x v="2"/>
    <s v="Corporate"/>
    <x v="0"/>
    <x v="6"/>
    <n v="59.85"/>
    <n v="2.74"/>
  </r>
  <r>
    <n v="124"/>
    <n v="802"/>
    <d v="2011-01-04T00:00:00"/>
    <s v="Critical"/>
    <x v="84"/>
    <x v="26"/>
    <x v="3"/>
    <s v="Corporate"/>
    <x v="0"/>
    <x v="12"/>
    <n v="378.6"/>
    <n v="11.7"/>
  </r>
  <r>
    <n v="125"/>
    <n v="802"/>
    <d v="2011-01-04T00:00:00"/>
    <s v="Critical"/>
    <x v="84"/>
    <x v="26"/>
    <x v="3"/>
    <s v="Corporate"/>
    <x v="2"/>
    <x v="10"/>
    <n v="38.5"/>
    <n v="15.99"/>
  </r>
  <r>
    <n v="126"/>
    <n v="805"/>
    <d v="2011-07-04T00:00:00"/>
    <s v="Not Specified"/>
    <x v="85"/>
    <x v="11"/>
    <x v="2"/>
    <s v="Small Business"/>
    <x v="1"/>
    <x v="2"/>
    <n v="197.56"/>
    <n v="4.97"/>
  </r>
  <r>
    <n v="127"/>
    <n v="807"/>
    <d v="2010-11-23T00:00:00"/>
    <s v="Medium"/>
    <x v="86"/>
    <x v="0"/>
    <x v="0"/>
    <s v="Home Office"/>
    <x v="0"/>
    <x v="9"/>
    <n v="196.85"/>
    <n v="4.28"/>
  </r>
  <r>
    <n v="128"/>
    <n v="807"/>
    <d v="2010-11-23T00:00:00"/>
    <s v="Medium"/>
    <x v="86"/>
    <x v="0"/>
    <x v="0"/>
    <s v="Home Office"/>
    <x v="0"/>
    <x v="7"/>
    <n v="124.56"/>
    <n v="3.95"/>
  </r>
  <r>
    <n v="129"/>
    <n v="832"/>
    <d v="2012-04-18T00:00:00"/>
    <s v="Low"/>
    <x v="87"/>
    <x v="25"/>
    <x v="1"/>
    <s v="Corporate"/>
    <x v="0"/>
    <x v="9"/>
    <n v="53.46"/>
    <n v="6.48"/>
  </r>
  <r>
    <n v="130"/>
    <n v="833"/>
    <d v="2009-02-12T00:00:00"/>
    <s v="Medium"/>
    <x v="88"/>
    <x v="14"/>
    <x v="0"/>
    <s v="Home Office"/>
    <x v="0"/>
    <x v="12"/>
    <n v="19.32"/>
    <n v="12.53"/>
  </r>
  <r>
    <n v="131"/>
    <n v="834"/>
    <d v="2009-05-22T00:00:00"/>
    <s v="Medium"/>
    <x v="89"/>
    <x v="28"/>
    <x v="1"/>
    <s v="Home Office"/>
    <x v="2"/>
    <x v="10"/>
    <n v="1813.04"/>
    <n v="115.99"/>
  </r>
  <r>
    <n v="132"/>
    <n v="835"/>
    <d v="2011-10-07T00:00:00"/>
    <s v="Not Specified"/>
    <x v="90"/>
    <x v="5"/>
    <x v="0"/>
    <s v="Small Business"/>
    <x v="0"/>
    <x v="9"/>
    <n v="125.16"/>
    <n v="6.48"/>
  </r>
  <r>
    <n v="133"/>
    <n v="837"/>
    <d v="2009-06-14T00:00:00"/>
    <s v="Not Specified"/>
    <x v="91"/>
    <x v="32"/>
    <x v="0"/>
    <s v="Corporate"/>
    <x v="0"/>
    <x v="6"/>
    <n v="65.7"/>
    <n v="5.84"/>
  </r>
  <r>
    <n v="134"/>
    <n v="868"/>
    <d v="2012-06-08T00:00:00"/>
    <s v="Not Specified"/>
    <x v="92"/>
    <x v="0"/>
    <x v="0"/>
    <s v="Home Office"/>
    <x v="0"/>
    <x v="13"/>
    <n v="716.84"/>
    <n v="21.78"/>
  </r>
  <r>
    <n v="135"/>
    <n v="868"/>
    <d v="2012-06-08T00:00:00"/>
    <s v="Not Specified"/>
    <x v="92"/>
    <x v="0"/>
    <x v="0"/>
    <s v="Home Office"/>
    <x v="2"/>
    <x v="5"/>
    <n v="1474.33"/>
    <n v="47.98"/>
  </r>
  <r>
    <n v="136"/>
    <n v="870"/>
    <d v="2010-06-19T00:00:00"/>
    <s v="Not Specified"/>
    <x v="58"/>
    <x v="15"/>
    <x v="2"/>
    <s v="Corporate"/>
    <x v="0"/>
    <x v="13"/>
    <n v="1661.04"/>
    <n v="70.97"/>
  </r>
  <r>
    <n v="137"/>
    <n v="871"/>
    <d v="2011-11-14T00:00:00"/>
    <s v="Low"/>
    <x v="93"/>
    <x v="16"/>
    <x v="1"/>
    <s v="Home Office"/>
    <x v="1"/>
    <x v="2"/>
    <n v="104.94"/>
    <n v="6.24"/>
  </r>
  <r>
    <n v="138"/>
    <n v="896"/>
    <d v="2010-03-08T00:00:00"/>
    <s v="Critical"/>
    <x v="94"/>
    <x v="5"/>
    <x v="0"/>
    <s v="Home Office"/>
    <x v="0"/>
    <x v="12"/>
    <n v="1246.52"/>
    <n v="24.92"/>
  </r>
  <r>
    <n v="139"/>
    <n v="898"/>
    <d v="2010-06-02T00:00:00"/>
    <s v="High"/>
    <x v="95"/>
    <x v="23"/>
    <x v="3"/>
    <s v="Consumer"/>
    <x v="2"/>
    <x v="5"/>
    <n v="676.13"/>
    <n v="15.98"/>
  </r>
  <r>
    <n v="140"/>
    <n v="898"/>
    <d v="2010-06-02T00:00:00"/>
    <s v="High"/>
    <x v="95"/>
    <x v="23"/>
    <x v="3"/>
    <s v="Consumer"/>
    <x v="1"/>
    <x v="3"/>
    <n v="7668.55"/>
    <n v="296.18"/>
  </r>
  <r>
    <n v="141"/>
    <n v="900"/>
    <d v="2009-09-30T00:00:00"/>
    <s v="Not Specified"/>
    <x v="96"/>
    <x v="31"/>
    <x v="3"/>
    <s v="Home Office"/>
    <x v="0"/>
    <x v="12"/>
    <n v="1193.6500000000001"/>
    <n v="40.98"/>
  </r>
  <r>
    <n v="142"/>
    <n v="902"/>
    <d v="2009-07-26T00:00:00"/>
    <s v="Not Specified"/>
    <x v="97"/>
    <x v="33"/>
    <x v="0"/>
    <s v="Corporate"/>
    <x v="0"/>
    <x v="13"/>
    <n v="1925.83"/>
    <n v="207.48"/>
  </r>
  <r>
    <n v="143"/>
    <n v="928"/>
    <d v="2011-03-01T00:00:00"/>
    <s v="Low"/>
    <x v="98"/>
    <x v="20"/>
    <x v="0"/>
    <s v="Consumer"/>
    <x v="0"/>
    <x v="13"/>
    <n v="1222.68"/>
    <n v="59.98"/>
  </r>
  <r>
    <n v="144"/>
    <n v="928"/>
    <d v="2011-03-01T00:00:00"/>
    <s v="Low"/>
    <x v="98"/>
    <x v="20"/>
    <x v="0"/>
    <s v="Consumer"/>
    <x v="1"/>
    <x v="2"/>
    <n v="390.2"/>
    <n v="14.58"/>
  </r>
  <r>
    <n v="145"/>
    <n v="929"/>
    <d v="2012-10-01T00:00:00"/>
    <s v="High"/>
    <x v="99"/>
    <x v="16"/>
    <x v="1"/>
    <s v="Corporate"/>
    <x v="2"/>
    <x v="5"/>
    <n v="227.66"/>
    <n v="10.97"/>
  </r>
  <r>
    <n v="146"/>
    <n v="929"/>
    <d v="2012-10-01T00:00:00"/>
    <s v="High"/>
    <x v="99"/>
    <x v="16"/>
    <x v="1"/>
    <s v="Corporate"/>
    <x v="0"/>
    <x v="1"/>
    <n v="84.33"/>
    <n v="2.08"/>
  </r>
  <r>
    <n v="147"/>
    <n v="930"/>
    <d v="2009-12-16T00:00:00"/>
    <s v="Critical"/>
    <x v="100"/>
    <x v="34"/>
    <x v="2"/>
    <s v="Small Business"/>
    <x v="1"/>
    <x v="2"/>
    <n v="922.39"/>
    <n v="41.32"/>
  </r>
  <r>
    <n v="148"/>
    <n v="930"/>
    <d v="2009-12-16T00:00:00"/>
    <s v="Critical"/>
    <x v="100"/>
    <x v="34"/>
    <x v="2"/>
    <s v="Small Business"/>
    <x v="0"/>
    <x v="9"/>
    <n v="79.19"/>
    <n v="6.88"/>
  </r>
  <r>
    <n v="149"/>
    <n v="933"/>
    <d v="2012-08-04T00:00:00"/>
    <s v="Not Specified"/>
    <x v="101"/>
    <x v="0"/>
    <x v="0"/>
    <s v="Small Business"/>
    <x v="0"/>
    <x v="12"/>
    <n v="80.61"/>
    <n v="5.28"/>
  </r>
  <r>
    <n v="150"/>
    <n v="960"/>
    <d v="2009-09-20T00:00:00"/>
    <s v="Medium"/>
    <x v="102"/>
    <x v="26"/>
    <x v="3"/>
    <s v="Consumer"/>
    <x v="1"/>
    <x v="2"/>
    <n v="605.97"/>
    <n v="13.73"/>
  </r>
  <r>
    <n v="151"/>
    <n v="962"/>
    <d v="2009-05-05T00:00:00"/>
    <s v="Low"/>
    <x v="32"/>
    <x v="22"/>
    <x v="0"/>
    <s v="Small Business"/>
    <x v="0"/>
    <x v="12"/>
    <n v="4064.05"/>
    <n v="122.99"/>
  </r>
  <r>
    <n v="152"/>
    <n v="962"/>
    <d v="2009-05-05T00:00:00"/>
    <s v="Low"/>
    <x v="103"/>
    <x v="22"/>
    <x v="0"/>
    <s v="Small Business"/>
    <x v="0"/>
    <x v="13"/>
    <n v="3213.87"/>
    <n v="68.81"/>
  </r>
  <r>
    <n v="153"/>
    <n v="964"/>
    <d v="2011-05-19T00:00:00"/>
    <s v="Medium"/>
    <x v="104"/>
    <x v="19"/>
    <x v="3"/>
    <s v="Corporate"/>
    <x v="0"/>
    <x v="12"/>
    <n v="315.02"/>
    <n v="5.98"/>
  </r>
  <r>
    <n v="154"/>
    <n v="964"/>
    <d v="2011-05-19T00:00:00"/>
    <s v="Medium"/>
    <x v="105"/>
    <x v="31"/>
    <x v="3"/>
    <s v="Corporate"/>
    <x v="0"/>
    <x v="6"/>
    <n v="40.020000000000003"/>
    <n v="9.93"/>
  </r>
  <r>
    <n v="155"/>
    <n v="965"/>
    <d v="2011-05-14T00:00:00"/>
    <s v="Low"/>
    <x v="106"/>
    <x v="26"/>
    <x v="3"/>
    <s v="Corporate"/>
    <x v="1"/>
    <x v="3"/>
    <n v="11230.25"/>
    <n v="280.98"/>
  </r>
  <r>
    <n v="156"/>
    <n v="967"/>
    <d v="2012-06-20T00:00:00"/>
    <s v="Medium"/>
    <x v="107"/>
    <x v="16"/>
    <x v="1"/>
    <s v="Consumer"/>
    <x v="2"/>
    <x v="10"/>
    <n v="90.56"/>
    <n v="13.99"/>
  </r>
  <r>
    <n v="157"/>
    <n v="967"/>
    <d v="2012-06-20T00:00:00"/>
    <s v="Medium"/>
    <x v="107"/>
    <x v="16"/>
    <x v="1"/>
    <s v="Consumer"/>
    <x v="0"/>
    <x v="6"/>
    <n v="1634.9"/>
    <n v="37.74"/>
  </r>
  <r>
    <n v="158"/>
    <n v="967"/>
    <d v="2012-06-20T00:00:00"/>
    <s v="Medium"/>
    <x v="107"/>
    <x v="16"/>
    <x v="1"/>
    <s v="Consumer"/>
    <x v="1"/>
    <x v="3"/>
    <n v="11278.18"/>
    <n v="227.55"/>
  </r>
  <r>
    <n v="159"/>
    <n v="994"/>
    <d v="2009-04-19T00:00:00"/>
    <s v="Low"/>
    <x v="108"/>
    <x v="5"/>
    <x v="0"/>
    <s v="Corporate"/>
    <x v="0"/>
    <x v="7"/>
    <n v="132.07"/>
    <n v="3.58"/>
  </r>
  <r>
    <n v="160"/>
    <n v="995"/>
    <d v="2011-05-30T00:00:00"/>
    <s v="Medium"/>
    <x v="86"/>
    <x v="0"/>
    <x v="0"/>
    <s v="Home Office"/>
    <x v="1"/>
    <x v="2"/>
    <n v="1815.49"/>
    <n v="39.89"/>
  </r>
  <r>
    <n v="161"/>
    <n v="998"/>
    <d v="2009-11-25T00:00:00"/>
    <s v="Not Specified"/>
    <x v="109"/>
    <x v="0"/>
    <x v="0"/>
    <s v="Small Business"/>
    <x v="0"/>
    <x v="14"/>
    <n v="248.26"/>
    <n v="15.74"/>
  </r>
  <r>
    <n v="162"/>
    <n v="999"/>
    <d v="2010-09-04T00:00:00"/>
    <s v="Low"/>
    <x v="110"/>
    <x v="27"/>
    <x v="3"/>
    <s v="Home Office"/>
    <x v="0"/>
    <x v="0"/>
    <n v="583.64"/>
    <n v="95.43"/>
  </r>
  <r>
    <n v="163"/>
    <n v="1027"/>
    <d v="2012-06-02T00:00:00"/>
    <s v="Medium"/>
    <x v="111"/>
    <x v="4"/>
    <x v="1"/>
    <s v="Home Office"/>
    <x v="1"/>
    <x v="11"/>
    <n v="1406.15"/>
    <n v="70.98"/>
  </r>
  <r>
    <n v="164"/>
    <n v="1028"/>
    <d v="2009-01-05T00:00:00"/>
    <s v="High"/>
    <x v="54"/>
    <x v="3"/>
    <x v="0"/>
    <s v="Consumer"/>
    <x v="2"/>
    <x v="5"/>
    <n v="165.75"/>
    <n v="28.48"/>
  </r>
  <r>
    <n v="165"/>
    <n v="1028"/>
    <d v="2009-01-05T00:00:00"/>
    <s v="High"/>
    <x v="54"/>
    <x v="3"/>
    <x v="0"/>
    <s v="Consumer"/>
    <x v="2"/>
    <x v="4"/>
    <n v="2021.1470000000002"/>
    <n v="205.99"/>
  </r>
  <r>
    <n v="166"/>
    <n v="1031"/>
    <d v="2009-08-31T00:00:00"/>
    <s v="Medium"/>
    <x v="95"/>
    <x v="23"/>
    <x v="3"/>
    <s v="Consumer"/>
    <x v="0"/>
    <x v="12"/>
    <n v="226.1"/>
    <n v="6.37"/>
  </r>
  <r>
    <n v="167"/>
    <n v="1057"/>
    <d v="2012-02-19T00:00:00"/>
    <s v="Critical"/>
    <x v="34"/>
    <x v="5"/>
    <x v="0"/>
    <s v="Corporate"/>
    <x v="2"/>
    <x v="5"/>
    <n v="341.36"/>
    <n v="8.4600000000000009"/>
  </r>
  <r>
    <n v="168"/>
    <n v="1058"/>
    <d v="2010-04-25T00:00:00"/>
    <s v="Medium"/>
    <x v="112"/>
    <x v="34"/>
    <x v="2"/>
    <s v="Small Business"/>
    <x v="2"/>
    <x v="4"/>
    <n v="469.43799999999999"/>
    <n v="195.99"/>
  </r>
  <r>
    <n v="169"/>
    <n v="1059"/>
    <d v="2009-02-26T00:00:00"/>
    <s v="Critical"/>
    <x v="91"/>
    <x v="32"/>
    <x v="0"/>
    <s v="Corporate"/>
    <x v="0"/>
    <x v="12"/>
    <n v="127.33"/>
    <n v="5.34"/>
  </r>
  <r>
    <n v="170"/>
    <n v="1059"/>
    <d v="2009-02-26T00:00:00"/>
    <s v="Critical"/>
    <x v="91"/>
    <x v="32"/>
    <x v="0"/>
    <s v="Corporate"/>
    <x v="0"/>
    <x v="12"/>
    <n v="990.1"/>
    <n v="40.98"/>
  </r>
  <r>
    <n v="171"/>
    <n v="1060"/>
    <d v="2010-02-20T00:00:00"/>
    <s v="Medium"/>
    <x v="113"/>
    <x v="4"/>
    <x v="1"/>
    <s v="Corporate"/>
    <x v="0"/>
    <x v="12"/>
    <n v="1187.55"/>
    <n v="37.700000000000003"/>
  </r>
  <r>
    <n v="172"/>
    <n v="1088"/>
    <d v="2012-05-20T00:00:00"/>
    <s v="Low"/>
    <x v="114"/>
    <x v="34"/>
    <x v="2"/>
    <s v="Consumer"/>
    <x v="2"/>
    <x v="5"/>
    <n v="269.02"/>
    <n v="20.97"/>
  </r>
  <r>
    <n v="173"/>
    <n v="1095"/>
    <d v="2011-08-21T00:00:00"/>
    <s v="Medium"/>
    <x v="115"/>
    <x v="9"/>
    <x v="1"/>
    <s v="Consumer"/>
    <x v="0"/>
    <x v="9"/>
    <n v="142.18"/>
    <n v="4.9800000000000004"/>
  </r>
  <r>
    <n v="174"/>
    <n v="1127"/>
    <d v="2011-09-18T00:00:00"/>
    <s v="Not Specified"/>
    <x v="50"/>
    <x v="26"/>
    <x v="3"/>
    <s v="Consumer"/>
    <x v="1"/>
    <x v="2"/>
    <n v="5340.5"/>
    <n v="110.98"/>
  </r>
  <r>
    <n v="175"/>
    <n v="1154"/>
    <d v="2012-02-14T00:00:00"/>
    <s v="Critical"/>
    <x v="116"/>
    <x v="0"/>
    <x v="0"/>
    <s v="Home Office"/>
    <x v="1"/>
    <x v="11"/>
    <n v="4462.2299999999996"/>
    <n v="100.98"/>
  </r>
  <r>
    <n v="176"/>
    <n v="1154"/>
    <d v="2012-02-14T00:00:00"/>
    <s v="Critical"/>
    <x v="116"/>
    <x v="0"/>
    <x v="0"/>
    <s v="Home Office"/>
    <x v="1"/>
    <x v="3"/>
    <n v="663.78400000000011"/>
    <n v="71.37"/>
  </r>
  <r>
    <n v="177"/>
    <n v="1154"/>
    <d v="2012-02-14T00:00:00"/>
    <s v="Critical"/>
    <x v="117"/>
    <x v="19"/>
    <x v="3"/>
    <s v="Home Office"/>
    <x v="0"/>
    <x v="8"/>
    <n v="115.1"/>
    <n v="4.91"/>
  </r>
  <r>
    <n v="178"/>
    <n v="1154"/>
    <d v="2012-02-14T00:00:00"/>
    <s v="Critical"/>
    <x v="118"/>
    <x v="35"/>
    <x v="3"/>
    <s v="Home Office"/>
    <x v="0"/>
    <x v="13"/>
    <n v="516.65"/>
    <n v="70.97"/>
  </r>
  <r>
    <n v="179"/>
    <n v="1185"/>
    <d v="2012-08-23T00:00:00"/>
    <s v="Low"/>
    <x v="119"/>
    <x v="36"/>
    <x v="2"/>
    <s v="Home Office"/>
    <x v="0"/>
    <x v="9"/>
    <n v="374.78"/>
    <n v="55.48"/>
  </r>
  <r>
    <n v="180"/>
    <n v="1187"/>
    <d v="2012-11-19T00:00:00"/>
    <s v="Medium"/>
    <x v="120"/>
    <x v="30"/>
    <x v="0"/>
    <s v="Corporate"/>
    <x v="2"/>
    <x v="5"/>
    <n v="222.91"/>
    <n v="15.98"/>
  </r>
  <r>
    <n v="181"/>
    <n v="1189"/>
    <d v="2009-04-08T00:00:00"/>
    <s v="Critical"/>
    <x v="121"/>
    <x v="7"/>
    <x v="3"/>
    <s v="Small Business"/>
    <x v="0"/>
    <x v="14"/>
    <n v="129.1"/>
    <n v="4.42"/>
  </r>
  <r>
    <n v="182"/>
    <n v="1191"/>
    <d v="2011-11-06T00:00:00"/>
    <s v="Medium"/>
    <x v="122"/>
    <x v="12"/>
    <x v="3"/>
    <s v="Home Office"/>
    <x v="1"/>
    <x v="3"/>
    <n v="3532.96"/>
    <n v="100.8"/>
  </r>
  <r>
    <n v="183"/>
    <n v="1217"/>
    <d v="2012-04-25T00:00:00"/>
    <s v="Not Specified"/>
    <x v="123"/>
    <x v="37"/>
    <x v="2"/>
    <s v="Corporate"/>
    <x v="2"/>
    <x v="5"/>
    <n v="662.16"/>
    <n v="28.48"/>
  </r>
  <r>
    <n v="184"/>
    <n v="1218"/>
    <d v="2009-06-19T00:00:00"/>
    <s v="Not Specified"/>
    <x v="124"/>
    <x v="38"/>
    <x v="0"/>
    <s v="Corporate"/>
    <x v="0"/>
    <x v="13"/>
    <n v="46.46"/>
    <n v="14.42"/>
  </r>
  <r>
    <n v="185"/>
    <n v="1221"/>
    <d v="2012-04-18T00:00:00"/>
    <s v="Not Specified"/>
    <x v="125"/>
    <x v="22"/>
    <x v="0"/>
    <s v="Corporate"/>
    <x v="0"/>
    <x v="12"/>
    <n v="14.68"/>
    <n v="8.6"/>
  </r>
  <r>
    <n v="186"/>
    <n v="1221"/>
    <d v="2012-04-18T00:00:00"/>
    <s v="Not Specified"/>
    <x v="126"/>
    <x v="22"/>
    <x v="0"/>
    <s v="Corporate"/>
    <x v="0"/>
    <x v="12"/>
    <n v="10145.14"/>
    <n v="896.99"/>
  </r>
  <r>
    <n v="187"/>
    <n v="1221"/>
    <d v="2012-04-18T00:00:00"/>
    <s v="Not Specified"/>
    <x v="126"/>
    <x v="22"/>
    <x v="0"/>
    <s v="Corporate"/>
    <x v="0"/>
    <x v="12"/>
    <n v="68.45"/>
    <n v="4.24"/>
  </r>
  <r>
    <n v="188"/>
    <n v="1222"/>
    <d v="2010-02-04T00:00:00"/>
    <s v="Medium"/>
    <x v="127"/>
    <x v="39"/>
    <x v="1"/>
    <s v="Home Office"/>
    <x v="0"/>
    <x v="9"/>
    <n v="257.39"/>
    <n v="5.28"/>
  </r>
  <r>
    <n v="189"/>
    <n v="1253"/>
    <d v="2010-01-25T00:00:00"/>
    <s v="Critical"/>
    <x v="128"/>
    <x v="15"/>
    <x v="2"/>
    <s v="Consumer"/>
    <x v="0"/>
    <x v="0"/>
    <n v="494.34"/>
    <n v="31.98"/>
  </r>
  <r>
    <n v="190"/>
    <n v="1280"/>
    <d v="2010-01-10T00:00:00"/>
    <s v="Low"/>
    <x v="113"/>
    <x v="4"/>
    <x v="1"/>
    <s v="Corporate"/>
    <x v="2"/>
    <x v="5"/>
    <n v="827.27"/>
    <n v="20.97"/>
  </r>
  <r>
    <n v="191"/>
    <n v="1282"/>
    <d v="2012-02-27T00:00:00"/>
    <s v="Not Specified"/>
    <x v="129"/>
    <x v="20"/>
    <x v="0"/>
    <s v="Home Office"/>
    <x v="2"/>
    <x v="5"/>
    <n v="892.38"/>
    <n v="31.78"/>
  </r>
  <r>
    <n v="192"/>
    <n v="1282"/>
    <d v="2012-02-27T00:00:00"/>
    <s v="Not Specified"/>
    <x v="129"/>
    <x v="20"/>
    <x v="0"/>
    <s v="Home Office"/>
    <x v="0"/>
    <x v="6"/>
    <n v="29.41"/>
    <n v="2.78"/>
  </r>
  <r>
    <n v="193"/>
    <n v="1285"/>
    <d v="2012-05-31T00:00:00"/>
    <s v="Critical"/>
    <x v="130"/>
    <x v="17"/>
    <x v="0"/>
    <s v="Corporate"/>
    <x v="1"/>
    <x v="11"/>
    <n v="3874.12"/>
    <n v="130.97999999999999"/>
  </r>
  <r>
    <n v="194"/>
    <n v="1285"/>
    <d v="2012-05-31T00:00:00"/>
    <s v="Critical"/>
    <x v="130"/>
    <x v="17"/>
    <x v="0"/>
    <s v="Corporate"/>
    <x v="1"/>
    <x v="3"/>
    <n v="1452.2160000000001"/>
    <n v="218.75"/>
  </r>
  <r>
    <n v="195"/>
    <n v="1286"/>
    <d v="2010-05-13T00:00:00"/>
    <s v="Not Specified"/>
    <x v="131"/>
    <x v="27"/>
    <x v="3"/>
    <s v="Home Office"/>
    <x v="0"/>
    <x v="12"/>
    <n v="234.37"/>
    <n v="5.18"/>
  </r>
  <r>
    <n v="196"/>
    <n v="1286"/>
    <d v="2010-05-13T00:00:00"/>
    <s v="Not Specified"/>
    <x v="131"/>
    <x v="27"/>
    <x v="3"/>
    <s v="Home Office"/>
    <x v="2"/>
    <x v="4"/>
    <n v="1000.3565000000001"/>
    <n v="85.99"/>
  </r>
  <r>
    <n v="197"/>
    <n v="1287"/>
    <d v="2009-07-04T00:00:00"/>
    <s v="High"/>
    <x v="132"/>
    <x v="18"/>
    <x v="2"/>
    <s v="Corporate"/>
    <x v="1"/>
    <x v="2"/>
    <n v="3908.65"/>
    <n v="105.29"/>
  </r>
  <r>
    <n v="198"/>
    <n v="1313"/>
    <d v="2009-09-12T00:00:00"/>
    <s v="Critical"/>
    <x v="130"/>
    <x v="17"/>
    <x v="0"/>
    <s v="Home Office"/>
    <x v="0"/>
    <x v="9"/>
    <n v="840.07"/>
    <n v="22.84"/>
  </r>
  <r>
    <n v="199"/>
    <n v="1314"/>
    <d v="2009-05-12T00:00:00"/>
    <s v="Medium"/>
    <x v="133"/>
    <x v="3"/>
    <x v="0"/>
    <s v="Corporate"/>
    <x v="0"/>
    <x v="9"/>
    <n v="42.58"/>
    <n v="9.27"/>
  </r>
  <r>
    <n v="200"/>
    <n v="1317"/>
    <d v="2011-05-18T00:00:00"/>
    <s v="High"/>
    <x v="64"/>
    <x v="2"/>
    <x v="2"/>
    <s v="Consumer"/>
    <x v="0"/>
    <x v="12"/>
    <n v="523.41999999999996"/>
    <n v="11.7"/>
  </r>
  <r>
    <n v="201"/>
    <n v="1317"/>
    <d v="2011-05-18T00:00:00"/>
    <s v="High"/>
    <x v="64"/>
    <x v="2"/>
    <x v="2"/>
    <s v="Consumer"/>
    <x v="0"/>
    <x v="9"/>
    <n v="192.54"/>
    <n v="4.9800000000000004"/>
  </r>
  <r>
    <n v="202"/>
    <n v="1317"/>
    <d v="2011-05-18T00:00:00"/>
    <s v="High"/>
    <x v="64"/>
    <x v="2"/>
    <x v="2"/>
    <s v="Consumer"/>
    <x v="0"/>
    <x v="9"/>
    <n v="156.69999999999999"/>
    <n v="5.28"/>
  </r>
  <r>
    <n v="203"/>
    <n v="1344"/>
    <d v="2012-04-15T00:00:00"/>
    <s v="Low"/>
    <x v="134"/>
    <x v="0"/>
    <x v="0"/>
    <s v="Corporate"/>
    <x v="2"/>
    <x v="4"/>
    <n v="834.904"/>
    <n v="65.989999999999995"/>
  </r>
  <r>
    <n v="204"/>
    <n v="1344"/>
    <d v="2012-04-15T00:00:00"/>
    <s v="Low"/>
    <x v="134"/>
    <x v="0"/>
    <x v="0"/>
    <s v="Corporate"/>
    <x v="2"/>
    <x v="4"/>
    <n v="2480.9205000000002"/>
    <n v="155.99"/>
  </r>
  <r>
    <n v="205"/>
    <n v="1345"/>
    <d v="2012-10-27T00:00:00"/>
    <s v="Low"/>
    <x v="135"/>
    <x v="10"/>
    <x v="0"/>
    <s v="Corporate"/>
    <x v="1"/>
    <x v="11"/>
    <n v="2443.85"/>
    <n v="100.98"/>
  </r>
  <r>
    <n v="206"/>
    <n v="1346"/>
    <d v="2012-06-17T00:00:00"/>
    <s v="High"/>
    <x v="136"/>
    <x v="17"/>
    <x v="0"/>
    <s v="Corporate"/>
    <x v="1"/>
    <x v="11"/>
    <n v="4789.8900000000003"/>
    <n v="100.98"/>
  </r>
  <r>
    <n v="207"/>
    <n v="1382"/>
    <d v="2010-08-16T00:00:00"/>
    <s v="Low"/>
    <x v="137"/>
    <x v="35"/>
    <x v="3"/>
    <s v="Home Office"/>
    <x v="2"/>
    <x v="4"/>
    <n v="89.334999999999994"/>
    <n v="20.99"/>
  </r>
  <r>
    <n v="208"/>
    <n v="1382"/>
    <d v="2010-08-16T00:00:00"/>
    <s v="Low"/>
    <x v="138"/>
    <x v="35"/>
    <x v="3"/>
    <s v="Home Office"/>
    <x v="0"/>
    <x v="12"/>
    <n v="158.46"/>
    <n v="3.98"/>
  </r>
  <r>
    <n v="209"/>
    <n v="1382"/>
    <d v="2010-08-16T00:00:00"/>
    <s v="Low"/>
    <x v="139"/>
    <x v="35"/>
    <x v="3"/>
    <s v="Home Office"/>
    <x v="1"/>
    <x v="11"/>
    <n v="7180.83"/>
    <n v="220.98"/>
  </r>
  <r>
    <n v="210"/>
    <n v="1383"/>
    <d v="2010-04-26T00:00:00"/>
    <s v="High"/>
    <x v="140"/>
    <x v="25"/>
    <x v="1"/>
    <s v="Consumer"/>
    <x v="0"/>
    <x v="0"/>
    <n v="17129.97"/>
    <n v="415.88"/>
  </r>
  <r>
    <n v="211"/>
    <n v="1411"/>
    <d v="2009-12-20T00:00:00"/>
    <s v="High"/>
    <x v="138"/>
    <x v="35"/>
    <x v="3"/>
    <s v="Small Business"/>
    <x v="1"/>
    <x v="11"/>
    <n v="5748.2"/>
    <n v="160.97999999999999"/>
  </r>
  <r>
    <n v="212"/>
    <n v="1411"/>
    <d v="2009-12-20T00:00:00"/>
    <s v="High"/>
    <x v="141"/>
    <x v="16"/>
    <x v="1"/>
    <s v="Small Business"/>
    <x v="2"/>
    <x v="4"/>
    <n v="6717.9324999999999"/>
    <n v="175.99"/>
  </r>
  <r>
    <n v="213"/>
    <n v="1412"/>
    <d v="2010-03-12T00:00:00"/>
    <s v="Not Specified"/>
    <x v="61"/>
    <x v="0"/>
    <x v="0"/>
    <s v="Consumer"/>
    <x v="0"/>
    <x v="8"/>
    <n v="59.03"/>
    <n v="3.69"/>
  </r>
  <r>
    <n v="214"/>
    <n v="1412"/>
    <d v="2010-03-12T00:00:00"/>
    <s v="Not Specified"/>
    <x v="61"/>
    <x v="0"/>
    <x v="0"/>
    <s v="Consumer"/>
    <x v="0"/>
    <x v="7"/>
    <n v="97.48"/>
    <n v="4.71"/>
  </r>
  <r>
    <n v="215"/>
    <n v="1414"/>
    <d v="2011-08-15T00:00:00"/>
    <s v="Critical"/>
    <x v="142"/>
    <x v="28"/>
    <x v="1"/>
    <s v="Small Business"/>
    <x v="1"/>
    <x v="3"/>
    <n v="4530.96"/>
    <n v="105.49"/>
  </r>
  <r>
    <n v="216"/>
    <n v="1440"/>
    <d v="2011-08-09T00:00:00"/>
    <s v="Low"/>
    <x v="143"/>
    <x v="8"/>
    <x v="2"/>
    <s v="Small Business"/>
    <x v="1"/>
    <x v="2"/>
    <n v="726.22"/>
    <n v="17.670000000000002"/>
  </r>
  <r>
    <n v="217"/>
    <n v="1444"/>
    <d v="2009-12-05T00:00:00"/>
    <s v="Medium"/>
    <x v="144"/>
    <x v="13"/>
    <x v="3"/>
    <s v="Home Office"/>
    <x v="2"/>
    <x v="16"/>
    <n v="21717.360000000001"/>
    <n v="699.99"/>
  </r>
  <r>
    <n v="218"/>
    <n v="1444"/>
    <d v="2009-12-05T00:00:00"/>
    <s v="Medium"/>
    <x v="145"/>
    <x v="40"/>
    <x v="3"/>
    <s v="Home Office"/>
    <x v="2"/>
    <x v="10"/>
    <n v="15823.27"/>
    <n v="1360.14"/>
  </r>
  <r>
    <n v="219"/>
    <n v="1444"/>
    <d v="2009-12-05T00:00:00"/>
    <s v="Medium"/>
    <x v="146"/>
    <x v="35"/>
    <x v="3"/>
    <s v="Home Office"/>
    <x v="0"/>
    <x v="9"/>
    <n v="21.44"/>
    <n v="6.48"/>
  </r>
  <r>
    <n v="220"/>
    <n v="1444"/>
    <d v="2009-12-05T00:00:00"/>
    <s v="Medium"/>
    <x v="147"/>
    <x v="12"/>
    <x v="3"/>
    <s v="Home Office"/>
    <x v="0"/>
    <x v="0"/>
    <n v="416.4"/>
    <n v="17.149999999999999"/>
  </r>
  <r>
    <n v="221"/>
    <n v="1444"/>
    <d v="2009-12-05T00:00:00"/>
    <s v="Medium"/>
    <x v="148"/>
    <x v="41"/>
    <x v="3"/>
    <s v="Home Office"/>
    <x v="0"/>
    <x v="9"/>
    <n v="772.24"/>
    <n v="30.98"/>
  </r>
  <r>
    <n v="222"/>
    <n v="1445"/>
    <d v="2011-01-09T00:00:00"/>
    <s v="Medium"/>
    <x v="149"/>
    <x v="22"/>
    <x v="0"/>
    <s v="Corporate"/>
    <x v="0"/>
    <x v="12"/>
    <n v="1326.09"/>
    <n v="420.98"/>
  </r>
  <r>
    <n v="223"/>
    <n v="1445"/>
    <d v="2011-01-09T00:00:00"/>
    <s v="Medium"/>
    <x v="149"/>
    <x v="22"/>
    <x v="0"/>
    <s v="Corporate"/>
    <x v="0"/>
    <x v="6"/>
    <n v="339.49"/>
    <n v="11.97"/>
  </r>
  <r>
    <n v="224"/>
    <n v="1447"/>
    <d v="2012-10-14T00:00:00"/>
    <s v="High"/>
    <x v="150"/>
    <x v="23"/>
    <x v="3"/>
    <s v="Consumer"/>
    <x v="2"/>
    <x v="4"/>
    <n v="2135.9734999999996"/>
    <n v="65.989999999999995"/>
  </r>
  <r>
    <n v="225"/>
    <n v="1504"/>
    <d v="2012-08-27T00:00:00"/>
    <s v="Medium"/>
    <x v="151"/>
    <x v="34"/>
    <x v="2"/>
    <s v="Corporate"/>
    <x v="2"/>
    <x v="5"/>
    <n v="293.18"/>
    <n v="10.01"/>
  </r>
  <r>
    <n v="226"/>
    <n v="1507"/>
    <d v="2010-10-13T00:00:00"/>
    <s v="Medium"/>
    <x v="152"/>
    <x v="26"/>
    <x v="3"/>
    <s v="Home Office"/>
    <x v="2"/>
    <x v="5"/>
    <n v="4345.8599999999997"/>
    <n v="152.47999999999999"/>
  </r>
  <r>
    <n v="227"/>
    <n v="1537"/>
    <d v="2012-02-14T00:00:00"/>
    <s v="Not Specified"/>
    <x v="153"/>
    <x v="19"/>
    <x v="3"/>
    <s v="Corporate"/>
    <x v="0"/>
    <x v="12"/>
    <n v="16.600000000000001"/>
    <n v="2.16"/>
  </r>
  <r>
    <n v="228"/>
    <n v="1538"/>
    <d v="2011-06-17T00:00:00"/>
    <s v="Not Specified"/>
    <x v="154"/>
    <x v="5"/>
    <x v="0"/>
    <s v="Corporate"/>
    <x v="2"/>
    <x v="4"/>
    <n v="1297.3040000000001"/>
    <n v="95.99"/>
  </r>
  <r>
    <n v="229"/>
    <n v="1539"/>
    <d v="2011-03-09T00:00:00"/>
    <s v="Low"/>
    <x v="155"/>
    <x v="0"/>
    <x v="0"/>
    <s v="Corporate"/>
    <x v="0"/>
    <x v="12"/>
    <n v="511.83"/>
    <n v="15.99"/>
  </r>
  <r>
    <n v="230"/>
    <n v="1539"/>
    <d v="2011-03-09T00:00:00"/>
    <s v="Low"/>
    <x v="155"/>
    <x v="0"/>
    <x v="0"/>
    <s v="Corporate"/>
    <x v="2"/>
    <x v="5"/>
    <n v="184.99"/>
    <n v="4.8899999999999997"/>
  </r>
  <r>
    <n v="231"/>
    <n v="1540"/>
    <d v="2012-08-04T00:00:00"/>
    <s v="High"/>
    <x v="156"/>
    <x v="0"/>
    <x v="0"/>
    <s v="Home Office"/>
    <x v="0"/>
    <x v="6"/>
    <n v="80.900000000000006"/>
    <n v="2.88"/>
  </r>
  <r>
    <n v="232"/>
    <n v="1542"/>
    <d v="2010-09-14T00:00:00"/>
    <s v="Medium"/>
    <x v="157"/>
    <x v="15"/>
    <x v="2"/>
    <s v="Consumer"/>
    <x v="0"/>
    <x v="13"/>
    <n v="2150.25"/>
    <n v="48.58"/>
  </r>
  <r>
    <n v="233"/>
    <n v="1542"/>
    <d v="2010-09-14T00:00:00"/>
    <s v="Medium"/>
    <x v="158"/>
    <x v="15"/>
    <x v="2"/>
    <s v="Consumer"/>
    <x v="0"/>
    <x v="0"/>
    <n v="448"/>
    <n v="35.51"/>
  </r>
  <r>
    <n v="234"/>
    <n v="1573"/>
    <d v="2012-12-27T00:00:00"/>
    <s v="High"/>
    <x v="159"/>
    <x v="14"/>
    <x v="0"/>
    <s v="Small Business"/>
    <x v="1"/>
    <x v="15"/>
    <n v="759.94"/>
    <n v="60.89"/>
  </r>
  <r>
    <n v="235"/>
    <n v="1575"/>
    <d v="2011-09-12T00:00:00"/>
    <s v="Medium"/>
    <x v="160"/>
    <x v="16"/>
    <x v="1"/>
    <s v="Small Business"/>
    <x v="0"/>
    <x v="9"/>
    <n v="133.65"/>
    <n v="4.9800000000000004"/>
  </r>
  <r>
    <n v="236"/>
    <n v="1575"/>
    <d v="2011-09-12T00:00:00"/>
    <s v="Medium"/>
    <x v="160"/>
    <x v="16"/>
    <x v="1"/>
    <s v="Small Business"/>
    <x v="2"/>
    <x v="4"/>
    <n v="525.67399999999998"/>
    <n v="65.989999999999995"/>
  </r>
  <r>
    <n v="237"/>
    <n v="1600"/>
    <d v="2010-03-02T00:00:00"/>
    <s v="Medium"/>
    <x v="161"/>
    <x v="38"/>
    <x v="0"/>
    <s v="Corporate"/>
    <x v="1"/>
    <x v="2"/>
    <n v="303.58999999999997"/>
    <n v="9.65"/>
  </r>
  <r>
    <n v="238"/>
    <n v="1600"/>
    <d v="2010-03-02T00:00:00"/>
    <s v="Medium"/>
    <x v="161"/>
    <x v="38"/>
    <x v="0"/>
    <s v="Corporate"/>
    <x v="0"/>
    <x v="9"/>
    <n v="191.6"/>
    <n v="4.9800000000000004"/>
  </r>
  <r>
    <n v="239"/>
    <n v="1604"/>
    <d v="2010-07-16T00:00:00"/>
    <s v="Low"/>
    <x v="162"/>
    <x v="2"/>
    <x v="2"/>
    <s v="Consumer"/>
    <x v="1"/>
    <x v="2"/>
    <n v="622.82000000000005"/>
    <n v="12.64"/>
  </r>
  <r>
    <n v="240"/>
    <n v="1637"/>
    <d v="2011-02-07T00:00:00"/>
    <s v="Not Specified"/>
    <x v="163"/>
    <x v="16"/>
    <x v="1"/>
    <s v="Corporate"/>
    <x v="0"/>
    <x v="0"/>
    <n v="1225.52"/>
    <n v="35.479999999999997"/>
  </r>
  <r>
    <n v="241"/>
    <n v="1637"/>
    <d v="2011-02-07T00:00:00"/>
    <s v="Not Specified"/>
    <x v="164"/>
    <x v="16"/>
    <x v="1"/>
    <s v="Corporate"/>
    <x v="2"/>
    <x v="5"/>
    <n v="1024.29"/>
    <n v="99.99"/>
  </r>
  <r>
    <n v="242"/>
    <n v="1637"/>
    <d v="2011-02-07T00:00:00"/>
    <s v="Not Specified"/>
    <x v="164"/>
    <x v="16"/>
    <x v="1"/>
    <s v="Corporate"/>
    <x v="0"/>
    <x v="6"/>
    <n v="1348.57"/>
    <n v="30.98"/>
  </r>
  <r>
    <n v="243"/>
    <n v="1639"/>
    <d v="2011-08-19T00:00:00"/>
    <s v="Not Specified"/>
    <x v="165"/>
    <x v="14"/>
    <x v="0"/>
    <s v="Home Office"/>
    <x v="0"/>
    <x v="9"/>
    <n v="163.13999999999999"/>
    <n v="6.78"/>
  </r>
  <r>
    <n v="244"/>
    <n v="1665"/>
    <d v="2009-05-07T00:00:00"/>
    <s v="High"/>
    <x v="166"/>
    <x v="26"/>
    <x v="3"/>
    <s v="Corporate"/>
    <x v="2"/>
    <x v="4"/>
    <n v="755.60749999999996"/>
    <n v="35.99"/>
  </r>
  <r>
    <n v="245"/>
    <n v="1666"/>
    <d v="2011-10-17T00:00:00"/>
    <s v="Critical"/>
    <x v="70"/>
    <x v="37"/>
    <x v="2"/>
    <s v="Corporate"/>
    <x v="0"/>
    <x v="12"/>
    <n v="5642.18"/>
    <n v="315.98"/>
  </r>
  <r>
    <n v="246"/>
    <n v="1699"/>
    <d v="2010-12-29T00:00:00"/>
    <s v="Critical"/>
    <x v="167"/>
    <x v="17"/>
    <x v="0"/>
    <s v="Corporate"/>
    <x v="0"/>
    <x v="14"/>
    <n v="430.88"/>
    <n v="11.09"/>
  </r>
  <r>
    <n v="247"/>
    <n v="1701"/>
    <d v="2012-05-18T00:00:00"/>
    <s v="High"/>
    <x v="168"/>
    <x v="5"/>
    <x v="0"/>
    <s v="Consumer"/>
    <x v="2"/>
    <x v="5"/>
    <n v="2047.58"/>
    <n v="40.98"/>
  </r>
  <r>
    <n v="248"/>
    <n v="1701"/>
    <d v="2012-05-18T00:00:00"/>
    <s v="High"/>
    <x v="168"/>
    <x v="5"/>
    <x v="0"/>
    <s v="Consumer"/>
    <x v="1"/>
    <x v="2"/>
    <n v="56.61"/>
    <n v="40.97"/>
  </r>
  <r>
    <n v="249"/>
    <n v="1702"/>
    <d v="2011-05-06T00:00:00"/>
    <s v="High"/>
    <x v="169"/>
    <x v="0"/>
    <x v="0"/>
    <s v="Home Office"/>
    <x v="0"/>
    <x v="6"/>
    <n v="67.239999999999995"/>
    <n v="2.84"/>
  </r>
  <r>
    <n v="250"/>
    <n v="1761"/>
    <d v="2010-12-23T00:00:00"/>
    <s v="High"/>
    <x v="60"/>
    <x v="0"/>
    <x v="0"/>
    <s v="Corporate"/>
    <x v="2"/>
    <x v="16"/>
    <n v="12028.23"/>
    <n v="449.99"/>
  </r>
  <r>
    <n v="251"/>
    <n v="1762"/>
    <d v="2009-08-19T00:00:00"/>
    <s v="Not Specified"/>
    <x v="170"/>
    <x v="6"/>
    <x v="1"/>
    <s v="Home Office"/>
    <x v="2"/>
    <x v="5"/>
    <n v="857.11"/>
    <n v="31.78"/>
  </r>
  <r>
    <n v="252"/>
    <n v="1762"/>
    <d v="2009-08-19T00:00:00"/>
    <s v="Not Specified"/>
    <x v="170"/>
    <x v="6"/>
    <x v="1"/>
    <s v="Home Office"/>
    <x v="0"/>
    <x v="14"/>
    <n v="69.599999999999994"/>
    <n v="5.98"/>
  </r>
  <r>
    <n v="253"/>
    <n v="1762"/>
    <d v="2009-08-19T00:00:00"/>
    <s v="Not Specified"/>
    <x v="170"/>
    <x v="6"/>
    <x v="1"/>
    <s v="Home Office"/>
    <x v="2"/>
    <x v="4"/>
    <n v="1279.5050000000001"/>
    <n v="35.99"/>
  </r>
  <r>
    <n v="254"/>
    <n v="1764"/>
    <d v="2012-03-24T00:00:00"/>
    <s v="Critical"/>
    <x v="111"/>
    <x v="4"/>
    <x v="1"/>
    <s v="Small Business"/>
    <x v="0"/>
    <x v="9"/>
    <n v="59.99"/>
    <n v="8.34"/>
  </r>
  <r>
    <n v="255"/>
    <n v="1767"/>
    <d v="2011-03-13T00:00:00"/>
    <s v="High"/>
    <x v="171"/>
    <x v="24"/>
    <x v="1"/>
    <s v="Corporate"/>
    <x v="0"/>
    <x v="7"/>
    <n v="46.34"/>
    <n v="4.71"/>
  </r>
  <r>
    <n v="256"/>
    <n v="1792"/>
    <d v="2010-11-08T00:00:00"/>
    <s v="Low"/>
    <x v="61"/>
    <x v="0"/>
    <x v="0"/>
    <s v="Consumer"/>
    <x v="0"/>
    <x v="0"/>
    <n v="370.48"/>
    <n v="13.48"/>
  </r>
  <r>
    <n v="257"/>
    <n v="1793"/>
    <d v="2012-07-11T00:00:00"/>
    <s v="Not Specified"/>
    <x v="172"/>
    <x v="10"/>
    <x v="0"/>
    <s v="Home Office"/>
    <x v="0"/>
    <x v="12"/>
    <n v="233.43"/>
    <n v="6.28"/>
  </r>
  <r>
    <n v="258"/>
    <n v="1796"/>
    <d v="2012-11-20T00:00:00"/>
    <s v="High"/>
    <x v="173"/>
    <x v="34"/>
    <x v="2"/>
    <s v="Corporate"/>
    <x v="0"/>
    <x v="12"/>
    <n v="183.41"/>
    <n v="4.13"/>
  </r>
  <r>
    <n v="259"/>
    <n v="1799"/>
    <d v="2009-03-06T00:00:00"/>
    <s v="Not Specified"/>
    <x v="174"/>
    <x v="22"/>
    <x v="0"/>
    <s v="Small Business"/>
    <x v="1"/>
    <x v="15"/>
    <n v="1187.1199999999999"/>
    <n v="113.98"/>
  </r>
  <r>
    <n v="260"/>
    <n v="1799"/>
    <d v="2009-03-06T00:00:00"/>
    <s v="Not Specified"/>
    <x v="174"/>
    <x v="22"/>
    <x v="0"/>
    <s v="Small Business"/>
    <x v="0"/>
    <x v="9"/>
    <n v="108.31"/>
    <n v="6.48"/>
  </r>
  <r>
    <n v="261"/>
    <n v="1824"/>
    <d v="2009-05-04T00:00:00"/>
    <s v="Critical"/>
    <x v="175"/>
    <x v="4"/>
    <x v="1"/>
    <s v="Corporate"/>
    <x v="1"/>
    <x v="15"/>
    <n v="10656.26"/>
    <n v="276.2"/>
  </r>
  <r>
    <n v="262"/>
    <n v="1824"/>
    <d v="2009-05-04T00:00:00"/>
    <s v="Critical"/>
    <x v="175"/>
    <x v="4"/>
    <x v="1"/>
    <s v="Corporate"/>
    <x v="1"/>
    <x v="2"/>
    <n v="17.059999999999999"/>
    <n v="6.28"/>
  </r>
  <r>
    <n v="263"/>
    <n v="1825"/>
    <d v="2010-12-04T00:00:00"/>
    <s v="Medium"/>
    <x v="121"/>
    <x v="7"/>
    <x v="3"/>
    <s v="Small Business"/>
    <x v="0"/>
    <x v="6"/>
    <n v="38.26"/>
    <n v="1.76"/>
  </r>
  <r>
    <n v="264"/>
    <n v="1826"/>
    <d v="2012-04-15T00:00:00"/>
    <s v="Not Specified"/>
    <x v="176"/>
    <x v="32"/>
    <x v="0"/>
    <s v="Corporate"/>
    <x v="0"/>
    <x v="9"/>
    <n v="28.32"/>
    <n v="4.9800000000000004"/>
  </r>
  <r>
    <n v="265"/>
    <n v="1829"/>
    <d v="2009-05-07T00:00:00"/>
    <s v="High"/>
    <x v="177"/>
    <x v="37"/>
    <x v="2"/>
    <s v="Small Business"/>
    <x v="0"/>
    <x v="12"/>
    <n v="133.04"/>
    <n v="2.78"/>
  </r>
  <r>
    <n v="266"/>
    <n v="1831"/>
    <d v="2010-12-01T00:00:00"/>
    <s v="Critical"/>
    <x v="178"/>
    <x v="27"/>
    <x v="3"/>
    <s v="Home Office"/>
    <x v="0"/>
    <x v="0"/>
    <n v="12586.19"/>
    <n v="370.98"/>
  </r>
  <r>
    <n v="267"/>
    <n v="1856"/>
    <d v="2012-03-19T00:00:00"/>
    <s v="Not Specified"/>
    <x v="179"/>
    <x v="20"/>
    <x v="0"/>
    <s v="Home Office"/>
    <x v="0"/>
    <x v="13"/>
    <n v="1449.3"/>
    <n v="60.98"/>
  </r>
  <r>
    <n v="268"/>
    <n v="1856"/>
    <d v="2012-03-19T00:00:00"/>
    <s v="Not Specified"/>
    <x v="179"/>
    <x v="20"/>
    <x v="0"/>
    <s v="Home Office"/>
    <x v="2"/>
    <x v="4"/>
    <n v="4374.6864999999998"/>
    <n v="125.99"/>
  </r>
  <r>
    <n v="269"/>
    <n v="1856"/>
    <d v="2012-03-19T00:00:00"/>
    <s v="Not Specified"/>
    <x v="179"/>
    <x v="20"/>
    <x v="0"/>
    <s v="Home Office"/>
    <x v="2"/>
    <x v="4"/>
    <n v="4283.2350000000006"/>
    <n v="125.99"/>
  </r>
  <r>
    <n v="270"/>
    <n v="1857"/>
    <d v="2010-01-12T00:00:00"/>
    <s v="High"/>
    <x v="180"/>
    <x v="1"/>
    <x v="1"/>
    <s v="Consumer"/>
    <x v="0"/>
    <x v="6"/>
    <n v="199.76"/>
    <n v="5.58"/>
  </r>
  <r>
    <n v="271"/>
    <n v="1863"/>
    <d v="2010-09-22T00:00:00"/>
    <s v="Not Specified"/>
    <x v="181"/>
    <x v="24"/>
    <x v="1"/>
    <s v="Small Business"/>
    <x v="1"/>
    <x v="15"/>
    <n v="2415.38"/>
    <n v="95.95"/>
  </r>
  <r>
    <n v="272"/>
    <n v="1888"/>
    <d v="2010-10-30T00:00:00"/>
    <s v="Not Specified"/>
    <x v="182"/>
    <x v="16"/>
    <x v="1"/>
    <s v="Corporate"/>
    <x v="1"/>
    <x v="3"/>
    <n v="1264.46"/>
    <n v="31.76"/>
  </r>
  <r>
    <n v="273"/>
    <n v="1888"/>
    <d v="2010-10-30T00:00:00"/>
    <s v="Not Specified"/>
    <x v="183"/>
    <x v="16"/>
    <x v="1"/>
    <s v="Corporate"/>
    <x v="0"/>
    <x v="12"/>
    <n v="158.25"/>
    <n v="4.57"/>
  </r>
  <r>
    <n v="274"/>
    <n v="1891"/>
    <d v="2009-12-14T00:00:00"/>
    <s v="Low"/>
    <x v="184"/>
    <x v="5"/>
    <x v="0"/>
    <s v="Small Business"/>
    <x v="1"/>
    <x v="2"/>
    <n v="302.36"/>
    <n v="107.53"/>
  </r>
  <r>
    <n v="275"/>
    <n v="1892"/>
    <d v="2009-03-25T00:00:00"/>
    <s v="Low"/>
    <x v="185"/>
    <x v="27"/>
    <x v="3"/>
    <s v="Small Business"/>
    <x v="0"/>
    <x v="12"/>
    <n v="193.63"/>
    <n v="3.98"/>
  </r>
  <r>
    <n v="276"/>
    <n v="1892"/>
    <d v="2009-03-25T00:00:00"/>
    <s v="Low"/>
    <x v="185"/>
    <x v="27"/>
    <x v="3"/>
    <s v="Small Business"/>
    <x v="0"/>
    <x v="9"/>
    <n v="64.290000000000006"/>
    <n v="6.48"/>
  </r>
  <r>
    <n v="277"/>
    <n v="1895"/>
    <d v="2009-05-29T00:00:00"/>
    <s v="Medium"/>
    <x v="132"/>
    <x v="18"/>
    <x v="2"/>
    <s v="Corporate"/>
    <x v="0"/>
    <x v="9"/>
    <n v="41.25"/>
    <n v="6.48"/>
  </r>
  <r>
    <n v="278"/>
    <n v="1921"/>
    <d v="2009-01-17T00:00:00"/>
    <s v="Medium"/>
    <x v="186"/>
    <x v="41"/>
    <x v="3"/>
    <s v="Small Business"/>
    <x v="0"/>
    <x v="13"/>
    <n v="7871.91"/>
    <n v="328.14"/>
  </r>
  <r>
    <n v="279"/>
    <n v="1925"/>
    <d v="2012-03-04T00:00:00"/>
    <s v="Critical"/>
    <x v="187"/>
    <x v="29"/>
    <x v="2"/>
    <s v="Corporate"/>
    <x v="2"/>
    <x v="5"/>
    <n v="909.82"/>
    <n v="22.98"/>
  </r>
  <r>
    <n v="280"/>
    <n v="1925"/>
    <d v="2012-03-04T00:00:00"/>
    <s v="Critical"/>
    <x v="188"/>
    <x v="20"/>
    <x v="0"/>
    <s v="Corporate"/>
    <x v="1"/>
    <x v="15"/>
    <n v="1874.37"/>
    <n v="276.2"/>
  </r>
  <r>
    <n v="281"/>
    <n v="1952"/>
    <d v="2009-03-15T00:00:00"/>
    <s v="High"/>
    <x v="189"/>
    <x v="26"/>
    <x v="3"/>
    <s v="Corporate"/>
    <x v="1"/>
    <x v="3"/>
    <n v="7287.55"/>
    <n v="296.18"/>
  </r>
  <r>
    <n v="282"/>
    <n v="1953"/>
    <d v="2010-11-29T00:00:00"/>
    <s v="Medium"/>
    <x v="190"/>
    <x v="26"/>
    <x v="3"/>
    <s v="Small Business"/>
    <x v="0"/>
    <x v="12"/>
    <n v="137.63999999999999"/>
    <n v="10.91"/>
  </r>
  <r>
    <n v="283"/>
    <n v="1985"/>
    <d v="2009-09-01T00:00:00"/>
    <s v="Not Specified"/>
    <x v="191"/>
    <x v="41"/>
    <x v="3"/>
    <s v="Home Office"/>
    <x v="2"/>
    <x v="10"/>
    <n v="15464.01"/>
    <n v="535.64"/>
  </r>
  <r>
    <n v="284"/>
    <n v="1985"/>
    <d v="2009-09-01T00:00:00"/>
    <s v="Not Specified"/>
    <x v="192"/>
    <x v="12"/>
    <x v="3"/>
    <s v="Home Office"/>
    <x v="0"/>
    <x v="9"/>
    <n v="11.35"/>
    <n v="5.78"/>
  </r>
  <r>
    <n v="285"/>
    <n v="1988"/>
    <d v="2011-10-05T00:00:00"/>
    <s v="Not Specified"/>
    <x v="193"/>
    <x v="12"/>
    <x v="3"/>
    <s v="Corporate"/>
    <x v="0"/>
    <x v="0"/>
    <n v="122.14"/>
    <n v="13.48"/>
  </r>
  <r>
    <n v="286"/>
    <n v="1991"/>
    <d v="2012-09-06T00:00:00"/>
    <s v="Not Specified"/>
    <x v="194"/>
    <x v="27"/>
    <x v="3"/>
    <s v="Corporate"/>
    <x v="1"/>
    <x v="2"/>
    <n v="3491.06"/>
    <n v="136.97999999999999"/>
  </r>
  <r>
    <n v="287"/>
    <n v="1991"/>
    <d v="2012-09-06T00:00:00"/>
    <s v="Not Specified"/>
    <x v="194"/>
    <x v="27"/>
    <x v="3"/>
    <s v="Corporate"/>
    <x v="2"/>
    <x v="10"/>
    <n v="14383.83"/>
    <n v="399.98"/>
  </r>
  <r>
    <n v="288"/>
    <n v="2020"/>
    <d v="2010-06-20T00:00:00"/>
    <s v="Medium"/>
    <x v="195"/>
    <x v="32"/>
    <x v="0"/>
    <s v="Home Office"/>
    <x v="2"/>
    <x v="5"/>
    <n v="213.75"/>
    <n v="5.0199999999999996"/>
  </r>
  <r>
    <n v="289"/>
    <n v="2022"/>
    <d v="2012-03-14T00:00:00"/>
    <s v="Critical"/>
    <x v="196"/>
    <x v="5"/>
    <x v="0"/>
    <s v="Corporate"/>
    <x v="0"/>
    <x v="13"/>
    <n v="186.44"/>
    <n v="3.95"/>
  </r>
  <r>
    <n v="290"/>
    <n v="2023"/>
    <d v="2012-05-05T00:00:00"/>
    <s v="Low"/>
    <x v="197"/>
    <x v="18"/>
    <x v="2"/>
    <s v="Home Office"/>
    <x v="2"/>
    <x v="5"/>
    <n v="294.89"/>
    <n v="73.98"/>
  </r>
  <r>
    <n v="291"/>
    <n v="2023"/>
    <d v="2012-05-05T00:00:00"/>
    <s v="Low"/>
    <x v="197"/>
    <x v="18"/>
    <x v="2"/>
    <s v="Home Office"/>
    <x v="0"/>
    <x v="9"/>
    <n v="246.57"/>
    <n v="4.9800000000000004"/>
  </r>
  <r>
    <n v="292"/>
    <n v="2048"/>
    <d v="2010-11-14T00:00:00"/>
    <s v="Critical"/>
    <x v="173"/>
    <x v="34"/>
    <x v="2"/>
    <s v="Corporate"/>
    <x v="0"/>
    <x v="13"/>
    <n v="3752.61"/>
    <n v="294.62"/>
  </r>
  <r>
    <n v="293"/>
    <n v="2048"/>
    <d v="2010-11-14T00:00:00"/>
    <s v="Critical"/>
    <x v="173"/>
    <x v="34"/>
    <x v="2"/>
    <s v="Corporate"/>
    <x v="0"/>
    <x v="13"/>
    <n v="548.36"/>
    <n v="60.97"/>
  </r>
  <r>
    <n v="294"/>
    <n v="2050"/>
    <d v="2009-06-01T00:00:00"/>
    <s v="Not Specified"/>
    <x v="198"/>
    <x v="34"/>
    <x v="2"/>
    <s v="Consumer"/>
    <x v="0"/>
    <x v="8"/>
    <n v="44.46"/>
    <n v="2.89"/>
  </r>
  <r>
    <n v="295"/>
    <n v="2050"/>
    <d v="2009-06-01T00:00:00"/>
    <s v="Not Specified"/>
    <x v="198"/>
    <x v="34"/>
    <x v="2"/>
    <s v="Consumer"/>
    <x v="0"/>
    <x v="9"/>
    <n v="542.11"/>
    <n v="22.84"/>
  </r>
  <r>
    <n v="296"/>
    <n v="2052"/>
    <d v="2012-04-12T00:00:00"/>
    <s v="High"/>
    <x v="51"/>
    <x v="16"/>
    <x v="1"/>
    <s v="Small Business"/>
    <x v="0"/>
    <x v="12"/>
    <n v="107.93"/>
    <n v="4.13"/>
  </r>
  <r>
    <n v="297"/>
    <n v="2053"/>
    <d v="2011-02-06T00:00:00"/>
    <s v="Critical"/>
    <x v="199"/>
    <x v="14"/>
    <x v="0"/>
    <s v="Consumer"/>
    <x v="1"/>
    <x v="15"/>
    <n v="19342.84"/>
    <n v="500.98"/>
  </r>
  <r>
    <n v="298"/>
    <n v="2053"/>
    <d v="2011-02-06T00:00:00"/>
    <s v="Critical"/>
    <x v="199"/>
    <x v="14"/>
    <x v="0"/>
    <s v="Consumer"/>
    <x v="2"/>
    <x v="4"/>
    <n v="771.78300000000002"/>
    <n v="140.99"/>
  </r>
  <r>
    <n v="299"/>
    <n v="2054"/>
    <d v="2012-06-07T00:00:00"/>
    <s v="Not Specified"/>
    <x v="200"/>
    <x v="34"/>
    <x v="2"/>
    <s v="Consumer"/>
    <x v="0"/>
    <x v="13"/>
    <n v="343.78"/>
    <n v="363.25"/>
  </r>
  <r>
    <n v="300"/>
    <n v="2054"/>
    <d v="2012-06-07T00:00:00"/>
    <s v="Not Specified"/>
    <x v="200"/>
    <x v="34"/>
    <x v="2"/>
    <s v="Consumer"/>
    <x v="1"/>
    <x v="2"/>
    <n v="826.09"/>
    <n v="22.98"/>
  </r>
  <r>
    <n v="301"/>
    <n v="2055"/>
    <d v="2010-09-03T00:00:00"/>
    <s v="Critical"/>
    <x v="201"/>
    <x v="16"/>
    <x v="1"/>
    <s v="Small Business"/>
    <x v="0"/>
    <x v="14"/>
    <n v="66.41"/>
    <n v="8.74"/>
  </r>
  <r>
    <n v="302"/>
    <n v="2084"/>
    <d v="2010-03-16T00:00:00"/>
    <s v="High"/>
    <x v="202"/>
    <x v="13"/>
    <x v="3"/>
    <s v="Corporate"/>
    <x v="0"/>
    <x v="9"/>
    <n v="692.73"/>
    <n v="40.99"/>
  </r>
  <r>
    <n v="303"/>
    <n v="2086"/>
    <d v="2009-10-18T00:00:00"/>
    <s v="Critical"/>
    <x v="187"/>
    <x v="29"/>
    <x v="2"/>
    <s v="Corporate"/>
    <x v="0"/>
    <x v="9"/>
    <n v="1411.58"/>
    <n v="55.98"/>
  </r>
  <r>
    <n v="304"/>
    <n v="2086"/>
    <d v="2009-10-18T00:00:00"/>
    <s v="Critical"/>
    <x v="187"/>
    <x v="29"/>
    <x v="2"/>
    <s v="Corporate"/>
    <x v="2"/>
    <x v="4"/>
    <n v="2115.2419999999997"/>
    <n v="65.989999999999995"/>
  </r>
  <r>
    <n v="305"/>
    <n v="2086"/>
    <d v="2009-10-18T00:00:00"/>
    <s v="Critical"/>
    <x v="203"/>
    <x v="29"/>
    <x v="2"/>
    <s v="Corporate"/>
    <x v="1"/>
    <x v="15"/>
    <n v="1246.68"/>
    <n v="128.24"/>
  </r>
  <r>
    <n v="306"/>
    <n v="2144"/>
    <d v="2009-03-28T00:00:00"/>
    <s v="Medium"/>
    <x v="204"/>
    <x v="2"/>
    <x v="2"/>
    <s v="Corporate"/>
    <x v="2"/>
    <x v="4"/>
    <n v="5945.3675000000003"/>
    <n v="175.99"/>
  </r>
  <r>
    <n v="307"/>
    <n v="2146"/>
    <d v="2012-09-13T00:00:00"/>
    <s v="Not Specified"/>
    <x v="199"/>
    <x v="14"/>
    <x v="0"/>
    <s v="Small Business"/>
    <x v="2"/>
    <x v="4"/>
    <n v="6111.1684999999998"/>
    <n v="175.99"/>
  </r>
  <r>
    <n v="308"/>
    <n v="2146"/>
    <d v="2012-09-13T00:00:00"/>
    <s v="Not Specified"/>
    <x v="205"/>
    <x v="14"/>
    <x v="0"/>
    <s v="Small Business"/>
    <x v="0"/>
    <x v="8"/>
    <n v="113.71"/>
    <n v="2.61"/>
  </r>
  <r>
    <n v="309"/>
    <n v="2147"/>
    <d v="2012-09-05T00:00:00"/>
    <s v="Not Specified"/>
    <x v="206"/>
    <x v="33"/>
    <x v="0"/>
    <s v="Home Office"/>
    <x v="0"/>
    <x v="13"/>
    <n v="605.1"/>
    <n v="40.98"/>
  </r>
  <r>
    <n v="310"/>
    <n v="2149"/>
    <d v="2010-03-12T00:00:00"/>
    <s v="Low"/>
    <x v="207"/>
    <x v="36"/>
    <x v="2"/>
    <s v="Consumer"/>
    <x v="1"/>
    <x v="2"/>
    <n v="43.56"/>
    <n v="9.3800000000000008"/>
  </r>
  <r>
    <n v="311"/>
    <n v="2150"/>
    <d v="2009-06-02T00:00:00"/>
    <s v="Medium"/>
    <x v="208"/>
    <x v="23"/>
    <x v="3"/>
    <s v="Corporate"/>
    <x v="1"/>
    <x v="3"/>
    <n v="3905.75"/>
    <n v="179.29"/>
  </r>
  <r>
    <n v="312"/>
    <n v="2181"/>
    <d v="2011-09-12T00:00:00"/>
    <s v="Medium"/>
    <x v="108"/>
    <x v="5"/>
    <x v="0"/>
    <s v="Home Office"/>
    <x v="0"/>
    <x v="8"/>
    <n v="102.56"/>
    <n v="2.61"/>
  </r>
  <r>
    <n v="313"/>
    <n v="2181"/>
    <d v="2011-09-12T00:00:00"/>
    <s v="Medium"/>
    <x v="209"/>
    <x v="5"/>
    <x v="0"/>
    <s v="Home Office"/>
    <x v="0"/>
    <x v="7"/>
    <n v="15.87"/>
    <n v="3.49"/>
  </r>
  <r>
    <n v="314"/>
    <n v="2208"/>
    <d v="2011-04-30T00:00:00"/>
    <s v="Not Specified"/>
    <x v="210"/>
    <x v="17"/>
    <x v="0"/>
    <s v="Home Office"/>
    <x v="0"/>
    <x v="12"/>
    <n v="82.06"/>
    <n v="11.5"/>
  </r>
  <r>
    <n v="315"/>
    <n v="2208"/>
    <d v="2011-04-30T00:00:00"/>
    <s v="Not Specified"/>
    <x v="210"/>
    <x v="17"/>
    <x v="0"/>
    <s v="Home Office"/>
    <x v="2"/>
    <x v="16"/>
    <n v="23281.05"/>
    <n v="599.99"/>
  </r>
  <r>
    <n v="316"/>
    <n v="2209"/>
    <d v="2012-07-09T00:00:00"/>
    <s v="High"/>
    <x v="211"/>
    <x v="10"/>
    <x v="0"/>
    <s v="Consumer"/>
    <x v="1"/>
    <x v="15"/>
    <n v="9418.73"/>
    <n v="320.98"/>
  </r>
  <r>
    <n v="317"/>
    <n v="2209"/>
    <d v="2012-07-09T00:00:00"/>
    <s v="High"/>
    <x v="211"/>
    <x v="10"/>
    <x v="0"/>
    <s v="Consumer"/>
    <x v="0"/>
    <x v="9"/>
    <n v="5.68"/>
    <n v="4.76"/>
  </r>
  <r>
    <n v="318"/>
    <n v="2209"/>
    <d v="2012-07-09T00:00:00"/>
    <s v="High"/>
    <x v="211"/>
    <x v="10"/>
    <x v="0"/>
    <s v="Consumer"/>
    <x v="0"/>
    <x v="6"/>
    <n v="174.59"/>
    <n v="4.28"/>
  </r>
  <r>
    <n v="319"/>
    <n v="2209"/>
    <d v="2012-07-09T00:00:00"/>
    <s v="High"/>
    <x v="211"/>
    <x v="10"/>
    <x v="0"/>
    <s v="Consumer"/>
    <x v="2"/>
    <x v="4"/>
    <n v="1265.4969999999998"/>
    <n v="125.99"/>
  </r>
  <r>
    <n v="320"/>
    <n v="2211"/>
    <d v="2009-06-29T00:00:00"/>
    <s v="High"/>
    <x v="208"/>
    <x v="23"/>
    <x v="3"/>
    <s v="Home Office"/>
    <x v="2"/>
    <x v="5"/>
    <n v="1651.09"/>
    <n v="73.98"/>
  </r>
  <r>
    <n v="321"/>
    <n v="2211"/>
    <d v="2009-06-29T00:00:00"/>
    <s v="High"/>
    <x v="208"/>
    <x v="23"/>
    <x v="3"/>
    <s v="Home Office"/>
    <x v="0"/>
    <x v="9"/>
    <n v="95.89"/>
    <n v="5.98"/>
  </r>
  <r>
    <n v="322"/>
    <n v="2211"/>
    <d v="2009-06-29T00:00:00"/>
    <s v="High"/>
    <x v="208"/>
    <x v="23"/>
    <x v="3"/>
    <s v="Home Office"/>
    <x v="0"/>
    <x v="6"/>
    <n v="80.38"/>
    <n v="3.57"/>
  </r>
  <r>
    <n v="323"/>
    <n v="2213"/>
    <d v="2010-01-14T00:00:00"/>
    <s v="Not Specified"/>
    <x v="190"/>
    <x v="26"/>
    <x v="3"/>
    <s v="Small Business"/>
    <x v="0"/>
    <x v="9"/>
    <n v="40.31"/>
    <n v="5.78"/>
  </r>
  <r>
    <n v="324"/>
    <n v="2240"/>
    <d v="2012-03-05T00:00:00"/>
    <s v="Not Specified"/>
    <x v="42"/>
    <x v="11"/>
    <x v="2"/>
    <s v="Consumer"/>
    <x v="1"/>
    <x v="2"/>
    <n v="186.02"/>
    <n v="10.64"/>
  </r>
  <r>
    <n v="325"/>
    <n v="2240"/>
    <d v="2012-03-05T00:00:00"/>
    <s v="Not Specified"/>
    <x v="42"/>
    <x v="11"/>
    <x v="2"/>
    <s v="Consumer"/>
    <x v="0"/>
    <x v="6"/>
    <n v="142.44"/>
    <n v="28.15"/>
  </r>
  <r>
    <n v="326"/>
    <n v="2241"/>
    <d v="2010-05-10T00:00:00"/>
    <s v="Critical"/>
    <x v="42"/>
    <x v="11"/>
    <x v="2"/>
    <s v="Consumer"/>
    <x v="0"/>
    <x v="12"/>
    <n v="967.78"/>
    <n v="24.95"/>
  </r>
  <r>
    <n v="327"/>
    <n v="2244"/>
    <d v="2010-01-08T00:00:00"/>
    <s v="Critical"/>
    <x v="212"/>
    <x v="42"/>
    <x v="3"/>
    <s v="Consumer"/>
    <x v="0"/>
    <x v="12"/>
    <n v="88.61"/>
    <n v="3.8"/>
  </r>
  <r>
    <n v="328"/>
    <n v="2247"/>
    <d v="2012-08-01T00:00:00"/>
    <s v="Not Specified"/>
    <x v="213"/>
    <x v="1"/>
    <x v="1"/>
    <s v="Small Business"/>
    <x v="2"/>
    <x v="10"/>
    <n v="21134.71"/>
    <n v="3502.14"/>
  </r>
  <r>
    <n v="329"/>
    <n v="2272"/>
    <d v="2010-04-12T00:00:00"/>
    <s v="High"/>
    <x v="214"/>
    <x v="43"/>
    <x v="3"/>
    <s v="Consumer"/>
    <x v="1"/>
    <x v="3"/>
    <n v="7680.29"/>
    <n v="212.6"/>
  </r>
  <r>
    <n v="330"/>
    <n v="2275"/>
    <d v="2012-10-21T00:00:00"/>
    <s v="Not Specified"/>
    <x v="215"/>
    <x v="0"/>
    <x v="0"/>
    <s v="Small Business"/>
    <x v="0"/>
    <x v="6"/>
    <n v="278"/>
    <n v="6.08"/>
  </r>
  <r>
    <n v="331"/>
    <n v="2277"/>
    <d v="2011-01-01T00:00:00"/>
    <s v="Not Specified"/>
    <x v="156"/>
    <x v="0"/>
    <x v="0"/>
    <s v="Home Office"/>
    <x v="2"/>
    <x v="5"/>
    <n v="66.540000000000006"/>
    <n v="5.98"/>
  </r>
  <r>
    <n v="332"/>
    <n v="2277"/>
    <d v="2011-01-01T00:00:00"/>
    <s v="Not Specified"/>
    <x v="156"/>
    <x v="0"/>
    <x v="0"/>
    <s v="Home Office"/>
    <x v="0"/>
    <x v="9"/>
    <n v="845.32"/>
    <n v="40.99"/>
  </r>
  <r>
    <n v="333"/>
    <n v="2279"/>
    <d v="2010-02-22T00:00:00"/>
    <s v="Medium"/>
    <x v="216"/>
    <x v="3"/>
    <x v="0"/>
    <s v="Corporate"/>
    <x v="1"/>
    <x v="15"/>
    <n v="4577.18"/>
    <n v="90.98"/>
  </r>
  <r>
    <n v="334"/>
    <n v="2279"/>
    <d v="2010-02-22T00:00:00"/>
    <s v="Medium"/>
    <x v="216"/>
    <x v="3"/>
    <x v="0"/>
    <s v="Corporate"/>
    <x v="0"/>
    <x v="0"/>
    <n v="845.9"/>
    <n v="20.98"/>
  </r>
  <r>
    <n v="335"/>
    <n v="2305"/>
    <d v="2010-01-25T00:00:00"/>
    <s v="High"/>
    <x v="217"/>
    <x v="28"/>
    <x v="1"/>
    <s v="Home Office"/>
    <x v="1"/>
    <x v="11"/>
    <n v="3116.47"/>
    <n v="100.98"/>
  </r>
  <r>
    <n v="336"/>
    <n v="2305"/>
    <d v="2010-01-25T00:00:00"/>
    <s v="High"/>
    <x v="217"/>
    <x v="28"/>
    <x v="1"/>
    <s v="Home Office"/>
    <x v="0"/>
    <x v="9"/>
    <n v="12.41"/>
    <n v="6.68"/>
  </r>
  <r>
    <n v="337"/>
    <n v="2305"/>
    <d v="2010-01-25T00:00:00"/>
    <s v="High"/>
    <x v="218"/>
    <x v="12"/>
    <x v="3"/>
    <s v="Home Office"/>
    <x v="0"/>
    <x v="0"/>
    <n v="1382.8"/>
    <n v="120.33"/>
  </r>
  <r>
    <n v="338"/>
    <n v="2306"/>
    <d v="2011-07-25T00:00:00"/>
    <s v="High"/>
    <x v="42"/>
    <x v="33"/>
    <x v="0"/>
    <s v="Corporate"/>
    <x v="0"/>
    <x v="12"/>
    <n v="113.5"/>
    <n v="7.45"/>
  </r>
  <r>
    <n v="339"/>
    <n v="2307"/>
    <d v="2010-06-28T00:00:00"/>
    <s v="Low"/>
    <x v="219"/>
    <x v="23"/>
    <x v="3"/>
    <s v="Corporate"/>
    <x v="0"/>
    <x v="12"/>
    <n v="182.33"/>
    <n v="5.98"/>
  </r>
  <r>
    <n v="340"/>
    <n v="2309"/>
    <d v="2011-09-03T00:00:00"/>
    <s v="Low"/>
    <x v="220"/>
    <x v="16"/>
    <x v="1"/>
    <s v="Consumer"/>
    <x v="0"/>
    <x v="12"/>
    <n v="27.01"/>
    <n v="3.8"/>
  </r>
  <r>
    <n v="341"/>
    <n v="2311"/>
    <d v="2011-05-01T00:00:00"/>
    <s v="High"/>
    <x v="221"/>
    <x v="28"/>
    <x v="1"/>
    <s v="Home Office"/>
    <x v="1"/>
    <x v="2"/>
    <n v="1324.09"/>
    <n v="40.89"/>
  </r>
  <r>
    <n v="342"/>
    <n v="2339"/>
    <d v="2010-12-14T00:00:00"/>
    <s v="Low"/>
    <x v="222"/>
    <x v="30"/>
    <x v="0"/>
    <s v="Small Business"/>
    <x v="0"/>
    <x v="0"/>
    <n v="1634.98"/>
    <n v="140.85"/>
  </r>
  <r>
    <n v="343"/>
    <n v="2341"/>
    <d v="2010-05-29T00:00:00"/>
    <s v="Low"/>
    <x v="223"/>
    <x v="16"/>
    <x v="1"/>
    <s v="Small Business"/>
    <x v="0"/>
    <x v="9"/>
    <n v="157.49"/>
    <n v="5.78"/>
  </r>
  <r>
    <n v="344"/>
    <n v="2368"/>
    <d v="2010-08-19T00:00:00"/>
    <s v="Critical"/>
    <x v="224"/>
    <x v="26"/>
    <x v="3"/>
    <s v="Consumer"/>
    <x v="0"/>
    <x v="13"/>
    <n v="508.73"/>
    <n v="14.81"/>
  </r>
  <r>
    <n v="345"/>
    <n v="2370"/>
    <d v="2009-01-16T00:00:00"/>
    <s v="Critical"/>
    <x v="225"/>
    <x v="23"/>
    <x v="3"/>
    <s v="Consumer"/>
    <x v="1"/>
    <x v="2"/>
    <n v="679.6"/>
    <n v="110.98"/>
  </r>
  <r>
    <n v="346"/>
    <n v="2370"/>
    <d v="2009-01-16T00:00:00"/>
    <s v="Critical"/>
    <x v="225"/>
    <x v="23"/>
    <x v="3"/>
    <s v="Consumer"/>
    <x v="0"/>
    <x v="9"/>
    <n v="257.42"/>
    <n v="8.01"/>
  </r>
  <r>
    <n v="347"/>
    <n v="2373"/>
    <d v="2009-03-11T00:00:00"/>
    <s v="Not Specified"/>
    <x v="124"/>
    <x v="38"/>
    <x v="0"/>
    <s v="Corporate"/>
    <x v="0"/>
    <x v="12"/>
    <n v="317.58999999999997"/>
    <n v="8.6"/>
  </r>
  <r>
    <n v="348"/>
    <n v="2374"/>
    <d v="2010-10-28T00:00:00"/>
    <s v="Not Specified"/>
    <x v="226"/>
    <x v="23"/>
    <x v="3"/>
    <s v="Consumer"/>
    <x v="0"/>
    <x v="12"/>
    <n v="78.17"/>
    <n v="2.84"/>
  </r>
  <r>
    <n v="349"/>
    <n v="2433"/>
    <d v="2009-08-21T00:00:00"/>
    <s v="Not Specified"/>
    <x v="46"/>
    <x v="25"/>
    <x v="1"/>
    <s v="Corporate"/>
    <x v="2"/>
    <x v="10"/>
    <n v="24105.87"/>
    <n v="2036.48"/>
  </r>
  <r>
    <n v="350"/>
    <n v="2436"/>
    <d v="2011-09-10T00:00:00"/>
    <s v="Not Specified"/>
    <x v="227"/>
    <x v="16"/>
    <x v="1"/>
    <s v="Corporate"/>
    <x v="0"/>
    <x v="9"/>
    <n v="330.21"/>
    <n v="22.84"/>
  </r>
  <r>
    <n v="351"/>
    <n v="2438"/>
    <d v="2010-07-14T00:00:00"/>
    <s v="High"/>
    <x v="228"/>
    <x v="28"/>
    <x v="1"/>
    <s v="Corporate"/>
    <x v="0"/>
    <x v="12"/>
    <n v="278.68"/>
    <n v="14.48"/>
  </r>
  <r>
    <n v="352"/>
    <n v="2438"/>
    <d v="2010-07-14T00:00:00"/>
    <s v="High"/>
    <x v="228"/>
    <x v="28"/>
    <x v="1"/>
    <s v="Corporate"/>
    <x v="2"/>
    <x v="4"/>
    <n v="717.46799999999996"/>
    <n v="35.99"/>
  </r>
  <r>
    <n v="353"/>
    <n v="2465"/>
    <d v="2011-06-23T00:00:00"/>
    <s v="Critical"/>
    <x v="216"/>
    <x v="3"/>
    <x v="0"/>
    <s v="Consumer"/>
    <x v="2"/>
    <x v="5"/>
    <n v="1082.45"/>
    <n v="39.479999999999997"/>
  </r>
  <r>
    <n v="354"/>
    <n v="2466"/>
    <d v="2009-03-05T00:00:00"/>
    <s v="Critical"/>
    <x v="229"/>
    <x v="36"/>
    <x v="2"/>
    <s v="Home Office"/>
    <x v="1"/>
    <x v="2"/>
    <n v="2553.84"/>
    <n v="107.53"/>
  </r>
  <r>
    <n v="355"/>
    <n v="2467"/>
    <d v="2011-07-15T00:00:00"/>
    <s v="Not Specified"/>
    <x v="75"/>
    <x v="7"/>
    <x v="3"/>
    <s v="Corporate"/>
    <x v="2"/>
    <x v="10"/>
    <n v="4147.47"/>
    <n v="145.44999999999999"/>
  </r>
  <r>
    <n v="356"/>
    <n v="2497"/>
    <d v="2012-08-26T00:00:00"/>
    <s v="Critical"/>
    <x v="230"/>
    <x v="15"/>
    <x v="2"/>
    <s v="Corporate"/>
    <x v="2"/>
    <x v="4"/>
    <n v="3629.1174999999998"/>
    <n v="205.99"/>
  </r>
  <r>
    <n v="357"/>
    <n v="2500"/>
    <d v="2012-08-14T00:00:00"/>
    <s v="High"/>
    <x v="231"/>
    <x v="16"/>
    <x v="1"/>
    <s v="Small Business"/>
    <x v="0"/>
    <x v="12"/>
    <n v="22.56"/>
    <n v="3.36"/>
  </r>
  <r>
    <n v="358"/>
    <n v="2503"/>
    <d v="2010-06-19T00:00:00"/>
    <s v="Medium"/>
    <x v="20"/>
    <x v="4"/>
    <x v="1"/>
    <s v="Corporate"/>
    <x v="0"/>
    <x v="12"/>
    <n v="91.15"/>
    <n v="4.13"/>
  </r>
  <r>
    <n v="359"/>
    <n v="2503"/>
    <d v="2010-06-19T00:00:00"/>
    <s v="Medium"/>
    <x v="20"/>
    <x v="4"/>
    <x v="1"/>
    <s v="Corporate"/>
    <x v="0"/>
    <x v="8"/>
    <n v="171.48"/>
    <n v="4.13"/>
  </r>
  <r>
    <n v="360"/>
    <n v="2503"/>
    <d v="2010-06-19T00:00:00"/>
    <s v="Medium"/>
    <x v="20"/>
    <x v="4"/>
    <x v="1"/>
    <s v="Corporate"/>
    <x v="2"/>
    <x v="4"/>
    <n v="162.15450000000001"/>
    <n v="20.99"/>
  </r>
  <r>
    <n v="361"/>
    <n v="2530"/>
    <d v="2009-03-20T00:00:00"/>
    <s v="Medium"/>
    <x v="216"/>
    <x v="3"/>
    <x v="0"/>
    <s v="Corporate"/>
    <x v="0"/>
    <x v="8"/>
    <n v="23.46"/>
    <n v="2.61"/>
  </r>
  <r>
    <n v="362"/>
    <n v="2532"/>
    <d v="2011-10-10T00:00:00"/>
    <s v="High"/>
    <x v="232"/>
    <x v="0"/>
    <x v="0"/>
    <s v="Corporate"/>
    <x v="0"/>
    <x v="8"/>
    <n v="282.07"/>
    <n v="7.31"/>
  </r>
  <r>
    <n v="363"/>
    <n v="2532"/>
    <d v="2011-10-10T00:00:00"/>
    <s v="High"/>
    <x v="232"/>
    <x v="0"/>
    <x v="0"/>
    <s v="Corporate"/>
    <x v="2"/>
    <x v="4"/>
    <n v="426.03700000000003"/>
    <n v="20.99"/>
  </r>
  <r>
    <n v="364"/>
    <n v="2535"/>
    <d v="2010-05-24T00:00:00"/>
    <s v="Low"/>
    <x v="233"/>
    <x v="16"/>
    <x v="1"/>
    <s v="Corporate"/>
    <x v="2"/>
    <x v="5"/>
    <n v="82.72"/>
    <n v="14.48"/>
  </r>
  <r>
    <n v="365"/>
    <n v="2560"/>
    <d v="2012-09-04T00:00:00"/>
    <s v="Critical"/>
    <x v="152"/>
    <x v="26"/>
    <x v="3"/>
    <s v="Home Office"/>
    <x v="2"/>
    <x v="5"/>
    <n v="731.22"/>
    <n v="20.97"/>
  </r>
  <r>
    <n v="366"/>
    <n v="2560"/>
    <d v="2012-09-04T00:00:00"/>
    <s v="Critical"/>
    <x v="152"/>
    <x v="26"/>
    <x v="3"/>
    <s v="Home Office"/>
    <x v="0"/>
    <x v="9"/>
    <n v="114.14"/>
    <n v="4.9800000000000004"/>
  </r>
  <r>
    <n v="367"/>
    <n v="2562"/>
    <d v="2012-07-31T00:00:00"/>
    <s v="Critical"/>
    <x v="234"/>
    <x v="9"/>
    <x v="1"/>
    <s v="Consumer"/>
    <x v="2"/>
    <x v="5"/>
    <n v="64.819999999999993"/>
    <n v="2.12"/>
  </r>
  <r>
    <n v="368"/>
    <n v="2562"/>
    <d v="2012-07-31T00:00:00"/>
    <s v="Critical"/>
    <x v="234"/>
    <x v="9"/>
    <x v="1"/>
    <s v="Consumer"/>
    <x v="0"/>
    <x v="9"/>
    <n v="77.599999999999994"/>
    <n v="11.34"/>
  </r>
  <r>
    <n v="369"/>
    <n v="2562"/>
    <d v="2012-07-31T00:00:00"/>
    <s v="Critical"/>
    <x v="234"/>
    <x v="9"/>
    <x v="1"/>
    <s v="Consumer"/>
    <x v="0"/>
    <x v="9"/>
    <n v="821.18"/>
    <n v="48.91"/>
  </r>
  <r>
    <n v="370"/>
    <n v="2563"/>
    <d v="2010-11-18T00:00:00"/>
    <s v="Not Specified"/>
    <x v="235"/>
    <x v="44"/>
    <x v="2"/>
    <s v="Small Business"/>
    <x v="0"/>
    <x v="8"/>
    <n v="31.77"/>
    <n v="2.61"/>
  </r>
  <r>
    <n v="371"/>
    <n v="2563"/>
    <d v="2010-11-18T00:00:00"/>
    <s v="Not Specified"/>
    <x v="235"/>
    <x v="44"/>
    <x v="2"/>
    <s v="Small Business"/>
    <x v="0"/>
    <x v="6"/>
    <n v="208.05"/>
    <n v="5.98"/>
  </r>
  <r>
    <n v="372"/>
    <n v="2593"/>
    <d v="2010-09-03T00:00:00"/>
    <s v="High"/>
    <x v="236"/>
    <x v="18"/>
    <x v="2"/>
    <s v="Corporate"/>
    <x v="0"/>
    <x v="12"/>
    <n v="2004.12"/>
    <n v="420.98"/>
  </r>
  <r>
    <n v="373"/>
    <n v="2593"/>
    <d v="2010-09-03T00:00:00"/>
    <s v="High"/>
    <x v="236"/>
    <x v="18"/>
    <x v="2"/>
    <s v="Corporate"/>
    <x v="1"/>
    <x v="15"/>
    <n v="3841.72"/>
    <n v="243.98"/>
  </r>
  <r>
    <n v="374"/>
    <n v="2595"/>
    <d v="2011-12-13T00:00:00"/>
    <s v="Not Specified"/>
    <x v="237"/>
    <x v="28"/>
    <x v="1"/>
    <s v="Corporate"/>
    <x v="1"/>
    <x v="11"/>
    <n v="11764.25"/>
    <n v="880.98"/>
  </r>
  <r>
    <n v="375"/>
    <n v="2595"/>
    <d v="2011-12-13T00:00:00"/>
    <s v="Not Specified"/>
    <x v="237"/>
    <x v="28"/>
    <x v="1"/>
    <s v="Corporate"/>
    <x v="1"/>
    <x v="2"/>
    <n v="25.17"/>
    <n v="5.47"/>
  </r>
  <r>
    <n v="376"/>
    <n v="2595"/>
    <d v="2011-12-13T00:00:00"/>
    <s v="Not Specified"/>
    <x v="238"/>
    <x v="28"/>
    <x v="1"/>
    <s v="Corporate"/>
    <x v="0"/>
    <x v="9"/>
    <n v="208.47"/>
    <n v="6.48"/>
  </r>
  <r>
    <n v="377"/>
    <n v="2626"/>
    <d v="2011-09-07T00:00:00"/>
    <s v="Not Specified"/>
    <x v="124"/>
    <x v="38"/>
    <x v="0"/>
    <s v="Small Business"/>
    <x v="0"/>
    <x v="8"/>
    <n v="48.37"/>
    <n v="2.88"/>
  </r>
  <r>
    <n v="378"/>
    <n v="2628"/>
    <d v="2010-10-21T00:00:00"/>
    <s v="Low"/>
    <x v="239"/>
    <x v="5"/>
    <x v="0"/>
    <s v="Consumer"/>
    <x v="0"/>
    <x v="1"/>
    <n v="34.590000000000003"/>
    <n v="2.1800000000000002"/>
  </r>
  <r>
    <n v="379"/>
    <n v="2628"/>
    <d v="2010-10-21T00:00:00"/>
    <s v="Low"/>
    <x v="239"/>
    <x v="5"/>
    <x v="0"/>
    <s v="Consumer"/>
    <x v="1"/>
    <x v="3"/>
    <n v="5029.2160000000003"/>
    <n v="218.75"/>
  </r>
  <r>
    <n v="380"/>
    <n v="2630"/>
    <d v="2012-10-23T00:00:00"/>
    <s v="Low"/>
    <x v="240"/>
    <x v="15"/>
    <x v="2"/>
    <s v="Corporate"/>
    <x v="0"/>
    <x v="9"/>
    <n v="146.51"/>
    <n v="4.7300000000000004"/>
  </r>
  <r>
    <n v="381"/>
    <n v="2631"/>
    <d v="2010-09-23T00:00:00"/>
    <s v="Low"/>
    <x v="241"/>
    <x v="0"/>
    <x v="0"/>
    <s v="Corporate"/>
    <x v="2"/>
    <x v="5"/>
    <n v="1078.49"/>
    <n v="40.96"/>
  </r>
  <r>
    <n v="382"/>
    <n v="2656"/>
    <d v="2010-05-03T00:00:00"/>
    <s v="Critical"/>
    <x v="242"/>
    <x v="17"/>
    <x v="0"/>
    <s v="Consumer"/>
    <x v="1"/>
    <x v="3"/>
    <n v="523.11"/>
    <n v="159.31"/>
  </r>
  <r>
    <n v="383"/>
    <n v="2656"/>
    <d v="2010-05-03T00:00:00"/>
    <s v="Critical"/>
    <x v="242"/>
    <x v="17"/>
    <x v="0"/>
    <s v="Consumer"/>
    <x v="2"/>
    <x v="4"/>
    <n v="913.41"/>
    <n v="35.99"/>
  </r>
  <r>
    <n v="384"/>
    <n v="2657"/>
    <d v="2011-10-16T00:00:00"/>
    <s v="High"/>
    <x v="243"/>
    <x v="15"/>
    <x v="2"/>
    <s v="Home Office"/>
    <x v="0"/>
    <x v="13"/>
    <n v="8316.76"/>
    <n v="279.81"/>
  </r>
  <r>
    <n v="385"/>
    <n v="2657"/>
    <d v="2011-10-16T00:00:00"/>
    <s v="High"/>
    <x v="243"/>
    <x v="15"/>
    <x v="2"/>
    <s v="Home Office"/>
    <x v="2"/>
    <x v="4"/>
    <n v="2143.2154999999998"/>
    <n v="65.989999999999995"/>
  </r>
  <r>
    <n v="386"/>
    <n v="2658"/>
    <d v="2011-09-22T00:00:00"/>
    <s v="Medium"/>
    <x v="244"/>
    <x v="16"/>
    <x v="1"/>
    <s v="Small Business"/>
    <x v="0"/>
    <x v="9"/>
    <n v="229.51"/>
    <n v="6.48"/>
  </r>
  <r>
    <n v="387"/>
    <n v="2658"/>
    <d v="2011-09-22T00:00:00"/>
    <s v="Medium"/>
    <x v="244"/>
    <x v="16"/>
    <x v="1"/>
    <s v="Small Business"/>
    <x v="0"/>
    <x v="0"/>
    <n v="473"/>
    <n v="15.42"/>
  </r>
  <r>
    <n v="388"/>
    <n v="2659"/>
    <d v="2010-12-17T00:00:00"/>
    <s v="Not Specified"/>
    <x v="87"/>
    <x v="25"/>
    <x v="1"/>
    <s v="Corporate"/>
    <x v="0"/>
    <x v="9"/>
    <n v="881.65"/>
    <n v="18.97"/>
  </r>
  <r>
    <n v="389"/>
    <n v="2688"/>
    <d v="2012-01-23T00:00:00"/>
    <s v="High"/>
    <x v="83"/>
    <x v="15"/>
    <x v="2"/>
    <s v="Small Business"/>
    <x v="2"/>
    <x v="4"/>
    <n v="2080.0349999999999"/>
    <n v="85.99"/>
  </r>
  <r>
    <n v="390"/>
    <n v="2688"/>
    <d v="2012-01-23T00:00:00"/>
    <s v="High"/>
    <x v="245"/>
    <x v="15"/>
    <x v="2"/>
    <s v="Small Business"/>
    <x v="2"/>
    <x v="5"/>
    <n v="145.41999999999999"/>
    <n v="20.97"/>
  </r>
  <r>
    <n v="391"/>
    <n v="2688"/>
    <d v="2012-01-23T00:00:00"/>
    <s v="High"/>
    <x v="245"/>
    <x v="15"/>
    <x v="2"/>
    <s v="Small Business"/>
    <x v="2"/>
    <x v="4"/>
    <n v="1559.4355"/>
    <n v="155.99"/>
  </r>
  <r>
    <n v="392"/>
    <n v="2691"/>
    <d v="2012-04-29T00:00:00"/>
    <s v="Low"/>
    <x v="154"/>
    <x v="5"/>
    <x v="0"/>
    <s v="Corporate"/>
    <x v="1"/>
    <x v="11"/>
    <n v="3363.14"/>
    <n v="260.98"/>
  </r>
  <r>
    <n v="393"/>
    <n v="2720"/>
    <d v="2010-06-07T00:00:00"/>
    <s v="Critical"/>
    <x v="246"/>
    <x v="22"/>
    <x v="0"/>
    <s v="Small Business"/>
    <x v="2"/>
    <x v="4"/>
    <n v="2051.0160000000001"/>
    <n v="65.989999999999995"/>
  </r>
  <r>
    <n v="394"/>
    <n v="2722"/>
    <d v="2009-04-08T00:00:00"/>
    <s v="Low"/>
    <x v="247"/>
    <x v="31"/>
    <x v="3"/>
    <s v="Consumer"/>
    <x v="2"/>
    <x v="5"/>
    <n v="1895.55"/>
    <n v="40.97"/>
  </r>
  <r>
    <n v="395"/>
    <n v="2725"/>
    <d v="2009-05-20T00:00:00"/>
    <s v="Not Specified"/>
    <x v="160"/>
    <x v="16"/>
    <x v="1"/>
    <s v="Small Business"/>
    <x v="2"/>
    <x v="4"/>
    <n v="2178.431"/>
    <n v="65.989999999999995"/>
  </r>
  <r>
    <n v="396"/>
    <n v="2752"/>
    <d v="2010-11-18T00:00:00"/>
    <s v="High"/>
    <x v="205"/>
    <x v="14"/>
    <x v="0"/>
    <s v="Small Business"/>
    <x v="2"/>
    <x v="5"/>
    <n v="695.47"/>
    <n v="22.98"/>
  </r>
  <r>
    <n v="397"/>
    <n v="2752"/>
    <d v="2010-11-18T00:00:00"/>
    <s v="High"/>
    <x v="205"/>
    <x v="14"/>
    <x v="0"/>
    <s v="Small Business"/>
    <x v="0"/>
    <x v="7"/>
    <n v="152.59"/>
    <n v="3.78"/>
  </r>
  <r>
    <n v="398"/>
    <n v="2752"/>
    <d v="2010-11-18T00:00:00"/>
    <s v="High"/>
    <x v="205"/>
    <x v="14"/>
    <x v="0"/>
    <s v="Small Business"/>
    <x v="0"/>
    <x v="0"/>
    <n v="365.62"/>
    <n v="34.76"/>
  </r>
  <r>
    <n v="399"/>
    <n v="2752"/>
    <d v="2010-11-18T00:00:00"/>
    <s v="High"/>
    <x v="205"/>
    <x v="14"/>
    <x v="0"/>
    <s v="Small Business"/>
    <x v="2"/>
    <x v="4"/>
    <n v="575.56899999999996"/>
    <n v="65.989999999999995"/>
  </r>
  <r>
    <n v="400"/>
    <n v="2754"/>
    <d v="2009-04-02T00:00:00"/>
    <s v="High"/>
    <x v="237"/>
    <x v="26"/>
    <x v="3"/>
    <s v="Home Office"/>
    <x v="0"/>
    <x v="13"/>
    <n v="1427.67"/>
    <n v="90.24"/>
  </r>
  <r>
    <n v="401"/>
    <n v="2754"/>
    <d v="2009-04-02T00:00:00"/>
    <s v="High"/>
    <x v="237"/>
    <x v="26"/>
    <x v="3"/>
    <s v="Home Office"/>
    <x v="0"/>
    <x v="9"/>
    <n v="499.26"/>
    <n v="47.9"/>
  </r>
  <r>
    <n v="402"/>
    <n v="2755"/>
    <d v="2012-02-06T00:00:00"/>
    <s v="Not Specified"/>
    <x v="248"/>
    <x v="26"/>
    <x v="3"/>
    <s v="Corporate"/>
    <x v="0"/>
    <x v="12"/>
    <n v="736.3"/>
    <n v="24.95"/>
  </r>
  <r>
    <n v="403"/>
    <n v="2755"/>
    <d v="2012-02-06T00:00:00"/>
    <s v="Not Specified"/>
    <x v="248"/>
    <x v="26"/>
    <x v="3"/>
    <s v="Corporate"/>
    <x v="0"/>
    <x v="9"/>
    <n v="346.06"/>
    <n v="6.48"/>
  </r>
  <r>
    <n v="404"/>
    <n v="2756"/>
    <d v="2009-04-17T00:00:00"/>
    <s v="Critical"/>
    <x v="249"/>
    <x v="16"/>
    <x v="1"/>
    <s v="Small Business"/>
    <x v="2"/>
    <x v="5"/>
    <n v="1344.88"/>
    <n v="55.94"/>
  </r>
  <r>
    <n v="405"/>
    <n v="2756"/>
    <d v="2009-04-17T00:00:00"/>
    <s v="Critical"/>
    <x v="249"/>
    <x v="16"/>
    <x v="1"/>
    <s v="Small Business"/>
    <x v="0"/>
    <x v="8"/>
    <n v="248.54"/>
    <n v="6.3"/>
  </r>
  <r>
    <n v="406"/>
    <n v="2757"/>
    <d v="2011-07-19T00:00:00"/>
    <s v="Critical"/>
    <x v="250"/>
    <x v="0"/>
    <x v="0"/>
    <s v="Corporate"/>
    <x v="1"/>
    <x v="15"/>
    <n v="3554.46"/>
    <n v="95.95"/>
  </r>
  <r>
    <n v="407"/>
    <n v="2757"/>
    <d v="2011-07-19T00:00:00"/>
    <s v="High"/>
    <x v="251"/>
    <x v="2"/>
    <x v="2"/>
    <s v="Corporate"/>
    <x v="0"/>
    <x v="1"/>
    <n v="569.32000000000005"/>
    <n v="12.98"/>
  </r>
  <r>
    <n v="408"/>
    <n v="2759"/>
    <d v="2010-11-24T00:00:00"/>
    <s v="Not Specified"/>
    <x v="235"/>
    <x v="44"/>
    <x v="2"/>
    <s v="Small Business"/>
    <x v="2"/>
    <x v="5"/>
    <n v="827.47"/>
    <n v="30.98"/>
  </r>
  <r>
    <n v="409"/>
    <n v="2790"/>
    <d v="2009-08-18T00:00:00"/>
    <s v="High"/>
    <x v="217"/>
    <x v="28"/>
    <x v="1"/>
    <s v="Home Office"/>
    <x v="0"/>
    <x v="12"/>
    <n v="45.91"/>
    <n v="5.44"/>
  </r>
  <r>
    <n v="410"/>
    <n v="2790"/>
    <d v="2009-08-18T00:00:00"/>
    <s v="High"/>
    <x v="217"/>
    <x v="28"/>
    <x v="1"/>
    <s v="Home Office"/>
    <x v="2"/>
    <x v="16"/>
    <n v="22319.58"/>
    <n v="549.99"/>
  </r>
  <r>
    <n v="411"/>
    <n v="2790"/>
    <d v="2009-08-18T00:00:00"/>
    <s v="High"/>
    <x v="217"/>
    <x v="28"/>
    <x v="1"/>
    <s v="Home Office"/>
    <x v="0"/>
    <x v="6"/>
    <n v="330.24"/>
    <n v="22.01"/>
  </r>
  <r>
    <n v="412"/>
    <n v="2790"/>
    <d v="2009-08-18T00:00:00"/>
    <s v="High"/>
    <x v="217"/>
    <x v="28"/>
    <x v="1"/>
    <s v="Home Office"/>
    <x v="0"/>
    <x v="0"/>
    <n v="520.65"/>
    <n v="34.76"/>
  </r>
  <r>
    <n v="413"/>
    <n v="2791"/>
    <d v="2009-10-09T00:00:00"/>
    <s v="High"/>
    <x v="252"/>
    <x v="0"/>
    <x v="0"/>
    <s v="Corporate"/>
    <x v="0"/>
    <x v="12"/>
    <n v="191.67"/>
    <n v="3.89"/>
  </r>
  <r>
    <n v="414"/>
    <n v="2791"/>
    <d v="2009-10-09T00:00:00"/>
    <s v="High"/>
    <x v="252"/>
    <x v="0"/>
    <x v="0"/>
    <s v="Corporate"/>
    <x v="1"/>
    <x v="15"/>
    <n v="5586.33"/>
    <n v="120.98"/>
  </r>
  <r>
    <n v="415"/>
    <n v="2791"/>
    <d v="2009-10-09T00:00:00"/>
    <s v="High"/>
    <x v="252"/>
    <x v="0"/>
    <x v="0"/>
    <s v="Corporate"/>
    <x v="0"/>
    <x v="9"/>
    <n v="507.64"/>
    <n v="30.98"/>
  </r>
  <r>
    <n v="416"/>
    <n v="2816"/>
    <d v="2009-09-19T00:00:00"/>
    <s v="High"/>
    <x v="253"/>
    <x v="15"/>
    <x v="2"/>
    <s v="Corporate"/>
    <x v="0"/>
    <x v="6"/>
    <n v="787.56"/>
    <n v="21.98"/>
  </r>
  <r>
    <n v="417"/>
    <n v="2817"/>
    <d v="2009-04-18T00:00:00"/>
    <s v="Medium"/>
    <x v="254"/>
    <x v="21"/>
    <x v="2"/>
    <s v="Home Office"/>
    <x v="2"/>
    <x v="5"/>
    <n v="3830.14"/>
    <n v="300.97000000000003"/>
  </r>
  <r>
    <n v="418"/>
    <n v="2817"/>
    <d v="2009-04-18T00:00:00"/>
    <s v="Medium"/>
    <x v="255"/>
    <x v="21"/>
    <x v="2"/>
    <s v="Home Office"/>
    <x v="1"/>
    <x v="2"/>
    <n v="1559.86"/>
    <n v="39.89"/>
  </r>
  <r>
    <n v="419"/>
    <n v="2818"/>
    <d v="2009-12-11T00:00:00"/>
    <s v="Medium"/>
    <x v="253"/>
    <x v="15"/>
    <x v="2"/>
    <s v="Corporate"/>
    <x v="1"/>
    <x v="2"/>
    <n v="565.91"/>
    <n v="15.68"/>
  </r>
  <r>
    <n v="420"/>
    <n v="2818"/>
    <d v="2009-12-11T00:00:00"/>
    <s v="Medium"/>
    <x v="253"/>
    <x v="15"/>
    <x v="2"/>
    <s v="Corporate"/>
    <x v="1"/>
    <x v="2"/>
    <n v="593.21"/>
    <n v="14.98"/>
  </r>
  <r>
    <n v="421"/>
    <n v="2818"/>
    <d v="2009-12-11T00:00:00"/>
    <s v="Medium"/>
    <x v="253"/>
    <x v="15"/>
    <x v="2"/>
    <s v="Corporate"/>
    <x v="0"/>
    <x v="9"/>
    <n v="89.23"/>
    <n v="38.76"/>
  </r>
  <r>
    <n v="422"/>
    <n v="2823"/>
    <d v="2011-09-08T00:00:00"/>
    <s v="High"/>
    <x v="256"/>
    <x v="33"/>
    <x v="0"/>
    <s v="Home Office"/>
    <x v="2"/>
    <x v="5"/>
    <n v="357.43"/>
    <n v="20.97"/>
  </r>
  <r>
    <n v="423"/>
    <n v="2823"/>
    <d v="2011-09-08T00:00:00"/>
    <s v="High"/>
    <x v="256"/>
    <x v="33"/>
    <x v="0"/>
    <s v="Home Office"/>
    <x v="0"/>
    <x v="0"/>
    <n v="4754.08"/>
    <n v="225.02"/>
  </r>
  <r>
    <n v="424"/>
    <n v="2848"/>
    <d v="2012-03-09T00:00:00"/>
    <s v="Critical"/>
    <x v="129"/>
    <x v="20"/>
    <x v="0"/>
    <s v="Home Office"/>
    <x v="1"/>
    <x v="2"/>
    <n v="1476.39"/>
    <n v="43.31"/>
  </r>
  <r>
    <n v="425"/>
    <n v="2848"/>
    <d v="2012-03-09T00:00:00"/>
    <s v="Critical"/>
    <x v="129"/>
    <x v="20"/>
    <x v="0"/>
    <s v="Home Office"/>
    <x v="2"/>
    <x v="4"/>
    <n v="863.58299999999997"/>
    <n v="125.99"/>
  </r>
  <r>
    <n v="426"/>
    <n v="2852"/>
    <d v="2010-01-15T00:00:00"/>
    <s v="Critical"/>
    <x v="255"/>
    <x v="21"/>
    <x v="2"/>
    <s v="Home Office"/>
    <x v="0"/>
    <x v="9"/>
    <n v="74.87"/>
    <n v="6.48"/>
  </r>
  <r>
    <n v="427"/>
    <n v="2852"/>
    <d v="2010-01-15T00:00:00"/>
    <s v="Critical"/>
    <x v="257"/>
    <x v="21"/>
    <x v="2"/>
    <s v="Home Office"/>
    <x v="2"/>
    <x v="4"/>
    <n v="3931.3179999999998"/>
    <n v="115.99"/>
  </r>
  <r>
    <n v="428"/>
    <n v="2853"/>
    <d v="2009-05-04T00:00:00"/>
    <s v="High"/>
    <x v="258"/>
    <x v="16"/>
    <x v="1"/>
    <s v="Consumer"/>
    <x v="0"/>
    <x v="0"/>
    <n v="4253.6499999999996"/>
    <n v="178.47"/>
  </r>
  <r>
    <n v="429"/>
    <n v="2882"/>
    <d v="2011-08-21T00:00:00"/>
    <s v="High"/>
    <x v="259"/>
    <x v="1"/>
    <x v="1"/>
    <s v="Consumer"/>
    <x v="1"/>
    <x v="15"/>
    <n v="3872.87"/>
    <n v="160.97999999999999"/>
  </r>
  <r>
    <n v="430"/>
    <n v="2882"/>
    <d v="2011-08-21T00:00:00"/>
    <s v="High"/>
    <x v="259"/>
    <x v="1"/>
    <x v="1"/>
    <s v="Consumer"/>
    <x v="2"/>
    <x v="5"/>
    <n v="356.72"/>
    <n v="40.98"/>
  </r>
  <r>
    <n v="431"/>
    <n v="2883"/>
    <d v="2011-01-22T00:00:00"/>
    <s v="Low"/>
    <x v="216"/>
    <x v="3"/>
    <x v="0"/>
    <s v="Consumer"/>
    <x v="0"/>
    <x v="0"/>
    <n v="2154.34"/>
    <n v="64.98"/>
  </r>
  <r>
    <n v="432"/>
    <n v="2885"/>
    <d v="2012-09-18T00:00:00"/>
    <s v="Not Specified"/>
    <x v="222"/>
    <x v="34"/>
    <x v="2"/>
    <s v="Home Office"/>
    <x v="0"/>
    <x v="9"/>
    <n v="197.41"/>
    <n v="6.48"/>
  </r>
  <r>
    <n v="433"/>
    <n v="2885"/>
    <d v="2012-09-18T00:00:00"/>
    <s v="Not Specified"/>
    <x v="222"/>
    <x v="34"/>
    <x v="2"/>
    <s v="Home Office"/>
    <x v="0"/>
    <x v="0"/>
    <n v="712.18"/>
    <n v="15.42"/>
  </r>
  <r>
    <n v="434"/>
    <n v="2912"/>
    <d v="2012-03-11T00:00:00"/>
    <s v="Low"/>
    <x v="6"/>
    <x v="5"/>
    <x v="0"/>
    <s v="Corporate"/>
    <x v="2"/>
    <x v="10"/>
    <n v="16587.13"/>
    <n v="2550.14"/>
  </r>
  <r>
    <n v="435"/>
    <n v="2912"/>
    <d v="2012-03-11T00:00:00"/>
    <s v="Low"/>
    <x v="6"/>
    <x v="5"/>
    <x v="0"/>
    <s v="Corporate"/>
    <x v="0"/>
    <x v="9"/>
    <n v="507.98"/>
    <n v="55.98"/>
  </r>
  <r>
    <n v="436"/>
    <n v="2914"/>
    <d v="2010-03-02T00:00:00"/>
    <s v="Medium"/>
    <x v="107"/>
    <x v="16"/>
    <x v="1"/>
    <s v="Consumer"/>
    <x v="0"/>
    <x v="9"/>
    <n v="62.88"/>
    <n v="18.97"/>
  </r>
  <r>
    <n v="437"/>
    <n v="2915"/>
    <d v="2009-03-30T00:00:00"/>
    <s v="Low"/>
    <x v="260"/>
    <x v="24"/>
    <x v="1"/>
    <s v="Consumer"/>
    <x v="0"/>
    <x v="6"/>
    <n v="231.26"/>
    <n v="5.98"/>
  </r>
  <r>
    <n v="438"/>
    <n v="2915"/>
    <d v="2009-03-30T00:00:00"/>
    <s v="Low"/>
    <x v="261"/>
    <x v="24"/>
    <x v="1"/>
    <s v="Consumer"/>
    <x v="2"/>
    <x v="5"/>
    <n v="987.17"/>
    <n v="39.979999999999997"/>
  </r>
  <r>
    <n v="439"/>
    <n v="2947"/>
    <d v="2011-04-25T00:00:00"/>
    <s v="Critical"/>
    <x v="211"/>
    <x v="10"/>
    <x v="0"/>
    <s v="Consumer"/>
    <x v="0"/>
    <x v="9"/>
    <n v="57.04"/>
    <n v="6.48"/>
  </r>
  <r>
    <n v="440"/>
    <n v="2976"/>
    <d v="2010-12-09T00:00:00"/>
    <s v="Not Specified"/>
    <x v="262"/>
    <x v="0"/>
    <x v="0"/>
    <s v="Consumer"/>
    <x v="1"/>
    <x v="15"/>
    <n v="14223.82"/>
    <n v="500.98"/>
  </r>
  <r>
    <n v="441"/>
    <n v="2978"/>
    <d v="2011-05-02T00:00:00"/>
    <s v="Critical"/>
    <x v="263"/>
    <x v="16"/>
    <x v="1"/>
    <s v="Corporate"/>
    <x v="2"/>
    <x v="4"/>
    <n v="6264.1854999999996"/>
    <n v="205.99"/>
  </r>
  <r>
    <n v="442"/>
    <n v="2978"/>
    <d v="2011-05-02T00:00:00"/>
    <s v="Critical"/>
    <x v="264"/>
    <x v="16"/>
    <x v="1"/>
    <s v="Corporate"/>
    <x v="0"/>
    <x v="14"/>
    <n v="5410.95"/>
    <n v="162.93"/>
  </r>
  <r>
    <n v="443"/>
    <n v="2978"/>
    <d v="2011-05-02T00:00:00"/>
    <s v="Critical"/>
    <x v="265"/>
    <x v="41"/>
    <x v="3"/>
    <s v="Corporate"/>
    <x v="2"/>
    <x v="4"/>
    <n v="4671.1495000000004"/>
    <n v="200.99"/>
  </r>
  <r>
    <n v="444"/>
    <n v="3008"/>
    <d v="2011-11-07T00:00:00"/>
    <s v="Medium"/>
    <x v="266"/>
    <x v="16"/>
    <x v="1"/>
    <s v="Consumer"/>
    <x v="0"/>
    <x v="14"/>
    <n v="6831.72"/>
    <n v="162.93"/>
  </r>
  <r>
    <n v="445"/>
    <n v="3012"/>
    <d v="2010-05-04T00:00:00"/>
    <s v="Critical"/>
    <x v="267"/>
    <x v="2"/>
    <x v="2"/>
    <s v="Corporate"/>
    <x v="0"/>
    <x v="12"/>
    <n v="120.03"/>
    <n v="2.78"/>
  </r>
  <r>
    <n v="446"/>
    <n v="3014"/>
    <d v="2012-10-29T00:00:00"/>
    <s v="Not Specified"/>
    <x v="268"/>
    <x v="7"/>
    <x v="3"/>
    <s v="Consumer"/>
    <x v="0"/>
    <x v="12"/>
    <n v="4002.14"/>
    <n v="304.99"/>
  </r>
  <r>
    <n v="447"/>
    <n v="3040"/>
    <d v="2010-04-11T00:00:00"/>
    <s v="Medium"/>
    <x v="269"/>
    <x v="15"/>
    <x v="2"/>
    <s v="Consumer"/>
    <x v="0"/>
    <x v="9"/>
    <n v="98.39"/>
    <n v="6.48"/>
  </r>
  <r>
    <n v="448"/>
    <n v="3042"/>
    <d v="2009-11-20T00:00:00"/>
    <s v="Medium"/>
    <x v="270"/>
    <x v="16"/>
    <x v="1"/>
    <s v="Consumer"/>
    <x v="0"/>
    <x v="6"/>
    <n v="103.87"/>
    <n v="4.26"/>
  </r>
  <r>
    <n v="449"/>
    <n v="3046"/>
    <d v="2011-11-29T00:00:00"/>
    <s v="High"/>
    <x v="181"/>
    <x v="24"/>
    <x v="1"/>
    <s v="Small Business"/>
    <x v="0"/>
    <x v="12"/>
    <n v="10094.43"/>
    <n v="420.98"/>
  </r>
  <r>
    <n v="450"/>
    <n v="3073"/>
    <d v="2009-01-07T00:00:00"/>
    <s v="Medium"/>
    <x v="271"/>
    <x v="7"/>
    <x v="3"/>
    <s v="Home Office"/>
    <x v="0"/>
    <x v="12"/>
    <n v="10.58"/>
    <n v="1.98"/>
  </r>
  <r>
    <n v="451"/>
    <n v="3073"/>
    <d v="2009-01-07T00:00:00"/>
    <s v="Medium"/>
    <x v="271"/>
    <x v="7"/>
    <x v="3"/>
    <s v="Home Office"/>
    <x v="2"/>
    <x v="16"/>
    <n v="2119.67"/>
    <n v="699.99"/>
  </r>
  <r>
    <n v="452"/>
    <n v="3073"/>
    <d v="2009-01-07T00:00:00"/>
    <s v="Medium"/>
    <x v="271"/>
    <x v="7"/>
    <x v="3"/>
    <s v="Home Office"/>
    <x v="2"/>
    <x v="10"/>
    <n v="45923.76"/>
    <n v="6783.02"/>
  </r>
  <r>
    <n v="453"/>
    <n v="3078"/>
    <d v="2010-02-11T00:00:00"/>
    <s v="High"/>
    <x v="33"/>
    <x v="16"/>
    <x v="1"/>
    <s v="Corporate"/>
    <x v="0"/>
    <x v="6"/>
    <n v="33.86"/>
    <n v="2.88"/>
  </r>
  <r>
    <n v="454"/>
    <n v="3078"/>
    <d v="2010-02-11T00:00:00"/>
    <s v="High"/>
    <x v="272"/>
    <x v="31"/>
    <x v="3"/>
    <s v="Corporate"/>
    <x v="1"/>
    <x v="15"/>
    <n v="316.61"/>
    <n v="291.73"/>
  </r>
  <r>
    <n v="455"/>
    <n v="3104"/>
    <d v="2010-09-15T00:00:00"/>
    <s v="Medium"/>
    <x v="273"/>
    <x v="42"/>
    <x v="3"/>
    <s v="Consumer"/>
    <x v="0"/>
    <x v="9"/>
    <n v="336.06"/>
    <n v="6.48"/>
  </r>
  <r>
    <n v="456"/>
    <n v="3104"/>
    <d v="2010-09-15T00:00:00"/>
    <s v="Medium"/>
    <x v="273"/>
    <x v="42"/>
    <x v="3"/>
    <s v="Consumer"/>
    <x v="0"/>
    <x v="6"/>
    <n v="380.38"/>
    <n v="15.94"/>
  </r>
  <r>
    <n v="457"/>
    <n v="3108"/>
    <d v="2010-08-04T00:00:00"/>
    <s v="Critical"/>
    <x v="274"/>
    <x v="15"/>
    <x v="2"/>
    <s v="Corporate"/>
    <x v="0"/>
    <x v="6"/>
    <n v="65.39"/>
    <n v="1.82"/>
  </r>
  <r>
    <n v="458"/>
    <n v="3109"/>
    <d v="2010-07-23T00:00:00"/>
    <s v="Low"/>
    <x v="161"/>
    <x v="38"/>
    <x v="0"/>
    <s v="Corporate"/>
    <x v="1"/>
    <x v="2"/>
    <n v="1005.74"/>
    <n v="22.23"/>
  </r>
  <r>
    <n v="459"/>
    <n v="3109"/>
    <d v="2010-07-23T00:00:00"/>
    <s v="Low"/>
    <x v="161"/>
    <x v="38"/>
    <x v="0"/>
    <s v="Corporate"/>
    <x v="2"/>
    <x v="4"/>
    <n v="6477.7394999999997"/>
    <n v="205.99"/>
  </r>
  <r>
    <n v="460"/>
    <n v="3110"/>
    <d v="2009-12-16T00:00:00"/>
    <s v="High"/>
    <x v="275"/>
    <x v="33"/>
    <x v="0"/>
    <s v="Corporate"/>
    <x v="2"/>
    <x v="10"/>
    <n v="1601.32"/>
    <n v="119.99"/>
  </r>
  <r>
    <n v="461"/>
    <n v="3136"/>
    <d v="2009-08-09T00:00:00"/>
    <s v="Not Specified"/>
    <x v="276"/>
    <x v="45"/>
    <x v="0"/>
    <s v="Corporate"/>
    <x v="0"/>
    <x v="6"/>
    <n v="238.74"/>
    <n v="30.98"/>
  </r>
  <r>
    <n v="462"/>
    <n v="3138"/>
    <d v="2009-02-08T00:00:00"/>
    <s v="Not Specified"/>
    <x v="219"/>
    <x v="23"/>
    <x v="3"/>
    <s v="Consumer"/>
    <x v="2"/>
    <x v="5"/>
    <n v="718.03"/>
    <n v="179.99"/>
  </r>
  <r>
    <n v="463"/>
    <n v="3141"/>
    <d v="2011-11-09T00:00:00"/>
    <s v="Critical"/>
    <x v="277"/>
    <x v="23"/>
    <x v="3"/>
    <s v="Home Office"/>
    <x v="2"/>
    <x v="5"/>
    <n v="534.96"/>
    <n v="18.89"/>
  </r>
  <r>
    <n v="464"/>
    <n v="3168"/>
    <d v="2012-01-29T00:00:00"/>
    <s v="Low"/>
    <x v="271"/>
    <x v="7"/>
    <x v="3"/>
    <s v="Home Office"/>
    <x v="1"/>
    <x v="2"/>
    <n v="80.599999999999994"/>
    <n v="5.28"/>
  </r>
  <r>
    <n v="465"/>
    <n v="3169"/>
    <d v="2010-12-20T00:00:00"/>
    <s v="Medium"/>
    <x v="278"/>
    <x v="2"/>
    <x v="2"/>
    <s v="Corporate"/>
    <x v="0"/>
    <x v="14"/>
    <n v="35.58"/>
    <n v="4.42"/>
  </r>
  <r>
    <n v="466"/>
    <n v="3172"/>
    <d v="2012-06-02T00:00:00"/>
    <s v="Not Specified"/>
    <x v="279"/>
    <x v="25"/>
    <x v="1"/>
    <s v="Consumer"/>
    <x v="2"/>
    <x v="4"/>
    <n v="584.51099999999997"/>
    <n v="20.99"/>
  </r>
  <r>
    <n v="467"/>
    <n v="3175"/>
    <d v="2009-07-14T00:00:00"/>
    <s v="Low"/>
    <x v="280"/>
    <x v="16"/>
    <x v="1"/>
    <s v="Small Business"/>
    <x v="0"/>
    <x v="0"/>
    <n v="3553.62"/>
    <n v="165.2"/>
  </r>
  <r>
    <n v="468"/>
    <n v="3202"/>
    <d v="2012-12-23T00:00:00"/>
    <s v="Low"/>
    <x v="281"/>
    <x v="37"/>
    <x v="2"/>
    <s v="Consumer"/>
    <x v="2"/>
    <x v="5"/>
    <n v="554.21"/>
    <n v="53.98"/>
  </r>
  <r>
    <n v="469"/>
    <n v="3205"/>
    <d v="2012-04-10T00:00:00"/>
    <s v="Low"/>
    <x v="282"/>
    <x v="7"/>
    <x v="3"/>
    <s v="Consumer"/>
    <x v="1"/>
    <x v="2"/>
    <n v="136.61000000000001"/>
    <n v="15.68"/>
  </r>
  <r>
    <n v="470"/>
    <n v="3205"/>
    <d v="2012-04-10T00:00:00"/>
    <s v="Low"/>
    <x v="282"/>
    <x v="7"/>
    <x v="3"/>
    <s v="Consumer"/>
    <x v="1"/>
    <x v="3"/>
    <n v="2907.63"/>
    <n v="71.37"/>
  </r>
  <r>
    <n v="471"/>
    <n v="3232"/>
    <d v="2012-10-08T00:00:00"/>
    <s v="Critical"/>
    <x v="36"/>
    <x v="0"/>
    <x v="0"/>
    <s v="Small Business"/>
    <x v="0"/>
    <x v="12"/>
    <n v="42.66"/>
    <n v="7.84"/>
  </r>
  <r>
    <n v="472"/>
    <n v="3235"/>
    <d v="2011-11-14T00:00:00"/>
    <s v="Low"/>
    <x v="283"/>
    <x v="5"/>
    <x v="0"/>
    <s v="Corporate"/>
    <x v="0"/>
    <x v="7"/>
    <n v="142.97"/>
    <n v="4.71"/>
  </r>
  <r>
    <n v="473"/>
    <n v="3266"/>
    <d v="2011-03-16T00:00:00"/>
    <s v="Low"/>
    <x v="284"/>
    <x v="5"/>
    <x v="0"/>
    <s v="Corporate"/>
    <x v="0"/>
    <x v="12"/>
    <n v="17.12"/>
    <n v="3.8"/>
  </r>
  <r>
    <n v="474"/>
    <n v="3271"/>
    <d v="2011-12-31T00:00:00"/>
    <s v="Critical"/>
    <x v="285"/>
    <x v="10"/>
    <x v="0"/>
    <s v="Home Office"/>
    <x v="2"/>
    <x v="10"/>
    <n v="11532.99"/>
    <n v="264.98"/>
  </r>
  <r>
    <n v="475"/>
    <n v="3271"/>
    <d v="2011-12-31T00:00:00"/>
    <s v="Critical"/>
    <x v="285"/>
    <x v="10"/>
    <x v="0"/>
    <s v="Home Office"/>
    <x v="0"/>
    <x v="9"/>
    <n v="146.1"/>
    <n v="8.34"/>
  </r>
  <r>
    <n v="476"/>
    <n v="3297"/>
    <d v="2012-11-02T00:00:00"/>
    <s v="High"/>
    <x v="29"/>
    <x v="1"/>
    <x v="1"/>
    <s v="Consumer"/>
    <x v="0"/>
    <x v="8"/>
    <n v="158.69999999999999"/>
    <n v="3.75"/>
  </r>
  <r>
    <n v="477"/>
    <n v="3300"/>
    <d v="2011-07-14T00:00:00"/>
    <s v="Low"/>
    <x v="286"/>
    <x v="16"/>
    <x v="1"/>
    <s v="Home Office"/>
    <x v="2"/>
    <x v="5"/>
    <n v="92.02"/>
    <n v="15.98"/>
  </r>
  <r>
    <n v="478"/>
    <n v="3328"/>
    <d v="2012-11-18T00:00:00"/>
    <s v="Low"/>
    <x v="227"/>
    <x v="16"/>
    <x v="1"/>
    <s v="Corporate"/>
    <x v="1"/>
    <x v="3"/>
    <n v="1736.41"/>
    <n v="146.05000000000001"/>
  </r>
  <r>
    <n v="479"/>
    <n v="3331"/>
    <d v="2010-05-20T00:00:00"/>
    <s v="High"/>
    <x v="287"/>
    <x v="2"/>
    <x v="2"/>
    <s v="Corporate"/>
    <x v="0"/>
    <x v="8"/>
    <n v="153.28"/>
    <n v="4.91"/>
  </r>
  <r>
    <n v="480"/>
    <n v="3332"/>
    <d v="2009-11-04T00:00:00"/>
    <s v="Critical"/>
    <x v="288"/>
    <x v="13"/>
    <x v="3"/>
    <s v="Corporate"/>
    <x v="0"/>
    <x v="6"/>
    <n v="22.19"/>
    <n v="3.26"/>
  </r>
  <r>
    <n v="481"/>
    <n v="3333"/>
    <d v="2012-09-15T00:00:00"/>
    <s v="Not Specified"/>
    <x v="289"/>
    <x v="26"/>
    <x v="3"/>
    <s v="Home Office"/>
    <x v="0"/>
    <x v="13"/>
    <n v="927.97"/>
    <n v="22.98"/>
  </r>
  <r>
    <n v="482"/>
    <n v="3333"/>
    <d v="2012-09-15T00:00:00"/>
    <s v="Not Specified"/>
    <x v="289"/>
    <x v="26"/>
    <x v="3"/>
    <s v="Home Office"/>
    <x v="0"/>
    <x v="9"/>
    <n v="59.05"/>
    <n v="6.48"/>
  </r>
  <r>
    <n v="483"/>
    <n v="3361"/>
    <d v="2012-08-22T00:00:00"/>
    <s v="Not Specified"/>
    <x v="290"/>
    <x v="17"/>
    <x v="0"/>
    <s v="Corporate"/>
    <x v="0"/>
    <x v="9"/>
    <n v="213.71"/>
    <n v="4.28"/>
  </r>
  <r>
    <n v="484"/>
    <n v="3361"/>
    <d v="2012-08-22T00:00:00"/>
    <s v="Not Specified"/>
    <x v="290"/>
    <x v="17"/>
    <x v="0"/>
    <s v="Corporate"/>
    <x v="0"/>
    <x v="6"/>
    <n v="133.66"/>
    <n v="5.85"/>
  </r>
  <r>
    <n v="485"/>
    <n v="3362"/>
    <d v="2011-07-28T00:00:00"/>
    <s v="Low"/>
    <x v="291"/>
    <x v="3"/>
    <x v="0"/>
    <s v="Small Business"/>
    <x v="2"/>
    <x v="5"/>
    <n v="1699.52"/>
    <n v="40.98"/>
  </r>
  <r>
    <n v="486"/>
    <n v="3362"/>
    <d v="2011-07-28T00:00:00"/>
    <s v="Low"/>
    <x v="291"/>
    <x v="3"/>
    <x v="0"/>
    <s v="Small Business"/>
    <x v="0"/>
    <x v="0"/>
    <n v="760.85"/>
    <n v="15.14"/>
  </r>
  <r>
    <n v="487"/>
    <n v="3363"/>
    <d v="2011-09-22T00:00:00"/>
    <s v="High"/>
    <x v="292"/>
    <x v="5"/>
    <x v="0"/>
    <s v="Home Office"/>
    <x v="0"/>
    <x v="0"/>
    <n v="8185.89"/>
    <n v="415.88"/>
  </r>
  <r>
    <n v="488"/>
    <n v="3393"/>
    <d v="2011-07-03T00:00:00"/>
    <s v="High"/>
    <x v="293"/>
    <x v="17"/>
    <x v="0"/>
    <s v="Consumer"/>
    <x v="2"/>
    <x v="5"/>
    <n v="127.74"/>
    <n v="15.98"/>
  </r>
  <r>
    <n v="489"/>
    <n v="3393"/>
    <d v="2011-07-03T00:00:00"/>
    <s v="High"/>
    <x v="293"/>
    <x v="17"/>
    <x v="0"/>
    <s v="Consumer"/>
    <x v="1"/>
    <x v="2"/>
    <n v="325.92"/>
    <n v="9.48"/>
  </r>
  <r>
    <n v="490"/>
    <n v="3395"/>
    <d v="2009-10-29T00:00:00"/>
    <s v="Not Specified"/>
    <x v="294"/>
    <x v="28"/>
    <x v="1"/>
    <s v="Consumer"/>
    <x v="0"/>
    <x v="12"/>
    <n v="181.17"/>
    <n v="5.38"/>
  </r>
  <r>
    <n v="491"/>
    <n v="3395"/>
    <d v="2009-10-29T00:00:00"/>
    <s v="Not Specified"/>
    <x v="294"/>
    <x v="28"/>
    <x v="1"/>
    <s v="Consumer"/>
    <x v="0"/>
    <x v="9"/>
    <n v="13.16"/>
    <n v="7.35"/>
  </r>
  <r>
    <n v="492"/>
    <n v="3395"/>
    <d v="2009-10-29T00:00:00"/>
    <s v="Not Specified"/>
    <x v="295"/>
    <x v="28"/>
    <x v="1"/>
    <s v="Consumer"/>
    <x v="0"/>
    <x v="14"/>
    <n v="107.88"/>
    <n v="15.57"/>
  </r>
  <r>
    <n v="493"/>
    <n v="3395"/>
    <d v="2009-10-29T00:00:00"/>
    <s v="Not Specified"/>
    <x v="295"/>
    <x v="28"/>
    <x v="1"/>
    <s v="Consumer"/>
    <x v="0"/>
    <x v="0"/>
    <n v="623.02"/>
    <n v="20.89"/>
  </r>
  <r>
    <n v="494"/>
    <n v="3397"/>
    <d v="2009-06-22T00:00:00"/>
    <s v="Medium"/>
    <x v="296"/>
    <x v="13"/>
    <x v="3"/>
    <s v="Consumer"/>
    <x v="2"/>
    <x v="5"/>
    <n v="815.89"/>
    <n v="19.98"/>
  </r>
  <r>
    <n v="495"/>
    <n v="3397"/>
    <d v="2009-06-22T00:00:00"/>
    <s v="Medium"/>
    <x v="244"/>
    <x v="12"/>
    <x v="3"/>
    <s v="Consumer"/>
    <x v="0"/>
    <x v="12"/>
    <n v="30.61"/>
    <n v="2.88"/>
  </r>
  <r>
    <n v="496"/>
    <n v="3456"/>
    <d v="2010-05-31T00:00:00"/>
    <s v="Low"/>
    <x v="297"/>
    <x v="31"/>
    <x v="3"/>
    <s v="Small Business"/>
    <x v="1"/>
    <x v="3"/>
    <n v="5418.68"/>
    <n v="280.98"/>
  </r>
  <r>
    <n v="497"/>
    <n v="3458"/>
    <d v="2009-12-21T00:00:00"/>
    <s v="High"/>
    <x v="298"/>
    <x v="34"/>
    <x v="2"/>
    <s v="Corporate"/>
    <x v="2"/>
    <x v="5"/>
    <n v="627.91"/>
    <n v="15.28"/>
  </r>
  <r>
    <n v="498"/>
    <n v="3458"/>
    <d v="2009-12-21T00:00:00"/>
    <s v="High"/>
    <x v="298"/>
    <x v="34"/>
    <x v="2"/>
    <s v="Corporate"/>
    <x v="0"/>
    <x v="6"/>
    <n v="46.89"/>
    <n v="1.76"/>
  </r>
  <r>
    <n v="499"/>
    <n v="3459"/>
    <d v="2009-07-27T00:00:00"/>
    <s v="Not Specified"/>
    <x v="299"/>
    <x v="15"/>
    <x v="2"/>
    <s v="Home Office"/>
    <x v="2"/>
    <x v="4"/>
    <n v="2152.4039999999995"/>
    <n v="110.99"/>
  </r>
  <r>
    <n v="500"/>
    <n v="3460"/>
    <d v="2011-10-02T00:00:00"/>
    <s v="High"/>
    <x v="300"/>
    <x v="26"/>
    <x v="3"/>
    <s v="Consumer"/>
    <x v="0"/>
    <x v="0"/>
    <n v="153.22999999999999"/>
    <n v="5.98"/>
  </r>
  <r>
    <n v="501"/>
    <n v="3461"/>
    <d v="2010-01-30T00:00:00"/>
    <s v="Critical"/>
    <x v="301"/>
    <x v="18"/>
    <x v="2"/>
    <s v="Home Office"/>
    <x v="2"/>
    <x v="4"/>
    <n v="2053.3789999999999"/>
    <n v="55.99"/>
  </r>
  <r>
    <n v="502"/>
    <n v="3461"/>
    <d v="2010-01-30T00:00:00"/>
    <s v="Critical"/>
    <x v="301"/>
    <x v="18"/>
    <x v="2"/>
    <s v="Home Office"/>
    <x v="2"/>
    <x v="4"/>
    <n v="3206.3955000000001"/>
    <n v="115.99"/>
  </r>
  <r>
    <n v="503"/>
    <n v="3463"/>
    <d v="2010-08-17T00:00:00"/>
    <s v="Critical"/>
    <x v="302"/>
    <x v="33"/>
    <x v="0"/>
    <s v="Consumer"/>
    <x v="0"/>
    <x v="9"/>
    <n v="264.75"/>
    <n v="6.48"/>
  </r>
  <r>
    <n v="504"/>
    <n v="3488"/>
    <d v="2011-01-07T00:00:00"/>
    <s v="Medium"/>
    <x v="303"/>
    <x v="15"/>
    <x v="2"/>
    <s v="Home Office"/>
    <x v="1"/>
    <x v="15"/>
    <n v="4669.1899999999996"/>
    <n v="122.99"/>
  </r>
  <r>
    <n v="505"/>
    <n v="3488"/>
    <d v="2011-01-07T00:00:00"/>
    <s v="Medium"/>
    <x v="303"/>
    <x v="15"/>
    <x v="2"/>
    <s v="Home Office"/>
    <x v="0"/>
    <x v="6"/>
    <n v="133.4"/>
    <n v="21.98"/>
  </r>
  <r>
    <n v="506"/>
    <n v="3492"/>
    <d v="2009-11-23T00:00:00"/>
    <s v="Low"/>
    <x v="304"/>
    <x v="15"/>
    <x v="2"/>
    <s v="Corporate"/>
    <x v="0"/>
    <x v="12"/>
    <n v="2393.63"/>
    <n v="67.28"/>
  </r>
  <r>
    <n v="507"/>
    <n v="3492"/>
    <d v="2009-11-23T00:00:00"/>
    <s v="Low"/>
    <x v="304"/>
    <x v="15"/>
    <x v="2"/>
    <s v="Corporate"/>
    <x v="1"/>
    <x v="11"/>
    <n v="6177.53"/>
    <n v="130.97999999999999"/>
  </r>
  <r>
    <n v="508"/>
    <n v="3492"/>
    <d v="2009-11-23T00:00:00"/>
    <s v="Low"/>
    <x v="304"/>
    <x v="15"/>
    <x v="2"/>
    <s v="Corporate"/>
    <x v="0"/>
    <x v="6"/>
    <n v="94.6"/>
    <n v="2.78"/>
  </r>
  <r>
    <n v="509"/>
    <n v="3493"/>
    <d v="2010-08-23T00:00:00"/>
    <s v="High"/>
    <x v="305"/>
    <x v="36"/>
    <x v="2"/>
    <s v="Home Office"/>
    <x v="2"/>
    <x v="5"/>
    <n v="7518.12"/>
    <n v="152.47999999999999"/>
  </r>
  <r>
    <n v="510"/>
    <n v="3521"/>
    <d v="2012-10-25T00:00:00"/>
    <s v="Low"/>
    <x v="306"/>
    <x v="30"/>
    <x v="0"/>
    <s v="Home Office"/>
    <x v="0"/>
    <x v="6"/>
    <n v="204.11"/>
    <n v="4.28"/>
  </r>
  <r>
    <n v="511"/>
    <n v="3522"/>
    <d v="2009-09-25T00:00:00"/>
    <s v="Low"/>
    <x v="307"/>
    <x v="34"/>
    <x v="2"/>
    <s v="Consumer"/>
    <x v="0"/>
    <x v="13"/>
    <n v="1935.17"/>
    <n v="60.98"/>
  </r>
  <r>
    <n v="512"/>
    <n v="3522"/>
    <d v="2009-09-25T00:00:00"/>
    <s v="Low"/>
    <x v="307"/>
    <x v="34"/>
    <x v="2"/>
    <s v="Consumer"/>
    <x v="2"/>
    <x v="5"/>
    <n v="812.68"/>
    <n v="29.89"/>
  </r>
  <r>
    <n v="513"/>
    <n v="3524"/>
    <d v="2012-05-02T00:00:00"/>
    <s v="High"/>
    <x v="308"/>
    <x v="0"/>
    <x v="0"/>
    <s v="Small Business"/>
    <x v="0"/>
    <x v="9"/>
    <n v="427.32"/>
    <n v="18.97"/>
  </r>
  <r>
    <n v="514"/>
    <n v="3525"/>
    <d v="2011-12-21T00:00:00"/>
    <s v="Not Specified"/>
    <x v="286"/>
    <x v="16"/>
    <x v="1"/>
    <s v="Home Office"/>
    <x v="0"/>
    <x v="6"/>
    <n v="115.43"/>
    <n v="2.78"/>
  </r>
  <r>
    <n v="515"/>
    <n v="3526"/>
    <d v="2011-03-15T00:00:00"/>
    <s v="Low"/>
    <x v="309"/>
    <x v="16"/>
    <x v="1"/>
    <s v="Small Business"/>
    <x v="1"/>
    <x v="2"/>
    <n v="246.06"/>
    <n v="12.07"/>
  </r>
  <r>
    <n v="516"/>
    <n v="3553"/>
    <d v="2009-05-17T00:00:00"/>
    <s v="Medium"/>
    <x v="304"/>
    <x v="15"/>
    <x v="2"/>
    <s v="Corporate"/>
    <x v="0"/>
    <x v="6"/>
    <n v="20.5"/>
    <n v="2.94"/>
  </r>
  <r>
    <n v="517"/>
    <n v="3554"/>
    <d v="2011-06-16T00:00:00"/>
    <s v="Low"/>
    <x v="310"/>
    <x v="18"/>
    <x v="2"/>
    <s v="Corporate"/>
    <x v="0"/>
    <x v="9"/>
    <n v="288.91000000000003"/>
    <n v="12.28"/>
  </r>
  <r>
    <n v="518"/>
    <n v="3556"/>
    <d v="2012-09-22T00:00:00"/>
    <s v="Not Specified"/>
    <x v="297"/>
    <x v="31"/>
    <x v="3"/>
    <s v="Home Office"/>
    <x v="0"/>
    <x v="12"/>
    <n v="269.37"/>
    <n v="5.74"/>
  </r>
  <r>
    <n v="519"/>
    <n v="3556"/>
    <d v="2012-09-22T00:00:00"/>
    <s v="Not Specified"/>
    <x v="311"/>
    <x v="13"/>
    <x v="3"/>
    <s v="Home Office"/>
    <x v="1"/>
    <x v="15"/>
    <n v="4933.99"/>
    <n v="128.24"/>
  </r>
  <r>
    <n v="520"/>
    <n v="3559"/>
    <d v="2012-10-23T00:00:00"/>
    <s v="Medium"/>
    <x v="48"/>
    <x v="7"/>
    <x v="3"/>
    <s v="Corporate"/>
    <x v="0"/>
    <x v="12"/>
    <n v="136.66999999999999"/>
    <n v="3.81"/>
  </r>
  <r>
    <n v="521"/>
    <n v="3585"/>
    <d v="2009-11-22T00:00:00"/>
    <s v="High"/>
    <x v="301"/>
    <x v="5"/>
    <x v="0"/>
    <s v="Corporate"/>
    <x v="0"/>
    <x v="9"/>
    <n v="259.72000000000003"/>
    <n v="10.06"/>
  </r>
  <r>
    <n v="522"/>
    <n v="3585"/>
    <d v="2009-11-22T00:00:00"/>
    <s v="High"/>
    <x v="301"/>
    <x v="5"/>
    <x v="0"/>
    <s v="Corporate"/>
    <x v="0"/>
    <x v="6"/>
    <n v="54.69"/>
    <n v="1.68"/>
  </r>
  <r>
    <n v="523"/>
    <n v="3586"/>
    <d v="2010-12-04T00:00:00"/>
    <s v="High"/>
    <x v="312"/>
    <x v="7"/>
    <x v="3"/>
    <s v="Home Office"/>
    <x v="1"/>
    <x v="2"/>
    <n v="383.57"/>
    <n v="12.58"/>
  </r>
  <r>
    <n v="524"/>
    <n v="3586"/>
    <d v="2010-12-04T00:00:00"/>
    <s v="High"/>
    <x v="312"/>
    <x v="7"/>
    <x v="3"/>
    <s v="Home Office"/>
    <x v="1"/>
    <x v="2"/>
    <n v="461.1"/>
    <n v="14.34"/>
  </r>
  <r>
    <n v="525"/>
    <n v="3588"/>
    <d v="2011-03-18T00:00:00"/>
    <s v="Not Specified"/>
    <x v="305"/>
    <x v="36"/>
    <x v="2"/>
    <s v="Home Office"/>
    <x v="0"/>
    <x v="13"/>
    <n v="374.38"/>
    <n v="8.67"/>
  </r>
  <r>
    <n v="526"/>
    <n v="3588"/>
    <d v="2011-03-18T00:00:00"/>
    <s v="Not Specified"/>
    <x v="305"/>
    <x v="36"/>
    <x v="2"/>
    <s v="Home Office"/>
    <x v="2"/>
    <x v="5"/>
    <n v="1557.42"/>
    <n v="73.98"/>
  </r>
  <r>
    <n v="527"/>
    <n v="3588"/>
    <d v="2011-03-18T00:00:00"/>
    <s v="Not Specified"/>
    <x v="305"/>
    <x v="36"/>
    <x v="2"/>
    <s v="Home Office"/>
    <x v="1"/>
    <x v="2"/>
    <n v="410.27"/>
    <n v="30.93"/>
  </r>
  <r>
    <n v="528"/>
    <n v="3588"/>
    <d v="2011-03-18T00:00:00"/>
    <s v="Not Specified"/>
    <x v="305"/>
    <x v="36"/>
    <x v="2"/>
    <s v="Home Office"/>
    <x v="2"/>
    <x v="10"/>
    <n v="1531.93"/>
    <n v="90.97"/>
  </r>
  <r>
    <n v="529"/>
    <n v="3589"/>
    <d v="2009-05-25T00:00:00"/>
    <s v="High"/>
    <x v="313"/>
    <x v="13"/>
    <x v="3"/>
    <s v="Home Office"/>
    <x v="0"/>
    <x v="8"/>
    <n v="72.930000000000007"/>
    <n v="3.15"/>
  </r>
  <r>
    <n v="530"/>
    <n v="3591"/>
    <d v="2010-12-07T00:00:00"/>
    <s v="Medium"/>
    <x v="314"/>
    <x v="26"/>
    <x v="3"/>
    <s v="Small Business"/>
    <x v="0"/>
    <x v="13"/>
    <n v="321.57"/>
    <n v="100.98"/>
  </r>
  <r>
    <n v="531"/>
    <n v="3591"/>
    <d v="2010-12-07T00:00:00"/>
    <s v="Medium"/>
    <x v="314"/>
    <x v="26"/>
    <x v="3"/>
    <s v="Small Business"/>
    <x v="1"/>
    <x v="15"/>
    <n v="1085.1600000000001"/>
    <n v="89.99"/>
  </r>
  <r>
    <n v="532"/>
    <n v="3621"/>
    <d v="2010-05-05T00:00:00"/>
    <s v="Medium"/>
    <x v="220"/>
    <x v="16"/>
    <x v="1"/>
    <s v="Small Business"/>
    <x v="0"/>
    <x v="14"/>
    <n v="83.87"/>
    <n v="5.58"/>
  </r>
  <r>
    <n v="533"/>
    <n v="3622"/>
    <d v="2011-11-26T00:00:00"/>
    <s v="Low"/>
    <x v="315"/>
    <x v="15"/>
    <x v="2"/>
    <s v="Consumer"/>
    <x v="0"/>
    <x v="12"/>
    <n v="76.599999999999994"/>
    <n v="4.24"/>
  </r>
  <r>
    <n v="534"/>
    <n v="3648"/>
    <d v="2010-06-16T00:00:00"/>
    <s v="Low"/>
    <x v="316"/>
    <x v="45"/>
    <x v="0"/>
    <s v="Home Office"/>
    <x v="0"/>
    <x v="8"/>
    <n v="134.81"/>
    <n v="3.15"/>
  </r>
  <r>
    <n v="535"/>
    <n v="3648"/>
    <d v="2010-06-16T00:00:00"/>
    <s v="Low"/>
    <x v="316"/>
    <x v="45"/>
    <x v="0"/>
    <s v="Home Office"/>
    <x v="2"/>
    <x v="4"/>
    <n v="5488.5264999999999"/>
    <n v="195.99"/>
  </r>
  <r>
    <n v="536"/>
    <n v="3649"/>
    <d v="2009-07-05T00:00:00"/>
    <s v="Low"/>
    <x v="317"/>
    <x v="16"/>
    <x v="1"/>
    <s v="Home Office"/>
    <x v="0"/>
    <x v="12"/>
    <n v="79.42"/>
    <n v="8.8800000000000008"/>
  </r>
  <r>
    <n v="537"/>
    <n v="3649"/>
    <d v="2009-07-05T00:00:00"/>
    <s v="Low"/>
    <x v="317"/>
    <x v="16"/>
    <x v="1"/>
    <s v="Home Office"/>
    <x v="0"/>
    <x v="8"/>
    <n v="75.599999999999994"/>
    <n v="2.88"/>
  </r>
  <r>
    <n v="538"/>
    <n v="3650"/>
    <d v="2012-05-27T00:00:00"/>
    <s v="Not Specified"/>
    <x v="318"/>
    <x v="2"/>
    <x v="2"/>
    <s v="Home Office"/>
    <x v="0"/>
    <x v="12"/>
    <n v="139.94999999999999"/>
    <n v="3.58"/>
  </r>
  <r>
    <n v="539"/>
    <n v="3650"/>
    <d v="2012-05-27T00:00:00"/>
    <s v="Not Specified"/>
    <x v="318"/>
    <x v="2"/>
    <x v="2"/>
    <s v="Home Office"/>
    <x v="1"/>
    <x v="15"/>
    <n v="5207.5"/>
    <n v="216.6"/>
  </r>
  <r>
    <n v="540"/>
    <n v="3653"/>
    <d v="2009-03-26T00:00:00"/>
    <s v="Critical"/>
    <x v="319"/>
    <x v="34"/>
    <x v="2"/>
    <s v="Corporate"/>
    <x v="0"/>
    <x v="6"/>
    <n v="271.11"/>
    <n v="6.68"/>
  </r>
  <r>
    <n v="541"/>
    <n v="3654"/>
    <d v="2012-06-02T00:00:00"/>
    <s v="Low"/>
    <x v="320"/>
    <x v="16"/>
    <x v="1"/>
    <s v="Corporate"/>
    <x v="1"/>
    <x v="2"/>
    <n v="95.73"/>
    <n v="2.08"/>
  </r>
  <r>
    <n v="542"/>
    <n v="3654"/>
    <d v="2012-06-02T00:00:00"/>
    <s v="Low"/>
    <x v="321"/>
    <x v="31"/>
    <x v="3"/>
    <s v="Corporate"/>
    <x v="2"/>
    <x v="10"/>
    <n v="7338.79"/>
    <n v="204.1"/>
  </r>
  <r>
    <n v="543"/>
    <n v="3654"/>
    <d v="2012-06-02T00:00:00"/>
    <s v="Low"/>
    <x v="101"/>
    <x v="31"/>
    <x v="3"/>
    <s v="Corporate"/>
    <x v="0"/>
    <x v="13"/>
    <n v="12569.31"/>
    <n v="279.81"/>
  </r>
  <r>
    <n v="544"/>
    <n v="3655"/>
    <d v="2012-10-05T00:00:00"/>
    <s v="Critical"/>
    <x v="52"/>
    <x v="1"/>
    <x v="1"/>
    <s v="Small Business"/>
    <x v="0"/>
    <x v="12"/>
    <n v="62.54"/>
    <n v="15.99"/>
  </r>
  <r>
    <n v="545"/>
    <n v="3655"/>
    <d v="2012-10-05T00:00:00"/>
    <s v="Critical"/>
    <x v="52"/>
    <x v="1"/>
    <x v="1"/>
    <s v="Small Business"/>
    <x v="2"/>
    <x v="4"/>
    <n v="2750.107"/>
    <n v="125.99"/>
  </r>
  <r>
    <n v="546"/>
    <n v="3680"/>
    <d v="2012-12-09T00:00:00"/>
    <s v="Not Specified"/>
    <x v="322"/>
    <x v="31"/>
    <x v="3"/>
    <s v="Corporate"/>
    <x v="0"/>
    <x v="9"/>
    <n v="177.95"/>
    <n v="6.48"/>
  </r>
  <r>
    <n v="547"/>
    <n v="3680"/>
    <d v="2012-12-09T00:00:00"/>
    <s v="Not Specified"/>
    <x v="323"/>
    <x v="12"/>
    <x v="3"/>
    <s v="Corporate"/>
    <x v="0"/>
    <x v="12"/>
    <n v="99.53"/>
    <n v="3.8"/>
  </r>
  <r>
    <n v="548"/>
    <n v="3685"/>
    <d v="2012-01-16T00:00:00"/>
    <s v="Medium"/>
    <x v="103"/>
    <x v="22"/>
    <x v="0"/>
    <s v="Small Business"/>
    <x v="0"/>
    <x v="6"/>
    <n v="106.78"/>
    <n v="3.28"/>
  </r>
  <r>
    <n v="549"/>
    <n v="3687"/>
    <d v="2010-02-02T00:00:00"/>
    <s v="Critical"/>
    <x v="324"/>
    <x v="22"/>
    <x v="0"/>
    <s v="Home Office"/>
    <x v="0"/>
    <x v="7"/>
    <n v="79.37"/>
    <n v="3.29"/>
  </r>
  <r>
    <n v="550"/>
    <n v="3745"/>
    <d v="2010-09-28T00:00:00"/>
    <s v="Low"/>
    <x v="325"/>
    <x v="5"/>
    <x v="0"/>
    <s v="Home Office"/>
    <x v="1"/>
    <x v="2"/>
    <n v="1143.3499999999999"/>
    <n v="29.18"/>
  </r>
  <r>
    <n v="551"/>
    <n v="3746"/>
    <d v="2009-09-10T00:00:00"/>
    <s v="Not Specified"/>
    <x v="326"/>
    <x v="1"/>
    <x v="1"/>
    <s v="Corporate"/>
    <x v="2"/>
    <x v="4"/>
    <n v="1463.0964999999999"/>
    <n v="115.99"/>
  </r>
  <r>
    <n v="552"/>
    <n v="3746"/>
    <d v="2009-09-10T00:00:00"/>
    <s v="Not Specified"/>
    <x v="327"/>
    <x v="1"/>
    <x v="1"/>
    <s v="Corporate"/>
    <x v="0"/>
    <x v="9"/>
    <n v="246.3"/>
    <n v="5.98"/>
  </r>
  <r>
    <n v="553"/>
    <n v="3749"/>
    <d v="2011-02-23T00:00:00"/>
    <s v="Medium"/>
    <x v="328"/>
    <x v="8"/>
    <x v="2"/>
    <s v="Consumer"/>
    <x v="0"/>
    <x v="12"/>
    <n v="353.62"/>
    <n v="12.97"/>
  </r>
  <r>
    <n v="554"/>
    <n v="3750"/>
    <d v="2011-04-29T00:00:00"/>
    <s v="Medium"/>
    <x v="121"/>
    <x v="7"/>
    <x v="3"/>
    <s v="Small Business"/>
    <x v="0"/>
    <x v="9"/>
    <n v="76.16"/>
    <n v="5.98"/>
  </r>
  <r>
    <n v="555"/>
    <n v="3777"/>
    <d v="2009-04-07T00:00:00"/>
    <s v="Medium"/>
    <x v="124"/>
    <x v="38"/>
    <x v="0"/>
    <s v="Small Business"/>
    <x v="1"/>
    <x v="2"/>
    <n v="244.85"/>
    <n v="17.670000000000002"/>
  </r>
  <r>
    <n v="556"/>
    <n v="3778"/>
    <d v="2010-05-25T00:00:00"/>
    <s v="Critical"/>
    <x v="329"/>
    <x v="7"/>
    <x v="3"/>
    <s v="Home Office"/>
    <x v="2"/>
    <x v="5"/>
    <n v="268.08999999999997"/>
    <n v="8.32"/>
  </r>
  <r>
    <n v="557"/>
    <n v="3778"/>
    <d v="2010-05-25T00:00:00"/>
    <s v="Critical"/>
    <x v="329"/>
    <x v="7"/>
    <x v="3"/>
    <s v="Home Office"/>
    <x v="2"/>
    <x v="5"/>
    <n v="557.03"/>
    <n v="45.19"/>
  </r>
  <r>
    <n v="558"/>
    <n v="3778"/>
    <d v="2010-05-25T00:00:00"/>
    <s v="Critical"/>
    <x v="329"/>
    <x v="7"/>
    <x v="3"/>
    <s v="Home Office"/>
    <x v="0"/>
    <x v="9"/>
    <n v="26.53"/>
    <n v="6.68"/>
  </r>
  <r>
    <n v="559"/>
    <n v="3778"/>
    <d v="2010-05-25T00:00:00"/>
    <s v="Critical"/>
    <x v="329"/>
    <x v="7"/>
    <x v="3"/>
    <s v="Home Office"/>
    <x v="2"/>
    <x v="4"/>
    <n v="5133.9234999999999"/>
    <n v="175.99"/>
  </r>
  <r>
    <n v="560"/>
    <n v="3783"/>
    <d v="2010-12-05T00:00:00"/>
    <s v="Not Specified"/>
    <x v="204"/>
    <x v="2"/>
    <x v="2"/>
    <s v="Corporate"/>
    <x v="2"/>
    <x v="5"/>
    <n v="92.14"/>
    <n v="8.1199999999999992"/>
  </r>
  <r>
    <n v="561"/>
    <n v="3783"/>
    <d v="2010-12-05T00:00:00"/>
    <s v="Not Specified"/>
    <x v="204"/>
    <x v="2"/>
    <x v="2"/>
    <s v="Corporate"/>
    <x v="0"/>
    <x v="9"/>
    <n v="257.43"/>
    <n v="6.48"/>
  </r>
  <r>
    <n v="562"/>
    <n v="3808"/>
    <d v="2009-04-23T00:00:00"/>
    <s v="Critical"/>
    <x v="319"/>
    <x v="34"/>
    <x v="2"/>
    <s v="Corporate"/>
    <x v="0"/>
    <x v="8"/>
    <n v="6.13"/>
    <n v="2.89"/>
  </r>
  <r>
    <n v="563"/>
    <n v="3810"/>
    <d v="2012-09-16T00:00:00"/>
    <s v="Critical"/>
    <x v="128"/>
    <x v="15"/>
    <x v="2"/>
    <s v="Corporate"/>
    <x v="0"/>
    <x v="13"/>
    <n v="221.86"/>
    <n v="4.4800000000000004"/>
  </r>
  <r>
    <n v="564"/>
    <n v="3810"/>
    <d v="2012-09-16T00:00:00"/>
    <s v="Critical"/>
    <x v="128"/>
    <x v="15"/>
    <x v="2"/>
    <s v="Corporate"/>
    <x v="0"/>
    <x v="8"/>
    <n v="78.260000000000005"/>
    <n v="2.61"/>
  </r>
  <r>
    <n v="565"/>
    <n v="3814"/>
    <d v="2011-02-21T00:00:00"/>
    <s v="Low"/>
    <x v="330"/>
    <x v="16"/>
    <x v="1"/>
    <s v="Consumer"/>
    <x v="0"/>
    <x v="0"/>
    <n v="1225.4100000000001"/>
    <n v="28.28"/>
  </r>
  <r>
    <n v="566"/>
    <n v="3841"/>
    <d v="2009-10-04T00:00:00"/>
    <s v="Not Specified"/>
    <x v="331"/>
    <x v="7"/>
    <x v="3"/>
    <s v="Small Business"/>
    <x v="0"/>
    <x v="13"/>
    <n v="1184.45"/>
    <n v="60.98"/>
  </r>
  <r>
    <n v="567"/>
    <n v="3841"/>
    <d v="2009-10-04T00:00:00"/>
    <s v="Not Specified"/>
    <x v="331"/>
    <x v="7"/>
    <x v="3"/>
    <s v="Small Business"/>
    <x v="0"/>
    <x v="12"/>
    <n v="25409.63"/>
    <n v="1270.99"/>
  </r>
  <r>
    <n v="568"/>
    <n v="3841"/>
    <d v="2009-10-04T00:00:00"/>
    <s v="Not Specified"/>
    <x v="331"/>
    <x v="7"/>
    <x v="3"/>
    <s v="Small Business"/>
    <x v="2"/>
    <x v="4"/>
    <n v="7308.2829999999994"/>
    <n v="205.99"/>
  </r>
  <r>
    <n v="569"/>
    <n v="3845"/>
    <d v="2012-04-25T00:00:00"/>
    <s v="Critical"/>
    <x v="332"/>
    <x v="1"/>
    <x v="1"/>
    <s v="Consumer"/>
    <x v="0"/>
    <x v="13"/>
    <n v="3064.27"/>
    <n v="363.25"/>
  </r>
  <r>
    <n v="570"/>
    <n v="3845"/>
    <d v="2012-04-25T00:00:00"/>
    <s v="Critical"/>
    <x v="332"/>
    <x v="1"/>
    <x v="1"/>
    <s v="Consumer"/>
    <x v="1"/>
    <x v="2"/>
    <n v="475.72"/>
    <n v="19.98"/>
  </r>
  <r>
    <n v="571"/>
    <n v="3845"/>
    <d v="2012-04-25T00:00:00"/>
    <s v="Critical"/>
    <x v="332"/>
    <x v="1"/>
    <x v="1"/>
    <s v="Consumer"/>
    <x v="1"/>
    <x v="2"/>
    <n v="123.91"/>
    <n v="8.34"/>
  </r>
  <r>
    <n v="572"/>
    <n v="3877"/>
    <d v="2010-05-20T00:00:00"/>
    <s v="Low"/>
    <x v="333"/>
    <x v="12"/>
    <x v="3"/>
    <s v="Corporate"/>
    <x v="0"/>
    <x v="9"/>
    <n v="700.46"/>
    <n v="48.04"/>
  </r>
  <r>
    <n v="573"/>
    <n v="3905"/>
    <d v="2010-12-20T00:00:00"/>
    <s v="Not Specified"/>
    <x v="311"/>
    <x v="13"/>
    <x v="3"/>
    <s v="Consumer"/>
    <x v="1"/>
    <x v="15"/>
    <n v="2537.88"/>
    <n v="60.89"/>
  </r>
  <r>
    <n v="574"/>
    <n v="3907"/>
    <d v="2012-08-18T00:00:00"/>
    <s v="Medium"/>
    <x v="246"/>
    <x v="22"/>
    <x v="0"/>
    <s v="Small Business"/>
    <x v="0"/>
    <x v="13"/>
    <n v="218.12"/>
    <n v="4.4800000000000004"/>
  </r>
  <r>
    <n v="575"/>
    <n v="3907"/>
    <d v="2012-08-18T00:00:00"/>
    <s v="Medium"/>
    <x v="334"/>
    <x v="28"/>
    <x v="1"/>
    <s v="Small Business"/>
    <x v="0"/>
    <x v="12"/>
    <n v="729.83"/>
    <n v="22.38"/>
  </r>
  <r>
    <n v="576"/>
    <n v="3907"/>
    <d v="2012-08-18T00:00:00"/>
    <s v="Medium"/>
    <x v="334"/>
    <x v="28"/>
    <x v="1"/>
    <s v="Small Business"/>
    <x v="2"/>
    <x v="5"/>
    <n v="1083.19"/>
    <n v="29.99"/>
  </r>
  <r>
    <n v="577"/>
    <n v="3908"/>
    <d v="2010-03-08T00:00:00"/>
    <s v="Medium"/>
    <x v="335"/>
    <x v="0"/>
    <x v="0"/>
    <s v="Corporate"/>
    <x v="2"/>
    <x v="4"/>
    <n v="820.28399999999999"/>
    <n v="115.99"/>
  </r>
  <r>
    <n v="578"/>
    <n v="3911"/>
    <d v="2011-03-16T00:00:00"/>
    <s v="Not Specified"/>
    <x v="231"/>
    <x v="16"/>
    <x v="1"/>
    <s v="Small Business"/>
    <x v="0"/>
    <x v="0"/>
    <n v="370.72"/>
    <n v="15.7"/>
  </r>
  <r>
    <n v="579"/>
    <n v="3942"/>
    <d v="2010-06-27T00:00:00"/>
    <s v="Not Specified"/>
    <x v="336"/>
    <x v="31"/>
    <x v="3"/>
    <s v="Small Business"/>
    <x v="0"/>
    <x v="6"/>
    <n v="225.14"/>
    <n v="20.149999999999999"/>
  </r>
  <r>
    <n v="580"/>
    <n v="3942"/>
    <d v="2010-06-27T00:00:00"/>
    <s v="Not Specified"/>
    <x v="337"/>
    <x v="35"/>
    <x v="3"/>
    <s v="Small Business"/>
    <x v="2"/>
    <x v="4"/>
    <n v="1559.7755"/>
    <n v="85.99"/>
  </r>
  <r>
    <n v="581"/>
    <n v="3970"/>
    <d v="2012-03-26T00:00:00"/>
    <s v="Medium"/>
    <x v="338"/>
    <x v="34"/>
    <x v="2"/>
    <s v="Home Office"/>
    <x v="2"/>
    <x v="5"/>
    <n v="1032.97"/>
    <n v="28.48"/>
  </r>
  <r>
    <n v="582"/>
    <n v="3970"/>
    <d v="2012-03-26T00:00:00"/>
    <s v="Medium"/>
    <x v="338"/>
    <x v="34"/>
    <x v="2"/>
    <s v="Home Office"/>
    <x v="0"/>
    <x v="0"/>
    <n v="324.83"/>
    <n v="20.98"/>
  </r>
  <r>
    <n v="583"/>
    <n v="3973"/>
    <d v="2012-03-23T00:00:00"/>
    <s v="Not Specified"/>
    <x v="339"/>
    <x v="38"/>
    <x v="0"/>
    <s v="Corporate"/>
    <x v="1"/>
    <x v="2"/>
    <n v="316.35000000000002"/>
    <n v="15.68"/>
  </r>
  <r>
    <n v="584"/>
    <n v="4004"/>
    <d v="2010-05-06T00:00:00"/>
    <s v="Medium"/>
    <x v="340"/>
    <x v="7"/>
    <x v="3"/>
    <s v="Corporate"/>
    <x v="0"/>
    <x v="6"/>
    <n v="63.52"/>
    <n v="4.84"/>
  </r>
  <r>
    <n v="585"/>
    <n v="4004"/>
    <d v="2010-05-06T00:00:00"/>
    <s v="Medium"/>
    <x v="340"/>
    <x v="7"/>
    <x v="3"/>
    <s v="Corporate"/>
    <x v="0"/>
    <x v="6"/>
    <n v="1512.25"/>
    <n v="34.58"/>
  </r>
  <r>
    <n v="586"/>
    <n v="4006"/>
    <d v="2011-01-03T00:00:00"/>
    <s v="Medium"/>
    <x v="106"/>
    <x v="26"/>
    <x v="3"/>
    <s v="Corporate"/>
    <x v="0"/>
    <x v="9"/>
    <n v="1441.61"/>
    <n v="37.94"/>
  </r>
  <r>
    <n v="587"/>
    <n v="4007"/>
    <d v="2010-06-17T00:00:00"/>
    <s v="High"/>
    <x v="341"/>
    <x v="30"/>
    <x v="0"/>
    <s v="Corporate"/>
    <x v="0"/>
    <x v="13"/>
    <n v="1038.4000000000001"/>
    <n v="56.96"/>
  </r>
  <r>
    <n v="588"/>
    <n v="4007"/>
    <d v="2010-06-17T00:00:00"/>
    <s v="High"/>
    <x v="341"/>
    <x v="30"/>
    <x v="0"/>
    <s v="Corporate"/>
    <x v="0"/>
    <x v="0"/>
    <n v="305.82"/>
    <n v="279.48"/>
  </r>
  <r>
    <n v="589"/>
    <n v="4033"/>
    <d v="2010-06-01T00:00:00"/>
    <s v="Low"/>
    <x v="342"/>
    <x v="12"/>
    <x v="3"/>
    <s v="Consumer"/>
    <x v="0"/>
    <x v="0"/>
    <n v="763.12"/>
    <n v="34.76"/>
  </r>
  <r>
    <n v="590"/>
    <n v="4033"/>
    <d v="2010-06-01T00:00:00"/>
    <s v="Low"/>
    <x v="288"/>
    <x v="13"/>
    <x v="3"/>
    <s v="Consumer"/>
    <x v="1"/>
    <x v="11"/>
    <n v="19269.05"/>
    <n v="500.98"/>
  </r>
  <r>
    <n v="591"/>
    <n v="4034"/>
    <d v="2010-11-13T00:00:00"/>
    <s v="Not Specified"/>
    <x v="343"/>
    <x v="33"/>
    <x v="0"/>
    <s v="Small Business"/>
    <x v="1"/>
    <x v="2"/>
    <n v="3367.24"/>
    <n v="79.52"/>
  </r>
  <r>
    <n v="592"/>
    <n v="4034"/>
    <d v="2010-11-13T00:00:00"/>
    <s v="Not Specified"/>
    <x v="343"/>
    <x v="33"/>
    <x v="0"/>
    <s v="Small Business"/>
    <x v="1"/>
    <x v="3"/>
    <n v="5723.24"/>
    <n v="145.97999999999999"/>
  </r>
  <r>
    <n v="593"/>
    <n v="4037"/>
    <d v="2010-03-23T00:00:00"/>
    <s v="High"/>
    <x v="344"/>
    <x v="33"/>
    <x v="0"/>
    <s v="Corporate"/>
    <x v="0"/>
    <x v="9"/>
    <n v="188.07"/>
    <n v="6.48"/>
  </r>
  <r>
    <n v="594"/>
    <n v="4067"/>
    <d v="2012-10-06T00:00:00"/>
    <s v="High"/>
    <x v="149"/>
    <x v="22"/>
    <x v="0"/>
    <s v="Corporate"/>
    <x v="0"/>
    <x v="12"/>
    <n v="118.38"/>
    <n v="7.1"/>
  </r>
  <r>
    <n v="595"/>
    <n v="4069"/>
    <d v="2012-05-12T00:00:00"/>
    <s v="Medium"/>
    <x v="113"/>
    <x v="4"/>
    <x v="1"/>
    <s v="Consumer"/>
    <x v="0"/>
    <x v="9"/>
    <n v="54.43"/>
    <n v="6.48"/>
  </r>
  <r>
    <n v="596"/>
    <n v="4069"/>
    <d v="2012-05-12T00:00:00"/>
    <s v="Medium"/>
    <x v="113"/>
    <x v="4"/>
    <x v="1"/>
    <s v="Consumer"/>
    <x v="0"/>
    <x v="6"/>
    <n v="124.94"/>
    <n v="2.78"/>
  </r>
  <r>
    <n v="597"/>
    <n v="4069"/>
    <d v="2012-05-12T00:00:00"/>
    <s v="Medium"/>
    <x v="113"/>
    <x v="4"/>
    <x v="1"/>
    <s v="Consumer"/>
    <x v="0"/>
    <x v="7"/>
    <n v="78.459999999999994"/>
    <n v="2.62"/>
  </r>
  <r>
    <n v="598"/>
    <n v="4070"/>
    <d v="2011-06-11T00:00:00"/>
    <s v="High"/>
    <x v="64"/>
    <x v="8"/>
    <x v="2"/>
    <s v="Home Office"/>
    <x v="2"/>
    <x v="5"/>
    <n v="646.07000000000005"/>
    <n v="28.48"/>
  </r>
  <r>
    <n v="599"/>
    <n v="4096"/>
    <d v="2012-07-02T00:00:00"/>
    <s v="Not Specified"/>
    <x v="29"/>
    <x v="7"/>
    <x v="3"/>
    <s v="Corporate"/>
    <x v="0"/>
    <x v="8"/>
    <n v="128.28"/>
    <n v="6.3"/>
  </r>
  <r>
    <n v="600"/>
    <n v="4099"/>
    <d v="2012-08-20T00:00:00"/>
    <s v="Critical"/>
    <x v="115"/>
    <x v="9"/>
    <x v="1"/>
    <s v="Consumer"/>
    <x v="0"/>
    <x v="0"/>
    <n v="1691.51"/>
    <n v="42.76"/>
  </r>
  <r>
    <n v="601"/>
    <n v="4099"/>
    <d v="2012-08-20T00:00:00"/>
    <s v="Critical"/>
    <x v="345"/>
    <x v="9"/>
    <x v="1"/>
    <s v="Consumer"/>
    <x v="0"/>
    <x v="14"/>
    <n v="122.93"/>
    <n v="9.7799999999999994"/>
  </r>
  <r>
    <n v="602"/>
    <n v="4099"/>
    <d v="2012-08-20T00:00:00"/>
    <s v="Critical"/>
    <x v="345"/>
    <x v="9"/>
    <x v="1"/>
    <s v="Consumer"/>
    <x v="1"/>
    <x v="2"/>
    <n v="47.86"/>
    <n v="9.48"/>
  </r>
  <r>
    <n v="603"/>
    <n v="4099"/>
    <d v="2012-08-20T00:00:00"/>
    <s v="Critical"/>
    <x v="345"/>
    <x v="9"/>
    <x v="1"/>
    <s v="Consumer"/>
    <x v="2"/>
    <x v="4"/>
    <n v="3607.8504999999996"/>
    <n v="110.99"/>
  </r>
  <r>
    <n v="604"/>
    <n v="4103"/>
    <d v="2012-07-02T00:00:00"/>
    <s v="Low"/>
    <x v="346"/>
    <x v="12"/>
    <x v="3"/>
    <s v="Home Office"/>
    <x v="0"/>
    <x v="6"/>
    <n v="42.5"/>
    <n v="11.66"/>
  </r>
  <r>
    <n v="605"/>
    <n v="4128"/>
    <d v="2011-10-06T00:00:00"/>
    <s v="Not Specified"/>
    <x v="347"/>
    <x v="5"/>
    <x v="0"/>
    <s v="Consumer"/>
    <x v="0"/>
    <x v="9"/>
    <n v="391.42"/>
    <n v="9.99"/>
  </r>
  <r>
    <n v="606"/>
    <n v="4132"/>
    <d v="2011-05-28T00:00:00"/>
    <s v="Not Specified"/>
    <x v="348"/>
    <x v="0"/>
    <x v="0"/>
    <s v="Corporate"/>
    <x v="0"/>
    <x v="8"/>
    <n v="14.76"/>
    <n v="2.88"/>
  </r>
  <r>
    <n v="607"/>
    <n v="4134"/>
    <d v="2011-01-11T00:00:00"/>
    <s v="Critical"/>
    <x v="349"/>
    <x v="16"/>
    <x v="1"/>
    <s v="Small Business"/>
    <x v="1"/>
    <x v="11"/>
    <n v="6403.39"/>
    <n v="130.97999999999999"/>
  </r>
  <r>
    <n v="608"/>
    <n v="4134"/>
    <d v="2011-01-11T00:00:00"/>
    <s v="Critical"/>
    <x v="349"/>
    <x v="16"/>
    <x v="1"/>
    <s v="Small Business"/>
    <x v="2"/>
    <x v="5"/>
    <n v="757.91"/>
    <n v="30.97"/>
  </r>
  <r>
    <n v="609"/>
    <n v="4162"/>
    <d v="2012-02-09T00:00:00"/>
    <s v="Low"/>
    <x v="350"/>
    <x v="31"/>
    <x v="3"/>
    <s v="Small Business"/>
    <x v="0"/>
    <x v="0"/>
    <n v="381.6"/>
    <n v="193.17"/>
  </r>
  <r>
    <n v="610"/>
    <n v="4166"/>
    <d v="2010-02-27T00:00:00"/>
    <s v="Low"/>
    <x v="5"/>
    <x v="18"/>
    <x v="2"/>
    <s v="Corporate"/>
    <x v="0"/>
    <x v="12"/>
    <n v="138.85"/>
    <n v="7.1"/>
  </r>
  <r>
    <n v="611"/>
    <n v="4193"/>
    <d v="2009-01-08T00:00:00"/>
    <s v="High"/>
    <x v="351"/>
    <x v="26"/>
    <x v="3"/>
    <s v="Home Office"/>
    <x v="0"/>
    <x v="8"/>
    <n v="64.290000000000006"/>
    <n v="4.13"/>
  </r>
  <r>
    <n v="612"/>
    <n v="4193"/>
    <d v="2009-01-08T00:00:00"/>
    <s v="High"/>
    <x v="351"/>
    <x v="26"/>
    <x v="3"/>
    <s v="Home Office"/>
    <x v="1"/>
    <x v="2"/>
    <n v="75.77"/>
    <n v="22.72"/>
  </r>
  <r>
    <n v="613"/>
    <n v="4195"/>
    <d v="2010-05-28T00:00:00"/>
    <s v="Not Specified"/>
    <x v="238"/>
    <x v="28"/>
    <x v="1"/>
    <s v="Corporate"/>
    <x v="2"/>
    <x v="5"/>
    <n v="255.74"/>
    <n v="8.5"/>
  </r>
  <r>
    <n v="614"/>
    <n v="4199"/>
    <d v="2012-02-12T00:00:00"/>
    <s v="Critical"/>
    <x v="352"/>
    <x v="25"/>
    <x v="1"/>
    <s v="Corporate"/>
    <x v="1"/>
    <x v="2"/>
    <n v="639.71"/>
    <n v="14.2"/>
  </r>
  <r>
    <n v="615"/>
    <n v="4230"/>
    <d v="2012-03-03T00:00:00"/>
    <s v="Critical"/>
    <x v="353"/>
    <x v="16"/>
    <x v="1"/>
    <s v="Corporate"/>
    <x v="1"/>
    <x v="2"/>
    <n v="409.16"/>
    <n v="22.72"/>
  </r>
  <r>
    <n v="616"/>
    <n v="4230"/>
    <d v="2012-03-03T00:00:00"/>
    <s v="Critical"/>
    <x v="353"/>
    <x v="16"/>
    <x v="1"/>
    <s v="Corporate"/>
    <x v="2"/>
    <x v="4"/>
    <n v="2508.3159999999998"/>
    <n v="65.989999999999995"/>
  </r>
  <r>
    <n v="617"/>
    <n v="4257"/>
    <d v="2011-03-24T00:00:00"/>
    <s v="Medium"/>
    <x v="354"/>
    <x v="22"/>
    <x v="0"/>
    <s v="Consumer"/>
    <x v="0"/>
    <x v="14"/>
    <n v="253.89"/>
    <n v="5.58"/>
  </r>
  <r>
    <n v="618"/>
    <n v="4261"/>
    <d v="2012-10-02T00:00:00"/>
    <s v="Critical"/>
    <x v="126"/>
    <x v="22"/>
    <x v="0"/>
    <s v="Corporate"/>
    <x v="0"/>
    <x v="13"/>
    <n v="1556.87"/>
    <n v="68.81"/>
  </r>
  <r>
    <n v="619"/>
    <n v="4261"/>
    <d v="2012-10-02T00:00:00"/>
    <s v="Critical"/>
    <x v="126"/>
    <x v="22"/>
    <x v="0"/>
    <s v="Corporate"/>
    <x v="0"/>
    <x v="9"/>
    <n v="195.98"/>
    <n v="5.98"/>
  </r>
  <r>
    <n v="620"/>
    <n v="4261"/>
    <d v="2012-10-02T00:00:00"/>
    <s v="Critical"/>
    <x v="246"/>
    <x v="22"/>
    <x v="0"/>
    <s v="Corporate"/>
    <x v="0"/>
    <x v="13"/>
    <n v="9235.9699999999993"/>
    <n v="300.64999999999998"/>
  </r>
  <r>
    <n v="621"/>
    <n v="4261"/>
    <d v="2012-10-02T00:00:00"/>
    <s v="Critical"/>
    <x v="246"/>
    <x v="22"/>
    <x v="0"/>
    <s v="Corporate"/>
    <x v="0"/>
    <x v="9"/>
    <n v="274.38"/>
    <n v="5.78"/>
  </r>
  <r>
    <n v="622"/>
    <n v="4294"/>
    <d v="2012-08-14T00:00:00"/>
    <s v="Medium"/>
    <x v="103"/>
    <x v="22"/>
    <x v="0"/>
    <s v="Small Business"/>
    <x v="1"/>
    <x v="2"/>
    <n v="17.72"/>
    <n v="1.74"/>
  </r>
  <r>
    <n v="623"/>
    <n v="4321"/>
    <d v="2009-07-17T00:00:00"/>
    <s v="Medium"/>
    <x v="12"/>
    <x v="10"/>
    <x v="0"/>
    <s v="Corporate"/>
    <x v="0"/>
    <x v="8"/>
    <n v="1505.57"/>
    <n v="30.53"/>
  </r>
  <r>
    <n v="624"/>
    <n v="4324"/>
    <d v="2011-07-16T00:00:00"/>
    <s v="Critical"/>
    <x v="355"/>
    <x v="16"/>
    <x v="1"/>
    <s v="Small Business"/>
    <x v="0"/>
    <x v="6"/>
    <n v="1165.33"/>
    <n v="40.97"/>
  </r>
  <r>
    <n v="625"/>
    <n v="4354"/>
    <d v="2009-09-29T00:00:00"/>
    <s v="Not Specified"/>
    <x v="356"/>
    <x v="5"/>
    <x v="0"/>
    <s v="Corporate"/>
    <x v="1"/>
    <x v="2"/>
    <n v="49.04"/>
    <n v="7.38"/>
  </r>
  <r>
    <n v="626"/>
    <n v="4359"/>
    <d v="2010-03-02T00:00:00"/>
    <s v="Critical"/>
    <x v="357"/>
    <x v="21"/>
    <x v="2"/>
    <s v="Home Office"/>
    <x v="0"/>
    <x v="0"/>
    <n v="215.76"/>
    <n v="10.9"/>
  </r>
  <r>
    <n v="627"/>
    <n v="4387"/>
    <d v="2011-10-22T00:00:00"/>
    <s v="Critical"/>
    <x v="351"/>
    <x v="26"/>
    <x v="3"/>
    <s v="Corporate"/>
    <x v="1"/>
    <x v="3"/>
    <n v="640.21"/>
    <n v="150.97999999999999"/>
  </r>
  <r>
    <n v="628"/>
    <n v="4389"/>
    <d v="2009-05-04T00:00:00"/>
    <s v="Medium"/>
    <x v="358"/>
    <x v="24"/>
    <x v="1"/>
    <s v="Corporate"/>
    <x v="0"/>
    <x v="12"/>
    <n v="179.45"/>
    <n v="5.34"/>
  </r>
  <r>
    <n v="629"/>
    <n v="4389"/>
    <d v="2009-05-04T00:00:00"/>
    <s v="Medium"/>
    <x v="358"/>
    <x v="24"/>
    <x v="1"/>
    <s v="Corporate"/>
    <x v="1"/>
    <x v="15"/>
    <n v="7987.43"/>
    <n v="160.97999999999999"/>
  </r>
  <r>
    <n v="630"/>
    <n v="4389"/>
    <d v="2009-05-04T00:00:00"/>
    <s v="Medium"/>
    <x v="358"/>
    <x v="24"/>
    <x v="1"/>
    <s v="Corporate"/>
    <x v="2"/>
    <x v="4"/>
    <n v="2455.2759999999998"/>
    <n v="65.989999999999995"/>
  </r>
  <r>
    <n v="631"/>
    <n v="4391"/>
    <d v="2012-02-17T00:00:00"/>
    <s v="High"/>
    <x v="89"/>
    <x v="28"/>
    <x v="1"/>
    <s v="Home Office"/>
    <x v="2"/>
    <x v="4"/>
    <n v="2592.4319999999998"/>
    <n v="155.99"/>
  </r>
  <r>
    <n v="632"/>
    <n v="4416"/>
    <d v="2012-06-29T00:00:00"/>
    <s v="Low"/>
    <x v="359"/>
    <x v="30"/>
    <x v="0"/>
    <s v="Corporate"/>
    <x v="0"/>
    <x v="12"/>
    <n v="7441.29"/>
    <n v="165.98"/>
  </r>
  <r>
    <n v="633"/>
    <n v="4422"/>
    <d v="2011-05-21T00:00:00"/>
    <s v="Medium"/>
    <x v="360"/>
    <x v="28"/>
    <x v="1"/>
    <s v="Consumer"/>
    <x v="1"/>
    <x v="2"/>
    <n v="313.43"/>
    <n v="25.38"/>
  </r>
  <r>
    <n v="634"/>
    <n v="4422"/>
    <d v="2011-05-21T00:00:00"/>
    <s v="Medium"/>
    <x v="360"/>
    <x v="28"/>
    <x v="1"/>
    <s v="Consumer"/>
    <x v="0"/>
    <x v="6"/>
    <n v="390.11"/>
    <n v="21.38"/>
  </r>
  <r>
    <n v="635"/>
    <n v="4451"/>
    <d v="2009-09-30T00:00:00"/>
    <s v="Critical"/>
    <x v="361"/>
    <x v="15"/>
    <x v="2"/>
    <s v="Corporate"/>
    <x v="0"/>
    <x v="6"/>
    <n v="992.95"/>
    <n v="21.38"/>
  </r>
  <r>
    <n v="636"/>
    <n v="4454"/>
    <d v="2009-02-01T00:00:00"/>
    <s v="Low"/>
    <x v="359"/>
    <x v="30"/>
    <x v="0"/>
    <s v="Corporate"/>
    <x v="0"/>
    <x v="8"/>
    <n v="55.45"/>
    <n v="3.08"/>
  </r>
  <r>
    <n v="637"/>
    <n v="4455"/>
    <d v="2010-10-10T00:00:00"/>
    <s v="Medium"/>
    <x v="73"/>
    <x v="12"/>
    <x v="3"/>
    <s v="Small Business"/>
    <x v="1"/>
    <x v="2"/>
    <n v="279.29000000000002"/>
    <n v="7.59"/>
  </r>
  <r>
    <n v="638"/>
    <n v="4487"/>
    <d v="2010-02-22T00:00:00"/>
    <s v="Medium"/>
    <x v="362"/>
    <x v="17"/>
    <x v="0"/>
    <s v="Small Business"/>
    <x v="0"/>
    <x v="12"/>
    <n v="325.24"/>
    <n v="6.54"/>
  </r>
  <r>
    <n v="639"/>
    <n v="4512"/>
    <d v="2011-10-24T00:00:00"/>
    <s v="Low"/>
    <x v="351"/>
    <x v="26"/>
    <x v="3"/>
    <s v="Home Office"/>
    <x v="1"/>
    <x v="3"/>
    <n v="6077.11"/>
    <n v="146.34"/>
  </r>
  <r>
    <n v="640"/>
    <n v="4514"/>
    <d v="2009-04-29T00:00:00"/>
    <s v="Medium"/>
    <x v="259"/>
    <x v="1"/>
    <x v="1"/>
    <s v="Consumer"/>
    <x v="2"/>
    <x v="4"/>
    <n v="2841.4395"/>
    <n v="125.99"/>
  </r>
  <r>
    <n v="641"/>
    <n v="4515"/>
    <d v="2012-03-16T00:00:00"/>
    <s v="Critical"/>
    <x v="208"/>
    <x v="23"/>
    <x v="3"/>
    <s v="Consumer"/>
    <x v="2"/>
    <x v="10"/>
    <n v="887.94"/>
    <n v="120.97"/>
  </r>
  <r>
    <n v="642"/>
    <n v="4516"/>
    <d v="2009-03-28T00:00:00"/>
    <s v="Medium"/>
    <x v="363"/>
    <x v="15"/>
    <x v="2"/>
    <s v="Small Business"/>
    <x v="0"/>
    <x v="9"/>
    <n v="294.77999999999997"/>
    <n v="6.68"/>
  </r>
  <r>
    <n v="643"/>
    <n v="4545"/>
    <d v="2010-01-16T00:00:00"/>
    <s v="Not Specified"/>
    <x v="364"/>
    <x v="10"/>
    <x v="0"/>
    <s v="Small Business"/>
    <x v="0"/>
    <x v="9"/>
    <n v="126.38"/>
    <n v="4"/>
  </r>
  <r>
    <n v="644"/>
    <n v="4545"/>
    <d v="2010-01-16T00:00:00"/>
    <s v="Not Specified"/>
    <x v="364"/>
    <x v="10"/>
    <x v="0"/>
    <s v="Small Business"/>
    <x v="0"/>
    <x v="9"/>
    <n v="33.1"/>
    <n v="6.48"/>
  </r>
  <r>
    <n v="645"/>
    <n v="4550"/>
    <d v="2009-12-28T00:00:00"/>
    <s v="High"/>
    <x v="292"/>
    <x v="5"/>
    <x v="0"/>
    <s v="Home Office"/>
    <x v="2"/>
    <x v="10"/>
    <n v="3730.54"/>
    <n v="119.99"/>
  </r>
  <r>
    <n v="646"/>
    <n v="4578"/>
    <d v="2012-09-12T00:00:00"/>
    <s v="Low"/>
    <x v="304"/>
    <x v="15"/>
    <x v="2"/>
    <s v="Corporate"/>
    <x v="0"/>
    <x v="9"/>
    <n v="282.70999999999998"/>
    <n v="6.48"/>
  </r>
  <r>
    <n v="647"/>
    <n v="4578"/>
    <d v="2012-09-12T00:00:00"/>
    <s v="Low"/>
    <x v="301"/>
    <x v="15"/>
    <x v="2"/>
    <s v="Corporate"/>
    <x v="0"/>
    <x v="13"/>
    <n v="724.13"/>
    <n v="14.81"/>
  </r>
  <r>
    <n v="648"/>
    <n v="4578"/>
    <d v="2012-09-12T00:00:00"/>
    <s v="Low"/>
    <x v="301"/>
    <x v="15"/>
    <x v="2"/>
    <s v="Corporate"/>
    <x v="1"/>
    <x v="2"/>
    <n v="294.66000000000003"/>
    <n v="20.239999999999998"/>
  </r>
  <r>
    <n v="649"/>
    <n v="4579"/>
    <d v="2011-11-30T00:00:00"/>
    <s v="High"/>
    <x v="365"/>
    <x v="17"/>
    <x v="0"/>
    <s v="Small Business"/>
    <x v="0"/>
    <x v="12"/>
    <n v="1765.05"/>
    <n v="43.41"/>
  </r>
  <r>
    <n v="650"/>
    <n v="4580"/>
    <d v="2010-11-14T00:00:00"/>
    <s v="Not Specified"/>
    <x v="104"/>
    <x v="19"/>
    <x v="3"/>
    <s v="Consumer"/>
    <x v="1"/>
    <x v="3"/>
    <n v="7384.54"/>
    <n v="280.98"/>
  </r>
  <r>
    <n v="651"/>
    <n v="4581"/>
    <d v="2012-09-03T00:00:00"/>
    <s v="Not Specified"/>
    <x v="353"/>
    <x v="16"/>
    <x v="1"/>
    <s v="Home Office"/>
    <x v="0"/>
    <x v="14"/>
    <n v="2325.42"/>
    <n v="90.48"/>
  </r>
  <r>
    <n v="652"/>
    <n v="4583"/>
    <d v="2009-09-24T00:00:00"/>
    <s v="Medium"/>
    <x v="267"/>
    <x v="2"/>
    <x v="2"/>
    <s v="Corporate"/>
    <x v="1"/>
    <x v="15"/>
    <n v="3021.64"/>
    <n v="70.98"/>
  </r>
  <r>
    <n v="653"/>
    <n v="4610"/>
    <d v="2010-06-17T00:00:00"/>
    <s v="Low"/>
    <x v="366"/>
    <x v="27"/>
    <x v="3"/>
    <s v="Small Business"/>
    <x v="2"/>
    <x v="5"/>
    <n v="66.88"/>
    <n v="8.33"/>
  </r>
  <r>
    <n v="654"/>
    <n v="4610"/>
    <d v="2010-06-17T00:00:00"/>
    <s v="Low"/>
    <x v="366"/>
    <x v="27"/>
    <x v="3"/>
    <s v="Small Business"/>
    <x v="0"/>
    <x v="14"/>
    <n v="447.34"/>
    <n v="15.67"/>
  </r>
  <r>
    <n v="655"/>
    <n v="4611"/>
    <d v="2010-01-09T00:00:00"/>
    <s v="High"/>
    <x v="315"/>
    <x v="15"/>
    <x v="2"/>
    <s v="Consumer"/>
    <x v="2"/>
    <x v="10"/>
    <n v="16172.44"/>
    <n v="500.98"/>
  </r>
  <r>
    <n v="656"/>
    <n v="4612"/>
    <d v="2010-09-19T00:00:00"/>
    <s v="Medium"/>
    <x v="134"/>
    <x v="0"/>
    <x v="0"/>
    <s v="Corporate"/>
    <x v="0"/>
    <x v="13"/>
    <n v="89.55"/>
    <n v="4.4800000000000004"/>
  </r>
  <r>
    <n v="657"/>
    <n v="4642"/>
    <d v="2011-02-26T00:00:00"/>
    <s v="Critical"/>
    <x v="367"/>
    <x v="22"/>
    <x v="0"/>
    <s v="Corporate"/>
    <x v="2"/>
    <x v="5"/>
    <n v="65.61"/>
    <n v="7.28"/>
  </r>
  <r>
    <n v="658"/>
    <n v="4642"/>
    <d v="2011-02-26T00:00:00"/>
    <s v="Critical"/>
    <x v="367"/>
    <x v="22"/>
    <x v="0"/>
    <s v="Corporate"/>
    <x v="0"/>
    <x v="0"/>
    <n v="309.62"/>
    <n v="14.03"/>
  </r>
  <r>
    <n v="659"/>
    <n v="4645"/>
    <d v="2009-09-19T00:00:00"/>
    <s v="Critical"/>
    <x v="368"/>
    <x v="4"/>
    <x v="1"/>
    <s v="Small Business"/>
    <x v="2"/>
    <x v="5"/>
    <n v="920"/>
    <n v="30.73"/>
  </r>
  <r>
    <n v="660"/>
    <n v="4645"/>
    <d v="2009-09-19T00:00:00"/>
    <s v="Critical"/>
    <x v="20"/>
    <x v="4"/>
    <x v="1"/>
    <s v="Small Business"/>
    <x v="0"/>
    <x v="13"/>
    <n v="104.2"/>
    <n v="14.56"/>
  </r>
  <r>
    <n v="661"/>
    <n v="4645"/>
    <d v="2009-09-19T00:00:00"/>
    <s v="Critical"/>
    <x v="20"/>
    <x v="4"/>
    <x v="1"/>
    <s v="Small Business"/>
    <x v="2"/>
    <x v="16"/>
    <n v="3563.88"/>
    <n v="299.99"/>
  </r>
  <r>
    <n v="662"/>
    <n v="4647"/>
    <d v="2009-05-13T00:00:00"/>
    <s v="Medium"/>
    <x v="29"/>
    <x v="13"/>
    <x v="3"/>
    <s v="Corporate"/>
    <x v="2"/>
    <x v="4"/>
    <n v="1590.163"/>
    <n v="55.99"/>
  </r>
  <r>
    <n v="663"/>
    <n v="4647"/>
    <d v="2009-05-13T00:00:00"/>
    <s v="Medium"/>
    <x v="104"/>
    <x v="19"/>
    <x v="3"/>
    <s v="Corporate"/>
    <x v="0"/>
    <x v="1"/>
    <n v="482.93"/>
    <n v="13.9"/>
  </r>
  <r>
    <n v="664"/>
    <n v="4647"/>
    <d v="2009-05-13T00:00:00"/>
    <s v="Medium"/>
    <x v="369"/>
    <x v="35"/>
    <x v="3"/>
    <s v="Corporate"/>
    <x v="0"/>
    <x v="14"/>
    <n v="1203.73"/>
    <n v="162.93"/>
  </r>
  <r>
    <n v="665"/>
    <n v="4647"/>
    <d v="2009-05-13T00:00:00"/>
    <s v="Medium"/>
    <x v="370"/>
    <x v="35"/>
    <x v="3"/>
    <s v="Corporate"/>
    <x v="0"/>
    <x v="14"/>
    <n v="75.19"/>
    <n v="11.58"/>
  </r>
  <r>
    <n v="666"/>
    <n v="4672"/>
    <d v="2011-11-06T00:00:00"/>
    <s v="Critical"/>
    <x v="326"/>
    <x v="1"/>
    <x v="1"/>
    <s v="Corporate"/>
    <x v="1"/>
    <x v="2"/>
    <n v="152.44"/>
    <n v="7.7"/>
  </r>
  <r>
    <n v="667"/>
    <n v="4674"/>
    <d v="2009-04-18T00:00:00"/>
    <s v="Critical"/>
    <x v="371"/>
    <x v="11"/>
    <x v="2"/>
    <s v="Corporate"/>
    <x v="1"/>
    <x v="15"/>
    <n v="3041.33"/>
    <n v="130.97999999999999"/>
  </r>
  <r>
    <n v="668"/>
    <n v="4675"/>
    <d v="2010-11-24T00:00:00"/>
    <s v="Not Specified"/>
    <x v="162"/>
    <x v="2"/>
    <x v="2"/>
    <s v="Consumer"/>
    <x v="0"/>
    <x v="6"/>
    <n v="17.89"/>
    <n v="3.98"/>
  </r>
  <r>
    <n v="669"/>
    <n v="4676"/>
    <d v="2011-08-31T00:00:00"/>
    <s v="High"/>
    <x v="169"/>
    <x v="0"/>
    <x v="0"/>
    <s v="Home Office"/>
    <x v="2"/>
    <x v="4"/>
    <n v="1210.0514999999998"/>
    <n v="125.99"/>
  </r>
  <r>
    <n v="670"/>
    <n v="4676"/>
    <d v="2011-08-31T00:00:00"/>
    <s v="High"/>
    <x v="372"/>
    <x v="0"/>
    <x v="0"/>
    <s v="Home Office"/>
    <x v="0"/>
    <x v="8"/>
    <n v="187.83"/>
    <n v="3.75"/>
  </r>
  <r>
    <n v="671"/>
    <n v="4676"/>
    <d v="2011-08-31T00:00:00"/>
    <s v="High"/>
    <x v="372"/>
    <x v="0"/>
    <x v="0"/>
    <s v="Home Office"/>
    <x v="0"/>
    <x v="9"/>
    <n v="49.59"/>
    <n v="12.28"/>
  </r>
  <r>
    <n v="672"/>
    <n v="4676"/>
    <d v="2011-08-31T00:00:00"/>
    <s v="High"/>
    <x v="372"/>
    <x v="0"/>
    <x v="0"/>
    <s v="Home Office"/>
    <x v="2"/>
    <x v="4"/>
    <n v="4253.009"/>
    <n v="155.99"/>
  </r>
  <r>
    <n v="673"/>
    <n v="4705"/>
    <d v="2012-03-21T00:00:00"/>
    <s v="Not Specified"/>
    <x v="373"/>
    <x v="1"/>
    <x v="1"/>
    <s v="Corporate"/>
    <x v="0"/>
    <x v="0"/>
    <n v="123.85"/>
    <n v="7.98"/>
  </r>
  <r>
    <n v="674"/>
    <n v="4706"/>
    <d v="2012-12-28T00:00:00"/>
    <s v="Not Specified"/>
    <x v="280"/>
    <x v="16"/>
    <x v="1"/>
    <s v="Small Business"/>
    <x v="0"/>
    <x v="12"/>
    <n v="2116.6999999999998"/>
    <n v="67.28"/>
  </r>
  <r>
    <n v="675"/>
    <n v="4708"/>
    <d v="2009-09-30T00:00:00"/>
    <s v="Critical"/>
    <x v="43"/>
    <x v="23"/>
    <x v="3"/>
    <s v="Corporate"/>
    <x v="0"/>
    <x v="9"/>
    <n v="180.38"/>
    <n v="6.48"/>
  </r>
  <r>
    <n v="676"/>
    <n v="4737"/>
    <d v="2010-03-10T00:00:00"/>
    <s v="Not Specified"/>
    <x v="13"/>
    <x v="11"/>
    <x v="2"/>
    <s v="Corporate"/>
    <x v="0"/>
    <x v="9"/>
    <n v="314.20999999999998"/>
    <n v="5.88"/>
  </r>
  <r>
    <n v="677"/>
    <n v="4738"/>
    <d v="2012-04-07T00:00:00"/>
    <s v="High"/>
    <x v="93"/>
    <x v="16"/>
    <x v="1"/>
    <s v="Home Office"/>
    <x v="0"/>
    <x v="7"/>
    <n v="10.39"/>
    <n v="4.71"/>
  </r>
  <r>
    <n v="678"/>
    <n v="4739"/>
    <d v="2010-02-20T00:00:00"/>
    <s v="Low"/>
    <x v="319"/>
    <x v="34"/>
    <x v="2"/>
    <s v="Corporate"/>
    <x v="0"/>
    <x v="6"/>
    <n v="48.57"/>
    <n v="2.94"/>
  </r>
  <r>
    <n v="679"/>
    <n v="4741"/>
    <d v="2012-07-06T00:00:00"/>
    <s v="Not Specified"/>
    <x v="360"/>
    <x v="28"/>
    <x v="1"/>
    <s v="Consumer"/>
    <x v="1"/>
    <x v="2"/>
    <n v="342.97"/>
    <n v="8.75"/>
  </r>
  <r>
    <n v="680"/>
    <n v="4743"/>
    <d v="2010-03-30T00:00:00"/>
    <s v="Low"/>
    <x v="292"/>
    <x v="5"/>
    <x v="0"/>
    <s v="Home Office"/>
    <x v="0"/>
    <x v="12"/>
    <n v="352.55"/>
    <n v="12.97"/>
  </r>
  <r>
    <n v="681"/>
    <n v="4743"/>
    <d v="2010-03-30T00:00:00"/>
    <s v="Low"/>
    <x v="292"/>
    <x v="5"/>
    <x v="0"/>
    <s v="Home Office"/>
    <x v="0"/>
    <x v="0"/>
    <n v="719.64"/>
    <n v="20.89"/>
  </r>
  <r>
    <n v="682"/>
    <n v="4769"/>
    <d v="2011-04-13T00:00:00"/>
    <s v="Not Specified"/>
    <x v="374"/>
    <x v="7"/>
    <x v="3"/>
    <s v="Home Office"/>
    <x v="0"/>
    <x v="8"/>
    <n v="117.4"/>
    <n v="2.88"/>
  </r>
  <r>
    <n v="683"/>
    <n v="4771"/>
    <d v="2012-12-13T00:00:00"/>
    <s v="Critical"/>
    <x v="375"/>
    <x v="16"/>
    <x v="1"/>
    <s v="Consumer"/>
    <x v="1"/>
    <x v="3"/>
    <n v="135.928"/>
    <n v="31.76"/>
  </r>
  <r>
    <n v="684"/>
    <n v="4772"/>
    <d v="2009-09-13T00:00:00"/>
    <s v="Critical"/>
    <x v="376"/>
    <x v="2"/>
    <x v="2"/>
    <s v="Corporate"/>
    <x v="2"/>
    <x v="4"/>
    <n v="1560.617"/>
    <n v="65.989999999999995"/>
  </r>
  <r>
    <n v="685"/>
    <n v="4773"/>
    <d v="2011-12-22T00:00:00"/>
    <s v="Critical"/>
    <x v="31"/>
    <x v="26"/>
    <x v="3"/>
    <s v="Home Office"/>
    <x v="1"/>
    <x v="3"/>
    <n v="6746.3119999999999"/>
    <n v="179.29"/>
  </r>
  <r>
    <n v="686"/>
    <n v="4773"/>
    <d v="2011-12-22T00:00:00"/>
    <s v="Critical"/>
    <x v="377"/>
    <x v="13"/>
    <x v="3"/>
    <s v="Home Office"/>
    <x v="0"/>
    <x v="14"/>
    <n v="311.38"/>
    <n v="11.58"/>
  </r>
  <r>
    <n v="687"/>
    <n v="4774"/>
    <d v="2010-04-19T00:00:00"/>
    <s v="Medium"/>
    <x v="378"/>
    <x v="8"/>
    <x v="2"/>
    <s v="Corporate"/>
    <x v="2"/>
    <x v="5"/>
    <n v="126.87"/>
    <n v="32.979999999999997"/>
  </r>
  <r>
    <n v="688"/>
    <n v="4800"/>
    <d v="2012-01-05T00:00:00"/>
    <s v="Low"/>
    <x v="379"/>
    <x v="7"/>
    <x v="3"/>
    <s v="Corporate"/>
    <x v="0"/>
    <x v="12"/>
    <n v="41.94"/>
    <n v="8.0399999999999991"/>
  </r>
  <r>
    <n v="689"/>
    <n v="4800"/>
    <d v="2012-01-05T00:00:00"/>
    <s v="Low"/>
    <x v="379"/>
    <x v="7"/>
    <x v="3"/>
    <s v="Corporate"/>
    <x v="0"/>
    <x v="8"/>
    <n v="89.25"/>
    <n v="4.91"/>
  </r>
  <r>
    <n v="690"/>
    <n v="4800"/>
    <d v="2012-01-05T00:00:00"/>
    <s v="Low"/>
    <x v="379"/>
    <x v="7"/>
    <x v="3"/>
    <s v="Corporate"/>
    <x v="0"/>
    <x v="6"/>
    <n v="79.81"/>
    <n v="11.55"/>
  </r>
  <r>
    <n v="691"/>
    <n v="4804"/>
    <d v="2012-01-27T00:00:00"/>
    <s v="High"/>
    <x v="183"/>
    <x v="16"/>
    <x v="1"/>
    <s v="Corporate"/>
    <x v="2"/>
    <x v="5"/>
    <n v="463.83"/>
    <n v="33.979999999999997"/>
  </r>
  <r>
    <n v="692"/>
    <n v="4805"/>
    <d v="2012-04-24T00:00:00"/>
    <s v="Not Specified"/>
    <x v="48"/>
    <x v="1"/>
    <x v="1"/>
    <s v="Small Business"/>
    <x v="0"/>
    <x v="9"/>
    <n v="55.38"/>
    <n v="6.48"/>
  </r>
  <r>
    <n v="693"/>
    <n v="4835"/>
    <d v="2009-10-24T00:00:00"/>
    <s v="Critical"/>
    <x v="89"/>
    <x v="28"/>
    <x v="1"/>
    <s v="Home Office"/>
    <x v="0"/>
    <x v="1"/>
    <n v="9.4"/>
    <n v="2.52"/>
  </r>
  <r>
    <n v="694"/>
    <n v="4839"/>
    <d v="2009-05-09T00:00:00"/>
    <s v="Critical"/>
    <x v="224"/>
    <x v="26"/>
    <x v="3"/>
    <s v="Consumer"/>
    <x v="0"/>
    <x v="9"/>
    <n v="159.43"/>
    <n v="6.48"/>
  </r>
  <r>
    <n v="695"/>
    <n v="4864"/>
    <d v="2012-11-10T00:00:00"/>
    <s v="Low"/>
    <x v="380"/>
    <x v="22"/>
    <x v="0"/>
    <s v="Corporate"/>
    <x v="0"/>
    <x v="12"/>
    <n v="4901.99"/>
    <n v="315.98"/>
  </r>
  <r>
    <n v="696"/>
    <n v="4870"/>
    <d v="2009-08-05T00:00:00"/>
    <s v="Medium"/>
    <x v="99"/>
    <x v="16"/>
    <x v="1"/>
    <s v="Corporate"/>
    <x v="1"/>
    <x v="3"/>
    <n v="17248.09"/>
    <n v="400.98"/>
  </r>
  <r>
    <n v="697"/>
    <n v="4871"/>
    <d v="2011-06-11T00:00:00"/>
    <s v="Critical"/>
    <x v="198"/>
    <x v="37"/>
    <x v="2"/>
    <s v="Consumer"/>
    <x v="1"/>
    <x v="15"/>
    <n v="775.74"/>
    <n v="89.99"/>
  </r>
  <r>
    <n v="698"/>
    <n v="4871"/>
    <d v="2011-06-11T00:00:00"/>
    <s v="Critical"/>
    <x v="198"/>
    <x v="37"/>
    <x v="2"/>
    <s v="Consumer"/>
    <x v="0"/>
    <x v="1"/>
    <n v="238.34"/>
    <n v="9.31"/>
  </r>
  <r>
    <n v="699"/>
    <n v="4896"/>
    <d v="2012-08-21T00:00:00"/>
    <s v="Critical"/>
    <x v="381"/>
    <x v="31"/>
    <x v="3"/>
    <s v="Small Business"/>
    <x v="2"/>
    <x v="5"/>
    <n v="831.52"/>
    <n v="35.409999999999997"/>
  </r>
  <r>
    <n v="700"/>
    <n v="4896"/>
    <d v="2012-08-21T00:00:00"/>
    <s v="Critical"/>
    <x v="382"/>
    <x v="31"/>
    <x v="3"/>
    <s v="Small Business"/>
    <x v="2"/>
    <x v="4"/>
    <n v="1089.8699999999999"/>
    <n v="125.99"/>
  </r>
  <r>
    <n v="701"/>
    <n v="4896"/>
    <d v="2012-08-21T00:00:00"/>
    <s v="Critical"/>
    <x v="383"/>
    <x v="12"/>
    <x v="3"/>
    <s v="Small Business"/>
    <x v="0"/>
    <x v="12"/>
    <n v="121.3"/>
    <n v="5.8"/>
  </r>
  <r>
    <n v="702"/>
    <n v="4931"/>
    <d v="2009-11-16T00:00:00"/>
    <s v="Critical"/>
    <x v="384"/>
    <x v="16"/>
    <x v="1"/>
    <s v="Corporate"/>
    <x v="0"/>
    <x v="9"/>
    <n v="168.31"/>
    <n v="8.17"/>
  </r>
  <r>
    <n v="703"/>
    <n v="4931"/>
    <d v="2009-11-16T00:00:00"/>
    <s v="Critical"/>
    <x v="384"/>
    <x v="16"/>
    <x v="1"/>
    <s v="Corporate"/>
    <x v="2"/>
    <x v="4"/>
    <n v="4282.7249999999995"/>
    <n v="110.99"/>
  </r>
  <r>
    <n v="704"/>
    <n v="4932"/>
    <d v="2010-08-09T00:00:00"/>
    <s v="Critical"/>
    <x v="385"/>
    <x v="38"/>
    <x v="0"/>
    <s v="Corporate"/>
    <x v="0"/>
    <x v="9"/>
    <n v="109.37"/>
    <n v="10.31"/>
  </r>
  <r>
    <n v="705"/>
    <n v="4935"/>
    <d v="2010-05-24T00:00:00"/>
    <s v="Not Specified"/>
    <x v="386"/>
    <x v="26"/>
    <x v="3"/>
    <s v="Corporate"/>
    <x v="0"/>
    <x v="1"/>
    <n v="106.64"/>
    <n v="3.68"/>
  </r>
  <r>
    <n v="706"/>
    <n v="4960"/>
    <d v="2011-02-25T00:00:00"/>
    <s v="Low"/>
    <x v="14"/>
    <x v="12"/>
    <x v="3"/>
    <s v="Corporate"/>
    <x v="0"/>
    <x v="9"/>
    <n v="40.869999999999997"/>
    <n v="6.48"/>
  </r>
  <r>
    <n v="707"/>
    <n v="4960"/>
    <d v="2011-02-25T00:00:00"/>
    <s v="Low"/>
    <x v="387"/>
    <x v="35"/>
    <x v="3"/>
    <s v="Corporate"/>
    <x v="1"/>
    <x v="15"/>
    <n v="8363.65"/>
    <n v="300.98"/>
  </r>
  <r>
    <n v="708"/>
    <n v="4965"/>
    <d v="2010-10-20T00:00:00"/>
    <s v="Low"/>
    <x v="388"/>
    <x v="31"/>
    <x v="3"/>
    <s v="Corporate"/>
    <x v="0"/>
    <x v="13"/>
    <n v="1068.79"/>
    <n v="76.72"/>
  </r>
  <r>
    <n v="709"/>
    <n v="4965"/>
    <d v="2010-10-20T00:00:00"/>
    <s v="Low"/>
    <x v="389"/>
    <x v="40"/>
    <x v="3"/>
    <s v="Corporate"/>
    <x v="0"/>
    <x v="9"/>
    <n v="287.13"/>
    <n v="5.78"/>
  </r>
  <r>
    <n v="710"/>
    <n v="4996"/>
    <d v="2012-09-13T00:00:00"/>
    <s v="Medium"/>
    <x v="390"/>
    <x v="22"/>
    <x v="0"/>
    <s v="Corporate"/>
    <x v="0"/>
    <x v="0"/>
    <n v="4305.79"/>
    <n v="142.86000000000001"/>
  </r>
  <r>
    <n v="711"/>
    <n v="5028"/>
    <d v="2012-04-16T00:00:00"/>
    <s v="High"/>
    <x v="238"/>
    <x v="28"/>
    <x v="1"/>
    <s v="Corporate"/>
    <x v="1"/>
    <x v="2"/>
    <n v="79.680000000000007"/>
    <n v="7.7"/>
  </r>
  <r>
    <n v="712"/>
    <n v="5059"/>
    <d v="2010-11-09T00:00:00"/>
    <s v="High"/>
    <x v="391"/>
    <x v="18"/>
    <x v="2"/>
    <s v="Small Business"/>
    <x v="0"/>
    <x v="12"/>
    <n v="41.18"/>
    <n v="5.44"/>
  </r>
  <r>
    <n v="713"/>
    <n v="5061"/>
    <d v="2010-08-13T00:00:00"/>
    <s v="Critical"/>
    <x v="362"/>
    <x v="17"/>
    <x v="0"/>
    <s v="Corporate"/>
    <x v="0"/>
    <x v="6"/>
    <n v="12.8"/>
    <n v="2.88"/>
  </r>
  <r>
    <n v="714"/>
    <n v="5092"/>
    <d v="2011-10-29T00:00:00"/>
    <s v="Low"/>
    <x v="392"/>
    <x v="17"/>
    <x v="0"/>
    <s v="Consumer"/>
    <x v="1"/>
    <x v="11"/>
    <n v="709.04"/>
    <n v="220.98"/>
  </r>
  <r>
    <n v="715"/>
    <n v="5092"/>
    <d v="2011-10-29T00:00:00"/>
    <s v="Low"/>
    <x v="392"/>
    <x v="17"/>
    <x v="0"/>
    <s v="Consumer"/>
    <x v="0"/>
    <x v="9"/>
    <n v="978.77"/>
    <n v="38.76"/>
  </r>
  <r>
    <n v="716"/>
    <n v="5094"/>
    <d v="2010-03-28T00:00:00"/>
    <s v="Not Specified"/>
    <x v="68"/>
    <x v="16"/>
    <x v="1"/>
    <s v="Small Business"/>
    <x v="0"/>
    <x v="6"/>
    <n v="79.58"/>
    <n v="37.44"/>
  </r>
  <r>
    <n v="717"/>
    <n v="5095"/>
    <d v="2012-04-21T00:00:00"/>
    <s v="High"/>
    <x v="217"/>
    <x v="28"/>
    <x v="1"/>
    <s v="Corporate"/>
    <x v="2"/>
    <x v="4"/>
    <n v="786.67499999999995"/>
    <n v="125.99"/>
  </r>
  <r>
    <n v="718"/>
    <n v="5121"/>
    <d v="2012-05-10T00:00:00"/>
    <s v="Not Specified"/>
    <x v="380"/>
    <x v="22"/>
    <x v="0"/>
    <s v="Corporate"/>
    <x v="2"/>
    <x v="4"/>
    <n v="1991.7029999999997"/>
    <n v="55.99"/>
  </r>
  <r>
    <n v="719"/>
    <n v="5153"/>
    <d v="2011-08-25T00:00:00"/>
    <s v="Critical"/>
    <x v="80"/>
    <x v="30"/>
    <x v="0"/>
    <s v="Home Office"/>
    <x v="1"/>
    <x v="15"/>
    <n v="4896.93"/>
    <n v="128.24"/>
  </r>
  <r>
    <n v="720"/>
    <n v="5155"/>
    <d v="2009-06-11T00:00:00"/>
    <s v="High"/>
    <x v="393"/>
    <x v="23"/>
    <x v="3"/>
    <s v="Corporate"/>
    <x v="2"/>
    <x v="5"/>
    <n v="569.21"/>
    <n v="39.979999999999997"/>
  </r>
  <r>
    <n v="721"/>
    <n v="5188"/>
    <d v="2011-03-01T00:00:00"/>
    <s v="Not Specified"/>
    <x v="280"/>
    <x v="16"/>
    <x v="1"/>
    <s v="Small Business"/>
    <x v="0"/>
    <x v="9"/>
    <n v="192.8"/>
    <n v="8.01"/>
  </r>
  <r>
    <n v="722"/>
    <n v="5189"/>
    <d v="2010-11-25T00:00:00"/>
    <s v="Low"/>
    <x v="394"/>
    <x v="16"/>
    <x v="1"/>
    <s v="Corporate"/>
    <x v="2"/>
    <x v="5"/>
    <n v="900.06"/>
    <n v="73.98"/>
  </r>
  <r>
    <n v="723"/>
    <n v="5189"/>
    <d v="2010-11-25T00:00:00"/>
    <s v="Low"/>
    <x v="237"/>
    <x v="12"/>
    <x v="3"/>
    <s v="Corporate"/>
    <x v="0"/>
    <x v="0"/>
    <n v="2066.63"/>
    <n v="140.85"/>
  </r>
  <r>
    <n v="724"/>
    <n v="5189"/>
    <d v="2010-11-25T00:00:00"/>
    <s v="Low"/>
    <x v="15"/>
    <x v="13"/>
    <x v="3"/>
    <s v="Corporate"/>
    <x v="0"/>
    <x v="6"/>
    <n v="24.72"/>
    <n v="2.74"/>
  </r>
  <r>
    <n v="725"/>
    <n v="5217"/>
    <d v="2011-10-12T00:00:00"/>
    <s v="High"/>
    <x v="395"/>
    <x v="2"/>
    <x v="2"/>
    <s v="Home Office"/>
    <x v="0"/>
    <x v="13"/>
    <n v="339.35"/>
    <n v="40.98"/>
  </r>
  <r>
    <n v="726"/>
    <n v="5217"/>
    <d v="2011-10-12T00:00:00"/>
    <s v="High"/>
    <x v="395"/>
    <x v="2"/>
    <x v="2"/>
    <s v="Home Office"/>
    <x v="0"/>
    <x v="8"/>
    <n v="33.67"/>
    <n v="3.08"/>
  </r>
  <r>
    <n v="727"/>
    <n v="5221"/>
    <d v="2011-06-08T00:00:00"/>
    <s v="Not Specified"/>
    <x v="396"/>
    <x v="11"/>
    <x v="2"/>
    <s v="Corporate"/>
    <x v="2"/>
    <x v="5"/>
    <n v="1347.63"/>
    <n v="28.48"/>
  </r>
  <r>
    <n v="728"/>
    <n v="5222"/>
    <d v="2009-05-26T00:00:00"/>
    <s v="Not Specified"/>
    <x v="397"/>
    <x v="1"/>
    <x v="1"/>
    <s v="Consumer"/>
    <x v="1"/>
    <x v="3"/>
    <n v="14451.75"/>
    <n v="349.45"/>
  </r>
  <r>
    <n v="729"/>
    <n v="5251"/>
    <d v="2011-04-11T00:00:00"/>
    <s v="Medium"/>
    <x v="6"/>
    <x v="5"/>
    <x v="0"/>
    <s v="Corporate"/>
    <x v="2"/>
    <x v="4"/>
    <n v="3821.0390000000002"/>
    <n v="115.99"/>
  </r>
  <r>
    <n v="730"/>
    <n v="5254"/>
    <d v="2012-07-25T00:00:00"/>
    <s v="Not Specified"/>
    <x v="398"/>
    <x v="18"/>
    <x v="2"/>
    <s v="Corporate"/>
    <x v="2"/>
    <x v="4"/>
    <n v="1735.3515"/>
    <n v="65.989999999999995"/>
  </r>
  <r>
    <n v="731"/>
    <n v="5281"/>
    <d v="2011-11-01T00:00:00"/>
    <s v="High"/>
    <x v="230"/>
    <x v="15"/>
    <x v="2"/>
    <s v="Consumer"/>
    <x v="1"/>
    <x v="15"/>
    <n v="4733.7"/>
    <n v="120.98"/>
  </r>
  <r>
    <n v="732"/>
    <n v="5281"/>
    <d v="2011-11-01T00:00:00"/>
    <s v="High"/>
    <x v="230"/>
    <x v="15"/>
    <x v="2"/>
    <s v="Consumer"/>
    <x v="1"/>
    <x v="2"/>
    <n v="2718.07"/>
    <n v="209.84"/>
  </r>
  <r>
    <n v="733"/>
    <n v="5283"/>
    <d v="2009-06-03T00:00:00"/>
    <s v="Medium"/>
    <x v="292"/>
    <x v="5"/>
    <x v="0"/>
    <s v="Home Office"/>
    <x v="2"/>
    <x v="4"/>
    <n v="2508.6730000000002"/>
    <n v="125.99"/>
  </r>
  <r>
    <n v="734"/>
    <n v="5284"/>
    <d v="2011-07-08T00:00:00"/>
    <s v="Not Specified"/>
    <x v="372"/>
    <x v="0"/>
    <x v="0"/>
    <s v="Home Office"/>
    <x v="0"/>
    <x v="12"/>
    <n v="59.38"/>
    <n v="8.69"/>
  </r>
  <r>
    <n v="735"/>
    <n v="5316"/>
    <d v="2009-01-30T00:00:00"/>
    <s v="Critical"/>
    <x v="57"/>
    <x v="0"/>
    <x v="0"/>
    <s v="Corporate"/>
    <x v="2"/>
    <x v="5"/>
    <n v="1285.3699999999999"/>
    <n v="31.78"/>
  </r>
  <r>
    <n v="736"/>
    <n v="5317"/>
    <d v="2009-09-08T00:00:00"/>
    <s v="Low"/>
    <x v="334"/>
    <x v="28"/>
    <x v="1"/>
    <s v="Small Business"/>
    <x v="0"/>
    <x v="12"/>
    <n v="212.57"/>
    <n v="5.34"/>
  </r>
  <r>
    <n v="737"/>
    <n v="5317"/>
    <d v="2009-09-08T00:00:00"/>
    <s v="Low"/>
    <x v="334"/>
    <x v="28"/>
    <x v="1"/>
    <s v="Small Business"/>
    <x v="1"/>
    <x v="11"/>
    <n v="1469.48"/>
    <n v="140.97999999999999"/>
  </r>
  <r>
    <n v="738"/>
    <n v="5317"/>
    <d v="2009-09-08T00:00:00"/>
    <s v="Low"/>
    <x v="334"/>
    <x v="28"/>
    <x v="1"/>
    <s v="Small Business"/>
    <x v="2"/>
    <x v="4"/>
    <n v="4279.24"/>
    <n v="205.99"/>
  </r>
  <r>
    <n v="739"/>
    <n v="5318"/>
    <d v="2010-04-03T00:00:00"/>
    <s v="High"/>
    <x v="54"/>
    <x v="3"/>
    <x v="0"/>
    <s v="Consumer"/>
    <x v="0"/>
    <x v="13"/>
    <n v="1042.25"/>
    <n v="131.12"/>
  </r>
  <r>
    <n v="740"/>
    <n v="5318"/>
    <d v="2010-04-03T00:00:00"/>
    <s v="High"/>
    <x v="54"/>
    <x v="3"/>
    <x v="0"/>
    <s v="Consumer"/>
    <x v="2"/>
    <x v="4"/>
    <n v="5010.7415000000001"/>
    <n v="200.99"/>
  </r>
  <r>
    <n v="741"/>
    <n v="5346"/>
    <d v="2010-12-25T00:00:00"/>
    <s v="Critical"/>
    <x v="141"/>
    <x v="22"/>
    <x v="0"/>
    <s v="Home Office"/>
    <x v="1"/>
    <x v="2"/>
    <n v="2932.99"/>
    <n v="90.98"/>
  </r>
  <r>
    <n v="742"/>
    <n v="5346"/>
    <d v="2010-12-25T00:00:00"/>
    <s v="Critical"/>
    <x v="141"/>
    <x v="22"/>
    <x v="0"/>
    <s v="Home Office"/>
    <x v="1"/>
    <x v="3"/>
    <n v="9194.7999999999993"/>
    <n v="218.75"/>
  </r>
  <r>
    <n v="743"/>
    <n v="5346"/>
    <d v="2010-12-25T00:00:00"/>
    <s v="Critical"/>
    <x v="399"/>
    <x v="22"/>
    <x v="0"/>
    <s v="Home Office"/>
    <x v="1"/>
    <x v="11"/>
    <n v="2285.12"/>
    <n v="140.97999999999999"/>
  </r>
  <r>
    <n v="744"/>
    <n v="5347"/>
    <d v="2011-02-21T00:00:00"/>
    <s v="Medium"/>
    <x v="400"/>
    <x v="25"/>
    <x v="1"/>
    <s v="Corporate"/>
    <x v="2"/>
    <x v="4"/>
    <n v="525.55499999999995"/>
    <n v="85.99"/>
  </r>
  <r>
    <n v="745"/>
    <n v="5347"/>
    <d v="2011-02-21T00:00:00"/>
    <s v="Medium"/>
    <x v="400"/>
    <x v="25"/>
    <x v="1"/>
    <s v="Corporate"/>
    <x v="2"/>
    <x v="4"/>
    <n v="276.029"/>
    <n v="7.99"/>
  </r>
  <r>
    <n v="746"/>
    <n v="5347"/>
    <d v="2011-02-21T00:00:00"/>
    <s v="Medium"/>
    <x v="400"/>
    <x v="25"/>
    <x v="1"/>
    <s v="Corporate"/>
    <x v="2"/>
    <x v="4"/>
    <n v="187.20400000000001"/>
    <n v="205.99"/>
  </r>
  <r>
    <n v="747"/>
    <n v="5350"/>
    <d v="2010-10-09T00:00:00"/>
    <s v="Low"/>
    <x v="401"/>
    <x v="46"/>
    <x v="1"/>
    <s v="Consumer"/>
    <x v="0"/>
    <x v="13"/>
    <n v="434.73"/>
    <n v="11.33"/>
  </r>
  <r>
    <n v="748"/>
    <n v="5350"/>
    <d v="2010-10-09T00:00:00"/>
    <s v="Low"/>
    <x v="402"/>
    <x v="44"/>
    <x v="2"/>
    <s v="Consumer"/>
    <x v="0"/>
    <x v="0"/>
    <n v="7017.42"/>
    <n v="140.85"/>
  </r>
  <r>
    <n v="749"/>
    <n v="5378"/>
    <d v="2012-10-24T00:00:00"/>
    <s v="Critical"/>
    <x v="173"/>
    <x v="34"/>
    <x v="2"/>
    <s v="Corporate"/>
    <x v="1"/>
    <x v="2"/>
    <n v="54.28"/>
    <n v="6.24"/>
  </r>
  <r>
    <n v="750"/>
    <n v="5381"/>
    <d v="2010-01-28T00:00:00"/>
    <s v="Low"/>
    <x v="94"/>
    <x v="5"/>
    <x v="0"/>
    <s v="Home Office"/>
    <x v="1"/>
    <x v="2"/>
    <n v="4888.1400000000003"/>
    <n v="107.53"/>
  </r>
  <r>
    <n v="751"/>
    <n v="5381"/>
    <d v="2010-01-28T00:00:00"/>
    <s v="Low"/>
    <x v="94"/>
    <x v="5"/>
    <x v="0"/>
    <s v="Home Office"/>
    <x v="0"/>
    <x v="9"/>
    <n v="63.87"/>
    <n v="2.1800000000000002"/>
  </r>
  <r>
    <n v="752"/>
    <n v="5382"/>
    <d v="2012-01-12T00:00:00"/>
    <s v="Low"/>
    <x v="43"/>
    <x v="23"/>
    <x v="3"/>
    <s v="Consumer"/>
    <x v="1"/>
    <x v="2"/>
    <n v="260.12"/>
    <n v="8.98"/>
  </r>
  <r>
    <n v="753"/>
    <n v="5408"/>
    <d v="2012-07-20T00:00:00"/>
    <s v="Low"/>
    <x v="231"/>
    <x v="16"/>
    <x v="1"/>
    <s v="Small Business"/>
    <x v="0"/>
    <x v="8"/>
    <n v="88.82"/>
    <n v="4.13"/>
  </r>
  <r>
    <n v="754"/>
    <n v="5408"/>
    <d v="2012-07-20T00:00:00"/>
    <s v="Low"/>
    <x v="231"/>
    <x v="16"/>
    <x v="1"/>
    <s v="Small Business"/>
    <x v="1"/>
    <x v="2"/>
    <n v="2392.23"/>
    <n v="209.84"/>
  </r>
  <r>
    <n v="755"/>
    <n v="5409"/>
    <d v="2012-01-08T00:00:00"/>
    <s v="Low"/>
    <x v="403"/>
    <x v="0"/>
    <x v="0"/>
    <s v="Corporate"/>
    <x v="0"/>
    <x v="9"/>
    <n v="48.91"/>
    <n v="3.98"/>
  </r>
  <r>
    <n v="756"/>
    <n v="5414"/>
    <d v="2010-03-24T00:00:00"/>
    <s v="Not Specified"/>
    <x v="43"/>
    <x v="23"/>
    <x v="3"/>
    <s v="Corporate"/>
    <x v="0"/>
    <x v="0"/>
    <n v="284.62"/>
    <n v="20.98"/>
  </r>
  <r>
    <n v="757"/>
    <n v="5441"/>
    <d v="2009-07-20T00:00:00"/>
    <s v="Not Specified"/>
    <x v="404"/>
    <x v="1"/>
    <x v="1"/>
    <s v="Consumer"/>
    <x v="0"/>
    <x v="9"/>
    <n v="226.83"/>
    <n v="6.48"/>
  </r>
  <r>
    <n v="758"/>
    <n v="5441"/>
    <d v="2009-07-20T00:00:00"/>
    <s v="Not Specified"/>
    <x v="404"/>
    <x v="1"/>
    <x v="1"/>
    <s v="Consumer"/>
    <x v="0"/>
    <x v="0"/>
    <n v="278.92"/>
    <n v="17.149999999999999"/>
  </r>
  <r>
    <n v="759"/>
    <n v="5444"/>
    <d v="2011-03-17T00:00:00"/>
    <s v="Critical"/>
    <x v="405"/>
    <x v="5"/>
    <x v="0"/>
    <s v="Small Business"/>
    <x v="2"/>
    <x v="16"/>
    <n v="885.94"/>
    <n v="449.99"/>
  </r>
  <r>
    <n v="760"/>
    <n v="5445"/>
    <d v="2010-07-25T00:00:00"/>
    <s v="Low"/>
    <x v="406"/>
    <x v="14"/>
    <x v="0"/>
    <s v="Home Office"/>
    <x v="0"/>
    <x v="8"/>
    <n v="29.42"/>
    <n v="3.69"/>
  </r>
  <r>
    <n v="761"/>
    <n v="5445"/>
    <d v="2010-07-25T00:00:00"/>
    <s v="Low"/>
    <x v="406"/>
    <x v="14"/>
    <x v="0"/>
    <s v="Home Office"/>
    <x v="0"/>
    <x v="6"/>
    <n v="46.48"/>
    <n v="4.63"/>
  </r>
  <r>
    <n v="762"/>
    <n v="5446"/>
    <d v="2009-06-20T00:00:00"/>
    <s v="Low"/>
    <x v="120"/>
    <x v="30"/>
    <x v="0"/>
    <s v="Corporate"/>
    <x v="0"/>
    <x v="14"/>
    <n v="433.68"/>
    <n v="10.98"/>
  </r>
  <r>
    <n v="763"/>
    <n v="5472"/>
    <d v="2010-04-10T00:00:00"/>
    <s v="Low"/>
    <x v="320"/>
    <x v="16"/>
    <x v="1"/>
    <s v="Corporate"/>
    <x v="0"/>
    <x v="9"/>
    <n v="216.08"/>
    <n v="6.48"/>
  </r>
  <r>
    <n v="764"/>
    <n v="5472"/>
    <d v="2010-04-10T00:00:00"/>
    <s v="Low"/>
    <x v="320"/>
    <x v="16"/>
    <x v="1"/>
    <s v="Corporate"/>
    <x v="0"/>
    <x v="0"/>
    <n v="339.03"/>
    <n v="13.48"/>
  </r>
  <r>
    <n v="765"/>
    <n v="5472"/>
    <d v="2010-04-10T00:00:00"/>
    <s v="Low"/>
    <x v="320"/>
    <x v="16"/>
    <x v="1"/>
    <s v="Corporate"/>
    <x v="2"/>
    <x v="4"/>
    <n v="1098.1490000000001"/>
    <n v="115.99"/>
  </r>
  <r>
    <n v="766"/>
    <n v="5473"/>
    <d v="2012-03-24T00:00:00"/>
    <s v="Not Specified"/>
    <x v="255"/>
    <x v="22"/>
    <x v="0"/>
    <s v="Small Business"/>
    <x v="0"/>
    <x v="14"/>
    <n v="355.69"/>
    <n v="8.74"/>
  </r>
  <r>
    <n v="767"/>
    <n v="5504"/>
    <d v="2010-01-05T00:00:00"/>
    <s v="High"/>
    <x v="407"/>
    <x v="20"/>
    <x v="0"/>
    <s v="Small Business"/>
    <x v="0"/>
    <x v="9"/>
    <n v="49.55"/>
    <n v="5.78"/>
  </r>
  <r>
    <n v="768"/>
    <n v="5504"/>
    <d v="2010-01-05T00:00:00"/>
    <s v="High"/>
    <x v="407"/>
    <x v="20"/>
    <x v="0"/>
    <s v="Small Business"/>
    <x v="2"/>
    <x v="4"/>
    <n v="606.55999999999995"/>
    <n v="45.99"/>
  </r>
  <r>
    <n v="769"/>
    <n v="5506"/>
    <d v="2010-11-07T00:00:00"/>
    <s v="Critical"/>
    <x v="408"/>
    <x v="0"/>
    <x v="0"/>
    <s v="Corporate"/>
    <x v="0"/>
    <x v="9"/>
    <n v="129.62"/>
    <n v="5.88"/>
  </r>
  <r>
    <n v="770"/>
    <n v="5509"/>
    <d v="2009-04-07T00:00:00"/>
    <s v="Low"/>
    <x v="409"/>
    <x v="9"/>
    <x v="1"/>
    <s v="Home Office"/>
    <x v="0"/>
    <x v="14"/>
    <n v="68.459999999999994"/>
    <n v="5.58"/>
  </r>
  <r>
    <n v="771"/>
    <n v="5509"/>
    <d v="2009-04-07T00:00:00"/>
    <s v="Low"/>
    <x v="409"/>
    <x v="9"/>
    <x v="1"/>
    <s v="Home Office"/>
    <x v="1"/>
    <x v="2"/>
    <n v="885.23"/>
    <n v="40.89"/>
  </r>
  <r>
    <n v="772"/>
    <n v="5510"/>
    <d v="2010-01-07T00:00:00"/>
    <s v="Medium"/>
    <x v="410"/>
    <x v="13"/>
    <x v="3"/>
    <s v="Home Office"/>
    <x v="0"/>
    <x v="9"/>
    <n v="116.38"/>
    <n v="9.68"/>
  </r>
  <r>
    <n v="773"/>
    <n v="5511"/>
    <d v="2009-11-28T00:00:00"/>
    <s v="Critical"/>
    <x v="167"/>
    <x v="17"/>
    <x v="0"/>
    <s v="Corporate"/>
    <x v="0"/>
    <x v="6"/>
    <n v="129.44"/>
    <n v="2.58"/>
  </r>
  <r>
    <n v="774"/>
    <n v="5511"/>
    <d v="2009-11-28T00:00:00"/>
    <s v="Critical"/>
    <x v="167"/>
    <x v="17"/>
    <x v="0"/>
    <s v="Corporate"/>
    <x v="2"/>
    <x v="4"/>
    <n v="1829.3869999999997"/>
    <n v="65.989999999999995"/>
  </r>
  <r>
    <n v="775"/>
    <n v="5538"/>
    <d v="2010-12-24T00:00:00"/>
    <s v="Critical"/>
    <x v="302"/>
    <x v="33"/>
    <x v="0"/>
    <s v="Consumer"/>
    <x v="0"/>
    <x v="12"/>
    <n v="1281.28"/>
    <n v="29.17"/>
  </r>
  <r>
    <n v="776"/>
    <n v="5538"/>
    <d v="2010-12-24T00:00:00"/>
    <s v="Critical"/>
    <x v="302"/>
    <x v="33"/>
    <x v="0"/>
    <s v="Consumer"/>
    <x v="1"/>
    <x v="3"/>
    <n v="1940.31"/>
    <n v="146.05000000000001"/>
  </r>
  <r>
    <n v="777"/>
    <n v="5538"/>
    <d v="2010-12-24T00:00:00"/>
    <s v="Critical"/>
    <x v="302"/>
    <x v="33"/>
    <x v="0"/>
    <s v="Consumer"/>
    <x v="2"/>
    <x v="4"/>
    <n v="430.84800000000001"/>
    <n v="125.99"/>
  </r>
  <r>
    <n v="778"/>
    <n v="5543"/>
    <d v="2010-09-24T00:00:00"/>
    <s v="Medium"/>
    <x v="411"/>
    <x v="7"/>
    <x v="3"/>
    <s v="Corporate"/>
    <x v="0"/>
    <x v="13"/>
    <n v="703.54"/>
    <n v="48.58"/>
  </r>
  <r>
    <n v="779"/>
    <n v="5543"/>
    <d v="2010-09-24T00:00:00"/>
    <s v="Medium"/>
    <x v="9"/>
    <x v="7"/>
    <x v="3"/>
    <s v="Corporate"/>
    <x v="0"/>
    <x v="9"/>
    <n v="65.930000000000007"/>
    <n v="10.31"/>
  </r>
  <r>
    <n v="780"/>
    <n v="5543"/>
    <d v="2010-09-24T00:00:00"/>
    <s v="Medium"/>
    <x v="9"/>
    <x v="7"/>
    <x v="3"/>
    <s v="Corporate"/>
    <x v="0"/>
    <x v="1"/>
    <n v="67.3"/>
    <n v="2.1800000000000002"/>
  </r>
  <r>
    <n v="781"/>
    <n v="5568"/>
    <d v="2011-06-06T00:00:00"/>
    <s v="Medium"/>
    <x v="412"/>
    <x v="11"/>
    <x v="2"/>
    <s v="Home Office"/>
    <x v="1"/>
    <x v="2"/>
    <n v="120.22"/>
    <n v="14.34"/>
  </r>
  <r>
    <n v="782"/>
    <n v="5569"/>
    <d v="2010-04-29T00:00:00"/>
    <s v="Not Specified"/>
    <x v="413"/>
    <x v="0"/>
    <x v="0"/>
    <s v="Corporate"/>
    <x v="1"/>
    <x v="2"/>
    <n v="118.97"/>
    <n v="9.65"/>
  </r>
  <r>
    <n v="783"/>
    <n v="5572"/>
    <d v="2009-07-16T00:00:00"/>
    <s v="High"/>
    <x v="49"/>
    <x v="10"/>
    <x v="0"/>
    <s v="Corporate"/>
    <x v="2"/>
    <x v="5"/>
    <n v="288.55"/>
    <n v="7.37"/>
  </r>
  <r>
    <n v="784"/>
    <n v="5575"/>
    <d v="2011-07-23T00:00:00"/>
    <s v="Low"/>
    <x v="414"/>
    <x v="18"/>
    <x v="2"/>
    <s v="Corporate"/>
    <x v="0"/>
    <x v="9"/>
    <n v="254.69"/>
    <n v="5.98"/>
  </r>
  <r>
    <n v="785"/>
    <n v="5601"/>
    <d v="2012-01-05T00:00:00"/>
    <s v="High"/>
    <x v="415"/>
    <x v="5"/>
    <x v="0"/>
    <s v="Consumer"/>
    <x v="1"/>
    <x v="2"/>
    <n v="120.53"/>
    <n v="12.22"/>
  </r>
  <r>
    <n v="786"/>
    <n v="5607"/>
    <d v="2011-12-31T00:00:00"/>
    <s v="Not Specified"/>
    <x v="416"/>
    <x v="0"/>
    <x v="0"/>
    <s v="Home Office"/>
    <x v="2"/>
    <x v="4"/>
    <n v="61.871500000000005"/>
    <n v="7.99"/>
  </r>
  <r>
    <n v="787"/>
    <n v="5635"/>
    <d v="2012-08-15T00:00:00"/>
    <s v="Medium"/>
    <x v="417"/>
    <x v="15"/>
    <x v="2"/>
    <s v="Corporate"/>
    <x v="0"/>
    <x v="12"/>
    <n v="198.78"/>
    <n v="11.5"/>
  </r>
  <r>
    <n v="788"/>
    <n v="5635"/>
    <d v="2012-08-15T00:00:00"/>
    <s v="Medium"/>
    <x v="417"/>
    <x v="15"/>
    <x v="2"/>
    <s v="Corporate"/>
    <x v="1"/>
    <x v="2"/>
    <n v="281.58"/>
    <n v="5.77"/>
  </r>
  <r>
    <n v="789"/>
    <n v="5636"/>
    <d v="2011-02-15T00:00:00"/>
    <s v="Medium"/>
    <x v="418"/>
    <x v="7"/>
    <x v="3"/>
    <s v="Small Business"/>
    <x v="0"/>
    <x v="6"/>
    <n v="138.16999999999999"/>
    <n v="5.85"/>
  </r>
  <r>
    <n v="790"/>
    <n v="5639"/>
    <d v="2009-06-01T00:00:00"/>
    <s v="Medium"/>
    <x v="419"/>
    <x v="40"/>
    <x v="3"/>
    <s v="Small Business"/>
    <x v="0"/>
    <x v="0"/>
    <n v="501.38"/>
    <n v="15.31"/>
  </r>
  <r>
    <n v="791"/>
    <n v="5696"/>
    <d v="2011-05-03T00:00:00"/>
    <s v="Critical"/>
    <x v="420"/>
    <x v="15"/>
    <x v="2"/>
    <s v="Consumer"/>
    <x v="0"/>
    <x v="12"/>
    <n v="2206.17"/>
    <n v="525.98"/>
  </r>
  <r>
    <n v="792"/>
    <n v="5696"/>
    <d v="2011-05-03T00:00:00"/>
    <s v="Critical"/>
    <x v="420"/>
    <x v="15"/>
    <x v="2"/>
    <s v="Consumer"/>
    <x v="0"/>
    <x v="12"/>
    <n v="621.12"/>
    <n v="16.510000000000002"/>
  </r>
  <r>
    <n v="793"/>
    <n v="5696"/>
    <d v="2011-05-03T00:00:00"/>
    <s v="Critical"/>
    <x v="420"/>
    <x v="15"/>
    <x v="2"/>
    <s v="Consumer"/>
    <x v="2"/>
    <x v="5"/>
    <n v="175.92"/>
    <n v="5.98"/>
  </r>
  <r>
    <n v="794"/>
    <n v="5697"/>
    <d v="2012-10-04T00:00:00"/>
    <s v="Critical"/>
    <x v="421"/>
    <x v="27"/>
    <x v="3"/>
    <s v="Home Office"/>
    <x v="0"/>
    <x v="0"/>
    <n v="371.68"/>
    <n v="11.29"/>
  </r>
  <r>
    <n v="795"/>
    <n v="5698"/>
    <d v="2009-05-20T00:00:00"/>
    <s v="Medium"/>
    <x v="422"/>
    <x v="22"/>
    <x v="0"/>
    <s v="Consumer"/>
    <x v="0"/>
    <x v="13"/>
    <n v="297.05"/>
    <n v="20.48"/>
  </r>
  <r>
    <n v="796"/>
    <n v="5698"/>
    <d v="2009-05-20T00:00:00"/>
    <s v="Medium"/>
    <x v="422"/>
    <x v="22"/>
    <x v="0"/>
    <s v="Consumer"/>
    <x v="0"/>
    <x v="14"/>
    <n v="108.26"/>
    <n v="15.67"/>
  </r>
  <r>
    <n v="797"/>
    <n v="5699"/>
    <d v="2012-07-29T00:00:00"/>
    <s v="Low"/>
    <x v="423"/>
    <x v="14"/>
    <x v="0"/>
    <s v="Small Business"/>
    <x v="0"/>
    <x v="8"/>
    <n v="9.25"/>
    <n v="4.13"/>
  </r>
  <r>
    <n v="798"/>
    <n v="5699"/>
    <d v="2012-07-29T00:00:00"/>
    <s v="Low"/>
    <x v="423"/>
    <x v="14"/>
    <x v="0"/>
    <s v="Small Business"/>
    <x v="0"/>
    <x v="0"/>
    <n v="573.89"/>
    <n v="14.98"/>
  </r>
  <r>
    <n v="799"/>
    <n v="5702"/>
    <d v="2010-09-06T00:00:00"/>
    <s v="Not Specified"/>
    <x v="424"/>
    <x v="16"/>
    <x v="1"/>
    <s v="Corporate"/>
    <x v="2"/>
    <x v="5"/>
    <n v="2039.39"/>
    <n v="99.99"/>
  </r>
  <r>
    <n v="800"/>
    <n v="5703"/>
    <d v="2010-05-15T00:00:00"/>
    <s v="Medium"/>
    <x v="425"/>
    <x v="10"/>
    <x v="0"/>
    <s v="Consumer"/>
    <x v="0"/>
    <x v="9"/>
    <n v="357.96"/>
    <n v="12.28"/>
  </r>
  <r>
    <n v="801"/>
    <n v="5735"/>
    <d v="2009-12-10T00:00:00"/>
    <s v="Medium"/>
    <x v="56"/>
    <x v="28"/>
    <x v="1"/>
    <s v="Home Office"/>
    <x v="1"/>
    <x v="3"/>
    <n v="2665.64"/>
    <n v="280.98"/>
  </r>
  <r>
    <n v="802"/>
    <n v="5760"/>
    <d v="2009-05-24T00:00:00"/>
    <s v="Not Specified"/>
    <x v="426"/>
    <x v="5"/>
    <x v="0"/>
    <s v="Home Office"/>
    <x v="1"/>
    <x v="15"/>
    <n v="5261.73"/>
    <n v="150.97999999999999"/>
  </r>
  <r>
    <n v="803"/>
    <n v="5764"/>
    <d v="2010-10-02T00:00:00"/>
    <s v="Not Specified"/>
    <x v="427"/>
    <x v="25"/>
    <x v="1"/>
    <s v="Small Business"/>
    <x v="0"/>
    <x v="12"/>
    <n v="193.79"/>
    <n v="8.0399999999999991"/>
  </r>
  <r>
    <n v="804"/>
    <n v="5765"/>
    <d v="2009-12-14T00:00:00"/>
    <s v="Low"/>
    <x v="204"/>
    <x v="2"/>
    <x v="2"/>
    <s v="Corporate"/>
    <x v="0"/>
    <x v="9"/>
    <n v="849.46"/>
    <n v="35.44"/>
  </r>
  <r>
    <n v="805"/>
    <n v="5767"/>
    <d v="2012-04-28T00:00:00"/>
    <s v="High"/>
    <x v="428"/>
    <x v="39"/>
    <x v="1"/>
    <s v="Small Business"/>
    <x v="0"/>
    <x v="12"/>
    <n v="163.54"/>
    <n v="4.13"/>
  </r>
  <r>
    <n v="806"/>
    <n v="5767"/>
    <d v="2012-04-28T00:00:00"/>
    <s v="High"/>
    <x v="428"/>
    <x v="39"/>
    <x v="1"/>
    <s v="Small Business"/>
    <x v="2"/>
    <x v="5"/>
    <n v="2390.54"/>
    <n v="82.99"/>
  </r>
  <r>
    <n v="807"/>
    <n v="5799"/>
    <d v="2011-08-02T00:00:00"/>
    <s v="Critical"/>
    <x v="210"/>
    <x v="17"/>
    <x v="0"/>
    <s v="Small Business"/>
    <x v="0"/>
    <x v="13"/>
    <n v="9626.86"/>
    <n v="294.62"/>
  </r>
  <r>
    <n v="808"/>
    <n v="5828"/>
    <d v="2009-03-05T00:00:00"/>
    <s v="Low"/>
    <x v="338"/>
    <x v="34"/>
    <x v="2"/>
    <s v="Home Office"/>
    <x v="1"/>
    <x v="3"/>
    <n v="6005.21"/>
    <n v="296.18"/>
  </r>
  <r>
    <n v="809"/>
    <n v="5830"/>
    <d v="2010-03-24T00:00:00"/>
    <s v="Medium"/>
    <x v="429"/>
    <x v="31"/>
    <x v="3"/>
    <s v="Corporate"/>
    <x v="1"/>
    <x v="2"/>
    <n v="2012.14"/>
    <n v="40.97"/>
  </r>
  <r>
    <n v="810"/>
    <n v="5856"/>
    <d v="2009-11-05T00:00:00"/>
    <s v="High"/>
    <x v="334"/>
    <x v="28"/>
    <x v="1"/>
    <s v="Small Business"/>
    <x v="1"/>
    <x v="3"/>
    <n v="10307.01"/>
    <n v="230.98"/>
  </r>
  <r>
    <n v="811"/>
    <n v="5858"/>
    <d v="2012-07-13T00:00:00"/>
    <s v="Not Specified"/>
    <x v="5"/>
    <x v="4"/>
    <x v="1"/>
    <s v="Small Business"/>
    <x v="0"/>
    <x v="13"/>
    <n v="2531.66"/>
    <n v="50.98"/>
  </r>
  <r>
    <n v="812"/>
    <n v="5858"/>
    <d v="2012-07-13T00:00:00"/>
    <s v="Not Specified"/>
    <x v="430"/>
    <x v="4"/>
    <x v="1"/>
    <s v="Small Business"/>
    <x v="2"/>
    <x v="4"/>
    <n v="5382.3104999999996"/>
    <n v="205.99"/>
  </r>
  <r>
    <n v="813"/>
    <n v="5860"/>
    <d v="2012-02-19T00:00:00"/>
    <s v="Not Specified"/>
    <x v="279"/>
    <x v="25"/>
    <x v="1"/>
    <s v="Consumer"/>
    <x v="0"/>
    <x v="6"/>
    <n v="56.73"/>
    <n v="4.84"/>
  </r>
  <r>
    <n v="814"/>
    <n v="5863"/>
    <d v="2010-11-21T00:00:00"/>
    <s v="Medium"/>
    <x v="431"/>
    <x v="33"/>
    <x v="0"/>
    <s v="Corporate"/>
    <x v="1"/>
    <x v="2"/>
    <n v="933.21"/>
    <n v="22.98"/>
  </r>
  <r>
    <n v="815"/>
    <n v="5890"/>
    <d v="2012-11-03T00:00:00"/>
    <s v="High"/>
    <x v="392"/>
    <x v="17"/>
    <x v="0"/>
    <s v="Consumer"/>
    <x v="2"/>
    <x v="4"/>
    <n v="813.53499999999997"/>
    <n v="20.99"/>
  </r>
  <r>
    <n v="816"/>
    <n v="5891"/>
    <d v="2012-12-28T00:00:00"/>
    <s v="Medium"/>
    <x v="56"/>
    <x v="28"/>
    <x v="1"/>
    <s v="Home Office"/>
    <x v="0"/>
    <x v="12"/>
    <n v="44.45"/>
    <n v="20.98"/>
  </r>
  <r>
    <n v="817"/>
    <n v="5894"/>
    <d v="2009-08-12T00:00:00"/>
    <s v="High"/>
    <x v="432"/>
    <x v="0"/>
    <x v="0"/>
    <s v="Corporate"/>
    <x v="0"/>
    <x v="12"/>
    <n v="384.33"/>
    <n v="58.1"/>
  </r>
  <r>
    <n v="818"/>
    <n v="5894"/>
    <d v="2009-08-12T00:00:00"/>
    <s v="High"/>
    <x v="89"/>
    <x v="0"/>
    <x v="0"/>
    <s v="Corporate"/>
    <x v="0"/>
    <x v="13"/>
    <n v="239.03"/>
    <n v="80.48"/>
  </r>
  <r>
    <n v="819"/>
    <n v="5920"/>
    <d v="2009-11-19T00:00:00"/>
    <s v="High"/>
    <x v="433"/>
    <x v="10"/>
    <x v="0"/>
    <s v="Consumer"/>
    <x v="0"/>
    <x v="0"/>
    <n v="582.59"/>
    <n v="155.06"/>
  </r>
  <r>
    <n v="820"/>
    <n v="5921"/>
    <d v="2009-04-06T00:00:00"/>
    <s v="Low"/>
    <x v="434"/>
    <x v="15"/>
    <x v="2"/>
    <s v="Corporate"/>
    <x v="0"/>
    <x v="0"/>
    <n v="384.74"/>
    <n v="13.43"/>
  </r>
  <r>
    <n v="821"/>
    <n v="5925"/>
    <d v="2011-11-12T00:00:00"/>
    <s v="Low"/>
    <x v="435"/>
    <x v="0"/>
    <x v="0"/>
    <s v="Home Office"/>
    <x v="1"/>
    <x v="2"/>
    <n v="3922.42"/>
    <n v="92.23"/>
  </r>
  <r>
    <n v="822"/>
    <n v="5925"/>
    <d v="2011-11-12T00:00:00"/>
    <s v="Low"/>
    <x v="435"/>
    <x v="0"/>
    <x v="0"/>
    <s v="Home Office"/>
    <x v="2"/>
    <x v="4"/>
    <n v="1733.3625"/>
    <n v="85.99"/>
  </r>
  <r>
    <n v="823"/>
    <n v="5954"/>
    <d v="2012-12-02T00:00:00"/>
    <s v="Critical"/>
    <x v="310"/>
    <x v="18"/>
    <x v="2"/>
    <s v="Corporate"/>
    <x v="2"/>
    <x v="10"/>
    <n v="18316.3"/>
    <n v="596.98"/>
  </r>
  <r>
    <n v="824"/>
    <n v="5957"/>
    <d v="2010-12-26T00:00:00"/>
    <s v="High"/>
    <x v="119"/>
    <x v="36"/>
    <x v="2"/>
    <s v="Small Business"/>
    <x v="0"/>
    <x v="9"/>
    <n v="68.319999999999993"/>
    <n v="4.28"/>
  </r>
  <r>
    <n v="825"/>
    <n v="5957"/>
    <d v="2010-12-26T00:00:00"/>
    <s v="High"/>
    <x v="436"/>
    <x v="36"/>
    <x v="2"/>
    <s v="Small Business"/>
    <x v="1"/>
    <x v="11"/>
    <n v="536.38"/>
    <n v="150.97999999999999"/>
  </r>
  <r>
    <n v="826"/>
    <n v="5957"/>
    <d v="2010-12-26T00:00:00"/>
    <s v="High"/>
    <x v="436"/>
    <x v="36"/>
    <x v="2"/>
    <s v="Small Business"/>
    <x v="2"/>
    <x v="4"/>
    <n v="391.87549999999999"/>
    <n v="20.99"/>
  </r>
  <r>
    <n v="827"/>
    <n v="5958"/>
    <d v="2011-09-15T00:00:00"/>
    <s v="Medium"/>
    <x v="437"/>
    <x v="16"/>
    <x v="1"/>
    <s v="Small Business"/>
    <x v="2"/>
    <x v="16"/>
    <n v="2036.97"/>
    <n v="699.99"/>
  </r>
  <r>
    <n v="828"/>
    <n v="5958"/>
    <d v="2011-09-15T00:00:00"/>
    <s v="Medium"/>
    <x v="384"/>
    <x v="16"/>
    <x v="1"/>
    <s v="Small Business"/>
    <x v="1"/>
    <x v="3"/>
    <n v="2629.6640000000002"/>
    <n v="159.31"/>
  </r>
  <r>
    <n v="829"/>
    <n v="5984"/>
    <d v="2009-06-17T00:00:00"/>
    <s v="Low"/>
    <x v="220"/>
    <x v="16"/>
    <x v="1"/>
    <s v="Consumer"/>
    <x v="0"/>
    <x v="13"/>
    <n v="394.62"/>
    <n v="10.89"/>
  </r>
  <r>
    <n v="830"/>
    <n v="5984"/>
    <d v="2009-06-17T00:00:00"/>
    <s v="Low"/>
    <x v="220"/>
    <x v="16"/>
    <x v="1"/>
    <s v="Consumer"/>
    <x v="1"/>
    <x v="2"/>
    <n v="464.64"/>
    <n v="10.64"/>
  </r>
  <r>
    <n v="831"/>
    <n v="5984"/>
    <d v="2009-06-17T00:00:00"/>
    <s v="Low"/>
    <x v="220"/>
    <x v="16"/>
    <x v="1"/>
    <s v="Consumer"/>
    <x v="1"/>
    <x v="2"/>
    <n v="96.68"/>
    <n v="7.96"/>
  </r>
  <r>
    <n v="832"/>
    <n v="5986"/>
    <d v="2012-04-21T00:00:00"/>
    <s v="High"/>
    <x v="438"/>
    <x v="27"/>
    <x v="3"/>
    <s v="Small Business"/>
    <x v="0"/>
    <x v="13"/>
    <n v="5556.18"/>
    <n v="120.98"/>
  </r>
  <r>
    <n v="833"/>
    <n v="5986"/>
    <d v="2012-04-21T00:00:00"/>
    <s v="High"/>
    <x v="438"/>
    <x v="27"/>
    <x v="3"/>
    <s v="Small Business"/>
    <x v="1"/>
    <x v="15"/>
    <n v="1021.55"/>
    <n v="50.98"/>
  </r>
  <r>
    <n v="834"/>
    <n v="5986"/>
    <d v="2012-04-21T00:00:00"/>
    <s v="High"/>
    <x v="438"/>
    <x v="27"/>
    <x v="3"/>
    <s v="Small Business"/>
    <x v="2"/>
    <x v="5"/>
    <n v="205.24"/>
    <n v="4.8899999999999997"/>
  </r>
  <r>
    <n v="835"/>
    <n v="5988"/>
    <d v="2010-11-21T00:00:00"/>
    <s v="Not Specified"/>
    <x v="37"/>
    <x v="3"/>
    <x v="0"/>
    <s v="Home Office"/>
    <x v="2"/>
    <x v="16"/>
    <n v="19109.61"/>
    <n v="499.99"/>
  </r>
  <r>
    <n v="836"/>
    <n v="5989"/>
    <d v="2011-10-14T00:00:00"/>
    <s v="Medium"/>
    <x v="141"/>
    <x v="16"/>
    <x v="1"/>
    <s v="Corporate"/>
    <x v="0"/>
    <x v="13"/>
    <n v="155.47999999999999"/>
    <n v="25.98"/>
  </r>
  <r>
    <n v="837"/>
    <n v="5989"/>
    <d v="2011-10-14T00:00:00"/>
    <s v="Medium"/>
    <x v="141"/>
    <x v="16"/>
    <x v="1"/>
    <s v="Corporate"/>
    <x v="0"/>
    <x v="6"/>
    <n v="56.77"/>
    <n v="2.78"/>
  </r>
  <r>
    <n v="838"/>
    <n v="5990"/>
    <d v="2010-04-07T00:00:00"/>
    <s v="Critical"/>
    <x v="439"/>
    <x v="16"/>
    <x v="1"/>
    <s v="Home Office"/>
    <x v="0"/>
    <x v="9"/>
    <n v="63.91"/>
    <n v="6.48"/>
  </r>
  <r>
    <n v="839"/>
    <n v="6016"/>
    <d v="2012-01-20T00:00:00"/>
    <s v="High"/>
    <x v="440"/>
    <x v="0"/>
    <x v="0"/>
    <s v="Home Office"/>
    <x v="0"/>
    <x v="9"/>
    <n v="208.28"/>
    <n v="11.48"/>
  </r>
  <r>
    <n v="840"/>
    <n v="6018"/>
    <d v="2012-08-18T00:00:00"/>
    <s v="Low"/>
    <x v="301"/>
    <x v="18"/>
    <x v="2"/>
    <s v="Home Office"/>
    <x v="1"/>
    <x v="2"/>
    <n v="206.09"/>
    <n v="5.08"/>
  </r>
  <r>
    <n v="841"/>
    <n v="6018"/>
    <d v="2012-08-18T00:00:00"/>
    <s v="Low"/>
    <x v="398"/>
    <x v="18"/>
    <x v="2"/>
    <s v="Home Office"/>
    <x v="0"/>
    <x v="9"/>
    <n v="124.25"/>
    <n v="55.98"/>
  </r>
  <r>
    <n v="842"/>
    <n v="6020"/>
    <d v="2009-09-21T00:00:00"/>
    <s v="Medium"/>
    <x v="441"/>
    <x v="11"/>
    <x v="2"/>
    <s v="Corporate"/>
    <x v="0"/>
    <x v="8"/>
    <n v="66.09"/>
    <n v="2.88"/>
  </r>
  <r>
    <n v="843"/>
    <n v="6050"/>
    <d v="2010-03-28T00:00:00"/>
    <s v="Low"/>
    <x v="442"/>
    <x v="7"/>
    <x v="3"/>
    <s v="Small Business"/>
    <x v="2"/>
    <x v="10"/>
    <n v="261.94"/>
    <n v="80.97"/>
  </r>
  <r>
    <n v="844"/>
    <n v="6050"/>
    <d v="2010-03-28T00:00:00"/>
    <s v="Low"/>
    <x v="442"/>
    <x v="7"/>
    <x v="3"/>
    <s v="Small Business"/>
    <x v="1"/>
    <x v="3"/>
    <n v="9574.82"/>
    <n v="209.37"/>
  </r>
  <r>
    <n v="845"/>
    <n v="6053"/>
    <d v="2010-12-11T00:00:00"/>
    <s v="Medium"/>
    <x v="443"/>
    <x v="27"/>
    <x v="3"/>
    <s v="Corporate"/>
    <x v="0"/>
    <x v="12"/>
    <n v="16.079999999999998"/>
    <n v="3.8"/>
  </r>
  <r>
    <n v="846"/>
    <n v="6054"/>
    <d v="2011-09-08T00:00:00"/>
    <s v="Low"/>
    <x v="164"/>
    <x v="16"/>
    <x v="1"/>
    <s v="Corporate"/>
    <x v="1"/>
    <x v="2"/>
    <n v="27.32"/>
    <n v="2.08"/>
  </r>
  <r>
    <n v="847"/>
    <n v="6054"/>
    <d v="2011-09-08T00:00:00"/>
    <s v="Low"/>
    <x v="164"/>
    <x v="16"/>
    <x v="1"/>
    <s v="Corporate"/>
    <x v="0"/>
    <x v="0"/>
    <n v="643.30999999999995"/>
    <n v="15.42"/>
  </r>
  <r>
    <n v="848"/>
    <n v="6086"/>
    <d v="2011-09-22T00:00:00"/>
    <s v="Critical"/>
    <x v="444"/>
    <x v="12"/>
    <x v="3"/>
    <s v="Corporate"/>
    <x v="0"/>
    <x v="9"/>
    <n v="1734.72"/>
    <n v="35.44"/>
  </r>
  <r>
    <n v="849"/>
    <n v="6112"/>
    <d v="2009-08-23T00:00:00"/>
    <s v="Medium"/>
    <x v="441"/>
    <x v="11"/>
    <x v="2"/>
    <s v="Corporate"/>
    <x v="1"/>
    <x v="3"/>
    <n v="1597.37"/>
    <n v="146.05000000000001"/>
  </r>
  <r>
    <n v="850"/>
    <n v="6112"/>
    <d v="2009-08-23T00:00:00"/>
    <s v="Medium"/>
    <x v="441"/>
    <x v="11"/>
    <x v="2"/>
    <s v="Corporate"/>
    <x v="2"/>
    <x v="4"/>
    <n v="1753.9579999999999"/>
    <n v="65.989999999999995"/>
  </r>
  <r>
    <n v="851"/>
    <n v="6115"/>
    <d v="2010-09-11T00:00:00"/>
    <s v="Medium"/>
    <x v="54"/>
    <x v="3"/>
    <x v="0"/>
    <s v="Consumer"/>
    <x v="1"/>
    <x v="2"/>
    <n v="409.08"/>
    <n v="17.78"/>
  </r>
  <r>
    <n v="852"/>
    <n v="6116"/>
    <d v="2009-03-20T00:00:00"/>
    <s v="Medium"/>
    <x v="445"/>
    <x v="31"/>
    <x v="3"/>
    <s v="Corporate"/>
    <x v="2"/>
    <x v="5"/>
    <n v="150.77000000000001"/>
    <n v="19.98"/>
  </r>
  <r>
    <n v="853"/>
    <n v="6116"/>
    <d v="2009-03-20T00:00:00"/>
    <s v="Medium"/>
    <x v="446"/>
    <x v="0"/>
    <x v="0"/>
    <s v="Corporate"/>
    <x v="0"/>
    <x v="1"/>
    <n v="9620.82"/>
    <n v="1637.53"/>
  </r>
  <r>
    <n v="854"/>
    <n v="6117"/>
    <d v="2012-12-21T00:00:00"/>
    <s v="Critical"/>
    <x v="279"/>
    <x v="25"/>
    <x v="1"/>
    <s v="Home Office"/>
    <x v="1"/>
    <x v="2"/>
    <n v="157.03"/>
    <n v="22.23"/>
  </r>
  <r>
    <n v="855"/>
    <n v="6144"/>
    <d v="2009-06-21T00:00:00"/>
    <s v="Critical"/>
    <x v="447"/>
    <x v="22"/>
    <x v="0"/>
    <s v="Corporate"/>
    <x v="0"/>
    <x v="8"/>
    <n v="67.349999999999994"/>
    <n v="2.88"/>
  </r>
  <r>
    <n v="856"/>
    <n v="6144"/>
    <d v="2009-06-21T00:00:00"/>
    <s v="Critical"/>
    <x v="447"/>
    <x v="22"/>
    <x v="0"/>
    <s v="Corporate"/>
    <x v="1"/>
    <x v="3"/>
    <n v="1472.31"/>
    <n v="348.21"/>
  </r>
  <r>
    <n v="857"/>
    <n v="6148"/>
    <d v="2011-12-24T00:00:00"/>
    <s v="Medium"/>
    <x v="448"/>
    <x v="7"/>
    <x v="3"/>
    <s v="Small Business"/>
    <x v="1"/>
    <x v="2"/>
    <n v="510.56"/>
    <n v="10.64"/>
  </r>
  <r>
    <n v="858"/>
    <n v="6148"/>
    <d v="2011-12-24T00:00:00"/>
    <s v="Medium"/>
    <x v="448"/>
    <x v="7"/>
    <x v="3"/>
    <s v="Small Business"/>
    <x v="1"/>
    <x v="2"/>
    <n v="389.52"/>
    <n v="20.28"/>
  </r>
  <r>
    <n v="859"/>
    <n v="6150"/>
    <d v="2012-10-01T00:00:00"/>
    <s v="Critical"/>
    <x v="449"/>
    <x v="6"/>
    <x v="1"/>
    <s v="Small Business"/>
    <x v="0"/>
    <x v="9"/>
    <n v="191.14"/>
    <n v="4.9800000000000004"/>
  </r>
  <r>
    <n v="860"/>
    <n v="6179"/>
    <d v="2009-06-02T00:00:00"/>
    <s v="Not Specified"/>
    <x v="212"/>
    <x v="42"/>
    <x v="3"/>
    <s v="Consumer"/>
    <x v="0"/>
    <x v="14"/>
    <n v="477.53"/>
    <n v="9.7799999999999994"/>
  </r>
  <r>
    <n v="861"/>
    <n v="6179"/>
    <d v="2009-06-02T00:00:00"/>
    <s v="Not Specified"/>
    <x v="212"/>
    <x v="42"/>
    <x v="3"/>
    <s v="Consumer"/>
    <x v="2"/>
    <x v="4"/>
    <n v="2690.7514999999999"/>
    <n v="200.99"/>
  </r>
  <r>
    <n v="862"/>
    <n v="6180"/>
    <d v="2011-04-11T00:00:00"/>
    <s v="Medium"/>
    <x v="450"/>
    <x v="24"/>
    <x v="1"/>
    <s v="Home Office"/>
    <x v="2"/>
    <x v="4"/>
    <n v="2443.3420000000001"/>
    <n v="65.989999999999995"/>
  </r>
  <r>
    <n v="863"/>
    <n v="6182"/>
    <d v="2012-07-21T00:00:00"/>
    <s v="Low"/>
    <x v="215"/>
    <x v="0"/>
    <x v="0"/>
    <s v="Corporate"/>
    <x v="0"/>
    <x v="9"/>
    <n v="255.48"/>
    <n v="6.48"/>
  </r>
  <r>
    <n v="864"/>
    <n v="6182"/>
    <d v="2012-07-21T00:00:00"/>
    <s v="Low"/>
    <x v="215"/>
    <x v="0"/>
    <x v="0"/>
    <s v="Corporate"/>
    <x v="0"/>
    <x v="9"/>
    <n v="130.32"/>
    <n v="6.48"/>
  </r>
  <r>
    <n v="865"/>
    <n v="6183"/>
    <d v="2012-06-15T00:00:00"/>
    <s v="Medium"/>
    <x v="436"/>
    <x v="36"/>
    <x v="2"/>
    <s v="Small Business"/>
    <x v="0"/>
    <x v="9"/>
    <n v="1991.93"/>
    <n v="48.94"/>
  </r>
  <r>
    <n v="866"/>
    <n v="6211"/>
    <d v="2009-11-23T00:00:00"/>
    <s v="Critical"/>
    <x v="70"/>
    <x v="37"/>
    <x v="2"/>
    <s v="Corporate"/>
    <x v="0"/>
    <x v="12"/>
    <n v="67.72"/>
    <n v="2.16"/>
  </r>
  <r>
    <n v="867"/>
    <n v="6211"/>
    <d v="2009-11-23T00:00:00"/>
    <s v="Critical"/>
    <x v="451"/>
    <x v="37"/>
    <x v="2"/>
    <s v="Corporate"/>
    <x v="0"/>
    <x v="6"/>
    <n v="68.64"/>
    <n v="21.38"/>
  </r>
  <r>
    <n v="868"/>
    <n v="6241"/>
    <d v="2009-12-29T00:00:00"/>
    <s v="Low"/>
    <x v="452"/>
    <x v="15"/>
    <x v="2"/>
    <s v="Small Business"/>
    <x v="0"/>
    <x v="6"/>
    <n v="133.94"/>
    <n v="5.84"/>
  </r>
  <r>
    <n v="869"/>
    <n v="6241"/>
    <d v="2009-12-29T00:00:00"/>
    <s v="Low"/>
    <x v="452"/>
    <x v="15"/>
    <x v="2"/>
    <s v="Small Business"/>
    <x v="2"/>
    <x v="4"/>
    <n v="5433.0895"/>
    <n v="205.99"/>
  </r>
  <r>
    <n v="870"/>
    <n v="6246"/>
    <d v="2009-10-21T00:00:00"/>
    <s v="Not Specified"/>
    <x v="316"/>
    <x v="45"/>
    <x v="0"/>
    <s v="Home Office"/>
    <x v="0"/>
    <x v="7"/>
    <n v="52.38"/>
    <n v="3.93"/>
  </r>
  <r>
    <n v="871"/>
    <n v="6272"/>
    <d v="2010-02-27T00:00:00"/>
    <s v="High"/>
    <x v="412"/>
    <x v="11"/>
    <x v="2"/>
    <s v="Corporate"/>
    <x v="1"/>
    <x v="2"/>
    <n v="497.4"/>
    <n v="14.98"/>
  </r>
  <r>
    <n v="872"/>
    <n v="6272"/>
    <d v="2010-02-27T00:00:00"/>
    <s v="High"/>
    <x v="412"/>
    <x v="11"/>
    <x v="2"/>
    <s v="Corporate"/>
    <x v="1"/>
    <x v="3"/>
    <n v="4965.384"/>
    <n v="124.49"/>
  </r>
  <r>
    <n v="873"/>
    <n v="6272"/>
    <d v="2010-02-27T00:00:00"/>
    <s v="High"/>
    <x v="412"/>
    <x v="11"/>
    <x v="2"/>
    <s v="Corporate"/>
    <x v="2"/>
    <x v="4"/>
    <n v="358.41950000000003"/>
    <n v="55.99"/>
  </r>
  <r>
    <n v="874"/>
    <n v="6272"/>
    <d v="2010-02-27T00:00:00"/>
    <s v="High"/>
    <x v="453"/>
    <x v="11"/>
    <x v="2"/>
    <s v="Corporate"/>
    <x v="1"/>
    <x v="2"/>
    <n v="3232.68"/>
    <n v="105.98"/>
  </r>
  <r>
    <n v="875"/>
    <n v="6274"/>
    <d v="2011-07-14T00:00:00"/>
    <s v="Not Specified"/>
    <x v="89"/>
    <x v="28"/>
    <x v="1"/>
    <s v="Home Office"/>
    <x v="1"/>
    <x v="2"/>
    <n v="46.36"/>
    <n v="1.74"/>
  </r>
  <r>
    <n v="876"/>
    <n v="6279"/>
    <d v="2010-01-29T00:00:00"/>
    <s v="Critical"/>
    <x v="200"/>
    <x v="34"/>
    <x v="2"/>
    <s v="Consumer"/>
    <x v="0"/>
    <x v="12"/>
    <n v="3283.74"/>
    <n v="67.28"/>
  </r>
  <r>
    <n v="877"/>
    <n v="6304"/>
    <d v="2011-08-11T00:00:00"/>
    <s v="High"/>
    <x v="454"/>
    <x v="4"/>
    <x v="1"/>
    <s v="Corporate"/>
    <x v="0"/>
    <x v="9"/>
    <n v="199.11"/>
    <n v="6.48"/>
  </r>
  <r>
    <n v="878"/>
    <n v="6309"/>
    <d v="2010-06-09T00:00:00"/>
    <s v="Medium"/>
    <x v="238"/>
    <x v="28"/>
    <x v="1"/>
    <s v="Corporate"/>
    <x v="0"/>
    <x v="8"/>
    <n v="29.79"/>
    <n v="2.88"/>
  </r>
  <r>
    <n v="879"/>
    <n v="6310"/>
    <d v="2009-05-03T00:00:00"/>
    <s v="Not Specified"/>
    <x v="455"/>
    <x v="6"/>
    <x v="1"/>
    <s v="Consumer"/>
    <x v="1"/>
    <x v="2"/>
    <n v="216.95"/>
    <n v="8.09"/>
  </r>
  <r>
    <n v="880"/>
    <n v="6311"/>
    <d v="2010-02-10T00:00:00"/>
    <s v="Medium"/>
    <x v="49"/>
    <x v="10"/>
    <x v="0"/>
    <s v="Corporate"/>
    <x v="2"/>
    <x v="4"/>
    <n v="1297.4485"/>
    <n v="85.99"/>
  </r>
  <r>
    <n v="881"/>
    <n v="6336"/>
    <d v="2011-08-28T00:00:00"/>
    <s v="High"/>
    <x v="456"/>
    <x v="18"/>
    <x v="2"/>
    <s v="Home Office"/>
    <x v="0"/>
    <x v="12"/>
    <n v="320.26"/>
    <n v="7.1"/>
  </r>
  <r>
    <n v="882"/>
    <n v="6337"/>
    <d v="2011-08-31T00:00:00"/>
    <s v="Not Specified"/>
    <x v="133"/>
    <x v="3"/>
    <x v="0"/>
    <s v="Corporate"/>
    <x v="1"/>
    <x v="2"/>
    <n v="3397.72"/>
    <n v="70.709999999999994"/>
  </r>
  <r>
    <n v="883"/>
    <n v="6337"/>
    <d v="2011-08-31T00:00:00"/>
    <s v="Not Specified"/>
    <x v="133"/>
    <x v="3"/>
    <x v="0"/>
    <s v="Corporate"/>
    <x v="1"/>
    <x v="3"/>
    <n v="449.42"/>
    <n v="376.13"/>
  </r>
  <r>
    <n v="884"/>
    <n v="6339"/>
    <d v="2012-12-11T00:00:00"/>
    <s v="Critical"/>
    <x v="457"/>
    <x v="2"/>
    <x v="2"/>
    <s v="Corporate"/>
    <x v="0"/>
    <x v="0"/>
    <n v="303.69"/>
    <n v="14.98"/>
  </r>
  <r>
    <n v="885"/>
    <n v="6368"/>
    <d v="2009-02-22T00:00:00"/>
    <s v="Not Specified"/>
    <x v="360"/>
    <x v="28"/>
    <x v="1"/>
    <s v="Corporate"/>
    <x v="2"/>
    <x v="10"/>
    <n v="19100.45"/>
    <n v="442.14"/>
  </r>
  <r>
    <n v="886"/>
    <n v="6369"/>
    <d v="2009-12-19T00:00:00"/>
    <s v="High"/>
    <x v="311"/>
    <x v="13"/>
    <x v="3"/>
    <s v="Corporate"/>
    <x v="1"/>
    <x v="3"/>
    <n v="14922.16"/>
    <n v="550.98"/>
  </r>
  <r>
    <n v="887"/>
    <n v="6373"/>
    <d v="2012-01-23T00:00:00"/>
    <s v="Not Specified"/>
    <x v="311"/>
    <x v="13"/>
    <x v="3"/>
    <s v="Home Office"/>
    <x v="0"/>
    <x v="13"/>
    <n v="62.77"/>
    <n v="60.97"/>
  </r>
  <r>
    <n v="888"/>
    <n v="6374"/>
    <d v="2011-08-07T00:00:00"/>
    <s v="Critical"/>
    <x v="458"/>
    <x v="22"/>
    <x v="0"/>
    <s v="Corporate"/>
    <x v="2"/>
    <x v="5"/>
    <n v="857.42"/>
    <n v="31.11"/>
  </r>
  <r>
    <n v="889"/>
    <n v="6374"/>
    <d v="2011-08-07T00:00:00"/>
    <s v="Critical"/>
    <x v="458"/>
    <x v="22"/>
    <x v="0"/>
    <s v="Corporate"/>
    <x v="0"/>
    <x v="7"/>
    <n v="2.2400000000000002"/>
    <n v="1.48"/>
  </r>
  <r>
    <n v="890"/>
    <n v="6402"/>
    <d v="2011-04-23T00:00:00"/>
    <s v="Low"/>
    <x v="459"/>
    <x v="36"/>
    <x v="2"/>
    <s v="Corporate"/>
    <x v="0"/>
    <x v="1"/>
    <n v="373.33"/>
    <n v="10.23"/>
  </r>
  <r>
    <n v="891"/>
    <n v="6403"/>
    <d v="2011-02-11T00:00:00"/>
    <s v="Low"/>
    <x v="166"/>
    <x v="26"/>
    <x v="3"/>
    <s v="Small Business"/>
    <x v="0"/>
    <x v="0"/>
    <n v="17874.259999999998"/>
    <n v="419.19"/>
  </r>
  <r>
    <n v="892"/>
    <n v="6406"/>
    <d v="2009-08-14T00:00:00"/>
    <s v="Critical"/>
    <x v="303"/>
    <x v="15"/>
    <x v="2"/>
    <s v="Home Office"/>
    <x v="0"/>
    <x v="1"/>
    <n v="92.63"/>
    <n v="2.08"/>
  </r>
  <r>
    <n v="893"/>
    <n v="6432"/>
    <d v="2011-11-10T00:00:00"/>
    <s v="Critical"/>
    <x v="131"/>
    <x v="27"/>
    <x v="3"/>
    <s v="Corporate"/>
    <x v="0"/>
    <x v="13"/>
    <n v="311.08"/>
    <n v="10.89"/>
  </r>
  <r>
    <n v="894"/>
    <n v="6433"/>
    <d v="2011-11-22T00:00:00"/>
    <s v="Medium"/>
    <x v="277"/>
    <x v="23"/>
    <x v="3"/>
    <s v="Home Office"/>
    <x v="0"/>
    <x v="8"/>
    <n v="159.26"/>
    <n v="3.69"/>
  </r>
  <r>
    <n v="895"/>
    <n v="6434"/>
    <d v="2009-06-07T00:00:00"/>
    <s v="High"/>
    <x v="216"/>
    <x v="3"/>
    <x v="0"/>
    <s v="Corporate"/>
    <x v="0"/>
    <x v="9"/>
    <n v="59.58"/>
    <n v="4.76"/>
  </r>
  <r>
    <n v="896"/>
    <n v="6438"/>
    <d v="2010-05-16T00:00:00"/>
    <s v="Not Specified"/>
    <x v="460"/>
    <x v="5"/>
    <x v="0"/>
    <s v="Corporate"/>
    <x v="1"/>
    <x v="2"/>
    <n v="75.72"/>
    <n v="9.77"/>
  </r>
  <r>
    <n v="897"/>
    <n v="6438"/>
    <d v="2010-05-16T00:00:00"/>
    <s v="Not Specified"/>
    <x v="460"/>
    <x v="5"/>
    <x v="0"/>
    <s v="Corporate"/>
    <x v="0"/>
    <x v="9"/>
    <n v="225.21"/>
    <n v="5.98"/>
  </r>
  <r>
    <n v="898"/>
    <n v="6464"/>
    <d v="2009-05-28T00:00:00"/>
    <s v="Medium"/>
    <x v="461"/>
    <x v="23"/>
    <x v="3"/>
    <s v="Consumer"/>
    <x v="0"/>
    <x v="13"/>
    <n v="57.84"/>
    <n v="60.97"/>
  </r>
  <r>
    <n v="899"/>
    <n v="6464"/>
    <d v="2009-05-28T00:00:00"/>
    <s v="Medium"/>
    <x v="461"/>
    <x v="23"/>
    <x v="3"/>
    <s v="Consumer"/>
    <x v="1"/>
    <x v="2"/>
    <n v="3991.99"/>
    <n v="90.98"/>
  </r>
  <r>
    <n v="900"/>
    <n v="6465"/>
    <d v="2011-08-12T00:00:00"/>
    <s v="Low"/>
    <x v="377"/>
    <x v="13"/>
    <x v="3"/>
    <s v="Small Business"/>
    <x v="0"/>
    <x v="9"/>
    <n v="240.14"/>
    <n v="6.88"/>
  </r>
  <r>
    <n v="901"/>
    <n v="6498"/>
    <d v="2009-03-17T00:00:00"/>
    <s v="Medium"/>
    <x v="462"/>
    <x v="43"/>
    <x v="3"/>
    <s v="Home Office"/>
    <x v="2"/>
    <x v="5"/>
    <n v="336.85"/>
    <n v="8.1199999999999992"/>
  </r>
  <r>
    <n v="902"/>
    <n v="6500"/>
    <d v="2012-10-12T00:00:00"/>
    <s v="Critical"/>
    <x v="48"/>
    <x v="1"/>
    <x v="1"/>
    <s v="Home Office"/>
    <x v="2"/>
    <x v="5"/>
    <n v="448.07"/>
    <n v="30.42"/>
  </r>
  <r>
    <n v="903"/>
    <n v="6500"/>
    <d v="2012-10-12T00:00:00"/>
    <s v="Critical"/>
    <x v="48"/>
    <x v="1"/>
    <x v="1"/>
    <s v="Home Office"/>
    <x v="0"/>
    <x v="6"/>
    <n v="38.29"/>
    <n v="1.95"/>
  </r>
  <r>
    <n v="904"/>
    <n v="6501"/>
    <d v="2012-01-13T00:00:00"/>
    <s v="High"/>
    <x v="441"/>
    <x v="11"/>
    <x v="2"/>
    <s v="Corporate"/>
    <x v="0"/>
    <x v="9"/>
    <n v="236.99"/>
    <n v="6.48"/>
  </r>
  <r>
    <n v="905"/>
    <n v="6501"/>
    <d v="2012-01-13T00:00:00"/>
    <s v="High"/>
    <x v="463"/>
    <x v="11"/>
    <x v="2"/>
    <s v="Corporate"/>
    <x v="2"/>
    <x v="4"/>
    <n v="4617.3359999999993"/>
    <n v="125.99"/>
  </r>
  <r>
    <n v="906"/>
    <n v="6502"/>
    <d v="2011-08-20T00:00:00"/>
    <s v="Medium"/>
    <x v="421"/>
    <x v="27"/>
    <x v="3"/>
    <s v="Home Office"/>
    <x v="0"/>
    <x v="9"/>
    <n v="116.11"/>
    <n v="7.64"/>
  </r>
  <r>
    <n v="907"/>
    <n v="6502"/>
    <d v="2011-08-20T00:00:00"/>
    <s v="Medium"/>
    <x v="421"/>
    <x v="27"/>
    <x v="3"/>
    <s v="Home Office"/>
    <x v="0"/>
    <x v="9"/>
    <n v="306.92"/>
    <n v="9.99"/>
  </r>
  <r>
    <n v="908"/>
    <n v="6529"/>
    <d v="2012-11-26T00:00:00"/>
    <s v="Medium"/>
    <x v="464"/>
    <x v="11"/>
    <x v="2"/>
    <s v="Small Business"/>
    <x v="0"/>
    <x v="7"/>
    <n v="89.71"/>
    <n v="2.62"/>
  </r>
  <r>
    <n v="909"/>
    <n v="6531"/>
    <d v="2010-07-17T00:00:00"/>
    <s v="High"/>
    <x v="465"/>
    <x v="16"/>
    <x v="1"/>
    <s v="Home Office"/>
    <x v="0"/>
    <x v="13"/>
    <n v="188.23"/>
    <n v="4.37"/>
  </r>
  <r>
    <n v="910"/>
    <n v="6531"/>
    <d v="2010-07-17T00:00:00"/>
    <s v="High"/>
    <x v="465"/>
    <x v="16"/>
    <x v="1"/>
    <s v="Home Office"/>
    <x v="0"/>
    <x v="6"/>
    <n v="541.95000000000005"/>
    <n v="19.84"/>
  </r>
  <r>
    <n v="911"/>
    <n v="6535"/>
    <d v="2012-06-12T00:00:00"/>
    <s v="Critical"/>
    <x v="109"/>
    <x v="0"/>
    <x v="0"/>
    <s v="Corporate"/>
    <x v="0"/>
    <x v="6"/>
    <n v="312.36"/>
    <n v="28.15"/>
  </r>
  <r>
    <n v="912"/>
    <n v="6560"/>
    <d v="2011-01-04T00:00:00"/>
    <s v="Low"/>
    <x v="466"/>
    <x v="29"/>
    <x v="2"/>
    <s v="Corporate"/>
    <x v="0"/>
    <x v="13"/>
    <n v="169.18"/>
    <n v="8.67"/>
  </r>
  <r>
    <n v="913"/>
    <n v="6560"/>
    <d v="2011-01-04T00:00:00"/>
    <s v="Low"/>
    <x v="467"/>
    <x v="29"/>
    <x v="2"/>
    <s v="Corporate"/>
    <x v="1"/>
    <x v="3"/>
    <n v="8252.3919999999998"/>
    <n v="280.98"/>
  </r>
  <r>
    <n v="914"/>
    <n v="6562"/>
    <d v="2009-12-20T00:00:00"/>
    <s v="Critical"/>
    <x v="468"/>
    <x v="1"/>
    <x v="1"/>
    <s v="Consumer"/>
    <x v="2"/>
    <x v="10"/>
    <n v="17274.87"/>
    <n v="1360.14"/>
  </r>
  <r>
    <n v="915"/>
    <n v="6564"/>
    <d v="2011-01-21T00:00:00"/>
    <s v="Low"/>
    <x v="469"/>
    <x v="16"/>
    <x v="1"/>
    <s v="Consumer"/>
    <x v="2"/>
    <x v="5"/>
    <n v="448.23"/>
    <n v="15.98"/>
  </r>
  <r>
    <n v="916"/>
    <n v="6566"/>
    <d v="2011-05-21T00:00:00"/>
    <s v="Critical"/>
    <x v="183"/>
    <x v="16"/>
    <x v="1"/>
    <s v="Corporate"/>
    <x v="2"/>
    <x v="5"/>
    <n v="748.83"/>
    <n v="33.979999999999997"/>
  </r>
  <r>
    <n v="917"/>
    <n v="6592"/>
    <d v="2009-12-01T00:00:00"/>
    <s v="Low"/>
    <x v="68"/>
    <x v="5"/>
    <x v="0"/>
    <s v="Consumer"/>
    <x v="0"/>
    <x v="1"/>
    <n v="194.29"/>
    <n v="6.84"/>
  </r>
  <r>
    <n v="918"/>
    <n v="6592"/>
    <d v="2009-12-01T00:00:00"/>
    <s v="Low"/>
    <x v="68"/>
    <x v="5"/>
    <x v="0"/>
    <s v="Consumer"/>
    <x v="0"/>
    <x v="0"/>
    <n v="1621.1"/>
    <n v="48.91"/>
  </r>
  <r>
    <n v="919"/>
    <n v="6596"/>
    <d v="2011-07-21T00:00:00"/>
    <s v="Low"/>
    <x v="470"/>
    <x v="17"/>
    <x v="0"/>
    <s v="Corporate"/>
    <x v="2"/>
    <x v="10"/>
    <n v="18028.07"/>
    <n v="500.98"/>
  </r>
  <r>
    <n v="920"/>
    <n v="6625"/>
    <d v="2010-08-15T00:00:00"/>
    <s v="High"/>
    <x v="301"/>
    <x v="15"/>
    <x v="2"/>
    <s v="Corporate"/>
    <x v="1"/>
    <x v="11"/>
    <n v="21062.91"/>
    <n v="880.98"/>
  </r>
  <r>
    <n v="921"/>
    <n v="6656"/>
    <d v="2009-05-15T00:00:00"/>
    <s v="Critical"/>
    <x v="471"/>
    <x v="27"/>
    <x v="3"/>
    <s v="Small Business"/>
    <x v="0"/>
    <x v="12"/>
    <n v="1802"/>
    <n v="39.06"/>
  </r>
  <r>
    <n v="922"/>
    <n v="6656"/>
    <d v="2009-05-15T00:00:00"/>
    <s v="Critical"/>
    <x v="471"/>
    <x v="27"/>
    <x v="3"/>
    <s v="Small Business"/>
    <x v="0"/>
    <x v="12"/>
    <n v="1832.22"/>
    <n v="37.700000000000003"/>
  </r>
  <r>
    <n v="923"/>
    <n v="6661"/>
    <d v="2010-04-16T00:00:00"/>
    <s v="Low"/>
    <x v="20"/>
    <x v="4"/>
    <x v="1"/>
    <s v="Small Business"/>
    <x v="2"/>
    <x v="16"/>
    <n v="19224.919999999998"/>
    <n v="449.99"/>
  </r>
  <r>
    <n v="924"/>
    <n v="6661"/>
    <d v="2010-04-16T00:00:00"/>
    <s v="Low"/>
    <x v="20"/>
    <x v="4"/>
    <x v="1"/>
    <s v="Small Business"/>
    <x v="1"/>
    <x v="2"/>
    <n v="778.62"/>
    <n v="19.23"/>
  </r>
  <r>
    <n v="925"/>
    <n v="6693"/>
    <d v="2012-05-24T00:00:00"/>
    <s v="Critical"/>
    <x v="472"/>
    <x v="16"/>
    <x v="1"/>
    <s v="Corporate"/>
    <x v="0"/>
    <x v="7"/>
    <n v="40.85"/>
    <n v="2.62"/>
  </r>
  <r>
    <n v="926"/>
    <n v="6695"/>
    <d v="2012-06-27T00:00:00"/>
    <s v="Low"/>
    <x v="82"/>
    <x v="31"/>
    <x v="3"/>
    <s v="Corporate"/>
    <x v="0"/>
    <x v="12"/>
    <n v="295.24"/>
    <n v="5.81"/>
  </r>
  <r>
    <n v="927"/>
    <n v="6720"/>
    <d v="2010-09-09T00:00:00"/>
    <s v="Not Specified"/>
    <x v="305"/>
    <x v="36"/>
    <x v="2"/>
    <s v="Home Office"/>
    <x v="0"/>
    <x v="12"/>
    <n v="164.62"/>
    <n v="5.18"/>
  </r>
  <r>
    <n v="928"/>
    <n v="6720"/>
    <d v="2010-09-09T00:00:00"/>
    <s v="Not Specified"/>
    <x v="473"/>
    <x v="36"/>
    <x v="2"/>
    <s v="Home Office"/>
    <x v="1"/>
    <x v="11"/>
    <n v="4225.7700000000004"/>
    <n v="120.98"/>
  </r>
  <r>
    <n v="929"/>
    <n v="6720"/>
    <d v="2010-09-09T00:00:00"/>
    <s v="Not Specified"/>
    <x v="473"/>
    <x v="36"/>
    <x v="2"/>
    <s v="Home Office"/>
    <x v="0"/>
    <x v="8"/>
    <n v="53.89"/>
    <n v="6.3"/>
  </r>
  <r>
    <n v="930"/>
    <n v="6727"/>
    <d v="2009-08-29T00:00:00"/>
    <s v="Low"/>
    <x v="474"/>
    <x v="7"/>
    <x v="3"/>
    <s v="Consumer"/>
    <x v="0"/>
    <x v="8"/>
    <n v="33.43"/>
    <n v="2.89"/>
  </r>
  <r>
    <n v="931"/>
    <n v="6753"/>
    <d v="2010-09-26T00:00:00"/>
    <s v="Low"/>
    <x v="51"/>
    <x v="16"/>
    <x v="1"/>
    <s v="Small Business"/>
    <x v="1"/>
    <x v="2"/>
    <n v="53.14"/>
    <n v="6.64"/>
  </r>
  <r>
    <n v="932"/>
    <n v="6754"/>
    <d v="2011-08-11T00:00:00"/>
    <s v="High"/>
    <x v="475"/>
    <x v="26"/>
    <x v="3"/>
    <s v="Corporate"/>
    <x v="2"/>
    <x v="4"/>
    <n v="2388.636"/>
    <n v="205.99"/>
  </r>
  <r>
    <n v="933"/>
    <n v="6755"/>
    <d v="2011-05-01T00:00:00"/>
    <s v="High"/>
    <x v="209"/>
    <x v="5"/>
    <x v="0"/>
    <s v="Home Office"/>
    <x v="0"/>
    <x v="12"/>
    <n v="156.47"/>
    <n v="7.1"/>
  </r>
  <r>
    <n v="934"/>
    <n v="6757"/>
    <d v="2012-02-01T00:00:00"/>
    <s v="Medium"/>
    <x v="288"/>
    <x v="4"/>
    <x v="1"/>
    <s v="Small Business"/>
    <x v="0"/>
    <x v="0"/>
    <n v="869.78"/>
    <n v="34.76"/>
  </r>
  <r>
    <n v="935"/>
    <n v="6757"/>
    <d v="2012-02-01T00:00:00"/>
    <s v="Medium"/>
    <x v="288"/>
    <x v="4"/>
    <x v="1"/>
    <s v="Small Business"/>
    <x v="1"/>
    <x v="3"/>
    <n v="2503.0080000000003"/>
    <n v="286.85000000000002"/>
  </r>
  <r>
    <n v="936"/>
    <n v="6785"/>
    <d v="2012-05-06T00:00:00"/>
    <s v="Medium"/>
    <x v="459"/>
    <x v="36"/>
    <x v="2"/>
    <s v="Home Office"/>
    <x v="1"/>
    <x v="2"/>
    <n v="181.32"/>
    <n v="25.38"/>
  </r>
  <r>
    <n v="937"/>
    <n v="6788"/>
    <d v="2011-08-04T00:00:00"/>
    <s v="Not Specified"/>
    <x v="231"/>
    <x v="16"/>
    <x v="1"/>
    <s v="Small Business"/>
    <x v="0"/>
    <x v="6"/>
    <n v="127.84"/>
    <n v="2.94"/>
  </r>
  <r>
    <n v="938"/>
    <n v="6788"/>
    <d v="2011-08-04T00:00:00"/>
    <s v="Not Specified"/>
    <x v="231"/>
    <x v="16"/>
    <x v="1"/>
    <s v="Small Business"/>
    <x v="0"/>
    <x v="7"/>
    <n v="11.15"/>
    <n v="1.81"/>
  </r>
  <r>
    <n v="939"/>
    <n v="6791"/>
    <d v="2011-02-01T00:00:00"/>
    <s v="Medium"/>
    <x v="476"/>
    <x v="47"/>
    <x v="1"/>
    <s v="Small Business"/>
    <x v="2"/>
    <x v="10"/>
    <n v="730.33"/>
    <n v="51.98"/>
  </r>
  <r>
    <n v="940"/>
    <n v="6823"/>
    <d v="2009-07-21T00:00:00"/>
    <s v="Not Specified"/>
    <x v="205"/>
    <x v="14"/>
    <x v="0"/>
    <s v="Small Business"/>
    <x v="0"/>
    <x v="12"/>
    <n v="1262.72"/>
    <n v="24.95"/>
  </r>
  <r>
    <n v="941"/>
    <n v="6823"/>
    <d v="2009-07-21T00:00:00"/>
    <s v="Not Specified"/>
    <x v="477"/>
    <x v="14"/>
    <x v="0"/>
    <s v="Small Business"/>
    <x v="2"/>
    <x v="5"/>
    <n v="524.19000000000005"/>
    <n v="15.98"/>
  </r>
  <r>
    <n v="942"/>
    <n v="6848"/>
    <d v="2010-09-13T00:00:00"/>
    <s v="High"/>
    <x v="357"/>
    <x v="2"/>
    <x v="2"/>
    <s v="Consumer"/>
    <x v="0"/>
    <x v="12"/>
    <n v="116.84"/>
    <n v="5.4"/>
  </r>
  <r>
    <n v="943"/>
    <n v="6850"/>
    <d v="2010-02-11T00:00:00"/>
    <s v="High"/>
    <x v="478"/>
    <x v="46"/>
    <x v="1"/>
    <s v="Corporate"/>
    <x v="2"/>
    <x v="5"/>
    <n v="81.56"/>
    <n v="10.01"/>
  </r>
  <r>
    <n v="944"/>
    <n v="6850"/>
    <d v="2010-02-11T00:00:00"/>
    <s v="High"/>
    <x v="478"/>
    <x v="46"/>
    <x v="1"/>
    <s v="Corporate"/>
    <x v="2"/>
    <x v="10"/>
    <n v="2088.5"/>
    <n v="51.98"/>
  </r>
  <r>
    <n v="945"/>
    <n v="6850"/>
    <d v="2010-02-11T00:00:00"/>
    <s v="High"/>
    <x v="479"/>
    <x v="46"/>
    <x v="1"/>
    <s v="Corporate"/>
    <x v="0"/>
    <x v="0"/>
    <n v="2126.7199999999998"/>
    <n v="64.98"/>
  </r>
  <r>
    <n v="946"/>
    <n v="6850"/>
    <d v="2010-02-11T00:00:00"/>
    <s v="High"/>
    <x v="479"/>
    <x v="46"/>
    <x v="1"/>
    <s v="Corporate"/>
    <x v="1"/>
    <x v="3"/>
    <n v="3753.72"/>
    <n v="138.75"/>
  </r>
  <r>
    <n v="947"/>
    <n v="6854"/>
    <d v="2009-01-06T00:00:00"/>
    <s v="Medium"/>
    <x v="480"/>
    <x v="15"/>
    <x v="2"/>
    <s v="Consumer"/>
    <x v="0"/>
    <x v="12"/>
    <n v="22.13"/>
    <n v="7.68"/>
  </r>
  <r>
    <n v="948"/>
    <n v="6854"/>
    <d v="2009-01-06T00:00:00"/>
    <s v="Medium"/>
    <x v="480"/>
    <x v="15"/>
    <x v="2"/>
    <s v="Consumer"/>
    <x v="1"/>
    <x v="2"/>
    <n v="129.84"/>
    <n v="6.64"/>
  </r>
  <r>
    <n v="949"/>
    <n v="6880"/>
    <d v="2009-05-25T00:00:00"/>
    <s v="Medium"/>
    <x v="481"/>
    <x v="16"/>
    <x v="1"/>
    <s v="Consumer"/>
    <x v="0"/>
    <x v="9"/>
    <n v="235.49"/>
    <n v="47.9"/>
  </r>
  <r>
    <n v="950"/>
    <n v="6884"/>
    <d v="2009-01-15T00:00:00"/>
    <s v="Low"/>
    <x v="482"/>
    <x v="0"/>
    <x v="0"/>
    <s v="Home Office"/>
    <x v="0"/>
    <x v="9"/>
    <n v="217"/>
    <n v="4.9800000000000004"/>
  </r>
  <r>
    <n v="951"/>
    <n v="6884"/>
    <d v="2009-01-15T00:00:00"/>
    <s v="Low"/>
    <x v="482"/>
    <x v="0"/>
    <x v="0"/>
    <s v="Home Office"/>
    <x v="0"/>
    <x v="9"/>
    <n v="296.13"/>
    <n v="6.35"/>
  </r>
  <r>
    <n v="952"/>
    <n v="6885"/>
    <d v="2012-06-19T00:00:00"/>
    <s v="Low"/>
    <x v="483"/>
    <x v="31"/>
    <x v="3"/>
    <s v="Corporate"/>
    <x v="1"/>
    <x v="15"/>
    <n v="481.27"/>
    <n v="113.98"/>
  </r>
  <r>
    <n v="953"/>
    <n v="6885"/>
    <d v="2012-06-19T00:00:00"/>
    <s v="Low"/>
    <x v="311"/>
    <x v="13"/>
    <x v="3"/>
    <s v="Corporate"/>
    <x v="2"/>
    <x v="10"/>
    <n v="879.54"/>
    <n v="23.99"/>
  </r>
  <r>
    <n v="954"/>
    <n v="6886"/>
    <d v="2012-01-19T00:00:00"/>
    <s v="High"/>
    <x v="484"/>
    <x v="16"/>
    <x v="1"/>
    <s v="Consumer"/>
    <x v="0"/>
    <x v="0"/>
    <n v="8177.07"/>
    <n v="178.47"/>
  </r>
  <r>
    <n v="955"/>
    <n v="6912"/>
    <d v="2011-12-10T00:00:00"/>
    <s v="Not Specified"/>
    <x v="485"/>
    <x v="12"/>
    <x v="3"/>
    <s v="Small Business"/>
    <x v="0"/>
    <x v="13"/>
    <n v="294.52"/>
    <n v="21.78"/>
  </r>
  <r>
    <n v="956"/>
    <n v="6916"/>
    <d v="2010-06-04T00:00:00"/>
    <s v="Low"/>
    <x v="169"/>
    <x v="0"/>
    <x v="0"/>
    <s v="Consumer"/>
    <x v="0"/>
    <x v="0"/>
    <n v="436.17"/>
    <n v="10.9"/>
  </r>
  <r>
    <n v="957"/>
    <n v="6918"/>
    <d v="2011-07-01T00:00:00"/>
    <s v="Critical"/>
    <x v="486"/>
    <x v="5"/>
    <x v="0"/>
    <s v="Consumer"/>
    <x v="2"/>
    <x v="5"/>
    <n v="1559.5"/>
    <n v="39.479999999999997"/>
  </r>
  <r>
    <n v="958"/>
    <n v="6947"/>
    <d v="2011-07-19T00:00:00"/>
    <s v="Critical"/>
    <x v="378"/>
    <x v="8"/>
    <x v="2"/>
    <s v="Small Business"/>
    <x v="1"/>
    <x v="2"/>
    <n v="520.49"/>
    <n v="51.65"/>
  </r>
  <r>
    <n v="959"/>
    <n v="6948"/>
    <d v="2010-12-09T00:00:00"/>
    <s v="Not Specified"/>
    <x v="487"/>
    <x v="14"/>
    <x v="0"/>
    <s v="Corporate"/>
    <x v="2"/>
    <x v="5"/>
    <n v="1143.8800000000001"/>
    <n v="73.98"/>
  </r>
  <r>
    <n v="960"/>
    <n v="6950"/>
    <d v="2012-03-26T00:00:00"/>
    <s v="Low"/>
    <x v="488"/>
    <x v="12"/>
    <x v="3"/>
    <s v="Home Office"/>
    <x v="2"/>
    <x v="4"/>
    <n v="187.39949999999999"/>
    <n v="55.99"/>
  </r>
  <r>
    <n v="961"/>
    <n v="6978"/>
    <d v="2010-12-09T00:00:00"/>
    <s v="High"/>
    <x v="56"/>
    <x v="28"/>
    <x v="1"/>
    <s v="Home Office"/>
    <x v="2"/>
    <x v="5"/>
    <n v="371.95"/>
    <n v="8.1199999999999992"/>
  </r>
  <r>
    <n v="962"/>
    <n v="6979"/>
    <d v="2009-02-27T00:00:00"/>
    <s v="Critical"/>
    <x v="10"/>
    <x v="8"/>
    <x v="2"/>
    <s v="Home Office"/>
    <x v="2"/>
    <x v="10"/>
    <n v="334.89"/>
    <n v="11.99"/>
  </r>
  <r>
    <n v="963"/>
    <n v="6980"/>
    <d v="2010-02-18T00:00:00"/>
    <s v="Not Specified"/>
    <x v="489"/>
    <x v="0"/>
    <x v="0"/>
    <s v="Consumer"/>
    <x v="0"/>
    <x v="12"/>
    <n v="136.29"/>
    <n v="7.3"/>
  </r>
  <r>
    <n v="964"/>
    <n v="6982"/>
    <d v="2011-11-16T00:00:00"/>
    <s v="Not Specified"/>
    <x v="335"/>
    <x v="0"/>
    <x v="0"/>
    <s v="Corporate"/>
    <x v="2"/>
    <x v="5"/>
    <n v="1311.25"/>
    <n v="39.479999999999997"/>
  </r>
  <r>
    <n v="965"/>
    <n v="6982"/>
    <d v="2011-11-16T00:00:00"/>
    <s v="Not Specified"/>
    <x v="490"/>
    <x v="0"/>
    <x v="0"/>
    <s v="Corporate"/>
    <x v="1"/>
    <x v="11"/>
    <n v="544.41"/>
    <n v="100.98"/>
  </r>
  <r>
    <n v="966"/>
    <n v="6982"/>
    <d v="2011-11-16T00:00:00"/>
    <s v="Not Specified"/>
    <x v="490"/>
    <x v="0"/>
    <x v="0"/>
    <s v="Corporate"/>
    <x v="1"/>
    <x v="2"/>
    <n v="844.09"/>
    <n v="19.98"/>
  </r>
  <r>
    <n v="967"/>
    <n v="7015"/>
    <d v="2010-10-12T00:00:00"/>
    <s v="Not Specified"/>
    <x v="25"/>
    <x v="17"/>
    <x v="0"/>
    <s v="Home Office"/>
    <x v="2"/>
    <x v="5"/>
    <n v="1880.8"/>
    <n v="40.98"/>
  </r>
  <r>
    <n v="968"/>
    <n v="7015"/>
    <d v="2010-10-12T00:00:00"/>
    <s v="Not Specified"/>
    <x v="25"/>
    <x v="17"/>
    <x v="0"/>
    <s v="Home Office"/>
    <x v="2"/>
    <x v="4"/>
    <n v="7143.9270000000006"/>
    <n v="195.99"/>
  </r>
  <r>
    <n v="969"/>
    <n v="7042"/>
    <d v="2012-01-08T00:00:00"/>
    <s v="Medium"/>
    <x v="491"/>
    <x v="16"/>
    <x v="1"/>
    <s v="Home Office"/>
    <x v="1"/>
    <x v="3"/>
    <n v="1187.864"/>
    <n v="376.13"/>
  </r>
  <r>
    <n v="970"/>
    <n v="7043"/>
    <d v="2009-01-25T00:00:00"/>
    <s v="Critical"/>
    <x v="437"/>
    <x v="16"/>
    <x v="1"/>
    <s v="Corporate"/>
    <x v="1"/>
    <x v="2"/>
    <n v="11.08"/>
    <n v="1.74"/>
  </r>
  <r>
    <n v="971"/>
    <n v="7072"/>
    <d v="2012-02-04T00:00:00"/>
    <s v="Critical"/>
    <x v="443"/>
    <x v="27"/>
    <x v="3"/>
    <s v="Corporate"/>
    <x v="0"/>
    <x v="12"/>
    <n v="258.61"/>
    <n v="8.85"/>
  </r>
  <r>
    <n v="972"/>
    <n v="7075"/>
    <d v="2011-10-10T00:00:00"/>
    <s v="Low"/>
    <x v="444"/>
    <x v="12"/>
    <x v="3"/>
    <s v="Corporate"/>
    <x v="0"/>
    <x v="0"/>
    <n v="241.89"/>
    <n v="15.42"/>
  </r>
  <r>
    <n v="973"/>
    <n v="7075"/>
    <d v="2011-10-10T00:00:00"/>
    <s v="Low"/>
    <x v="492"/>
    <x v="12"/>
    <x v="3"/>
    <s v="Corporate"/>
    <x v="0"/>
    <x v="7"/>
    <n v="83.34"/>
    <n v="1.86"/>
  </r>
  <r>
    <n v="974"/>
    <n v="7077"/>
    <d v="2011-12-21T00:00:00"/>
    <s v="High"/>
    <x v="493"/>
    <x v="25"/>
    <x v="1"/>
    <s v="Consumer"/>
    <x v="0"/>
    <x v="13"/>
    <n v="304.52"/>
    <n v="21.78"/>
  </r>
  <r>
    <n v="975"/>
    <n v="7078"/>
    <d v="2010-04-11T00:00:00"/>
    <s v="High"/>
    <x v="15"/>
    <x v="24"/>
    <x v="1"/>
    <s v="Corporate"/>
    <x v="0"/>
    <x v="13"/>
    <n v="112.12"/>
    <n v="11.33"/>
  </r>
  <r>
    <n v="976"/>
    <n v="7078"/>
    <d v="2010-04-11T00:00:00"/>
    <s v="High"/>
    <x v="15"/>
    <x v="24"/>
    <x v="1"/>
    <s v="Corporate"/>
    <x v="0"/>
    <x v="12"/>
    <n v="49.58"/>
    <n v="3.36"/>
  </r>
  <r>
    <n v="977"/>
    <n v="7078"/>
    <d v="2010-04-11T00:00:00"/>
    <s v="High"/>
    <x v="15"/>
    <x v="24"/>
    <x v="1"/>
    <s v="Corporate"/>
    <x v="1"/>
    <x v="15"/>
    <n v="1939.65"/>
    <n v="122.99"/>
  </r>
  <r>
    <n v="978"/>
    <n v="7078"/>
    <d v="2010-04-11T00:00:00"/>
    <s v="High"/>
    <x v="15"/>
    <x v="24"/>
    <x v="1"/>
    <s v="Corporate"/>
    <x v="1"/>
    <x v="2"/>
    <n v="465.52"/>
    <n v="14.98"/>
  </r>
  <r>
    <n v="979"/>
    <n v="7079"/>
    <d v="2010-02-08T00:00:00"/>
    <s v="Medium"/>
    <x v="494"/>
    <x v="7"/>
    <x v="3"/>
    <s v="Small Business"/>
    <x v="1"/>
    <x v="15"/>
    <n v="12296.49"/>
    <n v="280.98"/>
  </r>
  <r>
    <n v="980"/>
    <n v="7079"/>
    <d v="2010-02-08T00:00:00"/>
    <s v="Medium"/>
    <x v="494"/>
    <x v="7"/>
    <x v="3"/>
    <s v="Small Business"/>
    <x v="0"/>
    <x v="9"/>
    <n v="128.13"/>
    <n v="6.48"/>
  </r>
  <r>
    <n v="981"/>
    <n v="7105"/>
    <d v="2010-06-21T00:00:00"/>
    <s v="Low"/>
    <x v="203"/>
    <x v="29"/>
    <x v="2"/>
    <s v="Corporate"/>
    <x v="0"/>
    <x v="13"/>
    <n v="77.19"/>
    <n v="4.0599999999999996"/>
  </r>
  <r>
    <n v="982"/>
    <n v="7106"/>
    <d v="2012-05-10T00:00:00"/>
    <s v="Low"/>
    <x v="495"/>
    <x v="17"/>
    <x v="0"/>
    <s v="Home Office"/>
    <x v="0"/>
    <x v="12"/>
    <n v="118.98"/>
    <n v="14.27"/>
  </r>
  <r>
    <n v="983"/>
    <n v="7106"/>
    <d v="2012-05-10T00:00:00"/>
    <s v="Low"/>
    <x v="495"/>
    <x v="17"/>
    <x v="0"/>
    <s v="Home Office"/>
    <x v="2"/>
    <x v="5"/>
    <n v="4910.09"/>
    <n v="159.99"/>
  </r>
  <r>
    <n v="984"/>
    <n v="7106"/>
    <d v="2012-05-10T00:00:00"/>
    <s v="Low"/>
    <x v="495"/>
    <x v="17"/>
    <x v="0"/>
    <s v="Home Office"/>
    <x v="0"/>
    <x v="0"/>
    <n v="1058.45"/>
    <n v="27.75"/>
  </r>
  <r>
    <n v="985"/>
    <n v="7107"/>
    <d v="2012-01-04T00:00:00"/>
    <s v="Not Specified"/>
    <x v="143"/>
    <x v="8"/>
    <x v="2"/>
    <s v="Corporate"/>
    <x v="1"/>
    <x v="2"/>
    <n v="172.04"/>
    <n v="54.2"/>
  </r>
  <r>
    <n v="986"/>
    <n v="7107"/>
    <d v="2012-01-04T00:00:00"/>
    <s v="Not Specified"/>
    <x v="496"/>
    <x v="8"/>
    <x v="2"/>
    <s v="Corporate"/>
    <x v="0"/>
    <x v="9"/>
    <n v="113.14"/>
    <n v="37.94"/>
  </r>
  <r>
    <n v="987"/>
    <n v="7107"/>
    <d v="2012-01-04T00:00:00"/>
    <s v="Not Specified"/>
    <x v="496"/>
    <x v="8"/>
    <x v="2"/>
    <s v="Corporate"/>
    <x v="0"/>
    <x v="0"/>
    <n v="1724.82"/>
    <n v="55.29"/>
  </r>
  <r>
    <n v="988"/>
    <n v="7110"/>
    <d v="2011-08-07T00:00:00"/>
    <s v="Low"/>
    <x v="215"/>
    <x v="0"/>
    <x v="0"/>
    <s v="Corporate"/>
    <x v="1"/>
    <x v="15"/>
    <n v="6396.2"/>
    <n v="276.2"/>
  </r>
  <r>
    <n v="989"/>
    <n v="7136"/>
    <d v="2009-03-22T00:00:00"/>
    <s v="High"/>
    <x v="497"/>
    <x v="3"/>
    <x v="0"/>
    <s v="Home Office"/>
    <x v="2"/>
    <x v="5"/>
    <n v="642.9"/>
    <n v="39.479999999999997"/>
  </r>
  <r>
    <n v="990"/>
    <n v="7136"/>
    <d v="2009-03-22T00:00:00"/>
    <s v="High"/>
    <x v="497"/>
    <x v="3"/>
    <x v="0"/>
    <s v="Home Office"/>
    <x v="0"/>
    <x v="8"/>
    <n v="47.28"/>
    <n v="4.91"/>
  </r>
  <r>
    <n v="991"/>
    <n v="7142"/>
    <d v="2011-07-21T00:00:00"/>
    <s v="Critical"/>
    <x v="46"/>
    <x v="25"/>
    <x v="1"/>
    <s v="Corporate"/>
    <x v="0"/>
    <x v="8"/>
    <n v="132.86000000000001"/>
    <n v="3.69"/>
  </r>
  <r>
    <n v="992"/>
    <n v="7169"/>
    <d v="2010-03-26T00:00:00"/>
    <s v="Medium"/>
    <x v="246"/>
    <x v="22"/>
    <x v="0"/>
    <s v="Corporate"/>
    <x v="1"/>
    <x v="2"/>
    <n v="446.72"/>
    <n v="20.28"/>
  </r>
  <r>
    <n v="993"/>
    <n v="7169"/>
    <d v="2010-03-26T00:00:00"/>
    <s v="Medium"/>
    <x v="246"/>
    <x v="22"/>
    <x v="0"/>
    <s v="Corporate"/>
    <x v="2"/>
    <x v="4"/>
    <n v="1580.6005"/>
    <n v="65.989999999999995"/>
  </r>
  <r>
    <n v="994"/>
    <n v="7171"/>
    <d v="2011-02-13T00:00:00"/>
    <s v="Medium"/>
    <x v="498"/>
    <x v="11"/>
    <x v="2"/>
    <s v="Consumer"/>
    <x v="2"/>
    <x v="4"/>
    <n v="1703.8505"/>
    <n v="65.989999999999995"/>
  </r>
  <r>
    <n v="995"/>
    <n v="7171"/>
    <d v="2011-02-13T00:00:00"/>
    <s v="Medium"/>
    <x v="498"/>
    <x v="11"/>
    <x v="2"/>
    <s v="Consumer"/>
    <x v="2"/>
    <x v="4"/>
    <n v="303.18649999999997"/>
    <n v="20.99"/>
  </r>
  <r>
    <n v="996"/>
    <n v="7174"/>
    <d v="2012-03-10T00:00:00"/>
    <s v="Not Specified"/>
    <x v="330"/>
    <x v="16"/>
    <x v="1"/>
    <s v="Consumer"/>
    <x v="1"/>
    <x v="2"/>
    <n v="141.91999999999999"/>
    <n v="13.73"/>
  </r>
  <r>
    <n v="997"/>
    <n v="7175"/>
    <d v="2010-02-07T00:00:00"/>
    <s v="Critical"/>
    <x v="275"/>
    <x v="33"/>
    <x v="0"/>
    <s v="Corporate"/>
    <x v="1"/>
    <x v="11"/>
    <n v="748.25"/>
    <n v="70.98"/>
  </r>
  <r>
    <n v="998"/>
    <n v="7203"/>
    <d v="2009-01-08T00:00:00"/>
    <s v="High"/>
    <x v="1"/>
    <x v="1"/>
    <x v="1"/>
    <s v="Corporate"/>
    <x v="0"/>
    <x v="12"/>
    <n v="21752.01"/>
    <n v="896.99"/>
  </r>
  <r>
    <n v="999"/>
    <n v="7239"/>
    <d v="2011-06-29T00:00:00"/>
    <s v="Medium"/>
    <x v="124"/>
    <x v="38"/>
    <x v="0"/>
    <s v="Small Business"/>
    <x v="0"/>
    <x v="0"/>
    <n v="6206.16"/>
    <n v="120.33"/>
  </r>
  <r>
    <n v="1000"/>
    <n v="7267"/>
    <d v="2012-08-28T00:00:00"/>
    <s v="High"/>
    <x v="114"/>
    <x v="34"/>
    <x v="2"/>
    <s v="Consumer"/>
    <x v="0"/>
    <x v="12"/>
    <n v="262.32"/>
    <n v="14.48"/>
  </r>
  <r>
    <n v="1001"/>
    <n v="7269"/>
    <d v="2009-09-14T00:00:00"/>
    <s v="Medium"/>
    <x v="114"/>
    <x v="34"/>
    <x v="2"/>
    <s v="Consumer"/>
    <x v="2"/>
    <x v="4"/>
    <n v="1707.99"/>
    <n v="65.989999999999995"/>
  </r>
  <r>
    <n v="1002"/>
    <n v="7297"/>
    <d v="2009-09-14T00:00:00"/>
    <s v="High"/>
    <x v="499"/>
    <x v="40"/>
    <x v="3"/>
    <s v="Small Business"/>
    <x v="1"/>
    <x v="2"/>
    <n v="936.95"/>
    <n v="33.979999999999997"/>
  </r>
  <r>
    <n v="1003"/>
    <n v="7297"/>
    <d v="2009-09-14T00:00:00"/>
    <s v="High"/>
    <x v="500"/>
    <x v="12"/>
    <x v="3"/>
    <s v="Small Business"/>
    <x v="2"/>
    <x v="5"/>
    <n v="296.83999999999997"/>
    <n v="45.19"/>
  </r>
  <r>
    <n v="1004"/>
    <n v="7297"/>
    <d v="2009-09-14T00:00:00"/>
    <s v="High"/>
    <x v="41"/>
    <x v="13"/>
    <x v="3"/>
    <s v="Small Business"/>
    <x v="1"/>
    <x v="3"/>
    <n v="1620.94"/>
    <n v="400.98"/>
  </r>
  <r>
    <n v="1005"/>
    <n v="7301"/>
    <d v="2010-12-28T00:00:00"/>
    <s v="Low"/>
    <x v="48"/>
    <x v="7"/>
    <x v="3"/>
    <s v="Corporate"/>
    <x v="2"/>
    <x v="4"/>
    <n v="959.08899999999994"/>
    <n v="65.989999999999995"/>
  </r>
  <r>
    <n v="1006"/>
    <n v="7335"/>
    <d v="2010-05-29T00:00:00"/>
    <s v="Low"/>
    <x v="434"/>
    <x v="15"/>
    <x v="2"/>
    <s v="Corporate"/>
    <x v="2"/>
    <x v="4"/>
    <n v="3681.7494999999999"/>
    <n v="95.99"/>
  </r>
  <r>
    <n v="1007"/>
    <n v="7363"/>
    <d v="2010-11-09T00:00:00"/>
    <s v="Medium"/>
    <x v="123"/>
    <x v="37"/>
    <x v="2"/>
    <s v="Corporate"/>
    <x v="1"/>
    <x v="2"/>
    <n v="875.52"/>
    <n v="37.93"/>
  </r>
  <r>
    <n v="1008"/>
    <n v="7364"/>
    <d v="2009-05-08T00:00:00"/>
    <s v="High"/>
    <x v="501"/>
    <x v="33"/>
    <x v="0"/>
    <s v="Corporate"/>
    <x v="0"/>
    <x v="14"/>
    <n v="260.39"/>
    <n v="16.98"/>
  </r>
  <r>
    <n v="1009"/>
    <n v="7367"/>
    <d v="2011-06-05T00:00:00"/>
    <s v="Low"/>
    <x v="144"/>
    <x v="13"/>
    <x v="3"/>
    <s v="Small Business"/>
    <x v="0"/>
    <x v="9"/>
    <n v="269.93"/>
    <n v="5.43"/>
  </r>
  <r>
    <n v="1010"/>
    <n v="7367"/>
    <d v="2011-06-05T00:00:00"/>
    <s v="Low"/>
    <x v="502"/>
    <x v="35"/>
    <x v="3"/>
    <s v="Small Business"/>
    <x v="2"/>
    <x v="5"/>
    <n v="303.62"/>
    <n v="6.48"/>
  </r>
  <r>
    <n v="1011"/>
    <n v="7398"/>
    <d v="2009-06-01T00:00:00"/>
    <s v="Not Specified"/>
    <x v="503"/>
    <x v="25"/>
    <x v="1"/>
    <s v="Corporate"/>
    <x v="0"/>
    <x v="6"/>
    <n v="55.77"/>
    <n v="9.11"/>
  </r>
  <r>
    <n v="1012"/>
    <n v="7398"/>
    <d v="2009-06-01T00:00:00"/>
    <s v="Not Specified"/>
    <x v="503"/>
    <x v="25"/>
    <x v="1"/>
    <s v="Corporate"/>
    <x v="0"/>
    <x v="0"/>
    <n v="2181.44"/>
    <n v="64.650000000000006"/>
  </r>
  <r>
    <n v="1013"/>
    <n v="7427"/>
    <d v="2012-12-15T00:00:00"/>
    <s v="Not Specified"/>
    <x v="458"/>
    <x v="22"/>
    <x v="0"/>
    <s v="Corporate"/>
    <x v="0"/>
    <x v="13"/>
    <n v="16002.29"/>
    <n v="363.25"/>
  </r>
  <r>
    <n v="1014"/>
    <n v="7427"/>
    <d v="2012-12-15T00:00:00"/>
    <s v="Not Specified"/>
    <x v="458"/>
    <x v="22"/>
    <x v="0"/>
    <s v="Corporate"/>
    <x v="0"/>
    <x v="12"/>
    <n v="182.26"/>
    <n v="18.940000000000001"/>
  </r>
  <r>
    <n v="1015"/>
    <n v="7429"/>
    <d v="2010-05-26T00:00:00"/>
    <s v="Not Specified"/>
    <x v="504"/>
    <x v="27"/>
    <x v="3"/>
    <s v="Home Office"/>
    <x v="2"/>
    <x v="5"/>
    <n v="1379.34"/>
    <n v="40.479999999999997"/>
  </r>
  <r>
    <n v="1016"/>
    <n v="7429"/>
    <d v="2010-05-26T00:00:00"/>
    <s v="Not Specified"/>
    <x v="504"/>
    <x v="27"/>
    <x v="3"/>
    <s v="Home Office"/>
    <x v="1"/>
    <x v="2"/>
    <n v="168.25"/>
    <n v="26.48"/>
  </r>
  <r>
    <n v="1017"/>
    <n v="7430"/>
    <d v="2010-06-08T00:00:00"/>
    <s v="Medium"/>
    <x v="446"/>
    <x v="0"/>
    <x v="0"/>
    <s v="Corporate"/>
    <x v="0"/>
    <x v="14"/>
    <n v="751.77"/>
    <n v="15.67"/>
  </r>
  <r>
    <n v="1018"/>
    <n v="7431"/>
    <d v="2009-05-01T00:00:00"/>
    <s v="Medium"/>
    <x v="493"/>
    <x v="25"/>
    <x v="1"/>
    <s v="Consumer"/>
    <x v="1"/>
    <x v="2"/>
    <n v="78.81"/>
    <n v="2.23"/>
  </r>
  <r>
    <n v="1019"/>
    <n v="7457"/>
    <d v="2010-09-30T00:00:00"/>
    <s v="Not Specified"/>
    <x v="505"/>
    <x v="15"/>
    <x v="2"/>
    <s v="Small Business"/>
    <x v="0"/>
    <x v="14"/>
    <n v="2300.4499999999998"/>
    <n v="60.98"/>
  </r>
  <r>
    <n v="1020"/>
    <n v="7457"/>
    <d v="2010-09-30T00:00:00"/>
    <s v="Not Specified"/>
    <x v="505"/>
    <x v="15"/>
    <x v="2"/>
    <s v="Small Business"/>
    <x v="0"/>
    <x v="6"/>
    <n v="548.11"/>
    <n v="11.55"/>
  </r>
  <r>
    <n v="1021"/>
    <n v="7458"/>
    <d v="2012-04-04T00:00:00"/>
    <s v="Critical"/>
    <x v="506"/>
    <x v="31"/>
    <x v="3"/>
    <s v="Corporate"/>
    <x v="0"/>
    <x v="12"/>
    <n v="226.81"/>
    <n v="14.45"/>
  </r>
  <r>
    <n v="1022"/>
    <n v="7458"/>
    <d v="2012-04-04T00:00:00"/>
    <s v="Critical"/>
    <x v="507"/>
    <x v="31"/>
    <x v="3"/>
    <s v="Corporate"/>
    <x v="2"/>
    <x v="5"/>
    <n v="511.07"/>
    <n v="10.97"/>
  </r>
  <r>
    <n v="1023"/>
    <n v="7458"/>
    <d v="2012-04-04T00:00:00"/>
    <s v="Critical"/>
    <x v="508"/>
    <x v="16"/>
    <x v="1"/>
    <s v="Corporate"/>
    <x v="2"/>
    <x v="5"/>
    <n v="337.34"/>
    <n v="39.479999999999997"/>
  </r>
  <r>
    <n v="1024"/>
    <n v="7461"/>
    <d v="2009-01-12T00:00:00"/>
    <s v="Low"/>
    <x v="147"/>
    <x v="28"/>
    <x v="1"/>
    <s v="Home Office"/>
    <x v="1"/>
    <x v="15"/>
    <n v="4080.3"/>
    <n v="350.99"/>
  </r>
  <r>
    <n v="1025"/>
    <n v="7461"/>
    <d v="2009-01-12T00:00:00"/>
    <s v="Low"/>
    <x v="147"/>
    <x v="28"/>
    <x v="1"/>
    <s v="Home Office"/>
    <x v="0"/>
    <x v="14"/>
    <n v="260.79000000000002"/>
    <n v="8.74"/>
  </r>
  <r>
    <n v="1026"/>
    <n v="7461"/>
    <d v="2009-01-12T00:00:00"/>
    <s v="Low"/>
    <x v="147"/>
    <x v="28"/>
    <x v="1"/>
    <s v="Home Office"/>
    <x v="0"/>
    <x v="7"/>
    <n v="90.35"/>
    <n v="1.98"/>
  </r>
  <r>
    <n v="1027"/>
    <n v="7462"/>
    <d v="2011-02-20T00:00:00"/>
    <s v="High"/>
    <x v="159"/>
    <x v="14"/>
    <x v="0"/>
    <s v="Small Business"/>
    <x v="0"/>
    <x v="6"/>
    <n v="72.63"/>
    <n v="22.01"/>
  </r>
  <r>
    <n v="1028"/>
    <n v="7488"/>
    <d v="2012-05-03T00:00:00"/>
    <s v="Critical"/>
    <x v="479"/>
    <x v="46"/>
    <x v="1"/>
    <s v="Corporate"/>
    <x v="0"/>
    <x v="6"/>
    <n v="26.09"/>
    <n v="2.84"/>
  </r>
  <r>
    <n v="1029"/>
    <n v="7489"/>
    <d v="2010-09-30T00:00:00"/>
    <s v="Critical"/>
    <x v="509"/>
    <x v="3"/>
    <x v="0"/>
    <s v="Home Office"/>
    <x v="1"/>
    <x v="11"/>
    <n v="6900.13"/>
    <n v="180.98"/>
  </r>
  <r>
    <n v="1030"/>
    <n v="7521"/>
    <d v="2011-02-27T00:00:00"/>
    <s v="Low"/>
    <x v="510"/>
    <x v="41"/>
    <x v="3"/>
    <s v="Small Business"/>
    <x v="2"/>
    <x v="4"/>
    <n v="1942.1734999999999"/>
    <n v="115.99"/>
  </r>
  <r>
    <n v="1031"/>
    <n v="7527"/>
    <d v="2009-12-11T00:00:00"/>
    <s v="Medium"/>
    <x v="222"/>
    <x v="34"/>
    <x v="2"/>
    <s v="Small Business"/>
    <x v="1"/>
    <x v="2"/>
    <n v="560.39"/>
    <n v="15.68"/>
  </r>
  <r>
    <n v="1032"/>
    <n v="7527"/>
    <d v="2009-12-11T00:00:00"/>
    <s v="Medium"/>
    <x v="222"/>
    <x v="34"/>
    <x v="2"/>
    <s v="Small Business"/>
    <x v="2"/>
    <x v="4"/>
    <n v="7062.6159999999991"/>
    <n v="195.99"/>
  </r>
  <r>
    <n v="1033"/>
    <n v="7552"/>
    <d v="2012-09-10T00:00:00"/>
    <s v="Critical"/>
    <x v="479"/>
    <x v="46"/>
    <x v="1"/>
    <s v="Corporate"/>
    <x v="0"/>
    <x v="6"/>
    <n v="1406.49"/>
    <n v="28.15"/>
  </r>
  <r>
    <n v="1034"/>
    <n v="7552"/>
    <d v="2012-09-10T00:00:00"/>
    <s v="Critical"/>
    <x v="479"/>
    <x v="46"/>
    <x v="1"/>
    <s v="Corporate"/>
    <x v="0"/>
    <x v="1"/>
    <n v="587.71"/>
    <n v="12.98"/>
  </r>
  <r>
    <n v="1035"/>
    <n v="7553"/>
    <d v="2010-05-07T00:00:00"/>
    <s v="Medium"/>
    <x v="48"/>
    <x v="1"/>
    <x v="1"/>
    <s v="Home Office"/>
    <x v="1"/>
    <x v="2"/>
    <n v="1079.19"/>
    <n v="92.23"/>
  </r>
  <r>
    <n v="1036"/>
    <n v="7553"/>
    <d v="2010-05-07T00:00:00"/>
    <s v="Medium"/>
    <x v="48"/>
    <x v="1"/>
    <x v="1"/>
    <s v="Home Office"/>
    <x v="0"/>
    <x v="9"/>
    <n v="19.05"/>
    <n v="4.28"/>
  </r>
  <r>
    <n v="1037"/>
    <n v="7559"/>
    <d v="2010-10-12T00:00:00"/>
    <s v="Critical"/>
    <x v="5"/>
    <x v="18"/>
    <x v="2"/>
    <s v="Corporate"/>
    <x v="0"/>
    <x v="13"/>
    <n v="90.37"/>
    <n v="4.4800000000000004"/>
  </r>
  <r>
    <n v="1038"/>
    <n v="7559"/>
    <d v="2010-10-12T00:00:00"/>
    <s v="Critical"/>
    <x v="5"/>
    <x v="18"/>
    <x v="2"/>
    <s v="Corporate"/>
    <x v="2"/>
    <x v="5"/>
    <n v="806.05"/>
    <n v="20.95"/>
  </r>
  <r>
    <n v="1039"/>
    <n v="7585"/>
    <d v="2011-05-19T00:00:00"/>
    <s v="High"/>
    <x v="511"/>
    <x v="46"/>
    <x v="1"/>
    <s v="Consumer"/>
    <x v="2"/>
    <x v="4"/>
    <n v="650.1395"/>
    <n v="20.99"/>
  </r>
  <r>
    <n v="1040"/>
    <n v="7619"/>
    <d v="2010-10-08T00:00:00"/>
    <s v="Not Specified"/>
    <x v="224"/>
    <x v="26"/>
    <x v="3"/>
    <s v="Consumer"/>
    <x v="2"/>
    <x v="5"/>
    <n v="141.77000000000001"/>
    <n v="17.48"/>
  </r>
  <r>
    <n v="1041"/>
    <n v="7623"/>
    <d v="2009-10-28T00:00:00"/>
    <s v="Critical"/>
    <x v="340"/>
    <x v="7"/>
    <x v="3"/>
    <s v="Corporate"/>
    <x v="0"/>
    <x v="13"/>
    <n v="5459.32"/>
    <n v="300.64999999999998"/>
  </r>
  <r>
    <n v="1042"/>
    <n v="7623"/>
    <d v="2009-10-28T00:00:00"/>
    <s v="Critical"/>
    <x v="340"/>
    <x v="7"/>
    <x v="3"/>
    <s v="Corporate"/>
    <x v="2"/>
    <x v="5"/>
    <n v="1793.42"/>
    <n v="49.99"/>
  </r>
  <r>
    <n v="1043"/>
    <n v="7623"/>
    <d v="2009-10-28T00:00:00"/>
    <s v="Critical"/>
    <x v="340"/>
    <x v="7"/>
    <x v="3"/>
    <s v="Corporate"/>
    <x v="0"/>
    <x v="9"/>
    <n v="3080.07"/>
    <n v="104.85"/>
  </r>
  <r>
    <n v="1044"/>
    <n v="7653"/>
    <d v="2012-02-27T00:00:00"/>
    <s v="Medium"/>
    <x v="512"/>
    <x v="15"/>
    <x v="2"/>
    <s v="Consumer"/>
    <x v="0"/>
    <x v="9"/>
    <n v="1425.06"/>
    <n v="48.04"/>
  </r>
  <r>
    <n v="1045"/>
    <n v="7654"/>
    <d v="2010-02-10T00:00:00"/>
    <s v="High"/>
    <x v="171"/>
    <x v="24"/>
    <x v="1"/>
    <s v="Small Business"/>
    <x v="0"/>
    <x v="8"/>
    <n v="19.47"/>
    <n v="4.13"/>
  </r>
  <r>
    <n v="1046"/>
    <n v="7680"/>
    <d v="2011-04-08T00:00:00"/>
    <s v="Not Specified"/>
    <x v="513"/>
    <x v="1"/>
    <x v="1"/>
    <s v="Small Business"/>
    <x v="0"/>
    <x v="9"/>
    <n v="1141.3699999999999"/>
    <n v="35.44"/>
  </r>
  <r>
    <n v="1047"/>
    <n v="7719"/>
    <d v="2009-03-21T00:00:00"/>
    <s v="Low"/>
    <x v="48"/>
    <x v="1"/>
    <x v="1"/>
    <s v="Home Office"/>
    <x v="0"/>
    <x v="0"/>
    <n v="522.62"/>
    <n v="13.48"/>
  </r>
  <r>
    <n v="1048"/>
    <n v="7744"/>
    <d v="2009-11-17T00:00:00"/>
    <s v="Low"/>
    <x v="84"/>
    <x v="26"/>
    <x v="3"/>
    <s v="Corporate"/>
    <x v="0"/>
    <x v="12"/>
    <n v="4286.55"/>
    <n v="172.99"/>
  </r>
  <r>
    <n v="1049"/>
    <n v="7744"/>
    <d v="2009-11-17T00:00:00"/>
    <s v="Low"/>
    <x v="514"/>
    <x v="26"/>
    <x v="3"/>
    <s v="Corporate"/>
    <x v="0"/>
    <x v="14"/>
    <n v="8.34"/>
    <n v="7.64"/>
  </r>
  <r>
    <n v="1050"/>
    <n v="7746"/>
    <d v="2010-12-05T00:00:00"/>
    <s v="Medium"/>
    <x v="171"/>
    <x v="24"/>
    <x v="1"/>
    <s v="Consumer"/>
    <x v="0"/>
    <x v="9"/>
    <n v="28.96"/>
    <n v="19.98"/>
  </r>
  <r>
    <n v="1051"/>
    <n v="7751"/>
    <d v="2012-12-23T00:00:00"/>
    <s v="Not Specified"/>
    <x v="15"/>
    <x v="13"/>
    <x v="3"/>
    <s v="Corporate"/>
    <x v="1"/>
    <x v="15"/>
    <n v="4547.8999999999996"/>
    <n v="95.98"/>
  </r>
  <r>
    <n v="1052"/>
    <n v="7776"/>
    <d v="2009-03-14T00:00:00"/>
    <s v="Medium"/>
    <x v="467"/>
    <x v="29"/>
    <x v="2"/>
    <s v="Corporate"/>
    <x v="1"/>
    <x v="15"/>
    <n v="7223.59"/>
    <n v="200.98"/>
  </r>
  <r>
    <n v="1053"/>
    <n v="7776"/>
    <d v="2009-03-14T00:00:00"/>
    <s v="Medium"/>
    <x v="467"/>
    <x v="29"/>
    <x v="2"/>
    <s v="Corporate"/>
    <x v="1"/>
    <x v="3"/>
    <n v="934.21600000000001"/>
    <n v="179.29"/>
  </r>
  <r>
    <n v="1054"/>
    <n v="7782"/>
    <d v="2009-07-02T00:00:00"/>
    <s v="Critical"/>
    <x v="267"/>
    <x v="2"/>
    <x v="2"/>
    <s v="Corporate"/>
    <x v="0"/>
    <x v="13"/>
    <n v="1205.73"/>
    <n v="60.97"/>
  </r>
  <r>
    <n v="1055"/>
    <n v="7783"/>
    <d v="2012-01-12T00:00:00"/>
    <s v="Medium"/>
    <x v="515"/>
    <x v="15"/>
    <x v="2"/>
    <s v="Corporate"/>
    <x v="0"/>
    <x v="12"/>
    <n v="31.35"/>
    <n v="8.85"/>
  </r>
  <r>
    <n v="1056"/>
    <n v="7812"/>
    <d v="2011-04-20T00:00:00"/>
    <s v="Low"/>
    <x v="320"/>
    <x v="16"/>
    <x v="1"/>
    <s v="Corporate"/>
    <x v="1"/>
    <x v="2"/>
    <n v="475.9"/>
    <n v="27.42"/>
  </r>
  <r>
    <n v="1057"/>
    <n v="7812"/>
    <d v="2011-04-20T00:00:00"/>
    <s v="Low"/>
    <x v="320"/>
    <x v="16"/>
    <x v="1"/>
    <s v="Corporate"/>
    <x v="1"/>
    <x v="3"/>
    <n v="3635.63"/>
    <n v="320.64"/>
  </r>
  <r>
    <n v="1058"/>
    <n v="7815"/>
    <d v="2009-01-22T00:00:00"/>
    <s v="Critical"/>
    <x v="516"/>
    <x v="11"/>
    <x v="2"/>
    <s v="Home Office"/>
    <x v="2"/>
    <x v="5"/>
    <n v="187.37"/>
    <n v="32.979999999999997"/>
  </r>
  <r>
    <n v="1059"/>
    <n v="7840"/>
    <d v="2011-01-08T00:00:00"/>
    <s v="Low"/>
    <x v="481"/>
    <x v="16"/>
    <x v="1"/>
    <s v="Consumer"/>
    <x v="2"/>
    <x v="5"/>
    <n v="157.56"/>
    <n v="4.8899999999999997"/>
  </r>
  <r>
    <n v="1060"/>
    <n v="7841"/>
    <d v="2012-05-20T00:00:00"/>
    <s v="Not Specified"/>
    <x v="517"/>
    <x v="5"/>
    <x v="0"/>
    <s v="Consumer"/>
    <x v="1"/>
    <x v="2"/>
    <n v="1002.77"/>
    <n v="49.34"/>
  </r>
  <r>
    <n v="1061"/>
    <n v="7841"/>
    <d v="2012-05-20T00:00:00"/>
    <s v="Not Specified"/>
    <x v="517"/>
    <x v="5"/>
    <x v="0"/>
    <s v="Consumer"/>
    <x v="1"/>
    <x v="2"/>
    <n v="178.14"/>
    <n v="10.06"/>
  </r>
  <r>
    <n v="1062"/>
    <n v="7845"/>
    <d v="2009-12-13T00:00:00"/>
    <s v="Critical"/>
    <x v="477"/>
    <x v="14"/>
    <x v="0"/>
    <s v="Small Business"/>
    <x v="0"/>
    <x v="12"/>
    <n v="118.56"/>
    <n v="4.91"/>
  </r>
  <r>
    <n v="1063"/>
    <n v="7845"/>
    <d v="2009-12-13T00:00:00"/>
    <s v="Critical"/>
    <x v="477"/>
    <x v="14"/>
    <x v="0"/>
    <s v="Small Business"/>
    <x v="0"/>
    <x v="9"/>
    <n v="2145.0500000000002"/>
    <n v="48.94"/>
  </r>
  <r>
    <n v="1064"/>
    <n v="7846"/>
    <d v="2011-06-25T00:00:00"/>
    <s v="Low"/>
    <x v="67"/>
    <x v="23"/>
    <x v="3"/>
    <s v="Corporate"/>
    <x v="0"/>
    <x v="12"/>
    <n v="2926.33"/>
    <n v="67.28"/>
  </r>
  <r>
    <n v="1065"/>
    <n v="7846"/>
    <d v="2011-06-25T00:00:00"/>
    <s v="Low"/>
    <x v="67"/>
    <x v="23"/>
    <x v="3"/>
    <s v="Corporate"/>
    <x v="0"/>
    <x v="12"/>
    <n v="40.049999999999997"/>
    <n v="2.08"/>
  </r>
  <r>
    <n v="1066"/>
    <n v="7846"/>
    <d v="2011-06-25T00:00:00"/>
    <s v="Low"/>
    <x v="67"/>
    <x v="23"/>
    <x v="3"/>
    <s v="Corporate"/>
    <x v="2"/>
    <x v="5"/>
    <n v="552.87"/>
    <n v="26.31"/>
  </r>
  <r>
    <n v="1067"/>
    <n v="7846"/>
    <d v="2011-06-25T00:00:00"/>
    <s v="Low"/>
    <x v="67"/>
    <x v="23"/>
    <x v="3"/>
    <s v="Corporate"/>
    <x v="1"/>
    <x v="2"/>
    <n v="26.33"/>
    <n v="1.76"/>
  </r>
  <r>
    <n v="1068"/>
    <n v="7878"/>
    <d v="2011-05-01T00:00:00"/>
    <s v="Critical"/>
    <x v="97"/>
    <x v="33"/>
    <x v="0"/>
    <s v="Corporate"/>
    <x v="1"/>
    <x v="11"/>
    <n v="3904.12"/>
    <n v="81.94"/>
  </r>
  <r>
    <n v="1069"/>
    <n v="7878"/>
    <d v="2011-05-01T00:00:00"/>
    <s v="Critical"/>
    <x v="97"/>
    <x v="33"/>
    <x v="0"/>
    <s v="Corporate"/>
    <x v="1"/>
    <x v="2"/>
    <n v="343.64"/>
    <n v="8.57"/>
  </r>
  <r>
    <n v="1070"/>
    <n v="7878"/>
    <d v="2011-05-01T00:00:00"/>
    <s v="Low"/>
    <x v="97"/>
    <x v="33"/>
    <x v="0"/>
    <s v="Corporate"/>
    <x v="0"/>
    <x v="7"/>
    <n v="256.64"/>
    <n v="5.81"/>
  </r>
  <r>
    <n v="1071"/>
    <n v="7904"/>
    <d v="2010-05-27T00:00:00"/>
    <s v="Low"/>
    <x v="518"/>
    <x v="4"/>
    <x v="1"/>
    <s v="Corporate"/>
    <x v="0"/>
    <x v="8"/>
    <n v="298.3"/>
    <n v="6.3"/>
  </r>
  <r>
    <n v="1072"/>
    <n v="7905"/>
    <d v="2009-06-03T00:00:00"/>
    <s v="Low"/>
    <x v="519"/>
    <x v="15"/>
    <x v="2"/>
    <s v="Small Business"/>
    <x v="1"/>
    <x v="3"/>
    <n v="11057.6"/>
    <n v="259.70999999999998"/>
  </r>
  <r>
    <n v="1073"/>
    <n v="7906"/>
    <d v="2009-10-17T00:00:00"/>
    <s v="Medium"/>
    <x v="520"/>
    <x v="0"/>
    <x v="0"/>
    <s v="Consumer"/>
    <x v="0"/>
    <x v="13"/>
    <n v="1003.06"/>
    <n v="25.98"/>
  </r>
  <r>
    <n v="1074"/>
    <n v="7909"/>
    <d v="2009-01-03T00:00:00"/>
    <s v="High"/>
    <x v="521"/>
    <x v="4"/>
    <x v="1"/>
    <s v="Home Office"/>
    <x v="0"/>
    <x v="6"/>
    <n v="122.23"/>
    <n v="4.26"/>
  </r>
  <r>
    <n v="1075"/>
    <n v="7910"/>
    <d v="2010-04-20T00:00:00"/>
    <s v="Critical"/>
    <x v="522"/>
    <x v="27"/>
    <x v="3"/>
    <s v="Small Business"/>
    <x v="1"/>
    <x v="2"/>
    <n v="1871.13"/>
    <n v="45.98"/>
  </r>
  <r>
    <n v="1076"/>
    <n v="7910"/>
    <d v="2010-04-20T00:00:00"/>
    <s v="Critical"/>
    <x v="522"/>
    <x v="27"/>
    <x v="3"/>
    <s v="Small Business"/>
    <x v="0"/>
    <x v="9"/>
    <n v="729.57"/>
    <n v="35.44"/>
  </r>
  <r>
    <n v="1077"/>
    <n v="7936"/>
    <d v="2010-04-05T00:00:00"/>
    <s v="Low"/>
    <x v="393"/>
    <x v="23"/>
    <x v="3"/>
    <s v="Corporate"/>
    <x v="1"/>
    <x v="11"/>
    <n v="2851.17"/>
    <n v="58.14"/>
  </r>
  <r>
    <n v="1078"/>
    <n v="7936"/>
    <d v="2010-04-05T00:00:00"/>
    <s v="Low"/>
    <x v="393"/>
    <x v="23"/>
    <x v="3"/>
    <s v="Corporate"/>
    <x v="0"/>
    <x v="0"/>
    <n v="183.43"/>
    <n v="12.44"/>
  </r>
  <r>
    <n v="1079"/>
    <n v="7938"/>
    <d v="2010-03-13T00:00:00"/>
    <s v="Medium"/>
    <x v="523"/>
    <x v="35"/>
    <x v="3"/>
    <s v="Corporate"/>
    <x v="0"/>
    <x v="6"/>
    <n v="334.66"/>
    <n v="9.93"/>
  </r>
  <r>
    <n v="1080"/>
    <n v="7938"/>
    <d v="2010-03-13T00:00:00"/>
    <s v="Medium"/>
    <x v="383"/>
    <x v="12"/>
    <x v="3"/>
    <s v="Corporate"/>
    <x v="0"/>
    <x v="9"/>
    <n v="139.19"/>
    <n v="5.98"/>
  </r>
  <r>
    <n v="1081"/>
    <n v="7938"/>
    <d v="2010-03-13T00:00:00"/>
    <s v="Medium"/>
    <x v="524"/>
    <x v="16"/>
    <x v="1"/>
    <s v="Corporate"/>
    <x v="1"/>
    <x v="15"/>
    <n v="2026.05"/>
    <n v="135.99"/>
  </r>
  <r>
    <n v="1082"/>
    <n v="7941"/>
    <d v="2012-03-23T00:00:00"/>
    <s v="Low"/>
    <x v="376"/>
    <x v="2"/>
    <x v="2"/>
    <s v="Corporate"/>
    <x v="0"/>
    <x v="0"/>
    <n v="2796.67"/>
    <n v="55.29"/>
  </r>
  <r>
    <n v="1083"/>
    <n v="7968"/>
    <d v="2010-09-15T00:00:00"/>
    <s v="Low"/>
    <x v="525"/>
    <x v="3"/>
    <x v="0"/>
    <s v="Consumer"/>
    <x v="1"/>
    <x v="15"/>
    <n v="1449.21"/>
    <n v="150.97999999999999"/>
  </r>
  <r>
    <n v="1084"/>
    <n v="8000"/>
    <d v="2010-09-19T00:00:00"/>
    <s v="Low"/>
    <x v="331"/>
    <x v="7"/>
    <x v="3"/>
    <s v="Small Business"/>
    <x v="0"/>
    <x v="12"/>
    <n v="149.25"/>
    <n v="15.01"/>
  </r>
  <r>
    <n v="1085"/>
    <n v="8000"/>
    <d v="2010-09-19T00:00:00"/>
    <s v="Low"/>
    <x v="331"/>
    <x v="7"/>
    <x v="3"/>
    <s v="Small Business"/>
    <x v="0"/>
    <x v="12"/>
    <n v="10.14"/>
    <n v="4.82"/>
  </r>
  <r>
    <n v="1086"/>
    <n v="8001"/>
    <d v="2010-11-19T00:00:00"/>
    <s v="High"/>
    <x v="266"/>
    <x v="16"/>
    <x v="1"/>
    <s v="Consumer"/>
    <x v="0"/>
    <x v="9"/>
    <n v="37.700000000000003"/>
    <n v="2.1800000000000002"/>
  </r>
  <r>
    <n v="1087"/>
    <n v="8001"/>
    <d v="2010-11-19T00:00:00"/>
    <s v="High"/>
    <x v="266"/>
    <x v="16"/>
    <x v="1"/>
    <s v="Consumer"/>
    <x v="0"/>
    <x v="0"/>
    <n v="1059.72"/>
    <n v="20.98"/>
  </r>
  <r>
    <n v="1088"/>
    <n v="8005"/>
    <d v="2012-04-05T00:00:00"/>
    <s v="Critical"/>
    <x v="503"/>
    <x v="25"/>
    <x v="1"/>
    <s v="Small Business"/>
    <x v="0"/>
    <x v="12"/>
    <n v="790.63"/>
    <n v="34.54"/>
  </r>
  <r>
    <n v="1089"/>
    <n v="8006"/>
    <d v="2011-06-03T00:00:00"/>
    <s v="Medium"/>
    <x v="526"/>
    <x v="26"/>
    <x v="3"/>
    <s v="Consumer"/>
    <x v="0"/>
    <x v="9"/>
    <n v="197.15"/>
    <n v="6.68"/>
  </r>
  <r>
    <n v="1090"/>
    <n v="8007"/>
    <d v="2012-02-11T00:00:00"/>
    <s v="Low"/>
    <x v="527"/>
    <x v="17"/>
    <x v="0"/>
    <s v="Corporate"/>
    <x v="2"/>
    <x v="4"/>
    <n v="820.56449999999995"/>
    <n v="205.99"/>
  </r>
  <r>
    <n v="1091"/>
    <n v="8007"/>
    <d v="2012-02-11T00:00:00"/>
    <s v="Low"/>
    <x v="528"/>
    <x v="18"/>
    <x v="2"/>
    <s v="Corporate"/>
    <x v="2"/>
    <x v="10"/>
    <n v="3332.06"/>
    <n v="99.99"/>
  </r>
  <r>
    <n v="1092"/>
    <n v="8033"/>
    <d v="2012-04-24T00:00:00"/>
    <s v="High"/>
    <x v="529"/>
    <x v="14"/>
    <x v="0"/>
    <s v="Small Business"/>
    <x v="0"/>
    <x v="13"/>
    <n v="118.18"/>
    <n v="4.0599999999999996"/>
  </r>
  <r>
    <n v="1093"/>
    <n v="8034"/>
    <d v="2012-01-19T00:00:00"/>
    <s v="High"/>
    <x v="530"/>
    <x v="2"/>
    <x v="2"/>
    <s v="Corporate"/>
    <x v="0"/>
    <x v="13"/>
    <n v="354.45"/>
    <n v="10.98"/>
  </r>
  <r>
    <n v="1094"/>
    <n v="8034"/>
    <d v="2012-01-19T00:00:00"/>
    <s v="High"/>
    <x v="530"/>
    <x v="2"/>
    <x v="2"/>
    <s v="Corporate"/>
    <x v="0"/>
    <x v="6"/>
    <n v="238.43"/>
    <n v="16.989999999999998"/>
  </r>
  <r>
    <n v="1095"/>
    <n v="8034"/>
    <d v="2012-01-19T00:00:00"/>
    <s v="High"/>
    <x v="530"/>
    <x v="2"/>
    <x v="2"/>
    <s v="Corporate"/>
    <x v="1"/>
    <x v="3"/>
    <n v="1606.4"/>
    <n v="44.43"/>
  </r>
  <r>
    <n v="1096"/>
    <n v="8035"/>
    <d v="2012-03-01T00:00:00"/>
    <s v="Medium"/>
    <x v="531"/>
    <x v="27"/>
    <x v="3"/>
    <s v="Corporate"/>
    <x v="0"/>
    <x v="13"/>
    <n v="104.38"/>
    <n v="14.42"/>
  </r>
  <r>
    <n v="1097"/>
    <n v="8039"/>
    <d v="2012-08-23T00:00:00"/>
    <s v="Medium"/>
    <x v="442"/>
    <x v="7"/>
    <x v="3"/>
    <s v="Small Business"/>
    <x v="0"/>
    <x v="14"/>
    <n v="1199.7"/>
    <n v="30.98"/>
  </r>
  <r>
    <n v="1098"/>
    <n v="8064"/>
    <d v="2011-05-12T00:00:00"/>
    <s v="High"/>
    <x v="532"/>
    <x v="15"/>
    <x v="2"/>
    <s v="Home Office"/>
    <x v="1"/>
    <x v="15"/>
    <n v="10445.950000000001"/>
    <n v="243.98"/>
  </r>
  <r>
    <n v="1099"/>
    <n v="8065"/>
    <d v="2012-10-21T00:00:00"/>
    <s v="Medium"/>
    <x v="533"/>
    <x v="12"/>
    <x v="3"/>
    <s v="Small Business"/>
    <x v="1"/>
    <x v="2"/>
    <n v="1125.76"/>
    <n v="60.65"/>
  </r>
  <r>
    <n v="1100"/>
    <n v="8070"/>
    <d v="2012-01-28T00:00:00"/>
    <s v="Medium"/>
    <x v="414"/>
    <x v="18"/>
    <x v="2"/>
    <s v="Home Office"/>
    <x v="0"/>
    <x v="6"/>
    <n v="622.72"/>
    <n v="40.97"/>
  </r>
  <r>
    <n v="1101"/>
    <n v="8097"/>
    <d v="2010-12-09T00:00:00"/>
    <s v="Medium"/>
    <x v="117"/>
    <x v="19"/>
    <x v="3"/>
    <s v="Home Office"/>
    <x v="0"/>
    <x v="14"/>
    <n v="7522.8"/>
    <n v="162.93"/>
  </r>
  <r>
    <n v="1102"/>
    <n v="8101"/>
    <d v="2010-03-04T00:00:00"/>
    <s v="Medium"/>
    <x v="484"/>
    <x v="16"/>
    <x v="1"/>
    <s v="Consumer"/>
    <x v="1"/>
    <x v="15"/>
    <n v="3491.71"/>
    <n v="95.95"/>
  </r>
  <r>
    <n v="1103"/>
    <n v="8101"/>
    <d v="2010-03-04T00:00:00"/>
    <s v="Medium"/>
    <x v="534"/>
    <x v="16"/>
    <x v="1"/>
    <s v="Consumer"/>
    <x v="0"/>
    <x v="6"/>
    <n v="485.16"/>
    <n v="34.58"/>
  </r>
  <r>
    <n v="1104"/>
    <n v="8103"/>
    <d v="2009-11-02T00:00:00"/>
    <s v="Low"/>
    <x v="535"/>
    <x v="5"/>
    <x v="0"/>
    <s v="Corporate"/>
    <x v="0"/>
    <x v="12"/>
    <n v="457.68"/>
    <n v="29.17"/>
  </r>
  <r>
    <n v="1105"/>
    <n v="8130"/>
    <d v="2012-05-13T00:00:00"/>
    <s v="Critical"/>
    <x v="83"/>
    <x v="15"/>
    <x v="2"/>
    <s v="Consumer"/>
    <x v="0"/>
    <x v="12"/>
    <n v="66.33"/>
    <n v="4.13"/>
  </r>
  <r>
    <n v="1106"/>
    <n v="8131"/>
    <d v="2010-05-03T00:00:00"/>
    <s v="Critical"/>
    <x v="536"/>
    <x v="30"/>
    <x v="0"/>
    <s v="Home Office"/>
    <x v="2"/>
    <x v="5"/>
    <n v="717.29"/>
    <n v="29.89"/>
  </r>
  <r>
    <n v="1107"/>
    <n v="8132"/>
    <d v="2009-05-14T00:00:00"/>
    <s v="Low"/>
    <x v="537"/>
    <x v="9"/>
    <x v="1"/>
    <s v="Home Office"/>
    <x v="2"/>
    <x v="5"/>
    <n v="229.35"/>
    <n v="4.8899999999999997"/>
  </r>
  <r>
    <n v="1108"/>
    <n v="8132"/>
    <d v="2009-05-14T00:00:00"/>
    <s v="Low"/>
    <x v="537"/>
    <x v="9"/>
    <x v="1"/>
    <s v="Home Office"/>
    <x v="0"/>
    <x v="9"/>
    <n v="294.86"/>
    <n v="6.68"/>
  </r>
  <r>
    <n v="1109"/>
    <n v="8133"/>
    <d v="2011-02-26T00:00:00"/>
    <s v="Medium"/>
    <x v="198"/>
    <x v="37"/>
    <x v="2"/>
    <s v="Corporate"/>
    <x v="0"/>
    <x v="9"/>
    <n v="405.53"/>
    <n v="35.44"/>
  </r>
  <r>
    <n v="1110"/>
    <n v="8135"/>
    <d v="2011-06-26T00:00:00"/>
    <s v="Not Specified"/>
    <x v="162"/>
    <x v="2"/>
    <x v="2"/>
    <s v="Consumer"/>
    <x v="2"/>
    <x v="4"/>
    <n v="772.41200000000003"/>
    <n v="55.99"/>
  </r>
  <r>
    <n v="1111"/>
    <n v="8161"/>
    <d v="2009-06-03T00:00:00"/>
    <s v="High"/>
    <x v="437"/>
    <x v="16"/>
    <x v="1"/>
    <s v="Consumer"/>
    <x v="0"/>
    <x v="8"/>
    <n v="112.72"/>
    <n v="2.61"/>
  </r>
  <r>
    <n v="1112"/>
    <n v="8162"/>
    <d v="2009-10-07T00:00:00"/>
    <s v="Medium"/>
    <x v="538"/>
    <x v="7"/>
    <x v="3"/>
    <s v="Small Business"/>
    <x v="2"/>
    <x v="5"/>
    <n v="670.39"/>
    <n v="27.48"/>
  </r>
  <r>
    <n v="1113"/>
    <n v="8162"/>
    <d v="2009-10-07T00:00:00"/>
    <s v="Medium"/>
    <x v="538"/>
    <x v="7"/>
    <x v="3"/>
    <s v="Small Business"/>
    <x v="2"/>
    <x v="5"/>
    <n v="5618.4"/>
    <n v="179.99"/>
  </r>
  <r>
    <n v="1114"/>
    <n v="8162"/>
    <d v="2009-10-07T00:00:00"/>
    <s v="Medium"/>
    <x v="538"/>
    <x v="7"/>
    <x v="3"/>
    <s v="Small Business"/>
    <x v="0"/>
    <x v="0"/>
    <n v="5450.6"/>
    <n v="140.85"/>
  </r>
  <r>
    <n v="1115"/>
    <n v="8165"/>
    <d v="2009-10-15T00:00:00"/>
    <s v="Low"/>
    <x v="46"/>
    <x v="25"/>
    <x v="1"/>
    <s v="Corporate"/>
    <x v="0"/>
    <x v="9"/>
    <n v="183.45"/>
    <n v="4.9800000000000004"/>
  </r>
  <r>
    <n v="1116"/>
    <n v="8167"/>
    <d v="2012-08-04T00:00:00"/>
    <s v="Critical"/>
    <x v="513"/>
    <x v="1"/>
    <x v="1"/>
    <s v="Small Business"/>
    <x v="0"/>
    <x v="9"/>
    <n v="30.95"/>
    <n v="6.48"/>
  </r>
  <r>
    <n v="1117"/>
    <n v="8167"/>
    <d v="2012-08-04T00:00:00"/>
    <s v="Critical"/>
    <x v="513"/>
    <x v="1"/>
    <x v="1"/>
    <s v="Small Business"/>
    <x v="2"/>
    <x v="4"/>
    <n v="1449.3009999999999"/>
    <n v="35.99"/>
  </r>
  <r>
    <n v="1118"/>
    <n v="8195"/>
    <d v="2011-01-06T00:00:00"/>
    <s v="Medium"/>
    <x v="461"/>
    <x v="23"/>
    <x v="3"/>
    <s v="Consumer"/>
    <x v="0"/>
    <x v="9"/>
    <n v="51.3"/>
    <n v="7.28"/>
  </r>
  <r>
    <n v="1119"/>
    <n v="8195"/>
    <d v="2011-01-06T00:00:00"/>
    <s v="Medium"/>
    <x v="539"/>
    <x v="23"/>
    <x v="3"/>
    <s v="Consumer"/>
    <x v="1"/>
    <x v="2"/>
    <n v="8.48"/>
    <n v="5.08"/>
  </r>
  <r>
    <n v="1120"/>
    <n v="8195"/>
    <d v="2011-01-06T00:00:00"/>
    <s v="Medium"/>
    <x v="539"/>
    <x v="23"/>
    <x v="3"/>
    <s v="Consumer"/>
    <x v="0"/>
    <x v="6"/>
    <n v="87.52"/>
    <n v="3.28"/>
  </r>
  <r>
    <n v="1121"/>
    <n v="8224"/>
    <d v="2012-02-07T00:00:00"/>
    <s v="Not Specified"/>
    <x v="540"/>
    <x v="26"/>
    <x v="3"/>
    <s v="Corporate"/>
    <x v="0"/>
    <x v="6"/>
    <n v="89.77"/>
    <n v="2.21"/>
  </r>
  <r>
    <n v="1122"/>
    <n v="8227"/>
    <d v="2010-01-10T00:00:00"/>
    <s v="Not Specified"/>
    <x v="541"/>
    <x v="3"/>
    <x v="0"/>
    <s v="Small Business"/>
    <x v="2"/>
    <x v="5"/>
    <n v="162.25"/>
    <n v="4.7699999999999996"/>
  </r>
  <r>
    <n v="1123"/>
    <n v="8229"/>
    <d v="2009-12-07T00:00:00"/>
    <s v="Medium"/>
    <x v="542"/>
    <x v="22"/>
    <x v="0"/>
    <s v="Home Office"/>
    <x v="2"/>
    <x v="10"/>
    <n v="3565.27"/>
    <n v="510.14"/>
  </r>
  <r>
    <n v="1124"/>
    <n v="8229"/>
    <d v="2009-12-07T00:00:00"/>
    <s v="Medium"/>
    <x v="542"/>
    <x v="22"/>
    <x v="0"/>
    <s v="Home Office"/>
    <x v="0"/>
    <x v="9"/>
    <n v="241.01"/>
    <n v="4.76"/>
  </r>
  <r>
    <n v="1125"/>
    <n v="8231"/>
    <d v="2012-10-18T00:00:00"/>
    <s v="Critical"/>
    <x v="364"/>
    <x v="10"/>
    <x v="0"/>
    <s v="Corporate"/>
    <x v="0"/>
    <x v="8"/>
    <n v="79.44"/>
    <n v="2.88"/>
  </r>
  <r>
    <n v="1126"/>
    <n v="8231"/>
    <d v="2012-10-18T00:00:00"/>
    <s v="Critical"/>
    <x v="364"/>
    <x v="10"/>
    <x v="0"/>
    <s v="Corporate"/>
    <x v="1"/>
    <x v="2"/>
    <n v="110.03"/>
    <n v="19.98"/>
  </r>
  <r>
    <n v="1127"/>
    <n v="8257"/>
    <d v="2009-03-22T00:00:00"/>
    <s v="Low"/>
    <x v="392"/>
    <x v="17"/>
    <x v="0"/>
    <s v="Consumer"/>
    <x v="2"/>
    <x v="10"/>
    <n v="7486.09"/>
    <n v="1500.97"/>
  </r>
  <r>
    <n v="1128"/>
    <n v="8257"/>
    <d v="2009-03-22T00:00:00"/>
    <s v="Low"/>
    <x v="392"/>
    <x v="17"/>
    <x v="0"/>
    <s v="Consumer"/>
    <x v="0"/>
    <x v="9"/>
    <n v="881.32"/>
    <n v="48.04"/>
  </r>
  <r>
    <n v="1129"/>
    <n v="8257"/>
    <d v="2009-03-22T00:00:00"/>
    <s v="Low"/>
    <x v="392"/>
    <x v="17"/>
    <x v="0"/>
    <s v="Consumer"/>
    <x v="0"/>
    <x v="6"/>
    <n v="22.77"/>
    <n v="4.28"/>
  </r>
  <r>
    <n v="1130"/>
    <n v="8258"/>
    <d v="2009-03-01T00:00:00"/>
    <s v="High"/>
    <x v="283"/>
    <x v="5"/>
    <x v="0"/>
    <s v="Corporate"/>
    <x v="0"/>
    <x v="9"/>
    <n v="434.77"/>
    <n v="11.34"/>
  </r>
  <r>
    <n v="1131"/>
    <n v="8259"/>
    <d v="2009-04-18T00:00:00"/>
    <s v="Medium"/>
    <x v="26"/>
    <x v="18"/>
    <x v="2"/>
    <s v="Consumer"/>
    <x v="1"/>
    <x v="15"/>
    <n v="2130.2199999999998"/>
    <n v="89.99"/>
  </r>
  <r>
    <n v="1132"/>
    <n v="8288"/>
    <d v="2011-05-09T00:00:00"/>
    <s v="Critical"/>
    <x v="543"/>
    <x v="8"/>
    <x v="2"/>
    <s v="Corporate"/>
    <x v="0"/>
    <x v="12"/>
    <n v="1337.81"/>
    <n v="59.78"/>
  </r>
  <r>
    <n v="1133"/>
    <n v="8289"/>
    <d v="2012-10-28T00:00:00"/>
    <s v="Low"/>
    <x v="511"/>
    <x v="46"/>
    <x v="1"/>
    <s v="Consumer"/>
    <x v="0"/>
    <x v="12"/>
    <n v="572.74"/>
    <n v="14.45"/>
  </r>
  <r>
    <n v="1134"/>
    <n v="8290"/>
    <d v="2009-12-09T00:00:00"/>
    <s v="Critical"/>
    <x v="544"/>
    <x v="22"/>
    <x v="0"/>
    <s v="Home Office"/>
    <x v="0"/>
    <x v="8"/>
    <n v="209.02"/>
    <n v="6.3"/>
  </r>
  <r>
    <n v="1135"/>
    <n v="8292"/>
    <d v="2010-02-01T00:00:00"/>
    <s v="Not Specified"/>
    <x v="545"/>
    <x v="12"/>
    <x v="3"/>
    <s v="Corporate"/>
    <x v="0"/>
    <x v="14"/>
    <n v="299.87"/>
    <n v="15.74"/>
  </r>
  <r>
    <n v="1136"/>
    <n v="8293"/>
    <d v="2012-08-10T00:00:00"/>
    <s v="Low"/>
    <x v="35"/>
    <x v="21"/>
    <x v="2"/>
    <s v="Small Business"/>
    <x v="0"/>
    <x v="1"/>
    <n v="75.03"/>
    <n v="3.14"/>
  </r>
  <r>
    <n v="1137"/>
    <n v="8293"/>
    <d v="2012-08-10T00:00:00"/>
    <s v="Low"/>
    <x v="546"/>
    <x v="23"/>
    <x v="3"/>
    <s v="Small Business"/>
    <x v="2"/>
    <x v="4"/>
    <n v="1497.7594999999999"/>
    <n v="35.99"/>
  </r>
  <r>
    <n v="1138"/>
    <n v="8294"/>
    <d v="2012-06-20T00:00:00"/>
    <s v="Medium"/>
    <x v="547"/>
    <x v="15"/>
    <x v="2"/>
    <s v="Home Office"/>
    <x v="2"/>
    <x v="4"/>
    <n v="197.57399999999998"/>
    <n v="7.99"/>
  </r>
  <r>
    <n v="1139"/>
    <n v="8295"/>
    <d v="2009-04-01T00:00:00"/>
    <s v="High"/>
    <x v="548"/>
    <x v="36"/>
    <x v="2"/>
    <s v="Consumer"/>
    <x v="2"/>
    <x v="4"/>
    <n v="835.15049999999997"/>
    <n v="35.99"/>
  </r>
  <r>
    <n v="1140"/>
    <n v="8295"/>
    <d v="2009-04-01T00:00:00"/>
    <s v="High"/>
    <x v="548"/>
    <x v="36"/>
    <x v="2"/>
    <s v="Consumer"/>
    <x v="2"/>
    <x v="4"/>
    <n v="771.83399999999995"/>
    <n v="125.99"/>
  </r>
  <r>
    <n v="1141"/>
    <n v="8320"/>
    <d v="2009-09-19T00:00:00"/>
    <s v="Not Specified"/>
    <x v="320"/>
    <x v="16"/>
    <x v="1"/>
    <s v="Home Office"/>
    <x v="0"/>
    <x v="9"/>
    <n v="150.34"/>
    <n v="6.48"/>
  </r>
  <r>
    <n v="1142"/>
    <n v="8320"/>
    <d v="2009-09-19T00:00:00"/>
    <s v="Not Specified"/>
    <x v="370"/>
    <x v="35"/>
    <x v="3"/>
    <s v="Home Office"/>
    <x v="2"/>
    <x v="5"/>
    <n v="1142.3599999999999"/>
    <n v="30.73"/>
  </r>
  <r>
    <n v="1143"/>
    <n v="8323"/>
    <d v="2011-09-06T00:00:00"/>
    <s v="High"/>
    <x v="549"/>
    <x v="26"/>
    <x v="3"/>
    <s v="Home Office"/>
    <x v="2"/>
    <x v="4"/>
    <n v="766.96349999999995"/>
    <n v="20.99"/>
  </r>
  <r>
    <n v="1144"/>
    <n v="8325"/>
    <d v="2009-01-14T00:00:00"/>
    <s v="Critical"/>
    <x v="550"/>
    <x v="16"/>
    <x v="1"/>
    <s v="Home Office"/>
    <x v="2"/>
    <x v="10"/>
    <n v="2364.29"/>
    <n v="115.99"/>
  </r>
  <r>
    <n v="1145"/>
    <n v="8325"/>
    <d v="2009-01-14T00:00:00"/>
    <s v="Critical"/>
    <x v="550"/>
    <x v="16"/>
    <x v="1"/>
    <s v="Home Office"/>
    <x v="0"/>
    <x v="6"/>
    <n v="112.57"/>
    <n v="4.28"/>
  </r>
  <r>
    <n v="1146"/>
    <n v="8353"/>
    <d v="2009-05-15T00:00:00"/>
    <s v="Medium"/>
    <x v="468"/>
    <x v="1"/>
    <x v="1"/>
    <s v="Consumer"/>
    <x v="2"/>
    <x v="5"/>
    <n v="286.89999999999998"/>
    <n v="8.32"/>
  </r>
  <r>
    <n v="1147"/>
    <n v="8353"/>
    <d v="2009-05-15T00:00:00"/>
    <s v="Medium"/>
    <x v="468"/>
    <x v="1"/>
    <x v="1"/>
    <s v="Consumer"/>
    <x v="0"/>
    <x v="6"/>
    <n v="46.4"/>
    <n v="2.94"/>
  </r>
  <r>
    <n v="1148"/>
    <n v="8384"/>
    <d v="2010-05-05T00:00:00"/>
    <s v="High"/>
    <x v="519"/>
    <x v="15"/>
    <x v="2"/>
    <s v="Small Business"/>
    <x v="1"/>
    <x v="11"/>
    <n v="4935.72"/>
    <n v="140.97999999999999"/>
  </r>
  <r>
    <n v="1149"/>
    <n v="8387"/>
    <d v="2010-03-20T00:00:00"/>
    <s v="Not Specified"/>
    <x v="551"/>
    <x v="24"/>
    <x v="1"/>
    <s v="Corporate"/>
    <x v="0"/>
    <x v="12"/>
    <n v="1133.96"/>
    <n v="31.74"/>
  </r>
  <r>
    <n v="1150"/>
    <n v="8388"/>
    <d v="2012-02-23T00:00:00"/>
    <s v="Low"/>
    <x v="88"/>
    <x v="14"/>
    <x v="0"/>
    <s v="Home Office"/>
    <x v="1"/>
    <x v="2"/>
    <n v="290.3"/>
    <n v="7.59"/>
  </r>
  <r>
    <n v="1151"/>
    <n v="8388"/>
    <d v="2012-02-23T00:00:00"/>
    <s v="Low"/>
    <x v="552"/>
    <x v="14"/>
    <x v="0"/>
    <s v="Home Office"/>
    <x v="0"/>
    <x v="12"/>
    <n v="434.11"/>
    <n v="11.7"/>
  </r>
  <r>
    <n v="1152"/>
    <n v="8388"/>
    <d v="2012-02-23T00:00:00"/>
    <s v="Low"/>
    <x v="552"/>
    <x v="14"/>
    <x v="0"/>
    <s v="Home Office"/>
    <x v="0"/>
    <x v="9"/>
    <n v="288.89999999999998"/>
    <n v="6.98"/>
  </r>
  <r>
    <n v="1153"/>
    <n v="8390"/>
    <d v="2012-04-21T00:00:00"/>
    <s v="Medium"/>
    <x v="129"/>
    <x v="20"/>
    <x v="0"/>
    <s v="Home Office"/>
    <x v="2"/>
    <x v="5"/>
    <n v="715.4"/>
    <n v="30.98"/>
  </r>
  <r>
    <n v="1154"/>
    <n v="8391"/>
    <d v="2011-08-28T00:00:00"/>
    <s v="High"/>
    <x v="553"/>
    <x v="0"/>
    <x v="0"/>
    <s v="Corporate"/>
    <x v="1"/>
    <x v="15"/>
    <n v="1266.72"/>
    <n v="300.98"/>
  </r>
  <r>
    <n v="1155"/>
    <n v="8416"/>
    <d v="2010-08-06T00:00:00"/>
    <s v="Low"/>
    <x v="70"/>
    <x v="37"/>
    <x v="2"/>
    <s v="Small Business"/>
    <x v="0"/>
    <x v="9"/>
    <n v="22.07"/>
    <n v="5.98"/>
  </r>
  <r>
    <n v="1156"/>
    <n v="8419"/>
    <d v="2011-09-29T00:00:00"/>
    <s v="Critical"/>
    <x v="308"/>
    <x v="0"/>
    <x v="0"/>
    <s v="Small Business"/>
    <x v="0"/>
    <x v="9"/>
    <n v="368.04"/>
    <n v="19.98"/>
  </r>
  <r>
    <n v="1157"/>
    <n v="8419"/>
    <d v="2011-09-29T00:00:00"/>
    <s v="Critical"/>
    <x v="308"/>
    <x v="0"/>
    <x v="0"/>
    <s v="Small Business"/>
    <x v="0"/>
    <x v="9"/>
    <n v="152.6"/>
    <n v="6.48"/>
  </r>
  <r>
    <n v="1158"/>
    <n v="8422"/>
    <d v="2009-04-14T00:00:00"/>
    <s v="Medium"/>
    <x v="554"/>
    <x v="19"/>
    <x v="3"/>
    <s v="Home Office"/>
    <x v="2"/>
    <x v="5"/>
    <n v="1003.71"/>
    <n v="29.1"/>
  </r>
  <r>
    <n v="1159"/>
    <n v="8422"/>
    <d v="2009-04-14T00:00:00"/>
    <s v="Medium"/>
    <x v="41"/>
    <x v="13"/>
    <x v="3"/>
    <s v="Home Office"/>
    <x v="1"/>
    <x v="3"/>
    <n v="4212.7519999999995"/>
    <n v="296.18"/>
  </r>
  <r>
    <n v="1160"/>
    <n v="8450"/>
    <d v="2012-04-13T00:00:00"/>
    <s v="Not Specified"/>
    <x v="555"/>
    <x v="29"/>
    <x v="2"/>
    <s v="Home Office"/>
    <x v="0"/>
    <x v="13"/>
    <n v="1307"/>
    <n v="54.48"/>
  </r>
  <r>
    <n v="1161"/>
    <n v="8450"/>
    <d v="2012-04-13T00:00:00"/>
    <s v="Not Specified"/>
    <x v="555"/>
    <x v="29"/>
    <x v="2"/>
    <s v="Home Office"/>
    <x v="0"/>
    <x v="12"/>
    <n v="41.39"/>
    <n v="1.88"/>
  </r>
  <r>
    <n v="1162"/>
    <n v="8454"/>
    <d v="2012-08-15T00:00:00"/>
    <s v="Medium"/>
    <x v="556"/>
    <x v="5"/>
    <x v="0"/>
    <s v="Small Business"/>
    <x v="0"/>
    <x v="12"/>
    <n v="218.77"/>
    <n v="5.4"/>
  </r>
  <r>
    <n v="1163"/>
    <n v="8480"/>
    <d v="2011-01-29T00:00:00"/>
    <s v="High"/>
    <x v="557"/>
    <x v="26"/>
    <x v="3"/>
    <s v="Corporate"/>
    <x v="0"/>
    <x v="9"/>
    <n v="76.36"/>
    <n v="6.48"/>
  </r>
  <r>
    <n v="1164"/>
    <n v="8480"/>
    <d v="2011-01-29T00:00:00"/>
    <s v="High"/>
    <x v="557"/>
    <x v="26"/>
    <x v="3"/>
    <s v="Corporate"/>
    <x v="2"/>
    <x v="4"/>
    <n v="309.9015"/>
    <n v="125.99"/>
  </r>
  <r>
    <n v="1165"/>
    <n v="8513"/>
    <d v="2011-07-15T00:00:00"/>
    <s v="Low"/>
    <x v="523"/>
    <x v="40"/>
    <x v="3"/>
    <s v="Small Business"/>
    <x v="2"/>
    <x v="10"/>
    <n v="163.78"/>
    <n v="17.98"/>
  </r>
  <r>
    <n v="1166"/>
    <n v="8513"/>
    <d v="2011-07-15T00:00:00"/>
    <s v="Low"/>
    <x v="558"/>
    <x v="12"/>
    <x v="3"/>
    <s v="Small Business"/>
    <x v="0"/>
    <x v="13"/>
    <n v="84.64"/>
    <n v="8.6199999999999992"/>
  </r>
  <r>
    <n v="1167"/>
    <n v="8515"/>
    <d v="2010-12-21T00:00:00"/>
    <s v="Critical"/>
    <x v="559"/>
    <x v="22"/>
    <x v="0"/>
    <s v="Small Business"/>
    <x v="2"/>
    <x v="5"/>
    <n v="729.92"/>
    <n v="20.95"/>
  </r>
  <r>
    <n v="1168"/>
    <n v="8545"/>
    <d v="2009-06-17T00:00:00"/>
    <s v="Low"/>
    <x v="560"/>
    <x v="20"/>
    <x v="0"/>
    <s v="Small Business"/>
    <x v="0"/>
    <x v="12"/>
    <n v="113.75"/>
    <n v="4.13"/>
  </r>
  <r>
    <n v="1169"/>
    <n v="8545"/>
    <d v="2009-06-17T00:00:00"/>
    <s v="Low"/>
    <x v="560"/>
    <x v="20"/>
    <x v="0"/>
    <s v="Small Business"/>
    <x v="1"/>
    <x v="11"/>
    <n v="3081.95"/>
    <n v="130.97999999999999"/>
  </r>
  <r>
    <n v="1170"/>
    <n v="8546"/>
    <d v="2012-04-01T00:00:00"/>
    <s v="High"/>
    <x v="561"/>
    <x v="34"/>
    <x v="2"/>
    <s v="Small Business"/>
    <x v="2"/>
    <x v="5"/>
    <n v="51.94"/>
    <n v="10.01"/>
  </r>
  <r>
    <n v="1171"/>
    <n v="8551"/>
    <d v="2009-07-29T00:00:00"/>
    <s v="Critical"/>
    <x v="562"/>
    <x v="33"/>
    <x v="0"/>
    <s v="Corporate"/>
    <x v="0"/>
    <x v="12"/>
    <n v="185.64"/>
    <n v="7.45"/>
  </r>
  <r>
    <n v="1172"/>
    <n v="8551"/>
    <d v="2009-07-29T00:00:00"/>
    <s v="Critical"/>
    <x v="562"/>
    <x v="33"/>
    <x v="0"/>
    <s v="Corporate"/>
    <x v="0"/>
    <x v="9"/>
    <n v="225.98"/>
    <n v="6.48"/>
  </r>
  <r>
    <n v="1173"/>
    <n v="8576"/>
    <d v="2009-01-09T00:00:00"/>
    <s v="High"/>
    <x v="563"/>
    <x v="16"/>
    <x v="1"/>
    <s v="Corporate"/>
    <x v="0"/>
    <x v="6"/>
    <n v="541.45000000000005"/>
    <n v="11.66"/>
  </r>
  <r>
    <n v="1174"/>
    <n v="8578"/>
    <d v="2011-09-02T00:00:00"/>
    <s v="High"/>
    <x v="298"/>
    <x v="34"/>
    <x v="2"/>
    <s v="Corporate"/>
    <x v="1"/>
    <x v="2"/>
    <n v="366.87"/>
    <n v="9.74"/>
  </r>
  <r>
    <n v="1175"/>
    <n v="8580"/>
    <d v="2011-03-22T00:00:00"/>
    <s v="High"/>
    <x v="564"/>
    <x v="15"/>
    <x v="2"/>
    <s v="Consumer"/>
    <x v="0"/>
    <x v="14"/>
    <n v="151.49"/>
    <n v="11.58"/>
  </r>
  <r>
    <n v="1176"/>
    <n v="8580"/>
    <d v="2011-03-22T00:00:00"/>
    <s v="High"/>
    <x v="565"/>
    <x v="15"/>
    <x v="2"/>
    <s v="Consumer"/>
    <x v="0"/>
    <x v="13"/>
    <n v="308.22000000000003"/>
    <n v="7.77"/>
  </r>
  <r>
    <n v="1177"/>
    <n v="8582"/>
    <d v="2010-11-20T00:00:00"/>
    <s v="Low"/>
    <x v="93"/>
    <x v="16"/>
    <x v="1"/>
    <s v="Home Office"/>
    <x v="1"/>
    <x v="2"/>
    <n v="1556.55"/>
    <n v="105.34"/>
  </r>
  <r>
    <n v="1178"/>
    <n v="8609"/>
    <d v="2012-04-14T00:00:00"/>
    <s v="Critical"/>
    <x v="180"/>
    <x v="1"/>
    <x v="1"/>
    <s v="Corporate"/>
    <x v="2"/>
    <x v="4"/>
    <n v="72.003499999999988"/>
    <n v="20.99"/>
  </r>
  <r>
    <n v="1179"/>
    <n v="8614"/>
    <d v="2009-06-04T00:00:00"/>
    <s v="Low"/>
    <x v="518"/>
    <x v="4"/>
    <x v="1"/>
    <s v="Corporate"/>
    <x v="2"/>
    <x v="4"/>
    <n v="1289.127"/>
    <n v="115.99"/>
  </r>
  <r>
    <n v="1180"/>
    <n v="8642"/>
    <d v="2010-01-16T00:00:00"/>
    <s v="High"/>
    <x v="566"/>
    <x v="18"/>
    <x v="2"/>
    <s v="Corporate"/>
    <x v="0"/>
    <x v="12"/>
    <n v="151.05000000000001"/>
    <n v="5.8"/>
  </r>
  <r>
    <n v="1181"/>
    <n v="8642"/>
    <d v="2010-01-16T00:00:00"/>
    <s v="High"/>
    <x v="566"/>
    <x v="18"/>
    <x v="2"/>
    <s v="Corporate"/>
    <x v="0"/>
    <x v="8"/>
    <n v="133.04"/>
    <n v="10.35"/>
  </r>
  <r>
    <n v="1182"/>
    <n v="8646"/>
    <d v="2009-04-09T00:00:00"/>
    <s v="High"/>
    <x v="567"/>
    <x v="15"/>
    <x v="2"/>
    <s v="Consumer"/>
    <x v="0"/>
    <x v="13"/>
    <n v="85.85"/>
    <n v="4.4800000000000004"/>
  </r>
  <r>
    <n v="1183"/>
    <n v="8646"/>
    <d v="2009-04-09T00:00:00"/>
    <s v="High"/>
    <x v="567"/>
    <x v="15"/>
    <x v="2"/>
    <s v="Consumer"/>
    <x v="1"/>
    <x v="15"/>
    <n v="14377.78"/>
    <n v="350.99"/>
  </r>
  <r>
    <n v="1184"/>
    <n v="8646"/>
    <d v="2009-04-09T00:00:00"/>
    <s v="High"/>
    <x v="567"/>
    <x v="15"/>
    <x v="2"/>
    <s v="Consumer"/>
    <x v="2"/>
    <x v="5"/>
    <n v="994.27"/>
    <n v="40.98"/>
  </r>
  <r>
    <n v="1185"/>
    <n v="8646"/>
    <d v="2009-04-09T00:00:00"/>
    <s v="High"/>
    <x v="567"/>
    <x v="15"/>
    <x v="2"/>
    <s v="Consumer"/>
    <x v="1"/>
    <x v="3"/>
    <n v="9558.65"/>
    <n v="349.45"/>
  </r>
  <r>
    <n v="1186"/>
    <n v="8677"/>
    <d v="2012-10-07T00:00:00"/>
    <s v="High"/>
    <x v="31"/>
    <x v="19"/>
    <x v="3"/>
    <s v="Corporate"/>
    <x v="0"/>
    <x v="0"/>
    <n v="1610.76"/>
    <n v="43.57"/>
  </r>
  <r>
    <n v="1187"/>
    <n v="8678"/>
    <d v="2012-09-30T00:00:00"/>
    <s v="Low"/>
    <x v="328"/>
    <x v="8"/>
    <x v="2"/>
    <s v="Consumer"/>
    <x v="0"/>
    <x v="0"/>
    <n v="937.8"/>
    <n v="29.74"/>
  </r>
  <r>
    <n v="1188"/>
    <n v="8679"/>
    <d v="2012-05-06T00:00:00"/>
    <s v="Medium"/>
    <x v="479"/>
    <x v="46"/>
    <x v="1"/>
    <s v="Home Office"/>
    <x v="0"/>
    <x v="9"/>
    <n v="446.06"/>
    <n v="9.11"/>
  </r>
  <r>
    <n v="1189"/>
    <n v="8704"/>
    <d v="2011-06-30T00:00:00"/>
    <s v="Medium"/>
    <x v="568"/>
    <x v="36"/>
    <x v="2"/>
    <s v="Home Office"/>
    <x v="0"/>
    <x v="6"/>
    <n v="449.17"/>
    <n v="9.93"/>
  </r>
  <r>
    <n v="1190"/>
    <n v="8704"/>
    <d v="2011-06-30T00:00:00"/>
    <s v="Medium"/>
    <x v="568"/>
    <x v="36"/>
    <x v="2"/>
    <s v="Home Office"/>
    <x v="0"/>
    <x v="6"/>
    <n v="79.81"/>
    <n v="2.21"/>
  </r>
  <r>
    <n v="1191"/>
    <n v="8709"/>
    <d v="2009-03-08T00:00:00"/>
    <s v="High"/>
    <x v="569"/>
    <x v="10"/>
    <x v="0"/>
    <s v="Home Office"/>
    <x v="2"/>
    <x v="10"/>
    <n v="2451.41"/>
    <n v="51.98"/>
  </r>
  <r>
    <n v="1192"/>
    <n v="8709"/>
    <d v="2009-03-08T00:00:00"/>
    <s v="High"/>
    <x v="569"/>
    <x v="10"/>
    <x v="0"/>
    <s v="Home Office"/>
    <x v="2"/>
    <x v="10"/>
    <n v="851.24"/>
    <n v="80.97"/>
  </r>
  <r>
    <n v="1193"/>
    <n v="8710"/>
    <d v="2009-01-04T00:00:00"/>
    <s v="Critical"/>
    <x v="154"/>
    <x v="5"/>
    <x v="0"/>
    <s v="Corporate"/>
    <x v="0"/>
    <x v="12"/>
    <n v="63.34"/>
    <n v="3.36"/>
  </r>
  <r>
    <n v="1194"/>
    <n v="8710"/>
    <d v="2009-01-04T00:00:00"/>
    <s v="Critical"/>
    <x v="154"/>
    <x v="5"/>
    <x v="0"/>
    <s v="Corporate"/>
    <x v="0"/>
    <x v="9"/>
    <n v="151.35"/>
    <n v="3.71"/>
  </r>
  <r>
    <n v="1195"/>
    <n v="8768"/>
    <d v="2011-08-18T00:00:00"/>
    <s v="High"/>
    <x v="171"/>
    <x v="24"/>
    <x v="1"/>
    <s v="Small Business"/>
    <x v="2"/>
    <x v="4"/>
    <n v="2422.4404999999997"/>
    <n v="65.989999999999995"/>
  </r>
  <r>
    <n v="1196"/>
    <n v="8773"/>
    <d v="2011-10-22T00:00:00"/>
    <s v="Critical"/>
    <x v="130"/>
    <x v="17"/>
    <x v="0"/>
    <s v="Home Office"/>
    <x v="2"/>
    <x v="4"/>
    <n v="220.78749999999999"/>
    <n v="55.99"/>
  </r>
  <r>
    <n v="1197"/>
    <n v="8801"/>
    <d v="2012-08-10T00:00:00"/>
    <s v="Low"/>
    <x v="570"/>
    <x v="22"/>
    <x v="0"/>
    <s v="Consumer"/>
    <x v="1"/>
    <x v="2"/>
    <n v="2593.08"/>
    <n v="79.52"/>
  </r>
  <r>
    <n v="1198"/>
    <n v="8801"/>
    <d v="2012-08-10T00:00:00"/>
    <s v="Low"/>
    <x v="570"/>
    <x v="22"/>
    <x v="0"/>
    <s v="Consumer"/>
    <x v="2"/>
    <x v="4"/>
    <n v="2529.3960000000002"/>
    <n v="125.99"/>
  </r>
  <r>
    <n v="1199"/>
    <n v="8802"/>
    <d v="2011-01-31T00:00:00"/>
    <s v="Medium"/>
    <x v="571"/>
    <x v="37"/>
    <x v="2"/>
    <s v="Small Business"/>
    <x v="0"/>
    <x v="13"/>
    <n v="1866.12"/>
    <n v="123.38"/>
  </r>
  <r>
    <n v="1200"/>
    <n v="8803"/>
    <d v="2012-12-20T00:00:00"/>
    <s v="Not Specified"/>
    <x v="398"/>
    <x v="18"/>
    <x v="2"/>
    <s v="Corporate"/>
    <x v="0"/>
    <x v="0"/>
    <n v="1184.1099999999999"/>
    <n v="193.17"/>
  </r>
  <r>
    <n v="1201"/>
    <n v="8803"/>
    <d v="2012-12-20T00:00:00"/>
    <s v="Not Specified"/>
    <x v="572"/>
    <x v="18"/>
    <x v="2"/>
    <s v="Corporate"/>
    <x v="0"/>
    <x v="12"/>
    <n v="514.22"/>
    <n v="30.56"/>
  </r>
  <r>
    <n v="1202"/>
    <n v="8807"/>
    <d v="2010-02-25T00:00:00"/>
    <s v="Low"/>
    <x v="573"/>
    <x v="31"/>
    <x v="3"/>
    <s v="Consumer"/>
    <x v="0"/>
    <x v="9"/>
    <n v="428.14"/>
    <n v="22.84"/>
  </r>
  <r>
    <n v="1203"/>
    <n v="8807"/>
    <d v="2010-02-25T00:00:00"/>
    <s v="Low"/>
    <x v="138"/>
    <x v="35"/>
    <x v="3"/>
    <s v="Consumer"/>
    <x v="2"/>
    <x v="4"/>
    <n v="1379.3374999999999"/>
    <n v="125.99"/>
  </r>
  <r>
    <n v="1204"/>
    <n v="8832"/>
    <d v="2012-02-02T00:00:00"/>
    <s v="Low"/>
    <x v="437"/>
    <x v="16"/>
    <x v="1"/>
    <s v="Small Business"/>
    <x v="1"/>
    <x v="2"/>
    <n v="647.80999999999995"/>
    <n v="17.670000000000002"/>
  </r>
  <r>
    <n v="1205"/>
    <n v="8833"/>
    <d v="2012-05-04T00:00:00"/>
    <s v="Low"/>
    <x v="308"/>
    <x v="0"/>
    <x v="0"/>
    <s v="Small Business"/>
    <x v="0"/>
    <x v="0"/>
    <n v="3338.98"/>
    <n v="80.98"/>
  </r>
  <r>
    <n v="1206"/>
    <n v="8834"/>
    <d v="2010-11-08T00:00:00"/>
    <s v="High"/>
    <x v="574"/>
    <x v="36"/>
    <x v="2"/>
    <s v="Consumer"/>
    <x v="2"/>
    <x v="10"/>
    <n v="6688.11"/>
    <n v="150.97999999999999"/>
  </r>
  <r>
    <n v="1207"/>
    <n v="8834"/>
    <d v="2010-11-08T00:00:00"/>
    <s v="High"/>
    <x v="575"/>
    <x v="33"/>
    <x v="0"/>
    <s v="Consumer"/>
    <x v="1"/>
    <x v="2"/>
    <n v="16.73"/>
    <n v="12.64"/>
  </r>
  <r>
    <n v="1208"/>
    <n v="8835"/>
    <d v="2009-10-13T00:00:00"/>
    <s v="Critical"/>
    <x v="283"/>
    <x v="5"/>
    <x v="0"/>
    <s v="Corporate"/>
    <x v="1"/>
    <x v="2"/>
    <n v="153.44"/>
    <n v="12.2"/>
  </r>
  <r>
    <n v="1209"/>
    <n v="8868"/>
    <d v="2009-01-28T00:00:00"/>
    <s v="Low"/>
    <x v="234"/>
    <x v="9"/>
    <x v="1"/>
    <s v="Corporate"/>
    <x v="0"/>
    <x v="13"/>
    <n v="190.45"/>
    <n v="59.98"/>
  </r>
  <r>
    <n v="1210"/>
    <n v="8868"/>
    <d v="2009-01-28T00:00:00"/>
    <s v="Low"/>
    <x v="234"/>
    <x v="9"/>
    <x v="1"/>
    <s v="Corporate"/>
    <x v="0"/>
    <x v="12"/>
    <n v="179.99"/>
    <n v="5.18"/>
  </r>
  <r>
    <n v="1211"/>
    <n v="8870"/>
    <d v="2010-03-05T00:00:00"/>
    <s v="Not Specified"/>
    <x v="538"/>
    <x v="7"/>
    <x v="3"/>
    <s v="Small Business"/>
    <x v="0"/>
    <x v="9"/>
    <n v="441.58"/>
    <n v="30.98"/>
  </r>
  <r>
    <n v="1212"/>
    <n v="8901"/>
    <d v="2011-08-20T00:00:00"/>
    <s v="Low"/>
    <x v="576"/>
    <x v="16"/>
    <x v="1"/>
    <s v="Consumer"/>
    <x v="2"/>
    <x v="10"/>
    <n v="168.9"/>
    <n v="9.99"/>
  </r>
  <r>
    <n v="1213"/>
    <n v="8902"/>
    <d v="2011-06-19T00:00:00"/>
    <s v="High"/>
    <x v="493"/>
    <x v="25"/>
    <x v="1"/>
    <s v="Consumer"/>
    <x v="0"/>
    <x v="9"/>
    <n v="180.46"/>
    <n v="6.48"/>
  </r>
  <r>
    <n v="1214"/>
    <n v="8930"/>
    <d v="2009-05-19T00:00:00"/>
    <s v="Medium"/>
    <x v="577"/>
    <x v="16"/>
    <x v="1"/>
    <s v="Corporate"/>
    <x v="0"/>
    <x v="9"/>
    <n v="145.86000000000001"/>
    <n v="9.99"/>
  </r>
  <r>
    <n v="1215"/>
    <n v="8933"/>
    <d v="2010-10-07T00:00:00"/>
    <s v="High"/>
    <x v="207"/>
    <x v="36"/>
    <x v="2"/>
    <s v="Consumer"/>
    <x v="0"/>
    <x v="12"/>
    <n v="1520.26"/>
    <n v="42.8"/>
  </r>
  <r>
    <n v="1216"/>
    <n v="8933"/>
    <d v="2010-10-07T00:00:00"/>
    <s v="High"/>
    <x v="207"/>
    <x v="36"/>
    <x v="2"/>
    <s v="Consumer"/>
    <x v="1"/>
    <x v="2"/>
    <n v="688.02"/>
    <n v="22.98"/>
  </r>
  <r>
    <n v="1217"/>
    <n v="8960"/>
    <d v="2010-06-05T00:00:00"/>
    <s v="Medium"/>
    <x v="556"/>
    <x v="5"/>
    <x v="0"/>
    <s v="Small Business"/>
    <x v="2"/>
    <x v="5"/>
    <n v="4335.34"/>
    <n v="99.99"/>
  </r>
  <r>
    <n v="1218"/>
    <n v="8960"/>
    <d v="2010-06-05T00:00:00"/>
    <s v="Medium"/>
    <x v="556"/>
    <x v="5"/>
    <x v="0"/>
    <s v="Small Business"/>
    <x v="2"/>
    <x v="4"/>
    <n v="1150.5345"/>
    <n v="85.99"/>
  </r>
  <r>
    <n v="1219"/>
    <n v="8961"/>
    <d v="2011-06-28T00:00:00"/>
    <s v="Low"/>
    <x v="428"/>
    <x v="39"/>
    <x v="1"/>
    <s v="Small Business"/>
    <x v="1"/>
    <x v="3"/>
    <n v="4644.87"/>
    <n v="100.8"/>
  </r>
  <r>
    <n v="1220"/>
    <n v="8961"/>
    <d v="2011-06-28T00:00:00"/>
    <s v="Low"/>
    <x v="578"/>
    <x v="27"/>
    <x v="3"/>
    <s v="Small Business"/>
    <x v="2"/>
    <x v="5"/>
    <n v="627.69000000000005"/>
    <n v="39.979999999999997"/>
  </r>
  <r>
    <n v="1221"/>
    <n v="8992"/>
    <d v="2010-11-12T00:00:00"/>
    <s v="High"/>
    <x v="367"/>
    <x v="22"/>
    <x v="0"/>
    <s v="Corporate"/>
    <x v="1"/>
    <x v="15"/>
    <n v="441.43"/>
    <n v="140.81"/>
  </r>
  <r>
    <n v="1222"/>
    <n v="8992"/>
    <d v="2010-11-12T00:00:00"/>
    <s v="High"/>
    <x v="367"/>
    <x v="22"/>
    <x v="0"/>
    <s v="Corporate"/>
    <x v="2"/>
    <x v="4"/>
    <n v="2145.6974999999998"/>
    <n v="195.99"/>
  </r>
  <r>
    <n v="1223"/>
    <n v="8992"/>
    <d v="2010-11-12T00:00:00"/>
    <s v="High"/>
    <x v="367"/>
    <x v="22"/>
    <x v="0"/>
    <s v="Corporate"/>
    <x v="2"/>
    <x v="4"/>
    <n v="1341.963"/>
    <n v="85.99"/>
  </r>
  <r>
    <n v="1224"/>
    <n v="8993"/>
    <d v="2011-05-28T00:00:00"/>
    <s v="Medium"/>
    <x v="579"/>
    <x v="15"/>
    <x v="2"/>
    <s v="Corporate"/>
    <x v="0"/>
    <x v="8"/>
    <n v="172.15"/>
    <n v="3.69"/>
  </r>
  <r>
    <n v="1225"/>
    <n v="8994"/>
    <d v="2009-04-07T00:00:00"/>
    <s v="Low"/>
    <x v="580"/>
    <x v="30"/>
    <x v="0"/>
    <s v="Corporate"/>
    <x v="2"/>
    <x v="5"/>
    <n v="1423.35"/>
    <n v="40.479999999999997"/>
  </r>
  <r>
    <n v="1226"/>
    <n v="8995"/>
    <d v="2011-05-17T00:00:00"/>
    <s v="High"/>
    <x v="520"/>
    <x v="0"/>
    <x v="0"/>
    <s v="Consumer"/>
    <x v="0"/>
    <x v="12"/>
    <n v="24.16"/>
    <n v="1.88"/>
  </r>
  <r>
    <n v="1227"/>
    <n v="8995"/>
    <d v="2011-05-17T00:00:00"/>
    <s v="High"/>
    <x v="520"/>
    <x v="0"/>
    <x v="0"/>
    <s v="Consumer"/>
    <x v="0"/>
    <x v="9"/>
    <n v="270.83999999999997"/>
    <n v="6.48"/>
  </r>
  <r>
    <n v="1228"/>
    <n v="8995"/>
    <d v="2011-05-17T00:00:00"/>
    <s v="High"/>
    <x v="581"/>
    <x v="0"/>
    <x v="0"/>
    <s v="Consumer"/>
    <x v="1"/>
    <x v="2"/>
    <n v="3389.93"/>
    <n v="102.3"/>
  </r>
  <r>
    <n v="1229"/>
    <n v="8995"/>
    <d v="2011-05-17T00:00:00"/>
    <s v="High"/>
    <x v="581"/>
    <x v="0"/>
    <x v="0"/>
    <s v="Consumer"/>
    <x v="0"/>
    <x v="9"/>
    <n v="266.36"/>
    <n v="6.48"/>
  </r>
  <r>
    <n v="1230"/>
    <n v="8995"/>
    <d v="2011-05-17T00:00:00"/>
    <s v="High"/>
    <x v="581"/>
    <x v="0"/>
    <x v="0"/>
    <s v="Consumer"/>
    <x v="0"/>
    <x v="7"/>
    <n v="89.41"/>
    <n v="1.89"/>
  </r>
  <r>
    <n v="1231"/>
    <n v="8996"/>
    <d v="2011-06-02T00:00:00"/>
    <s v="Low"/>
    <x v="361"/>
    <x v="15"/>
    <x v="2"/>
    <s v="Corporate"/>
    <x v="2"/>
    <x v="4"/>
    <n v="772.26750000000004"/>
    <n v="65.989999999999995"/>
  </r>
  <r>
    <n v="1232"/>
    <n v="8997"/>
    <d v="2009-07-01T00:00:00"/>
    <s v="Low"/>
    <x v="48"/>
    <x v="1"/>
    <x v="1"/>
    <s v="Small Business"/>
    <x v="2"/>
    <x v="16"/>
    <n v="17279.62"/>
    <n v="449.99"/>
  </r>
  <r>
    <n v="1233"/>
    <n v="8997"/>
    <d v="2009-07-01T00:00:00"/>
    <s v="Low"/>
    <x v="48"/>
    <x v="1"/>
    <x v="1"/>
    <s v="Small Business"/>
    <x v="0"/>
    <x v="6"/>
    <n v="120.3"/>
    <n v="5.84"/>
  </r>
  <r>
    <n v="1234"/>
    <n v="8998"/>
    <d v="2010-01-03T00:00:00"/>
    <s v="Low"/>
    <x v="158"/>
    <x v="15"/>
    <x v="2"/>
    <s v="Consumer"/>
    <x v="0"/>
    <x v="13"/>
    <n v="1767.88"/>
    <n v="50.98"/>
  </r>
  <r>
    <n v="1235"/>
    <n v="8998"/>
    <d v="2010-01-03T00:00:00"/>
    <s v="Low"/>
    <x v="158"/>
    <x v="15"/>
    <x v="2"/>
    <s v="Consumer"/>
    <x v="2"/>
    <x v="5"/>
    <n v="277.42"/>
    <n v="22.24"/>
  </r>
  <r>
    <n v="1236"/>
    <n v="8998"/>
    <d v="2010-01-03T00:00:00"/>
    <s v="Low"/>
    <x v="158"/>
    <x v="15"/>
    <x v="2"/>
    <s v="Consumer"/>
    <x v="0"/>
    <x v="0"/>
    <n v="178.13"/>
    <n v="13.43"/>
  </r>
  <r>
    <n v="1237"/>
    <n v="8999"/>
    <d v="2009-06-12T00:00:00"/>
    <s v="High"/>
    <x v="582"/>
    <x v="16"/>
    <x v="1"/>
    <s v="Corporate"/>
    <x v="0"/>
    <x v="9"/>
    <n v="1676.48"/>
    <n v="55.48"/>
  </r>
  <r>
    <n v="1238"/>
    <n v="9024"/>
    <d v="2012-06-02T00:00:00"/>
    <s v="Medium"/>
    <x v="583"/>
    <x v="19"/>
    <x v="3"/>
    <s v="Home Office"/>
    <x v="0"/>
    <x v="9"/>
    <n v="12.12"/>
    <n v="5.43"/>
  </r>
  <r>
    <n v="1239"/>
    <n v="9024"/>
    <d v="2012-06-02T00:00:00"/>
    <s v="Medium"/>
    <x v="584"/>
    <x v="31"/>
    <x v="3"/>
    <s v="Home Office"/>
    <x v="2"/>
    <x v="4"/>
    <n v="2318.2134999999998"/>
    <n v="65.989999999999995"/>
  </r>
  <r>
    <n v="1240"/>
    <n v="9024"/>
    <d v="2012-06-02T00:00:00"/>
    <s v="Medium"/>
    <x v="585"/>
    <x v="12"/>
    <x v="3"/>
    <s v="Home Office"/>
    <x v="2"/>
    <x v="5"/>
    <n v="1136.44"/>
    <n v="40.98"/>
  </r>
  <r>
    <n v="1241"/>
    <n v="9027"/>
    <d v="2011-09-02T00:00:00"/>
    <s v="Low"/>
    <x v="77"/>
    <x v="30"/>
    <x v="0"/>
    <s v="Consumer"/>
    <x v="2"/>
    <x v="4"/>
    <n v="932.89199999999994"/>
    <n v="35.99"/>
  </r>
  <r>
    <n v="1242"/>
    <n v="9028"/>
    <d v="2010-12-21T00:00:00"/>
    <s v="Low"/>
    <x v="81"/>
    <x v="45"/>
    <x v="0"/>
    <s v="Small Business"/>
    <x v="2"/>
    <x v="10"/>
    <n v="14556.67"/>
    <n v="306.14"/>
  </r>
  <r>
    <n v="1243"/>
    <n v="9057"/>
    <d v="2009-11-04T00:00:00"/>
    <s v="Critical"/>
    <x v="290"/>
    <x v="17"/>
    <x v="0"/>
    <s v="Home Office"/>
    <x v="1"/>
    <x v="2"/>
    <n v="160.29"/>
    <n v="7.59"/>
  </r>
  <r>
    <n v="1244"/>
    <n v="9062"/>
    <d v="2011-03-20T00:00:00"/>
    <s v="High"/>
    <x v="296"/>
    <x v="13"/>
    <x v="3"/>
    <s v="Consumer"/>
    <x v="0"/>
    <x v="7"/>
    <n v="119.2"/>
    <n v="3.93"/>
  </r>
  <r>
    <n v="1245"/>
    <n v="9062"/>
    <d v="2011-03-20T00:00:00"/>
    <s v="High"/>
    <x v="586"/>
    <x v="35"/>
    <x v="3"/>
    <s v="Consumer"/>
    <x v="1"/>
    <x v="2"/>
    <n v="1825.42"/>
    <n v="99.23"/>
  </r>
  <r>
    <n v="1246"/>
    <n v="9088"/>
    <d v="2009-06-22T00:00:00"/>
    <s v="Critical"/>
    <x v="587"/>
    <x v="38"/>
    <x v="0"/>
    <s v="Home Office"/>
    <x v="0"/>
    <x v="12"/>
    <n v="15383.7"/>
    <n v="304.99"/>
  </r>
  <r>
    <n v="1247"/>
    <n v="9088"/>
    <d v="2009-06-22T00:00:00"/>
    <s v="Critical"/>
    <x v="587"/>
    <x v="38"/>
    <x v="0"/>
    <s v="Home Office"/>
    <x v="2"/>
    <x v="4"/>
    <n v="1637.4570000000001"/>
    <n v="65.989999999999995"/>
  </r>
  <r>
    <n v="1248"/>
    <n v="9089"/>
    <d v="2010-05-23T00:00:00"/>
    <s v="Critical"/>
    <x v="588"/>
    <x v="1"/>
    <x v="1"/>
    <s v="Small Business"/>
    <x v="2"/>
    <x v="4"/>
    <n v="822.34950000000003"/>
    <n v="125.99"/>
  </r>
  <r>
    <n v="1249"/>
    <n v="9091"/>
    <d v="2010-11-11T00:00:00"/>
    <s v="High"/>
    <x v="227"/>
    <x v="16"/>
    <x v="1"/>
    <s v="Corporate"/>
    <x v="1"/>
    <x v="2"/>
    <n v="605.77"/>
    <n v="14.34"/>
  </r>
  <r>
    <n v="1250"/>
    <n v="9091"/>
    <d v="2010-11-11T00:00:00"/>
    <s v="High"/>
    <x v="227"/>
    <x v="16"/>
    <x v="1"/>
    <s v="Corporate"/>
    <x v="0"/>
    <x v="9"/>
    <n v="1480.91"/>
    <n v="30.98"/>
  </r>
  <r>
    <n v="1251"/>
    <n v="9092"/>
    <d v="2009-07-24T00:00:00"/>
    <s v="Not Specified"/>
    <x v="589"/>
    <x v="16"/>
    <x v="1"/>
    <s v="Corporate"/>
    <x v="0"/>
    <x v="0"/>
    <n v="3644.24"/>
    <n v="101.41"/>
  </r>
  <r>
    <n v="1252"/>
    <n v="9092"/>
    <d v="2009-07-24T00:00:00"/>
    <s v="Not Specified"/>
    <x v="589"/>
    <x v="16"/>
    <x v="1"/>
    <s v="Corporate"/>
    <x v="2"/>
    <x v="4"/>
    <n v="599.20749999999998"/>
    <n v="95.99"/>
  </r>
  <r>
    <n v="1253"/>
    <n v="9093"/>
    <d v="2011-12-09T00:00:00"/>
    <s v="Medium"/>
    <x v="590"/>
    <x v="16"/>
    <x v="1"/>
    <s v="Consumer"/>
    <x v="2"/>
    <x v="5"/>
    <n v="268.55"/>
    <n v="8.1199999999999992"/>
  </r>
  <r>
    <n v="1254"/>
    <n v="9095"/>
    <d v="2011-06-10T00:00:00"/>
    <s v="High"/>
    <x v="591"/>
    <x v="21"/>
    <x v="2"/>
    <s v="Small Business"/>
    <x v="0"/>
    <x v="0"/>
    <n v="294.91000000000003"/>
    <n v="12.44"/>
  </r>
  <r>
    <n v="1255"/>
    <n v="9123"/>
    <d v="2010-06-26T00:00:00"/>
    <s v="Critical"/>
    <x v="592"/>
    <x v="3"/>
    <x v="0"/>
    <s v="Consumer"/>
    <x v="0"/>
    <x v="0"/>
    <n v="384.9"/>
    <n v="14.03"/>
  </r>
  <r>
    <n v="1256"/>
    <n v="9124"/>
    <d v="2011-10-16T00:00:00"/>
    <s v="Low"/>
    <x v="452"/>
    <x v="15"/>
    <x v="2"/>
    <s v="Small Business"/>
    <x v="2"/>
    <x v="5"/>
    <n v="2637.78"/>
    <n v="152.47999999999999"/>
  </r>
  <r>
    <n v="1257"/>
    <n v="9124"/>
    <d v="2011-10-16T00:00:00"/>
    <s v="Low"/>
    <x v="452"/>
    <x v="15"/>
    <x v="2"/>
    <s v="Small Business"/>
    <x v="0"/>
    <x v="9"/>
    <n v="157.4"/>
    <n v="4.9800000000000004"/>
  </r>
  <r>
    <n v="1258"/>
    <n v="9126"/>
    <d v="2009-11-17T00:00:00"/>
    <s v="Medium"/>
    <x v="553"/>
    <x v="0"/>
    <x v="0"/>
    <s v="Corporate"/>
    <x v="0"/>
    <x v="13"/>
    <n v="2799.7"/>
    <n v="62.05"/>
  </r>
  <r>
    <n v="1259"/>
    <n v="9127"/>
    <d v="2011-10-10T00:00:00"/>
    <s v="Not Specified"/>
    <x v="593"/>
    <x v="0"/>
    <x v="0"/>
    <s v="Corporate"/>
    <x v="0"/>
    <x v="0"/>
    <n v="2039.56"/>
    <n v="279.48"/>
  </r>
  <r>
    <n v="1260"/>
    <n v="9152"/>
    <d v="2010-08-20T00:00:00"/>
    <s v="Not Specified"/>
    <x v="579"/>
    <x v="15"/>
    <x v="2"/>
    <s v="Home Office"/>
    <x v="2"/>
    <x v="4"/>
    <n v="292.80799999999999"/>
    <n v="7.99"/>
  </r>
  <r>
    <n v="1261"/>
    <n v="9155"/>
    <d v="2012-08-30T00:00:00"/>
    <s v="Critical"/>
    <x v="575"/>
    <x v="33"/>
    <x v="0"/>
    <s v="Consumer"/>
    <x v="0"/>
    <x v="12"/>
    <n v="518.79999999999995"/>
    <n v="30.98"/>
  </r>
  <r>
    <n v="1262"/>
    <n v="9187"/>
    <d v="2009-08-21T00:00:00"/>
    <s v="High"/>
    <x v="427"/>
    <x v="25"/>
    <x v="1"/>
    <s v="Small Business"/>
    <x v="0"/>
    <x v="13"/>
    <n v="174.64"/>
    <n v="4.37"/>
  </r>
  <r>
    <n v="1263"/>
    <n v="9187"/>
    <d v="2009-08-21T00:00:00"/>
    <s v="High"/>
    <x v="427"/>
    <x v="25"/>
    <x v="1"/>
    <s v="Small Business"/>
    <x v="2"/>
    <x v="4"/>
    <n v="994.22800000000007"/>
    <n v="155.99"/>
  </r>
  <r>
    <n v="1264"/>
    <n v="9216"/>
    <d v="2011-04-14T00:00:00"/>
    <s v="Medium"/>
    <x v="77"/>
    <x v="30"/>
    <x v="0"/>
    <s v="Consumer"/>
    <x v="0"/>
    <x v="13"/>
    <n v="5977.63"/>
    <n v="180.98"/>
  </r>
  <r>
    <n v="1265"/>
    <n v="9219"/>
    <d v="2009-09-28T00:00:00"/>
    <s v="Low"/>
    <x v="503"/>
    <x v="25"/>
    <x v="1"/>
    <s v="Consumer"/>
    <x v="2"/>
    <x v="5"/>
    <n v="1239.81"/>
    <n v="50.98"/>
  </r>
  <r>
    <n v="1266"/>
    <n v="9219"/>
    <d v="2009-09-28T00:00:00"/>
    <s v="Low"/>
    <x v="503"/>
    <x v="25"/>
    <x v="1"/>
    <s v="Consumer"/>
    <x v="0"/>
    <x v="9"/>
    <n v="273.32"/>
    <n v="6.48"/>
  </r>
  <r>
    <n v="1267"/>
    <n v="9221"/>
    <d v="2011-01-03T00:00:00"/>
    <s v="Low"/>
    <x v="594"/>
    <x v="1"/>
    <x v="1"/>
    <s v="Consumer"/>
    <x v="0"/>
    <x v="13"/>
    <n v="79.64"/>
    <n v="3.25"/>
  </r>
  <r>
    <n v="1268"/>
    <n v="9221"/>
    <d v="2011-01-03T00:00:00"/>
    <s v="Low"/>
    <x v="594"/>
    <x v="1"/>
    <x v="1"/>
    <s v="Consumer"/>
    <x v="0"/>
    <x v="14"/>
    <n v="1527.42"/>
    <n v="60.98"/>
  </r>
  <r>
    <n v="1269"/>
    <n v="9222"/>
    <d v="2009-02-10T00:00:00"/>
    <s v="High"/>
    <x v="436"/>
    <x v="36"/>
    <x v="2"/>
    <s v="Home Office"/>
    <x v="0"/>
    <x v="9"/>
    <n v="473.67"/>
    <n v="11.34"/>
  </r>
  <r>
    <n v="1270"/>
    <n v="9248"/>
    <d v="2009-12-23T00:00:00"/>
    <s v="Not Specified"/>
    <x v="595"/>
    <x v="23"/>
    <x v="3"/>
    <s v="Home Office"/>
    <x v="1"/>
    <x v="3"/>
    <n v="2811.7"/>
    <n v="71.37"/>
  </r>
  <r>
    <n v="1271"/>
    <n v="9249"/>
    <d v="2010-05-19T00:00:00"/>
    <s v="High"/>
    <x v="596"/>
    <x v="4"/>
    <x v="1"/>
    <s v="Small Business"/>
    <x v="0"/>
    <x v="6"/>
    <n v="176.5"/>
    <n v="3.57"/>
  </r>
  <r>
    <n v="1272"/>
    <n v="9249"/>
    <d v="2010-05-19T00:00:00"/>
    <s v="High"/>
    <x v="596"/>
    <x v="4"/>
    <x v="1"/>
    <s v="Small Business"/>
    <x v="0"/>
    <x v="0"/>
    <n v="1546.8"/>
    <n v="37.76"/>
  </r>
  <r>
    <n v="1273"/>
    <n v="9249"/>
    <d v="2010-05-19T00:00:00"/>
    <s v="High"/>
    <x v="596"/>
    <x v="4"/>
    <x v="1"/>
    <s v="Small Business"/>
    <x v="1"/>
    <x v="3"/>
    <n v="3457.56"/>
    <n v="124.49"/>
  </r>
  <r>
    <n v="1274"/>
    <n v="9251"/>
    <d v="2010-08-29T00:00:00"/>
    <s v="Medium"/>
    <x v="437"/>
    <x v="16"/>
    <x v="1"/>
    <s v="Corporate"/>
    <x v="1"/>
    <x v="15"/>
    <n v="3632.6"/>
    <n v="89.99"/>
  </r>
  <r>
    <n v="1275"/>
    <n v="9253"/>
    <d v="2012-01-30T00:00:00"/>
    <s v="Critical"/>
    <x v="597"/>
    <x v="7"/>
    <x v="3"/>
    <s v="Small Business"/>
    <x v="1"/>
    <x v="2"/>
    <n v="1644.22"/>
    <n v="46.94"/>
  </r>
  <r>
    <n v="1276"/>
    <n v="9254"/>
    <d v="2010-05-14T00:00:00"/>
    <s v="Medium"/>
    <x v="254"/>
    <x v="21"/>
    <x v="2"/>
    <s v="Consumer"/>
    <x v="0"/>
    <x v="8"/>
    <n v="131.65"/>
    <n v="4.91"/>
  </r>
  <r>
    <n v="1277"/>
    <n v="9281"/>
    <d v="2012-02-23T00:00:00"/>
    <s v="Critical"/>
    <x v="196"/>
    <x v="5"/>
    <x v="0"/>
    <s v="Small Business"/>
    <x v="0"/>
    <x v="9"/>
    <n v="199.8"/>
    <n v="6.48"/>
  </r>
  <r>
    <n v="1278"/>
    <n v="9281"/>
    <d v="2012-02-23T00:00:00"/>
    <s v="Critical"/>
    <x v="196"/>
    <x v="5"/>
    <x v="0"/>
    <s v="Small Business"/>
    <x v="0"/>
    <x v="6"/>
    <n v="68.97"/>
    <n v="2.78"/>
  </r>
  <r>
    <n v="1279"/>
    <n v="9285"/>
    <d v="2009-01-02T00:00:00"/>
    <s v="Critical"/>
    <x v="392"/>
    <x v="17"/>
    <x v="0"/>
    <s v="Consumer"/>
    <x v="0"/>
    <x v="12"/>
    <n v="124.81"/>
    <n v="40.98"/>
  </r>
  <r>
    <n v="1280"/>
    <n v="9286"/>
    <d v="2011-04-03T00:00:00"/>
    <s v="Critical"/>
    <x v="397"/>
    <x v="1"/>
    <x v="1"/>
    <s v="Consumer"/>
    <x v="0"/>
    <x v="9"/>
    <n v="123.16"/>
    <n v="4.9800000000000004"/>
  </r>
  <r>
    <n v="1281"/>
    <n v="9312"/>
    <d v="2012-05-18T00:00:00"/>
    <s v="Not Specified"/>
    <x v="579"/>
    <x v="15"/>
    <x v="2"/>
    <s v="Home Office"/>
    <x v="1"/>
    <x v="15"/>
    <n v="1160.55"/>
    <n v="25.98"/>
  </r>
  <r>
    <n v="1282"/>
    <n v="9344"/>
    <d v="2011-12-06T00:00:00"/>
    <s v="Low"/>
    <x v="375"/>
    <x v="16"/>
    <x v="1"/>
    <s v="Consumer"/>
    <x v="0"/>
    <x v="0"/>
    <n v="1733.1"/>
    <n v="95.99"/>
  </r>
  <r>
    <n v="1283"/>
    <n v="9344"/>
    <d v="2011-12-06T00:00:00"/>
    <s v="Low"/>
    <x v="375"/>
    <x v="16"/>
    <x v="1"/>
    <s v="Consumer"/>
    <x v="2"/>
    <x v="4"/>
    <n v="3448.6455000000001"/>
    <n v="125.99"/>
  </r>
  <r>
    <n v="1284"/>
    <n v="9347"/>
    <d v="2012-08-09T00:00:00"/>
    <s v="Low"/>
    <x v="595"/>
    <x v="23"/>
    <x v="3"/>
    <s v="Corporate"/>
    <x v="0"/>
    <x v="13"/>
    <n v="131.19999999999999"/>
    <n v="3.95"/>
  </r>
  <r>
    <n v="1285"/>
    <n v="9350"/>
    <d v="2012-10-31T00:00:00"/>
    <s v="Critical"/>
    <x v="517"/>
    <x v="5"/>
    <x v="0"/>
    <s v="Corporate"/>
    <x v="1"/>
    <x v="11"/>
    <n v="1735.94"/>
    <n v="140.97999999999999"/>
  </r>
  <r>
    <n v="1286"/>
    <n v="9350"/>
    <d v="2012-10-31T00:00:00"/>
    <s v="Critical"/>
    <x v="517"/>
    <x v="5"/>
    <x v="0"/>
    <s v="Corporate"/>
    <x v="1"/>
    <x v="2"/>
    <n v="337.6"/>
    <n v="172.99"/>
  </r>
  <r>
    <n v="1287"/>
    <n v="9383"/>
    <d v="2009-03-16T00:00:00"/>
    <s v="Not Specified"/>
    <x v="236"/>
    <x v="18"/>
    <x v="2"/>
    <s v="Corporate"/>
    <x v="1"/>
    <x v="2"/>
    <n v="82.42"/>
    <n v="7.59"/>
  </r>
  <r>
    <n v="1288"/>
    <n v="9409"/>
    <d v="2012-05-05T00:00:00"/>
    <s v="Critical"/>
    <x v="559"/>
    <x v="22"/>
    <x v="0"/>
    <s v="Home Office"/>
    <x v="2"/>
    <x v="5"/>
    <n v="1712.66"/>
    <n v="152.47999999999999"/>
  </r>
  <r>
    <n v="1289"/>
    <n v="9472"/>
    <d v="2011-06-16T00:00:00"/>
    <s v="Critical"/>
    <x v="598"/>
    <x v="23"/>
    <x v="3"/>
    <s v="Home Office"/>
    <x v="0"/>
    <x v="8"/>
    <n v="53.91"/>
    <n v="3.15"/>
  </r>
  <r>
    <n v="1290"/>
    <n v="9473"/>
    <d v="2012-10-11T00:00:00"/>
    <s v="Not Specified"/>
    <x v="457"/>
    <x v="2"/>
    <x v="2"/>
    <s v="Corporate"/>
    <x v="0"/>
    <x v="12"/>
    <n v="31.95"/>
    <n v="8.0399999999999991"/>
  </r>
  <r>
    <n v="1291"/>
    <n v="9473"/>
    <d v="2012-10-11T00:00:00"/>
    <s v="Not Specified"/>
    <x v="457"/>
    <x v="2"/>
    <x v="2"/>
    <s v="Corporate"/>
    <x v="0"/>
    <x v="12"/>
    <n v="563.82000000000005"/>
    <n v="16.510000000000002"/>
  </r>
  <r>
    <n v="1292"/>
    <n v="9473"/>
    <d v="2012-10-11T00:00:00"/>
    <s v="Not Specified"/>
    <x v="457"/>
    <x v="2"/>
    <x v="2"/>
    <s v="Corporate"/>
    <x v="0"/>
    <x v="0"/>
    <n v="502.44"/>
    <n v="15.51"/>
  </r>
  <r>
    <n v="1293"/>
    <n v="9476"/>
    <d v="2009-05-25T00:00:00"/>
    <s v="Not Specified"/>
    <x v="1"/>
    <x v="1"/>
    <x v="1"/>
    <s v="Corporate"/>
    <x v="0"/>
    <x v="12"/>
    <n v="165.04"/>
    <n v="15.99"/>
  </r>
  <r>
    <n v="1294"/>
    <n v="9478"/>
    <d v="2009-03-28T00:00:00"/>
    <s v="High"/>
    <x v="316"/>
    <x v="45"/>
    <x v="0"/>
    <s v="Corporate"/>
    <x v="1"/>
    <x v="2"/>
    <n v="522.97"/>
    <n v="10.4"/>
  </r>
  <r>
    <n v="1295"/>
    <n v="9478"/>
    <d v="2009-03-28T00:00:00"/>
    <s v="High"/>
    <x v="316"/>
    <x v="45"/>
    <x v="0"/>
    <s v="Corporate"/>
    <x v="0"/>
    <x v="9"/>
    <n v="199.46"/>
    <n v="4.28"/>
  </r>
  <r>
    <n v="1296"/>
    <n v="9504"/>
    <d v="2012-11-25T00:00:00"/>
    <s v="Medium"/>
    <x v="181"/>
    <x v="24"/>
    <x v="1"/>
    <s v="Small Business"/>
    <x v="2"/>
    <x v="4"/>
    <n v="1954.796"/>
    <n v="140.99"/>
  </r>
  <r>
    <n v="1297"/>
    <n v="9505"/>
    <d v="2012-06-07T00:00:00"/>
    <s v="High"/>
    <x v="217"/>
    <x v="28"/>
    <x v="1"/>
    <s v="Home Office"/>
    <x v="2"/>
    <x v="5"/>
    <n v="316.52"/>
    <n v="152.47999999999999"/>
  </r>
  <r>
    <n v="1298"/>
    <n v="9505"/>
    <d v="2012-06-07T00:00:00"/>
    <s v="High"/>
    <x v="217"/>
    <x v="28"/>
    <x v="1"/>
    <s v="Home Office"/>
    <x v="2"/>
    <x v="5"/>
    <n v="155.38999999999999"/>
    <n v="32.979999999999997"/>
  </r>
  <r>
    <n v="1299"/>
    <n v="9509"/>
    <d v="2012-10-07T00:00:00"/>
    <s v="Not Specified"/>
    <x v="435"/>
    <x v="0"/>
    <x v="0"/>
    <s v="Home Office"/>
    <x v="1"/>
    <x v="15"/>
    <n v="12175.82"/>
    <n v="320.98"/>
  </r>
  <r>
    <n v="1300"/>
    <n v="9509"/>
    <d v="2012-10-07T00:00:00"/>
    <s v="Not Specified"/>
    <x v="435"/>
    <x v="0"/>
    <x v="0"/>
    <s v="Home Office"/>
    <x v="0"/>
    <x v="9"/>
    <n v="101.21"/>
    <n v="18.97"/>
  </r>
  <r>
    <n v="1301"/>
    <n v="9509"/>
    <d v="2012-10-07T00:00:00"/>
    <s v="Not Specified"/>
    <x v="435"/>
    <x v="0"/>
    <x v="0"/>
    <s v="Home Office"/>
    <x v="0"/>
    <x v="9"/>
    <n v="1585.64"/>
    <n v="48.91"/>
  </r>
  <r>
    <n v="1302"/>
    <n v="9537"/>
    <d v="2011-02-13T00:00:00"/>
    <s v="Not Specified"/>
    <x v="222"/>
    <x v="30"/>
    <x v="0"/>
    <s v="Small Business"/>
    <x v="1"/>
    <x v="11"/>
    <n v="906.02"/>
    <n v="150.97999999999999"/>
  </r>
  <r>
    <n v="1303"/>
    <n v="9537"/>
    <d v="2011-02-13T00:00:00"/>
    <s v="Not Specified"/>
    <x v="599"/>
    <x v="30"/>
    <x v="0"/>
    <s v="Small Business"/>
    <x v="0"/>
    <x v="12"/>
    <n v="170.88"/>
    <n v="3.81"/>
  </r>
  <r>
    <n v="1304"/>
    <n v="9568"/>
    <d v="2010-03-07T00:00:00"/>
    <s v="Not Specified"/>
    <x v="600"/>
    <x v="26"/>
    <x v="3"/>
    <s v="Corporate"/>
    <x v="0"/>
    <x v="13"/>
    <n v="3725.53"/>
    <n v="76.72"/>
  </r>
  <r>
    <n v="1305"/>
    <n v="9573"/>
    <d v="2012-06-13T00:00:00"/>
    <s v="Medium"/>
    <x v="129"/>
    <x v="20"/>
    <x v="0"/>
    <s v="Home Office"/>
    <x v="0"/>
    <x v="1"/>
    <n v="133.22999999999999"/>
    <n v="3.14"/>
  </r>
  <r>
    <n v="1306"/>
    <n v="9573"/>
    <d v="2012-06-13T00:00:00"/>
    <s v="Medium"/>
    <x v="601"/>
    <x v="25"/>
    <x v="1"/>
    <s v="Home Office"/>
    <x v="0"/>
    <x v="9"/>
    <n v="146.25"/>
    <n v="6.35"/>
  </r>
  <r>
    <n v="1307"/>
    <n v="9574"/>
    <d v="2011-07-30T00:00:00"/>
    <s v="Medium"/>
    <x v="602"/>
    <x v="30"/>
    <x v="0"/>
    <s v="Corporate"/>
    <x v="0"/>
    <x v="12"/>
    <n v="434.62"/>
    <n v="11.5"/>
  </r>
  <r>
    <n v="1308"/>
    <n v="9602"/>
    <d v="2012-11-10T00:00:00"/>
    <s v="Critical"/>
    <x v="603"/>
    <x v="35"/>
    <x v="3"/>
    <s v="Consumer"/>
    <x v="2"/>
    <x v="10"/>
    <n v="2654.16"/>
    <n v="90.97"/>
  </r>
  <r>
    <n v="1309"/>
    <n v="9602"/>
    <d v="2012-11-10T00:00:00"/>
    <s v="Critical"/>
    <x v="604"/>
    <x v="31"/>
    <x v="3"/>
    <s v="Consumer"/>
    <x v="2"/>
    <x v="5"/>
    <n v="36.229999999999997"/>
    <n v="2.12"/>
  </r>
  <r>
    <n v="1310"/>
    <n v="9602"/>
    <d v="2012-11-10T00:00:00"/>
    <s v="Critical"/>
    <x v="605"/>
    <x v="35"/>
    <x v="3"/>
    <s v="Consumer"/>
    <x v="1"/>
    <x v="11"/>
    <n v="1722.65"/>
    <n v="114.98"/>
  </r>
  <r>
    <n v="1311"/>
    <n v="9606"/>
    <d v="2009-07-27T00:00:00"/>
    <s v="Not Specified"/>
    <x v="55"/>
    <x v="27"/>
    <x v="3"/>
    <s v="Small Business"/>
    <x v="0"/>
    <x v="8"/>
    <n v="493.26"/>
    <n v="12.53"/>
  </r>
  <r>
    <n v="1312"/>
    <n v="9606"/>
    <d v="2009-07-27T00:00:00"/>
    <s v="Not Specified"/>
    <x v="55"/>
    <x v="27"/>
    <x v="3"/>
    <s v="Small Business"/>
    <x v="0"/>
    <x v="9"/>
    <n v="192.15"/>
    <n v="5.18"/>
  </r>
  <r>
    <n v="1313"/>
    <n v="9632"/>
    <d v="2012-01-16T00:00:00"/>
    <s v="Low"/>
    <x v="327"/>
    <x v="1"/>
    <x v="1"/>
    <s v="Home Office"/>
    <x v="0"/>
    <x v="12"/>
    <n v="3633.03"/>
    <n v="120.98"/>
  </r>
  <r>
    <n v="1314"/>
    <n v="9635"/>
    <d v="2009-04-13T00:00:00"/>
    <s v="Critical"/>
    <x v="606"/>
    <x v="12"/>
    <x v="3"/>
    <s v="Corporate"/>
    <x v="0"/>
    <x v="12"/>
    <n v="3.42"/>
    <n v="1.88"/>
  </r>
  <r>
    <n v="1315"/>
    <n v="9637"/>
    <d v="2009-01-03T00:00:00"/>
    <s v="Low"/>
    <x v="607"/>
    <x v="37"/>
    <x v="2"/>
    <s v="Corporate"/>
    <x v="2"/>
    <x v="5"/>
    <n v="522.49"/>
    <n v="43.22"/>
  </r>
  <r>
    <n v="1316"/>
    <n v="9637"/>
    <d v="2009-01-03T00:00:00"/>
    <s v="Low"/>
    <x v="607"/>
    <x v="37"/>
    <x v="2"/>
    <s v="Corporate"/>
    <x v="2"/>
    <x v="10"/>
    <n v="28359.4"/>
    <n v="574.74"/>
  </r>
  <r>
    <n v="1317"/>
    <n v="9637"/>
    <d v="2009-01-03T00:00:00"/>
    <s v="Low"/>
    <x v="607"/>
    <x v="37"/>
    <x v="2"/>
    <s v="Corporate"/>
    <x v="0"/>
    <x v="9"/>
    <n v="123.76"/>
    <n v="10.14"/>
  </r>
  <r>
    <n v="1318"/>
    <n v="9639"/>
    <d v="2010-09-05T00:00:00"/>
    <s v="Not Specified"/>
    <x v="608"/>
    <x v="4"/>
    <x v="1"/>
    <s v="Corporate"/>
    <x v="1"/>
    <x v="15"/>
    <n v="1124.3"/>
    <n v="25.98"/>
  </r>
  <r>
    <n v="1319"/>
    <n v="9639"/>
    <d v="2010-09-05T00:00:00"/>
    <s v="Not Specified"/>
    <x v="608"/>
    <x v="4"/>
    <x v="1"/>
    <s v="Corporate"/>
    <x v="0"/>
    <x v="8"/>
    <n v="43.57"/>
    <n v="4.13"/>
  </r>
  <r>
    <n v="1320"/>
    <n v="9639"/>
    <d v="2010-09-05T00:00:00"/>
    <s v="Not Specified"/>
    <x v="608"/>
    <x v="4"/>
    <x v="1"/>
    <s v="Corporate"/>
    <x v="2"/>
    <x v="4"/>
    <n v="2610.8939999999998"/>
    <n v="125.99"/>
  </r>
  <r>
    <n v="1321"/>
    <n v="9664"/>
    <d v="2010-04-07T00:00:00"/>
    <s v="High"/>
    <x v="609"/>
    <x v="6"/>
    <x v="1"/>
    <s v="Small Business"/>
    <x v="0"/>
    <x v="9"/>
    <n v="88.38"/>
    <n v="6.48"/>
  </r>
  <r>
    <n v="1322"/>
    <n v="9665"/>
    <d v="2009-04-23T00:00:00"/>
    <s v="Low"/>
    <x v="610"/>
    <x v="5"/>
    <x v="0"/>
    <s v="Home Office"/>
    <x v="0"/>
    <x v="13"/>
    <n v="2348.66"/>
    <n v="46.89"/>
  </r>
  <r>
    <n v="1323"/>
    <n v="9665"/>
    <d v="2009-04-23T00:00:00"/>
    <s v="Low"/>
    <x v="610"/>
    <x v="5"/>
    <x v="0"/>
    <s v="Home Office"/>
    <x v="1"/>
    <x v="11"/>
    <n v="2657.12"/>
    <n v="140.97999999999999"/>
  </r>
  <r>
    <n v="1324"/>
    <n v="9665"/>
    <d v="2009-04-23T00:00:00"/>
    <s v="Low"/>
    <x v="610"/>
    <x v="5"/>
    <x v="0"/>
    <s v="Home Office"/>
    <x v="1"/>
    <x v="3"/>
    <n v="9579.6200000000008"/>
    <n v="212.6"/>
  </r>
  <r>
    <n v="1325"/>
    <n v="9668"/>
    <d v="2009-09-06T00:00:00"/>
    <s v="Low"/>
    <x v="343"/>
    <x v="33"/>
    <x v="0"/>
    <s v="Small Business"/>
    <x v="0"/>
    <x v="12"/>
    <n v="42.67"/>
    <n v="4.18"/>
  </r>
  <r>
    <n v="1326"/>
    <n v="9669"/>
    <d v="2009-04-22T00:00:00"/>
    <s v="Medium"/>
    <x v="173"/>
    <x v="34"/>
    <x v="2"/>
    <s v="Corporate"/>
    <x v="0"/>
    <x v="0"/>
    <n v="292.11"/>
    <n v="15.42"/>
  </r>
  <r>
    <n v="1327"/>
    <n v="9671"/>
    <d v="2011-09-12T00:00:00"/>
    <s v="High"/>
    <x v="123"/>
    <x v="37"/>
    <x v="2"/>
    <s v="Corporate"/>
    <x v="0"/>
    <x v="12"/>
    <n v="12.61"/>
    <n v="1.88"/>
  </r>
  <r>
    <n v="1328"/>
    <n v="9696"/>
    <d v="2011-02-19T00:00:00"/>
    <s v="Not Specified"/>
    <x v="113"/>
    <x v="4"/>
    <x v="1"/>
    <s v="Corporate"/>
    <x v="0"/>
    <x v="12"/>
    <n v="110.15"/>
    <n v="6.75"/>
  </r>
  <r>
    <n v="1329"/>
    <n v="9696"/>
    <d v="2011-02-19T00:00:00"/>
    <s v="Not Specified"/>
    <x v="113"/>
    <x v="4"/>
    <x v="1"/>
    <s v="Corporate"/>
    <x v="1"/>
    <x v="15"/>
    <n v="3335.27"/>
    <n v="243.98"/>
  </r>
  <r>
    <n v="1330"/>
    <n v="9700"/>
    <d v="2011-08-08T00:00:00"/>
    <s v="Critical"/>
    <x v="611"/>
    <x v="15"/>
    <x v="2"/>
    <s v="Consumer"/>
    <x v="0"/>
    <x v="1"/>
    <n v="106.06"/>
    <n v="3.14"/>
  </r>
  <r>
    <n v="1331"/>
    <n v="9701"/>
    <d v="2010-02-27T00:00:00"/>
    <s v="Low"/>
    <x v="314"/>
    <x v="26"/>
    <x v="3"/>
    <s v="Small Business"/>
    <x v="0"/>
    <x v="12"/>
    <n v="103.75"/>
    <n v="12.97"/>
  </r>
  <r>
    <n v="1332"/>
    <n v="9701"/>
    <d v="2010-02-27T00:00:00"/>
    <s v="Low"/>
    <x v="314"/>
    <x v="26"/>
    <x v="3"/>
    <s v="Small Business"/>
    <x v="2"/>
    <x v="4"/>
    <n v="855.86500000000001"/>
    <n v="110.99"/>
  </r>
  <r>
    <n v="1333"/>
    <n v="9733"/>
    <d v="2009-03-17T00:00:00"/>
    <s v="Not Specified"/>
    <x v="67"/>
    <x v="23"/>
    <x v="3"/>
    <s v="Home Office"/>
    <x v="0"/>
    <x v="9"/>
    <n v="223.64"/>
    <n v="5.98"/>
  </r>
  <r>
    <n v="1334"/>
    <n v="9761"/>
    <d v="2012-01-22T00:00:00"/>
    <s v="Not Specified"/>
    <x v="477"/>
    <x v="14"/>
    <x v="0"/>
    <s v="Small Business"/>
    <x v="2"/>
    <x v="10"/>
    <n v="202.64"/>
    <n v="90.97"/>
  </r>
  <r>
    <n v="1335"/>
    <n v="9761"/>
    <d v="2012-01-22T00:00:00"/>
    <s v="Not Specified"/>
    <x v="612"/>
    <x v="14"/>
    <x v="0"/>
    <s v="Small Business"/>
    <x v="0"/>
    <x v="9"/>
    <n v="133.69"/>
    <n v="5.98"/>
  </r>
  <r>
    <n v="1336"/>
    <n v="9762"/>
    <d v="2009-01-03T00:00:00"/>
    <s v="High"/>
    <x v="613"/>
    <x v="25"/>
    <x v="1"/>
    <s v="Home Office"/>
    <x v="1"/>
    <x v="2"/>
    <n v="262.76"/>
    <n v="20.98"/>
  </r>
  <r>
    <n v="1337"/>
    <n v="9763"/>
    <d v="2011-08-13T00:00:00"/>
    <s v="Medium"/>
    <x v="232"/>
    <x v="0"/>
    <x v="0"/>
    <s v="Corporate"/>
    <x v="0"/>
    <x v="8"/>
    <n v="176.26"/>
    <n v="4.13"/>
  </r>
  <r>
    <n v="1338"/>
    <n v="9765"/>
    <d v="2012-10-12T00:00:00"/>
    <s v="Low"/>
    <x v="569"/>
    <x v="10"/>
    <x v="0"/>
    <s v="Home Office"/>
    <x v="1"/>
    <x v="15"/>
    <n v="3505.6"/>
    <n v="128.24"/>
  </r>
  <r>
    <n v="1339"/>
    <n v="9792"/>
    <d v="2011-07-23T00:00:00"/>
    <s v="Low"/>
    <x v="614"/>
    <x v="3"/>
    <x v="0"/>
    <s v="Consumer"/>
    <x v="0"/>
    <x v="12"/>
    <n v="84.09"/>
    <n v="5.4"/>
  </r>
  <r>
    <n v="1340"/>
    <n v="9794"/>
    <d v="2012-03-24T00:00:00"/>
    <s v="Not Specified"/>
    <x v="360"/>
    <x v="28"/>
    <x v="1"/>
    <s v="Consumer"/>
    <x v="0"/>
    <x v="1"/>
    <n v="135.22999999999999"/>
    <n v="5.68"/>
  </r>
  <r>
    <n v="1341"/>
    <n v="9796"/>
    <d v="2010-09-10T00:00:00"/>
    <s v="Critical"/>
    <x v="326"/>
    <x v="1"/>
    <x v="1"/>
    <s v="Corporate"/>
    <x v="2"/>
    <x v="5"/>
    <n v="1222.5899999999999"/>
    <n v="40.97"/>
  </r>
  <r>
    <n v="1342"/>
    <n v="9824"/>
    <d v="2011-01-22T00:00:00"/>
    <s v="Critical"/>
    <x v="330"/>
    <x v="16"/>
    <x v="1"/>
    <s v="Consumer"/>
    <x v="0"/>
    <x v="13"/>
    <n v="1939.66"/>
    <n v="48.92"/>
  </r>
  <r>
    <n v="1343"/>
    <n v="9824"/>
    <d v="2011-01-22T00:00:00"/>
    <s v="Critical"/>
    <x v="330"/>
    <x v="16"/>
    <x v="1"/>
    <s v="Consumer"/>
    <x v="0"/>
    <x v="8"/>
    <n v="21.56"/>
    <n v="4.13"/>
  </r>
  <r>
    <n v="1344"/>
    <n v="9824"/>
    <d v="2011-01-22T00:00:00"/>
    <s v="Critical"/>
    <x v="330"/>
    <x v="16"/>
    <x v="1"/>
    <s v="Consumer"/>
    <x v="0"/>
    <x v="6"/>
    <n v="115.81"/>
    <n v="2.88"/>
  </r>
  <r>
    <n v="1345"/>
    <n v="9826"/>
    <d v="2012-03-22T00:00:00"/>
    <s v="Medium"/>
    <x v="230"/>
    <x v="15"/>
    <x v="2"/>
    <s v="Consumer"/>
    <x v="2"/>
    <x v="5"/>
    <n v="131.61000000000001"/>
    <n v="17.48"/>
  </r>
  <r>
    <n v="1346"/>
    <n v="9829"/>
    <d v="2011-12-08T00:00:00"/>
    <s v="Critical"/>
    <x v="35"/>
    <x v="21"/>
    <x v="2"/>
    <s v="Consumer"/>
    <x v="0"/>
    <x v="12"/>
    <n v="750.39"/>
    <n v="30.98"/>
  </r>
  <r>
    <n v="1347"/>
    <n v="9829"/>
    <d v="2011-12-08T00:00:00"/>
    <s v="Critical"/>
    <x v="35"/>
    <x v="21"/>
    <x v="2"/>
    <s v="Consumer"/>
    <x v="0"/>
    <x v="8"/>
    <n v="18.46"/>
    <n v="4.91"/>
  </r>
  <r>
    <n v="1348"/>
    <n v="9857"/>
    <d v="2010-05-11T00:00:00"/>
    <s v="High"/>
    <x v="615"/>
    <x v="27"/>
    <x v="3"/>
    <s v="Home Office"/>
    <x v="0"/>
    <x v="14"/>
    <n v="2366.1799999999998"/>
    <n v="162.93"/>
  </r>
  <r>
    <n v="1349"/>
    <n v="9857"/>
    <d v="2010-05-11T00:00:00"/>
    <s v="High"/>
    <x v="615"/>
    <x v="27"/>
    <x v="3"/>
    <s v="Home Office"/>
    <x v="1"/>
    <x v="2"/>
    <n v="675.71"/>
    <n v="13.79"/>
  </r>
  <r>
    <n v="1350"/>
    <n v="9857"/>
    <d v="2010-05-11T00:00:00"/>
    <s v="High"/>
    <x v="615"/>
    <x v="27"/>
    <x v="3"/>
    <s v="Home Office"/>
    <x v="2"/>
    <x v="4"/>
    <n v="292.97800000000001"/>
    <n v="20.99"/>
  </r>
  <r>
    <n v="1351"/>
    <n v="9857"/>
    <d v="2010-05-11T00:00:00"/>
    <s v="High"/>
    <x v="616"/>
    <x v="9"/>
    <x v="1"/>
    <s v="Home Office"/>
    <x v="2"/>
    <x v="4"/>
    <n v="3615.8405000000002"/>
    <n v="85.99"/>
  </r>
  <r>
    <n v="1352"/>
    <n v="9860"/>
    <d v="2010-10-10T00:00:00"/>
    <s v="Critical"/>
    <x v="509"/>
    <x v="3"/>
    <x v="0"/>
    <s v="Home Office"/>
    <x v="2"/>
    <x v="5"/>
    <n v="319.69"/>
    <n v="7.28"/>
  </r>
  <r>
    <n v="1353"/>
    <n v="9861"/>
    <d v="2012-10-28T00:00:00"/>
    <s v="Low"/>
    <x v="470"/>
    <x v="17"/>
    <x v="0"/>
    <s v="Corporate"/>
    <x v="0"/>
    <x v="6"/>
    <n v="706.68"/>
    <n v="15.94"/>
  </r>
  <r>
    <n v="1354"/>
    <n v="9863"/>
    <d v="2011-09-04T00:00:00"/>
    <s v="Critical"/>
    <x v="165"/>
    <x v="14"/>
    <x v="0"/>
    <s v="Home Office"/>
    <x v="0"/>
    <x v="6"/>
    <n v="33.96"/>
    <n v="1.76"/>
  </r>
  <r>
    <n v="1355"/>
    <n v="9888"/>
    <d v="2009-09-12T00:00:00"/>
    <s v="Low"/>
    <x v="617"/>
    <x v="4"/>
    <x v="1"/>
    <s v="Corporate"/>
    <x v="2"/>
    <x v="4"/>
    <n v="8374.1319999999996"/>
    <n v="205.99"/>
  </r>
  <r>
    <n v="1356"/>
    <n v="9892"/>
    <d v="2012-07-16T00:00:00"/>
    <s v="Medium"/>
    <x v="618"/>
    <x v="20"/>
    <x v="0"/>
    <s v="Corporate"/>
    <x v="0"/>
    <x v="14"/>
    <n v="1406.64"/>
    <n v="27.18"/>
  </r>
  <r>
    <n v="1357"/>
    <n v="9893"/>
    <d v="2009-08-16T00:00:00"/>
    <s v="Medium"/>
    <x v="94"/>
    <x v="5"/>
    <x v="0"/>
    <s v="Home Office"/>
    <x v="1"/>
    <x v="15"/>
    <n v="192.49"/>
    <n v="160.97999999999999"/>
  </r>
  <r>
    <n v="1358"/>
    <n v="9894"/>
    <d v="2009-03-18T00:00:00"/>
    <s v="High"/>
    <x v="619"/>
    <x v="31"/>
    <x v="3"/>
    <s v="Small Business"/>
    <x v="1"/>
    <x v="15"/>
    <n v="5403.75"/>
    <n v="355.98"/>
  </r>
  <r>
    <n v="1359"/>
    <n v="9895"/>
    <d v="2010-04-20T00:00:00"/>
    <s v="Low"/>
    <x v="620"/>
    <x v="47"/>
    <x v="1"/>
    <s v="Small Business"/>
    <x v="0"/>
    <x v="6"/>
    <n v="54.79"/>
    <n v="5.85"/>
  </r>
  <r>
    <n v="1360"/>
    <n v="9921"/>
    <d v="2011-05-14T00:00:00"/>
    <s v="Low"/>
    <x v="516"/>
    <x v="11"/>
    <x v="2"/>
    <s v="Home Office"/>
    <x v="0"/>
    <x v="14"/>
    <n v="356.09"/>
    <n v="15.67"/>
  </r>
  <r>
    <n v="1361"/>
    <n v="9922"/>
    <d v="2011-04-03T00:00:00"/>
    <s v="Not Specified"/>
    <x v="621"/>
    <x v="44"/>
    <x v="2"/>
    <s v="Consumer"/>
    <x v="2"/>
    <x v="5"/>
    <n v="1075.9100000000001"/>
    <n v="39.979999999999997"/>
  </r>
  <r>
    <n v="1362"/>
    <n v="9922"/>
    <d v="2011-04-03T00:00:00"/>
    <s v="Not Specified"/>
    <x v="621"/>
    <x v="44"/>
    <x v="2"/>
    <s v="Consumer"/>
    <x v="2"/>
    <x v="4"/>
    <n v="1176.8589999999999"/>
    <n v="65.989999999999995"/>
  </r>
  <r>
    <n v="1363"/>
    <n v="9922"/>
    <d v="2011-04-03T00:00:00"/>
    <s v="Not Specified"/>
    <x v="210"/>
    <x v="17"/>
    <x v="0"/>
    <s v="Consumer"/>
    <x v="1"/>
    <x v="3"/>
    <n v="6408.3"/>
    <n v="280.98"/>
  </r>
  <r>
    <n v="1364"/>
    <n v="9923"/>
    <d v="2009-10-05T00:00:00"/>
    <s v="High"/>
    <x v="470"/>
    <x v="17"/>
    <x v="0"/>
    <s v="Corporate"/>
    <x v="1"/>
    <x v="2"/>
    <n v="63.71"/>
    <n v="2.08"/>
  </r>
  <r>
    <n v="1365"/>
    <n v="9923"/>
    <d v="2009-10-05T00:00:00"/>
    <s v="High"/>
    <x v="470"/>
    <x v="17"/>
    <x v="0"/>
    <s v="Corporate"/>
    <x v="0"/>
    <x v="0"/>
    <n v="5388.8"/>
    <n v="370.98"/>
  </r>
  <r>
    <n v="1366"/>
    <n v="9925"/>
    <d v="2012-01-30T00:00:00"/>
    <s v="Critical"/>
    <x v="470"/>
    <x v="17"/>
    <x v="0"/>
    <s v="Corporate"/>
    <x v="0"/>
    <x v="12"/>
    <n v="1751.68"/>
    <n v="41.94"/>
  </r>
  <r>
    <n v="1367"/>
    <n v="9925"/>
    <d v="2012-01-30T00:00:00"/>
    <s v="Critical"/>
    <x v="470"/>
    <x v="17"/>
    <x v="0"/>
    <s v="Corporate"/>
    <x v="0"/>
    <x v="12"/>
    <n v="86.47"/>
    <n v="5.28"/>
  </r>
  <r>
    <n v="1368"/>
    <n v="9925"/>
    <d v="2012-01-30T00:00:00"/>
    <s v="Critical"/>
    <x v="470"/>
    <x v="17"/>
    <x v="0"/>
    <s v="Corporate"/>
    <x v="0"/>
    <x v="6"/>
    <n v="684.5"/>
    <n v="21.38"/>
  </r>
  <r>
    <n v="1369"/>
    <n v="9926"/>
    <d v="2009-10-11T00:00:00"/>
    <s v="High"/>
    <x v="622"/>
    <x v="26"/>
    <x v="3"/>
    <s v="Home Office"/>
    <x v="1"/>
    <x v="2"/>
    <n v="158.83000000000001"/>
    <n v="5.77"/>
  </r>
  <r>
    <n v="1370"/>
    <n v="9927"/>
    <d v="2011-08-16T00:00:00"/>
    <s v="High"/>
    <x v="215"/>
    <x v="0"/>
    <x v="0"/>
    <s v="Corporate"/>
    <x v="1"/>
    <x v="11"/>
    <n v="4655.07"/>
    <n v="140.97999999999999"/>
  </r>
  <r>
    <n v="1371"/>
    <n v="9927"/>
    <d v="2011-08-16T00:00:00"/>
    <s v="High"/>
    <x v="215"/>
    <x v="0"/>
    <x v="0"/>
    <s v="Corporate"/>
    <x v="1"/>
    <x v="15"/>
    <n v="10087.6"/>
    <n v="218.08"/>
  </r>
  <r>
    <n v="1372"/>
    <n v="9927"/>
    <d v="2011-08-16T00:00:00"/>
    <s v="High"/>
    <x v="215"/>
    <x v="0"/>
    <x v="0"/>
    <s v="Corporate"/>
    <x v="2"/>
    <x v="5"/>
    <n v="1608.08"/>
    <n v="50.98"/>
  </r>
  <r>
    <n v="1373"/>
    <n v="9952"/>
    <d v="2012-05-01T00:00:00"/>
    <s v="High"/>
    <x v="151"/>
    <x v="34"/>
    <x v="2"/>
    <s v="Home Office"/>
    <x v="0"/>
    <x v="0"/>
    <n v="7890.89"/>
    <n v="167.27"/>
  </r>
  <r>
    <n v="1374"/>
    <n v="9954"/>
    <d v="2009-06-19T00:00:00"/>
    <s v="Not Specified"/>
    <x v="623"/>
    <x v="15"/>
    <x v="2"/>
    <s v="Corporate"/>
    <x v="1"/>
    <x v="15"/>
    <n v="10122.719999999999"/>
    <n v="280.98"/>
  </r>
  <r>
    <n v="1375"/>
    <n v="9954"/>
    <d v="2009-06-19T00:00:00"/>
    <s v="Not Specified"/>
    <x v="623"/>
    <x v="15"/>
    <x v="2"/>
    <s v="Corporate"/>
    <x v="0"/>
    <x v="9"/>
    <n v="203.6"/>
    <n v="4.9800000000000004"/>
  </r>
  <r>
    <n v="1376"/>
    <n v="9954"/>
    <d v="2009-06-19T00:00:00"/>
    <s v="Not Specified"/>
    <x v="623"/>
    <x v="15"/>
    <x v="2"/>
    <s v="Corporate"/>
    <x v="0"/>
    <x v="6"/>
    <n v="115.81"/>
    <n v="3.98"/>
  </r>
  <r>
    <n v="1377"/>
    <n v="9955"/>
    <d v="2011-09-04T00:00:00"/>
    <s v="Critical"/>
    <x v="2"/>
    <x v="1"/>
    <x v="1"/>
    <s v="Corporate"/>
    <x v="2"/>
    <x v="4"/>
    <n v="2912.0149999999999"/>
    <n v="95.99"/>
  </r>
  <r>
    <n v="1378"/>
    <n v="9957"/>
    <d v="2010-11-30T00:00:00"/>
    <s v="Not Specified"/>
    <x v="571"/>
    <x v="37"/>
    <x v="2"/>
    <s v="Corporate"/>
    <x v="0"/>
    <x v="6"/>
    <n v="74.75"/>
    <n v="2.2799999999999998"/>
  </r>
  <r>
    <n v="1379"/>
    <n v="9985"/>
    <d v="2010-08-07T00:00:00"/>
    <s v="Low"/>
    <x v="624"/>
    <x v="1"/>
    <x v="1"/>
    <s v="Consumer"/>
    <x v="0"/>
    <x v="9"/>
    <n v="81.900000000000006"/>
    <n v="6.68"/>
  </r>
  <r>
    <n v="1380"/>
    <n v="10022"/>
    <d v="2009-03-04T00:00:00"/>
    <s v="Low"/>
    <x v="625"/>
    <x v="0"/>
    <x v="0"/>
    <s v="Small Business"/>
    <x v="0"/>
    <x v="9"/>
    <n v="12.18"/>
    <n v="10.14"/>
  </r>
  <r>
    <n v="1381"/>
    <n v="10048"/>
    <d v="2009-05-15T00:00:00"/>
    <s v="Not Specified"/>
    <x v="32"/>
    <x v="20"/>
    <x v="0"/>
    <s v="Corporate"/>
    <x v="2"/>
    <x v="5"/>
    <n v="3197.45"/>
    <n v="73.98"/>
  </r>
  <r>
    <n v="1382"/>
    <n v="10048"/>
    <d v="2009-05-15T00:00:00"/>
    <s v="Not Specified"/>
    <x v="32"/>
    <x v="20"/>
    <x v="0"/>
    <s v="Corporate"/>
    <x v="0"/>
    <x v="1"/>
    <n v="78.569999999999993"/>
    <n v="3.68"/>
  </r>
  <r>
    <n v="1383"/>
    <n v="10052"/>
    <d v="2009-09-07T00:00:00"/>
    <s v="Not Specified"/>
    <x v="355"/>
    <x v="16"/>
    <x v="1"/>
    <s v="Corporate"/>
    <x v="0"/>
    <x v="6"/>
    <n v="95.9"/>
    <n v="6.08"/>
  </r>
  <r>
    <n v="1384"/>
    <n v="10052"/>
    <d v="2009-09-07T00:00:00"/>
    <s v="Not Specified"/>
    <x v="590"/>
    <x v="16"/>
    <x v="1"/>
    <s v="Corporate"/>
    <x v="0"/>
    <x v="13"/>
    <n v="517.91"/>
    <n v="19.899999999999999"/>
  </r>
  <r>
    <n v="1385"/>
    <n v="10052"/>
    <d v="2009-09-07T00:00:00"/>
    <s v="Not Specified"/>
    <x v="590"/>
    <x v="16"/>
    <x v="1"/>
    <s v="Corporate"/>
    <x v="0"/>
    <x v="12"/>
    <n v="162.28"/>
    <n v="3.36"/>
  </r>
  <r>
    <n v="1386"/>
    <n v="10053"/>
    <d v="2012-01-10T00:00:00"/>
    <s v="High"/>
    <x v="626"/>
    <x v="11"/>
    <x v="2"/>
    <s v="Small Business"/>
    <x v="2"/>
    <x v="5"/>
    <n v="162.58000000000001"/>
    <n v="4.8899999999999997"/>
  </r>
  <r>
    <n v="1387"/>
    <n v="10053"/>
    <d v="2012-01-10T00:00:00"/>
    <s v="High"/>
    <x v="626"/>
    <x v="11"/>
    <x v="2"/>
    <s v="Small Business"/>
    <x v="1"/>
    <x v="3"/>
    <n v="6815.23"/>
    <n v="150.97999999999999"/>
  </r>
  <r>
    <n v="1388"/>
    <n v="10054"/>
    <d v="2011-04-28T00:00:00"/>
    <s v="High"/>
    <x v="627"/>
    <x v="23"/>
    <x v="3"/>
    <s v="Home Office"/>
    <x v="1"/>
    <x v="2"/>
    <n v="203.3"/>
    <n v="79.52"/>
  </r>
  <r>
    <n v="1389"/>
    <n v="10054"/>
    <d v="2011-04-28T00:00:00"/>
    <s v="High"/>
    <x v="627"/>
    <x v="23"/>
    <x v="3"/>
    <s v="Home Office"/>
    <x v="2"/>
    <x v="4"/>
    <n v="196.85149999999999"/>
    <n v="125.99"/>
  </r>
  <r>
    <n v="1390"/>
    <n v="10080"/>
    <d v="2010-02-12T00:00:00"/>
    <s v="Low"/>
    <x v="424"/>
    <x v="16"/>
    <x v="1"/>
    <s v="Corporate"/>
    <x v="2"/>
    <x v="5"/>
    <n v="637.04"/>
    <n v="30.73"/>
  </r>
  <r>
    <n v="1391"/>
    <n v="10081"/>
    <d v="2010-08-07T00:00:00"/>
    <s v="Not Specified"/>
    <x v="628"/>
    <x v="15"/>
    <x v="2"/>
    <s v="Home Office"/>
    <x v="1"/>
    <x v="2"/>
    <n v="1058.43"/>
    <n v="20.28"/>
  </r>
  <r>
    <n v="1392"/>
    <n v="10114"/>
    <d v="2010-02-08T00:00:00"/>
    <s v="Critical"/>
    <x v="629"/>
    <x v="19"/>
    <x v="3"/>
    <s v="Small Business"/>
    <x v="0"/>
    <x v="12"/>
    <n v="147.88"/>
    <n v="3.58"/>
  </r>
  <r>
    <n v="1393"/>
    <n v="10117"/>
    <d v="2010-11-16T00:00:00"/>
    <s v="Medium"/>
    <x v="630"/>
    <x v="16"/>
    <x v="1"/>
    <s v="Consumer"/>
    <x v="0"/>
    <x v="12"/>
    <n v="64.37"/>
    <n v="8.85"/>
  </r>
  <r>
    <n v="1394"/>
    <n v="10117"/>
    <d v="2010-11-16T00:00:00"/>
    <s v="Medium"/>
    <x v="630"/>
    <x v="16"/>
    <x v="1"/>
    <s v="Consumer"/>
    <x v="2"/>
    <x v="16"/>
    <n v="4588.55"/>
    <n v="449.99"/>
  </r>
  <r>
    <n v="1395"/>
    <n v="10144"/>
    <d v="2011-01-02T00:00:00"/>
    <s v="Critical"/>
    <x v="631"/>
    <x v="20"/>
    <x v="0"/>
    <s v="Corporate"/>
    <x v="1"/>
    <x v="15"/>
    <n v="5403.75"/>
    <n v="355.98"/>
  </r>
  <r>
    <n v="1396"/>
    <n v="10144"/>
    <d v="2011-01-02T00:00:00"/>
    <s v="Critical"/>
    <x v="631"/>
    <x v="20"/>
    <x v="0"/>
    <s v="Corporate"/>
    <x v="1"/>
    <x v="15"/>
    <n v="192.49"/>
    <n v="160.97999999999999"/>
  </r>
  <r>
    <n v="1397"/>
    <n v="10144"/>
    <d v="2011-01-02T00:00:00"/>
    <s v="Critical"/>
    <x v="631"/>
    <x v="20"/>
    <x v="0"/>
    <s v="Corporate"/>
    <x v="1"/>
    <x v="3"/>
    <n v="6408.3"/>
    <n v="280.98"/>
  </r>
  <r>
    <n v="1398"/>
    <n v="10146"/>
    <d v="2009-05-01T00:00:00"/>
    <s v="Low"/>
    <x v="394"/>
    <x v="16"/>
    <x v="1"/>
    <s v="Corporate"/>
    <x v="1"/>
    <x v="2"/>
    <n v="596.21"/>
    <n v="34.229999999999997"/>
  </r>
  <r>
    <n v="1399"/>
    <n v="10147"/>
    <d v="2010-10-09T00:00:00"/>
    <s v="High"/>
    <x v="49"/>
    <x v="10"/>
    <x v="0"/>
    <s v="Home Office"/>
    <x v="0"/>
    <x v="12"/>
    <n v="96.75"/>
    <n v="4.24"/>
  </r>
  <r>
    <n v="1400"/>
    <n v="10148"/>
    <d v="2009-03-25T00:00:00"/>
    <s v="Low"/>
    <x v="334"/>
    <x v="28"/>
    <x v="1"/>
    <s v="Small Business"/>
    <x v="1"/>
    <x v="11"/>
    <n v="14357.85"/>
    <n v="500.98"/>
  </r>
  <r>
    <n v="1401"/>
    <n v="10183"/>
    <d v="2009-11-24T00:00:00"/>
    <s v="Critical"/>
    <x v="517"/>
    <x v="5"/>
    <x v="0"/>
    <s v="Corporate"/>
    <x v="1"/>
    <x v="15"/>
    <n v="1210.02"/>
    <n v="25.98"/>
  </r>
  <r>
    <n v="1402"/>
    <n v="10209"/>
    <d v="2010-11-29T00:00:00"/>
    <s v="Medium"/>
    <x v="369"/>
    <x v="35"/>
    <x v="3"/>
    <s v="Corporate"/>
    <x v="1"/>
    <x v="2"/>
    <n v="461.55"/>
    <n v="33.979999999999997"/>
  </r>
  <r>
    <n v="1403"/>
    <n v="10209"/>
    <d v="2010-11-29T00:00:00"/>
    <s v="Medium"/>
    <x v="41"/>
    <x v="13"/>
    <x v="3"/>
    <s v="Corporate"/>
    <x v="0"/>
    <x v="12"/>
    <n v="418.82"/>
    <n v="8.6"/>
  </r>
  <r>
    <n v="1404"/>
    <n v="10210"/>
    <d v="2011-06-23T00:00:00"/>
    <s v="Not Specified"/>
    <x v="278"/>
    <x v="2"/>
    <x v="2"/>
    <s v="Corporate"/>
    <x v="2"/>
    <x v="5"/>
    <n v="767.34"/>
    <n v="73.98"/>
  </r>
  <r>
    <n v="1405"/>
    <n v="10212"/>
    <d v="2010-05-23T00:00:00"/>
    <s v="Low"/>
    <x v="397"/>
    <x v="1"/>
    <x v="1"/>
    <s v="Consumer"/>
    <x v="1"/>
    <x v="2"/>
    <n v="74.02"/>
    <n v="5.08"/>
  </r>
  <r>
    <n v="1406"/>
    <n v="10212"/>
    <d v="2010-05-23T00:00:00"/>
    <s v="Low"/>
    <x v="397"/>
    <x v="1"/>
    <x v="1"/>
    <s v="Consumer"/>
    <x v="0"/>
    <x v="9"/>
    <n v="1276.17"/>
    <n v="55.48"/>
  </r>
  <r>
    <n v="1407"/>
    <n v="10213"/>
    <d v="2011-02-17T00:00:00"/>
    <s v="High"/>
    <x v="632"/>
    <x v="9"/>
    <x v="1"/>
    <s v="Corporate"/>
    <x v="2"/>
    <x v="5"/>
    <n v="464.57"/>
    <n v="39.979999999999997"/>
  </r>
  <r>
    <n v="1408"/>
    <n v="10242"/>
    <d v="2010-12-12T00:00:00"/>
    <s v="Medium"/>
    <x v="42"/>
    <x v="33"/>
    <x v="0"/>
    <s v="Home Office"/>
    <x v="1"/>
    <x v="2"/>
    <n v="690.88"/>
    <n v="22.98"/>
  </r>
  <r>
    <n v="1409"/>
    <n v="10243"/>
    <d v="2011-12-24T00:00:00"/>
    <s v="High"/>
    <x v="633"/>
    <x v="36"/>
    <x v="2"/>
    <s v="Consumer"/>
    <x v="0"/>
    <x v="12"/>
    <n v="28.41"/>
    <n v="1.98"/>
  </r>
  <r>
    <n v="1410"/>
    <n v="10245"/>
    <d v="2011-02-13T00:00:00"/>
    <s v="Medium"/>
    <x v="472"/>
    <x v="16"/>
    <x v="1"/>
    <s v="Corporate"/>
    <x v="1"/>
    <x v="11"/>
    <n v="2645.88"/>
    <n v="100.98"/>
  </r>
  <r>
    <n v="1411"/>
    <n v="10245"/>
    <d v="2011-02-13T00:00:00"/>
    <s v="Medium"/>
    <x v="389"/>
    <x v="40"/>
    <x v="3"/>
    <s v="Corporate"/>
    <x v="1"/>
    <x v="15"/>
    <n v="2573.29"/>
    <n v="122.99"/>
  </r>
  <r>
    <n v="1412"/>
    <n v="10245"/>
    <d v="2011-02-13T00:00:00"/>
    <s v="Medium"/>
    <x v="377"/>
    <x v="13"/>
    <x v="3"/>
    <s v="Corporate"/>
    <x v="0"/>
    <x v="12"/>
    <n v="127.17"/>
    <n v="5.53"/>
  </r>
  <r>
    <n v="1413"/>
    <n v="10247"/>
    <d v="2010-01-10T00:00:00"/>
    <s v="Medium"/>
    <x v="284"/>
    <x v="5"/>
    <x v="0"/>
    <s v="Home Office"/>
    <x v="0"/>
    <x v="9"/>
    <n v="111.66"/>
    <n v="4.9800000000000004"/>
  </r>
  <r>
    <n v="1414"/>
    <n v="10247"/>
    <d v="2010-01-10T00:00:00"/>
    <s v="Medium"/>
    <x v="634"/>
    <x v="5"/>
    <x v="0"/>
    <s v="Home Office"/>
    <x v="2"/>
    <x v="5"/>
    <n v="231.95"/>
    <n v="9.7799999999999994"/>
  </r>
  <r>
    <n v="1415"/>
    <n v="10272"/>
    <d v="2009-01-17T00:00:00"/>
    <s v="Medium"/>
    <x v="635"/>
    <x v="15"/>
    <x v="2"/>
    <s v="Corporate"/>
    <x v="0"/>
    <x v="14"/>
    <n v="299.08"/>
    <n v="90.48"/>
  </r>
  <r>
    <n v="1416"/>
    <n v="10272"/>
    <d v="2009-01-17T00:00:00"/>
    <s v="Medium"/>
    <x v="635"/>
    <x v="15"/>
    <x v="2"/>
    <s v="Corporate"/>
    <x v="0"/>
    <x v="9"/>
    <n v="566.39"/>
    <n v="22.84"/>
  </r>
  <r>
    <n v="1417"/>
    <n v="10277"/>
    <d v="2009-04-07T00:00:00"/>
    <s v="Medium"/>
    <x v="424"/>
    <x v="16"/>
    <x v="1"/>
    <s v="Corporate"/>
    <x v="2"/>
    <x v="4"/>
    <n v="2144.924"/>
    <n v="65.989999999999995"/>
  </r>
  <r>
    <n v="1418"/>
    <n v="10278"/>
    <d v="2011-09-12T00:00:00"/>
    <s v="Low"/>
    <x v="414"/>
    <x v="18"/>
    <x v="2"/>
    <s v="Home Office"/>
    <x v="1"/>
    <x v="11"/>
    <n v="1907.71"/>
    <n v="70.98"/>
  </r>
  <r>
    <n v="1419"/>
    <n v="10305"/>
    <d v="2009-07-07T00:00:00"/>
    <s v="Low"/>
    <x v="582"/>
    <x v="16"/>
    <x v="1"/>
    <s v="Home Office"/>
    <x v="1"/>
    <x v="2"/>
    <n v="65.89"/>
    <n v="5.08"/>
  </r>
  <r>
    <n v="1420"/>
    <n v="10306"/>
    <d v="2010-07-21T00:00:00"/>
    <s v="Low"/>
    <x v="246"/>
    <x v="22"/>
    <x v="0"/>
    <s v="Corporate"/>
    <x v="1"/>
    <x v="2"/>
    <n v="310.31"/>
    <n v="14.58"/>
  </r>
  <r>
    <n v="1421"/>
    <n v="10308"/>
    <d v="2011-04-20T00:00:00"/>
    <s v="High"/>
    <x v="530"/>
    <x v="2"/>
    <x v="2"/>
    <s v="Small Business"/>
    <x v="2"/>
    <x v="4"/>
    <n v="5554.0360000000001"/>
    <n v="175.99"/>
  </r>
  <r>
    <n v="1422"/>
    <n v="10309"/>
    <d v="2009-11-21T00:00:00"/>
    <s v="Low"/>
    <x v="636"/>
    <x v="11"/>
    <x v="2"/>
    <s v="Small Business"/>
    <x v="0"/>
    <x v="12"/>
    <n v="496.15"/>
    <n v="20.98"/>
  </r>
  <r>
    <n v="1423"/>
    <n v="10310"/>
    <d v="2009-02-05T00:00:00"/>
    <s v="Low"/>
    <x v="541"/>
    <x v="3"/>
    <x v="0"/>
    <s v="Small Business"/>
    <x v="0"/>
    <x v="6"/>
    <n v="139.86000000000001"/>
    <n v="2.88"/>
  </r>
  <r>
    <n v="1424"/>
    <n v="10310"/>
    <d v="2009-02-05T00:00:00"/>
    <s v="Low"/>
    <x v="541"/>
    <x v="3"/>
    <x v="0"/>
    <s v="Small Business"/>
    <x v="2"/>
    <x v="4"/>
    <n v="926.58500000000004"/>
    <n v="195.99"/>
  </r>
  <r>
    <n v="1425"/>
    <n v="10338"/>
    <d v="2011-07-14T00:00:00"/>
    <s v="Not Specified"/>
    <x v="637"/>
    <x v="35"/>
    <x v="3"/>
    <s v="Corporate"/>
    <x v="2"/>
    <x v="10"/>
    <n v="799.98"/>
    <n v="90.97"/>
  </r>
  <r>
    <n v="1426"/>
    <n v="10338"/>
    <d v="2011-07-14T00:00:00"/>
    <s v="Not Specified"/>
    <x v="638"/>
    <x v="31"/>
    <x v="3"/>
    <s v="Corporate"/>
    <x v="1"/>
    <x v="3"/>
    <n v="363.57"/>
    <n v="44.43"/>
  </r>
  <r>
    <n v="1427"/>
    <n v="10339"/>
    <d v="2011-10-11T00:00:00"/>
    <s v="Low"/>
    <x v="280"/>
    <x v="16"/>
    <x v="1"/>
    <s v="Small Business"/>
    <x v="1"/>
    <x v="2"/>
    <n v="9752.25"/>
    <n v="209.84"/>
  </r>
  <r>
    <n v="1428"/>
    <n v="10340"/>
    <d v="2011-06-22T00:00:00"/>
    <s v="High"/>
    <x v="195"/>
    <x v="32"/>
    <x v="0"/>
    <s v="Home Office"/>
    <x v="1"/>
    <x v="15"/>
    <n v="7547.14"/>
    <n v="320.98"/>
  </r>
  <r>
    <n v="1429"/>
    <n v="10340"/>
    <d v="2011-06-22T00:00:00"/>
    <s v="High"/>
    <x v="639"/>
    <x v="32"/>
    <x v="0"/>
    <s v="Home Office"/>
    <x v="1"/>
    <x v="2"/>
    <n v="224.32"/>
    <n v="110.98"/>
  </r>
  <r>
    <n v="1430"/>
    <n v="10340"/>
    <d v="2011-06-22T00:00:00"/>
    <s v="High"/>
    <x v="639"/>
    <x v="32"/>
    <x v="0"/>
    <s v="Home Office"/>
    <x v="0"/>
    <x v="6"/>
    <n v="311.98"/>
    <n v="22.01"/>
  </r>
  <r>
    <n v="1431"/>
    <n v="10341"/>
    <d v="2012-12-21T00:00:00"/>
    <s v="High"/>
    <x v="181"/>
    <x v="24"/>
    <x v="1"/>
    <s v="Small Business"/>
    <x v="2"/>
    <x v="10"/>
    <n v="2312.96"/>
    <n v="145.44999999999999"/>
  </r>
  <r>
    <n v="1432"/>
    <n v="10342"/>
    <d v="2011-11-22T00:00:00"/>
    <s v="Medium"/>
    <x v="529"/>
    <x v="14"/>
    <x v="0"/>
    <s v="Consumer"/>
    <x v="1"/>
    <x v="11"/>
    <n v="5181.08"/>
    <n v="114.98"/>
  </r>
  <r>
    <n v="1433"/>
    <n v="10342"/>
    <d v="2011-11-22T00:00:00"/>
    <s v="Medium"/>
    <x v="529"/>
    <x v="14"/>
    <x v="0"/>
    <s v="Consumer"/>
    <x v="2"/>
    <x v="16"/>
    <n v="10567.45"/>
    <n v="299.99"/>
  </r>
  <r>
    <n v="1434"/>
    <n v="10342"/>
    <d v="2011-11-22T00:00:00"/>
    <s v="Medium"/>
    <x v="529"/>
    <x v="14"/>
    <x v="0"/>
    <s v="Consumer"/>
    <x v="1"/>
    <x v="2"/>
    <n v="1679.04"/>
    <n v="40.97"/>
  </r>
  <r>
    <n v="1435"/>
    <n v="10342"/>
    <d v="2011-11-22T00:00:00"/>
    <s v="Medium"/>
    <x v="529"/>
    <x v="14"/>
    <x v="0"/>
    <s v="Consumer"/>
    <x v="2"/>
    <x v="10"/>
    <n v="2055.9699999999998"/>
    <n v="999.99"/>
  </r>
  <r>
    <n v="1436"/>
    <n v="10369"/>
    <d v="2011-11-09T00:00:00"/>
    <s v="Low"/>
    <x v="509"/>
    <x v="3"/>
    <x v="0"/>
    <s v="Home Office"/>
    <x v="0"/>
    <x v="9"/>
    <n v="27.34"/>
    <n v="5.78"/>
  </r>
  <r>
    <n v="1437"/>
    <n v="10369"/>
    <d v="2011-11-09T00:00:00"/>
    <s v="Low"/>
    <x v="640"/>
    <x v="3"/>
    <x v="0"/>
    <s v="Home Office"/>
    <x v="2"/>
    <x v="5"/>
    <n v="683.68"/>
    <n v="28.48"/>
  </r>
  <r>
    <n v="1438"/>
    <n v="10371"/>
    <d v="2009-09-16T00:00:00"/>
    <s v="High"/>
    <x v="641"/>
    <x v="5"/>
    <x v="0"/>
    <s v="Corporate"/>
    <x v="0"/>
    <x v="1"/>
    <n v="156.15"/>
    <n v="15.73"/>
  </r>
  <r>
    <n v="1439"/>
    <n v="10373"/>
    <d v="2010-06-25T00:00:00"/>
    <s v="Critical"/>
    <x v="642"/>
    <x v="26"/>
    <x v="3"/>
    <s v="Consumer"/>
    <x v="0"/>
    <x v="9"/>
    <n v="193.16"/>
    <n v="6.48"/>
  </r>
  <r>
    <n v="1440"/>
    <n v="10432"/>
    <d v="2012-01-05T00:00:00"/>
    <s v="Low"/>
    <x v="631"/>
    <x v="20"/>
    <x v="0"/>
    <s v="Corporate"/>
    <x v="2"/>
    <x v="5"/>
    <n v="2323.36"/>
    <n v="179.99"/>
  </r>
  <r>
    <n v="1441"/>
    <n v="10434"/>
    <d v="2009-12-23T00:00:00"/>
    <s v="High"/>
    <x v="643"/>
    <x v="14"/>
    <x v="0"/>
    <s v="Small Business"/>
    <x v="1"/>
    <x v="15"/>
    <n v="383.45"/>
    <n v="180.98"/>
  </r>
  <r>
    <n v="1442"/>
    <n v="10435"/>
    <d v="2010-08-10T00:00:00"/>
    <s v="Medium"/>
    <x v="644"/>
    <x v="30"/>
    <x v="0"/>
    <s v="Corporate"/>
    <x v="0"/>
    <x v="6"/>
    <n v="871.25"/>
    <n v="22.99"/>
  </r>
  <r>
    <n v="1443"/>
    <n v="10435"/>
    <d v="2010-08-10T00:00:00"/>
    <s v="Medium"/>
    <x v="644"/>
    <x v="30"/>
    <x v="0"/>
    <s v="Corporate"/>
    <x v="0"/>
    <x v="6"/>
    <n v="537.87"/>
    <n v="11.66"/>
  </r>
  <r>
    <n v="1444"/>
    <n v="10436"/>
    <d v="2011-01-02T00:00:00"/>
    <s v="Low"/>
    <x v="645"/>
    <x v="12"/>
    <x v="3"/>
    <s v="Corporate"/>
    <x v="0"/>
    <x v="6"/>
    <n v="138.75"/>
    <n v="5.84"/>
  </r>
  <r>
    <n v="1445"/>
    <n v="10437"/>
    <d v="2009-08-18T00:00:00"/>
    <s v="Critical"/>
    <x v="403"/>
    <x v="0"/>
    <x v="0"/>
    <s v="Corporate"/>
    <x v="0"/>
    <x v="12"/>
    <n v="820.52"/>
    <n v="15.99"/>
  </r>
  <r>
    <n v="1446"/>
    <n v="10439"/>
    <d v="2012-03-28T00:00:00"/>
    <s v="Not Specified"/>
    <x v="624"/>
    <x v="1"/>
    <x v="1"/>
    <s v="Consumer"/>
    <x v="0"/>
    <x v="12"/>
    <n v="823.13"/>
    <n v="18.940000000000001"/>
  </r>
  <r>
    <n v="1447"/>
    <n v="10439"/>
    <d v="2012-03-28T00:00:00"/>
    <s v="Not Specified"/>
    <x v="624"/>
    <x v="1"/>
    <x v="1"/>
    <s v="Consumer"/>
    <x v="2"/>
    <x v="5"/>
    <n v="569.61"/>
    <n v="17.98"/>
  </r>
  <r>
    <n v="1448"/>
    <n v="10439"/>
    <d v="2012-03-28T00:00:00"/>
    <s v="Not Specified"/>
    <x v="624"/>
    <x v="1"/>
    <x v="1"/>
    <s v="Consumer"/>
    <x v="0"/>
    <x v="8"/>
    <n v="75.06"/>
    <n v="2.89"/>
  </r>
  <r>
    <n v="1449"/>
    <n v="10439"/>
    <d v="2012-03-28T00:00:00"/>
    <s v="Not Specified"/>
    <x v="624"/>
    <x v="1"/>
    <x v="1"/>
    <s v="Consumer"/>
    <x v="1"/>
    <x v="2"/>
    <n v="225.13"/>
    <n v="4.4800000000000004"/>
  </r>
  <r>
    <n v="1450"/>
    <n v="10464"/>
    <d v="2009-08-10T00:00:00"/>
    <s v="Critical"/>
    <x v="468"/>
    <x v="1"/>
    <x v="1"/>
    <s v="Consumer"/>
    <x v="0"/>
    <x v="9"/>
    <n v="121.73"/>
    <n v="4.9800000000000004"/>
  </r>
  <r>
    <n v="1451"/>
    <n v="10466"/>
    <d v="2012-12-25T00:00:00"/>
    <s v="High"/>
    <x v="394"/>
    <x v="16"/>
    <x v="1"/>
    <s v="Corporate"/>
    <x v="0"/>
    <x v="6"/>
    <n v="114.86"/>
    <n v="4.28"/>
  </r>
  <r>
    <n v="1452"/>
    <n v="10470"/>
    <d v="2012-05-04T00:00:00"/>
    <s v="Low"/>
    <x v="646"/>
    <x v="26"/>
    <x v="3"/>
    <s v="Corporate"/>
    <x v="0"/>
    <x v="13"/>
    <n v="1757.43"/>
    <n v="44.01"/>
  </r>
  <r>
    <n v="1453"/>
    <n v="10470"/>
    <d v="2012-05-04T00:00:00"/>
    <s v="Low"/>
    <x v="646"/>
    <x v="26"/>
    <x v="3"/>
    <s v="Corporate"/>
    <x v="0"/>
    <x v="12"/>
    <n v="137.26"/>
    <n v="15.99"/>
  </r>
  <r>
    <n v="1454"/>
    <n v="10470"/>
    <d v="2012-05-04T00:00:00"/>
    <s v="Low"/>
    <x v="646"/>
    <x v="26"/>
    <x v="3"/>
    <s v="Corporate"/>
    <x v="2"/>
    <x v="4"/>
    <n v="2913.1455000000001"/>
    <n v="175.99"/>
  </r>
  <r>
    <n v="1455"/>
    <n v="10470"/>
    <d v="2012-05-04T00:00:00"/>
    <s v="Critical"/>
    <x v="399"/>
    <x v="22"/>
    <x v="0"/>
    <s v="Corporate"/>
    <x v="1"/>
    <x v="2"/>
    <n v="246.98"/>
    <n v="7.38"/>
  </r>
  <r>
    <n v="1456"/>
    <n v="10498"/>
    <d v="2010-10-23T00:00:00"/>
    <s v="Low"/>
    <x v="647"/>
    <x v="5"/>
    <x v="0"/>
    <s v="Small Business"/>
    <x v="0"/>
    <x v="6"/>
    <n v="1968.47"/>
    <n v="40.97"/>
  </r>
  <r>
    <n v="1457"/>
    <n v="10499"/>
    <d v="2010-11-16T00:00:00"/>
    <s v="Not Specified"/>
    <x v="72"/>
    <x v="0"/>
    <x v="0"/>
    <s v="Corporate"/>
    <x v="1"/>
    <x v="3"/>
    <n v="6250.9360000000006"/>
    <n v="262.11"/>
  </r>
  <r>
    <n v="1458"/>
    <n v="10502"/>
    <d v="2010-05-14T00:00:00"/>
    <s v="Not Specified"/>
    <x v="548"/>
    <x v="36"/>
    <x v="2"/>
    <s v="Consumer"/>
    <x v="1"/>
    <x v="15"/>
    <n v="7869.22"/>
    <n v="243.98"/>
  </r>
  <r>
    <n v="1459"/>
    <n v="10502"/>
    <d v="2010-05-14T00:00:00"/>
    <s v="Not Specified"/>
    <x v="548"/>
    <x v="36"/>
    <x v="2"/>
    <s v="Consumer"/>
    <x v="1"/>
    <x v="2"/>
    <n v="912.44"/>
    <n v="25.38"/>
  </r>
  <r>
    <n v="1460"/>
    <n v="10528"/>
    <d v="2009-09-13T00:00:00"/>
    <s v="Medium"/>
    <x v="648"/>
    <x v="21"/>
    <x v="2"/>
    <s v="Corporate"/>
    <x v="0"/>
    <x v="0"/>
    <n v="838.4"/>
    <n v="17.7"/>
  </r>
  <r>
    <n v="1461"/>
    <n v="10530"/>
    <d v="2009-01-27T00:00:00"/>
    <s v="Medium"/>
    <x v="480"/>
    <x v="15"/>
    <x v="2"/>
    <s v="Consumer"/>
    <x v="2"/>
    <x v="4"/>
    <n v="377.21299999999997"/>
    <n v="110.99"/>
  </r>
  <r>
    <n v="1462"/>
    <n v="10535"/>
    <d v="2011-05-27T00:00:00"/>
    <s v="Low"/>
    <x v="72"/>
    <x v="0"/>
    <x v="0"/>
    <s v="Corporate"/>
    <x v="1"/>
    <x v="2"/>
    <n v="854.88"/>
    <n v="33.979999999999997"/>
  </r>
  <r>
    <n v="1463"/>
    <n v="10535"/>
    <d v="2011-05-27T00:00:00"/>
    <s v="Low"/>
    <x v="72"/>
    <x v="0"/>
    <x v="0"/>
    <s v="Corporate"/>
    <x v="0"/>
    <x v="6"/>
    <n v="80.27"/>
    <n v="1.76"/>
  </r>
  <r>
    <n v="1464"/>
    <n v="10562"/>
    <d v="2009-11-11T00:00:00"/>
    <s v="Not Specified"/>
    <x v="649"/>
    <x v="16"/>
    <x v="1"/>
    <s v="Corporate"/>
    <x v="0"/>
    <x v="0"/>
    <n v="994.04"/>
    <n v="95.99"/>
  </r>
  <r>
    <n v="1465"/>
    <n v="10563"/>
    <d v="2010-09-29T00:00:00"/>
    <s v="Critical"/>
    <x v="582"/>
    <x v="16"/>
    <x v="1"/>
    <s v="Corporate"/>
    <x v="0"/>
    <x v="13"/>
    <n v="10223.19"/>
    <n v="289.52999999999997"/>
  </r>
  <r>
    <n v="1466"/>
    <n v="10563"/>
    <d v="2010-09-29T00:00:00"/>
    <s v="Critical"/>
    <x v="582"/>
    <x v="16"/>
    <x v="1"/>
    <s v="Corporate"/>
    <x v="0"/>
    <x v="9"/>
    <n v="312.42"/>
    <n v="6.48"/>
  </r>
  <r>
    <n v="1467"/>
    <n v="10567"/>
    <d v="2012-03-29T00:00:00"/>
    <s v="High"/>
    <x v="650"/>
    <x v="37"/>
    <x v="2"/>
    <s v="Home Office"/>
    <x v="1"/>
    <x v="3"/>
    <n v="1111.008"/>
    <n v="146.34"/>
  </r>
  <r>
    <n v="1468"/>
    <n v="10593"/>
    <d v="2012-02-12T00:00:00"/>
    <s v="High"/>
    <x v="130"/>
    <x v="17"/>
    <x v="0"/>
    <s v="Home Office"/>
    <x v="2"/>
    <x v="5"/>
    <n v="435.27"/>
    <n v="15.98"/>
  </r>
  <r>
    <n v="1469"/>
    <n v="10593"/>
    <d v="2012-02-12T00:00:00"/>
    <s v="High"/>
    <x v="130"/>
    <x v="17"/>
    <x v="0"/>
    <s v="Home Office"/>
    <x v="1"/>
    <x v="2"/>
    <n v="723.82"/>
    <n v="27.42"/>
  </r>
  <r>
    <n v="1470"/>
    <n v="10624"/>
    <d v="2009-12-20T00:00:00"/>
    <s v="Critical"/>
    <x v="651"/>
    <x v="5"/>
    <x v="0"/>
    <s v="Corporate"/>
    <x v="2"/>
    <x v="5"/>
    <n v="1082.43"/>
    <n v="47.98"/>
  </r>
  <r>
    <n v="1471"/>
    <n v="10627"/>
    <d v="2010-02-24T00:00:00"/>
    <s v="Low"/>
    <x v="652"/>
    <x v="23"/>
    <x v="3"/>
    <s v="Home Office"/>
    <x v="0"/>
    <x v="13"/>
    <n v="40.229999999999997"/>
    <n v="7.77"/>
  </r>
  <r>
    <n v="1472"/>
    <n v="10629"/>
    <d v="2009-09-11T00:00:00"/>
    <s v="Critical"/>
    <x v="627"/>
    <x v="23"/>
    <x v="3"/>
    <s v="Corporate"/>
    <x v="1"/>
    <x v="2"/>
    <n v="341.55"/>
    <n v="8.3699999999999992"/>
  </r>
  <r>
    <n v="1473"/>
    <n v="10629"/>
    <d v="2009-09-11T00:00:00"/>
    <s v="Critical"/>
    <x v="627"/>
    <x v="23"/>
    <x v="3"/>
    <s v="Corporate"/>
    <x v="0"/>
    <x v="9"/>
    <n v="98.37"/>
    <n v="6.48"/>
  </r>
  <r>
    <n v="1474"/>
    <n v="10630"/>
    <d v="2010-02-04T00:00:00"/>
    <s v="Medium"/>
    <x v="653"/>
    <x v="34"/>
    <x v="2"/>
    <s v="Corporate"/>
    <x v="1"/>
    <x v="11"/>
    <n v="2773.84"/>
    <n v="58.14"/>
  </r>
  <r>
    <n v="1475"/>
    <n v="10657"/>
    <d v="2010-09-25T00:00:00"/>
    <s v="Medium"/>
    <x v="307"/>
    <x v="34"/>
    <x v="2"/>
    <s v="Consumer"/>
    <x v="0"/>
    <x v="9"/>
    <n v="289.94"/>
    <n v="6.48"/>
  </r>
  <r>
    <n v="1476"/>
    <n v="10657"/>
    <d v="2010-09-25T00:00:00"/>
    <s v="Medium"/>
    <x v="307"/>
    <x v="34"/>
    <x v="2"/>
    <s v="Consumer"/>
    <x v="1"/>
    <x v="3"/>
    <n v="1848.52"/>
    <n v="218.75"/>
  </r>
  <r>
    <n v="1477"/>
    <n v="10658"/>
    <d v="2009-08-27T00:00:00"/>
    <s v="Low"/>
    <x v="654"/>
    <x v="16"/>
    <x v="1"/>
    <s v="Consumer"/>
    <x v="2"/>
    <x v="5"/>
    <n v="262.54000000000002"/>
    <n v="8.5"/>
  </r>
  <r>
    <n v="1478"/>
    <n v="10658"/>
    <d v="2009-08-27T00:00:00"/>
    <s v="Low"/>
    <x v="654"/>
    <x v="16"/>
    <x v="1"/>
    <s v="Consumer"/>
    <x v="2"/>
    <x v="10"/>
    <n v="190.73"/>
    <n v="15.99"/>
  </r>
  <r>
    <n v="1479"/>
    <n v="10658"/>
    <d v="2009-08-27T00:00:00"/>
    <s v="Low"/>
    <x v="654"/>
    <x v="16"/>
    <x v="1"/>
    <s v="Consumer"/>
    <x v="2"/>
    <x v="4"/>
    <n v="1332.97"/>
    <n v="95.99"/>
  </r>
  <r>
    <n v="1480"/>
    <n v="10659"/>
    <d v="2009-05-14T00:00:00"/>
    <s v="Critical"/>
    <x v="655"/>
    <x v="8"/>
    <x v="2"/>
    <s v="Corporate"/>
    <x v="0"/>
    <x v="9"/>
    <n v="227.37"/>
    <n v="5.28"/>
  </r>
  <r>
    <n v="1481"/>
    <n v="10661"/>
    <d v="2009-01-23T00:00:00"/>
    <s v="Not Specified"/>
    <x v="541"/>
    <x v="20"/>
    <x v="0"/>
    <s v="Consumer"/>
    <x v="0"/>
    <x v="1"/>
    <n v="136.41"/>
    <n v="6.84"/>
  </r>
  <r>
    <n v="1482"/>
    <n v="10661"/>
    <d v="2009-01-23T00:00:00"/>
    <s v="Not Specified"/>
    <x v="200"/>
    <x v="34"/>
    <x v="2"/>
    <s v="Consumer"/>
    <x v="0"/>
    <x v="9"/>
    <n v="1312.65"/>
    <n v="30.98"/>
  </r>
  <r>
    <n v="1483"/>
    <n v="10662"/>
    <d v="2011-05-12T00:00:00"/>
    <s v="Low"/>
    <x v="656"/>
    <x v="16"/>
    <x v="1"/>
    <s v="Home Office"/>
    <x v="0"/>
    <x v="9"/>
    <n v="283.13"/>
    <n v="6.48"/>
  </r>
  <r>
    <n v="1484"/>
    <n v="10663"/>
    <d v="2009-05-23T00:00:00"/>
    <s v="High"/>
    <x v="601"/>
    <x v="25"/>
    <x v="1"/>
    <s v="Home Office"/>
    <x v="0"/>
    <x v="8"/>
    <n v="104.39"/>
    <n v="2.61"/>
  </r>
  <r>
    <n v="1485"/>
    <n v="10688"/>
    <d v="2012-05-12T00:00:00"/>
    <s v="Medium"/>
    <x v="523"/>
    <x v="35"/>
    <x v="3"/>
    <s v="Corporate"/>
    <x v="1"/>
    <x v="2"/>
    <n v="618.84"/>
    <n v="41.47"/>
  </r>
  <r>
    <n v="1486"/>
    <n v="10692"/>
    <d v="2009-07-26T00:00:00"/>
    <s v="Low"/>
    <x v="657"/>
    <x v="3"/>
    <x v="0"/>
    <s v="Corporate"/>
    <x v="0"/>
    <x v="6"/>
    <n v="100.41"/>
    <n v="3.57"/>
  </r>
  <r>
    <n v="1487"/>
    <n v="10692"/>
    <d v="2009-07-26T00:00:00"/>
    <s v="Low"/>
    <x v="657"/>
    <x v="3"/>
    <x v="0"/>
    <s v="Corporate"/>
    <x v="2"/>
    <x v="4"/>
    <n v="8101.9875000000002"/>
    <n v="200.99"/>
  </r>
  <r>
    <n v="1488"/>
    <n v="10692"/>
    <d v="2009-07-26T00:00:00"/>
    <s v="Low"/>
    <x v="657"/>
    <x v="3"/>
    <x v="0"/>
    <s v="Corporate"/>
    <x v="2"/>
    <x v="4"/>
    <n v="1313.8109999999999"/>
    <n v="195.99"/>
  </r>
  <r>
    <n v="1489"/>
    <n v="10695"/>
    <d v="2011-05-02T00:00:00"/>
    <s v="High"/>
    <x v="658"/>
    <x v="8"/>
    <x v="2"/>
    <s v="Corporate"/>
    <x v="2"/>
    <x v="4"/>
    <n v="6330.0859999999993"/>
    <n v="205.99"/>
  </r>
  <r>
    <n v="1490"/>
    <n v="10722"/>
    <d v="2011-01-19T00:00:00"/>
    <s v="Not Specified"/>
    <x v="34"/>
    <x v="7"/>
    <x v="3"/>
    <s v="Home Office"/>
    <x v="0"/>
    <x v="9"/>
    <n v="40.26"/>
    <n v="4.28"/>
  </r>
  <r>
    <n v="1491"/>
    <n v="10752"/>
    <d v="2011-09-10T00:00:00"/>
    <s v="Critical"/>
    <x v="218"/>
    <x v="12"/>
    <x v="3"/>
    <s v="Small Business"/>
    <x v="0"/>
    <x v="12"/>
    <n v="95.38"/>
    <n v="15.99"/>
  </r>
  <r>
    <n v="1492"/>
    <n v="10754"/>
    <d v="2010-03-17T00:00:00"/>
    <s v="Low"/>
    <x v="659"/>
    <x v="21"/>
    <x v="2"/>
    <s v="Corporate"/>
    <x v="0"/>
    <x v="9"/>
    <n v="48.04"/>
    <n v="6.48"/>
  </r>
  <r>
    <n v="1493"/>
    <n v="10784"/>
    <d v="2010-07-05T00:00:00"/>
    <s v="Not Specified"/>
    <x v="208"/>
    <x v="23"/>
    <x v="3"/>
    <s v="Home Office"/>
    <x v="0"/>
    <x v="9"/>
    <n v="19.36"/>
    <n v="6.78"/>
  </r>
  <r>
    <n v="1494"/>
    <n v="10784"/>
    <d v="2010-07-05T00:00:00"/>
    <s v="Not Specified"/>
    <x v="660"/>
    <x v="23"/>
    <x v="3"/>
    <s v="Home Office"/>
    <x v="0"/>
    <x v="12"/>
    <n v="206.27"/>
    <n v="6.81"/>
  </r>
  <r>
    <n v="1495"/>
    <n v="10789"/>
    <d v="2010-08-23T00:00:00"/>
    <s v="Not Specified"/>
    <x v="661"/>
    <x v="0"/>
    <x v="0"/>
    <s v="Corporate"/>
    <x v="0"/>
    <x v="6"/>
    <n v="308.54000000000002"/>
    <n v="19.84"/>
  </r>
  <r>
    <n v="1496"/>
    <n v="10791"/>
    <d v="2011-08-19T00:00:00"/>
    <s v="Not Specified"/>
    <x v="367"/>
    <x v="0"/>
    <x v="0"/>
    <s v="Small Business"/>
    <x v="0"/>
    <x v="9"/>
    <n v="400.57"/>
    <n v="19.98"/>
  </r>
  <r>
    <n v="1497"/>
    <n v="10819"/>
    <d v="2010-08-24T00:00:00"/>
    <s v="Critical"/>
    <x v="103"/>
    <x v="22"/>
    <x v="0"/>
    <s v="Small Business"/>
    <x v="0"/>
    <x v="9"/>
    <n v="233.39"/>
    <n v="6.48"/>
  </r>
  <r>
    <n v="1498"/>
    <n v="10820"/>
    <d v="2011-12-27T00:00:00"/>
    <s v="Not Specified"/>
    <x v="213"/>
    <x v="1"/>
    <x v="1"/>
    <s v="Small Business"/>
    <x v="0"/>
    <x v="6"/>
    <n v="2072.12"/>
    <n v="40.97"/>
  </r>
  <r>
    <n v="1499"/>
    <n v="10820"/>
    <d v="2011-12-27T00:00:00"/>
    <s v="Not Specified"/>
    <x v="213"/>
    <x v="1"/>
    <x v="1"/>
    <s v="Small Business"/>
    <x v="0"/>
    <x v="7"/>
    <n v="151.19"/>
    <n v="4.71"/>
  </r>
  <r>
    <n v="1500"/>
    <n v="10823"/>
    <d v="2012-06-12T00:00:00"/>
    <s v="Low"/>
    <x v="627"/>
    <x v="23"/>
    <x v="3"/>
    <s v="Home Office"/>
    <x v="0"/>
    <x v="12"/>
    <n v="133.9"/>
    <n v="43.41"/>
  </r>
  <r>
    <n v="1501"/>
    <n v="10851"/>
    <d v="2009-04-06T00:00:00"/>
    <s v="High"/>
    <x v="662"/>
    <x v="30"/>
    <x v="0"/>
    <s v="Consumer"/>
    <x v="0"/>
    <x v="1"/>
    <n v="608.21"/>
    <n v="12.88"/>
  </r>
  <r>
    <n v="1502"/>
    <n v="10851"/>
    <d v="2009-04-06T00:00:00"/>
    <s v="High"/>
    <x v="90"/>
    <x v="27"/>
    <x v="3"/>
    <s v="Consumer"/>
    <x v="2"/>
    <x v="4"/>
    <n v="570.52850000000001"/>
    <n v="45.99"/>
  </r>
  <r>
    <n v="1503"/>
    <n v="10852"/>
    <d v="2010-10-26T00:00:00"/>
    <s v="High"/>
    <x v="70"/>
    <x v="30"/>
    <x v="0"/>
    <s v="Home Office"/>
    <x v="0"/>
    <x v="12"/>
    <n v="285.83999999999997"/>
    <n v="15.28"/>
  </r>
  <r>
    <n v="1504"/>
    <n v="10852"/>
    <d v="2010-10-26T00:00:00"/>
    <s v="High"/>
    <x v="70"/>
    <x v="30"/>
    <x v="0"/>
    <s v="Home Office"/>
    <x v="1"/>
    <x v="11"/>
    <n v="12450.48"/>
    <n v="300.98"/>
  </r>
  <r>
    <n v="1505"/>
    <n v="10884"/>
    <d v="2009-11-25T00:00:00"/>
    <s v="Low"/>
    <x v="234"/>
    <x v="9"/>
    <x v="1"/>
    <s v="Consumer"/>
    <x v="2"/>
    <x v="4"/>
    <n v="2525.9874999999997"/>
    <n v="125.99"/>
  </r>
  <r>
    <n v="1506"/>
    <n v="10886"/>
    <d v="2009-08-23T00:00:00"/>
    <s v="Critical"/>
    <x v="568"/>
    <x v="36"/>
    <x v="2"/>
    <s v="Corporate"/>
    <x v="1"/>
    <x v="2"/>
    <n v="65.42"/>
    <n v="1.74"/>
  </r>
  <r>
    <n v="1507"/>
    <n v="10886"/>
    <d v="2009-08-23T00:00:00"/>
    <s v="Critical"/>
    <x v="568"/>
    <x v="36"/>
    <x v="2"/>
    <s v="Corporate"/>
    <x v="2"/>
    <x v="10"/>
    <n v="5750.94"/>
    <n v="119.99"/>
  </r>
  <r>
    <n v="1508"/>
    <n v="10913"/>
    <d v="2010-02-06T00:00:00"/>
    <s v="Low"/>
    <x v="596"/>
    <x v="4"/>
    <x v="1"/>
    <s v="Small Business"/>
    <x v="1"/>
    <x v="15"/>
    <n v="5149.0600000000004"/>
    <n v="180.98"/>
  </r>
  <r>
    <n v="1509"/>
    <n v="10916"/>
    <d v="2011-03-10T00:00:00"/>
    <s v="Medium"/>
    <x v="559"/>
    <x v="22"/>
    <x v="0"/>
    <s v="Small Business"/>
    <x v="0"/>
    <x v="12"/>
    <n v="135.31"/>
    <n v="5.74"/>
  </r>
  <r>
    <n v="1510"/>
    <n v="10917"/>
    <d v="2012-02-10T00:00:00"/>
    <s v="Critical"/>
    <x v="87"/>
    <x v="25"/>
    <x v="1"/>
    <s v="Corporate"/>
    <x v="2"/>
    <x v="4"/>
    <n v="1281.3579999999999"/>
    <n v="115.99"/>
  </r>
  <r>
    <n v="1511"/>
    <n v="10919"/>
    <d v="2010-03-27T00:00:00"/>
    <s v="High"/>
    <x v="663"/>
    <x v="23"/>
    <x v="3"/>
    <s v="Corporate"/>
    <x v="0"/>
    <x v="0"/>
    <n v="2040.95"/>
    <n v="48.91"/>
  </r>
  <r>
    <n v="1512"/>
    <n v="10944"/>
    <d v="2011-11-12T00:00:00"/>
    <s v="High"/>
    <x v="103"/>
    <x v="22"/>
    <x v="0"/>
    <s v="Small Business"/>
    <x v="2"/>
    <x v="10"/>
    <n v="181.66"/>
    <n v="17.98"/>
  </r>
  <r>
    <n v="1513"/>
    <n v="10945"/>
    <d v="2012-01-03T00:00:00"/>
    <s v="Medium"/>
    <x v="440"/>
    <x v="0"/>
    <x v="0"/>
    <s v="Consumer"/>
    <x v="2"/>
    <x v="4"/>
    <n v="1170.0250000000001"/>
    <n v="95.99"/>
  </r>
  <r>
    <n v="1514"/>
    <n v="10948"/>
    <d v="2012-08-13T00:00:00"/>
    <s v="Medium"/>
    <x v="590"/>
    <x v="16"/>
    <x v="1"/>
    <s v="Corporate"/>
    <x v="0"/>
    <x v="12"/>
    <n v="193.11"/>
    <n v="3.89"/>
  </r>
  <r>
    <n v="1515"/>
    <n v="10949"/>
    <d v="2009-03-30T00:00:00"/>
    <s v="Medium"/>
    <x v="446"/>
    <x v="18"/>
    <x v="2"/>
    <s v="Small Business"/>
    <x v="2"/>
    <x v="10"/>
    <n v="3449.26"/>
    <n v="80.97"/>
  </r>
  <r>
    <n v="1516"/>
    <n v="10951"/>
    <d v="2012-11-06T00:00:00"/>
    <s v="Not Specified"/>
    <x v="376"/>
    <x v="2"/>
    <x v="2"/>
    <s v="Corporate"/>
    <x v="1"/>
    <x v="2"/>
    <n v="677.43"/>
    <n v="50.98"/>
  </r>
  <r>
    <n v="1517"/>
    <n v="10978"/>
    <d v="2009-04-01T00:00:00"/>
    <s v="Critical"/>
    <x v="85"/>
    <x v="11"/>
    <x v="2"/>
    <s v="Small Business"/>
    <x v="1"/>
    <x v="15"/>
    <n v="566.53"/>
    <n v="60.98"/>
  </r>
  <r>
    <n v="1518"/>
    <n v="10979"/>
    <d v="2011-10-04T00:00:00"/>
    <s v="Medium"/>
    <x v="516"/>
    <x v="11"/>
    <x v="2"/>
    <s v="Small Business"/>
    <x v="1"/>
    <x v="2"/>
    <n v="486.43"/>
    <n v="30.93"/>
  </r>
  <r>
    <n v="1519"/>
    <n v="10979"/>
    <d v="2011-10-04T00:00:00"/>
    <s v="Medium"/>
    <x v="516"/>
    <x v="11"/>
    <x v="2"/>
    <s v="Small Business"/>
    <x v="0"/>
    <x v="9"/>
    <n v="144.94999999999999"/>
    <n v="19.98"/>
  </r>
  <r>
    <n v="1520"/>
    <n v="10981"/>
    <d v="2010-05-14T00:00:00"/>
    <s v="High"/>
    <x v="664"/>
    <x v="4"/>
    <x v="1"/>
    <s v="Home Office"/>
    <x v="0"/>
    <x v="7"/>
    <n v="73.36"/>
    <n v="1.86"/>
  </r>
  <r>
    <n v="1521"/>
    <n v="10981"/>
    <d v="2010-05-14T00:00:00"/>
    <s v="High"/>
    <x v="664"/>
    <x v="4"/>
    <x v="1"/>
    <s v="Home Office"/>
    <x v="2"/>
    <x v="4"/>
    <n v="3630.1460000000002"/>
    <n v="125.99"/>
  </r>
  <r>
    <n v="1522"/>
    <n v="10982"/>
    <d v="2012-12-10T00:00:00"/>
    <s v="Not Specified"/>
    <x v="450"/>
    <x v="24"/>
    <x v="1"/>
    <s v="Home Office"/>
    <x v="0"/>
    <x v="12"/>
    <n v="538.27"/>
    <n v="18.940000000000001"/>
  </r>
  <r>
    <n v="1523"/>
    <n v="10982"/>
    <d v="2012-12-10T00:00:00"/>
    <s v="Not Specified"/>
    <x v="450"/>
    <x v="24"/>
    <x v="1"/>
    <s v="Home Office"/>
    <x v="0"/>
    <x v="12"/>
    <n v="3665.41"/>
    <n v="122.99"/>
  </r>
  <r>
    <n v="1524"/>
    <n v="10982"/>
    <d v="2012-12-10T00:00:00"/>
    <s v="Not Specified"/>
    <x v="450"/>
    <x v="24"/>
    <x v="1"/>
    <s v="Home Office"/>
    <x v="0"/>
    <x v="7"/>
    <n v="20.95"/>
    <n v="1.1399999999999999"/>
  </r>
  <r>
    <n v="1525"/>
    <n v="11008"/>
    <d v="2009-02-24T00:00:00"/>
    <s v="Critical"/>
    <x v="313"/>
    <x v="13"/>
    <x v="3"/>
    <s v="Small Business"/>
    <x v="0"/>
    <x v="0"/>
    <n v="2545.89"/>
    <n v="138.13999999999999"/>
  </r>
  <r>
    <n v="1526"/>
    <n v="11011"/>
    <d v="2012-05-13T00:00:00"/>
    <s v="High"/>
    <x v="499"/>
    <x v="40"/>
    <x v="3"/>
    <s v="Small Business"/>
    <x v="1"/>
    <x v="11"/>
    <n v="8305.19"/>
    <n v="240.98"/>
  </r>
  <r>
    <n v="1527"/>
    <n v="11011"/>
    <d v="2012-05-13T00:00:00"/>
    <s v="High"/>
    <x v="342"/>
    <x v="12"/>
    <x v="3"/>
    <s v="Small Business"/>
    <x v="0"/>
    <x v="8"/>
    <n v="251.05"/>
    <n v="7.31"/>
  </r>
  <r>
    <n v="1528"/>
    <n v="11011"/>
    <d v="2012-05-13T00:00:00"/>
    <s v="High"/>
    <x v="105"/>
    <x v="31"/>
    <x v="3"/>
    <s v="Small Business"/>
    <x v="0"/>
    <x v="14"/>
    <n v="305.62"/>
    <n v="8.74"/>
  </r>
  <r>
    <n v="1529"/>
    <n v="11013"/>
    <d v="2009-04-17T00:00:00"/>
    <s v="High"/>
    <x v="1"/>
    <x v="1"/>
    <x v="1"/>
    <s v="Corporate"/>
    <x v="2"/>
    <x v="4"/>
    <n v="226.88200000000001"/>
    <n v="125.99"/>
  </r>
  <r>
    <n v="1530"/>
    <n v="11014"/>
    <d v="2010-09-07T00:00:00"/>
    <s v="High"/>
    <x v="665"/>
    <x v="16"/>
    <x v="1"/>
    <s v="Corporate"/>
    <x v="0"/>
    <x v="12"/>
    <n v="158.79"/>
    <n v="11.7"/>
  </r>
  <r>
    <n v="1531"/>
    <n v="11014"/>
    <d v="2010-09-07T00:00:00"/>
    <s v="High"/>
    <x v="358"/>
    <x v="24"/>
    <x v="1"/>
    <s v="Corporate"/>
    <x v="0"/>
    <x v="14"/>
    <n v="286.81"/>
    <n v="7.64"/>
  </r>
  <r>
    <n v="1532"/>
    <n v="11040"/>
    <d v="2011-10-23T00:00:00"/>
    <s v="Not Specified"/>
    <x v="666"/>
    <x v="14"/>
    <x v="0"/>
    <s v="Corporate"/>
    <x v="0"/>
    <x v="14"/>
    <n v="1102.28"/>
    <n v="23.99"/>
  </r>
  <r>
    <n v="1533"/>
    <n v="11044"/>
    <d v="2012-06-24T00:00:00"/>
    <s v="Medium"/>
    <x v="639"/>
    <x v="32"/>
    <x v="0"/>
    <s v="Home Office"/>
    <x v="0"/>
    <x v="6"/>
    <n v="14.49"/>
    <n v="3.28"/>
  </r>
  <r>
    <n v="1534"/>
    <n v="11045"/>
    <d v="2012-03-25T00:00:00"/>
    <s v="Medium"/>
    <x v="89"/>
    <x v="28"/>
    <x v="1"/>
    <s v="Home Office"/>
    <x v="0"/>
    <x v="9"/>
    <n v="710.86"/>
    <n v="19.98"/>
  </r>
  <r>
    <n v="1535"/>
    <n v="11047"/>
    <d v="2010-12-10T00:00:00"/>
    <s v="Low"/>
    <x v="436"/>
    <x v="36"/>
    <x v="2"/>
    <s v="Home Office"/>
    <x v="0"/>
    <x v="13"/>
    <n v="1991.26"/>
    <n v="68.81"/>
  </r>
  <r>
    <n v="1536"/>
    <n v="11047"/>
    <d v="2010-12-10T00:00:00"/>
    <s v="Low"/>
    <x v="436"/>
    <x v="36"/>
    <x v="2"/>
    <s v="Home Office"/>
    <x v="1"/>
    <x v="3"/>
    <n v="10480.272000000001"/>
    <n v="550.98"/>
  </r>
  <r>
    <n v="1537"/>
    <n v="11074"/>
    <d v="2011-06-09T00:00:00"/>
    <s v="High"/>
    <x v="667"/>
    <x v="28"/>
    <x v="1"/>
    <s v="Corporate"/>
    <x v="0"/>
    <x v="1"/>
    <n v="114.53"/>
    <n v="5.68"/>
  </r>
  <r>
    <n v="1538"/>
    <n v="11074"/>
    <d v="2011-06-09T00:00:00"/>
    <s v="High"/>
    <x v="667"/>
    <x v="28"/>
    <x v="1"/>
    <s v="Corporate"/>
    <x v="2"/>
    <x v="4"/>
    <n v="7164.7435000000005"/>
    <n v="205.99"/>
  </r>
  <r>
    <n v="1539"/>
    <n v="11077"/>
    <d v="2009-03-20T00:00:00"/>
    <s v="Low"/>
    <x v="266"/>
    <x v="16"/>
    <x v="1"/>
    <s v="Consumer"/>
    <x v="1"/>
    <x v="11"/>
    <n v="4620.05"/>
    <n v="160.97999999999999"/>
  </r>
  <r>
    <n v="1540"/>
    <n v="11108"/>
    <d v="2012-08-16T00:00:00"/>
    <s v="Not Specified"/>
    <x v="668"/>
    <x v="11"/>
    <x v="2"/>
    <s v="Small Business"/>
    <x v="0"/>
    <x v="9"/>
    <n v="131.71"/>
    <n v="6.48"/>
  </r>
  <r>
    <n v="1541"/>
    <n v="11109"/>
    <d v="2011-03-15T00:00:00"/>
    <s v="Medium"/>
    <x v="659"/>
    <x v="21"/>
    <x v="2"/>
    <s v="Consumer"/>
    <x v="0"/>
    <x v="9"/>
    <n v="130.38"/>
    <n v="7.4"/>
  </r>
  <r>
    <n v="1542"/>
    <n v="11111"/>
    <d v="2011-01-17T00:00:00"/>
    <s v="Medium"/>
    <x v="669"/>
    <x v="26"/>
    <x v="3"/>
    <s v="Corporate"/>
    <x v="1"/>
    <x v="2"/>
    <n v="308.52"/>
    <n v="41.47"/>
  </r>
  <r>
    <n v="1543"/>
    <n v="11111"/>
    <d v="2011-01-17T00:00:00"/>
    <s v="Medium"/>
    <x v="669"/>
    <x v="26"/>
    <x v="3"/>
    <s v="Corporate"/>
    <x v="0"/>
    <x v="9"/>
    <n v="176.5"/>
    <n v="6.48"/>
  </r>
  <r>
    <n v="1544"/>
    <n v="11137"/>
    <d v="2012-11-29T00:00:00"/>
    <s v="High"/>
    <x v="109"/>
    <x v="0"/>
    <x v="0"/>
    <s v="Small Business"/>
    <x v="0"/>
    <x v="0"/>
    <n v="5188.8599999999997"/>
    <n v="111.03"/>
  </r>
  <r>
    <n v="1545"/>
    <n v="11168"/>
    <d v="2012-10-21T00:00:00"/>
    <s v="Critical"/>
    <x v="170"/>
    <x v="6"/>
    <x v="1"/>
    <s v="Home Office"/>
    <x v="1"/>
    <x v="2"/>
    <n v="182.86"/>
    <n v="4.82"/>
  </r>
  <r>
    <n v="1546"/>
    <n v="11169"/>
    <d v="2010-05-21T00:00:00"/>
    <s v="Medium"/>
    <x v="670"/>
    <x v="1"/>
    <x v="1"/>
    <s v="Corporate"/>
    <x v="0"/>
    <x v="12"/>
    <n v="398.86"/>
    <n v="8.85"/>
  </r>
  <r>
    <n v="1547"/>
    <n v="11169"/>
    <d v="2010-05-21T00:00:00"/>
    <s v="Medium"/>
    <x v="670"/>
    <x v="1"/>
    <x v="1"/>
    <s v="Corporate"/>
    <x v="0"/>
    <x v="8"/>
    <n v="109.18"/>
    <n v="2.61"/>
  </r>
  <r>
    <n v="1548"/>
    <n v="11169"/>
    <d v="2010-05-21T00:00:00"/>
    <s v="Medium"/>
    <x v="670"/>
    <x v="1"/>
    <x v="1"/>
    <s v="Corporate"/>
    <x v="0"/>
    <x v="9"/>
    <n v="28.59"/>
    <n v="4.9800000000000004"/>
  </r>
  <r>
    <n v="1549"/>
    <n v="11173"/>
    <d v="2012-03-30T00:00:00"/>
    <s v="Critical"/>
    <x v="671"/>
    <x v="26"/>
    <x v="3"/>
    <s v="Corporate"/>
    <x v="2"/>
    <x v="5"/>
    <n v="221.66"/>
    <n v="5.98"/>
  </r>
  <r>
    <n v="1550"/>
    <n v="11174"/>
    <d v="2009-04-09T00:00:00"/>
    <s v="Medium"/>
    <x v="394"/>
    <x v="16"/>
    <x v="1"/>
    <s v="Corporate"/>
    <x v="2"/>
    <x v="4"/>
    <n v="3197.0029999999997"/>
    <n v="125.99"/>
  </r>
  <r>
    <n v="1551"/>
    <n v="11202"/>
    <d v="2012-03-17T00:00:00"/>
    <s v="Medium"/>
    <x v="446"/>
    <x v="0"/>
    <x v="0"/>
    <s v="Corporate"/>
    <x v="0"/>
    <x v="12"/>
    <n v="339.81"/>
    <n v="43.41"/>
  </r>
  <r>
    <n v="1552"/>
    <n v="11206"/>
    <d v="2009-12-28T00:00:00"/>
    <s v="Low"/>
    <x v="186"/>
    <x v="41"/>
    <x v="3"/>
    <s v="Small Business"/>
    <x v="2"/>
    <x v="5"/>
    <n v="1285.55"/>
    <n v="49.99"/>
  </r>
  <r>
    <n v="1553"/>
    <n v="11206"/>
    <d v="2009-12-28T00:00:00"/>
    <s v="Low"/>
    <x v="672"/>
    <x v="35"/>
    <x v="3"/>
    <s v="Small Business"/>
    <x v="0"/>
    <x v="12"/>
    <n v="177.67"/>
    <n v="28.53"/>
  </r>
  <r>
    <n v="1554"/>
    <n v="11233"/>
    <d v="2011-08-30T00:00:00"/>
    <s v="Not Specified"/>
    <x v="63"/>
    <x v="27"/>
    <x v="3"/>
    <s v="Corporate"/>
    <x v="0"/>
    <x v="14"/>
    <n v="276.5"/>
    <n v="10.98"/>
  </r>
  <r>
    <n v="1555"/>
    <n v="11236"/>
    <d v="2010-10-30T00:00:00"/>
    <s v="High"/>
    <x v="51"/>
    <x v="16"/>
    <x v="1"/>
    <s v="Small Business"/>
    <x v="0"/>
    <x v="9"/>
    <n v="298.57"/>
    <n v="6.88"/>
  </r>
  <r>
    <n v="1556"/>
    <n v="11236"/>
    <d v="2010-10-30T00:00:00"/>
    <s v="High"/>
    <x v="51"/>
    <x v="16"/>
    <x v="1"/>
    <s v="Small Business"/>
    <x v="0"/>
    <x v="6"/>
    <n v="44.32"/>
    <n v="2.52"/>
  </r>
  <r>
    <n v="1557"/>
    <n v="11236"/>
    <d v="2010-10-30T00:00:00"/>
    <s v="High"/>
    <x v="673"/>
    <x v="19"/>
    <x v="3"/>
    <s v="Small Business"/>
    <x v="0"/>
    <x v="0"/>
    <n v="1629.75"/>
    <n v="415.88"/>
  </r>
  <r>
    <n v="1558"/>
    <n v="11236"/>
    <d v="2010-10-30T00:00:00"/>
    <s v="High"/>
    <x v="674"/>
    <x v="12"/>
    <x v="3"/>
    <s v="Small Business"/>
    <x v="0"/>
    <x v="12"/>
    <n v="261.02"/>
    <n v="4.9800000000000004"/>
  </r>
  <r>
    <n v="1559"/>
    <n v="11239"/>
    <d v="2012-02-09T00:00:00"/>
    <s v="Critical"/>
    <x v="102"/>
    <x v="26"/>
    <x v="3"/>
    <s v="Small Business"/>
    <x v="1"/>
    <x v="3"/>
    <n v="6170.02"/>
    <n v="179.29"/>
  </r>
  <r>
    <n v="1560"/>
    <n v="11269"/>
    <d v="2012-05-26T00:00:00"/>
    <s v="Low"/>
    <x v="70"/>
    <x v="30"/>
    <x v="0"/>
    <s v="Home Office"/>
    <x v="2"/>
    <x v="4"/>
    <n v="2083.0525000000002"/>
    <n v="65.989999999999995"/>
  </r>
  <r>
    <n v="1561"/>
    <n v="11269"/>
    <d v="2012-05-26T00:00:00"/>
    <s v="Low"/>
    <x v="675"/>
    <x v="30"/>
    <x v="0"/>
    <s v="Home Office"/>
    <x v="0"/>
    <x v="8"/>
    <n v="233.28"/>
    <n v="4.91"/>
  </r>
  <r>
    <n v="1562"/>
    <n v="11269"/>
    <d v="2012-05-26T00:00:00"/>
    <s v="Low"/>
    <x v="675"/>
    <x v="30"/>
    <x v="0"/>
    <s v="Home Office"/>
    <x v="0"/>
    <x v="0"/>
    <n v="47.01"/>
    <n v="27.75"/>
  </r>
  <r>
    <n v="1563"/>
    <n v="11270"/>
    <d v="2011-06-30T00:00:00"/>
    <s v="High"/>
    <x v="361"/>
    <x v="15"/>
    <x v="2"/>
    <s v="Corporate"/>
    <x v="0"/>
    <x v="12"/>
    <n v="140.07"/>
    <n v="8.6"/>
  </r>
  <r>
    <n v="1564"/>
    <n v="11271"/>
    <d v="2011-10-18T00:00:00"/>
    <s v="High"/>
    <x v="675"/>
    <x v="31"/>
    <x v="3"/>
    <s v="Corporate"/>
    <x v="0"/>
    <x v="6"/>
    <n v="157.87"/>
    <n v="3.28"/>
  </r>
  <r>
    <n v="1565"/>
    <n v="11301"/>
    <d v="2012-03-22T00:00:00"/>
    <s v="Medium"/>
    <x v="676"/>
    <x v="22"/>
    <x v="0"/>
    <s v="Consumer"/>
    <x v="2"/>
    <x v="5"/>
    <n v="1194.96"/>
    <n v="39.979999999999997"/>
  </r>
  <r>
    <n v="1566"/>
    <n v="11302"/>
    <d v="2009-03-01T00:00:00"/>
    <s v="Low"/>
    <x v="487"/>
    <x v="14"/>
    <x v="0"/>
    <s v="Home Office"/>
    <x v="2"/>
    <x v="10"/>
    <n v="866.66"/>
    <n v="90.97"/>
  </r>
  <r>
    <n v="1567"/>
    <n v="11332"/>
    <d v="2009-11-16T00:00:00"/>
    <s v="Low"/>
    <x v="354"/>
    <x v="22"/>
    <x v="0"/>
    <s v="Corporate"/>
    <x v="2"/>
    <x v="4"/>
    <n v="184.33100000000002"/>
    <n v="35.99"/>
  </r>
  <r>
    <n v="1568"/>
    <n v="11332"/>
    <d v="2009-11-16T00:00:00"/>
    <s v="Low"/>
    <x v="677"/>
    <x v="22"/>
    <x v="0"/>
    <s v="Corporate"/>
    <x v="2"/>
    <x v="4"/>
    <n v="1223.3795"/>
    <n v="65.989999999999995"/>
  </r>
  <r>
    <n v="1569"/>
    <n v="11335"/>
    <d v="2009-10-21T00:00:00"/>
    <s v="High"/>
    <x v="528"/>
    <x v="18"/>
    <x v="2"/>
    <s v="Corporate"/>
    <x v="0"/>
    <x v="8"/>
    <n v="14.84"/>
    <n v="4.9800000000000004"/>
  </r>
  <r>
    <n v="1570"/>
    <n v="11335"/>
    <d v="2009-10-21T00:00:00"/>
    <s v="High"/>
    <x v="528"/>
    <x v="18"/>
    <x v="2"/>
    <s v="Corporate"/>
    <x v="2"/>
    <x v="10"/>
    <n v="922.47"/>
    <n v="119.99"/>
  </r>
  <r>
    <n v="1571"/>
    <n v="11362"/>
    <d v="2012-09-10T00:00:00"/>
    <s v="Low"/>
    <x v="536"/>
    <x v="30"/>
    <x v="0"/>
    <s v="Corporate"/>
    <x v="1"/>
    <x v="2"/>
    <n v="3245.73"/>
    <n v="110.98"/>
  </r>
  <r>
    <n v="1572"/>
    <n v="11362"/>
    <d v="2012-09-10T00:00:00"/>
    <s v="Low"/>
    <x v="536"/>
    <x v="30"/>
    <x v="0"/>
    <s v="Corporate"/>
    <x v="0"/>
    <x v="1"/>
    <n v="63.02"/>
    <n v="2.1800000000000002"/>
  </r>
  <r>
    <n v="1573"/>
    <n v="11362"/>
    <d v="2012-09-10T00:00:00"/>
    <s v="Low"/>
    <x v="678"/>
    <x v="30"/>
    <x v="0"/>
    <s v="Corporate"/>
    <x v="2"/>
    <x v="16"/>
    <n v="6420.87"/>
    <n v="699.99"/>
  </r>
  <r>
    <n v="1574"/>
    <n v="11362"/>
    <d v="2012-09-10T00:00:00"/>
    <s v="Low"/>
    <x v="678"/>
    <x v="30"/>
    <x v="0"/>
    <s v="Corporate"/>
    <x v="2"/>
    <x v="4"/>
    <n v="2407.6929999999998"/>
    <n v="110.99"/>
  </r>
  <r>
    <n v="1575"/>
    <n v="11392"/>
    <d v="2009-09-05T00:00:00"/>
    <s v="Low"/>
    <x v="679"/>
    <x v="22"/>
    <x v="0"/>
    <s v="Corporate"/>
    <x v="0"/>
    <x v="12"/>
    <n v="128.69"/>
    <n v="4.55"/>
  </r>
  <r>
    <n v="1576"/>
    <n v="11396"/>
    <d v="2012-07-21T00:00:00"/>
    <s v="Critical"/>
    <x v="680"/>
    <x v="26"/>
    <x v="3"/>
    <s v="Corporate"/>
    <x v="0"/>
    <x v="12"/>
    <n v="12270.3"/>
    <n v="304.99"/>
  </r>
  <r>
    <n v="1577"/>
    <n v="11398"/>
    <d v="2012-08-06T00:00:00"/>
    <s v="High"/>
    <x v="681"/>
    <x v="14"/>
    <x v="0"/>
    <s v="Home Office"/>
    <x v="0"/>
    <x v="9"/>
    <n v="109.7"/>
    <n v="5.98"/>
  </r>
  <r>
    <n v="1578"/>
    <n v="11398"/>
    <d v="2012-08-06T00:00:00"/>
    <s v="High"/>
    <x v="681"/>
    <x v="14"/>
    <x v="0"/>
    <s v="Home Office"/>
    <x v="0"/>
    <x v="6"/>
    <n v="80.89"/>
    <n v="2.94"/>
  </r>
  <r>
    <n v="1579"/>
    <n v="11425"/>
    <d v="2011-06-22T00:00:00"/>
    <s v="Critical"/>
    <x v="682"/>
    <x v="5"/>
    <x v="0"/>
    <s v="Consumer"/>
    <x v="0"/>
    <x v="0"/>
    <n v="482.91"/>
    <n v="16.91"/>
  </r>
  <r>
    <n v="1580"/>
    <n v="11425"/>
    <d v="2011-06-22T00:00:00"/>
    <s v="Critical"/>
    <x v="682"/>
    <x v="5"/>
    <x v="0"/>
    <s v="Consumer"/>
    <x v="2"/>
    <x v="4"/>
    <n v="2969.6365000000001"/>
    <n v="155.99"/>
  </r>
  <r>
    <n v="1581"/>
    <n v="11426"/>
    <d v="2009-05-07T00:00:00"/>
    <s v="Medium"/>
    <x v="254"/>
    <x v="21"/>
    <x v="2"/>
    <s v="Consumer"/>
    <x v="2"/>
    <x v="5"/>
    <n v="333.68"/>
    <n v="16.48"/>
  </r>
  <r>
    <n v="1582"/>
    <n v="11427"/>
    <d v="2010-11-24T00:00:00"/>
    <s v="Medium"/>
    <x v="561"/>
    <x v="34"/>
    <x v="2"/>
    <s v="Small Business"/>
    <x v="0"/>
    <x v="6"/>
    <n v="58.64"/>
    <n v="2.21"/>
  </r>
  <r>
    <n v="1583"/>
    <n v="11427"/>
    <d v="2010-11-24T00:00:00"/>
    <s v="Medium"/>
    <x v="232"/>
    <x v="34"/>
    <x v="2"/>
    <s v="Small Business"/>
    <x v="0"/>
    <x v="12"/>
    <n v="136.06"/>
    <n v="6.37"/>
  </r>
  <r>
    <n v="1584"/>
    <n v="11428"/>
    <d v="2012-01-21T00:00:00"/>
    <s v="Medium"/>
    <x v="624"/>
    <x v="38"/>
    <x v="0"/>
    <s v="Small Business"/>
    <x v="0"/>
    <x v="14"/>
    <n v="1554.53"/>
    <n v="90.48"/>
  </r>
  <r>
    <n v="1585"/>
    <n v="11429"/>
    <d v="2010-03-03T00:00:00"/>
    <s v="Low"/>
    <x v="546"/>
    <x v="23"/>
    <x v="3"/>
    <s v="Home Office"/>
    <x v="0"/>
    <x v="12"/>
    <n v="446.04"/>
    <n v="10.98"/>
  </r>
  <r>
    <n v="1586"/>
    <n v="11429"/>
    <d v="2010-03-03T00:00:00"/>
    <s v="Low"/>
    <x v="546"/>
    <x v="23"/>
    <x v="3"/>
    <s v="Home Office"/>
    <x v="1"/>
    <x v="3"/>
    <n v="18421.2"/>
    <n v="400.98"/>
  </r>
  <r>
    <n v="1587"/>
    <n v="11431"/>
    <d v="2012-08-01T00:00:00"/>
    <s v="High"/>
    <x v="505"/>
    <x v="15"/>
    <x v="2"/>
    <s v="Small Business"/>
    <x v="0"/>
    <x v="9"/>
    <n v="39.68"/>
    <n v="8.01"/>
  </r>
  <r>
    <n v="1588"/>
    <n v="11431"/>
    <d v="2012-08-01T00:00:00"/>
    <s v="High"/>
    <x v="505"/>
    <x v="15"/>
    <x v="2"/>
    <s v="Small Business"/>
    <x v="2"/>
    <x v="4"/>
    <n v="1273.2660000000001"/>
    <n v="205.99"/>
  </r>
  <r>
    <n v="1589"/>
    <n v="11456"/>
    <d v="2010-04-12T00:00:00"/>
    <s v="Low"/>
    <x v="72"/>
    <x v="0"/>
    <x v="0"/>
    <s v="Corporate"/>
    <x v="1"/>
    <x v="2"/>
    <n v="1519.9"/>
    <n v="105.34"/>
  </r>
  <r>
    <n v="1590"/>
    <n v="11460"/>
    <d v="2010-08-24T00:00:00"/>
    <s v="High"/>
    <x v="66"/>
    <x v="0"/>
    <x v="0"/>
    <s v="Home Office"/>
    <x v="0"/>
    <x v="8"/>
    <n v="102.24"/>
    <n v="3.69"/>
  </r>
  <r>
    <n v="1591"/>
    <n v="11491"/>
    <d v="2010-08-17T00:00:00"/>
    <s v="Low"/>
    <x v="683"/>
    <x v="5"/>
    <x v="0"/>
    <s v="Home Office"/>
    <x v="2"/>
    <x v="5"/>
    <n v="165.37"/>
    <n v="6.6"/>
  </r>
  <r>
    <n v="1592"/>
    <n v="11491"/>
    <d v="2010-08-17T00:00:00"/>
    <s v="Low"/>
    <x v="683"/>
    <x v="5"/>
    <x v="0"/>
    <s v="Home Office"/>
    <x v="1"/>
    <x v="2"/>
    <n v="1785.74"/>
    <n v="48.04"/>
  </r>
  <r>
    <n v="1593"/>
    <n v="11493"/>
    <d v="2011-10-20T00:00:00"/>
    <s v="Critical"/>
    <x v="471"/>
    <x v="27"/>
    <x v="3"/>
    <s v="Small Business"/>
    <x v="0"/>
    <x v="6"/>
    <n v="111.9"/>
    <n v="6.47"/>
  </r>
  <r>
    <n v="1594"/>
    <n v="11495"/>
    <d v="2011-07-04T00:00:00"/>
    <s v="High"/>
    <x v="684"/>
    <x v="0"/>
    <x v="0"/>
    <s v="Corporate"/>
    <x v="1"/>
    <x v="3"/>
    <n v="965.69"/>
    <n v="146.34"/>
  </r>
  <r>
    <n v="1595"/>
    <n v="11527"/>
    <d v="2009-07-02T00:00:00"/>
    <s v="Medium"/>
    <x v="81"/>
    <x v="7"/>
    <x v="3"/>
    <s v="Home Office"/>
    <x v="1"/>
    <x v="2"/>
    <n v="4629.67"/>
    <n v="99.23"/>
  </r>
  <r>
    <n v="1596"/>
    <n v="11553"/>
    <d v="2009-04-18T00:00:00"/>
    <s v="Medium"/>
    <x v="133"/>
    <x v="3"/>
    <x v="0"/>
    <s v="Corporate"/>
    <x v="0"/>
    <x v="0"/>
    <n v="1350.34"/>
    <n v="52.99"/>
  </r>
  <r>
    <n v="1597"/>
    <n v="11553"/>
    <d v="2009-04-18T00:00:00"/>
    <s v="Medium"/>
    <x v="145"/>
    <x v="3"/>
    <x v="0"/>
    <s v="Corporate"/>
    <x v="1"/>
    <x v="11"/>
    <n v="861.26"/>
    <n v="100.98"/>
  </r>
  <r>
    <n v="1598"/>
    <n v="11553"/>
    <d v="2009-04-18T00:00:00"/>
    <s v="Medium"/>
    <x v="145"/>
    <x v="3"/>
    <x v="0"/>
    <s v="Corporate"/>
    <x v="2"/>
    <x v="4"/>
    <n v="1531.4110000000001"/>
    <n v="85.99"/>
  </r>
  <r>
    <n v="1599"/>
    <n v="11584"/>
    <d v="2009-11-22T00:00:00"/>
    <s v="Medium"/>
    <x v="423"/>
    <x v="14"/>
    <x v="0"/>
    <s v="Small Business"/>
    <x v="2"/>
    <x v="4"/>
    <n v="1497.3174999999999"/>
    <n v="35.99"/>
  </r>
  <r>
    <n v="1600"/>
    <n v="11585"/>
    <d v="2009-03-15T00:00:00"/>
    <s v="Medium"/>
    <x v="15"/>
    <x v="13"/>
    <x v="3"/>
    <s v="Consumer"/>
    <x v="2"/>
    <x v="5"/>
    <n v="281.83999999999997"/>
    <n v="17.98"/>
  </r>
  <r>
    <n v="1601"/>
    <n v="11585"/>
    <d v="2009-03-15T00:00:00"/>
    <s v="Medium"/>
    <x v="685"/>
    <x v="35"/>
    <x v="3"/>
    <s v="Consumer"/>
    <x v="2"/>
    <x v="4"/>
    <n v="200.75300000000001"/>
    <n v="125.99"/>
  </r>
  <r>
    <n v="1602"/>
    <n v="11648"/>
    <d v="2011-04-09T00:00:00"/>
    <s v="Low"/>
    <x v="62"/>
    <x v="25"/>
    <x v="1"/>
    <s v="Corporate"/>
    <x v="2"/>
    <x v="5"/>
    <n v="32.51"/>
    <n v="35.409999999999997"/>
  </r>
  <r>
    <n v="1603"/>
    <n v="11648"/>
    <d v="2011-04-09T00:00:00"/>
    <s v="Low"/>
    <x v="62"/>
    <x v="25"/>
    <x v="1"/>
    <s v="Corporate"/>
    <x v="0"/>
    <x v="0"/>
    <n v="570.51"/>
    <n v="16.739999999999998"/>
  </r>
  <r>
    <n v="1604"/>
    <n v="11650"/>
    <d v="2012-09-24T00:00:00"/>
    <s v="Not Specified"/>
    <x v="686"/>
    <x v="12"/>
    <x v="3"/>
    <s v="Home Office"/>
    <x v="2"/>
    <x v="5"/>
    <n v="243.49"/>
    <n v="8.32"/>
  </r>
  <r>
    <n v="1605"/>
    <n v="11650"/>
    <d v="2012-09-24T00:00:00"/>
    <s v="Not Specified"/>
    <x v="627"/>
    <x v="23"/>
    <x v="3"/>
    <s v="Home Office"/>
    <x v="0"/>
    <x v="6"/>
    <n v="1090.4000000000001"/>
    <n v="40.97"/>
  </r>
  <r>
    <n v="1606"/>
    <n v="11651"/>
    <d v="2011-02-22T00:00:00"/>
    <s v="Medium"/>
    <x v="687"/>
    <x v="1"/>
    <x v="1"/>
    <s v="Small Business"/>
    <x v="0"/>
    <x v="6"/>
    <n v="65.849999999999994"/>
    <n v="3.28"/>
  </r>
  <r>
    <n v="1607"/>
    <n v="11652"/>
    <d v="2011-11-10T00:00:00"/>
    <s v="Not Specified"/>
    <x v="552"/>
    <x v="14"/>
    <x v="0"/>
    <s v="Home Office"/>
    <x v="2"/>
    <x v="5"/>
    <n v="1154.1400000000001"/>
    <n v="32.979999999999997"/>
  </r>
  <r>
    <n v="1608"/>
    <n v="11652"/>
    <d v="2011-11-10T00:00:00"/>
    <s v="Not Specified"/>
    <x v="552"/>
    <x v="14"/>
    <x v="0"/>
    <s v="Home Office"/>
    <x v="0"/>
    <x v="9"/>
    <n v="223.82"/>
    <n v="5.98"/>
  </r>
  <r>
    <n v="1609"/>
    <n v="11652"/>
    <d v="2011-11-10T00:00:00"/>
    <s v="Not Specified"/>
    <x v="552"/>
    <x v="14"/>
    <x v="0"/>
    <s v="Home Office"/>
    <x v="2"/>
    <x v="4"/>
    <n v="61.463500000000003"/>
    <n v="65.989999999999995"/>
  </r>
  <r>
    <n v="1610"/>
    <n v="11652"/>
    <d v="2011-11-10T00:00:00"/>
    <s v="Not Specified"/>
    <x v="558"/>
    <x v="14"/>
    <x v="0"/>
    <s v="Home Office"/>
    <x v="0"/>
    <x v="9"/>
    <n v="122.09"/>
    <n v="5.18"/>
  </r>
  <r>
    <n v="1611"/>
    <n v="11680"/>
    <d v="2009-09-04T00:00:00"/>
    <s v="Medium"/>
    <x v="164"/>
    <x v="16"/>
    <x v="1"/>
    <s v="Corporate"/>
    <x v="2"/>
    <x v="4"/>
    <n v="7312.0314999999991"/>
    <n v="175.99"/>
  </r>
  <r>
    <n v="1612"/>
    <n v="11682"/>
    <d v="2010-07-04T00:00:00"/>
    <s v="Low"/>
    <x v="317"/>
    <x v="16"/>
    <x v="1"/>
    <s v="Home Office"/>
    <x v="2"/>
    <x v="5"/>
    <n v="102.18"/>
    <n v="19.98"/>
  </r>
  <r>
    <n v="1613"/>
    <n v="11683"/>
    <d v="2012-02-07T00:00:00"/>
    <s v="Not Specified"/>
    <x v="9"/>
    <x v="7"/>
    <x v="3"/>
    <s v="Corporate"/>
    <x v="2"/>
    <x v="4"/>
    <n v="1650.4110000000001"/>
    <n v="65.989999999999995"/>
  </r>
  <r>
    <n v="1614"/>
    <n v="11684"/>
    <d v="2012-07-27T00:00:00"/>
    <s v="High"/>
    <x v="90"/>
    <x v="27"/>
    <x v="3"/>
    <s v="Consumer"/>
    <x v="1"/>
    <x v="15"/>
    <n v="1173.5"/>
    <n v="140.81"/>
  </r>
  <r>
    <n v="1615"/>
    <n v="11686"/>
    <d v="2009-01-27T00:00:00"/>
    <s v="Not Specified"/>
    <x v="406"/>
    <x v="14"/>
    <x v="0"/>
    <s v="Home Office"/>
    <x v="2"/>
    <x v="4"/>
    <n v="6121.1984999999995"/>
    <n v="205.99"/>
  </r>
  <r>
    <n v="1616"/>
    <n v="11687"/>
    <d v="2011-12-25T00:00:00"/>
    <s v="High"/>
    <x v="153"/>
    <x v="19"/>
    <x v="3"/>
    <s v="Home Office"/>
    <x v="0"/>
    <x v="9"/>
    <n v="188.93"/>
    <n v="7.28"/>
  </r>
  <r>
    <n v="1617"/>
    <n v="11712"/>
    <d v="2009-04-26T00:00:00"/>
    <s v="Low"/>
    <x v="127"/>
    <x v="39"/>
    <x v="1"/>
    <s v="Consumer"/>
    <x v="0"/>
    <x v="6"/>
    <n v="38.96"/>
    <n v="4.28"/>
  </r>
  <r>
    <n v="1618"/>
    <n v="11714"/>
    <d v="2009-08-04T00:00:00"/>
    <s v="Critical"/>
    <x v="353"/>
    <x v="16"/>
    <x v="1"/>
    <s v="Corporate"/>
    <x v="2"/>
    <x v="10"/>
    <n v="3501.79"/>
    <n v="3502.14"/>
  </r>
  <r>
    <n v="1619"/>
    <n v="11714"/>
    <d v="2009-08-04T00:00:00"/>
    <s v="Critical"/>
    <x v="353"/>
    <x v="16"/>
    <x v="1"/>
    <s v="Corporate"/>
    <x v="0"/>
    <x v="1"/>
    <n v="141.83000000000001"/>
    <n v="15.73"/>
  </r>
  <r>
    <n v="1620"/>
    <n v="11719"/>
    <d v="2011-02-05T00:00:00"/>
    <s v="Not Specified"/>
    <x v="688"/>
    <x v="8"/>
    <x v="2"/>
    <s v="Home Office"/>
    <x v="2"/>
    <x v="10"/>
    <n v="1566.8"/>
    <n v="500.97"/>
  </r>
  <r>
    <n v="1621"/>
    <n v="11719"/>
    <d v="2011-02-05T00:00:00"/>
    <s v="Not Specified"/>
    <x v="688"/>
    <x v="8"/>
    <x v="2"/>
    <s v="Home Office"/>
    <x v="0"/>
    <x v="6"/>
    <n v="616.01"/>
    <n v="21.38"/>
  </r>
  <r>
    <n v="1622"/>
    <n v="11719"/>
    <d v="2011-02-05T00:00:00"/>
    <s v="Not Specified"/>
    <x v="688"/>
    <x v="8"/>
    <x v="2"/>
    <s v="Home Office"/>
    <x v="2"/>
    <x v="4"/>
    <n v="438.60849999999999"/>
    <n v="28.99"/>
  </r>
  <r>
    <n v="1623"/>
    <n v="11745"/>
    <d v="2012-07-19T00:00:00"/>
    <s v="High"/>
    <x v="689"/>
    <x v="22"/>
    <x v="0"/>
    <s v="Home Office"/>
    <x v="2"/>
    <x v="5"/>
    <n v="686.27"/>
    <n v="40.479999999999997"/>
  </r>
  <r>
    <n v="1624"/>
    <n v="11747"/>
    <d v="2010-02-25T00:00:00"/>
    <s v="Medium"/>
    <x v="273"/>
    <x v="42"/>
    <x v="3"/>
    <s v="Consumer"/>
    <x v="2"/>
    <x v="10"/>
    <n v="315.27999999999997"/>
    <n v="99.99"/>
  </r>
  <r>
    <n v="1625"/>
    <n v="11748"/>
    <d v="2009-06-03T00:00:00"/>
    <s v="Not Specified"/>
    <x v="353"/>
    <x v="16"/>
    <x v="1"/>
    <s v="Corporate"/>
    <x v="1"/>
    <x v="3"/>
    <n v="3503.12"/>
    <n v="145.97999999999999"/>
  </r>
  <r>
    <n v="1626"/>
    <n v="11776"/>
    <d v="2012-02-24T00:00:00"/>
    <s v="Low"/>
    <x v="541"/>
    <x v="3"/>
    <x v="0"/>
    <s v="Small Business"/>
    <x v="0"/>
    <x v="7"/>
    <n v="57.24"/>
    <n v="1.26"/>
  </r>
  <r>
    <n v="1627"/>
    <n v="11777"/>
    <d v="2009-12-25T00:00:00"/>
    <s v="Low"/>
    <x v="621"/>
    <x v="44"/>
    <x v="2"/>
    <s v="Consumer"/>
    <x v="0"/>
    <x v="0"/>
    <n v="651.45000000000005"/>
    <n v="17.7"/>
  </r>
  <r>
    <n v="1628"/>
    <n v="11779"/>
    <d v="2010-06-29T00:00:00"/>
    <s v="Not Specified"/>
    <x v="690"/>
    <x v="12"/>
    <x v="3"/>
    <s v="Consumer"/>
    <x v="0"/>
    <x v="9"/>
    <n v="311.10000000000002"/>
    <n v="6.88"/>
  </r>
  <r>
    <n v="1629"/>
    <n v="11779"/>
    <d v="2010-06-29T00:00:00"/>
    <s v="Not Specified"/>
    <x v="691"/>
    <x v="12"/>
    <x v="3"/>
    <s v="Consumer"/>
    <x v="2"/>
    <x v="5"/>
    <n v="452.93"/>
    <n v="10.97"/>
  </r>
  <r>
    <n v="1630"/>
    <n v="11780"/>
    <d v="2010-09-21T00:00:00"/>
    <s v="Critical"/>
    <x v="309"/>
    <x v="16"/>
    <x v="1"/>
    <s v="Small Business"/>
    <x v="0"/>
    <x v="9"/>
    <n v="54.23"/>
    <n v="7.28"/>
  </r>
  <r>
    <n v="1631"/>
    <n v="11782"/>
    <d v="2012-07-28T00:00:00"/>
    <s v="Low"/>
    <x v="692"/>
    <x v="3"/>
    <x v="0"/>
    <s v="Corporate"/>
    <x v="0"/>
    <x v="9"/>
    <n v="247.21"/>
    <n v="4.9800000000000004"/>
  </r>
  <r>
    <n v="1632"/>
    <n v="11782"/>
    <d v="2012-07-28T00:00:00"/>
    <s v="Low"/>
    <x v="692"/>
    <x v="3"/>
    <x v="0"/>
    <s v="Corporate"/>
    <x v="2"/>
    <x v="4"/>
    <n v="1541.7809999999999"/>
    <n v="66.989999999999995"/>
  </r>
  <r>
    <n v="1633"/>
    <n v="11808"/>
    <d v="2012-07-31T00:00:00"/>
    <s v="Not Specified"/>
    <x v="48"/>
    <x v="26"/>
    <x v="3"/>
    <s v="Corporate"/>
    <x v="1"/>
    <x v="3"/>
    <n v="148.34400000000002"/>
    <n v="150.97999999999999"/>
  </r>
  <r>
    <n v="1634"/>
    <n v="11815"/>
    <d v="2011-09-12T00:00:00"/>
    <s v="Low"/>
    <x v="693"/>
    <x v="15"/>
    <x v="2"/>
    <s v="Consumer"/>
    <x v="0"/>
    <x v="1"/>
    <n v="351.27"/>
    <n v="15.73"/>
  </r>
  <r>
    <n v="1635"/>
    <n v="11840"/>
    <d v="2009-08-14T00:00:00"/>
    <s v="Critical"/>
    <x v="259"/>
    <x v="1"/>
    <x v="1"/>
    <s v="Consumer"/>
    <x v="0"/>
    <x v="14"/>
    <n v="181.5"/>
    <n v="4.4800000000000004"/>
  </r>
  <r>
    <n v="1636"/>
    <n v="11841"/>
    <d v="2010-04-20T00:00:00"/>
    <s v="Medium"/>
    <x v="694"/>
    <x v="5"/>
    <x v="0"/>
    <s v="Corporate"/>
    <x v="0"/>
    <x v="9"/>
    <n v="2339.52"/>
    <n v="54.96"/>
  </r>
  <r>
    <n v="1637"/>
    <n v="11841"/>
    <d v="2010-04-20T00:00:00"/>
    <s v="Medium"/>
    <x v="694"/>
    <x v="5"/>
    <x v="0"/>
    <s v="Corporate"/>
    <x v="0"/>
    <x v="6"/>
    <n v="533.25"/>
    <n v="11.97"/>
  </r>
  <r>
    <n v="1638"/>
    <n v="11843"/>
    <d v="2009-07-17T00:00:00"/>
    <s v="Medium"/>
    <x v="234"/>
    <x v="9"/>
    <x v="1"/>
    <s v="Consumer"/>
    <x v="2"/>
    <x v="10"/>
    <n v="4993.42"/>
    <n v="119.99"/>
  </r>
  <r>
    <n v="1639"/>
    <n v="11843"/>
    <d v="2009-07-17T00:00:00"/>
    <s v="Medium"/>
    <x v="695"/>
    <x v="9"/>
    <x v="1"/>
    <s v="Consumer"/>
    <x v="2"/>
    <x v="5"/>
    <n v="1059.3"/>
    <n v="115.79"/>
  </r>
  <r>
    <n v="1640"/>
    <n v="11846"/>
    <d v="2010-04-20T00:00:00"/>
    <s v="Low"/>
    <x v="696"/>
    <x v="47"/>
    <x v="1"/>
    <s v="Corporate"/>
    <x v="2"/>
    <x v="5"/>
    <n v="7319.85"/>
    <n v="152.47999999999999"/>
  </r>
  <r>
    <n v="1641"/>
    <n v="11846"/>
    <d v="2010-04-20T00:00:00"/>
    <s v="Low"/>
    <x v="696"/>
    <x v="47"/>
    <x v="1"/>
    <s v="Corporate"/>
    <x v="0"/>
    <x v="0"/>
    <n v="707.44"/>
    <n v="24.98"/>
  </r>
  <r>
    <n v="1642"/>
    <n v="11874"/>
    <d v="2012-09-09T00:00:00"/>
    <s v="Medium"/>
    <x v="48"/>
    <x v="26"/>
    <x v="3"/>
    <s v="Corporate"/>
    <x v="2"/>
    <x v="5"/>
    <n v="40.29"/>
    <n v="30.42"/>
  </r>
  <r>
    <n v="1643"/>
    <n v="11874"/>
    <d v="2012-09-09T00:00:00"/>
    <s v="Medium"/>
    <x v="48"/>
    <x v="26"/>
    <x v="3"/>
    <s v="Corporate"/>
    <x v="0"/>
    <x v="14"/>
    <n v="775.77"/>
    <n v="39.979999999999997"/>
  </r>
  <r>
    <n v="1644"/>
    <n v="11875"/>
    <d v="2012-08-20T00:00:00"/>
    <s v="Medium"/>
    <x v="255"/>
    <x v="22"/>
    <x v="0"/>
    <s v="Small Business"/>
    <x v="0"/>
    <x v="0"/>
    <n v="242.63"/>
    <n v="12.44"/>
  </r>
  <r>
    <n v="1645"/>
    <n v="11876"/>
    <d v="2011-07-03T00:00:00"/>
    <s v="High"/>
    <x v="425"/>
    <x v="10"/>
    <x v="0"/>
    <s v="Home Office"/>
    <x v="1"/>
    <x v="2"/>
    <n v="5051.8900000000003"/>
    <n v="107.53"/>
  </r>
  <r>
    <n v="1646"/>
    <n v="11877"/>
    <d v="2010-05-23T00:00:00"/>
    <s v="Not Specified"/>
    <x v="273"/>
    <x v="42"/>
    <x v="3"/>
    <s v="Consumer"/>
    <x v="0"/>
    <x v="12"/>
    <n v="796.14"/>
    <n v="41.94"/>
  </r>
  <r>
    <n v="1647"/>
    <n v="11877"/>
    <d v="2010-05-23T00:00:00"/>
    <s v="Not Specified"/>
    <x v="273"/>
    <x v="42"/>
    <x v="3"/>
    <s v="Consumer"/>
    <x v="0"/>
    <x v="9"/>
    <n v="142.96"/>
    <n v="4.7300000000000004"/>
  </r>
  <r>
    <n v="1648"/>
    <n v="11878"/>
    <d v="2010-02-24T00:00:00"/>
    <s v="Not Specified"/>
    <x v="647"/>
    <x v="5"/>
    <x v="0"/>
    <s v="Small Business"/>
    <x v="0"/>
    <x v="8"/>
    <n v="102.06"/>
    <n v="6.3"/>
  </r>
  <r>
    <n v="1649"/>
    <n v="11878"/>
    <d v="2010-02-24T00:00:00"/>
    <s v="Not Specified"/>
    <x v="647"/>
    <x v="5"/>
    <x v="0"/>
    <s v="Small Business"/>
    <x v="0"/>
    <x v="9"/>
    <n v="101.82"/>
    <n v="6.48"/>
  </r>
  <r>
    <n v="1650"/>
    <n v="11907"/>
    <d v="2010-08-23T00:00:00"/>
    <s v="Low"/>
    <x v="689"/>
    <x v="22"/>
    <x v="0"/>
    <s v="Home Office"/>
    <x v="2"/>
    <x v="10"/>
    <n v="4729.8500000000004"/>
    <n v="100.97"/>
  </r>
  <r>
    <n v="1651"/>
    <n v="11908"/>
    <d v="2010-05-25T00:00:00"/>
    <s v="Not Specified"/>
    <x v="543"/>
    <x v="8"/>
    <x v="2"/>
    <s v="Corporate"/>
    <x v="1"/>
    <x v="15"/>
    <n v="1386.6"/>
    <n v="280.98"/>
  </r>
  <r>
    <n v="1652"/>
    <n v="11909"/>
    <d v="2009-11-24T00:00:00"/>
    <s v="Not Specified"/>
    <x v="697"/>
    <x v="1"/>
    <x v="1"/>
    <s v="Consumer"/>
    <x v="2"/>
    <x v="4"/>
    <n v="194.17400000000001"/>
    <n v="20.99"/>
  </r>
  <r>
    <n v="1653"/>
    <n v="11910"/>
    <d v="2011-06-15T00:00:00"/>
    <s v="High"/>
    <x v="594"/>
    <x v="1"/>
    <x v="1"/>
    <s v="Home Office"/>
    <x v="0"/>
    <x v="12"/>
    <n v="49.23"/>
    <n v="1.98"/>
  </r>
  <r>
    <n v="1654"/>
    <n v="11911"/>
    <d v="2010-11-10T00:00:00"/>
    <s v="Critical"/>
    <x v="698"/>
    <x v="0"/>
    <x v="0"/>
    <s v="Consumer"/>
    <x v="0"/>
    <x v="12"/>
    <n v="397.84"/>
    <n v="15.22"/>
  </r>
  <r>
    <n v="1655"/>
    <n v="11941"/>
    <d v="2010-06-24T00:00:00"/>
    <s v="Critical"/>
    <x v="661"/>
    <x v="0"/>
    <x v="0"/>
    <s v="Corporate"/>
    <x v="0"/>
    <x v="0"/>
    <n v="73.069999999999993"/>
    <n v="15.7"/>
  </r>
  <r>
    <n v="1656"/>
    <n v="11941"/>
    <d v="2010-06-24T00:00:00"/>
    <s v="Critical"/>
    <x v="661"/>
    <x v="0"/>
    <x v="0"/>
    <s v="Corporate"/>
    <x v="1"/>
    <x v="3"/>
    <n v="4679.1000000000004"/>
    <n v="179.29"/>
  </r>
  <r>
    <n v="1657"/>
    <n v="11943"/>
    <d v="2010-04-07T00:00:00"/>
    <s v="Low"/>
    <x v="697"/>
    <x v="1"/>
    <x v="1"/>
    <s v="Consumer"/>
    <x v="0"/>
    <x v="12"/>
    <n v="657.94"/>
    <n v="14.45"/>
  </r>
  <r>
    <n v="1658"/>
    <n v="11943"/>
    <d v="2010-04-07T00:00:00"/>
    <s v="Low"/>
    <x v="697"/>
    <x v="1"/>
    <x v="1"/>
    <s v="Consumer"/>
    <x v="1"/>
    <x v="15"/>
    <n v="1270.73"/>
    <n v="70.98"/>
  </r>
  <r>
    <n v="1659"/>
    <n v="11968"/>
    <d v="2011-03-16T00:00:00"/>
    <s v="Low"/>
    <x v="580"/>
    <x v="30"/>
    <x v="0"/>
    <s v="Corporate"/>
    <x v="0"/>
    <x v="6"/>
    <n v="109.49"/>
    <n v="3.38"/>
  </r>
  <r>
    <n v="1660"/>
    <n v="11969"/>
    <d v="2012-01-19T00:00:00"/>
    <s v="Not Specified"/>
    <x v="699"/>
    <x v="17"/>
    <x v="0"/>
    <s v="Consumer"/>
    <x v="0"/>
    <x v="0"/>
    <n v="1684.96"/>
    <n v="110.98"/>
  </r>
  <r>
    <n v="1661"/>
    <n v="11969"/>
    <d v="2012-01-19T00:00:00"/>
    <s v="Not Specified"/>
    <x v="699"/>
    <x v="17"/>
    <x v="0"/>
    <s v="Consumer"/>
    <x v="1"/>
    <x v="3"/>
    <n v="1662.048"/>
    <n v="212.6"/>
  </r>
  <r>
    <n v="1662"/>
    <n v="11969"/>
    <d v="2012-01-19T00:00:00"/>
    <s v="Not Specified"/>
    <x v="699"/>
    <x v="17"/>
    <x v="0"/>
    <s v="Consumer"/>
    <x v="1"/>
    <x v="3"/>
    <n v="11460.76"/>
    <n v="349.45"/>
  </r>
  <r>
    <n v="1663"/>
    <n v="11972"/>
    <d v="2009-01-03T00:00:00"/>
    <s v="Not Specified"/>
    <x v="700"/>
    <x v="25"/>
    <x v="1"/>
    <s v="Corporate"/>
    <x v="2"/>
    <x v="10"/>
    <n v="896.49"/>
    <n v="213.45"/>
  </r>
  <r>
    <n v="1664"/>
    <n v="11975"/>
    <d v="2011-04-13T00:00:00"/>
    <s v="Critical"/>
    <x v="701"/>
    <x v="27"/>
    <x v="3"/>
    <s v="Home Office"/>
    <x v="0"/>
    <x v="12"/>
    <n v="210.66"/>
    <n v="5.18"/>
  </r>
  <r>
    <n v="1665"/>
    <n v="12005"/>
    <d v="2012-06-24T00:00:00"/>
    <s v="Not Specified"/>
    <x v="702"/>
    <x v="31"/>
    <x v="3"/>
    <s v="Home Office"/>
    <x v="0"/>
    <x v="0"/>
    <n v="1660.86"/>
    <n v="415.88"/>
  </r>
  <r>
    <n v="1666"/>
    <n v="12007"/>
    <d v="2009-09-27T00:00:00"/>
    <s v="Not Specified"/>
    <x v="665"/>
    <x v="16"/>
    <x v="1"/>
    <s v="Corporate"/>
    <x v="0"/>
    <x v="8"/>
    <n v="152.26"/>
    <n v="3.69"/>
  </r>
  <r>
    <n v="1667"/>
    <n v="12037"/>
    <d v="2011-06-30T00:00:00"/>
    <s v="Low"/>
    <x v="114"/>
    <x v="34"/>
    <x v="2"/>
    <s v="Consumer"/>
    <x v="0"/>
    <x v="9"/>
    <n v="135.21"/>
    <n v="9.27"/>
  </r>
  <r>
    <n v="1668"/>
    <n v="12039"/>
    <d v="2010-06-16T00:00:00"/>
    <s v="High"/>
    <x v="524"/>
    <x v="16"/>
    <x v="1"/>
    <s v="Corporate"/>
    <x v="2"/>
    <x v="4"/>
    <n v="2048.5679999999998"/>
    <n v="205.99"/>
  </r>
  <r>
    <n v="1669"/>
    <n v="12066"/>
    <d v="2011-02-06T00:00:00"/>
    <s v="Medium"/>
    <x v="249"/>
    <x v="16"/>
    <x v="1"/>
    <s v="Small Business"/>
    <x v="2"/>
    <x v="4"/>
    <n v="4442.049"/>
    <n v="200.99"/>
  </r>
  <r>
    <n v="1670"/>
    <n v="12067"/>
    <d v="2010-02-04T00:00:00"/>
    <s v="Critical"/>
    <x v="85"/>
    <x v="11"/>
    <x v="2"/>
    <s v="Small Business"/>
    <x v="0"/>
    <x v="12"/>
    <n v="271.06"/>
    <n v="5.74"/>
  </r>
  <r>
    <n v="1671"/>
    <n v="12067"/>
    <d v="2010-02-04T00:00:00"/>
    <s v="Critical"/>
    <x v="85"/>
    <x v="11"/>
    <x v="2"/>
    <s v="Small Business"/>
    <x v="1"/>
    <x v="2"/>
    <n v="58.84"/>
    <n v="9.48"/>
  </r>
  <r>
    <n v="1672"/>
    <n v="12067"/>
    <d v="2010-02-04T00:00:00"/>
    <s v="Critical"/>
    <x v="85"/>
    <x v="11"/>
    <x v="2"/>
    <s v="Small Business"/>
    <x v="1"/>
    <x v="2"/>
    <n v="1211.72"/>
    <n v="99.23"/>
  </r>
  <r>
    <n v="1673"/>
    <n v="12067"/>
    <d v="2010-02-04T00:00:00"/>
    <s v="Critical"/>
    <x v="85"/>
    <x v="11"/>
    <x v="2"/>
    <s v="Small Business"/>
    <x v="0"/>
    <x v="9"/>
    <n v="75.260000000000005"/>
    <n v="7.64"/>
  </r>
  <r>
    <n v="1674"/>
    <n v="12067"/>
    <d v="2010-02-04T00:00:00"/>
    <s v="Critical"/>
    <x v="85"/>
    <x v="11"/>
    <x v="2"/>
    <s v="Small Business"/>
    <x v="2"/>
    <x v="4"/>
    <n v="407.11599999999999"/>
    <n v="65.989999999999995"/>
  </r>
  <r>
    <n v="1675"/>
    <n v="12096"/>
    <d v="2012-09-19T00:00:00"/>
    <s v="Medium"/>
    <x v="416"/>
    <x v="0"/>
    <x v="0"/>
    <s v="Home Office"/>
    <x v="2"/>
    <x v="4"/>
    <n v="8009.5924999999988"/>
    <n v="200.99"/>
  </r>
  <r>
    <n v="1676"/>
    <n v="12096"/>
    <d v="2012-09-19T00:00:00"/>
    <s v="Medium"/>
    <x v="703"/>
    <x v="0"/>
    <x v="0"/>
    <s v="Home Office"/>
    <x v="1"/>
    <x v="2"/>
    <n v="4689.66"/>
    <n v="194.3"/>
  </r>
  <r>
    <n v="1677"/>
    <n v="12097"/>
    <d v="2010-11-09T00:00:00"/>
    <s v="Critical"/>
    <x v="361"/>
    <x v="15"/>
    <x v="2"/>
    <s v="Consumer"/>
    <x v="0"/>
    <x v="9"/>
    <n v="49.89"/>
    <n v="4.9800000000000004"/>
  </r>
  <r>
    <n v="1678"/>
    <n v="12097"/>
    <d v="2010-11-09T00:00:00"/>
    <s v="Critical"/>
    <x v="361"/>
    <x v="15"/>
    <x v="2"/>
    <s v="Consumer"/>
    <x v="2"/>
    <x v="4"/>
    <n v="1831.5289999999998"/>
    <n v="85.99"/>
  </r>
  <r>
    <n v="1679"/>
    <n v="12099"/>
    <d v="2009-09-11T00:00:00"/>
    <s v="Critical"/>
    <x v="704"/>
    <x v="9"/>
    <x v="1"/>
    <s v="Corporate"/>
    <x v="0"/>
    <x v="8"/>
    <n v="17.59"/>
    <n v="2.61"/>
  </r>
  <r>
    <n v="1680"/>
    <n v="12099"/>
    <d v="2009-09-11T00:00:00"/>
    <s v="Critical"/>
    <x v="704"/>
    <x v="9"/>
    <x v="1"/>
    <s v="Corporate"/>
    <x v="0"/>
    <x v="9"/>
    <n v="308.81"/>
    <n v="6.35"/>
  </r>
  <r>
    <n v="1681"/>
    <n v="12129"/>
    <d v="2012-12-25T00:00:00"/>
    <s v="Medium"/>
    <x v="39"/>
    <x v="22"/>
    <x v="0"/>
    <s v="Corporate"/>
    <x v="1"/>
    <x v="15"/>
    <n v="4852.05"/>
    <n v="122.99"/>
  </r>
  <r>
    <n v="1682"/>
    <n v="12130"/>
    <d v="2011-12-09T00:00:00"/>
    <s v="Not Specified"/>
    <x v="705"/>
    <x v="5"/>
    <x v="0"/>
    <s v="Consumer"/>
    <x v="1"/>
    <x v="2"/>
    <n v="686.2"/>
    <n v="18.84"/>
  </r>
  <r>
    <n v="1683"/>
    <n v="12130"/>
    <d v="2011-12-09T00:00:00"/>
    <s v="Not Specified"/>
    <x v="705"/>
    <x v="5"/>
    <x v="0"/>
    <s v="Consumer"/>
    <x v="2"/>
    <x v="4"/>
    <n v="1274.5155"/>
    <n v="35.99"/>
  </r>
  <r>
    <n v="1684"/>
    <n v="12160"/>
    <d v="2010-12-12T00:00:00"/>
    <s v="Low"/>
    <x v="683"/>
    <x v="5"/>
    <x v="0"/>
    <s v="Corporate"/>
    <x v="1"/>
    <x v="15"/>
    <n v="10341.469999999999"/>
    <n v="208.16"/>
  </r>
  <r>
    <n v="1685"/>
    <n v="12160"/>
    <d v="2010-12-12T00:00:00"/>
    <s v="Low"/>
    <x v="683"/>
    <x v="5"/>
    <x v="0"/>
    <s v="Corporate"/>
    <x v="1"/>
    <x v="15"/>
    <n v="55.21"/>
    <n v="24.98"/>
  </r>
  <r>
    <n v="1686"/>
    <n v="12160"/>
    <d v="2010-12-12T00:00:00"/>
    <s v="Low"/>
    <x v="683"/>
    <x v="5"/>
    <x v="0"/>
    <s v="Corporate"/>
    <x v="1"/>
    <x v="2"/>
    <n v="38.299999999999997"/>
    <n v="3.36"/>
  </r>
  <r>
    <n v="1687"/>
    <n v="12194"/>
    <d v="2011-03-01T00:00:00"/>
    <s v="Critical"/>
    <x v="267"/>
    <x v="2"/>
    <x v="2"/>
    <s v="Corporate"/>
    <x v="2"/>
    <x v="4"/>
    <n v="3355.1539999999995"/>
    <n v="195.99"/>
  </r>
  <r>
    <n v="1688"/>
    <n v="12196"/>
    <d v="2010-06-02T00:00:00"/>
    <s v="Not Specified"/>
    <x v="269"/>
    <x v="15"/>
    <x v="2"/>
    <s v="Consumer"/>
    <x v="2"/>
    <x v="10"/>
    <n v="599.52"/>
    <n v="17.98"/>
  </r>
  <r>
    <n v="1689"/>
    <n v="12196"/>
    <d v="2010-06-02T00:00:00"/>
    <s v="Not Specified"/>
    <x v="269"/>
    <x v="15"/>
    <x v="2"/>
    <s v="Consumer"/>
    <x v="0"/>
    <x v="0"/>
    <n v="10330.94"/>
    <n v="419.19"/>
  </r>
  <r>
    <n v="1690"/>
    <n v="12199"/>
    <d v="2011-12-14T00:00:00"/>
    <s v="Low"/>
    <x v="145"/>
    <x v="3"/>
    <x v="0"/>
    <s v="Corporate"/>
    <x v="0"/>
    <x v="12"/>
    <n v="19"/>
    <n v="6.54"/>
  </r>
  <r>
    <n v="1691"/>
    <n v="12199"/>
    <d v="2011-12-14T00:00:00"/>
    <s v="Low"/>
    <x v="145"/>
    <x v="3"/>
    <x v="0"/>
    <s v="Corporate"/>
    <x v="0"/>
    <x v="0"/>
    <n v="8289.51"/>
    <n v="155.06"/>
  </r>
  <r>
    <n v="1692"/>
    <n v="12224"/>
    <d v="2009-12-12T00:00:00"/>
    <s v="High"/>
    <x v="425"/>
    <x v="10"/>
    <x v="0"/>
    <s v="Consumer"/>
    <x v="1"/>
    <x v="3"/>
    <n v="302.91000000000003"/>
    <n v="124.49"/>
  </r>
  <r>
    <n v="1693"/>
    <n v="12224"/>
    <d v="2009-12-12T00:00:00"/>
    <s v="High"/>
    <x v="425"/>
    <x v="10"/>
    <x v="0"/>
    <s v="Consumer"/>
    <x v="2"/>
    <x v="4"/>
    <n v="842.61349999999993"/>
    <n v="35.99"/>
  </r>
  <r>
    <n v="1694"/>
    <n v="12228"/>
    <d v="2009-06-25T00:00:00"/>
    <s v="Not Specified"/>
    <x v="141"/>
    <x v="17"/>
    <x v="0"/>
    <s v="Corporate"/>
    <x v="1"/>
    <x v="15"/>
    <n v="159.51"/>
    <n v="130.97999999999999"/>
  </r>
  <r>
    <n v="1695"/>
    <n v="12228"/>
    <d v="2009-06-25T00:00:00"/>
    <s v="Not Specified"/>
    <x v="141"/>
    <x v="17"/>
    <x v="0"/>
    <s v="Corporate"/>
    <x v="2"/>
    <x v="4"/>
    <n v="5015.0510000000004"/>
    <n v="200.99"/>
  </r>
  <r>
    <n v="1696"/>
    <n v="12256"/>
    <d v="2012-12-18T00:00:00"/>
    <s v="Medium"/>
    <x v="425"/>
    <x v="10"/>
    <x v="0"/>
    <s v="Home Office"/>
    <x v="0"/>
    <x v="8"/>
    <n v="117.97"/>
    <n v="2.88"/>
  </r>
  <r>
    <n v="1697"/>
    <n v="12258"/>
    <d v="2009-11-30T00:00:00"/>
    <s v="Low"/>
    <x v="209"/>
    <x v="5"/>
    <x v="0"/>
    <s v="Home Office"/>
    <x v="1"/>
    <x v="15"/>
    <n v="561.65"/>
    <n v="180.98"/>
  </r>
  <r>
    <n v="1698"/>
    <n v="12258"/>
    <d v="2009-11-30T00:00:00"/>
    <s v="Low"/>
    <x v="706"/>
    <x v="5"/>
    <x v="0"/>
    <s v="Home Office"/>
    <x v="0"/>
    <x v="13"/>
    <n v="55.6"/>
    <n v="3.25"/>
  </r>
  <r>
    <n v="1699"/>
    <n v="12258"/>
    <d v="2009-11-30T00:00:00"/>
    <s v="Low"/>
    <x v="706"/>
    <x v="5"/>
    <x v="0"/>
    <s v="Home Office"/>
    <x v="1"/>
    <x v="2"/>
    <n v="2431.13"/>
    <n v="110.98"/>
  </r>
  <r>
    <n v="1700"/>
    <n v="12258"/>
    <d v="2009-11-30T00:00:00"/>
    <s v="Low"/>
    <x v="706"/>
    <x v="5"/>
    <x v="0"/>
    <s v="Home Office"/>
    <x v="0"/>
    <x v="7"/>
    <n v="113.4"/>
    <n v="3.95"/>
  </r>
  <r>
    <n v="1701"/>
    <n v="12259"/>
    <d v="2010-02-14T00:00:00"/>
    <s v="High"/>
    <x v="707"/>
    <x v="34"/>
    <x v="2"/>
    <s v="Consumer"/>
    <x v="1"/>
    <x v="11"/>
    <n v="5007.6899999999996"/>
    <n v="114.98"/>
  </r>
  <r>
    <n v="1702"/>
    <n v="12259"/>
    <d v="2010-02-14T00:00:00"/>
    <s v="High"/>
    <x v="707"/>
    <x v="34"/>
    <x v="2"/>
    <s v="Consumer"/>
    <x v="0"/>
    <x v="0"/>
    <n v="1379.62"/>
    <n v="31.98"/>
  </r>
  <r>
    <n v="1703"/>
    <n v="12261"/>
    <d v="2010-10-23T00:00:00"/>
    <s v="Low"/>
    <x v="135"/>
    <x v="10"/>
    <x v="0"/>
    <s v="Corporate"/>
    <x v="1"/>
    <x v="15"/>
    <n v="2237.7600000000002"/>
    <n v="200.98"/>
  </r>
  <r>
    <n v="1704"/>
    <n v="12261"/>
    <d v="2010-10-23T00:00:00"/>
    <s v="Low"/>
    <x v="135"/>
    <x v="10"/>
    <x v="0"/>
    <s v="Corporate"/>
    <x v="0"/>
    <x v="6"/>
    <n v="20.59"/>
    <n v="3.98"/>
  </r>
  <r>
    <n v="1705"/>
    <n v="12261"/>
    <d v="2010-10-23T00:00:00"/>
    <s v="Low"/>
    <x v="560"/>
    <x v="10"/>
    <x v="0"/>
    <s v="Corporate"/>
    <x v="0"/>
    <x v="13"/>
    <n v="281.74"/>
    <n v="14.56"/>
  </r>
  <r>
    <n v="1706"/>
    <n v="12261"/>
    <d v="2010-10-23T00:00:00"/>
    <s v="Low"/>
    <x v="560"/>
    <x v="10"/>
    <x v="0"/>
    <s v="Corporate"/>
    <x v="0"/>
    <x v="14"/>
    <n v="217.35"/>
    <n v="8.74"/>
  </r>
  <r>
    <n v="1707"/>
    <n v="12261"/>
    <d v="2010-10-23T00:00:00"/>
    <s v="Low"/>
    <x v="560"/>
    <x v="10"/>
    <x v="0"/>
    <s v="Corporate"/>
    <x v="0"/>
    <x v="0"/>
    <n v="2746.57"/>
    <n v="178.47"/>
  </r>
  <r>
    <n v="1708"/>
    <n v="12262"/>
    <d v="2011-12-10T00:00:00"/>
    <s v="Low"/>
    <x v="582"/>
    <x v="16"/>
    <x v="1"/>
    <s v="Home Office"/>
    <x v="1"/>
    <x v="3"/>
    <n v="1212.9280000000001"/>
    <n v="31.76"/>
  </r>
  <r>
    <n v="1709"/>
    <n v="12263"/>
    <d v="2011-07-06T00:00:00"/>
    <s v="High"/>
    <x v="655"/>
    <x v="5"/>
    <x v="0"/>
    <s v="Corporate"/>
    <x v="0"/>
    <x v="13"/>
    <n v="515.65"/>
    <n v="39.479999999999997"/>
  </r>
  <r>
    <n v="1710"/>
    <n v="12289"/>
    <d v="2011-12-24T00:00:00"/>
    <s v="Low"/>
    <x v="684"/>
    <x v="0"/>
    <x v="0"/>
    <s v="Corporate"/>
    <x v="2"/>
    <x v="10"/>
    <n v="3019.41"/>
    <n v="120.97"/>
  </r>
  <r>
    <n v="1711"/>
    <n v="12292"/>
    <d v="2012-06-02T00:00:00"/>
    <s v="Not Specified"/>
    <x v="575"/>
    <x v="33"/>
    <x v="0"/>
    <s v="Consumer"/>
    <x v="2"/>
    <x v="5"/>
    <n v="824.24"/>
    <n v="26.31"/>
  </r>
  <r>
    <n v="1712"/>
    <n v="12293"/>
    <d v="2011-06-18T00:00:00"/>
    <s v="High"/>
    <x v="675"/>
    <x v="30"/>
    <x v="0"/>
    <s v="Home Office"/>
    <x v="0"/>
    <x v="14"/>
    <n v="283.17"/>
    <n v="8.74"/>
  </r>
  <r>
    <n v="1713"/>
    <n v="12320"/>
    <d v="2011-12-20T00:00:00"/>
    <s v="Critical"/>
    <x v="389"/>
    <x v="40"/>
    <x v="3"/>
    <s v="Corporate"/>
    <x v="1"/>
    <x v="3"/>
    <n v="539.21"/>
    <n v="15.23"/>
  </r>
  <r>
    <n v="1714"/>
    <n v="12322"/>
    <d v="2011-05-11T00:00:00"/>
    <s v="Critical"/>
    <x v="102"/>
    <x v="26"/>
    <x v="3"/>
    <s v="Small Business"/>
    <x v="1"/>
    <x v="2"/>
    <n v="3436.9"/>
    <n v="92.23"/>
  </r>
  <r>
    <n v="1715"/>
    <n v="12323"/>
    <d v="2011-04-02T00:00:00"/>
    <s v="Not Specified"/>
    <x v="708"/>
    <x v="45"/>
    <x v="0"/>
    <s v="Corporate"/>
    <x v="0"/>
    <x v="12"/>
    <n v="513.74"/>
    <n v="15.15"/>
  </r>
  <r>
    <n v="1716"/>
    <n v="12323"/>
    <d v="2011-04-02T00:00:00"/>
    <s v="Not Specified"/>
    <x v="708"/>
    <x v="45"/>
    <x v="0"/>
    <s v="Corporate"/>
    <x v="1"/>
    <x v="2"/>
    <n v="36.799999999999997"/>
    <n v="7.38"/>
  </r>
  <r>
    <n v="1717"/>
    <n v="12326"/>
    <d v="2011-02-02T00:00:00"/>
    <s v="Critical"/>
    <x v="145"/>
    <x v="40"/>
    <x v="3"/>
    <s v="Small Business"/>
    <x v="1"/>
    <x v="2"/>
    <n v="123.82"/>
    <n v="29.34"/>
  </r>
  <r>
    <n v="1718"/>
    <n v="12352"/>
    <d v="2012-03-23T00:00:00"/>
    <s v="Medium"/>
    <x v="709"/>
    <x v="0"/>
    <x v="0"/>
    <s v="Corporate"/>
    <x v="0"/>
    <x v="12"/>
    <n v="36.86"/>
    <n v="5.81"/>
  </r>
  <r>
    <n v="1719"/>
    <n v="12355"/>
    <d v="2011-05-28T00:00:00"/>
    <s v="Not Specified"/>
    <x v="310"/>
    <x v="18"/>
    <x v="2"/>
    <s v="Corporate"/>
    <x v="0"/>
    <x v="9"/>
    <n v="209.53"/>
    <n v="5.78"/>
  </r>
  <r>
    <n v="1720"/>
    <n v="12355"/>
    <d v="2011-05-28T00:00:00"/>
    <s v="Not Specified"/>
    <x v="310"/>
    <x v="18"/>
    <x v="2"/>
    <s v="Corporate"/>
    <x v="0"/>
    <x v="0"/>
    <n v="225.47"/>
    <n v="14.97"/>
  </r>
  <r>
    <n v="1721"/>
    <n v="12355"/>
    <d v="2011-05-28T00:00:00"/>
    <s v="Not Specified"/>
    <x v="527"/>
    <x v="17"/>
    <x v="0"/>
    <s v="Corporate"/>
    <x v="0"/>
    <x v="13"/>
    <n v="168.66"/>
    <n v="3.95"/>
  </r>
  <r>
    <n v="1722"/>
    <n v="12356"/>
    <d v="2012-10-18T00:00:00"/>
    <s v="Critical"/>
    <x v="259"/>
    <x v="1"/>
    <x v="1"/>
    <s v="Consumer"/>
    <x v="0"/>
    <x v="9"/>
    <n v="243.05"/>
    <n v="5.98"/>
  </r>
  <r>
    <n v="1723"/>
    <n v="12389"/>
    <d v="2009-08-04T00:00:00"/>
    <s v="Medium"/>
    <x v="710"/>
    <x v="17"/>
    <x v="0"/>
    <s v="Corporate"/>
    <x v="2"/>
    <x v="5"/>
    <n v="2560.59"/>
    <n v="80.98"/>
  </r>
  <r>
    <n v="1724"/>
    <n v="12389"/>
    <d v="2009-08-04T00:00:00"/>
    <s v="Medium"/>
    <x v="710"/>
    <x v="17"/>
    <x v="0"/>
    <s v="Corporate"/>
    <x v="0"/>
    <x v="0"/>
    <n v="189.04"/>
    <n v="11.35"/>
  </r>
  <r>
    <n v="1725"/>
    <n v="12417"/>
    <d v="2010-10-24T00:00:00"/>
    <s v="Critical"/>
    <x v="132"/>
    <x v="6"/>
    <x v="1"/>
    <s v="Corporate"/>
    <x v="0"/>
    <x v="9"/>
    <n v="137.84"/>
    <n v="7.4"/>
  </r>
  <r>
    <n v="1726"/>
    <n v="12418"/>
    <d v="2012-02-18T00:00:00"/>
    <s v="Not Specified"/>
    <x v="345"/>
    <x v="9"/>
    <x v="1"/>
    <s v="Home Office"/>
    <x v="0"/>
    <x v="0"/>
    <n v="299.01"/>
    <n v="7.98"/>
  </r>
  <r>
    <n v="1727"/>
    <n v="12419"/>
    <d v="2011-10-15T00:00:00"/>
    <s v="Critical"/>
    <x v="553"/>
    <x v="0"/>
    <x v="0"/>
    <s v="Corporate"/>
    <x v="2"/>
    <x v="10"/>
    <n v="22079.47"/>
    <n v="1938.02"/>
  </r>
  <r>
    <n v="1728"/>
    <n v="12420"/>
    <d v="2010-12-26T00:00:00"/>
    <s v="Medium"/>
    <x v="380"/>
    <x v="44"/>
    <x v="2"/>
    <s v="Home Office"/>
    <x v="0"/>
    <x v="12"/>
    <n v="536.25"/>
    <n v="15.99"/>
  </r>
  <r>
    <n v="1729"/>
    <n v="12420"/>
    <d v="2010-12-26T00:00:00"/>
    <s v="Medium"/>
    <x v="380"/>
    <x v="44"/>
    <x v="2"/>
    <s v="Home Office"/>
    <x v="0"/>
    <x v="9"/>
    <n v="5.73"/>
    <n v="4.9800000000000004"/>
  </r>
  <r>
    <n v="1730"/>
    <n v="12448"/>
    <d v="2011-11-08T00:00:00"/>
    <s v="Critical"/>
    <x v="418"/>
    <x v="7"/>
    <x v="3"/>
    <s v="Small Business"/>
    <x v="0"/>
    <x v="12"/>
    <n v="240.27"/>
    <n v="7.38"/>
  </r>
  <r>
    <n v="1731"/>
    <n v="12448"/>
    <d v="2011-11-08T00:00:00"/>
    <s v="Critical"/>
    <x v="418"/>
    <x v="7"/>
    <x v="3"/>
    <s v="Small Business"/>
    <x v="1"/>
    <x v="15"/>
    <n v="6802.37"/>
    <n v="284.98"/>
  </r>
  <r>
    <n v="1732"/>
    <n v="12449"/>
    <d v="2010-01-31T00:00:00"/>
    <s v="Medium"/>
    <x v="711"/>
    <x v="28"/>
    <x v="1"/>
    <s v="Small Business"/>
    <x v="2"/>
    <x v="5"/>
    <n v="1400.1"/>
    <n v="39.979999999999997"/>
  </r>
  <r>
    <n v="1733"/>
    <n v="12450"/>
    <d v="2009-03-12T00:00:00"/>
    <s v="Not Specified"/>
    <x v="476"/>
    <x v="47"/>
    <x v="1"/>
    <s v="Small Business"/>
    <x v="2"/>
    <x v="5"/>
    <n v="1146.4100000000001"/>
    <n v="73.98"/>
  </r>
  <r>
    <n v="1734"/>
    <n v="12451"/>
    <d v="2010-04-19T00:00:00"/>
    <s v="Low"/>
    <x v="623"/>
    <x v="15"/>
    <x v="2"/>
    <s v="Small Business"/>
    <x v="1"/>
    <x v="11"/>
    <n v="3662.16"/>
    <n v="130.97999999999999"/>
  </r>
  <r>
    <n v="1735"/>
    <n v="12451"/>
    <d v="2010-04-19T00:00:00"/>
    <s v="Low"/>
    <x v="623"/>
    <x v="15"/>
    <x v="2"/>
    <s v="Small Business"/>
    <x v="0"/>
    <x v="0"/>
    <n v="329.37"/>
    <n v="15.14"/>
  </r>
  <r>
    <n v="1736"/>
    <n v="12452"/>
    <d v="2010-12-07T00:00:00"/>
    <s v="Medium"/>
    <x v="624"/>
    <x v="38"/>
    <x v="0"/>
    <s v="Corporate"/>
    <x v="0"/>
    <x v="12"/>
    <n v="356.95"/>
    <n v="387.99"/>
  </r>
  <r>
    <n v="1737"/>
    <n v="12452"/>
    <d v="2010-12-07T00:00:00"/>
    <s v="Medium"/>
    <x v="712"/>
    <x v="38"/>
    <x v="0"/>
    <s v="Corporate"/>
    <x v="2"/>
    <x v="5"/>
    <n v="112.86"/>
    <n v="6.6"/>
  </r>
  <r>
    <n v="1738"/>
    <n v="12452"/>
    <d v="2010-12-07T00:00:00"/>
    <s v="Medium"/>
    <x v="712"/>
    <x v="38"/>
    <x v="0"/>
    <s v="Corporate"/>
    <x v="0"/>
    <x v="9"/>
    <n v="2063.42"/>
    <n v="55.98"/>
  </r>
  <r>
    <n v="1739"/>
    <n v="12480"/>
    <d v="2009-07-07T00:00:00"/>
    <s v="Medium"/>
    <x v="300"/>
    <x v="26"/>
    <x v="3"/>
    <s v="Small Business"/>
    <x v="1"/>
    <x v="11"/>
    <n v="1187.01"/>
    <n v="137.47999999999999"/>
  </r>
  <r>
    <n v="1740"/>
    <n v="12481"/>
    <d v="2011-07-10T00:00:00"/>
    <s v="Critical"/>
    <x v="479"/>
    <x v="46"/>
    <x v="1"/>
    <s v="Corporate"/>
    <x v="2"/>
    <x v="5"/>
    <n v="744"/>
    <n v="20.89"/>
  </r>
  <r>
    <n v="1741"/>
    <n v="12481"/>
    <d v="2011-07-10T00:00:00"/>
    <s v="Critical"/>
    <x v="479"/>
    <x v="46"/>
    <x v="1"/>
    <s v="Corporate"/>
    <x v="2"/>
    <x v="4"/>
    <n v="388.86649999999997"/>
    <n v="35.99"/>
  </r>
  <r>
    <n v="1742"/>
    <n v="12483"/>
    <d v="2010-08-04T00:00:00"/>
    <s v="Critical"/>
    <x v="713"/>
    <x v="15"/>
    <x v="2"/>
    <s v="Home Office"/>
    <x v="0"/>
    <x v="12"/>
    <n v="1676.44"/>
    <n v="120.98"/>
  </r>
  <r>
    <n v="1743"/>
    <n v="12483"/>
    <d v="2010-08-04T00:00:00"/>
    <s v="Critical"/>
    <x v="713"/>
    <x v="15"/>
    <x v="2"/>
    <s v="Home Office"/>
    <x v="1"/>
    <x v="11"/>
    <n v="1406.07"/>
    <n v="100.98"/>
  </r>
  <r>
    <n v="1744"/>
    <n v="12483"/>
    <d v="2010-08-04T00:00:00"/>
    <s v="Critical"/>
    <x v="713"/>
    <x v="15"/>
    <x v="2"/>
    <s v="Home Office"/>
    <x v="0"/>
    <x v="0"/>
    <n v="1771.67"/>
    <n v="59.76"/>
  </r>
  <r>
    <n v="1745"/>
    <n v="12485"/>
    <d v="2010-08-07T00:00:00"/>
    <s v="Critical"/>
    <x v="252"/>
    <x v="0"/>
    <x v="0"/>
    <s v="Home Office"/>
    <x v="1"/>
    <x v="15"/>
    <n v="5407.31"/>
    <n v="226.67"/>
  </r>
  <r>
    <n v="1746"/>
    <n v="12486"/>
    <d v="2011-02-20T00:00:00"/>
    <s v="High"/>
    <x v="160"/>
    <x v="16"/>
    <x v="1"/>
    <s v="Corporate"/>
    <x v="1"/>
    <x v="11"/>
    <n v="3081.33"/>
    <n v="100.98"/>
  </r>
  <r>
    <n v="1747"/>
    <n v="12486"/>
    <d v="2011-02-20T00:00:00"/>
    <s v="High"/>
    <x v="714"/>
    <x v="16"/>
    <x v="1"/>
    <s v="Corporate"/>
    <x v="0"/>
    <x v="13"/>
    <n v="1692.56"/>
    <n v="40.98"/>
  </r>
  <r>
    <n v="1748"/>
    <n v="12515"/>
    <d v="2010-05-13T00:00:00"/>
    <s v="Medium"/>
    <x v="715"/>
    <x v="12"/>
    <x v="3"/>
    <s v="Small Business"/>
    <x v="2"/>
    <x v="4"/>
    <n v="1702.499"/>
    <n v="125.99"/>
  </r>
  <r>
    <n v="1749"/>
    <n v="12516"/>
    <d v="2009-05-24T00:00:00"/>
    <s v="Low"/>
    <x v="17"/>
    <x v="26"/>
    <x v="3"/>
    <s v="Home Office"/>
    <x v="2"/>
    <x v="10"/>
    <n v="2360.4299999999998"/>
    <n v="80.97"/>
  </r>
  <r>
    <n v="1750"/>
    <n v="12516"/>
    <d v="2009-05-24T00:00:00"/>
    <s v="Low"/>
    <x v="17"/>
    <x v="26"/>
    <x v="3"/>
    <s v="Home Office"/>
    <x v="0"/>
    <x v="9"/>
    <n v="154.6"/>
    <n v="6.48"/>
  </r>
  <r>
    <n v="1751"/>
    <n v="12544"/>
    <d v="2009-03-03T00:00:00"/>
    <s v="Low"/>
    <x v="134"/>
    <x v="0"/>
    <x v="0"/>
    <s v="Corporate"/>
    <x v="1"/>
    <x v="2"/>
    <n v="74.3"/>
    <n v="2.08"/>
  </r>
  <r>
    <n v="1752"/>
    <n v="12551"/>
    <d v="2012-06-11T00:00:00"/>
    <s v="Low"/>
    <x v="716"/>
    <x v="5"/>
    <x v="0"/>
    <s v="Small Business"/>
    <x v="2"/>
    <x v="4"/>
    <n v="5023.2534999999998"/>
    <n v="125.99"/>
  </r>
  <r>
    <n v="1753"/>
    <n v="12579"/>
    <d v="2011-06-16T00:00:00"/>
    <s v="Not Specified"/>
    <x v="544"/>
    <x v="22"/>
    <x v="0"/>
    <s v="Home Office"/>
    <x v="0"/>
    <x v="9"/>
    <n v="70.33"/>
    <n v="15.04"/>
  </r>
  <r>
    <n v="1754"/>
    <n v="12580"/>
    <d v="2010-01-13T00:00:00"/>
    <s v="Low"/>
    <x v="717"/>
    <x v="12"/>
    <x v="3"/>
    <s v="Small Business"/>
    <x v="0"/>
    <x v="6"/>
    <n v="140.72"/>
    <n v="3.28"/>
  </r>
  <r>
    <n v="1755"/>
    <n v="12580"/>
    <d v="2010-01-13T00:00:00"/>
    <s v="Low"/>
    <x v="160"/>
    <x v="16"/>
    <x v="1"/>
    <s v="Small Business"/>
    <x v="0"/>
    <x v="12"/>
    <n v="8038.08"/>
    <n v="172.99"/>
  </r>
  <r>
    <n v="1756"/>
    <n v="12581"/>
    <d v="2009-10-20T00:00:00"/>
    <s v="High"/>
    <x v="588"/>
    <x v="1"/>
    <x v="1"/>
    <s v="Small Business"/>
    <x v="2"/>
    <x v="4"/>
    <n v="1768.9689999999998"/>
    <n v="65.989999999999995"/>
  </r>
  <r>
    <n v="1757"/>
    <n v="12611"/>
    <d v="2011-10-15T00:00:00"/>
    <s v="Medium"/>
    <x v="450"/>
    <x v="44"/>
    <x v="2"/>
    <s v="Home Office"/>
    <x v="0"/>
    <x v="12"/>
    <n v="189.99"/>
    <n v="12.97"/>
  </r>
  <r>
    <n v="1758"/>
    <n v="12612"/>
    <d v="2010-12-21T00:00:00"/>
    <s v="Low"/>
    <x v="718"/>
    <x v="16"/>
    <x v="1"/>
    <s v="Home Office"/>
    <x v="0"/>
    <x v="13"/>
    <n v="2360.98"/>
    <n v="78.650000000000006"/>
  </r>
  <r>
    <n v="1759"/>
    <n v="12612"/>
    <d v="2010-12-21T00:00:00"/>
    <s v="Low"/>
    <x v="718"/>
    <x v="16"/>
    <x v="1"/>
    <s v="Home Office"/>
    <x v="0"/>
    <x v="8"/>
    <n v="182.2"/>
    <n v="3.75"/>
  </r>
  <r>
    <n v="1760"/>
    <n v="12613"/>
    <d v="2010-04-10T00:00:00"/>
    <s v="Medium"/>
    <x v="281"/>
    <x v="37"/>
    <x v="2"/>
    <s v="Consumer"/>
    <x v="0"/>
    <x v="12"/>
    <n v="15.64"/>
    <n v="3.36"/>
  </r>
  <r>
    <n v="1761"/>
    <n v="12613"/>
    <d v="2010-04-10T00:00:00"/>
    <s v="Medium"/>
    <x v="281"/>
    <x v="37"/>
    <x v="2"/>
    <s v="Consumer"/>
    <x v="0"/>
    <x v="12"/>
    <n v="1751.08"/>
    <n v="59.78"/>
  </r>
  <r>
    <n v="1762"/>
    <n v="12613"/>
    <d v="2010-04-10T00:00:00"/>
    <s v="Medium"/>
    <x v="281"/>
    <x v="37"/>
    <x v="2"/>
    <s v="Consumer"/>
    <x v="1"/>
    <x v="2"/>
    <n v="225.37"/>
    <n v="12.22"/>
  </r>
  <r>
    <n v="1763"/>
    <n v="12641"/>
    <d v="2011-02-22T00:00:00"/>
    <s v="Low"/>
    <x v="719"/>
    <x v="25"/>
    <x v="1"/>
    <s v="Home Office"/>
    <x v="0"/>
    <x v="9"/>
    <n v="107.12"/>
    <n v="55.98"/>
  </r>
  <r>
    <n v="1764"/>
    <n v="12641"/>
    <d v="2011-02-22T00:00:00"/>
    <s v="Low"/>
    <x v="719"/>
    <x v="25"/>
    <x v="1"/>
    <s v="Home Office"/>
    <x v="0"/>
    <x v="9"/>
    <n v="676.24"/>
    <n v="26.38"/>
  </r>
  <r>
    <n v="1765"/>
    <n v="12641"/>
    <d v="2011-02-22T00:00:00"/>
    <s v="Low"/>
    <x v="719"/>
    <x v="25"/>
    <x v="1"/>
    <s v="Home Office"/>
    <x v="0"/>
    <x v="0"/>
    <n v="3668.6"/>
    <n v="155.06"/>
  </r>
  <r>
    <n v="1766"/>
    <n v="12642"/>
    <d v="2009-04-27T00:00:00"/>
    <s v="Critical"/>
    <x v="376"/>
    <x v="2"/>
    <x v="2"/>
    <s v="Home Office"/>
    <x v="0"/>
    <x v="12"/>
    <n v="564.85"/>
    <n v="58.1"/>
  </r>
  <r>
    <n v="1767"/>
    <n v="12642"/>
    <d v="2009-04-27T00:00:00"/>
    <s v="Critical"/>
    <x v="376"/>
    <x v="2"/>
    <x v="2"/>
    <s v="Home Office"/>
    <x v="2"/>
    <x v="5"/>
    <n v="572.33000000000004"/>
    <n v="39.979999999999997"/>
  </r>
  <r>
    <n v="1768"/>
    <n v="12643"/>
    <d v="2010-03-19T00:00:00"/>
    <s v="Low"/>
    <x v="117"/>
    <x v="19"/>
    <x v="3"/>
    <s v="Small Business"/>
    <x v="0"/>
    <x v="9"/>
    <n v="345.69"/>
    <n v="15.04"/>
  </r>
  <r>
    <n v="1769"/>
    <n v="12676"/>
    <d v="2009-01-15T00:00:00"/>
    <s v="High"/>
    <x v="720"/>
    <x v="44"/>
    <x v="2"/>
    <s v="Home Office"/>
    <x v="1"/>
    <x v="2"/>
    <n v="201.06"/>
    <n v="8.09"/>
  </r>
  <r>
    <n v="1770"/>
    <n v="12704"/>
    <d v="2010-02-09T00:00:00"/>
    <s v="Low"/>
    <x v="61"/>
    <x v="0"/>
    <x v="0"/>
    <s v="Small Business"/>
    <x v="2"/>
    <x v="16"/>
    <n v="21506.77"/>
    <n v="499.99"/>
  </r>
  <r>
    <n v="1771"/>
    <n v="12704"/>
    <d v="2010-02-09T00:00:00"/>
    <s v="Low"/>
    <x v="61"/>
    <x v="0"/>
    <x v="0"/>
    <s v="Small Business"/>
    <x v="0"/>
    <x v="0"/>
    <n v="669.02"/>
    <n v="20.98"/>
  </r>
  <r>
    <n v="1772"/>
    <n v="12706"/>
    <d v="2009-11-20T00:00:00"/>
    <s v="Critical"/>
    <x v="160"/>
    <x v="16"/>
    <x v="1"/>
    <s v="Corporate"/>
    <x v="1"/>
    <x v="11"/>
    <n v="2494.69"/>
    <n v="58.14"/>
  </r>
  <r>
    <n v="1773"/>
    <n v="12707"/>
    <d v="2010-05-29T00:00:00"/>
    <s v="High"/>
    <x v="596"/>
    <x v="4"/>
    <x v="1"/>
    <s v="Small Business"/>
    <x v="1"/>
    <x v="2"/>
    <n v="2213.92"/>
    <n v="105.98"/>
  </r>
  <r>
    <n v="1774"/>
    <n v="12708"/>
    <d v="2010-01-07T00:00:00"/>
    <s v="Low"/>
    <x v="649"/>
    <x v="16"/>
    <x v="1"/>
    <s v="Corporate"/>
    <x v="0"/>
    <x v="6"/>
    <n v="159.41"/>
    <n v="3.28"/>
  </r>
  <r>
    <n v="1775"/>
    <n v="12710"/>
    <d v="2010-08-17T00:00:00"/>
    <s v="Critical"/>
    <x v="392"/>
    <x v="17"/>
    <x v="0"/>
    <s v="Small Business"/>
    <x v="0"/>
    <x v="9"/>
    <n v="2116.62"/>
    <n v="55.98"/>
  </r>
  <r>
    <n v="1776"/>
    <n v="12711"/>
    <d v="2012-02-19T00:00:00"/>
    <s v="Critical"/>
    <x v="123"/>
    <x v="37"/>
    <x v="2"/>
    <s v="Corporate"/>
    <x v="0"/>
    <x v="6"/>
    <n v="1486.72"/>
    <n v="43.98"/>
  </r>
  <r>
    <n v="1777"/>
    <n v="12711"/>
    <d v="2012-02-19T00:00:00"/>
    <s v="Critical"/>
    <x v="721"/>
    <x v="37"/>
    <x v="2"/>
    <s v="Corporate"/>
    <x v="0"/>
    <x v="1"/>
    <n v="558.04"/>
    <n v="12.98"/>
  </r>
  <r>
    <n v="1778"/>
    <n v="12736"/>
    <d v="2010-03-08T00:00:00"/>
    <s v="Low"/>
    <x v="45"/>
    <x v="5"/>
    <x v="0"/>
    <s v="Small Business"/>
    <x v="1"/>
    <x v="2"/>
    <n v="25.52"/>
    <n v="9.65"/>
  </r>
  <r>
    <n v="1779"/>
    <n v="12743"/>
    <d v="2010-06-23T00:00:00"/>
    <s v="High"/>
    <x v="17"/>
    <x v="22"/>
    <x v="0"/>
    <s v="Corporate"/>
    <x v="2"/>
    <x v="4"/>
    <n v="677.51800000000003"/>
    <n v="20.99"/>
  </r>
  <r>
    <n v="1780"/>
    <n v="12768"/>
    <d v="2009-04-08T00:00:00"/>
    <s v="Critical"/>
    <x v="706"/>
    <x v="5"/>
    <x v="0"/>
    <s v="Corporate"/>
    <x v="0"/>
    <x v="13"/>
    <n v="1562.97"/>
    <n v="42.98"/>
  </r>
  <r>
    <n v="1781"/>
    <n v="12771"/>
    <d v="2009-01-17T00:00:00"/>
    <s v="Critical"/>
    <x v="61"/>
    <x v="0"/>
    <x v="0"/>
    <s v="Small Business"/>
    <x v="0"/>
    <x v="8"/>
    <n v="1143.49"/>
    <n v="30.53"/>
  </r>
  <r>
    <n v="1782"/>
    <n v="12771"/>
    <d v="2009-01-17T00:00:00"/>
    <s v="Critical"/>
    <x v="722"/>
    <x v="0"/>
    <x v="0"/>
    <s v="Small Business"/>
    <x v="0"/>
    <x v="6"/>
    <n v="78.08"/>
    <n v="1.68"/>
  </r>
  <r>
    <n v="1783"/>
    <n v="12773"/>
    <d v="2011-01-11T00:00:00"/>
    <s v="Low"/>
    <x v="120"/>
    <x v="30"/>
    <x v="0"/>
    <s v="Corporate"/>
    <x v="0"/>
    <x v="12"/>
    <n v="17"/>
    <n v="2.78"/>
  </r>
  <r>
    <n v="1784"/>
    <n v="12773"/>
    <d v="2011-01-11T00:00:00"/>
    <s v="Low"/>
    <x v="120"/>
    <x v="30"/>
    <x v="0"/>
    <s v="Corporate"/>
    <x v="1"/>
    <x v="2"/>
    <n v="67.41"/>
    <n v="4.1399999999999997"/>
  </r>
  <r>
    <n v="1785"/>
    <n v="12773"/>
    <d v="2011-01-11T00:00:00"/>
    <s v="Low"/>
    <x v="120"/>
    <x v="30"/>
    <x v="0"/>
    <s v="Corporate"/>
    <x v="0"/>
    <x v="9"/>
    <n v="130.66999999999999"/>
    <n v="6.48"/>
  </r>
  <r>
    <n v="1786"/>
    <n v="12773"/>
    <d v="2011-01-11T00:00:00"/>
    <s v="Low"/>
    <x v="723"/>
    <x v="30"/>
    <x v="0"/>
    <s v="Corporate"/>
    <x v="0"/>
    <x v="6"/>
    <n v="77.62"/>
    <n v="3.28"/>
  </r>
  <r>
    <n v="1787"/>
    <n v="12803"/>
    <d v="2010-02-25T00:00:00"/>
    <s v="Not Specified"/>
    <x v="473"/>
    <x v="36"/>
    <x v="2"/>
    <s v="Home Office"/>
    <x v="0"/>
    <x v="0"/>
    <n v="383.81"/>
    <n v="12.21"/>
  </r>
  <r>
    <n v="1788"/>
    <n v="12804"/>
    <d v="2012-05-25T00:00:00"/>
    <s v="Medium"/>
    <x v="309"/>
    <x v="11"/>
    <x v="2"/>
    <s v="Home Office"/>
    <x v="0"/>
    <x v="8"/>
    <n v="69.06"/>
    <n v="3.08"/>
  </r>
  <r>
    <n v="1789"/>
    <n v="12804"/>
    <d v="2012-05-25T00:00:00"/>
    <s v="Medium"/>
    <x v="309"/>
    <x v="11"/>
    <x v="2"/>
    <s v="Home Office"/>
    <x v="0"/>
    <x v="7"/>
    <n v="84.01"/>
    <n v="1.81"/>
  </r>
  <r>
    <n v="1790"/>
    <n v="12804"/>
    <d v="2012-05-25T00:00:00"/>
    <s v="Medium"/>
    <x v="309"/>
    <x v="11"/>
    <x v="2"/>
    <s v="Home Office"/>
    <x v="0"/>
    <x v="0"/>
    <n v="592.91999999999996"/>
    <n v="16.059999999999999"/>
  </r>
  <r>
    <n v="1791"/>
    <n v="12806"/>
    <d v="2011-12-24T00:00:00"/>
    <s v="Not Specified"/>
    <x v="631"/>
    <x v="20"/>
    <x v="0"/>
    <s v="Small Business"/>
    <x v="0"/>
    <x v="14"/>
    <n v="761.23"/>
    <n v="35.89"/>
  </r>
  <r>
    <n v="1792"/>
    <n v="12837"/>
    <d v="2012-12-02T00:00:00"/>
    <s v="Medium"/>
    <x v="724"/>
    <x v="5"/>
    <x v="0"/>
    <s v="Home Office"/>
    <x v="0"/>
    <x v="8"/>
    <n v="66.19"/>
    <n v="2.88"/>
  </r>
  <r>
    <n v="1793"/>
    <n v="12837"/>
    <d v="2012-12-02T00:00:00"/>
    <s v="Medium"/>
    <x v="67"/>
    <x v="23"/>
    <x v="3"/>
    <s v="Home Office"/>
    <x v="2"/>
    <x v="5"/>
    <n v="1100.21"/>
    <n v="22.24"/>
  </r>
  <r>
    <n v="1794"/>
    <n v="12867"/>
    <d v="2011-03-11T00:00:00"/>
    <s v="Not Specified"/>
    <x v="623"/>
    <x v="15"/>
    <x v="2"/>
    <s v="Corporate"/>
    <x v="2"/>
    <x v="5"/>
    <n v="127.49"/>
    <n v="19.98"/>
  </r>
  <r>
    <n v="1795"/>
    <n v="12868"/>
    <d v="2011-03-01T00:00:00"/>
    <s v="Critical"/>
    <x v="725"/>
    <x v="12"/>
    <x v="3"/>
    <s v="Consumer"/>
    <x v="0"/>
    <x v="6"/>
    <n v="53.33"/>
    <n v="1.76"/>
  </r>
  <r>
    <n v="1796"/>
    <n v="12868"/>
    <d v="2011-03-01T00:00:00"/>
    <s v="Critical"/>
    <x v="138"/>
    <x v="35"/>
    <x v="3"/>
    <s v="Consumer"/>
    <x v="0"/>
    <x v="9"/>
    <n v="9.3699999999999992"/>
    <n v="4.4800000000000004"/>
  </r>
  <r>
    <n v="1797"/>
    <n v="12869"/>
    <d v="2009-01-25T00:00:00"/>
    <s v="Not Specified"/>
    <x v="254"/>
    <x v="21"/>
    <x v="2"/>
    <s v="Consumer"/>
    <x v="2"/>
    <x v="4"/>
    <n v="1532.482"/>
    <n v="125.99"/>
  </r>
  <r>
    <n v="1798"/>
    <n v="12871"/>
    <d v="2011-10-04T00:00:00"/>
    <s v="Not Specified"/>
    <x v="21"/>
    <x v="44"/>
    <x v="2"/>
    <s v="Small Business"/>
    <x v="0"/>
    <x v="1"/>
    <n v="459.26"/>
    <n v="10.23"/>
  </r>
  <r>
    <n v="1799"/>
    <n v="12897"/>
    <d v="2011-07-18T00:00:00"/>
    <s v="Not Specified"/>
    <x v="634"/>
    <x v="5"/>
    <x v="0"/>
    <s v="Corporate"/>
    <x v="0"/>
    <x v="8"/>
    <n v="141.49"/>
    <n v="3.69"/>
  </r>
  <r>
    <n v="1800"/>
    <n v="12897"/>
    <d v="2011-07-18T00:00:00"/>
    <s v="Not Specified"/>
    <x v="634"/>
    <x v="5"/>
    <x v="0"/>
    <s v="Corporate"/>
    <x v="0"/>
    <x v="9"/>
    <n v="211.55"/>
    <n v="6.48"/>
  </r>
  <r>
    <n v="1801"/>
    <n v="12900"/>
    <d v="2010-05-03T00:00:00"/>
    <s v="High"/>
    <x v="555"/>
    <x v="34"/>
    <x v="2"/>
    <s v="Corporate"/>
    <x v="1"/>
    <x v="2"/>
    <n v="627.12"/>
    <n v="12.64"/>
  </r>
  <r>
    <n v="1802"/>
    <n v="12900"/>
    <d v="2010-05-03T00:00:00"/>
    <s v="High"/>
    <x v="555"/>
    <x v="34"/>
    <x v="2"/>
    <s v="Corporate"/>
    <x v="2"/>
    <x v="10"/>
    <n v="4096.21"/>
    <n v="306.14"/>
  </r>
  <r>
    <n v="1803"/>
    <n v="12902"/>
    <d v="2010-10-29T00:00:00"/>
    <s v="Not Specified"/>
    <x v="726"/>
    <x v="22"/>
    <x v="0"/>
    <s v="Home Office"/>
    <x v="2"/>
    <x v="5"/>
    <n v="302.05"/>
    <n v="30.98"/>
  </r>
  <r>
    <n v="1804"/>
    <n v="12902"/>
    <d v="2010-10-29T00:00:00"/>
    <s v="Not Specified"/>
    <x v="727"/>
    <x v="46"/>
    <x v="1"/>
    <s v="Home Office"/>
    <x v="1"/>
    <x v="11"/>
    <n v="3645.45"/>
    <n v="120.98"/>
  </r>
  <r>
    <n v="1805"/>
    <n v="12903"/>
    <d v="2009-09-25T00:00:00"/>
    <s v="Critical"/>
    <x v="611"/>
    <x v="15"/>
    <x v="2"/>
    <s v="Consumer"/>
    <x v="2"/>
    <x v="4"/>
    <n v="63.427"/>
    <n v="35.99"/>
  </r>
  <r>
    <n v="1806"/>
    <n v="12929"/>
    <d v="2010-08-30T00:00:00"/>
    <s v="Critical"/>
    <x v="728"/>
    <x v="0"/>
    <x v="0"/>
    <s v="Corporate"/>
    <x v="1"/>
    <x v="15"/>
    <n v="5297.47"/>
    <n v="270.98"/>
  </r>
  <r>
    <n v="1807"/>
    <n v="12929"/>
    <d v="2010-08-30T00:00:00"/>
    <s v="Critical"/>
    <x v="728"/>
    <x v="0"/>
    <x v="0"/>
    <s v="Corporate"/>
    <x v="0"/>
    <x v="9"/>
    <n v="95.3"/>
    <n v="4.4800000000000004"/>
  </r>
  <r>
    <n v="1808"/>
    <n v="12930"/>
    <d v="2011-11-24T00:00:00"/>
    <s v="High"/>
    <x v="424"/>
    <x v="16"/>
    <x v="1"/>
    <s v="Corporate"/>
    <x v="0"/>
    <x v="13"/>
    <n v="1147.6400000000001"/>
    <n v="22.98"/>
  </r>
  <r>
    <n v="1809"/>
    <n v="12931"/>
    <d v="2012-04-24T00:00:00"/>
    <s v="Medium"/>
    <x v="729"/>
    <x v="12"/>
    <x v="3"/>
    <s v="Home Office"/>
    <x v="0"/>
    <x v="0"/>
    <n v="653.91999999999996"/>
    <n v="59.76"/>
  </r>
  <r>
    <n v="1810"/>
    <n v="12934"/>
    <d v="2009-03-05T00:00:00"/>
    <s v="Not Specified"/>
    <x v="120"/>
    <x v="30"/>
    <x v="0"/>
    <s v="Corporate"/>
    <x v="0"/>
    <x v="14"/>
    <n v="440.39"/>
    <n v="9.7799999999999994"/>
  </r>
  <r>
    <n v="1811"/>
    <n v="12934"/>
    <d v="2009-03-05T00:00:00"/>
    <s v="Not Specified"/>
    <x v="723"/>
    <x v="30"/>
    <x v="0"/>
    <s v="Corporate"/>
    <x v="0"/>
    <x v="6"/>
    <n v="96.99"/>
    <n v="3.28"/>
  </r>
  <r>
    <n v="1812"/>
    <n v="12965"/>
    <d v="2010-06-25T00:00:00"/>
    <s v="Medium"/>
    <x v="730"/>
    <x v="16"/>
    <x v="1"/>
    <s v="Corporate"/>
    <x v="0"/>
    <x v="12"/>
    <n v="44.74"/>
    <n v="5.74"/>
  </r>
  <r>
    <n v="1813"/>
    <n v="12965"/>
    <d v="2010-06-25T00:00:00"/>
    <s v="Medium"/>
    <x v="730"/>
    <x v="16"/>
    <x v="1"/>
    <s v="Corporate"/>
    <x v="0"/>
    <x v="12"/>
    <n v="90.78"/>
    <n v="4.24"/>
  </r>
  <r>
    <n v="1814"/>
    <n v="12999"/>
    <d v="2010-04-03T00:00:00"/>
    <s v="High"/>
    <x v="198"/>
    <x v="34"/>
    <x v="2"/>
    <s v="Consumer"/>
    <x v="0"/>
    <x v="0"/>
    <n v="2712.07"/>
    <n v="95.43"/>
  </r>
  <r>
    <n v="1815"/>
    <n v="13027"/>
    <d v="2012-01-15T00:00:00"/>
    <s v="Critical"/>
    <x v="731"/>
    <x v="12"/>
    <x v="3"/>
    <s v="Small Business"/>
    <x v="0"/>
    <x v="9"/>
    <n v="290.68"/>
    <n v="6.78"/>
  </r>
  <r>
    <n v="1816"/>
    <n v="13028"/>
    <d v="2009-04-08T00:00:00"/>
    <s v="Critical"/>
    <x v="474"/>
    <x v="7"/>
    <x v="3"/>
    <s v="Consumer"/>
    <x v="0"/>
    <x v="9"/>
    <n v="1357.53"/>
    <n v="35.44"/>
  </r>
  <r>
    <n v="1817"/>
    <n v="13030"/>
    <d v="2009-07-22T00:00:00"/>
    <s v="Medium"/>
    <x v="426"/>
    <x v="5"/>
    <x v="0"/>
    <s v="Home Office"/>
    <x v="0"/>
    <x v="12"/>
    <n v="136.19999999999999"/>
    <n v="3.89"/>
  </r>
  <r>
    <n v="1818"/>
    <n v="13031"/>
    <d v="2012-12-04T00:00:00"/>
    <s v="Low"/>
    <x v="203"/>
    <x v="1"/>
    <x v="1"/>
    <s v="Consumer"/>
    <x v="0"/>
    <x v="9"/>
    <n v="210.06"/>
    <n v="6.48"/>
  </r>
  <r>
    <n v="1819"/>
    <n v="13056"/>
    <d v="2009-04-22T00:00:00"/>
    <s v="Not Specified"/>
    <x v="419"/>
    <x v="40"/>
    <x v="3"/>
    <s v="Small Business"/>
    <x v="2"/>
    <x v="5"/>
    <n v="3387.32"/>
    <n v="100.98"/>
  </r>
  <r>
    <n v="1820"/>
    <n v="13088"/>
    <d v="2010-04-22T00:00:00"/>
    <s v="Not Specified"/>
    <x v="402"/>
    <x v="26"/>
    <x v="3"/>
    <s v="Corporate"/>
    <x v="0"/>
    <x v="13"/>
    <n v="187.92"/>
    <n v="3.25"/>
  </r>
  <r>
    <n v="1821"/>
    <n v="13089"/>
    <d v="2011-12-14T00:00:00"/>
    <s v="Not Specified"/>
    <x v="340"/>
    <x v="19"/>
    <x v="3"/>
    <s v="Corporate"/>
    <x v="1"/>
    <x v="11"/>
    <n v="3577.11"/>
    <n v="114.98"/>
  </r>
  <r>
    <n v="1822"/>
    <n v="13090"/>
    <d v="2010-07-26T00:00:00"/>
    <s v="Not Specified"/>
    <x v="732"/>
    <x v="16"/>
    <x v="1"/>
    <s v="Corporate"/>
    <x v="0"/>
    <x v="9"/>
    <n v="150.19999999999999"/>
    <n v="9.27"/>
  </r>
  <r>
    <n v="1823"/>
    <n v="13091"/>
    <d v="2009-11-15T00:00:00"/>
    <s v="Medium"/>
    <x v="733"/>
    <x v="5"/>
    <x v="0"/>
    <s v="Corporate"/>
    <x v="0"/>
    <x v="9"/>
    <n v="81.430000000000007"/>
    <n v="6.48"/>
  </r>
  <r>
    <n v="1824"/>
    <n v="13091"/>
    <d v="2009-11-15T00:00:00"/>
    <s v="Medium"/>
    <x v="733"/>
    <x v="5"/>
    <x v="0"/>
    <s v="Corporate"/>
    <x v="0"/>
    <x v="0"/>
    <n v="883.15"/>
    <n v="20.34"/>
  </r>
  <r>
    <n v="1825"/>
    <n v="13094"/>
    <d v="2010-08-18T00:00:00"/>
    <s v="Not Specified"/>
    <x v="254"/>
    <x v="21"/>
    <x v="2"/>
    <s v="Consumer"/>
    <x v="0"/>
    <x v="9"/>
    <n v="283.57"/>
    <n v="37.94"/>
  </r>
  <r>
    <n v="1826"/>
    <n v="13120"/>
    <d v="2009-12-14T00:00:00"/>
    <s v="Low"/>
    <x v="602"/>
    <x v="30"/>
    <x v="0"/>
    <s v="Consumer"/>
    <x v="0"/>
    <x v="12"/>
    <n v="590.42999999999995"/>
    <n v="12.95"/>
  </r>
  <r>
    <n v="1827"/>
    <n v="13120"/>
    <d v="2009-12-14T00:00:00"/>
    <s v="Low"/>
    <x v="602"/>
    <x v="30"/>
    <x v="0"/>
    <s v="Consumer"/>
    <x v="0"/>
    <x v="12"/>
    <n v="216.33"/>
    <n v="24.92"/>
  </r>
  <r>
    <n v="1828"/>
    <n v="13121"/>
    <d v="2010-03-07T00:00:00"/>
    <s v="High"/>
    <x v="734"/>
    <x v="26"/>
    <x v="3"/>
    <s v="Corporate"/>
    <x v="2"/>
    <x v="5"/>
    <n v="1211"/>
    <n v="30.98"/>
  </r>
  <r>
    <n v="1829"/>
    <n v="13121"/>
    <d v="2010-03-07T00:00:00"/>
    <s v="High"/>
    <x v="734"/>
    <x v="26"/>
    <x v="3"/>
    <s v="Corporate"/>
    <x v="2"/>
    <x v="4"/>
    <n v="4924.1350000000002"/>
    <n v="205.99"/>
  </r>
  <r>
    <n v="1830"/>
    <n v="13125"/>
    <d v="2010-12-13T00:00:00"/>
    <s v="Not Specified"/>
    <x v="735"/>
    <x v="40"/>
    <x v="3"/>
    <s v="Corporate"/>
    <x v="2"/>
    <x v="5"/>
    <n v="990.73"/>
    <n v="30.73"/>
  </r>
  <r>
    <n v="1831"/>
    <n v="13126"/>
    <d v="2011-10-19T00:00:00"/>
    <s v="Not Specified"/>
    <x v="624"/>
    <x v="1"/>
    <x v="1"/>
    <s v="Consumer"/>
    <x v="2"/>
    <x v="16"/>
    <n v="24233.54"/>
    <n v="599.99"/>
  </r>
  <r>
    <n v="1832"/>
    <n v="13126"/>
    <d v="2011-10-19T00:00:00"/>
    <s v="Not Specified"/>
    <x v="736"/>
    <x v="1"/>
    <x v="1"/>
    <s v="Consumer"/>
    <x v="1"/>
    <x v="15"/>
    <n v="6325.65"/>
    <n v="135.99"/>
  </r>
  <r>
    <n v="1833"/>
    <n v="13126"/>
    <d v="2011-10-19T00:00:00"/>
    <s v="Not Specified"/>
    <x v="736"/>
    <x v="1"/>
    <x v="1"/>
    <s v="Consumer"/>
    <x v="1"/>
    <x v="3"/>
    <n v="380.62"/>
    <n v="179.29"/>
  </r>
  <r>
    <n v="1834"/>
    <n v="13127"/>
    <d v="2010-07-31T00:00:00"/>
    <s v="Medium"/>
    <x v="197"/>
    <x v="18"/>
    <x v="2"/>
    <s v="Home Office"/>
    <x v="0"/>
    <x v="13"/>
    <n v="951.31"/>
    <n v="68.81"/>
  </r>
  <r>
    <n v="1835"/>
    <n v="13156"/>
    <d v="2011-10-05T00:00:00"/>
    <s v="Low"/>
    <x v="737"/>
    <x v="7"/>
    <x v="3"/>
    <s v="Corporate"/>
    <x v="1"/>
    <x v="2"/>
    <n v="502.01"/>
    <n v="39.979999999999997"/>
  </r>
  <r>
    <n v="1836"/>
    <n v="13157"/>
    <d v="2012-02-11T00:00:00"/>
    <s v="Medium"/>
    <x v="738"/>
    <x v="16"/>
    <x v="1"/>
    <s v="Corporate"/>
    <x v="2"/>
    <x v="4"/>
    <n v="38.93"/>
    <n v="20.99"/>
  </r>
  <r>
    <n v="1837"/>
    <n v="13158"/>
    <d v="2012-11-20T00:00:00"/>
    <s v="Critical"/>
    <x v="618"/>
    <x v="20"/>
    <x v="0"/>
    <s v="Corporate"/>
    <x v="0"/>
    <x v="12"/>
    <n v="187.16"/>
    <n v="6.75"/>
  </r>
  <r>
    <n v="1838"/>
    <n v="13218"/>
    <d v="2009-05-16T00:00:00"/>
    <s v="High"/>
    <x v="665"/>
    <x v="16"/>
    <x v="1"/>
    <s v="Corporate"/>
    <x v="0"/>
    <x v="12"/>
    <n v="513.08000000000004"/>
    <n v="28.53"/>
  </r>
  <r>
    <n v="1839"/>
    <n v="13218"/>
    <d v="2009-05-16T00:00:00"/>
    <s v="High"/>
    <x v="665"/>
    <x v="16"/>
    <x v="1"/>
    <s v="Corporate"/>
    <x v="0"/>
    <x v="9"/>
    <n v="98.8"/>
    <n v="5.98"/>
  </r>
  <r>
    <n v="1840"/>
    <n v="13252"/>
    <d v="2009-03-22T00:00:00"/>
    <s v="Not Specified"/>
    <x v="268"/>
    <x v="7"/>
    <x v="3"/>
    <s v="Consumer"/>
    <x v="1"/>
    <x v="15"/>
    <n v="7312.86"/>
    <n v="160.97999999999999"/>
  </r>
  <r>
    <n v="1841"/>
    <n v="13252"/>
    <d v="2009-03-22T00:00:00"/>
    <s v="Not Specified"/>
    <x v="268"/>
    <x v="7"/>
    <x v="3"/>
    <s v="Consumer"/>
    <x v="2"/>
    <x v="5"/>
    <n v="605.16"/>
    <n v="15.98"/>
  </r>
  <r>
    <n v="1842"/>
    <n v="13280"/>
    <d v="2009-09-11T00:00:00"/>
    <s v="High"/>
    <x v="555"/>
    <x v="0"/>
    <x v="0"/>
    <s v="Small Business"/>
    <x v="0"/>
    <x v="0"/>
    <n v="460.68"/>
    <n v="10.9"/>
  </r>
  <r>
    <n v="1843"/>
    <n v="13280"/>
    <d v="2009-09-11T00:00:00"/>
    <s v="High"/>
    <x v="555"/>
    <x v="0"/>
    <x v="0"/>
    <s v="Small Business"/>
    <x v="2"/>
    <x v="4"/>
    <n v="318.75849999999997"/>
    <n v="7.99"/>
  </r>
  <r>
    <n v="1844"/>
    <n v="13282"/>
    <d v="2012-05-09T00:00:00"/>
    <s v="Low"/>
    <x v="739"/>
    <x v="1"/>
    <x v="1"/>
    <s v="Corporate"/>
    <x v="2"/>
    <x v="5"/>
    <n v="763.85"/>
    <n v="34.979999999999997"/>
  </r>
  <r>
    <n v="1845"/>
    <n v="13282"/>
    <d v="2012-05-09T00:00:00"/>
    <s v="Low"/>
    <x v="739"/>
    <x v="1"/>
    <x v="1"/>
    <s v="Corporate"/>
    <x v="0"/>
    <x v="8"/>
    <n v="12.59"/>
    <n v="6.3"/>
  </r>
  <r>
    <n v="1846"/>
    <n v="13284"/>
    <d v="2012-08-12T00:00:00"/>
    <s v="High"/>
    <x v="740"/>
    <x v="31"/>
    <x v="3"/>
    <s v="Consumer"/>
    <x v="0"/>
    <x v="12"/>
    <n v="9062.44"/>
    <n v="420.98"/>
  </r>
  <r>
    <n v="1847"/>
    <n v="13284"/>
    <d v="2012-08-12T00:00:00"/>
    <s v="High"/>
    <x v="741"/>
    <x v="31"/>
    <x v="3"/>
    <s v="Consumer"/>
    <x v="0"/>
    <x v="12"/>
    <n v="1662.57"/>
    <n v="37.700000000000003"/>
  </r>
  <r>
    <n v="1848"/>
    <n v="13313"/>
    <d v="2009-07-16T00:00:00"/>
    <s v="Not Specified"/>
    <x v="482"/>
    <x v="0"/>
    <x v="0"/>
    <s v="Home Office"/>
    <x v="0"/>
    <x v="13"/>
    <n v="1020.61"/>
    <n v="21.66"/>
  </r>
  <r>
    <n v="1849"/>
    <n v="13313"/>
    <d v="2009-07-16T00:00:00"/>
    <s v="Not Specified"/>
    <x v="176"/>
    <x v="32"/>
    <x v="0"/>
    <s v="Home Office"/>
    <x v="1"/>
    <x v="2"/>
    <n v="243.51"/>
    <n v="12.99"/>
  </r>
  <r>
    <n v="1850"/>
    <n v="13313"/>
    <d v="2009-07-16T00:00:00"/>
    <s v="Not Specified"/>
    <x v="176"/>
    <x v="32"/>
    <x v="0"/>
    <s v="Home Office"/>
    <x v="0"/>
    <x v="9"/>
    <n v="755.6"/>
    <n v="35.44"/>
  </r>
  <r>
    <n v="1851"/>
    <n v="13313"/>
    <d v="2009-07-16T00:00:00"/>
    <s v="Not Specified"/>
    <x v="176"/>
    <x v="32"/>
    <x v="0"/>
    <s v="Home Office"/>
    <x v="0"/>
    <x v="1"/>
    <n v="592.73"/>
    <n v="12.98"/>
  </r>
  <r>
    <n v="1852"/>
    <n v="13314"/>
    <d v="2009-05-13T00:00:00"/>
    <s v="High"/>
    <x v="437"/>
    <x v="16"/>
    <x v="1"/>
    <s v="Small Business"/>
    <x v="0"/>
    <x v="7"/>
    <n v="89.4"/>
    <n v="2.62"/>
  </r>
  <r>
    <n v="1853"/>
    <n v="13345"/>
    <d v="2012-09-02T00:00:00"/>
    <s v="Not Specified"/>
    <x v="712"/>
    <x v="38"/>
    <x v="0"/>
    <s v="Corporate"/>
    <x v="2"/>
    <x v="5"/>
    <n v="116.82"/>
    <n v="4.7699999999999996"/>
  </r>
  <r>
    <n v="1854"/>
    <n v="13345"/>
    <d v="2012-09-02T00:00:00"/>
    <s v="Not Specified"/>
    <x v="712"/>
    <x v="38"/>
    <x v="0"/>
    <s v="Corporate"/>
    <x v="0"/>
    <x v="1"/>
    <n v="483.64"/>
    <n v="10.98"/>
  </r>
  <r>
    <n v="1855"/>
    <n v="13346"/>
    <d v="2012-11-15T00:00:00"/>
    <s v="Low"/>
    <x v="72"/>
    <x v="0"/>
    <x v="0"/>
    <s v="Corporate"/>
    <x v="0"/>
    <x v="9"/>
    <n v="268.33999999999997"/>
    <n v="6.48"/>
  </r>
  <r>
    <n v="1856"/>
    <n v="13347"/>
    <d v="2010-04-23T00:00:00"/>
    <s v="Not Specified"/>
    <x v="226"/>
    <x v="23"/>
    <x v="3"/>
    <s v="Consumer"/>
    <x v="0"/>
    <x v="12"/>
    <n v="104.89"/>
    <n v="3.8"/>
  </r>
  <r>
    <n v="1857"/>
    <n v="13348"/>
    <d v="2010-11-07T00:00:00"/>
    <s v="Medium"/>
    <x v="102"/>
    <x v="26"/>
    <x v="3"/>
    <s v="Consumer"/>
    <x v="0"/>
    <x v="0"/>
    <n v="4890.58"/>
    <n v="140.85"/>
  </r>
  <r>
    <n v="1858"/>
    <n v="13351"/>
    <d v="2010-05-06T00:00:00"/>
    <s v="Medium"/>
    <x v="742"/>
    <x v="41"/>
    <x v="3"/>
    <s v="Corporate"/>
    <x v="2"/>
    <x v="5"/>
    <n v="3331.81"/>
    <n v="179.99"/>
  </r>
  <r>
    <n v="1859"/>
    <n v="13378"/>
    <d v="2009-09-21T00:00:00"/>
    <s v="Low"/>
    <x v="743"/>
    <x v="19"/>
    <x v="3"/>
    <s v="Corporate"/>
    <x v="0"/>
    <x v="1"/>
    <n v="96.04"/>
    <n v="5.74"/>
  </r>
  <r>
    <n v="1860"/>
    <n v="13380"/>
    <d v="2009-07-15T00:00:00"/>
    <s v="Critical"/>
    <x v="744"/>
    <x v="22"/>
    <x v="0"/>
    <s v="Corporate"/>
    <x v="0"/>
    <x v="6"/>
    <n v="66.12"/>
    <n v="2.88"/>
  </r>
  <r>
    <n v="1861"/>
    <n v="13381"/>
    <d v="2011-08-17T00:00:00"/>
    <s v="Medium"/>
    <x v="660"/>
    <x v="23"/>
    <x v="3"/>
    <s v="Consumer"/>
    <x v="1"/>
    <x v="3"/>
    <n v="10714.78"/>
    <n v="259.70999999999998"/>
  </r>
  <r>
    <n v="1862"/>
    <n v="13383"/>
    <d v="2012-06-15T00:00:00"/>
    <s v="Not Specified"/>
    <x v="90"/>
    <x v="5"/>
    <x v="0"/>
    <s v="Consumer"/>
    <x v="0"/>
    <x v="0"/>
    <n v="750.03"/>
    <n v="20.34"/>
  </r>
  <r>
    <n v="1863"/>
    <n v="13408"/>
    <d v="2009-02-14T00:00:00"/>
    <s v="Low"/>
    <x v="745"/>
    <x v="10"/>
    <x v="0"/>
    <s v="Home Office"/>
    <x v="1"/>
    <x v="2"/>
    <n v="256.77"/>
    <n v="60.65"/>
  </r>
  <r>
    <n v="1864"/>
    <n v="13410"/>
    <d v="2010-06-06T00:00:00"/>
    <s v="Not Specified"/>
    <x v="385"/>
    <x v="38"/>
    <x v="0"/>
    <s v="Corporate"/>
    <x v="2"/>
    <x v="5"/>
    <n v="33.64"/>
    <n v="8.1199999999999992"/>
  </r>
  <r>
    <n v="1865"/>
    <n v="13410"/>
    <d v="2010-06-06T00:00:00"/>
    <s v="Not Specified"/>
    <x v="385"/>
    <x v="38"/>
    <x v="0"/>
    <s v="Corporate"/>
    <x v="2"/>
    <x v="10"/>
    <n v="701.94"/>
    <n v="23.99"/>
  </r>
  <r>
    <n v="1866"/>
    <n v="13413"/>
    <d v="2010-01-29T00:00:00"/>
    <s v="Critical"/>
    <x v="746"/>
    <x v="26"/>
    <x v="3"/>
    <s v="Consumer"/>
    <x v="0"/>
    <x v="9"/>
    <n v="150.28"/>
    <n v="4.9800000000000004"/>
  </r>
  <r>
    <n v="1867"/>
    <n v="13440"/>
    <d v="2010-10-13T00:00:00"/>
    <s v="Not Specified"/>
    <x v="747"/>
    <x v="5"/>
    <x v="0"/>
    <s v="Consumer"/>
    <x v="2"/>
    <x v="5"/>
    <n v="971.82"/>
    <n v="43.98"/>
  </r>
  <r>
    <n v="1868"/>
    <n v="13444"/>
    <d v="2012-01-05T00:00:00"/>
    <s v="High"/>
    <x v="211"/>
    <x v="10"/>
    <x v="0"/>
    <s v="Consumer"/>
    <x v="0"/>
    <x v="9"/>
    <n v="154.44"/>
    <n v="4.76"/>
  </r>
  <r>
    <n v="1869"/>
    <n v="13447"/>
    <d v="2010-01-08T00:00:00"/>
    <s v="High"/>
    <x v="557"/>
    <x v="26"/>
    <x v="3"/>
    <s v="Corporate"/>
    <x v="2"/>
    <x v="4"/>
    <n v="436.48349999999999"/>
    <n v="20.99"/>
  </r>
  <r>
    <n v="1870"/>
    <n v="13472"/>
    <d v="2011-10-26T00:00:00"/>
    <s v="Critical"/>
    <x v="144"/>
    <x v="13"/>
    <x v="3"/>
    <s v="Home Office"/>
    <x v="0"/>
    <x v="8"/>
    <n v="106.03"/>
    <n v="4.13"/>
  </r>
  <r>
    <n v="1871"/>
    <n v="13476"/>
    <d v="2010-10-16T00:00:00"/>
    <s v="Not Specified"/>
    <x v="506"/>
    <x v="31"/>
    <x v="3"/>
    <s v="Home Office"/>
    <x v="0"/>
    <x v="0"/>
    <n v="173.33"/>
    <n v="52.99"/>
  </r>
  <r>
    <n v="1872"/>
    <n v="13476"/>
    <d v="2010-10-16T00:00:00"/>
    <s v="Not Specified"/>
    <x v="748"/>
    <x v="41"/>
    <x v="3"/>
    <s v="Home Office"/>
    <x v="2"/>
    <x v="5"/>
    <n v="972.35"/>
    <n v="30.73"/>
  </r>
  <r>
    <n v="1873"/>
    <n v="13476"/>
    <d v="2010-10-16T00:00:00"/>
    <s v="Not Specified"/>
    <x v="585"/>
    <x v="12"/>
    <x v="3"/>
    <s v="Home Office"/>
    <x v="0"/>
    <x v="12"/>
    <n v="231.29"/>
    <n v="4.91"/>
  </r>
  <r>
    <n v="1874"/>
    <n v="13479"/>
    <d v="2009-12-04T00:00:00"/>
    <s v="High"/>
    <x v="486"/>
    <x v="5"/>
    <x v="0"/>
    <s v="Consumer"/>
    <x v="2"/>
    <x v="5"/>
    <n v="292.95999999999998"/>
    <n v="99.99"/>
  </r>
  <r>
    <n v="1875"/>
    <n v="13479"/>
    <d v="2009-12-04T00:00:00"/>
    <s v="High"/>
    <x v="486"/>
    <x v="5"/>
    <x v="0"/>
    <s v="Consumer"/>
    <x v="2"/>
    <x v="4"/>
    <n v="2206.991"/>
    <n v="205.99"/>
  </r>
  <r>
    <n v="1876"/>
    <n v="13507"/>
    <d v="2012-12-29T00:00:00"/>
    <s v="Medium"/>
    <x v="407"/>
    <x v="20"/>
    <x v="0"/>
    <s v="Small Business"/>
    <x v="0"/>
    <x v="9"/>
    <n v="176.1"/>
    <n v="6.78"/>
  </r>
  <r>
    <n v="1877"/>
    <n v="13536"/>
    <d v="2009-08-18T00:00:00"/>
    <s v="Medium"/>
    <x v="164"/>
    <x v="16"/>
    <x v="1"/>
    <s v="Home Office"/>
    <x v="0"/>
    <x v="9"/>
    <n v="123.15"/>
    <n v="5.18"/>
  </r>
  <r>
    <n v="1878"/>
    <n v="13537"/>
    <d v="2010-05-30T00:00:00"/>
    <s v="Low"/>
    <x v="131"/>
    <x v="27"/>
    <x v="3"/>
    <s v="Home Office"/>
    <x v="0"/>
    <x v="9"/>
    <n v="316.61"/>
    <n v="7.4"/>
  </r>
  <r>
    <n v="1879"/>
    <n v="13540"/>
    <d v="2010-05-23T00:00:00"/>
    <s v="High"/>
    <x v="749"/>
    <x v="7"/>
    <x v="3"/>
    <s v="Consumer"/>
    <x v="0"/>
    <x v="8"/>
    <n v="121"/>
    <n v="3.75"/>
  </r>
  <r>
    <n v="1880"/>
    <n v="13540"/>
    <d v="2010-05-23T00:00:00"/>
    <s v="High"/>
    <x v="749"/>
    <x v="7"/>
    <x v="3"/>
    <s v="Consumer"/>
    <x v="2"/>
    <x v="4"/>
    <n v="1484.1849999999999"/>
    <n v="65.989999999999995"/>
  </r>
  <r>
    <n v="1881"/>
    <n v="13540"/>
    <d v="2010-05-23T00:00:00"/>
    <s v="High"/>
    <x v="420"/>
    <x v="15"/>
    <x v="2"/>
    <s v="Consumer"/>
    <x v="2"/>
    <x v="5"/>
    <n v="259.58999999999997"/>
    <n v="8.5"/>
  </r>
  <r>
    <n v="1882"/>
    <n v="13540"/>
    <d v="2010-05-23T00:00:00"/>
    <s v="High"/>
    <x v="420"/>
    <x v="15"/>
    <x v="2"/>
    <s v="Consumer"/>
    <x v="0"/>
    <x v="7"/>
    <n v="34.93"/>
    <n v="2.1800000000000002"/>
  </r>
  <r>
    <n v="1883"/>
    <n v="13540"/>
    <d v="2010-05-23T00:00:00"/>
    <s v="High"/>
    <x v="420"/>
    <x v="15"/>
    <x v="2"/>
    <s v="Consumer"/>
    <x v="0"/>
    <x v="0"/>
    <n v="431.06"/>
    <n v="12.28"/>
  </r>
  <r>
    <n v="1884"/>
    <n v="13542"/>
    <d v="2009-03-08T00:00:00"/>
    <s v="Low"/>
    <x v="8"/>
    <x v="2"/>
    <x v="2"/>
    <s v="Consumer"/>
    <x v="1"/>
    <x v="15"/>
    <n v="3571.84"/>
    <n v="300.98"/>
  </r>
  <r>
    <n v="1885"/>
    <n v="13542"/>
    <d v="2009-03-08T00:00:00"/>
    <s v="Low"/>
    <x v="8"/>
    <x v="2"/>
    <x v="2"/>
    <s v="Consumer"/>
    <x v="0"/>
    <x v="14"/>
    <n v="310.44"/>
    <n v="8.74"/>
  </r>
  <r>
    <n v="1886"/>
    <n v="13543"/>
    <d v="2012-08-08T00:00:00"/>
    <s v="Medium"/>
    <x v="607"/>
    <x v="37"/>
    <x v="2"/>
    <s v="Corporate"/>
    <x v="0"/>
    <x v="0"/>
    <n v="27.83"/>
    <n v="9.7100000000000009"/>
  </r>
  <r>
    <n v="1887"/>
    <n v="13569"/>
    <d v="2011-04-10T00:00:00"/>
    <s v="Critical"/>
    <x v="524"/>
    <x v="16"/>
    <x v="1"/>
    <s v="Corporate"/>
    <x v="0"/>
    <x v="13"/>
    <n v="563.17999999999995"/>
    <n v="40.98"/>
  </r>
  <r>
    <n v="1888"/>
    <n v="13569"/>
    <d v="2011-04-10T00:00:00"/>
    <s v="Critical"/>
    <x v="524"/>
    <x v="16"/>
    <x v="1"/>
    <s v="Corporate"/>
    <x v="0"/>
    <x v="12"/>
    <n v="47.45"/>
    <n v="2.88"/>
  </r>
  <r>
    <n v="1889"/>
    <n v="13570"/>
    <d v="2012-12-02T00:00:00"/>
    <s v="Not Specified"/>
    <x v="424"/>
    <x v="16"/>
    <x v="1"/>
    <s v="Corporate"/>
    <x v="1"/>
    <x v="2"/>
    <n v="16.97"/>
    <n v="8.34"/>
  </r>
  <r>
    <n v="1890"/>
    <n v="13570"/>
    <d v="2012-12-02T00:00:00"/>
    <s v="Not Specified"/>
    <x v="424"/>
    <x v="16"/>
    <x v="1"/>
    <s v="Corporate"/>
    <x v="2"/>
    <x v="4"/>
    <n v="4077.7559999999994"/>
    <n v="110.99"/>
  </r>
  <r>
    <n v="1891"/>
    <n v="13572"/>
    <d v="2012-05-17T00:00:00"/>
    <s v="Critical"/>
    <x v="192"/>
    <x v="12"/>
    <x v="3"/>
    <s v="Home Office"/>
    <x v="2"/>
    <x v="5"/>
    <n v="40.11"/>
    <n v="5.0199999999999996"/>
  </r>
  <r>
    <n v="1892"/>
    <n v="13575"/>
    <d v="2012-08-29T00:00:00"/>
    <s v="Critical"/>
    <x v="668"/>
    <x v="11"/>
    <x v="2"/>
    <s v="Small Business"/>
    <x v="0"/>
    <x v="9"/>
    <n v="106.1"/>
    <n v="6.48"/>
  </r>
  <r>
    <n v="1893"/>
    <n v="13601"/>
    <d v="2012-08-16T00:00:00"/>
    <s v="Low"/>
    <x v="745"/>
    <x v="10"/>
    <x v="0"/>
    <s v="Consumer"/>
    <x v="0"/>
    <x v="13"/>
    <n v="822.91"/>
    <n v="49.43"/>
  </r>
  <r>
    <n v="1894"/>
    <n v="13602"/>
    <d v="2009-01-13T00:00:00"/>
    <s v="Low"/>
    <x v="630"/>
    <x v="16"/>
    <x v="1"/>
    <s v="Corporate"/>
    <x v="2"/>
    <x v="10"/>
    <n v="445.34"/>
    <n v="145.44999999999999"/>
  </r>
  <r>
    <n v="1895"/>
    <n v="13602"/>
    <d v="2009-01-13T00:00:00"/>
    <s v="Low"/>
    <x v="630"/>
    <x v="16"/>
    <x v="1"/>
    <s v="Corporate"/>
    <x v="0"/>
    <x v="9"/>
    <n v="660.99"/>
    <n v="48.04"/>
  </r>
  <r>
    <n v="1896"/>
    <n v="13604"/>
    <d v="2009-02-02T00:00:00"/>
    <s v="Not Specified"/>
    <x v="359"/>
    <x v="30"/>
    <x v="0"/>
    <s v="Corporate"/>
    <x v="2"/>
    <x v="5"/>
    <n v="3152.75"/>
    <n v="83.1"/>
  </r>
  <r>
    <n v="1897"/>
    <n v="13604"/>
    <d v="2009-02-02T00:00:00"/>
    <s v="Not Specified"/>
    <x v="359"/>
    <x v="30"/>
    <x v="0"/>
    <s v="Corporate"/>
    <x v="1"/>
    <x v="2"/>
    <n v="3609.88"/>
    <n v="90.98"/>
  </r>
  <r>
    <n v="1898"/>
    <n v="13606"/>
    <d v="2009-04-26T00:00:00"/>
    <s v="Not Specified"/>
    <x v="103"/>
    <x v="22"/>
    <x v="0"/>
    <s v="Small Business"/>
    <x v="0"/>
    <x v="6"/>
    <n v="109.86"/>
    <n v="3.38"/>
  </r>
  <r>
    <n v="1899"/>
    <n v="13607"/>
    <d v="2010-11-18T00:00:00"/>
    <s v="Critical"/>
    <x v="609"/>
    <x v="6"/>
    <x v="1"/>
    <s v="Small Business"/>
    <x v="2"/>
    <x v="5"/>
    <n v="440.6"/>
    <n v="39.479999999999997"/>
  </r>
  <r>
    <n v="1900"/>
    <n v="13607"/>
    <d v="2010-11-18T00:00:00"/>
    <s v="Critical"/>
    <x v="609"/>
    <x v="6"/>
    <x v="1"/>
    <s v="Small Business"/>
    <x v="0"/>
    <x v="8"/>
    <n v="109.9"/>
    <n v="2.61"/>
  </r>
  <r>
    <n v="1901"/>
    <n v="13607"/>
    <d v="2010-11-18T00:00:00"/>
    <s v="Critical"/>
    <x v="609"/>
    <x v="6"/>
    <x v="1"/>
    <s v="Small Business"/>
    <x v="0"/>
    <x v="0"/>
    <n v="315.29000000000002"/>
    <n v="20.34"/>
  </r>
  <r>
    <n v="1902"/>
    <n v="13632"/>
    <d v="2009-03-10T00:00:00"/>
    <s v="Medium"/>
    <x v="232"/>
    <x v="34"/>
    <x v="2"/>
    <s v="Home Office"/>
    <x v="2"/>
    <x v="10"/>
    <n v="608.92999999999995"/>
    <n v="99.99"/>
  </r>
  <r>
    <n v="1903"/>
    <n v="13633"/>
    <d v="2012-04-03T00:00:00"/>
    <s v="Not Specified"/>
    <x v="196"/>
    <x v="5"/>
    <x v="0"/>
    <s v="Corporate"/>
    <x v="1"/>
    <x v="15"/>
    <n v="2703.37"/>
    <n v="150.97999999999999"/>
  </r>
  <r>
    <n v="1904"/>
    <n v="13633"/>
    <d v="2012-04-03T00:00:00"/>
    <s v="Not Specified"/>
    <x v="196"/>
    <x v="5"/>
    <x v="0"/>
    <s v="Corporate"/>
    <x v="0"/>
    <x v="0"/>
    <n v="1538.17"/>
    <n v="38.94"/>
  </r>
  <r>
    <n v="1905"/>
    <n v="13634"/>
    <d v="2011-04-18T00:00:00"/>
    <s v="High"/>
    <x v="219"/>
    <x v="23"/>
    <x v="3"/>
    <s v="Consumer"/>
    <x v="2"/>
    <x v="5"/>
    <n v="1824.13"/>
    <n v="39.979999999999997"/>
  </r>
  <r>
    <n v="1906"/>
    <n v="13634"/>
    <d v="2011-04-18T00:00:00"/>
    <s v="High"/>
    <x v="219"/>
    <x v="23"/>
    <x v="3"/>
    <s v="Consumer"/>
    <x v="0"/>
    <x v="14"/>
    <n v="151.38"/>
    <n v="5.58"/>
  </r>
  <r>
    <n v="1907"/>
    <n v="13635"/>
    <d v="2009-05-01T00:00:00"/>
    <s v="Critical"/>
    <x v="453"/>
    <x v="11"/>
    <x v="2"/>
    <s v="Home Office"/>
    <x v="0"/>
    <x v="9"/>
    <n v="149"/>
    <n v="4.9800000000000004"/>
  </r>
  <r>
    <n v="1908"/>
    <n v="13635"/>
    <d v="2009-05-01T00:00:00"/>
    <s v="Critical"/>
    <x v="453"/>
    <x v="11"/>
    <x v="2"/>
    <s v="Home Office"/>
    <x v="0"/>
    <x v="9"/>
    <n v="334.29"/>
    <n v="6.48"/>
  </r>
  <r>
    <n v="1909"/>
    <n v="13636"/>
    <d v="2009-01-22T00:00:00"/>
    <s v="Low"/>
    <x v="130"/>
    <x v="17"/>
    <x v="0"/>
    <s v="Home Office"/>
    <x v="1"/>
    <x v="11"/>
    <n v="28180.080000000002"/>
    <n v="880.98"/>
  </r>
  <r>
    <n v="1910"/>
    <n v="13638"/>
    <d v="2011-09-30T00:00:00"/>
    <s v="High"/>
    <x v="300"/>
    <x v="26"/>
    <x v="3"/>
    <s v="Consumer"/>
    <x v="2"/>
    <x v="5"/>
    <n v="682.77"/>
    <n v="14.48"/>
  </r>
  <r>
    <n v="1911"/>
    <n v="13668"/>
    <d v="2012-02-24T00:00:00"/>
    <s v="Critical"/>
    <x v="465"/>
    <x v="16"/>
    <x v="1"/>
    <s v="Home Office"/>
    <x v="1"/>
    <x v="2"/>
    <n v="282.61"/>
    <n v="6.24"/>
  </r>
  <r>
    <n v="1912"/>
    <n v="13670"/>
    <d v="2012-05-23T00:00:00"/>
    <s v="Critical"/>
    <x v="504"/>
    <x v="27"/>
    <x v="3"/>
    <s v="Home Office"/>
    <x v="0"/>
    <x v="8"/>
    <n v="116.37"/>
    <n v="3.69"/>
  </r>
  <r>
    <n v="1913"/>
    <n v="13702"/>
    <d v="2011-09-10T00:00:00"/>
    <s v="Low"/>
    <x v="555"/>
    <x v="0"/>
    <x v="0"/>
    <s v="Small Business"/>
    <x v="0"/>
    <x v="9"/>
    <n v="209"/>
    <n v="35.44"/>
  </r>
  <r>
    <n v="1914"/>
    <n v="13729"/>
    <d v="2009-01-01T00:00:00"/>
    <s v="Not Specified"/>
    <x v="652"/>
    <x v="23"/>
    <x v="3"/>
    <s v="Home Office"/>
    <x v="0"/>
    <x v="0"/>
    <n v="872.48"/>
    <n v="95.99"/>
  </r>
  <r>
    <n v="1915"/>
    <n v="13730"/>
    <d v="2011-05-09T00:00:00"/>
    <s v="High"/>
    <x v="219"/>
    <x v="23"/>
    <x v="3"/>
    <s v="Corporate"/>
    <x v="1"/>
    <x v="3"/>
    <n v="3617.64"/>
    <n v="146.34"/>
  </r>
  <r>
    <n v="1916"/>
    <n v="13731"/>
    <d v="2010-05-09T00:00:00"/>
    <s v="Not Specified"/>
    <x v="750"/>
    <x v="12"/>
    <x v="3"/>
    <s v="Small Business"/>
    <x v="0"/>
    <x v="9"/>
    <n v="44.08"/>
    <n v="4.4800000000000004"/>
  </r>
  <r>
    <n v="1917"/>
    <n v="13735"/>
    <d v="2009-05-21T00:00:00"/>
    <s v="Medium"/>
    <x v="634"/>
    <x v="5"/>
    <x v="0"/>
    <s v="Home Office"/>
    <x v="0"/>
    <x v="14"/>
    <n v="281.70999999999998"/>
    <n v="7.64"/>
  </r>
  <r>
    <n v="1918"/>
    <n v="13761"/>
    <d v="2009-10-17T00:00:00"/>
    <s v="Low"/>
    <x v="751"/>
    <x v="26"/>
    <x v="3"/>
    <s v="Home Office"/>
    <x v="0"/>
    <x v="0"/>
    <n v="2421.44"/>
    <n v="78.8"/>
  </r>
  <r>
    <n v="1919"/>
    <n v="13762"/>
    <d v="2010-06-21T00:00:00"/>
    <s v="Medium"/>
    <x v="752"/>
    <x v="15"/>
    <x v="2"/>
    <s v="Corporate"/>
    <x v="0"/>
    <x v="12"/>
    <n v="55"/>
    <n v="6.28"/>
  </r>
  <r>
    <n v="1920"/>
    <n v="13762"/>
    <d v="2010-06-21T00:00:00"/>
    <s v="Medium"/>
    <x v="752"/>
    <x v="15"/>
    <x v="2"/>
    <s v="Corporate"/>
    <x v="0"/>
    <x v="14"/>
    <n v="51.66"/>
    <n v="7.64"/>
  </r>
  <r>
    <n v="1921"/>
    <n v="13762"/>
    <d v="2010-06-21T00:00:00"/>
    <s v="Medium"/>
    <x v="752"/>
    <x v="15"/>
    <x v="2"/>
    <s v="Corporate"/>
    <x v="0"/>
    <x v="8"/>
    <n v="107.73"/>
    <n v="3.15"/>
  </r>
  <r>
    <n v="1922"/>
    <n v="13764"/>
    <d v="2011-07-13T00:00:00"/>
    <s v="Medium"/>
    <x v="178"/>
    <x v="27"/>
    <x v="3"/>
    <s v="Home Office"/>
    <x v="0"/>
    <x v="6"/>
    <n v="123.93"/>
    <n v="4.28"/>
  </r>
  <r>
    <n v="1923"/>
    <n v="13765"/>
    <d v="2009-04-05T00:00:00"/>
    <s v="Not Specified"/>
    <x v="65"/>
    <x v="8"/>
    <x v="2"/>
    <s v="Corporate"/>
    <x v="0"/>
    <x v="6"/>
    <n v="1553.38"/>
    <n v="36.549999999999997"/>
  </r>
  <r>
    <n v="1924"/>
    <n v="13767"/>
    <d v="2010-08-26T00:00:00"/>
    <s v="High"/>
    <x v="451"/>
    <x v="37"/>
    <x v="2"/>
    <s v="Corporate"/>
    <x v="0"/>
    <x v="13"/>
    <n v="597.66"/>
    <n v="21.66"/>
  </r>
  <r>
    <n v="1925"/>
    <n v="13767"/>
    <d v="2010-08-26T00:00:00"/>
    <s v="High"/>
    <x v="451"/>
    <x v="37"/>
    <x v="2"/>
    <s v="Corporate"/>
    <x v="2"/>
    <x v="4"/>
    <n v="1403.741"/>
    <n v="35.99"/>
  </r>
  <r>
    <n v="1926"/>
    <n v="13767"/>
    <d v="2010-08-26T00:00:00"/>
    <s v="High"/>
    <x v="451"/>
    <x v="37"/>
    <x v="2"/>
    <s v="Corporate"/>
    <x v="2"/>
    <x v="4"/>
    <n v="1246.3634999999999"/>
    <n v="155.99"/>
  </r>
  <r>
    <n v="1927"/>
    <n v="13767"/>
    <d v="2010-08-26T00:00:00"/>
    <s v="High"/>
    <x v="753"/>
    <x v="36"/>
    <x v="2"/>
    <s v="Corporate"/>
    <x v="1"/>
    <x v="3"/>
    <n v="2050.712"/>
    <n v="218.75"/>
  </r>
  <r>
    <n v="1928"/>
    <n v="13795"/>
    <d v="2011-04-10T00:00:00"/>
    <s v="Not Specified"/>
    <x v="0"/>
    <x v="0"/>
    <x v="0"/>
    <s v="Small Business"/>
    <x v="0"/>
    <x v="12"/>
    <n v="501.32"/>
    <n v="15.99"/>
  </r>
  <r>
    <n v="1929"/>
    <n v="13795"/>
    <d v="2011-04-10T00:00:00"/>
    <s v="Not Specified"/>
    <x v="0"/>
    <x v="0"/>
    <x v="0"/>
    <s v="Small Business"/>
    <x v="0"/>
    <x v="9"/>
    <n v="275.16000000000003"/>
    <n v="11.34"/>
  </r>
  <r>
    <n v="1930"/>
    <n v="13795"/>
    <d v="2011-04-10T00:00:00"/>
    <s v="Not Specified"/>
    <x v="0"/>
    <x v="0"/>
    <x v="0"/>
    <s v="Small Business"/>
    <x v="0"/>
    <x v="9"/>
    <n v="1302.99"/>
    <n v="35.44"/>
  </r>
  <r>
    <n v="1931"/>
    <n v="13799"/>
    <d v="2010-12-01T00:00:00"/>
    <s v="Critical"/>
    <x v="430"/>
    <x v="4"/>
    <x v="1"/>
    <s v="Small Business"/>
    <x v="1"/>
    <x v="2"/>
    <n v="118.06"/>
    <n v="22.23"/>
  </r>
  <r>
    <n v="1932"/>
    <n v="13824"/>
    <d v="2009-12-27T00:00:00"/>
    <s v="Low"/>
    <x v="754"/>
    <x v="19"/>
    <x v="3"/>
    <s v="Home Office"/>
    <x v="0"/>
    <x v="8"/>
    <n v="55.27"/>
    <n v="2.89"/>
  </r>
  <r>
    <n v="1933"/>
    <n v="13825"/>
    <d v="2009-03-21T00:00:00"/>
    <s v="High"/>
    <x v="594"/>
    <x v="1"/>
    <x v="1"/>
    <s v="Home Office"/>
    <x v="0"/>
    <x v="9"/>
    <n v="186.79"/>
    <n v="6.48"/>
  </r>
  <r>
    <n v="1934"/>
    <n v="13830"/>
    <d v="2009-12-21T00:00:00"/>
    <s v="High"/>
    <x v="81"/>
    <x v="45"/>
    <x v="0"/>
    <s v="Small Business"/>
    <x v="0"/>
    <x v="14"/>
    <n v="2609.5300000000002"/>
    <n v="90.48"/>
  </r>
  <r>
    <n v="1935"/>
    <n v="13861"/>
    <d v="2010-08-11T00:00:00"/>
    <s v="High"/>
    <x v="755"/>
    <x v="5"/>
    <x v="0"/>
    <s v="Corporate"/>
    <x v="0"/>
    <x v="6"/>
    <n v="37.299999999999997"/>
    <n v="4.84"/>
  </r>
  <r>
    <n v="1936"/>
    <n v="13889"/>
    <d v="2011-09-04T00:00:00"/>
    <s v="Medium"/>
    <x v="756"/>
    <x v="22"/>
    <x v="0"/>
    <s v="Small Business"/>
    <x v="1"/>
    <x v="15"/>
    <n v="12979.1"/>
    <n v="258.98"/>
  </r>
  <r>
    <n v="1937"/>
    <n v="13892"/>
    <d v="2012-04-27T00:00:00"/>
    <s v="High"/>
    <x v="757"/>
    <x v="5"/>
    <x v="0"/>
    <s v="Home Office"/>
    <x v="2"/>
    <x v="5"/>
    <n v="1446.97"/>
    <n v="29.89"/>
  </r>
  <r>
    <n v="1938"/>
    <n v="13894"/>
    <d v="2012-04-10T00:00:00"/>
    <s v="Medium"/>
    <x v="569"/>
    <x v="10"/>
    <x v="0"/>
    <s v="Home Office"/>
    <x v="0"/>
    <x v="6"/>
    <n v="89.18"/>
    <n v="2.94"/>
  </r>
  <r>
    <n v="1939"/>
    <n v="13894"/>
    <d v="2012-04-10T00:00:00"/>
    <s v="Medium"/>
    <x v="569"/>
    <x v="10"/>
    <x v="0"/>
    <s v="Home Office"/>
    <x v="2"/>
    <x v="4"/>
    <n v="1540.2850000000001"/>
    <n v="35.99"/>
  </r>
  <r>
    <n v="1940"/>
    <n v="13895"/>
    <d v="2010-11-20T00:00:00"/>
    <s v="High"/>
    <x v="643"/>
    <x v="14"/>
    <x v="0"/>
    <s v="Small Business"/>
    <x v="0"/>
    <x v="0"/>
    <n v="614.34"/>
    <n v="14.03"/>
  </r>
  <r>
    <n v="1941"/>
    <n v="13920"/>
    <d v="2009-10-09T00:00:00"/>
    <s v="Critical"/>
    <x v="758"/>
    <x v="34"/>
    <x v="2"/>
    <s v="Home Office"/>
    <x v="0"/>
    <x v="9"/>
    <n v="901.32"/>
    <n v="37.94"/>
  </r>
  <r>
    <n v="1942"/>
    <n v="13920"/>
    <d v="2009-10-09T00:00:00"/>
    <s v="Critical"/>
    <x v="758"/>
    <x v="34"/>
    <x v="2"/>
    <s v="Home Office"/>
    <x v="0"/>
    <x v="1"/>
    <n v="207.21"/>
    <n v="8.57"/>
  </r>
  <r>
    <n v="1943"/>
    <n v="13923"/>
    <d v="2012-07-08T00:00:00"/>
    <s v="High"/>
    <x v="759"/>
    <x v="16"/>
    <x v="1"/>
    <s v="Home Office"/>
    <x v="2"/>
    <x v="10"/>
    <n v="4332.3"/>
    <n v="200.97"/>
  </r>
  <r>
    <n v="1944"/>
    <n v="13923"/>
    <d v="2012-07-08T00:00:00"/>
    <s v="High"/>
    <x v="345"/>
    <x v="9"/>
    <x v="1"/>
    <s v="Home Office"/>
    <x v="0"/>
    <x v="13"/>
    <n v="220.09"/>
    <n v="4.4800000000000004"/>
  </r>
  <r>
    <n v="1945"/>
    <n v="13923"/>
    <d v="2012-07-08T00:00:00"/>
    <s v="High"/>
    <x v="345"/>
    <x v="9"/>
    <x v="1"/>
    <s v="Home Office"/>
    <x v="0"/>
    <x v="9"/>
    <n v="1220.23"/>
    <n v="22.84"/>
  </r>
  <r>
    <n v="1946"/>
    <n v="13923"/>
    <d v="2012-07-08T00:00:00"/>
    <s v="High"/>
    <x v="345"/>
    <x v="9"/>
    <x v="1"/>
    <s v="Home Office"/>
    <x v="0"/>
    <x v="0"/>
    <n v="6152.8"/>
    <n v="225.02"/>
  </r>
  <r>
    <n v="1947"/>
    <n v="13927"/>
    <d v="2009-08-26T00:00:00"/>
    <s v="Low"/>
    <x v="760"/>
    <x v="30"/>
    <x v="0"/>
    <s v="Corporate"/>
    <x v="0"/>
    <x v="9"/>
    <n v="188.05"/>
    <n v="6.48"/>
  </r>
  <r>
    <n v="1948"/>
    <n v="13953"/>
    <d v="2011-05-31T00:00:00"/>
    <s v="Critical"/>
    <x v="90"/>
    <x v="27"/>
    <x v="3"/>
    <s v="Consumer"/>
    <x v="0"/>
    <x v="9"/>
    <n v="381.24"/>
    <n v="11.34"/>
  </r>
  <r>
    <n v="1949"/>
    <n v="13958"/>
    <d v="2010-01-23T00:00:00"/>
    <s v="Low"/>
    <x v="227"/>
    <x v="16"/>
    <x v="1"/>
    <s v="Consumer"/>
    <x v="2"/>
    <x v="4"/>
    <n v="808.673"/>
    <n v="85.99"/>
  </r>
  <r>
    <n v="1950"/>
    <n v="13959"/>
    <d v="2009-04-04T00:00:00"/>
    <s v="Medium"/>
    <x v="521"/>
    <x v="4"/>
    <x v="1"/>
    <s v="Home Office"/>
    <x v="0"/>
    <x v="8"/>
    <n v="228.46"/>
    <n v="4.91"/>
  </r>
  <r>
    <n v="1951"/>
    <n v="13959"/>
    <d v="2009-04-04T00:00:00"/>
    <s v="Medium"/>
    <x v="521"/>
    <x v="4"/>
    <x v="1"/>
    <s v="Home Office"/>
    <x v="0"/>
    <x v="9"/>
    <n v="77.61"/>
    <n v="4"/>
  </r>
  <r>
    <n v="1952"/>
    <n v="13984"/>
    <d v="2012-09-24T00:00:00"/>
    <s v="Critical"/>
    <x v="399"/>
    <x v="22"/>
    <x v="0"/>
    <s v="Home Office"/>
    <x v="1"/>
    <x v="2"/>
    <n v="2052.8200000000002"/>
    <n v="70.709999999999994"/>
  </r>
  <r>
    <n v="1953"/>
    <n v="13986"/>
    <d v="2011-10-11T00:00:00"/>
    <s v="High"/>
    <x v="422"/>
    <x v="22"/>
    <x v="0"/>
    <s v="Consumer"/>
    <x v="2"/>
    <x v="5"/>
    <n v="1905.79"/>
    <n v="39.479999999999997"/>
  </r>
  <r>
    <n v="1954"/>
    <n v="13988"/>
    <d v="2012-08-01T00:00:00"/>
    <s v="Not Specified"/>
    <x v="123"/>
    <x v="2"/>
    <x v="2"/>
    <s v="Home Office"/>
    <x v="1"/>
    <x v="2"/>
    <n v="180.27"/>
    <n v="4.95"/>
  </r>
  <r>
    <n v="1955"/>
    <n v="13988"/>
    <d v="2012-08-01T00:00:00"/>
    <s v="Not Specified"/>
    <x v="123"/>
    <x v="2"/>
    <x v="2"/>
    <s v="Home Office"/>
    <x v="0"/>
    <x v="0"/>
    <n v="626.96"/>
    <n v="14.98"/>
  </r>
  <r>
    <n v="1956"/>
    <n v="13988"/>
    <d v="2012-08-01T00:00:00"/>
    <s v="Not Specified"/>
    <x v="761"/>
    <x v="2"/>
    <x v="2"/>
    <s v="Home Office"/>
    <x v="0"/>
    <x v="13"/>
    <n v="236.31"/>
    <n v="11.97"/>
  </r>
  <r>
    <n v="1957"/>
    <n v="13991"/>
    <d v="2012-03-06T00:00:00"/>
    <s v="High"/>
    <x v="563"/>
    <x v="16"/>
    <x v="1"/>
    <s v="Corporate"/>
    <x v="2"/>
    <x v="5"/>
    <n v="170.7"/>
    <n v="6.48"/>
  </r>
  <r>
    <n v="1958"/>
    <n v="13991"/>
    <d v="2012-03-06T00:00:00"/>
    <s v="High"/>
    <x v="563"/>
    <x v="16"/>
    <x v="1"/>
    <s v="Corporate"/>
    <x v="1"/>
    <x v="3"/>
    <n v="1839.4480000000001"/>
    <n v="111.96"/>
  </r>
  <r>
    <n v="1959"/>
    <n v="14016"/>
    <d v="2012-07-11T00:00:00"/>
    <s v="Low"/>
    <x v="454"/>
    <x v="4"/>
    <x v="1"/>
    <s v="Corporate"/>
    <x v="1"/>
    <x v="3"/>
    <n v="1137.6199999999999"/>
    <n v="124.49"/>
  </r>
  <r>
    <n v="1960"/>
    <n v="14018"/>
    <d v="2010-06-06T00:00:00"/>
    <s v="High"/>
    <x v="719"/>
    <x v="25"/>
    <x v="1"/>
    <s v="Consumer"/>
    <x v="0"/>
    <x v="8"/>
    <n v="160.68"/>
    <n v="4.9800000000000004"/>
  </r>
  <r>
    <n v="1961"/>
    <n v="14021"/>
    <d v="2011-03-07T00:00:00"/>
    <s v="High"/>
    <x v="527"/>
    <x v="17"/>
    <x v="0"/>
    <s v="Corporate"/>
    <x v="0"/>
    <x v="6"/>
    <n v="27.05"/>
    <n v="1.82"/>
  </r>
  <r>
    <n v="1962"/>
    <n v="14023"/>
    <d v="2010-02-20T00:00:00"/>
    <s v="Not Specified"/>
    <x v="634"/>
    <x v="5"/>
    <x v="0"/>
    <s v="Corporate"/>
    <x v="0"/>
    <x v="12"/>
    <n v="711.1"/>
    <n v="21.38"/>
  </r>
  <r>
    <n v="1963"/>
    <n v="14023"/>
    <d v="2010-02-20T00:00:00"/>
    <s v="Not Specified"/>
    <x v="634"/>
    <x v="5"/>
    <x v="0"/>
    <s v="Corporate"/>
    <x v="0"/>
    <x v="9"/>
    <n v="498.16"/>
    <n v="9.99"/>
  </r>
  <r>
    <n v="1964"/>
    <n v="14048"/>
    <d v="2010-05-17T00:00:00"/>
    <s v="Not Specified"/>
    <x v="762"/>
    <x v="16"/>
    <x v="1"/>
    <s v="Small Business"/>
    <x v="0"/>
    <x v="6"/>
    <n v="1837.15"/>
    <n v="40.97"/>
  </r>
  <r>
    <n v="1965"/>
    <n v="14048"/>
    <d v="2010-05-17T00:00:00"/>
    <s v="Not Specified"/>
    <x v="762"/>
    <x v="16"/>
    <x v="1"/>
    <s v="Small Business"/>
    <x v="0"/>
    <x v="0"/>
    <n v="540.22"/>
    <n v="101.41"/>
  </r>
  <r>
    <n v="1966"/>
    <n v="14048"/>
    <d v="2010-05-17T00:00:00"/>
    <s v="Not Specified"/>
    <x v="762"/>
    <x v="16"/>
    <x v="1"/>
    <s v="Small Business"/>
    <x v="2"/>
    <x v="4"/>
    <n v="2035.3929999999998"/>
    <n v="55.99"/>
  </r>
  <r>
    <n v="1967"/>
    <n v="14055"/>
    <d v="2009-09-01T00:00:00"/>
    <s v="High"/>
    <x v="688"/>
    <x v="8"/>
    <x v="2"/>
    <s v="Home Office"/>
    <x v="1"/>
    <x v="2"/>
    <n v="441.7"/>
    <n v="22.23"/>
  </r>
  <r>
    <n v="1968"/>
    <n v="14081"/>
    <d v="2010-10-06T00:00:00"/>
    <s v="High"/>
    <x v="282"/>
    <x v="7"/>
    <x v="3"/>
    <s v="Home Office"/>
    <x v="1"/>
    <x v="3"/>
    <n v="1476.12"/>
    <n v="44.43"/>
  </r>
  <r>
    <n v="1969"/>
    <n v="14086"/>
    <d v="2010-10-20T00:00:00"/>
    <s v="Low"/>
    <x v="282"/>
    <x v="7"/>
    <x v="3"/>
    <s v="Consumer"/>
    <x v="1"/>
    <x v="11"/>
    <n v="1764.97"/>
    <n v="130.97999999999999"/>
  </r>
  <r>
    <n v="1970"/>
    <n v="14086"/>
    <d v="2010-10-20T00:00:00"/>
    <s v="Low"/>
    <x v="763"/>
    <x v="7"/>
    <x v="3"/>
    <s v="Consumer"/>
    <x v="0"/>
    <x v="9"/>
    <n v="238.34"/>
    <n v="4.76"/>
  </r>
  <r>
    <n v="1971"/>
    <n v="14112"/>
    <d v="2009-07-24T00:00:00"/>
    <s v="Low"/>
    <x v="764"/>
    <x v="12"/>
    <x v="3"/>
    <s v="Corporate"/>
    <x v="0"/>
    <x v="13"/>
    <n v="68.45"/>
    <n v="50.98"/>
  </r>
  <r>
    <n v="1972"/>
    <n v="14113"/>
    <d v="2011-08-04T00:00:00"/>
    <s v="High"/>
    <x v="627"/>
    <x v="23"/>
    <x v="3"/>
    <s v="Home Office"/>
    <x v="1"/>
    <x v="3"/>
    <n v="8218.16"/>
    <n v="376.13"/>
  </r>
  <r>
    <n v="1973"/>
    <n v="14114"/>
    <d v="2009-04-06T00:00:00"/>
    <s v="Critical"/>
    <x v="765"/>
    <x v="13"/>
    <x v="3"/>
    <s v="Small Business"/>
    <x v="0"/>
    <x v="7"/>
    <n v="65.16"/>
    <n v="2.1800000000000002"/>
  </r>
  <r>
    <n v="1974"/>
    <n v="14114"/>
    <d v="2009-04-06T00:00:00"/>
    <s v="Critical"/>
    <x v="766"/>
    <x v="12"/>
    <x v="3"/>
    <s v="Small Business"/>
    <x v="1"/>
    <x v="11"/>
    <n v="6532.48"/>
    <n v="170.98"/>
  </r>
  <r>
    <n v="1975"/>
    <n v="14114"/>
    <d v="2009-04-06T00:00:00"/>
    <s v="Critical"/>
    <x v="767"/>
    <x v="12"/>
    <x v="3"/>
    <s v="Small Business"/>
    <x v="1"/>
    <x v="2"/>
    <n v="241.9"/>
    <n v="5.77"/>
  </r>
  <r>
    <n v="1976"/>
    <n v="14115"/>
    <d v="2009-08-14T00:00:00"/>
    <s v="Not Specified"/>
    <x v="747"/>
    <x v="5"/>
    <x v="0"/>
    <s v="Consumer"/>
    <x v="1"/>
    <x v="2"/>
    <n v="158.78"/>
    <n v="6.28"/>
  </r>
  <r>
    <n v="1977"/>
    <n v="14115"/>
    <d v="2009-08-14T00:00:00"/>
    <s v="Not Specified"/>
    <x v="747"/>
    <x v="5"/>
    <x v="0"/>
    <s v="Consumer"/>
    <x v="2"/>
    <x v="4"/>
    <n v="3296.0619999999999"/>
    <n v="85.99"/>
  </r>
  <r>
    <n v="1978"/>
    <n v="14116"/>
    <d v="2011-10-09T00:00:00"/>
    <s v="High"/>
    <x v="72"/>
    <x v="0"/>
    <x v="0"/>
    <s v="Small Business"/>
    <x v="0"/>
    <x v="12"/>
    <n v="40.1"/>
    <n v="30.98"/>
  </r>
  <r>
    <n v="1979"/>
    <n v="14116"/>
    <d v="2011-10-09T00:00:00"/>
    <s v="High"/>
    <x v="335"/>
    <x v="0"/>
    <x v="0"/>
    <s v="Small Business"/>
    <x v="0"/>
    <x v="12"/>
    <n v="1414.05"/>
    <n v="34.54"/>
  </r>
  <r>
    <n v="1980"/>
    <n v="14117"/>
    <d v="2010-08-25T00:00:00"/>
    <s v="Not Specified"/>
    <x v="459"/>
    <x v="36"/>
    <x v="2"/>
    <s v="Corporate"/>
    <x v="0"/>
    <x v="7"/>
    <n v="5.31"/>
    <n v="1.1399999999999999"/>
  </r>
  <r>
    <n v="1981"/>
    <n v="14119"/>
    <d v="2010-05-31T00:00:00"/>
    <s v="Low"/>
    <x v="768"/>
    <x v="27"/>
    <x v="3"/>
    <s v="Home Office"/>
    <x v="1"/>
    <x v="2"/>
    <n v="103.11"/>
    <n v="4.18"/>
  </r>
  <r>
    <n v="1982"/>
    <n v="14119"/>
    <d v="2010-05-31T00:00:00"/>
    <s v="Low"/>
    <x v="768"/>
    <x v="27"/>
    <x v="3"/>
    <s v="Home Office"/>
    <x v="2"/>
    <x v="4"/>
    <n v="1599.0709999999999"/>
    <n v="55.99"/>
  </r>
  <r>
    <n v="1983"/>
    <n v="14119"/>
    <d v="2010-05-31T00:00:00"/>
    <s v="Low"/>
    <x v="768"/>
    <x v="27"/>
    <x v="3"/>
    <s v="Home Office"/>
    <x v="2"/>
    <x v="4"/>
    <n v="968.23500000000001"/>
    <n v="35.99"/>
  </r>
  <r>
    <n v="1984"/>
    <n v="14147"/>
    <d v="2010-03-07T00:00:00"/>
    <s v="Not Specified"/>
    <x v="769"/>
    <x v="5"/>
    <x v="0"/>
    <s v="Home Office"/>
    <x v="0"/>
    <x v="12"/>
    <n v="351.49"/>
    <n v="41.94"/>
  </r>
  <r>
    <n v="1985"/>
    <n v="14147"/>
    <d v="2010-03-07T00:00:00"/>
    <s v="Not Specified"/>
    <x v="769"/>
    <x v="5"/>
    <x v="0"/>
    <s v="Home Office"/>
    <x v="0"/>
    <x v="9"/>
    <n v="74.13"/>
    <n v="4.28"/>
  </r>
  <r>
    <n v="1986"/>
    <n v="14147"/>
    <d v="2010-03-07T00:00:00"/>
    <s v="Not Specified"/>
    <x v="769"/>
    <x v="5"/>
    <x v="0"/>
    <s v="Home Office"/>
    <x v="0"/>
    <x v="9"/>
    <n v="195.03"/>
    <n v="4.28"/>
  </r>
  <r>
    <n v="1987"/>
    <n v="14176"/>
    <d v="2009-03-12T00:00:00"/>
    <s v="Low"/>
    <x v="770"/>
    <x v="24"/>
    <x v="1"/>
    <s v="Small Business"/>
    <x v="2"/>
    <x v="4"/>
    <n v="1233.4775"/>
    <n v="35.99"/>
  </r>
  <r>
    <n v="1988"/>
    <n v="14182"/>
    <d v="2009-06-22T00:00:00"/>
    <s v="Low"/>
    <x v="771"/>
    <x v="31"/>
    <x v="3"/>
    <s v="Small Business"/>
    <x v="2"/>
    <x v="4"/>
    <n v="2433.5500000000002"/>
    <n v="125.99"/>
  </r>
  <r>
    <n v="1989"/>
    <n v="14210"/>
    <d v="2012-06-26T00:00:00"/>
    <s v="Not Specified"/>
    <x v="627"/>
    <x v="23"/>
    <x v="3"/>
    <s v="Home Office"/>
    <x v="2"/>
    <x v="5"/>
    <n v="676.79"/>
    <n v="33.29"/>
  </r>
  <r>
    <n v="1990"/>
    <n v="14211"/>
    <d v="2009-02-12T00:00:00"/>
    <s v="Not Specified"/>
    <x v="757"/>
    <x v="5"/>
    <x v="0"/>
    <s v="Home Office"/>
    <x v="2"/>
    <x v="10"/>
    <n v="3220.58"/>
    <n v="150.97999999999999"/>
  </r>
  <r>
    <n v="1991"/>
    <n v="14211"/>
    <d v="2009-02-12T00:00:00"/>
    <s v="Not Specified"/>
    <x v="757"/>
    <x v="5"/>
    <x v="0"/>
    <s v="Home Office"/>
    <x v="0"/>
    <x v="0"/>
    <n v="2367.9899999999998"/>
    <n v="176.19"/>
  </r>
  <r>
    <n v="1992"/>
    <n v="14212"/>
    <d v="2012-02-16T00:00:00"/>
    <s v="Critical"/>
    <x v="213"/>
    <x v="1"/>
    <x v="1"/>
    <s v="Small Business"/>
    <x v="1"/>
    <x v="2"/>
    <n v="31.18"/>
    <n v="6.24"/>
  </r>
  <r>
    <n v="1993"/>
    <n v="14212"/>
    <d v="2012-02-16T00:00:00"/>
    <s v="Critical"/>
    <x v="687"/>
    <x v="1"/>
    <x v="1"/>
    <s v="Small Business"/>
    <x v="0"/>
    <x v="8"/>
    <n v="21.99"/>
    <n v="2.61"/>
  </r>
  <r>
    <n v="1994"/>
    <n v="14215"/>
    <d v="2012-07-13T00:00:00"/>
    <s v="Medium"/>
    <x v="558"/>
    <x v="35"/>
    <x v="3"/>
    <s v="Home Office"/>
    <x v="0"/>
    <x v="9"/>
    <n v="2277.0300000000002"/>
    <n v="55.48"/>
  </r>
  <r>
    <n v="1995"/>
    <n v="14240"/>
    <d v="2012-02-17T00:00:00"/>
    <s v="High"/>
    <x v="447"/>
    <x v="22"/>
    <x v="0"/>
    <s v="Corporate"/>
    <x v="0"/>
    <x v="12"/>
    <n v="68.88"/>
    <n v="2.78"/>
  </r>
  <r>
    <n v="1996"/>
    <n v="14241"/>
    <d v="2012-06-14T00:00:00"/>
    <s v="Critical"/>
    <x v="761"/>
    <x v="2"/>
    <x v="2"/>
    <s v="Home Office"/>
    <x v="0"/>
    <x v="6"/>
    <n v="263.63"/>
    <n v="11.55"/>
  </r>
  <r>
    <n v="1997"/>
    <n v="14242"/>
    <d v="2011-05-08T00:00:00"/>
    <s v="High"/>
    <x v="772"/>
    <x v="2"/>
    <x v="2"/>
    <s v="Corporate"/>
    <x v="2"/>
    <x v="5"/>
    <n v="1078.58"/>
    <n v="30.73"/>
  </r>
  <r>
    <n v="1998"/>
    <n v="14245"/>
    <d v="2010-02-11T00:00:00"/>
    <s v="Critical"/>
    <x v="725"/>
    <x v="11"/>
    <x v="2"/>
    <s v="Small Business"/>
    <x v="0"/>
    <x v="6"/>
    <n v="454.09"/>
    <n v="28.15"/>
  </r>
  <r>
    <n v="1999"/>
    <n v="14247"/>
    <d v="2011-08-16T00:00:00"/>
    <s v="Critical"/>
    <x v="773"/>
    <x v="26"/>
    <x v="3"/>
    <s v="Home Office"/>
    <x v="0"/>
    <x v="7"/>
    <n v="14.75"/>
    <n v="3.29"/>
  </r>
  <r>
    <n v="2000"/>
    <n v="14272"/>
    <d v="2012-02-12T00:00:00"/>
    <s v="Medium"/>
    <x v="660"/>
    <x v="23"/>
    <x v="3"/>
    <s v="Home Office"/>
    <x v="0"/>
    <x v="13"/>
    <n v="2409.96"/>
    <n v="80.98"/>
  </r>
  <r>
    <n v="2001"/>
    <n v="14274"/>
    <d v="2009-01-06T00:00:00"/>
    <s v="Not Specified"/>
    <x v="254"/>
    <x v="21"/>
    <x v="2"/>
    <s v="Consumer"/>
    <x v="1"/>
    <x v="15"/>
    <n v="3674.08"/>
    <n v="150.97999999999999"/>
  </r>
  <r>
    <n v="2002"/>
    <n v="14274"/>
    <d v="2009-01-06T00:00:00"/>
    <s v="Not Specified"/>
    <x v="254"/>
    <x v="21"/>
    <x v="2"/>
    <s v="Consumer"/>
    <x v="0"/>
    <x v="0"/>
    <n v="1413.89"/>
    <n v="28.28"/>
  </r>
  <r>
    <n v="2003"/>
    <n v="14274"/>
    <d v="2009-01-06T00:00:00"/>
    <s v="Not Specified"/>
    <x v="254"/>
    <x v="21"/>
    <x v="2"/>
    <s v="Consumer"/>
    <x v="2"/>
    <x v="4"/>
    <n v="61.718499999999999"/>
    <n v="35.99"/>
  </r>
  <r>
    <n v="2004"/>
    <n v="14275"/>
    <d v="2010-06-13T00:00:00"/>
    <s v="Low"/>
    <x v="525"/>
    <x v="3"/>
    <x v="0"/>
    <s v="Consumer"/>
    <x v="0"/>
    <x v="12"/>
    <n v="42.22"/>
    <n v="2.08"/>
  </r>
  <r>
    <n v="2005"/>
    <n v="14275"/>
    <d v="2010-06-13T00:00:00"/>
    <s v="Low"/>
    <x v="525"/>
    <x v="3"/>
    <x v="0"/>
    <s v="Consumer"/>
    <x v="1"/>
    <x v="15"/>
    <n v="653.44000000000005"/>
    <n v="160.97999999999999"/>
  </r>
  <r>
    <n v="2006"/>
    <n v="14276"/>
    <d v="2009-06-18T00:00:00"/>
    <s v="Medium"/>
    <x v="246"/>
    <x v="22"/>
    <x v="0"/>
    <s v="Corporate"/>
    <x v="0"/>
    <x v="6"/>
    <n v="110.79"/>
    <n v="10.48"/>
  </r>
  <r>
    <n v="2007"/>
    <n v="14311"/>
    <d v="2009-08-01T00:00:00"/>
    <s v="Critical"/>
    <x v="630"/>
    <x v="16"/>
    <x v="1"/>
    <s v="Corporate"/>
    <x v="0"/>
    <x v="12"/>
    <n v="192.41"/>
    <n v="6.37"/>
  </r>
  <r>
    <n v="2008"/>
    <n v="14336"/>
    <d v="2009-11-18T00:00:00"/>
    <s v="High"/>
    <x v="315"/>
    <x v="15"/>
    <x v="2"/>
    <s v="Consumer"/>
    <x v="2"/>
    <x v="5"/>
    <n v="174.55"/>
    <n v="39.99"/>
  </r>
  <r>
    <n v="2009"/>
    <n v="14338"/>
    <d v="2010-01-31T00:00:00"/>
    <s v="Low"/>
    <x v="774"/>
    <x v="17"/>
    <x v="0"/>
    <s v="Small Business"/>
    <x v="2"/>
    <x v="10"/>
    <n v="6580.16"/>
    <n v="200.97"/>
  </r>
  <r>
    <n v="2010"/>
    <n v="14342"/>
    <d v="2009-04-27T00:00:00"/>
    <s v="Low"/>
    <x v="658"/>
    <x v="8"/>
    <x v="2"/>
    <s v="Corporate"/>
    <x v="2"/>
    <x v="5"/>
    <n v="10823.84"/>
    <n v="300.97000000000003"/>
  </r>
  <r>
    <n v="2011"/>
    <n v="14368"/>
    <d v="2011-09-10T00:00:00"/>
    <s v="High"/>
    <x v="775"/>
    <x v="5"/>
    <x v="0"/>
    <s v="Consumer"/>
    <x v="1"/>
    <x v="2"/>
    <n v="522.05999999999995"/>
    <n v="105.98"/>
  </r>
  <r>
    <n v="2012"/>
    <n v="14368"/>
    <d v="2011-09-10T00:00:00"/>
    <s v="High"/>
    <x v="775"/>
    <x v="5"/>
    <x v="0"/>
    <s v="Consumer"/>
    <x v="0"/>
    <x v="6"/>
    <n v="1218.08"/>
    <n v="34.58"/>
  </r>
  <r>
    <n v="2013"/>
    <n v="14372"/>
    <d v="2012-10-23T00:00:00"/>
    <s v="Critical"/>
    <x v="408"/>
    <x v="0"/>
    <x v="0"/>
    <s v="Corporate"/>
    <x v="1"/>
    <x v="11"/>
    <n v="5350.61"/>
    <n v="170.98"/>
  </r>
  <r>
    <n v="2014"/>
    <n v="14375"/>
    <d v="2010-01-31T00:00:00"/>
    <s v="Medium"/>
    <x v="776"/>
    <x v="20"/>
    <x v="0"/>
    <s v="Corporate"/>
    <x v="0"/>
    <x v="9"/>
    <n v="44.05"/>
    <n v="5.78"/>
  </r>
  <r>
    <n v="2015"/>
    <n v="14375"/>
    <d v="2010-01-31T00:00:00"/>
    <s v="Medium"/>
    <x v="777"/>
    <x v="31"/>
    <x v="3"/>
    <s v="Corporate"/>
    <x v="0"/>
    <x v="14"/>
    <n v="3872.38"/>
    <n v="83.93"/>
  </r>
  <r>
    <n v="2016"/>
    <n v="14400"/>
    <d v="2009-02-04T00:00:00"/>
    <s v="Medium"/>
    <x v="778"/>
    <x v="15"/>
    <x v="2"/>
    <s v="Home Office"/>
    <x v="0"/>
    <x v="12"/>
    <n v="74.34"/>
    <n v="2.16"/>
  </r>
  <r>
    <n v="2017"/>
    <n v="14400"/>
    <d v="2009-02-04T00:00:00"/>
    <s v="Medium"/>
    <x v="778"/>
    <x v="15"/>
    <x v="2"/>
    <s v="Home Office"/>
    <x v="0"/>
    <x v="9"/>
    <n v="228.8"/>
    <n v="6.48"/>
  </r>
  <r>
    <n v="2018"/>
    <n v="14400"/>
    <d v="2009-02-04T00:00:00"/>
    <s v="Medium"/>
    <x v="778"/>
    <x v="15"/>
    <x v="2"/>
    <s v="Home Office"/>
    <x v="1"/>
    <x v="3"/>
    <n v="6089.05"/>
    <n v="146.05000000000001"/>
  </r>
  <r>
    <n v="2019"/>
    <n v="14401"/>
    <d v="2011-08-04T00:00:00"/>
    <s v="Not Specified"/>
    <x v="546"/>
    <x v="23"/>
    <x v="3"/>
    <s v="Small Business"/>
    <x v="2"/>
    <x v="4"/>
    <n v="931.14949999999999"/>
    <n v="110.99"/>
  </r>
  <r>
    <n v="2020"/>
    <n v="14402"/>
    <d v="2010-10-14T00:00:00"/>
    <s v="Medium"/>
    <x v="578"/>
    <x v="27"/>
    <x v="3"/>
    <s v="Small Business"/>
    <x v="1"/>
    <x v="15"/>
    <n v="184.46"/>
    <n v="160.97999999999999"/>
  </r>
  <r>
    <n v="2021"/>
    <n v="14406"/>
    <d v="2010-03-08T00:00:00"/>
    <s v="Medium"/>
    <x v="779"/>
    <x v="17"/>
    <x v="0"/>
    <s v="Corporate"/>
    <x v="2"/>
    <x v="10"/>
    <n v="5610.84"/>
    <n v="150.97999999999999"/>
  </r>
  <r>
    <n v="2022"/>
    <n v="14406"/>
    <d v="2010-03-08T00:00:00"/>
    <s v="Medium"/>
    <x v="779"/>
    <x v="17"/>
    <x v="0"/>
    <s v="Corporate"/>
    <x v="0"/>
    <x v="0"/>
    <n v="455.34"/>
    <n v="20.98"/>
  </r>
  <r>
    <n v="2023"/>
    <n v="14406"/>
    <d v="2010-03-08T00:00:00"/>
    <s v="Medium"/>
    <x v="779"/>
    <x v="17"/>
    <x v="0"/>
    <s v="Corporate"/>
    <x v="2"/>
    <x v="4"/>
    <n v="2329.6460000000002"/>
    <n v="85.99"/>
  </r>
  <r>
    <n v="2024"/>
    <n v="14434"/>
    <d v="2011-02-15T00:00:00"/>
    <s v="Not Specified"/>
    <x v="780"/>
    <x v="16"/>
    <x v="1"/>
    <s v="Corporate"/>
    <x v="2"/>
    <x v="10"/>
    <n v="4733.88"/>
    <n v="119.99"/>
  </r>
  <r>
    <n v="2025"/>
    <n v="14435"/>
    <d v="2012-12-01T00:00:00"/>
    <s v="Not Specified"/>
    <x v="418"/>
    <x v="7"/>
    <x v="3"/>
    <s v="Small Business"/>
    <x v="1"/>
    <x v="15"/>
    <n v="3731.59"/>
    <n v="89.99"/>
  </r>
  <r>
    <n v="2026"/>
    <n v="14435"/>
    <d v="2012-12-01T00:00:00"/>
    <s v="Not Specified"/>
    <x v="418"/>
    <x v="7"/>
    <x v="3"/>
    <s v="Small Business"/>
    <x v="2"/>
    <x v="16"/>
    <n v="33367.85"/>
    <n v="3499.99"/>
  </r>
  <r>
    <n v="2027"/>
    <n v="14435"/>
    <d v="2012-12-01T00:00:00"/>
    <s v="Not Specified"/>
    <x v="418"/>
    <x v="7"/>
    <x v="3"/>
    <s v="Small Business"/>
    <x v="0"/>
    <x v="9"/>
    <n v="1299.9100000000001"/>
    <n v="30.98"/>
  </r>
  <r>
    <n v="2028"/>
    <n v="14439"/>
    <d v="2012-08-30T00:00:00"/>
    <s v="High"/>
    <x v="704"/>
    <x v="9"/>
    <x v="1"/>
    <s v="Corporate"/>
    <x v="0"/>
    <x v="9"/>
    <n v="1428.64"/>
    <n v="54.96"/>
  </r>
  <r>
    <n v="2029"/>
    <n v="14471"/>
    <d v="2011-05-26T00:00:00"/>
    <s v="Not Specified"/>
    <x v="447"/>
    <x v="22"/>
    <x v="0"/>
    <s v="Corporate"/>
    <x v="1"/>
    <x v="2"/>
    <n v="823.63"/>
    <n v="18.649999999999999"/>
  </r>
  <r>
    <n v="2030"/>
    <n v="14471"/>
    <d v="2011-05-26T00:00:00"/>
    <s v="Not Specified"/>
    <x v="447"/>
    <x v="22"/>
    <x v="0"/>
    <s v="Corporate"/>
    <x v="0"/>
    <x v="9"/>
    <n v="286.73"/>
    <n v="6.48"/>
  </r>
  <r>
    <n v="2031"/>
    <n v="14497"/>
    <d v="2012-05-20T00:00:00"/>
    <s v="Medium"/>
    <x v="781"/>
    <x v="24"/>
    <x v="1"/>
    <s v="Small Business"/>
    <x v="0"/>
    <x v="9"/>
    <n v="214.03"/>
    <n v="5.78"/>
  </r>
  <r>
    <n v="2032"/>
    <n v="14499"/>
    <d v="2010-11-14T00:00:00"/>
    <s v="Low"/>
    <x v="782"/>
    <x v="27"/>
    <x v="3"/>
    <s v="Consumer"/>
    <x v="2"/>
    <x v="5"/>
    <n v="574.99"/>
    <n v="20.97"/>
  </r>
  <r>
    <n v="2033"/>
    <n v="14500"/>
    <d v="2011-06-24T00:00:00"/>
    <s v="Not Specified"/>
    <x v="783"/>
    <x v="15"/>
    <x v="2"/>
    <s v="Consumer"/>
    <x v="0"/>
    <x v="9"/>
    <n v="839.7"/>
    <n v="19.98"/>
  </r>
  <r>
    <n v="2034"/>
    <n v="14500"/>
    <d v="2011-06-24T00:00:00"/>
    <s v="Not Specified"/>
    <x v="783"/>
    <x v="15"/>
    <x v="2"/>
    <s v="Consumer"/>
    <x v="0"/>
    <x v="6"/>
    <n v="1662.5"/>
    <n v="34.58"/>
  </r>
  <r>
    <n v="2035"/>
    <n v="14503"/>
    <d v="2011-02-05T00:00:00"/>
    <s v="Not Specified"/>
    <x v="344"/>
    <x v="33"/>
    <x v="0"/>
    <s v="Corporate"/>
    <x v="0"/>
    <x v="12"/>
    <n v="438.47"/>
    <n v="30.56"/>
  </r>
  <r>
    <n v="2036"/>
    <n v="14528"/>
    <d v="2009-06-15T00:00:00"/>
    <s v="Critical"/>
    <x v="784"/>
    <x v="31"/>
    <x v="3"/>
    <s v="Home Office"/>
    <x v="0"/>
    <x v="12"/>
    <n v="78.44"/>
    <n v="5.98"/>
  </r>
  <r>
    <n v="2037"/>
    <n v="14529"/>
    <d v="2010-09-20T00:00:00"/>
    <s v="Low"/>
    <x v="354"/>
    <x v="22"/>
    <x v="0"/>
    <s v="Home Office"/>
    <x v="1"/>
    <x v="15"/>
    <n v="3819.42"/>
    <n v="89.99"/>
  </r>
  <r>
    <n v="2038"/>
    <n v="14529"/>
    <d v="2010-09-20T00:00:00"/>
    <s v="Low"/>
    <x v="354"/>
    <x v="22"/>
    <x v="0"/>
    <s v="Home Office"/>
    <x v="1"/>
    <x v="2"/>
    <n v="208.78"/>
    <n v="5.08"/>
  </r>
  <r>
    <n v="2039"/>
    <n v="14530"/>
    <d v="2009-04-06T00:00:00"/>
    <s v="High"/>
    <x v="42"/>
    <x v="21"/>
    <x v="2"/>
    <s v="Home Office"/>
    <x v="0"/>
    <x v="0"/>
    <n v="1556.61"/>
    <n v="89.83"/>
  </r>
  <r>
    <n v="2040"/>
    <n v="14530"/>
    <d v="2009-04-06T00:00:00"/>
    <s v="High"/>
    <x v="42"/>
    <x v="21"/>
    <x v="2"/>
    <s v="Home Office"/>
    <x v="0"/>
    <x v="0"/>
    <n v="645.14"/>
    <n v="13.43"/>
  </r>
  <r>
    <n v="2041"/>
    <n v="14530"/>
    <d v="2009-04-06T00:00:00"/>
    <s v="High"/>
    <x v="42"/>
    <x v="21"/>
    <x v="2"/>
    <s v="Home Office"/>
    <x v="2"/>
    <x v="4"/>
    <n v="4851.5024999999996"/>
    <n v="125.99"/>
  </r>
  <r>
    <n v="2042"/>
    <n v="14534"/>
    <d v="2010-07-18T00:00:00"/>
    <s v="Medium"/>
    <x v="157"/>
    <x v="15"/>
    <x v="2"/>
    <s v="Corporate"/>
    <x v="2"/>
    <x v="5"/>
    <n v="745.99"/>
    <n v="15.98"/>
  </r>
  <r>
    <n v="2043"/>
    <n v="14535"/>
    <d v="2010-10-01T00:00:00"/>
    <s v="Not Specified"/>
    <x v="525"/>
    <x v="3"/>
    <x v="0"/>
    <s v="Consumer"/>
    <x v="0"/>
    <x v="0"/>
    <n v="245.96"/>
    <n v="11.29"/>
  </r>
  <r>
    <n v="2044"/>
    <n v="14563"/>
    <d v="2011-12-02T00:00:00"/>
    <s v="Critical"/>
    <x v="608"/>
    <x v="4"/>
    <x v="1"/>
    <s v="Corporate"/>
    <x v="2"/>
    <x v="4"/>
    <n v="953.04549999999995"/>
    <n v="35.99"/>
  </r>
  <r>
    <n v="2045"/>
    <n v="14596"/>
    <d v="2009-01-10T00:00:00"/>
    <s v="Critical"/>
    <x v="651"/>
    <x v="5"/>
    <x v="0"/>
    <s v="Corporate"/>
    <x v="1"/>
    <x v="2"/>
    <n v="199.12"/>
    <n v="8.34"/>
  </r>
  <r>
    <n v="2046"/>
    <n v="14596"/>
    <d v="2009-01-10T00:00:00"/>
    <s v="Critical"/>
    <x v="651"/>
    <x v="5"/>
    <x v="0"/>
    <s v="Corporate"/>
    <x v="0"/>
    <x v="6"/>
    <n v="63.14"/>
    <n v="3.28"/>
  </r>
  <r>
    <n v="2047"/>
    <n v="14597"/>
    <d v="2010-08-30T00:00:00"/>
    <s v="Critical"/>
    <x v="170"/>
    <x v="6"/>
    <x v="1"/>
    <s v="Corporate"/>
    <x v="0"/>
    <x v="12"/>
    <n v="320.42"/>
    <n v="7.68"/>
  </r>
  <r>
    <n v="2048"/>
    <n v="14597"/>
    <d v="2010-08-30T00:00:00"/>
    <s v="Critical"/>
    <x v="170"/>
    <x v="6"/>
    <x v="1"/>
    <s v="Corporate"/>
    <x v="1"/>
    <x v="2"/>
    <n v="266.64"/>
    <n v="7.96"/>
  </r>
  <r>
    <n v="2049"/>
    <n v="14627"/>
    <d v="2009-02-04T00:00:00"/>
    <s v="Medium"/>
    <x v="631"/>
    <x v="20"/>
    <x v="0"/>
    <s v="Small Business"/>
    <x v="0"/>
    <x v="12"/>
    <n v="671.03"/>
    <n v="14.48"/>
  </r>
  <r>
    <n v="2050"/>
    <n v="14630"/>
    <d v="2012-10-16T00:00:00"/>
    <s v="Low"/>
    <x v="785"/>
    <x v="16"/>
    <x v="1"/>
    <s v="Corporate"/>
    <x v="0"/>
    <x v="6"/>
    <n v="363.54"/>
    <n v="22.01"/>
  </r>
  <r>
    <n v="2051"/>
    <n v="14661"/>
    <d v="2010-01-24T00:00:00"/>
    <s v="Not Specified"/>
    <x v="217"/>
    <x v="28"/>
    <x v="1"/>
    <s v="Home Office"/>
    <x v="2"/>
    <x v="5"/>
    <n v="1325.06"/>
    <n v="35.770000000000003"/>
  </r>
  <r>
    <n v="2052"/>
    <n v="14662"/>
    <d v="2011-11-16T00:00:00"/>
    <s v="High"/>
    <x v="786"/>
    <x v="31"/>
    <x v="3"/>
    <s v="Corporate"/>
    <x v="0"/>
    <x v="9"/>
    <n v="257.75"/>
    <n v="4.9800000000000004"/>
  </r>
  <r>
    <n v="2053"/>
    <n v="14662"/>
    <d v="2011-11-16T00:00:00"/>
    <s v="High"/>
    <x v="370"/>
    <x v="35"/>
    <x v="3"/>
    <s v="Corporate"/>
    <x v="0"/>
    <x v="6"/>
    <n v="39.69"/>
    <n v="1.68"/>
  </r>
  <r>
    <n v="2054"/>
    <n v="14662"/>
    <d v="2011-11-16T00:00:00"/>
    <s v="High"/>
    <x v="787"/>
    <x v="31"/>
    <x v="3"/>
    <s v="Corporate"/>
    <x v="2"/>
    <x v="4"/>
    <n v="5139.8819999999996"/>
    <n v="125.99"/>
  </r>
  <r>
    <n v="2055"/>
    <n v="14693"/>
    <d v="2011-01-09T00:00:00"/>
    <s v="Critical"/>
    <x v="651"/>
    <x v="5"/>
    <x v="0"/>
    <s v="Corporate"/>
    <x v="0"/>
    <x v="9"/>
    <n v="268.94"/>
    <n v="6.48"/>
  </r>
  <r>
    <n v="2056"/>
    <n v="14693"/>
    <d v="2011-01-09T00:00:00"/>
    <s v="Critical"/>
    <x v="651"/>
    <x v="5"/>
    <x v="0"/>
    <s v="Corporate"/>
    <x v="0"/>
    <x v="0"/>
    <n v="847.82"/>
    <n v="20.98"/>
  </r>
  <r>
    <n v="2057"/>
    <n v="14695"/>
    <d v="2012-09-05T00:00:00"/>
    <s v="High"/>
    <x v="34"/>
    <x v="5"/>
    <x v="0"/>
    <s v="Corporate"/>
    <x v="1"/>
    <x v="11"/>
    <n v="1992.45"/>
    <n v="48.58"/>
  </r>
  <r>
    <n v="2058"/>
    <n v="14726"/>
    <d v="2012-01-08T00:00:00"/>
    <s v="Low"/>
    <x v="440"/>
    <x v="0"/>
    <x v="0"/>
    <s v="Consumer"/>
    <x v="2"/>
    <x v="5"/>
    <n v="310.87"/>
    <n v="20.95"/>
  </r>
  <r>
    <n v="2059"/>
    <n v="14727"/>
    <d v="2012-07-19T00:00:00"/>
    <s v="Medium"/>
    <x v="788"/>
    <x v="35"/>
    <x v="3"/>
    <s v="Small Business"/>
    <x v="1"/>
    <x v="3"/>
    <n v="8532.152"/>
    <n v="212.6"/>
  </r>
  <r>
    <n v="2060"/>
    <n v="14727"/>
    <d v="2012-07-19T00:00:00"/>
    <s v="Medium"/>
    <x v="41"/>
    <x v="13"/>
    <x v="3"/>
    <s v="Small Business"/>
    <x v="0"/>
    <x v="13"/>
    <n v="2269.41"/>
    <n v="70.97"/>
  </r>
  <r>
    <n v="2061"/>
    <n v="14755"/>
    <d v="2010-01-05T00:00:00"/>
    <s v="High"/>
    <x v="300"/>
    <x v="26"/>
    <x v="3"/>
    <s v="Consumer"/>
    <x v="0"/>
    <x v="6"/>
    <n v="111.48"/>
    <n v="3.85"/>
  </r>
  <r>
    <n v="2062"/>
    <n v="14755"/>
    <d v="2010-01-05T00:00:00"/>
    <s v="High"/>
    <x v="300"/>
    <x v="26"/>
    <x v="3"/>
    <s v="Consumer"/>
    <x v="2"/>
    <x v="4"/>
    <n v="2322.8119999999999"/>
    <n v="65.989999999999995"/>
  </r>
  <r>
    <n v="2063"/>
    <n v="14756"/>
    <d v="2009-08-31T00:00:00"/>
    <s v="Low"/>
    <x v="496"/>
    <x v="8"/>
    <x v="2"/>
    <s v="Corporate"/>
    <x v="1"/>
    <x v="2"/>
    <n v="42.3"/>
    <n v="19.23"/>
  </r>
  <r>
    <n v="2064"/>
    <n v="14784"/>
    <d v="2012-03-14T00:00:00"/>
    <s v="Medium"/>
    <x v="494"/>
    <x v="7"/>
    <x v="3"/>
    <s v="Small Business"/>
    <x v="1"/>
    <x v="3"/>
    <n v="2009.05"/>
    <n v="44.43"/>
  </r>
  <r>
    <n v="2065"/>
    <n v="14785"/>
    <d v="2009-10-09T00:00:00"/>
    <s v="High"/>
    <x v="789"/>
    <x v="8"/>
    <x v="2"/>
    <s v="Consumer"/>
    <x v="0"/>
    <x v="8"/>
    <n v="94.86"/>
    <n v="4.91"/>
  </r>
  <r>
    <n v="2066"/>
    <n v="14785"/>
    <d v="2009-10-09T00:00:00"/>
    <s v="High"/>
    <x v="789"/>
    <x v="8"/>
    <x v="2"/>
    <s v="Consumer"/>
    <x v="0"/>
    <x v="6"/>
    <n v="744.12"/>
    <n v="28.15"/>
  </r>
  <r>
    <n v="2067"/>
    <n v="14789"/>
    <d v="2010-11-29T00:00:00"/>
    <s v="Not Specified"/>
    <x v="203"/>
    <x v="1"/>
    <x v="1"/>
    <s v="Consumer"/>
    <x v="0"/>
    <x v="13"/>
    <n v="438.07"/>
    <n v="10.89"/>
  </r>
  <r>
    <n v="2068"/>
    <n v="14789"/>
    <d v="2010-11-29T00:00:00"/>
    <s v="Not Specified"/>
    <x v="203"/>
    <x v="1"/>
    <x v="1"/>
    <s v="Consumer"/>
    <x v="0"/>
    <x v="14"/>
    <n v="116.37"/>
    <n v="5.58"/>
  </r>
  <r>
    <n v="2069"/>
    <n v="14791"/>
    <d v="2010-02-14T00:00:00"/>
    <s v="Medium"/>
    <x v="708"/>
    <x v="45"/>
    <x v="0"/>
    <s v="Consumer"/>
    <x v="2"/>
    <x v="4"/>
    <n v="1576.223"/>
    <n v="65.989999999999995"/>
  </r>
  <r>
    <n v="2070"/>
    <n v="14819"/>
    <d v="2010-01-25T00:00:00"/>
    <s v="Not Specified"/>
    <x v="790"/>
    <x v="0"/>
    <x v="0"/>
    <s v="Home Office"/>
    <x v="0"/>
    <x v="13"/>
    <n v="9062.73"/>
    <n v="207.48"/>
  </r>
  <r>
    <n v="2071"/>
    <n v="14819"/>
    <d v="2010-01-25T00:00:00"/>
    <s v="Not Specified"/>
    <x v="790"/>
    <x v="0"/>
    <x v="0"/>
    <s v="Home Office"/>
    <x v="1"/>
    <x v="11"/>
    <n v="1584.1"/>
    <n v="58.14"/>
  </r>
  <r>
    <n v="2072"/>
    <n v="14820"/>
    <d v="2012-01-09T00:00:00"/>
    <s v="High"/>
    <x v="406"/>
    <x v="14"/>
    <x v="0"/>
    <s v="Home Office"/>
    <x v="2"/>
    <x v="4"/>
    <n v="278.90199999999999"/>
    <n v="7.99"/>
  </r>
  <r>
    <n v="2073"/>
    <n v="14823"/>
    <d v="2009-02-12T00:00:00"/>
    <s v="Low"/>
    <x v="791"/>
    <x v="5"/>
    <x v="0"/>
    <s v="Small Business"/>
    <x v="0"/>
    <x v="8"/>
    <n v="103.62"/>
    <n v="7.31"/>
  </r>
  <r>
    <n v="2074"/>
    <n v="14823"/>
    <d v="2009-02-12T00:00:00"/>
    <s v="Low"/>
    <x v="791"/>
    <x v="5"/>
    <x v="0"/>
    <s v="Small Business"/>
    <x v="0"/>
    <x v="6"/>
    <n v="124.84"/>
    <n v="6.7"/>
  </r>
  <r>
    <n v="2075"/>
    <n v="14851"/>
    <d v="2012-05-11T00:00:00"/>
    <s v="Not Specified"/>
    <x v="508"/>
    <x v="16"/>
    <x v="1"/>
    <s v="Corporate"/>
    <x v="2"/>
    <x v="16"/>
    <n v="3378.18"/>
    <n v="599.99"/>
  </r>
  <r>
    <n v="2076"/>
    <n v="14851"/>
    <d v="2012-05-11T00:00:00"/>
    <s v="Not Specified"/>
    <x v="508"/>
    <x v="16"/>
    <x v="1"/>
    <s v="Corporate"/>
    <x v="2"/>
    <x v="4"/>
    <n v="1443.2660000000001"/>
    <n v="65.989999999999995"/>
  </r>
  <r>
    <n v="2077"/>
    <n v="14852"/>
    <d v="2011-12-24T00:00:00"/>
    <s v="Medium"/>
    <x v="407"/>
    <x v="20"/>
    <x v="0"/>
    <s v="Consumer"/>
    <x v="0"/>
    <x v="12"/>
    <n v="3800.4"/>
    <n v="420.98"/>
  </r>
  <r>
    <n v="2078"/>
    <n v="14854"/>
    <d v="2010-04-28T00:00:00"/>
    <s v="Low"/>
    <x v="792"/>
    <x v="26"/>
    <x v="3"/>
    <s v="Corporate"/>
    <x v="0"/>
    <x v="0"/>
    <n v="391.23"/>
    <n v="16.91"/>
  </r>
  <r>
    <n v="2079"/>
    <n v="14855"/>
    <d v="2010-04-30T00:00:00"/>
    <s v="Not Specified"/>
    <x v="793"/>
    <x v="8"/>
    <x v="2"/>
    <s v="Corporate"/>
    <x v="0"/>
    <x v="12"/>
    <n v="174.9"/>
    <n v="3.58"/>
  </r>
  <r>
    <n v="2080"/>
    <n v="14855"/>
    <d v="2010-04-30T00:00:00"/>
    <s v="Not Specified"/>
    <x v="793"/>
    <x v="8"/>
    <x v="2"/>
    <s v="Corporate"/>
    <x v="1"/>
    <x v="2"/>
    <n v="103.8"/>
    <n v="2.23"/>
  </r>
  <r>
    <n v="2081"/>
    <n v="14855"/>
    <d v="2010-04-30T00:00:00"/>
    <s v="Not Specified"/>
    <x v="793"/>
    <x v="8"/>
    <x v="2"/>
    <s v="Corporate"/>
    <x v="1"/>
    <x v="3"/>
    <n v="2557.5100000000002"/>
    <n v="124.49"/>
  </r>
  <r>
    <n v="2082"/>
    <n v="14883"/>
    <d v="2011-05-06T00:00:00"/>
    <s v="Low"/>
    <x v="794"/>
    <x v="39"/>
    <x v="1"/>
    <s v="Corporate"/>
    <x v="1"/>
    <x v="15"/>
    <n v="978.4"/>
    <n v="25.98"/>
  </r>
  <r>
    <n v="2083"/>
    <n v="14883"/>
    <d v="2011-05-06T00:00:00"/>
    <s v="Low"/>
    <x v="794"/>
    <x v="39"/>
    <x v="1"/>
    <s v="Corporate"/>
    <x v="2"/>
    <x v="4"/>
    <n v="5126.4179999999997"/>
    <n v="125.99"/>
  </r>
  <r>
    <n v="2084"/>
    <n v="14884"/>
    <d v="2011-09-27T00:00:00"/>
    <s v="High"/>
    <x v="230"/>
    <x v="15"/>
    <x v="2"/>
    <s v="Corporate"/>
    <x v="2"/>
    <x v="4"/>
    <n v="473.9855"/>
    <n v="95.99"/>
  </r>
  <r>
    <n v="2085"/>
    <n v="14913"/>
    <d v="2009-02-14T00:00:00"/>
    <s v="High"/>
    <x v="64"/>
    <x v="2"/>
    <x v="2"/>
    <s v="Consumer"/>
    <x v="0"/>
    <x v="9"/>
    <n v="1003.43"/>
    <n v="19.98"/>
  </r>
  <r>
    <n v="2086"/>
    <n v="14916"/>
    <d v="2009-02-27T00:00:00"/>
    <s v="Low"/>
    <x v="46"/>
    <x v="25"/>
    <x v="1"/>
    <s v="Corporate"/>
    <x v="2"/>
    <x v="4"/>
    <n v="1685.941"/>
    <n v="125.99"/>
  </r>
  <r>
    <n v="2087"/>
    <n v="14948"/>
    <d v="2011-05-28T00:00:00"/>
    <s v="Medium"/>
    <x v="795"/>
    <x v="22"/>
    <x v="0"/>
    <s v="Small Business"/>
    <x v="1"/>
    <x v="11"/>
    <n v="647.78"/>
    <n v="100.98"/>
  </r>
  <r>
    <n v="2088"/>
    <n v="14950"/>
    <d v="2010-09-26T00:00:00"/>
    <s v="Low"/>
    <x v="796"/>
    <x v="16"/>
    <x v="1"/>
    <s v="Small Business"/>
    <x v="0"/>
    <x v="6"/>
    <n v="525"/>
    <n v="10.48"/>
  </r>
  <r>
    <n v="2089"/>
    <n v="14951"/>
    <d v="2011-05-17T00:00:00"/>
    <s v="Medium"/>
    <x v="318"/>
    <x v="2"/>
    <x v="2"/>
    <s v="Home Office"/>
    <x v="2"/>
    <x v="5"/>
    <n v="2779.2"/>
    <n v="80.98"/>
  </r>
  <r>
    <n v="2090"/>
    <n v="14951"/>
    <d v="2011-05-17T00:00:00"/>
    <s v="Medium"/>
    <x v="318"/>
    <x v="2"/>
    <x v="2"/>
    <s v="Home Office"/>
    <x v="0"/>
    <x v="6"/>
    <n v="65.209999999999994"/>
    <n v="2.6"/>
  </r>
  <r>
    <n v="2091"/>
    <n v="14976"/>
    <d v="2011-07-22T00:00:00"/>
    <s v="High"/>
    <x v="568"/>
    <x v="36"/>
    <x v="2"/>
    <s v="Corporate"/>
    <x v="0"/>
    <x v="9"/>
    <n v="231.35"/>
    <n v="4.9800000000000004"/>
  </r>
  <r>
    <n v="2092"/>
    <n v="14978"/>
    <d v="2010-05-27T00:00:00"/>
    <s v="Critical"/>
    <x v="391"/>
    <x v="18"/>
    <x v="2"/>
    <s v="Corporate"/>
    <x v="1"/>
    <x v="11"/>
    <n v="12043.88"/>
    <n v="880.98"/>
  </r>
  <r>
    <n v="2093"/>
    <n v="14978"/>
    <d v="2010-05-27T00:00:00"/>
    <s v="Critical"/>
    <x v="391"/>
    <x v="18"/>
    <x v="2"/>
    <s v="Corporate"/>
    <x v="0"/>
    <x v="0"/>
    <n v="195.12"/>
    <n v="13.48"/>
  </r>
  <r>
    <n v="2094"/>
    <n v="14980"/>
    <d v="2012-07-14T00:00:00"/>
    <s v="Critical"/>
    <x v="207"/>
    <x v="36"/>
    <x v="2"/>
    <s v="Consumer"/>
    <x v="2"/>
    <x v="5"/>
    <n v="898.9"/>
    <n v="31.78"/>
  </r>
  <r>
    <n v="2095"/>
    <n v="14981"/>
    <d v="2010-10-26T00:00:00"/>
    <s v="Medium"/>
    <x v="759"/>
    <x v="16"/>
    <x v="1"/>
    <s v="Home Office"/>
    <x v="0"/>
    <x v="0"/>
    <n v="279.77"/>
    <n v="34.76"/>
  </r>
  <r>
    <n v="2096"/>
    <n v="14981"/>
    <d v="2010-10-26T00:00:00"/>
    <s v="Medium"/>
    <x v="759"/>
    <x v="16"/>
    <x v="1"/>
    <s v="Home Office"/>
    <x v="1"/>
    <x v="3"/>
    <n v="154.21"/>
    <n v="15.23"/>
  </r>
  <r>
    <n v="2097"/>
    <n v="14983"/>
    <d v="2009-02-11T00:00:00"/>
    <s v="High"/>
    <x v="162"/>
    <x v="2"/>
    <x v="2"/>
    <s v="Consumer"/>
    <x v="2"/>
    <x v="4"/>
    <n v="8475.9619999999995"/>
    <n v="205.99"/>
  </r>
  <r>
    <n v="2098"/>
    <n v="14983"/>
    <d v="2009-02-11T00:00:00"/>
    <s v="High"/>
    <x v="162"/>
    <x v="2"/>
    <x v="2"/>
    <s v="Consumer"/>
    <x v="2"/>
    <x v="4"/>
    <n v="3015.4939999999997"/>
    <n v="205.99"/>
  </r>
  <r>
    <n v="2099"/>
    <n v="15009"/>
    <d v="2011-12-21T00:00:00"/>
    <s v="Not Specified"/>
    <x v="766"/>
    <x v="12"/>
    <x v="3"/>
    <s v="Small Business"/>
    <x v="0"/>
    <x v="6"/>
    <n v="1200.1300000000001"/>
    <n v="28.15"/>
  </r>
  <r>
    <n v="2100"/>
    <n v="15009"/>
    <d v="2011-12-21T00:00:00"/>
    <s v="Not Specified"/>
    <x v="797"/>
    <x v="31"/>
    <x v="3"/>
    <s v="Small Business"/>
    <x v="0"/>
    <x v="14"/>
    <n v="229.43"/>
    <n v="7.78"/>
  </r>
  <r>
    <n v="2101"/>
    <n v="15014"/>
    <d v="2010-02-10T00:00:00"/>
    <s v="Medium"/>
    <x v="769"/>
    <x v="5"/>
    <x v="0"/>
    <s v="Corporate"/>
    <x v="1"/>
    <x v="11"/>
    <n v="633.13"/>
    <n v="58.14"/>
  </r>
  <r>
    <n v="2102"/>
    <n v="15015"/>
    <d v="2010-11-25T00:00:00"/>
    <s v="High"/>
    <x v="609"/>
    <x v="6"/>
    <x v="1"/>
    <s v="Small Business"/>
    <x v="1"/>
    <x v="2"/>
    <n v="306.77"/>
    <n v="6.24"/>
  </r>
  <r>
    <n v="2103"/>
    <n v="15040"/>
    <d v="2009-12-04T00:00:00"/>
    <s v="Low"/>
    <x v="402"/>
    <x v="44"/>
    <x v="2"/>
    <s v="Consumer"/>
    <x v="0"/>
    <x v="9"/>
    <n v="410.35"/>
    <n v="9.11"/>
  </r>
  <r>
    <n v="2104"/>
    <n v="15044"/>
    <d v="2012-03-06T00:00:00"/>
    <s v="Low"/>
    <x v="359"/>
    <x v="30"/>
    <x v="0"/>
    <s v="Corporate"/>
    <x v="2"/>
    <x v="5"/>
    <n v="1681.6"/>
    <n v="39.99"/>
  </r>
  <r>
    <n v="2105"/>
    <n v="15045"/>
    <d v="2010-08-20T00:00:00"/>
    <s v="Not Specified"/>
    <x v="543"/>
    <x v="8"/>
    <x v="2"/>
    <s v="Small Business"/>
    <x v="1"/>
    <x v="15"/>
    <n v="1378.72"/>
    <n v="122.99"/>
  </r>
  <r>
    <n v="2106"/>
    <n v="15074"/>
    <d v="2009-11-28T00:00:00"/>
    <s v="Not Specified"/>
    <x v="261"/>
    <x v="24"/>
    <x v="1"/>
    <s v="Consumer"/>
    <x v="0"/>
    <x v="9"/>
    <n v="941.4"/>
    <n v="35.44"/>
  </r>
  <r>
    <n v="2107"/>
    <n v="15075"/>
    <d v="2009-10-04T00:00:00"/>
    <s v="Medium"/>
    <x v="798"/>
    <x v="15"/>
    <x v="2"/>
    <s v="Consumer"/>
    <x v="1"/>
    <x v="2"/>
    <n v="1548.43"/>
    <n v="63.94"/>
  </r>
  <r>
    <n v="2108"/>
    <n v="15075"/>
    <d v="2009-10-04T00:00:00"/>
    <s v="Medium"/>
    <x v="799"/>
    <x v="15"/>
    <x v="2"/>
    <s v="Consumer"/>
    <x v="2"/>
    <x v="5"/>
    <n v="54.84"/>
    <n v="5.0199999999999996"/>
  </r>
  <r>
    <n v="2109"/>
    <n v="15078"/>
    <d v="2010-11-09T00:00:00"/>
    <s v="High"/>
    <x v="751"/>
    <x v="26"/>
    <x v="3"/>
    <s v="Corporate"/>
    <x v="0"/>
    <x v="9"/>
    <n v="207.01"/>
    <n v="5.78"/>
  </r>
  <r>
    <n v="2110"/>
    <n v="15079"/>
    <d v="2010-01-15T00:00:00"/>
    <s v="Medium"/>
    <x v="522"/>
    <x v="27"/>
    <x v="3"/>
    <s v="Small Business"/>
    <x v="2"/>
    <x v="5"/>
    <n v="3753.42"/>
    <n v="80.98"/>
  </r>
  <r>
    <n v="2111"/>
    <n v="15079"/>
    <d v="2010-01-15T00:00:00"/>
    <s v="Medium"/>
    <x v="522"/>
    <x v="27"/>
    <x v="3"/>
    <s v="Small Business"/>
    <x v="0"/>
    <x v="9"/>
    <n v="1130.79"/>
    <n v="48.91"/>
  </r>
  <r>
    <n v="2112"/>
    <n v="15104"/>
    <d v="2012-03-29T00:00:00"/>
    <s v="Medium"/>
    <x v="770"/>
    <x v="24"/>
    <x v="1"/>
    <s v="Small Business"/>
    <x v="0"/>
    <x v="12"/>
    <n v="109.43"/>
    <n v="4.82"/>
  </r>
  <r>
    <n v="2113"/>
    <n v="15105"/>
    <d v="2009-11-03T00:00:00"/>
    <s v="Low"/>
    <x v="796"/>
    <x v="16"/>
    <x v="1"/>
    <s v="Small Business"/>
    <x v="0"/>
    <x v="0"/>
    <n v="460.43"/>
    <n v="12.28"/>
  </r>
  <r>
    <n v="2114"/>
    <n v="15106"/>
    <d v="2011-01-27T00:00:00"/>
    <s v="Not Specified"/>
    <x v="72"/>
    <x v="0"/>
    <x v="0"/>
    <s v="Home Office"/>
    <x v="1"/>
    <x v="2"/>
    <n v="283.58"/>
    <n v="6.64"/>
  </r>
  <r>
    <n v="2115"/>
    <n v="15106"/>
    <d v="2011-01-27T00:00:00"/>
    <s v="Not Specified"/>
    <x v="72"/>
    <x v="0"/>
    <x v="0"/>
    <s v="Home Office"/>
    <x v="2"/>
    <x v="10"/>
    <n v="5403.37"/>
    <n v="145.44999999999999"/>
  </r>
  <r>
    <n v="2116"/>
    <n v="15106"/>
    <d v="2011-01-27T00:00:00"/>
    <s v="Not Specified"/>
    <x v="72"/>
    <x v="0"/>
    <x v="0"/>
    <s v="Home Office"/>
    <x v="0"/>
    <x v="6"/>
    <n v="82.15"/>
    <n v="2.21"/>
  </r>
  <r>
    <n v="2117"/>
    <n v="15108"/>
    <d v="2009-08-27T00:00:00"/>
    <s v="High"/>
    <x v="625"/>
    <x v="0"/>
    <x v="0"/>
    <s v="Small Business"/>
    <x v="0"/>
    <x v="9"/>
    <n v="2066.16"/>
    <n v="40.99"/>
  </r>
  <r>
    <n v="2118"/>
    <n v="15109"/>
    <d v="2010-12-14T00:00:00"/>
    <s v="Not Specified"/>
    <x v="800"/>
    <x v="33"/>
    <x v="0"/>
    <s v="Home Office"/>
    <x v="2"/>
    <x v="5"/>
    <n v="230.72"/>
    <n v="20.95"/>
  </r>
  <r>
    <n v="2119"/>
    <n v="15109"/>
    <d v="2010-12-14T00:00:00"/>
    <s v="Not Specified"/>
    <x v="800"/>
    <x v="33"/>
    <x v="0"/>
    <s v="Home Office"/>
    <x v="0"/>
    <x v="9"/>
    <n v="293.47000000000003"/>
    <n v="6.48"/>
  </r>
  <r>
    <n v="2120"/>
    <n v="15109"/>
    <d v="2010-12-14T00:00:00"/>
    <s v="Not Specified"/>
    <x v="800"/>
    <x v="33"/>
    <x v="0"/>
    <s v="Home Office"/>
    <x v="0"/>
    <x v="6"/>
    <n v="88.7"/>
    <n v="2.52"/>
  </r>
  <r>
    <n v="2121"/>
    <n v="15109"/>
    <d v="2010-12-14T00:00:00"/>
    <s v="Not Specified"/>
    <x v="800"/>
    <x v="33"/>
    <x v="0"/>
    <s v="Home Office"/>
    <x v="0"/>
    <x v="1"/>
    <n v="262.77999999999997"/>
    <n v="10.98"/>
  </r>
  <r>
    <n v="2122"/>
    <n v="15109"/>
    <d v="2010-12-14T00:00:00"/>
    <s v="Not Specified"/>
    <x v="800"/>
    <x v="33"/>
    <x v="0"/>
    <s v="Home Office"/>
    <x v="0"/>
    <x v="0"/>
    <n v="142.15"/>
    <n v="14.03"/>
  </r>
  <r>
    <n v="2123"/>
    <n v="15111"/>
    <d v="2009-12-17T00:00:00"/>
    <s v="Not Specified"/>
    <x v="508"/>
    <x v="16"/>
    <x v="1"/>
    <s v="Corporate"/>
    <x v="0"/>
    <x v="13"/>
    <n v="970.47"/>
    <n v="81.319999999999993"/>
  </r>
  <r>
    <n v="2124"/>
    <n v="15139"/>
    <d v="2009-11-19T00:00:00"/>
    <s v="High"/>
    <x v="723"/>
    <x v="30"/>
    <x v="0"/>
    <s v="Corporate"/>
    <x v="1"/>
    <x v="15"/>
    <n v="5203.8999999999996"/>
    <n v="300.98"/>
  </r>
  <r>
    <n v="2125"/>
    <n v="15139"/>
    <d v="2009-11-19T00:00:00"/>
    <s v="High"/>
    <x v="723"/>
    <x v="30"/>
    <x v="0"/>
    <s v="Corporate"/>
    <x v="0"/>
    <x v="0"/>
    <n v="744.12"/>
    <n v="20.98"/>
  </r>
  <r>
    <n v="2126"/>
    <n v="15142"/>
    <d v="2012-04-04T00:00:00"/>
    <s v="Not Specified"/>
    <x v="562"/>
    <x v="33"/>
    <x v="0"/>
    <s v="Corporate"/>
    <x v="0"/>
    <x v="12"/>
    <n v="330.22"/>
    <n v="15.28"/>
  </r>
  <r>
    <n v="2127"/>
    <n v="15170"/>
    <d v="2009-03-18T00:00:00"/>
    <s v="Critical"/>
    <x v="801"/>
    <x v="14"/>
    <x v="0"/>
    <s v="Corporate"/>
    <x v="2"/>
    <x v="4"/>
    <n v="356.46449999999999"/>
    <n v="20.99"/>
  </r>
  <r>
    <n v="2128"/>
    <n v="15202"/>
    <d v="2010-07-09T00:00:00"/>
    <s v="High"/>
    <x v="802"/>
    <x v="16"/>
    <x v="1"/>
    <s v="Consumer"/>
    <x v="1"/>
    <x v="2"/>
    <n v="1340.93"/>
    <n v="39.979999999999997"/>
  </r>
  <r>
    <n v="2129"/>
    <n v="15205"/>
    <d v="2011-03-17T00:00:00"/>
    <s v="Critical"/>
    <x v="250"/>
    <x v="0"/>
    <x v="0"/>
    <s v="Corporate"/>
    <x v="1"/>
    <x v="15"/>
    <n v="4605.3599999999997"/>
    <n v="243.98"/>
  </r>
  <r>
    <n v="2130"/>
    <n v="15205"/>
    <d v="2011-03-17T00:00:00"/>
    <s v="Critical"/>
    <x v="250"/>
    <x v="0"/>
    <x v="0"/>
    <s v="Corporate"/>
    <x v="1"/>
    <x v="2"/>
    <n v="1753.51"/>
    <n v="39.979999999999997"/>
  </r>
  <r>
    <n v="2131"/>
    <n v="15206"/>
    <d v="2010-11-04T00:00:00"/>
    <s v="Low"/>
    <x v="51"/>
    <x v="16"/>
    <x v="1"/>
    <s v="Small Business"/>
    <x v="1"/>
    <x v="11"/>
    <n v="5287.16"/>
    <n v="150.97999999999999"/>
  </r>
  <r>
    <n v="2132"/>
    <n v="15234"/>
    <d v="2010-03-12T00:00:00"/>
    <s v="Not Specified"/>
    <x v="803"/>
    <x v="15"/>
    <x v="2"/>
    <s v="Consumer"/>
    <x v="2"/>
    <x v="4"/>
    <n v="2185.9535000000001"/>
    <n v="125.99"/>
  </r>
  <r>
    <n v="2133"/>
    <n v="15234"/>
    <d v="2010-03-12T00:00:00"/>
    <s v="Not Specified"/>
    <x v="804"/>
    <x v="15"/>
    <x v="2"/>
    <s v="Consumer"/>
    <x v="2"/>
    <x v="4"/>
    <n v="1323.5434999999998"/>
    <n v="125.99"/>
  </r>
  <r>
    <n v="2134"/>
    <n v="15236"/>
    <d v="2012-04-09T00:00:00"/>
    <s v="Not Specified"/>
    <x v="131"/>
    <x v="27"/>
    <x v="3"/>
    <s v="Home Office"/>
    <x v="0"/>
    <x v="12"/>
    <n v="341.42"/>
    <n v="10.91"/>
  </r>
  <r>
    <n v="2135"/>
    <n v="15236"/>
    <d v="2012-04-09T00:00:00"/>
    <s v="Not Specified"/>
    <x v="805"/>
    <x v="27"/>
    <x v="3"/>
    <s v="Home Office"/>
    <x v="1"/>
    <x v="2"/>
    <n v="381.39"/>
    <n v="12.07"/>
  </r>
  <r>
    <n v="2136"/>
    <n v="15264"/>
    <d v="2011-11-17T00:00:00"/>
    <s v="Medium"/>
    <x v="81"/>
    <x v="7"/>
    <x v="3"/>
    <s v="Home Office"/>
    <x v="0"/>
    <x v="12"/>
    <n v="3581.52"/>
    <n v="1270.99"/>
  </r>
  <r>
    <n v="2137"/>
    <n v="15264"/>
    <d v="2011-11-17T00:00:00"/>
    <s v="Medium"/>
    <x v="81"/>
    <x v="7"/>
    <x v="3"/>
    <s v="Home Office"/>
    <x v="0"/>
    <x v="8"/>
    <n v="90.15"/>
    <n v="7.31"/>
  </r>
  <r>
    <n v="2138"/>
    <n v="15270"/>
    <d v="2009-01-31T00:00:00"/>
    <s v="Not Specified"/>
    <x v="806"/>
    <x v="15"/>
    <x v="2"/>
    <s v="Corporate"/>
    <x v="0"/>
    <x v="9"/>
    <n v="257.91000000000003"/>
    <n v="6.98"/>
  </r>
  <r>
    <n v="2139"/>
    <n v="15271"/>
    <d v="2010-07-25T00:00:00"/>
    <s v="Critical"/>
    <x v="162"/>
    <x v="42"/>
    <x v="3"/>
    <s v="Consumer"/>
    <x v="1"/>
    <x v="15"/>
    <n v="2389.3000000000002"/>
    <n v="128.24"/>
  </r>
  <r>
    <n v="2140"/>
    <n v="15271"/>
    <d v="2010-07-25T00:00:00"/>
    <s v="Critical"/>
    <x v="162"/>
    <x v="42"/>
    <x v="3"/>
    <s v="Consumer"/>
    <x v="2"/>
    <x v="4"/>
    <n v="222.25800000000001"/>
    <n v="35.99"/>
  </r>
  <r>
    <n v="2141"/>
    <n v="15296"/>
    <d v="2012-08-07T00:00:00"/>
    <s v="Not Specified"/>
    <x v="807"/>
    <x v="15"/>
    <x v="2"/>
    <s v="Corporate"/>
    <x v="0"/>
    <x v="0"/>
    <n v="6216.6"/>
    <n v="161.55000000000001"/>
  </r>
  <r>
    <n v="2142"/>
    <n v="15300"/>
    <d v="2011-02-08T00:00:00"/>
    <s v="High"/>
    <x v="808"/>
    <x v="25"/>
    <x v="1"/>
    <s v="Home Office"/>
    <x v="0"/>
    <x v="9"/>
    <n v="229.88"/>
    <n v="5.28"/>
  </r>
  <r>
    <n v="2143"/>
    <n v="15303"/>
    <d v="2010-09-13T00:00:00"/>
    <s v="Critical"/>
    <x v="221"/>
    <x v="28"/>
    <x v="1"/>
    <s v="Home Office"/>
    <x v="0"/>
    <x v="12"/>
    <n v="101.13"/>
    <n v="4.54"/>
  </r>
  <r>
    <n v="2144"/>
    <n v="15303"/>
    <d v="2010-09-13T00:00:00"/>
    <s v="Critical"/>
    <x v="221"/>
    <x v="28"/>
    <x v="1"/>
    <s v="Home Office"/>
    <x v="2"/>
    <x v="5"/>
    <n v="526.45000000000005"/>
    <n v="28.48"/>
  </r>
  <r>
    <n v="2145"/>
    <n v="15329"/>
    <d v="2012-04-27T00:00:00"/>
    <s v="High"/>
    <x v="657"/>
    <x v="3"/>
    <x v="0"/>
    <s v="Consumer"/>
    <x v="2"/>
    <x v="5"/>
    <n v="1014.87"/>
    <n v="29.89"/>
  </r>
  <r>
    <n v="2146"/>
    <n v="15332"/>
    <d v="2010-05-30T00:00:00"/>
    <s v="Not Specified"/>
    <x v="809"/>
    <x v="33"/>
    <x v="0"/>
    <s v="Home Office"/>
    <x v="0"/>
    <x v="12"/>
    <n v="321.70999999999998"/>
    <n v="52.4"/>
  </r>
  <r>
    <n v="2147"/>
    <n v="15335"/>
    <d v="2010-09-17T00:00:00"/>
    <s v="Medium"/>
    <x v="395"/>
    <x v="15"/>
    <x v="2"/>
    <s v="Consumer"/>
    <x v="2"/>
    <x v="5"/>
    <n v="765.96"/>
    <n v="31.78"/>
  </r>
  <r>
    <n v="2148"/>
    <n v="15397"/>
    <d v="2010-02-06T00:00:00"/>
    <s v="Critical"/>
    <x v="768"/>
    <x v="27"/>
    <x v="3"/>
    <s v="Home Office"/>
    <x v="2"/>
    <x v="5"/>
    <n v="223.33"/>
    <n v="4.9800000000000004"/>
  </r>
  <r>
    <n v="2149"/>
    <n v="15397"/>
    <d v="2010-02-06T00:00:00"/>
    <s v="Critical"/>
    <x v="768"/>
    <x v="27"/>
    <x v="3"/>
    <s v="Home Office"/>
    <x v="2"/>
    <x v="5"/>
    <n v="1178.04"/>
    <n v="40.98"/>
  </r>
  <r>
    <n v="2150"/>
    <n v="15397"/>
    <d v="2010-02-06T00:00:00"/>
    <s v="Critical"/>
    <x v="768"/>
    <x v="27"/>
    <x v="3"/>
    <s v="Home Office"/>
    <x v="0"/>
    <x v="6"/>
    <n v="121.94"/>
    <n v="2.6"/>
  </r>
  <r>
    <n v="2151"/>
    <n v="15399"/>
    <d v="2012-05-13T00:00:00"/>
    <s v="Critical"/>
    <x v="810"/>
    <x v="41"/>
    <x v="3"/>
    <s v="Small Business"/>
    <x v="2"/>
    <x v="4"/>
    <n v="3988.0894999999996"/>
    <n v="125.99"/>
  </r>
  <r>
    <n v="2152"/>
    <n v="15399"/>
    <d v="2012-05-13T00:00:00"/>
    <s v="Critical"/>
    <x v="811"/>
    <x v="12"/>
    <x v="3"/>
    <s v="Small Business"/>
    <x v="1"/>
    <x v="15"/>
    <n v="2202.4499999999998"/>
    <n v="284.98"/>
  </r>
  <r>
    <n v="2153"/>
    <n v="15399"/>
    <d v="2012-05-13T00:00:00"/>
    <s v="Critical"/>
    <x v="311"/>
    <x v="13"/>
    <x v="3"/>
    <s v="Small Business"/>
    <x v="2"/>
    <x v="4"/>
    <n v="2514.5124999999998"/>
    <n v="65.989999999999995"/>
  </r>
  <r>
    <n v="2154"/>
    <n v="15425"/>
    <d v="2011-07-25T00:00:00"/>
    <s v="Low"/>
    <x v="613"/>
    <x v="25"/>
    <x v="1"/>
    <s v="Home Office"/>
    <x v="2"/>
    <x v="5"/>
    <n v="2896.14"/>
    <n v="99.99"/>
  </r>
  <r>
    <n v="2155"/>
    <n v="15428"/>
    <d v="2011-02-09T00:00:00"/>
    <s v="Critical"/>
    <x v="430"/>
    <x v="4"/>
    <x v="1"/>
    <s v="Small Business"/>
    <x v="2"/>
    <x v="5"/>
    <n v="1444.96"/>
    <n v="29.1"/>
  </r>
  <r>
    <n v="2156"/>
    <n v="15428"/>
    <d v="2011-02-09T00:00:00"/>
    <s v="Critical"/>
    <x v="430"/>
    <x v="4"/>
    <x v="1"/>
    <s v="Small Business"/>
    <x v="2"/>
    <x v="4"/>
    <n v="941.62149999999997"/>
    <n v="110.99"/>
  </r>
  <r>
    <n v="2157"/>
    <n v="15462"/>
    <d v="2011-02-26T00:00:00"/>
    <s v="Critical"/>
    <x v="257"/>
    <x v="21"/>
    <x v="2"/>
    <s v="Home Office"/>
    <x v="0"/>
    <x v="12"/>
    <n v="862.64"/>
    <n v="43.41"/>
  </r>
  <r>
    <n v="2158"/>
    <n v="15463"/>
    <d v="2010-07-24T00:00:00"/>
    <s v="Low"/>
    <x v="812"/>
    <x v="30"/>
    <x v="0"/>
    <s v="Corporate"/>
    <x v="0"/>
    <x v="9"/>
    <n v="293.3"/>
    <n v="5.98"/>
  </r>
  <r>
    <n v="2159"/>
    <n v="15491"/>
    <d v="2012-01-18T00:00:00"/>
    <s v="Medium"/>
    <x v="21"/>
    <x v="44"/>
    <x v="2"/>
    <s v="Small Business"/>
    <x v="2"/>
    <x v="4"/>
    <n v="901.37400000000002"/>
    <n v="205.99"/>
  </r>
  <r>
    <n v="2160"/>
    <n v="15524"/>
    <d v="2012-05-11T00:00:00"/>
    <s v="Medium"/>
    <x v="8"/>
    <x v="2"/>
    <x v="2"/>
    <s v="Consumer"/>
    <x v="0"/>
    <x v="1"/>
    <n v="156.82"/>
    <n v="5.68"/>
  </r>
  <r>
    <n v="2161"/>
    <n v="15591"/>
    <d v="2012-06-06T00:00:00"/>
    <s v="Critical"/>
    <x v="36"/>
    <x v="0"/>
    <x v="0"/>
    <s v="Small Business"/>
    <x v="1"/>
    <x v="2"/>
    <n v="426.34"/>
    <n v="12.58"/>
  </r>
  <r>
    <n v="2162"/>
    <n v="15616"/>
    <d v="2012-03-23T00:00:00"/>
    <s v="Critical"/>
    <x v="524"/>
    <x v="16"/>
    <x v="1"/>
    <s v="Corporate"/>
    <x v="2"/>
    <x v="5"/>
    <n v="386.71"/>
    <n v="30.98"/>
  </r>
  <r>
    <n v="2163"/>
    <n v="15616"/>
    <d v="2012-03-23T00:00:00"/>
    <s v="Critical"/>
    <x v="524"/>
    <x v="16"/>
    <x v="1"/>
    <s v="Corporate"/>
    <x v="0"/>
    <x v="6"/>
    <n v="134.06"/>
    <n v="4.13"/>
  </r>
  <r>
    <n v="2164"/>
    <n v="15618"/>
    <d v="2010-08-04T00:00:00"/>
    <s v="Medium"/>
    <x v="813"/>
    <x v="30"/>
    <x v="0"/>
    <s v="Consumer"/>
    <x v="0"/>
    <x v="9"/>
    <n v="50.93"/>
    <n v="5.28"/>
  </r>
  <r>
    <n v="2165"/>
    <n v="15618"/>
    <d v="2010-08-04T00:00:00"/>
    <s v="Medium"/>
    <x v="813"/>
    <x v="30"/>
    <x v="0"/>
    <s v="Consumer"/>
    <x v="0"/>
    <x v="9"/>
    <n v="792.8"/>
    <n v="18.97"/>
  </r>
  <r>
    <n v="2166"/>
    <n v="15618"/>
    <d v="2010-08-04T00:00:00"/>
    <s v="Medium"/>
    <x v="813"/>
    <x v="30"/>
    <x v="0"/>
    <s v="Consumer"/>
    <x v="2"/>
    <x v="4"/>
    <n v="782.45049999999992"/>
    <n v="65.989999999999995"/>
  </r>
  <r>
    <n v="2167"/>
    <n v="15619"/>
    <d v="2011-06-28T00:00:00"/>
    <s v="Low"/>
    <x v="814"/>
    <x v="31"/>
    <x v="3"/>
    <s v="Corporate"/>
    <x v="0"/>
    <x v="7"/>
    <n v="123.13"/>
    <n v="3.29"/>
  </r>
  <r>
    <n v="2168"/>
    <n v="15619"/>
    <d v="2011-06-28T00:00:00"/>
    <s v="Low"/>
    <x v="815"/>
    <x v="13"/>
    <x v="3"/>
    <s v="Corporate"/>
    <x v="1"/>
    <x v="15"/>
    <n v="1425.21"/>
    <n v="160.97999999999999"/>
  </r>
  <r>
    <n v="2169"/>
    <n v="15621"/>
    <d v="2011-09-24T00:00:00"/>
    <s v="Critical"/>
    <x v="525"/>
    <x v="3"/>
    <x v="0"/>
    <s v="Consumer"/>
    <x v="0"/>
    <x v="6"/>
    <n v="35.51"/>
    <n v="1.68"/>
  </r>
  <r>
    <n v="2170"/>
    <n v="15621"/>
    <d v="2011-09-24T00:00:00"/>
    <s v="Critical"/>
    <x v="525"/>
    <x v="3"/>
    <x v="0"/>
    <s v="Consumer"/>
    <x v="0"/>
    <x v="0"/>
    <n v="1105.6600000000001"/>
    <n v="28.28"/>
  </r>
  <r>
    <n v="2171"/>
    <n v="15622"/>
    <d v="2011-08-25T00:00:00"/>
    <s v="High"/>
    <x v="294"/>
    <x v="28"/>
    <x v="1"/>
    <s v="Consumer"/>
    <x v="1"/>
    <x v="11"/>
    <n v="8581.25"/>
    <n v="240.98"/>
  </r>
  <r>
    <n v="2172"/>
    <n v="15622"/>
    <d v="2011-08-25T00:00:00"/>
    <s v="High"/>
    <x v="294"/>
    <x v="28"/>
    <x v="1"/>
    <s v="Consumer"/>
    <x v="0"/>
    <x v="9"/>
    <n v="135.99"/>
    <n v="6.48"/>
  </r>
  <r>
    <n v="2173"/>
    <n v="15651"/>
    <d v="2012-10-04T00:00:00"/>
    <s v="Critical"/>
    <x v="816"/>
    <x v="34"/>
    <x v="2"/>
    <s v="Small Business"/>
    <x v="0"/>
    <x v="13"/>
    <n v="2182.91"/>
    <n v="60.22"/>
  </r>
  <r>
    <n v="2174"/>
    <n v="15651"/>
    <d v="2012-10-04T00:00:00"/>
    <s v="Critical"/>
    <x v="816"/>
    <x v="34"/>
    <x v="2"/>
    <s v="Small Business"/>
    <x v="0"/>
    <x v="0"/>
    <n v="1144.3499999999999"/>
    <n v="80.98"/>
  </r>
  <r>
    <n v="2175"/>
    <n v="15651"/>
    <d v="2012-10-04T00:00:00"/>
    <s v="Critical"/>
    <x v="816"/>
    <x v="34"/>
    <x v="2"/>
    <s v="Small Business"/>
    <x v="1"/>
    <x v="3"/>
    <n v="1496.83"/>
    <n v="179.29"/>
  </r>
  <r>
    <n v="2176"/>
    <n v="15654"/>
    <d v="2009-10-02T00:00:00"/>
    <s v="Not Specified"/>
    <x v="817"/>
    <x v="16"/>
    <x v="1"/>
    <s v="Corporate"/>
    <x v="1"/>
    <x v="11"/>
    <n v="7937.59"/>
    <n v="300.98"/>
  </r>
  <r>
    <n v="2177"/>
    <n v="15654"/>
    <d v="2009-10-02T00:00:00"/>
    <s v="Not Specified"/>
    <x v="817"/>
    <x v="16"/>
    <x v="1"/>
    <s v="Corporate"/>
    <x v="2"/>
    <x v="10"/>
    <n v="9396.41"/>
    <n v="2550.14"/>
  </r>
  <r>
    <n v="2178"/>
    <n v="15687"/>
    <d v="2012-04-09T00:00:00"/>
    <s v="Critical"/>
    <x v="818"/>
    <x v="41"/>
    <x v="3"/>
    <s v="Small Business"/>
    <x v="1"/>
    <x v="11"/>
    <n v="3400.63"/>
    <n v="70.98"/>
  </r>
  <r>
    <n v="2179"/>
    <n v="15712"/>
    <d v="2012-12-04T00:00:00"/>
    <s v="High"/>
    <x v="799"/>
    <x v="15"/>
    <x v="2"/>
    <s v="Corporate"/>
    <x v="1"/>
    <x v="11"/>
    <n v="102.9"/>
    <n v="48.58"/>
  </r>
  <r>
    <n v="2180"/>
    <n v="15714"/>
    <d v="2011-07-05T00:00:00"/>
    <s v="High"/>
    <x v="761"/>
    <x v="2"/>
    <x v="2"/>
    <s v="Home Office"/>
    <x v="0"/>
    <x v="13"/>
    <n v="2510.71"/>
    <n v="49.43"/>
  </r>
  <r>
    <n v="2181"/>
    <n v="15715"/>
    <d v="2012-10-15T00:00:00"/>
    <s v="Critical"/>
    <x v="357"/>
    <x v="21"/>
    <x v="2"/>
    <s v="Home Office"/>
    <x v="0"/>
    <x v="9"/>
    <n v="2123.64"/>
    <n v="47.9"/>
  </r>
  <r>
    <n v="2182"/>
    <n v="15718"/>
    <d v="2009-01-27T00:00:00"/>
    <s v="Critical"/>
    <x v="91"/>
    <x v="32"/>
    <x v="0"/>
    <s v="Corporate"/>
    <x v="0"/>
    <x v="6"/>
    <n v="100.87"/>
    <n v="2.94"/>
  </r>
  <r>
    <n v="2183"/>
    <n v="15718"/>
    <d v="2009-01-27T00:00:00"/>
    <s v="Critical"/>
    <x v="819"/>
    <x v="26"/>
    <x v="3"/>
    <s v="Corporate"/>
    <x v="0"/>
    <x v="6"/>
    <n v="1863.02"/>
    <n v="43.98"/>
  </r>
  <r>
    <n v="2184"/>
    <n v="15718"/>
    <d v="2009-01-27T00:00:00"/>
    <s v="Critical"/>
    <x v="819"/>
    <x v="26"/>
    <x v="3"/>
    <s v="Corporate"/>
    <x v="0"/>
    <x v="7"/>
    <n v="55.89"/>
    <n v="1.1399999999999999"/>
  </r>
  <r>
    <n v="2185"/>
    <n v="15719"/>
    <d v="2011-01-18T00:00:00"/>
    <s v="Critical"/>
    <x v="768"/>
    <x v="27"/>
    <x v="3"/>
    <s v="Home Office"/>
    <x v="1"/>
    <x v="15"/>
    <n v="5405.44"/>
    <n v="300.98"/>
  </r>
  <r>
    <n v="2186"/>
    <n v="15744"/>
    <d v="2010-03-21T00:00:00"/>
    <s v="Critical"/>
    <x v="549"/>
    <x v="26"/>
    <x v="3"/>
    <s v="Corporate"/>
    <x v="0"/>
    <x v="9"/>
    <n v="838.81"/>
    <n v="55.48"/>
  </r>
  <r>
    <n v="2187"/>
    <n v="15751"/>
    <d v="2009-08-15T00:00:00"/>
    <s v="Critical"/>
    <x v="528"/>
    <x v="18"/>
    <x v="2"/>
    <s v="Corporate"/>
    <x v="0"/>
    <x v="8"/>
    <n v="189.6"/>
    <n v="4.9800000000000004"/>
  </r>
  <r>
    <n v="2188"/>
    <n v="15751"/>
    <d v="2009-08-15T00:00:00"/>
    <s v="Critical"/>
    <x v="528"/>
    <x v="18"/>
    <x v="2"/>
    <s v="Corporate"/>
    <x v="2"/>
    <x v="4"/>
    <n v="397.73200000000003"/>
    <n v="20.99"/>
  </r>
  <r>
    <n v="2189"/>
    <n v="15778"/>
    <d v="2010-05-06T00:00:00"/>
    <s v="High"/>
    <x v="820"/>
    <x v="28"/>
    <x v="1"/>
    <s v="Small Business"/>
    <x v="0"/>
    <x v="12"/>
    <n v="43.23"/>
    <n v="3.98"/>
  </r>
  <r>
    <n v="2190"/>
    <n v="15780"/>
    <d v="2011-04-13T00:00:00"/>
    <s v="Critical"/>
    <x v="801"/>
    <x v="14"/>
    <x v="0"/>
    <s v="Corporate"/>
    <x v="0"/>
    <x v="7"/>
    <n v="71.77"/>
    <n v="3.78"/>
  </r>
  <r>
    <n v="2191"/>
    <n v="15781"/>
    <d v="2012-09-03T00:00:00"/>
    <s v="High"/>
    <x v="412"/>
    <x v="35"/>
    <x v="3"/>
    <s v="Home Office"/>
    <x v="2"/>
    <x v="5"/>
    <n v="824.51"/>
    <n v="27.48"/>
  </r>
  <r>
    <n v="2192"/>
    <n v="15782"/>
    <d v="2012-03-30T00:00:00"/>
    <s v="High"/>
    <x v="513"/>
    <x v="1"/>
    <x v="1"/>
    <s v="Small Business"/>
    <x v="1"/>
    <x v="3"/>
    <n v="2339.64"/>
    <n v="71.37"/>
  </r>
  <r>
    <n v="2193"/>
    <n v="15808"/>
    <d v="2010-12-14T00:00:00"/>
    <s v="Critical"/>
    <x v="712"/>
    <x v="38"/>
    <x v="0"/>
    <s v="Corporate"/>
    <x v="1"/>
    <x v="2"/>
    <n v="126.88"/>
    <n v="3.7"/>
  </r>
  <r>
    <n v="2194"/>
    <n v="15808"/>
    <d v="2010-12-14T00:00:00"/>
    <s v="Critical"/>
    <x v="821"/>
    <x v="38"/>
    <x v="0"/>
    <s v="Corporate"/>
    <x v="0"/>
    <x v="12"/>
    <n v="906.64"/>
    <n v="22.38"/>
  </r>
  <r>
    <n v="2195"/>
    <n v="15808"/>
    <d v="2010-12-14T00:00:00"/>
    <s v="Critical"/>
    <x v="821"/>
    <x v="38"/>
    <x v="0"/>
    <s v="Corporate"/>
    <x v="2"/>
    <x v="5"/>
    <n v="882.96"/>
    <n v="19.98"/>
  </r>
  <r>
    <n v="2196"/>
    <n v="15808"/>
    <d v="2010-12-14T00:00:00"/>
    <s v="Critical"/>
    <x v="821"/>
    <x v="38"/>
    <x v="0"/>
    <s v="Corporate"/>
    <x v="2"/>
    <x v="4"/>
    <n v="58.14"/>
    <n v="20.99"/>
  </r>
  <r>
    <n v="2197"/>
    <n v="15815"/>
    <d v="2009-05-01T00:00:00"/>
    <s v="Critical"/>
    <x v="822"/>
    <x v="18"/>
    <x v="2"/>
    <s v="Corporate"/>
    <x v="0"/>
    <x v="12"/>
    <n v="528.6"/>
    <n v="11.7"/>
  </r>
  <r>
    <n v="2198"/>
    <n v="15815"/>
    <d v="2009-05-01T00:00:00"/>
    <s v="Critical"/>
    <x v="822"/>
    <x v="18"/>
    <x v="2"/>
    <s v="Corporate"/>
    <x v="0"/>
    <x v="12"/>
    <n v="107.41"/>
    <n v="4.55"/>
  </r>
  <r>
    <n v="2199"/>
    <n v="15872"/>
    <d v="2012-10-30T00:00:00"/>
    <s v="Not Specified"/>
    <x v="275"/>
    <x v="33"/>
    <x v="0"/>
    <s v="Corporate"/>
    <x v="0"/>
    <x v="13"/>
    <n v="5198.12"/>
    <n v="100.98"/>
  </r>
  <r>
    <n v="2200"/>
    <n v="15872"/>
    <d v="2012-10-30T00:00:00"/>
    <s v="Not Specified"/>
    <x v="275"/>
    <x v="33"/>
    <x v="0"/>
    <s v="Corporate"/>
    <x v="0"/>
    <x v="9"/>
    <n v="188.53"/>
    <n v="7.35"/>
  </r>
  <r>
    <n v="2201"/>
    <n v="15872"/>
    <d v="2012-10-30T00:00:00"/>
    <s v="Not Specified"/>
    <x v="275"/>
    <x v="33"/>
    <x v="0"/>
    <s v="Corporate"/>
    <x v="0"/>
    <x v="9"/>
    <n v="718.41"/>
    <n v="40.99"/>
  </r>
  <r>
    <n v="2202"/>
    <n v="15878"/>
    <d v="2010-11-04T00:00:00"/>
    <s v="High"/>
    <x v="774"/>
    <x v="17"/>
    <x v="0"/>
    <s v="Corporate"/>
    <x v="0"/>
    <x v="9"/>
    <n v="275.06"/>
    <n v="7.28"/>
  </r>
  <r>
    <n v="2203"/>
    <n v="15904"/>
    <d v="2009-10-27T00:00:00"/>
    <s v="Not Specified"/>
    <x v="380"/>
    <x v="11"/>
    <x v="2"/>
    <s v="Small Business"/>
    <x v="0"/>
    <x v="6"/>
    <n v="124.01"/>
    <n v="3.28"/>
  </r>
  <r>
    <n v="2204"/>
    <n v="15904"/>
    <d v="2009-10-27T00:00:00"/>
    <s v="Not Specified"/>
    <x v="380"/>
    <x v="11"/>
    <x v="2"/>
    <s v="Small Business"/>
    <x v="0"/>
    <x v="6"/>
    <n v="1836.84"/>
    <n v="40.97"/>
  </r>
  <r>
    <n v="2205"/>
    <n v="15906"/>
    <d v="2010-09-27T00:00:00"/>
    <s v="Low"/>
    <x v="363"/>
    <x v="15"/>
    <x v="2"/>
    <s v="Corporate"/>
    <x v="2"/>
    <x v="10"/>
    <n v="2174.96"/>
    <n v="264.98"/>
  </r>
  <r>
    <n v="2206"/>
    <n v="15907"/>
    <d v="2011-04-11T00:00:00"/>
    <s v="High"/>
    <x v="823"/>
    <x v="0"/>
    <x v="0"/>
    <s v="Home Office"/>
    <x v="1"/>
    <x v="11"/>
    <n v="1837.44"/>
    <n v="48.58"/>
  </r>
  <r>
    <n v="2207"/>
    <n v="15907"/>
    <d v="2011-04-11T00:00:00"/>
    <s v="High"/>
    <x v="823"/>
    <x v="0"/>
    <x v="0"/>
    <s v="Home Office"/>
    <x v="1"/>
    <x v="2"/>
    <n v="3722.29"/>
    <n v="105.98"/>
  </r>
  <r>
    <n v="2208"/>
    <n v="15907"/>
    <d v="2011-04-11T00:00:00"/>
    <s v="High"/>
    <x v="823"/>
    <x v="0"/>
    <x v="0"/>
    <s v="Home Office"/>
    <x v="0"/>
    <x v="9"/>
    <n v="28.05"/>
    <n v="7.04"/>
  </r>
  <r>
    <n v="2209"/>
    <n v="15937"/>
    <d v="2012-11-06T00:00:00"/>
    <s v="Low"/>
    <x v="69"/>
    <x v="0"/>
    <x v="0"/>
    <s v="Corporate"/>
    <x v="2"/>
    <x v="5"/>
    <n v="311.44"/>
    <n v="9.7799999999999994"/>
  </r>
  <r>
    <n v="2210"/>
    <n v="15937"/>
    <d v="2012-11-06T00:00:00"/>
    <s v="Low"/>
    <x v="824"/>
    <x v="0"/>
    <x v="0"/>
    <s v="Corporate"/>
    <x v="1"/>
    <x v="2"/>
    <n v="215.65"/>
    <n v="12.22"/>
  </r>
  <r>
    <n v="2211"/>
    <n v="15941"/>
    <d v="2011-12-10T00:00:00"/>
    <s v="Not Specified"/>
    <x v="595"/>
    <x v="23"/>
    <x v="3"/>
    <s v="Consumer"/>
    <x v="1"/>
    <x v="11"/>
    <n v="951.09"/>
    <n v="58.14"/>
  </r>
  <r>
    <n v="2212"/>
    <n v="15971"/>
    <d v="2009-08-14T00:00:00"/>
    <s v="High"/>
    <x v="825"/>
    <x v="31"/>
    <x v="3"/>
    <s v="Consumer"/>
    <x v="2"/>
    <x v="4"/>
    <n v="2172.5149999999999"/>
    <n v="175.99"/>
  </r>
  <r>
    <n v="2213"/>
    <n v="15972"/>
    <d v="2011-08-09T00:00:00"/>
    <s v="Not Specified"/>
    <x v="826"/>
    <x v="5"/>
    <x v="0"/>
    <s v="Small Business"/>
    <x v="0"/>
    <x v="7"/>
    <n v="10.33"/>
    <n v="2.98"/>
  </r>
  <r>
    <n v="2214"/>
    <n v="15972"/>
    <d v="2011-08-09T00:00:00"/>
    <s v="Not Specified"/>
    <x v="827"/>
    <x v="5"/>
    <x v="0"/>
    <s v="Small Business"/>
    <x v="0"/>
    <x v="7"/>
    <n v="14.39"/>
    <n v="5.81"/>
  </r>
  <r>
    <n v="2215"/>
    <n v="16005"/>
    <d v="2012-12-24T00:00:00"/>
    <s v="Not Specified"/>
    <x v="434"/>
    <x v="15"/>
    <x v="2"/>
    <s v="Corporate"/>
    <x v="0"/>
    <x v="12"/>
    <n v="51.03"/>
    <n v="6.81"/>
  </r>
  <r>
    <n v="2216"/>
    <n v="16032"/>
    <d v="2009-12-05T00:00:00"/>
    <s v="Low"/>
    <x v="828"/>
    <x v="33"/>
    <x v="0"/>
    <s v="Home Office"/>
    <x v="1"/>
    <x v="2"/>
    <n v="436.98"/>
    <n v="12.64"/>
  </r>
  <r>
    <n v="2217"/>
    <n v="16036"/>
    <d v="2012-01-05T00:00:00"/>
    <s v="Medium"/>
    <x v="829"/>
    <x v="31"/>
    <x v="3"/>
    <s v="Corporate"/>
    <x v="0"/>
    <x v="0"/>
    <n v="2160.27"/>
    <n v="80.98"/>
  </r>
  <r>
    <n v="2218"/>
    <n v="16036"/>
    <d v="2012-01-05T00:00:00"/>
    <s v="Medium"/>
    <x v="830"/>
    <x v="12"/>
    <x v="3"/>
    <s v="Corporate"/>
    <x v="0"/>
    <x v="12"/>
    <n v="169.22"/>
    <n v="5.81"/>
  </r>
  <r>
    <n v="2219"/>
    <n v="16036"/>
    <d v="2012-01-05T00:00:00"/>
    <s v="Medium"/>
    <x v="333"/>
    <x v="12"/>
    <x v="3"/>
    <s v="Corporate"/>
    <x v="2"/>
    <x v="4"/>
    <n v="1319.421"/>
    <n v="155.99"/>
  </r>
  <r>
    <n v="2220"/>
    <n v="16036"/>
    <d v="2012-01-05T00:00:00"/>
    <s v="Medium"/>
    <x v="831"/>
    <x v="12"/>
    <x v="3"/>
    <s v="Corporate"/>
    <x v="0"/>
    <x v="0"/>
    <n v="550.92999999999995"/>
    <n v="17.7"/>
  </r>
  <r>
    <n v="2221"/>
    <n v="16039"/>
    <d v="2012-05-16T00:00:00"/>
    <s v="High"/>
    <x v="703"/>
    <x v="0"/>
    <x v="0"/>
    <s v="Home Office"/>
    <x v="2"/>
    <x v="5"/>
    <n v="121.12"/>
    <n v="43.98"/>
  </r>
  <r>
    <n v="2222"/>
    <n v="16065"/>
    <d v="2010-07-20T00:00:00"/>
    <s v="High"/>
    <x v="832"/>
    <x v="5"/>
    <x v="0"/>
    <s v="Corporate"/>
    <x v="2"/>
    <x v="16"/>
    <n v="6933.45"/>
    <n v="449.99"/>
  </r>
  <r>
    <n v="2223"/>
    <n v="16065"/>
    <d v="2010-07-20T00:00:00"/>
    <s v="High"/>
    <x v="833"/>
    <x v="5"/>
    <x v="0"/>
    <s v="Corporate"/>
    <x v="0"/>
    <x v="9"/>
    <n v="54.99"/>
    <n v="4"/>
  </r>
  <r>
    <n v="2224"/>
    <n v="16096"/>
    <d v="2011-01-19T00:00:00"/>
    <s v="High"/>
    <x v="832"/>
    <x v="5"/>
    <x v="0"/>
    <s v="Consumer"/>
    <x v="0"/>
    <x v="8"/>
    <n v="42.21"/>
    <n v="2.88"/>
  </r>
  <r>
    <n v="2225"/>
    <n v="16098"/>
    <d v="2012-07-21T00:00:00"/>
    <s v="Low"/>
    <x v="487"/>
    <x v="14"/>
    <x v="0"/>
    <s v="Home Office"/>
    <x v="1"/>
    <x v="2"/>
    <n v="480.43"/>
    <n v="14.98"/>
  </r>
  <r>
    <n v="2226"/>
    <n v="16098"/>
    <d v="2012-07-21T00:00:00"/>
    <s v="Low"/>
    <x v="834"/>
    <x v="27"/>
    <x v="3"/>
    <s v="Home Office"/>
    <x v="0"/>
    <x v="12"/>
    <n v="1001.99"/>
    <n v="24.95"/>
  </r>
  <r>
    <n v="2227"/>
    <n v="16100"/>
    <d v="2011-03-07T00:00:00"/>
    <s v="Medium"/>
    <x v="77"/>
    <x v="30"/>
    <x v="0"/>
    <s v="Corporate"/>
    <x v="1"/>
    <x v="2"/>
    <n v="226.18"/>
    <n v="4.82"/>
  </r>
  <r>
    <n v="2228"/>
    <n v="16102"/>
    <d v="2009-12-13T00:00:00"/>
    <s v="Not Specified"/>
    <x v="656"/>
    <x v="16"/>
    <x v="1"/>
    <s v="Home Office"/>
    <x v="1"/>
    <x v="15"/>
    <n v="13255.93"/>
    <n v="500.98"/>
  </r>
  <r>
    <n v="2229"/>
    <n v="16103"/>
    <d v="2012-07-15T00:00:00"/>
    <s v="Not Specified"/>
    <x v="81"/>
    <x v="14"/>
    <x v="0"/>
    <s v="Corporate"/>
    <x v="0"/>
    <x v="9"/>
    <n v="217.14"/>
    <n v="6.48"/>
  </r>
  <r>
    <n v="2230"/>
    <n v="16103"/>
    <d v="2012-07-15T00:00:00"/>
    <s v="Not Specified"/>
    <x v="806"/>
    <x v="15"/>
    <x v="2"/>
    <s v="Corporate"/>
    <x v="0"/>
    <x v="6"/>
    <n v="426.7"/>
    <n v="19.84"/>
  </r>
  <r>
    <n v="2231"/>
    <n v="16128"/>
    <d v="2011-05-08T00:00:00"/>
    <s v="High"/>
    <x v="648"/>
    <x v="21"/>
    <x v="2"/>
    <s v="Corporate"/>
    <x v="1"/>
    <x v="2"/>
    <n v="2968.66"/>
    <n v="63.94"/>
  </r>
  <r>
    <n v="2232"/>
    <n v="16132"/>
    <d v="2012-10-27T00:00:00"/>
    <s v="Medium"/>
    <x v="213"/>
    <x v="1"/>
    <x v="1"/>
    <s v="Small Business"/>
    <x v="0"/>
    <x v="12"/>
    <n v="519.96"/>
    <n v="21.38"/>
  </r>
  <r>
    <n v="2233"/>
    <n v="16133"/>
    <d v="2009-09-25T00:00:00"/>
    <s v="Critical"/>
    <x v="29"/>
    <x v="36"/>
    <x v="2"/>
    <s v="Small Business"/>
    <x v="2"/>
    <x v="10"/>
    <n v="3083.04"/>
    <n v="200.97"/>
  </r>
  <r>
    <n v="2234"/>
    <n v="16133"/>
    <d v="2009-09-25T00:00:00"/>
    <s v="Critical"/>
    <x v="835"/>
    <x v="17"/>
    <x v="0"/>
    <s v="Small Business"/>
    <x v="1"/>
    <x v="2"/>
    <n v="27.96"/>
    <n v="14.89"/>
  </r>
  <r>
    <n v="2235"/>
    <n v="16134"/>
    <d v="2012-11-19T00:00:00"/>
    <s v="High"/>
    <x v="459"/>
    <x v="36"/>
    <x v="2"/>
    <s v="Home Office"/>
    <x v="2"/>
    <x v="10"/>
    <n v="21921.279999999999"/>
    <n v="500.98"/>
  </r>
  <r>
    <n v="2236"/>
    <n v="16160"/>
    <d v="2011-07-23T00:00:00"/>
    <s v="Critical"/>
    <x v="679"/>
    <x v="5"/>
    <x v="0"/>
    <s v="Home Office"/>
    <x v="0"/>
    <x v="13"/>
    <n v="514.86"/>
    <n v="10.89"/>
  </r>
  <r>
    <n v="2237"/>
    <n v="16161"/>
    <d v="2012-07-28T00:00:00"/>
    <s v="Medium"/>
    <x v="422"/>
    <x v="22"/>
    <x v="0"/>
    <s v="Consumer"/>
    <x v="2"/>
    <x v="4"/>
    <n v="2692.6895"/>
    <n v="65.989999999999995"/>
  </r>
  <r>
    <n v="2238"/>
    <n v="16161"/>
    <d v="2012-07-28T00:00:00"/>
    <s v="Medium"/>
    <x v="836"/>
    <x v="22"/>
    <x v="0"/>
    <s v="Consumer"/>
    <x v="0"/>
    <x v="7"/>
    <n v="151.19"/>
    <n v="3.78"/>
  </r>
  <r>
    <n v="2239"/>
    <n v="16164"/>
    <d v="2012-01-03T00:00:00"/>
    <s v="Low"/>
    <x v="837"/>
    <x v="28"/>
    <x v="1"/>
    <s v="Home Office"/>
    <x v="0"/>
    <x v="14"/>
    <n v="3353.54"/>
    <n v="162.93"/>
  </r>
  <r>
    <n v="2240"/>
    <n v="16164"/>
    <d v="2012-01-03T00:00:00"/>
    <s v="Low"/>
    <x v="837"/>
    <x v="28"/>
    <x v="1"/>
    <s v="Home Office"/>
    <x v="0"/>
    <x v="6"/>
    <n v="69.38"/>
    <n v="2.52"/>
  </r>
  <r>
    <n v="2241"/>
    <n v="16164"/>
    <d v="2012-01-03T00:00:00"/>
    <s v="Low"/>
    <x v="555"/>
    <x v="29"/>
    <x v="2"/>
    <s v="Home Office"/>
    <x v="2"/>
    <x v="10"/>
    <n v="2354.15"/>
    <n v="90.97"/>
  </r>
  <r>
    <n v="2242"/>
    <n v="16165"/>
    <d v="2010-07-22T00:00:00"/>
    <s v="Not Specified"/>
    <x v="206"/>
    <x v="33"/>
    <x v="0"/>
    <s v="Small Business"/>
    <x v="2"/>
    <x v="5"/>
    <n v="136.68"/>
    <n v="30.73"/>
  </r>
  <r>
    <n v="2243"/>
    <n v="16165"/>
    <d v="2010-07-22T00:00:00"/>
    <s v="Not Specified"/>
    <x v="206"/>
    <x v="33"/>
    <x v="0"/>
    <s v="Small Business"/>
    <x v="1"/>
    <x v="2"/>
    <n v="1452.48"/>
    <n v="62.18"/>
  </r>
  <r>
    <n v="2244"/>
    <n v="16165"/>
    <d v="2010-07-22T00:00:00"/>
    <s v="Not Specified"/>
    <x v="206"/>
    <x v="33"/>
    <x v="0"/>
    <s v="Small Business"/>
    <x v="0"/>
    <x v="0"/>
    <n v="3555.29"/>
    <n v="193.17"/>
  </r>
  <r>
    <n v="2245"/>
    <n v="16166"/>
    <d v="2010-01-31T00:00:00"/>
    <s v="Critical"/>
    <x v="711"/>
    <x v="28"/>
    <x v="1"/>
    <s v="Small Business"/>
    <x v="0"/>
    <x v="7"/>
    <n v="78.510000000000005"/>
    <n v="2.1800000000000002"/>
  </r>
  <r>
    <n v="2246"/>
    <n v="16193"/>
    <d v="2012-04-09T00:00:00"/>
    <s v="Not Specified"/>
    <x v="838"/>
    <x v="0"/>
    <x v="0"/>
    <s v="Corporate"/>
    <x v="0"/>
    <x v="0"/>
    <n v="300.2"/>
    <n v="34.76"/>
  </r>
  <r>
    <n v="2247"/>
    <n v="16193"/>
    <d v="2012-04-09T00:00:00"/>
    <s v="Not Specified"/>
    <x v="838"/>
    <x v="0"/>
    <x v="0"/>
    <s v="Corporate"/>
    <x v="2"/>
    <x v="4"/>
    <n v="1364.8025"/>
    <n v="55.99"/>
  </r>
  <r>
    <n v="2248"/>
    <n v="16194"/>
    <d v="2010-10-07T00:00:00"/>
    <s v="Not Specified"/>
    <x v="144"/>
    <x v="13"/>
    <x v="3"/>
    <s v="Small Business"/>
    <x v="2"/>
    <x v="4"/>
    <n v="2435.5135"/>
    <n v="125.99"/>
  </r>
  <r>
    <n v="2249"/>
    <n v="16196"/>
    <d v="2009-10-20T00:00:00"/>
    <s v="High"/>
    <x v="357"/>
    <x v="5"/>
    <x v="0"/>
    <s v="Home Office"/>
    <x v="1"/>
    <x v="15"/>
    <n v="14521.39"/>
    <n v="320.98"/>
  </r>
  <r>
    <n v="2250"/>
    <n v="16196"/>
    <d v="2009-10-20T00:00:00"/>
    <s v="High"/>
    <x v="357"/>
    <x v="5"/>
    <x v="0"/>
    <s v="Home Office"/>
    <x v="2"/>
    <x v="4"/>
    <n v="3925.9714999999997"/>
    <n v="125.99"/>
  </r>
  <r>
    <n v="2251"/>
    <n v="16197"/>
    <d v="2012-10-26T00:00:00"/>
    <s v="Critical"/>
    <x v="839"/>
    <x v="34"/>
    <x v="2"/>
    <s v="Consumer"/>
    <x v="0"/>
    <x v="9"/>
    <n v="218.71"/>
    <n v="9.11"/>
  </r>
  <r>
    <n v="2252"/>
    <n v="16197"/>
    <d v="2012-10-26T00:00:00"/>
    <s v="Critical"/>
    <x v="839"/>
    <x v="34"/>
    <x v="2"/>
    <s v="Consumer"/>
    <x v="0"/>
    <x v="9"/>
    <n v="103.68"/>
    <n v="5.28"/>
  </r>
  <r>
    <n v="2253"/>
    <n v="16225"/>
    <d v="2009-05-28T00:00:00"/>
    <s v="Critical"/>
    <x v="361"/>
    <x v="15"/>
    <x v="2"/>
    <s v="Consumer"/>
    <x v="0"/>
    <x v="0"/>
    <n v="550.29"/>
    <n v="17.7"/>
  </r>
  <r>
    <n v="2254"/>
    <n v="16229"/>
    <d v="2009-03-29T00:00:00"/>
    <s v="High"/>
    <x v="762"/>
    <x v="16"/>
    <x v="1"/>
    <s v="Small Business"/>
    <x v="2"/>
    <x v="5"/>
    <n v="1068.7"/>
    <n v="40.98"/>
  </r>
  <r>
    <n v="2255"/>
    <n v="16229"/>
    <d v="2009-03-29T00:00:00"/>
    <s v="High"/>
    <x v="144"/>
    <x v="13"/>
    <x v="3"/>
    <s v="Small Business"/>
    <x v="2"/>
    <x v="4"/>
    <n v="568.74350000000004"/>
    <n v="35.99"/>
  </r>
  <r>
    <n v="2256"/>
    <n v="16230"/>
    <d v="2010-02-27T00:00:00"/>
    <s v="Low"/>
    <x v="631"/>
    <x v="20"/>
    <x v="0"/>
    <s v="Corporate"/>
    <x v="0"/>
    <x v="8"/>
    <n v="13.3"/>
    <n v="7.31"/>
  </r>
  <r>
    <n v="2257"/>
    <n v="16230"/>
    <d v="2010-02-27T00:00:00"/>
    <s v="Low"/>
    <x v="562"/>
    <x v="20"/>
    <x v="0"/>
    <s v="Corporate"/>
    <x v="1"/>
    <x v="11"/>
    <n v="3379.01"/>
    <n v="130.97999999999999"/>
  </r>
  <r>
    <n v="2258"/>
    <n v="16230"/>
    <d v="2010-02-27T00:00:00"/>
    <s v="Low"/>
    <x v="562"/>
    <x v="20"/>
    <x v="0"/>
    <s v="Corporate"/>
    <x v="0"/>
    <x v="9"/>
    <n v="687.52"/>
    <n v="48.91"/>
  </r>
  <r>
    <n v="2259"/>
    <n v="16230"/>
    <d v="2010-02-27T00:00:00"/>
    <s v="Low"/>
    <x v="562"/>
    <x v="20"/>
    <x v="0"/>
    <s v="Corporate"/>
    <x v="0"/>
    <x v="0"/>
    <n v="4538.66"/>
    <n v="111.03"/>
  </r>
  <r>
    <n v="2260"/>
    <n v="16231"/>
    <d v="2012-09-04T00:00:00"/>
    <s v="Low"/>
    <x v="144"/>
    <x v="13"/>
    <x v="3"/>
    <s v="Consumer"/>
    <x v="1"/>
    <x v="3"/>
    <n v="2506.38"/>
    <n v="124.49"/>
  </r>
  <r>
    <n v="2261"/>
    <n v="16257"/>
    <d v="2012-05-05T00:00:00"/>
    <s v="Not Specified"/>
    <x v="840"/>
    <x v="22"/>
    <x v="0"/>
    <s v="Home Office"/>
    <x v="0"/>
    <x v="14"/>
    <n v="102.73"/>
    <n v="5.98"/>
  </r>
  <r>
    <n v="2262"/>
    <n v="16258"/>
    <d v="2011-07-06T00:00:00"/>
    <s v="Medium"/>
    <x v="753"/>
    <x v="36"/>
    <x v="2"/>
    <s v="Corporate"/>
    <x v="0"/>
    <x v="9"/>
    <n v="9.69"/>
    <n v="4.9800000000000004"/>
  </r>
  <r>
    <n v="2263"/>
    <n v="16258"/>
    <d v="2011-07-06T00:00:00"/>
    <s v="Medium"/>
    <x v="753"/>
    <x v="36"/>
    <x v="2"/>
    <s v="Corporate"/>
    <x v="0"/>
    <x v="6"/>
    <n v="331.99"/>
    <n v="7.08"/>
  </r>
  <r>
    <n v="2264"/>
    <n v="16260"/>
    <d v="2011-11-13T00:00:00"/>
    <s v="High"/>
    <x v="841"/>
    <x v="43"/>
    <x v="3"/>
    <s v="Corporate"/>
    <x v="1"/>
    <x v="3"/>
    <n v="14960.096"/>
    <n v="400.98"/>
  </r>
  <r>
    <n v="2265"/>
    <n v="16262"/>
    <d v="2011-01-01T00:00:00"/>
    <s v="Low"/>
    <x v="158"/>
    <x v="15"/>
    <x v="2"/>
    <s v="Consumer"/>
    <x v="0"/>
    <x v="9"/>
    <n v="62.84"/>
    <n v="5.18"/>
  </r>
  <r>
    <n v="2266"/>
    <n v="16289"/>
    <d v="2010-07-17T00:00:00"/>
    <s v="High"/>
    <x v="793"/>
    <x v="8"/>
    <x v="2"/>
    <s v="Corporate"/>
    <x v="2"/>
    <x v="4"/>
    <n v="5610.6120000000001"/>
    <n v="125.99"/>
  </r>
  <r>
    <n v="2267"/>
    <n v="16289"/>
    <d v="2010-07-17T00:00:00"/>
    <s v="High"/>
    <x v="842"/>
    <x v="36"/>
    <x v="2"/>
    <s v="Corporate"/>
    <x v="1"/>
    <x v="2"/>
    <n v="426.64"/>
    <n v="12.22"/>
  </r>
  <r>
    <n v="2268"/>
    <n v="16291"/>
    <d v="2011-04-08T00:00:00"/>
    <s v="Not Specified"/>
    <x v="415"/>
    <x v="5"/>
    <x v="0"/>
    <s v="Consumer"/>
    <x v="1"/>
    <x v="2"/>
    <n v="894.64"/>
    <n v="27.42"/>
  </r>
  <r>
    <n v="2269"/>
    <n v="16320"/>
    <d v="2011-10-20T00:00:00"/>
    <s v="Not Specified"/>
    <x v="843"/>
    <x v="30"/>
    <x v="0"/>
    <s v="Small Business"/>
    <x v="2"/>
    <x v="4"/>
    <n v="1856.9694999999999"/>
    <n v="125.99"/>
  </r>
  <r>
    <n v="2270"/>
    <n v="16321"/>
    <d v="2009-10-01T00:00:00"/>
    <s v="Not Specified"/>
    <x v="301"/>
    <x v="15"/>
    <x v="2"/>
    <s v="Corporate"/>
    <x v="0"/>
    <x v="0"/>
    <n v="7156.56"/>
    <n v="142.86000000000001"/>
  </r>
  <r>
    <n v="2271"/>
    <n v="16326"/>
    <d v="2010-05-10T00:00:00"/>
    <s v="High"/>
    <x v="821"/>
    <x v="38"/>
    <x v="0"/>
    <s v="Corporate"/>
    <x v="2"/>
    <x v="5"/>
    <n v="1538.33"/>
    <n v="39.479999999999997"/>
  </r>
  <r>
    <n v="2272"/>
    <n v="16326"/>
    <d v="2010-05-10T00:00:00"/>
    <s v="High"/>
    <x v="821"/>
    <x v="38"/>
    <x v="0"/>
    <s v="Corporate"/>
    <x v="0"/>
    <x v="9"/>
    <n v="147.46"/>
    <n v="3.71"/>
  </r>
  <r>
    <n v="2273"/>
    <n v="16352"/>
    <d v="2012-07-30T00:00:00"/>
    <s v="Medium"/>
    <x v="48"/>
    <x v="7"/>
    <x v="3"/>
    <s v="Corporate"/>
    <x v="0"/>
    <x v="9"/>
    <n v="113.25"/>
    <n v="6.48"/>
  </r>
  <r>
    <n v="2274"/>
    <n v="16356"/>
    <d v="2011-08-02T00:00:00"/>
    <s v="Critical"/>
    <x v="665"/>
    <x v="16"/>
    <x v="1"/>
    <s v="Corporate"/>
    <x v="0"/>
    <x v="13"/>
    <n v="157.94"/>
    <n v="22.98"/>
  </r>
  <r>
    <n v="2275"/>
    <n v="16359"/>
    <d v="2012-05-14T00:00:00"/>
    <s v="Critical"/>
    <x v="214"/>
    <x v="43"/>
    <x v="3"/>
    <s v="Consumer"/>
    <x v="0"/>
    <x v="14"/>
    <n v="1343.6"/>
    <n v="35.89"/>
  </r>
  <r>
    <n v="2276"/>
    <n v="16359"/>
    <d v="2012-05-14T00:00:00"/>
    <s v="Critical"/>
    <x v="214"/>
    <x v="43"/>
    <x v="3"/>
    <s v="Consumer"/>
    <x v="0"/>
    <x v="6"/>
    <n v="35.28"/>
    <n v="3.34"/>
  </r>
  <r>
    <n v="2277"/>
    <n v="16390"/>
    <d v="2012-03-24T00:00:00"/>
    <s v="Medium"/>
    <x v="140"/>
    <x v="25"/>
    <x v="1"/>
    <s v="Consumer"/>
    <x v="0"/>
    <x v="1"/>
    <n v="86.38"/>
    <n v="10.98"/>
  </r>
  <r>
    <n v="2278"/>
    <n v="16419"/>
    <d v="2009-08-04T00:00:00"/>
    <s v="Not Specified"/>
    <x v="813"/>
    <x v="30"/>
    <x v="0"/>
    <s v="Consumer"/>
    <x v="0"/>
    <x v="9"/>
    <n v="241.19"/>
    <n v="5.78"/>
  </r>
  <r>
    <n v="2279"/>
    <n v="16422"/>
    <d v="2011-10-09T00:00:00"/>
    <s v="Critical"/>
    <x v="463"/>
    <x v="11"/>
    <x v="2"/>
    <s v="Small Business"/>
    <x v="0"/>
    <x v="9"/>
    <n v="272.01"/>
    <n v="6.48"/>
  </r>
  <r>
    <n v="2280"/>
    <n v="16422"/>
    <d v="2011-10-09T00:00:00"/>
    <s v="Critical"/>
    <x v="463"/>
    <x v="11"/>
    <x v="2"/>
    <s v="Small Business"/>
    <x v="0"/>
    <x v="1"/>
    <n v="171.5"/>
    <n v="10.23"/>
  </r>
  <r>
    <n v="2281"/>
    <n v="16423"/>
    <d v="2012-08-05T00:00:00"/>
    <s v="Medium"/>
    <x v="593"/>
    <x v="0"/>
    <x v="0"/>
    <s v="Corporate"/>
    <x v="0"/>
    <x v="9"/>
    <n v="128.21"/>
    <n v="6.48"/>
  </r>
  <r>
    <n v="2282"/>
    <n v="16450"/>
    <d v="2011-05-15T00:00:00"/>
    <s v="Medium"/>
    <x v="471"/>
    <x v="27"/>
    <x v="3"/>
    <s v="Small Business"/>
    <x v="0"/>
    <x v="14"/>
    <n v="73.5"/>
    <n v="5.98"/>
  </r>
  <r>
    <n v="2283"/>
    <n v="16451"/>
    <d v="2009-07-22T00:00:00"/>
    <s v="Not Specified"/>
    <x v="403"/>
    <x v="0"/>
    <x v="0"/>
    <s v="Corporate"/>
    <x v="0"/>
    <x v="12"/>
    <n v="252.79"/>
    <n v="30.56"/>
  </r>
  <r>
    <n v="2284"/>
    <n v="16452"/>
    <d v="2012-08-23T00:00:00"/>
    <s v="Medium"/>
    <x v="740"/>
    <x v="31"/>
    <x v="3"/>
    <s v="Home Office"/>
    <x v="0"/>
    <x v="6"/>
    <n v="134.41999999999999"/>
    <n v="2.88"/>
  </r>
  <r>
    <n v="2285"/>
    <n v="16454"/>
    <d v="2012-05-11T00:00:00"/>
    <s v="Medium"/>
    <x v="844"/>
    <x v="26"/>
    <x v="3"/>
    <s v="Home Office"/>
    <x v="0"/>
    <x v="12"/>
    <n v="94.39"/>
    <n v="7.1"/>
  </r>
  <r>
    <n v="2286"/>
    <n v="16480"/>
    <d v="2009-12-06T00:00:00"/>
    <s v="Not Specified"/>
    <x v="433"/>
    <x v="10"/>
    <x v="0"/>
    <s v="Consumer"/>
    <x v="0"/>
    <x v="12"/>
    <n v="87.23"/>
    <n v="5.4"/>
  </r>
  <r>
    <n v="2287"/>
    <n v="16481"/>
    <d v="2011-02-18T00:00:00"/>
    <s v="Low"/>
    <x v="437"/>
    <x v="16"/>
    <x v="1"/>
    <s v="Corporate"/>
    <x v="0"/>
    <x v="13"/>
    <n v="3089.06"/>
    <n v="56.96"/>
  </r>
  <r>
    <n v="2288"/>
    <n v="16481"/>
    <d v="2011-02-18T00:00:00"/>
    <s v="Low"/>
    <x v="437"/>
    <x v="16"/>
    <x v="1"/>
    <s v="Corporate"/>
    <x v="2"/>
    <x v="10"/>
    <n v="20265.22"/>
    <n v="442.14"/>
  </r>
  <r>
    <n v="2289"/>
    <n v="16513"/>
    <d v="2010-09-03T00:00:00"/>
    <s v="Critical"/>
    <x v="418"/>
    <x v="7"/>
    <x v="3"/>
    <s v="Small Business"/>
    <x v="1"/>
    <x v="15"/>
    <n v="1642.43"/>
    <n v="150.88999999999999"/>
  </r>
  <r>
    <n v="2290"/>
    <n v="16518"/>
    <d v="2012-09-29T00:00:00"/>
    <s v="Critical"/>
    <x v="476"/>
    <x v="47"/>
    <x v="1"/>
    <s v="Corporate"/>
    <x v="0"/>
    <x v="9"/>
    <n v="80.290000000000006"/>
    <n v="18.97"/>
  </r>
  <r>
    <n v="2291"/>
    <n v="16518"/>
    <d v="2012-09-29T00:00:00"/>
    <s v="Critical"/>
    <x v="476"/>
    <x v="47"/>
    <x v="1"/>
    <s v="Corporate"/>
    <x v="2"/>
    <x v="4"/>
    <n v="2628.9224999999997"/>
    <n v="85.99"/>
  </r>
  <r>
    <n v="2292"/>
    <n v="16519"/>
    <d v="2011-06-10T00:00:00"/>
    <s v="Medium"/>
    <x v="845"/>
    <x v="5"/>
    <x v="0"/>
    <s v="Small Business"/>
    <x v="0"/>
    <x v="12"/>
    <n v="158.97"/>
    <n v="4.18"/>
  </r>
  <r>
    <n v="2293"/>
    <n v="16519"/>
    <d v="2011-06-10T00:00:00"/>
    <s v="Medium"/>
    <x v="845"/>
    <x v="5"/>
    <x v="0"/>
    <s v="Small Business"/>
    <x v="0"/>
    <x v="6"/>
    <n v="138.96"/>
    <n v="2.88"/>
  </r>
  <r>
    <n v="2294"/>
    <n v="16545"/>
    <d v="2010-05-09T00:00:00"/>
    <s v="Not Specified"/>
    <x v="722"/>
    <x v="0"/>
    <x v="0"/>
    <s v="Small Business"/>
    <x v="0"/>
    <x v="6"/>
    <n v="50.97"/>
    <n v="5.16"/>
  </r>
  <r>
    <n v="2295"/>
    <n v="16545"/>
    <d v="2010-05-09T00:00:00"/>
    <s v="Not Specified"/>
    <x v="722"/>
    <x v="0"/>
    <x v="0"/>
    <s v="Small Business"/>
    <x v="0"/>
    <x v="1"/>
    <n v="4.99"/>
    <n v="3.68"/>
  </r>
  <r>
    <n v="2296"/>
    <n v="16547"/>
    <d v="2009-02-18T00:00:00"/>
    <s v="Not Specified"/>
    <x v="308"/>
    <x v="0"/>
    <x v="0"/>
    <s v="Corporate"/>
    <x v="1"/>
    <x v="15"/>
    <n v="10554.63"/>
    <n v="355.98"/>
  </r>
  <r>
    <n v="2297"/>
    <n v="16547"/>
    <d v="2009-02-18T00:00:00"/>
    <s v="Not Specified"/>
    <x v="308"/>
    <x v="0"/>
    <x v="0"/>
    <s v="Corporate"/>
    <x v="1"/>
    <x v="3"/>
    <n v="1749.64"/>
    <n v="218.75"/>
  </r>
  <r>
    <n v="2298"/>
    <n v="16548"/>
    <d v="2012-02-05T00:00:00"/>
    <s v="Not Specified"/>
    <x v="683"/>
    <x v="5"/>
    <x v="0"/>
    <s v="Consumer"/>
    <x v="1"/>
    <x v="2"/>
    <n v="75.19"/>
    <n v="3.28"/>
  </r>
  <r>
    <n v="2299"/>
    <n v="16548"/>
    <d v="2012-02-05T00:00:00"/>
    <s v="Not Specified"/>
    <x v="740"/>
    <x v="31"/>
    <x v="3"/>
    <s v="Consumer"/>
    <x v="1"/>
    <x v="3"/>
    <n v="3028.86"/>
    <n v="71.37"/>
  </r>
  <r>
    <n v="2300"/>
    <n v="16579"/>
    <d v="2010-12-12T00:00:00"/>
    <s v="Not Specified"/>
    <x v="659"/>
    <x v="21"/>
    <x v="2"/>
    <s v="Consumer"/>
    <x v="0"/>
    <x v="12"/>
    <n v="63.96"/>
    <n v="1.88"/>
  </r>
  <r>
    <n v="2301"/>
    <n v="16579"/>
    <d v="2010-12-12T00:00:00"/>
    <s v="Not Specified"/>
    <x v="659"/>
    <x v="21"/>
    <x v="2"/>
    <s v="Consumer"/>
    <x v="0"/>
    <x v="6"/>
    <n v="177.23"/>
    <n v="8.14"/>
  </r>
  <r>
    <n v="2302"/>
    <n v="16582"/>
    <d v="2011-10-01T00:00:00"/>
    <s v="Critical"/>
    <x v="846"/>
    <x v="7"/>
    <x v="3"/>
    <s v="Home Office"/>
    <x v="1"/>
    <x v="3"/>
    <n v="6766.8559999999998"/>
    <n v="320.64"/>
  </r>
  <r>
    <n v="2303"/>
    <n v="16610"/>
    <d v="2009-10-10T00:00:00"/>
    <s v="High"/>
    <x v="801"/>
    <x v="14"/>
    <x v="0"/>
    <s v="Corporate"/>
    <x v="0"/>
    <x v="14"/>
    <n v="659.13"/>
    <n v="35.94"/>
  </r>
  <r>
    <n v="2304"/>
    <n v="16612"/>
    <d v="2009-02-13T00:00:00"/>
    <s v="High"/>
    <x v="847"/>
    <x v="17"/>
    <x v="0"/>
    <s v="Home Office"/>
    <x v="2"/>
    <x v="10"/>
    <n v="3699.22"/>
    <n v="80.97"/>
  </r>
  <r>
    <n v="2305"/>
    <n v="16612"/>
    <d v="2009-02-13T00:00:00"/>
    <s v="High"/>
    <x v="847"/>
    <x v="17"/>
    <x v="0"/>
    <s v="Home Office"/>
    <x v="0"/>
    <x v="9"/>
    <n v="48.93"/>
    <n v="6.48"/>
  </r>
  <r>
    <n v="2306"/>
    <n v="16613"/>
    <d v="2010-12-24T00:00:00"/>
    <s v="High"/>
    <x v="826"/>
    <x v="5"/>
    <x v="0"/>
    <s v="Home Office"/>
    <x v="1"/>
    <x v="2"/>
    <n v="51.14"/>
    <n v="1.74"/>
  </r>
  <r>
    <n v="2307"/>
    <n v="16640"/>
    <d v="2010-07-27T00:00:00"/>
    <s v="Low"/>
    <x v="848"/>
    <x v="7"/>
    <x v="3"/>
    <s v="Corporate"/>
    <x v="1"/>
    <x v="15"/>
    <n v="652.33000000000004"/>
    <n v="113.98"/>
  </r>
  <r>
    <n v="2308"/>
    <n v="16641"/>
    <d v="2010-05-10T00:00:00"/>
    <s v="High"/>
    <x v="286"/>
    <x v="16"/>
    <x v="1"/>
    <s v="Home Office"/>
    <x v="1"/>
    <x v="3"/>
    <n v="1209.1680000000001"/>
    <n v="44.43"/>
  </r>
  <r>
    <n v="2309"/>
    <n v="16642"/>
    <d v="2011-03-02T00:00:00"/>
    <s v="Not Specified"/>
    <x v="849"/>
    <x v="16"/>
    <x v="1"/>
    <s v="Corporate"/>
    <x v="2"/>
    <x v="4"/>
    <n v="7640.2249999999995"/>
    <n v="205.99"/>
  </r>
  <r>
    <n v="2310"/>
    <n v="16643"/>
    <d v="2010-04-11T00:00:00"/>
    <s v="Low"/>
    <x v="850"/>
    <x v="9"/>
    <x v="1"/>
    <s v="Home Office"/>
    <x v="0"/>
    <x v="8"/>
    <n v="312.63"/>
    <n v="7.31"/>
  </r>
  <r>
    <n v="2311"/>
    <n v="16643"/>
    <d v="2010-04-11T00:00:00"/>
    <s v="Low"/>
    <x v="850"/>
    <x v="9"/>
    <x v="1"/>
    <s v="Home Office"/>
    <x v="0"/>
    <x v="9"/>
    <n v="441.4"/>
    <n v="10.06"/>
  </r>
  <r>
    <n v="2312"/>
    <n v="16674"/>
    <d v="2011-04-29T00:00:00"/>
    <s v="Low"/>
    <x v="377"/>
    <x v="13"/>
    <x v="3"/>
    <s v="Small Business"/>
    <x v="0"/>
    <x v="13"/>
    <n v="1959.43"/>
    <n v="42.98"/>
  </r>
  <r>
    <n v="2313"/>
    <n v="16674"/>
    <d v="2011-04-29T00:00:00"/>
    <s v="Low"/>
    <x v="202"/>
    <x v="13"/>
    <x v="3"/>
    <s v="Small Business"/>
    <x v="1"/>
    <x v="15"/>
    <n v="14072.64"/>
    <n v="355.98"/>
  </r>
  <r>
    <n v="2314"/>
    <n v="16676"/>
    <d v="2009-03-19T00:00:00"/>
    <s v="High"/>
    <x v="642"/>
    <x v="26"/>
    <x v="3"/>
    <s v="Consumer"/>
    <x v="2"/>
    <x v="4"/>
    <n v="936.80199999999991"/>
    <n v="28.99"/>
  </r>
  <r>
    <n v="2315"/>
    <n v="16679"/>
    <d v="2009-11-08T00:00:00"/>
    <s v="Low"/>
    <x v="363"/>
    <x v="15"/>
    <x v="2"/>
    <s v="Small Business"/>
    <x v="1"/>
    <x v="15"/>
    <n v="6481.95"/>
    <n v="243.98"/>
  </r>
  <r>
    <n v="2316"/>
    <n v="16706"/>
    <d v="2012-06-27T00:00:00"/>
    <s v="High"/>
    <x v="408"/>
    <x v="0"/>
    <x v="0"/>
    <s v="Corporate"/>
    <x v="1"/>
    <x v="2"/>
    <n v="1943.72"/>
    <n v="41.47"/>
  </r>
  <r>
    <n v="2317"/>
    <n v="16706"/>
    <d v="2012-06-27T00:00:00"/>
    <s v="High"/>
    <x v="408"/>
    <x v="0"/>
    <x v="0"/>
    <s v="Corporate"/>
    <x v="0"/>
    <x v="6"/>
    <n v="18.37"/>
    <n v="2.78"/>
  </r>
  <r>
    <n v="2318"/>
    <n v="16706"/>
    <d v="2012-06-27T00:00:00"/>
    <s v="High"/>
    <x v="408"/>
    <x v="0"/>
    <x v="0"/>
    <s v="Corporate"/>
    <x v="2"/>
    <x v="4"/>
    <n v="6175.777"/>
    <n v="155.99"/>
  </r>
  <r>
    <n v="2319"/>
    <n v="16709"/>
    <d v="2012-10-06T00:00:00"/>
    <s v="High"/>
    <x v="796"/>
    <x v="16"/>
    <x v="1"/>
    <s v="Small Business"/>
    <x v="0"/>
    <x v="9"/>
    <n v="24.36"/>
    <n v="6.48"/>
  </r>
  <r>
    <n v="2320"/>
    <n v="16710"/>
    <d v="2011-04-24T00:00:00"/>
    <s v="High"/>
    <x v="296"/>
    <x v="13"/>
    <x v="3"/>
    <s v="Consumer"/>
    <x v="2"/>
    <x v="10"/>
    <n v="5549.79"/>
    <n v="145.44999999999999"/>
  </r>
  <r>
    <n v="2321"/>
    <n v="16711"/>
    <d v="2012-04-25T00:00:00"/>
    <s v="Not Specified"/>
    <x v="19"/>
    <x v="7"/>
    <x v="3"/>
    <s v="Small Business"/>
    <x v="0"/>
    <x v="7"/>
    <n v="3.96"/>
    <n v="1.1399999999999999"/>
  </r>
  <r>
    <n v="2322"/>
    <n v="16737"/>
    <d v="2011-06-20T00:00:00"/>
    <s v="Not Specified"/>
    <x v="398"/>
    <x v="18"/>
    <x v="2"/>
    <s v="Home Office"/>
    <x v="0"/>
    <x v="14"/>
    <n v="1390.49"/>
    <n v="90.48"/>
  </r>
  <r>
    <n v="2323"/>
    <n v="16741"/>
    <d v="2010-09-30T00:00:00"/>
    <s v="Medium"/>
    <x v="308"/>
    <x v="0"/>
    <x v="0"/>
    <s v="Small Business"/>
    <x v="0"/>
    <x v="9"/>
    <n v="157.97"/>
    <n v="22.84"/>
  </r>
  <r>
    <n v="2324"/>
    <n v="16768"/>
    <d v="2009-07-25T00:00:00"/>
    <s v="High"/>
    <x v="228"/>
    <x v="28"/>
    <x v="1"/>
    <s v="Corporate"/>
    <x v="0"/>
    <x v="13"/>
    <n v="101.47"/>
    <n v="10.89"/>
  </r>
  <r>
    <n v="2325"/>
    <n v="16770"/>
    <d v="2009-01-06T00:00:00"/>
    <s v="Critical"/>
    <x v="707"/>
    <x v="34"/>
    <x v="2"/>
    <s v="Consumer"/>
    <x v="0"/>
    <x v="6"/>
    <n v="37.06"/>
    <n v="2.1"/>
  </r>
  <r>
    <n v="2326"/>
    <n v="16771"/>
    <d v="2009-09-28T00:00:00"/>
    <s v="High"/>
    <x v="655"/>
    <x v="5"/>
    <x v="0"/>
    <s v="Corporate"/>
    <x v="1"/>
    <x v="2"/>
    <n v="1737.06"/>
    <n v="39.979999999999997"/>
  </r>
  <r>
    <n v="2327"/>
    <n v="16772"/>
    <d v="2012-12-26T00:00:00"/>
    <s v="High"/>
    <x v="521"/>
    <x v="4"/>
    <x v="1"/>
    <s v="Home Office"/>
    <x v="0"/>
    <x v="8"/>
    <n v="95.71"/>
    <n v="2.61"/>
  </r>
  <r>
    <n v="2328"/>
    <n v="16775"/>
    <d v="2012-11-22T00:00:00"/>
    <s v="Low"/>
    <x v="799"/>
    <x v="15"/>
    <x v="2"/>
    <s v="Corporate"/>
    <x v="0"/>
    <x v="9"/>
    <n v="2469.15"/>
    <n v="48.94"/>
  </r>
  <r>
    <n v="2329"/>
    <n v="16802"/>
    <d v="2011-04-20T00:00:00"/>
    <s v="Medium"/>
    <x v="232"/>
    <x v="34"/>
    <x v="2"/>
    <s v="Home Office"/>
    <x v="0"/>
    <x v="9"/>
    <n v="302.58999999999997"/>
    <n v="6.68"/>
  </r>
  <r>
    <n v="2330"/>
    <n v="16802"/>
    <d v="2011-04-20T00:00:00"/>
    <s v="Medium"/>
    <x v="232"/>
    <x v="34"/>
    <x v="2"/>
    <s v="Home Office"/>
    <x v="0"/>
    <x v="0"/>
    <n v="2703.45"/>
    <n v="95.99"/>
  </r>
  <r>
    <n v="2331"/>
    <n v="16804"/>
    <d v="2012-03-10T00:00:00"/>
    <s v="High"/>
    <x v="168"/>
    <x v="5"/>
    <x v="0"/>
    <s v="Consumer"/>
    <x v="0"/>
    <x v="9"/>
    <n v="2430.34"/>
    <n v="55.98"/>
  </r>
  <r>
    <n v="2332"/>
    <n v="16804"/>
    <d v="2012-03-10T00:00:00"/>
    <s v="High"/>
    <x v="168"/>
    <x v="5"/>
    <x v="0"/>
    <s v="Consumer"/>
    <x v="0"/>
    <x v="9"/>
    <n v="218.6"/>
    <n v="5.78"/>
  </r>
  <r>
    <n v="2333"/>
    <n v="16805"/>
    <d v="2011-12-30T00:00:00"/>
    <s v="Low"/>
    <x v="87"/>
    <x v="25"/>
    <x v="1"/>
    <s v="Corporate"/>
    <x v="0"/>
    <x v="12"/>
    <n v="852.75"/>
    <n v="30.44"/>
  </r>
  <r>
    <n v="2334"/>
    <n v="16805"/>
    <d v="2011-12-30T00:00:00"/>
    <s v="Low"/>
    <x v="87"/>
    <x v="25"/>
    <x v="1"/>
    <s v="Corporate"/>
    <x v="0"/>
    <x v="9"/>
    <n v="172.33"/>
    <n v="6.48"/>
  </r>
  <r>
    <n v="2335"/>
    <n v="16806"/>
    <d v="2010-06-17T00:00:00"/>
    <s v="High"/>
    <x v="851"/>
    <x v="22"/>
    <x v="0"/>
    <s v="Home Office"/>
    <x v="2"/>
    <x v="5"/>
    <n v="167.37"/>
    <n v="43.22"/>
  </r>
  <r>
    <n v="2336"/>
    <n v="16806"/>
    <d v="2010-06-17T00:00:00"/>
    <s v="High"/>
    <x v="851"/>
    <x v="22"/>
    <x v="0"/>
    <s v="Home Office"/>
    <x v="2"/>
    <x v="4"/>
    <n v="1026.6385"/>
    <n v="65.989999999999995"/>
  </r>
  <r>
    <n v="2337"/>
    <n v="16807"/>
    <d v="2012-01-15T00:00:00"/>
    <s v="Medium"/>
    <x v="850"/>
    <x v="9"/>
    <x v="1"/>
    <s v="Small Business"/>
    <x v="0"/>
    <x v="9"/>
    <n v="1585.6"/>
    <n v="35.44"/>
  </r>
  <r>
    <n v="2338"/>
    <n v="16807"/>
    <d v="2012-01-15T00:00:00"/>
    <s v="Medium"/>
    <x v="852"/>
    <x v="9"/>
    <x v="1"/>
    <s v="Small Business"/>
    <x v="0"/>
    <x v="9"/>
    <n v="215.85"/>
    <n v="7.4"/>
  </r>
  <r>
    <n v="2339"/>
    <n v="16834"/>
    <d v="2010-10-23T00:00:00"/>
    <s v="Low"/>
    <x v="770"/>
    <x v="24"/>
    <x v="1"/>
    <s v="Consumer"/>
    <x v="0"/>
    <x v="9"/>
    <n v="158.78"/>
    <n v="7.04"/>
  </r>
  <r>
    <n v="2340"/>
    <n v="16834"/>
    <d v="2010-10-23T00:00:00"/>
    <s v="Low"/>
    <x v="611"/>
    <x v="15"/>
    <x v="2"/>
    <s v="Consumer"/>
    <x v="0"/>
    <x v="12"/>
    <n v="463.42"/>
    <n v="14.45"/>
  </r>
  <r>
    <n v="2341"/>
    <n v="16837"/>
    <d v="2011-01-21T00:00:00"/>
    <s v="Not Specified"/>
    <x v="512"/>
    <x v="15"/>
    <x v="2"/>
    <s v="Consumer"/>
    <x v="1"/>
    <x v="15"/>
    <n v="997"/>
    <n v="258.98"/>
  </r>
  <r>
    <n v="2342"/>
    <n v="16864"/>
    <d v="2012-10-29T00:00:00"/>
    <s v="Not Specified"/>
    <x v="695"/>
    <x v="9"/>
    <x v="1"/>
    <s v="Consumer"/>
    <x v="1"/>
    <x v="3"/>
    <n v="12837.11"/>
    <n v="320.64"/>
  </r>
  <r>
    <n v="2343"/>
    <n v="16866"/>
    <d v="2012-02-06T00:00:00"/>
    <s v="Not Specified"/>
    <x v="22"/>
    <x v="15"/>
    <x v="2"/>
    <s v="Home Office"/>
    <x v="2"/>
    <x v="4"/>
    <n v="2357.9085"/>
    <n v="65.989999999999995"/>
  </r>
  <r>
    <n v="2344"/>
    <n v="16897"/>
    <d v="2012-06-15T00:00:00"/>
    <s v="Not Specified"/>
    <x v="642"/>
    <x v="26"/>
    <x v="3"/>
    <s v="Consumer"/>
    <x v="1"/>
    <x v="15"/>
    <n v="379.8"/>
    <n v="320.98"/>
  </r>
  <r>
    <n v="2345"/>
    <n v="16897"/>
    <d v="2012-06-15T00:00:00"/>
    <s v="Not Specified"/>
    <x v="642"/>
    <x v="26"/>
    <x v="3"/>
    <s v="Consumer"/>
    <x v="0"/>
    <x v="6"/>
    <n v="107.7"/>
    <n v="2.21"/>
  </r>
  <r>
    <n v="2346"/>
    <n v="16932"/>
    <d v="2010-04-15T00:00:00"/>
    <s v="Critical"/>
    <x v="722"/>
    <x v="0"/>
    <x v="0"/>
    <s v="Consumer"/>
    <x v="0"/>
    <x v="9"/>
    <n v="144.84"/>
    <n v="5.78"/>
  </r>
  <r>
    <n v="2347"/>
    <n v="16932"/>
    <d v="2010-04-15T00:00:00"/>
    <s v="Critical"/>
    <x v="722"/>
    <x v="0"/>
    <x v="0"/>
    <s v="Consumer"/>
    <x v="0"/>
    <x v="6"/>
    <n v="127.16"/>
    <n v="6.7"/>
  </r>
  <r>
    <n v="2348"/>
    <n v="16935"/>
    <d v="2012-12-15T00:00:00"/>
    <s v="Not Specified"/>
    <x v="853"/>
    <x v="21"/>
    <x v="2"/>
    <s v="Corporate"/>
    <x v="0"/>
    <x v="9"/>
    <n v="14.74"/>
    <n v="4.4800000000000004"/>
  </r>
  <r>
    <n v="2349"/>
    <n v="16935"/>
    <d v="2012-12-15T00:00:00"/>
    <s v="Not Specified"/>
    <x v="853"/>
    <x v="21"/>
    <x v="2"/>
    <s v="Corporate"/>
    <x v="0"/>
    <x v="6"/>
    <n v="117.68"/>
    <n v="2.88"/>
  </r>
  <r>
    <n v="2350"/>
    <n v="16961"/>
    <d v="2009-01-06T00:00:00"/>
    <s v="Not Specified"/>
    <x v="854"/>
    <x v="34"/>
    <x v="2"/>
    <s v="Consumer"/>
    <x v="2"/>
    <x v="5"/>
    <n v="46.86"/>
    <n v="1.7"/>
  </r>
  <r>
    <n v="2351"/>
    <n v="16961"/>
    <d v="2009-01-06T00:00:00"/>
    <s v="Not Specified"/>
    <x v="854"/>
    <x v="34"/>
    <x v="2"/>
    <s v="Consumer"/>
    <x v="0"/>
    <x v="9"/>
    <n v="1089.5899999999999"/>
    <n v="30.98"/>
  </r>
  <r>
    <n v="2352"/>
    <n v="16967"/>
    <d v="2011-08-19T00:00:00"/>
    <s v="Low"/>
    <x v="128"/>
    <x v="17"/>
    <x v="0"/>
    <s v="Corporate"/>
    <x v="2"/>
    <x v="5"/>
    <n v="397.55"/>
    <n v="83.1"/>
  </r>
  <r>
    <n v="2353"/>
    <n v="16967"/>
    <d v="2011-08-19T00:00:00"/>
    <s v="Low"/>
    <x v="128"/>
    <x v="17"/>
    <x v="0"/>
    <s v="Corporate"/>
    <x v="0"/>
    <x v="9"/>
    <n v="676.26"/>
    <n v="19.98"/>
  </r>
  <r>
    <n v="2354"/>
    <n v="16992"/>
    <d v="2010-12-12T00:00:00"/>
    <s v="High"/>
    <x v="141"/>
    <x v="16"/>
    <x v="1"/>
    <s v="Small Business"/>
    <x v="0"/>
    <x v="13"/>
    <n v="126.74"/>
    <n v="8.67"/>
  </r>
  <r>
    <n v="2355"/>
    <n v="16993"/>
    <d v="2011-11-16T00:00:00"/>
    <s v="Medium"/>
    <x v="29"/>
    <x v="36"/>
    <x v="2"/>
    <s v="Small Business"/>
    <x v="2"/>
    <x v="4"/>
    <n v="1383.9190000000001"/>
    <n v="205.99"/>
  </r>
  <r>
    <n v="2356"/>
    <n v="16995"/>
    <d v="2010-12-18T00:00:00"/>
    <s v="Not Specified"/>
    <x v="802"/>
    <x v="16"/>
    <x v="1"/>
    <s v="Consumer"/>
    <x v="0"/>
    <x v="7"/>
    <n v="48.41"/>
    <n v="1.1399999999999999"/>
  </r>
  <r>
    <n v="2357"/>
    <n v="16999"/>
    <d v="2009-01-19T00:00:00"/>
    <s v="Critical"/>
    <x v="526"/>
    <x v="26"/>
    <x v="3"/>
    <s v="Consumer"/>
    <x v="0"/>
    <x v="13"/>
    <n v="3568.45"/>
    <n v="207.48"/>
  </r>
  <r>
    <n v="2358"/>
    <n v="17024"/>
    <d v="2009-10-13T00:00:00"/>
    <s v="Medium"/>
    <x v="154"/>
    <x v="5"/>
    <x v="0"/>
    <s v="Corporate"/>
    <x v="0"/>
    <x v="13"/>
    <n v="1401.75"/>
    <n v="42.98"/>
  </r>
  <r>
    <n v="2359"/>
    <n v="17028"/>
    <d v="2009-10-15T00:00:00"/>
    <s v="High"/>
    <x v="720"/>
    <x v="44"/>
    <x v="2"/>
    <s v="Home Office"/>
    <x v="0"/>
    <x v="6"/>
    <n v="513.5"/>
    <n v="25.99"/>
  </r>
  <r>
    <n v="2360"/>
    <n v="17058"/>
    <d v="2011-01-01T00:00:00"/>
    <s v="High"/>
    <x v="547"/>
    <x v="15"/>
    <x v="2"/>
    <s v="Home Office"/>
    <x v="0"/>
    <x v="9"/>
    <n v="72.67"/>
    <n v="4.28"/>
  </r>
  <r>
    <n v="2361"/>
    <n v="17061"/>
    <d v="2012-10-30T00:00:00"/>
    <s v="Critical"/>
    <x v="775"/>
    <x v="5"/>
    <x v="0"/>
    <s v="Consumer"/>
    <x v="0"/>
    <x v="6"/>
    <n v="80.53"/>
    <n v="2.88"/>
  </r>
  <r>
    <n v="2362"/>
    <n v="17090"/>
    <d v="2010-04-28T00:00:00"/>
    <s v="Low"/>
    <x v="723"/>
    <x v="30"/>
    <x v="0"/>
    <s v="Corporate"/>
    <x v="1"/>
    <x v="11"/>
    <n v="4177.5200000000004"/>
    <n v="140.97999999999999"/>
  </r>
  <r>
    <n v="2363"/>
    <n v="17090"/>
    <d v="2010-04-28T00:00:00"/>
    <s v="Low"/>
    <x v="723"/>
    <x v="30"/>
    <x v="0"/>
    <s v="Corporate"/>
    <x v="1"/>
    <x v="15"/>
    <n v="3351.08"/>
    <n v="122.99"/>
  </r>
  <r>
    <n v="2364"/>
    <n v="17091"/>
    <d v="2012-07-21T00:00:00"/>
    <s v="Medium"/>
    <x v="514"/>
    <x v="26"/>
    <x v="3"/>
    <s v="Small Business"/>
    <x v="2"/>
    <x v="4"/>
    <n v="2604.3150000000001"/>
    <n v="65.989999999999995"/>
  </r>
  <r>
    <n v="2365"/>
    <n v="17093"/>
    <d v="2012-02-11T00:00:00"/>
    <s v="Not Specified"/>
    <x v="855"/>
    <x v="16"/>
    <x v="1"/>
    <s v="Corporate"/>
    <x v="1"/>
    <x v="15"/>
    <n v="4550.0600000000004"/>
    <n v="95.98"/>
  </r>
  <r>
    <n v="2366"/>
    <n v="17124"/>
    <d v="2009-10-25T00:00:00"/>
    <s v="Critical"/>
    <x v="572"/>
    <x v="18"/>
    <x v="2"/>
    <s v="Home Office"/>
    <x v="0"/>
    <x v="1"/>
    <n v="128.31"/>
    <n v="3.14"/>
  </r>
  <r>
    <n v="2367"/>
    <n v="17152"/>
    <d v="2012-03-12T00:00:00"/>
    <s v="High"/>
    <x v="724"/>
    <x v="5"/>
    <x v="0"/>
    <s v="Home Office"/>
    <x v="0"/>
    <x v="0"/>
    <n v="236.45"/>
    <n v="6.98"/>
  </r>
  <r>
    <n v="2368"/>
    <n v="17155"/>
    <d v="2009-01-28T00:00:00"/>
    <s v="Medium"/>
    <x v="808"/>
    <x v="25"/>
    <x v="1"/>
    <s v="Home Office"/>
    <x v="0"/>
    <x v="9"/>
    <n v="267.52999999999997"/>
    <n v="6.88"/>
  </r>
  <r>
    <n v="2369"/>
    <n v="17155"/>
    <d v="2009-01-28T00:00:00"/>
    <s v="Medium"/>
    <x v="808"/>
    <x v="25"/>
    <x v="1"/>
    <s v="Home Office"/>
    <x v="0"/>
    <x v="0"/>
    <n v="1065.26"/>
    <n v="32.479999999999997"/>
  </r>
  <r>
    <n v="2370"/>
    <n v="17157"/>
    <d v="2012-09-19T00:00:00"/>
    <s v="Low"/>
    <x v="788"/>
    <x v="35"/>
    <x v="3"/>
    <s v="Corporate"/>
    <x v="2"/>
    <x v="4"/>
    <n v="3081.471"/>
    <n v="125.99"/>
  </r>
  <r>
    <n v="2371"/>
    <n v="17186"/>
    <d v="2009-01-26T00:00:00"/>
    <s v="Medium"/>
    <x v="178"/>
    <x v="27"/>
    <x v="3"/>
    <s v="Consumer"/>
    <x v="1"/>
    <x v="2"/>
    <n v="4321.63"/>
    <n v="90.98"/>
  </r>
  <r>
    <n v="2372"/>
    <n v="17186"/>
    <d v="2009-01-26T00:00:00"/>
    <s v="Medium"/>
    <x v="178"/>
    <x v="27"/>
    <x v="3"/>
    <s v="Consumer"/>
    <x v="0"/>
    <x v="9"/>
    <n v="67.14"/>
    <n v="5.98"/>
  </r>
  <r>
    <n v="2373"/>
    <n v="17187"/>
    <d v="2012-09-23T00:00:00"/>
    <s v="High"/>
    <x v="535"/>
    <x v="5"/>
    <x v="0"/>
    <s v="Corporate"/>
    <x v="2"/>
    <x v="10"/>
    <n v="2951.97"/>
    <n v="810.98"/>
  </r>
  <r>
    <n v="2374"/>
    <n v="17216"/>
    <d v="2012-05-27T00:00:00"/>
    <s v="Medium"/>
    <x v="715"/>
    <x v="12"/>
    <x v="3"/>
    <s v="Small Business"/>
    <x v="1"/>
    <x v="15"/>
    <n v="2236.16"/>
    <n v="320.98"/>
  </r>
  <r>
    <n v="2375"/>
    <n v="17218"/>
    <d v="2012-07-23T00:00:00"/>
    <s v="Critical"/>
    <x v="856"/>
    <x v="7"/>
    <x v="3"/>
    <s v="Consumer"/>
    <x v="0"/>
    <x v="9"/>
    <n v="157.85"/>
    <n v="5.18"/>
  </r>
  <r>
    <n v="2376"/>
    <n v="17249"/>
    <d v="2010-09-25T00:00:00"/>
    <s v="Low"/>
    <x v="680"/>
    <x v="26"/>
    <x v="3"/>
    <s v="Corporate"/>
    <x v="2"/>
    <x v="5"/>
    <n v="2911.64"/>
    <n v="73.98"/>
  </r>
  <r>
    <n v="2377"/>
    <n v="17251"/>
    <d v="2009-10-27T00:00:00"/>
    <s v="Not Specified"/>
    <x v="213"/>
    <x v="1"/>
    <x v="1"/>
    <s v="Small Business"/>
    <x v="2"/>
    <x v="4"/>
    <n v="2951.4380000000001"/>
    <n v="125.99"/>
  </r>
  <r>
    <n v="2378"/>
    <n v="17252"/>
    <d v="2011-04-29T00:00:00"/>
    <s v="Not Specified"/>
    <x v="775"/>
    <x v="5"/>
    <x v="0"/>
    <s v="Consumer"/>
    <x v="0"/>
    <x v="9"/>
    <n v="2283.2199999999998"/>
    <n v="48.91"/>
  </r>
  <r>
    <n v="2379"/>
    <n v="17252"/>
    <d v="2011-04-29T00:00:00"/>
    <s v="Not Specified"/>
    <x v="775"/>
    <x v="5"/>
    <x v="0"/>
    <s v="Consumer"/>
    <x v="1"/>
    <x v="3"/>
    <n v="11365.616000000002"/>
    <n v="296.18"/>
  </r>
  <r>
    <n v="2380"/>
    <n v="17253"/>
    <d v="2011-08-17T00:00:00"/>
    <s v="Critical"/>
    <x v="739"/>
    <x v="1"/>
    <x v="1"/>
    <s v="Corporate"/>
    <x v="0"/>
    <x v="12"/>
    <n v="50.19"/>
    <n v="3.52"/>
  </r>
  <r>
    <n v="2381"/>
    <n v="17255"/>
    <d v="2010-07-14T00:00:00"/>
    <s v="Not Specified"/>
    <x v="34"/>
    <x v="7"/>
    <x v="3"/>
    <s v="Home Office"/>
    <x v="0"/>
    <x v="0"/>
    <n v="158.19"/>
    <n v="9.3800000000000008"/>
  </r>
  <r>
    <n v="2382"/>
    <n v="17282"/>
    <d v="2009-11-18T00:00:00"/>
    <s v="Low"/>
    <x v="318"/>
    <x v="2"/>
    <x v="2"/>
    <s v="Home Office"/>
    <x v="0"/>
    <x v="12"/>
    <n v="988.42"/>
    <n v="29.17"/>
  </r>
  <r>
    <n v="2383"/>
    <n v="17283"/>
    <d v="2011-09-14T00:00:00"/>
    <s v="Not Specified"/>
    <x v="72"/>
    <x v="0"/>
    <x v="0"/>
    <s v="Home Office"/>
    <x v="2"/>
    <x v="10"/>
    <n v="5472.12"/>
    <n v="1360.14"/>
  </r>
  <r>
    <n v="2384"/>
    <n v="17286"/>
    <d v="2010-09-21T00:00:00"/>
    <s v="High"/>
    <x v="0"/>
    <x v="0"/>
    <x v="0"/>
    <s v="Small Business"/>
    <x v="1"/>
    <x v="15"/>
    <n v="1810.67"/>
    <n v="270.98"/>
  </r>
  <r>
    <n v="2385"/>
    <n v="17287"/>
    <d v="2011-04-05T00:00:00"/>
    <s v="High"/>
    <x v="857"/>
    <x v="1"/>
    <x v="1"/>
    <s v="Home Office"/>
    <x v="2"/>
    <x v="10"/>
    <n v="5793.46"/>
    <n v="150.97999999999999"/>
  </r>
  <r>
    <n v="2386"/>
    <n v="17287"/>
    <d v="2011-04-05T00:00:00"/>
    <s v="High"/>
    <x v="857"/>
    <x v="1"/>
    <x v="1"/>
    <s v="Home Office"/>
    <x v="0"/>
    <x v="0"/>
    <n v="4558.21"/>
    <n v="415.88"/>
  </r>
  <r>
    <n v="2387"/>
    <n v="17287"/>
    <d v="2011-04-05T00:00:00"/>
    <s v="High"/>
    <x v="858"/>
    <x v="1"/>
    <x v="1"/>
    <s v="Home Office"/>
    <x v="2"/>
    <x v="4"/>
    <n v="4361.6984999999995"/>
    <n v="195.99"/>
  </r>
  <r>
    <n v="2388"/>
    <n v="17312"/>
    <d v="2011-05-20T00:00:00"/>
    <s v="Not Specified"/>
    <x v="826"/>
    <x v="5"/>
    <x v="0"/>
    <s v="Home Office"/>
    <x v="0"/>
    <x v="9"/>
    <n v="258.54000000000002"/>
    <n v="6.68"/>
  </r>
  <r>
    <n v="2389"/>
    <n v="17312"/>
    <d v="2011-05-20T00:00:00"/>
    <s v="Not Specified"/>
    <x v="826"/>
    <x v="5"/>
    <x v="0"/>
    <s v="Home Office"/>
    <x v="2"/>
    <x v="4"/>
    <n v="4610.2894999999999"/>
    <n v="125.99"/>
  </r>
  <r>
    <n v="2390"/>
    <n v="17313"/>
    <d v="2009-05-07T00:00:00"/>
    <s v="High"/>
    <x v="360"/>
    <x v="28"/>
    <x v="1"/>
    <s v="Consumer"/>
    <x v="0"/>
    <x v="9"/>
    <n v="130.49"/>
    <n v="4.76"/>
  </r>
  <r>
    <n v="2391"/>
    <n v="17315"/>
    <d v="2009-04-22T00:00:00"/>
    <s v="Low"/>
    <x v="859"/>
    <x v="30"/>
    <x v="0"/>
    <s v="Consumer"/>
    <x v="0"/>
    <x v="9"/>
    <n v="159.11000000000001"/>
    <n v="5.43"/>
  </r>
  <r>
    <n v="2392"/>
    <n v="17317"/>
    <d v="2009-12-03T00:00:00"/>
    <s v="Not Specified"/>
    <x v="860"/>
    <x v="7"/>
    <x v="3"/>
    <s v="Corporate"/>
    <x v="0"/>
    <x v="14"/>
    <n v="34.659999999999997"/>
    <n v="4.42"/>
  </r>
  <r>
    <n v="2393"/>
    <n v="17344"/>
    <d v="2010-07-19T00:00:00"/>
    <s v="Critical"/>
    <x v="744"/>
    <x v="22"/>
    <x v="0"/>
    <s v="Corporate"/>
    <x v="2"/>
    <x v="4"/>
    <n v="2405.4575"/>
    <n v="65.989999999999995"/>
  </r>
  <r>
    <n v="2394"/>
    <n v="17345"/>
    <d v="2011-08-02T00:00:00"/>
    <s v="Critical"/>
    <x v="668"/>
    <x v="11"/>
    <x v="2"/>
    <s v="Small Business"/>
    <x v="0"/>
    <x v="9"/>
    <n v="195.61"/>
    <n v="7.64"/>
  </r>
  <r>
    <n v="2395"/>
    <n v="17376"/>
    <d v="2011-12-04T00:00:00"/>
    <s v="High"/>
    <x v="859"/>
    <x v="30"/>
    <x v="0"/>
    <s v="Corporate"/>
    <x v="2"/>
    <x v="5"/>
    <n v="1127.81"/>
    <n v="28.48"/>
  </r>
  <r>
    <n v="2396"/>
    <n v="17377"/>
    <d v="2011-10-28T00:00:00"/>
    <s v="Low"/>
    <x v="356"/>
    <x v="5"/>
    <x v="0"/>
    <s v="Corporate"/>
    <x v="0"/>
    <x v="6"/>
    <n v="110.38"/>
    <n v="2.78"/>
  </r>
  <r>
    <n v="2397"/>
    <n v="17379"/>
    <d v="2011-08-14T00:00:00"/>
    <s v="Critical"/>
    <x v="782"/>
    <x v="27"/>
    <x v="3"/>
    <s v="Consumer"/>
    <x v="1"/>
    <x v="11"/>
    <n v="3218.42"/>
    <n v="114.98"/>
  </r>
  <r>
    <n v="2398"/>
    <n v="17381"/>
    <d v="2010-08-14T00:00:00"/>
    <s v="High"/>
    <x v="861"/>
    <x v="2"/>
    <x v="2"/>
    <s v="Corporate"/>
    <x v="0"/>
    <x v="8"/>
    <n v="101.25"/>
    <n v="3.75"/>
  </r>
  <r>
    <n v="2399"/>
    <n v="17382"/>
    <d v="2011-07-04T00:00:00"/>
    <s v="Not Specified"/>
    <x v="354"/>
    <x v="22"/>
    <x v="0"/>
    <s v="Home Office"/>
    <x v="2"/>
    <x v="4"/>
    <n v="2162.8164999999999"/>
    <n v="125.99"/>
  </r>
  <r>
    <n v="2400"/>
    <n v="17408"/>
    <d v="2009-05-27T00:00:00"/>
    <s v="Not Specified"/>
    <x v="862"/>
    <x v="31"/>
    <x v="3"/>
    <s v="Corporate"/>
    <x v="0"/>
    <x v="12"/>
    <n v="149.69999999999999"/>
    <n v="5.4"/>
  </r>
  <r>
    <n v="2401"/>
    <n v="17408"/>
    <d v="2009-05-27T00:00:00"/>
    <s v="Not Specified"/>
    <x v="15"/>
    <x v="13"/>
    <x v="3"/>
    <s v="Corporate"/>
    <x v="2"/>
    <x v="4"/>
    <n v="728.12699999999995"/>
    <n v="20.99"/>
  </r>
  <r>
    <n v="2402"/>
    <n v="17409"/>
    <d v="2010-08-17T00:00:00"/>
    <s v="Not Specified"/>
    <x v="0"/>
    <x v="0"/>
    <x v="0"/>
    <s v="Small Business"/>
    <x v="2"/>
    <x v="5"/>
    <n v="633.55999999999995"/>
    <n v="20.97"/>
  </r>
  <r>
    <n v="2403"/>
    <n v="17410"/>
    <d v="2010-09-01T00:00:00"/>
    <s v="Low"/>
    <x v="702"/>
    <x v="31"/>
    <x v="3"/>
    <s v="Home Office"/>
    <x v="2"/>
    <x v="4"/>
    <n v="284.67349999999999"/>
    <n v="65.989999999999995"/>
  </r>
  <r>
    <n v="2404"/>
    <n v="17410"/>
    <d v="2010-09-01T00:00:00"/>
    <s v="Low"/>
    <x v="523"/>
    <x v="40"/>
    <x v="3"/>
    <s v="Home Office"/>
    <x v="0"/>
    <x v="1"/>
    <n v="372.01"/>
    <n v="8.4499999999999993"/>
  </r>
  <r>
    <n v="2405"/>
    <n v="17414"/>
    <d v="2012-06-29T00:00:00"/>
    <s v="High"/>
    <x v="846"/>
    <x v="7"/>
    <x v="3"/>
    <s v="Corporate"/>
    <x v="2"/>
    <x v="5"/>
    <n v="3755.43"/>
    <n v="99.99"/>
  </r>
  <r>
    <n v="2406"/>
    <n v="17414"/>
    <d v="2012-06-29T00:00:00"/>
    <s v="High"/>
    <x v="846"/>
    <x v="7"/>
    <x v="3"/>
    <s v="Corporate"/>
    <x v="0"/>
    <x v="9"/>
    <n v="347.93"/>
    <n v="11.34"/>
  </r>
  <r>
    <n v="2407"/>
    <n v="17445"/>
    <d v="2011-08-21T00:00:00"/>
    <s v="Not Specified"/>
    <x v="770"/>
    <x v="24"/>
    <x v="1"/>
    <s v="Small Business"/>
    <x v="2"/>
    <x v="5"/>
    <n v="249.48"/>
    <n v="8.32"/>
  </r>
  <r>
    <n v="2408"/>
    <n v="17446"/>
    <d v="2009-06-09T00:00:00"/>
    <s v="Critical"/>
    <x v="81"/>
    <x v="7"/>
    <x v="3"/>
    <s v="Home Office"/>
    <x v="0"/>
    <x v="1"/>
    <n v="138.84"/>
    <n v="8.34"/>
  </r>
  <r>
    <n v="2409"/>
    <n v="17447"/>
    <d v="2012-05-18T00:00:00"/>
    <s v="Low"/>
    <x v="142"/>
    <x v="28"/>
    <x v="1"/>
    <s v="Home Office"/>
    <x v="0"/>
    <x v="9"/>
    <n v="861.41"/>
    <n v="18.97"/>
  </r>
  <r>
    <n v="2410"/>
    <n v="17506"/>
    <d v="2010-02-28T00:00:00"/>
    <s v="Low"/>
    <x v="176"/>
    <x v="32"/>
    <x v="0"/>
    <s v="Home Office"/>
    <x v="0"/>
    <x v="13"/>
    <n v="9473.31"/>
    <n v="294.62"/>
  </r>
  <r>
    <n v="2411"/>
    <n v="17507"/>
    <d v="2012-06-12T00:00:00"/>
    <s v="Medium"/>
    <x v="246"/>
    <x v="22"/>
    <x v="0"/>
    <s v="Corporate"/>
    <x v="0"/>
    <x v="13"/>
    <n v="399.76"/>
    <n v="14.56"/>
  </r>
  <r>
    <n v="2412"/>
    <n v="17507"/>
    <d v="2012-06-12T00:00:00"/>
    <s v="Medium"/>
    <x v="324"/>
    <x v="22"/>
    <x v="0"/>
    <s v="Corporate"/>
    <x v="2"/>
    <x v="10"/>
    <n v="5393.27"/>
    <n v="270.97000000000003"/>
  </r>
  <r>
    <n v="2413"/>
    <n v="17508"/>
    <d v="2012-06-27T00:00:00"/>
    <s v="Low"/>
    <x v="301"/>
    <x v="15"/>
    <x v="2"/>
    <s v="Corporate"/>
    <x v="0"/>
    <x v="6"/>
    <n v="99.08"/>
    <n v="1.76"/>
  </r>
  <r>
    <n v="2414"/>
    <n v="17510"/>
    <d v="2012-10-30T00:00:00"/>
    <s v="Critical"/>
    <x v="249"/>
    <x v="16"/>
    <x v="1"/>
    <s v="Small Business"/>
    <x v="0"/>
    <x v="14"/>
    <n v="462.12"/>
    <n v="15.57"/>
  </r>
  <r>
    <n v="2415"/>
    <n v="17539"/>
    <d v="2011-09-15T00:00:00"/>
    <s v="Not Specified"/>
    <x v="132"/>
    <x v="6"/>
    <x v="1"/>
    <s v="Consumer"/>
    <x v="1"/>
    <x v="2"/>
    <n v="381.79"/>
    <n v="14.34"/>
  </r>
  <r>
    <n v="2416"/>
    <n v="17539"/>
    <d v="2011-09-15T00:00:00"/>
    <s v="Not Specified"/>
    <x v="132"/>
    <x v="6"/>
    <x v="1"/>
    <s v="Consumer"/>
    <x v="2"/>
    <x v="4"/>
    <n v="1529.3115"/>
    <n v="195.99"/>
  </r>
  <r>
    <n v="2417"/>
    <n v="17542"/>
    <d v="2010-08-31T00:00:00"/>
    <s v="Low"/>
    <x v="266"/>
    <x v="16"/>
    <x v="1"/>
    <s v="Consumer"/>
    <x v="0"/>
    <x v="8"/>
    <n v="105.99"/>
    <n v="2.88"/>
  </r>
  <r>
    <n v="2418"/>
    <n v="17543"/>
    <d v="2012-05-25T00:00:00"/>
    <s v="Critical"/>
    <x v="854"/>
    <x v="34"/>
    <x v="2"/>
    <s v="Consumer"/>
    <x v="0"/>
    <x v="9"/>
    <n v="15.73"/>
    <n v="6.48"/>
  </r>
  <r>
    <n v="2419"/>
    <n v="17543"/>
    <d v="2012-05-25T00:00:00"/>
    <s v="Critical"/>
    <x v="854"/>
    <x v="34"/>
    <x v="2"/>
    <s v="Consumer"/>
    <x v="0"/>
    <x v="9"/>
    <n v="1041.74"/>
    <n v="30.98"/>
  </r>
  <r>
    <n v="2420"/>
    <n v="17543"/>
    <d v="2012-05-25T00:00:00"/>
    <s v="Critical"/>
    <x v="854"/>
    <x v="34"/>
    <x v="2"/>
    <s v="Consumer"/>
    <x v="2"/>
    <x v="4"/>
    <n v="4300.6260000000002"/>
    <n v="200.99"/>
  </r>
  <r>
    <n v="2421"/>
    <n v="17568"/>
    <d v="2010-10-08T00:00:00"/>
    <s v="Not Specified"/>
    <x v="317"/>
    <x v="16"/>
    <x v="1"/>
    <s v="Home Office"/>
    <x v="2"/>
    <x v="5"/>
    <n v="512.87"/>
    <n v="16.48"/>
  </r>
  <r>
    <n v="2422"/>
    <n v="17571"/>
    <d v="2012-03-15T00:00:00"/>
    <s v="Not Specified"/>
    <x v="330"/>
    <x v="16"/>
    <x v="1"/>
    <s v="Consumer"/>
    <x v="0"/>
    <x v="7"/>
    <n v="102.59"/>
    <n v="2.98"/>
  </r>
  <r>
    <n v="2423"/>
    <n v="17571"/>
    <d v="2012-03-15T00:00:00"/>
    <s v="Not Specified"/>
    <x v="577"/>
    <x v="16"/>
    <x v="1"/>
    <s v="Consumer"/>
    <x v="2"/>
    <x v="5"/>
    <n v="1695.65"/>
    <n v="32.979999999999997"/>
  </r>
  <r>
    <n v="2424"/>
    <n v="17573"/>
    <d v="2011-09-04T00:00:00"/>
    <s v="Low"/>
    <x v="863"/>
    <x v="27"/>
    <x v="3"/>
    <s v="Small Business"/>
    <x v="1"/>
    <x v="2"/>
    <n v="220.97"/>
    <n v="9.48"/>
  </r>
  <r>
    <n v="2425"/>
    <n v="17573"/>
    <d v="2011-09-04T00:00:00"/>
    <s v="Low"/>
    <x v="20"/>
    <x v="4"/>
    <x v="1"/>
    <s v="Small Business"/>
    <x v="2"/>
    <x v="16"/>
    <n v="21555.599999999999"/>
    <n v="449.99"/>
  </r>
  <r>
    <n v="2426"/>
    <n v="17632"/>
    <d v="2010-02-21T00:00:00"/>
    <s v="Medium"/>
    <x v="42"/>
    <x v="33"/>
    <x v="0"/>
    <s v="Corporate"/>
    <x v="0"/>
    <x v="7"/>
    <n v="71.12"/>
    <n v="1.98"/>
  </r>
  <r>
    <n v="2427"/>
    <n v="17634"/>
    <d v="2012-07-21T00:00:00"/>
    <s v="High"/>
    <x v="845"/>
    <x v="5"/>
    <x v="0"/>
    <s v="Corporate"/>
    <x v="1"/>
    <x v="15"/>
    <n v="489.07"/>
    <n v="89.99"/>
  </r>
  <r>
    <n v="2428"/>
    <n v="17636"/>
    <d v="2009-02-04T00:00:00"/>
    <s v="Low"/>
    <x v="491"/>
    <x v="16"/>
    <x v="1"/>
    <s v="Home Office"/>
    <x v="0"/>
    <x v="6"/>
    <n v="7.01"/>
    <n v="2.94"/>
  </r>
  <r>
    <n v="2429"/>
    <n v="17666"/>
    <d v="2010-09-08T00:00:00"/>
    <s v="Medium"/>
    <x v="197"/>
    <x v="18"/>
    <x v="2"/>
    <s v="Home Office"/>
    <x v="0"/>
    <x v="9"/>
    <n v="82.56"/>
    <n v="4"/>
  </r>
  <r>
    <n v="2430"/>
    <n v="17666"/>
    <d v="2010-09-08T00:00:00"/>
    <s v="Medium"/>
    <x v="197"/>
    <x v="18"/>
    <x v="2"/>
    <s v="Home Office"/>
    <x v="0"/>
    <x v="1"/>
    <n v="141.07"/>
    <n v="12.98"/>
  </r>
  <r>
    <n v="2431"/>
    <n v="17668"/>
    <d v="2009-11-25T00:00:00"/>
    <s v="Medium"/>
    <x v="356"/>
    <x v="5"/>
    <x v="0"/>
    <s v="Corporate"/>
    <x v="2"/>
    <x v="5"/>
    <n v="848.92"/>
    <n v="17.48"/>
  </r>
  <r>
    <n v="2432"/>
    <n v="17668"/>
    <d v="2009-11-25T00:00:00"/>
    <s v="Medium"/>
    <x v="356"/>
    <x v="5"/>
    <x v="0"/>
    <s v="Corporate"/>
    <x v="2"/>
    <x v="10"/>
    <n v="6930.97"/>
    <n v="300.98"/>
  </r>
  <r>
    <n v="2433"/>
    <n v="17668"/>
    <d v="2009-11-25T00:00:00"/>
    <s v="Medium"/>
    <x v="356"/>
    <x v="5"/>
    <x v="0"/>
    <s v="Corporate"/>
    <x v="2"/>
    <x v="4"/>
    <n v="2219.7324999999996"/>
    <n v="205.99"/>
  </r>
  <r>
    <n v="2434"/>
    <n v="17669"/>
    <d v="2009-04-29T00:00:00"/>
    <s v="High"/>
    <x v="864"/>
    <x v="16"/>
    <x v="1"/>
    <s v="Small Business"/>
    <x v="0"/>
    <x v="0"/>
    <n v="1116.03"/>
    <n v="34.76"/>
  </r>
  <r>
    <n v="2435"/>
    <n v="17670"/>
    <d v="2009-08-25T00:00:00"/>
    <s v="Medium"/>
    <x v="819"/>
    <x v="26"/>
    <x v="3"/>
    <s v="Corporate"/>
    <x v="0"/>
    <x v="8"/>
    <n v="36.520000000000003"/>
    <n v="2.61"/>
  </r>
  <r>
    <n v="2436"/>
    <n v="17698"/>
    <d v="2012-05-13T00:00:00"/>
    <s v="High"/>
    <x v="73"/>
    <x v="12"/>
    <x v="3"/>
    <s v="Corporate"/>
    <x v="0"/>
    <x v="13"/>
    <n v="1883.82"/>
    <n v="44.01"/>
  </r>
  <r>
    <n v="2437"/>
    <n v="17698"/>
    <d v="2012-05-13T00:00:00"/>
    <s v="High"/>
    <x v="288"/>
    <x v="13"/>
    <x v="3"/>
    <s v="Corporate"/>
    <x v="2"/>
    <x v="4"/>
    <n v="1118.2514999999999"/>
    <n v="65.989999999999995"/>
  </r>
  <r>
    <n v="2438"/>
    <n v="17698"/>
    <d v="2012-05-13T00:00:00"/>
    <s v="High"/>
    <x v="815"/>
    <x v="13"/>
    <x v="3"/>
    <s v="Corporate"/>
    <x v="0"/>
    <x v="12"/>
    <n v="609.4"/>
    <n v="15.28"/>
  </r>
  <r>
    <n v="2439"/>
    <n v="17700"/>
    <d v="2012-10-27T00:00:00"/>
    <s v="Critical"/>
    <x v="865"/>
    <x v="16"/>
    <x v="1"/>
    <s v="Home Office"/>
    <x v="1"/>
    <x v="2"/>
    <n v="2305.75"/>
    <n v="113.64"/>
  </r>
  <r>
    <n v="2440"/>
    <n v="17701"/>
    <d v="2012-05-21T00:00:00"/>
    <s v="Critical"/>
    <x v="317"/>
    <x v="16"/>
    <x v="1"/>
    <s v="Home Office"/>
    <x v="0"/>
    <x v="12"/>
    <n v="80.45"/>
    <n v="3.74"/>
  </r>
  <r>
    <n v="2441"/>
    <n v="17702"/>
    <d v="2012-04-13T00:00:00"/>
    <s v="High"/>
    <x v="866"/>
    <x v="27"/>
    <x v="3"/>
    <s v="Home Office"/>
    <x v="0"/>
    <x v="13"/>
    <n v="368.99"/>
    <n v="7.77"/>
  </r>
  <r>
    <n v="2442"/>
    <n v="17702"/>
    <d v="2012-04-13T00:00:00"/>
    <s v="High"/>
    <x v="17"/>
    <x v="22"/>
    <x v="0"/>
    <s v="Home Office"/>
    <x v="2"/>
    <x v="5"/>
    <n v="264.63"/>
    <n v="27.48"/>
  </r>
  <r>
    <n v="2443"/>
    <n v="17735"/>
    <d v="2012-07-12T00:00:00"/>
    <s v="Low"/>
    <x v="168"/>
    <x v="5"/>
    <x v="0"/>
    <s v="Consumer"/>
    <x v="0"/>
    <x v="12"/>
    <n v="311.64999999999998"/>
    <n v="6.81"/>
  </r>
  <r>
    <n v="2444"/>
    <n v="17735"/>
    <d v="2012-07-12T00:00:00"/>
    <s v="Low"/>
    <x v="168"/>
    <x v="5"/>
    <x v="0"/>
    <s v="Consumer"/>
    <x v="0"/>
    <x v="7"/>
    <n v="101.19"/>
    <n v="3.78"/>
  </r>
  <r>
    <n v="2445"/>
    <n v="17764"/>
    <d v="2009-09-16T00:00:00"/>
    <s v="Low"/>
    <x v="156"/>
    <x v="0"/>
    <x v="0"/>
    <s v="Home Office"/>
    <x v="0"/>
    <x v="9"/>
    <n v="644.4"/>
    <n v="22.84"/>
  </r>
  <r>
    <n v="2446"/>
    <n v="17765"/>
    <d v="2011-09-15T00:00:00"/>
    <s v="Not Specified"/>
    <x v="867"/>
    <x v="7"/>
    <x v="3"/>
    <s v="Small Business"/>
    <x v="0"/>
    <x v="12"/>
    <n v="79.02"/>
    <n v="2.16"/>
  </r>
  <r>
    <n v="2447"/>
    <n v="17795"/>
    <d v="2009-04-01T00:00:00"/>
    <s v="Medium"/>
    <x v="868"/>
    <x v="35"/>
    <x v="3"/>
    <s v="Small Business"/>
    <x v="0"/>
    <x v="13"/>
    <n v="17.62"/>
    <n v="11.33"/>
  </r>
  <r>
    <n v="2448"/>
    <n v="17797"/>
    <d v="2012-07-10T00:00:00"/>
    <s v="Low"/>
    <x v="17"/>
    <x v="26"/>
    <x v="3"/>
    <s v="Home Office"/>
    <x v="1"/>
    <x v="11"/>
    <n v="1077.28"/>
    <n v="100.98"/>
  </r>
  <r>
    <n v="2449"/>
    <n v="17797"/>
    <d v="2012-07-10T00:00:00"/>
    <s v="Low"/>
    <x v="17"/>
    <x v="26"/>
    <x v="3"/>
    <s v="Home Office"/>
    <x v="0"/>
    <x v="14"/>
    <n v="61.52"/>
    <n v="3.69"/>
  </r>
  <r>
    <n v="2450"/>
    <n v="17799"/>
    <d v="2012-09-20T00:00:00"/>
    <s v="Medium"/>
    <x v="865"/>
    <x v="16"/>
    <x v="1"/>
    <s v="Consumer"/>
    <x v="1"/>
    <x v="2"/>
    <n v="149.51"/>
    <n v="16.98"/>
  </r>
  <r>
    <n v="2451"/>
    <n v="17825"/>
    <d v="2010-01-13T00:00:00"/>
    <s v="Not Specified"/>
    <x v="679"/>
    <x v="5"/>
    <x v="0"/>
    <s v="Home Office"/>
    <x v="0"/>
    <x v="0"/>
    <n v="981.9"/>
    <n v="37.76"/>
  </r>
  <r>
    <n v="2452"/>
    <n v="17826"/>
    <d v="2012-06-30T00:00:00"/>
    <s v="High"/>
    <x v="592"/>
    <x v="3"/>
    <x v="0"/>
    <s v="Home Office"/>
    <x v="0"/>
    <x v="12"/>
    <n v="78.930000000000007"/>
    <n v="3.89"/>
  </r>
  <r>
    <n v="2453"/>
    <n v="17831"/>
    <d v="2012-10-25T00:00:00"/>
    <s v="Critical"/>
    <x v="458"/>
    <x v="22"/>
    <x v="0"/>
    <s v="Corporate"/>
    <x v="1"/>
    <x v="2"/>
    <n v="239.3"/>
    <n v="6.98"/>
  </r>
  <r>
    <n v="2454"/>
    <n v="17831"/>
    <d v="2012-10-25T00:00:00"/>
    <s v="Critical"/>
    <x v="458"/>
    <x v="22"/>
    <x v="0"/>
    <s v="Corporate"/>
    <x v="0"/>
    <x v="9"/>
    <n v="260.41000000000003"/>
    <n v="5.98"/>
  </r>
  <r>
    <n v="2455"/>
    <n v="17858"/>
    <d v="2010-09-25T00:00:00"/>
    <s v="Medium"/>
    <x v="49"/>
    <x v="10"/>
    <x v="0"/>
    <s v="Consumer"/>
    <x v="2"/>
    <x v="5"/>
    <n v="187.14"/>
    <n v="8.33"/>
  </r>
  <r>
    <n v="2456"/>
    <n v="17858"/>
    <d v="2010-09-25T00:00:00"/>
    <s v="Medium"/>
    <x v="49"/>
    <x v="10"/>
    <x v="0"/>
    <s v="Consumer"/>
    <x v="2"/>
    <x v="5"/>
    <n v="385.7"/>
    <n v="30.98"/>
  </r>
  <r>
    <n v="2457"/>
    <n v="17858"/>
    <d v="2010-09-25T00:00:00"/>
    <s v="Medium"/>
    <x v="49"/>
    <x v="10"/>
    <x v="0"/>
    <s v="Consumer"/>
    <x v="1"/>
    <x v="2"/>
    <n v="1048.3900000000001"/>
    <n v="22.98"/>
  </r>
  <r>
    <n v="2458"/>
    <n v="17859"/>
    <d v="2010-05-26T00:00:00"/>
    <s v="Critical"/>
    <x v="621"/>
    <x v="44"/>
    <x v="2"/>
    <s v="Consumer"/>
    <x v="2"/>
    <x v="5"/>
    <n v="182.89"/>
    <n v="27.48"/>
  </r>
  <r>
    <n v="2459"/>
    <n v="17860"/>
    <d v="2011-04-06T00:00:00"/>
    <s v="Critical"/>
    <x v="620"/>
    <x v="47"/>
    <x v="1"/>
    <s v="Small Business"/>
    <x v="0"/>
    <x v="13"/>
    <n v="139"/>
    <n v="7.77"/>
  </r>
  <r>
    <n v="2460"/>
    <n v="17862"/>
    <d v="2012-05-07T00:00:00"/>
    <s v="Not Specified"/>
    <x v="376"/>
    <x v="2"/>
    <x v="2"/>
    <s v="Corporate"/>
    <x v="2"/>
    <x v="5"/>
    <n v="28.73"/>
    <n v="20.97"/>
  </r>
  <r>
    <n v="2461"/>
    <n v="17862"/>
    <d v="2012-05-07T00:00:00"/>
    <s v="Not Specified"/>
    <x v="376"/>
    <x v="2"/>
    <x v="2"/>
    <s v="Corporate"/>
    <x v="0"/>
    <x v="6"/>
    <n v="67.88"/>
    <n v="2.1"/>
  </r>
  <r>
    <n v="2462"/>
    <n v="17924"/>
    <d v="2011-08-26T00:00:00"/>
    <s v="Critical"/>
    <x v="281"/>
    <x v="37"/>
    <x v="2"/>
    <s v="Consumer"/>
    <x v="0"/>
    <x v="13"/>
    <n v="2507.48"/>
    <n v="60.97"/>
  </r>
  <r>
    <n v="2463"/>
    <n v="17926"/>
    <d v="2011-11-10T00:00:00"/>
    <s v="Critical"/>
    <x v="657"/>
    <x v="3"/>
    <x v="0"/>
    <s v="Consumer"/>
    <x v="0"/>
    <x v="0"/>
    <n v="608.33000000000004"/>
    <n v="15.31"/>
  </r>
  <r>
    <n v="2464"/>
    <n v="17927"/>
    <d v="2009-08-09T00:00:00"/>
    <s v="Medium"/>
    <x v="64"/>
    <x v="2"/>
    <x v="2"/>
    <s v="Consumer"/>
    <x v="2"/>
    <x v="5"/>
    <n v="865.21"/>
    <n v="20.95"/>
  </r>
  <r>
    <n v="2465"/>
    <n v="17952"/>
    <d v="2010-10-11T00:00:00"/>
    <s v="Medium"/>
    <x v="476"/>
    <x v="47"/>
    <x v="1"/>
    <s v="Small Business"/>
    <x v="0"/>
    <x v="13"/>
    <n v="430.13"/>
    <n v="14.42"/>
  </r>
  <r>
    <n v="2466"/>
    <n v="17953"/>
    <d v="2012-08-20T00:00:00"/>
    <s v="High"/>
    <x v="523"/>
    <x v="40"/>
    <x v="3"/>
    <s v="Small Business"/>
    <x v="0"/>
    <x v="14"/>
    <n v="975.12"/>
    <n v="30.98"/>
  </r>
  <r>
    <n v="2467"/>
    <n v="17953"/>
    <d v="2012-08-20T00:00:00"/>
    <s v="High"/>
    <x v="147"/>
    <x v="12"/>
    <x v="3"/>
    <s v="Small Business"/>
    <x v="0"/>
    <x v="13"/>
    <n v="1490.56"/>
    <n v="68.81"/>
  </r>
  <r>
    <n v="2468"/>
    <n v="17953"/>
    <d v="2012-08-20T00:00:00"/>
    <s v="High"/>
    <x v="869"/>
    <x v="12"/>
    <x v="3"/>
    <s v="Small Business"/>
    <x v="0"/>
    <x v="6"/>
    <n v="105.44"/>
    <n v="5.84"/>
  </r>
  <r>
    <n v="2469"/>
    <n v="17956"/>
    <d v="2010-08-05T00:00:00"/>
    <s v="Critical"/>
    <x v="706"/>
    <x v="5"/>
    <x v="0"/>
    <s v="Corporate"/>
    <x v="0"/>
    <x v="9"/>
    <n v="1567.51"/>
    <n v="37.94"/>
  </r>
  <r>
    <n v="2470"/>
    <n v="17956"/>
    <d v="2010-08-05T00:00:00"/>
    <s v="Critical"/>
    <x v="706"/>
    <x v="5"/>
    <x v="0"/>
    <s v="Corporate"/>
    <x v="0"/>
    <x v="0"/>
    <n v="1914.65"/>
    <n v="111.03"/>
  </r>
  <r>
    <n v="2471"/>
    <n v="17958"/>
    <d v="2011-08-11T00:00:00"/>
    <s v="Low"/>
    <x v="271"/>
    <x v="7"/>
    <x v="3"/>
    <s v="Home Office"/>
    <x v="1"/>
    <x v="2"/>
    <n v="1053.74"/>
    <n v="32.479999999999997"/>
  </r>
  <r>
    <n v="2472"/>
    <n v="17959"/>
    <d v="2012-09-09T00:00:00"/>
    <s v="Medium"/>
    <x v="870"/>
    <x v="12"/>
    <x v="3"/>
    <s v="Home Office"/>
    <x v="0"/>
    <x v="9"/>
    <n v="1201.68"/>
    <n v="40.99"/>
  </r>
  <r>
    <n v="2473"/>
    <n v="17959"/>
    <d v="2012-09-09T00:00:00"/>
    <s v="Medium"/>
    <x v="871"/>
    <x v="12"/>
    <x v="3"/>
    <s v="Home Office"/>
    <x v="1"/>
    <x v="2"/>
    <n v="2784.57"/>
    <n v="136.97999999999999"/>
  </r>
  <r>
    <n v="2474"/>
    <n v="17985"/>
    <d v="2011-04-12T00:00:00"/>
    <s v="Medium"/>
    <x v="385"/>
    <x v="38"/>
    <x v="0"/>
    <s v="Home Office"/>
    <x v="1"/>
    <x v="15"/>
    <n v="473.88"/>
    <n v="110.98"/>
  </r>
  <r>
    <n v="2475"/>
    <n v="17985"/>
    <d v="2011-04-12T00:00:00"/>
    <s v="Medium"/>
    <x v="385"/>
    <x v="38"/>
    <x v="0"/>
    <s v="Home Office"/>
    <x v="2"/>
    <x v="4"/>
    <n v="849.03099999999995"/>
    <n v="20.99"/>
  </r>
  <r>
    <n v="2476"/>
    <n v="17986"/>
    <d v="2012-04-05T00:00:00"/>
    <s v="Not Specified"/>
    <x v="716"/>
    <x v="5"/>
    <x v="0"/>
    <s v="Small Business"/>
    <x v="0"/>
    <x v="12"/>
    <n v="87.31"/>
    <n v="2.08"/>
  </r>
  <r>
    <n v="2477"/>
    <n v="17988"/>
    <d v="2010-09-22T00:00:00"/>
    <s v="Low"/>
    <x v="872"/>
    <x v="2"/>
    <x v="2"/>
    <s v="Small Business"/>
    <x v="2"/>
    <x v="4"/>
    <n v="2660.6105000000002"/>
    <n v="65.989999999999995"/>
  </r>
  <r>
    <n v="2478"/>
    <n v="18017"/>
    <d v="2010-03-25T00:00:00"/>
    <s v="Critical"/>
    <x v="686"/>
    <x v="12"/>
    <x v="3"/>
    <s v="Small Business"/>
    <x v="1"/>
    <x v="3"/>
    <n v="5202.8960000000006"/>
    <n v="296.18"/>
  </r>
  <r>
    <n v="2479"/>
    <n v="18023"/>
    <d v="2011-02-24T00:00:00"/>
    <s v="Medium"/>
    <x v="627"/>
    <x v="23"/>
    <x v="3"/>
    <s v="Home Office"/>
    <x v="2"/>
    <x v="10"/>
    <n v="4502.26"/>
    <n v="120.97"/>
  </r>
  <r>
    <n v="2480"/>
    <n v="18023"/>
    <d v="2011-02-24T00:00:00"/>
    <s v="Medium"/>
    <x v="627"/>
    <x v="23"/>
    <x v="3"/>
    <s v="Home Office"/>
    <x v="0"/>
    <x v="9"/>
    <n v="192.23"/>
    <n v="5.78"/>
  </r>
  <r>
    <n v="2481"/>
    <n v="18049"/>
    <d v="2009-08-13T00:00:00"/>
    <s v="Medium"/>
    <x v="278"/>
    <x v="2"/>
    <x v="2"/>
    <s v="Corporate"/>
    <x v="0"/>
    <x v="9"/>
    <n v="65.52"/>
    <n v="5.98"/>
  </r>
  <r>
    <n v="2482"/>
    <n v="18055"/>
    <d v="2010-02-04T00:00:00"/>
    <s v="Critical"/>
    <x v="151"/>
    <x v="34"/>
    <x v="2"/>
    <s v="Corporate"/>
    <x v="0"/>
    <x v="9"/>
    <n v="19.98"/>
    <n v="4.9800000000000004"/>
  </r>
  <r>
    <n v="2483"/>
    <n v="18080"/>
    <d v="2009-06-22T00:00:00"/>
    <s v="High"/>
    <x v="553"/>
    <x v="0"/>
    <x v="0"/>
    <s v="Corporate"/>
    <x v="1"/>
    <x v="15"/>
    <n v="1211.98"/>
    <n v="180.98"/>
  </r>
  <r>
    <n v="2484"/>
    <n v="18085"/>
    <d v="2011-09-25T00:00:00"/>
    <s v="High"/>
    <x v="708"/>
    <x v="45"/>
    <x v="0"/>
    <s v="Corporate"/>
    <x v="1"/>
    <x v="3"/>
    <n v="8127.51"/>
    <n v="348.21"/>
  </r>
  <r>
    <n v="2485"/>
    <n v="18085"/>
    <d v="2011-09-25T00:00:00"/>
    <s v="High"/>
    <x v="708"/>
    <x v="45"/>
    <x v="0"/>
    <s v="Corporate"/>
    <x v="2"/>
    <x v="4"/>
    <n v="5352.9344999999994"/>
    <n v="195.99"/>
  </r>
  <r>
    <n v="2486"/>
    <n v="18112"/>
    <d v="2012-03-16T00:00:00"/>
    <s v="Not Specified"/>
    <x v="45"/>
    <x v="5"/>
    <x v="0"/>
    <s v="Small Business"/>
    <x v="0"/>
    <x v="9"/>
    <n v="83.31"/>
    <n v="6.45"/>
  </r>
  <r>
    <n v="2487"/>
    <n v="18113"/>
    <d v="2012-08-28T00:00:00"/>
    <s v="Not Specified"/>
    <x v="520"/>
    <x v="0"/>
    <x v="0"/>
    <s v="Consumer"/>
    <x v="1"/>
    <x v="15"/>
    <n v="3316.08"/>
    <n v="130.97999999999999"/>
  </r>
  <r>
    <n v="2488"/>
    <n v="18119"/>
    <d v="2009-06-24T00:00:00"/>
    <s v="Low"/>
    <x v="111"/>
    <x v="4"/>
    <x v="1"/>
    <s v="Consumer"/>
    <x v="0"/>
    <x v="14"/>
    <n v="347.84"/>
    <n v="8.74"/>
  </r>
  <r>
    <n v="2489"/>
    <n v="18144"/>
    <d v="2011-06-07T00:00:00"/>
    <s v="Critical"/>
    <x v="490"/>
    <x v="0"/>
    <x v="0"/>
    <s v="Corporate"/>
    <x v="0"/>
    <x v="9"/>
    <n v="207.08"/>
    <n v="4.28"/>
  </r>
  <r>
    <n v="2490"/>
    <n v="18144"/>
    <d v="2011-06-07T00:00:00"/>
    <s v="Critical"/>
    <x v="490"/>
    <x v="0"/>
    <x v="0"/>
    <s v="Corporate"/>
    <x v="0"/>
    <x v="0"/>
    <n v="234.28"/>
    <n v="28.28"/>
  </r>
  <r>
    <n v="2491"/>
    <n v="18144"/>
    <d v="2011-06-07T00:00:00"/>
    <s v="Critical"/>
    <x v="490"/>
    <x v="0"/>
    <x v="0"/>
    <s v="Corporate"/>
    <x v="2"/>
    <x v="4"/>
    <n v="1779.8914999999997"/>
    <n v="55.99"/>
  </r>
  <r>
    <n v="2492"/>
    <n v="18145"/>
    <d v="2010-09-04T00:00:00"/>
    <s v="Medium"/>
    <x v="170"/>
    <x v="6"/>
    <x v="1"/>
    <s v="Corporate"/>
    <x v="0"/>
    <x v="7"/>
    <n v="270.32"/>
    <n v="5.81"/>
  </r>
  <r>
    <n v="2493"/>
    <n v="18145"/>
    <d v="2010-09-04T00:00:00"/>
    <s v="Medium"/>
    <x v="217"/>
    <x v="28"/>
    <x v="1"/>
    <s v="Corporate"/>
    <x v="2"/>
    <x v="10"/>
    <n v="361.98"/>
    <n v="15.99"/>
  </r>
  <r>
    <n v="2494"/>
    <n v="18147"/>
    <d v="2009-07-17T00:00:00"/>
    <s v="Not Specified"/>
    <x v="616"/>
    <x v="9"/>
    <x v="1"/>
    <s v="Home Office"/>
    <x v="0"/>
    <x v="12"/>
    <n v="82.03"/>
    <n v="1.88"/>
  </r>
  <r>
    <n v="2495"/>
    <n v="18147"/>
    <d v="2009-07-17T00:00:00"/>
    <s v="Not Specified"/>
    <x v="616"/>
    <x v="9"/>
    <x v="1"/>
    <s v="Home Office"/>
    <x v="0"/>
    <x v="9"/>
    <n v="290.91000000000003"/>
    <n v="5.78"/>
  </r>
  <r>
    <n v="2496"/>
    <n v="18178"/>
    <d v="2009-11-02T00:00:00"/>
    <s v="Low"/>
    <x v="827"/>
    <x v="5"/>
    <x v="0"/>
    <s v="Small Business"/>
    <x v="0"/>
    <x v="13"/>
    <n v="235.09"/>
    <n v="4.4800000000000004"/>
  </r>
  <r>
    <n v="2497"/>
    <n v="18178"/>
    <d v="2009-11-02T00:00:00"/>
    <s v="Low"/>
    <x v="827"/>
    <x v="5"/>
    <x v="0"/>
    <s v="Small Business"/>
    <x v="1"/>
    <x v="2"/>
    <n v="187.46"/>
    <n v="17.670000000000002"/>
  </r>
  <r>
    <n v="2498"/>
    <n v="18179"/>
    <d v="2009-08-01T00:00:00"/>
    <s v="Not Specified"/>
    <x v="677"/>
    <x v="22"/>
    <x v="0"/>
    <s v="Corporate"/>
    <x v="2"/>
    <x v="5"/>
    <n v="3075.83"/>
    <n v="60.98"/>
  </r>
  <r>
    <n v="2499"/>
    <n v="18179"/>
    <d v="2009-08-01T00:00:00"/>
    <s v="Not Specified"/>
    <x v="677"/>
    <x v="22"/>
    <x v="0"/>
    <s v="Corporate"/>
    <x v="0"/>
    <x v="8"/>
    <n v="73.37"/>
    <n v="3.08"/>
  </r>
  <r>
    <n v="2500"/>
    <n v="18179"/>
    <d v="2009-08-01T00:00:00"/>
    <s v="Not Specified"/>
    <x v="873"/>
    <x v="22"/>
    <x v="0"/>
    <s v="Corporate"/>
    <x v="0"/>
    <x v="9"/>
    <n v="527.6"/>
    <n v="10.31"/>
  </r>
  <r>
    <n v="2501"/>
    <n v="18182"/>
    <d v="2011-04-10T00:00:00"/>
    <s v="Medium"/>
    <x v="460"/>
    <x v="5"/>
    <x v="0"/>
    <s v="Corporate"/>
    <x v="2"/>
    <x v="5"/>
    <n v="4598.7299999999996"/>
    <n v="99.99"/>
  </r>
  <r>
    <n v="2502"/>
    <n v="18182"/>
    <d v="2011-04-10T00:00:00"/>
    <s v="Medium"/>
    <x v="460"/>
    <x v="5"/>
    <x v="0"/>
    <s v="Corporate"/>
    <x v="1"/>
    <x v="2"/>
    <n v="2673.08"/>
    <n v="55.5"/>
  </r>
  <r>
    <n v="2503"/>
    <n v="18182"/>
    <d v="2011-04-10T00:00:00"/>
    <s v="Medium"/>
    <x v="460"/>
    <x v="5"/>
    <x v="0"/>
    <s v="Corporate"/>
    <x v="0"/>
    <x v="0"/>
    <n v="396.69"/>
    <n v="33.29"/>
  </r>
  <r>
    <n v="2504"/>
    <n v="18208"/>
    <d v="2012-04-01T00:00:00"/>
    <s v="Not Specified"/>
    <x v="874"/>
    <x v="11"/>
    <x v="2"/>
    <s v="Corporate"/>
    <x v="0"/>
    <x v="14"/>
    <n v="197.45"/>
    <n v="5.68"/>
  </r>
  <r>
    <n v="2505"/>
    <n v="18208"/>
    <d v="2012-04-01T00:00:00"/>
    <s v="Not Specified"/>
    <x v="874"/>
    <x v="11"/>
    <x v="2"/>
    <s v="Corporate"/>
    <x v="0"/>
    <x v="6"/>
    <n v="82.98"/>
    <n v="2.2799999999999998"/>
  </r>
  <r>
    <n v="2506"/>
    <n v="18210"/>
    <d v="2010-08-06T00:00:00"/>
    <s v="Not Specified"/>
    <x v="723"/>
    <x v="30"/>
    <x v="0"/>
    <s v="Small Business"/>
    <x v="0"/>
    <x v="13"/>
    <n v="9293.82"/>
    <n v="363.25"/>
  </r>
  <r>
    <n v="2507"/>
    <n v="18210"/>
    <d v="2010-08-06T00:00:00"/>
    <s v="Not Specified"/>
    <x v="875"/>
    <x v="30"/>
    <x v="0"/>
    <s v="Small Business"/>
    <x v="0"/>
    <x v="6"/>
    <n v="80.790000000000006"/>
    <n v="2.88"/>
  </r>
  <r>
    <n v="2508"/>
    <n v="18213"/>
    <d v="2010-09-10T00:00:00"/>
    <s v="Medium"/>
    <x v="669"/>
    <x v="26"/>
    <x v="3"/>
    <s v="Corporate"/>
    <x v="0"/>
    <x v="9"/>
    <n v="1111.23"/>
    <n v="40.99"/>
  </r>
  <r>
    <n v="2509"/>
    <n v="18215"/>
    <d v="2010-09-19T00:00:00"/>
    <s v="Medium"/>
    <x v="89"/>
    <x v="28"/>
    <x v="1"/>
    <s v="Home Office"/>
    <x v="2"/>
    <x v="5"/>
    <n v="965.82"/>
    <n v="34.99"/>
  </r>
  <r>
    <n v="2510"/>
    <n v="18241"/>
    <d v="2010-07-27T00:00:00"/>
    <s v="Low"/>
    <x v="773"/>
    <x v="26"/>
    <x v="3"/>
    <s v="Home Office"/>
    <x v="2"/>
    <x v="5"/>
    <n v="64.5"/>
    <n v="20.89"/>
  </r>
  <r>
    <n v="2511"/>
    <n v="18241"/>
    <d v="2010-07-27T00:00:00"/>
    <s v="Low"/>
    <x v="773"/>
    <x v="26"/>
    <x v="3"/>
    <s v="Home Office"/>
    <x v="1"/>
    <x v="3"/>
    <n v="9944.49"/>
    <n v="400.98"/>
  </r>
  <r>
    <n v="2512"/>
    <n v="18244"/>
    <d v="2011-02-11T00:00:00"/>
    <s v="Critical"/>
    <x v="844"/>
    <x v="26"/>
    <x v="3"/>
    <s v="Home Office"/>
    <x v="1"/>
    <x v="15"/>
    <n v="172.34"/>
    <n v="140.81"/>
  </r>
  <r>
    <n v="2513"/>
    <n v="18247"/>
    <d v="2009-11-05T00:00:00"/>
    <s v="Not Specified"/>
    <x v="657"/>
    <x v="3"/>
    <x v="0"/>
    <s v="Corporate"/>
    <x v="1"/>
    <x v="2"/>
    <n v="155.80000000000001"/>
    <n v="7.59"/>
  </r>
  <r>
    <n v="2514"/>
    <n v="18273"/>
    <d v="2011-09-15T00:00:00"/>
    <s v="Low"/>
    <x v="341"/>
    <x v="30"/>
    <x v="0"/>
    <s v="Corporate"/>
    <x v="2"/>
    <x v="5"/>
    <n v="925.03"/>
    <n v="49.99"/>
  </r>
  <r>
    <n v="2515"/>
    <n v="18275"/>
    <d v="2012-01-10T00:00:00"/>
    <s v="Low"/>
    <x v="876"/>
    <x v="16"/>
    <x v="1"/>
    <s v="Corporate"/>
    <x v="1"/>
    <x v="2"/>
    <n v="322.73"/>
    <n v="13.4"/>
  </r>
  <r>
    <n v="2516"/>
    <n v="18279"/>
    <d v="2009-02-26T00:00:00"/>
    <s v="Medium"/>
    <x v="697"/>
    <x v="1"/>
    <x v="1"/>
    <s v="Consumer"/>
    <x v="2"/>
    <x v="5"/>
    <n v="184.35"/>
    <n v="8.33"/>
  </r>
  <r>
    <n v="2517"/>
    <n v="18279"/>
    <d v="2009-02-26T00:00:00"/>
    <s v="Medium"/>
    <x v="697"/>
    <x v="1"/>
    <x v="1"/>
    <s v="Consumer"/>
    <x v="2"/>
    <x v="16"/>
    <n v="10281.790000000001"/>
    <n v="499.99"/>
  </r>
  <r>
    <n v="2518"/>
    <n v="18307"/>
    <d v="2010-02-02T00:00:00"/>
    <s v="Low"/>
    <x v="772"/>
    <x v="2"/>
    <x v="2"/>
    <s v="Corporate"/>
    <x v="0"/>
    <x v="9"/>
    <n v="441.99"/>
    <n v="19.98"/>
  </r>
  <r>
    <n v="2519"/>
    <n v="18307"/>
    <d v="2010-02-02T00:00:00"/>
    <s v="Low"/>
    <x v="772"/>
    <x v="2"/>
    <x v="2"/>
    <s v="Corporate"/>
    <x v="0"/>
    <x v="6"/>
    <n v="245.19"/>
    <n v="7.08"/>
  </r>
  <r>
    <n v="2520"/>
    <n v="18308"/>
    <d v="2009-10-09T00:00:00"/>
    <s v="Not Specified"/>
    <x v="89"/>
    <x v="0"/>
    <x v="0"/>
    <s v="Corporate"/>
    <x v="0"/>
    <x v="12"/>
    <n v="114.12"/>
    <n v="3.8"/>
  </r>
  <r>
    <n v="2521"/>
    <n v="18308"/>
    <d v="2009-10-09T00:00:00"/>
    <s v="Not Specified"/>
    <x v="89"/>
    <x v="0"/>
    <x v="0"/>
    <s v="Corporate"/>
    <x v="2"/>
    <x v="5"/>
    <n v="436.05"/>
    <n v="30.73"/>
  </r>
  <r>
    <n v="2522"/>
    <n v="18308"/>
    <d v="2009-10-09T00:00:00"/>
    <s v="Not Specified"/>
    <x v="89"/>
    <x v="0"/>
    <x v="0"/>
    <s v="Corporate"/>
    <x v="2"/>
    <x v="4"/>
    <n v="5247.4835000000003"/>
    <n v="125.99"/>
  </r>
  <r>
    <n v="2523"/>
    <n v="18336"/>
    <d v="2009-04-24T00:00:00"/>
    <s v="Not Specified"/>
    <x v="796"/>
    <x v="16"/>
    <x v="1"/>
    <s v="Consumer"/>
    <x v="0"/>
    <x v="6"/>
    <n v="7.96"/>
    <n v="2.88"/>
  </r>
  <r>
    <n v="2524"/>
    <n v="18340"/>
    <d v="2011-06-17T00:00:00"/>
    <s v="Medium"/>
    <x v="621"/>
    <x v="44"/>
    <x v="2"/>
    <s v="Consumer"/>
    <x v="0"/>
    <x v="9"/>
    <n v="148.65"/>
    <n v="7.28"/>
  </r>
  <r>
    <n v="2525"/>
    <n v="18340"/>
    <d v="2011-06-17T00:00:00"/>
    <s v="Medium"/>
    <x v="640"/>
    <x v="44"/>
    <x v="2"/>
    <s v="Consumer"/>
    <x v="0"/>
    <x v="9"/>
    <n v="198.21"/>
    <n v="6.48"/>
  </r>
  <r>
    <n v="2526"/>
    <n v="18341"/>
    <d v="2010-07-18T00:00:00"/>
    <s v="Critical"/>
    <x v="219"/>
    <x v="23"/>
    <x v="3"/>
    <s v="Consumer"/>
    <x v="0"/>
    <x v="9"/>
    <n v="237.89"/>
    <n v="5.78"/>
  </r>
  <r>
    <n v="2527"/>
    <n v="18368"/>
    <d v="2012-11-30T00:00:00"/>
    <s v="Not Specified"/>
    <x v="521"/>
    <x v="4"/>
    <x v="1"/>
    <s v="Corporate"/>
    <x v="0"/>
    <x v="13"/>
    <n v="212.91"/>
    <n v="70.97"/>
  </r>
  <r>
    <n v="2528"/>
    <n v="18368"/>
    <d v="2012-11-30T00:00:00"/>
    <s v="Not Specified"/>
    <x v="521"/>
    <x v="4"/>
    <x v="1"/>
    <s v="Corporate"/>
    <x v="0"/>
    <x v="9"/>
    <n v="1275.6099999999999"/>
    <n v="37.94"/>
  </r>
  <r>
    <n v="2529"/>
    <n v="18368"/>
    <d v="2012-11-30T00:00:00"/>
    <s v="Not Specified"/>
    <x v="175"/>
    <x v="4"/>
    <x v="1"/>
    <s v="Corporate"/>
    <x v="2"/>
    <x v="10"/>
    <n v="5972.59"/>
    <n v="2036.48"/>
  </r>
  <r>
    <n v="2530"/>
    <n v="18370"/>
    <d v="2011-01-13T00:00:00"/>
    <s v="Low"/>
    <x v="861"/>
    <x v="2"/>
    <x v="2"/>
    <s v="Consumer"/>
    <x v="2"/>
    <x v="4"/>
    <n v="1271.0474999999999"/>
    <n v="35.99"/>
  </r>
  <r>
    <n v="2531"/>
    <n v="18371"/>
    <d v="2009-09-18T00:00:00"/>
    <s v="Medium"/>
    <x v="318"/>
    <x v="2"/>
    <x v="2"/>
    <s v="Home Office"/>
    <x v="0"/>
    <x v="6"/>
    <n v="1394.36"/>
    <n v="43.98"/>
  </r>
  <r>
    <n v="2532"/>
    <n v="18373"/>
    <d v="2012-04-12T00:00:00"/>
    <s v="Critical"/>
    <x v="877"/>
    <x v="12"/>
    <x v="3"/>
    <s v="Corporate"/>
    <x v="0"/>
    <x v="13"/>
    <n v="6608.24"/>
    <n v="207.48"/>
  </r>
  <r>
    <n v="2533"/>
    <n v="18374"/>
    <d v="2012-09-30T00:00:00"/>
    <s v="Low"/>
    <x v="878"/>
    <x v="37"/>
    <x v="2"/>
    <s v="Corporate"/>
    <x v="0"/>
    <x v="9"/>
    <n v="150.16"/>
    <n v="7.28"/>
  </r>
  <r>
    <n v="2534"/>
    <n v="18375"/>
    <d v="2011-09-22T00:00:00"/>
    <s v="Low"/>
    <x v="749"/>
    <x v="7"/>
    <x v="3"/>
    <s v="Small Business"/>
    <x v="0"/>
    <x v="8"/>
    <n v="76.89"/>
    <n v="3.75"/>
  </r>
  <r>
    <n v="2535"/>
    <n v="18400"/>
    <d v="2011-12-06T00:00:00"/>
    <s v="Not Specified"/>
    <x v="539"/>
    <x v="23"/>
    <x v="3"/>
    <s v="Consumer"/>
    <x v="2"/>
    <x v="5"/>
    <n v="598.49"/>
    <n v="20.95"/>
  </r>
  <r>
    <n v="2536"/>
    <n v="18402"/>
    <d v="2009-08-29T00:00:00"/>
    <s v="Low"/>
    <x v="738"/>
    <x v="16"/>
    <x v="1"/>
    <s v="Corporate"/>
    <x v="1"/>
    <x v="15"/>
    <n v="1548.45"/>
    <n v="284.98"/>
  </r>
  <r>
    <n v="2537"/>
    <n v="18402"/>
    <d v="2009-08-29T00:00:00"/>
    <s v="Low"/>
    <x v="738"/>
    <x v="16"/>
    <x v="1"/>
    <s v="Corporate"/>
    <x v="1"/>
    <x v="2"/>
    <n v="56.07"/>
    <n v="12.99"/>
  </r>
  <r>
    <n v="2538"/>
    <n v="18405"/>
    <d v="2009-01-07T00:00:00"/>
    <s v="Medium"/>
    <x v="716"/>
    <x v="5"/>
    <x v="0"/>
    <s v="Consumer"/>
    <x v="0"/>
    <x v="12"/>
    <n v="610.65"/>
    <n v="20.98"/>
  </r>
  <r>
    <n v="2539"/>
    <n v="18405"/>
    <d v="2009-01-07T00:00:00"/>
    <s v="Medium"/>
    <x v="716"/>
    <x v="5"/>
    <x v="0"/>
    <s v="Consumer"/>
    <x v="2"/>
    <x v="5"/>
    <n v="158.04"/>
    <n v="73.98"/>
  </r>
  <r>
    <n v="2540"/>
    <n v="18432"/>
    <d v="2011-03-12T00:00:00"/>
    <s v="High"/>
    <x v="167"/>
    <x v="17"/>
    <x v="0"/>
    <s v="Corporate"/>
    <x v="1"/>
    <x v="2"/>
    <n v="451.32"/>
    <n v="10.64"/>
  </r>
  <r>
    <n v="2541"/>
    <n v="18432"/>
    <d v="2011-03-12T00:00:00"/>
    <s v="High"/>
    <x v="340"/>
    <x v="17"/>
    <x v="0"/>
    <s v="Corporate"/>
    <x v="0"/>
    <x v="13"/>
    <n v="217.66"/>
    <n v="14.42"/>
  </r>
  <r>
    <n v="2542"/>
    <n v="18432"/>
    <d v="2011-03-12T00:00:00"/>
    <s v="High"/>
    <x v="340"/>
    <x v="17"/>
    <x v="0"/>
    <s v="Corporate"/>
    <x v="0"/>
    <x v="13"/>
    <n v="1374.67"/>
    <n v="279.81"/>
  </r>
  <r>
    <n v="2543"/>
    <n v="18432"/>
    <d v="2011-03-12T00:00:00"/>
    <s v="High"/>
    <x v="340"/>
    <x v="17"/>
    <x v="0"/>
    <s v="Corporate"/>
    <x v="0"/>
    <x v="6"/>
    <n v="76.42"/>
    <n v="5.84"/>
  </r>
  <r>
    <n v="2544"/>
    <n v="18464"/>
    <d v="2012-03-28T00:00:00"/>
    <s v="High"/>
    <x v="879"/>
    <x v="17"/>
    <x v="0"/>
    <s v="Small Business"/>
    <x v="0"/>
    <x v="13"/>
    <n v="4891.8599999999997"/>
    <n v="180.98"/>
  </r>
  <r>
    <n v="2545"/>
    <n v="18464"/>
    <d v="2012-03-28T00:00:00"/>
    <s v="High"/>
    <x v="879"/>
    <x v="17"/>
    <x v="0"/>
    <s v="Small Business"/>
    <x v="1"/>
    <x v="11"/>
    <n v="6039.1"/>
    <n v="150.97999999999999"/>
  </r>
  <r>
    <n v="2546"/>
    <n v="18464"/>
    <d v="2012-03-28T00:00:00"/>
    <s v="High"/>
    <x v="879"/>
    <x v="17"/>
    <x v="0"/>
    <s v="Small Business"/>
    <x v="0"/>
    <x v="9"/>
    <n v="206.49"/>
    <n v="6.45"/>
  </r>
  <r>
    <n v="2547"/>
    <n v="18464"/>
    <d v="2012-03-28T00:00:00"/>
    <s v="High"/>
    <x v="879"/>
    <x v="17"/>
    <x v="0"/>
    <s v="Small Business"/>
    <x v="0"/>
    <x v="7"/>
    <n v="80.540000000000006"/>
    <n v="1.89"/>
  </r>
  <r>
    <n v="2548"/>
    <n v="18465"/>
    <d v="2010-04-15T00:00:00"/>
    <s v="High"/>
    <x v="283"/>
    <x v="26"/>
    <x v="3"/>
    <s v="Small Business"/>
    <x v="0"/>
    <x v="0"/>
    <n v="816.23"/>
    <n v="64.650000000000006"/>
  </r>
  <r>
    <n v="2549"/>
    <n v="18466"/>
    <d v="2012-05-21T00:00:00"/>
    <s v="Low"/>
    <x v="738"/>
    <x v="16"/>
    <x v="1"/>
    <s v="Corporate"/>
    <x v="0"/>
    <x v="14"/>
    <n v="270.16000000000003"/>
    <n v="11.09"/>
  </r>
  <r>
    <n v="2550"/>
    <n v="18466"/>
    <d v="2012-05-21T00:00:00"/>
    <s v="Low"/>
    <x v="738"/>
    <x v="16"/>
    <x v="1"/>
    <s v="Corporate"/>
    <x v="2"/>
    <x v="10"/>
    <n v="2694.01"/>
    <n v="120.97"/>
  </r>
  <r>
    <n v="2551"/>
    <n v="18471"/>
    <d v="2009-02-19T00:00:00"/>
    <s v="Not Specified"/>
    <x v="145"/>
    <x v="3"/>
    <x v="0"/>
    <s v="Corporate"/>
    <x v="0"/>
    <x v="6"/>
    <n v="226.65"/>
    <n v="5.98"/>
  </r>
  <r>
    <n v="2552"/>
    <n v="18471"/>
    <d v="2009-02-19T00:00:00"/>
    <s v="Not Specified"/>
    <x v="145"/>
    <x v="3"/>
    <x v="0"/>
    <s v="Corporate"/>
    <x v="0"/>
    <x v="1"/>
    <n v="10.96"/>
    <n v="2.08"/>
  </r>
  <r>
    <n v="2553"/>
    <n v="18471"/>
    <d v="2009-02-19T00:00:00"/>
    <s v="Not Specified"/>
    <x v="880"/>
    <x v="3"/>
    <x v="0"/>
    <s v="Corporate"/>
    <x v="0"/>
    <x v="9"/>
    <n v="185.61"/>
    <n v="5.98"/>
  </r>
  <r>
    <n v="2554"/>
    <n v="18496"/>
    <d v="2009-05-15T00:00:00"/>
    <s v="High"/>
    <x v="881"/>
    <x v="25"/>
    <x v="1"/>
    <s v="Corporate"/>
    <x v="2"/>
    <x v="5"/>
    <n v="991.01"/>
    <n v="30.98"/>
  </r>
  <r>
    <n v="2555"/>
    <n v="18496"/>
    <d v="2009-05-15T00:00:00"/>
    <s v="High"/>
    <x v="881"/>
    <x v="25"/>
    <x v="1"/>
    <s v="Corporate"/>
    <x v="0"/>
    <x v="9"/>
    <n v="1267.42"/>
    <n v="40.99"/>
  </r>
  <r>
    <n v="2556"/>
    <n v="18500"/>
    <d v="2012-02-11T00:00:00"/>
    <s v="Medium"/>
    <x v="882"/>
    <x v="11"/>
    <x v="2"/>
    <s v="Small Business"/>
    <x v="1"/>
    <x v="11"/>
    <n v="2507.79"/>
    <n v="58.14"/>
  </r>
  <r>
    <n v="2557"/>
    <n v="18500"/>
    <d v="2012-02-11T00:00:00"/>
    <s v="Medium"/>
    <x v="882"/>
    <x v="11"/>
    <x v="2"/>
    <s v="Small Business"/>
    <x v="2"/>
    <x v="5"/>
    <n v="1052.68"/>
    <n v="32.979999999999997"/>
  </r>
  <r>
    <n v="2558"/>
    <n v="18500"/>
    <d v="2012-02-11T00:00:00"/>
    <s v="Medium"/>
    <x v="882"/>
    <x v="11"/>
    <x v="2"/>
    <s v="Small Business"/>
    <x v="0"/>
    <x v="0"/>
    <n v="2536.31"/>
    <n v="80.98"/>
  </r>
  <r>
    <n v="2559"/>
    <n v="18503"/>
    <d v="2011-05-05T00:00:00"/>
    <s v="Not Specified"/>
    <x v="203"/>
    <x v="1"/>
    <x v="1"/>
    <s v="Consumer"/>
    <x v="2"/>
    <x v="10"/>
    <n v="6637.63"/>
    <n v="145.44999999999999"/>
  </r>
  <r>
    <n v="2560"/>
    <n v="18503"/>
    <d v="2011-05-05T00:00:00"/>
    <s v="Not Specified"/>
    <x v="203"/>
    <x v="1"/>
    <x v="1"/>
    <s v="Consumer"/>
    <x v="2"/>
    <x v="4"/>
    <n v="928.90549999999996"/>
    <n v="85.99"/>
  </r>
  <r>
    <n v="2561"/>
    <n v="18528"/>
    <d v="2011-04-30T00:00:00"/>
    <s v="Critical"/>
    <x v="549"/>
    <x v="26"/>
    <x v="3"/>
    <s v="Corporate"/>
    <x v="0"/>
    <x v="13"/>
    <n v="340.97"/>
    <n v="10.98"/>
  </r>
  <r>
    <n v="2562"/>
    <n v="18528"/>
    <d v="2011-04-30T00:00:00"/>
    <s v="Critical"/>
    <x v="549"/>
    <x v="26"/>
    <x v="3"/>
    <s v="Corporate"/>
    <x v="0"/>
    <x v="9"/>
    <n v="136.24"/>
    <n v="5.78"/>
  </r>
  <r>
    <n v="2563"/>
    <n v="18530"/>
    <d v="2010-12-31T00:00:00"/>
    <s v="Not Specified"/>
    <x v="424"/>
    <x v="16"/>
    <x v="1"/>
    <s v="Corporate"/>
    <x v="1"/>
    <x v="2"/>
    <n v="56.13"/>
    <n v="20.28"/>
  </r>
  <r>
    <n v="2564"/>
    <n v="18530"/>
    <d v="2010-12-31T00:00:00"/>
    <s v="Not Specified"/>
    <x v="883"/>
    <x v="16"/>
    <x v="1"/>
    <s v="Corporate"/>
    <x v="2"/>
    <x v="4"/>
    <n v="1491.5205000000001"/>
    <n v="65.989999999999995"/>
  </r>
  <r>
    <n v="2565"/>
    <n v="18531"/>
    <d v="2012-10-29T00:00:00"/>
    <s v="Critical"/>
    <x v="184"/>
    <x v="5"/>
    <x v="0"/>
    <s v="Small Business"/>
    <x v="1"/>
    <x v="15"/>
    <n v="1298.81"/>
    <n v="25.98"/>
  </r>
  <r>
    <n v="2566"/>
    <n v="18532"/>
    <d v="2011-10-20T00:00:00"/>
    <s v="Not Specified"/>
    <x v="271"/>
    <x v="7"/>
    <x v="3"/>
    <s v="Home Office"/>
    <x v="0"/>
    <x v="1"/>
    <n v="230.77"/>
    <n v="8.4499999999999993"/>
  </r>
  <r>
    <n v="2567"/>
    <n v="18532"/>
    <d v="2011-10-20T00:00:00"/>
    <s v="Not Specified"/>
    <x v="271"/>
    <x v="7"/>
    <x v="3"/>
    <s v="Home Office"/>
    <x v="0"/>
    <x v="0"/>
    <n v="507.58"/>
    <n v="15.42"/>
  </r>
  <r>
    <n v="2568"/>
    <n v="18533"/>
    <d v="2009-11-06T00:00:00"/>
    <s v="Not Specified"/>
    <x v="679"/>
    <x v="5"/>
    <x v="0"/>
    <s v="Home Office"/>
    <x v="0"/>
    <x v="0"/>
    <n v="442.57"/>
    <n v="15.31"/>
  </r>
  <r>
    <n v="2569"/>
    <n v="18533"/>
    <d v="2009-11-06T00:00:00"/>
    <s v="Not Specified"/>
    <x v="679"/>
    <x v="5"/>
    <x v="0"/>
    <s v="Home Office"/>
    <x v="2"/>
    <x v="4"/>
    <n v="53.736999999999995"/>
    <n v="7.99"/>
  </r>
  <r>
    <n v="2570"/>
    <n v="18534"/>
    <d v="2011-12-30T00:00:00"/>
    <s v="Low"/>
    <x v="313"/>
    <x v="13"/>
    <x v="3"/>
    <s v="Corporate"/>
    <x v="2"/>
    <x v="5"/>
    <n v="282.58"/>
    <n v="8.33"/>
  </r>
  <r>
    <n v="2571"/>
    <n v="18561"/>
    <d v="2009-01-09T00:00:00"/>
    <s v="Not Specified"/>
    <x v="745"/>
    <x v="10"/>
    <x v="0"/>
    <s v="Home Office"/>
    <x v="0"/>
    <x v="8"/>
    <n v="45.87"/>
    <n v="4.13"/>
  </r>
  <r>
    <n v="2572"/>
    <n v="18562"/>
    <d v="2011-12-20T00:00:00"/>
    <s v="Critical"/>
    <x v="884"/>
    <x v="19"/>
    <x v="3"/>
    <s v="Home Office"/>
    <x v="0"/>
    <x v="9"/>
    <n v="160.11000000000001"/>
    <n v="3.98"/>
  </r>
  <r>
    <n v="2573"/>
    <n v="18592"/>
    <d v="2012-09-30T00:00:00"/>
    <s v="Critical"/>
    <x v="807"/>
    <x v="15"/>
    <x v="2"/>
    <s v="Corporate"/>
    <x v="0"/>
    <x v="1"/>
    <n v="25.72"/>
    <n v="10.98"/>
  </r>
  <r>
    <n v="2574"/>
    <n v="18593"/>
    <d v="2011-09-22T00:00:00"/>
    <s v="High"/>
    <x v="551"/>
    <x v="24"/>
    <x v="1"/>
    <s v="Corporate"/>
    <x v="2"/>
    <x v="5"/>
    <n v="6572.04"/>
    <n v="300.97000000000003"/>
  </r>
  <r>
    <n v="2575"/>
    <n v="18593"/>
    <d v="2011-09-22T00:00:00"/>
    <s v="High"/>
    <x v="551"/>
    <x v="24"/>
    <x v="1"/>
    <s v="Corporate"/>
    <x v="1"/>
    <x v="3"/>
    <n v="1051.992"/>
    <n v="70.89"/>
  </r>
  <r>
    <n v="2576"/>
    <n v="18595"/>
    <d v="2009-01-31T00:00:00"/>
    <s v="Critical"/>
    <x v="504"/>
    <x v="27"/>
    <x v="3"/>
    <s v="Home Office"/>
    <x v="0"/>
    <x v="13"/>
    <n v="451.44"/>
    <n v="78.650000000000006"/>
  </r>
  <r>
    <n v="2577"/>
    <n v="18595"/>
    <d v="2009-01-31T00:00:00"/>
    <s v="Critical"/>
    <x v="504"/>
    <x v="27"/>
    <x v="3"/>
    <s v="Home Office"/>
    <x v="0"/>
    <x v="1"/>
    <n v="138.55000000000001"/>
    <n v="8.34"/>
  </r>
  <r>
    <n v="2578"/>
    <n v="18596"/>
    <d v="2012-10-02T00:00:00"/>
    <s v="Low"/>
    <x v="885"/>
    <x v="47"/>
    <x v="1"/>
    <s v="Small Business"/>
    <x v="1"/>
    <x v="15"/>
    <n v="4917.6899999999996"/>
    <n v="110.98"/>
  </r>
  <r>
    <n v="2579"/>
    <n v="18596"/>
    <d v="2012-10-02T00:00:00"/>
    <s v="Low"/>
    <x v="885"/>
    <x v="47"/>
    <x v="1"/>
    <s v="Small Business"/>
    <x v="0"/>
    <x v="8"/>
    <n v="416.8"/>
    <n v="12.53"/>
  </r>
  <r>
    <n v="2580"/>
    <n v="18597"/>
    <d v="2010-09-26T00:00:00"/>
    <s v="Medium"/>
    <x v="498"/>
    <x v="11"/>
    <x v="2"/>
    <s v="Consumer"/>
    <x v="0"/>
    <x v="8"/>
    <n v="101.2"/>
    <n v="2.88"/>
  </r>
  <r>
    <n v="2581"/>
    <n v="18598"/>
    <d v="2010-08-06T00:00:00"/>
    <s v="Critical"/>
    <x v="221"/>
    <x v="28"/>
    <x v="1"/>
    <s v="Home Office"/>
    <x v="0"/>
    <x v="12"/>
    <n v="349.65"/>
    <n v="14.48"/>
  </r>
  <r>
    <n v="2582"/>
    <n v="18598"/>
    <d v="2010-08-06T00:00:00"/>
    <s v="Critical"/>
    <x v="221"/>
    <x v="28"/>
    <x v="1"/>
    <s v="Home Office"/>
    <x v="1"/>
    <x v="2"/>
    <n v="4814.12"/>
    <n v="102.3"/>
  </r>
  <r>
    <n v="2583"/>
    <n v="18627"/>
    <d v="2010-12-20T00:00:00"/>
    <s v="Medium"/>
    <x v="442"/>
    <x v="7"/>
    <x v="3"/>
    <s v="Small Business"/>
    <x v="0"/>
    <x v="8"/>
    <n v="15.7"/>
    <n v="3.69"/>
  </r>
  <r>
    <n v="2584"/>
    <n v="18661"/>
    <d v="2012-09-08T00:00:00"/>
    <s v="Low"/>
    <x v="886"/>
    <x v="5"/>
    <x v="0"/>
    <s v="Corporate"/>
    <x v="1"/>
    <x v="15"/>
    <n v="1207.08"/>
    <n v="95.98"/>
  </r>
  <r>
    <n v="2585"/>
    <n v="18661"/>
    <d v="2012-09-08T00:00:00"/>
    <s v="Low"/>
    <x v="886"/>
    <x v="5"/>
    <x v="0"/>
    <s v="Corporate"/>
    <x v="1"/>
    <x v="3"/>
    <n v="2618.1120000000001"/>
    <n v="286.85000000000002"/>
  </r>
  <r>
    <n v="2586"/>
    <n v="18688"/>
    <d v="2011-03-05T00:00:00"/>
    <s v="Not Specified"/>
    <x v="601"/>
    <x v="25"/>
    <x v="1"/>
    <s v="Home Office"/>
    <x v="0"/>
    <x v="12"/>
    <n v="14346.73"/>
    <n v="304.99"/>
  </r>
  <r>
    <n v="2587"/>
    <n v="18688"/>
    <d v="2011-03-05T00:00:00"/>
    <s v="Not Specified"/>
    <x v="601"/>
    <x v="25"/>
    <x v="1"/>
    <s v="Home Office"/>
    <x v="0"/>
    <x v="8"/>
    <n v="40.340000000000003"/>
    <n v="2.89"/>
  </r>
  <r>
    <n v="2588"/>
    <n v="18688"/>
    <d v="2011-03-05T00:00:00"/>
    <s v="Not Specified"/>
    <x v="601"/>
    <x v="25"/>
    <x v="1"/>
    <s v="Home Office"/>
    <x v="2"/>
    <x v="4"/>
    <n v="3951.6754999999998"/>
    <n v="125.99"/>
  </r>
  <r>
    <n v="2589"/>
    <n v="18689"/>
    <d v="2009-12-24T00:00:00"/>
    <s v="Not Specified"/>
    <x v="588"/>
    <x v="1"/>
    <x v="1"/>
    <s v="Small Business"/>
    <x v="0"/>
    <x v="12"/>
    <n v="281.17"/>
    <n v="7.1"/>
  </r>
  <r>
    <n v="2590"/>
    <n v="18689"/>
    <d v="2009-12-24T00:00:00"/>
    <s v="Not Specified"/>
    <x v="588"/>
    <x v="1"/>
    <x v="1"/>
    <s v="Small Business"/>
    <x v="0"/>
    <x v="9"/>
    <n v="194.65"/>
    <n v="18.97"/>
  </r>
  <r>
    <n v="2591"/>
    <n v="18723"/>
    <d v="2009-08-12T00:00:00"/>
    <s v="Medium"/>
    <x v="184"/>
    <x v="5"/>
    <x v="0"/>
    <s v="Consumer"/>
    <x v="2"/>
    <x v="4"/>
    <n v="52.096499999999999"/>
    <n v="55.99"/>
  </r>
  <r>
    <n v="2592"/>
    <n v="18753"/>
    <d v="2009-07-31T00:00:00"/>
    <s v="Medium"/>
    <x v="356"/>
    <x v="5"/>
    <x v="0"/>
    <s v="Corporate"/>
    <x v="1"/>
    <x v="15"/>
    <n v="3945.95"/>
    <n v="128.24"/>
  </r>
  <r>
    <n v="2593"/>
    <n v="18753"/>
    <d v="2009-07-31T00:00:00"/>
    <s v="Medium"/>
    <x v="886"/>
    <x v="5"/>
    <x v="0"/>
    <s v="Corporate"/>
    <x v="1"/>
    <x v="15"/>
    <n v="5394.4"/>
    <n v="160.97999999999999"/>
  </r>
  <r>
    <n v="2594"/>
    <n v="18754"/>
    <d v="2009-09-25T00:00:00"/>
    <s v="Not Specified"/>
    <x v="887"/>
    <x v="17"/>
    <x v="0"/>
    <s v="Small Business"/>
    <x v="1"/>
    <x v="11"/>
    <n v="1217.6199999999999"/>
    <n v="140.97999999999999"/>
  </r>
  <r>
    <n v="2595"/>
    <n v="18754"/>
    <d v="2009-09-25T00:00:00"/>
    <s v="Not Specified"/>
    <x v="887"/>
    <x v="17"/>
    <x v="0"/>
    <s v="Small Business"/>
    <x v="2"/>
    <x v="4"/>
    <n v="1725.0325"/>
    <n v="65.989999999999995"/>
  </r>
  <r>
    <n v="2596"/>
    <n v="18757"/>
    <d v="2012-05-22T00:00:00"/>
    <s v="Low"/>
    <x v="81"/>
    <x v="14"/>
    <x v="0"/>
    <s v="Consumer"/>
    <x v="0"/>
    <x v="12"/>
    <n v="222.2"/>
    <n v="22.38"/>
  </r>
  <r>
    <n v="2597"/>
    <n v="18757"/>
    <d v="2012-05-22T00:00:00"/>
    <s v="Low"/>
    <x v="81"/>
    <x v="14"/>
    <x v="0"/>
    <s v="Consumer"/>
    <x v="0"/>
    <x v="12"/>
    <n v="39.9"/>
    <n v="5.94"/>
  </r>
  <r>
    <n v="2598"/>
    <n v="18757"/>
    <d v="2012-05-22T00:00:00"/>
    <s v="Low"/>
    <x v="417"/>
    <x v="15"/>
    <x v="2"/>
    <s v="Consumer"/>
    <x v="0"/>
    <x v="9"/>
    <n v="319.95999999999998"/>
    <n v="6.98"/>
  </r>
  <r>
    <n v="2599"/>
    <n v="18758"/>
    <d v="2010-04-20T00:00:00"/>
    <s v="Not Specified"/>
    <x v="2"/>
    <x v="1"/>
    <x v="1"/>
    <s v="Corporate"/>
    <x v="1"/>
    <x v="2"/>
    <n v="2022.18"/>
    <n v="102.3"/>
  </r>
  <r>
    <n v="2600"/>
    <n v="18788"/>
    <d v="2009-10-02T00:00:00"/>
    <s v="Not Specified"/>
    <x v="859"/>
    <x v="30"/>
    <x v="0"/>
    <s v="Corporate"/>
    <x v="1"/>
    <x v="2"/>
    <n v="566.12"/>
    <n v="19.989999999999998"/>
  </r>
  <r>
    <n v="2601"/>
    <n v="18789"/>
    <d v="2011-03-16T00:00:00"/>
    <s v="High"/>
    <x v="209"/>
    <x v="29"/>
    <x v="2"/>
    <s v="Small Business"/>
    <x v="0"/>
    <x v="9"/>
    <n v="1558.18"/>
    <n v="30.98"/>
  </r>
  <r>
    <n v="2602"/>
    <n v="18790"/>
    <d v="2009-02-11T00:00:00"/>
    <s v="High"/>
    <x v="104"/>
    <x v="16"/>
    <x v="1"/>
    <s v="Consumer"/>
    <x v="2"/>
    <x v="10"/>
    <n v="13253.93"/>
    <n v="2036.48"/>
  </r>
  <r>
    <n v="2603"/>
    <n v="18816"/>
    <d v="2009-02-24T00:00:00"/>
    <s v="Critical"/>
    <x v="888"/>
    <x v="7"/>
    <x v="3"/>
    <s v="Corporate"/>
    <x v="0"/>
    <x v="13"/>
    <n v="580.46"/>
    <n v="48.58"/>
  </r>
  <r>
    <n v="2604"/>
    <n v="18819"/>
    <d v="2009-02-25T00:00:00"/>
    <s v="Low"/>
    <x v="590"/>
    <x v="16"/>
    <x v="1"/>
    <s v="Corporate"/>
    <x v="1"/>
    <x v="2"/>
    <n v="1102.3"/>
    <n v="50.98"/>
  </r>
  <r>
    <n v="2605"/>
    <n v="18822"/>
    <d v="2010-12-21T00:00:00"/>
    <s v="Low"/>
    <x v="668"/>
    <x v="11"/>
    <x v="2"/>
    <s v="Small Business"/>
    <x v="2"/>
    <x v="4"/>
    <n v="1950.0359999999998"/>
    <n v="65.989999999999995"/>
  </r>
  <r>
    <n v="2606"/>
    <n v="18849"/>
    <d v="2012-08-05T00:00:00"/>
    <s v="High"/>
    <x v="675"/>
    <x v="31"/>
    <x v="3"/>
    <s v="Corporate"/>
    <x v="0"/>
    <x v="13"/>
    <n v="751.71"/>
    <n v="131.12"/>
  </r>
  <r>
    <n v="2607"/>
    <n v="18849"/>
    <d v="2012-08-05T00:00:00"/>
    <s v="High"/>
    <x v="738"/>
    <x v="16"/>
    <x v="1"/>
    <s v="Corporate"/>
    <x v="0"/>
    <x v="14"/>
    <n v="471.87"/>
    <n v="11.09"/>
  </r>
  <r>
    <n v="2608"/>
    <n v="18849"/>
    <d v="2012-08-05T00:00:00"/>
    <s v="High"/>
    <x v="889"/>
    <x v="16"/>
    <x v="1"/>
    <s v="Corporate"/>
    <x v="1"/>
    <x v="2"/>
    <n v="539.6"/>
    <n v="13.79"/>
  </r>
  <r>
    <n v="2609"/>
    <n v="18851"/>
    <d v="2012-12-16T00:00:00"/>
    <s v="Critical"/>
    <x v="395"/>
    <x v="15"/>
    <x v="2"/>
    <s v="Consumer"/>
    <x v="0"/>
    <x v="9"/>
    <n v="204.21"/>
    <n v="5.98"/>
  </r>
  <r>
    <n v="2610"/>
    <n v="18852"/>
    <d v="2011-09-19T00:00:00"/>
    <s v="High"/>
    <x v="749"/>
    <x v="7"/>
    <x v="3"/>
    <s v="Small Business"/>
    <x v="0"/>
    <x v="9"/>
    <n v="351.25"/>
    <n v="19.98"/>
  </r>
  <r>
    <n v="2611"/>
    <n v="18853"/>
    <d v="2010-01-17T00:00:00"/>
    <s v="Critical"/>
    <x v="547"/>
    <x v="15"/>
    <x v="2"/>
    <s v="Home Office"/>
    <x v="0"/>
    <x v="6"/>
    <n v="223.88"/>
    <n v="6.68"/>
  </r>
  <r>
    <n v="2612"/>
    <n v="18855"/>
    <d v="2009-09-15T00:00:00"/>
    <s v="High"/>
    <x v="141"/>
    <x v="16"/>
    <x v="1"/>
    <s v="Small Business"/>
    <x v="0"/>
    <x v="12"/>
    <n v="229.43"/>
    <n v="7.3"/>
  </r>
  <r>
    <n v="2613"/>
    <n v="18884"/>
    <d v="2011-06-24T00:00:00"/>
    <s v="Not Specified"/>
    <x v="890"/>
    <x v="15"/>
    <x v="2"/>
    <s v="Home Office"/>
    <x v="1"/>
    <x v="15"/>
    <n v="131.27000000000001"/>
    <n v="25.98"/>
  </r>
  <r>
    <n v="2614"/>
    <n v="18884"/>
    <d v="2011-06-24T00:00:00"/>
    <s v="Not Specified"/>
    <x v="890"/>
    <x v="15"/>
    <x v="2"/>
    <s v="Home Office"/>
    <x v="2"/>
    <x v="16"/>
    <n v="13571.7"/>
    <n v="449.99"/>
  </r>
  <r>
    <n v="2615"/>
    <n v="18887"/>
    <d v="2010-12-05T00:00:00"/>
    <s v="Not Specified"/>
    <x v="57"/>
    <x v="0"/>
    <x v="0"/>
    <s v="Corporate"/>
    <x v="2"/>
    <x v="4"/>
    <n v="173.417"/>
    <n v="20.99"/>
  </r>
  <r>
    <n v="2616"/>
    <n v="18917"/>
    <d v="2012-05-03T00:00:00"/>
    <s v="Critical"/>
    <x v="300"/>
    <x v="26"/>
    <x v="3"/>
    <s v="Small Business"/>
    <x v="0"/>
    <x v="12"/>
    <n v="28.82"/>
    <n v="2.08"/>
  </r>
  <r>
    <n v="2617"/>
    <n v="18918"/>
    <d v="2012-10-27T00:00:00"/>
    <s v="Not Specified"/>
    <x v="852"/>
    <x v="9"/>
    <x v="1"/>
    <s v="Corporate"/>
    <x v="2"/>
    <x v="10"/>
    <n v="6362.94"/>
    <n v="999.99"/>
  </r>
  <r>
    <n v="2618"/>
    <n v="18919"/>
    <d v="2009-06-28T00:00:00"/>
    <s v="Low"/>
    <x v="891"/>
    <x v="9"/>
    <x v="1"/>
    <s v="Home Office"/>
    <x v="0"/>
    <x v="13"/>
    <n v="739.28"/>
    <n v="17.52"/>
  </r>
  <r>
    <n v="2619"/>
    <n v="18945"/>
    <d v="2009-01-17T00:00:00"/>
    <s v="Medium"/>
    <x v="842"/>
    <x v="36"/>
    <x v="2"/>
    <s v="Corporate"/>
    <x v="2"/>
    <x v="5"/>
    <n v="528.54"/>
    <n v="16.48"/>
  </r>
  <r>
    <n v="2620"/>
    <n v="18946"/>
    <d v="2010-05-04T00:00:00"/>
    <s v="Critical"/>
    <x v="357"/>
    <x v="21"/>
    <x v="2"/>
    <s v="Home Office"/>
    <x v="0"/>
    <x v="9"/>
    <n v="202.89"/>
    <n v="6.48"/>
  </r>
  <r>
    <n v="2621"/>
    <n v="18950"/>
    <d v="2012-02-27T00:00:00"/>
    <s v="Low"/>
    <x v="150"/>
    <x v="23"/>
    <x v="3"/>
    <s v="Small Business"/>
    <x v="2"/>
    <x v="10"/>
    <n v="3008.5"/>
    <n v="90.97"/>
  </r>
  <r>
    <n v="2622"/>
    <n v="18951"/>
    <d v="2011-06-29T00:00:00"/>
    <s v="Critical"/>
    <x v="144"/>
    <x v="13"/>
    <x v="3"/>
    <s v="Corporate"/>
    <x v="0"/>
    <x v="9"/>
    <n v="61.5"/>
    <n v="3.98"/>
  </r>
  <r>
    <n v="2623"/>
    <n v="18951"/>
    <d v="2011-06-29T00:00:00"/>
    <s v="Critical"/>
    <x v="296"/>
    <x v="13"/>
    <x v="3"/>
    <s v="Corporate"/>
    <x v="2"/>
    <x v="4"/>
    <n v="324.3175"/>
    <n v="35.99"/>
  </r>
  <r>
    <n v="2624"/>
    <n v="19010"/>
    <d v="2009-06-07T00:00:00"/>
    <s v="Low"/>
    <x v="555"/>
    <x v="0"/>
    <x v="0"/>
    <s v="Small Business"/>
    <x v="0"/>
    <x v="12"/>
    <n v="23792.93"/>
    <n v="1270.99"/>
  </r>
  <r>
    <n v="2625"/>
    <n v="19040"/>
    <d v="2011-12-19T00:00:00"/>
    <s v="High"/>
    <x v="849"/>
    <x v="16"/>
    <x v="1"/>
    <s v="Corporate"/>
    <x v="0"/>
    <x v="6"/>
    <n v="211.97"/>
    <n v="21.38"/>
  </r>
  <r>
    <n v="2626"/>
    <n v="19041"/>
    <d v="2011-07-26T00:00:00"/>
    <s v="Low"/>
    <x v="883"/>
    <x v="16"/>
    <x v="1"/>
    <s v="Corporate"/>
    <x v="0"/>
    <x v="13"/>
    <n v="36.06"/>
    <n v="10.89"/>
  </r>
  <r>
    <n v="2627"/>
    <n v="19041"/>
    <d v="2011-07-26T00:00:00"/>
    <s v="Low"/>
    <x v="883"/>
    <x v="16"/>
    <x v="1"/>
    <s v="Corporate"/>
    <x v="0"/>
    <x v="13"/>
    <n v="1849.8"/>
    <n v="42.98"/>
  </r>
  <r>
    <n v="2628"/>
    <n v="19042"/>
    <d v="2009-03-01T00:00:00"/>
    <s v="Critical"/>
    <x v="812"/>
    <x v="30"/>
    <x v="0"/>
    <s v="Corporate"/>
    <x v="0"/>
    <x v="12"/>
    <n v="327.61"/>
    <n v="40.98"/>
  </r>
  <r>
    <n v="2629"/>
    <n v="19044"/>
    <d v="2012-04-11T00:00:00"/>
    <s v="Low"/>
    <x v="744"/>
    <x v="22"/>
    <x v="0"/>
    <s v="Corporate"/>
    <x v="2"/>
    <x v="10"/>
    <n v="4800.4399999999996"/>
    <n v="150.97999999999999"/>
  </r>
  <r>
    <n v="2630"/>
    <n v="19044"/>
    <d v="2012-04-11T00:00:00"/>
    <s v="Low"/>
    <x v="744"/>
    <x v="22"/>
    <x v="0"/>
    <s v="Corporate"/>
    <x v="0"/>
    <x v="0"/>
    <n v="271.33"/>
    <n v="9.7100000000000009"/>
  </r>
  <r>
    <n v="2631"/>
    <n v="19047"/>
    <d v="2009-01-28T00:00:00"/>
    <s v="High"/>
    <x v="849"/>
    <x v="16"/>
    <x v="1"/>
    <s v="Corporate"/>
    <x v="0"/>
    <x v="9"/>
    <n v="67.489999999999995"/>
    <n v="55.48"/>
  </r>
  <r>
    <n v="2632"/>
    <n v="19047"/>
    <d v="2009-01-28T00:00:00"/>
    <s v="High"/>
    <x v="849"/>
    <x v="16"/>
    <x v="1"/>
    <s v="Corporate"/>
    <x v="0"/>
    <x v="6"/>
    <n v="6.76"/>
    <n v="1.68"/>
  </r>
  <r>
    <n v="2633"/>
    <n v="19073"/>
    <d v="2009-06-24T00:00:00"/>
    <s v="Not Specified"/>
    <x v="892"/>
    <x v="30"/>
    <x v="0"/>
    <s v="Corporate"/>
    <x v="1"/>
    <x v="2"/>
    <n v="178.4"/>
    <n v="10.64"/>
  </r>
  <r>
    <n v="2634"/>
    <n v="19073"/>
    <d v="2009-06-24T00:00:00"/>
    <s v="Not Specified"/>
    <x v="892"/>
    <x v="30"/>
    <x v="0"/>
    <s v="Corporate"/>
    <x v="0"/>
    <x v="6"/>
    <n v="115.01"/>
    <n v="2.78"/>
  </r>
  <r>
    <n v="2635"/>
    <n v="19074"/>
    <d v="2012-06-25T00:00:00"/>
    <s v="Critical"/>
    <x v="562"/>
    <x v="20"/>
    <x v="0"/>
    <s v="Corporate"/>
    <x v="0"/>
    <x v="13"/>
    <n v="3816.59"/>
    <n v="208.16"/>
  </r>
  <r>
    <n v="2636"/>
    <n v="19075"/>
    <d v="2009-09-26T00:00:00"/>
    <s v="Critical"/>
    <x v="456"/>
    <x v="18"/>
    <x v="2"/>
    <s v="Home Office"/>
    <x v="2"/>
    <x v="5"/>
    <n v="1841.6"/>
    <n v="50.98"/>
  </r>
  <r>
    <n v="2637"/>
    <n v="19078"/>
    <d v="2009-07-27T00:00:00"/>
    <s v="Critical"/>
    <x v="893"/>
    <x v="0"/>
    <x v="0"/>
    <s v="Corporate"/>
    <x v="0"/>
    <x v="13"/>
    <n v="256.12"/>
    <n v="11.97"/>
  </r>
  <r>
    <n v="2638"/>
    <n v="19104"/>
    <d v="2010-08-10T00:00:00"/>
    <s v="High"/>
    <x v="852"/>
    <x v="9"/>
    <x v="1"/>
    <s v="Small Business"/>
    <x v="2"/>
    <x v="4"/>
    <n v="5085.9070000000002"/>
    <n v="125.99"/>
  </r>
  <r>
    <n v="2639"/>
    <n v="19105"/>
    <d v="2009-10-28T00:00:00"/>
    <s v="High"/>
    <x v="467"/>
    <x v="29"/>
    <x v="2"/>
    <s v="Corporate"/>
    <x v="0"/>
    <x v="9"/>
    <n v="1370.56"/>
    <n v="48.91"/>
  </r>
  <r>
    <n v="2640"/>
    <n v="19105"/>
    <d v="2009-10-28T00:00:00"/>
    <s v="High"/>
    <x v="467"/>
    <x v="29"/>
    <x v="2"/>
    <s v="Corporate"/>
    <x v="0"/>
    <x v="9"/>
    <n v="172.98"/>
    <n v="5.98"/>
  </r>
  <r>
    <n v="2641"/>
    <n v="19111"/>
    <d v="2009-10-04T00:00:00"/>
    <s v="Low"/>
    <x v="894"/>
    <x v="23"/>
    <x v="3"/>
    <s v="Consumer"/>
    <x v="2"/>
    <x v="5"/>
    <n v="195.83"/>
    <n v="8.33"/>
  </r>
  <r>
    <n v="2642"/>
    <n v="19136"/>
    <d v="2010-08-04T00:00:00"/>
    <s v="Not Specified"/>
    <x v="895"/>
    <x v="29"/>
    <x v="2"/>
    <s v="Corporate"/>
    <x v="2"/>
    <x v="4"/>
    <n v="1372.9455"/>
    <n v="35.99"/>
  </r>
  <r>
    <n v="2643"/>
    <n v="19138"/>
    <d v="2011-09-05T00:00:00"/>
    <s v="Low"/>
    <x v="92"/>
    <x v="0"/>
    <x v="0"/>
    <s v="Home Office"/>
    <x v="0"/>
    <x v="0"/>
    <n v="387"/>
    <n v="12.28"/>
  </r>
  <r>
    <n v="2644"/>
    <n v="19139"/>
    <d v="2010-12-03T00:00:00"/>
    <s v="Not Specified"/>
    <x v="627"/>
    <x v="23"/>
    <x v="3"/>
    <s v="Corporate"/>
    <x v="0"/>
    <x v="9"/>
    <n v="94.84"/>
    <n v="5.98"/>
  </r>
  <r>
    <n v="2645"/>
    <n v="19140"/>
    <d v="2009-09-30T00:00:00"/>
    <s v="Medium"/>
    <x v="700"/>
    <x v="25"/>
    <x v="1"/>
    <s v="Corporate"/>
    <x v="0"/>
    <x v="12"/>
    <n v="314"/>
    <n v="6.54"/>
  </r>
  <r>
    <n v="2646"/>
    <n v="19140"/>
    <d v="2009-09-30T00:00:00"/>
    <s v="Medium"/>
    <x v="896"/>
    <x v="25"/>
    <x v="1"/>
    <s v="Corporate"/>
    <x v="0"/>
    <x v="7"/>
    <n v="155.54"/>
    <n v="3.29"/>
  </r>
  <r>
    <n v="2647"/>
    <n v="19143"/>
    <d v="2012-11-04T00:00:00"/>
    <s v="High"/>
    <x v="759"/>
    <x v="16"/>
    <x v="1"/>
    <s v="Home Office"/>
    <x v="2"/>
    <x v="10"/>
    <n v="2421.02"/>
    <n v="810.98"/>
  </r>
  <r>
    <n v="2648"/>
    <n v="19174"/>
    <d v="2010-07-16T00:00:00"/>
    <s v="Medium"/>
    <x v="29"/>
    <x v="13"/>
    <x v="3"/>
    <s v="Small Business"/>
    <x v="0"/>
    <x v="12"/>
    <n v="214.62"/>
    <n v="4.24"/>
  </r>
  <r>
    <n v="2649"/>
    <n v="19174"/>
    <d v="2010-07-16T00:00:00"/>
    <s v="Medium"/>
    <x v="897"/>
    <x v="31"/>
    <x v="3"/>
    <s v="Small Business"/>
    <x v="2"/>
    <x v="4"/>
    <n v="5311.973"/>
    <n v="179.99"/>
  </r>
  <r>
    <n v="2650"/>
    <n v="19174"/>
    <d v="2010-07-16T00:00:00"/>
    <s v="Medium"/>
    <x v="898"/>
    <x v="31"/>
    <x v="3"/>
    <s v="Small Business"/>
    <x v="2"/>
    <x v="4"/>
    <n v="1061.905"/>
    <n v="65.989999999999995"/>
  </r>
  <r>
    <n v="2651"/>
    <n v="19174"/>
    <d v="2010-07-16T00:00:00"/>
    <s v="Medium"/>
    <x v="82"/>
    <x v="31"/>
    <x v="3"/>
    <s v="Small Business"/>
    <x v="2"/>
    <x v="5"/>
    <n v="1631.04"/>
    <n v="33.979999999999997"/>
  </r>
  <r>
    <n v="2652"/>
    <n v="19175"/>
    <d v="2009-08-19T00:00:00"/>
    <s v="Low"/>
    <x v="140"/>
    <x v="25"/>
    <x v="1"/>
    <s v="Consumer"/>
    <x v="2"/>
    <x v="4"/>
    <n v="1133.4494999999999"/>
    <n v="65.989999999999995"/>
  </r>
  <r>
    <n v="2653"/>
    <n v="19204"/>
    <d v="2009-09-18T00:00:00"/>
    <s v="Medium"/>
    <x v="899"/>
    <x v="5"/>
    <x v="0"/>
    <s v="Corporate"/>
    <x v="1"/>
    <x v="2"/>
    <n v="233.92"/>
    <n v="8.75"/>
  </r>
  <r>
    <n v="2654"/>
    <n v="19204"/>
    <d v="2009-09-18T00:00:00"/>
    <s v="Medium"/>
    <x v="357"/>
    <x v="5"/>
    <x v="0"/>
    <s v="Corporate"/>
    <x v="0"/>
    <x v="9"/>
    <n v="1642.05"/>
    <n v="55.98"/>
  </r>
  <r>
    <n v="2655"/>
    <n v="19205"/>
    <d v="2010-07-26T00:00:00"/>
    <s v="Medium"/>
    <x v="366"/>
    <x v="27"/>
    <x v="3"/>
    <s v="Small Business"/>
    <x v="0"/>
    <x v="9"/>
    <n v="1291.3499999999999"/>
    <n v="26.38"/>
  </r>
  <r>
    <n v="2656"/>
    <n v="19205"/>
    <d v="2010-07-26T00:00:00"/>
    <s v="Medium"/>
    <x v="366"/>
    <x v="27"/>
    <x v="3"/>
    <s v="Small Business"/>
    <x v="0"/>
    <x v="6"/>
    <n v="107.97"/>
    <n v="3.26"/>
  </r>
  <r>
    <n v="2657"/>
    <n v="19206"/>
    <d v="2010-03-30T00:00:00"/>
    <s v="Low"/>
    <x v="895"/>
    <x v="29"/>
    <x v="2"/>
    <s v="Corporate"/>
    <x v="0"/>
    <x v="12"/>
    <n v="88.02"/>
    <n v="2.08"/>
  </r>
  <r>
    <n v="2658"/>
    <n v="19206"/>
    <d v="2010-03-30T00:00:00"/>
    <s v="Low"/>
    <x v="895"/>
    <x v="29"/>
    <x v="2"/>
    <s v="Corporate"/>
    <x v="1"/>
    <x v="15"/>
    <n v="800"/>
    <n v="25.98"/>
  </r>
  <r>
    <n v="2659"/>
    <n v="19207"/>
    <d v="2012-03-15T00:00:00"/>
    <s v="Not Specified"/>
    <x v="695"/>
    <x v="9"/>
    <x v="1"/>
    <s v="Corporate"/>
    <x v="0"/>
    <x v="8"/>
    <n v="66.02"/>
    <n v="3.08"/>
  </r>
  <r>
    <n v="2660"/>
    <n v="19207"/>
    <d v="2012-03-15T00:00:00"/>
    <s v="Not Specified"/>
    <x v="695"/>
    <x v="9"/>
    <x v="1"/>
    <s v="Corporate"/>
    <x v="0"/>
    <x v="7"/>
    <n v="15.53"/>
    <n v="1.26"/>
  </r>
  <r>
    <n v="2661"/>
    <n v="19232"/>
    <d v="2009-07-12T00:00:00"/>
    <s v="Low"/>
    <x v="668"/>
    <x v="11"/>
    <x v="2"/>
    <s v="Small Business"/>
    <x v="1"/>
    <x v="2"/>
    <n v="265.38"/>
    <n v="6.24"/>
  </r>
  <r>
    <n v="2662"/>
    <n v="19232"/>
    <d v="2009-07-12T00:00:00"/>
    <s v="Low"/>
    <x v="668"/>
    <x v="11"/>
    <x v="2"/>
    <s v="Small Business"/>
    <x v="0"/>
    <x v="6"/>
    <n v="33.409999999999997"/>
    <n v="6.68"/>
  </r>
  <r>
    <n v="2663"/>
    <n v="19232"/>
    <d v="2009-07-12T00:00:00"/>
    <s v="Low"/>
    <x v="803"/>
    <x v="11"/>
    <x v="2"/>
    <s v="Small Business"/>
    <x v="1"/>
    <x v="11"/>
    <n v="7157.16"/>
    <n v="260.98"/>
  </r>
  <r>
    <n v="2664"/>
    <n v="19234"/>
    <d v="2009-01-24T00:00:00"/>
    <s v="High"/>
    <x v="667"/>
    <x v="28"/>
    <x v="1"/>
    <s v="Corporate"/>
    <x v="0"/>
    <x v="13"/>
    <n v="359.65"/>
    <n v="14.42"/>
  </r>
  <r>
    <n v="2665"/>
    <n v="19264"/>
    <d v="2011-09-29T00:00:00"/>
    <s v="High"/>
    <x v="855"/>
    <x v="16"/>
    <x v="1"/>
    <s v="Consumer"/>
    <x v="0"/>
    <x v="12"/>
    <n v="161.72"/>
    <n v="3.98"/>
  </r>
  <r>
    <n v="2666"/>
    <n v="19264"/>
    <d v="2011-09-29T00:00:00"/>
    <s v="High"/>
    <x v="855"/>
    <x v="16"/>
    <x v="1"/>
    <s v="Consumer"/>
    <x v="0"/>
    <x v="9"/>
    <n v="107.75"/>
    <n v="4.7300000000000004"/>
  </r>
  <r>
    <n v="2667"/>
    <n v="19296"/>
    <d v="2010-04-10T00:00:00"/>
    <s v="High"/>
    <x v="439"/>
    <x v="16"/>
    <x v="1"/>
    <s v="Home Office"/>
    <x v="0"/>
    <x v="6"/>
    <n v="75.73"/>
    <n v="1.68"/>
  </r>
  <r>
    <n v="2668"/>
    <n v="19299"/>
    <d v="2009-03-18T00:00:00"/>
    <s v="Not Specified"/>
    <x v="900"/>
    <x v="16"/>
    <x v="1"/>
    <s v="Corporate"/>
    <x v="0"/>
    <x v="8"/>
    <n v="29.23"/>
    <n v="2.88"/>
  </r>
  <r>
    <n v="2669"/>
    <n v="19300"/>
    <d v="2009-12-16T00:00:00"/>
    <s v="Critical"/>
    <x v="752"/>
    <x v="15"/>
    <x v="2"/>
    <s v="Corporate"/>
    <x v="0"/>
    <x v="9"/>
    <n v="78.72"/>
    <n v="7.64"/>
  </r>
  <r>
    <n v="2670"/>
    <n v="19329"/>
    <d v="2010-03-07T00:00:00"/>
    <s v="Not Specified"/>
    <x v="21"/>
    <x v="7"/>
    <x v="3"/>
    <s v="Corporate"/>
    <x v="1"/>
    <x v="2"/>
    <n v="281.58999999999997"/>
    <n v="7.96"/>
  </r>
  <r>
    <n v="2671"/>
    <n v="19329"/>
    <d v="2010-03-07T00:00:00"/>
    <s v="Not Specified"/>
    <x v="21"/>
    <x v="7"/>
    <x v="3"/>
    <s v="Corporate"/>
    <x v="2"/>
    <x v="4"/>
    <n v="231.7525"/>
    <n v="45.99"/>
  </r>
  <r>
    <n v="2672"/>
    <n v="19332"/>
    <d v="2012-02-27T00:00:00"/>
    <s v="High"/>
    <x v="150"/>
    <x v="23"/>
    <x v="3"/>
    <s v="Consumer"/>
    <x v="1"/>
    <x v="3"/>
    <n v="8246.86"/>
    <n v="179.29"/>
  </r>
  <r>
    <n v="2673"/>
    <n v="19361"/>
    <d v="2012-09-23T00:00:00"/>
    <s v="Low"/>
    <x v="901"/>
    <x v="15"/>
    <x v="2"/>
    <s v="Consumer"/>
    <x v="0"/>
    <x v="12"/>
    <n v="788.85"/>
    <n v="37.700000000000003"/>
  </r>
  <r>
    <n v="2674"/>
    <n v="19361"/>
    <d v="2012-09-23T00:00:00"/>
    <s v="Low"/>
    <x v="901"/>
    <x v="15"/>
    <x v="2"/>
    <s v="Consumer"/>
    <x v="0"/>
    <x v="9"/>
    <n v="364.59"/>
    <n v="8.56"/>
  </r>
  <r>
    <n v="2675"/>
    <n v="19361"/>
    <d v="2012-09-23T00:00:00"/>
    <s v="Low"/>
    <x v="35"/>
    <x v="21"/>
    <x v="2"/>
    <s v="Consumer"/>
    <x v="1"/>
    <x v="2"/>
    <n v="535.57000000000005"/>
    <n v="25.38"/>
  </r>
  <r>
    <n v="2676"/>
    <n v="19363"/>
    <d v="2011-07-05T00:00:00"/>
    <s v="High"/>
    <x v="453"/>
    <x v="11"/>
    <x v="2"/>
    <s v="Home Office"/>
    <x v="0"/>
    <x v="9"/>
    <n v="286.06"/>
    <n v="6.68"/>
  </r>
  <r>
    <n v="2677"/>
    <n v="19363"/>
    <d v="2011-07-05T00:00:00"/>
    <s v="High"/>
    <x v="453"/>
    <x v="11"/>
    <x v="2"/>
    <s v="Home Office"/>
    <x v="0"/>
    <x v="6"/>
    <n v="248.1"/>
    <n v="5.98"/>
  </r>
  <r>
    <n v="2678"/>
    <n v="19365"/>
    <d v="2011-01-16T00:00:00"/>
    <s v="Medium"/>
    <x v="843"/>
    <x v="30"/>
    <x v="0"/>
    <s v="Small Business"/>
    <x v="0"/>
    <x v="9"/>
    <n v="181.83"/>
    <n v="5.98"/>
  </r>
  <r>
    <n v="2679"/>
    <n v="19367"/>
    <d v="2009-04-20T00:00:00"/>
    <s v="High"/>
    <x v="516"/>
    <x v="11"/>
    <x v="2"/>
    <s v="Home Office"/>
    <x v="0"/>
    <x v="14"/>
    <n v="112.42"/>
    <n v="5.98"/>
  </r>
  <r>
    <n v="2680"/>
    <n v="19394"/>
    <d v="2012-12-25T00:00:00"/>
    <s v="Medium"/>
    <x v="651"/>
    <x v="5"/>
    <x v="0"/>
    <s v="Corporate"/>
    <x v="2"/>
    <x v="4"/>
    <n v="279.327"/>
    <n v="20.99"/>
  </r>
  <r>
    <n v="2681"/>
    <n v="19394"/>
    <d v="2012-12-25T00:00:00"/>
    <s v="Medium"/>
    <x v="651"/>
    <x v="5"/>
    <x v="0"/>
    <s v="Corporate"/>
    <x v="2"/>
    <x v="4"/>
    <n v="539.20600000000002"/>
    <n v="125.99"/>
  </r>
  <r>
    <n v="2682"/>
    <n v="19424"/>
    <d v="2011-04-09T00:00:00"/>
    <s v="Not Specified"/>
    <x v="430"/>
    <x v="4"/>
    <x v="1"/>
    <s v="Small Business"/>
    <x v="0"/>
    <x v="12"/>
    <n v="60.68"/>
    <n v="1.98"/>
  </r>
  <r>
    <n v="2683"/>
    <n v="19424"/>
    <d v="2011-04-09T00:00:00"/>
    <s v="Not Specified"/>
    <x v="430"/>
    <x v="4"/>
    <x v="1"/>
    <s v="Small Business"/>
    <x v="2"/>
    <x v="4"/>
    <n v="1129.0550000000001"/>
    <n v="35.99"/>
  </r>
  <r>
    <n v="2684"/>
    <n v="19425"/>
    <d v="2012-09-24T00:00:00"/>
    <s v="Not Specified"/>
    <x v="673"/>
    <x v="4"/>
    <x v="1"/>
    <s v="Home Office"/>
    <x v="0"/>
    <x v="1"/>
    <n v="210.24"/>
    <n v="5.68"/>
  </r>
  <r>
    <n v="2685"/>
    <n v="19429"/>
    <d v="2009-08-24T00:00:00"/>
    <s v="Not Specified"/>
    <x v="44"/>
    <x v="16"/>
    <x v="1"/>
    <s v="Home Office"/>
    <x v="1"/>
    <x v="3"/>
    <n v="240.24"/>
    <n v="124.49"/>
  </r>
  <r>
    <n v="2686"/>
    <n v="19430"/>
    <d v="2010-11-13T00:00:00"/>
    <s v="Critical"/>
    <x v="876"/>
    <x v="16"/>
    <x v="1"/>
    <s v="Corporate"/>
    <x v="0"/>
    <x v="0"/>
    <n v="6742.49"/>
    <n v="167.27"/>
  </r>
  <r>
    <n v="2687"/>
    <n v="19431"/>
    <d v="2009-05-23T00:00:00"/>
    <s v="Not Specified"/>
    <x v="681"/>
    <x v="14"/>
    <x v="0"/>
    <s v="Home Office"/>
    <x v="0"/>
    <x v="6"/>
    <n v="16.82"/>
    <n v="4.13"/>
  </r>
  <r>
    <n v="2688"/>
    <n v="19457"/>
    <d v="2009-07-12T00:00:00"/>
    <s v="High"/>
    <x v="700"/>
    <x v="25"/>
    <x v="1"/>
    <s v="Corporate"/>
    <x v="0"/>
    <x v="8"/>
    <n v="203.49"/>
    <n v="6.3"/>
  </r>
  <r>
    <n v="2689"/>
    <n v="19457"/>
    <d v="2009-07-12T00:00:00"/>
    <s v="High"/>
    <x v="700"/>
    <x v="25"/>
    <x v="1"/>
    <s v="Corporate"/>
    <x v="2"/>
    <x v="4"/>
    <n v="5638.7979999999998"/>
    <n v="205.99"/>
  </r>
  <r>
    <n v="2690"/>
    <n v="19462"/>
    <d v="2011-09-20T00:00:00"/>
    <s v="Medium"/>
    <x v="902"/>
    <x v="22"/>
    <x v="0"/>
    <s v="Home Office"/>
    <x v="0"/>
    <x v="0"/>
    <n v="206.68"/>
    <n v="80.98"/>
  </r>
  <r>
    <n v="2691"/>
    <n v="19492"/>
    <d v="2010-12-12T00:00:00"/>
    <s v="High"/>
    <x v="731"/>
    <x v="33"/>
    <x v="0"/>
    <s v="Small Business"/>
    <x v="1"/>
    <x v="2"/>
    <n v="691.09"/>
    <n v="78.69"/>
  </r>
  <r>
    <n v="2692"/>
    <n v="19492"/>
    <d v="2010-12-12T00:00:00"/>
    <s v="High"/>
    <x v="731"/>
    <x v="33"/>
    <x v="0"/>
    <s v="Small Business"/>
    <x v="0"/>
    <x v="6"/>
    <n v="713.7"/>
    <n v="21.98"/>
  </r>
  <r>
    <n v="2693"/>
    <n v="19493"/>
    <d v="2009-02-02T00:00:00"/>
    <s v="Critical"/>
    <x v="475"/>
    <x v="26"/>
    <x v="3"/>
    <s v="Corporate"/>
    <x v="1"/>
    <x v="3"/>
    <n v="4713.25"/>
    <n v="154.13"/>
  </r>
  <r>
    <n v="2694"/>
    <n v="19494"/>
    <d v="2010-01-12T00:00:00"/>
    <s v="High"/>
    <x v="863"/>
    <x v="27"/>
    <x v="3"/>
    <s v="Small Business"/>
    <x v="1"/>
    <x v="2"/>
    <n v="857.32"/>
    <n v="22.23"/>
  </r>
  <r>
    <n v="2695"/>
    <n v="19494"/>
    <d v="2010-01-12T00:00:00"/>
    <s v="High"/>
    <x v="863"/>
    <x v="27"/>
    <x v="3"/>
    <s v="Small Business"/>
    <x v="0"/>
    <x v="6"/>
    <n v="8.8699999999999992"/>
    <n v="2.74"/>
  </r>
  <r>
    <n v="2696"/>
    <n v="19521"/>
    <d v="2009-11-23T00:00:00"/>
    <s v="Not Specified"/>
    <x v="903"/>
    <x v="1"/>
    <x v="1"/>
    <s v="Home Office"/>
    <x v="0"/>
    <x v="0"/>
    <n v="351.06"/>
    <n v="35.479999999999997"/>
  </r>
  <r>
    <n v="2697"/>
    <n v="19522"/>
    <d v="2009-10-20T00:00:00"/>
    <s v="Medium"/>
    <x v="763"/>
    <x v="7"/>
    <x v="3"/>
    <s v="Consumer"/>
    <x v="0"/>
    <x v="12"/>
    <n v="161.80000000000001"/>
    <n v="3.8"/>
  </r>
  <r>
    <n v="2698"/>
    <n v="19522"/>
    <d v="2009-10-20T00:00:00"/>
    <s v="Medium"/>
    <x v="763"/>
    <x v="7"/>
    <x v="3"/>
    <s v="Consumer"/>
    <x v="0"/>
    <x v="6"/>
    <n v="64.36"/>
    <n v="1.76"/>
  </r>
  <r>
    <n v="2699"/>
    <n v="19523"/>
    <d v="2011-11-30T00:00:00"/>
    <s v="High"/>
    <x v="904"/>
    <x v="27"/>
    <x v="3"/>
    <s v="Corporate"/>
    <x v="0"/>
    <x v="9"/>
    <n v="155.78"/>
    <n v="3.6"/>
  </r>
  <r>
    <n v="2700"/>
    <n v="19524"/>
    <d v="2010-01-14T00:00:00"/>
    <s v="Critical"/>
    <x v="905"/>
    <x v="16"/>
    <x v="1"/>
    <s v="Corporate"/>
    <x v="0"/>
    <x v="1"/>
    <n v="92.02"/>
    <n v="10.23"/>
  </r>
  <r>
    <n v="2701"/>
    <n v="19555"/>
    <d v="2010-02-11T00:00:00"/>
    <s v="Low"/>
    <x v="142"/>
    <x v="28"/>
    <x v="1"/>
    <s v="Small Business"/>
    <x v="0"/>
    <x v="9"/>
    <n v="246.24"/>
    <n v="6.68"/>
  </r>
  <r>
    <n v="2702"/>
    <n v="19555"/>
    <d v="2010-02-11T00:00:00"/>
    <s v="Low"/>
    <x v="295"/>
    <x v="28"/>
    <x v="1"/>
    <s v="Small Business"/>
    <x v="0"/>
    <x v="9"/>
    <n v="78.67"/>
    <n v="9.11"/>
  </r>
  <r>
    <n v="2703"/>
    <n v="19556"/>
    <d v="2010-12-30T00:00:00"/>
    <s v="Not Specified"/>
    <x v="266"/>
    <x v="16"/>
    <x v="1"/>
    <s v="Consumer"/>
    <x v="1"/>
    <x v="15"/>
    <n v="5785.59"/>
    <n v="130.97999999999999"/>
  </r>
  <r>
    <n v="2704"/>
    <n v="19556"/>
    <d v="2010-12-30T00:00:00"/>
    <s v="Not Specified"/>
    <x v="266"/>
    <x v="16"/>
    <x v="1"/>
    <s v="Consumer"/>
    <x v="0"/>
    <x v="9"/>
    <n v="1131.93"/>
    <n v="55.98"/>
  </r>
  <r>
    <n v="2705"/>
    <n v="19556"/>
    <d v="2010-12-30T00:00:00"/>
    <s v="Not Specified"/>
    <x v="266"/>
    <x v="16"/>
    <x v="1"/>
    <s v="Consumer"/>
    <x v="2"/>
    <x v="4"/>
    <n v="3238.143"/>
    <n v="115.99"/>
  </r>
  <r>
    <n v="2706"/>
    <n v="19557"/>
    <d v="2011-10-30T00:00:00"/>
    <s v="Low"/>
    <x v="157"/>
    <x v="15"/>
    <x v="2"/>
    <s v="Corporate"/>
    <x v="0"/>
    <x v="7"/>
    <n v="66.599999999999994"/>
    <n v="2.62"/>
  </r>
  <r>
    <n v="2707"/>
    <n v="19557"/>
    <d v="2011-10-30T00:00:00"/>
    <s v="Low"/>
    <x v="157"/>
    <x v="15"/>
    <x v="2"/>
    <s v="Corporate"/>
    <x v="0"/>
    <x v="0"/>
    <n v="312.25"/>
    <n v="33.89"/>
  </r>
  <r>
    <n v="2708"/>
    <n v="19558"/>
    <d v="2011-02-25T00:00:00"/>
    <s v="Low"/>
    <x v="906"/>
    <x v="12"/>
    <x v="3"/>
    <s v="Corporate"/>
    <x v="0"/>
    <x v="7"/>
    <n v="7.98"/>
    <n v="3.29"/>
  </r>
  <r>
    <n v="2709"/>
    <n v="19559"/>
    <d v="2010-04-15T00:00:00"/>
    <s v="High"/>
    <x v="609"/>
    <x v="6"/>
    <x v="1"/>
    <s v="Small Business"/>
    <x v="0"/>
    <x v="9"/>
    <n v="260.77"/>
    <n v="8.34"/>
  </r>
  <r>
    <n v="2710"/>
    <n v="19559"/>
    <d v="2010-04-15T00:00:00"/>
    <s v="High"/>
    <x v="609"/>
    <x v="6"/>
    <x v="1"/>
    <s v="Small Business"/>
    <x v="2"/>
    <x v="4"/>
    <n v="2445.212"/>
    <n v="155.99"/>
  </r>
  <r>
    <n v="2711"/>
    <n v="19559"/>
    <d v="2010-04-15T00:00:00"/>
    <s v="High"/>
    <x v="337"/>
    <x v="6"/>
    <x v="1"/>
    <s v="Small Business"/>
    <x v="2"/>
    <x v="4"/>
    <n v="1032.0274999999999"/>
    <n v="85.99"/>
  </r>
  <r>
    <n v="2712"/>
    <n v="19584"/>
    <d v="2009-04-16T00:00:00"/>
    <s v="Critical"/>
    <x v="81"/>
    <x v="14"/>
    <x v="0"/>
    <s v="Corporate"/>
    <x v="2"/>
    <x v="10"/>
    <n v="14535.8"/>
    <n v="2550.14"/>
  </r>
  <r>
    <n v="2713"/>
    <n v="19586"/>
    <d v="2012-11-01T00:00:00"/>
    <s v="Not Specified"/>
    <x v="547"/>
    <x v="15"/>
    <x v="2"/>
    <s v="Home Office"/>
    <x v="0"/>
    <x v="1"/>
    <n v="70.63"/>
    <n v="2.08"/>
  </r>
  <r>
    <n v="2714"/>
    <n v="19616"/>
    <d v="2011-12-22T00:00:00"/>
    <s v="High"/>
    <x v="90"/>
    <x v="26"/>
    <x v="3"/>
    <s v="Corporate"/>
    <x v="0"/>
    <x v="6"/>
    <n v="92.31"/>
    <n v="28.15"/>
  </r>
  <r>
    <n v="2715"/>
    <n v="19616"/>
    <d v="2011-12-22T00:00:00"/>
    <s v="High"/>
    <x v="90"/>
    <x v="26"/>
    <x v="3"/>
    <s v="Corporate"/>
    <x v="0"/>
    <x v="6"/>
    <n v="116.94"/>
    <n v="2.78"/>
  </r>
  <r>
    <n v="2716"/>
    <n v="19617"/>
    <d v="2012-01-20T00:00:00"/>
    <s v="Low"/>
    <x v="341"/>
    <x v="30"/>
    <x v="0"/>
    <s v="Corporate"/>
    <x v="2"/>
    <x v="10"/>
    <n v="952.47"/>
    <n v="23.99"/>
  </r>
  <r>
    <n v="2717"/>
    <n v="19617"/>
    <d v="2012-01-20T00:00:00"/>
    <s v="Low"/>
    <x v="341"/>
    <x v="30"/>
    <x v="0"/>
    <s v="Corporate"/>
    <x v="2"/>
    <x v="4"/>
    <n v="171.96350000000001"/>
    <n v="65.989999999999995"/>
  </r>
  <r>
    <n v="2718"/>
    <n v="19621"/>
    <d v="2011-09-07T00:00:00"/>
    <s v="Critical"/>
    <x v="907"/>
    <x v="8"/>
    <x v="2"/>
    <s v="Corporate"/>
    <x v="0"/>
    <x v="1"/>
    <n v="67.03"/>
    <n v="3.14"/>
  </r>
  <r>
    <n v="2719"/>
    <n v="19621"/>
    <d v="2011-09-07T00:00:00"/>
    <s v="Critical"/>
    <x v="907"/>
    <x v="8"/>
    <x v="2"/>
    <s v="Corporate"/>
    <x v="0"/>
    <x v="0"/>
    <n v="140.82"/>
    <n v="7.98"/>
  </r>
  <r>
    <n v="2720"/>
    <n v="19649"/>
    <d v="2011-05-04T00:00:00"/>
    <s v="High"/>
    <x v="64"/>
    <x v="2"/>
    <x v="2"/>
    <s v="Consumer"/>
    <x v="0"/>
    <x v="13"/>
    <n v="375.74"/>
    <n v="14.42"/>
  </r>
  <r>
    <n v="2721"/>
    <n v="19649"/>
    <d v="2011-05-04T00:00:00"/>
    <s v="High"/>
    <x v="64"/>
    <x v="2"/>
    <x v="2"/>
    <s v="Consumer"/>
    <x v="1"/>
    <x v="3"/>
    <n v="1095.1099999999999"/>
    <n v="31.76"/>
  </r>
  <r>
    <n v="2722"/>
    <n v="19652"/>
    <d v="2012-06-02T00:00:00"/>
    <s v="Critical"/>
    <x v="551"/>
    <x v="24"/>
    <x v="1"/>
    <s v="Corporate"/>
    <x v="1"/>
    <x v="15"/>
    <n v="2711.14"/>
    <n v="89.99"/>
  </r>
  <r>
    <n v="2723"/>
    <n v="19652"/>
    <d v="2012-06-02T00:00:00"/>
    <s v="Critical"/>
    <x v="551"/>
    <x v="24"/>
    <x v="1"/>
    <s v="Corporate"/>
    <x v="2"/>
    <x v="4"/>
    <n v="1829.8715"/>
    <n v="65.989999999999995"/>
  </r>
  <r>
    <n v="2724"/>
    <n v="19653"/>
    <d v="2012-09-11T00:00:00"/>
    <s v="Not Specified"/>
    <x v="908"/>
    <x v="5"/>
    <x v="0"/>
    <s v="Home Office"/>
    <x v="0"/>
    <x v="12"/>
    <n v="125.46"/>
    <n v="3.58"/>
  </r>
  <r>
    <n v="2725"/>
    <n v="19654"/>
    <d v="2011-01-09T00:00:00"/>
    <s v="High"/>
    <x v="360"/>
    <x v="29"/>
    <x v="2"/>
    <s v="Home Office"/>
    <x v="1"/>
    <x v="2"/>
    <n v="381.69"/>
    <n v="46.94"/>
  </r>
  <r>
    <n v="2726"/>
    <n v="19655"/>
    <d v="2009-01-11T00:00:00"/>
    <s v="High"/>
    <x v="232"/>
    <x v="0"/>
    <x v="0"/>
    <s v="Corporate"/>
    <x v="2"/>
    <x v="5"/>
    <n v="1143.45"/>
    <n v="39.24"/>
  </r>
  <r>
    <n v="2727"/>
    <n v="19686"/>
    <d v="2010-08-15T00:00:00"/>
    <s v="Medium"/>
    <x v="232"/>
    <x v="0"/>
    <x v="0"/>
    <s v="Corporate"/>
    <x v="2"/>
    <x v="10"/>
    <n v="42.31"/>
    <n v="17.98"/>
  </r>
  <r>
    <n v="2728"/>
    <n v="19686"/>
    <d v="2010-08-15T00:00:00"/>
    <s v="Medium"/>
    <x v="909"/>
    <x v="0"/>
    <x v="0"/>
    <s v="Corporate"/>
    <x v="0"/>
    <x v="12"/>
    <n v="152.66999999999999"/>
    <n v="12.95"/>
  </r>
  <r>
    <n v="2729"/>
    <n v="19687"/>
    <d v="2010-08-13T00:00:00"/>
    <s v="Medium"/>
    <x v="716"/>
    <x v="5"/>
    <x v="0"/>
    <s v="Consumer"/>
    <x v="0"/>
    <x v="7"/>
    <n v="47.99"/>
    <n v="1.48"/>
  </r>
  <r>
    <n v="2730"/>
    <n v="19687"/>
    <d v="2010-08-13T00:00:00"/>
    <s v="Medium"/>
    <x v="716"/>
    <x v="5"/>
    <x v="0"/>
    <s v="Consumer"/>
    <x v="2"/>
    <x v="4"/>
    <n v="829.61699999999996"/>
    <n v="45.99"/>
  </r>
  <r>
    <n v="2731"/>
    <n v="19716"/>
    <d v="2009-09-29T00:00:00"/>
    <s v="Low"/>
    <x v="910"/>
    <x v="5"/>
    <x v="0"/>
    <s v="Home Office"/>
    <x v="2"/>
    <x v="4"/>
    <n v="616.10550000000001"/>
    <n v="140.99"/>
  </r>
  <r>
    <n v="2732"/>
    <n v="19718"/>
    <d v="2012-06-24T00:00:00"/>
    <s v="Low"/>
    <x v="480"/>
    <x v="15"/>
    <x v="2"/>
    <s v="Consumer"/>
    <x v="2"/>
    <x v="10"/>
    <n v="89.75"/>
    <n v="13.99"/>
  </r>
  <r>
    <n v="2733"/>
    <n v="19744"/>
    <d v="2010-03-14T00:00:00"/>
    <s v="Medium"/>
    <x v="799"/>
    <x v="15"/>
    <x v="2"/>
    <s v="Consumer"/>
    <x v="0"/>
    <x v="13"/>
    <n v="478.38"/>
    <n v="11.97"/>
  </r>
  <r>
    <n v="2734"/>
    <n v="19745"/>
    <d v="2012-12-18T00:00:00"/>
    <s v="High"/>
    <x v="911"/>
    <x v="25"/>
    <x v="1"/>
    <s v="Small Business"/>
    <x v="1"/>
    <x v="2"/>
    <n v="1071.77"/>
    <n v="45.98"/>
  </r>
  <r>
    <n v="2735"/>
    <n v="19745"/>
    <d v="2012-12-18T00:00:00"/>
    <s v="High"/>
    <x v="912"/>
    <x v="25"/>
    <x v="1"/>
    <s v="Small Business"/>
    <x v="2"/>
    <x v="5"/>
    <n v="8635.61"/>
    <n v="300.97000000000003"/>
  </r>
  <r>
    <n v="2736"/>
    <n v="19745"/>
    <d v="2012-12-18T00:00:00"/>
    <s v="High"/>
    <x v="912"/>
    <x v="25"/>
    <x v="1"/>
    <s v="Small Business"/>
    <x v="2"/>
    <x v="5"/>
    <n v="63.96"/>
    <n v="29.89"/>
  </r>
  <r>
    <n v="2737"/>
    <n v="19745"/>
    <d v="2012-12-18T00:00:00"/>
    <s v="High"/>
    <x v="912"/>
    <x v="25"/>
    <x v="1"/>
    <s v="Small Business"/>
    <x v="0"/>
    <x v="14"/>
    <n v="833"/>
    <n v="15.57"/>
  </r>
  <r>
    <n v="2738"/>
    <n v="19748"/>
    <d v="2010-08-04T00:00:00"/>
    <s v="Not Specified"/>
    <x v="267"/>
    <x v="2"/>
    <x v="2"/>
    <s v="Corporate"/>
    <x v="0"/>
    <x v="9"/>
    <n v="124.65"/>
    <n v="18.97"/>
  </r>
  <r>
    <n v="2739"/>
    <n v="19777"/>
    <d v="2012-10-19T00:00:00"/>
    <s v="Not Specified"/>
    <x v="364"/>
    <x v="10"/>
    <x v="0"/>
    <s v="Corporate"/>
    <x v="0"/>
    <x v="12"/>
    <n v="321.91000000000003"/>
    <n v="15.01"/>
  </r>
  <r>
    <n v="2740"/>
    <n v="19777"/>
    <d v="2012-10-19T00:00:00"/>
    <s v="Not Specified"/>
    <x v="364"/>
    <x v="10"/>
    <x v="0"/>
    <s v="Corporate"/>
    <x v="0"/>
    <x v="12"/>
    <n v="132.96"/>
    <n v="59.78"/>
  </r>
  <r>
    <n v="2741"/>
    <n v="19777"/>
    <d v="2012-10-19T00:00:00"/>
    <s v="Not Specified"/>
    <x v="913"/>
    <x v="10"/>
    <x v="0"/>
    <s v="Corporate"/>
    <x v="2"/>
    <x v="4"/>
    <n v="3268.7514999999999"/>
    <n v="155.99"/>
  </r>
  <r>
    <n v="2742"/>
    <n v="19782"/>
    <d v="2012-10-18T00:00:00"/>
    <s v="Low"/>
    <x v="486"/>
    <x v="5"/>
    <x v="0"/>
    <s v="Consumer"/>
    <x v="0"/>
    <x v="7"/>
    <n v="33.21"/>
    <n v="1.81"/>
  </r>
  <r>
    <n v="2743"/>
    <n v="19811"/>
    <d v="2011-08-08T00:00:00"/>
    <s v="Low"/>
    <x v="914"/>
    <x v="7"/>
    <x v="3"/>
    <s v="Corporate"/>
    <x v="0"/>
    <x v="1"/>
    <n v="450.66"/>
    <n v="8.57"/>
  </r>
  <r>
    <n v="2744"/>
    <n v="19812"/>
    <d v="2010-04-02T00:00:00"/>
    <s v="Low"/>
    <x v="915"/>
    <x v="4"/>
    <x v="1"/>
    <s v="Home Office"/>
    <x v="1"/>
    <x v="3"/>
    <n v="1358.7760000000001"/>
    <n v="550.98"/>
  </r>
  <r>
    <n v="2745"/>
    <n v="19813"/>
    <d v="2010-03-02T00:00:00"/>
    <s v="Critical"/>
    <x v="497"/>
    <x v="3"/>
    <x v="0"/>
    <s v="Home Office"/>
    <x v="2"/>
    <x v="4"/>
    <n v="1098.5059999999999"/>
    <n v="45.99"/>
  </r>
  <r>
    <n v="2746"/>
    <n v="19815"/>
    <d v="2010-03-25T00:00:00"/>
    <s v="Not Specified"/>
    <x v="508"/>
    <x v="16"/>
    <x v="1"/>
    <s v="Home Office"/>
    <x v="0"/>
    <x v="9"/>
    <n v="167.07"/>
    <n v="4.9800000000000004"/>
  </r>
  <r>
    <n v="2747"/>
    <n v="19840"/>
    <d v="2010-05-24T00:00:00"/>
    <s v="Critical"/>
    <x v="916"/>
    <x v="9"/>
    <x v="1"/>
    <s v="Corporate"/>
    <x v="2"/>
    <x v="10"/>
    <n v="8270.57"/>
    <n v="400.97"/>
  </r>
  <r>
    <n v="2748"/>
    <n v="19841"/>
    <d v="2010-12-26T00:00:00"/>
    <s v="Low"/>
    <x v="917"/>
    <x v="7"/>
    <x v="3"/>
    <s v="Corporate"/>
    <x v="0"/>
    <x v="6"/>
    <n v="213.06"/>
    <n v="11.97"/>
  </r>
  <r>
    <n v="2749"/>
    <n v="19841"/>
    <d v="2010-12-26T00:00:00"/>
    <s v="Low"/>
    <x v="917"/>
    <x v="7"/>
    <x v="3"/>
    <s v="Corporate"/>
    <x v="2"/>
    <x v="4"/>
    <n v="1126.4880000000001"/>
    <n v="195.99"/>
  </r>
  <r>
    <n v="2750"/>
    <n v="19841"/>
    <d v="2010-12-26T00:00:00"/>
    <s v="Low"/>
    <x v="177"/>
    <x v="37"/>
    <x v="2"/>
    <s v="Corporate"/>
    <x v="2"/>
    <x v="4"/>
    <n v="4687.6734999999999"/>
    <n v="125.99"/>
  </r>
  <r>
    <n v="2751"/>
    <n v="19843"/>
    <d v="2010-07-29T00:00:00"/>
    <s v="Medium"/>
    <x v="918"/>
    <x v="28"/>
    <x v="1"/>
    <s v="Home Office"/>
    <x v="2"/>
    <x v="4"/>
    <n v="4416.6509999999998"/>
    <n v="155.99"/>
  </r>
  <r>
    <n v="2752"/>
    <n v="19874"/>
    <d v="2012-06-08T00:00:00"/>
    <s v="High"/>
    <x v="538"/>
    <x v="7"/>
    <x v="3"/>
    <s v="Small Business"/>
    <x v="0"/>
    <x v="0"/>
    <n v="310.45999999999998"/>
    <n v="9.7100000000000009"/>
  </r>
  <r>
    <n v="2753"/>
    <n v="19905"/>
    <d v="2012-08-12T00:00:00"/>
    <s v="Critical"/>
    <x v="919"/>
    <x v="17"/>
    <x v="0"/>
    <s v="Home Office"/>
    <x v="0"/>
    <x v="8"/>
    <n v="82.97"/>
    <n v="4.13"/>
  </r>
  <r>
    <n v="2754"/>
    <n v="19905"/>
    <d v="2012-08-12T00:00:00"/>
    <s v="Critical"/>
    <x v="919"/>
    <x v="17"/>
    <x v="0"/>
    <s v="Home Office"/>
    <x v="1"/>
    <x v="3"/>
    <n v="13701.35"/>
    <n v="550.98"/>
  </r>
  <r>
    <n v="2755"/>
    <n v="19911"/>
    <d v="2011-10-06T00:00:00"/>
    <s v="High"/>
    <x v="920"/>
    <x v="11"/>
    <x v="2"/>
    <s v="Consumer"/>
    <x v="0"/>
    <x v="13"/>
    <n v="1054.7"/>
    <n v="25.98"/>
  </r>
  <r>
    <n v="2756"/>
    <n v="19911"/>
    <d v="2011-10-06T00:00:00"/>
    <s v="High"/>
    <x v="920"/>
    <x v="11"/>
    <x v="2"/>
    <s v="Consumer"/>
    <x v="1"/>
    <x v="15"/>
    <n v="5349.21"/>
    <n v="135.99"/>
  </r>
  <r>
    <n v="2757"/>
    <n v="19911"/>
    <d v="2011-10-06T00:00:00"/>
    <s v="High"/>
    <x v="920"/>
    <x v="11"/>
    <x v="2"/>
    <s v="Consumer"/>
    <x v="2"/>
    <x v="10"/>
    <n v="4859.37"/>
    <n v="150.97999999999999"/>
  </r>
  <r>
    <n v="2758"/>
    <n v="19936"/>
    <d v="2012-11-13T00:00:00"/>
    <s v="Critical"/>
    <x v="39"/>
    <x v="22"/>
    <x v="0"/>
    <s v="Home Office"/>
    <x v="0"/>
    <x v="12"/>
    <n v="36.75"/>
    <n v="1.88"/>
  </r>
  <r>
    <n v="2759"/>
    <n v="19936"/>
    <d v="2012-11-13T00:00:00"/>
    <s v="Critical"/>
    <x v="39"/>
    <x v="22"/>
    <x v="0"/>
    <s v="Home Office"/>
    <x v="2"/>
    <x v="5"/>
    <n v="1115.2"/>
    <n v="29.89"/>
  </r>
  <r>
    <n v="2760"/>
    <n v="19943"/>
    <d v="2009-11-24T00:00:00"/>
    <s v="Critical"/>
    <x v="921"/>
    <x v="9"/>
    <x v="1"/>
    <s v="Corporate"/>
    <x v="1"/>
    <x v="3"/>
    <n v="1959.92"/>
    <n v="124.49"/>
  </r>
  <r>
    <n v="2761"/>
    <n v="19972"/>
    <d v="2012-06-16T00:00:00"/>
    <s v="Critical"/>
    <x v="873"/>
    <x v="22"/>
    <x v="0"/>
    <s v="Corporate"/>
    <x v="1"/>
    <x v="2"/>
    <n v="97.86"/>
    <n v="14.98"/>
  </r>
  <r>
    <n v="2762"/>
    <n v="19974"/>
    <d v="2010-11-03T00:00:00"/>
    <s v="High"/>
    <x v="861"/>
    <x v="2"/>
    <x v="2"/>
    <s v="Corporate"/>
    <x v="0"/>
    <x v="13"/>
    <n v="3830.84"/>
    <n v="279.81"/>
  </r>
  <r>
    <n v="2763"/>
    <n v="19974"/>
    <d v="2010-11-03T00:00:00"/>
    <s v="High"/>
    <x v="861"/>
    <x v="2"/>
    <x v="2"/>
    <s v="Corporate"/>
    <x v="0"/>
    <x v="0"/>
    <n v="267.43"/>
    <n v="12.28"/>
  </r>
  <r>
    <n v="2764"/>
    <n v="19975"/>
    <d v="2009-04-10T00:00:00"/>
    <s v="Not Specified"/>
    <x v="558"/>
    <x v="36"/>
    <x v="2"/>
    <s v="Consumer"/>
    <x v="0"/>
    <x v="13"/>
    <n v="362.17"/>
    <n v="11.7"/>
  </r>
  <r>
    <n v="2765"/>
    <n v="20002"/>
    <d v="2012-08-12T00:00:00"/>
    <s v="Medium"/>
    <x v="916"/>
    <x v="9"/>
    <x v="1"/>
    <s v="Corporate"/>
    <x v="2"/>
    <x v="5"/>
    <n v="41.03"/>
    <n v="4.7699999999999996"/>
  </r>
  <r>
    <n v="2766"/>
    <n v="20003"/>
    <d v="2012-01-30T00:00:00"/>
    <s v="Medium"/>
    <x v="922"/>
    <x v="32"/>
    <x v="0"/>
    <s v="Corporate"/>
    <x v="2"/>
    <x v="5"/>
    <n v="796.08"/>
    <n v="19.98"/>
  </r>
  <r>
    <n v="2767"/>
    <n v="20003"/>
    <d v="2012-01-30T00:00:00"/>
    <s v="Medium"/>
    <x v="923"/>
    <x v="7"/>
    <x v="3"/>
    <s v="Corporate"/>
    <x v="2"/>
    <x v="4"/>
    <n v="141.97550000000001"/>
    <n v="35.99"/>
  </r>
  <r>
    <n v="2768"/>
    <n v="20007"/>
    <d v="2009-08-05T00:00:00"/>
    <s v="Not Specified"/>
    <x v="489"/>
    <x v="0"/>
    <x v="0"/>
    <s v="Small Business"/>
    <x v="0"/>
    <x v="6"/>
    <n v="82.61"/>
    <n v="1.68"/>
  </r>
  <r>
    <n v="2769"/>
    <n v="20032"/>
    <d v="2012-11-05T00:00:00"/>
    <s v="Medium"/>
    <x v="278"/>
    <x v="2"/>
    <x v="2"/>
    <s v="Corporate"/>
    <x v="2"/>
    <x v="5"/>
    <n v="137.38"/>
    <n v="17.48"/>
  </r>
  <r>
    <n v="2770"/>
    <n v="20033"/>
    <d v="2010-05-21T00:00:00"/>
    <s v="Critical"/>
    <x v="341"/>
    <x v="30"/>
    <x v="0"/>
    <s v="Corporate"/>
    <x v="2"/>
    <x v="16"/>
    <n v="2543.9499999999998"/>
    <n v="499.99"/>
  </r>
  <r>
    <n v="2771"/>
    <n v="20036"/>
    <d v="2010-12-05T00:00:00"/>
    <s v="Not Specified"/>
    <x v="924"/>
    <x v="8"/>
    <x v="2"/>
    <s v="Corporate"/>
    <x v="1"/>
    <x v="11"/>
    <n v="4371.92"/>
    <n v="150.97999999999999"/>
  </r>
  <r>
    <n v="2772"/>
    <n v="20036"/>
    <d v="2010-12-05T00:00:00"/>
    <s v="Not Specified"/>
    <x v="924"/>
    <x v="8"/>
    <x v="2"/>
    <s v="Corporate"/>
    <x v="2"/>
    <x v="4"/>
    <n v="1745.1179999999999"/>
    <n v="95.99"/>
  </r>
  <r>
    <n v="2773"/>
    <n v="20036"/>
    <d v="2010-12-05T00:00:00"/>
    <s v="Not Specified"/>
    <x v="842"/>
    <x v="36"/>
    <x v="2"/>
    <s v="Corporate"/>
    <x v="0"/>
    <x v="13"/>
    <n v="290.45999999999998"/>
    <n v="11.97"/>
  </r>
  <r>
    <n v="2774"/>
    <n v="20036"/>
    <d v="2010-12-05T00:00:00"/>
    <s v="Not Specified"/>
    <x v="842"/>
    <x v="36"/>
    <x v="2"/>
    <s v="Corporate"/>
    <x v="2"/>
    <x v="5"/>
    <n v="1207.4000000000001"/>
    <n v="26.31"/>
  </r>
  <r>
    <n v="2775"/>
    <n v="20037"/>
    <d v="2009-01-10T00:00:00"/>
    <s v="Low"/>
    <x v="895"/>
    <x v="29"/>
    <x v="2"/>
    <s v="Corporate"/>
    <x v="1"/>
    <x v="2"/>
    <n v="1009.42"/>
    <n v="29.18"/>
  </r>
  <r>
    <n v="2776"/>
    <n v="20037"/>
    <d v="2009-01-10T00:00:00"/>
    <s v="Low"/>
    <x v="895"/>
    <x v="29"/>
    <x v="2"/>
    <s v="Corporate"/>
    <x v="2"/>
    <x v="10"/>
    <n v="15137.11"/>
    <n v="297.64"/>
  </r>
  <r>
    <n v="2777"/>
    <n v="20038"/>
    <d v="2010-02-26T00:00:00"/>
    <s v="Low"/>
    <x v="679"/>
    <x v="22"/>
    <x v="0"/>
    <s v="Consumer"/>
    <x v="1"/>
    <x v="2"/>
    <n v="173.44"/>
    <n v="4.1399999999999997"/>
  </r>
  <r>
    <n v="2778"/>
    <n v="20066"/>
    <d v="2012-09-02T00:00:00"/>
    <s v="Critical"/>
    <x v="925"/>
    <x v="9"/>
    <x v="1"/>
    <s v="Home Office"/>
    <x v="0"/>
    <x v="14"/>
    <n v="40.79"/>
    <n v="11.58"/>
  </r>
  <r>
    <n v="2779"/>
    <n v="20066"/>
    <d v="2012-09-02T00:00:00"/>
    <s v="Critical"/>
    <x v="925"/>
    <x v="9"/>
    <x v="1"/>
    <s v="Home Office"/>
    <x v="0"/>
    <x v="9"/>
    <n v="524.25"/>
    <n v="30.98"/>
  </r>
  <r>
    <n v="2780"/>
    <n v="20068"/>
    <d v="2011-02-28T00:00:00"/>
    <s v="Critical"/>
    <x v="926"/>
    <x v="7"/>
    <x v="3"/>
    <s v="Home Office"/>
    <x v="0"/>
    <x v="12"/>
    <n v="53.18"/>
    <n v="5.53"/>
  </r>
  <r>
    <n v="2781"/>
    <n v="20069"/>
    <d v="2009-09-26T00:00:00"/>
    <s v="Critical"/>
    <x v="274"/>
    <x v="15"/>
    <x v="2"/>
    <s v="Corporate"/>
    <x v="1"/>
    <x v="2"/>
    <n v="247.15"/>
    <n v="40.89"/>
  </r>
  <r>
    <n v="2782"/>
    <n v="20071"/>
    <d v="2011-09-17T00:00:00"/>
    <s v="Medium"/>
    <x v="893"/>
    <x v="0"/>
    <x v="0"/>
    <s v="Home Office"/>
    <x v="1"/>
    <x v="15"/>
    <n v="789.94"/>
    <n v="25.98"/>
  </r>
  <r>
    <n v="2783"/>
    <n v="20096"/>
    <d v="2012-08-19T00:00:00"/>
    <s v="Low"/>
    <x v="481"/>
    <x v="16"/>
    <x v="1"/>
    <s v="Consumer"/>
    <x v="1"/>
    <x v="3"/>
    <n v="6116.11"/>
    <n v="179.29"/>
  </r>
  <r>
    <n v="2784"/>
    <n v="20098"/>
    <d v="2011-12-08T00:00:00"/>
    <s v="Medium"/>
    <x v="927"/>
    <x v="31"/>
    <x v="3"/>
    <s v="Consumer"/>
    <x v="2"/>
    <x v="10"/>
    <n v="183.32"/>
    <n v="15.99"/>
  </r>
  <r>
    <n v="2785"/>
    <n v="20098"/>
    <d v="2011-12-08T00:00:00"/>
    <s v="Medium"/>
    <x v="410"/>
    <x v="13"/>
    <x v="3"/>
    <s v="Consumer"/>
    <x v="1"/>
    <x v="2"/>
    <n v="194.11"/>
    <n v="22.72"/>
  </r>
  <r>
    <n v="2786"/>
    <n v="20102"/>
    <d v="2011-06-05T00:00:00"/>
    <s v="High"/>
    <x v="343"/>
    <x v="33"/>
    <x v="0"/>
    <s v="Small Business"/>
    <x v="2"/>
    <x v="5"/>
    <n v="333.3"/>
    <n v="22.24"/>
  </r>
  <r>
    <n v="2787"/>
    <n v="20103"/>
    <d v="2010-02-11T00:00:00"/>
    <s v="Medium"/>
    <x v="623"/>
    <x v="15"/>
    <x v="2"/>
    <s v="Small Business"/>
    <x v="2"/>
    <x v="10"/>
    <n v="314.93"/>
    <n v="9.99"/>
  </r>
  <r>
    <n v="2788"/>
    <n v="20103"/>
    <d v="2010-02-11T00:00:00"/>
    <s v="Medium"/>
    <x v="928"/>
    <x v="15"/>
    <x v="2"/>
    <s v="Small Business"/>
    <x v="2"/>
    <x v="5"/>
    <n v="726.82"/>
    <n v="30.42"/>
  </r>
  <r>
    <n v="2789"/>
    <n v="20128"/>
    <d v="2009-08-31T00:00:00"/>
    <s v="Not Specified"/>
    <x v="929"/>
    <x v="46"/>
    <x v="1"/>
    <s v="Corporate"/>
    <x v="2"/>
    <x v="5"/>
    <n v="279.43"/>
    <n v="8.5"/>
  </r>
  <r>
    <n v="2790"/>
    <n v="20128"/>
    <d v="2009-08-31T00:00:00"/>
    <s v="Not Specified"/>
    <x v="929"/>
    <x v="46"/>
    <x v="1"/>
    <s v="Corporate"/>
    <x v="0"/>
    <x v="0"/>
    <n v="515.22"/>
    <n v="95.43"/>
  </r>
  <r>
    <n v="2791"/>
    <n v="20132"/>
    <d v="2010-05-17T00:00:00"/>
    <s v="Low"/>
    <x v="802"/>
    <x v="16"/>
    <x v="1"/>
    <s v="Consumer"/>
    <x v="2"/>
    <x v="10"/>
    <n v="8719.69"/>
    <n v="270.97000000000003"/>
  </r>
  <r>
    <n v="2792"/>
    <n v="20134"/>
    <d v="2011-03-12T00:00:00"/>
    <s v="Low"/>
    <x v="930"/>
    <x v="5"/>
    <x v="0"/>
    <s v="Corporate"/>
    <x v="2"/>
    <x v="5"/>
    <n v="583.55999999999995"/>
    <n v="20.97"/>
  </r>
  <r>
    <n v="2793"/>
    <n v="20134"/>
    <d v="2011-03-12T00:00:00"/>
    <s v="Low"/>
    <x v="930"/>
    <x v="5"/>
    <x v="0"/>
    <s v="Corporate"/>
    <x v="0"/>
    <x v="9"/>
    <n v="281.47000000000003"/>
    <n v="6.48"/>
  </r>
  <r>
    <n v="2794"/>
    <n v="20135"/>
    <d v="2009-06-30T00:00:00"/>
    <s v="Critical"/>
    <x v="74"/>
    <x v="15"/>
    <x v="2"/>
    <s v="Corporate"/>
    <x v="0"/>
    <x v="8"/>
    <n v="115.24"/>
    <n v="2.61"/>
  </r>
  <r>
    <n v="2795"/>
    <n v="20135"/>
    <d v="2009-06-30T00:00:00"/>
    <s v="Critical"/>
    <x v="58"/>
    <x v="15"/>
    <x v="2"/>
    <s v="Corporate"/>
    <x v="1"/>
    <x v="3"/>
    <n v="9601.94"/>
    <n v="349.45"/>
  </r>
  <r>
    <n v="2796"/>
    <n v="20160"/>
    <d v="2011-10-22T00:00:00"/>
    <s v="Low"/>
    <x v="695"/>
    <x v="0"/>
    <x v="0"/>
    <s v="Small Business"/>
    <x v="0"/>
    <x v="9"/>
    <n v="435.24"/>
    <n v="10.31"/>
  </r>
  <r>
    <n v="2797"/>
    <n v="20162"/>
    <d v="2009-02-08T00:00:00"/>
    <s v="Medium"/>
    <x v="931"/>
    <x v="7"/>
    <x v="3"/>
    <s v="Home Office"/>
    <x v="0"/>
    <x v="12"/>
    <n v="607.41999999999996"/>
    <n v="15.16"/>
  </r>
  <r>
    <n v="2798"/>
    <n v="20166"/>
    <d v="2009-03-04T00:00:00"/>
    <s v="Low"/>
    <x v="303"/>
    <x v="15"/>
    <x v="2"/>
    <s v="Corporate"/>
    <x v="2"/>
    <x v="4"/>
    <n v="973.86199999999997"/>
    <n v="205.99"/>
  </r>
  <r>
    <n v="2799"/>
    <n v="20192"/>
    <d v="2010-10-06T00:00:00"/>
    <s v="Low"/>
    <x v="778"/>
    <x v="15"/>
    <x v="2"/>
    <s v="Home Office"/>
    <x v="2"/>
    <x v="5"/>
    <n v="1624.67"/>
    <n v="45.19"/>
  </r>
  <r>
    <n v="2800"/>
    <n v="20193"/>
    <d v="2010-11-07T00:00:00"/>
    <s v="Medium"/>
    <x v="932"/>
    <x v="39"/>
    <x v="1"/>
    <s v="Corporate"/>
    <x v="0"/>
    <x v="12"/>
    <n v="82.12"/>
    <n v="3.52"/>
  </r>
  <r>
    <n v="2801"/>
    <n v="20194"/>
    <d v="2012-03-13T00:00:00"/>
    <s v="High"/>
    <x v="933"/>
    <x v="20"/>
    <x v="0"/>
    <s v="Consumer"/>
    <x v="1"/>
    <x v="2"/>
    <n v="194.29"/>
    <n v="20.239999999999998"/>
  </r>
  <r>
    <n v="2802"/>
    <n v="20225"/>
    <d v="2010-07-26T00:00:00"/>
    <s v="Low"/>
    <x v="183"/>
    <x v="16"/>
    <x v="1"/>
    <s v="Corporate"/>
    <x v="0"/>
    <x v="12"/>
    <n v="124.78"/>
    <n v="3.98"/>
  </r>
  <r>
    <n v="2803"/>
    <n v="20225"/>
    <d v="2010-07-26T00:00:00"/>
    <s v="Low"/>
    <x v="183"/>
    <x v="16"/>
    <x v="1"/>
    <s v="Corporate"/>
    <x v="0"/>
    <x v="6"/>
    <n v="123.4"/>
    <n v="5.84"/>
  </r>
  <r>
    <n v="2804"/>
    <n v="20229"/>
    <d v="2009-10-30T00:00:00"/>
    <s v="Low"/>
    <x v="934"/>
    <x v="15"/>
    <x v="2"/>
    <s v="Home Office"/>
    <x v="0"/>
    <x v="7"/>
    <n v="116.06"/>
    <n v="2.62"/>
  </r>
  <r>
    <n v="2805"/>
    <n v="20256"/>
    <d v="2012-01-31T00:00:00"/>
    <s v="Low"/>
    <x v="935"/>
    <x v="17"/>
    <x v="0"/>
    <s v="Small Business"/>
    <x v="0"/>
    <x v="0"/>
    <n v="512.83000000000004"/>
    <n v="20.89"/>
  </r>
  <r>
    <n v="2806"/>
    <n v="20259"/>
    <d v="2011-05-24T00:00:00"/>
    <s v="Critical"/>
    <x v="460"/>
    <x v="5"/>
    <x v="0"/>
    <s v="Corporate"/>
    <x v="0"/>
    <x v="1"/>
    <n v="539.05999999999995"/>
    <n v="12.88"/>
  </r>
  <r>
    <n v="2807"/>
    <n v="20261"/>
    <d v="2009-05-20T00:00:00"/>
    <s v="Medium"/>
    <x v="90"/>
    <x v="5"/>
    <x v="0"/>
    <s v="Small Business"/>
    <x v="0"/>
    <x v="12"/>
    <n v="751.52"/>
    <n v="31.74"/>
  </r>
  <r>
    <n v="2808"/>
    <n v="20261"/>
    <d v="2009-05-20T00:00:00"/>
    <s v="Medium"/>
    <x v="90"/>
    <x v="5"/>
    <x v="0"/>
    <s v="Small Business"/>
    <x v="0"/>
    <x v="9"/>
    <n v="220.48"/>
    <n v="6.35"/>
  </r>
  <r>
    <n v="2809"/>
    <n v="20261"/>
    <d v="2009-05-20T00:00:00"/>
    <s v="Medium"/>
    <x v="90"/>
    <x v="5"/>
    <x v="0"/>
    <s v="Small Business"/>
    <x v="2"/>
    <x v="4"/>
    <n v="1259.4535000000001"/>
    <n v="65.989999999999995"/>
  </r>
  <r>
    <n v="2810"/>
    <n v="20262"/>
    <d v="2009-12-26T00:00:00"/>
    <s v="Not Specified"/>
    <x v="936"/>
    <x v="14"/>
    <x v="0"/>
    <s v="Home Office"/>
    <x v="1"/>
    <x v="2"/>
    <n v="652.24"/>
    <n v="22.72"/>
  </r>
  <r>
    <n v="2811"/>
    <n v="20263"/>
    <d v="2009-11-14T00:00:00"/>
    <s v="Medium"/>
    <x v="593"/>
    <x v="0"/>
    <x v="0"/>
    <s v="Small Business"/>
    <x v="0"/>
    <x v="12"/>
    <n v="473.7"/>
    <n v="59.78"/>
  </r>
  <r>
    <n v="2812"/>
    <n v="20263"/>
    <d v="2009-11-14T00:00:00"/>
    <s v="Medium"/>
    <x v="937"/>
    <x v="0"/>
    <x v="0"/>
    <s v="Small Business"/>
    <x v="2"/>
    <x v="4"/>
    <n v="553.5625"/>
    <n v="20.99"/>
  </r>
  <r>
    <n v="2813"/>
    <n v="20292"/>
    <d v="2012-11-08T00:00:00"/>
    <s v="Medium"/>
    <x v="853"/>
    <x v="21"/>
    <x v="2"/>
    <s v="Corporate"/>
    <x v="0"/>
    <x v="13"/>
    <n v="452.39"/>
    <n v="17.52"/>
  </r>
  <r>
    <n v="2814"/>
    <n v="20292"/>
    <d v="2012-11-08T00:00:00"/>
    <s v="Medium"/>
    <x v="853"/>
    <x v="21"/>
    <x v="2"/>
    <s v="Corporate"/>
    <x v="2"/>
    <x v="5"/>
    <n v="117.13"/>
    <n v="20.95"/>
  </r>
  <r>
    <n v="2815"/>
    <n v="20322"/>
    <d v="2009-06-28T00:00:00"/>
    <s v="Critical"/>
    <x v="938"/>
    <x v="3"/>
    <x v="0"/>
    <s v="Home Office"/>
    <x v="0"/>
    <x v="12"/>
    <n v="160.27000000000001"/>
    <n v="3.58"/>
  </r>
  <r>
    <n v="2816"/>
    <n v="20322"/>
    <d v="2009-06-28T00:00:00"/>
    <s v="Critical"/>
    <x v="938"/>
    <x v="3"/>
    <x v="0"/>
    <s v="Home Office"/>
    <x v="1"/>
    <x v="11"/>
    <n v="4601.0200000000004"/>
    <n v="100.98"/>
  </r>
  <r>
    <n v="2817"/>
    <n v="20322"/>
    <d v="2009-06-28T00:00:00"/>
    <s v="Critical"/>
    <x v="938"/>
    <x v="3"/>
    <x v="0"/>
    <s v="Home Office"/>
    <x v="0"/>
    <x v="9"/>
    <n v="89.89"/>
    <n v="5.78"/>
  </r>
  <r>
    <n v="2818"/>
    <n v="20325"/>
    <d v="2010-07-03T00:00:00"/>
    <s v="Critical"/>
    <x v="939"/>
    <x v="16"/>
    <x v="1"/>
    <s v="Small Business"/>
    <x v="2"/>
    <x v="10"/>
    <n v="4043.29"/>
    <n v="119.99"/>
  </r>
  <r>
    <n v="2819"/>
    <n v="20325"/>
    <d v="2010-07-03T00:00:00"/>
    <s v="Critical"/>
    <x v="939"/>
    <x v="16"/>
    <x v="1"/>
    <s v="Small Business"/>
    <x v="0"/>
    <x v="6"/>
    <n v="870.48"/>
    <n v="36.549999999999997"/>
  </r>
  <r>
    <n v="2820"/>
    <n v="20354"/>
    <d v="2012-09-19T00:00:00"/>
    <s v="Critical"/>
    <x v="940"/>
    <x v="7"/>
    <x v="3"/>
    <s v="Corporate"/>
    <x v="0"/>
    <x v="8"/>
    <n v="76.06"/>
    <n v="3.15"/>
  </r>
  <r>
    <n v="2821"/>
    <n v="20384"/>
    <d v="2011-10-25T00:00:00"/>
    <s v="Low"/>
    <x v="914"/>
    <x v="7"/>
    <x v="3"/>
    <s v="Corporate"/>
    <x v="0"/>
    <x v="0"/>
    <n v="396.6"/>
    <n v="14.03"/>
  </r>
  <r>
    <n v="2822"/>
    <n v="20384"/>
    <d v="2011-10-25T00:00:00"/>
    <s v="Low"/>
    <x v="914"/>
    <x v="7"/>
    <x v="3"/>
    <s v="Corporate"/>
    <x v="1"/>
    <x v="3"/>
    <n v="6902.51"/>
    <n v="212.6"/>
  </r>
  <r>
    <n v="2823"/>
    <n v="20386"/>
    <d v="2010-02-27T00:00:00"/>
    <s v="Critical"/>
    <x v="941"/>
    <x v="17"/>
    <x v="0"/>
    <s v="Corporate"/>
    <x v="0"/>
    <x v="7"/>
    <n v="41.23"/>
    <n v="1.26"/>
  </r>
  <r>
    <n v="2824"/>
    <n v="20389"/>
    <d v="2009-08-11T00:00:00"/>
    <s v="High"/>
    <x v="873"/>
    <x v="22"/>
    <x v="0"/>
    <s v="Corporate"/>
    <x v="1"/>
    <x v="11"/>
    <n v="7477.78"/>
    <n v="260.98"/>
  </r>
  <r>
    <n v="2825"/>
    <n v="20389"/>
    <d v="2009-08-11T00:00:00"/>
    <s v="High"/>
    <x v="873"/>
    <x v="22"/>
    <x v="0"/>
    <s v="Corporate"/>
    <x v="1"/>
    <x v="2"/>
    <n v="270.39"/>
    <n v="10.52"/>
  </r>
  <r>
    <n v="2826"/>
    <n v="20389"/>
    <d v="2009-08-11T00:00:00"/>
    <s v="High"/>
    <x v="873"/>
    <x v="22"/>
    <x v="0"/>
    <s v="Corporate"/>
    <x v="0"/>
    <x v="9"/>
    <n v="201.35"/>
    <n v="5.98"/>
  </r>
  <r>
    <n v="2827"/>
    <n v="20390"/>
    <d v="2009-08-31T00:00:00"/>
    <s v="Not Specified"/>
    <x v="351"/>
    <x v="26"/>
    <x v="3"/>
    <s v="Home Office"/>
    <x v="2"/>
    <x v="5"/>
    <n v="1271.1199999999999"/>
    <n v="34.979999999999997"/>
  </r>
  <r>
    <n v="2828"/>
    <n v="20390"/>
    <d v="2009-08-31T00:00:00"/>
    <s v="Not Specified"/>
    <x v="351"/>
    <x v="26"/>
    <x v="3"/>
    <s v="Home Office"/>
    <x v="0"/>
    <x v="1"/>
    <n v="58.5"/>
    <n v="3.14"/>
  </r>
  <r>
    <n v="2829"/>
    <n v="20422"/>
    <d v="2009-01-26T00:00:00"/>
    <s v="High"/>
    <x v="38"/>
    <x v="22"/>
    <x v="0"/>
    <s v="Consumer"/>
    <x v="0"/>
    <x v="8"/>
    <n v="15.38"/>
    <n v="2.89"/>
  </r>
  <r>
    <n v="2830"/>
    <n v="20422"/>
    <d v="2009-01-26T00:00:00"/>
    <s v="High"/>
    <x v="525"/>
    <x v="3"/>
    <x v="0"/>
    <s v="Consumer"/>
    <x v="1"/>
    <x v="2"/>
    <n v="447.33"/>
    <n v="14.34"/>
  </r>
  <r>
    <n v="2831"/>
    <n v="20448"/>
    <d v="2011-08-02T00:00:00"/>
    <s v="Critical"/>
    <x v="497"/>
    <x v="3"/>
    <x v="0"/>
    <s v="Corporate"/>
    <x v="0"/>
    <x v="14"/>
    <n v="104.82"/>
    <n v="3.69"/>
  </r>
  <r>
    <n v="2832"/>
    <n v="20449"/>
    <d v="2010-01-03T00:00:00"/>
    <s v="Medium"/>
    <x v="523"/>
    <x v="35"/>
    <x v="3"/>
    <s v="Small Business"/>
    <x v="0"/>
    <x v="12"/>
    <n v="1216.5"/>
    <n v="67.28"/>
  </r>
  <r>
    <n v="2833"/>
    <n v="20450"/>
    <d v="2012-12-07T00:00:00"/>
    <s v="Critical"/>
    <x v="759"/>
    <x v="16"/>
    <x v="1"/>
    <s v="Home Office"/>
    <x v="1"/>
    <x v="3"/>
    <n v="6878.55"/>
    <n v="259.70999999999998"/>
  </r>
  <r>
    <n v="2834"/>
    <n v="20451"/>
    <d v="2012-05-25T00:00:00"/>
    <s v="Critical"/>
    <x v="475"/>
    <x v="26"/>
    <x v="3"/>
    <s v="Corporate"/>
    <x v="0"/>
    <x v="9"/>
    <n v="53.72"/>
    <n v="8.9499999999999993"/>
  </r>
  <r>
    <n v="2835"/>
    <n v="20451"/>
    <d v="2012-05-25T00:00:00"/>
    <s v="Critical"/>
    <x v="942"/>
    <x v="26"/>
    <x v="3"/>
    <s v="Corporate"/>
    <x v="0"/>
    <x v="0"/>
    <n v="1809.21"/>
    <n v="55.29"/>
  </r>
  <r>
    <n v="2836"/>
    <n v="20451"/>
    <d v="2012-05-25T00:00:00"/>
    <s v="Critical"/>
    <x v="942"/>
    <x v="26"/>
    <x v="3"/>
    <s v="Corporate"/>
    <x v="1"/>
    <x v="3"/>
    <n v="9150.09"/>
    <n v="550.98"/>
  </r>
  <r>
    <n v="2837"/>
    <n v="20453"/>
    <d v="2011-03-10T00:00:00"/>
    <s v="Medium"/>
    <x v="943"/>
    <x v="5"/>
    <x v="0"/>
    <s v="Home Office"/>
    <x v="1"/>
    <x v="2"/>
    <n v="450.39"/>
    <n v="19.23"/>
  </r>
  <r>
    <n v="2838"/>
    <n v="20453"/>
    <d v="2011-03-10T00:00:00"/>
    <s v="Medium"/>
    <x v="943"/>
    <x v="5"/>
    <x v="0"/>
    <s v="Home Office"/>
    <x v="2"/>
    <x v="4"/>
    <n v="1193.1195"/>
    <n v="85.99"/>
  </r>
  <r>
    <n v="2839"/>
    <n v="20455"/>
    <d v="2010-06-28T00:00:00"/>
    <s v="Critical"/>
    <x v="365"/>
    <x v="17"/>
    <x v="0"/>
    <s v="Corporate"/>
    <x v="2"/>
    <x v="4"/>
    <n v="381.1995"/>
    <n v="65.989999999999995"/>
  </r>
  <r>
    <n v="2840"/>
    <n v="20480"/>
    <d v="2009-01-29T00:00:00"/>
    <s v="Medium"/>
    <x v="944"/>
    <x v="34"/>
    <x v="2"/>
    <s v="Corporate"/>
    <x v="0"/>
    <x v="12"/>
    <n v="16147.61"/>
    <n v="420.98"/>
  </r>
  <r>
    <n v="2841"/>
    <n v="20480"/>
    <d v="2009-01-29T00:00:00"/>
    <s v="Medium"/>
    <x v="161"/>
    <x v="38"/>
    <x v="0"/>
    <s v="Corporate"/>
    <x v="1"/>
    <x v="11"/>
    <n v="1042.6300000000001"/>
    <n v="240.98"/>
  </r>
  <r>
    <n v="2842"/>
    <n v="20482"/>
    <d v="2011-07-18T00:00:00"/>
    <s v="Medium"/>
    <x v="945"/>
    <x v="27"/>
    <x v="3"/>
    <s v="Small Business"/>
    <x v="1"/>
    <x v="11"/>
    <n v="4650.07"/>
    <n v="120.98"/>
  </r>
  <r>
    <n v="2843"/>
    <n v="20482"/>
    <d v="2011-07-18T00:00:00"/>
    <s v="Medium"/>
    <x v="945"/>
    <x v="27"/>
    <x v="3"/>
    <s v="Small Business"/>
    <x v="0"/>
    <x v="9"/>
    <n v="497.52"/>
    <n v="12.28"/>
  </r>
  <r>
    <n v="2844"/>
    <n v="20484"/>
    <d v="2009-01-29T00:00:00"/>
    <s v="Critical"/>
    <x v="839"/>
    <x v="34"/>
    <x v="2"/>
    <s v="Consumer"/>
    <x v="2"/>
    <x v="4"/>
    <n v="1122.6375"/>
    <n v="95.99"/>
  </r>
  <r>
    <n v="2845"/>
    <n v="20486"/>
    <d v="2011-03-05T00:00:00"/>
    <s v="High"/>
    <x v="189"/>
    <x v="26"/>
    <x v="3"/>
    <s v="Corporate"/>
    <x v="0"/>
    <x v="9"/>
    <n v="306.3"/>
    <n v="9.27"/>
  </r>
  <r>
    <n v="2846"/>
    <n v="20486"/>
    <d v="2011-03-05T00:00:00"/>
    <s v="High"/>
    <x v="189"/>
    <x v="26"/>
    <x v="3"/>
    <s v="Corporate"/>
    <x v="0"/>
    <x v="6"/>
    <n v="163.98"/>
    <n v="3.85"/>
  </r>
  <r>
    <n v="2847"/>
    <n v="20513"/>
    <d v="2009-07-07T00:00:00"/>
    <s v="High"/>
    <x v="373"/>
    <x v="1"/>
    <x v="1"/>
    <s v="Corporate"/>
    <x v="0"/>
    <x v="6"/>
    <n v="42.27"/>
    <n v="2.84"/>
  </r>
  <r>
    <n v="2848"/>
    <n v="20517"/>
    <d v="2010-09-15T00:00:00"/>
    <s v="Low"/>
    <x v="380"/>
    <x v="11"/>
    <x v="2"/>
    <s v="Small Business"/>
    <x v="0"/>
    <x v="6"/>
    <n v="116.63"/>
    <n v="2.94"/>
  </r>
  <r>
    <n v="2849"/>
    <n v="20518"/>
    <d v="2009-10-05T00:00:00"/>
    <s v="Critical"/>
    <x v="533"/>
    <x v="12"/>
    <x v="3"/>
    <s v="Corporate"/>
    <x v="2"/>
    <x v="4"/>
    <n v="8252.360999999999"/>
    <n v="200.99"/>
  </r>
  <r>
    <n v="2850"/>
    <n v="20518"/>
    <d v="2009-10-05T00:00:00"/>
    <s v="Critical"/>
    <x v="485"/>
    <x v="12"/>
    <x v="3"/>
    <s v="Corporate"/>
    <x v="2"/>
    <x v="10"/>
    <n v="2205.84"/>
    <n v="297.48"/>
  </r>
  <r>
    <n v="2851"/>
    <n v="20519"/>
    <d v="2009-04-10T00:00:00"/>
    <s v="High"/>
    <x v="317"/>
    <x v="16"/>
    <x v="1"/>
    <s v="Home Office"/>
    <x v="2"/>
    <x v="10"/>
    <n v="124.19"/>
    <n v="15.99"/>
  </r>
  <r>
    <n v="2852"/>
    <n v="20545"/>
    <d v="2010-10-09T00:00:00"/>
    <s v="Not Specified"/>
    <x v="946"/>
    <x v="14"/>
    <x v="0"/>
    <s v="Small Business"/>
    <x v="1"/>
    <x v="15"/>
    <n v="361.94"/>
    <n v="284.98"/>
  </r>
  <r>
    <n v="2853"/>
    <n v="20545"/>
    <d v="2010-10-09T00:00:00"/>
    <s v="Not Specified"/>
    <x v="946"/>
    <x v="14"/>
    <x v="0"/>
    <s v="Small Business"/>
    <x v="0"/>
    <x v="9"/>
    <n v="1276.04"/>
    <n v="40.99"/>
  </r>
  <r>
    <n v="2854"/>
    <n v="20545"/>
    <d v="2010-10-09T00:00:00"/>
    <s v="Not Specified"/>
    <x v="946"/>
    <x v="14"/>
    <x v="0"/>
    <s v="Small Business"/>
    <x v="1"/>
    <x v="3"/>
    <n v="2894.68"/>
    <n v="71.37"/>
  </r>
  <r>
    <n v="2855"/>
    <n v="20549"/>
    <d v="2009-01-12T00:00:00"/>
    <s v="Not Specified"/>
    <x v="591"/>
    <x v="29"/>
    <x v="2"/>
    <s v="Corporate"/>
    <x v="0"/>
    <x v="0"/>
    <n v="1030.0899999999999"/>
    <n v="27.75"/>
  </r>
  <r>
    <n v="2856"/>
    <n v="20577"/>
    <d v="2010-02-09T00:00:00"/>
    <s v="Critical"/>
    <x v="936"/>
    <x v="14"/>
    <x v="0"/>
    <s v="Home Office"/>
    <x v="0"/>
    <x v="12"/>
    <n v="611.67999999999995"/>
    <n v="39.06"/>
  </r>
  <r>
    <n v="2857"/>
    <n v="20579"/>
    <d v="2012-10-01T00:00:00"/>
    <s v="Medium"/>
    <x v="112"/>
    <x v="34"/>
    <x v="2"/>
    <s v="Small Business"/>
    <x v="2"/>
    <x v="4"/>
    <n v="1434.086"/>
    <n v="110.99"/>
  </r>
  <r>
    <n v="2858"/>
    <n v="20614"/>
    <d v="2009-05-18T00:00:00"/>
    <s v="Not Specified"/>
    <x v="733"/>
    <x v="5"/>
    <x v="0"/>
    <s v="Corporate"/>
    <x v="2"/>
    <x v="5"/>
    <n v="3596.36"/>
    <n v="73.98"/>
  </r>
  <r>
    <n v="2859"/>
    <n v="20615"/>
    <d v="2012-04-15T00:00:00"/>
    <s v="Medium"/>
    <x v="947"/>
    <x v="9"/>
    <x v="1"/>
    <s v="Home Office"/>
    <x v="0"/>
    <x v="9"/>
    <n v="151.09"/>
    <n v="4.76"/>
  </r>
  <r>
    <n v="2860"/>
    <n v="20642"/>
    <d v="2012-05-19T00:00:00"/>
    <s v="High"/>
    <x v="392"/>
    <x v="17"/>
    <x v="0"/>
    <s v="Consumer"/>
    <x v="0"/>
    <x v="8"/>
    <n v="135.19999999999999"/>
    <n v="4.13"/>
  </r>
  <r>
    <n v="2861"/>
    <n v="20642"/>
    <d v="2012-05-19T00:00:00"/>
    <s v="High"/>
    <x v="511"/>
    <x v="46"/>
    <x v="1"/>
    <s v="Consumer"/>
    <x v="0"/>
    <x v="0"/>
    <n v="1078.98"/>
    <n v="20.98"/>
  </r>
  <r>
    <n v="2862"/>
    <n v="20646"/>
    <d v="2011-03-30T00:00:00"/>
    <s v="Medium"/>
    <x v="217"/>
    <x v="28"/>
    <x v="1"/>
    <s v="Corporate"/>
    <x v="2"/>
    <x v="4"/>
    <n v="1204.0844999999999"/>
    <n v="35.99"/>
  </r>
  <r>
    <n v="2863"/>
    <n v="20674"/>
    <d v="2010-12-08T00:00:00"/>
    <s v="High"/>
    <x v="316"/>
    <x v="45"/>
    <x v="0"/>
    <s v="Corporate"/>
    <x v="2"/>
    <x v="10"/>
    <n v="17717.34"/>
    <n v="500.97"/>
  </r>
  <r>
    <n v="2864"/>
    <n v="20676"/>
    <d v="2012-11-22T00:00:00"/>
    <s v="Low"/>
    <x v="367"/>
    <x v="22"/>
    <x v="0"/>
    <s v="Corporate"/>
    <x v="0"/>
    <x v="12"/>
    <n v="43.97"/>
    <n v="1.88"/>
  </r>
  <r>
    <n v="2865"/>
    <n v="20679"/>
    <d v="2010-08-14T00:00:00"/>
    <s v="Medium"/>
    <x v="948"/>
    <x v="16"/>
    <x v="1"/>
    <s v="Small Business"/>
    <x v="0"/>
    <x v="0"/>
    <n v="4976.6000000000004"/>
    <n v="161.55000000000001"/>
  </r>
  <r>
    <n v="2866"/>
    <n v="20704"/>
    <d v="2010-02-10T00:00:00"/>
    <s v="Low"/>
    <x v="450"/>
    <x v="44"/>
    <x v="2"/>
    <s v="Home Office"/>
    <x v="0"/>
    <x v="7"/>
    <n v="5.63"/>
    <n v="4.71"/>
  </r>
  <r>
    <n v="2867"/>
    <n v="20704"/>
    <d v="2010-02-10T00:00:00"/>
    <s v="Low"/>
    <x v="949"/>
    <x v="44"/>
    <x v="2"/>
    <s v="Home Office"/>
    <x v="0"/>
    <x v="8"/>
    <n v="16.48"/>
    <n v="3.08"/>
  </r>
  <r>
    <n v="2868"/>
    <n v="20704"/>
    <d v="2010-02-10T00:00:00"/>
    <s v="Low"/>
    <x v="949"/>
    <x v="44"/>
    <x v="2"/>
    <s v="Home Office"/>
    <x v="0"/>
    <x v="0"/>
    <n v="15655.24"/>
    <n v="419.19"/>
  </r>
  <r>
    <n v="2869"/>
    <n v="20706"/>
    <d v="2009-07-12T00:00:00"/>
    <s v="High"/>
    <x v="550"/>
    <x v="16"/>
    <x v="1"/>
    <s v="Home Office"/>
    <x v="1"/>
    <x v="2"/>
    <n v="5583.27"/>
    <n v="136.97999999999999"/>
  </r>
  <r>
    <n v="2870"/>
    <n v="20709"/>
    <d v="2009-08-11T00:00:00"/>
    <s v="High"/>
    <x v="950"/>
    <x v="5"/>
    <x v="0"/>
    <s v="Consumer"/>
    <x v="0"/>
    <x v="8"/>
    <n v="16.600000000000001"/>
    <n v="4.13"/>
  </r>
  <r>
    <n v="2871"/>
    <n v="20709"/>
    <d v="2009-08-11T00:00:00"/>
    <s v="High"/>
    <x v="950"/>
    <x v="5"/>
    <x v="0"/>
    <s v="Consumer"/>
    <x v="0"/>
    <x v="8"/>
    <n v="25.1"/>
    <n v="4.9800000000000004"/>
  </r>
  <r>
    <n v="2872"/>
    <n v="20710"/>
    <d v="2009-11-29T00:00:00"/>
    <s v="High"/>
    <x v="867"/>
    <x v="7"/>
    <x v="3"/>
    <s v="Small Business"/>
    <x v="2"/>
    <x v="5"/>
    <n v="180.7"/>
    <n v="5.98"/>
  </r>
  <r>
    <n v="2873"/>
    <n v="20710"/>
    <d v="2009-11-29T00:00:00"/>
    <s v="High"/>
    <x v="867"/>
    <x v="7"/>
    <x v="3"/>
    <s v="Small Business"/>
    <x v="0"/>
    <x v="8"/>
    <n v="67.400000000000006"/>
    <n v="2.61"/>
  </r>
  <r>
    <n v="2874"/>
    <n v="20711"/>
    <d v="2009-01-19T00:00:00"/>
    <s v="Critical"/>
    <x v="753"/>
    <x v="31"/>
    <x v="3"/>
    <s v="Consumer"/>
    <x v="0"/>
    <x v="9"/>
    <n v="98.66"/>
    <n v="18.97"/>
  </r>
  <r>
    <n v="2875"/>
    <n v="20711"/>
    <d v="2009-01-19T00:00:00"/>
    <s v="Critical"/>
    <x v="389"/>
    <x v="40"/>
    <x v="3"/>
    <s v="Consumer"/>
    <x v="2"/>
    <x v="10"/>
    <n v="2215.96"/>
    <n v="119.99"/>
  </r>
  <r>
    <n v="2876"/>
    <n v="20737"/>
    <d v="2011-12-25T00:00:00"/>
    <s v="Medium"/>
    <x v="583"/>
    <x v="19"/>
    <x v="3"/>
    <s v="Home Office"/>
    <x v="1"/>
    <x v="11"/>
    <n v="1410.93"/>
    <n v="140.97999999999999"/>
  </r>
  <r>
    <n v="2877"/>
    <n v="20737"/>
    <d v="2011-12-25T00:00:00"/>
    <s v="Medium"/>
    <x v="545"/>
    <x v="12"/>
    <x v="3"/>
    <s v="Home Office"/>
    <x v="1"/>
    <x v="3"/>
    <n v="3364.2480000000005"/>
    <n v="286.85000000000002"/>
  </r>
  <r>
    <n v="2878"/>
    <n v="20741"/>
    <d v="2010-10-30T00:00:00"/>
    <s v="Low"/>
    <x v="140"/>
    <x v="25"/>
    <x v="1"/>
    <s v="Corporate"/>
    <x v="0"/>
    <x v="6"/>
    <n v="1711.02"/>
    <n v="43.98"/>
  </r>
  <r>
    <n v="2879"/>
    <n v="20743"/>
    <d v="2011-12-15T00:00:00"/>
    <s v="High"/>
    <x v="171"/>
    <x v="24"/>
    <x v="1"/>
    <s v="Consumer"/>
    <x v="0"/>
    <x v="9"/>
    <n v="231.21"/>
    <n v="5.28"/>
  </r>
  <r>
    <n v="2880"/>
    <n v="20773"/>
    <d v="2009-03-05T00:00:00"/>
    <s v="Not Specified"/>
    <x v="951"/>
    <x v="8"/>
    <x v="2"/>
    <s v="Home Office"/>
    <x v="0"/>
    <x v="12"/>
    <n v="479.96"/>
    <n v="10.91"/>
  </r>
  <r>
    <n v="2881"/>
    <n v="20804"/>
    <d v="2011-11-26T00:00:00"/>
    <s v="Low"/>
    <x v="946"/>
    <x v="14"/>
    <x v="0"/>
    <s v="Small Business"/>
    <x v="2"/>
    <x v="10"/>
    <n v="4393.75"/>
    <n v="442.14"/>
  </r>
  <r>
    <n v="2882"/>
    <n v="20805"/>
    <d v="2011-01-10T00:00:00"/>
    <s v="High"/>
    <x v="639"/>
    <x v="32"/>
    <x v="0"/>
    <s v="Home Office"/>
    <x v="0"/>
    <x v="12"/>
    <n v="69.98"/>
    <n v="5.53"/>
  </r>
  <r>
    <n v="2883"/>
    <n v="20805"/>
    <d v="2011-01-10T00:00:00"/>
    <s v="High"/>
    <x v="639"/>
    <x v="32"/>
    <x v="0"/>
    <s v="Home Office"/>
    <x v="1"/>
    <x v="2"/>
    <n v="418.34"/>
    <n v="12.58"/>
  </r>
  <r>
    <n v="2884"/>
    <n v="20805"/>
    <d v="2011-01-10T00:00:00"/>
    <s v="High"/>
    <x v="639"/>
    <x v="32"/>
    <x v="0"/>
    <s v="Home Office"/>
    <x v="0"/>
    <x v="9"/>
    <n v="17.7"/>
    <n v="4.28"/>
  </r>
  <r>
    <n v="2885"/>
    <n v="20805"/>
    <d v="2011-01-10T00:00:00"/>
    <s v="High"/>
    <x v="639"/>
    <x v="32"/>
    <x v="0"/>
    <s v="Home Office"/>
    <x v="0"/>
    <x v="6"/>
    <n v="45.61"/>
    <n v="3.85"/>
  </r>
  <r>
    <n v="2886"/>
    <n v="20807"/>
    <d v="2012-07-21T00:00:00"/>
    <s v="Not Specified"/>
    <x v="19"/>
    <x v="7"/>
    <x v="3"/>
    <s v="Consumer"/>
    <x v="2"/>
    <x v="4"/>
    <n v="466.94749999999999"/>
    <n v="35.99"/>
  </r>
  <r>
    <n v="2887"/>
    <n v="20807"/>
    <d v="2012-07-21T00:00:00"/>
    <s v="Not Specified"/>
    <x v="189"/>
    <x v="22"/>
    <x v="0"/>
    <s v="Consumer"/>
    <x v="1"/>
    <x v="15"/>
    <n v="6152.52"/>
    <n v="160.97999999999999"/>
  </r>
  <r>
    <n v="2888"/>
    <n v="20832"/>
    <d v="2010-07-30T00:00:00"/>
    <s v="Not Specified"/>
    <x v="555"/>
    <x v="29"/>
    <x v="2"/>
    <s v="Home Office"/>
    <x v="0"/>
    <x v="12"/>
    <n v="88.7"/>
    <n v="1.88"/>
  </r>
  <r>
    <n v="2889"/>
    <n v="20832"/>
    <d v="2010-07-30T00:00:00"/>
    <s v="Not Specified"/>
    <x v="555"/>
    <x v="29"/>
    <x v="2"/>
    <s v="Home Office"/>
    <x v="0"/>
    <x v="6"/>
    <n v="105.89"/>
    <n v="2.84"/>
  </r>
  <r>
    <n v="2890"/>
    <n v="20838"/>
    <d v="2009-04-10T00:00:00"/>
    <s v="Not Specified"/>
    <x v="367"/>
    <x v="22"/>
    <x v="0"/>
    <s v="Consumer"/>
    <x v="0"/>
    <x v="6"/>
    <n v="20.170000000000002"/>
    <n v="3.28"/>
  </r>
  <r>
    <n v="2891"/>
    <n v="20838"/>
    <d v="2009-04-10T00:00:00"/>
    <s v="Not Specified"/>
    <x v="367"/>
    <x v="22"/>
    <x v="0"/>
    <s v="Consumer"/>
    <x v="0"/>
    <x v="1"/>
    <n v="235.98"/>
    <n v="10.98"/>
  </r>
  <r>
    <n v="2892"/>
    <n v="20864"/>
    <d v="2011-12-06T00:00:00"/>
    <s v="High"/>
    <x v="916"/>
    <x v="9"/>
    <x v="1"/>
    <s v="Corporate"/>
    <x v="1"/>
    <x v="2"/>
    <n v="251.45"/>
    <n v="13.4"/>
  </r>
  <r>
    <n v="2893"/>
    <n v="20868"/>
    <d v="2010-10-09T00:00:00"/>
    <s v="Low"/>
    <x v="891"/>
    <x v="9"/>
    <x v="1"/>
    <s v="Home Office"/>
    <x v="0"/>
    <x v="0"/>
    <n v="1609.19"/>
    <n v="178.47"/>
  </r>
  <r>
    <n v="2894"/>
    <n v="20898"/>
    <d v="2011-10-30T00:00:00"/>
    <s v="Medium"/>
    <x v="714"/>
    <x v="16"/>
    <x v="1"/>
    <s v="Consumer"/>
    <x v="2"/>
    <x v="4"/>
    <n v="1756.5929999999998"/>
    <n v="65.989999999999995"/>
  </r>
  <r>
    <n v="2895"/>
    <n v="20899"/>
    <d v="2010-04-12T00:00:00"/>
    <s v="Low"/>
    <x v="13"/>
    <x v="26"/>
    <x v="3"/>
    <s v="Home Office"/>
    <x v="0"/>
    <x v="9"/>
    <n v="495.1"/>
    <n v="54.96"/>
  </r>
  <r>
    <n v="2896"/>
    <n v="20900"/>
    <d v="2010-11-24T00:00:00"/>
    <s v="Low"/>
    <x v="754"/>
    <x v="19"/>
    <x v="3"/>
    <s v="Corporate"/>
    <x v="2"/>
    <x v="4"/>
    <n v="1978.3664999999999"/>
    <n v="45.99"/>
  </r>
  <r>
    <n v="2897"/>
    <n v="20903"/>
    <d v="2009-05-20T00:00:00"/>
    <s v="High"/>
    <x v="952"/>
    <x v="12"/>
    <x v="3"/>
    <s v="Consumer"/>
    <x v="1"/>
    <x v="11"/>
    <n v="442.99"/>
    <n v="100.98"/>
  </r>
  <r>
    <n v="2898"/>
    <n v="20932"/>
    <d v="2012-07-29T00:00:00"/>
    <s v="High"/>
    <x v="953"/>
    <x v="31"/>
    <x v="3"/>
    <s v="Small Business"/>
    <x v="0"/>
    <x v="6"/>
    <n v="123.26"/>
    <n v="3.26"/>
  </r>
  <r>
    <n v="2899"/>
    <n v="20933"/>
    <d v="2012-08-26T00:00:00"/>
    <s v="High"/>
    <x v="673"/>
    <x v="34"/>
    <x v="2"/>
    <s v="Corporate"/>
    <x v="2"/>
    <x v="4"/>
    <n v="2079.4740000000002"/>
    <n v="55.99"/>
  </r>
  <r>
    <n v="2900"/>
    <n v="20934"/>
    <d v="2010-01-20T00:00:00"/>
    <s v="Critical"/>
    <x v="29"/>
    <x v="7"/>
    <x v="3"/>
    <s v="Corporate"/>
    <x v="2"/>
    <x v="10"/>
    <n v="1253.8900000000001"/>
    <n v="264.98"/>
  </r>
  <r>
    <n v="2901"/>
    <n v="20960"/>
    <d v="2011-11-18T00:00:00"/>
    <s v="Low"/>
    <x v="39"/>
    <x v="22"/>
    <x v="0"/>
    <s v="Corporate"/>
    <x v="2"/>
    <x v="5"/>
    <n v="195.96"/>
    <n v="10.97"/>
  </r>
  <r>
    <n v="2902"/>
    <n v="20961"/>
    <d v="2010-01-14T00:00:00"/>
    <s v="Not Specified"/>
    <x v="324"/>
    <x v="22"/>
    <x v="0"/>
    <s v="Corporate"/>
    <x v="2"/>
    <x v="16"/>
    <n v="6607.92"/>
    <n v="199.99"/>
  </r>
  <r>
    <n v="2903"/>
    <n v="20964"/>
    <d v="2012-03-30T00:00:00"/>
    <s v="Critical"/>
    <x v="633"/>
    <x v="36"/>
    <x v="2"/>
    <s v="Consumer"/>
    <x v="2"/>
    <x v="4"/>
    <n v="629.5865"/>
    <n v="65.989999999999995"/>
  </r>
  <r>
    <n v="2904"/>
    <n v="20965"/>
    <d v="2009-12-20T00:00:00"/>
    <s v="Critical"/>
    <x v="595"/>
    <x v="23"/>
    <x v="3"/>
    <s v="Consumer"/>
    <x v="0"/>
    <x v="0"/>
    <n v="2315.11"/>
    <n v="59.76"/>
  </r>
  <r>
    <n v="2905"/>
    <n v="20965"/>
    <d v="2009-12-20T00:00:00"/>
    <s v="Critical"/>
    <x v="595"/>
    <x v="23"/>
    <x v="3"/>
    <s v="Consumer"/>
    <x v="2"/>
    <x v="4"/>
    <n v="1264.2304999999999"/>
    <n v="195.99"/>
  </r>
  <r>
    <n v="2906"/>
    <n v="20966"/>
    <d v="2010-09-18T00:00:00"/>
    <s v="Low"/>
    <x v="693"/>
    <x v="15"/>
    <x v="2"/>
    <s v="Consumer"/>
    <x v="0"/>
    <x v="6"/>
    <n v="39.42"/>
    <n v="3.85"/>
  </r>
  <r>
    <n v="2907"/>
    <n v="20966"/>
    <d v="2010-09-18T00:00:00"/>
    <s v="Low"/>
    <x v="954"/>
    <x v="15"/>
    <x v="2"/>
    <s v="Consumer"/>
    <x v="2"/>
    <x v="5"/>
    <n v="801.44"/>
    <n v="22.24"/>
  </r>
  <r>
    <n v="2908"/>
    <n v="20966"/>
    <d v="2010-09-18T00:00:00"/>
    <s v="Low"/>
    <x v="954"/>
    <x v="15"/>
    <x v="2"/>
    <s v="Consumer"/>
    <x v="1"/>
    <x v="2"/>
    <n v="1194.06"/>
    <n v="54.74"/>
  </r>
  <r>
    <n v="2909"/>
    <n v="20967"/>
    <d v="2011-03-15T00:00:00"/>
    <s v="High"/>
    <x v="658"/>
    <x v="8"/>
    <x v="2"/>
    <s v="Small Business"/>
    <x v="2"/>
    <x v="16"/>
    <n v="28664.52"/>
    <n v="599.99"/>
  </r>
  <r>
    <n v="2910"/>
    <n v="20967"/>
    <d v="2011-03-15T00:00:00"/>
    <s v="High"/>
    <x v="658"/>
    <x v="8"/>
    <x v="2"/>
    <s v="Small Business"/>
    <x v="2"/>
    <x v="4"/>
    <n v="635.7405"/>
    <n v="125.99"/>
  </r>
  <r>
    <n v="2911"/>
    <n v="20995"/>
    <d v="2012-03-27T00:00:00"/>
    <s v="Medium"/>
    <x v="227"/>
    <x v="16"/>
    <x v="1"/>
    <s v="Consumer"/>
    <x v="1"/>
    <x v="11"/>
    <n v="5817.88"/>
    <n v="150.97999999999999"/>
  </r>
  <r>
    <n v="2912"/>
    <n v="21024"/>
    <d v="2010-12-28T00:00:00"/>
    <s v="Medium"/>
    <x v="179"/>
    <x v="20"/>
    <x v="0"/>
    <s v="Corporate"/>
    <x v="0"/>
    <x v="6"/>
    <n v="195.49"/>
    <n v="5.84"/>
  </r>
  <r>
    <n v="2913"/>
    <n v="21025"/>
    <d v="2010-09-11T00:00:00"/>
    <s v="Not Specified"/>
    <x v="716"/>
    <x v="5"/>
    <x v="0"/>
    <s v="Small Business"/>
    <x v="2"/>
    <x v="5"/>
    <n v="553.02"/>
    <n v="15.98"/>
  </r>
  <r>
    <n v="2914"/>
    <n v="21028"/>
    <d v="2012-06-07T00:00:00"/>
    <s v="Critical"/>
    <x v="950"/>
    <x v="5"/>
    <x v="0"/>
    <s v="Consumer"/>
    <x v="0"/>
    <x v="14"/>
    <n v="437.86"/>
    <n v="11.58"/>
  </r>
  <r>
    <n v="2915"/>
    <n v="21057"/>
    <d v="2011-02-03T00:00:00"/>
    <s v="Low"/>
    <x v="955"/>
    <x v="7"/>
    <x v="3"/>
    <s v="Corporate"/>
    <x v="2"/>
    <x v="5"/>
    <n v="1103.67"/>
    <n v="39.479999999999997"/>
  </r>
  <r>
    <n v="2916"/>
    <n v="21063"/>
    <d v="2011-04-15T00:00:00"/>
    <s v="Low"/>
    <x v="954"/>
    <x v="15"/>
    <x v="2"/>
    <s v="Consumer"/>
    <x v="0"/>
    <x v="6"/>
    <n v="377.02"/>
    <n v="7.08"/>
  </r>
  <r>
    <n v="2917"/>
    <n v="21063"/>
    <d v="2011-04-15T00:00:00"/>
    <s v="Low"/>
    <x v="954"/>
    <x v="15"/>
    <x v="2"/>
    <s v="Consumer"/>
    <x v="1"/>
    <x v="3"/>
    <n v="7339.24"/>
    <n v="145.97999999999999"/>
  </r>
  <r>
    <n v="2918"/>
    <n v="21089"/>
    <d v="2011-07-28T00:00:00"/>
    <s v="Medium"/>
    <x v="17"/>
    <x v="26"/>
    <x v="3"/>
    <s v="Corporate"/>
    <x v="1"/>
    <x v="15"/>
    <n v="559.75"/>
    <n v="122.99"/>
  </r>
  <r>
    <n v="2919"/>
    <n v="21091"/>
    <d v="2009-12-12T00:00:00"/>
    <s v="High"/>
    <x v="821"/>
    <x v="38"/>
    <x v="0"/>
    <s v="Corporate"/>
    <x v="0"/>
    <x v="12"/>
    <n v="270.73"/>
    <n v="8.8800000000000008"/>
  </r>
  <r>
    <n v="2920"/>
    <n v="21121"/>
    <d v="2009-09-16T00:00:00"/>
    <s v="Not Specified"/>
    <x v="29"/>
    <x v="36"/>
    <x v="2"/>
    <s v="Corporate"/>
    <x v="0"/>
    <x v="12"/>
    <n v="20175.48"/>
    <n v="387.99"/>
  </r>
  <r>
    <n v="2921"/>
    <n v="21125"/>
    <d v="2011-02-26T00:00:00"/>
    <s v="Not Specified"/>
    <x v="641"/>
    <x v="5"/>
    <x v="0"/>
    <s v="Home Office"/>
    <x v="0"/>
    <x v="9"/>
    <n v="155.16999999999999"/>
    <n v="9.27"/>
  </r>
  <r>
    <n v="2922"/>
    <n v="21155"/>
    <d v="2011-02-05T00:00:00"/>
    <s v="High"/>
    <x v="707"/>
    <x v="34"/>
    <x v="2"/>
    <s v="Consumer"/>
    <x v="0"/>
    <x v="9"/>
    <n v="81.78"/>
    <n v="19.98"/>
  </r>
  <r>
    <n v="2923"/>
    <n v="21159"/>
    <d v="2011-06-07T00:00:00"/>
    <s v="Low"/>
    <x v="956"/>
    <x v="16"/>
    <x v="1"/>
    <s v="Consumer"/>
    <x v="0"/>
    <x v="6"/>
    <n v="20.28"/>
    <n v="2.98"/>
  </r>
  <r>
    <n v="2924"/>
    <n v="21188"/>
    <d v="2011-09-21T00:00:00"/>
    <s v="Critical"/>
    <x v="337"/>
    <x v="6"/>
    <x v="1"/>
    <s v="Small Business"/>
    <x v="2"/>
    <x v="16"/>
    <n v="21046.74"/>
    <n v="699.99"/>
  </r>
  <r>
    <n v="2925"/>
    <n v="21190"/>
    <d v="2009-05-28T00:00:00"/>
    <s v="Medium"/>
    <x v="121"/>
    <x v="7"/>
    <x v="3"/>
    <s v="Small Business"/>
    <x v="0"/>
    <x v="14"/>
    <n v="1062.69"/>
    <n v="35.94"/>
  </r>
  <r>
    <n v="2926"/>
    <n v="21191"/>
    <d v="2012-11-14T00:00:00"/>
    <s v="High"/>
    <x v="865"/>
    <x v="16"/>
    <x v="1"/>
    <s v="Home Office"/>
    <x v="2"/>
    <x v="10"/>
    <n v="7235.83"/>
    <n v="140.99"/>
  </r>
  <r>
    <n v="2927"/>
    <n v="21220"/>
    <d v="2012-12-22T00:00:00"/>
    <s v="Not Specified"/>
    <x v="414"/>
    <x v="18"/>
    <x v="2"/>
    <s v="Home Office"/>
    <x v="2"/>
    <x v="10"/>
    <n v="476.31"/>
    <n v="120.97"/>
  </r>
  <r>
    <n v="2928"/>
    <n v="21222"/>
    <d v="2009-02-03T00:00:00"/>
    <s v="Not Specified"/>
    <x v="295"/>
    <x v="28"/>
    <x v="1"/>
    <s v="Home Office"/>
    <x v="1"/>
    <x v="2"/>
    <n v="181.39"/>
    <n v="5.08"/>
  </r>
  <r>
    <n v="2929"/>
    <n v="21222"/>
    <d v="2009-02-03T00:00:00"/>
    <s v="Not Specified"/>
    <x v="295"/>
    <x v="28"/>
    <x v="1"/>
    <s v="Home Office"/>
    <x v="2"/>
    <x v="4"/>
    <n v="846.08150000000001"/>
    <n v="35.99"/>
  </r>
  <r>
    <n v="2930"/>
    <n v="21223"/>
    <d v="2012-03-15T00:00:00"/>
    <s v="Not Specified"/>
    <x v="675"/>
    <x v="30"/>
    <x v="0"/>
    <s v="Consumer"/>
    <x v="1"/>
    <x v="11"/>
    <n v="317.95"/>
    <n v="100.98"/>
  </r>
  <r>
    <n v="2931"/>
    <n v="21223"/>
    <d v="2012-03-15T00:00:00"/>
    <s v="Not Specified"/>
    <x v="675"/>
    <x v="30"/>
    <x v="0"/>
    <s v="Consumer"/>
    <x v="1"/>
    <x v="2"/>
    <n v="435.29"/>
    <n v="51.65"/>
  </r>
  <r>
    <n v="2932"/>
    <n v="21249"/>
    <d v="2010-09-19T00:00:00"/>
    <s v="Low"/>
    <x v="957"/>
    <x v="23"/>
    <x v="3"/>
    <s v="Small Business"/>
    <x v="0"/>
    <x v="13"/>
    <n v="1082.8"/>
    <n v="48.58"/>
  </r>
  <r>
    <n v="2933"/>
    <n v="21249"/>
    <d v="2010-09-19T00:00:00"/>
    <s v="Low"/>
    <x v="957"/>
    <x v="23"/>
    <x v="3"/>
    <s v="Small Business"/>
    <x v="2"/>
    <x v="4"/>
    <n v="1260.2014999999999"/>
    <n v="205.99"/>
  </r>
  <r>
    <n v="2934"/>
    <n v="21253"/>
    <d v="2012-04-17T00:00:00"/>
    <s v="Medium"/>
    <x v="513"/>
    <x v="1"/>
    <x v="1"/>
    <s v="Small Business"/>
    <x v="0"/>
    <x v="14"/>
    <n v="455.08"/>
    <n v="83.93"/>
  </r>
  <r>
    <n v="2935"/>
    <n v="21285"/>
    <d v="2010-07-03T00:00:00"/>
    <s v="Medium"/>
    <x v="109"/>
    <x v="0"/>
    <x v="0"/>
    <s v="Corporate"/>
    <x v="0"/>
    <x v="6"/>
    <n v="54.78"/>
    <n v="1.68"/>
  </r>
  <r>
    <n v="2936"/>
    <n v="21285"/>
    <d v="2010-07-03T00:00:00"/>
    <s v="Medium"/>
    <x v="109"/>
    <x v="0"/>
    <x v="0"/>
    <s v="Corporate"/>
    <x v="0"/>
    <x v="6"/>
    <n v="304.83"/>
    <n v="7.08"/>
  </r>
  <r>
    <n v="2937"/>
    <n v="21286"/>
    <d v="2009-05-16T00:00:00"/>
    <s v="Critical"/>
    <x v="958"/>
    <x v="16"/>
    <x v="1"/>
    <s v="Small Business"/>
    <x v="0"/>
    <x v="13"/>
    <n v="280.39"/>
    <n v="14.42"/>
  </r>
  <r>
    <n v="2938"/>
    <n v="21314"/>
    <d v="2009-11-02T00:00:00"/>
    <s v="Low"/>
    <x v="473"/>
    <x v="36"/>
    <x v="2"/>
    <s v="Home Office"/>
    <x v="0"/>
    <x v="12"/>
    <n v="56.22"/>
    <n v="8.6"/>
  </r>
  <r>
    <n v="2939"/>
    <n v="21314"/>
    <d v="2009-11-02T00:00:00"/>
    <s v="Low"/>
    <x v="473"/>
    <x v="36"/>
    <x v="2"/>
    <s v="Home Office"/>
    <x v="0"/>
    <x v="7"/>
    <n v="107.96"/>
    <n v="3.58"/>
  </r>
  <r>
    <n v="2940"/>
    <n v="21314"/>
    <d v="2009-11-02T00:00:00"/>
    <s v="Low"/>
    <x v="473"/>
    <x v="36"/>
    <x v="2"/>
    <s v="Home Office"/>
    <x v="1"/>
    <x v="3"/>
    <n v="3169.9920000000002"/>
    <n v="105.49"/>
  </r>
  <r>
    <n v="2941"/>
    <n v="21318"/>
    <d v="2010-07-04T00:00:00"/>
    <s v="High"/>
    <x v="170"/>
    <x v="6"/>
    <x v="1"/>
    <s v="Home Office"/>
    <x v="0"/>
    <x v="12"/>
    <n v="1384.34"/>
    <n v="37.700000000000003"/>
  </r>
  <r>
    <n v="2942"/>
    <n v="21319"/>
    <d v="2010-04-29T00:00:00"/>
    <s v="Medium"/>
    <x v="30"/>
    <x v="13"/>
    <x v="3"/>
    <s v="Consumer"/>
    <x v="0"/>
    <x v="0"/>
    <n v="167.53"/>
    <n v="14.98"/>
  </r>
  <r>
    <n v="2943"/>
    <n v="21319"/>
    <d v="2010-04-29T00:00:00"/>
    <s v="Medium"/>
    <x v="959"/>
    <x v="31"/>
    <x v="3"/>
    <s v="Consumer"/>
    <x v="2"/>
    <x v="16"/>
    <n v="2361.1"/>
    <n v="449.99"/>
  </r>
  <r>
    <n v="2944"/>
    <n v="21319"/>
    <d v="2010-04-29T00:00:00"/>
    <s v="Medium"/>
    <x v="202"/>
    <x v="13"/>
    <x v="3"/>
    <s v="Consumer"/>
    <x v="1"/>
    <x v="2"/>
    <n v="1060.3399999999999"/>
    <n v="23.99"/>
  </r>
  <r>
    <n v="2945"/>
    <n v="21344"/>
    <d v="2012-12-09T00:00:00"/>
    <s v="Low"/>
    <x v="581"/>
    <x v="12"/>
    <x v="3"/>
    <s v="Corporate"/>
    <x v="2"/>
    <x v="5"/>
    <n v="587.20000000000005"/>
    <n v="20.89"/>
  </r>
  <r>
    <n v="2946"/>
    <n v="21344"/>
    <d v="2012-12-09T00:00:00"/>
    <s v="Low"/>
    <x v="960"/>
    <x v="12"/>
    <x v="3"/>
    <s v="Corporate"/>
    <x v="0"/>
    <x v="8"/>
    <n v="110.79"/>
    <n v="2.89"/>
  </r>
  <r>
    <n v="2947"/>
    <n v="21344"/>
    <d v="2012-12-09T00:00:00"/>
    <s v="Low"/>
    <x v="961"/>
    <x v="31"/>
    <x v="3"/>
    <s v="Corporate"/>
    <x v="1"/>
    <x v="2"/>
    <n v="2011.46"/>
    <n v="41.32"/>
  </r>
  <r>
    <n v="2948"/>
    <n v="21346"/>
    <d v="2011-06-07T00:00:00"/>
    <s v="High"/>
    <x v="956"/>
    <x v="16"/>
    <x v="1"/>
    <s v="Consumer"/>
    <x v="0"/>
    <x v="9"/>
    <n v="400.49"/>
    <n v="9.06"/>
  </r>
  <r>
    <n v="2949"/>
    <n v="21350"/>
    <d v="2011-02-24T00:00:00"/>
    <s v="Medium"/>
    <x v="962"/>
    <x v="22"/>
    <x v="0"/>
    <s v="Corporate"/>
    <x v="0"/>
    <x v="9"/>
    <n v="278.94"/>
    <n v="9.06"/>
  </r>
  <r>
    <n v="2950"/>
    <n v="21378"/>
    <d v="2011-08-07T00:00:00"/>
    <s v="Medium"/>
    <x v="963"/>
    <x v="30"/>
    <x v="0"/>
    <s v="Corporate"/>
    <x v="0"/>
    <x v="12"/>
    <n v="937.04"/>
    <n v="28.53"/>
  </r>
  <r>
    <n v="2951"/>
    <n v="21378"/>
    <d v="2011-08-07T00:00:00"/>
    <s v="Medium"/>
    <x v="963"/>
    <x v="30"/>
    <x v="0"/>
    <s v="Corporate"/>
    <x v="2"/>
    <x v="5"/>
    <n v="1616.64"/>
    <n v="99.99"/>
  </r>
  <r>
    <n v="2952"/>
    <n v="21379"/>
    <d v="2011-01-14T00:00:00"/>
    <s v="High"/>
    <x v="964"/>
    <x v="17"/>
    <x v="0"/>
    <s v="Corporate"/>
    <x v="1"/>
    <x v="15"/>
    <n v="5428.49"/>
    <n v="150.88999999999999"/>
  </r>
  <r>
    <n v="2953"/>
    <n v="21382"/>
    <d v="2012-01-12T00:00:00"/>
    <s v="Critical"/>
    <x v="607"/>
    <x v="37"/>
    <x v="2"/>
    <s v="Corporate"/>
    <x v="1"/>
    <x v="15"/>
    <n v="6435.87"/>
    <n v="300.98"/>
  </r>
  <r>
    <n v="2954"/>
    <n v="21382"/>
    <d v="2012-01-12T00:00:00"/>
    <s v="Critical"/>
    <x v="607"/>
    <x v="37"/>
    <x v="2"/>
    <s v="Corporate"/>
    <x v="2"/>
    <x v="5"/>
    <n v="312.02999999999997"/>
    <n v="29.99"/>
  </r>
  <r>
    <n v="2955"/>
    <n v="21382"/>
    <d v="2012-01-12T00:00:00"/>
    <s v="Critical"/>
    <x v="301"/>
    <x v="5"/>
    <x v="0"/>
    <s v="Corporate"/>
    <x v="0"/>
    <x v="9"/>
    <n v="145.93"/>
    <n v="4.9800000000000004"/>
  </r>
  <r>
    <n v="2956"/>
    <n v="21383"/>
    <d v="2009-01-30T00:00:00"/>
    <s v="Low"/>
    <x v="965"/>
    <x v="0"/>
    <x v="0"/>
    <s v="Consumer"/>
    <x v="2"/>
    <x v="10"/>
    <n v="16066.85"/>
    <n v="574.74"/>
  </r>
  <r>
    <n v="2957"/>
    <n v="21410"/>
    <d v="2012-05-01T00:00:00"/>
    <s v="Critical"/>
    <x v="476"/>
    <x v="47"/>
    <x v="1"/>
    <s v="Corporate"/>
    <x v="0"/>
    <x v="13"/>
    <n v="2101.59"/>
    <n v="123.38"/>
  </r>
  <r>
    <n v="2958"/>
    <n v="21412"/>
    <d v="2011-07-13T00:00:00"/>
    <s v="Not Specified"/>
    <x v="890"/>
    <x v="15"/>
    <x v="2"/>
    <s v="Home Office"/>
    <x v="0"/>
    <x v="12"/>
    <n v="137.07"/>
    <n v="3.52"/>
  </r>
  <r>
    <n v="2959"/>
    <n v="21412"/>
    <d v="2011-07-13T00:00:00"/>
    <s v="Not Specified"/>
    <x v="890"/>
    <x v="15"/>
    <x v="2"/>
    <s v="Home Office"/>
    <x v="0"/>
    <x v="9"/>
    <n v="203.99"/>
    <n v="7.28"/>
  </r>
  <r>
    <n v="2960"/>
    <n v="21414"/>
    <d v="2011-05-04T00:00:00"/>
    <s v="Critical"/>
    <x v="966"/>
    <x v="14"/>
    <x v="0"/>
    <s v="Consumer"/>
    <x v="0"/>
    <x v="9"/>
    <n v="117.91"/>
    <n v="3.38"/>
  </r>
  <r>
    <n v="2961"/>
    <n v="21414"/>
    <d v="2011-05-04T00:00:00"/>
    <s v="Critical"/>
    <x v="966"/>
    <x v="14"/>
    <x v="0"/>
    <s v="Consumer"/>
    <x v="0"/>
    <x v="0"/>
    <n v="3644.6"/>
    <n v="80.98"/>
  </r>
  <r>
    <n v="2962"/>
    <n v="21414"/>
    <d v="2011-05-04T00:00:00"/>
    <s v="Critical"/>
    <x v="966"/>
    <x v="14"/>
    <x v="0"/>
    <s v="Consumer"/>
    <x v="2"/>
    <x v="4"/>
    <n v="3491.6129999999998"/>
    <n v="125.99"/>
  </r>
  <r>
    <n v="2963"/>
    <n v="21414"/>
    <d v="2011-05-04T00:00:00"/>
    <s v="Critical"/>
    <x v="782"/>
    <x v="27"/>
    <x v="3"/>
    <s v="Consumer"/>
    <x v="0"/>
    <x v="1"/>
    <n v="103.6"/>
    <n v="2.52"/>
  </r>
  <r>
    <n v="2964"/>
    <n v="21442"/>
    <d v="2009-12-25T00:00:00"/>
    <s v="Low"/>
    <x v="395"/>
    <x v="15"/>
    <x v="2"/>
    <s v="Consumer"/>
    <x v="1"/>
    <x v="11"/>
    <n v="2962.96"/>
    <n v="58.14"/>
  </r>
  <r>
    <n v="2965"/>
    <n v="21442"/>
    <d v="2009-12-25T00:00:00"/>
    <s v="Low"/>
    <x v="395"/>
    <x v="15"/>
    <x v="2"/>
    <s v="Consumer"/>
    <x v="0"/>
    <x v="14"/>
    <n v="782.93"/>
    <n v="15.57"/>
  </r>
  <r>
    <n v="2966"/>
    <n v="21444"/>
    <d v="2011-04-15T00:00:00"/>
    <s v="Medium"/>
    <x v="519"/>
    <x v="15"/>
    <x v="2"/>
    <s v="Corporate"/>
    <x v="0"/>
    <x v="6"/>
    <n v="34.159999999999997"/>
    <n v="2.1"/>
  </r>
  <r>
    <n v="2967"/>
    <n v="21445"/>
    <d v="2009-11-17T00:00:00"/>
    <s v="Low"/>
    <x v="863"/>
    <x v="27"/>
    <x v="3"/>
    <s v="Small Business"/>
    <x v="0"/>
    <x v="13"/>
    <n v="75.150000000000006"/>
    <n v="4.0599999999999996"/>
  </r>
  <r>
    <n v="2968"/>
    <n v="21445"/>
    <d v="2009-11-17T00:00:00"/>
    <s v="Low"/>
    <x v="863"/>
    <x v="27"/>
    <x v="3"/>
    <s v="Small Business"/>
    <x v="2"/>
    <x v="10"/>
    <n v="400.45"/>
    <n v="9.49"/>
  </r>
  <r>
    <n v="2969"/>
    <n v="21447"/>
    <d v="2010-06-03T00:00:00"/>
    <s v="Not Specified"/>
    <x v="967"/>
    <x v="14"/>
    <x v="0"/>
    <s v="Home Office"/>
    <x v="0"/>
    <x v="1"/>
    <n v="176.24"/>
    <n v="10.98"/>
  </r>
  <r>
    <n v="2970"/>
    <n v="21475"/>
    <d v="2011-02-20T00:00:00"/>
    <s v="Critical"/>
    <x v="796"/>
    <x v="16"/>
    <x v="1"/>
    <s v="Consumer"/>
    <x v="2"/>
    <x v="5"/>
    <n v="538.14"/>
    <n v="14.48"/>
  </r>
  <r>
    <n v="2971"/>
    <n v="21475"/>
    <d v="2011-02-20T00:00:00"/>
    <s v="Critical"/>
    <x v="796"/>
    <x v="16"/>
    <x v="1"/>
    <s v="Consumer"/>
    <x v="1"/>
    <x v="3"/>
    <n v="4956.7839999999997"/>
    <n v="417.4"/>
  </r>
  <r>
    <n v="2972"/>
    <n v="21477"/>
    <d v="2011-05-21T00:00:00"/>
    <s v="Low"/>
    <x v="720"/>
    <x v="44"/>
    <x v="2"/>
    <s v="Home Office"/>
    <x v="0"/>
    <x v="12"/>
    <n v="189.73"/>
    <n v="24.95"/>
  </r>
  <r>
    <n v="2973"/>
    <n v="21477"/>
    <d v="2011-05-21T00:00:00"/>
    <s v="Low"/>
    <x v="968"/>
    <x v="44"/>
    <x v="2"/>
    <s v="Home Office"/>
    <x v="0"/>
    <x v="9"/>
    <n v="278.8"/>
    <n v="6.88"/>
  </r>
  <r>
    <n v="2974"/>
    <n v="21478"/>
    <d v="2012-03-02T00:00:00"/>
    <s v="Low"/>
    <x v="688"/>
    <x v="8"/>
    <x v="2"/>
    <s v="Home Office"/>
    <x v="1"/>
    <x v="2"/>
    <n v="423.07"/>
    <n v="25.38"/>
  </r>
  <r>
    <n v="2975"/>
    <n v="21478"/>
    <d v="2012-03-02T00:00:00"/>
    <s v="Low"/>
    <x v="688"/>
    <x v="8"/>
    <x v="2"/>
    <s v="Home Office"/>
    <x v="0"/>
    <x v="9"/>
    <n v="1602.21"/>
    <n v="48.04"/>
  </r>
  <r>
    <n v="2976"/>
    <n v="21479"/>
    <d v="2009-08-28T00:00:00"/>
    <s v="Medium"/>
    <x v="936"/>
    <x v="14"/>
    <x v="0"/>
    <s v="Home Office"/>
    <x v="0"/>
    <x v="9"/>
    <n v="291.16000000000003"/>
    <n v="6.48"/>
  </r>
  <r>
    <n v="2977"/>
    <n v="21505"/>
    <d v="2012-12-03T00:00:00"/>
    <s v="Low"/>
    <x v="737"/>
    <x v="7"/>
    <x v="3"/>
    <s v="Home Office"/>
    <x v="1"/>
    <x v="15"/>
    <n v="912.35"/>
    <n v="284.98"/>
  </r>
  <r>
    <n v="2978"/>
    <n v="21509"/>
    <d v="2012-07-03T00:00:00"/>
    <s v="High"/>
    <x v="933"/>
    <x v="20"/>
    <x v="0"/>
    <s v="Consumer"/>
    <x v="0"/>
    <x v="8"/>
    <n v="47.93"/>
    <n v="3.69"/>
  </r>
  <r>
    <n v="2979"/>
    <n v="21510"/>
    <d v="2012-05-08T00:00:00"/>
    <s v="High"/>
    <x v="915"/>
    <x v="4"/>
    <x v="1"/>
    <s v="Corporate"/>
    <x v="2"/>
    <x v="5"/>
    <n v="372.09"/>
    <n v="22.24"/>
  </r>
  <r>
    <n v="2980"/>
    <n v="21538"/>
    <d v="2009-07-27T00:00:00"/>
    <s v="Medium"/>
    <x v="969"/>
    <x v="31"/>
    <x v="3"/>
    <s v="Small Business"/>
    <x v="0"/>
    <x v="6"/>
    <n v="87.32"/>
    <n v="2.94"/>
  </r>
  <r>
    <n v="2981"/>
    <n v="21539"/>
    <d v="2010-07-09T00:00:00"/>
    <s v="Medium"/>
    <x v="375"/>
    <x v="16"/>
    <x v="1"/>
    <s v="Consumer"/>
    <x v="0"/>
    <x v="9"/>
    <n v="388.13"/>
    <n v="21.98"/>
  </r>
  <r>
    <n v="2982"/>
    <n v="21539"/>
    <d v="2010-07-09T00:00:00"/>
    <s v="Medium"/>
    <x v="375"/>
    <x v="16"/>
    <x v="1"/>
    <s v="Consumer"/>
    <x v="1"/>
    <x v="3"/>
    <n v="2339.84"/>
    <n v="71.37"/>
  </r>
  <r>
    <n v="2983"/>
    <n v="21541"/>
    <d v="2009-10-08T00:00:00"/>
    <s v="Not Specified"/>
    <x v="852"/>
    <x v="9"/>
    <x v="1"/>
    <s v="Corporate"/>
    <x v="1"/>
    <x v="11"/>
    <n v="3044.7"/>
    <n v="70.98"/>
  </r>
  <r>
    <n v="2984"/>
    <n v="21542"/>
    <d v="2011-05-21T00:00:00"/>
    <s v="High"/>
    <x v="370"/>
    <x v="30"/>
    <x v="0"/>
    <s v="Corporate"/>
    <x v="0"/>
    <x v="6"/>
    <n v="404.3"/>
    <n v="21.38"/>
  </r>
  <r>
    <n v="2985"/>
    <n v="21542"/>
    <d v="2011-05-21T00:00:00"/>
    <s v="High"/>
    <x v="370"/>
    <x v="30"/>
    <x v="0"/>
    <s v="Corporate"/>
    <x v="1"/>
    <x v="3"/>
    <n v="11674.968000000001"/>
    <n v="348.21"/>
  </r>
  <r>
    <n v="2986"/>
    <n v="21572"/>
    <d v="2009-02-13T00:00:00"/>
    <s v="Critical"/>
    <x v="851"/>
    <x v="22"/>
    <x v="0"/>
    <s v="Home Office"/>
    <x v="1"/>
    <x v="2"/>
    <n v="8549.0400000000009"/>
    <n v="194.3"/>
  </r>
  <r>
    <n v="2987"/>
    <n v="21573"/>
    <d v="2012-04-25T00:00:00"/>
    <s v="Critical"/>
    <x v="531"/>
    <x v="27"/>
    <x v="3"/>
    <s v="Corporate"/>
    <x v="0"/>
    <x v="8"/>
    <n v="96.23"/>
    <n v="3.08"/>
  </r>
  <r>
    <n v="2988"/>
    <n v="21573"/>
    <d v="2012-04-25T00:00:00"/>
    <s v="Critical"/>
    <x v="531"/>
    <x v="27"/>
    <x v="3"/>
    <s v="Corporate"/>
    <x v="1"/>
    <x v="2"/>
    <n v="70.08"/>
    <n v="9.48"/>
  </r>
  <r>
    <n v="2989"/>
    <n v="21573"/>
    <d v="2012-04-25T00:00:00"/>
    <s v="Critical"/>
    <x v="531"/>
    <x v="27"/>
    <x v="3"/>
    <s v="Corporate"/>
    <x v="1"/>
    <x v="3"/>
    <n v="234.768"/>
    <n v="70.89"/>
  </r>
  <r>
    <n v="2990"/>
    <n v="21574"/>
    <d v="2010-01-15T00:00:00"/>
    <s v="Critical"/>
    <x v="232"/>
    <x v="31"/>
    <x v="3"/>
    <s v="Small Business"/>
    <x v="2"/>
    <x v="5"/>
    <n v="77.55"/>
    <n v="2.12"/>
  </r>
  <r>
    <n v="2991"/>
    <n v="21600"/>
    <d v="2010-04-04T00:00:00"/>
    <s v="Low"/>
    <x v="446"/>
    <x v="18"/>
    <x v="2"/>
    <s v="Home Office"/>
    <x v="0"/>
    <x v="9"/>
    <n v="169.48"/>
    <n v="10.14"/>
  </r>
  <r>
    <n v="2992"/>
    <n v="21601"/>
    <d v="2011-04-06T00:00:00"/>
    <s v="Low"/>
    <x v="433"/>
    <x v="10"/>
    <x v="0"/>
    <s v="Consumer"/>
    <x v="0"/>
    <x v="0"/>
    <n v="2227.34"/>
    <n v="113.64"/>
  </r>
  <r>
    <n v="2993"/>
    <n v="21602"/>
    <d v="2009-07-01T00:00:00"/>
    <s v="Critical"/>
    <x v="640"/>
    <x v="44"/>
    <x v="2"/>
    <s v="Small Business"/>
    <x v="1"/>
    <x v="3"/>
    <n v="2170.61"/>
    <n v="348.21"/>
  </r>
  <r>
    <n v="2994"/>
    <n v="21604"/>
    <d v="2012-04-01T00:00:00"/>
    <s v="Medium"/>
    <x v="943"/>
    <x v="5"/>
    <x v="0"/>
    <s v="Home Office"/>
    <x v="0"/>
    <x v="12"/>
    <n v="2478.88"/>
    <n v="387.99"/>
  </r>
  <r>
    <n v="2995"/>
    <n v="21605"/>
    <d v="2012-04-08T00:00:00"/>
    <s v="High"/>
    <x v="725"/>
    <x v="11"/>
    <x v="2"/>
    <s v="Small Business"/>
    <x v="1"/>
    <x v="15"/>
    <n v="1932.97"/>
    <n v="60.98"/>
  </r>
  <r>
    <n v="2996"/>
    <n v="21605"/>
    <d v="2012-04-08T00:00:00"/>
    <s v="High"/>
    <x v="371"/>
    <x v="11"/>
    <x v="2"/>
    <s v="Small Business"/>
    <x v="1"/>
    <x v="2"/>
    <n v="476.49"/>
    <n v="10.64"/>
  </r>
  <r>
    <n v="2997"/>
    <n v="21606"/>
    <d v="2011-01-22T00:00:00"/>
    <s v="Not Specified"/>
    <x v="145"/>
    <x v="40"/>
    <x v="3"/>
    <s v="Small Business"/>
    <x v="2"/>
    <x v="5"/>
    <n v="1374.7"/>
    <n v="32.979999999999997"/>
  </r>
  <r>
    <n v="2998"/>
    <n v="21606"/>
    <d v="2011-01-22T00:00:00"/>
    <s v="Not Specified"/>
    <x v="717"/>
    <x v="12"/>
    <x v="3"/>
    <s v="Small Business"/>
    <x v="2"/>
    <x v="5"/>
    <n v="516.62"/>
    <n v="17.48"/>
  </r>
  <r>
    <n v="2999"/>
    <n v="21607"/>
    <d v="2012-03-15T00:00:00"/>
    <s v="Not Specified"/>
    <x v="970"/>
    <x v="0"/>
    <x v="0"/>
    <s v="Home Office"/>
    <x v="0"/>
    <x v="6"/>
    <n v="618.9"/>
    <n v="36.549999999999997"/>
  </r>
  <r>
    <n v="3000"/>
    <n v="21633"/>
    <d v="2009-03-27T00:00:00"/>
    <s v="Medium"/>
    <x v="688"/>
    <x v="8"/>
    <x v="2"/>
    <s v="Home Office"/>
    <x v="1"/>
    <x v="2"/>
    <n v="547.82000000000005"/>
    <n v="18.7"/>
  </r>
  <r>
    <n v="3001"/>
    <n v="21634"/>
    <d v="2012-10-28T00:00:00"/>
    <s v="Not Specified"/>
    <x v="971"/>
    <x v="26"/>
    <x v="3"/>
    <s v="Home Office"/>
    <x v="0"/>
    <x v="13"/>
    <n v="1611.73"/>
    <n v="208.16"/>
  </r>
  <r>
    <n v="3002"/>
    <n v="21634"/>
    <d v="2012-10-28T00:00:00"/>
    <s v="Not Specified"/>
    <x v="971"/>
    <x v="26"/>
    <x v="3"/>
    <s v="Home Office"/>
    <x v="2"/>
    <x v="10"/>
    <n v="1946.55"/>
    <n v="1938.02"/>
  </r>
  <r>
    <n v="3003"/>
    <n v="21635"/>
    <d v="2009-12-02T00:00:00"/>
    <s v="Low"/>
    <x v="254"/>
    <x v="21"/>
    <x v="2"/>
    <s v="Consumer"/>
    <x v="0"/>
    <x v="12"/>
    <n v="65.31"/>
    <n v="24.92"/>
  </r>
  <r>
    <n v="3004"/>
    <n v="21636"/>
    <d v="2009-08-10T00:00:00"/>
    <s v="Low"/>
    <x v="972"/>
    <x v="27"/>
    <x v="3"/>
    <s v="Home Office"/>
    <x v="0"/>
    <x v="12"/>
    <n v="376.65"/>
    <n v="22.38"/>
  </r>
  <r>
    <n v="3005"/>
    <n v="21636"/>
    <d v="2009-08-10T00:00:00"/>
    <s v="Low"/>
    <x v="972"/>
    <x v="27"/>
    <x v="3"/>
    <s v="Home Office"/>
    <x v="0"/>
    <x v="0"/>
    <n v="40.06"/>
    <n v="5.98"/>
  </r>
  <r>
    <n v="3006"/>
    <n v="21636"/>
    <d v="2009-08-10T00:00:00"/>
    <s v="Low"/>
    <x v="838"/>
    <x v="0"/>
    <x v="0"/>
    <s v="Home Office"/>
    <x v="2"/>
    <x v="4"/>
    <n v="1665.0394999999999"/>
    <n v="55.99"/>
  </r>
  <r>
    <n v="3007"/>
    <n v="21638"/>
    <d v="2012-04-16T00:00:00"/>
    <s v="High"/>
    <x v="571"/>
    <x v="37"/>
    <x v="2"/>
    <s v="Small Business"/>
    <x v="0"/>
    <x v="9"/>
    <n v="418.93"/>
    <n v="30.98"/>
  </r>
  <r>
    <n v="3008"/>
    <n v="21639"/>
    <d v="2011-02-02T00:00:00"/>
    <s v="Not Specified"/>
    <x v="973"/>
    <x v="16"/>
    <x v="1"/>
    <s v="Home Office"/>
    <x v="0"/>
    <x v="12"/>
    <n v="145.15"/>
    <n v="5.94"/>
  </r>
  <r>
    <n v="3009"/>
    <n v="21639"/>
    <d v="2011-02-02T00:00:00"/>
    <s v="Not Specified"/>
    <x v="973"/>
    <x v="16"/>
    <x v="1"/>
    <s v="Home Office"/>
    <x v="1"/>
    <x v="2"/>
    <n v="131.5"/>
    <n v="39.979999999999997"/>
  </r>
  <r>
    <n v="3010"/>
    <n v="21639"/>
    <d v="2011-02-02T00:00:00"/>
    <s v="Not Specified"/>
    <x v="973"/>
    <x v="16"/>
    <x v="1"/>
    <s v="Home Office"/>
    <x v="1"/>
    <x v="2"/>
    <n v="7814.59"/>
    <n v="194.3"/>
  </r>
  <r>
    <n v="3011"/>
    <n v="21639"/>
    <d v="2011-02-02T00:00:00"/>
    <s v="Not Specified"/>
    <x v="973"/>
    <x v="16"/>
    <x v="1"/>
    <s v="Home Office"/>
    <x v="0"/>
    <x v="0"/>
    <n v="158.99"/>
    <n v="6.98"/>
  </r>
  <r>
    <n v="3012"/>
    <n v="21665"/>
    <d v="2012-10-15T00:00:00"/>
    <s v="High"/>
    <x v="13"/>
    <x v="26"/>
    <x v="3"/>
    <s v="Home Office"/>
    <x v="2"/>
    <x v="4"/>
    <n v="474.79300000000001"/>
    <n v="115.99"/>
  </r>
  <r>
    <n v="3013"/>
    <n v="21670"/>
    <d v="2011-01-11T00:00:00"/>
    <s v="High"/>
    <x v="433"/>
    <x v="10"/>
    <x v="0"/>
    <s v="Home Office"/>
    <x v="1"/>
    <x v="2"/>
    <n v="1965.21"/>
    <n v="78.69"/>
  </r>
  <r>
    <n v="3014"/>
    <n v="21671"/>
    <d v="2010-06-15T00:00:00"/>
    <s v="High"/>
    <x v="570"/>
    <x v="22"/>
    <x v="0"/>
    <s v="Consumer"/>
    <x v="2"/>
    <x v="5"/>
    <n v="670.94"/>
    <n v="45.19"/>
  </r>
  <r>
    <n v="3015"/>
    <n v="21696"/>
    <d v="2010-10-21T00:00:00"/>
    <s v="Medium"/>
    <x v="907"/>
    <x v="8"/>
    <x v="2"/>
    <s v="Consumer"/>
    <x v="0"/>
    <x v="12"/>
    <n v="278.27"/>
    <n v="19.350000000000001"/>
  </r>
  <r>
    <n v="3016"/>
    <n v="21702"/>
    <d v="2010-12-17T00:00:00"/>
    <s v="Not Specified"/>
    <x v="459"/>
    <x v="36"/>
    <x v="2"/>
    <s v="Home Office"/>
    <x v="1"/>
    <x v="15"/>
    <n v="5232.83"/>
    <n v="122.99"/>
  </r>
  <r>
    <n v="3017"/>
    <n v="21703"/>
    <d v="2009-03-02T00:00:00"/>
    <s v="Not Specified"/>
    <x v="673"/>
    <x v="34"/>
    <x v="2"/>
    <s v="Small Business"/>
    <x v="0"/>
    <x v="8"/>
    <n v="12.01"/>
    <n v="3.69"/>
  </r>
  <r>
    <n v="3018"/>
    <n v="21703"/>
    <d v="2009-03-02T00:00:00"/>
    <s v="Not Specified"/>
    <x v="673"/>
    <x v="34"/>
    <x v="2"/>
    <s v="Small Business"/>
    <x v="1"/>
    <x v="2"/>
    <n v="1846.76"/>
    <n v="92.23"/>
  </r>
  <r>
    <n v="3019"/>
    <n v="21703"/>
    <d v="2009-03-02T00:00:00"/>
    <s v="Not Specified"/>
    <x v="673"/>
    <x v="34"/>
    <x v="2"/>
    <s v="Small Business"/>
    <x v="2"/>
    <x v="4"/>
    <n v="2211.7339999999999"/>
    <n v="175.99"/>
  </r>
  <r>
    <n v="3020"/>
    <n v="21729"/>
    <d v="2012-12-06T00:00:00"/>
    <s v="Low"/>
    <x v="734"/>
    <x v="26"/>
    <x v="3"/>
    <s v="Corporate"/>
    <x v="0"/>
    <x v="12"/>
    <n v="120.98"/>
    <n v="4.13"/>
  </r>
  <r>
    <n v="3021"/>
    <n v="21729"/>
    <d v="2012-12-06T00:00:00"/>
    <s v="Low"/>
    <x v="734"/>
    <x v="26"/>
    <x v="3"/>
    <s v="Corporate"/>
    <x v="1"/>
    <x v="2"/>
    <n v="1082.6600000000001"/>
    <n v="79.52"/>
  </r>
  <r>
    <n v="3022"/>
    <n v="21731"/>
    <d v="2011-11-26T00:00:00"/>
    <s v="Low"/>
    <x v="944"/>
    <x v="34"/>
    <x v="2"/>
    <s v="Corporate"/>
    <x v="0"/>
    <x v="13"/>
    <n v="1580.57"/>
    <n v="60.98"/>
  </r>
  <r>
    <n v="3023"/>
    <n v="21735"/>
    <d v="2010-03-09T00:00:00"/>
    <s v="Not Specified"/>
    <x v="2"/>
    <x v="1"/>
    <x v="1"/>
    <s v="Corporate"/>
    <x v="1"/>
    <x v="2"/>
    <n v="239.49"/>
    <n v="9.98"/>
  </r>
  <r>
    <n v="3024"/>
    <n v="21735"/>
    <d v="2010-03-09T00:00:00"/>
    <s v="Not Specified"/>
    <x v="2"/>
    <x v="1"/>
    <x v="1"/>
    <s v="Corporate"/>
    <x v="2"/>
    <x v="4"/>
    <n v="1819.1529999999998"/>
    <n v="155.99"/>
  </r>
  <r>
    <n v="3025"/>
    <n v="21760"/>
    <d v="2011-01-30T00:00:00"/>
    <s v="Not Specified"/>
    <x v="104"/>
    <x v="16"/>
    <x v="1"/>
    <s v="Home Office"/>
    <x v="1"/>
    <x v="2"/>
    <n v="71.2"/>
    <n v="7.38"/>
  </r>
  <r>
    <n v="3026"/>
    <n v="21763"/>
    <d v="2012-05-28T00:00:00"/>
    <s v="Low"/>
    <x v="974"/>
    <x v="4"/>
    <x v="1"/>
    <s v="Small Business"/>
    <x v="2"/>
    <x v="4"/>
    <n v="1239.4445000000001"/>
    <n v="65.989999999999995"/>
  </r>
  <r>
    <n v="3027"/>
    <n v="21766"/>
    <d v="2009-06-01T00:00:00"/>
    <s v="High"/>
    <x v="975"/>
    <x v="17"/>
    <x v="0"/>
    <s v="Consumer"/>
    <x v="1"/>
    <x v="15"/>
    <n v="5178.17"/>
    <n v="120.98"/>
  </r>
  <r>
    <n v="3028"/>
    <n v="21766"/>
    <d v="2009-06-01T00:00:00"/>
    <s v="High"/>
    <x v="975"/>
    <x v="17"/>
    <x v="0"/>
    <s v="Consumer"/>
    <x v="1"/>
    <x v="2"/>
    <n v="535.24"/>
    <n v="15.68"/>
  </r>
  <r>
    <n v="3029"/>
    <n v="21792"/>
    <d v="2012-09-25T00:00:00"/>
    <s v="Not Specified"/>
    <x v="132"/>
    <x v="6"/>
    <x v="1"/>
    <s v="Consumer"/>
    <x v="0"/>
    <x v="12"/>
    <n v="362.76"/>
    <n v="14.48"/>
  </r>
  <r>
    <n v="3030"/>
    <n v="21795"/>
    <d v="2010-06-13T00:00:00"/>
    <s v="Not Specified"/>
    <x v="578"/>
    <x v="27"/>
    <x v="3"/>
    <s v="Small Business"/>
    <x v="2"/>
    <x v="5"/>
    <n v="278.66000000000003"/>
    <n v="27.48"/>
  </r>
  <r>
    <n v="3031"/>
    <n v="21795"/>
    <d v="2010-06-13T00:00:00"/>
    <s v="Not Specified"/>
    <x v="578"/>
    <x v="27"/>
    <x v="3"/>
    <s v="Small Business"/>
    <x v="0"/>
    <x v="9"/>
    <n v="491.85"/>
    <n v="18.97"/>
  </r>
  <r>
    <n v="3032"/>
    <n v="21796"/>
    <d v="2012-05-06T00:00:00"/>
    <s v="Low"/>
    <x v="17"/>
    <x v="26"/>
    <x v="3"/>
    <s v="Home Office"/>
    <x v="2"/>
    <x v="5"/>
    <n v="4744.6400000000003"/>
    <n v="99.99"/>
  </r>
  <r>
    <n v="3033"/>
    <n v="21796"/>
    <d v="2012-05-06T00:00:00"/>
    <s v="Low"/>
    <x v="17"/>
    <x v="26"/>
    <x v="3"/>
    <s v="Home Office"/>
    <x v="2"/>
    <x v="4"/>
    <n v="40.825499999999998"/>
    <n v="20.99"/>
  </r>
  <r>
    <n v="3034"/>
    <n v="21796"/>
    <d v="2012-05-06T00:00:00"/>
    <s v="Low"/>
    <x v="976"/>
    <x v="26"/>
    <x v="3"/>
    <s v="Home Office"/>
    <x v="0"/>
    <x v="14"/>
    <n v="607.13"/>
    <n v="15.67"/>
  </r>
  <r>
    <n v="3035"/>
    <n v="21796"/>
    <d v="2012-05-06T00:00:00"/>
    <s v="Low"/>
    <x v="976"/>
    <x v="26"/>
    <x v="3"/>
    <s v="Home Office"/>
    <x v="0"/>
    <x v="7"/>
    <n v="34.22"/>
    <n v="1.1399999999999999"/>
  </r>
  <r>
    <n v="3036"/>
    <n v="21799"/>
    <d v="2011-04-19T00:00:00"/>
    <s v="Not Specified"/>
    <x v="319"/>
    <x v="34"/>
    <x v="2"/>
    <s v="Corporate"/>
    <x v="0"/>
    <x v="6"/>
    <n v="115.99"/>
    <n v="2.6"/>
  </r>
  <r>
    <n v="3037"/>
    <n v="21824"/>
    <d v="2011-02-07T00:00:00"/>
    <s v="Low"/>
    <x v="724"/>
    <x v="5"/>
    <x v="0"/>
    <s v="Home Office"/>
    <x v="1"/>
    <x v="2"/>
    <n v="3351.55"/>
    <n v="90.98"/>
  </r>
  <r>
    <n v="3038"/>
    <n v="21827"/>
    <d v="2012-11-09T00:00:00"/>
    <s v="Not Specified"/>
    <x v="889"/>
    <x v="16"/>
    <x v="1"/>
    <s v="Corporate"/>
    <x v="0"/>
    <x v="13"/>
    <n v="1351.78"/>
    <n v="56.96"/>
  </r>
  <r>
    <n v="3039"/>
    <n v="21827"/>
    <d v="2012-11-09T00:00:00"/>
    <s v="Not Specified"/>
    <x v="889"/>
    <x v="16"/>
    <x v="1"/>
    <s v="Corporate"/>
    <x v="2"/>
    <x v="5"/>
    <n v="1560.96"/>
    <n v="73.98"/>
  </r>
  <r>
    <n v="3040"/>
    <n v="21830"/>
    <d v="2009-01-11T00:00:00"/>
    <s v="Low"/>
    <x v="498"/>
    <x v="11"/>
    <x v="2"/>
    <s v="Consumer"/>
    <x v="2"/>
    <x v="10"/>
    <n v="6991.65"/>
    <n v="399.98"/>
  </r>
  <r>
    <n v="3041"/>
    <n v="21831"/>
    <d v="2009-09-19T00:00:00"/>
    <s v="Not Specified"/>
    <x v="132"/>
    <x v="6"/>
    <x v="1"/>
    <s v="Consumer"/>
    <x v="0"/>
    <x v="8"/>
    <n v="28.39"/>
    <n v="4.9800000000000004"/>
  </r>
  <r>
    <n v="3042"/>
    <n v="21856"/>
    <d v="2012-04-05T00:00:00"/>
    <s v="Not Specified"/>
    <x v="562"/>
    <x v="20"/>
    <x v="0"/>
    <s v="Corporate"/>
    <x v="0"/>
    <x v="8"/>
    <n v="168.55"/>
    <n v="3.69"/>
  </r>
  <r>
    <n v="3043"/>
    <n v="21856"/>
    <d v="2012-04-05T00:00:00"/>
    <s v="Not Specified"/>
    <x v="562"/>
    <x v="20"/>
    <x v="0"/>
    <s v="Corporate"/>
    <x v="0"/>
    <x v="1"/>
    <n v="77.03"/>
    <n v="3.14"/>
  </r>
  <r>
    <n v="3044"/>
    <n v="21859"/>
    <d v="2011-11-18T00:00:00"/>
    <s v="High"/>
    <x v="63"/>
    <x v="27"/>
    <x v="3"/>
    <s v="Corporate"/>
    <x v="1"/>
    <x v="2"/>
    <n v="401.37"/>
    <n v="9.74"/>
  </r>
  <r>
    <n v="3045"/>
    <n v="21860"/>
    <d v="2012-04-28T00:00:00"/>
    <s v="Critical"/>
    <x v="977"/>
    <x v="21"/>
    <x v="2"/>
    <s v="Consumer"/>
    <x v="1"/>
    <x v="2"/>
    <n v="73.7"/>
    <n v="7.59"/>
  </r>
  <r>
    <n v="3046"/>
    <n v="21861"/>
    <d v="2009-08-18T00:00:00"/>
    <s v="Critical"/>
    <x v="18"/>
    <x v="15"/>
    <x v="2"/>
    <s v="Home Office"/>
    <x v="2"/>
    <x v="5"/>
    <n v="244.9"/>
    <n v="47.98"/>
  </r>
  <r>
    <n v="3047"/>
    <n v="21862"/>
    <d v="2010-09-12T00:00:00"/>
    <s v="Not Specified"/>
    <x v="171"/>
    <x v="24"/>
    <x v="1"/>
    <s v="Consumer"/>
    <x v="0"/>
    <x v="12"/>
    <n v="28.75"/>
    <n v="14.27"/>
  </r>
  <r>
    <n v="3048"/>
    <n v="21862"/>
    <d v="2010-09-12T00:00:00"/>
    <s v="Not Specified"/>
    <x v="171"/>
    <x v="24"/>
    <x v="1"/>
    <s v="Consumer"/>
    <x v="2"/>
    <x v="10"/>
    <n v="19014.240000000002"/>
    <n v="6783.02"/>
  </r>
  <r>
    <n v="3049"/>
    <n v="21862"/>
    <d v="2010-09-12T00:00:00"/>
    <s v="Not Specified"/>
    <x v="171"/>
    <x v="24"/>
    <x v="1"/>
    <s v="Consumer"/>
    <x v="0"/>
    <x v="6"/>
    <n v="385.05"/>
    <n v="8.14"/>
  </r>
  <r>
    <n v="3050"/>
    <n v="21863"/>
    <d v="2010-11-21T00:00:00"/>
    <s v="Not Specified"/>
    <x v="343"/>
    <x v="33"/>
    <x v="0"/>
    <s v="Small Business"/>
    <x v="0"/>
    <x v="12"/>
    <n v="85.77"/>
    <n v="2.84"/>
  </r>
  <r>
    <n v="3051"/>
    <n v="21863"/>
    <d v="2010-11-21T00:00:00"/>
    <s v="Not Specified"/>
    <x v="343"/>
    <x v="33"/>
    <x v="0"/>
    <s v="Small Business"/>
    <x v="0"/>
    <x v="12"/>
    <n v="149.31"/>
    <n v="10.98"/>
  </r>
  <r>
    <n v="3052"/>
    <n v="21889"/>
    <d v="2010-04-01T00:00:00"/>
    <s v="Low"/>
    <x v="520"/>
    <x v="0"/>
    <x v="0"/>
    <s v="Consumer"/>
    <x v="1"/>
    <x v="2"/>
    <n v="1049.79"/>
    <n v="51.75"/>
  </r>
  <r>
    <n v="3053"/>
    <n v="21889"/>
    <d v="2010-04-01T00:00:00"/>
    <s v="Low"/>
    <x v="520"/>
    <x v="0"/>
    <x v="0"/>
    <s v="Consumer"/>
    <x v="0"/>
    <x v="0"/>
    <n v="817.18"/>
    <n v="55.29"/>
  </r>
  <r>
    <n v="3054"/>
    <n v="21890"/>
    <d v="2011-01-24T00:00:00"/>
    <s v="Not Specified"/>
    <x v="138"/>
    <x v="35"/>
    <x v="3"/>
    <s v="Small Business"/>
    <x v="0"/>
    <x v="6"/>
    <n v="81.900000000000006"/>
    <n v="2.94"/>
  </r>
  <r>
    <n v="3055"/>
    <n v="21890"/>
    <d v="2011-01-24T00:00:00"/>
    <s v="Not Specified"/>
    <x v="905"/>
    <x v="16"/>
    <x v="1"/>
    <s v="Small Business"/>
    <x v="0"/>
    <x v="14"/>
    <n v="495.5"/>
    <n v="11.58"/>
  </r>
  <r>
    <n v="3056"/>
    <n v="21892"/>
    <d v="2010-07-04T00:00:00"/>
    <s v="High"/>
    <x v="880"/>
    <x v="3"/>
    <x v="0"/>
    <s v="Corporate"/>
    <x v="0"/>
    <x v="12"/>
    <n v="34.880000000000003"/>
    <n v="4.91"/>
  </r>
  <r>
    <n v="3057"/>
    <n v="21893"/>
    <d v="2011-10-24T00:00:00"/>
    <s v="Critical"/>
    <x v="292"/>
    <x v="5"/>
    <x v="0"/>
    <s v="Home Office"/>
    <x v="0"/>
    <x v="14"/>
    <n v="532.11"/>
    <n v="17.07"/>
  </r>
  <r>
    <n v="3058"/>
    <n v="21894"/>
    <d v="2011-12-18T00:00:00"/>
    <s v="Critical"/>
    <x v="978"/>
    <x v="33"/>
    <x v="0"/>
    <s v="Consumer"/>
    <x v="0"/>
    <x v="9"/>
    <n v="54.3"/>
    <n v="9.68"/>
  </r>
  <r>
    <n v="3059"/>
    <n v="21922"/>
    <d v="2009-11-11T00:00:00"/>
    <s v="High"/>
    <x v="979"/>
    <x v="43"/>
    <x v="3"/>
    <s v="Corporate"/>
    <x v="1"/>
    <x v="15"/>
    <n v="8937.3799999999992"/>
    <n v="500.98"/>
  </r>
  <r>
    <n v="3060"/>
    <n v="21922"/>
    <d v="2009-11-11T00:00:00"/>
    <s v="High"/>
    <x v="979"/>
    <x v="43"/>
    <x v="3"/>
    <s v="Corporate"/>
    <x v="1"/>
    <x v="2"/>
    <n v="108.85"/>
    <n v="9.77"/>
  </r>
  <r>
    <n v="3061"/>
    <n v="21922"/>
    <d v="2009-11-11T00:00:00"/>
    <s v="High"/>
    <x v="979"/>
    <x v="43"/>
    <x v="3"/>
    <s v="Corporate"/>
    <x v="0"/>
    <x v="6"/>
    <n v="157.47"/>
    <n v="3.28"/>
  </r>
  <r>
    <n v="3062"/>
    <n v="21925"/>
    <d v="2012-07-12T00:00:00"/>
    <s v="Not Specified"/>
    <x v="980"/>
    <x v="36"/>
    <x v="2"/>
    <s v="Home Office"/>
    <x v="2"/>
    <x v="5"/>
    <n v="236.32"/>
    <n v="77.510000000000005"/>
  </r>
  <r>
    <n v="3063"/>
    <n v="21927"/>
    <d v="2011-12-10T00:00:00"/>
    <s v="High"/>
    <x v="508"/>
    <x v="16"/>
    <x v="1"/>
    <s v="Home Office"/>
    <x v="1"/>
    <x v="15"/>
    <n v="8225.24"/>
    <n v="350.98"/>
  </r>
  <r>
    <n v="3064"/>
    <n v="21956"/>
    <d v="2011-02-01T00:00:00"/>
    <s v="High"/>
    <x v="799"/>
    <x v="15"/>
    <x v="2"/>
    <s v="Consumer"/>
    <x v="2"/>
    <x v="4"/>
    <n v="125.273"/>
    <n v="65.989999999999995"/>
  </r>
  <r>
    <n v="3065"/>
    <n v="21958"/>
    <d v="2009-06-05T00:00:00"/>
    <s v="High"/>
    <x v="642"/>
    <x v="26"/>
    <x v="3"/>
    <s v="Consumer"/>
    <x v="0"/>
    <x v="13"/>
    <n v="4998.03"/>
    <n v="363.25"/>
  </r>
  <r>
    <n v="3066"/>
    <n v="21985"/>
    <d v="2009-08-26T00:00:00"/>
    <s v="Critical"/>
    <x v="319"/>
    <x v="34"/>
    <x v="2"/>
    <s v="Corporate"/>
    <x v="1"/>
    <x v="15"/>
    <n v="255.83"/>
    <n v="226.67"/>
  </r>
  <r>
    <n v="3067"/>
    <n v="21985"/>
    <d v="2009-08-26T00:00:00"/>
    <s v="Critical"/>
    <x v="319"/>
    <x v="34"/>
    <x v="2"/>
    <s v="Corporate"/>
    <x v="0"/>
    <x v="0"/>
    <n v="947.66"/>
    <n v="20.98"/>
  </r>
  <r>
    <n v="3068"/>
    <n v="21988"/>
    <d v="2010-03-28T00:00:00"/>
    <s v="Medium"/>
    <x v="589"/>
    <x v="16"/>
    <x v="1"/>
    <s v="Corporate"/>
    <x v="0"/>
    <x v="13"/>
    <n v="1337.19"/>
    <n v="328.14"/>
  </r>
  <r>
    <n v="3069"/>
    <n v="21989"/>
    <d v="2011-02-10T00:00:00"/>
    <s v="Low"/>
    <x v="805"/>
    <x v="27"/>
    <x v="3"/>
    <s v="Home Office"/>
    <x v="1"/>
    <x v="2"/>
    <n v="118.95"/>
    <n v="12.07"/>
  </r>
  <r>
    <n v="3070"/>
    <n v="21989"/>
    <d v="2011-02-10T00:00:00"/>
    <s v="Low"/>
    <x v="805"/>
    <x v="27"/>
    <x v="3"/>
    <s v="Home Office"/>
    <x v="2"/>
    <x v="4"/>
    <n v="3814.1710000000003"/>
    <n v="125.99"/>
  </r>
  <r>
    <n v="3071"/>
    <n v="22020"/>
    <d v="2010-05-17T00:00:00"/>
    <s v="Critical"/>
    <x v="81"/>
    <x v="35"/>
    <x v="3"/>
    <s v="Corporate"/>
    <x v="0"/>
    <x v="0"/>
    <n v="498.28"/>
    <n v="13.48"/>
  </r>
  <r>
    <n v="3072"/>
    <n v="22022"/>
    <d v="2010-04-03T00:00:00"/>
    <s v="Critical"/>
    <x v="206"/>
    <x v="33"/>
    <x v="0"/>
    <s v="Small Business"/>
    <x v="2"/>
    <x v="10"/>
    <n v="1409.86"/>
    <n v="1500.97"/>
  </r>
  <r>
    <n v="3073"/>
    <n v="22051"/>
    <d v="2011-12-30T00:00:00"/>
    <s v="Not Specified"/>
    <x v="981"/>
    <x v="15"/>
    <x v="2"/>
    <s v="Corporate"/>
    <x v="0"/>
    <x v="9"/>
    <n v="209.33"/>
    <n v="4.9800000000000004"/>
  </r>
  <r>
    <n v="3074"/>
    <n v="22053"/>
    <d v="2010-08-21T00:00:00"/>
    <s v="Critical"/>
    <x v="982"/>
    <x v="17"/>
    <x v="0"/>
    <s v="Corporate"/>
    <x v="0"/>
    <x v="12"/>
    <n v="563.08000000000004"/>
    <n v="18.989999999999998"/>
  </r>
  <r>
    <n v="3075"/>
    <n v="22054"/>
    <d v="2010-07-29T00:00:00"/>
    <s v="Medium"/>
    <x v="53"/>
    <x v="5"/>
    <x v="0"/>
    <s v="Corporate"/>
    <x v="1"/>
    <x v="2"/>
    <n v="216.79"/>
    <n v="6.98"/>
  </r>
  <r>
    <n v="3076"/>
    <n v="22055"/>
    <d v="2012-09-23T00:00:00"/>
    <s v="Medium"/>
    <x v="848"/>
    <x v="7"/>
    <x v="3"/>
    <s v="Corporate"/>
    <x v="1"/>
    <x v="15"/>
    <n v="6147.24"/>
    <n v="160.97999999999999"/>
  </r>
  <r>
    <n v="3077"/>
    <n v="22083"/>
    <d v="2009-02-17T00:00:00"/>
    <s v="Critical"/>
    <x v="732"/>
    <x v="16"/>
    <x v="1"/>
    <s v="Corporate"/>
    <x v="0"/>
    <x v="9"/>
    <n v="16.809999999999999"/>
    <n v="6.04"/>
  </r>
  <r>
    <n v="3078"/>
    <n v="22085"/>
    <d v="2012-03-09T00:00:00"/>
    <s v="Low"/>
    <x v="934"/>
    <x v="15"/>
    <x v="2"/>
    <s v="Home Office"/>
    <x v="0"/>
    <x v="9"/>
    <n v="265.61"/>
    <n v="6.48"/>
  </r>
  <r>
    <n v="3079"/>
    <n v="22085"/>
    <d v="2012-03-09T00:00:00"/>
    <s v="Low"/>
    <x v="934"/>
    <x v="15"/>
    <x v="2"/>
    <s v="Home Office"/>
    <x v="0"/>
    <x v="0"/>
    <n v="485.03"/>
    <n v="17.7"/>
  </r>
  <r>
    <n v="3080"/>
    <n v="22086"/>
    <d v="2011-12-15T00:00:00"/>
    <s v="Medium"/>
    <x v="983"/>
    <x v="15"/>
    <x v="2"/>
    <s v="Small Business"/>
    <x v="1"/>
    <x v="15"/>
    <n v="2039.33"/>
    <n v="95.95"/>
  </r>
  <r>
    <n v="3081"/>
    <n v="22115"/>
    <d v="2010-06-15T00:00:00"/>
    <s v="Low"/>
    <x v="296"/>
    <x v="13"/>
    <x v="3"/>
    <s v="Consumer"/>
    <x v="2"/>
    <x v="10"/>
    <n v="751.94"/>
    <n v="145.44999999999999"/>
  </r>
  <r>
    <n v="3082"/>
    <n v="22117"/>
    <d v="2010-08-12T00:00:00"/>
    <s v="Critical"/>
    <x v="984"/>
    <x v="18"/>
    <x v="2"/>
    <s v="Home Office"/>
    <x v="0"/>
    <x v="9"/>
    <n v="581.52"/>
    <n v="35.44"/>
  </r>
  <r>
    <n v="3083"/>
    <n v="22117"/>
    <d v="2010-08-12T00:00:00"/>
    <s v="Critical"/>
    <x v="984"/>
    <x v="18"/>
    <x v="2"/>
    <s v="Home Office"/>
    <x v="0"/>
    <x v="6"/>
    <n v="19.170000000000002"/>
    <n v="3.28"/>
  </r>
  <r>
    <n v="3084"/>
    <n v="22118"/>
    <d v="2009-01-18T00:00:00"/>
    <s v="High"/>
    <x v="985"/>
    <x v="15"/>
    <x v="2"/>
    <s v="Corporate"/>
    <x v="0"/>
    <x v="12"/>
    <n v="2842.54"/>
    <n v="58.1"/>
  </r>
  <r>
    <n v="3085"/>
    <n v="22119"/>
    <d v="2009-07-24T00:00:00"/>
    <s v="Low"/>
    <x v="179"/>
    <x v="20"/>
    <x v="0"/>
    <s v="Corporate"/>
    <x v="0"/>
    <x v="13"/>
    <n v="939.39"/>
    <n v="49.43"/>
  </r>
  <r>
    <n v="3086"/>
    <n v="22147"/>
    <d v="2009-01-16T00:00:00"/>
    <s v="Low"/>
    <x v="371"/>
    <x v="11"/>
    <x v="2"/>
    <s v="Corporate"/>
    <x v="1"/>
    <x v="2"/>
    <n v="832.14"/>
    <n v="22.72"/>
  </r>
  <r>
    <n v="3087"/>
    <n v="22149"/>
    <d v="2011-09-23T00:00:00"/>
    <s v="Low"/>
    <x v="412"/>
    <x v="35"/>
    <x v="3"/>
    <s v="Small Business"/>
    <x v="0"/>
    <x v="6"/>
    <n v="191.13"/>
    <n v="4.26"/>
  </r>
  <r>
    <n v="3088"/>
    <n v="22149"/>
    <d v="2011-09-23T00:00:00"/>
    <s v="Low"/>
    <x v="288"/>
    <x v="13"/>
    <x v="3"/>
    <s v="Small Business"/>
    <x v="0"/>
    <x v="6"/>
    <n v="48.24"/>
    <n v="2.88"/>
  </r>
  <r>
    <n v="3089"/>
    <n v="22151"/>
    <d v="2010-07-31T00:00:00"/>
    <s v="High"/>
    <x v="408"/>
    <x v="0"/>
    <x v="0"/>
    <s v="Corporate"/>
    <x v="1"/>
    <x v="2"/>
    <n v="465.83"/>
    <n v="9.65"/>
  </r>
  <r>
    <n v="3090"/>
    <n v="22151"/>
    <d v="2010-07-31T00:00:00"/>
    <s v="High"/>
    <x v="782"/>
    <x v="27"/>
    <x v="3"/>
    <s v="Corporate"/>
    <x v="0"/>
    <x v="12"/>
    <n v="515.37"/>
    <n v="24.92"/>
  </r>
  <r>
    <n v="3091"/>
    <n v="22181"/>
    <d v="2011-10-07T00:00:00"/>
    <s v="Low"/>
    <x v="986"/>
    <x v="5"/>
    <x v="0"/>
    <s v="Corporate"/>
    <x v="0"/>
    <x v="7"/>
    <n v="258.13"/>
    <n v="6.08"/>
  </r>
  <r>
    <n v="3092"/>
    <n v="22182"/>
    <d v="2012-09-05T00:00:00"/>
    <s v="Medium"/>
    <x v="803"/>
    <x v="11"/>
    <x v="2"/>
    <s v="Small Business"/>
    <x v="0"/>
    <x v="12"/>
    <n v="55.97"/>
    <n v="12.53"/>
  </r>
  <r>
    <n v="3093"/>
    <n v="22182"/>
    <d v="2012-09-05T00:00:00"/>
    <s v="Medium"/>
    <x v="803"/>
    <x v="11"/>
    <x v="2"/>
    <s v="Small Business"/>
    <x v="2"/>
    <x v="5"/>
    <n v="174.72"/>
    <n v="19.98"/>
  </r>
  <r>
    <n v="3094"/>
    <n v="22182"/>
    <d v="2012-09-05T00:00:00"/>
    <s v="Medium"/>
    <x v="803"/>
    <x v="11"/>
    <x v="2"/>
    <s v="Small Business"/>
    <x v="1"/>
    <x v="2"/>
    <n v="2271.37"/>
    <n v="49.34"/>
  </r>
  <r>
    <n v="3095"/>
    <n v="22183"/>
    <d v="2012-04-23T00:00:00"/>
    <s v="Medium"/>
    <x v="987"/>
    <x v="12"/>
    <x v="3"/>
    <s v="Corporate"/>
    <x v="0"/>
    <x v="6"/>
    <n v="177.22"/>
    <n v="5.84"/>
  </r>
  <r>
    <n v="3096"/>
    <n v="22208"/>
    <d v="2009-10-13T00:00:00"/>
    <s v="High"/>
    <x v="967"/>
    <x v="14"/>
    <x v="0"/>
    <s v="Home Office"/>
    <x v="2"/>
    <x v="5"/>
    <n v="1138.43"/>
    <n v="30.97"/>
  </r>
  <r>
    <n v="3097"/>
    <n v="22208"/>
    <d v="2009-10-13T00:00:00"/>
    <s v="High"/>
    <x v="967"/>
    <x v="14"/>
    <x v="0"/>
    <s v="Home Office"/>
    <x v="2"/>
    <x v="4"/>
    <n v="5271.0454999999993"/>
    <n v="125.99"/>
  </r>
  <r>
    <n v="3098"/>
    <n v="22210"/>
    <d v="2011-09-19T00:00:00"/>
    <s v="Critical"/>
    <x v="854"/>
    <x v="34"/>
    <x v="2"/>
    <s v="Corporate"/>
    <x v="0"/>
    <x v="9"/>
    <n v="1033.44"/>
    <n v="29.14"/>
  </r>
  <r>
    <n v="3099"/>
    <n v="22211"/>
    <d v="2011-10-03T00:00:00"/>
    <s v="Not Specified"/>
    <x v="26"/>
    <x v="18"/>
    <x v="2"/>
    <s v="Consumer"/>
    <x v="0"/>
    <x v="9"/>
    <n v="943.44"/>
    <n v="30.98"/>
  </r>
  <r>
    <n v="3100"/>
    <n v="22211"/>
    <d v="2011-10-03T00:00:00"/>
    <s v="Not Specified"/>
    <x v="26"/>
    <x v="18"/>
    <x v="2"/>
    <s v="Consumer"/>
    <x v="1"/>
    <x v="3"/>
    <n v="14493.84"/>
    <n v="376.13"/>
  </r>
  <r>
    <n v="3101"/>
    <n v="22212"/>
    <d v="2010-09-17T00:00:00"/>
    <s v="Medium"/>
    <x v="673"/>
    <x v="4"/>
    <x v="1"/>
    <s v="Home Office"/>
    <x v="0"/>
    <x v="12"/>
    <n v="116.22"/>
    <n v="5.98"/>
  </r>
  <r>
    <n v="3102"/>
    <n v="22242"/>
    <d v="2009-06-15T00:00:00"/>
    <s v="Not Specified"/>
    <x v="988"/>
    <x v="31"/>
    <x v="3"/>
    <s v="Home Office"/>
    <x v="0"/>
    <x v="9"/>
    <n v="329.91"/>
    <n v="6.48"/>
  </r>
  <r>
    <n v="3103"/>
    <n v="22243"/>
    <d v="2009-01-15T00:00:00"/>
    <s v="Critical"/>
    <x v="989"/>
    <x v="11"/>
    <x v="2"/>
    <s v="Consumer"/>
    <x v="0"/>
    <x v="6"/>
    <n v="24.76"/>
    <n v="2.88"/>
  </r>
  <r>
    <n v="3104"/>
    <n v="22272"/>
    <d v="2012-05-06T00:00:00"/>
    <s v="High"/>
    <x v="908"/>
    <x v="5"/>
    <x v="0"/>
    <s v="Home Office"/>
    <x v="2"/>
    <x v="5"/>
    <n v="5382.24"/>
    <n v="152.47999999999999"/>
  </r>
  <r>
    <n v="3105"/>
    <n v="22272"/>
    <d v="2012-05-06T00:00:00"/>
    <s v="High"/>
    <x v="908"/>
    <x v="5"/>
    <x v="0"/>
    <s v="Home Office"/>
    <x v="2"/>
    <x v="5"/>
    <n v="1035.95"/>
    <n v="35.409999999999997"/>
  </r>
  <r>
    <n v="3106"/>
    <n v="22279"/>
    <d v="2009-12-22T00:00:00"/>
    <s v="Not Specified"/>
    <x v="159"/>
    <x v="14"/>
    <x v="0"/>
    <s v="Small Business"/>
    <x v="0"/>
    <x v="9"/>
    <n v="2463.6"/>
    <n v="54.96"/>
  </r>
  <r>
    <n v="3107"/>
    <n v="22304"/>
    <d v="2011-11-25T00:00:00"/>
    <s v="Low"/>
    <x v="565"/>
    <x v="15"/>
    <x v="2"/>
    <s v="Consumer"/>
    <x v="0"/>
    <x v="6"/>
    <n v="40.24"/>
    <n v="1.76"/>
  </r>
  <r>
    <n v="3108"/>
    <n v="22338"/>
    <d v="2010-05-14T00:00:00"/>
    <s v="Medium"/>
    <x v="144"/>
    <x v="13"/>
    <x v="3"/>
    <s v="Consumer"/>
    <x v="0"/>
    <x v="9"/>
    <n v="200.08"/>
    <n v="5.28"/>
  </r>
  <r>
    <n v="3109"/>
    <n v="22338"/>
    <d v="2010-05-14T00:00:00"/>
    <s v="Medium"/>
    <x v="990"/>
    <x v="12"/>
    <x v="3"/>
    <s v="Consumer"/>
    <x v="2"/>
    <x v="5"/>
    <n v="790.24"/>
    <n v="35.770000000000003"/>
  </r>
  <r>
    <n v="3110"/>
    <n v="22342"/>
    <d v="2009-05-29T00:00:00"/>
    <s v="Low"/>
    <x v="101"/>
    <x v="0"/>
    <x v="0"/>
    <s v="Small Business"/>
    <x v="2"/>
    <x v="4"/>
    <n v="241.70600000000002"/>
    <n v="20.99"/>
  </r>
  <r>
    <n v="3111"/>
    <n v="22368"/>
    <d v="2010-02-19T00:00:00"/>
    <s v="Medium"/>
    <x v="73"/>
    <x v="17"/>
    <x v="0"/>
    <s v="Consumer"/>
    <x v="2"/>
    <x v="5"/>
    <n v="192.12"/>
    <n v="39.24"/>
  </r>
  <r>
    <n v="3112"/>
    <n v="22368"/>
    <d v="2010-02-19T00:00:00"/>
    <s v="Medium"/>
    <x v="73"/>
    <x v="17"/>
    <x v="0"/>
    <s v="Consumer"/>
    <x v="2"/>
    <x v="10"/>
    <n v="3917.61"/>
    <n v="119.99"/>
  </r>
  <r>
    <n v="3113"/>
    <n v="22368"/>
    <d v="2010-02-19T00:00:00"/>
    <s v="Medium"/>
    <x v="73"/>
    <x v="17"/>
    <x v="0"/>
    <s v="Consumer"/>
    <x v="0"/>
    <x v="0"/>
    <n v="2788.04"/>
    <n v="80.98"/>
  </r>
  <r>
    <n v="3114"/>
    <n v="22371"/>
    <d v="2009-04-04T00:00:00"/>
    <s v="High"/>
    <x v="442"/>
    <x v="7"/>
    <x v="3"/>
    <s v="Small Business"/>
    <x v="0"/>
    <x v="12"/>
    <n v="70.55"/>
    <n v="7.38"/>
  </r>
  <r>
    <n v="3115"/>
    <n v="22373"/>
    <d v="2012-03-28T00:00:00"/>
    <s v="High"/>
    <x v="53"/>
    <x v="5"/>
    <x v="0"/>
    <s v="Corporate"/>
    <x v="0"/>
    <x v="14"/>
    <n v="233.03"/>
    <n v="8.74"/>
  </r>
  <r>
    <n v="3116"/>
    <n v="22375"/>
    <d v="2011-04-07T00:00:00"/>
    <s v="Not Specified"/>
    <x v="670"/>
    <x v="1"/>
    <x v="1"/>
    <s v="Corporate"/>
    <x v="0"/>
    <x v="9"/>
    <n v="816.11"/>
    <n v="18.97"/>
  </r>
  <r>
    <n v="3117"/>
    <n v="22402"/>
    <d v="2009-05-27T00:00:00"/>
    <s v="Critical"/>
    <x v="317"/>
    <x v="16"/>
    <x v="1"/>
    <s v="Home Office"/>
    <x v="0"/>
    <x v="12"/>
    <n v="1194.3399999999999"/>
    <n v="37.700000000000003"/>
  </r>
  <r>
    <n v="3118"/>
    <n v="22402"/>
    <d v="2009-05-27T00:00:00"/>
    <s v="Critical"/>
    <x v="991"/>
    <x v="16"/>
    <x v="1"/>
    <s v="Home Office"/>
    <x v="2"/>
    <x v="4"/>
    <n v="51.832999999999998"/>
    <n v="55.99"/>
  </r>
  <r>
    <n v="3119"/>
    <n v="22404"/>
    <d v="2010-11-16T00:00:00"/>
    <s v="Low"/>
    <x v="456"/>
    <x v="18"/>
    <x v="2"/>
    <s v="Home Office"/>
    <x v="1"/>
    <x v="15"/>
    <n v="7264.64"/>
    <n v="218.08"/>
  </r>
  <r>
    <n v="3120"/>
    <n v="22407"/>
    <d v="2009-11-17T00:00:00"/>
    <s v="Not Specified"/>
    <x v="721"/>
    <x v="37"/>
    <x v="2"/>
    <s v="Corporate"/>
    <x v="0"/>
    <x v="12"/>
    <n v="676.44"/>
    <n v="34.54"/>
  </r>
  <r>
    <n v="3121"/>
    <n v="22407"/>
    <d v="2009-11-17T00:00:00"/>
    <s v="Not Specified"/>
    <x v="721"/>
    <x v="37"/>
    <x v="2"/>
    <s v="Corporate"/>
    <x v="0"/>
    <x v="9"/>
    <n v="128.02000000000001"/>
    <n v="12.28"/>
  </r>
  <r>
    <n v="3122"/>
    <n v="22407"/>
    <d v="2009-11-17T00:00:00"/>
    <s v="Not Specified"/>
    <x v="721"/>
    <x v="37"/>
    <x v="2"/>
    <s v="Corporate"/>
    <x v="0"/>
    <x v="6"/>
    <n v="526.82000000000005"/>
    <n v="34.58"/>
  </r>
  <r>
    <n v="3123"/>
    <n v="22432"/>
    <d v="2012-11-28T00:00:00"/>
    <s v="Not Specified"/>
    <x v="436"/>
    <x v="36"/>
    <x v="2"/>
    <s v="Small Business"/>
    <x v="0"/>
    <x v="14"/>
    <n v="2728.42"/>
    <n v="60.98"/>
  </r>
  <r>
    <n v="3124"/>
    <n v="22433"/>
    <d v="2011-03-03T00:00:00"/>
    <s v="Critical"/>
    <x v="286"/>
    <x v="16"/>
    <x v="1"/>
    <s v="Home Office"/>
    <x v="2"/>
    <x v="4"/>
    <n v="797.98"/>
    <n v="20.99"/>
  </r>
  <r>
    <n v="3125"/>
    <n v="22434"/>
    <d v="2012-08-29T00:00:00"/>
    <s v="Critical"/>
    <x v="347"/>
    <x v="5"/>
    <x v="0"/>
    <s v="Consumer"/>
    <x v="0"/>
    <x v="12"/>
    <n v="18.7"/>
    <n v="4.54"/>
  </r>
  <r>
    <n v="3126"/>
    <n v="22434"/>
    <d v="2012-08-29T00:00:00"/>
    <s v="Critical"/>
    <x v="992"/>
    <x v="5"/>
    <x v="0"/>
    <s v="Consumer"/>
    <x v="0"/>
    <x v="6"/>
    <n v="140.74"/>
    <n v="3.28"/>
  </r>
  <r>
    <n v="3127"/>
    <n v="22465"/>
    <d v="2012-07-21T00:00:00"/>
    <s v="Not Specified"/>
    <x v="353"/>
    <x v="16"/>
    <x v="1"/>
    <s v="Home Office"/>
    <x v="1"/>
    <x v="15"/>
    <n v="1121.78"/>
    <n v="270.98"/>
  </r>
  <r>
    <n v="3128"/>
    <n v="22466"/>
    <d v="2012-03-28T00:00:00"/>
    <s v="Low"/>
    <x v="353"/>
    <x v="16"/>
    <x v="1"/>
    <s v="Corporate"/>
    <x v="1"/>
    <x v="15"/>
    <n v="5404.18"/>
    <n v="180.98"/>
  </r>
  <r>
    <n v="3129"/>
    <n v="22466"/>
    <d v="2012-03-28T00:00:00"/>
    <s v="Low"/>
    <x v="353"/>
    <x v="16"/>
    <x v="1"/>
    <s v="Corporate"/>
    <x v="0"/>
    <x v="9"/>
    <n v="430.19"/>
    <n v="10.31"/>
  </r>
  <r>
    <n v="3130"/>
    <n v="22468"/>
    <d v="2010-06-10T00:00:00"/>
    <s v="Not Specified"/>
    <x v="300"/>
    <x v="26"/>
    <x v="3"/>
    <s v="Small Business"/>
    <x v="0"/>
    <x v="12"/>
    <n v="323.11"/>
    <n v="20.98"/>
  </r>
  <r>
    <n v="3131"/>
    <n v="22468"/>
    <d v="2010-06-10T00:00:00"/>
    <s v="Not Specified"/>
    <x v="300"/>
    <x v="26"/>
    <x v="3"/>
    <s v="Small Business"/>
    <x v="0"/>
    <x v="9"/>
    <n v="65.099999999999994"/>
    <n v="5.68"/>
  </r>
  <r>
    <n v="3132"/>
    <n v="22468"/>
    <d v="2010-06-10T00:00:00"/>
    <s v="Not Specified"/>
    <x v="993"/>
    <x v="26"/>
    <x v="3"/>
    <s v="Small Business"/>
    <x v="1"/>
    <x v="2"/>
    <n v="163.75"/>
    <n v="7.96"/>
  </r>
  <r>
    <n v="3133"/>
    <n v="22469"/>
    <d v="2010-10-11T00:00:00"/>
    <s v="High"/>
    <x v="963"/>
    <x v="30"/>
    <x v="0"/>
    <s v="Corporate"/>
    <x v="0"/>
    <x v="13"/>
    <n v="1482.81"/>
    <n v="60.98"/>
  </r>
  <r>
    <n v="3134"/>
    <n v="22469"/>
    <d v="2010-10-11T00:00:00"/>
    <s v="High"/>
    <x v="963"/>
    <x v="30"/>
    <x v="0"/>
    <s v="Corporate"/>
    <x v="1"/>
    <x v="3"/>
    <n v="6693.28"/>
    <n v="290.98"/>
  </r>
  <r>
    <n v="3135"/>
    <n v="22469"/>
    <d v="2010-10-11T00:00:00"/>
    <s v="High"/>
    <x v="994"/>
    <x v="0"/>
    <x v="0"/>
    <s v="Corporate"/>
    <x v="2"/>
    <x v="4"/>
    <n v="275.91000000000003"/>
    <n v="7.99"/>
  </r>
  <r>
    <n v="3136"/>
    <n v="22497"/>
    <d v="2012-04-28T00:00:00"/>
    <s v="Medium"/>
    <x v="900"/>
    <x v="16"/>
    <x v="1"/>
    <s v="Corporate"/>
    <x v="2"/>
    <x v="10"/>
    <n v="3259.25"/>
    <n v="90.97"/>
  </r>
  <r>
    <n v="3137"/>
    <n v="22498"/>
    <d v="2010-11-09T00:00:00"/>
    <s v="Critical"/>
    <x v="995"/>
    <x v="7"/>
    <x v="3"/>
    <s v="Consumer"/>
    <x v="2"/>
    <x v="5"/>
    <n v="34.94"/>
    <n v="1.7"/>
  </r>
  <r>
    <n v="3138"/>
    <n v="22501"/>
    <d v="2010-05-18T00:00:00"/>
    <s v="High"/>
    <x v="909"/>
    <x v="0"/>
    <x v="0"/>
    <s v="Corporate"/>
    <x v="0"/>
    <x v="14"/>
    <n v="30.83"/>
    <n v="7.64"/>
  </r>
  <r>
    <n v="3139"/>
    <n v="22529"/>
    <d v="2010-05-07T00:00:00"/>
    <s v="Medium"/>
    <x v="660"/>
    <x v="23"/>
    <x v="3"/>
    <s v="Home Office"/>
    <x v="0"/>
    <x v="13"/>
    <n v="1623.09"/>
    <n v="56.96"/>
  </r>
  <r>
    <n v="3140"/>
    <n v="22532"/>
    <d v="2011-02-08T00:00:00"/>
    <s v="Critical"/>
    <x v="722"/>
    <x v="0"/>
    <x v="0"/>
    <s v="Consumer"/>
    <x v="0"/>
    <x v="12"/>
    <n v="121.66"/>
    <n v="8.85"/>
  </r>
  <r>
    <n v="3141"/>
    <n v="22534"/>
    <d v="2011-07-18T00:00:00"/>
    <s v="Medium"/>
    <x v="618"/>
    <x v="20"/>
    <x v="0"/>
    <s v="Corporate"/>
    <x v="0"/>
    <x v="14"/>
    <n v="279.33"/>
    <n v="83.93"/>
  </r>
  <r>
    <n v="3142"/>
    <n v="22561"/>
    <d v="2011-01-20T00:00:00"/>
    <s v="Critical"/>
    <x v="273"/>
    <x v="42"/>
    <x v="3"/>
    <s v="Consumer"/>
    <x v="1"/>
    <x v="2"/>
    <n v="128.62"/>
    <n v="17.670000000000002"/>
  </r>
  <r>
    <n v="3143"/>
    <n v="22561"/>
    <d v="2011-01-20T00:00:00"/>
    <s v="Critical"/>
    <x v="212"/>
    <x v="42"/>
    <x v="3"/>
    <s v="Consumer"/>
    <x v="0"/>
    <x v="13"/>
    <n v="424"/>
    <n v="8.67"/>
  </r>
  <r>
    <n v="3144"/>
    <n v="22561"/>
    <d v="2011-01-20T00:00:00"/>
    <s v="Critical"/>
    <x v="212"/>
    <x v="42"/>
    <x v="3"/>
    <s v="Consumer"/>
    <x v="2"/>
    <x v="5"/>
    <n v="504.79"/>
    <n v="99.99"/>
  </r>
  <r>
    <n v="3145"/>
    <n v="22562"/>
    <d v="2009-03-27T00:00:00"/>
    <s v="Medium"/>
    <x v="737"/>
    <x v="7"/>
    <x v="3"/>
    <s v="Home Office"/>
    <x v="2"/>
    <x v="10"/>
    <n v="9304.2000000000007"/>
    <n v="213.45"/>
  </r>
  <r>
    <n v="3146"/>
    <n v="22562"/>
    <d v="2009-03-27T00:00:00"/>
    <s v="Medium"/>
    <x v="737"/>
    <x v="7"/>
    <x v="3"/>
    <s v="Home Office"/>
    <x v="0"/>
    <x v="9"/>
    <n v="1685.05"/>
    <n v="55.98"/>
  </r>
  <r>
    <n v="3147"/>
    <n v="22562"/>
    <d v="2009-03-27T00:00:00"/>
    <s v="Medium"/>
    <x v="737"/>
    <x v="7"/>
    <x v="3"/>
    <s v="Home Office"/>
    <x v="0"/>
    <x v="0"/>
    <n v="57.48"/>
    <n v="16.059999999999999"/>
  </r>
  <r>
    <n v="3148"/>
    <n v="22563"/>
    <d v="2012-05-20T00:00:00"/>
    <s v="Critical"/>
    <x v="476"/>
    <x v="47"/>
    <x v="1"/>
    <s v="Home Office"/>
    <x v="1"/>
    <x v="2"/>
    <n v="251.51"/>
    <n v="7.7"/>
  </r>
  <r>
    <n v="3149"/>
    <n v="22626"/>
    <d v="2010-06-29T00:00:00"/>
    <s v="Critical"/>
    <x v="600"/>
    <x v="26"/>
    <x v="3"/>
    <s v="Small Business"/>
    <x v="0"/>
    <x v="9"/>
    <n v="90.93"/>
    <n v="5.18"/>
  </r>
  <r>
    <n v="3150"/>
    <n v="22626"/>
    <d v="2010-06-29T00:00:00"/>
    <s v="Critical"/>
    <x v="600"/>
    <x v="26"/>
    <x v="3"/>
    <s v="Small Business"/>
    <x v="1"/>
    <x v="3"/>
    <n v="6170.9120000000003"/>
    <n v="218.75"/>
  </r>
  <r>
    <n v="3151"/>
    <n v="22627"/>
    <d v="2010-04-03T00:00:00"/>
    <s v="Low"/>
    <x v="144"/>
    <x v="13"/>
    <x v="3"/>
    <s v="Small Business"/>
    <x v="1"/>
    <x v="2"/>
    <n v="1934.6"/>
    <n v="63.94"/>
  </r>
  <r>
    <n v="3152"/>
    <n v="22627"/>
    <d v="2010-04-03T00:00:00"/>
    <s v="Low"/>
    <x v="244"/>
    <x v="16"/>
    <x v="1"/>
    <s v="Small Business"/>
    <x v="1"/>
    <x v="11"/>
    <n v="6803"/>
    <n v="150.97999999999999"/>
  </r>
  <r>
    <n v="3153"/>
    <n v="22628"/>
    <d v="2009-10-29T00:00:00"/>
    <s v="Medium"/>
    <x v="114"/>
    <x v="34"/>
    <x v="2"/>
    <s v="Corporate"/>
    <x v="1"/>
    <x v="15"/>
    <n v="2951.7"/>
    <n v="95.95"/>
  </r>
  <r>
    <n v="3154"/>
    <n v="22629"/>
    <d v="2010-04-15T00:00:00"/>
    <s v="Low"/>
    <x v="562"/>
    <x v="20"/>
    <x v="0"/>
    <s v="Small Business"/>
    <x v="2"/>
    <x v="5"/>
    <n v="365.93"/>
    <n v="73.98"/>
  </r>
  <r>
    <n v="3155"/>
    <n v="22656"/>
    <d v="2010-12-22T00:00:00"/>
    <s v="Not Specified"/>
    <x v="812"/>
    <x v="30"/>
    <x v="0"/>
    <s v="Corporate"/>
    <x v="2"/>
    <x v="5"/>
    <n v="309.3"/>
    <n v="30.98"/>
  </r>
  <r>
    <n v="3156"/>
    <n v="22657"/>
    <d v="2011-10-29T00:00:00"/>
    <s v="High"/>
    <x v="962"/>
    <x v="22"/>
    <x v="0"/>
    <s v="Corporate"/>
    <x v="2"/>
    <x v="5"/>
    <n v="9544.18"/>
    <n v="256.99"/>
  </r>
  <r>
    <n v="3157"/>
    <n v="22657"/>
    <d v="2011-10-29T00:00:00"/>
    <s v="High"/>
    <x v="962"/>
    <x v="22"/>
    <x v="0"/>
    <s v="Corporate"/>
    <x v="0"/>
    <x v="7"/>
    <n v="32.92"/>
    <n v="3.95"/>
  </r>
  <r>
    <n v="3158"/>
    <n v="22661"/>
    <d v="2010-09-26T00:00:00"/>
    <s v="Not Specified"/>
    <x v="916"/>
    <x v="9"/>
    <x v="1"/>
    <s v="Corporate"/>
    <x v="0"/>
    <x v="6"/>
    <n v="18.260000000000002"/>
    <n v="1.68"/>
  </r>
  <r>
    <n v="3159"/>
    <n v="22663"/>
    <d v="2012-01-11T00:00:00"/>
    <s v="Low"/>
    <x v="809"/>
    <x v="33"/>
    <x v="0"/>
    <s v="Corporate"/>
    <x v="1"/>
    <x v="15"/>
    <n v="9843.11"/>
    <n v="280.98"/>
  </r>
  <r>
    <n v="3160"/>
    <n v="22663"/>
    <d v="2012-01-11T00:00:00"/>
    <s v="Low"/>
    <x v="809"/>
    <x v="33"/>
    <x v="0"/>
    <s v="Corporate"/>
    <x v="2"/>
    <x v="10"/>
    <n v="7190.06"/>
    <n v="500.98"/>
  </r>
  <r>
    <n v="3161"/>
    <n v="22688"/>
    <d v="2012-04-17T00:00:00"/>
    <s v="Medium"/>
    <x v="443"/>
    <x v="27"/>
    <x v="3"/>
    <s v="Corporate"/>
    <x v="2"/>
    <x v="4"/>
    <n v="2044.2755000000002"/>
    <n v="65.989999999999995"/>
  </r>
  <r>
    <n v="3162"/>
    <n v="22689"/>
    <d v="2011-10-09T00:00:00"/>
    <s v="Low"/>
    <x v="947"/>
    <x v="9"/>
    <x v="1"/>
    <s v="Home Office"/>
    <x v="0"/>
    <x v="13"/>
    <n v="2405"/>
    <n v="67.84"/>
  </r>
  <r>
    <n v="3163"/>
    <n v="22695"/>
    <d v="2009-07-03T00:00:00"/>
    <s v="Low"/>
    <x v="859"/>
    <x v="30"/>
    <x v="0"/>
    <s v="Consumer"/>
    <x v="0"/>
    <x v="9"/>
    <n v="444.52"/>
    <n v="10.06"/>
  </r>
  <r>
    <n v="3164"/>
    <n v="22727"/>
    <d v="2011-07-03T00:00:00"/>
    <s v="Not Specified"/>
    <x v="395"/>
    <x v="2"/>
    <x v="2"/>
    <s v="Corporate"/>
    <x v="0"/>
    <x v="9"/>
    <n v="296.82"/>
    <n v="6.48"/>
  </r>
  <r>
    <n v="3165"/>
    <n v="22752"/>
    <d v="2012-12-07T00:00:00"/>
    <s v="Low"/>
    <x v="996"/>
    <x v="16"/>
    <x v="1"/>
    <s v="Corporate"/>
    <x v="0"/>
    <x v="0"/>
    <n v="238.76"/>
    <n v="110.98"/>
  </r>
  <r>
    <n v="3166"/>
    <n v="22755"/>
    <d v="2009-03-30T00:00:00"/>
    <s v="Medium"/>
    <x v="221"/>
    <x v="28"/>
    <x v="1"/>
    <s v="Home Office"/>
    <x v="0"/>
    <x v="12"/>
    <n v="187.84"/>
    <n v="4.91"/>
  </r>
  <r>
    <n v="3167"/>
    <n v="22755"/>
    <d v="2009-03-30T00:00:00"/>
    <s v="Medium"/>
    <x v="997"/>
    <x v="28"/>
    <x v="1"/>
    <s v="Home Office"/>
    <x v="0"/>
    <x v="12"/>
    <n v="240.6"/>
    <n v="5.34"/>
  </r>
  <r>
    <n v="3168"/>
    <n v="22755"/>
    <d v="2009-03-30T00:00:00"/>
    <s v="Medium"/>
    <x v="997"/>
    <x v="28"/>
    <x v="1"/>
    <s v="Home Office"/>
    <x v="2"/>
    <x v="4"/>
    <n v="236.87799999999999"/>
    <n v="55.99"/>
  </r>
  <r>
    <n v="3169"/>
    <n v="22787"/>
    <d v="2011-04-05T00:00:00"/>
    <s v="Medium"/>
    <x v="15"/>
    <x v="24"/>
    <x v="1"/>
    <s v="Corporate"/>
    <x v="0"/>
    <x v="7"/>
    <n v="46.44"/>
    <n v="1.26"/>
  </r>
  <r>
    <n v="3170"/>
    <n v="22817"/>
    <d v="2012-11-21T00:00:00"/>
    <s v="Critical"/>
    <x v="327"/>
    <x v="1"/>
    <x v="1"/>
    <s v="Home Office"/>
    <x v="1"/>
    <x v="3"/>
    <n v="6785.86"/>
    <n v="262.11"/>
  </r>
  <r>
    <n v="3171"/>
    <n v="22818"/>
    <d v="2009-05-22T00:00:00"/>
    <s v="Critical"/>
    <x v="998"/>
    <x v="6"/>
    <x v="1"/>
    <s v="Small Business"/>
    <x v="1"/>
    <x v="15"/>
    <n v="6277.75"/>
    <n v="130.97999999999999"/>
  </r>
  <r>
    <n v="3172"/>
    <n v="22818"/>
    <d v="2009-05-22T00:00:00"/>
    <s v="Low"/>
    <x v="998"/>
    <x v="6"/>
    <x v="1"/>
    <s v="Small Business"/>
    <x v="2"/>
    <x v="5"/>
    <n v="360.24"/>
    <n v="19.98"/>
  </r>
  <r>
    <n v="3173"/>
    <n v="22819"/>
    <d v="2012-11-10T00:00:00"/>
    <s v="High"/>
    <x v="980"/>
    <x v="36"/>
    <x v="2"/>
    <s v="Home Office"/>
    <x v="0"/>
    <x v="6"/>
    <n v="6.77"/>
    <n v="2.52"/>
  </r>
  <r>
    <n v="3174"/>
    <n v="22820"/>
    <d v="2010-08-17T00:00:00"/>
    <s v="High"/>
    <x v="419"/>
    <x v="40"/>
    <x v="3"/>
    <s v="Consumer"/>
    <x v="2"/>
    <x v="5"/>
    <n v="209.12"/>
    <n v="5.98"/>
  </r>
  <r>
    <n v="3175"/>
    <n v="22820"/>
    <d v="2010-08-17T00:00:00"/>
    <s v="High"/>
    <x v="311"/>
    <x v="13"/>
    <x v="3"/>
    <s v="Consumer"/>
    <x v="0"/>
    <x v="7"/>
    <n v="144.84"/>
    <n v="7.89"/>
  </r>
  <r>
    <n v="3176"/>
    <n v="22848"/>
    <d v="2011-12-10T00:00:00"/>
    <s v="Not Specified"/>
    <x v="104"/>
    <x v="16"/>
    <x v="1"/>
    <s v="Home Office"/>
    <x v="0"/>
    <x v="13"/>
    <n v="140.37"/>
    <n v="4.4800000000000004"/>
  </r>
  <r>
    <n v="3177"/>
    <n v="22848"/>
    <d v="2011-12-10T00:00:00"/>
    <s v="Not Specified"/>
    <x v="104"/>
    <x v="16"/>
    <x v="1"/>
    <s v="Home Office"/>
    <x v="1"/>
    <x v="15"/>
    <n v="5921.74"/>
    <n v="130.97999999999999"/>
  </r>
  <r>
    <n v="3178"/>
    <n v="22848"/>
    <d v="2011-12-10T00:00:00"/>
    <s v="Not Specified"/>
    <x v="104"/>
    <x v="16"/>
    <x v="1"/>
    <s v="Home Office"/>
    <x v="2"/>
    <x v="5"/>
    <n v="68.16"/>
    <n v="15.98"/>
  </r>
  <r>
    <n v="3179"/>
    <n v="22849"/>
    <d v="2011-02-14T00:00:00"/>
    <s v="Not Specified"/>
    <x v="886"/>
    <x v="5"/>
    <x v="0"/>
    <s v="Corporate"/>
    <x v="0"/>
    <x v="12"/>
    <n v="304.98"/>
    <n v="11.7"/>
  </r>
  <r>
    <n v="3180"/>
    <n v="22849"/>
    <d v="2011-02-14T00:00:00"/>
    <s v="Not Specified"/>
    <x v="886"/>
    <x v="5"/>
    <x v="0"/>
    <s v="Corporate"/>
    <x v="0"/>
    <x v="6"/>
    <n v="104.24"/>
    <n v="2.78"/>
  </r>
  <r>
    <n v="3181"/>
    <n v="22849"/>
    <d v="2011-02-14T00:00:00"/>
    <s v="Not Specified"/>
    <x v="886"/>
    <x v="5"/>
    <x v="0"/>
    <s v="Corporate"/>
    <x v="0"/>
    <x v="0"/>
    <n v="198.13"/>
    <n v="6.98"/>
  </r>
  <r>
    <n v="3182"/>
    <n v="22849"/>
    <d v="2011-02-14T00:00:00"/>
    <s v="Not Specified"/>
    <x v="886"/>
    <x v="5"/>
    <x v="0"/>
    <s v="Corporate"/>
    <x v="2"/>
    <x v="4"/>
    <n v="4366.348"/>
    <n v="205.99"/>
  </r>
  <r>
    <n v="3183"/>
    <n v="22850"/>
    <d v="2011-04-30T00:00:00"/>
    <s v="Medium"/>
    <x v="905"/>
    <x v="16"/>
    <x v="1"/>
    <s v="Home Office"/>
    <x v="2"/>
    <x v="5"/>
    <n v="105.13"/>
    <n v="27.48"/>
  </r>
  <r>
    <n v="3184"/>
    <n v="22851"/>
    <d v="2009-03-01T00:00:00"/>
    <s v="Critical"/>
    <x v="951"/>
    <x v="8"/>
    <x v="2"/>
    <s v="Home Office"/>
    <x v="2"/>
    <x v="5"/>
    <n v="667.36"/>
    <n v="28.48"/>
  </r>
  <r>
    <n v="3185"/>
    <n v="22851"/>
    <d v="2009-03-01T00:00:00"/>
    <s v="Critical"/>
    <x v="951"/>
    <x v="8"/>
    <x v="2"/>
    <s v="Home Office"/>
    <x v="1"/>
    <x v="2"/>
    <n v="32.369999999999997"/>
    <n v="2.08"/>
  </r>
  <r>
    <n v="3186"/>
    <n v="22851"/>
    <d v="2009-03-01T00:00:00"/>
    <s v="Critical"/>
    <x v="951"/>
    <x v="8"/>
    <x v="2"/>
    <s v="Home Office"/>
    <x v="2"/>
    <x v="4"/>
    <n v="1409.0874999999999"/>
    <n v="45.99"/>
  </r>
  <r>
    <n v="3187"/>
    <n v="22880"/>
    <d v="2010-05-30T00:00:00"/>
    <s v="Medium"/>
    <x v="288"/>
    <x v="13"/>
    <x v="3"/>
    <s v="Small Business"/>
    <x v="2"/>
    <x v="5"/>
    <n v="24.96"/>
    <n v="1.7"/>
  </r>
  <r>
    <n v="3188"/>
    <n v="22881"/>
    <d v="2010-04-06T00:00:00"/>
    <s v="Medium"/>
    <x v="694"/>
    <x v="5"/>
    <x v="0"/>
    <s v="Corporate"/>
    <x v="0"/>
    <x v="0"/>
    <n v="476.06"/>
    <n v="14.03"/>
  </r>
  <r>
    <n v="3189"/>
    <n v="22882"/>
    <d v="2010-09-13T00:00:00"/>
    <s v="Critical"/>
    <x v="257"/>
    <x v="21"/>
    <x v="2"/>
    <s v="Home Office"/>
    <x v="0"/>
    <x v="9"/>
    <n v="71.239999999999995"/>
    <n v="6.69"/>
  </r>
  <r>
    <n v="3190"/>
    <n v="22885"/>
    <d v="2009-11-23T00:00:00"/>
    <s v="Medium"/>
    <x v="999"/>
    <x v="17"/>
    <x v="0"/>
    <s v="Home Office"/>
    <x v="0"/>
    <x v="1"/>
    <n v="56.47"/>
    <n v="12.88"/>
  </r>
  <r>
    <n v="3191"/>
    <n v="22887"/>
    <d v="2010-11-18T00:00:00"/>
    <s v="Not Specified"/>
    <x v="555"/>
    <x v="29"/>
    <x v="2"/>
    <s v="Home Office"/>
    <x v="1"/>
    <x v="15"/>
    <n v="9107.27"/>
    <n v="276.2"/>
  </r>
  <r>
    <n v="3192"/>
    <n v="22912"/>
    <d v="2010-10-16T00:00:00"/>
    <s v="Low"/>
    <x v="508"/>
    <x v="16"/>
    <x v="1"/>
    <s v="Corporate"/>
    <x v="0"/>
    <x v="12"/>
    <n v="10168.23"/>
    <n v="304.99"/>
  </r>
  <r>
    <n v="3193"/>
    <n v="22913"/>
    <d v="2010-06-25T00:00:00"/>
    <s v="Critical"/>
    <x v="796"/>
    <x v="16"/>
    <x v="1"/>
    <s v="Corporate"/>
    <x v="0"/>
    <x v="9"/>
    <n v="176.77"/>
    <n v="4.9800000000000004"/>
  </r>
  <r>
    <n v="3194"/>
    <n v="22913"/>
    <d v="2010-06-25T00:00:00"/>
    <s v="Critical"/>
    <x v="759"/>
    <x v="16"/>
    <x v="1"/>
    <s v="Corporate"/>
    <x v="1"/>
    <x v="3"/>
    <n v="6568.0240000000013"/>
    <n v="348.21"/>
  </r>
  <r>
    <n v="3195"/>
    <n v="22913"/>
    <d v="2010-06-25T00:00:00"/>
    <s v="Critical"/>
    <x v="759"/>
    <x v="16"/>
    <x v="1"/>
    <s v="Corporate"/>
    <x v="2"/>
    <x v="4"/>
    <n v="1579.028"/>
    <n v="35.99"/>
  </r>
  <r>
    <n v="3196"/>
    <n v="22914"/>
    <d v="2012-01-13T00:00:00"/>
    <s v="Critical"/>
    <x v="849"/>
    <x v="16"/>
    <x v="1"/>
    <s v="Corporate"/>
    <x v="0"/>
    <x v="13"/>
    <n v="336.65"/>
    <n v="11.7"/>
  </r>
  <r>
    <n v="3197"/>
    <n v="22916"/>
    <d v="2012-02-02T00:00:00"/>
    <s v="Medium"/>
    <x v="1000"/>
    <x v="27"/>
    <x v="3"/>
    <s v="Corporate"/>
    <x v="0"/>
    <x v="9"/>
    <n v="122.02"/>
    <n v="6.48"/>
  </r>
  <r>
    <n v="3198"/>
    <n v="22917"/>
    <d v="2009-03-01T00:00:00"/>
    <s v="Medium"/>
    <x v="1001"/>
    <x v="36"/>
    <x v="2"/>
    <s v="Corporate"/>
    <x v="2"/>
    <x v="16"/>
    <n v="3550.28"/>
    <n v="3499.99"/>
  </r>
  <r>
    <n v="3199"/>
    <n v="22919"/>
    <d v="2009-07-17T00:00:00"/>
    <s v="Critical"/>
    <x v="230"/>
    <x v="15"/>
    <x v="2"/>
    <s v="Consumer"/>
    <x v="0"/>
    <x v="8"/>
    <n v="98.77"/>
    <n v="4.91"/>
  </r>
  <r>
    <n v="3200"/>
    <n v="22947"/>
    <d v="2009-12-18T00:00:00"/>
    <s v="Low"/>
    <x v="73"/>
    <x v="17"/>
    <x v="0"/>
    <s v="Consumer"/>
    <x v="1"/>
    <x v="2"/>
    <n v="216.25"/>
    <n v="12.22"/>
  </r>
  <r>
    <n v="3201"/>
    <n v="22950"/>
    <d v="2011-12-21T00:00:00"/>
    <s v="Low"/>
    <x v="1002"/>
    <x v="5"/>
    <x v="0"/>
    <s v="Corporate"/>
    <x v="0"/>
    <x v="0"/>
    <n v="1756.11"/>
    <n v="64.650000000000006"/>
  </r>
  <r>
    <n v="3202"/>
    <n v="22951"/>
    <d v="2012-05-03T00:00:00"/>
    <s v="Medium"/>
    <x v="805"/>
    <x v="27"/>
    <x v="3"/>
    <s v="Corporate"/>
    <x v="2"/>
    <x v="4"/>
    <n v="1304.0274999999999"/>
    <n v="65.989999999999995"/>
  </r>
  <r>
    <n v="3203"/>
    <n v="22978"/>
    <d v="2009-04-02T00:00:00"/>
    <s v="Medium"/>
    <x v="872"/>
    <x v="2"/>
    <x v="2"/>
    <s v="Small Business"/>
    <x v="1"/>
    <x v="15"/>
    <n v="1801.95"/>
    <n v="60.89"/>
  </r>
  <r>
    <n v="3204"/>
    <n v="22980"/>
    <d v="2012-10-01T00:00:00"/>
    <s v="Not Specified"/>
    <x v="657"/>
    <x v="3"/>
    <x v="0"/>
    <s v="Consumer"/>
    <x v="0"/>
    <x v="0"/>
    <n v="224.09"/>
    <n v="12.44"/>
  </r>
  <r>
    <n v="3205"/>
    <n v="22980"/>
    <d v="2012-10-01T00:00:00"/>
    <s v="Not Specified"/>
    <x v="1003"/>
    <x v="27"/>
    <x v="3"/>
    <s v="Consumer"/>
    <x v="0"/>
    <x v="9"/>
    <n v="56.05"/>
    <n v="4.9800000000000004"/>
  </r>
  <r>
    <n v="3206"/>
    <n v="23008"/>
    <d v="2009-10-09T00:00:00"/>
    <s v="Critical"/>
    <x v="486"/>
    <x v="5"/>
    <x v="0"/>
    <s v="Consumer"/>
    <x v="0"/>
    <x v="12"/>
    <n v="1136.47"/>
    <n v="120.98"/>
  </r>
  <r>
    <n v="3207"/>
    <n v="23008"/>
    <d v="2009-10-09T00:00:00"/>
    <s v="Critical"/>
    <x v="486"/>
    <x v="5"/>
    <x v="0"/>
    <s v="Consumer"/>
    <x v="2"/>
    <x v="5"/>
    <n v="325.81"/>
    <n v="152.47999999999999"/>
  </r>
  <r>
    <n v="3208"/>
    <n v="23011"/>
    <d v="2010-06-15T00:00:00"/>
    <s v="Low"/>
    <x v="618"/>
    <x v="20"/>
    <x v="0"/>
    <s v="Corporate"/>
    <x v="2"/>
    <x v="5"/>
    <n v="12.2"/>
    <n v="10.01"/>
  </r>
  <r>
    <n v="3209"/>
    <n v="23041"/>
    <d v="2010-07-20T00:00:00"/>
    <s v="Low"/>
    <x v="269"/>
    <x v="15"/>
    <x v="2"/>
    <s v="Consumer"/>
    <x v="0"/>
    <x v="12"/>
    <n v="173.7"/>
    <n v="7.68"/>
  </r>
  <r>
    <n v="3210"/>
    <n v="23041"/>
    <d v="2010-07-20T00:00:00"/>
    <s v="Low"/>
    <x v="269"/>
    <x v="15"/>
    <x v="2"/>
    <s v="Consumer"/>
    <x v="0"/>
    <x v="12"/>
    <n v="1811.25"/>
    <n v="367.99"/>
  </r>
  <r>
    <n v="3211"/>
    <n v="23041"/>
    <d v="2010-07-20T00:00:00"/>
    <s v="Low"/>
    <x v="269"/>
    <x v="15"/>
    <x v="2"/>
    <s v="Consumer"/>
    <x v="1"/>
    <x v="3"/>
    <n v="2642.95"/>
    <n v="262.11"/>
  </r>
  <r>
    <n v="3212"/>
    <n v="23042"/>
    <d v="2009-04-26T00:00:00"/>
    <s v="Medium"/>
    <x v="104"/>
    <x v="16"/>
    <x v="1"/>
    <s v="Home Office"/>
    <x v="0"/>
    <x v="0"/>
    <n v="8048.45"/>
    <n v="419.19"/>
  </r>
  <r>
    <n v="3213"/>
    <n v="23046"/>
    <d v="2010-10-06T00:00:00"/>
    <s v="Critical"/>
    <x v="617"/>
    <x v="4"/>
    <x v="1"/>
    <s v="Corporate"/>
    <x v="0"/>
    <x v="9"/>
    <n v="292.75"/>
    <n v="8.9499999999999993"/>
  </r>
  <r>
    <n v="3214"/>
    <n v="23076"/>
    <d v="2009-05-27T00:00:00"/>
    <s v="Critical"/>
    <x v="760"/>
    <x v="30"/>
    <x v="0"/>
    <s v="Corporate"/>
    <x v="1"/>
    <x v="2"/>
    <n v="742.21"/>
    <n v="14.2"/>
  </r>
  <r>
    <n v="3215"/>
    <n v="23078"/>
    <d v="2011-09-15T00:00:00"/>
    <s v="Medium"/>
    <x v="1004"/>
    <x v="31"/>
    <x v="3"/>
    <s v="Consumer"/>
    <x v="0"/>
    <x v="9"/>
    <n v="342.27"/>
    <n v="40.99"/>
  </r>
  <r>
    <n v="3216"/>
    <n v="23078"/>
    <d v="2011-09-15T00:00:00"/>
    <s v="Medium"/>
    <x v="138"/>
    <x v="35"/>
    <x v="3"/>
    <s v="Consumer"/>
    <x v="0"/>
    <x v="14"/>
    <n v="168.95"/>
    <n v="9.7799999999999994"/>
  </r>
  <r>
    <n v="3217"/>
    <n v="23078"/>
    <d v="2011-09-15T00:00:00"/>
    <s v="Medium"/>
    <x v="410"/>
    <x v="13"/>
    <x v="3"/>
    <s v="Consumer"/>
    <x v="0"/>
    <x v="1"/>
    <n v="577.95000000000005"/>
    <n v="15.73"/>
  </r>
  <r>
    <n v="3218"/>
    <n v="23104"/>
    <d v="2011-04-09T00:00:00"/>
    <s v="Medium"/>
    <x v="380"/>
    <x v="11"/>
    <x v="2"/>
    <s v="Small Business"/>
    <x v="1"/>
    <x v="2"/>
    <n v="30.92"/>
    <n v="6.98"/>
  </r>
  <r>
    <n v="3219"/>
    <n v="23104"/>
    <d v="2011-04-09T00:00:00"/>
    <s v="Medium"/>
    <x v="1005"/>
    <x v="11"/>
    <x v="2"/>
    <s v="Small Business"/>
    <x v="0"/>
    <x v="7"/>
    <n v="142.80000000000001"/>
    <n v="5.81"/>
  </r>
  <r>
    <n v="3220"/>
    <n v="23106"/>
    <d v="2010-10-20T00:00:00"/>
    <s v="Medium"/>
    <x v="944"/>
    <x v="34"/>
    <x v="2"/>
    <s v="Corporate"/>
    <x v="2"/>
    <x v="10"/>
    <n v="25313.34"/>
    <n v="810.98"/>
  </r>
  <r>
    <n v="3221"/>
    <n v="23107"/>
    <d v="2011-06-11T00:00:00"/>
    <s v="Medium"/>
    <x v="207"/>
    <x v="36"/>
    <x v="2"/>
    <s v="Consumer"/>
    <x v="0"/>
    <x v="12"/>
    <n v="43.29"/>
    <n v="5.38"/>
  </r>
  <r>
    <n v="3222"/>
    <n v="23136"/>
    <d v="2009-09-25T00:00:00"/>
    <s v="Not Specified"/>
    <x v="820"/>
    <x v="28"/>
    <x v="1"/>
    <s v="Small Business"/>
    <x v="1"/>
    <x v="15"/>
    <n v="9312.52"/>
    <n v="218.08"/>
  </r>
  <r>
    <n v="3223"/>
    <n v="23136"/>
    <d v="2009-09-25T00:00:00"/>
    <s v="Not Specified"/>
    <x v="820"/>
    <x v="28"/>
    <x v="1"/>
    <s v="Small Business"/>
    <x v="2"/>
    <x v="5"/>
    <n v="220.47"/>
    <n v="4.9800000000000004"/>
  </r>
  <r>
    <n v="3224"/>
    <n v="23140"/>
    <d v="2012-02-08T00:00:00"/>
    <s v="High"/>
    <x v="761"/>
    <x v="2"/>
    <x v="2"/>
    <s v="Home Office"/>
    <x v="1"/>
    <x v="2"/>
    <n v="1713.8"/>
    <n v="99.23"/>
  </r>
  <r>
    <n v="3225"/>
    <n v="23140"/>
    <d v="2012-02-08T00:00:00"/>
    <s v="High"/>
    <x v="761"/>
    <x v="2"/>
    <x v="2"/>
    <s v="Home Office"/>
    <x v="0"/>
    <x v="6"/>
    <n v="116.69"/>
    <n v="7.08"/>
  </r>
  <r>
    <n v="3226"/>
    <n v="23168"/>
    <d v="2010-09-15T00:00:00"/>
    <s v="Low"/>
    <x v="865"/>
    <x v="16"/>
    <x v="1"/>
    <s v="Home Office"/>
    <x v="2"/>
    <x v="16"/>
    <n v="23949.51"/>
    <n v="499.99"/>
  </r>
  <r>
    <n v="3227"/>
    <n v="23169"/>
    <d v="2011-06-23T00:00:00"/>
    <s v="Critical"/>
    <x v="145"/>
    <x v="40"/>
    <x v="3"/>
    <s v="Home Office"/>
    <x v="0"/>
    <x v="9"/>
    <n v="172.7"/>
    <n v="6.48"/>
  </r>
  <r>
    <n v="3228"/>
    <n v="23169"/>
    <d v="2011-06-23T00:00:00"/>
    <s v="Critical"/>
    <x v="792"/>
    <x v="41"/>
    <x v="3"/>
    <s v="Home Office"/>
    <x v="2"/>
    <x v="5"/>
    <n v="1683.57"/>
    <n v="80.98"/>
  </r>
  <r>
    <n v="3229"/>
    <n v="23170"/>
    <d v="2009-05-21T00:00:00"/>
    <s v="Not Specified"/>
    <x v="261"/>
    <x v="24"/>
    <x v="1"/>
    <s v="Consumer"/>
    <x v="1"/>
    <x v="15"/>
    <n v="4252.8900000000003"/>
    <n v="218.08"/>
  </r>
  <r>
    <n v="3230"/>
    <n v="23172"/>
    <d v="2012-04-24T00:00:00"/>
    <s v="Low"/>
    <x v="915"/>
    <x v="4"/>
    <x v="1"/>
    <s v="Home Office"/>
    <x v="2"/>
    <x v="10"/>
    <n v="1191.73"/>
    <n v="96.45"/>
  </r>
  <r>
    <n v="3231"/>
    <n v="23174"/>
    <d v="2012-07-26T00:00:00"/>
    <s v="Low"/>
    <x v="966"/>
    <x v="14"/>
    <x v="0"/>
    <s v="Consumer"/>
    <x v="1"/>
    <x v="15"/>
    <n v="3549.9"/>
    <n v="216.6"/>
  </r>
  <r>
    <n v="3232"/>
    <n v="23174"/>
    <d v="2012-07-26T00:00:00"/>
    <s v="Low"/>
    <x v="966"/>
    <x v="14"/>
    <x v="0"/>
    <s v="Consumer"/>
    <x v="0"/>
    <x v="0"/>
    <n v="138.24"/>
    <n v="16.739999999999998"/>
  </r>
  <r>
    <n v="3233"/>
    <n v="23202"/>
    <d v="2011-07-30T00:00:00"/>
    <s v="High"/>
    <x v="827"/>
    <x v="5"/>
    <x v="0"/>
    <s v="Small Business"/>
    <x v="0"/>
    <x v="9"/>
    <n v="307.42"/>
    <n v="8.17"/>
  </r>
  <r>
    <n v="3234"/>
    <n v="23202"/>
    <d v="2011-07-30T00:00:00"/>
    <s v="High"/>
    <x v="827"/>
    <x v="5"/>
    <x v="0"/>
    <s v="Small Business"/>
    <x v="0"/>
    <x v="6"/>
    <n v="608.29"/>
    <n v="11.97"/>
  </r>
  <r>
    <n v="3235"/>
    <n v="23205"/>
    <d v="2009-05-24T00:00:00"/>
    <s v="High"/>
    <x v="166"/>
    <x v="26"/>
    <x v="3"/>
    <s v="Consumer"/>
    <x v="0"/>
    <x v="13"/>
    <n v="319.62"/>
    <n v="40.98"/>
  </r>
  <r>
    <n v="3236"/>
    <n v="23205"/>
    <d v="2009-05-24T00:00:00"/>
    <s v="High"/>
    <x v="166"/>
    <x v="26"/>
    <x v="3"/>
    <s v="Consumer"/>
    <x v="2"/>
    <x v="5"/>
    <n v="263.39"/>
    <n v="8.1199999999999992"/>
  </r>
  <r>
    <n v="3237"/>
    <n v="23205"/>
    <d v="2009-05-24T00:00:00"/>
    <s v="High"/>
    <x v="166"/>
    <x v="26"/>
    <x v="3"/>
    <s v="Consumer"/>
    <x v="1"/>
    <x v="3"/>
    <n v="7208.8"/>
    <n v="262.11"/>
  </r>
  <r>
    <n v="3238"/>
    <n v="23207"/>
    <d v="2010-10-22T00:00:00"/>
    <s v="Critical"/>
    <x v="962"/>
    <x v="22"/>
    <x v="0"/>
    <s v="Corporate"/>
    <x v="0"/>
    <x v="9"/>
    <n v="336.91"/>
    <n v="30.98"/>
  </r>
  <r>
    <n v="3239"/>
    <n v="23232"/>
    <d v="2010-04-16T00:00:00"/>
    <s v="High"/>
    <x v="22"/>
    <x v="15"/>
    <x v="2"/>
    <s v="Home Office"/>
    <x v="2"/>
    <x v="5"/>
    <n v="614.15"/>
    <n v="39.979999999999997"/>
  </r>
  <r>
    <n v="3240"/>
    <n v="23232"/>
    <d v="2010-04-16T00:00:00"/>
    <s v="High"/>
    <x v="22"/>
    <x v="15"/>
    <x v="2"/>
    <s v="Home Office"/>
    <x v="0"/>
    <x v="8"/>
    <n v="154.24"/>
    <n v="4.9800000000000004"/>
  </r>
  <r>
    <n v="3241"/>
    <n v="23232"/>
    <d v="2010-04-16T00:00:00"/>
    <s v="High"/>
    <x v="22"/>
    <x v="15"/>
    <x v="2"/>
    <s v="Home Office"/>
    <x v="0"/>
    <x v="9"/>
    <n v="140.31"/>
    <n v="6.48"/>
  </r>
  <r>
    <n v="3242"/>
    <n v="23235"/>
    <d v="2011-07-05T00:00:00"/>
    <s v="High"/>
    <x v="865"/>
    <x v="16"/>
    <x v="1"/>
    <s v="Home Office"/>
    <x v="1"/>
    <x v="3"/>
    <n v="17.43"/>
    <n v="2.88"/>
  </r>
  <r>
    <n v="3243"/>
    <n v="23238"/>
    <d v="2010-03-31T00:00:00"/>
    <s v="Not Specified"/>
    <x v="280"/>
    <x v="16"/>
    <x v="1"/>
    <s v="Small Business"/>
    <x v="2"/>
    <x v="10"/>
    <n v="2976.19"/>
    <n v="115.99"/>
  </r>
  <r>
    <n v="3244"/>
    <n v="23264"/>
    <d v="2010-12-07T00:00:00"/>
    <s v="Critical"/>
    <x v="57"/>
    <x v="0"/>
    <x v="0"/>
    <s v="Corporate"/>
    <x v="0"/>
    <x v="9"/>
    <n v="108.42"/>
    <n v="6.48"/>
  </r>
  <r>
    <n v="3245"/>
    <n v="23264"/>
    <d v="2010-12-07T00:00:00"/>
    <s v="Critical"/>
    <x v="72"/>
    <x v="0"/>
    <x v="0"/>
    <s v="Corporate"/>
    <x v="0"/>
    <x v="8"/>
    <n v="78.47"/>
    <n v="2.88"/>
  </r>
  <r>
    <n v="3246"/>
    <n v="23268"/>
    <d v="2012-01-16T00:00:00"/>
    <s v="High"/>
    <x v="296"/>
    <x v="13"/>
    <x v="3"/>
    <s v="Home Office"/>
    <x v="0"/>
    <x v="9"/>
    <n v="255.31"/>
    <n v="48.04"/>
  </r>
  <r>
    <n v="3247"/>
    <n v="23268"/>
    <d v="2012-01-16T00:00:00"/>
    <s v="High"/>
    <x v="558"/>
    <x v="12"/>
    <x v="3"/>
    <s v="Home Office"/>
    <x v="0"/>
    <x v="9"/>
    <n v="50.85"/>
    <n v="3.6"/>
  </r>
  <r>
    <n v="3248"/>
    <n v="23270"/>
    <d v="2011-03-13T00:00:00"/>
    <s v="Low"/>
    <x v="303"/>
    <x v="15"/>
    <x v="2"/>
    <s v="Home Office"/>
    <x v="0"/>
    <x v="13"/>
    <n v="1460.42"/>
    <n v="68.81"/>
  </r>
  <r>
    <n v="3249"/>
    <n v="23270"/>
    <d v="2011-03-13T00:00:00"/>
    <s v="Low"/>
    <x v="303"/>
    <x v="15"/>
    <x v="2"/>
    <s v="Home Office"/>
    <x v="2"/>
    <x v="4"/>
    <n v="6659.7415000000001"/>
    <n v="195.99"/>
  </r>
  <r>
    <n v="3250"/>
    <n v="23271"/>
    <d v="2010-11-03T00:00:00"/>
    <s v="High"/>
    <x v="1006"/>
    <x v="31"/>
    <x v="3"/>
    <s v="Small Business"/>
    <x v="2"/>
    <x v="10"/>
    <n v="794.58"/>
    <n v="808.49"/>
  </r>
  <r>
    <n v="3251"/>
    <n v="23297"/>
    <d v="2012-07-02T00:00:00"/>
    <s v="Critical"/>
    <x v="1007"/>
    <x v="16"/>
    <x v="1"/>
    <s v="Corporate"/>
    <x v="0"/>
    <x v="13"/>
    <n v="498.68"/>
    <n v="25.98"/>
  </r>
  <r>
    <n v="3252"/>
    <n v="23297"/>
    <d v="2012-07-02T00:00:00"/>
    <s v="Critical"/>
    <x v="1007"/>
    <x v="16"/>
    <x v="1"/>
    <s v="Corporate"/>
    <x v="0"/>
    <x v="0"/>
    <n v="5208.78"/>
    <n v="155.06"/>
  </r>
  <r>
    <n v="3253"/>
    <n v="23301"/>
    <d v="2011-04-18T00:00:00"/>
    <s v="High"/>
    <x v="1007"/>
    <x v="16"/>
    <x v="1"/>
    <s v="Corporate"/>
    <x v="2"/>
    <x v="5"/>
    <n v="28.46"/>
    <n v="5.98"/>
  </r>
  <r>
    <n v="3254"/>
    <n v="23301"/>
    <d v="2011-04-18T00:00:00"/>
    <s v="High"/>
    <x v="1007"/>
    <x v="16"/>
    <x v="1"/>
    <s v="Corporate"/>
    <x v="0"/>
    <x v="9"/>
    <n v="23.44"/>
    <n v="5.98"/>
  </r>
  <r>
    <n v="3255"/>
    <n v="23303"/>
    <d v="2009-06-20T00:00:00"/>
    <s v="Not Specified"/>
    <x v="539"/>
    <x v="23"/>
    <x v="3"/>
    <s v="Consumer"/>
    <x v="0"/>
    <x v="9"/>
    <n v="238.49"/>
    <n v="6.48"/>
  </r>
  <r>
    <n v="3256"/>
    <n v="23328"/>
    <d v="2010-09-15T00:00:00"/>
    <s v="High"/>
    <x v="770"/>
    <x v="24"/>
    <x v="1"/>
    <s v="Small Business"/>
    <x v="2"/>
    <x v="10"/>
    <n v="5740.32"/>
    <n v="145.44999999999999"/>
  </r>
  <r>
    <n v="3257"/>
    <n v="23329"/>
    <d v="2010-12-26T00:00:00"/>
    <s v="Low"/>
    <x v="68"/>
    <x v="16"/>
    <x v="1"/>
    <s v="Home Office"/>
    <x v="2"/>
    <x v="4"/>
    <n v="31.118499999999997"/>
    <n v="7.99"/>
  </r>
  <r>
    <n v="3258"/>
    <n v="23329"/>
    <d v="2010-12-26T00:00:00"/>
    <s v="Low"/>
    <x v="68"/>
    <x v="16"/>
    <x v="1"/>
    <s v="Home Office"/>
    <x v="2"/>
    <x v="4"/>
    <n v="4829.4534999999996"/>
    <n v="125.99"/>
  </r>
  <r>
    <n v="3259"/>
    <n v="23333"/>
    <d v="2009-08-05T00:00:00"/>
    <s v="Medium"/>
    <x v="927"/>
    <x v="14"/>
    <x v="0"/>
    <s v="Home Office"/>
    <x v="0"/>
    <x v="13"/>
    <n v="634.12"/>
    <n v="14.42"/>
  </r>
  <r>
    <n v="3260"/>
    <n v="23333"/>
    <d v="2009-08-05T00:00:00"/>
    <s v="Medium"/>
    <x v="927"/>
    <x v="14"/>
    <x v="0"/>
    <s v="Home Office"/>
    <x v="0"/>
    <x v="9"/>
    <n v="196.84"/>
    <n v="5.98"/>
  </r>
  <r>
    <n v="3261"/>
    <n v="23333"/>
    <d v="2009-08-05T00:00:00"/>
    <s v="Medium"/>
    <x v="927"/>
    <x v="14"/>
    <x v="0"/>
    <s v="Home Office"/>
    <x v="2"/>
    <x v="4"/>
    <n v="886.89"/>
    <n v="65.989999999999995"/>
  </r>
  <r>
    <n v="3262"/>
    <n v="23360"/>
    <d v="2009-05-11T00:00:00"/>
    <s v="Low"/>
    <x v="200"/>
    <x v="34"/>
    <x v="2"/>
    <s v="Consumer"/>
    <x v="0"/>
    <x v="14"/>
    <n v="512.97"/>
    <n v="15.67"/>
  </r>
  <r>
    <n v="3263"/>
    <n v="23361"/>
    <d v="2010-07-03T00:00:00"/>
    <s v="Critical"/>
    <x v="921"/>
    <x v="9"/>
    <x v="1"/>
    <s v="Corporate"/>
    <x v="0"/>
    <x v="7"/>
    <n v="3.23"/>
    <n v="1.26"/>
  </r>
  <r>
    <n v="3264"/>
    <n v="23361"/>
    <d v="2010-07-03T00:00:00"/>
    <s v="Critical"/>
    <x v="921"/>
    <x v="9"/>
    <x v="1"/>
    <s v="Corporate"/>
    <x v="0"/>
    <x v="0"/>
    <n v="2861.66"/>
    <n v="80.98"/>
  </r>
  <r>
    <n v="3265"/>
    <n v="23361"/>
    <d v="2010-07-03T00:00:00"/>
    <s v="Critical"/>
    <x v="921"/>
    <x v="9"/>
    <x v="1"/>
    <s v="Corporate"/>
    <x v="2"/>
    <x v="4"/>
    <n v="373.27749999999997"/>
    <n v="65.989999999999995"/>
  </r>
  <r>
    <n v="3266"/>
    <n v="23362"/>
    <d v="2010-08-27T00:00:00"/>
    <s v="Medium"/>
    <x v="391"/>
    <x v="18"/>
    <x v="2"/>
    <s v="Small Business"/>
    <x v="1"/>
    <x v="2"/>
    <n v="852.05"/>
    <n v="19.98"/>
  </r>
  <r>
    <n v="3267"/>
    <n v="23363"/>
    <d v="2012-05-29T00:00:00"/>
    <s v="Low"/>
    <x v="396"/>
    <x v="11"/>
    <x v="2"/>
    <s v="Corporate"/>
    <x v="0"/>
    <x v="12"/>
    <n v="241.81"/>
    <n v="4.91"/>
  </r>
  <r>
    <n v="3268"/>
    <n v="23366"/>
    <d v="2010-11-19T00:00:00"/>
    <s v="Not Specified"/>
    <x v="780"/>
    <x v="16"/>
    <x v="1"/>
    <s v="Corporate"/>
    <x v="1"/>
    <x v="2"/>
    <n v="136.1"/>
    <n v="10.52"/>
  </r>
  <r>
    <n v="3269"/>
    <n v="23366"/>
    <d v="2010-11-19T00:00:00"/>
    <s v="Not Specified"/>
    <x v="780"/>
    <x v="16"/>
    <x v="1"/>
    <s v="Corporate"/>
    <x v="0"/>
    <x v="0"/>
    <n v="297.85000000000002"/>
    <n v="54.1"/>
  </r>
  <r>
    <n v="3270"/>
    <n v="23392"/>
    <d v="2009-08-16T00:00:00"/>
    <s v="Medium"/>
    <x v="737"/>
    <x v="7"/>
    <x v="3"/>
    <s v="Home Office"/>
    <x v="1"/>
    <x v="3"/>
    <n v="4276.0960000000005"/>
    <n v="209.37"/>
  </r>
  <r>
    <n v="3271"/>
    <n v="23394"/>
    <d v="2010-04-29T00:00:00"/>
    <s v="High"/>
    <x v="514"/>
    <x v="26"/>
    <x v="3"/>
    <s v="Small Business"/>
    <x v="0"/>
    <x v="12"/>
    <n v="101.57"/>
    <n v="2.08"/>
  </r>
  <r>
    <n v="3272"/>
    <n v="23395"/>
    <d v="2012-10-27T00:00:00"/>
    <s v="Medium"/>
    <x v="855"/>
    <x v="16"/>
    <x v="1"/>
    <s v="Corporate"/>
    <x v="2"/>
    <x v="5"/>
    <n v="1296.46"/>
    <n v="39.479999999999997"/>
  </r>
  <r>
    <n v="3273"/>
    <n v="23396"/>
    <d v="2010-06-18T00:00:00"/>
    <s v="Low"/>
    <x v="852"/>
    <x v="9"/>
    <x v="1"/>
    <s v="Home Office"/>
    <x v="2"/>
    <x v="10"/>
    <n v="11481.03"/>
    <n v="399.98"/>
  </r>
  <r>
    <n v="3274"/>
    <n v="23398"/>
    <d v="2009-03-13T00:00:00"/>
    <s v="Medium"/>
    <x v="1008"/>
    <x v="23"/>
    <x v="3"/>
    <s v="Corporate"/>
    <x v="0"/>
    <x v="9"/>
    <n v="123.1"/>
    <n v="6.48"/>
  </r>
  <r>
    <n v="3275"/>
    <n v="23399"/>
    <d v="2010-12-29T00:00:00"/>
    <s v="High"/>
    <x v="391"/>
    <x v="18"/>
    <x v="2"/>
    <s v="Small Business"/>
    <x v="0"/>
    <x v="0"/>
    <n v="209.3"/>
    <n v="13.48"/>
  </r>
  <r>
    <n v="3276"/>
    <n v="23426"/>
    <d v="2011-02-16T00:00:00"/>
    <s v="Critical"/>
    <x v="415"/>
    <x v="5"/>
    <x v="0"/>
    <s v="Consumer"/>
    <x v="2"/>
    <x v="5"/>
    <n v="1009.8"/>
    <n v="22.98"/>
  </r>
  <r>
    <n v="3277"/>
    <n v="23426"/>
    <d v="2011-02-16T00:00:00"/>
    <s v="Critical"/>
    <x v="415"/>
    <x v="5"/>
    <x v="0"/>
    <s v="Consumer"/>
    <x v="0"/>
    <x v="1"/>
    <n v="29.71"/>
    <n v="2.52"/>
  </r>
  <r>
    <n v="3278"/>
    <n v="23427"/>
    <d v="2011-08-08T00:00:00"/>
    <s v="Low"/>
    <x v="695"/>
    <x v="9"/>
    <x v="1"/>
    <s v="Corporate"/>
    <x v="0"/>
    <x v="12"/>
    <n v="442.76"/>
    <n v="15.01"/>
  </r>
  <r>
    <n v="3279"/>
    <n v="23427"/>
    <d v="2011-08-08T00:00:00"/>
    <s v="Low"/>
    <x v="695"/>
    <x v="9"/>
    <x v="1"/>
    <s v="Corporate"/>
    <x v="0"/>
    <x v="12"/>
    <n v="2684.98"/>
    <n v="120.98"/>
  </r>
  <r>
    <n v="3280"/>
    <n v="23428"/>
    <d v="2012-10-28T00:00:00"/>
    <s v="High"/>
    <x v="1009"/>
    <x v="31"/>
    <x v="3"/>
    <s v="Small Business"/>
    <x v="0"/>
    <x v="9"/>
    <n v="980.95"/>
    <n v="22.84"/>
  </r>
  <r>
    <n v="3281"/>
    <n v="23429"/>
    <d v="2009-03-19T00:00:00"/>
    <s v="Critical"/>
    <x v="782"/>
    <x v="27"/>
    <x v="3"/>
    <s v="Corporate"/>
    <x v="0"/>
    <x v="12"/>
    <n v="154.61000000000001"/>
    <n v="5.34"/>
  </r>
  <r>
    <n v="3282"/>
    <n v="23429"/>
    <d v="2009-03-19T00:00:00"/>
    <s v="Critical"/>
    <x v="782"/>
    <x v="27"/>
    <x v="3"/>
    <s v="Corporate"/>
    <x v="2"/>
    <x v="4"/>
    <n v="1063.3499999999999"/>
    <n v="65.989999999999995"/>
  </r>
  <r>
    <n v="3283"/>
    <n v="23488"/>
    <d v="2009-01-06T00:00:00"/>
    <s v="High"/>
    <x v="718"/>
    <x v="16"/>
    <x v="1"/>
    <s v="Home Office"/>
    <x v="0"/>
    <x v="6"/>
    <n v="101.77"/>
    <n v="3.28"/>
  </r>
  <r>
    <n v="3284"/>
    <n v="23488"/>
    <d v="2009-01-06T00:00:00"/>
    <s v="Critical"/>
    <x v="1010"/>
    <x v="0"/>
    <x v="0"/>
    <s v="Home Office"/>
    <x v="1"/>
    <x v="11"/>
    <n v="26133.39"/>
    <n v="880.98"/>
  </r>
  <r>
    <n v="3285"/>
    <n v="23489"/>
    <d v="2012-08-28T00:00:00"/>
    <s v="High"/>
    <x v="560"/>
    <x v="10"/>
    <x v="0"/>
    <s v="Corporate"/>
    <x v="2"/>
    <x v="5"/>
    <n v="2004.6"/>
    <n v="47.98"/>
  </r>
  <r>
    <n v="3286"/>
    <n v="23522"/>
    <d v="2011-04-11T00:00:00"/>
    <s v="Critical"/>
    <x v="499"/>
    <x v="40"/>
    <x v="3"/>
    <s v="Small Business"/>
    <x v="1"/>
    <x v="2"/>
    <n v="180.43"/>
    <n v="19.989999999999998"/>
  </r>
  <r>
    <n v="3287"/>
    <n v="23522"/>
    <d v="2011-04-11T00:00:00"/>
    <s v="Critical"/>
    <x v="237"/>
    <x v="12"/>
    <x v="3"/>
    <s v="Small Business"/>
    <x v="2"/>
    <x v="4"/>
    <n v="1077.8084999999999"/>
    <n v="65.989999999999995"/>
  </r>
  <r>
    <n v="3288"/>
    <n v="23522"/>
    <d v="2011-04-11T00:00:00"/>
    <s v="Critical"/>
    <x v="1011"/>
    <x v="12"/>
    <x v="3"/>
    <s v="Small Business"/>
    <x v="2"/>
    <x v="5"/>
    <n v="2899.98"/>
    <n v="159.99"/>
  </r>
  <r>
    <n v="3289"/>
    <n v="23522"/>
    <d v="2011-04-11T00:00:00"/>
    <s v="Critical"/>
    <x v="1012"/>
    <x v="12"/>
    <x v="3"/>
    <s v="Small Business"/>
    <x v="0"/>
    <x v="9"/>
    <n v="233.38"/>
    <n v="6.48"/>
  </r>
  <r>
    <n v="3290"/>
    <n v="23524"/>
    <d v="2009-04-28T00:00:00"/>
    <s v="High"/>
    <x v="1013"/>
    <x v="32"/>
    <x v="0"/>
    <s v="Home Office"/>
    <x v="0"/>
    <x v="8"/>
    <n v="129.33000000000001"/>
    <n v="4.13"/>
  </r>
  <r>
    <n v="3291"/>
    <n v="23524"/>
    <d v="2009-04-28T00:00:00"/>
    <s v="High"/>
    <x v="1013"/>
    <x v="32"/>
    <x v="0"/>
    <s v="Home Office"/>
    <x v="0"/>
    <x v="9"/>
    <n v="2461.23"/>
    <n v="55.48"/>
  </r>
  <r>
    <n v="3292"/>
    <n v="23555"/>
    <d v="2012-12-11T00:00:00"/>
    <s v="High"/>
    <x v="1014"/>
    <x v="16"/>
    <x v="1"/>
    <s v="Corporate"/>
    <x v="0"/>
    <x v="8"/>
    <n v="104.7"/>
    <n v="3.69"/>
  </r>
  <r>
    <n v="3293"/>
    <n v="23555"/>
    <d v="2012-12-11T00:00:00"/>
    <s v="High"/>
    <x v="1014"/>
    <x v="16"/>
    <x v="1"/>
    <s v="Corporate"/>
    <x v="2"/>
    <x v="4"/>
    <n v="284.45249999999999"/>
    <n v="65.989999999999995"/>
  </r>
  <r>
    <n v="3294"/>
    <n v="23556"/>
    <d v="2011-01-09T00:00:00"/>
    <s v="Medium"/>
    <x v="633"/>
    <x v="36"/>
    <x v="2"/>
    <s v="Consumer"/>
    <x v="0"/>
    <x v="13"/>
    <n v="11747.97"/>
    <n v="363.25"/>
  </r>
  <r>
    <n v="3295"/>
    <n v="23557"/>
    <d v="2011-05-31T00:00:00"/>
    <s v="Not Specified"/>
    <x v="1015"/>
    <x v="8"/>
    <x v="2"/>
    <s v="Home Office"/>
    <x v="1"/>
    <x v="2"/>
    <n v="1011.16"/>
    <n v="136.97999999999999"/>
  </r>
  <r>
    <n v="3296"/>
    <n v="23558"/>
    <d v="2011-08-09T00:00:00"/>
    <s v="Low"/>
    <x v="462"/>
    <x v="43"/>
    <x v="3"/>
    <s v="Home Office"/>
    <x v="0"/>
    <x v="9"/>
    <n v="25.82"/>
    <n v="4.9800000000000004"/>
  </r>
  <r>
    <n v="3297"/>
    <n v="23558"/>
    <d v="2011-08-09T00:00:00"/>
    <s v="Low"/>
    <x v="462"/>
    <x v="43"/>
    <x v="3"/>
    <s v="Home Office"/>
    <x v="1"/>
    <x v="3"/>
    <n v="579.71"/>
    <n v="31.76"/>
  </r>
  <r>
    <n v="3298"/>
    <n v="23559"/>
    <d v="2010-07-18T00:00:00"/>
    <s v="Low"/>
    <x v="803"/>
    <x v="11"/>
    <x v="2"/>
    <s v="Home Office"/>
    <x v="0"/>
    <x v="12"/>
    <n v="425.67"/>
    <n v="28.53"/>
  </r>
  <r>
    <n v="3299"/>
    <n v="23559"/>
    <d v="2010-07-18T00:00:00"/>
    <s v="Low"/>
    <x v="803"/>
    <x v="11"/>
    <x v="2"/>
    <s v="Home Office"/>
    <x v="2"/>
    <x v="10"/>
    <n v="173.44"/>
    <n v="17.98"/>
  </r>
  <r>
    <n v="3300"/>
    <n v="23584"/>
    <d v="2012-03-12T00:00:00"/>
    <s v="Critical"/>
    <x v="909"/>
    <x v="0"/>
    <x v="0"/>
    <s v="Corporate"/>
    <x v="2"/>
    <x v="10"/>
    <n v="2671.21"/>
    <n v="200.97"/>
  </r>
  <r>
    <n v="3301"/>
    <n v="23585"/>
    <d v="2012-10-31T00:00:00"/>
    <s v="Critical"/>
    <x v="673"/>
    <x v="4"/>
    <x v="1"/>
    <s v="Home Office"/>
    <x v="0"/>
    <x v="6"/>
    <n v="192.78"/>
    <n v="4.28"/>
  </r>
  <r>
    <n v="3302"/>
    <n v="23586"/>
    <d v="2010-01-14T00:00:00"/>
    <s v="Medium"/>
    <x v="872"/>
    <x v="2"/>
    <x v="2"/>
    <s v="Small Business"/>
    <x v="0"/>
    <x v="9"/>
    <n v="210.9"/>
    <n v="6.48"/>
  </r>
  <r>
    <n v="3303"/>
    <n v="23616"/>
    <d v="2012-08-28T00:00:00"/>
    <s v="Not Specified"/>
    <x v="735"/>
    <x v="40"/>
    <x v="3"/>
    <s v="Home Office"/>
    <x v="2"/>
    <x v="16"/>
    <n v="9262.35"/>
    <n v="199.99"/>
  </r>
  <r>
    <n v="3304"/>
    <n v="23617"/>
    <d v="2011-05-05T00:00:00"/>
    <s v="Not Specified"/>
    <x v="375"/>
    <x v="16"/>
    <x v="1"/>
    <s v="Consumer"/>
    <x v="0"/>
    <x v="12"/>
    <n v="247.34"/>
    <n v="37.700000000000003"/>
  </r>
  <r>
    <n v="3305"/>
    <n v="23618"/>
    <d v="2012-11-27T00:00:00"/>
    <s v="Medium"/>
    <x v="512"/>
    <x v="15"/>
    <x v="2"/>
    <s v="Consumer"/>
    <x v="2"/>
    <x v="4"/>
    <n v="2601.7904999999996"/>
    <n v="65.989999999999995"/>
  </r>
  <r>
    <n v="3306"/>
    <n v="23619"/>
    <d v="2012-12-21T00:00:00"/>
    <s v="Medium"/>
    <x v="369"/>
    <x v="35"/>
    <x v="3"/>
    <s v="Small Business"/>
    <x v="2"/>
    <x v="10"/>
    <n v="1043.1199999999999"/>
    <n v="150.97999999999999"/>
  </r>
  <r>
    <n v="3307"/>
    <n v="23619"/>
    <d v="2012-12-21T00:00:00"/>
    <s v="Medium"/>
    <x v="1016"/>
    <x v="31"/>
    <x v="3"/>
    <s v="Small Business"/>
    <x v="1"/>
    <x v="2"/>
    <n v="285.91000000000003"/>
    <n v="6.24"/>
  </r>
  <r>
    <n v="3308"/>
    <n v="23619"/>
    <d v="2012-12-21T00:00:00"/>
    <s v="Medium"/>
    <x v="1017"/>
    <x v="31"/>
    <x v="3"/>
    <s v="Small Business"/>
    <x v="2"/>
    <x v="4"/>
    <n v="2611.8035"/>
    <n v="65.989999999999995"/>
  </r>
  <r>
    <n v="3309"/>
    <n v="23648"/>
    <d v="2012-09-24T00:00:00"/>
    <s v="Critical"/>
    <x v="278"/>
    <x v="2"/>
    <x v="2"/>
    <s v="Corporate"/>
    <x v="2"/>
    <x v="5"/>
    <n v="6768.16"/>
    <n v="152.47999999999999"/>
  </r>
  <r>
    <n v="3310"/>
    <n v="23648"/>
    <d v="2012-09-24T00:00:00"/>
    <s v="Critical"/>
    <x v="278"/>
    <x v="2"/>
    <x v="2"/>
    <s v="Corporate"/>
    <x v="0"/>
    <x v="8"/>
    <n v="10.65"/>
    <n v="2.61"/>
  </r>
  <r>
    <n v="3311"/>
    <n v="23649"/>
    <d v="2012-09-05T00:00:00"/>
    <s v="Not Specified"/>
    <x v="535"/>
    <x v="5"/>
    <x v="0"/>
    <s v="Corporate"/>
    <x v="2"/>
    <x v="4"/>
    <n v="4587.9260000000004"/>
    <n v="195.99"/>
  </r>
  <r>
    <n v="3312"/>
    <n v="23649"/>
    <d v="2012-09-05T00:00:00"/>
    <s v="Not Specified"/>
    <x v="535"/>
    <x v="5"/>
    <x v="0"/>
    <s v="Corporate"/>
    <x v="2"/>
    <x v="4"/>
    <n v="4541.924"/>
    <n v="125.99"/>
  </r>
  <r>
    <n v="3313"/>
    <n v="23652"/>
    <d v="2009-08-30T00:00:00"/>
    <s v="Not Specified"/>
    <x v="939"/>
    <x v="16"/>
    <x v="1"/>
    <s v="Small Business"/>
    <x v="0"/>
    <x v="6"/>
    <n v="305.48"/>
    <n v="11.55"/>
  </r>
  <r>
    <n v="3314"/>
    <n v="23680"/>
    <d v="2010-11-06T00:00:00"/>
    <s v="Not Specified"/>
    <x v="855"/>
    <x v="16"/>
    <x v="1"/>
    <s v="Consumer"/>
    <x v="1"/>
    <x v="3"/>
    <n v="2029.4960000000001"/>
    <n v="320.64"/>
  </r>
  <r>
    <n v="3315"/>
    <n v="23681"/>
    <d v="2012-05-19T00:00:00"/>
    <s v="High"/>
    <x v="90"/>
    <x v="27"/>
    <x v="3"/>
    <s v="Consumer"/>
    <x v="0"/>
    <x v="0"/>
    <n v="4182.5200000000004"/>
    <n v="95.99"/>
  </r>
  <r>
    <n v="3316"/>
    <n v="23685"/>
    <d v="2012-06-29T00:00:00"/>
    <s v="Not Specified"/>
    <x v="667"/>
    <x v="28"/>
    <x v="1"/>
    <s v="Corporate"/>
    <x v="2"/>
    <x v="4"/>
    <n v="7928.561999999999"/>
    <n v="205.99"/>
  </r>
  <r>
    <n v="3317"/>
    <n v="23713"/>
    <d v="2012-11-28T00:00:00"/>
    <s v="Not Specified"/>
    <x v="978"/>
    <x v="33"/>
    <x v="0"/>
    <s v="Consumer"/>
    <x v="2"/>
    <x v="4"/>
    <n v="3701.5204999999996"/>
    <n v="115.99"/>
  </r>
  <r>
    <n v="3318"/>
    <n v="23719"/>
    <d v="2010-07-25T00:00:00"/>
    <s v="Critical"/>
    <x v="630"/>
    <x v="16"/>
    <x v="1"/>
    <s v="Consumer"/>
    <x v="0"/>
    <x v="9"/>
    <n v="122.74"/>
    <n v="7.28"/>
  </r>
  <r>
    <n v="3319"/>
    <n v="23745"/>
    <d v="2012-12-05T00:00:00"/>
    <s v="Low"/>
    <x v="1018"/>
    <x v="28"/>
    <x v="1"/>
    <s v="Corporate"/>
    <x v="1"/>
    <x v="2"/>
    <n v="715.8"/>
    <n v="55.5"/>
  </r>
  <r>
    <n v="3320"/>
    <n v="23745"/>
    <d v="2012-12-05T00:00:00"/>
    <s v="Low"/>
    <x v="1018"/>
    <x v="28"/>
    <x v="1"/>
    <s v="Corporate"/>
    <x v="1"/>
    <x v="3"/>
    <n v="10941.23"/>
    <n v="227.55"/>
  </r>
  <r>
    <n v="3321"/>
    <n v="23746"/>
    <d v="2010-12-15T00:00:00"/>
    <s v="High"/>
    <x v="1019"/>
    <x v="25"/>
    <x v="1"/>
    <s v="Home Office"/>
    <x v="2"/>
    <x v="5"/>
    <n v="408.23"/>
    <n v="40.97"/>
  </r>
  <r>
    <n v="3322"/>
    <n v="23748"/>
    <d v="2012-08-10T00:00:00"/>
    <s v="High"/>
    <x v="827"/>
    <x v="5"/>
    <x v="0"/>
    <s v="Small Business"/>
    <x v="0"/>
    <x v="0"/>
    <n v="6163.52"/>
    <n v="225.02"/>
  </r>
  <r>
    <n v="3323"/>
    <n v="23751"/>
    <d v="2009-03-18T00:00:00"/>
    <s v="Medium"/>
    <x v="891"/>
    <x v="9"/>
    <x v="1"/>
    <s v="Corporate"/>
    <x v="1"/>
    <x v="11"/>
    <n v="10364.36"/>
    <n v="220.98"/>
  </r>
  <r>
    <n v="3324"/>
    <n v="23777"/>
    <d v="2012-11-26T00:00:00"/>
    <s v="Not Specified"/>
    <x v="558"/>
    <x v="36"/>
    <x v="2"/>
    <s v="Consumer"/>
    <x v="0"/>
    <x v="0"/>
    <n v="487.7"/>
    <n v="31.98"/>
  </r>
  <r>
    <n v="3325"/>
    <n v="23778"/>
    <d v="2009-07-13T00:00:00"/>
    <s v="Low"/>
    <x v="524"/>
    <x v="16"/>
    <x v="1"/>
    <s v="Corporate"/>
    <x v="0"/>
    <x v="13"/>
    <n v="105.94"/>
    <n v="4.4800000000000004"/>
  </r>
  <r>
    <n v="3326"/>
    <n v="23781"/>
    <d v="2011-10-31T00:00:00"/>
    <s v="Critical"/>
    <x v="446"/>
    <x v="18"/>
    <x v="2"/>
    <s v="Home Office"/>
    <x v="0"/>
    <x v="9"/>
    <n v="200.24"/>
    <n v="6.48"/>
  </r>
  <r>
    <n v="3327"/>
    <n v="23782"/>
    <d v="2010-01-10T00:00:00"/>
    <s v="Low"/>
    <x v="1020"/>
    <x v="7"/>
    <x v="3"/>
    <s v="Corporate"/>
    <x v="1"/>
    <x v="15"/>
    <n v="21390.44"/>
    <n v="500.98"/>
  </r>
  <r>
    <n v="3328"/>
    <n v="23782"/>
    <d v="2010-01-10T00:00:00"/>
    <s v="Low"/>
    <x v="1020"/>
    <x v="7"/>
    <x v="3"/>
    <s v="Corporate"/>
    <x v="0"/>
    <x v="0"/>
    <n v="169.75"/>
    <n v="20.34"/>
  </r>
  <r>
    <n v="3329"/>
    <n v="23808"/>
    <d v="2009-02-07T00:00:00"/>
    <s v="Low"/>
    <x v="759"/>
    <x v="16"/>
    <x v="1"/>
    <s v="Consumer"/>
    <x v="0"/>
    <x v="9"/>
    <n v="630.14"/>
    <n v="19.98"/>
  </r>
  <r>
    <n v="3330"/>
    <n v="23808"/>
    <d v="2009-02-07T00:00:00"/>
    <s v="Low"/>
    <x v="759"/>
    <x v="16"/>
    <x v="1"/>
    <s v="Consumer"/>
    <x v="2"/>
    <x v="4"/>
    <n v="2813.8484999999996"/>
    <n v="125.99"/>
  </r>
  <r>
    <n v="3331"/>
    <n v="23809"/>
    <d v="2012-06-04T00:00:00"/>
    <s v="Not Specified"/>
    <x v="232"/>
    <x v="34"/>
    <x v="2"/>
    <s v="Home Office"/>
    <x v="0"/>
    <x v="12"/>
    <n v="86.61"/>
    <n v="12.97"/>
  </r>
  <r>
    <n v="3332"/>
    <n v="23812"/>
    <d v="2012-07-27T00:00:00"/>
    <s v="Critical"/>
    <x v="398"/>
    <x v="18"/>
    <x v="2"/>
    <s v="Home Office"/>
    <x v="2"/>
    <x v="10"/>
    <n v="5845.82"/>
    <n v="200.97"/>
  </r>
  <r>
    <n v="3333"/>
    <n v="23842"/>
    <d v="2010-09-17T00:00:00"/>
    <s v="Low"/>
    <x v="326"/>
    <x v="1"/>
    <x v="1"/>
    <s v="Consumer"/>
    <x v="0"/>
    <x v="9"/>
    <n v="127.16"/>
    <n v="6.68"/>
  </r>
  <r>
    <n v="3334"/>
    <n v="23844"/>
    <d v="2009-07-06T00:00:00"/>
    <s v="Not Specified"/>
    <x v="710"/>
    <x v="17"/>
    <x v="0"/>
    <s v="Home Office"/>
    <x v="0"/>
    <x v="13"/>
    <n v="1861.36"/>
    <n v="42.98"/>
  </r>
  <r>
    <n v="3335"/>
    <n v="23844"/>
    <d v="2009-07-06T00:00:00"/>
    <s v="Not Specified"/>
    <x v="710"/>
    <x v="17"/>
    <x v="0"/>
    <s v="Home Office"/>
    <x v="0"/>
    <x v="13"/>
    <n v="937.62"/>
    <n v="21.78"/>
  </r>
  <r>
    <n v="3336"/>
    <n v="23844"/>
    <d v="2009-07-06T00:00:00"/>
    <s v="Not Specified"/>
    <x v="710"/>
    <x v="17"/>
    <x v="0"/>
    <s v="Home Office"/>
    <x v="0"/>
    <x v="8"/>
    <n v="33.020000000000003"/>
    <n v="3.15"/>
  </r>
  <r>
    <n v="3337"/>
    <n v="23847"/>
    <d v="2012-11-09T00:00:00"/>
    <s v="Not Specified"/>
    <x v="1021"/>
    <x v="5"/>
    <x v="0"/>
    <s v="Home Office"/>
    <x v="2"/>
    <x v="4"/>
    <n v="1278.6464999999998"/>
    <n v="200.99"/>
  </r>
  <r>
    <n v="3338"/>
    <n v="23877"/>
    <d v="2009-07-12T00:00:00"/>
    <s v="Not Specified"/>
    <x v="104"/>
    <x v="16"/>
    <x v="1"/>
    <s v="Home Office"/>
    <x v="2"/>
    <x v="4"/>
    <n v="1624.5964999999999"/>
    <n v="65.989999999999995"/>
  </r>
  <r>
    <n v="3339"/>
    <n v="23877"/>
    <d v="2009-07-12T00:00:00"/>
    <s v="Not Specified"/>
    <x v="1022"/>
    <x v="16"/>
    <x v="1"/>
    <s v="Home Office"/>
    <x v="2"/>
    <x v="5"/>
    <n v="381.36"/>
    <n v="10.01"/>
  </r>
  <r>
    <n v="3340"/>
    <n v="23906"/>
    <d v="2010-09-20T00:00:00"/>
    <s v="Critical"/>
    <x v="521"/>
    <x v="4"/>
    <x v="1"/>
    <s v="Corporate"/>
    <x v="0"/>
    <x v="13"/>
    <n v="321.02"/>
    <n v="8.67"/>
  </r>
  <r>
    <n v="3341"/>
    <n v="23907"/>
    <d v="2011-07-14T00:00:00"/>
    <s v="Not Specified"/>
    <x v="1023"/>
    <x v="3"/>
    <x v="0"/>
    <s v="Corporate"/>
    <x v="2"/>
    <x v="4"/>
    <n v="384.2"/>
    <n v="65.989999999999995"/>
  </r>
  <r>
    <n v="3342"/>
    <n v="23911"/>
    <d v="2012-06-01T00:00:00"/>
    <s v="Critical"/>
    <x v="594"/>
    <x v="1"/>
    <x v="1"/>
    <s v="Home Office"/>
    <x v="1"/>
    <x v="15"/>
    <n v="2580.67"/>
    <n v="122.99"/>
  </r>
  <r>
    <n v="3343"/>
    <n v="23911"/>
    <d v="2012-06-01T00:00:00"/>
    <s v="Critical"/>
    <x v="594"/>
    <x v="1"/>
    <x v="1"/>
    <s v="Home Office"/>
    <x v="2"/>
    <x v="5"/>
    <n v="955.46"/>
    <n v="50.98"/>
  </r>
  <r>
    <n v="3344"/>
    <n v="23911"/>
    <d v="2012-06-01T00:00:00"/>
    <s v="Critical"/>
    <x v="594"/>
    <x v="1"/>
    <x v="1"/>
    <s v="Home Office"/>
    <x v="0"/>
    <x v="9"/>
    <n v="121.26"/>
    <n v="35.44"/>
  </r>
  <r>
    <n v="3345"/>
    <n v="23936"/>
    <d v="2009-12-17T00:00:00"/>
    <s v="Medium"/>
    <x v="78"/>
    <x v="29"/>
    <x v="2"/>
    <s v="Home Office"/>
    <x v="0"/>
    <x v="6"/>
    <n v="71.39"/>
    <n v="2.6"/>
  </r>
  <r>
    <n v="3346"/>
    <n v="23940"/>
    <d v="2011-04-08T00:00:00"/>
    <s v="Medium"/>
    <x v="399"/>
    <x v="22"/>
    <x v="0"/>
    <s v="Home Office"/>
    <x v="0"/>
    <x v="13"/>
    <n v="138.52000000000001"/>
    <n v="4.4800000000000004"/>
  </r>
  <r>
    <n v="3347"/>
    <n v="23940"/>
    <d v="2011-04-08T00:00:00"/>
    <s v="Medium"/>
    <x v="399"/>
    <x v="22"/>
    <x v="0"/>
    <s v="Home Office"/>
    <x v="1"/>
    <x v="15"/>
    <n v="1735.59"/>
    <n v="150.88999999999999"/>
  </r>
  <r>
    <n v="3348"/>
    <n v="23943"/>
    <d v="2011-06-23T00:00:00"/>
    <s v="Critical"/>
    <x v="704"/>
    <x v="9"/>
    <x v="1"/>
    <s v="Corporate"/>
    <x v="0"/>
    <x v="6"/>
    <n v="376.53"/>
    <n v="15.94"/>
  </r>
  <r>
    <n v="3349"/>
    <n v="23968"/>
    <d v="2011-03-04T00:00:00"/>
    <s v="Critical"/>
    <x v="1024"/>
    <x v="12"/>
    <x v="3"/>
    <s v="Corporate"/>
    <x v="0"/>
    <x v="9"/>
    <n v="127.48"/>
    <n v="6.48"/>
  </r>
  <r>
    <n v="3350"/>
    <n v="23971"/>
    <d v="2009-11-21T00:00:00"/>
    <s v="Critical"/>
    <x v="1025"/>
    <x v="5"/>
    <x v="0"/>
    <s v="Home Office"/>
    <x v="0"/>
    <x v="13"/>
    <n v="66.63"/>
    <n v="11.97"/>
  </r>
  <r>
    <n v="3351"/>
    <n v="24003"/>
    <d v="2009-10-31T00:00:00"/>
    <s v="Critical"/>
    <x v="1026"/>
    <x v="35"/>
    <x v="3"/>
    <s v="Corporate"/>
    <x v="0"/>
    <x v="6"/>
    <n v="87.44"/>
    <n v="1.76"/>
  </r>
  <r>
    <n v="3352"/>
    <n v="24003"/>
    <d v="2009-10-31T00:00:00"/>
    <s v="Critical"/>
    <x v="1027"/>
    <x v="35"/>
    <x v="3"/>
    <s v="Corporate"/>
    <x v="0"/>
    <x v="0"/>
    <n v="1318.49"/>
    <n v="24.98"/>
  </r>
  <r>
    <n v="3353"/>
    <n v="24003"/>
    <d v="2009-10-31T00:00:00"/>
    <s v="Critical"/>
    <x v="590"/>
    <x v="16"/>
    <x v="1"/>
    <s v="Corporate"/>
    <x v="0"/>
    <x v="7"/>
    <n v="11.89"/>
    <n v="1.26"/>
  </r>
  <r>
    <n v="3354"/>
    <n v="24003"/>
    <d v="2009-10-31T00:00:00"/>
    <s v="Critical"/>
    <x v="15"/>
    <x v="13"/>
    <x v="3"/>
    <s v="Corporate"/>
    <x v="2"/>
    <x v="4"/>
    <n v="129.78649999999999"/>
    <n v="35.99"/>
  </r>
  <r>
    <n v="3355"/>
    <n v="24007"/>
    <d v="2010-08-26T00:00:00"/>
    <s v="Low"/>
    <x v="1028"/>
    <x v="0"/>
    <x v="0"/>
    <s v="Home Office"/>
    <x v="2"/>
    <x v="5"/>
    <n v="531.66"/>
    <n v="20.89"/>
  </r>
  <r>
    <n v="3356"/>
    <n v="24007"/>
    <d v="2010-08-26T00:00:00"/>
    <s v="Low"/>
    <x v="1028"/>
    <x v="0"/>
    <x v="0"/>
    <s v="Home Office"/>
    <x v="0"/>
    <x v="14"/>
    <n v="317.85000000000002"/>
    <n v="11.58"/>
  </r>
  <r>
    <n v="3357"/>
    <n v="24007"/>
    <d v="2010-08-26T00:00:00"/>
    <s v="Low"/>
    <x v="1028"/>
    <x v="0"/>
    <x v="0"/>
    <s v="Home Office"/>
    <x v="0"/>
    <x v="8"/>
    <n v="163.08000000000001"/>
    <n v="4.13"/>
  </r>
  <r>
    <n v="3358"/>
    <n v="24033"/>
    <d v="2011-01-02T00:00:00"/>
    <s v="High"/>
    <x v="611"/>
    <x v="15"/>
    <x v="2"/>
    <s v="Consumer"/>
    <x v="1"/>
    <x v="2"/>
    <n v="1227.18"/>
    <n v="23.99"/>
  </r>
  <r>
    <n v="3359"/>
    <n v="24038"/>
    <d v="2011-06-20T00:00:00"/>
    <s v="High"/>
    <x v="994"/>
    <x v="0"/>
    <x v="0"/>
    <s v="Corporate"/>
    <x v="0"/>
    <x v="6"/>
    <n v="103.07"/>
    <n v="2.78"/>
  </r>
  <r>
    <n v="3360"/>
    <n v="24038"/>
    <d v="2011-06-20T00:00:00"/>
    <s v="High"/>
    <x v="1029"/>
    <x v="30"/>
    <x v="0"/>
    <s v="Corporate"/>
    <x v="2"/>
    <x v="4"/>
    <n v="896.18049999999994"/>
    <n v="65.989999999999995"/>
  </r>
  <r>
    <n v="3361"/>
    <n v="24039"/>
    <d v="2012-07-17T00:00:00"/>
    <s v="Not Specified"/>
    <x v="982"/>
    <x v="17"/>
    <x v="0"/>
    <s v="Corporate"/>
    <x v="2"/>
    <x v="5"/>
    <n v="199.16"/>
    <n v="40.98"/>
  </r>
  <r>
    <n v="3362"/>
    <n v="24064"/>
    <d v="2010-07-25T00:00:00"/>
    <s v="Medium"/>
    <x v="37"/>
    <x v="3"/>
    <x v="0"/>
    <s v="Home Office"/>
    <x v="2"/>
    <x v="10"/>
    <n v="6366.52"/>
    <n v="297.64"/>
  </r>
  <r>
    <n v="3363"/>
    <n v="24066"/>
    <d v="2012-04-13T00:00:00"/>
    <s v="High"/>
    <x v="934"/>
    <x v="15"/>
    <x v="2"/>
    <s v="Home Office"/>
    <x v="1"/>
    <x v="11"/>
    <n v="4278.6099999999997"/>
    <n v="150.97999999999999"/>
  </r>
  <r>
    <n v="3364"/>
    <n v="24067"/>
    <d v="2012-08-22T00:00:00"/>
    <s v="High"/>
    <x v="31"/>
    <x v="31"/>
    <x v="3"/>
    <s v="Corporate"/>
    <x v="0"/>
    <x v="12"/>
    <n v="128.25"/>
    <n v="3.98"/>
  </r>
  <r>
    <n v="3365"/>
    <n v="24067"/>
    <d v="2012-08-22T00:00:00"/>
    <s v="High"/>
    <x v="370"/>
    <x v="30"/>
    <x v="0"/>
    <s v="Corporate"/>
    <x v="0"/>
    <x v="9"/>
    <n v="120.56"/>
    <n v="5.98"/>
  </r>
  <r>
    <n v="3366"/>
    <n v="24067"/>
    <d v="2012-08-22T00:00:00"/>
    <s v="High"/>
    <x v="370"/>
    <x v="30"/>
    <x v="0"/>
    <s v="Corporate"/>
    <x v="2"/>
    <x v="4"/>
    <n v="2640.6864999999998"/>
    <n v="65.989999999999995"/>
  </r>
  <r>
    <n v="3367"/>
    <n v="24069"/>
    <d v="2010-07-16T00:00:00"/>
    <s v="Low"/>
    <x v="17"/>
    <x v="7"/>
    <x v="3"/>
    <s v="Home Office"/>
    <x v="1"/>
    <x v="3"/>
    <n v="7981.2"/>
    <n v="376.13"/>
  </r>
  <r>
    <n v="3368"/>
    <n v="24070"/>
    <d v="2011-03-15T00:00:00"/>
    <s v="High"/>
    <x v="675"/>
    <x v="20"/>
    <x v="0"/>
    <s v="Corporate"/>
    <x v="0"/>
    <x v="12"/>
    <n v="170.42"/>
    <n v="4.91"/>
  </r>
  <r>
    <n v="3369"/>
    <n v="24070"/>
    <d v="2011-03-15T00:00:00"/>
    <s v="High"/>
    <x v="675"/>
    <x v="20"/>
    <x v="0"/>
    <s v="Corporate"/>
    <x v="1"/>
    <x v="15"/>
    <n v="431.29"/>
    <n v="140.81"/>
  </r>
  <r>
    <n v="3370"/>
    <n v="24070"/>
    <d v="2011-03-15T00:00:00"/>
    <s v="High"/>
    <x v="1030"/>
    <x v="20"/>
    <x v="0"/>
    <s v="Corporate"/>
    <x v="0"/>
    <x v="6"/>
    <n v="294.26"/>
    <n v="5.58"/>
  </r>
  <r>
    <n v="3371"/>
    <n v="24097"/>
    <d v="2010-08-04T00:00:00"/>
    <s v="High"/>
    <x v="367"/>
    <x v="0"/>
    <x v="0"/>
    <s v="Small Business"/>
    <x v="2"/>
    <x v="5"/>
    <n v="17.190000000000001"/>
    <n v="14.48"/>
  </r>
  <r>
    <n v="3372"/>
    <n v="24097"/>
    <d v="2010-08-04T00:00:00"/>
    <s v="High"/>
    <x v="367"/>
    <x v="0"/>
    <x v="0"/>
    <s v="Small Business"/>
    <x v="2"/>
    <x v="5"/>
    <n v="2689.48"/>
    <n v="99.99"/>
  </r>
  <r>
    <n v="3373"/>
    <n v="24097"/>
    <d v="2010-08-04T00:00:00"/>
    <s v="High"/>
    <x v="367"/>
    <x v="0"/>
    <x v="0"/>
    <s v="Small Business"/>
    <x v="0"/>
    <x v="9"/>
    <n v="15.31"/>
    <n v="4.9800000000000004"/>
  </r>
  <r>
    <n v="3374"/>
    <n v="24098"/>
    <d v="2012-04-17T00:00:00"/>
    <s v="Critical"/>
    <x v="29"/>
    <x v="36"/>
    <x v="2"/>
    <s v="Small Business"/>
    <x v="0"/>
    <x v="12"/>
    <n v="199.58"/>
    <n v="4.82"/>
  </r>
  <r>
    <n v="3375"/>
    <n v="24098"/>
    <d v="2012-04-17T00:00:00"/>
    <s v="Critical"/>
    <x v="29"/>
    <x v="36"/>
    <x v="2"/>
    <s v="Small Business"/>
    <x v="0"/>
    <x v="9"/>
    <n v="80.59"/>
    <n v="7.64"/>
  </r>
  <r>
    <n v="3376"/>
    <n v="24098"/>
    <d v="2012-04-17T00:00:00"/>
    <s v="Critical"/>
    <x v="29"/>
    <x v="36"/>
    <x v="2"/>
    <s v="Small Business"/>
    <x v="2"/>
    <x v="4"/>
    <n v="4158.0725000000002"/>
    <n v="155.99"/>
  </r>
  <r>
    <n v="3377"/>
    <n v="24099"/>
    <d v="2011-05-20T00:00:00"/>
    <s v="Not Specified"/>
    <x v="21"/>
    <x v="7"/>
    <x v="3"/>
    <s v="Corporate"/>
    <x v="2"/>
    <x v="5"/>
    <n v="205.24"/>
    <n v="30.98"/>
  </r>
  <r>
    <n v="3378"/>
    <n v="24099"/>
    <d v="2011-05-20T00:00:00"/>
    <s v="Not Specified"/>
    <x v="21"/>
    <x v="7"/>
    <x v="3"/>
    <s v="Corporate"/>
    <x v="0"/>
    <x v="0"/>
    <n v="825.82"/>
    <n v="20.34"/>
  </r>
  <r>
    <n v="3379"/>
    <n v="24102"/>
    <d v="2010-11-30T00:00:00"/>
    <s v="Critical"/>
    <x v="144"/>
    <x v="13"/>
    <x v="3"/>
    <s v="Small Business"/>
    <x v="0"/>
    <x v="0"/>
    <n v="1844.26"/>
    <n v="37.76"/>
  </r>
  <r>
    <n v="3380"/>
    <n v="24128"/>
    <d v="2010-11-23T00:00:00"/>
    <s v="High"/>
    <x v="252"/>
    <x v="0"/>
    <x v="0"/>
    <s v="Corporate"/>
    <x v="0"/>
    <x v="9"/>
    <n v="270.63"/>
    <n v="21.98"/>
  </r>
  <r>
    <n v="3381"/>
    <n v="24128"/>
    <d v="2010-11-23T00:00:00"/>
    <s v="High"/>
    <x v="252"/>
    <x v="0"/>
    <x v="0"/>
    <s v="Corporate"/>
    <x v="2"/>
    <x v="4"/>
    <n v="6583.9129999999996"/>
    <n v="195.99"/>
  </r>
  <r>
    <n v="3382"/>
    <n v="24132"/>
    <d v="2009-07-06T00:00:00"/>
    <s v="Low"/>
    <x v="880"/>
    <x v="3"/>
    <x v="0"/>
    <s v="Corporate"/>
    <x v="0"/>
    <x v="12"/>
    <n v="31.01"/>
    <n v="6.75"/>
  </r>
  <r>
    <n v="3383"/>
    <n v="24132"/>
    <d v="2009-07-06T00:00:00"/>
    <s v="Low"/>
    <x v="880"/>
    <x v="3"/>
    <x v="0"/>
    <s v="Corporate"/>
    <x v="0"/>
    <x v="12"/>
    <n v="331.83"/>
    <n v="7.1"/>
  </r>
  <r>
    <n v="3384"/>
    <n v="24132"/>
    <d v="2009-07-06T00:00:00"/>
    <s v="Low"/>
    <x v="880"/>
    <x v="3"/>
    <x v="0"/>
    <s v="Corporate"/>
    <x v="2"/>
    <x v="5"/>
    <n v="446.46"/>
    <n v="20.95"/>
  </r>
  <r>
    <n v="3385"/>
    <n v="24132"/>
    <d v="2009-07-06T00:00:00"/>
    <s v="Low"/>
    <x v="509"/>
    <x v="3"/>
    <x v="0"/>
    <s v="Corporate"/>
    <x v="0"/>
    <x v="12"/>
    <n v="1252.8900000000001"/>
    <n v="39.06"/>
  </r>
  <r>
    <n v="3386"/>
    <n v="24132"/>
    <d v="2009-07-06T00:00:00"/>
    <s v="Low"/>
    <x v="509"/>
    <x v="3"/>
    <x v="0"/>
    <s v="Corporate"/>
    <x v="0"/>
    <x v="12"/>
    <n v="47.79"/>
    <n v="3.52"/>
  </r>
  <r>
    <n v="3387"/>
    <n v="24132"/>
    <d v="2009-07-06T00:00:00"/>
    <s v="Low"/>
    <x v="509"/>
    <x v="3"/>
    <x v="0"/>
    <s v="Corporate"/>
    <x v="0"/>
    <x v="0"/>
    <n v="63.84"/>
    <n v="15.51"/>
  </r>
  <r>
    <n v="3388"/>
    <n v="24135"/>
    <d v="2010-01-22T00:00:00"/>
    <s v="Low"/>
    <x v="168"/>
    <x v="5"/>
    <x v="0"/>
    <s v="Consumer"/>
    <x v="0"/>
    <x v="12"/>
    <n v="345.19"/>
    <n v="30.44"/>
  </r>
  <r>
    <n v="3389"/>
    <n v="24160"/>
    <d v="2011-02-01T00:00:00"/>
    <s v="Medium"/>
    <x v="989"/>
    <x v="11"/>
    <x v="2"/>
    <s v="Home Office"/>
    <x v="2"/>
    <x v="4"/>
    <n v="3644.596"/>
    <n v="95.99"/>
  </r>
  <r>
    <n v="3390"/>
    <n v="24162"/>
    <d v="2009-08-22T00:00:00"/>
    <s v="Not Specified"/>
    <x v="28"/>
    <x v="15"/>
    <x v="2"/>
    <s v="Small Business"/>
    <x v="0"/>
    <x v="9"/>
    <n v="10.94"/>
    <n v="9.68"/>
  </r>
  <r>
    <n v="3391"/>
    <n v="24162"/>
    <d v="2009-08-22T00:00:00"/>
    <s v="Not Specified"/>
    <x v="28"/>
    <x v="15"/>
    <x v="2"/>
    <s v="Small Business"/>
    <x v="1"/>
    <x v="3"/>
    <n v="1755.3"/>
    <n v="150.97999999999999"/>
  </r>
  <r>
    <n v="3392"/>
    <n v="24193"/>
    <d v="2009-03-14T00:00:00"/>
    <s v="Not Specified"/>
    <x v="725"/>
    <x v="11"/>
    <x v="2"/>
    <s v="Small Business"/>
    <x v="1"/>
    <x v="11"/>
    <n v="9539.6"/>
    <n v="200.98"/>
  </r>
  <r>
    <n v="3393"/>
    <n v="24193"/>
    <d v="2009-03-14T00:00:00"/>
    <s v="Not Specified"/>
    <x v="725"/>
    <x v="11"/>
    <x v="2"/>
    <s v="Small Business"/>
    <x v="0"/>
    <x v="9"/>
    <n v="109.86"/>
    <n v="4.28"/>
  </r>
  <r>
    <n v="3394"/>
    <n v="24193"/>
    <d v="2009-03-14T00:00:00"/>
    <s v="Not Specified"/>
    <x v="725"/>
    <x v="11"/>
    <x v="2"/>
    <s v="Small Business"/>
    <x v="2"/>
    <x v="4"/>
    <n v="1426.5125"/>
    <n v="85.99"/>
  </r>
  <r>
    <n v="3395"/>
    <n v="24196"/>
    <d v="2010-07-30T00:00:00"/>
    <s v="High"/>
    <x v="910"/>
    <x v="5"/>
    <x v="0"/>
    <s v="Home Office"/>
    <x v="0"/>
    <x v="9"/>
    <n v="13.44"/>
    <n v="4.28"/>
  </r>
  <r>
    <n v="3396"/>
    <n v="24196"/>
    <d v="2010-07-30T00:00:00"/>
    <s v="High"/>
    <x v="910"/>
    <x v="5"/>
    <x v="0"/>
    <s v="Home Office"/>
    <x v="0"/>
    <x v="0"/>
    <n v="1049.49"/>
    <n v="43.57"/>
  </r>
  <r>
    <n v="3397"/>
    <n v="24197"/>
    <d v="2010-02-03T00:00:00"/>
    <s v="Low"/>
    <x v="791"/>
    <x v="5"/>
    <x v="0"/>
    <s v="Small Business"/>
    <x v="2"/>
    <x v="5"/>
    <n v="2354.4"/>
    <n v="55.94"/>
  </r>
  <r>
    <n v="3398"/>
    <n v="24197"/>
    <d v="2010-02-03T00:00:00"/>
    <s v="Low"/>
    <x v="791"/>
    <x v="5"/>
    <x v="0"/>
    <s v="Small Business"/>
    <x v="2"/>
    <x v="4"/>
    <n v="35.640499999999996"/>
    <n v="20.99"/>
  </r>
  <r>
    <n v="3399"/>
    <n v="24199"/>
    <d v="2009-06-16T00:00:00"/>
    <s v="Critical"/>
    <x v="391"/>
    <x v="18"/>
    <x v="2"/>
    <s v="Small Business"/>
    <x v="2"/>
    <x v="5"/>
    <n v="706.53"/>
    <n v="40.479999999999997"/>
  </r>
  <r>
    <n v="3400"/>
    <n v="24227"/>
    <d v="2010-08-16T00:00:00"/>
    <s v="Medium"/>
    <x v="591"/>
    <x v="36"/>
    <x v="2"/>
    <s v="Consumer"/>
    <x v="2"/>
    <x v="4"/>
    <n v="1840.8534999999999"/>
    <n v="85.99"/>
  </r>
  <r>
    <n v="3401"/>
    <n v="24228"/>
    <d v="2009-07-17T00:00:00"/>
    <s v="Low"/>
    <x v="17"/>
    <x v="7"/>
    <x v="3"/>
    <s v="Home Office"/>
    <x v="0"/>
    <x v="7"/>
    <n v="60.64"/>
    <n v="1.86"/>
  </r>
  <r>
    <n v="3402"/>
    <n v="24231"/>
    <d v="2009-08-07T00:00:00"/>
    <s v="Not Specified"/>
    <x v="867"/>
    <x v="7"/>
    <x v="3"/>
    <s v="Small Business"/>
    <x v="2"/>
    <x v="4"/>
    <n v="2482.0340000000001"/>
    <n v="65.989999999999995"/>
  </r>
  <r>
    <n v="3403"/>
    <n v="24260"/>
    <d v="2010-10-03T00:00:00"/>
    <s v="Not Specified"/>
    <x v="171"/>
    <x v="24"/>
    <x v="1"/>
    <s v="Corporate"/>
    <x v="0"/>
    <x v="13"/>
    <n v="548.29999999999995"/>
    <n v="11.97"/>
  </r>
  <r>
    <n v="3404"/>
    <n v="24261"/>
    <d v="2012-09-17T00:00:00"/>
    <s v="Critical"/>
    <x v="781"/>
    <x v="24"/>
    <x v="1"/>
    <s v="Small Business"/>
    <x v="0"/>
    <x v="0"/>
    <n v="946.27"/>
    <n v="33.29"/>
  </r>
  <r>
    <n v="3405"/>
    <n v="24263"/>
    <d v="2012-09-15T00:00:00"/>
    <s v="Low"/>
    <x v="1003"/>
    <x v="27"/>
    <x v="3"/>
    <s v="Consumer"/>
    <x v="1"/>
    <x v="15"/>
    <n v="512.80999999999995"/>
    <n v="33.94"/>
  </r>
  <r>
    <n v="3406"/>
    <n v="24294"/>
    <d v="2009-08-02T00:00:00"/>
    <s v="Not Specified"/>
    <x v="823"/>
    <x v="0"/>
    <x v="0"/>
    <s v="Home Office"/>
    <x v="2"/>
    <x v="10"/>
    <n v="4865.72"/>
    <n v="200.97"/>
  </r>
  <r>
    <n v="3407"/>
    <n v="24326"/>
    <d v="2011-09-29T00:00:00"/>
    <s v="Critical"/>
    <x v="591"/>
    <x v="29"/>
    <x v="2"/>
    <s v="Corporate"/>
    <x v="0"/>
    <x v="13"/>
    <n v="1596.86"/>
    <n v="44.01"/>
  </r>
  <r>
    <n v="3408"/>
    <n v="24326"/>
    <d v="2011-09-29T00:00:00"/>
    <s v="Critical"/>
    <x v="591"/>
    <x v="29"/>
    <x v="2"/>
    <s v="Corporate"/>
    <x v="0"/>
    <x v="6"/>
    <n v="78.36"/>
    <n v="6.68"/>
  </r>
  <r>
    <n v="3409"/>
    <n v="24352"/>
    <d v="2010-05-10T00:00:00"/>
    <s v="Critical"/>
    <x v="882"/>
    <x v="11"/>
    <x v="2"/>
    <s v="Small Business"/>
    <x v="0"/>
    <x v="9"/>
    <n v="103.48"/>
    <n v="3.14"/>
  </r>
  <r>
    <n v="3410"/>
    <n v="24356"/>
    <d v="2010-05-11T00:00:00"/>
    <s v="Medium"/>
    <x v="957"/>
    <x v="23"/>
    <x v="3"/>
    <s v="Consumer"/>
    <x v="1"/>
    <x v="15"/>
    <n v="12612.66"/>
    <n v="350.99"/>
  </r>
  <r>
    <n v="3411"/>
    <n v="24358"/>
    <d v="2009-05-16T00:00:00"/>
    <s v="Critical"/>
    <x v="343"/>
    <x v="33"/>
    <x v="0"/>
    <s v="Small Business"/>
    <x v="0"/>
    <x v="0"/>
    <n v="7333.45"/>
    <n v="279.48"/>
  </r>
  <r>
    <n v="3412"/>
    <n v="24384"/>
    <d v="2011-03-26T00:00:00"/>
    <s v="Medium"/>
    <x v="158"/>
    <x v="15"/>
    <x v="2"/>
    <s v="Consumer"/>
    <x v="0"/>
    <x v="8"/>
    <n v="205.11"/>
    <n v="4.91"/>
  </r>
  <r>
    <n v="3413"/>
    <n v="24384"/>
    <d v="2011-03-26T00:00:00"/>
    <s v="Medium"/>
    <x v="158"/>
    <x v="15"/>
    <x v="2"/>
    <s v="Consumer"/>
    <x v="0"/>
    <x v="0"/>
    <n v="3981.23"/>
    <n v="193.17"/>
  </r>
  <r>
    <n v="3414"/>
    <n v="24384"/>
    <d v="2011-03-26T00:00:00"/>
    <s v="Medium"/>
    <x v="158"/>
    <x v="15"/>
    <x v="2"/>
    <s v="Consumer"/>
    <x v="2"/>
    <x v="4"/>
    <n v="2458.2425000000003"/>
    <n v="155.99"/>
  </r>
  <r>
    <n v="3415"/>
    <n v="24386"/>
    <d v="2012-06-26T00:00:00"/>
    <s v="High"/>
    <x v="1031"/>
    <x v="33"/>
    <x v="0"/>
    <s v="Corporate"/>
    <x v="2"/>
    <x v="5"/>
    <n v="4256.51"/>
    <n v="100.97"/>
  </r>
  <r>
    <n v="3416"/>
    <n v="24386"/>
    <d v="2012-06-26T00:00:00"/>
    <s v="High"/>
    <x v="1031"/>
    <x v="33"/>
    <x v="0"/>
    <s v="Corporate"/>
    <x v="2"/>
    <x v="5"/>
    <n v="503.08"/>
    <n v="40.98"/>
  </r>
  <r>
    <n v="3417"/>
    <n v="24386"/>
    <d v="2012-06-26T00:00:00"/>
    <s v="High"/>
    <x v="1031"/>
    <x v="33"/>
    <x v="0"/>
    <s v="Corporate"/>
    <x v="0"/>
    <x v="8"/>
    <n v="76.94"/>
    <n v="4.13"/>
  </r>
  <r>
    <n v="3418"/>
    <n v="24387"/>
    <d v="2011-08-10T00:00:00"/>
    <s v="Critical"/>
    <x v="937"/>
    <x v="0"/>
    <x v="0"/>
    <s v="Small Business"/>
    <x v="1"/>
    <x v="2"/>
    <n v="1003.31"/>
    <n v="40.97"/>
  </r>
  <r>
    <n v="3419"/>
    <n v="24387"/>
    <d v="2011-08-10T00:00:00"/>
    <s v="Critical"/>
    <x v="937"/>
    <x v="0"/>
    <x v="0"/>
    <s v="Small Business"/>
    <x v="1"/>
    <x v="3"/>
    <n v="6048.18"/>
    <n v="349.45"/>
  </r>
  <r>
    <n v="3420"/>
    <n v="24388"/>
    <d v="2011-01-26T00:00:00"/>
    <s v="Critical"/>
    <x v="359"/>
    <x v="30"/>
    <x v="0"/>
    <s v="Corporate"/>
    <x v="2"/>
    <x v="16"/>
    <n v="8662.34"/>
    <n v="549.99"/>
  </r>
  <r>
    <n v="3421"/>
    <n v="24390"/>
    <d v="2012-06-06T00:00:00"/>
    <s v="Low"/>
    <x v="90"/>
    <x v="26"/>
    <x v="3"/>
    <s v="Home Office"/>
    <x v="2"/>
    <x v="5"/>
    <n v="107.67"/>
    <n v="50.98"/>
  </r>
  <r>
    <n v="3422"/>
    <n v="24391"/>
    <d v="2009-03-06T00:00:00"/>
    <s v="Low"/>
    <x v="736"/>
    <x v="1"/>
    <x v="1"/>
    <s v="Consumer"/>
    <x v="1"/>
    <x v="3"/>
    <n v="3236.8"/>
    <n v="230.98"/>
  </r>
  <r>
    <n v="3423"/>
    <n v="24422"/>
    <d v="2011-12-29T00:00:00"/>
    <s v="Critical"/>
    <x v="30"/>
    <x v="13"/>
    <x v="3"/>
    <s v="Corporate"/>
    <x v="1"/>
    <x v="3"/>
    <n v="3467.28"/>
    <n v="179.29"/>
  </r>
  <r>
    <n v="3424"/>
    <n v="24448"/>
    <d v="2012-02-06T00:00:00"/>
    <s v="High"/>
    <x v="301"/>
    <x v="15"/>
    <x v="2"/>
    <s v="Corporate"/>
    <x v="1"/>
    <x v="3"/>
    <n v="11036.16"/>
    <n v="236.97"/>
  </r>
  <r>
    <n v="3425"/>
    <n v="24450"/>
    <d v="2012-07-09T00:00:00"/>
    <s v="Critical"/>
    <x v="836"/>
    <x v="22"/>
    <x v="0"/>
    <s v="Consumer"/>
    <x v="0"/>
    <x v="13"/>
    <n v="443.35"/>
    <n v="11.97"/>
  </r>
  <r>
    <n v="3426"/>
    <n v="24450"/>
    <d v="2012-07-09T00:00:00"/>
    <s v="Critical"/>
    <x v="836"/>
    <x v="22"/>
    <x v="0"/>
    <s v="Consumer"/>
    <x v="1"/>
    <x v="2"/>
    <n v="392.61"/>
    <n v="9.48"/>
  </r>
  <r>
    <n v="3427"/>
    <n v="24450"/>
    <d v="2012-07-09T00:00:00"/>
    <s v="Critical"/>
    <x v="836"/>
    <x v="22"/>
    <x v="0"/>
    <s v="Consumer"/>
    <x v="0"/>
    <x v="9"/>
    <n v="30.85"/>
    <n v="5.98"/>
  </r>
  <r>
    <n v="3428"/>
    <n v="24451"/>
    <d v="2012-12-03T00:00:00"/>
    <s v="Critical"/>
    <x v="1029"/>
    <x v="30"/>
    <x v="0"/>
    <s v="Corporate"/>
    <x v="0"/>
    <x v="13"/>
    <n v="1689.97"/>
    <n v="68.81"/>
  </r>
  <r>
    <n v="3429"/>
    <n v="24452"/>
    <d v="2009-05-07T00:00:00"/>
    <s v="High"/>
    <x v="901"/>
    <x v="15"/>
    <x v="2"/>
    <s v="Consumer"/>
    <x v="0"/>
    <x v="9"/>
    <n v="115.71"/>
    <n v="6.48"/>
  </r>
  <r>
    <n v="3430"/>
    <n v="24455"/>
    <d v="2009-12-06T00:00:00"/>
    <s v="Not Specified"/>
    <x v="972"/>
    <x v="27"/>
    <x v="3"/>
    <s v="Home Office"/>
    <x v="2"/>
    <x v="5"/>
    <n v="169.11"/>
    <n v="20.89"/>
  </r>
  <r>
    <n v="3431"/>
    <n v="24455"/>
    <d v="2009-12-06T00:00:00"/>
    <s v="Not Specified"/>
    <x v="972"/>
    <x v="27"/>
    <x v="3"/>
    <s v="Home Office"/>
    <x v="0"/>
    <x v="6"/>
    <n v="152.59"/>
    <n v="3.98"/>
  </r>
  <r>
    <n v="3432"/>
    <n v="24486"/>
    <d v="2011-04-22T00:00:00"/>
    <s v="Medium"/>
    <x v="135"/>
    <x v="10"/>
    <x v="0"/>
    <s v="Consumer"/>
    <x v="2"/>
    <x v="5"/>
    <n v="28.11"/>
    <n v="8.1199999999999992"/>
  </r>
  <r>
    <n v="3433"/>
    <n v="24486"/>
    <d v="2011-04-22T00:00:00"/>
    <s v="Medium"/>
    <x v="135"/>
    <x v="10"/>
    <x v="0"/>
    <s v="Consumer"/>
    <x v="0"/>
    <x v="6"/>
    <n v="27.06"/>
    <n v="1.76"/>
  </r>
  <r>
    <n v="3434"/>
    <n v="24515"/>
    <d v="2010-05-06T00:00:00"/>
    <s v="Critical"/>
    <x v="252"/>
    <x v="0"/>
    <x v="0"/>
    <s v="Home Office"/>
    <x v="2"/>
    <x v="10"/>
    <n v="3051.27"/>
    <n v="80.97"/>
  </r>
  <r>
    <n v="3435"/>
    <n v="24519"/>
    <d v="2011-06-11T00:00:00"/>
    <s v="Critical"/>
    <x v="90"/>
    <x v="5"/>
    <x v="0"/>
    <s v="Consumer"/>
    <x v="0"/>
    <x v="12"/>
    <n v="127.56"/>
    <n v="5.34"/>
  </r>
  <r>
    <n v="3436"/>
    <n v="24544"/>
    <d v="2009-01-26T00:00:00"/>
    <s v="High"/>
    <x v="361"/>
    <x v="15"/>
    <x v="2"/>
    <s v="Corporate"/>
    <x v="2"/>
    <x v="10"/>
    <n v="4587.3"/>
    <n v="150.97999999999999"/>
  </r>
  <r>
    <n v="3437"/>
    <n v="24544"/>
    <d v="2009-01-26T00:00:00"/>
    <s v="High"/>
    <x v="41"/>
    <x v="15"/>
    <x v="2"/>
    <s v="Corporate"/>
    <x v="1"/>
    <x v="15"/>
    <n v="403.71"/>
    <n v="25.98"/>
  </r>
  <r>
    <n v="3438"/>
    <n v="24544"/>
    <d v="2009-01-26T00:00:00"/>
    <s v="High"/>
    <x v="41"/>
    <x v="15"/>
    <x v="2"/>
    <s v="Corporate"/>
    <x v="0"/>
    <x v="0"/>
    <n v="1243.45"/>
    <n v="32.479999999999997"/>
  </r>
  <r>
    <n v="3439"/>
    <n v="24546"/>
    <d v="2012-03-26T00:00:00"/>
    <s v="Critical"/>
    <x v="1032"/>
    <x v="5"/>
    <x v="0"/>
    <s v="Home Office"/>
    <x v="0"/>
    <x v="1"/>
    <n v="81.58"/>
    <n v="10.98"/>
  </r>
  <r>
    <n v="3440"/>
    <n v="24548"/>
    <d v="2011-03-14T00:00:00"/>
    <s v="High"/>
    <x v="889"/>
    <x v="16"/>
    <x v="1"/>
    <s v="Corporate"/>
    <x v="1"/>
    <x v="2"/>
    <n v="269.3"/>
    <n v="7.96"/>
  </r>
  <r>
    <n v="3441"/>
    <n v="24576"/>
    <d v="2012-12-11T00:00:00"/>
    <s v="Not Specified"/>
    <x v="497"/>
    <x v="3"/>
    <x v="0"/>
    <s v="Corporate"/>
    <x v="2"/>
    <x v="4"/>
    <n v="531.06299999999999"/>
    <n v="20.99"/>
  </r>
  <r>
    <n v="3442"/>
    <n v="24576"/>
    <d v="2012-12-11T00:00:00"/>
    <s v="Not Specified"/>
    <x v="1033"/>
    <x v="3"/>
    <x v="0"/>
    <s v="Corporate"/>
    <x v="1"/>
    <x v="2"/>
    <n v="152.84"/>
    <n v="14.58"/>
  </r>
  <r>
    <n v="3443"/>
    <n v="24577"/>
    <d v="2010-03-01T00:00:00"/>
    <s v="Medium"/>
    <x v="1034"/>
    <x v="8"/>
    <x v="2"/>
    <s v="Corporate"/>
    <x v="0"/>
    <x v="9"/>
    <n v="180.79"/>
    <n v="22.84"/>
  </r>
  <r>
    <n v="3444"/>
    <n v="24579"/>
    <d v="2012-11-18T00:00:00"/>
    <s v="High"/>
    <x v="1032"/>
    <x v="5"/>
    <x v="0"/>
    <s v="Small Business"/>
    <x v="0"/>
    <x v="13"/>
    <n v="13921.6"/>
    <n v="300.64999999999998"/>
  </r>
  <r>
    <n v="3445"/>
    <n v="24579"/>
    <d v="2012-11-18T00:00:00"/>
    <s v="High"/>
    <x v="1032"/>
    <x v="5"/>
    <x v="0"/>
    <s v="Small Business"/>
    <x v="0"/>
    <x v="13"/>
    <n v="467.5"/>
    <n v="11.97"/>
  </r>
  <r>
    <n v="3446"/>
    <n v="24580"/>
    <d v="2012-06-23T00:00:00"/>
    <s v="High"/>
    <x v="17"/>
    <x v="22"/>
    <x v="0"/>
    <s v="Corporate"/>
    <x v="0"/>
    <x v="6"/>
    <n v="1081.22"/>
    <n v="43.98"/>
  </r>
  <r>
    <n v="3447"/>
    <n v="24580"/>
    <d v="2012-06-23T00:00:00"/>
    <s v="High"/>
    <x v="1035"/>
    <x v="22"/>
    <x v="0"/>
    <s v="Corporate"/>
    <x v="1"/>
    <x v="2"/>
    <n v="36.409999999999997"/>
    <n v="2.23"/>
  </r>
  <r>
    <n v="3448"/>
    <n v="24581"/>
    <d v="2010-04-09T00:00:00"/>
    <s v="High"/>
    <x v="1036"/>
    <x v="5"/>
    <x v="0"/>
    <s v="Consumer"/>
    <x v="0"/>
    <x v="12"/>
    <n v="38.56"/>
    <n v="4.55"/>
  </r>
  <r>
    <n v="3449"/>
    <n v="24583"/>
    <d v="2011-08-09T00:00:00"/>
    <s v="Critical"/>
    <x v="608"/>
    <x v="4"/>
    <x v="1"/>
    <s v="Corporate"/>
    <x v="0"/>
    <x v="12"/>
    <n v="42.29"/>
    <n v="2.16"/>
  </r>
  <r>
    <n v="3450"/>
    <n v="24608"/>
    <d v="2012-08-14T00:00:00"/>
    <s v="Medium"/>
    <x v="852"/>
    <x v="9"/>
    <x v="1"/>
    <s v="Home Office"/>
    <x v="0"/>
    <x v="12"/>
    <n v="197.36"/>
    <n v="4.18"/>
  </r>
  <r>
    <n v="3451"/>
    <n v="24610"/>
    <d v="2010-01-18T00:00:00"/>
    <s v="Not Specified"/>
    <x v="44"/>
    <x v="16"/>
    <x v="1"/>
    <s v="Home Office"/>
    <x v="1"/>
    <x v="15"/>
    <n v="883.31"/>
    <n v="200.98"/>
  </r>
  <r>
    <n v="3452"/>
    <n v="24613"/>
    <d v="2012-07-16T00:00:00"/>
    <s v="Low"/>
    <x v="250"/>
    <x v="7"/>
    <x v="3"/>
    <s v="Home Office"/>
    <x v="2"/>
    <x v="16"/>
    <n v="9695.84"/>
    <n v="599.99"/>
  </r>
  <r>
    <n v="3453"/>
    <n v="24613"/>
    <d v="2012-07-16T00:00:00"/>
    <s v="Low"/>
    <x v="250"/>
    <x v="7"/>
    <x v="3"/>
    <s v="Home Office"/>
    <x v="0"/>
    <x v="9"/>
    <n v="246.79"/>
    <n v="6.48"/>
  </r>
  <r>
    <n v="3454"/>
    <n v="24613"/>
    <d v="2012-07-16T00:00:00"/>
    <s v="Low"/>
    <x v="250"/>
    <x v="7"/>
    <x v="3"/>
    <s v="Home Office"/>
    <x v="0"/>
    <x v="6"/>
    <n v="777.78"/>
    <n v="19.84"/>
  </r>
  <r>
    <n v="3455"/>
    <n v="24614"/>
    <d v="2009-11-21T00:00:00"/>
    <s v="Low"/>
    <x v="1037"/>
    <x v="36"/>
    <x v="2"/>
    <s v="Home Office"/>
    <x v="2"/>
    <x v="5"/>
    <n v="1644.59"/>
    <n v="50.98"/>
  </r>
  <r>
    <n v="3456"/>
    <n v="24640"/>
    <d v="2011-01-29T00:00:00"/>
    <s v="Medium"/>
    <x v="936"/>
    <x v="14"/>
    <x v="0"/>
    <s v="Home Office"/>
    <x v="1"/>
    <x v="15"/>
    <n v="1379.98"/>
    <n v="113.98"/>
  </r>
  <r>
    <n v="3457"/>
    <n v="24643"/>
    <d v="2012-04-29T00:00:00"/>
    <s v="Medium"/>
    <x v="402"/>
    <x v="26"/>
    <x v="3"/>
    <s v="Corporate"/>
    <x v="2"/>
    <x v="4"/>
    <n v="2368.1679999999997"/>
    <n v="85.99"/>
  </r>
  <r>
    <n v="3458"/>
    <n v="24644"/>
    <d v="2009-07-28T00:00:00"/>
    <s v="Critical"/>
    <x v="1038"/>
    <x v="12"/>
    <x v="3"/>
    <s v="Corporate"/>
    <x v="0"/>
    <x v="13"/>
    <n v="2550.12"/>
    <n v="60.97"/>
  </r>
  <r>
    <n v="3459"/>
    <n v="24644"/>
    <d v="2009-07-28T00:00:00"/>
    <s v="Critical"/>
    <x v="41"/>
    <x v="13"/>
    <x v="3"/>
    <s v="Corporate"/>
    <x v="1"/>
    <x v="15"/>
    <n v="5897.47"/>
    <n v="122.99"/>
  </r>
  <r>
    <n v="3460"/>
    <n v="24646"/>
    <d v="2011-04-15T00:00:00"/>
    <s v="Not Specified"/>
    <x v="1005"/>
    <x v="11"/>
    <x v="2"/>
    <s v="Small Business"/>
    <x v="0"/>
    <x v="14"/>
    <n v="662.51"/>
    <n v="15.67"/>
  </r>
  <r>
    <n v="3461"/>
    <n v="24646"/>
    <d v="2011-04-15T00:00:00"/>
    <s v="Not Specified"/>
    <x v="1005"/>
    <x v="11"/>
    <x v="2"/>
    <s v="Small Business"/>
    <x v="0"/>
    <x v="6"/>
    <n v="61.18"/>
    <n v="2.88"/>
  </r>
  <r>
    <n v="3462"/>
    <n v="24647"/>
    <d v="2009-06-04T00:00:00"/>
    <s v="Not Specified"/>
    <x v="79"/>
    <x v="7"/>
    <x v="3"/>
    <s v="Corporate"/>
    <x v="2"/>
    <x v="10"/>
    <n v="3029.97"/>
    <n v="999.99"/>
  </r>
  <r>
    <n v="3463"/>
    <n v="24647"/>
    <d v="2009-06-04T00:00:00"/>
    <s v="Not Specified"/>
    <x v="79"/>
    <x v="7"/>
    <x v="3"/>
    <s v="Corporate"/>
    <x v="0"/>
    <x v="9"/>
    <n v="241.04"/>
    <n v="6.48"/>
  </r>
  <r>
    <n v="3464"/>
    <n v="24672"/>
    <d v="2012-03-17T00:00:00"/>
    <s v="Medium"/>
    <x v="474"/>
    <x v="7"/>
    <x v="3"/>
    <s v="Consumer"/>
    <x v="1"/>
    <x v="2"/>
    <n v="44.17"/>
    <n v="7.59"/>
  </r>
  <r>
    <n v="3465"/>
    <n v="24672"/>
    <d v="2012-03-17T00:00:00"/>
    <s v="Medium"/>
    <x v="474"/>
    <x v="7"/>
    <x v="3"/>
    <s v="Consumer"/>
    <x v="0"/>
    <x v="9"/>
    <n v="192.92"/>
    <n v="5.43"/>
  </r>
  <r>
    <n v="3466"/>
    <n v="24672"/>
    <d v="2012-03-17T00:00:00"/>
    <s v="Medium"/>
    <x v="474"/>
    <x v="7"/>
    <x v="3"/>
    <s v="Consumer"/>
    <x v="0"/>
    <x v="0"/>
    <n v="10532.94"/>
    <n v="279.48"/>
  </r>
  <r>
    <n v="3467"/>
    <n v="24677"/>
    <d v="2012-03-05T00:00:00"/>
    <s v="Low"/>
    <x v="956"/>
    <x v="16"/>
    <x v="1"/>
    <s v="Consumer"/>
    <x v="2"/>
    <x v="5"/>
    <n v="364.4"/>
    <n v="8.5"/>
  </r>
  <r>
    <n v="3468"/>
    <n v="24679"/>
    <d v="2011-05-07T00:00:00"/>
    <s v="Not Specified"/>
    <x v="671"/>
    <x v="26"/>
    <x v="3"/>
    <s v="Corporate"/>
    <x v="2"/>
    <x v="5"/>
    <n v="33.99"/>
    <n v="4.7699999999999996"/>
  </r>
  <r>
    <n v="3469"/>
    <n v="24705"/>
    <d v="2011-09-15T00:00:00"/>
    <s v="Critical"/>
    <x v="1039"/>
    <x v="25"/>
    <x v="1"/>
    <s v="Consumer"/>
    <x v="0"/>
    <x v="12"/>
    <n v="260.51"/>
    <n v="7.3"/>
  </r>
  <r>
    <n v="3470"/>
    <n v="24705"/>
    <d v="2011-09-15T00:00:00"/>
    <s v="Critical"/>
    <x v="1039"/>
    <x v="25"/>
    <x v="1"/>
    <s v="Consumer"/>
    <x v="2"/>
    <x v="5"/>
    <n v="466.28"/>
    <n v="29.89"/>
  </r>
  <r>
    <n v="3471"/>
    <n v="24707"/>
    <d v="2012-03-10T00:00:00"/>
    <s v="Medium"/>
    <x v="1040"/>
    <x v="27"/>
    <x v="3"/>
    <s v="Corporate"/>
    <x v="1"/>
    <x v="2"/>
    <n v="1961.39"/>
    <n v="136.97999999999999"/>
  </r>
  <r>
    <n v="3472"/>
    <n v="24707"/>
    <d v="2012-03-10T00:00:00"/>
    <s v="Medium"/>
    <x v="1040"/>
    <x v="27"/>
    <x v="3"/>
    <s v="Corporate"/>
    <x v="0"/>
    <x v="7"/>
    <n v="4.9400000000000004"/>
    <n v="1.48"/>
  </r>
  <r>
    <n v="3473"/>
    <n v="24710"/>
    <d v="2010-09-30T00:00:00"/>
    <s v="Low"/>
    <x v="184"/>
    <x v="5"/>
    <x v="0"/>
    <s v="Consumer"/>
    <x v="0"/>
    <x v="9"/>
    <n v="22.06"/>
    <n v="4.9800000000000004"/>
  </r>
  <r>
    <n v="3474"/>
    <n v="24737"/>
    <d v="2009-12-06T00:00:00"/>
    <s v="High"/>
    <x v="1030"/>
    <x v="20"/>
    <x v="0"/>
    <s v="Small Business"/>
    <x v="1"/>
    <x v="15"/>
    <n v="549.91999999999996"/>
    <n v="180.98"/>
  </r>
  <r>
    <n v="3475"/>
    <n v="24737"/>
    <d v="2009-12-06T00:00:00"/>
    <s v="High"/>
    <x v="1030"/>
    <x v="20"/>
    <x v="0"/>
    <s v="Small Business"/>
    <x v="0"/>
    <x v="9"/>
    <n v="182.09"/>
    <n v="6.48"/>
  </r>
  <r>
    <n v="3476"/>
    <n v="24740"/>
    <d v="2010-01-10T00:00:00"/>
    <s v="Medium"/>
    <x v="940"/>
    <x v="7"/>
    <x v="3"/>
    <s v="Corporate"/>
    <x v="1"/>
    <x v="2"/>
    <n v="1091.47"/>
    <n v="92.23"/>
  </r>
  <r>
    <n v="3477"/>
    <n v="24740"/>
    <d v="2010-01-10T00:00:00"/>
    <s v="Medium"/>
    <x v="940"/>
    <x v="7"/>
    <x v="3"/>
    <s v="Corporate"/>
    <x v="0"/>
    <x v="6"/>
    <n v="112.59"/>
    <n v="3.28"/>
  </r>
  <r>
    <n v="3478"/>
    <n v="24743"/>
    <d v="2012-06-28T00:00:00"/>
    <s v="Low"/>
    <x v="553"/>
    <x v="0"/>
    <x v="0"/>
    <s v="Corporate"/>
    <x v="1"/>
    <x v="15"/>
    <n v="9633.59"/>
    <n v="216.6"/>
  </r>
  <r>
    <n v="3479"/>
    <n v="24743"/>
    <d v="2012-06-28T00:00:00"/>
    <s v="Low"/>
    <x v="553"/>
    <x v="0"/>
    <x v="0"/>
    <s v="Corporate"/>
    <x v="1"/>
    <x v="15"/>
    <n v="3758.77"/>
    <n v="140.81"/>
  </r>
  <r>
    <n v="3480"/>
    <n v="24775"/>
    <d v="2012-02-17T00:00:00"/>
    <s v="Critical"/>
    <x v="42"/>
    <x v="21"/>
    <x v="2"/>
    <s v="Home Office"/>
    <x v="1"/>
    <x v="11"/>
    <n v="1616.66"/>
    <n v="100.98"/>
  </r>
  <r>
    <n v="3481"/>
    <n v="24775"/>
    <d v="2012-02-17T00:00:00"/>
    <s v="Critical"/>
    <x v="42"/>
    <x v="21"/>
    <x v="2"/>
    <s v="Home Office"/>
    <x v="1"/>
    <x v="2"/>
    <n v="96.21"/>
    <n v="14.58"/>
  </r>
  <r>
    <n v="3482"/>
    <n v="24801"/>
    <d v="2012-11-15T00:00:00"/>
    <s v="High"/>
    <x v="320"/>
    <x v="6"/>
    <x v="1"/>
    <s v="Home Office"/>
    <x v="0"/>
    <x v="12"/>
    <n v="18.91"/>
    <n v="3.89"/>
  </r>
  <r>
    <n v="3483"/>
    <n v="24801"/>
    <d v="2012-11-15T00:00:00"/>
    <s v="High"/>
    <x v="320"/>
    <x v="6"/>
    <x v="1"/>
    <s v="Home Office"/>
    <x v="1"/>
    <x v="2"/>
    <n v="685.7"/>
    <n v="88.84"/>
  </r>
  <r>
    <n v="3484"/>
    <n v="24801"/>
    <d v="2012-11-15T00:00:00"/>
    <s v="High"/>
    <x v="320"/>
    <x v="6"/>
    <x v="1"/>
    <s v="Home Office"/>
    <x v="2"/>
    <x v="4"/>
    <n v="1024.165"/>
    <n v="115.99"/>
  </r>
  <r>
    <n v="3485"/>
    <n v="24802"/>
    <d v="2009-01-23T00:00:00"/>
    <s v="Medium"/>
    <x v="1041"/>
    <x v="1"/>
    <x v="1"/>
    <s v="Small Business"/>
    <x v="2"/>
    <x v="5"/>
    <n v="1383.2"/>
    <n v="73.98"/>
  </r>
  <r>
    <n v="3486"/>
    <n v="24804"/>
    <d v="2011-05-27T00:00:00"/>
    <s v="Not Specified"/>
    <x v="479"/>
    <x v="46"/>
    <x v="1"/>
    <s v="Home Office"/>
    <x v="0"/>
    <x v="0"/>
    <n v="211.42"/>
    <n v="9.7100000000000009"/>
  </r>
  <r>
    <n v="3487"/>
    <n v="24806"/>
    <d v="2010-09-06T00:00:00"/>
    <s v="Not Specified"/>
    <x v="843"/>
    <x v="30"/>
    <x v="0"/>
    <s v="Small Business"/>
    <x v="0"/>
    <x v="12"/>
    <n v="112.03"/>
    <n v="5.18"/>
  </r>
  <r>
    <n v="3488"/>
    <n v="24833"/>
    <d v="2010-07-16T00:00:00"/>
    <s v="Not Specified"/>
    <x v="744"/>
    <x v="22"/>
    <x v="0"/>
    <s v="Small Business"/>
    <x v="1"/>
    <x v="3"/>
    <n v="5205.83"/>
    <n v="124.49"/>
  </r>
  <r>
    <n v="3489"/>
    <n v="24865"/>
    <d v="2012-03-19T00:00:00"/>
    <s v="High"/>
    <x v="901"/>
    <x v="15"/>
    <x v="2"/>
    <s v="Consumer"/>
    <x v="0"/>
    <x v="14"/>
    <n v="175.23"/>
    <n v="3.69"/>
  </r>
  <r>
    <n v="3490"/>
    <n v="24869"/>
    <d v="2009-06-10T00:00:00"/>
    <s v="Not Specified"/>
    <x v="12"/>
    <x v="10"/>
    <x v="0"/>
    <s v="Consumer"/>
    <x v="0"/>
    <x v="12"/>
    <n v="132.72"/>
    <n v="8.85"/>
  </r>
  <r>
    <n v="3491"/>
    <n v="24870"/>
    <d v="2009-04-24T00:00:00"/>
    <s v="Low"/>
    <x v="112"/>
    <x v="34"/>
    <x v="2"/>
    <s v="Small Business"/>
    <x v="2"/>
    <x v="5"/>
    <n v="1396.58"/>
    <n v="35.409999999999997"/>
  </r>
  <r>
    <n v="3492"/>
    <n v="24870"/>
    <d v="2009-04-24T00:00:00"/>
    <s v="Low"/>
    <x v="112"/>
    <x v="34"/>
    <x v="2"/>
    <s v="Small Business"/>
    <x v="0"/>
    <x v="0"/>
    <n v="6448.69"/>
    <n v="142.86000000000001"/>
  </r>
  <r>
    <n v="3493"/>
    <n v="24871"/>
    <d v="2011-03-23T00:00:00"/>
    <s v="Medium"/>
    <x v="60"/>
    <x v="0"/>
    <x v="0"/>
    <s v="Corporate"/>
    <x v="1"/>
    <x v="2"/>
    <n v="143.78"/>
    <n v="22.72"/>
  </r>
  <r>
    <n v="3494"/>
    <n v="24899"/>
    <d v="2011-08-20T00:00:00"/>
    <s v="Not Specified"/>
    <x v="809"/>
    <x v="33"/>
    <x v="0"/>
    <s v="Home Office"/>
    <x v="0"/>
    <x v="6"/>
    <n v="252.99"/>
    <n v="7.08"/>
  </r>
  <r>
    <n v="3495"/>
    <n v="24902"/>
    <d v="2010-05-26T00:00:00"/>
    <s v="High"/>
    <x v="954"/>
    <x v="15"/>
    <x v="2"/>
    <s v="Consumer"/>
    <x v="0"/>
    <x v="9"/>
    <n v="224.58"/>
    <n v="5.18"/>
  </r>
  <r>
    <n v="3496"/>
    <n v="24903"/>
    <d v="2010-10-19T00:00:00"/>
    <s v="Low"/>
    <x v="276"/>
    <x v="45"/>
    <x v="0"/>
    <s v="Corporate"/>
    <x v="0"/>
    <x v="9"/>
    <n v="1646.47"/>
    <n v="48.91"/>
  </r>
  <r>
    <n v="3497"/>
    <n v="24931"/>
    <d v="2011-11-07T00:00:00"/>
    <s v="Low"/>
    <x v="761"/>
    <x v="2"/>
    <x v="2"/>
    <s v="Home Office"/>
    <x v="0"/>
    <x v="12"/>
    <n v="149.63999999999999"/>
    <n v="16.739999999999998"/>
  </r>
  <r>
    <n v="3498"/>
    <n v="24933"/>
    <d v="2009-07-26T00:00:00"/>
    <s v="Low"/>
    <x v="1042"/>
    <x v="22"/>
    <x v="0"/>
    <s v="Consumer"/>
    <x v="1"/>
    <x v="11"/>
    <n v="3416.38"/>
    <n v="100.98"/>
  </r>
  <r>
    <n v="3499"/>
    <n v="24933"/>
    <d v="2009-07-26T00:00:00"/>
    <s v="Low"/>
    <x v="1042"/>
    <x v="22"/>
    <x v="0"/>
    <s v="Consumer"/>
    <x v="0"/>
    <x v="9"/>
    <n v="142.81"/>
    <n v="10.14"/>
  </r>
  <r>
    <n v="3500"/>
    <n v="24960"/>
    <d v="2011-01-27T00:00:00"/>
    <s v="High"/>
    <x v="1025"/>
    <x v="5"/>
    <x v="0"/>
    <s v="Small Business"/>
    <x v="2"/>
    <x v="5"/>
    <n v="1760.35"/>
    <n v="34.979999999999997"/>
  </r>
  <r>
    <n v="3501"/>
    <n v="24960"/>
    <d v="2011-01-27T00:00:00"/>
    <s v="High"/>
    <x v="1025"/>
    <x v="5"/>
    <x v="0"/>
    <s v="Small Business"/>
    <x v="0"/>
    <x v="9"/>
    <n v="1436.94"/>
    <n v="37.94"/>
  </r>
  <r>
    <n v="3502"/>
    <n v="24960"/>
    <d v="2011-01-27T00:00:00"/>
    <s v="High"/>
    <x v="1025"/>
    <x v="5"/>
    <x v="0"/>
    <s v="Small Business"/>
    <x v="0"/>
    <x v="9"/>
    <n v="125.8"/>
    <n v="6.48"/>
  </r>
  <r>
    <n v="3503"/>
    <n v="24960"/>
    <d v="2011-01-27T00:00:00"/>
    <s v="High"/>
    <x v="1025"/>
    <x v="5"/>
    <x v="0"/>
    <s v="Small Business"/>
    <x v="2"/>
    <x v="4"/>
    <n v="5797.68"/>
    <n v="200.99"/>
  </r>
  <r>
    <n v="3504"/>
    <n v="24961"/>
    <d v="2010-01-26T00:00:00"/>
    <s v="Low"/>
    <x v="378"/>
    <x v="8"/>
    <x v="2"/>
    <s v="Consumer"/>
    <x v="1"/>
    <x v="11"/>
    <n v="487.59"/>
    <n v="58.14"/>
  </r>
  <r>
    <n v="3505"/>
    <n v="24965"/>
    <d v="2011-03-29T00:00:00"/>
    <s v="Low"/>
    <x v="1029"/>
    <x v="30"/>
    <x v="0"/>
    <s v="Corporate"/>
    <x v="0"/>
    <x v="12"/>
    <n v="2528.4899999999998"/>
    <n v="420.98"/>
  </r>
  <r>
    <n v="3506"/>
    <n v="24965"/>
    <d v="2011-03-29T00:00:00"/>
    <s v="Low"/>
    <x v="1029"/>
    <x v="30"/>
    <x v="0"/>
    <s v="Corporate"/>
    <x v="1"/>
    <x v="2"/>
    <n v="1146.1099999999999"/>
    <n v="29.18"/>
  </r>
  <r>
    <n v="3507"/>
    <n v="24966"/>
    <d v="2011-12-17T00:00:00"/>
    <s v="Medium"/>
    <x v="658"/>
    <x v="8"/>
    <x v="2"/>
    <s v="Corporate"/>
    <x v="0"/>
    <x v="0"/>
    <n v="4152.12"/>
    <n v="120.33"/>
  </r>
  <r>
    <n v="3508"/>
    <n v="24993"/>
    <d v="2010-03-11T00:00:00"/>
    <s v="High"/>
    <x v="725"/>
    <x v="11"/>
    <x v="2"/>
    <s v="Small Business"/>
    <x v="2"/>
    <x v="4"/>
    <n v="1561.2204999999999"/>
    <n v="55.99"/>
  </r>
  <r>
    <n v="3509"/>
    <n v="24996"/>
    <d v="2011-09-25T00:00:00"/>
    <s v="Critical"/>
    <x v="739"/>
    <x v="1"/>
    <x v="1"/>
    <s v="Consumer"/>
    <x v="0"/>
    <x v="13"/>
    <n v="1793.24"/>
    <n v="46.89"/>
  </r>
  <r>
    <n v="3510"/>
    <n v="24996"/>
    <d v="2011-09-25T00:00:00"/>
    <s v="Critical"/>
    <x v="739"/>
    <x v="1"/>
    <x v="1"/>
    <s v="Consumer"/>
    <x v="2"/>
    <x v="4"/>
    <n v="143.667"/>
    <n v="85.99"/>
  </r>
  <r>
    <n v="3511"/>
    <n v="25027"/>
    <d v="2009-12-16T00:00:00"/>
    <s v="Medium"/>
    <x v="1043"/>
    <x v="16"/>
    <x v="1"/>
    <s v="Consumer"/>
    <x v="1"/>
    <x v="3"/>
    <n v="3585.91"/>
    <n v="146.34"/>
  </r>
  <r>
    <n v="3512"/>
    <n v="25028"/>
    <d v="2011-01-05T00:00:00"/>
    <s v="Critical"/>
    <x v="62"/>
    <x v="25"/>
    <x v="1"/>
    <s v="Home Office"/>
    <x v="1"/>
    <x v="11"/>
    <n v="477.39"/>
    <n v="81.94"/>
  </r>
  <r>
    <n v="3513"/>
    <n v="25028"/>
    <d v="2011-01-05T00:00:00"/>
    <s v="Critical"/>
    <x v="62"/>
    <x v="25"/>
    <x v="1"/>
    <s v="Home Office"/>
    <x v="0"/>
    <x v="9"/>
    <n v="552.08000000000004"/>
    <n v="37.94"/>
  </r>
  <r>
    <n v="3514"/>
    <n v="25031"/>
    <d v="2009-08-23T00:00:00"/>
    <s v="High"/>
    <x v="390"/>
    <x v="22"/>
    <x v="0"/>
    <s v="Consumer"/>
    <x v="1"/>
    <x v="3"/>
    <n v="4636.62"/>
    <n v="209.37"/>
  </r>
  <r>
    <n v="3515"/>
    <n v="25031"/>
    <d v="2009-08-23T00:00:00"/>
    <s v="High"/>
    <x v="744"/>
    <x v="22"/>
    <x v="0"/>
    <s v="Consumer"/>
    <x v="0"/>
    <x v="9"/>
    <n v="100.11"/>
    <n v="4.9800000000000004"/>
  </r>
  <r>
    <n v="3516"/>
    <n v="25056"/>
    <d v="2010-09-21T00:00:00"/>
    <s v="Not Specified"/>
    <x v="487"/>
    <x v="14"/>
    <x v="0"/>
    <s v="Corporate"/>
    <x v="0"/>
    <x v="9"/>
    <n v="295.12"/>
    <n v="6.48"/>
  </r>
  <r>
    <n v="3517"/>
    <n v="25060"/>
    <d v="2009-07-20T00:00:00"/>
    <s v="Not Specified"/>
    <x v="920"/>
    <x v="11"/>
    <x v="2"/>
    <s v="Consumer"/>
    <x v="0"/>
    <x v="12"/>
    <n v="7767.02"/>
    <n v="1270.99"/>
  </r>
  <r>
    <n v="3518"/>
    <n v="25060"/>
    <d v="2009-07-20T00:00:00"/>
    <s v="Not Specified"/>
    <x v="920"/>
    <x v="11"/>
    <x v="2"/>
    <s v="Consumer"/>
    <x v="2"/>
    <x v="10"/>
    <n v="1893.93"/>
    <n v="2036.48"/>
  </r>
  <r>
    <n v="3519"/>
    <n v="25061"/>
    <d v="2011-12-18T00:00:00"/>
    <s v="Medium"/>
    <x v="1044"/>
    <x v="5"/>
    <x v="0"/>
    <s v="Home Office"/>
    <x v="0"/>
    <x v="9"/>
    <n v="941.13"/>
    <n v="48.04"/>
  </r>
  <r>
    <n v="3520"/>
    <n v="25062"/>
    <d v="2010-10-30T00:00:00"/>
    <s v="Critical"/>
    <x v="642"/>
    <x v="26"/>
    <x v="3"/>
    <s v="Consumer"/>
    <x v="0"/>
    <x v="13"/>
    <n v="78.790000000000006"/>
    <n v="14.42"/>
  </r>
  <r>
    <n v="3521"/>
    <n v="25062"/>
    <d v="2010-10-30T00:00:00"/>
    <s v="Critical"/>
    <x v="642"/>
    <x v="26"/>
    <x v="3"/>
    <s v="Consumer"/>
    <x v="0"/>
    <x v="12"/>
    <n v="3928.25"/>
    <n v="420.98"/>
  </r>
  <r>
    <n v="3522"/>
    <n v="25063"/>
    <d v="2009-06-29T00:00:00"/>
    <s v="Not Specified"/>
    <x v="1019"/>
    <x v="25"/>
    <x v="1"/>
    <s v="Home Office"/>
    <x v="2"/>
    <x v="4"/>
    <n v="711.875"/>
    <n v="35.99"/>
  </r>
  <r>
    <n v="3523"/>
    <n v="25091"/>
    <d v="2010-02-19T00:00:00"/>
    <s v="Medium"/>
    <x v="805"/>
    <x v="27"/>
    <x v="3"/>
    <s v="Corporate"/>
    <x v="0"/>
    <x v="12"/>
    <n v="156.97"/>
    <n v="34.54"/>
  </r>
  <r>
    <n v="3524"/>
    <n v="25092"/>
    <d v="2010-12-01T00:00:00"/>
    <s v="High"/>
    <x v="1045"/>
    <x v="31"/>
    <x v="3"/>
    <s v="Consumer"/>
    <x v="0"/>
    <x v="12"/>
    <n v="141.27000000000001"/>
    <n v="21.38"/>
  </r>
  <r>
    <n v="3525"/>
    <n v="25092"/>
    <d v="2010-12-01T00:00:00"/>
    <s v="High"/>
    <x v="1046"/>
    <x v="31"/>
    <x v="3"/>
    <s v="Consumer"/>
    <x v="0"/>
    <x v="7"/>
    <n v="16.02"/>
    <n v="1.81"/>
  </r>
  <r>
    <n v="3526"/>
    <n v="25092"/>
    <d v="2010-12-01T00:00:00"/>
    <s v="High"/>
    <x v="419"/>
    <x v="40"/>
    <x v="3"/>
    <s v="Consumer"/>
    <x v="0"/>
    <x v="6"/>
    <n v="242.8"/>
    <n v="5.84"/>
  </r>
  <r>
    <n v="3527"/>
    <n v="25095"/>
    <d v="2011-01-25T00:00:00"/>
    <s v="Low"/>
    <x v="1047"/>
    <x v="5"/>
    <x v="0"/>
    <s v="Consumer"/>
    <x v="0"/>
    <x v="14"/>
    <n v="693.06"/>
    <n v="39.979999999999997"/>
  </r>
  <r>
    <n v="3528"/>
    <n v="25095"/>
    <d v="2011-01-25T00:00:00"/>
    <s v="Low"/>
    <x v="1047"/>
    <x v="5"/>
    <x v="0"/>
    <s v="Consumer"/>
    <x v="2"/>
    <x v="10"/>
    <n v="4475.03"/>
    <n v="115.99"/>
  </r>
  <r>
    <n v="3529"/>
    <n v="25120"/>
    <d v="2009-02-04T00:00:00"/>
    <s v="Medium"/>
    <x v="853"/>
    <x v="21"/>
    <x v="2"/>
    <s v="Corporate"/>
    <x v="0"/>
    <x v="8"/>
    <n v="237.15"/>
    <n v="4.91"/>
  </r>
  <r>
    <n v="3530"/>
    <n v="25120"/>
    <d v="2009-02-04T00:00:00"/>
    <s v="Medium"/>
    <x v="853"/>
    <x v="21"/>
    <x v="2"/>
    <s v="Corporate"/>
    <x v="0"/>
    <x v="9"/>
    <n v="179.22"/>
    <n v="7.28"/>
  </r>
  <r>
    <n v="3531"/>
    <n v="25120"/>
    <d v="2009-02-04T00:00:00"/>
    <s v="Medium"/>
    <x v="853"/>
    <x v="21"/>
    <x v="2"/>
    <s v="Corporate"/>
    <x v="0"/>
    <x v="9"/>
    <n v="71.86"/>
    <n v="6.68"/>
  </r>
  <r>
    <n v="3532"/>
    <n v="25152"/>
    <d v="2012-10-15T00:00:00"/>
    <s v="Critical"/>
    <x v="680"/>
    <x v="26"/>
    <x v="3"/>
    <s v="Corporate"/>
    <x v="0"/>
    <x v="6"/>
    <n v="195.21"/>
    <n v="7.08"/>
  </r>
  <r>
    <n v="3533"/>
    <n v="25154"/>
    <d v="2010-08-20T00:00:00"/>
    <s v="High"/>
    <x v="306"/>
    <x v="30"/>
    <x v="0"/>
    <s v="Home Office"/>
    <x v="0"/>
    <x v="6"/>
    <n v="102.5"/>
    <n v="6.68"/>
  </r>
  <r>
    <n v="3534"/>
    <n v="25155"/>
    <d v="2010-01-20T00:00:00"/>
    <s v="Low"/>
    <x v="1048"/>
    <x v="18"/>
    <x v="2"/>
    <s v="Corporate"/>
    <x v="1"/>
    <x v="2"/>
    <n v="1038.99"/>
    <n v="19.940000000000001"/>
  </r>
  <r>
    <n v="3535"/>
    <n v="25155"/>
    <d v="2010-01-20T00:00:00"/>
    <s v="Low"/>
    <x v="1048"/>
    <x v="18"/>
    <x v="2"/>
    <s v="Corporate"/>
    <x v="0"/>
    <x v="9"/>
    <n v="114.01"/>
    <n v="6.69"/>
  </r>
  <r>
    <n v="3536"/>
    <n v="25155"/>
    <d v="2010-01-20T00:00:00"/>
    <s v="Low"/>
    <x v="1048"/>
    <x v="18"/>
    <x v="2"/>
    <s v="Corporate"/>
    <x v="0"/>
    <x v="9"/>
    <n v="30.37"/>
    <n v="4.9800000000000004"/>
  </r>
  <r>
    <n v="3537"/>
    <n v="25157"/>
    <d v="2010-05-25T00:00:00"/>
    <s v="Not Specified"/>
    <x v="649"/>
    <x v="16"/>
    <x v="1"/>
    <s v="Corporate"/>
    <x v="0"/>
    <x v="9"/>
    <n v="545.38"/>
    <n v="22.84"/>
  </r>
  <r>
    <n v="3538"/>
    <n v="25157"/>
    <d v="2010-05-25T00:00:00"/>
    <s v="Not Specified"/>
    <x v="419"/>
    <x v="40"/>
    <x v="3"/>
    <s v="Corporate"/>
    <x v="0"/>
    <x v="6"/>
    <n v="271.77999999999997"/>
    <n v="5.84"/>
  </r>
  <r>
    <n v="3539"/>
    <n v="25188"/>
    <d v="2011-01-03T00:00:00"/>
    <s v="Medium"/>
    <x v="627"/>
    <x v="23"/>
    <x v="3"/>
    <s v="Home Office"/>
    <x v="2"/>
    <x v="4"/>
    <n v="1564.1614999999999"/>
    <n v="85.99"/>
  </r>
  <r>
    <n v="3540"/>
    <n v="25191"/>
    <d v="2011-03-30T00:00:00"/>
    <s v="Medium"/>
    <x v="1049"/>
    <x v="4"/>
    <x v="1"/>
    <s v="Small Business"/>
    <x v="2"/>
    <x v="4"/>
    <n v="4091.1519999999996"/>
    <n v="115.99"/>
  </r>
  <r>
    <n v="3541"/>
    <n v="25248"/>
    <d v="2011-12-01T00:00:00"/>
    <s v="Medium"/>
    <x v="541"/>
    <x v="3"/>
    <x v="0"/>
    <s v="Small Business"/>
    <x v="2"/>
    <x v="5"/>
    <n v="271.14"/>
    <n v="8.33"/>
  </r>
  <r>
    <n v="3542"/>
    <n v="25248"/>
    <d v="2011-12-01T00:00:00"/>
    <s v="Medium"/>
    <x v="541"/>
    <x v="3"/>
    <x v="0"/>
    <s v="Small Business"/>
    <x v="0"/>
    <x v="9"/>
    <n v="1150.3"/>
    <n v="48.91"/>
  </r>
  <r>
    <n v="3543"/>
    <n v="25249"/>
    <d v="2012-11-06T00:00:00"/>
    <s v="Medium"/>
    <x v="660"/>
    <x v="23"/>
    <x v="3"/>
    <s v="Consumer"/>
    <x v="0"/>
    <x v="12"/>
    <n v="926.85"/>
    <n v="28.53"/>
  </r>
  <r>
    <n v="3544"/>
    <n v="25254"/>
    <d v="2010-09-17T00:00:00"/>
    <s v="Critical"/>
    <x v="556"/>
    <x v="5"/>
    <x v="0"/>
    <s v="Small Business"/>
    <x v="0"/>
    <x v="12"/>
    <n v="299.68"/>
    <n v="8.85"/>
  </r>
  <r>
    <n v="3545"/>
    <n v="25280"/>
    <d v="2011-05-21T00:00:00"/>
    <s v="Not Specified"/>
    <x v="735"/>
    <x v="40"/>
    <x v="3"/>
    <s v="Corporate"/>
    <x v="0"/>
    <x v="12"/>
    <n v="179.26"/>
    <n v="10.91"/>
  </r>
  <r>
    <n v="3546"/>
    <n v="25280"/>
    <d v="2011-05-21T00:00:00"/>
    <s v="Not Specified"/>
    <x v="1050"/>
    <x v="31"/>
    <x v="3"/>
    <s v="Corporate"/>
    <x v="0"/>
    <x v="6"/>
    <n v="202.64"/>
    <n v="4.13"/>
  </r>
  <r>
    <n v="3547"/>
    <n v="25313"/>
    <d v="2012-08-21T00:00:00"/>
    <s v="Critical"/>
    <x v="419"/>
    <x v="40"/>
    <x v="3"/>
    <s v="Corporate"/>
    <x v="0"/>
    <x v="6"/>
    <n v="418.7"/>
    <n v="22.01"/>
  </r>
  <r>
    <n v="3548"/>
    <n v="25314"/>
    <d v="2012-02-24T00:00:00"/>
    <s v="High"/>
    <x v="1051"/>
    <x v="37"/>
    <x v="2"/>
    <s v="Corporate"/>
    <x v="2"/>
    <x v="4"/>
    <n v="7679.5119999999988"/>
    <n v="205.99"/>
  </r>
  <r>
    <n v="3549"/>
    <n v="25315"/>
    <d v="2010-12-02T00:00:00"/>
    <s v="Low"/>
    <x v="859"/>
    <x v="30"/>
    <x v="0"/>
    <s v="Consumer"/>
    <x v="0"/>
    <x v="13"/>
    <n v="7783.36"/>
    <n v="225.04"/>
  </r>
  <r>
    <n v="3550"/>
    <n v="25315"/>
    <d v="2010-12-02T00:00:00"/>
    <s v="Low"/>
    <x v="859"/>
    <x v="30"/>
    <x v="0"/>
    <s v="Consumer"/>
    <x v="0"/>
    <x v="6"/>
    <n v="61.76"/>
    <n v="2.84"/>
  </r>
  <r>
    <n v="3551"/>
    <n v="25315"/>
    <d v="2010-12-02T00:00:00"/>
    <s v="Low"/>
    <x v="859"/>
    <x v="30"/>
    <x v="0"/>
    <s v="Consumer"/>
    <x v="1"/>
    <x v="3"/>
    <n v="1280.3399999999999"/>
    <n v="31.76"/>
  </r>
  <r>
    <n v="3552"/>
    <n v="25318"/>
    <d v="2011-11-19T00:00:00"/>
    <s v="Critical"/>
    <x v="1010"/>
    <x v="0"/>
    <x v="0"/>
    <s v="Small Business"/>
    <x v="1"/>
    <x v="2"/>
    <n v="440.92"/>
    <n v="19.98"/>
  </r>
  <r>
    <n v="3553"/>
    <n v="25318"/>
    <d v="2011-11-19T00:00:00"/>
    <s v="Critical"/>
    <x v="476"/>
    <x v="47"/>
    <x v="1"/>
    <s v="Small Business"/>
    <x v="0"/>
    <x v="12"/>
    <n v="3.2"/>
    <n v="1.88"/>
  </r>
  <r>
    <n v="3554"/>
    <n v="25347"/>
    <d v="2009-06-12T00:00:00"/>
    <s v="Low"/>
    <x v="136"/>
    <x v="17"/>
    <x v="0"/>
    <s v="Corporate"/>
    <x v="0"/>
    <x v="9"/>
    <n v="967.27"/>
    <n v="35.44"/>
  </r>
  <r>
    <n v="3555"/>
    <n v="25348"/>
    <d v="2012-05-09T00:00:00"/>
    <s v="Critical"/>
    <x v="363"/>
    <x v="15"/>
    <x v="2"/>
    <s v="Small Business"/>
    <x v="0"/>
    <x v="13"/>
    <n v="343.36"/>
    <n v="56.96"/>
  </r>
  <r>
    <n v="3556"/>
    <n v="25348"/>
    <d v="2012-05-09T00:00:00"/>
    <s v="Critical"/>
    <x v="363"/>
    <x v="15"/>
    <x v="2"/>
    <s v="Small Business"/>
    <x v="2"/>
    <x v="4"/>
    <n v="309.22149999999999"/>
    <n v="55.99"/>
  </r>
  <r>
    <n v="3557"/>
    <n v="25350"/>
    <d v="2010-12-03T00:00:00"/>
    <s v="Not Specified"/>
    <x v="1052"/>
    <x v="15"/>
    <x v="2"/>
    <s v="Home Office"/>
    <x v="0"/>
    <x v="13"/>
    <n v="2477.9899999999998"/>
    <n v="80.98"/>
  </r>
  <r>
    <n v="3558"/>
    <n v="25350"/>
    <d v="2010-12-03T00:00:00"/>
    <s v="Not Specified"/>
    <x v="1052"/>
    <x v="15"/>
    <x v="2"/>
    <s v="Home Office"/>
    <x v="0"/>
    <x v="6"/>
    <n v="48.83"/>
    <n v="2.1"/>
  </r>
  <r>
    <n v="3559"/>
    <n v="25376"/>
    <d v="2011-03-26T00:00:00"/>
    <s v="Critical"/>
    <x v="875"/>
    <x v="30"/>
    <x v="0"/>
    <s v="Corporate"/>
    <x v="1"/>
    <x v="2"/>
    <n v="76.61"/>
    <n v="6.28"/>
  </r>
  <r>
    <n v="3560"/>
    <n v="25377"/>
    <d v="2012-11-26T00:00:00"/>
    <s v="Low"/>
    <x v="156"/>
    <x v="0"/>
    <x v="0"/>
    <s v="Corporate"/>
    <x v="2"/>
    <x v="10"/>
    <n v="4343.51"/>
    <n v="1500.97"/>
  </r>
  <r>
    <n v="3561"/>
    <n v="25378"/>
    <d v="2011-12-18T00:00:00"/>
    <s v="Not Specified"/>
    <x v="780"/>
    <x v="16"/>
    <x v="1"/>
    <s v="Corporate"/>
    <x v="2"/>
    <x v="4"/>
    <n v="3713.0124999999998"/>
    <n v="95.99"/>
  </r>
  <r>
    <n v="3562"/>
    <n v="25412"/>
    <d v="2011-06-06T00:00:00"/>
    <s v="Not Specified"/>
    <x v="400"/>
    <x v="25"/>
    <x v="1"/>
    <s v="Corporate"/>
    <x v="0"/>
    <x v="9"/>
    <n v="129.77000000000001"/>
    <n v="6.48"/>
  </r>
  <r>
    <n v="3563"/>
    <n v="25440"/>
    <d v="2009-02-06T00:00:00"/>
    <s v="High"/>
    <x v="357"/>
    <x v="21"/>
    <x v="2"/>
    <s v="Home Office"/>
    <x v="1"/>
    <x v="3"/>
    <n v="6589.3040000000001"/>
    <n v="259.70999999999998"/>
  </r>
  <r>
    <n v="3564"/>
    <n v="25442"/>
    <d v="2012-01-05T00:00:00"/>
    <s v="High"/>
    <x v="146"/>
    <x v="35"/>
    <x v="3"/>
    <s v="Home Office"/>
    <x v="0"/>
    <x v="9"/>
    <n v="1666"/>
    <n v="55.48"/>
  </r>
  <r>
    <n v="3565"/>
    <n v="25442"/>
    <d v="2012-01-05T00:00:00"/>
    <s v="High"/>
    <x v="1053"/>
    <x v="31"/>
    <x v="3"/>
    <s v="Home Office"/>
    <x v="0"/>
    <x v="9"/>
    <n v="453.98"/>
    <n v="11.34"/>
  </r>
  <r>
    <n v="3566"/>
    <n v="25443"/>
    <d v="2012-09-22T00:00:00"/>
    <s v="Medium"/>
    <x v="861"/>
    <x v="2"/>
    <x v="2"/>
    <s v="Corporate"/>
    <x v="2"/>
    <x v="10"/>
    <n v="570.24"/>
    <n v="15.99"/>
  </r>
  <r>
    <n v="3567"/>
    <n v="25445"/>
    <d v="2009-05-25T00:00:00"/>
    <s v="Low"/>
    <x v="948"/>
    <x v="16"/>
    <x v="1"/>
    <s v="Small Business"/>
    <x v="0"/>
    <x v="12"/>
    <n v="1444"/>
    <n v="30.56"/>
  </r>
  <r>
    <n v="3568"/>
    <n v="25447"/>
    <d v="2012-05-23T00:00:00"/>
    <s v="Not Specified"/>
    <x v="453"/>
    <x v="11"/>
    <x v="2"/>
    <s v="Corporate"/>
    <x v="1"/>
    <x v="2"/>
    <n v="536.21"/>
    <n v="22.72"/>
  </r>
  <r>
    <n v="3569"/>
    <n v="25447"/>
    <d v="2012-05-23T00:00:00"/>
    <s v="Not Specified"/>
    <x v="453"/>
    <x v="11"/>
    <x v="2"/>
    <s v="Corporate"/>
    <x v="1"/>
    <x v="3"/>
    <n v="4428.5600000000004"/>
    <n v="296.18"/>
  </r>
  <r>
    <n v="3570"/>
    <n v="25472"/>
    <d v="2009-05-21T00:00:00"/>
    <s v="High"/>
    <x v="1054"/>
    <x v="12"/>
    <x v="3"/>
    <s v="Small Business"/>
    <x v="0"/>
    <x v="9"/>
    <n v="194.02"/>
    <n v="4.9800000000000004"/>
  </r>
  <r>
    <n v="3571"/>
    <n v="25473"/>
    <d v="2012-10-14T00:00:00"/>
    <s v="High"/>
    <x v="1055"/>
    <x v="33"/>
    <x v="0"/>
    <s v="Corporate"/>
    <x v="2"/>
    <x v="10"/>
    <n v="17304.849999999999"/>
    <n v="500.98"/>
  </r>
  <r>
    <n v="3572"/>
    <n v="25473"/>
    <d v="2012-10-14T00:00:00"/>
    <s v="High"/>
    <x v="1055"/>
    <x v="33"/>
    <x v="0"/>
    <s v="Corporate"/>
    <x v="0"/>
    <x v="9"/>
    <n v="794.32"/>
    <n v="40.99"/>
  </r>
  <r>
    <n v="3573"/>
    <n v="25475"/>
    <d v="2009-04-04T00:00:00"/>
    <s v="Critical"/>
    <x v="497"/>
    <x v="3"/>
    <x v="0"/>
    <s v="Home Office"/>
    <x v="0"/>
    <x v="9"/>
    <n v="305.95999999999998"/>
    <n v="6.48"/>
  </r>
  <r>
    <n v="3574"/>
    <n v="25476"/>
    <d v="2012-10-02T00:00:00"/>
    <s v="Not Specified"/>
    <x v="590"/>
    <x v="16"/>
    <x v="1"/>
    <s v="Consumer"/>
    <x v="2"/>
    <x v="5"/>
    <n v="676.69"/>
    <n v="35.409999999999997"/>
  </r>
  <r>
    <n v="3575"/>
    <n v="25476"/>
    <d v="2012-10-02T00:00:00"/>
    <s v="Not Specified"/>
    <x v="590"/>
    <x v="16"/>
    <x v="1"/>
    <s v="Consumer"/>
    <x v="2"/>
    <x v="16"/>
    <n v="13698.96"/>
    <n v="3499.99"/>
  </r>
  <r>
    <n v="3576"/>
    <n v="25478"/>
    <d v="2012-04-24T00:00:00"/>
    <s v="Critical"/>
    <x v="102"/>
    <x v="26"/>
    <x v="3"/>
    <s v="Consumer"/>
    <x v="2"/>
    <x v="4"/>
    <n v="4725.0905000000002"/>
    <n v="115.99"/>
  </r>
  <r>
    <n v="3577"/>
    <n v="25478"/>
    <d v="2012-04-24T00:00:00"/>
    <s v="Critical"/>
    <x v="649"/>
    <x v="26"/>
    <x v="3"/>
    <s v="Consumer"/>
    <x v="0"/>
    <x v="7"/>
    <n v="286.76"/>
    <n v="6.08"/>
  </r>
  <r>
    <n v="3578"/>
    <n v="25479"/>
    <d v="2011-04-28T00:00:00"/>
    <s v="Critical"/>
    <x v="29"/>
    <x v="7"/>
    <x v="3"/>
    <s v="Corporate"/>
    <x v="2"/>
    <x v="4"/>
    <n v="210.5025"/>
    <n v="85.99"/>
  </r>
  <r>
    <n v="3579"/>
    <n v="25507"/>
    <d v="2009-08-05T00:00:00"/>
    <s v="Not Specified"/>
    <x v="1056"/>
    <x v="9"/>
    <x v="1"/>
    <s v="Home Office"/>
    <x v="0"/>
    <x v="0"/>
    <n v="555.20000000000005"/>
    <n v="64.650000000000006"/>
  </r>
  <r>
    <n v="3580"/>
    <n v="25509"/>
    <d v="2009-05-22T00:00:00"/>
    <s v="Critical"/>
    <x v="852"/>
    <x v="9"/>
    <x v="1"/>
    <s v="Corporate"/>
    <x v="0"/>
    <x v="12"/>
    <n v="212.28"/>
    <n v="4.9800000000000004"/>
  </r>
  <r>
    <n v="3581"/>
    <n v="25536"/>
    <d v="2011-07-22T00:00:00"/>
    <s v="Low"/>
    <x v="735"/>
    <x v="40"/>
    <x v="3"/>
    <s v="Small Business"/>
    <x v="0"/>
    <x v="6"/>
    <n v="193.25"/>
    <n v="9.93"/>
  </r>
  <r>
    <n v="3582"/>
    <n v="25541"/>
    <d v="2009-01-13T00:00:00"/>
    <s v="Low"/>
    <x v="954"/>
    <x v="15"/>
    <x v="2"/>
    <s v="Consumer"/>
    <x v="0"/>
    <x v="9"/>
    <n v="297.76"/>
    <n v="5.98"/>
  </r>
  <r>
    <n v="3583"/>
    <n v="25542"/>
    <d v="2012-12-30T00:00:00"/>
    <s v="Low"/>
    <x v="641"/>
    <x v="5"/>
    <x v="0"/>
    <s v="Home Office"/>
    <x v="0"/>
    <x v="9"/>
    <n v="257.45999999999998"/>
    <n v="7.28"/>
  </r>
  <r>
    <n v="3584"/>
    <n v="25569"/>
    <d v="2012-07-09T00:00:00"/>
    <s v="High"/>
    <x v="397"/>
    <x v="5"/>
    <x v="0"/>
    <s v="Small Business"/>
    <x v="0"/>
    <x v="9"/>
    <n v="311.20999999999998"/>
    <n v="12.28"/>
  </r>
  <r>
    <n v="3585"/>
    <n v="25571"/>
    <d v="2012-08-18T00:00:00"/>
    <s v="Critical"/>
    <x v="294"/>
    <x v="28"/>
    <x v="1"/>
    <s v="Consumer"/>
    <x v="0"/>
    <x v="0"/>
    <n v="3749"/>
    <n v="89.83"/>
  </r>
  <r>
    <n v="3586"/>
    <n v="25574"/>
    <d v="2009-03-12T00:00:00"/>
    <s v="Not Specified"/>
    <x v="1057"/>
    <x v="37"/>
    <x v="2"/>
    <s v="Consumer"/>
    <x v="1"/>
    <x v="11"/>
    <n v="5074.07"/>
    <n v="100.98"/>
  </r>
  <r>
    <n v="3587"/>
    <n v="25574"/>
    <d v="2009-03-12T00:00:00"/>
    <s v="Not Specified"/>
    <x v="1057"/>
    <x v="37"/>
    <x v="2"/>
    <s v="Consumer"/>
    <x v="2"/>
    <x v="5"/>
    <n v="1526.67"/>
    <n v="47.98"/>
  </r>
  <r>
    <n v="3588"/>
    <n v="25601"/>
    <d v="2009-01-05T00:00:00"/>
    <s v="Medium"/>
    <x v="157"/>
    <x v="15"/>
    <x v="2"/>
    <s v="Corporate"/>
    <x v="0"/>
    <x v="0"/>
    <n v="257.41000000000003"/>
    <n v="5.98"/>
  </r>
  <r>
    <n v="3589"/>
    <n v="25603"/>
    <d v="2011-03-05T00:00:00"/>
    <s v="Low"/>
    <x v="915"/>
    <x v="4"/>
    <x v="1"/>
    <s v="Corporate"/>
    <x v="0"/>
    <x v="14"/>
    <n v="862.64"/>
    <n v="35.89"/>
  </r>
  <r>
    <n v="3590"/>
    <n v="25633"/>
    <d v="2011-08-01T00:00:00"/>
    <s v="Low"/>
    <x v="679"/>
    <x v="22"/>
    <x v="0"/>
    <s v="Home Office"/>
    <x v="1"/>
    <x v="3"/>
    <n v="5140.08"/>
    <n v="145.97999999999999"/>
  </r>
  <r>
    <n v="3591"/>
    <n v="25634"/>
    <d v="2010-07-29T00:00:00"/>
    <s v="Not Specified"/>
    <x v="1058"/>
    <x v="0"/>
    <x v="0"/>
    <s v="Corporate"/>
    <x v="2"/>
    <x v="5"/>
    <n v="593.32000000000005"/>
    <n v="20.95"/>
  </r>
  <r>
    <n v="3592"/>
    <n v="25634"/>
    <d v="2010-07-29T00:00:00"/>
    <s v="Not Specified"/>
    <x v="1058"/>
    <x v="0"/>
    <x v="0"/>
    <s v="Corporate"/>
    <x v="0"/>
    <x v="14"/>
    <n v="626.07000000000005"/>
    <n v="23.99"/>
  </r>
  <r>
    <n v="3593"/>
    <n v="25635"/>
    <d v="2012-05-29T00:00:00"/>
    <s v="Critical"/>
    <x v="744"/>
    <x v="22"/>
    <x v="0"/>
    <s v="Corporate"/>
    <x v="0"/>
    <x v="13"/>
    <n v="633.08000000000004"/>
    <n v="42.98"/>
  </r>
  <r>
    <n v="3594"/>
    <n v="25635"/>
    <d v="2012-05-29T00:00:00"/>
    <s v="Critical"/>
    <x v="679"/>
    <x v="22"/>
    <x v="0"/>
    <s v="Corporate"/>
    <x v="1"/>
    <x v="2"/>
    <n v="110.42"/>
    <n v="5.08"/>
  </r>
  <r>
    <n v="3595"/>
    <n v="25637"/>
    <d v="2012-02-25T00:00:00"/>
    <s v="Not Specified"/>
    <x v="119"/>
    <x v="36"/>
    <x v="2"/>
    <s v="Small Business"/>
    <x v="1"/>
    <x v="3"/>
    <n v="2409.4240000000004"/>
    <n v="259.70999999999998"/>
  </r>
  <r>
    <n v="3596"/>
    <n v="25638"/>
    <d v="2009-08-06T00:00:00"/>
    <s v="High"/>
    <x v="575"/>
    <x v="33"/>
    <x v="0"/>
    <s v="Corporate"/>
    <x v="2"/>
    <x v="5"/>
    <n v="163.89"/>
    <n v="4.8899999999999997"/>
  </r>
  <r>
    <n v="3597"/>
    <n v="25638"/>
    <d v="2009-08-06T00:00:00"/>
    <s v="High"/>
    <x v="575"/>
    <x v="33"/>
    <x v="0"/>
    <s v="Corporate"/>
    <x v="0"/>
    <x v="9"/>
    <n v="115.45"/>
    <n v="10.06"/>
  </r>
  <r>
    <n v="3598"/>
    <n v="25666"/>
    <d v="2012-09-02T00:00:00"/>
    <s v="Critical"/>
    <x v="499"/>
    <x v="40"/>
    <x v="3"/>
    <s v="Consumer"/>
    <x v="0"/>
    <x v="0"/>
    <n v="260.08"/>
    <n v="12.21"/>
  </r>
  <r>
    <n v="3599"/>
    <n v="25666"/>
    <d v="2012-09-02T00:00:00"/>
    <s v="Critical"/>
    <x v="1059"/>
    <x v="31"/>
    <x v="3"/>
    <s v="Consumer"/>
    <x v="0"/>
    <x v="0"/>
    <n v="5072.34"/>
    <n v="140.85"/>
  </r>
  <r>
    <n v="3600"/>
    <n v="25669"/>
    <d v="2011-01-16T00:00:00"/>
    <s v="Critical"/>
    <x v="1060"/>
    <x v="31"/>
    <x v="3"/>
    <s v="Small Business"/>
    <x v="0"/>
    <x v="8"/>
    <n v="45.63"/>
    <n v="3.69"/>
  </r>
  <r>
    <n v="3601"/>
    <n v="25697"/>
    <d v="2011-04-26T00:00:00"/>
    <s v="Low"/>
    <x v="433"/>
    <x v="10"/>
    <x v="0"/>
    <s v="Consumer"/>
    <x v="2"/>
    <x v="5"/>
    <n v="400.25"/>
    <n v="8.4600000000000009"/>
  </r>
  <r>
    <n v="3602"/>
    <n v="25733"/>
    <d v="2012-05-12T00:00:00"/>
    <s v="Low"/>
    <x v="413"/>
    <x v="0"/>
    <x v="0"/>
    <s v="Home Office"/>
    <x v="0"/>
    <x v="12"/>
    <n v="557.23"/>
    <n v="24.92"/>
  </r>
  <r>
    <n v="3603"/>
    <n v="25735"/>
    <d v="2010-12-30T00:00:00"/>
    <s v="Not Specified"/>
    <x v="708"/>
    <x v="45"/>
    <x v="0"/>
    <s v="Consumer"/>
    <x v="0"/>
    <x v="6"/>
    <n v="260.37"/>
    <n v="5.58"/>
  </r>
  <r>
    <n v="3604"/>
    <n v="25767"/>
    <d v="2012-03-03T00:00:00"/>
    <s v="High"/>
    <x v="89"/>
    <x v="0"/>
    <x v="0"/>
    <s v="Corporate"/>
    <x v="2"/>
    <x v="5"/>
    <n v="261.88"/>
    <n v="39.479999999999997"/>
  </r>
  <r>
    <n v="3605"/>
    <n v="25767"/>
    <d v="2012-03-03T00:00:00"/>
    <s v="High"/>
    <x v="89"/>
    <x v="0"/>
    <x v="0"/>
    <s v="Corporate"/>
    <x v="0"/>
    <x v="9"/>
    <n v="593.73"/>
    <n v="38.76"/>
  </r>
  <r>
    <n v="3606"/>
    <n v="25793"/>
    <d v="2012-04-07T00:00:00"/>
    <s v="Low"/>
    <x v="683"/>
    <x v="34"/>
    <x v="2"/>
    <s v="Consumer"/>
    <x v="2"/>
    <x v="4"/>
    <n v="3436.7710000000002"/>
    <n v="155.99"/>
  </r>
  <r>
    <n v="3607"/>
    <n v="25797"/>
    <d v="2012-09-01T00:00:00"/>
    <s v="Not Specified"/>
    <x v="233"/>
    <x v="16"/>
    <x v="1"/>
    <s v="Corporate"/>
    <x v="2"/>
    <x v="5"/>
    <n v="925.43"/>
    <n v="31.78"/>
  </r>
  <r>
    <n v="3608"/>
    <n v="25799"/>
    <d v="2011-02-24T00:00:00"/>
    <s v="Low"/>
    <x v="659"/>
    <x v="21"/>
    <x v="2"/>
    <s v="Corporate"/>
    <x v="0"/>
    <x v="6"/>
    <n v="136.5"/>
    <n v="3.34"/>
  </r>
  <r>
    <n v="3609"/>
    <n v="25824"/>
    <d v="2009-09-04T00:00:00"/>
    <s v="Medium"/>
    <x v="670"/>
    <x v="1"/>
    <x v="1"/>
    <s v="Corporate"/>
    <x v="0"/>
    <x v="13"/>
    <n v="25.27"/>
    <n v="3.95"/>
  </r>
  <r>
    <n v="3610"/>
    <n v="25824"/>
    <d v="2009-09-04T00:00:00"/>
    <s v="Medium"/>
    <x v="670"/>
    <x v="1"/>
    <x v="1"/>
    <s v="Corporate"/>
    <x v="0"/>
    <x v="12"/>
    <n v="14410.78"/>
    <n v="367.99"/>
  </r>
  <r>
    <n v="3611"/>
    <n v="25824"/>
    <d v="2009-09-04T00:00:00"/>
    <s v="Medium"/>
    <x v="670"/>
    <x v="1"/>
    <x v="1"/>
    <s v="Corporate"/>
    <x v="1"/>
    <x v="3"/>
    <n v="15341.46"/>
    <n v="376.13"/>
  </r>
  <r>
    <n v="3612"/>
    <n v="25824"/>
    <d v="2009-09-04T00:00:00"/>
    <s v="Medium"/>
    <x v="1061"/>
    <x v="1"/>
    <x v="1"/>
    <s v="Corporate"/>
    <x v="2"/>
    <x v="4"/>
    <n v="507.56049999999999"/>
    <n v="95.99"/>
  </r>
  <r>
    <n v="3613"/>
    <n v="25825"/>
    <d v="2012-07-19T00:00:00"/>
    <s v="Not Specified"/>
    <x v="774"/>
    <x v="17"/>
    <x v="0"/>
    <s v="Corporate"/>
    <x v="0"/>
    <x v="9"/>
    <n v="483.74"/>
    <n v="10.31"/>
  </r>
  <r>
    <n v="3614"/>
    <n v="25825"/>
    <d v="2012-07-19T00:00:00"/>
    <s v="Not Specified"/>
    <x v="774"/>
    <x v="17"/>
    <x v="0"/>
    <s v="Corporate"/>
    <x v="0"/>
    <x v="6"/>
    <n v="159.65"/>
    <n v="5.85"/>
  </r>
  <r>
    <n v="3615"/>
    <n v="25828"/>
    <d v="2010-11-23T00:00:00"/>
    <s v="Not Specified"/>
    <x v="1062"/>
    <x v="15"/>
    <x v="2"/>
    <s v="Small Business"/>
    <x v="0"/>
    <x v="1"/>
    <n v="241.43"/>
    <n v="6.84"/>
  </r>
  <r>
    <n v="3616"/>
    <n v="25828"/>
    <d v="2010-11-23T00:00:00"/>
    <s v="Not Specified"/>
    <x v="21"/>
    <x v="44"/>
    <x v="2"/>
    <s v="Small Business"/>
    <x v="0"/>
    <x v="6"/>
    <n v="163.04"/>
    <n v="5.84"/>
  </r>
  <r>
    <n v="3617"/>
    <n v="25828"/>
    <d v="2010-11-23T00:00:00"/>
    <s v="Not Specified"/>
    <x v="21"/>
    <x v="44"/>
    <x v="2"/>
    <s v="Small Business"/>
    <x v="1"/>
    <x v="3"/>
    <n v="9041.26"/>
    <n v="286.85000000000002"/>
  </r>
  <r>
    <n v="3618"/>
    <n v="25830"/>
    <d v="2010-05-06T00:00:00"/>
    <s v="Low"/>
    <x v="189"/>
    <x v="22"/>
    <x v="0"/>
    <s v="Consumer"/>
    <x v="0"/>
    <x v="13"/>
    <n v="25.34"/>
    <n v="4.0599999999999996"/>
  </r>
  <r>
    <n v="3619"/>
    <n v="25830"/>
    <d v="2010-05-06T00:00:00"/>
    <s v="Low"/>
    <x v="189"/>
    <x v="22"/>
    <x v="0"/>
    <s v="Consumer"/>
    <x v="0"/>
    <x v="12"/>
    <n v="178.57"/>
    <n v="15.28"/>
  </r>
  <r>
    <n v="3620"/>
    <n v="25831"/>
    <d v="2009-09-14T00:00:00"/>
    <s v="Medium"/>
    <x v="42"/>
    <x v="21"/>
    <x v="2"/>
    <s v="Home Office"/>
    <x v="2"/>
    <x v="4"/>
    <n v="250.376"/>
    <n v="45.99"/>
  </r>
  <r>
    <n v="3621"/>
    <n v="25860"/>
    <d v="2010-01-02T00:00:00"/>
    <s v="Low"/>
    <x v="162"/>
    <x v="42"/>
    <x v="3"/>
    <s v="Consumer"/>
    <x v="0"/>
    <x v="14"/>
    <n v="740.2"/>
    <n v="83.98"/>
  </r>
  <r>
    <n v="3622"/>
    <n v="25860"/>
    <d v="2010-01-02T00:00:00"/>
    <s v="Low"/>
    <x v="162"/>
    <x v="42"/>
    <x v="3"/>
    <s v="Consumer"/>
    <x v="2"/>
    <x v="4"/>
    <n v="1288.7784999999999"/>
    <n v="65.989999999999995"/>
  </r>
  <r>
    <n v="3623"/>
    <n v="25861"/>
    <d v="2012-08-07T00:00:00"/>
    <s v="High"/>
    <x v="288"/>
    <x v="4"/>
    <x v="1"/>
    <s v="Small Business"/>
    <x v="2"/>
    <x v="10"/>
    <n v="23775.56"/>
    <n v="535.64"/>
  </r>
  <r>
    <n v="3624"/>
    <n v="25863"/>
    <d v="2011-04-22T00:00:00"/>
    <s v="Not Specified"/>
    <x v="1063"/>
    <x v="5"/>
    <x v="0"/>
    <s v="Corporate"/>
    <x v="2"/>
    <x v="4"/>
    <n v="340.68849999999998"/>
    <n v="20.99"/>
  </r>
  <r>
    <n v="3625"/>
    <n v="25889"/>
    <d v="2010-06-08T00:00:00"/>
    <s v="Low"/>
    <x v="864"/>
    <x v="16"/>
    <x v="1"/>
    <s v="Consumer"/>
    <x v="1"/>
    <x v="2"/>
    <n v="321.63"/>
    <n v="14.34"/>
  </r>
  <r>
    <n v="3626"/>
    <n v="25895"/>
    <d v="2012-04-17T00:00:00"/>
    <s v="Medium"/>
    <x v="53"/>
    <x v="5"/>
    <x v="0"/>
    <s v="Corporate"/>
    <x v="0"/>
    <x v="12"/>
    <n v="709.91"/>
    <n v="19.350000000000001"/>
  </r>
  <r>
    <n v="3627"/>
    <n v="25926"/>
    <d v="2009-11-20T00:00:00"/>
    <s v="High"/>
    <x v="895"/>
    <x v="29"/>
    <x v="2"/>
    <s v="Corporate"/>
    <x v="1"/>
    <x v="3"/>
    <n v="3300.2160000000003"/>
    <n v="218.75"/>
  </r>
  <r>
    <n v="3628"/>
    <n v="25926"/>
    <d v="2009-11-20T00:00:00"/>
    <s v="High"/>
    <x v="222"/>
    <x v="29"/>
    <x v="2"/>
    <s v="Corporate"/>
    <x v="0"/>
    <x v="12"/>
    <n v="331.54"/>
    <n v="14.27"/>
  </r>
  <r>
    <n v="3629"/>
    <n v="25927"/>
    <d v="2009-04-22T00:00:00"/>
    <s v="Medium"/>
    <x v="533"/>
    <x v="12"/>
    <x v="3"/>
    <s v="Corporate"/>
    <x v="0"/>
    <x v="0"/>
    <n v="422.83"/>
    <n v="29.74"/>
  </r>
  <r>
    <n v="3630"/>
    <n v="25927"/>
    <d v="2009-04-22T00:00:00"/>
    <s v="Medium"/>
    <x v="605"/>
    <x v="35"/>
    <x v="3"/>
    <s v="Corporate"/>
    <x v="0"/>
    <x v="6"/>
    <n v="945.9"/>
    <n v="22.01"/>
  </r>
  <r>
    <n v="3631"/>
    <n v="25952"/>
    <d v="2010-09-04T00:00:00"/>
    <s v="High"/>
    <x v="1056"/>
    <x v="9"/>
    <x v="1"/>
    <s v="Home Office"/>
    <x v="2"/>
    <x v="4"/>
    <n v="2864.1005"/>
    <n v="65.989999999999995"/>
  </r>
  <r>
    <n v="3632"/>
    <n v="25953"/>
    <d v="2009-09-27T00:00:00"/>
    <s v="Critical"/>
    <x v="3"/>
    <x v="2"/>
    <x v="2"/>
    <s v="Corporate"/>
    <x v="0"/>
    <x v="6"/>
    <n v="258.54000000000002"/>
    <n v="9.85"/>
  </r>
  <r>
    <n v="3633"/>
    <n v="25953"/>
    <d v="2009-09-27T00:00:00"/>
    <s v="Critical"/>
    <x v="3"/>
    <x v="2"/>
    <x v="2"/>
    <s v="Corporate"/>
    <x v="2"/>
    <x v="4"/>
    <n v="1972.884"/>
    <n v="125.99"/>
  </r>
  <r>
    <n v="3634"/>
    <n v="25955"/>
    <d v="2011-05-04T00:00:00"/>
    <s v="Not Specified"/>
    <x v="338"/>
    <x v="12"/>
    <x v="3"/>
    <s v="Corporate"/>
    <x v="0"/>
    <x v="0"/>
    <n v="170.35"/>
    <n v="16.059999999999999"/>
  </r>
  <r>
    <n v="3635"/>
    <n v="25985"/>
    <d v="2012-09-02T00:00:00"/>
    <s v="Low"/>
    <x v="1064"/>
    <x v="7"/>
    <x v="3"/>
    <s v="Small Business"/>
    <x v="1"/>
    <x v="2"/>
    <n v="230.63"/>
    <n v="4.91"/>
  </r>
  <r>
    <n v="3636"/>
    <n v="25985"/>
    <d v="2012-09-02T00:00:00"/>
    <s v="Low"/>
    <x v="1064"/>
    <x v="7"/>
    <x v="3"/>
    <s v="Small Business"/>
    <x v="0"/>
    <x v="7"/>
    <n v="80.790000000000006"/>
    <n v="3.78"/>
  </r>
  <r>
    <n v="3637"/>
    <n v="25986"/>
    <d v="2012-06-22T00:00:00"/>
    <s v="Medium"/>
    <x v="576"/>
    <x v="16"/>
    <x v="1"/>
    <s v="Consumer"/>
    <x v="0"/>
    <x v="9"/>
    <n v="278.07"/>
    <n v="5.78"/>
  </r>
  <r>
    <n v="3638"/>
    <n v="26016"/>
    <d v="2009-10-07T00:00:00"/>
    <s v="High"/>
    <x v="575"/>
    <x v="33"/>
    <x v="0"/>
    <s v="Consumer"/>
    <x v="2"/>
    <x v="5"/>
    <n v="154.94"/>
    <n v="77.510000000000005"/>
  </r>
  <r>
    <n v="3639"/>
    <n v="26016"/>
    <d v="2009-10-07T00:00:00"/>
    <s v="High"/>
    <x v="575"/>
    <x v="33"/>
    <x v="0"/>
    <s v="Consumer"/>
    <x v="2"/>
    <x v="4"/>
    <n v="1642.6420000000001"/>
    <n v="45.99"/>
  </r>
  <r>
    <n v="3640"/>
    <n v="26021"/>
    <d v="2012-09-14T00:00:00"/>
    <s v="Critical"/>
    <x v="1022"/>
    <x v="16"/>
    <x v="1"/>
    <s v="Consumer"/>
    <x v="2"/>
    <x v="4"/>
    <n v="328.62700000000001"/>
    <n v="20.99"/>
  </r>
  <r>
    <n v="3641"/>
    <n v="26023"/>
    <d v="2010-08-20T00:00:00"/>
    <s v="High"/>
    <x v="994"/>
    <x v="0"/>
    <x v="0"/>
    <s v="Corporate"/>
    <x v="0"/>
    <x v="7"/>
    <n v="120.77"/>
    <n v="2.4700000000000002"/>
  </r>
  <r>
    <n v="3642"/>
    <n v="26050"/>
    <d v="2011-06-16T00:00:00"/>
    <s v="High"/>
    <x v="1065"/>
    <x v="5"/>
    <x v="0"/>
    <s v="Home Office"/>
    <x v="0"/>
    <x v="14"/>
    <n v="365.24"/>
    <n v="8.74"/>
  </r>
  <r>
    <n v="3643"/>
    <n v="26051"/>
    <d v="2010-06-27T00:00:00"/>
    <s v="Not Specified"/>
    <x v="372"/>
    <x v="0"/>
    <x v="0"/>
    <s v="Home Office"/>
    <x v="1"/>
    <x v="15"/>
    <n v="795.74"/>
    <n v="33.94"/>
  </r>
  <r>
    <n v="3644"/>
    <n v="26051"/>
    <d v="2010-06-27T00:00:00"/>
    <s v="Not Specified"/>
    <x v="372"/>
    <x v="0"/>
    <x v="0"/>
    <s v="Home Office"/>
    <x v="2"/>
    <x v="5"/>
    <n v="251.75"/>
    <n v="8.33"/>
  </r>
  <r>
    <n v="3645"/>
    <n v="26053"/>
    <d v="2012-01-24T00:00:00"/>
    <s v="Low"/>
    <x v="667"/>
    <x v="28"/>
    <x v="1"/>
    <s v="Corporate"/>
    <x v="0"/>
    <x v="9"/>
    <n v="878.75"/>
    <n v="18.97"/>
  </r>
  <r>
    <n v="3646"/>
    <n v="26054"/>
    <d v="2010-02-12T00:00:00"/>
    <s v="Critical"/>
    <x v="770"/>
    <x v="24"/>
    <x v="1"/>
    <s v="Small Business"/>
    <x v="1"/>
    <x v="2"/>
    <n v="396.78"/>
    <n v="8.3699999999999992"/>
  </r>
  <r>
    <n v="3647"/>
    <n v="26055"/>
    <d v="2012-11-25T00:00:00"/>
    <s v="Not Specified"/>
    <x v="718"/>
    <x v="16"/>
    <x v="1"/>
    <s v="Home Office"/>
    <x v="2"/>
    <x v="5"/>
    <n v="6733.52"/>
    <n v="152.47999999999999"/>
  </r>
  <r>
    <n v="3648"/>
    <n v="26084"/>
    <d v="2012-10-16T00:00:00"/>
    <s v="Low"/>
    <x v="566"/>
    <x v="18"/>
    <x v="2"/>
    <s v="Corporate"/>
    <x v="0"/>
    <x v="9"/>
    <n v="228.82"/>
    <n v="6.68"/>
  </r>
  <r>
    <n v="3649"/>
    <n v="26116"/>
    <d v="2012-10-29T00:00:00"/>
    <s v="Critical"/>
    <x v="722"/>
    <x v="0"/>
    <x v="0"/>
    <s v="Small Business"/>
    <x v="0"/>
    <x v="9"/>
    <n v="697.41"/>
    <n v="18.97"/>
  </r>
  <r>
    <n v="3650"/>
    <n v="26144"/>
    <d v="2011-10-26T00:00:00"/>
    <s v="High"/>
    <x v="1066"/>
    <x v="2"/>
    <x v="2"/>
    <s v="Small Business"/>
    <x v="0"/>
    <x v="8"/>
    <n v="75.739999999999995"/>
    <n v="2.88"/>
  </r>
  <r>
    <n v="3651"/>
    <n v="26145"/>
    <d v="2011-07-04T00:00:00"/>
    <s v="Low"/>
    <x v="1063"/>
    <x v="5"/>
    <x v="0"/>
    <s v="Corporate"/>
    <x v="0"/>
    <x v="12"/>
    <n v="99.36"/>
    <n v="4.91"/>
  </r>
  <r>
    <n v="3652"/>
    <n v="26145"/>
    <d v="2011-07-04T00:00:00"/>
    <s v="Low"/>
    <x v="1063"/>
    <x v="5"/>
    <x v="0"/>
    <s v="Corporate"/>
    <x v="1"/>
    <x v="2"/>
    <n v="510.15"/>
    <n v="9.98"/>
  </r>
  <r>
    <n v="3653"/>
    <n v="26145"/>
    <d v="2011-07-04T00:00:00"/>
    <s v="Low"/>
    <x v="1063"/>
    <x v="5"/>
    <x v="0"/>
    <s v="Corporate"/>
    <x v="1"/>
    <x v="2"/>
    <n v="735.09"/>
    <n v="29.34"/>
  </r>
  <r>
    <n v="3654"/>
    <n v="26146"/>
    <d v="2009-10-11T00:00:00"/>
    <s v="Low"/>
    <x v="1048"/>
    <x v="18"/>
    <x v="2"/>
    <s v="Corporate"/>
    <x v="0"/>
    <x v="13"/>
    <n v="1351.76"/>
    <n v="104.65"/>
  </r>
  <r>
    <n v="3655"/>
    <n v="26146"/>
    <d v="2009-10-11T00:00:00"/>
    <s v="Low"/>
    <x v="1048"/>
    <x v="18"/>
    <x v="2"/>
    <s v="Corporate"/>
    <x v="0"/>
    <x v="6"/>
    <n v="595.4"/>
    <n v="11.66"/>
  </r>
  <r>
    <n v="3656"/>
    <n v="26176"/>
    <d v="2011-11-19T00:00:00"/>
    <s v="High"/>
    <x v="532"/>
    <x v="15"/>
    <x v="2"/>
    <s v="Home Office"/>
    <x v="0"/>
    <x v="9"/>
    <n v="94.32"/>
    <n v="6.48"/>
  </r>
  <r>
    <n v="3657"/>
    <n v="26176"/>
    <d v="2011-11-19T00:00:00"/>
    <s v="High"/>
    <x v="532"/>
    <x v="15"/>
    <x v="2"/>
    <s v="Home Office"/>
    <x v="2"/>
    <x v="4"/>
    <n v="554.42949999999996"/>
    <n v="20.99"/>
  </r>
  <r>
    <n v="3658"/>
    <n v="26182"/>
    <d v="2010-01-16T00:00:00"/>
    <s v="Not Specified"/>
    <x v="335"/>
    <x v="0"/>
    <x v="0"/>
    <s v="Corporate"/>
    <x v="1"/>
    <x v="11"/>
    <n v="4684.8999999999996"/>
    <n v="150.97999999999999"/>
  </r>
  <r>
    <n v="3659"/>
    <n v="26182"/>
    <d v="2010-01-16T00:00:00"/>
    <s v="Not Specified"/>
    <x v="431"/>
    <x v="33"/>
    <x v="0"/>
    <s v="Corporate"/>
    <x v="1"/>
    <x v="15"/>
    <n v="770.76"/>
    <n v="200.98"/>
  </r>
  <r>
    <n v="3660"/>
    <n v="26214"/>
    <d v="2011-11-20T00:00:00"/>
    <s v="Medium"/>
    <x v="725"/>
    <x v="11"/>
    <x v="2"/>
    <s v="Small Business"/>
    <x v="0"/>
    <x v="14"/>
    <n v="305.68"/>
    <n v="15.74"/>
  </r>
  <r>
    <n v="3661"/>
    <n v="26214"/>
    <d v="2011-11-20T00:00:00"/>
    <s v="Medium"/>
    <x v="725"/>
    <x v="11"/>
    <x v="2"/>
    <s v="Small Business"/>
    <x v="1"/>
    <x v="2"/>
    <n v="1901.29"/>
    <n v="46.94"/>
  </r>
  <r>
    <n v="3662"/>
    <n v="26240"/>
    <d v="2009-12-19T00:00:00"/>
    <s v="Critical"/>
    <x v="1067"/>
    <x v="30"/>
    <x v="0"/>
    <s v="Consumer"/>
    <x v="2"/>
    <x v="5"/>
    <n v="1483.44"/>
    <n v="39.479999999999997"/>
  </r>
  <r>
    <n v="3663"/>
    <n v="26240"/>
    <d v="2009-12-19T00:00:00"/>
    <s v="Critical"/>
    <x v="1067"/>
    <x v="30"/>
    <x v="0"/>
    <s v="Consumer"/>
    <x v="1"/>
    <x v="2"/>
    <n v="145.68"/>
    <n v="3.7"/>
  </r>
  <r>
    <n v="3664"/>
    <n v="26243"/>
    <d v="2011-07-16T00:00:00"/>
    <s v="Low"/>
    <x v="1068"/>
    <x v="35"/>
    <x v="3"/>
    <s v="Corporate"/>
    <x v="0"/>
    <x v="6"/>
    <n v="71.319999999999993"/>
    <n v="1.82"/>
  </r>
  <r>
    <n v="3665"/>
    <n v="26244"/>
    <d v="2010-08-03T00:00:00"/>
    <s v="High"/>
    <x v="927"/>
    <x v="14"/>
    <x v="0"/>
    <s v="Home Office"/>
    <x v="2"/>
    <x v="5"/>
    <n v="131.72"/>
    <n v="8.4600000000000009"/>
  </r>
  <r>
    <n v="3666"/>
    <n v="26272"/>
    <d v="2012-06-29T00:00:00"/>
    <s v="Low"/>
    <x v="92"/>
    <x v="0"/>
    <x v="0"/>
    <s v="Home Office"/>
    <x v="1"/>
    <x v="15"/>
    <n v="905.94"/>
    <n v="140.81"/>
  </r>
  <r>
    <n v="3667"/>
    <n v="26274"/>
    <d v="2012-06-12T00:00:00"/>
    <s v="Not Specified"/>
    <x v="264"/>
    <x v="16"/>
    <x v="1"/>
    <s v="Corporate"/>
    <x v="0"/>
    <x v="9"/>
    <n v="377.83"/>
    <n v="9.11"/>
  </r>
  <r>
    <n v="3668"/>
    <n v="26276"/>
    <d v="2010-09-12T00:00:00"/>
    <s v="Low"/>
    <x v="1069"/>
    <x v="12"/>
    <x v="3"/>
    <s v="Corporate"/>
    <x v="2"/>
    <x v="10"/>
    <n v="20329.8"/>
    <n v="999.99"/>
  </r>
  <r>
    <n v="3669"/>
    <n v="26276"/>
    <d v="2010-09-12T00:00:00"/>
    <s v="Low"/>
    <x v="82"/>
    <x v="31"/>
    <x v="3"/>
    <s v="Corporate"/>
    <x v="1"/>
    <x v="2"/>
    <n v="3685.38"/>
    <n v="170.98"/>
  </r>
  <r>
    <n v="3670"/>
    <n v="26277"/>
    <d v="2011-06-27T00:00:00"/>
    <s v="Medium"/>
    <x v="238"/>
    <x v="28"/>
    <x v="1"/>
    <s v="Corporate"/>
    <x v="2"/>
    <x v="5"/>
    <n v="877.81"/>
    <n v="49.99"/>
  </r>
  <r>
    <n v="3671"/>
    <n v="26279"/>
    <d v="2009-07-30T00:00:00"/>
    <s v="Not Specified"/>
    <x v="1065"/>
    <x v="5"/>
    <x v="0"/>
    <s v="Home Office"/>
    <x v="2"/>
    <x v="4"/>
    <n v="211.74350000000001"/>
    <n v="35.99"/>
  </r>
  <r>
    <n v="3672"/>
    <n v="26304"/>
    <d v="2011-03-19T00:00:00"/>
    <s v="Medium"/>
    <x v="340"/>
    <x v="17"/>
    <x v="0"/>
    <s v="Corporate"/>
    <x v="2"/>
    <x v="4"/>
    <n v="7452.1369999999988"/>
    <n v="205.99"/>
  </r>
  <r>
    <n v="3673"/>
    <n v="26305"/>
    <d v="2010-12-02T00:00:00"/>
    <s v="Medium"/>
    <x v="701"/>
    <x v="27"/>
    <x v="3"/>
    <s v="Home Office"/>
    <x v="0"/>
    <x v="12"/>
    <n v="1118.21"/>
    <n v="22.38"/>
  </r>
  <r>
    <n v="3674"/>
    <n v="26305"/>
    <d v="2010-12-02T00:00:00"/>
    <s v="Medium"/>
    <x v="701"/>
    <x v="27"/>
    <x v="3"/>
    <s v="Home Office"/>
    <x v="1"/>
    <x v="3"/>
    <n v="3503.56"/>
    <n v="262.11"/>
  </r>
  <r>
    <n v="3675"/>
    <n v="26306"/>
    <d v="2012-10-30T00:00:00"/>
    <s v="Low"/>
    <x v="900"/>
    <x v="16"/>
    <x v="1"/>
    <s v="Corporate"/>
    <x v="1"/>
    <x v="11"/>
    <n v="7725.66"/>
    <n v="200.98"/>
  </r>
  <r>
    <n v="3676"/>
    <n v="26306"/>
    <d v="2012-10-30T00:00:00"/>
    <s v="Low"/>
    <x v="338"/>
    <x v="12"/>
    <x v="3"/>
    <s v="Corporate"/>
    <x v="1"/>
    <x v="3"/>
    <n v="2567.64"/>
    <n v="209.37"/>
  </r>
  <r>
    <n v="3677"/>
    <n v="26309"/>
    <d v="2012-02-19T00:00:00"/>
    <s v="Low"/>
    <x v="327"/>
    <x v="1"/>
    <x v="1"/>
    <s v="Corporate"/>
    <x v="0"/>
    <x v="8"/>
    <n v="128.13"/>
    <n v="3.08"/>
  </r>
  <r>
    <n v="3678"/>
    <n v="26310"/>
    <d v="2012-07-29T00:00:00"/>
    <s v="Not Specified"/>
    <x v="607"/>
    <x v="37"/>
    <x v="2"/>
    <s v="Corporate"/>
    <x v="0"/>
    <x v="14"/>
    <n v="77.41"/>
    <n v="15.67"/>
  </r>
  <r>
    <n v="3679"/>
    <n v="26310"/>
    <d v="2012-07-29T00:00:00"/>
    <s v="Not Specified"/>
    <x v="607"/>
    <x v="37"/>
    <x v="2"/>
    <s v="Corporate"/>
    <x v="0"/>
    <x v="9"/>
    <n v="112.67"/>
    <n v="5.98"/>
  </r>
  <r>
    <n v="3680"/>
    <n v="26336"/>
    <d v="2012-05-26T00:00:00"/>
    <s v="High"/>
    <x v="947"/>
    <x v="9"/>
    <x v="1"/>
    <s v="Home Office"/>
    <x v="2"/>
    <x v="5"/>
    <n v="1516.82"/>
    <n v="40.98"/>
  </r>
  <r>
    <n v="3681"/>
    <n v="26336"/>
    <d v="2012-05-26T00:00:00"/>
    <s v="High"/>
    <x v="947"/>
    <x v="9"/>
    <x v="1"/>
    <s v="Home Office"/>
    <x v="0"/>
    <x v="0"/>
    <n v="2752.68"/>
    <n v="62.18"/>
  </r>
  <r>
    <n v="3682"/>
    <n v="26337"/>
    <d v="2009-11-07T00:00:00"/>
    <s v="Critical"/>
    <x v="452"/>
    <x v="15"/>
    <x v="2"/>
    <s v="Small Business"/>
    <x v="0"/>
    <x v="8"/>
    <n v="153.27000000000001"/>
    <n v="3.69"/>
  </r>
  <r>
    <n v="3683"/>
    <n v="26341"/>
    <d v="2010-07-28T00:00:00"/>
    <s v="Critical"/>
    <x v="24"/>
    <x v="7"/>
    <x v="3"/>
    <s v="Corporate"/>
    <x v="1"/>
    <x v="3"/>
    <n v="1095.27"/>
    <n v="124.49"/>
  </r>
  <r>
    <n v="3684"/>
    <n v="26342"/>
    <d v="2009-10-18T00:00:00"/>
    <s v="Low"/>
    <x v="755"/>
    <x v="22"/>
    <x v="0"/>
    <s v="Home Office"/>
    <x v="0"/>
    <x v="9"/>
    <n v="265.35000000000002"/>
    <n v="9.99"/>
  </r>
  <r>
    <n v="3685"/>
    <n v="26342"/>
    <d v="2009-10-18T00:00:00"/>
    <s v="Low"/>
    <x v="755"/>
    <x v="22"/>
    <x v="0"/>
    <s v="Home Office"/>
    <x v="0"/>
    <x v="9"/>
    <n v="1993.94"/>
    <n v="48.04"/>
  </r>
  <r>
    <n v="3686"/>
    <n v="26342"/>
    <d v="2009-10-18T00:00:00"/>
    <s v="Low"/>
    <x v="755"/>
    <x v="22"/>
    <x v="0"/>
    <s v="Home Office"/>
    <x v="0"/>
    <x v="9"/>
    <n v="24.73"/>
    <n v="6.68"/>
  </r>
  <r>
    <n v="3687"/>
    <n v="26368"/>
    <d v="2010-07-15T00:00:00"/>
    <s v="Medium"/>
    <x v="1042"/>
    <x v="22"/>
    <x v="0"/>
    <s v="Corporate"/>
    <x v="2"/>
    <x v="4"/>
    <n v="1809.0125"/>
    <n v="85.99"/>
  </r>
  <r>
    <n v="3688"/>
    <n v="26370"/>
    <d v="2011-08-08T00:00:00"/>
    <s v="Not Specified"/>
    <x v="1070"/>
    <x v="0"/>
    <x v="0"/>
    <s v="Home Office"/>
    <x v="0"/>
    <x v="9"/>
    <n v="270.23"/>
    <n v="22.84"/>
  </r>
  <r>
    <n v="3689"/>
    <n v="26370"/>
    <d v="2011-08-08T00:00:00"/>
    <s v="Not Specified"/>
    <x v="1070"/>
    <x v="0"/>
    <x v="0"/>
    <s v="Home Office"/>
    <x v="0"/>
    <x v="0"/>
    <n v="660.27"/>
    <n v="34.76"/>
  </r>
  <r>
    <n v="3690"/>
    <n v="26372"/>
    <d v="2009-07-12T00:00:00"/>
    <s v="Low"/>
    <x v="440"/>
    <x v="22"/>
    <x v="0"/>
    <s v="Corporate"/>
    <x v="2"/>
    <x v="5"/>
    <n v="31.96"/>
    <n v="29.89"/>
  </r>
  <r>
    <n v="3691"/>
    <n v="26373"/>
    <d v="2010-07-22T00:00:00"/>
    <s v="Medium"/>
    <x v="98"/>
    <x v="20"/>
    <x v="0"/>
    <s v="Small Business"/>
    <x v="0"/>
    <x v="13"/>
    <n v="285.08"/>
    <n v="40.98"/>
  </r>
  <r>
    <n v="3692"/>
    <n v="26374"/>
    <d v="2009-11-05T00:00:00"/>
    <s v="Not Specified"/>
    <x v="238"/>
    <x v="28"/>
    <x v="1"/>
    <s v="Corporate"/>
    <x v="2"/>
    <x v="4"/>
    <n v="90.941499999999991"/>
    <n v="20.99"/>
  </r>
  <r>
    <n v="3693"/>
    <n v="26401"/>
    <d v="2010-10-13T00:00:00"/>
    <s v="Medium"/>
    <x v="765"/>
    <x v="13"/>
    <x v="3"/>
    <s v="Small Business"/>
    <x v="0"/>
    <x v="12"/>
    <n v="415"/>
    <n v="420.98"/>
  </r>
  <r>
    <n v="3694"/>
    <n v="26406"/>
    <d v="2011-04-12T00:00:00"/>
    <s v="Not Specified"/>
    <x v="634"/>
    <x v="5"/>
    <x v="0"/>
    <s v="Home Office"/>
    <x v="0"/>
    <x v="12"/>
    <n v="167.46"/>
    <n v="4.24"/>
  </r>
  <r>
    <n v="3695"/>
    <n v="26407"/>
    <d v="2012-06-19T00:00:00"/>
    <s v="Critical"/>
    <x v="24"/>
    <x v="7"/>
    <x v="3"/>
    <s v="Home Office"/>
    <x v="0"/>
    <x v="0"/>
    <n v="9522.1200000000008"/>
    <n v="279.48"/>
  </r>
  <r>
    <n v="3696"/>
    <n v="26407"/>
    <d v="2012-06-19T00:00:00"/>
    <s v="Critical"/>
    <x v="24"/>
    <x v="7"/>
    <x v="3"/>
    <s v="Home Office"/>
    <x v="2"/>
    <x v="4"/>
    <n v="1985.6935000000001"/>
    <n v="155.99"/>
  </r>
  <r>
    <n v="3697"/>
    <n v="26432"/>
    <d v="2009-12-30T00:00:00"/>
    <s v="Low"/>
    <x v="940"/>
    <x v="7"/>
    <x v="3"/>
    <s v="Corporate"/>
    <x v="0"/>
    <x v="13"/>
    <n v="1420.89"/>
    <n v="38.06"/>
  </r>
  <r>
    <n v="3698"/>
    <n v="26432"/>
    <d v="2009-12-30T00:00:00"/>
    <s v="Low"/>
    <x v="940"/>
    <x v="7"/>
    <x v="3"/>
    <s v="Corporate"/>
    <x v="2"/>
    <x v="16"/>
    <n v="27820.34"/>
    <n v="599.99"/>
  </r>
  <r>
    <n v="3699"/>
    <n v="26432"/>
    <d v="2009-12-30T00:00:00"/>
    <s v="Low"/>
    <x v="940"/>
    <x v="7"/>
    <x v="3"/>
    <s v="Corporate"/>
    <x v="0"/>
    <x v="9"/>
    <n v="45.18"/>
    <n v="3.98"/>
  </r>
  <r>
    <n v="3700"/>
    <n v="26437"/>
    <d v="2011-11-28T00:00:00"/>
    <s v="Critical"/>
    <x v="939"/>
    <x v="16"/>
    <x v="1"/>
    <s v="Corporate"/>
    <x v="1"/>
    <x v="2"/>
    <n v="52.43"/>
    <n v="9.65"/>
  </r>
  <r>
    <n v="3701"/>
    <n v="26437"/>
    <d v="2011-11-28T00:00:00"/>
    <s v="Critical"/>
    <x v="939"/>
    <x v="16"/>
    <x v="1"/>
    <s v="Corporate"/>
    <x v="0"/>
    <x v="6"/>
    <n v="254.51"/>
    <n v="5.58"/>
  </r>
  <r>
    <n v="3702"/>
    <n v="26439"/>
    <d v="2011-09-15T00:00:00"/>
    <s v="Medium"/>
    <x v="1071"/>
    <x v="2"/>
    <x v="2"/>
    <s v="Corporate"/>
    <x v="2"/>
    <x v="5"/>
    <n v="1230.83"/>
    <n v="30.98"/>
  </r>
  <r>
    <n v="3703"/>
    <n v="26439"/>
    <d v="2011-09-15T00:00:00"/>
    <s v="Medium"/>
    <x v="1071"/>
    <x v="2"/>
    <x v="2"/>
    <s v="Corporate"/>
    <x v="0"/>
    <x v="9"/>
    <n v="169.93"/>
    <n v="4.28"/>
  </r>
  <r>
    <n v="3704"/>
    <n v="26439"/>
    <d v="2011-09-15T00:00:00"/>
    <s v="Medium"/>
    <x v="1071"/>
    <x v="2"/>
    <x v="2"/>
    <s v="Corporate"/>
    <x v="2"/>
    <x v="4"/>
    <n v="1176.944"/>
    <n v="65.989999999999995"/>
  </r>
  <r>
    <n v="3705"/>
    <n v="26464"/>
    <d v="2011-12-11T00:00:00"/>
    <s v="High"/>
    <x v="353"/>
    <x v="16"/>
    <x v="1"/>
    <s v="Corporate"/>
    <x v="0"/>
    <x v="13"/>
    <n v="268.58"/>
    <n v="10.89"/>
  </r>
  <r>
    <n v="3706"/>
    <n v="26464"/>
    <d v="2011-12-11T00:00:00"/>
    <s v="High"/>
    <x v="353"/>
    <x v="16"/>
    <x v="1"/>
    <s v="Corporate"/>
    <x v="1"/>
    <x v="2"/>
    <n v="1280.6500000000001"/>
    <n v="50.98"/>
  </r>
  <r>
    <n v="3707"/>
    <n v="26466"/>
    <d v="2009-06-11T00:00:00"/>
    <s v="Critical"/>
    <x v="861"/>
    <x v="2"/>
    <x v="2"/>
    <s v="Corporate"/>
    <x v="2"/>
    <x v="4"/>
    <n v="909.721"/>
    <n v="35.99"/>
  </r>
  <r>
    <n v="3708"/>
    <n v="26469"/>
    <d v="2012-07-30T00:00:00"/>
    <s v="Medium"/>
    <x v="1072"/>
    <x v="26"/>
    <x v="3"/>
    <s v="Home Office"/>
    <x v="0"/>
    <x v="12"/>
    <n v="7406.49"/>
    <n v="1889.99"/>
  </r>
  <r>
    <n v="3709"/>
    <n v="26469"/>
    <d v="2012-07-30T00:00:00"/>
    <s v="Medium"/>
    <x v="1072"/>
    <x v="26"/>
    <x v="3"/>
    <s v="Home Office"/>
    <x v="0"/>
    <x v="9"/>
    <n v="350.01"/>
    <n v="6.68"/>
  </r>
  <r>
    <n v="3710"/>
    <n v="26470"/>
    <d v="2009-03-21T00:00:00"/>
    <s v="High"/>
    <x v="152"/>
    <x v="26"/>
    <x v="3"/>
    <s v="Home Office"/>
    <x v="0"/>
    <x v="12"/>
    <n v="18081.759999999998"/>
    <n v="420.98"/>
  </r>
  <r>
    <n v="3711"/>
    <n v="26499"/>
    <d v="2010-02-21T00:00:00"/>
    <s v="Medium"/>
    <x v="553"/>
    <x v="0"/>
    <x v="0"/>
    <s v="Corporate"/>
    <x v="0"/>
    <x v="8"/>
    <n v="32.4"/>
    <n v="2.88"/>
  </r>
  <r>
    <n v="3712"/>
    <n v="26503"/>
    <d v="2011-04-21T00:00:00"/>
    <s v="Medium"/>
    <x v="928"/>
    <x v="15"/>
    <x v="2"/>
    <s v="Small Business"/>
    <x v="0"/>
    <x v="14"/>
    <n v="671.78"/>
    <n v="15.57"/>
  </r>
  <r>
    <n v="3713"/>
    <n v="26503"/>
    <d v="2011-04-21T00:00:00"/>
    <s v="Medium"/>
    <x v="928"/>
    <x v="15"/>
    <x v="2"/>
    <s v="Small Business"/>
    <x v="1"/>
    <x v="2"/>
    <n v="262.08999999999997"/>
    <n v="19.98"/>
  </r>
  <r>
    <n v="3714"/>
    <n v="26529"/>
    <d v="2011-01-28T00:00:00"/>
    <s v="Low"/>
    <x v="132"/>
    <x v="6"/>
    <x v="1"/>
    <s v="Consumer"/>
    <x v="0"/>
    <x v="9"/>
    <n v="201.72"/>
    <n v="11.34"/>
  </r>
  <r>
    <n v="3715"/>
    <n v="26529"/>
    <d v="2011-01-28T00:00:00"/>
    <s v="Low"/>
    <x v="1073"/>
    <x v="18"/>
    <x v="2"/>
    <s v="Consumer"/>
    <x v="2"/>
    <x v="10"/>
    <n v="12125.14"/>
    <n v="297.64"/>
  </r>
  <r>
    <n v="3716"/>
    <n v="26531"/>
    <d v="2011-06-20T00:00:00"/>
    <s v="Medium"/>
    <x v="703"/>
    <x v="0"/>
    <x v="0"/>
    <s v="Corporate"/>
    <x v="2"/>
    <x v="4"/>
    <n v="4688.9484999999995"/>
    <n v="205.99"/>
  </r>
  <r>
    <n v="3717"/>
    <n v="26535"/>
    <d v="2012-03-20T00:00:00"/>
    <s v="Not Specified"/>
    <x v="53"/>
    <x v="5"/>
    <x v="0"/>
    <s v="Corporate"/>
    <x v="0"/>
    <x v="12"/>
    <n v="141.69999999999999"/>
    <n v="3.98"/>
  </r>
  <r>
    <n v="3718"/>
    <n v="26565"/>
    <d v="2009-10-21T00:00:00"/>
    <s v="Medium"/>
    <x v="844"/>
    <x v="26"/>
    <x v="3"/>
    <s v="Corporate"/>
    <x v="0"/>
    <x v="0"/>
    <n v="21337.27"/>
    <n v="419.19"/>
  </r>
  <r>
    <n v="3719"/>
    <n v="26567"/>
    <d v="2009-09-04T00:00:00"/>
    <s v="Critical"/>
    <x v="1074"/>
    <x v="0"/>
    <x v="0"/>
    <s v="Corporate"/>
    <x v="0"/>
    <x v="12"/>
    <n v="50.7"/>
    <n v="5.4"/>
  </r>
  <r>
    <n v="3720"/>
    <n v="26567"/>
    <d v="2009-09-04T00:00:00"/>
    <s v="Critical"/>
    <x v="1074"/>
    <x v="0"/>
    <x v="0"/>
    <s v="Corporate"/>
    <x v="2"/>
    <x v="5"/>
    <n v="90.06"/>
    <n v="8.4600000000000009"/>
  </r>
  <r>
    <n v="3721"/>
    <n v="26567"/>
    <d v="2009-09-04T00:00:00"/>
    <s v="Critical"/>
    <x v="1074"/>
    <x v="0"/>
    <x v="0"/>
    <s v="Corporate"/>
    <x v="1"/>
    <x v="2"/>
    <n v="338.52"/>
    <n v="14.98"/>
  </r>
  <r>
    <n v="3722"/>
    <n v="26567"/>
    <d v="2009-09-04T00:00:00"/>
    <s v="Critical"/>
    <x v="1074"/>
    <x v="0"/>
    <x v="0"/>
    <s v="Corporate"/>
    <x v="2"/>
    <x v="4"/>
    <n v="6109.817"/>
    <n v="155.99"/>
  </r>
  <r>
    <n v="3723"/>
    <n v="26627"/>
    <d v="2009-10-30T00:00:00"/>
    <s v="Medium"/>
    <x v="881"/>
    <x v="25"/>
    <x v="1"/>
    <s v="Home Office"/>
    <x v="0"/>
    <x v="6"/>
    <n v="38.369999999999997"/>
    <n v="1.6"/>
  </r>
  <r>
    <n v="3724"/>
    <n v="26629"/>
    <d v="2009-07-10T00:00:00"/>
    <s v="High"/>
    <x v="707"/>
    <x v="34"/>
    <x v="2"/>
    <s v="Consumer"/>
    <x v="2"/>
    <x v="16"/>
    <n v="21956.03"/>
    <n v="599.99"/>
  </r>
  <r>
    <n v="3725"/>
    <n v="26629"/>
    <d v="2009-07-10T00:00:00"/>
    <s v="High"/>
    <x v="707"/>
    <x v="34"/>
    <x v="2"/>
    <s v="Consumer"/>
    <x v="0"/>
    <x v="6"/>
    <n v="89.89"/>
    <n v="2.78"/>
  </r>
  <r>
    <n v="3726"/>
    <n v="26630"/>
    <d v="2010-11-27T00:00:00"/>
    <s v="High"/>
    <x v="940"/>
    <x v="7"/>
    <x v="3"/>
    <s v="Corporate"/>
    <x v="0"/>
    <x v="9"/>
    <n v="65.67"/>
    <n v="6.48"/>
  </r>
  <r>
    <n v="3727"/>
    <n v="26631"/>
    <d v="2010-11-01T00:00:00"/>
    <s v="Critical"/>
    <x v="589"/>
    <x v="16"/>
    <x v="1"/>
    <s v="Corporate"/>
    <x v="0"/>
    <x v="9"/>
    <n v="231.65"/>
    <n v="5.98"/>
  </r>
  <r>
    <n v="3728"/>
    <n v="26657"/>
    <d v="2012-09-29T00:00:00"/>
    <s v="Medium"/>
    <x v="1052"/>
    <x v="15"/>
    <x v="2"/>
    <s v="Home Office"/>
    <x v="0"/>
    <x v="12"/>
    <n v="1107.6400000000001"/>
    <n v="40.98"/>
  </r>
  <r>
    <n v="3729"/>
    <n v="26658"/>
    <d v="2011-12-22T00:00:00"/>
    <s v="High"/>
    <x v="583"/>
    <x v="19"/>
    <x v="3"/>
    <s v="Small Business"/>
    <x v="0"/>
    <x v="12"/>
    <n v="72.75"/>
    <n v="3.98"/>
  </r>
  <r>
    <n v="3730"/>
    <n v="26660"/>
    <d v="2012-03-18T00:00:00"/>
    <s v="Medium"/>
    <x v="926"/>
    <x v="7"/>
    <x v="3"/>
    <s v="Home Office"/>
    <x v="0"/>
    <x v="9"/>
    <n v="10.23"/>
    <n v="8.9499999999999993"/>
  </r>
  <r>
    <n v="3731"/>
    <n v="26661"/>
    <d v="2012-12-19T00:00:00"/>
    <s v="Medium"/>
    <x v="833"/>
    <x v="5"/>
    <x v="0"/>
    <s v="Corporate"/>
    <x v="2"/>
    <x v="4"/>
    <n v="1772.2244999999998"/>
    <n v="65.989999999999995"/>
  </r>
  <r>
    <n v="3732"/>
    <n v="26688"/>
    <d v="2010-08-18T00:00:00"/>
    <s v="Medium"/>
    <x v="476"/>
    <x v="47"/>
    <x v="1"/>
    <s v="Home Office"/>
    <x v="0"/>
    <x v="13"/>
    <n v="424.13"/>
    <n v="20.27"/>
  </r>
  <r>
    <n v="3733"/>
    <n v="26688"/>
    <d v="2010-08-18T00:00:00"/>
    <s v="Medium"/>
    <x v="476"/>
    <x v="47"/>
    <x v="1"/>
    <s v="Home Office"/>
    <x v="0"/>
    <x v="6"/>
    <n v="69.400000000000006"/>
    <n v="9.93"/>
  </r>
  <r>
    <n v="3734"/>
    <n v="26689"/>
    <d v="2009-09-29T00:00:00"/>
    <s v="High"/>
    <x v="353"/>
    <x v="16"/>
    <x v="1"/>
    <s v="Corporate"/>
    <x v="1"/>
    <x v="2"/>
    <n v="198.44"/>
    <n v="99.23"/>
  </r>
  <r>
    <n v="3735"/>
    <n v="26691"/>
    <d v="2012-08-03T00:00:00"/>
    <s v="Not Specified"/>
    <x v="42"/>
    <x v="33"/>
    <x v="0"/>
    <s v="Corporate"/>
    <x v="0"/>
    <x v="12"/>
    <n v="270.43"/>
    <n v="7.68"/>
  </r>
  <r>
    <n v="3736"/>
    <n v="26693"/>
    <d v="2010-08-21T00:00:00"/>
    <s v="Medium"/>
    <x v="572"/>
    <x v="18"/>
    <x v="2"/>
    <s v="Corporate"/>
    <x v="2"/>
    <x v="4"/>
    <n v="2094.9779999999996"/>
    <n v="55.99"/>
  </r>
  <r>
    <n v="3737"/>
    <n v="26695"/>
    <d v="2010-06-06T00:00:00"/>
    <s v="Not Specified"/>
    <x v="548"/>
    <x v="36"/>
    <x v="2"/>
    <s v="Corporate"/>
    <x v="0"/>
    <x v="9"/>
    <n v="367.11"/>
    <n v="8.34"/>
  </r>
  <r>
    <n v="3738"/>
    <n v="26723"/>
    <d v="2011-03-03T00:00:00"/>
    <s v="Low"/>
    <x v="739"/>
    <x v="1"/>
    <x v="1"/>
    <s v="Consumer"/>
    <x v="2"/>
    <x v="4"/>
    <n v="441.80449999999996"/>
    <n v="65.989999999999995"/>
  </r>
  <r>
    <n v="3739"/>
    <n v="26724"/>
    <d v="2009-02-06T00:00:00"/>
    <s v="Critical"/>
    <x v="1075"/>
    <x v="12"/>
    <x v="3"/>
    <s v="Small Business"/>
    <x v="2"/>
    <x v="10"/>
    <n v="1838.18"/>
    <n v="999.99"/>
  </r>
  <r>
    <n v="3740"/>
    <n v="26726"/>
    <d v="2012-12-27T00:00:00"/>
    <s v="High"/>
    <x v="935"/>
    <x v="17"/>
    <x v="0"/>
    <s v="Small Business"/>
    <x v="0"/>
    <x v="13"/>
    <n v="173.11"/>
    <n v="4.37"/>
  </r>
  <r>
    <n v="3741"/>
    <n v="26726"/>
    <d v="2012-12-27T00:00:00"/>
    <s v="High"/>
    <x v="935"/>
    <x v="17"/>
    <x v="0"/>
    <s v="Small Business"/>
    <x v="0"/>
    <x v="13"/>
    <n v="86.68"/>
    <n v="3.48"/>
  </r>
  <r>
    <n v="3742"/>
    <n v="26726"/>
    <d v="2012-12-27T00:00:00"/>
    <s v="High"/>
    <x v="935"/>
    <x v="17"/>
    <x v="0"/>
    <s v="Small Business"/>
    <x v="0"/>
    <x v="12"/>
    <n v="833.51"/>
    <n v="20.98"/>
  </r>
  <r>
    <n v="3743"/>
    <n v="26756"/>
    <d v="2012-05-10T00:00:00"/>
    <s v="Medium"/>
    <x v="39"/>
    <x v="22"/>
    <x v="0"/>
    <s v="Home Office"/>
    <x v="2"/>
    <x v="5"/>
    <n v="767.26"/>
    <n v="30.97"/>
  </r>
  <r>
    <n v="3744"/>
    <n v="26756"/>
    <d v="2012-05-10T00:00:00"/>
    <s v="Medium"/>
    <x v="39"/>
    <x v="22"/>
    <x v="0"/>
    <s v="Home Office"/>
    <x v="0"/>
    <x v="9"/>
    <n v="253.89"/>
    <n v="6.48"/>
  </r>
  <r>
    <n v="3745"/>
    <n v="26756"/>
    <d v="2012-05-10T00:00:00"/>
    <s v="Medium"/>
    <x v="39"/>
    <x v="22"/>
    <x v="0"/>
    <s v="Home Office"/>
    <x v="0"/>
    <x v="9"/>
    <n v="127.9"/>
    <n v="6.48"/>
  </r>
  <r>
    <n v="3746"/>
    <n v="26758"/>
    <d v="2009-05-23T00:00:00"/>
    <s v="Not Specified"/>
    <x v="949"/>
    <x v="44"/>
    <x v="2"/>
    <s v="Home Office"/>
    <x v="2"/>
    <x v="5"/>
    <n v="3519.12"/>
    <n v="77.510000000000005"/>
  </r>
  <r>
    <n v="3747"/>
    <n v="26758"/>
    <d v="2009-05-23T00:00:00"/>
    <s v="Not Specified"/>
    <x v="949"/>
    <x v="44"/>
    <x v="2"/>
    <s v="Home Office"/>
    <x v="0"/>
    <x v="6"/>
    <n v="108.33"/>
    <n v="2.88"/>
  </r>
  <r>
    <n v="3748"/>
    <n v="26759"/>
    <d v="2012-01-25T00:00:00"/>
    <s v="Not Specified"/>
    <x v="385"/>
    <x v="38"/>
    <x v="0"/>
    <s v="Consumer"/>
    <x v="0"/>
    <x v="12"/>
    <n v="251.11"/>
    <n v="7.84"/>
  </r>
  <r>
    <n v="3749"/>
    <n v="26784"/>
    <d v="2010-07-23T00:00:00"/>
    <s v="Critical"/>
    <x v="1076"/>
    <x v="12"/>
    <x v="3"/>
    <s v="Consumer"/>
    <x v="1"/>
    <x v="15"/>
    <n v="1466.95"/>
    <n v="120.98"/>
  </r>
  <r>
    <n v="3750"/>
    <n v="26784"/>
    <d v="2010-07-23T00:00:00"/>
    <s v="Critical"/>
    <x v="218"/>
    <x v="12"/>
    <x v="3"/>
    <s v="Consumer"/>
    <x v="2"/>
    <x v="10"/>
    <n v="440.23"/>
    <n v="13.99"/>
  </r>
  <r>
    <n v="3751"/>
    <n v="26786"/>
    <d v="2010-04-07T00:00:00"/>
    <s v="Medium"/>
    <x v="394"/>
    <x v="16"/>
    <x v="1"/>
    <s v="Corporate"/>
    <x v="0"/>
    <x v="13"/>
    <n v="296.94"/>
    <n v="10.98"/>
  </r>
  <r>
    <n v="3752"/>
    <n v="26787"/>
    <d v="2011-09-19T00:00:00"/>
    <s v="High"/>
    <x v="983"/>
    <x v="15"/>
    <x v="2"/>
    <s v="Small Business"/>
    <x v="0"/>
    <x v="9"/>
    <n v="1119.9100000000001"/>
    <n v="48.04"/>
  </r>
  <r>
    <n v="3753"/>
    <n v="26791"/>
    <d v="2011-04-29T00:00:00"/>
    <s v="Low"/>
    <x v="675"/>
    <x v="30"/>
    <x v="0"/>
    <s v="Home Office"/>
    <x v="0"/>
    <x v="0"/>
    <n v="500.48"/>
    <n v="11.29"/>
  </r>
  <r>
    <n v="3754"/>
    <n v="26818"/>
    <d v="2012-01-08T00:00:00"/>
    <s v="Not Specified"/>
    <x v="1077"/>
    <x v="7"/>
    <x v="3"/>
    <s v="Small Business"/>
    <x v="0"/>
    <x v="12"/>
    <n v="202.84"/>
    <n v="8.85"/>
  </r>
  <r>
    <n v="3755"/>
    <n v="26818"/>
    <d v="2012-01-08T00:00:00"/>
    <s v="Not Specified"/>
    <x v="749"/>
    <x v="7"/>
    <x v="3"/>
    <s v="Small Business"/>
    <x v="0"/>
    <x v="13"/>
    <n v="78.39"/>
    <n v="11.97"/>
  </r>
  <r>
    <n v="3756"/>
    <n v="26818"/>
    <d v="2012-01-08T00:00:00"/>
    <s v="Not Specified"/>
    <x v="749"/>
    <x v="7"/>
    <x v="3"/>
    <s v="Small Business"/>
    <x v="0"/>
    <x v="12"/>
    <n v="251.34"/>
    <n v="7.3"/>
  </r>
  <r>
    <n v="3757"/>
    <n v="26851"/>
    <d v="2011-07-24T00:00:00"/>
    <s v="High"/>
    <x v="840"/>
    <x v="22"/>
    <x v="0"/>
    <s v="Corporate"/>
    <x v="2"/>
    <x v="5"/>
    <n v="73.64"/>
    <n v="1.7"/>
  </r>
  <r>
    <n v="3758"/>
    <n v="26852"/>
    <d v="2010-03-06T00:00:00"/>
    <s v="Critical"/>
    <x v="649"/>
    <x v="26"/>
    <x v="3"/>
    <s v="Consumer"/>
    <x v="0"/>
    <x v="9"/>
    <n v="15.81"/>
    <n v="4.9800000000000004"/>
  </r>
  <r>
    <n v="3759"/>
    <n v="26853"/>
    <d v="2012-06-12T00:00:00"/>
    <s v="Low"/>
    <x v="587"/>
    <x v="38"/>
    <x v="0"/>
    <s v="Small Business"/>
    <x v="0"/>
    <x v="14"/>
    <n v="64.44"/>
    <n v="2.66"/>
  </r>
  <r>
    <n v="3760"/>
    <n v="26854"/>
    <d v="2009-06-21T00:00:00"/>
    <s v="Not Specified"/>
    <x v="1078"/>
    <x v="0"/>
    <x v="0"/>
    <s v="Home Office"/>
    <x v="1"/>
    <x v="2"/>
    <n v="34.11"/>
    <n v="25.38"/>
  </r>
  <r>
    <n v="3761"/>
    <n v="26855"/>
    <d v="2009-03-15T00:00:00"/>
    <s v="High"/>
    <x v="827"/>
    <x v="5"/>
    <x v="0"/>
    <s v="Small Business"/>
    <x v="1"/>
    <x v="2"/>
    <n v="396.04"/>
    <n v="30.93"/>
  </r>
  <r>
    <n v="3762"/>
    <n v="26881"/>
    <d v="2009-08-01T00:00:00"/>
    <s v="Low"/>
    <x v="476"/>
    <x v="47"/>
    <x v="1"/>
    <s v="Small Business"/>
    <x v="1"/>
    <x v="3"/>
    <n v="10692.97"/>
    <n v="424.21"/>
  </r>
  <r>
    <n v="3763"/>
    <n v="26887"/>
    <d v="2011-05-15T00:00:00"/>
    <s v="Critical"/>
    <x v="885"/>
    <x v="47"/>
    <x v="1"/>
    <s v="Small Business"/>
    <x v="0"/>
    <x v="13"/>
    <n v="1637.78"/>
    <n v="42.98"/>
  </r>
  <r>
    <n v="3764"/>
    <n v="26887"/>
    <d v="2011-05-15T00:00:00"/>
    <s v="Critical"/>
    <x v="885"/>
    <x v="47"/>
    <x v="1"/>
    <s v="Small Business"/>
    <x v="0"/>
    <x v="12"/>
    <n v="193.84"/>
    <n v="8.0399999999999991"/>
  </r>
  <r>
    <n v="3765"/>
    <n v="26912"/>
    <d v="2012-04-27T00:00:00"/>
    <s v="Low"/>
    <x v="1079"/>
    <x v="12"/>
    <x v="3"/>
    <s v="Home Office"/>
    <x v="2"/>
    <x v="4"/>
    <n v="3136.2024999999999"/>
    <n v="205.99"/>
  </r>
  <r>
    <n v="3766"/>
    <n v="26912"/>
    <d v="2012-04-27T00:00:00"/>
    <s v="Low"/>
    <x v="1080"/>
    <x v="31"/>
    <x v="3"/>
    <s v="Home Office"/>
    <x v="2"/>
    <x v="5"/>
    <n v="1090.1099999999999"/>
    <n v="53.98"/>
  </r>
  <r>
    <n v="3767"/>
    <n v="26913"/>
    <d v="2009-09-29T00:00:00"/>
    <s v="High"/>
    <x v="989"/>
    <x v="11"/>
    <x v="2"/>
    <s v="Consumer"/>
    <x v="2"/>
    <x v="4"/>
    <n v="642.91449999999998"/>
    <n v="65.989999999999995"/>
  </r>
  <r>
    <n v="3768"/>
    <n v="26918"/>
    <d v="2009-04-06T00:00:00"/>
    <s v="Low"/>
    <x v="587"/>
    <x v="38"/>
    <x v="0"/>
    <s v="Home Office"/>
    <x v="0"/>
    <x v="6"/>
    <n v="77.959999999999994"/>
    <n v="4.84"/>
  </r>
  <r>
    <n v="3769"/>
    <n v="26919"/>
    <d v="2012-12-10T00:00:00"/>
    <s v="Low"/>
    <x v="1081"/>
    <x v="15"/>
    <x v="2"/>
    <s v="Home Office"/>
    <x v="0"/>
    <x v="13"/>
    <n v="3534.56"/>
    <n v="300.64999999999998"/>
  </r>
  <r>
    <n v="3770"/>
    <n v="26919"/>
    <d v="2012-12-10T00:00:00"/>
    <s v="Low"/>
    <x v="1081"/>
    <x v="15"/>
    <x v="2"/>
    <s v="Home Office"/>
    <x v="0"/>
    <x v="9"/>
    <n v="155.27000000000001"/>
    <n v="4.9800000000000004"/>
  </r>
  <r>
    <n v="3771"/>
    <n v="26944"/>
    <d v="2009-11-07T00:00:00"/>
    <s v="Critical"/>
    <x v="837"/>
    <x v="28"/>
    <x v="1"/>
    <s v="Home Office"/>
    <x v="2"/>
    <x v="5"/>
    <n v="453.87"/>
    <n v="73.98"/>
  </r>
  <r>
    <n v="3772"/>
    <n v="26945"/>
    <d v="2009-02-05T00:00:00"/>
    <s v="Critical"/>
    <x v="1081"/>
    <x v="15"/>
    <x v="2"/>
    <s v="Home Office"/>
    <x v="0"/>
    <x v="9"/>
    <n v="221.33"/>
    <n v="7.28"/>
  </r>
  <r>
    <n v="3773"/>
    <n v="26947"/>
    <d v="2010-06-04T00:00:00"/>
    <s v="High"/>
    <x v="352"/>
    <x v="25"/>
    <x v="1"/>
    <s v="Corporate"/>
    <x v="1"/>
    <x v="3"/>
    <n v="467.15"/>
    <n v="100.8"/>
  </r>
  <r>
    <n v="3774"/>
    <n v="26948"/>
    <d v="2011-11-22T00:00:00"/>
    <s v="High"/>
    <x v="652"/>
    <x v="23"/>
    <x v="3"/>
    <s v="Home Office"/>
    <x v="0"/>
    <x v="6"/>
    <n v="203.55"/>
    <n v="9.11"/>
  </r>
  <r>
    <n v="3775"/>
    <n v="26948"/>
    <d v="2011-11-22T00:00:00"/>
    <s v="High"/>
    <x v="1082"/>
    <x v="18"/>
    <x v="2"/>
    <s v="Home Office"/>
    <x v="0"/>
    <x v="12"/>
    <n v="273.89"/>
    <n v="7.3"/>
  </r>
  <r>
    <n v="3776"/>
    <n v="26949"/>
    <d v="2009-08-15T00:00:00"/>
    <s v="Critical"/>
    <x v="585"/>
    <x v="12"/>
    <x v="3"/>
    <s v="Home Office"/>
    <x v="1"/>
    <x v="2"/>
    <n v="460.69"/>
    <n v="9.48"/>
  </r>
  <r>
    <n v="3777"/>
    <n v="26951"/>
    <d v="2010-04-08T00:00:00"/>
    <s v="Not Specified"/>
    <x v="310"/>
    <x v="18"/>
    <x v="2"/>
    <s v="Home Office"/>
    <x v="2"/>
    <x v="10"/>
    <n v="451.81"/>
    <n v="150.97999999999999"/>
  </r>
  <r>
    <n v="3778"/>
    <n v="26976"/>
    <d v="2011-05-20T00:00:00"/>
    <s v="Not Specified"/>
    <x v="353"/>
    <x v="16"/>
    <x v="1"/>
    <s v="Home Office"/>
    <x v="0"/>
    <x v="14"/>
    <n v="729.75"/>
    <n v="15.67"/>
  </r>
  <r>
    <n v="3779"/>
    <n v="26976"/>
    <d v="2011-05-20T00:00:00"/>
    <s v="Not Specified"/>
    <x v="353"/>
    <x v="16"/>
    <x v="1"/>
    <s v="Home Office"/>
    <x v="1"/>
    <x v="2"/>
    <n v="1417.21"/>
    <n v="51.65"/>
  </r>
  <r>
    <n v="3780"/>
    <n v="26976"/>
    <d v="2011-05-20T00:00:00"/>
    <s v="Not Specified"/>
    <x v="353"/>
    <x v="16"/>
    <x v="1"/>
    <s v="Home Office"/>
    <x v="2"/>
    <x v="4"/>
    <n v="1154.9375"/>
    <n v="125.99"/>
  </r>
  <r>
    <n v="3781"/>
    <n v="26978"/>
    <d v="2010-06-25T00:00:00"/>
    <s v="Medium"/>
    <x v="1083"/>
    <x v="20"/>
    <x v="0"/>
    <s v="Home Office"/>
    <x v="2"/>
    <x v="16"/>
    <n v="27875.54"/>
    <n v="599.99"/>
  </r>
  <r>
    <n v="3782"/>
    <n v="26978"/>
    <d v="2010-06-25T00:00:00"/>
    <s v="Medium"/>
    <x v="1083"/>
    <x v="20"/>
    <x v="0"/>
    <s v="Home Office"/>
    <x v="0"/>
    <x v="9"/>
    <n v="2030.44"/>
    <n v="40.99"/>
  </r>
  <r>
    <n v="3783"/>
    <n v="26978"/>
    <d v="2010-06-25T00:00:00"/>
    <s v="Medium"/>
    <x v="1083"/>
    <x v="20"/>
    <x v="0"/>
    <s v="Home Office"/>
    <x v="0"/>
    <x v="0"/>
    <n v="695.99"/>
    <n v="15.31"/>
  </r>
  <r>
    <n v="3784"/>
    <n v="26978"/>
    <d v="2010-06-25T00:00:00"/>
    <s v="Medium"/>
    <x v="938"/>
    <x v="3"/>
    <x v="0"/>
    <s v="Home Office"/>
    <x v="0"/>
    <x v="9"/>
    <n v="48.84"/>
    <n v="18.97"/>
  </r>
  <r>
    <n v="3785"/>
    <n v="26979"/>
    <d v="2012-03-28T00:00:00"/>
    <s v="Medium"/>
    <x v="454"/>
    <x v="4"/>
    <x v="1"/>
    <s v="Corporate"/>
    <x v="0"/>
    <x v="9"/>
    <n v="337.01"/>
    <n v="7.98"/>
  </r>
  <r>
    <n v="3786"/>
    <n v="26979"/>
    <d v="2012-03-28T00:00:00"/>
    <s v="Medium"/>
    <x v="454"/>
    <x v="4"/>
    <x v="1"/>
    <s v="Corporate"/>
    <x v="2"/>
    <x v="4"/>
    <n v="6093.2420000000002"/>
    <n v="155.99"/>
  </r>
  <r>
    <n v="3787"/>
    <n v="26981"/>
    <d v="2012-08-30T00:00:00"/>
    <s v="Medium"/>
    <x v="851"/>
    <x v="22"/>
    <x v="0"/>
    <s v="Home Office"/>
    <x v="2"/>
    <x v="4"/>
    <n v="603.34699999999998"/>
    <n v="55.99"/>
  </r>
  <r>
    <n v="3788"/>
    <n v="26981"/>
    <d v="2012-08-30T00:00:00"/>
    <s v="Medium"/>
    <x v="141"/>
    <x v="22"/>
    <x v="0"/>
    <s v="Home Office"/>
    <x v="0"/>
    <x v="0"/>
    <n v="770.53"/>
    <n v="16.91"/>
  </r>
  <r>
    <n v="3789"/>
    <n v="26982"/>
    <d v="2012-04-28T00:00:00"/>
    <s v="Not Specified"/>
    <x v="863"/>
    <x v="27"/>
    <x v="3"/>
    <s v="Small Business"/>
    <x v="0"/>
    <x v="9"/>
    <n v="1984.61"/>
    <n v="55.48"/>
  </r>
  <r>
    <n v="3790"/>
    <n v="27011"/>
    <d v="2010-12-30T00:00:00"/>
    <s v="Medium"/>
    <x v="17"/>
    <x v="7"/>
    <x v="3"/>
    <s v="Home Office"/>
    <x v="0"/>
    <x v="14"/>
    <n v="53.66"/>
    <n v="10.94"/>
  </r>
  <r>
    <n v="3791"/>
    <n v="27013"/>
    <d v="2009-07-05T00:00:00"/>
    <s v="Low"/>
    <x v="997"/>
    <x v="28"/>
    <x v="1"/>
    <s v="Home Office"/>
    <x v="0"/>
    <x v="0"/>
    <n v="2232.15"/>
    <n v="80.98"/>
  </r>
  <r>
    <n v="3792"/>
    <n v="27013"/>
    <d v="2009-07-05T00:00:00"/>
    <s v="Low"/>
    <x v="997"/>
    <x v="28"/>
    <x v="1"/>
    <s v="Home Office"/>
    <x v="0"/>
    <x v="0"/>
    <n v="7007.19"/>
    <n v="279.48"/>
  </r>
  <r>
    <n v="3793"/>
    <n v="27015"/>
    <d v="2011-12-31T00:00:00"/>
    <s v="Low"/>
    <x v="809"/>
    <x v="33"/>
    <x v="0"/>
    <s v="Home Office"/>
    <x v="0"/>
    <x v="13"/>
    <n v="1339.25"/>
    <n v="56.96"/>
  </r>
  <r>
    <n v="3794"/>
    <n v="27047"/>
    <d v="2010-11-22T00:00:00"/>
    <s v="High"/>
    <x v="682"/>
    <x v="5"/>
    <x v="0"/>
    <s v="Consumer"/>
    <x v="2"/>
    <x v="16"/>
    <n v="14240.76"/>
    <n v="599.99"/>
  </r>
  <r>
    <n v="3795"/>
    <n v="27047"/>
    <d v="2010-11-22T00:00:00"/>
    <s v="High"/>
    <x v="682"/>
    <x v="5"/>
    <x v="0"/>
    <s v="Consumer"/>
    <x v="0"/>
    <x v="9"/>
    <n v="167.41"/>
    <n v="4.28"/>
  </r>
  <r>
    <n v="3796"/>
    <n v="27077"/>
    <d v="2010-03-15T00:00:00"/>
    <s v="Critical"/>
    <x v="397"/>
    <x v="5"/>
    <x v="0"/>
    <s v="Small Business"/>
    <x v="2"/>
    <x v="10"/>
    <n v="1612.93"/>
    <n v="140.99"/>
  </r>
  <r>
    <n v="3797"/>
    <n v="27078"/>
    <d v="2012-08-12T00:00:00"/>
    <s v="Not Specified"/>
    <x v="1001"/>
    <x v="36"/>
    <x v="2"/>
    <s v="Corporate"/>
    <x v="0"/>
    <x v="9"/>
    <n v="152.44"/>
    <n v="6.48"/>
  </r>
  <r>
    <n v="3798"/>
    <n v="27105"/>
    <d v="2011-02-16T00:00:00"/>
    <s v="Not Specified"/>
    <x v="37"/>
    <x v="3"/>
    <x v="0"/>
    <s v="Home Office"/>
    <x v="0"/>
    <x v="14"/>
    <n v="223.74"/>
    <n v="5.98"/>
  </r>
  <r>
    <n v="3799"/>
    <n v="27105"/>
    <d v="2011-02-16T00:00:00"/>
    <s v="Not Specified"/>
    <x v="37"/>
    <x v="3"/>
    <x v="0"/>
    <s v="Home Office"/>
    <x v="1"/>
    <x v="2"/>
    <n v="26.82"/>
    <n v="10.4"/>
  </r>
  <r>
    <n v="3800"/>
    <n v="27106"/>
    <d v="2011-12-01T00:00:00"/>
    <s v="High"/>
    <x v="805"/>
    <x v="27"/>
    <x v="3"/>
    <s v="Home Office"/>
    <x v="0"/>
    <x v="12"/>
    <n v="13.96"/>
    <n v="10.91"/>
  </r>
  <r>
    <n v="3801"/>
    <n v="27106"/>
    <d v="2011-12-01T00:00:00"/>
    <s v="High"/>
    <x v="805"/>
    <x v="27"/>
    <x v="3"/>
    <s v="Home Office"/>
    <x v="0"/>
    <x v="14"/>
    <n v="531.48"/>
    <n v="10.67"/>
  </r>
  <r>
    <n v="3802"/>
    <n v="27106"/>
    <d v="2011-12-01T00:00:00"/>
    <s v="High"/>
    <x v="1084"/>
    <x v="27"/>
    <x v="3"/>
    <s v="Home Office"/>
    <x v="1"/>
    <x v="15"/>
    <n v="3524.55"/>
    <n v="130.97999999999999"/>
  </r>
  <r>
    <n v="3803"/>
    <n v="27106"/>
    <d v="2011-12-01T00:00:00"/>
    <s v="High"/>
    <x v="1084"/>
    <x v="27"/>
    <x v="3"/>
    <s v="Home Office"/>
    <x v="1"/>
    <x v="2"/>
    <n v="890.61"/>
    <n v="22.23"/>
  </r>
  <r>
    <n v="3804"/>
    <n v="27106"/>
    <d v="2011-12-01T00:00:00"/>
    <s v="High"/>
    <x v="1084"/>
    <x v="27"/>
    <x v="3"/>
    <s v="Home Office"/>
    <x v="0"/>
    <x v="6"/>
    <n v="64.19"/>
    <n v="6.68"/>
  </r>
  <r>
    <n v="3805"/>
    <n v="27109"/>
    <d v="2012-02-08T00:00:00"/>
    <s v="Critical"/>
    <x v="36"/>
    <x v="0"/>
    <x v="0"/>
    <s v="Consumer"/>
    <x v="2"/>
    <x v="5"/>
    <n v="538.22"/>
    <n v="10.97"/>
  </r>
  <r>
    <n v="3806"/>
    <n v="27111"/>
    <d v="2009-03-11T00:00:00"/>
    <s v="High"/>
    <x v="970"/>
    <x v="0"/>
    <x v="0"/>
    <s v="Home Office"/>
    <x v="2"/>
    <x v="5"/>
    <n v="1064.23"/>
    <n v="99.99"/>
  </r>
  <r>
    <n v="3807"/>
    <n v="27111"/>
    <d v="2009-03-11T00:00:00"/>
    <s v="High"/>
    <x v="970"/>
    <x v="0"/>
    <x v="0"/>
    <s v="Home Office"/>
    <x v="0"/>
    <x v="0"/>
    <n v="3497.05"/>
    <n v="193.17"/>
  </r>
  <r>
    <n v="3808"/>
    <n v="27111"/>
    <d v="2009-03-11T00:00:00"/>
    <s v="High"/>
    <x v="970"/>
    <x v="0"/>
    <x v="0"/>
    <s v="Home Office"/>
    <x v="2"/>
    <x v="4"/>
    <n v="774.05250000000001"/>
    <n v="20.99"/>
  </r>
  <r>
    <n v="3809"/>
    <n v="27137"/>
    <d v="2011-12-31T00:00:00"/>
    <s v="High"/>
    <x v="1085"/>
    <x v="31"/>
    <x v="3"/>
    <s v="Small Business"/>
    <x v="2"/>
    <x v="4"/>
    <n v="60.5625"/>
    <n v="35.99"/>
  </r>
  <r>
    <n v="3810"/>
    <n v="27138"/>
    <d v="2012-05-30T00:00:00"/>
    <s v="High"/>
    <x v="808"/>
    <x v="25"/>
    <x v="1"/>
    <s v="Home Office"/>
    <x v="1"/>
    <x v="11"/>
    <n v="2976.21"/>
    <n v="100.98"/>
  </r>
  <r>
    <n v="3811"/>
    <n v="27138"/>
    <d v="2012-05-30T00:00:00"/>
    <s v="High"/>
    <x v="808"/>
    <x v="25"/>
    <x v="1"/>
    <s v="Home Office"/>
    <x v="2"/>
    <x v="4"/>
    <n v="1894.1654999999998"/>
    <n v="65.989999999999995"/>
  </r>
  <r>
    <n v="3812"/>
    <n v="27141"/>
    <d v="2010-02-04T00:00:00"/>
    <s v="Not Specified"/>
    <x v="566"/>
    <x v="18"/>
    <x v="2"/>
    <s v="Corporate"/>
    <x v="1"/>
    <x v="2"/>
    <n v="495.8"/>
    <n v="19.04"/>
  </r>
  <r>
    <n v="3813"/>
    <n v="27141"/>
    <d v="2010-02-04T00:00:00"/>
    <s v="Not Specified"/>
    <x v="566"/>
    <x v="18"/>
    <x v="2"/>
    <s v="Corporate"/>
    <x v="0"/>
    <x v="0"/>
    <n v="1645.51"/>
    <n v="59.76"/>
  </r>
  <r>
    <n v="3814"/>
    <n v="27169"/>
    <d v="2011-09-11T00:00:00"/>
    <s v="Not Specified"/>
    <x v="876"/>
    <x v="16"/>
    <x v="1"/>
    <s v="Corporate"/>
    <x v="0"/>
    <x v="12"/>
    <n v="109.9"/>
    <n v="6.54"/>
  </r>
  <r>
    <n v="3815"/>
    <n v="27174"/>
    <d v="2011-10-08T00:00:00"/>
    <s v="Critical"/>
    <x v="179"/>
    <x v="20"/>
    <x v="0"/>
    <s v="Corporate"/>
    <x v="2"/>
    <x v="4"/>
    <n v="477.50449999999995"/>
    <n v="35.99"/>
  </r>
  <r>
    <n v="3816"/>
    <n v="27201"/>
    <d v="2012-07-25T00:00:00"/>
    <s v="High"/>
    <x v="666"/>
    <x v="14"/>
    <x v="0"/>
    <s v="Corporate"/>
    <x v="1"/>
    <x v="15"/>
    <n v="5056.8900000000003"/>
    <n v="500.98"/>
  </r>
  <r>
    <n v="3817"/>
    <n v="27201"/>
    <d v="2012-07-25T00:00:00"/>
    <s v="High"/>
    <x v="666"/>
    <x v="14"/>
    <x v="0"/>
    <s v="Corporate"/>
    <x v="1"/>
    <x v="3"/>
    <n v="3500.1"/>
    <n v="70.89"/>
  </r>
  <r>
    <n v="3818"/>
    <n v="27205"/>
    <d v="2010-05-21T00:00:00"/>
    <s v="Not Specified"/>
    <x v="979"/>
    <x v="43"/>
    <x v="3"/>
    <s v="Corporate"/>
    <x v="2"/>
    <x v="5"/>
    <n v="87.11"/>
    <n v="7.28"/>
  </r>
  <r>
    <n v="3819"/>
    <n v="27232"/>
    <d v="2010-08-18T00:00:00"/>
    <s v="Not Specified"/>
    <x v="539"/>
    <x v="23"/>
    <x v="3"/>
    <s v="Consumer"/>
    <x v="0"/>
    <x v="6"/>
    <n v="639.29999999999995"/>
    <n v="34.99"/>
  </r>
  <r>
    <n v="3820"/>
    <n v="27236"/>
    <d v="2010-03-02T00:00:00"/>
    <s v="High"/>
    <x v="986"/>
    <x v="5"/>
    <x v="0"/>
    <s v="Small Business"/>
    <x v="0"/>
    <x v="9"/>
    <n v="393.31"/>
    <n v="19.98"/>
  </r>
  <r>
    <n v="3821"/>
    <n v="27264"/>
    <d v="2011-06-04T00:00:00"/>
    <s v="Low"/>
    <x v="241"/>
    <x v="0"/>
    <x v="0"/>
    <s v="Small Business"/>
    <x v="1"/>
    <x v="2"/>
    <n v="74.05"/>
    <n v="19.989999999999998"/>
  </r>
  <r>
    <n v="3822"/>
    <n v="27265"/>
    <d v="2012-05-06T00:00:00"/>
    <s v="Critical"/>
    <x v="371"/>
    <x v="11"/>
    <x v="2"/>
    <s v="Corporate"/>
    <x v="2"/>
    <x v="16"/>
    <n v="14981.74"/>
    <n v="299.99"/>
  </r>
  <r>
    <n v="3823"/>
    <n v="27265"/>
    <d v="2012-05-06T00:00:00"/>
    <s v="Critical"/>
    <x v="626"/>
    <x v="11"/>
    <x v="2"/>
    <s v="Corporate"/>
    <x v="0"/>
    <x v="14"/>
    <n v="5587.2"/>
    <n v="162.93"/>
  </r>
  <r>
    <n v="3824"/>
    <n v="27265"/>
    <d v="2012-05-06T00:00:00"/>
    <s v="Critical"/>
    <x v="626"/>
    <x v="11"/>
    <x v="2"/>
    <s v="Corporate"/>
    <x v="1"/>
    <x v="2"/>
    <n v="401.39"/>
    <n v="8.34"/>
  </r>
  <r>
    <n v="3825"/>
    <n v="27266"/>
    <d v="2011-09-08T00:00:00"/>
    <s v="Critical"/>
    <x v="340"/>
    <x v="17"/>
    <x v="0"/>
    <s v="Corporate"/>
    <x v="2"/>
    <x v="5"/>
    <n v="1031.06"/>
    <n v="115.79"/>
  </r>
  <r>
    <n v="3826"/>
    <n v="27271"/>
    <d v="2011-09-14T00:00:00"/>
    <s v="Not Specified"/>
    <x v="629"/>
    <x v="19"/>
    <x v="3"/>
    <s v="Corporate"/>
    <x v="1"/>
    <x v="15"/>
    <n v="301.57"/>
    <n v="33.94"/>
  </r>
  <r>
    <n v="3827"/>
    <n v="27298"/>
    <d v="2011-11-19T00:00:00"/>
    <s v="Low"/>
    <x v="380"/>
    <x v="22"/>
    <x v="0"/>
    <s v="Small Business"/>
    <x v="2"/>
    <x v="16"/>
    <n v="7813.7"/>
    <n v="199.99"/>
  </r>
  <r>
    <n v="3828"/>
    <n v="27298"/>
    <d v="2011-11-19T00:00:00"/>
    <s v="Low"/>
    <x v="380"/>
    <x v="22"/>
    <x v="0"/>
    <s v="Small Business"/>
    <x v="0"/>
    <x v="9"/>
    <n v="164.92"/>
    <n v="4.9800000000000004"/>
  </r>
  <r>
    <n v="3829"/>
    <n v="27299"/>
    <d v="2012-08-05T00:00:00"/>
    <s v="Critical"/>
    <x v="31"/>
    <x v="26"/>
    <x v="3"/>
    <s v="Corporate"/>
    <x v="1"/>
    <x v="2"/>
    <n v="802.16"/>
    <n v="19.940000000000001"/>
  </r>
  <r>
    <n v="3830"/>
    <n v="27300"/>
    <d v="2012-09-30T00:00:00"/>
    <s v="Not Specified"/>
    <x v="1086"/>
    <x v="26"/>
    <x v="3"/>
    <s v="Consumer"/>
    <x v="2"/>
    <x v="5"/>
    <n v="3333.1"/>
    <n v="73.98"/>
  </r>
  <r>
    <n v="3831"/>
    <n v="27300"/>
    <d v="2012-09-30T00:00:00"/>
    <s v="Not Specified"/>
    <x v="1086"/>
    <x v="26"/>
    <x v="3"/>
    <s v="Consumer"/>
    <x v="0"/>
    <x v="6"/>
    <n v="55.68"/>
    <n v="2.1"/>
  </r>
  <r>
    <n v="3832"/>
    <n v="27302"/>
    <d v="2012-09-12T00:00:00"/>
    <s v="Low"/>
    <x v="528"/>
    <x v="18"/>
    <x v="2"/>
    <s v="Corporate"/>
    <x v="1"/>
    <x v="2"/>
    <n v="237.54"/>
    <n v="13.79"/>
  </r>
  <r>
    <n v="3833"/>
    <n v="27302"/>
    <d v="2012-09-12T00:00:00"/>
    <s v="Low"/>
    <x v="528"/>
    <x v="18"/>
    <x v="2"/>
    <s v="Corporate"/>
    <x v="0"/>
    <x v="9"/>
    <n v="143.5"/>
    <n v="48.91"/>
  </r>
  <r>
    <n v="3834"/>
    <n v="27330"/>
    <d v="2009-09-16T00:00:00"/>
    <s v="Low"/>
    <x v="1035"/>
    <x v="22"/>
    <x v="0"/>
    <s v="Home Office"/>
    <x v="1"/>
    <x v="2"/>
    <n v="507.74"/>
    <n v="55.5"/>
  </r>
  <r>
    <n v="3835"/>
    <n v="27330"/>
    <d v="2009-09-16T00:00:00"/>
    <s v="Low"/>
    <x v="1035"/>
    <x v="22"/>
    <x v="0"/>
    <s v="Home Office"/>
    <x v="2"/>
    <x v="10"/>
    <n v="12600.99"/>
    <n v="442.14"/>
  </r>
  <r>
    <n v="3836"/>
    <n v="27335"/>
    <d v="2010-11-06T00:00:00"/>
    <s v="Low"/>
    <x v="702"/>
    <x v="31"/>
    <x v="3"/>
    <s v="Corporate"/>
    <x v="0"/>
    <x v="14"/>
    <n v="67.47"/>
    <n v="2.66"/>
  </r>
  <r>
    <n v="3837"/>
    <n v="27363"/>
    <d v="2011-10-18T00:00:00"/>
    <s v="Medium"/>
    <x v="1087"/>
    <x v="16"/>
    <x v="1"/>
    <s v="Small Business"/>
    <x v="0"/>
    <x v="0"/>
    <n v="646.14"/>
    <n v="101.41"/>
  </r>
  <r>
    <n v="3838"/>
    <n v="27363"/>
    <d v="2011-10-18T00:00:00"/>
    <s v="Medium"/>
    <x v="658"/>
    <x v="8"/>
    <x v="2"/>
    <s v="Small Business"/>
    <x v="1"/>
    <x v="2"/>
    <n v="323.26"/>
    <n v="20.239999999999998"/>
  </r>
  <r>
    <n v="3839"/>
    <n v="27364"/>
    <d v="2011-05-20T00:00:00"/>
    <s v="Medium"/>
    <x v="565"/>
    <x v="15"/>
    <x v="2"/>
    <s v="Corporate"/>
    <x v="0"/>
    <x v="12"/>
    <n v="74.069999999999993"/>
    <n v="2.88"/>
  </r>
  <r>
    <n v="3840"/>
    <n v="27364"/>
    <d v="2011-05-20T00:00:00"/>
    <s v="Medium"/>
    <x v="565"/>
    <x v="15"/>
    <x v="2"/>
    <s v="Corporate"/>
    <x v="2"/>
    <x v="4"/>
    <n v="1529.0565000000001"/>
    <n v="65.989999999999995"/>
  </r>
  <r>
    <n v="3841"/>
    <n v="27392"/>
    <d v="2012-03-02T00:00:00"/>
    <s v="Low"/>
    <x v="838"/>
    <x v="0"/>
    <x v="0"/>
    <s v="Corporate"/>
    <x v="2"/>
    <x v="10"/>
    <n v="5753.85"/>
    <n v="150.97999999999999"/>
  </r>
  <r>
    <n v="3842"/>
    <n v="27396"/>
    <d v="2010-12-08T00:00:00"/>
    <s v="Critical"/>
    <x v="982"/>
    <x v="17"/>
    <x v="0"/>
    <s v="Corporate"/>
    <x v="1"/>
    <x v="2"/>
    <n v="138.31"/>
    <n v="9.77"/>
  </r>
  <r>
    <n v="3843"/>
    <n v="27426"/>
    <d v="2010-02-23T00:00:00"/>
    <s v="Low"/>
    <x v="572"/>
    <x v="18"/>
    <x v="2"/>
    <s v="Home Office"/>
    <x v="0"/>
    <x v="9"/>
    <n v="438.66"/>
    <n v="9.99"/>
  </r>
  <r>
    <n v="3844"/>
    <n v="27426"/>
    <d v="2010-02-23T00:00:00"/>
    <s v="Low"/>
    <x v="572"/>
    <x v="18"/>
    <x v="2"/>
    <s v="Home Office"/>
    <x v="0"/>
    <x v="1"/>
    <n v="416.99"/>
    <n v="12.88"/>
  </r>
  <r>
    <n v="3845"/>
    <n v="27430"/>
    <d v="2011-01-31T00:00:00"/>
    <s v="High"/>
    <x v="212"/>
    <x v="12"/>
    <x v="3"/>
    <s v="Small Business"/>
    <x v="0"/>
    <x v="6"/>
    <n v="82.64"/>
    <n v="7.08"/>
  </r>
  <r>
    <n v="3846"/>
    <n v="27430"/>
    <d v="2011-01-31T00:00:00"/>
    <s v="High"/>
    <x v="1088"/>
    <x v="31"/>
    <x v="3"/>
    <s v="Small Business"/>
    <x v="1"/>
    <x v="2"/>
    <n v="315.27"/>
    <n v="105.98"/>
  </r>
  <r>
    <n v="3847"/>
    <n v="27456"/>
    <d v="2009-04-10T00:00:00"/>
    <s v="Not Specified"/>
    <x v="385"/>
    <x v="38"/>
    <x v="0"/>
    <s v="Home Office"/>
    <x v="0"/>
    <x v="13"/>
    <n v="9492.92"/>
    <n v="328.14"/>
  </r>
  <r>
    <n v="3848"/>
    <n v="27460"/>
    <d v="2009-05-12T00:00:00"/>
    <s v="Not Specified"/>
    <x v="515"/>
    <x v="15"/>
    <x v="2"/>
    <s v="Corporate"/>
    <x v="1"/>
    <x v="15"/>
    <n v="855.03"/>
    <n v="128.24"/>
  </r>
  <r>
    <n v="3849"/>
    <n v="27460"/>
    <d v="2009-05-12T00:00:00"/>
    <s v="Not Specified"/>
    <x v="515"/>
    <x v="15"/>
    <x v="2"/>
    <s v="Corporate"/>
    <x v="2"/>
    <x v="5"/>
    <n v="196.58"/>
    <n v="5.98"/>
  </r>
  <r>
    <n v="3850"/>
    <n v="27461"/>
    <d v="2010-02-26T00:00:00"/>
    <s v="Critical"/>
    <x v="841"/>
    <x v="43"/>
    <x v="3"/>
    <s v="Corporate"/>
    <x v="0"/>
    <x v="8"/>
    <n v="121.92"/>
    <n v="2.88"/>
  </r>
  <r>
    <n v="3851"/>
    <n v="27461"/>
    <d v="2010-02-26T00:00:00"/>
    <s v="Critical"/>
    <x v="841"/>
    <x v="43"/>
    <x v="3"/>
    <s v="Corporate"/>
    <x v="0"/>
    <x v="9"/>
    <n v="1096.17"/>
    <n v="40.99"/>
  </r>
  <r>
    <n v="3852"/>
    <n v="27463"/>
    <d v="2009-11-13T00:00:00"/>
    <s v="Medium"/>
    <x v="397"/>
    <x v="1"/>
    <x v="1"/>
    <s v="Consumer"/>
    <x v="1"/>
    <x v="2"/>
    <n v="835.11"/>
    <n v="25.38"/>
  </r>
  <r>
    <n v="3853"/>
    <n v="27463"/>
    <d v="2009-11-13T00:00:00"/>
    <s v="Medium"/>
    <x v="397"/>
    <x v="1"/>
    <x v="1"/>
    <s v="Consumer"/>
    <x v="0"/>
    <x v="9"/>
    <n v="54.52"/>
    <n v="4.9800000000000004"/>
  </r>
  <r>
    <n v="3854"/>
    <n v="27490"/>
    <d v="2012-03-14T00:00:00"/>
    <s v="Not Specified"/>
    <x v="1089"/>
    <x v="10"/>
    <x v="0"/>
    <s v="Corporate"/>
    <x v="0"/>
    <x v="12"/>
    <n v="611.71"/>
    <n v="31.74"/>
  </r>
  <r>
    <n v="3855"/>
    <n v="27491"/>
    <d v="2009-04-09T00:00:00"/>
    <s v="Not Specified"/>
    <x v="874"/>
    <x v="11"/>
    <x v="2"/>
    <s v="Corporate"/>
    <x v="0"/>
    <x v="14"/>
    <n v="985.01"/>
    <n v="90.48"/>
  </r>
  <r>
    <n v="3856"/>
    <n v="27491"/>
    <d v="2009-04-09T00:00:00"/>
    <s v="Not Specified"/>
    <x v="874"/>
    <x v="11"/>
    <x v="2"/>
    <s v="Corporate"/>
    <x v="1"/>
    <x v="2"/>
    <n v="350.71"/>
    <n v="9.77"/>
  </r>
  <r>
    <n v="3857"/>
    <n v="27491"/>
    <d v="2009-04-09T00:00:00"/>
    <s v="Not Specified"/>
    <x v="874"/>
    <x v="11"/>
    <x v="2"/>
    <s v="Corporate"/>
    <x v="0"/>
    <x v="6"/>
    <n v="75.23"/>
    <n v="34.99"/>
  </r>
  <r>
    <n v="3858"/>
    <n v="27524"/>
    <d v="2010-02-01T00:00:00"/>
    <s v="Not Specified"/>
    <x v="1090"/>
    <x v="16"/>
    <x v="1"/>
    <s v="Consumer"/>
    <x v="0"/>
    <x v="9"/>
    <n v="343.94"/>
    <n v="6.48"/>
  </r>
  <r>
    <n v="3859"/>
    <n v="27527"/>
    <d v="2010-11-30T00:00:00"/>
    <s v="Medium"/>
    <x v="1003"/>
    <x v="27"/>
    <x v="3"/>
    <s v="Consumer"/>
    <x v="1"/>
    <x v="2"/>
    <n v="376.58"/>
    <n v="10.4"/>
  </r>
  <r>
    <n v="3860"/>
    <n v="27553"/>
    <d v="2011-08-12T00:00:00"/>
    <s v="Medium"/>
    <x v="728"/>
    <x v="0"/>
    <x v="0"/>
    <s v="Corporate"/>
    <x v="0"/>
    <x v="0"/>
    <n v="18235.47"/>
    <n v="370.98"/>
  </r>
  <r>
    <n v="3861"/>
    <n v="27553"/>
    <d v="2011-08-12T00:00:00"/>
    <s v="Medium"/>
    <x v="728"/>
    <x v="0"/>
    <x v="0"/>
    <s v="Corporate"/>
    <x v="2"/>
    <x v="4"/>
    <n v="2631.107"/>
    <n v="179.99"/>
  </r>
  <r>
    <n v="3862"/>
    <n v="27554"/>
    <d v="2011-03-10T00:00:00"/>
    <s v="Critical"/>
    <x v="900"/>
    <x v="16"/>
    <x v="1"/>
    <s v="Small Business"/>
    <x v="1"/>
    <x v="3"/>
    <n v="12685.544000000002"/>
    <n v="348.21"/>
  </r>
  <r>
    <n v="3863"/>
    <n v="27555"/>
    <d v="2009-09-01T00:00:00"/>
    <s v="Critical"/>
    <x v="440"/>
    <x v="0"/>
    <x v="0"/>
    <s v="Consumer"/>
    <x v="0"/>
    <x v="9"/>
    <n v="209.42"/>
    <n v="6.74"/>
  </r>
  <r>
    <n v="3864"/>
    <n v="27557"/>
    <d v="2012-02-08T00:00:00"/>
    <s v="Low"/>
    <x v="792"/>
    <x v="26"/>
    <x v="3"/>
    <s v="Corporate"/>
    <x v="0"/>
    <x v="8"/>
    <n v="56.13"/>
    <n v="2.88"/>
  </r>
  <r>
    <n v="3865"/>
    <n v="27558"/>
    <d v="2011-07-07T00:00:00"/>
    <s v="Not Specified"/>
    <x v="695"/>
    <x v="9"/>
    <x v="1"/>
    <s v="Consumer"/>
    <x v="0"/>
    <x v="12"/>
    <n v="423.24"/>
    <n v="21.38"/>
  </r>
  <r>
    <n v="3866"/>
    <n v="27559"/>
    <d v="2011-10-30T00:00:00"/>
    <s v="High"/>
    <x v="1091"/>
    <x v="31"/>
    <x v="3"/>
    <s v="Home Office"/>
    <x v="0"/>
    <x v="9"/>
    <n v="465.9"/>
    <n v="12.28"/>
  </r>
  <r>
    <n v="3867"/>
    <n v="27589"/>
    <d v="2011-09-15T00:00:00"/>
    <s v="Medium"/>
    <x v="1021"/>
    <x v="5"/>
    <x v="0"/>
    <s v="Corporate"/>
    <x v="2"/>
    <x v="5"/>
    <n v="845.7"/>
    <n v="39.479999999999997"/>
  </r>
  <r>
    <n v="3868"/>
    <n v="27589"/>
    <d v="2011-09-15T00:00:00"/>
    <s v="Medium"/>
    <x v="1021"/>
    <x v="5"/>
    <x v="0"/>
    <s v="Corporate"/>
    <x v="1"/>
    <x v="2"/>
    <n v="467"/>
    <n v="17.670000000000002"/>
  </r>
  <r>
    <n v="3869"/>
    <n v="27589"/>
    <d v="2011-09-15T00:00:00"/>
    <s v="Medium"/>
    <x v="1021"/>
    <x v="5"/>
    <x v="0"/>
    <s v="Corporate"/>
    <x v="1"/>
    <x v="3"/>
    <n v="64.430000000000007"/>
    <n v="1.88"/>
  </r>
  <r>
    <n v="3870"/>
    <n v="27616"/>
    <d v="2012-07-30T00:00:00"/>
    <s v="Low"/>
    <x v="650"/>
    <x v="37"/>
    <x v="2"/>
    <s v="Home Office"/>
    <x v="2"/>
    <x v="16"/>
    <n v="614.14"/>
    <n v="199.99"/>
  </r>
  <r>
    <n v="3871"/>
    <n v="27622"/>
    <d v="2011-02-06T00:00:00"/>
    <s v="Medium"/>
    <x v="595"/>
    <x v="23"/>
    <x v="3"/>
    <s v="Consumer"/>
    <x v="1"/>
    <x v="3"/>
    <n v="1280.73"/>
    <n v="320.64"/>
  </r>
  <r>
    <n v="3872"/>
    <n v="27654"/>
    <d v="2010-09-24T00:00:00"/>
    <s v="High"/>
    <x v="971"/>
    <x v="26"/>
    <x v="3"/>
    <s v="Home Office"/>
    <x v="0"/>
    <x v="14"/>
    <n v="94.83"/>
    <n v="7.64"/>
  </r>
  <r>
    <n v="3873"/>
    <n v="27680"/>
    <d v="2010-01-26T00:00:00"/>
    <s v="Critical"/>
    <x v="403"/>
    <x v="0"/>
    <x v="0"/>
    <s v="Small Business"/>
    <x v="0"/>
    <x v="13"/>
    <n v="324.39999999999998"/>
    <n v="10.89"/>
  </r>
  <r>
    <n v="3874"/>
    <n v="27680"/>
    <d v="2010-01-26T00:00:00"/>
    <s v="Critical"/>
    <x v="403"/>
    <x v="0"/>
    <x v="0"/>
    <s v="Small Business"/>
    <x v="0"/>
    <x v="9"/>
    <n v="137.02000000000001"/>
    <n v="6.48"/>
  </r>
  <r>
    <n v="3875"/>
    <n v="27681"/>
    <d v="2010-11-24T00:00:00"/>
    <s v="Medium"/>
    <x v="724"/>
    <x v="5"/>
    <x v="0"/>
    <s v="Home Office"/>
    <x v="0"/>
    <x v="9"/>
    <n v="37.799999999999997"/>
    <n v="4.9800000000000004"/>
  </r>
  <r>
    <n v="3876"/>
    <n v="27681"/>
    <d v="2010-11-24T00:00:00"/>
    <s v="Medium"/>
    <x v="724"/>
    <x v="5"/>
    <x v="0"/>
    <s v="Home Office"/>
    <x v="0"/>
    <x v="6"/>
    <n v="183.28"/>
    <n v="6.08"/>
  </r>
  <r>
    <n v="3877"/>
    <n v="27684"/>
    <d v="2011-09-05T00:00:00"/>
    <s v="Low"/>
    <x v="600"/>
    <x v="26"/>
    <x v="3"/>
    <s v="Corporate"/>
    <x v="0"/>
    <x v="6"/>
    <n v="13.04"/>
    <n v="10.48"/>
  </r>
  <r>
    <n v="3878"/>
    <n v="27687"/>
    <d v="2010-04-22T00:00:00"/>
    <s v="Medium"/>
    <x v="360"/>
    <x v="29"/>
    <x v="2"/>
    <s v="Home Office"/>
    <x v="0"/>
    <x v="12"/>
    <n v="251.3"/>
    <n v="7.1"/>
  </r>
  <r>
    <n v="3879"/>
    <n v="27712"/>
    <d v="2010-03-04T00:00:00"/>
    <s v="Low"/>
    <x v="780"/>
    <x v="16"/>
    <x v="1"/>
    <s v="Corporate"/>
    <x v="0"/>
    <x v="9"/>
    <n v="246.63"/>
    <n v="12.28"/>
  </r>
  <r>
    <n v="3880"/>
    <n v="27715"/>
    <d v="2011-09-19T00:00:00"/>
    <s v="High"/>
    <x v="802"/>
    <x v="16"/>
    <x v="1"/>
    <s v="Consumer"/>
    <x v="0"/>
    <x v="12"/>
    <n v="94.52"/>
    <n v="7.45"/>
  </r>
  <r>
    <n v="3881"/>
    <n v="27717"/>
    <d v="2011-10-26T00:00:00"/>
    <s v="Critical"/>
    <x v="1092"/>
    <x v="15"/>
    <x v="2"/>
    <s v="Corporate"/>
    <x v="0"/>
    <x v="8"/>
    <n v="75.19"/>
    <n v="3.75"/>
  </r>
  <r>
    <n v="3882"/>
    <n v="27744"/>
    <d v="2010-08-03T00:00:00"/>
    <s v="Critical"/>
    <x v="481"/>
    <x v="16"/>
    <x v="1"/>
    <s v="Corporate"/>
    <x v="0"/>
    <x v="12"/>
    <n v="106.69"/>
    <n v="4.54"/>
  </r>
  <r>
    <n v="3883"/>
    <n v="27745"/>
    <d v="2010-09-20T00:00:00"/>
    <s v="Low"/>
    <x v="991"/>
    <x v="16"/>
    <x v="1"/>
    <s v="Home Office"/>
    <x v="1"/>
    <x v="3"/>
    <n v="6126.93"/>
    <n v="146.05000000000001"/>
  </r>
  <r>
    <n v="3884"/>
    <n v="27746"/>
    <d v="2010-12-04T00:00:00"/>
    <s v="Critical"/>
    <x v="1093"/>
    <x v="4"/>
    <x v="1"/>
    <s v="Consumer"/>
    <x v="1"/>
    <x v="2"/>
    <n v="87.09"/>
    <n v="29.34"/>
  </r>
  <r>
    <n v="3885"/>
    <n v="27746"/>
    <d v="2010-12-04T00:00:00"/>
    <s v="Critical"/>
    <x v="1093"/>
    <x v="4"/>
    <x v="1"/>
    <s v="Consumer"/>
    <x v="0"/>
    <x v="9"/>
    <n v="196.1"/>
    <n v="4.76"/>
  </r>
  <r>
    <n v="3886"/>
    <n v="27746"/>
    <d v="2010-12-04T00:00:00"/>
    <s v="Critical"/>
    <x v="90"/>
    <x v="27"/>
    <x v="3"/>
    <s v="Consumer"/>
    <x v="2"/>
    <x v="16"/>
    <n v="1540.77"/>
    <n v="499.99"/>
  </r>
  <r>
    <n v="3887"/>
    <n v="27750"/>
    <d v="2012-10-19T00:00:00"/>
    <s v="Low"/>
    <x v="1094"/>
    <x v="24"/>
    <x v="1"/>
    <s v="Small Business"/>
    <x v="1"/>
    <x v="11"/>
    <n v="769.17"/>
    <n v="58.14"/>
  </r>
  <r>
    <n v="3888"/>
    <n v="27750"/>
    <d v="2012-10-19T00:00:00"/>
    <s v="Low"/>
    <x v="1094"/>
    <x v="24"/>
    <x v="1"/>
    <s v="Small Business"/>
    <x v="2"/>
    <x v="16"/>
    <n v="7370.84"/>
    <n v="449.99"/>
  </r>
  <r>
    <n v="3889"/>
    <n v="27776"/>
    <d v="2010-05-04T00:00:00"/>
    <s v="Low"/>
    <x v="1095"/>
    <x v="29"/>
    <x v="2"/>
    <s v="Corporate"/>
    <x v="0"/>
    <x v="9"/>
    <n v="226.68"/>
    <n v="4.9800000000000004"/>
  </r>
  <r>
    <n v="3890"/>
    <n v="27778"/>
    <d v="2011-09-02T00:00:00"/>
    <s v="Critical"/>
    <x v="301"/>
    <x v="15"/>
    <x v="2"/>
    <s v="Corporate"/>
    <x v="2"/>
    <x v="16"/>
    <n v="6350.29"/>
    <n v="599.99"/>
  </r>
  <r>
    <n v="3891"/>
    <n v="27778"/>
    <d v="2011-09-02T00:00:00"/>
    <s v="Critical"/>
    <x v="1096"/>
    <x v="0"/>
    <x v="0"/>
    <s v="Corporate"/>
    <x v="0"/>
    <x v="12"/>
    <n v="232.67"/>
    <n v="223.98"/>
  </r>
  <r>
    <n v="3892"/>
    <n v="27778"/>
    <d v="2011-09-02T00:00:00"/>
    <s v="Critical"/>
    <x v="1096"/>
    <x v="0"/>
    <x v="0"/>
    <s v="Corporate"/>
    <x v="1"/>
    <x v="11"/>
    <n v="4805.92"/>
    <n v="140.97999999999999"/>
  </r>
  <r>
    <n v="3893"/>
    <n v="27780"/>
    <d v="2012-10-20T00:00:00"/>
    <s v="Critical"/>
    <x v="337"/>
    <x v="6"/>
    <x v="1"/>
    <s v="Small Business"/>
    <x v="0"/>
    <x v="8"/>
    <n v="56.41"/>
    <n v="3.08"/>
  </r>
  <r>
    <n v="3894"/>
    <n v="27780"/>
    <d v="2012-10-20T00:00:00"/>
    <s v="Critical"/>
    <x v="337"/>
    <x v="6"/>
    <x v="1"/>
    <s v="Small Business"/>
    <x v="0"/>
    <x v="1"/>
    <n v="147.71"/>
    <n v="3.68"/>
  </r>
  <r>
    <n v="3895"/>
    <n v="27780"/>
    <d v="2012-10-20T00:00:00"/>
    <s v="Critical"/>
    <x v="449"/>
    <x v="6"/>
    <x v="1"/>
    <s v="Small Business"/>
    <x v="2"/>
    <x v="5"/>
    <n v="1678.34"/>
    <n v="43.98"/>
  </r>
  <r>
    <n v="3896"/>
    <n v="27781"/>
    <d v="2011-09-15T00:00:00"/>
    <s v="High"/>
    <x v="795"/>
    <x v="22"/>
    <x v="0"/>
    <s v="Small Business"/>
    <x v="0"/>
    <x v="14"/>
    <n v="181.13"/>
    <n v="3.69"/>
  </r>
  <r>
    <n v="3897"/>
    <n v="27808"/>
    <d v="2010-01-26T00:00:00"/>
    <s v="Low"/>
    <x v="643"/>
    <x v="14"/>
    <x v="0"/>
    <s v="Consumer"/>
    <x v="2"/>
    <x v="5"/>
    <n v="196.12"/>
    <n v="20.89"/>
  </r>
  <r>
    <n v="3898"/>
    <n v="27810"/>
    <d v="2010-01-28T00:00:00"/>
    <s v="High"/>
    <x v="1097"/>
    <x v="18"/>
    <x v="2"/>
    <s v="Consumer"/>
    <x v="0"/>
    <x v="8"/>
    <n v="216.51"/>
    <n v="6.3"/>
  </r>
  <r>
    <n v="3899"/>
    <n v="27811"/>
    <d v="2011-03-04T00:00:00"/>
    <s v="Not Specified"/>
    <x v="1098"/>
    <x v="26"/>
    <x v="3"/>
    <s v="Small Business"/>
    <x v="0"/>
    <x v="12"/>
    <n v="197.59"/>
    <n v="6.81"/>
  </r>
  <r>
    <n v="3900"/>
    <n v="27811"/>
    <d v="2011-03-04T00:00:00"/>
    <s v="Not Specified"/>
    <x v="366"/>
    <x v="27"/>
    <x v="3"/>
    <s v="Small Business"/>
    <x v="0"/>
    <x v="12"/>
    <n v="73.900000000000006"/>
    <n v="15.99"/>
  </r>
  <r>
    <n v="3901"/>
    <n v="27813"/>
    <d v="2009-01-12T00:00:00"/>
    <s v="Medium"/>
    <x v="1095"/>
    <x v="29"/>
    <x v="2"/>
    <s v="Consumer"/>
    <x v="2"/>
    <x v="5"/>
    <n v="401.14"/>
    <n v="40.98"/>
  </r>
  <r>
    <n v="3902"/>
    <n v="27840"/>
    <d v="2009-07-03T00:00:00"/>
    <s v="High"/>
    <x v="809"/>
    <x v="33"/>
    <x v="0"/>
    <s v="Home Office"/>
    <x v="1"/>
    <x v="11"/>
    <n v="1209.3699999999999"/>
    <n v="150.97999999999999"/>
  </r>
  <r>
    <n v="3903"/>
    <n v="27841"/>
    <d v="2012-09-16T00:00:00"/>
    <s v="High"/>
    <x v="75"/>
    <x v="7"/>
    <x v="3"/>
    <s v="Corporate"/>
    <x v="0"/>
    <x v="6"/>
    <n v="67.849999999999994"/>
    <n v="2.1"/>
  </r>
  <r>
    <n v="3904"/>
    <n v="27843"/>
    <d v="2010-09-05T00:00:00"/>
    <s v="Medium"/>
    <x v="320"/>
    <x v="6"/>
    <x v="1"/>
    <s v="Home Office"/>
    <x v="2"/>
    <x v="5"/>
    <n v="139.61000000000001"/>
    <n v="4.8899999999999997"/>
  </r>
  <r>
    <n v="3905"/>
    <n v="27844"/>
    <d v="2011-06-29T00:00:00"/>
    <s v="Low"/>
    <x v="5"/>
    <x v="4"/>
    <x v="1"/>
    <s v="Home Office"/>
    <x v="0"/>
    <x v="12"/>
    <n v="11.08"/>
    <n v="5.8"/>
  </r>
  <r>
    <n v="3906"/>
    <n v="27844"/>
    <d v="2011-06-29T00:00:00"/>
    <s v="Low"/>
    <x v="569"/>
    <x v="10"/>
    <x v="0"/>
    <s v="Home Office"/>
    <x v="0"/>
    <x v="9"/>
    <n v="135.86000000000001"/>
    <n v="4.9800000000000004"/>
  </r>
  <r>
    <n v="3907"/>
    <n v="27845"/>
    <d v="2011-07-13T00:00:00"/>
    <s v="Not Specified"/>
    <x v="626"/>
    <x v="11"/>
    <x v="2"/>
    <s v="Small Business"/>
    <x v="0"/>
    <x v="8"/>
    <n v="220.45"/>
    <n v="6.3"/>
  </r>
  <r>
    <n v="3908"/>
    <n v="27872"/>
    <d v="2011-10-13T00:00:00"/>
    <s v="Not Specified"/>
    <x v="1099"/>
    <x v="24"/>
    <x v="1"/>
    <s v="Corporate"/>
    <x v="0"/>
    <x v="12"/>
    <n v="388.71"/>
    <n v="14.27"/>
  </r>
  <r>
    <n v="3909"/>
    <n v="27875"/>
    <d v="2010-03-26T00:00:00"/>
    <s v="Low"/>
    <x v="754"/>
    <x v="34"/>
    <x v="2"/>
    <s v="Consumer"/>
    <x v="0"/>
    <x v="13"/>
    <n v="64.97"/>
    <n v="3.48"/>
  </r>
  <r>
    <n v="3910"/>
    <n v="27876"/>
    <d v="2010-09-07T00:00:00"/>
    <s v="Low"/>
    <x v="1100"/>
    <x v="20"/>
    <x v="0"/>
    <s v="Corporate"/>
    <x v="0"/>
    <x v="6"/>
    <n v="777.63"/>
    <n v="16.989999999999998"/>
  </r>
  <r>
    <n v="3911"/>
    <n v="27879"/>
    <d v="2010-02-26T00:00:00"/>
    <s v="Medium"/>
    <x v="816"/>
    <x v="34"/>
    <x v="2"/>
    <s v="Small Business"/>
    <x v="0"/>
    <x v="14"/>
    <n v="669.01"/>
    <n v="15.74"/>
  </r>
  <r>
    <n v="3912"/>
    <n v="27879"/>
    <d v="2010-02-26T00:00:00"/>
    <s v="Medium"/>
    <x v="816"/>
    <x v="34"/>
    <x v="2"/>
    <s v="Small Business"/>
    <x v="1"/>
    <x v="2"/>
    <n v="301.60000000000002"/>
    <n v="9.65"/>
  </r>
  <r>
    <n v="3913"/>
    <n v="27904"/>
    <d v="2011-09-03T00:00:00"/>
    <s v="High"/>
    <x v="360"/>
    <x v="28"/>
    <x v="1"/>
    <s v="Consumer"/>
    <x v="2"/>
    <x v="4"/>
    <n v="460.58949999999999"/>
    <n v="65.989999999999995"/>
  </r>
  <r>
    <n v="3914"/>
    <n v="27909"/>
    <d v="2012-02-07T00:00:00"/>
    <s v="Critical"/>
    <x v="824"/>
    <x v="0"/>
    <x v="0"/>
    <s v="Corporate"/>
    <x v="0"/>
    <x v="9"/>
    <n v="62.26"/>
    <n v="54.96"/>
  </r>
  <r>
    <n v="3915"/>
    <n v="27909"/>
    <d v="2012-02-07T00:00:00"/>
    <s v="Critical"/>
    <x v="824"/>
    <x v="0"/>
    <x v="0"/>
    <s v="Corporate"/>
    <x v="0"/>
    <x v="7"/>
    <n v="58.53"/>
    <n v="1.26"/>
  </r>
  <r>
    <n v="3916"/>
    <n v="27936"/>
    <d v="2011-07-07T00:00:00"/>
    <s v="High"/>
    <x v="230"/>
    <x v="15"/>
    <x v="2"/>
    <s v="Consumer"/>
    <x v="2"/>
    <x v="4"/>
    <n v="1028.1600000000001"/>
    <n v="55.99"/>
  </r>
  <r>
    <n v="3917"/>
    <n v="27936"/>
    <d v="2011-07-07T00:00:00"/>
    <s v="High"/>
    <x v="465"/>
    <x v="16"/>
    <x v="1"/>
    <s v="Consumer"/>
    <x v="2"/>
    <x v="10"/>
    <n v="9172.32"/>
    <n v="3502.14"/>
  </r>
  <r>
    <n v="3918"/>
    <n v="27938"/>
    <d v="2009-05-05T00:00:00"/>
    <s v="Medium"/>
    <x v="410"/>
    <x v="13"/>
    <x v="3"/>
    <s v="Home Office"/>
    <x v="0"/>
    <x v="9"/>
    <n v="1233.51"/>
    <n v="30.98"/>
  </r>
  <r>
    <n v="3919"/>
    <n v="27939"/>
    <d v="2012-04-10T00:00:00"/>
    <s v="Medium"/>
    <x v="46"/>
    <x v="25"/>
    <x v="1"/>
    <s v="Corporate"/>
    <x v="0"/>
    <x v="9"/>
    <n v="60.17"/>
    <n v="6.68"/>
  </r>
  <r>
    <n v="3920"/>
    <n v="27969"/>
    <d v="2010-06-08T00:00:00"/>
    <s v="Low"/>
    <x v="1056"/>
    <x v="9"/>
    <x v="1"/>
    <s v="Home Office"/>
    <x v="1"/>
    <x v="11"/>
    <n v="5677.87"/>
    <n v="130.97999999999999"/>
  </r>
  <r>
    <n v="3921"/>
    <n v="27969"/>
    <d v="2010-06-08T00:00:00"/>
    <s v="Low"/>
    <x v="1056"/>
    <x v="9"/>
    <x v="1"/>
    <s v="Home Office"/>
    <x v="2"/>
    <x v="5"/>
    <n v="732.72"/>
    <n v="83.1"/>
  </r>
  <r>
    <n v="3922"/>
    <n v="27969"/>
    <d v="2010-06-08T00:00:00"/>
    <s v="Low"/>
    <x v="1056"/>
    <x v="9"/>
    <x v="1"/>
    <s v="Home Office"/>
    <x v="0"/>
    <x v="0"/>
    <n v="687.47"/>
    <n v="20.98"/>
  </r>
  <r>
    <n v="3923"/>
    <n v="27974"/>
    <d v="2010-10-07T00:00:00"/>
    <s v="High"/>
    <x v="504"/>
    <x v="27"/>
    <x v="3"/>
    <s v="Home Office"/>
    <x v="1"/>
    <x v="15"/>
    <n v="897.42"/>
    <n v="26.64"/>
  </r>
  <r>
    <n v="3924"/>
    <n v="27974"/>
    <d v="2010-10-07T00:00:00"/>
    <s v="High"/>
    <x v="504"/>
    <x v="27"/>
    <x v="3"/>
    <s v="Home Office"/>
    <x v="1"/>
    <x v="2"/>
    <n v="306.02"/>
    <n v="12.07"/>
  </r>
  <r>
    <n v="3925"/>
    <n v="27974"/>
    <d v="2010-10-07T00:00:00"/>
    <s v="High"/>
    <x v="237"/>
    <x v="28"/>
    <x v="1"/>
    <s v="Home Office"/>
    <x v="2"/>
    <x v="5"/>
    <n v="813.41"/>
    <n v="28.48"/>
  </r>
  <r>
    <n v="3926"/>
    <n v="28001"/>
    <d v="2009-06-14T00:00:00"/>
    <s v="Critical"/>
    <x v="499"/>
    <x v="40"/>
    <x v="3"/>
    <s v="Home Office"/>
    <x v="1"/>
    <x v="2"/>
    <n v="8958.4599999999991"/>
    <n v="209.84"/>
  </r>
  <r>
    <n v="3927"/>
    <n v="28001"/>
    <d v="2009-06-14T00:00:00"/>
    <s v="Critical"/>
    <x v="743"/>
    <x v="19"/>
    <x v="3"/>
    <s v="Home Office"/>
    <x v="1"/>
    <x v="2"/>
    <n v="4201.08"/>
    <n v="194.3"/>
  </r>
  <r>
    <n v="3928"/>
    <n v="28002"/>
    <d v="2009-10-10T00:00:00"/>
    <s v="Critical"/>
    <x v="546"/>
    <x v="23"/>
    <x v="3"/>
    <s v="Home Office"/>
    <x v="0"/>
    <x v="9"/>
    <n v="43.55"/>
    <n v="9.11"/>
  </r>
  <r>
    <n v="3929"/>
    <n v="28003"/>
    <d v="2011-03-19T00:00:00"/>
    <s v="Critical"/>
    <x v="994"/>
    <x v="0"/>
    <x v="0"/>
    <s v="Corporate"/>
    <x v="0"/>
    <x v="9"/>
    <n v="157.79"/>
    <n v="4.9800000000000004"/>
  </r>
  <r>
    <n v="3930"/>
    <n v="28007"/>
    <d v="2010-04-08T00:00:00"/>
    <s v="Not Specified"/>
    <x v="1087"/>
    <x v="16"/>
    <x v="1"/>
    <s v="Small Business"/>
    <x v="0"/>
    <x v="13"/>
    <n v="128.97"/>
    <n v="3.48"/>
  </r>
  <r>
    <n v="3931"/>
    <n v="28007"/>
    <d v="2010-04-08T00:00:00"/>
    <s v="Not Specified"/>
    <x v="1087"/>
    <x v="16"/>
    <x v="1"/>
    <s v="Small Business"/>
    <x v="0"/>
    <x v="6"/>
    <n v="238.77"/>
    <n v="11.66"/>
  </r>
  <r>
    <n v="3932"/>
    <n v="28007"/>
    <d v="2010-04-08T00:00:00"/>
    <s v="Not Specified"/>
    <x v="1087"/>
    <x v="16"/>
    <x v="1"/>
    <s v="Small Business"/>
    <x v="0"/>
    <x v="1"/>
    <n v="257.33999999999997"/>
    <n v="12.98"/>
  </r>
  <r>
    <n v="3933"/>
    <n v="28033"/>
    <d v="2010-09-14T00:00:00"/>
    <s v="High"/>
    <x v="655"/>
    <x v="5"/>
    <x v="0"/>
    <s v="Corporate"/>
    <x v="1"/>
    <x v="15"/>
    <n v="2826.9"/>
    <n v="180.98"/>
  </r>
  <r>
    <n v="3934"/>
    <n v="28033"/>
    <d v="2010-09-14T00:00:00"/>
    <s v="High"/>
    <x v="655"/>
    <x v="5"/>
    <x v="0"/>
    <s v="Corporate"/>
    <x v="1"/>
    <x v="15"/>
    <n v="7834.77"/>
    <n v="216.6"/>
  </r>
  <r>
    <n v="3935"/>
    <n v="28033"/>
    <d v="2010-09-14T00:00:00"/>
    <s v="High"/>
    <x v="655"/>
    <x v="5"/>
    <x v="0"/>
    <s v="Corporate"/>
    <x v="2"/>
    <x v="5"/>
    <n v="127.56"/>
    <n v="6.6"/>
  </r>
  <r>
    <n v="3936"/>
    <n v="28035"/>
    <d v="2011-05-08T00:00:00"/>
    <s v="Not Specified"/>
    <x v="262"/>
    <x v="0"/>
    <x v="0"/>
    <s v="Home Office"/>
    <x v="0"/>
    <x v="12"/>
    <n v="376.21"/>
    <n v="18.989999999999998"/>
  </r>
  <r>
    <n v="3937"/>
    <n v="28037"/>
    <d v="2009-12-12T00:00:00"/>
    <s v="High"/>
    <x v="1101"/>
    <x v="2"/>
    <x v="2"/>
    <s v="Corporate"/>
    <x v="0"/>
    <x v="9"/>
    <n v="203.53"/>
    <n v="6.68"/>
  </r>
  <r>
    <n v="3938"/>
    <n v="28064"/>
    <d v="2010-09-02T00:00:00"/>
    <s v="Medium"/>
    <x v="1072"/>
    <x v="26"/>
    <x v="3"/>
    <s v="Home Office"/>
    <x v="0"/>
    <x v="6"/>
    <n v="856.45"/>
    <n v="19.84"/>
  </r>
  <r>
    <n v="3939"/>
    <n v="28064"/>
    <d v="2010-09-02T00:00:00"/>
    <s v="Medium"/>
    <x v="1072"/>
    <x v="26"/>
    <x v="3"/>
    <s v="Home Office"/>
    <x v="0"/>
    <x v="6"/>
    <n v="6.75"/>
    <n v="5.84"/>
  </r>
  <r>
    <n v="3940"/>
    <n v="28068"/>
    <d v="2010-08-26T00:00:00"/>
    <s v="Low"/>
    <x v="1023"/>
    <x v="3"/>
    <x v="0"/>
    <s v="Corporate"/>
    <x v="2"/>
    <x v="5"/>
    <n v="631.99"/>
    <n v="27.48"/>
  </r>
  <r>
    <n v="3941"/>
    <n v="28069"/>
    <d v="2009-05-21T00:00:00"/>
    <s v="Low"/>
    <x v="687"/>
    <x v="1"/>
    <x v="1"/>
    <s v="Small Business"/>
    <x v="0"/>
    <x v="9"/>
    <n v="10.17"/>
    <n v="5.18"/>
  </r>
  <r>
    <n v="3942"/>
    <n v="28069"/>
    <d v="2009-05-21T00:00:00"/>
    <s v="Low"/>
    <x v="687"/>
    <x v="1"/>
    <x v="1"/>
    <s v="Small Business"/>
    <x v="0"/>
    <x v="6"/>
    <n v="23.58"/>
    <n v="5.84"/>
  </r>
  <r>
    <n v="3943"/>
    <n v="28097"/>
    <d v="2009-05-13T00:00:00"/>
    <s v="Medium"/>
    <x v="664"/>
    <x v="4"/>
    <x v="1"/>
    <s v="Home Office"/>
    <x v="1"/>
    <x v="2"/>
    <n v="2438.6999999999998"/>
    <n v="55.5"/>
  </r>
  <r>
    <n v="3944"/>
    <n v="28129"/>
    <d v="2012-01-26T00:00:00"/>
    <s v="Medium"/>
    <x v="865"/>
    <x v="16"/>
    <x v="1"/>
    <s v="Small Business"/>
    <x v="0"/>
    <x v="9"/>
    <n v="107.41"/>
    <n v="19.98"/>
  </r>
  <r>
    <n v="3945"/>
    <n v="28130"/>
    <d v="2009-07-30T00:00:00"/>
    <s v="Low"/>
    <x v="232"/>
    <x v="33"/>
    <x v="0"/>
    <s v="Corporate"/>
    <x v="0"/>
    <x v="12"/>
    <n v="404.24"/>
    <n v="15.99"/>
  </r>
  <r>
    <n v="3946"/>
    <n v="28130"/>
    <d v="2009-07-30T00:00:00"/>
    <s v="Low"/>
    <x v="232"/>
    <x v="33"/>
    <x v="0"/>
    <s v="Corporate"/>
    <x v="1"/>
    <x v="2"/>
    <n v="1381.88"/>
    <n v="46.94"/>
  </r>
  <r>
    <n v="3947"/>
    <n v="28135"/>
    <d v="2009-09-25T00:00:00"/>
    <s v="Critical"/>
    <x v="1097"/>
    <x v="0"/>
    <x v="0"/>
    <s v="Corporate"/>
    <x v="0"/>
    <x v="13"/>
    <n v="1601.24"/>
    <n v="46.89"/>
  </r>
  <r>
    <n v="3948"/>
    <n v="28135"/>
    <d v="2009-09-25T00:00:00"/>
    <s v="Critical"/>
    <x v="1097"/>
    <x v="0"/>
    <x v="0"/>
    <s v="Corporate"/>
    <x v="0"/>
    <x v="1"/>
    <n v="501.31"/>
    <n v="12.98"/>
  </r>
  <r>
    <n v="3949"/>
    <n v="28161"/>
    <d v="2009-06-15T00:00:00"/>
    <s v="Not Specified"/>
    <x v="1102"/>
    <x v="12"/>
    <x v="3"/>
    <s v="Consumer"/>
    <x v="1"/>
    <x v="11"/>
    <n v="784.08"/>
    <n v="70.98"/>
  </r>
  <r>
    <n v="3950"/>
    <n v="28161"/>
    <d v="2009-06-15T00:00:00"/>
    <s v="Not Specified"/>
    <x v="673"/>
    <x v="19"/>
    <x v="3"/>
    <s v="Consumer"/>
    <x v="1"/>
    <x v="15"/>
    <n v="5028.3100000000004"/>
    <n v="350.98"/>
  </r>
  <r>
    <n v="3951"/>
    <n v="28161"/>
    <d v="2009-06-15T00:00:00"/>
    <s v="Not Specified"/>
    <x v="1103"/>
    <x v="12"/>
    <x v="3"/>
    <s v="Consumer"/>
    <x v="2"/>
    <x v="5"/>
    <n v="1085.6099999999999"/>
    <n v="27.48"/>
  </r>
  <r>
    <n v="3952"/>
    <n v="28165"/>
    <d v="2012-07-09T00:00:00"/>
    <s v="Not Specified"/>
    <x v="555"/>
    <x v="0"/>
    <x v="0"/>
    <s v="Corporate"/>
    <x v="0"/>
    <x v="12"/>
    <n v="24.96"/>
    <n v="10.91"/>
  </r>
  <r>
    <n v="3953"/>
    <n v="28198"/>
    <d v="2012-02-08T00:00:00"/>
    <s v="Medium"/>
    <x v="198"/>
    <x v="34"/>
    <x v="2"/>
    <s v="Consumer"/>
    <x v="2"/>
    <x v="4"/>
    <n v="7703.9664999999995"/>
    <n v="175.99"/>
  </r>
  <r>
    <n v="3954"/>
    <n v="28224"/>
    <d v="2012-12-19T00:00:00"/>
    <s v="Critical"/>
    <x v="183"/>
    <x v="16"/>
    <x v="1"/>
    <s v="Corporate"/>
    <x v="0"/>
    <x v="12"/>
    <n v="163.41"/>
    <n v="6.23"/>
  </r>
  <r>
    <n v="3955"/>
    <n v="28225"/>
    <d v="2009-01-22T00:00:00"/>
    <s v="Critical"/>
    <x v="669"/>
    <x v="26"/>
    <x v="3"/>
    <s v="Corporate"/>
    <x v="0"/>
    <x v="0"/>
    <n v="1160.5899999999999"/>
    <n v="80.98"/>
  </r>
  <r>
    <n v="3956"/>
    <n v="28225"/>
    <d v="2009-01-22T00:00:00"/>
    <s v="Critical"/>
    <x v="755"/>
    <x v="22"/>
    <x v="0"/>
    <s v="Corporate"/>
    <x v="1"/>
    <x v="2"/>
    <n v="206.04"/>
    <n v="20.28"/>
  </r>
  <r>
    <n v="3957"/>
    <n v="28228"/>
    <d v="2012-07-11T00:00:00"/>
    <s v="Not Specified"/>
    <x v="519"/>
    <x v="15"/>
    <x v="2"/>
    <s v="Small Business"/>
    <x v="0"/>
    <x v="14"/>
    <n v="346.23"/>
    <n v="60.98"/>
  </r>
  <r>
    <n v="3958"/>
    <n v="28256"/>
    <d v="2009-02-23T00:00:00"/>
    <s v="High"/>
    <x v="203"/>
    <x v="29"/>
    <x v="2"/>
    <s v="Corporate"/>
    <x v="0"/>
    <x v="0"/>
    <n v="467.4"/>
    <n v="20.98"/>
  </r>
  <r>
    <n v="3959"/>
    <n v="28258"/>
    <d v="2009-03-13T00:00:00"/>
    <s v="Critical"/>
    <x v="773"/>
    <x v="26"/>
    <x v="3"/>
    <s v="Home Office"/>
    <x v="2"/>
    <x v="4"/>
    <n v="201.178"/>
    <n v="125.99"/>
  </r>
  <r>
    <n v="3960"/>
    <n v="28258"/>
    <d v="2009-03-13T00:00:00"/>
    <s v="Critical"/>
    <x v="646"/>
    <x v="26"/>
    <x v="3"/>
    <s v="Home Office"/>
    <x v="2"/>
    <x v="5"/>
    <n v="2493.2399999999998"/>
    <n v="99.99"/>
  </r>
  <r>
    <n v="3961"/>
    <n v="28259"/>
    <d v="2009-11-04T00:00:00"/>
    <s v="High"/>
    <x v="395"/>
    <x v="15"/>
    <x v="2"/>
    <s v="Consumer"/>
    <x v="2"/>
    <x v="5"/>
    <n v="249.24"/>
    <n v="10.97"/>
  </r>
  <r>
    <n v="3962"/>
    <n v="28262"/>
    <d v="2010-12-31T00:00:00"/>
    <s v="Medium"/>
    <x v="288"/>
    <x v="4"/>
    <x v="1"/>
    <s v="Small Business"/>
    <x v="0"/>
    <x v="9"/>
    <n v="299.11"/>
    <n v="11.34"/>
  </r>
  <r>
    <n v="3963"/>
    <n v="28289"/>
    <d v="2010-01-14T00:00:00"/>
    <s v="High"/>
    <x v="60"/>
    <x v="0"/>
    <x v="0"/>
    <s v="Corporate"/>
    <x v="0"/>
    <x v="9"/>
    <n v="166.76"/>
    <n v="4.9800000000000004"/>
  </r>
  <r>
    <n v="3964"/>
    <n v="28290"/>
    <d v="2009-01-10T00:00:00"/>
    <s v="Low"/>
    <x v="1104"/>
    <x v="33"/>
    <x v="0"/>
    <s v="Home Office"/>
    <x v="2"/>
    <x v="5"/>
    <n v="1307.3499999999999"/>
    <n v="30.42"/>
  </r>
  <r>
    <n v="3965"/>
    <n v="28290"/>
    <d v="2009-01-10T00:00:00"/>
    <s v="Low"/>
    <x v="1104"/>
    <x v="33"/>
    <x v="0"/>
    <s v="Home Office"/>
    <x v="0"/>
    <x v="0"/>
    <n v="523.58000000000004"/>
    <n v="161.55000000000001"/>
  </r>
  <r>
    <n v="3966"/>
    <n v="28291"/>
    <d v="2009-03-04T00:00:00"/>
    <s v="Critical"/>
    <x v="402"/>
    <x v="44"/>
    <x v="2"/>
    <s v="Consumer"/>
    <x v="1"/>
    <x v="15"/>
    <n v="3950.6"/>
    <n v="280.98"/>
  </r>
  <r>
    <n v="3967"/>
    <n v="28294"/>
    <d v="2012-05-22T00:00:00"/>
    <s v="High"/>
    <x v="1066"/>
    <x v="2"/>
    <x v="2"/>
    <s v="Corporate"/>
    <x v="0"/>
    <x v="7"/>
    <n v="63.47"/>
    <n v="1.26"/>
  </r>
  <r>
    <n v="3968"/>
    <n v="28321"/>
    <d v="2010-08-01T00:00:00"/>
    <s v="Medium"/>
    <x v="993"/>
    <x v="26"/>
    <x v="3"/>
    <s v="Consumer"/>
    <x v="0"/>
    <x v="8"/>
    <n v="90.5"/>
    <n v="3.08"/>
  </r>
  <r>
    <n v="3969"/>
    <n v="28324"/>
    <d v="2011-08-07T00:00:00"/>
    <s v="High"/>
    <x v="1065"/>
    <x v="5"/>
    <x v="0"/>
    <s v="Small Business"/>
    <x v="0"/>
    <x v="13"/>
    <n v="385.99"/>
    <n v="8.67"/>
  </r>
  <r>
    <n v="3970"/>
    <n v="28354"/>
    <d v="2009-03-27T00:00:00"/>
    <s v="Low"/>
    <x v="732"/>
    <x v="16"/>
    <x v="1"/>
    <s v="Corporate"/>
    <x v="2"/>
    <x v="5"/>
    <n v="507.66"/>
    <n v="15.98"/>
  </r>
  <r>
    <n v="3971"/>
    <n v="28357"/>
    <d v="2010-05-21T00:00:00"/>
    <s v="Not Specified"/>
    <x v="727"/>
    <x v="46"/>
    <x v="1"/>
    <s v="Home Office"/>
    <x v="0"/>
    <x v="12"/>
    <n v="390.46"/>
    <n v="7.3"/>
  </r>
  <r>
    <n v="3972"/>
    <n v="28357"/>
    <d v="2010-05-21T00:00:00"/>
    <s v="Not Specified"/>
    <x v="727"/>
    <x v="46"/>
    <x v="1"/>
    <s v="Home Office"/>
    <x v="0"/>
    <x v="7"/>
    <n v="113.43"/>
    <n v="2.4700000000000002"/>
  </r>
  <r>
    <n v="3973"/>
    <n v="28387"/>
    <d v="2012-06-29T00:00:00"/>
    <s v="Not Specified"/>
    <x v="534"/>
    <x v="16"/>
    <x v="1"/>
    <s v="Consumer"/>
    <x v="0"/>
    <x v="14"/>
    <n v="3212.97"/>
    <n v="83.93"/>
  </r>
  <r>
    <n v="3974"/>
    <n v="28387"/>
    <d v="2012-06-29T00:00:00"/>
    <s v="Not Specified"/>
    <x v="534"/>
    <x v="16"/>
    <x v="1"/>
    <s v="Consumer"/>
    <x v="0"/>
    <x v="9"/>
    <n v="292.95"/>
    <n v="22.84"/>
  </r>
  <r>
    <n v="3975"/>
    <n v="28389"/>
    <d v="2009-11-03T00:00:00"/>
    <s v="High"/>
    <x v="1035"/>
    <x v="22"/>
    <x v="0"/>
    <s v="Home Office"/>
    <x v="1"/>
    <x v="2"/>
    <n v="668.39"/>
    <n v="30.93"/>
  </r>
  <r>
    <n v="3976"/>
    <n v="28389"/>
    <d v="2009-11-03T00:00:00"/>
    <s v="High"/>
    <x v="1035"/>
    <x v="22"/>
    <x v="0"/>
    <s v="Home Office"/>
    <x v="2"/>
    <x v="10"/>
    <n v="4657.3500000000004"/>
    <n v="297.48"/>
  </r>
  <r>
    <n v="3977"/>
    <n v="28389"/>
    <d v="2009-11-03T00:00:00"/>
    <s v="High"/>
    <x v="1035"/>
    <x v="22"/>
    <x v="0"/>
    <s v="Home Office"/>
    <x v="1"/>
    <x v="3"/>
    <n v="2097.94"/>
    <n v="296.18"/>
  </r>
  <r>
    <n v="3978"/>
    <n v="28390"/>
    <d v="2012-02-07T00:00:00"/>
    <s v="High"/>
    <x v="1008"/>
    <x v="23"/>
    <x v="3"/>
    <s v="Small Business"/>
    <x v="1"/>
    <x v="2"/>
    <n v="809.77"/>
    <n v="20.28"/>
  </r>
  <r>
    <n v="3979"/>
    <n v="28419"/>
    <d v="2009-10-31T00:00:00"/>
    <s v="Low"/>
    <x v="1105"/>
    <x v="15"/>
    <x v="2"/>
    <s v="Consumer"/>
    <x v="0"/>
    <x v="0"/>
    <n v="133.85"/>
    <n v="13.48"/>
  </r>
  <r>
    <n v="3980"/>
    <n v="28420"/>
    <d v="2009-09-24T00:00:00"/>
    <s v="Low"/>
    <x v="1106"/>
    <x v="38"/>
    <x v="0"/>
    <s v="Corporate"/>
    <x v="0"/>
    <x v="14"/>
    <n v="45.64"/>
    <n v="15.57"/>
  </r>
  <r>
    <n v="3981"/>
    <n v="28451"/>
    <d v="2009-01-05T00:00:00"/>
    <s v="Critical"/>
    <x v="913"/>
    <x v="10"/>
    <x v="0"/>
    <s v="Small Business"/>
    <x v="1"/>
    <x v="2"/>
    <n v="4201.08"/>
    <n v="194.3"/>
  </r>
  <r>
    <n v="3982"/>
    <n v="28451"/>
    <d v="2009-01-05T00:00:00"/>
    <s v="Critical"/>
    <x v="913"/>
    <x v="10"/>
    <x v="0"/>
    <s v="Small Business"/>
    <x v="1"/>
    <x v="2"/>
    <n v="8958.4599999999991"/>
    <n v="209.84"/>
  </r>
  <r>
    <n v="3983"/>
    <n v="28451"/>
    <d v="2009-01-05T00:00:00"/>
    <s v="Critical"/>
    <x v="913"/>
    <x v="10"/>
    <x v="0"/>
    <s v="Small Business"/>
    <x v="2"/>
    <x v="10"/>
    <n v="4913.7"/>
    <n v="145.44999999999999"/>
  </r>
  <r>
    <n v="3984"/>
    <n v="28453"/>
    <d v="2012-12-28T00:00:00"/>
    <s v="Critical"/>
    <x v="395"/>
    <x v="2"/>
    <x v="2"/>
    <s v="Home Office"/>
    <x v="0"/>
    <x v="13"/>
    <n v="560.03"/>
    <n v="21.66"/>
  </r>
  <r>
    <n v="3985"/>
    <n v="28454"/>
    <d v="2012-08-06T00:00:00"/>
    <s v="Medium"/>
    <x v="819"/>
    <x v="26"/>
    <x v="3"/>
    <s v="Corporate"/>
    <x v="0"/>
    <x v="9"/>
    <n v="157.4"/>
    <n v="6.48"/>
  </r>
  <r>
    <n v="3986"/>
    <n v="28455"/>
    <d v="2010-05-30T00:00:00"/>
    <s v="Medium"/>
    <x v="640"/>
    <x v="44"/>
    <x v="2"/>
    <s v="Small Business"/>
    <x v="2"/>
    <x v="5"/>
    <n v="254.12"/>
    <n v="20.95"/>
  </r>
  <r>
    <n v="3987"/>
    <n v="28455"/>
    <d v="2010-05-30T00:00:00"/>
    <s v="Medium"/>
    <x v="640"/>
    <x v="44"/>
    <x v="2"/>
    <s v="Small Business"/>
    <x v="2"/>
    <x v="5"/>
    <n v="767.04"/>
    <n v="20.89"/>
  </r>
  <r>
    <n v="3988"/>
    <n v="28480"/>
    <d v="2009-03-15T00:00:00"/>
    <s v="Medium"/>
    <x v="941"/>
    <x v="17"/>
    <x v="0"/>
    <s v="Corporate"/>
    <x v="0"/>
    <x v="6"/>
    <n v="30.62"/>
    <n v="1.76"/>
  </r>
  <r>
    <n v="3989"/>
    <n v="28482"/>
    <d v="2010-03-08T00:00:00"/>
    <s v="Critical"/>
    <x v="49"/>
    <x v="10"/>
    <x v="0"/>
    <s v="Home Office"/>
    <x v="1"/>
    <x v="2"/>
    <n v="119.63"/>
    <n v="5.08"/>
  </r>
  <r>
    <n v="3990"/>
    <n v="28482"/>
    <d v="2010-03-08T00:00:00"/>
    <s v="Critical"/>
    <x v="49"/>
    <x v="10"/>
    <x v="0"/>
    <s v="Home Office"/>
    <x v="0"/>
    <x v="9"/>
    <n v="177.92"/>
    <n v="4.28"/>
  </r>
  <r>
    <n v="3991"/>
    <n v="28485"/>
    <d v="2012-01-12T00:00:00"/>
    <s v="High"/>
    <x v="759"/>
    <x v="16"/>
    <x v="1"/>
    <s v="Consumer"/>
    <x v="0"/>
    <x v="6"/>
    <n v="49.18"/>
    <n v="4.28"/>
  </r>
  <r>
    <n v="3992"/>
    <n v="28486"/>
    <d v="2009-08-26T00:00:00"/>
    <s v="High"/>
    <x v="1107"/>
    <x v="0"/>
    <x v="0"/>
    <s v="Corporate"/>
    <x v="0"/>
    <x v="0"/>
    <n v="811.13"/>
    <n v="415.88"/>
  </r>
  <r>
    <n v="3993"/>
    <n v="28512"/>
    <d v="2010-04-27T00:00:00"/>
    <s v="Medium"/>
    <x v="1066"/>
    <x v="2"/>
    <x v="2"/>
    <s v="Corporate"/>
    <x v="2"/>
    <x v="5"/>
    <n v="323.91000000000003"/>
    <n v="30.73"/>
  </r>
  <r>
    <n v="3994"/>
    <n v="28512"/>
    <d v="2010-04-27T00:00:00"/>
    <s v="Medium"/>
    <x v="1066"/>
    <x v="2"/>
    <x v="2"/>
    <s v="Corporate"/>
    <x v="0"/>
    <x v="9"/>
    <n v="185.59"/>
    <n v="19.98"/>
  </r>
  <r>
    <n v="3995"/>
    <n v="28512"/>
    <d v="2010-04-27T00:00:00"/>
    <s v="Medium"/>
    <x v="1066"/>
    <x v="2"/>
    <x v="2"/>
    <s v="Corporate"/>
    <x v="0"/>
    <x v="0"/>
    <n v="7168.15"/>
    <n v="419.19"/>
  </r>
  <r>
    <n v="3996"/>
    <n v="28515"/>
    <d v="2010-06-30T00:00:00"/>
    <s v="High"/>
    <x v="296"/>
    <x v="13"/>
    <x v="3"/>
    <s v="Corporate"/>
    <x v="2"/>
    <x v="5"/>
    <n v="379.78"/>
    <n v="8.32"/>
  </r>
  <r>
    <n v="3997"/>
    <n v="28515"/>
    <d v="2010-06-30T00:00:00"/>
    <s v="High"/>
    <x v="868"/>
    <x v="35"/>
    <x v="3"/>
    <s v="Corporate"/>
    <x v="0"/>
    <x v="12"/>
    <n v="750.86"/>
    <n v="21.38"/>
  </r>
  <r>
    <n v="3998"/>
    <n v="28519"/>
    <d v="2010-06-22T00:00:00"/>
    <s v="High"/>
    <x v="111"/>
    <x v="4"/>
    <x v="1"/>
    <s v="Consumer"/>
    <x v="2"/>
    <x v="4"/>
    <n v="268.71049999999997"/>
    <n v="85.99"/>
  </r>
  <r>
    <n v="3999"/>
    <n v="28544"/>
    <d v="2012-08-28T00:00:00"/>
    <s v="Critical"/>
    <x v="1039"/>
    <x v="25"/>
    <x v="1"/>
    <s v="Consumer"/>
    <x v="0"/>
    <x v="12"/>
    <n v="68.5"/>
    <n v="2.78"/>
  </r>
  <r>
    <n v="4000"/>
    <n v="28545"/>
    <d v="2011-08-23T00:00:00"/>
    <s v="High"/>
    <x v="357"/>
    <x v="21"/>
    <x v="2"/>
    <s v="Home Office"/>
    <x v="0"/>
    <x v="13"/>
    <n v="5296.19"/>
    <n v="363.25"/>
  </r>
  <r>
    <n v="4001"/>
    <n v="28550"/>
    <d v="2011-03-20T00:00:00"/>
    <s v="Not Specified"/>
    <x v="591"/>
    <x v="29"/>
    <x v="2"/>
    <s v="Corporate"/>
    <x v="2"/>
    <x v="10"/>
    <n v="21532.26"/>
    <n v="500.97"/>
  </r>
  <r>
    <n v="4002"/>
    <n v="28550"/>
    <d v="2011-03-20T00:00:00"/>
    <s v="Not Specified"/>
    <x v="591"/>
    <x v="29"/>
    <x v="2"/>
    <s v="Corporate"/>
    <x v="0"/>
    <x v="9"/>
    <n v="7.64"/>
    <n v="4.76"/>
  </r>
  <r>
    <n v="4003"/>
    <n v="28581"/>
    <d v="2011-12-07T00:00:00"/>
    <s v="Medium"/>
    <x v="926"/>
    <x v="7"/>
    <x v="3"/>
    <s v="Home Office"/>
    <x v="0"/>
    <x v="12"/>
    <n v="36.4"/>
    <n v="24.92"/>
  </r>
  <r>
    <n v="4004"/>
    <n v="28581"/>
    <d v="2011-12-07T00:00:00"/>
    <s v="Medium"/>
    <x v="926"/>
    <x v="7"/>
    <x v="3"/>
    <s v="Home Office"/>
    <x v="0"/>
    <x v="9"/>
    <n v="176.35"/>
    <n v="4.9800000000000004"/>
  </r>
  <r>
    <n v="4005"/>
    <n v="28582"/>
    <d v="2012-01-22T00:00:00"/>
    <s v="Not Specified"/>
    <x v="1108"/>
    <x v="20"/>
    <x v="0"/>
    <s v="Home Office"/>
    <x v="2"/>
    <x v="5"/>
    <n v="1500.17"/>
    <n v="39.24"/>
  </r>
  <r>
    <n v="4006"/>
    <n v="28582"/>
    <d v="2012-01-22T00:00:00"/>
    <s v="Not Specified"/>
    <x v="1108"/>
    <x v="20"/>
    <x v="0"/>
    <s v="Home Office"/>
    <x v="0"/>
    <x v="9"/>
    <n v="377.31"/>
    <n v="8.01"/>
  </r>
  <r>
    <n v="4007"/>
    <n v="28583"/>
    <d v="2009-11-12T00:00:00"/>
    <s v="Critical"/>
    <x v="1109"/>
    <x v="34"/>
    <x v="2"/>
    <s v="Small Business"/>
    <x v="0"/>
    <x v="12"/>
    <n v="5811.72"/>
    <n v="223.98"/>
  </r>
  <r>
    <n v="4008"/>
    <n v="28611"/>
    <d v="2012-12-27T00:00:00"/>
    <s v="Low"/>
    <x v="763"/>
    <x v="7"/>
    <x v="3"/>
    <s v="Consumer"/>
    <x v="0"/>
    <x v="12"/>
    <n v="15337.58"/>
    <n v="525.98"/>
  </r>
  <r>
    <n v="4009"/>
    <n v="28611"/>
    <d v="2012-12-27T00:00:00"/>
    <s v="Low"/>
    <x v="763"/>
    <x v="7"/>
    <x v="3"/>
    <s v="Consumer"/>
    <x v="2"/>
    <x v="4"/>
    <n v="3883.4714999999997"/>
    <n v="115.99"/>
  </r>
  <r>
    <n v="4010"/>
    <n v="28614"/>
    <d v="2009-10-19T00:00:00"/>
    <s v="Critical"/>
    <x v="41"/>
    <x v="15"/>
    <x v="2"/>
    <s v="Consumer"/>
    <x v="2"/>
    <x v="5"/>
    <n v="7827.51"/>
    <n v="159.99"/>
  </r>
  <r>
    <n v="4011"/>
    <n v="28641"/>
    <d v="2011-10-12T00:00:00"/>
    <s v="Not Specified"/>
    <x v="251"/>
    <x v="2"/>
    <x v="2"/>
    <s v="Home Office"/>
    <x v="2"/>
    <x v="5"/>
    <n v="278.64999999999998"/>
    <n v="8.32"/>
  </r>
  <r>
    <n v="4012"/>
    <n v="28642"/>
    <d v="2011-01-18T00:00:00"/>
    <s v="High"/>
    <x v="913"/>
    <x v="10"/>
    <x v="0"/>
    <s v="Corporate"/>
    <x v="0"/>
    <x v="12"/>
    <n v="230.29"/>
    <n v="5.28"/>
  </r>
  <r>
    <n v="4013"/>
    <n v="28642"/>
    <d v="2011-01-18T00:00:00"/>
    <s v="High"/>
    <x v="913"/>
    <x v="10"/>
    <x v="0"/>
    <s v="Corporate"/>
    <x v="2"/>
    <x v="4"/>
    <n v="1592.0415"/>
    <n v="65.989999999999995"/>
  </r>
  <r>
    <n v="4014"/>
    <n v="28643"/>
    <d v="2010-04-27T00:00:00"/>
    <s v="Not Specified"/>
    <x v="577"/>
    <x v="16"/>
    <x v="1"/>
    <s v="Consumer"/>
    <x v="0"/>
    <x v="12"/>
    <n v="659.5"/>
    <n v="41.94"/>
  </r>
  <r>
    <n v="4015"/>
    <n v="28647"/>
    <d v="2009-03-14T00:00:00"/>
    <s v="Critical"/>
    <x v="926"/>
    <x v="7"/>
    <x v="3"/>
    <s v="Corporate"/>
    <x v="1"/>
    <x v="3"/>
    <n v="5679.59"/>
    <n v="154.13"/>
  </r>
  <r>
    <n v="4016"/>
    <n v="28674"/>
    <d v="2011-08-15T00:00:00"/>
    <s v="High"/>
    <x v="301"/>
    <x v="18"/>
    <x v="2"/>
    <s v="Home Office"/>
    <x v="0"/>
    <x v="9"/>
    <n v="161.96"/>
    <n v="5.78"/>
  </r>
  <r>
    <n v="4017"/>
    <n v="28675"/>
    <d v="2009-10-08T00:00:00"/>
    <s v="Critical"/>
    <x v="440"/>
    <x v="0"/>
    <x v="0"/>
    <s v="Consumer"/>
    <x v="2"/>
    <x v="4"/>
    <n v="822.84249999999997"/>
    <n v="65.989999999999995"/>
  </r>
  <r>
    <n v="4018"/>
    <n v="28736"/>
    <d v="2009-04-21T00:00:00"/>
    <s v="High"/>
    <x v="48"/>
    <x v="7"/>
    <x v="3"/>
    <s v="Small Business"/>
    <x v="0"/>
    <x v="9"/>
    <n v="1029.29"/>
    <n v="40.99"/>
  </r>
  <r>
    <n v="4019"/>
    <n v="28737"/>
    <d v="2011-10-03T00:00:00"/>
    <s v="Critical"/>
    <x v="991"/>
    <x v="16"/>
    <x v="1"/>
    <s v="Home Office"/>
    <x v="0"/>
    <x v="1"/>
    <n v="413.37"/>
    <n v="8.4499999999999993"/>
  </r>
  <r>
    <n v="4020"/>
    <n v="28737"/>
    <d v="2011-10-03T00:00:00"/>
    <s v="Critical"/>
    <x v="991"/>
    <x v="16"/>
    <x v="1"/>
    <s v="Home Office"/>
    <x v="2"/>
    <x v="4"/>
    <n v="1721.6410000000001"/>
    <n v="115.99"/>
  </r>
  <r>
    <n v="4021"/>
    <n v="28738"/>
    <d v="2012-08-10T00:00:00"/>
    <s v="Medium"/>
    <x v="232"/>
    <x v="34"/>
    <x v="2"/>
    <s v="Small Business"/>
    <x v="0"/>
    <x v="12"/>
    <n v="23.54"/>
    <n v="8.6"/>
  </r>
  <r>
    <n v="4022"/>
    <n v="28738"/>
    <d v="2012-08-10T00:00:00"/>
    <s v="Medium"/>
    <x v="232"/>
    <x v="34"/>
    <x v="2"/>
    <s v="Small Business"/>
    <x v="0"/>
    <x v="0"/>
    <n v="1539.83"/>
    <n v="165.2"/>
  </r>
  <r>
    <n v="4023"/>
    <n v="28741"/>
    <d v="2011-02-28T00:00:00"/>
    <s v="Not Specified"/>
    <x v="1110"/>
    <x v="15"/>
    <x v="2"/>
    <s v="Small Business"/>
    <x v="0"/>
    <x v="9"/>
    <n v="70.13"/>
    <n v="5.43"/>
  </r>
  <r>
    <n v="4024"/>
    <n v="28741"/>
    <d v="2011-02-28T00:00:00"/>
    <s v="Not Specified"/>
    <x v="1110"/>
    <x v="15"/>
    <x v="2"/>
    <s v="Small Business"/>
    <x v="0"/>
    <x v="1"/>
    <n v="59.76"/>
    <n v="10.98"/>
  </r>
  <r>
    <n v="4025"/>
    <n v="28742"/>
    <d v="2012-04-29T00:00:00"/>
    <s v="Low"/>
    <x v="984"/>
    <x v="18"/>
    <x v="2"/>
    <s v="Corporate"/>
    <x v="0"/>
    <x v="0"/>
    <n v="587.91999999999996"/>
    <n v="16.91"/>
  </r>
  <r>
    <n v="4026"/>
    <n v="28742"/>
    <d v="2012-04-29T00:00:00"/>
    <s v="Low"/>
    <x v="984"/>
    <x v="18"/>
    <x v="2"/>
    <s v="Corporate"/>
    <x v="1"/>
    <x v="3"/>
    <n v="2171.4639999999999"/>
    <n v="376.13"/>
  </r>
  <r>
    <n v="4027"/>
    <n v="28769"/>
    <d v="2010-08-28T00:00:00"/>
    <s v="Low"/>
    <x v="954"/>
    <x v="15"/>
    <x v="2"/>
    <s v="Consumer"/>
    <x v="2"/>
    <x v="5"/>
    <n v="195.75"/>
    <n v="33.29"/>
  </r>
  <r>
    <n v="4028"/>
    <n v="28772"/>
    <d v="2009-02-06T00:00:00"/>
    <s v="High"/>
    <x v="1111"/>
    <x v="18"/>
    <x v="2"/>
    <s v="Small Business"/>
    <x v="1"/>
    <x v="3"/>
    <n v="950.46399999999994"/>
    <n v="71.37"/>
  </r>
  <r>
    <n v="4029"/>
    <n v="28772"/>
    <d v="2009-02-06T00:00:00"/>
    <s v="High"/>
    <x v="1111"/>
    <x v="18"/>
    <x v="2"/>
    <s v="Small Business"/>
    <x v="2"/>
    <x v="4"/>
    <n v="705.68700000000001"/>
    <n v="205.99"/>
  </r>
  <r>
    <n v="4030"/>
    <n v="28773"/>
    <d v="2011-02-10T00:00:00"/>
    <s v="Low"/>
    <x v="998"/>
    <x v="6"/>
    <x v="1"/>
    <s v="Small Business"/>
    <x v="2"/>
    <x v="4"/>
    <n v="2174.4189999999999"/>
    <n v="55.99"/>
  </r>
  <r>
    <n v="4031"/>
    <n v="28774"/>
    <d v="2009-01-01T00:00:00"/>
    <s v="High"/>
    <x v="578"/>
    <x v="27"/>
    <x v="3"/>
    <s v="Small Business"/>
    <x v="0"/>
    <x v="0"/>
    <n v="180.36"/>
    <n v="5.98"/>
  </r>
  <r>
    <n v="4032"/>
    <n v="28802"/>
    <d v="2010-11-04T00:00:00"/>
    <s v="High"/>
    <x v="37"/>
    <x v="3"/>
    <x v="0"/>
    <s v="Home Office"/>
    <x v="1"/>
    <x v="2"/>
    <n v="413.8"/>
    <n v="17.670000000000002"/>
  </r>
  <r>
    <n v="4033"/>
    <n v="28802"/>
    <d v="2010-11-04T00:00:00"/>
    <s v="High"/>
    <x v="1112"/>
    <x v="3"/>
    <x v="0"/>
    <s v="Home Office"/>
    <x v="0"/>
    <x v="9"/>
    <n v="336.25"/>
    <n v="8.34"/>
  </r>
  <r>
    <n v="4034"/>
    <n v="28802"/>
    <d v="2010-11-04T00:00:00"/>
    <s v="High"/>
    <x v="1112"/>
    <x v="3"/>
    <x v="0"/>
    <s v="Home Office"/>
    <x v="2"/>
    <x v="4"/>
    <n v="4001.4684999999995"/>
    <n v="205.99"/>
  </r>
  <r>
    <n v="4035"/>
    <n v="28805"/>
    <d v="2011-04-02T00:00:00"/>
    <s v="Medium"/>
    <x v="535"/>
    <x v="5"/>
    <x v="0"/>
    <s v="Corporate"/>
    <x v="0"/>
    <x v="13"/>
    <n v="97.93"/>
    <n v="3.48"/>
  </r>
  <r>
    <n v="4036"/>
    <n v="28805"/>
    <d v="2011-04-02T00:00:00"/>
    <s v="Medium"/>
    <x v="535"/>
    <x v="5"/>
    <x v="0"/>
    <s v="Corporate"/>
    <x v="0"/>
    <x v="12"/>
    <n v="25.52"/>
    <n v="5.98"/>
  </r>
  <r>
    <n v="4037"/>
    <n v="28805"/>
    <d v="2011-04-02T00:00:00"/>
    <s v="Medium"/>
    <x v="535"/>
    <x v="5"/>
    <x v="0"/>
    <s v="Corporate"/>
    <x v="0"/>
    <x v="1"/>
    <n v="487.5"/>
    <n v="10.23"/>
  </r>
  <r>
    <n v="4038"/>
    <n v="28807"/>
    <d v="2011-03-31T00:00:00"/>
    <s v="High"/>
    <x v="555"/>
    <x v="16"/>
    <x v="1"/>
    <s v="Consumer"/>
    <x v="0"/>
    <x v="9"/>
    <n v="59.35"/>
    <n v="4.9800000000000004"/>
  </r>
  <r>
    <n v="4039"/>
    <n v="28832"/>
    <d v="2010-09-24T00:00:00"/>
    <s v="Medium"/>
    <x v="160"/>
    <x v="16"/>
    <x v="1"/>
    <s v="Corporate"/>
    <x v="0"/>
    <x v="14"/>
    <n v="1500.84"/>
    <n v="35.89"/>
  </r>
  <r>
    <n v="4040"/>
    <n v="28832"/>
    <d v="2010-09-24T00:00:00"/>
    <s v="Medium"/>
    <x v="732"/>
    <x v="16"/>
    <x v="1"/>
    <s v="Corporate"/>
    <x v="0"/>
    <x v="12"/>
    <n v="98.64"/>
    <n v="2.08"/>
  </r>
  <r>
    <n v="4041"/>
    <n v="28835"/>
    <d v="2012-03-31T00:00:00"/>
    <s v="Not Specified"/>
    <x v="442"/>
    <x v="7"/>
    <x v="3"/>
    <s v="Small Business"/>
    <x v="0"/>
    <x v="0"/>
    <n v="184.18"/>
    <n v="178.47"/>
  </r>
  <r>
    <n v="4042"/>
    <n v="28836"/>
    <d v="2010-10-24T00:00:00"/>
    <s v="High"/>
    <x v="359"/>
    <x v="30"/>
    <x v="0"/>
    <s v="Corporate"/>
    <x v="2"/>
    <x v="4"/>
    <n v="8221.2934999999998"/>
    <n v="195.99"/>
  </r>
  <r>
    <n v="4043"/>
    <n v="28836"/>
    <d v="2010-10-24T00:00:00"/>
    <s v="High"/>
    <x v="1113"/>
    <x v="30"/>
    <x v="0"/>
    <s v="Corporate"/>
    <x v="0"/>
    <x v="12"/>
    <n v="1158.26"/>
    <n v="172.99"/>
  </r>
  <r>
    <n v="4044"/>
    <n v="28839"/>
    <d v="2009-04-28T00:00:00"/>
    <s v="Low"/>
    <x v="541"/>
    <x v="3"/>
    <x v="0"/>
    <s v="Small Business"/>
    <x v="0"/>
    <x v="6"/>
    <n v="102.95"/>
    <n v="3.34"/>
  </r>
  <r>
    <n v="4045"/>
    <n v="28867"/>
    <d v="2011-07-22T00:00:00"/>
    <s v="Medium"/>
    <x v="1101"/>
    <x v="2"/>
    <x v="2"/>
    <s v="Corporate"/>
    <x v="2"/>
    <x v="5"/>
    <n v="866.73"/>
    <n v="20.97"/>
  </r>
  <r>
    <n v="4046"/>
    <n v="28867"/>
    <d v="2011-07-22T00:00:00"/>
    <s v="Medium"/>
    <x v="1101"/>
    <x v="2"/>
    <x v="2"/>
    <s v="Corporate"/>
    <x v="0"/>
    <x v="9"/>
    <n v="642.41999999999996"/>
    <n v="104.85"/>
  </r>
  <r>
    <n v="4047"/>
    <n v="28867"/>
    <d v="2011-07-22T00:00:00"/>
    <s v="Medium"/>
    <x v="1101"/>
    <x v="2"/>
    <x v="2"/>
    <s v="Corporate"/>
    <x v="2"/>
    <x v="4"/>
    <n v="2169.7525000000001"/>
    <n v="95.99"/>
  </r>
  <r>
    <n v="4048"/>
    <n v="28868"/>
    <d v="2012-04-05T00:00:00"/>
    <s v="High"/>
    <x v="98"/>
    <x v="20"/>
    <x v="0"/>
    <s v="Small Business"/>
    <x v="0"/>
    <x v="9"/>
    <n v="204.49"/>
    <n v="6.48"/>
  </r>
  <r>
    <n v="4049"/>
    <n v="28870"/>
    <d v="2011-11-10T00:00:00"/>
    <s v="High"/>
    <x v="591"/>
    <x v="29"/>
    <x v="2"/>
    <s v="Corporate"/>
    <x v="2"/>
    <x v="5"/>
    <n v="1154.8900000000001"/>
    <n v="40.98"/>
  </r>
  <r>
    <n v="4050"/>
    <n v="28870"/>
    <d v="2011-11-10T00:00:00"/>
    <s v="High"/>
    <x v="892"/>
    <x v="0"/>
    <x v="0"/>
    <s v="Corporate"/>
    <x v="2"/>
    <x v="4"/>
    <n v="3310.9454999999998"/>
    <n v="115.99"/>
  </r>
  <r>
    <n v="4051"/>
    <n v="28871"/>
    <d v="2012-04-15T00:00:00"/>
    <s v="High"/>
    <x v="101"/>
    <x v="0"/>
    <x v="0"/>
    <s v="Small Business"/>
    <x v="2"/>
    <x v="5"/>
    <n v="55.02"/>
    <n v="5.0199999999999996"/>
  </r>
  <r>
    <n v="4052"/>
    <n v="28897"/>
    <d v="2009-08-24T00:00:00"/>
    <s v="Medium"/>
    <x v="1114"/>
    <x v="5"/>
    <x v="0"/>
    <s v="Consumer"/>
    <x v="0"/>
    <x v="13"/>
    <n v="146.15"/>
    <n v="4.0599999999999996"/>
  </r>
  <r>
    <n v="4053"/>
    <n v="28897"/>
    <d v="2009-08-24T00:00:00"/>
    <s v="Medium"/>
    <x v="1114"/>
    <x v="5"/>
    <x v="0"/>
    <s v="Consumer"/>
    <x v="0"/>
    <x v="14"/>
    <n v="877.47"/>
    <n v="60.98"/>
  </r>
  <r>
    <n v="4054"/>
    <n v="28898"/>
    <d v="2011-05-28T00:00:00"/>
    <s v="Low"/>
    <x v="902"/>
    <x v="22"/>
    <x v="0"/>
    <s v="Corporate"/>
    <x v="0"/>
    <x v="9"/>
    <n v="246"/>
    <n v="5.78"/>
  </r>
  <r>
    <n v="4055"/>
    <n v="28899"/>
    <d v="2012-06-14T00:00:00"/>
    <s v="Low"/>
    <x v="1115"/>
    <x v="2"/>
    <x v="2"/>
    <s v="Consumer"/>
    <x v="2"/>
    <x v="4"/>
    <n v="4488.2635"/>
    <n v="205.99"/>
  </r>
  <r>
    <n v="4056"/>
    <n v="28901"/>
    <d v="2012-06-11T00:00:00"/>
    <s v="High"/>
    <x v="559"/>
    <x v="22"/>
    <x v="0"/>
    <s v="Small Business"/>
    <x v="0"/>
    <x v="9"/>
    <n v="871.32"/>
    <n v="40.99"/>
  </r>
  <r>
    <n v="4057"/>
    <n v="28928"/>
    <d v="2010-04-30T00:00:00"/>
    <s v="Low"/>
    <x v="890"/>
    <x v="15"/>
    <x v="2"/>
    <s v="Corporate"/>
    <x v="0"/>
    <x v="13"/>
    <n v="185.16"/>
    <n v="59.98"/>
  </r>
  <r>
    <n v="4058"/>
    <n v="28928"/>
    <d v="2010-04-30T00:00:00"/>
    <s v="Low"/>
    <x v="890"/>
    <x v="15"/>
    <x v="2"/>
    <s v="Corporate"/>
    <x v="2"/>
    <x v="5"/>
    <n v="5144.9399999999996"/>
    <n v="256.99"/>
  </r>
  <r>
    <n v="4059"/>
    <n v="28928"/>
    <d v="2010-04-30T00:00:00"/>
    <s v="Low"/>
    <x v="890"/>
    <x v="15"/>
    <x v="2"/>
    <s v="Corporate"/>
    <x v="2"/>
    <x v="4"/>
    <n v="1397.383"/>
    <n v="35.99"/>
  </r>
  <r>
    <n v="4060"/>
    <n v="28929"/>
    <d v="2012-10-09T00:00:00"/>
    <s v="Medium"/>
    <x v="659"/>
    <x v="21"/>
    <x v="2"/>
    <s v="Corporate"/>
    <x v="0"/>
    <x v="9"/>
    <n v="230.97"/>
    <n v="6.48"/>
  </r>
  <r>
    <n v="4061"/>
    <n v="28929"/>
    <d v="2012-10-09T00:00:00"/>
    <s v="Medium"/>
    <x v="1067"/>
    <x v="21"/>
    <x v="2"/>
    <s v="Corporate"/>
    <x v="0"/>
    <x v="14"/>
    <n v="723.17"/>
    <n v="16.98"/>
  </r>
  <r>
    <n v="4062"/>
    <n v="28932"/>
    <d v="2010-07-21T00:00:00"/>
    <s v="Low"/>
    <x v="950"/>
    <x v="5"/>
    <x v="0"/>
    <s v="Consumer"/>
    <x v="1"/>
    <x v="2"/>
    <n v="269.57"/>
    <n v="10.4"/>
  </r>
  <r>
    <n v="4063"/>
    <n v="28932"/>
    <d v="2010-07-21T00:00:00"/>
    <s v="Low"/>
    <x v="292"/>
    <x v="5"/>
    <x v="0"/>
    <s v="Consumer"/>
    <x v="0"/>
    <x v="6"/>
    <n v="98.94"/>
    <n v="5.85"/>
  </r>
  <r>
    <n v="4064"/>
    <n v="28933"/>
    <d v="2009-07-09T00:00:00"/>
    <s v="Critical"/>
    <x v="730"/>
    <x v="16"/>
    <x v="1"/>
    <s v="Corporate"/>
    <x v="0"/>
    <x v="14"/>
    <n v="11.16"/>
    <n v="5.58"/>
  </r>
  <r>
    <n v="4065"/>
    <n v="28933"/>
    <d v="2009-07-09T00:00:00"/>
    <s v="Critical"/>
    <x v="730"/>
    <x v="16"/>
    <x v="1"/>
    <s v="Corporate"/>
    <x v="0"/>
    <x v="6"/>
    <n v="156.19999999999999"/>
    <n v="3.98"/>
  </r>
  <r>
    <n v="4066"/>
    <n v="28934"/>
    <d v="2012-11-28T00:00:00"/>
    <s v="Medium"/>
    <x v="697"/>
    <x v="1"/>
    <x v="1"/>
    <s v="Consumer"/>
    <x v="2"/>
    <x v="5"/>
    <n v="1272.3499999999999"/>
    <n v="100.98"/>
  </r>
  <r>
    <n v="4067"/>
    <n v="28934"/>
    <d v="2012-11-28T00:00:00"/>
    <s v="Medium"/>
    <x v="588"/>
    <x v="1"/>
    <x v="1"/>
    <s v="Consumer"/>
    <x v="1"/>
    <x v="15"/>
    <n v="4000.35"/>
    <n v="160.97999999999999"/>
  </r>
  <r>
    <n v="4068"/>
    <n v="28934"/>
    <d v="2012-11-28T00:00:00"/>
    <s v="Medium"/>
    <x v="588"/>
    <x v="1"/>
    <x v="1"/>
    <s v="Consumer"/>
    <x v="2"/>
    <x v="10"/>
    <n v="3356.92"/>
    <n v="120.97"/>
  </r>
  <r>
    <n v="4069"/>
    <n v="28963"/>
    <d v="2011-12-04T00:00:00"/>
    <s v="Not Specified"/>
    <x v="380"/>
    <x v="44"/>
    <x v="2"/>
    <s v="Home Office"/>
    <x v="2"/>
    <x v="4"/>
    <n v="6072.1875"/>
    <n v="205.99"/>
  </r>
  <r>
    <n v="4070"/>
    <n v="28992"/>
    <d v="2011-09-19T00:00:00"/>
    <s v="Critical"/>
    <x v="1116"/>
    <x v="12"/>
    <x v="3"/>
    <s v="Consumer"/>
    <x v="0"/>
    <x v="0"/>
    <n v="6863.95"/>
    <n v="178.47"/>
  </r>
  <r>
    <n v="4071"/>
    <n v="28995"/>
    <d v="2010-05-12T00:00:00"/>
    <s v="High"/>
    <x v="678"/>
    <x v="30"/>
    <x v="0"/>
    <s v="Corporate"/>
    <x v="0"/>
    <x v="9"/>
    <n v="298.52"/>
    <n v="30.98"/>
  </r>
  <r>
    <n v="4072"/>
    <n v="28995"/>
    <d v="2010-05-12T00:00:00"/>
    <s v="High"/>
    <x v="678"/>
    <x v="30"/>
    <x v="0"/>
    <s v="Corporate"/>
    <x v="0"/>
    <x v="9"/>
    <n v="667.35"/>
    <n v="19.98"/>
  </r>
  <r>
    <n v="4073"/>
    <n v="28999"/>
    <d v="2009-01-10T00:00:00"/>
    <s v="High"/>
    <x v="735"/>
    <x v="40"/>
    <x v="3"/>
    <s v="Corporate"/>
    <x v="2"/>
    <x v="5"/>
    <n v="1177.5"/>
    <n v="33.979999999999997"/>
  </r>
  <r>
    <n v="4074"/>
    <n v="29028"/>
    <d v="2011-02-05T00:00:00"/>
    <s v="Critical"/>
    <x v="907"/>
    <x v="8"/>
    <x v="2"/>
    <s v="Corporate"/>
    <x v="2"/>
    <x v="10"/>
    <n v="17131.36"/>
    <n v="400.97"/>
  </r>
  <r>
    <n v="4075"/>
    <n v="29030"/>
    <d v="2012-01-02T00:00:00"/>
    <s v="Medium"/>
    <x v="1096"/>
    <x v="0"/>
    <x v="0"/>
    <s v="Corporate"/>
    <x v="0"/>
    <x v="6"/>
    <n v="192.58"/>
    <n v="19.84"/>
  </r>
  <r>
    <n v="4076"/>
    <n v="29058"/>
    <d v="2010-01-03T00:00:00"/>
    <s v="High"/>
    <x v="901"/>
    <x v="15"/>
    <x v="2"/>
    <s v="Consumer"/>
    <x v="0"/>
    <x v="9"/>
    <n v="287.61"/>
    <n v="6.48"/>
  </r>
  <r>
    <n v="4077"/>
    <n v="29058"/>
    <d v="2010-01-03T00:00:00"/>
    <s v="High"/>
    <x v="901"/>
    <x v="15"/>
    <x v="2"/>
    <s v="Consumer"/>
    <x v="0"/>
    <x v="6"/>
    <n v="128.52000000000001"/>
    <n v="5.84"/>
  </r>
  <r>
    <n v="4078"/>
    <n v="29058"/>
    <d v="2010-01-03T00:00:00"/>
    <s v="High"/>
    <x v="901"/>
    <x v="15"/>
    <x v="2"/>
    <s v="Consumer"/>
    <x v="0"/>
    <x v="0"/>
    <n v="1011.67"/>
    <n v="24.98"/>
  </r>
  <r>
    <n v="4079"/>
    <n v="29058"/>
    <d v="2010-01-03T00:00:00"/>
    <s v="High"/>
    <x v="1117"/>
    <x v="4"/>
    <x v="1"/>
    <s v="Consumer"/>
    <x v="1"/>
    <x v="11"/>
    <n v="28389.14"/>
    <n v="880.98"/>
  </r>
  <r>
    <n v="4080"/>
    <n v="29090"/>
    <d v="2012-01-16T00:00:00"/>
    <s v="Medium"/>
    <x v="785"/>
    <x v="16"/>
    <x v="1"/>
    <s v="Consumer"/>
    <x v="0"/>
    <x v="8"/>
    <n v="99.1"/>
    <n v="4.13"/>
  </r>
  <r>
    <n v="4081"/>
    <n v="29090"/>
    <d v="2012-01-16T00:00:00"/>
    <s v="Medium"/>
    <x v="785"/>
    <x v="16"/>
    <x v="1"/>
    <s v="Consumer"/>
    <x v="0"/>
    <x v="0"/>
    <n v="380.34"/>
    <n v="10.48"/>
  </r>
  <r>
    <n v="4082"/>
    <n v="29095"/>
    <d v="2011-03-08T00:00:00"/>
    <s v="Not Specified"/>
    <x v="403"/>
    <x v="0"/>
    <x v="0"/>
    <s v="Small Business"/>
    <x v="0"/>
    <x v="12"/>
    <n v="291.67"/>
    <n v="6.75"/>
  </r>
  <r>
    <n v="4083"/>
    <n v="29120"/>
    <d v="2010-05-12T00:00:00"/>
    <s v="Low"/>
    <x v="683"/>
    <x v="34"/>
    <x v="2"/>
    <s v="Consumer"/>
    <x v="0"/>
    <x v="12"/>
    <n v="1677.27"/>
    <n v="40.98"/>
  </r>
  <r>
    <n v="4084"/>
    <n v="29120"/>
    <d v="2010-05-12T00:00:00"/>
    <s v="Low"/>
    <x v="683"/>
    <x v="34"/>
    <x v="2"/>
    <s v="Consumer"/>
    <x v="1"/>
    <x v="11"/>
    <n v="1556.08"/>
    <n v="70.98"/>
  </r>
  <r>
    <n v="4085"/>
    <n v="29121"/>
    <d v="2010-04-11T00:00:00"/>
    <s v="Medium"/>
    <x v="1029"/>
    <x v="30"/>
    <x v="0"/>
    <s v="Corporate"/>
    <x v="2"/>
    <x v="4"/>
    <n v="3206.9650000000001"/>
    <n v="125.99"/>
  </r>
  <r>
    <n v="4086"/>
    <n v="29127"/>
    <d v="2009-03-31T00:00:00"/>
    <s v="Critical"/>
    <x v="783"/>
    <x v="15"/>
    <x v="2"/>
    <s v="Consumer"/>
    <x v="0"/>
    <x v="6"/>
    <n v="31.13"/>
    <n v="1.68"/>
  </r>
  <r>
    <n v="4087"/>
    <n v="29152"/>
    <d v="2011-07-23T00:00:00"/>
    <s v="Low"/>
    <x v="446"/>
    <x v="18"/>
    <x v="2"/>
    <s v="Small Business"/>
    <x v="2"/>
    <x v="5"/>
    <n v="58.63"/>
    <n v="17.48"/>
  </r>
  <r>
    <n v="4088"/>
    <n v="29152"/>
    <d v="2011-07-23T00:00:00"/>
    <s v="Low"/>
    <x v="446"/>
    <x v="18"/>
    <x v="2"/>
    <s v="Small Business"/>
    <x v="0"/>
    <x v="0"/>
    <n v="94.99"/>
    <n v="6.98"/>
  </r>
  <r>
    <n v="4089"/>
    <n v="29156"/>
    <d v="2010-02-24T00:00:00"/>
    <s v="Low"/>
    <x v="951"/>
    <x v="8"/>
    <x v="2"/>
    <s v="Home Office"/>
    <x v="2"/>
    <x v="5"/>
    <n v="208.77"/>
    <n v="20.97"/>
  </r>
  <r>
    <n v="4090"/>
    <n v="29158"/>
    <d v="2011-10-20T00:00:00"/>
    <s v="High"/>
    <x v="919"/>
    <x v="17"/>
    <x v="0"/>
    <s v="Home Office"/>
    <x v="1"/>
    <x v="15"/>
    <n v="2266.6999999999998"/>
    <n v="200.98"/>
  </r>
  <r>
    <n v="4091"/>
    <n v="29185"/>
    <d v="2010-01-20T00:00:00"/>
    <s v="High"/>
    <x v="744"/>
    <x v="22"/>
    <x v="0"/>
    <s v="Corporate"/>
    <x v="0"/>
    <x v="13"/>
    <n v="468.49"/>
    <n v="56.96"/>
  </r>
  <r>
    <n v="4092"/>
    <n v="29185"/>
    <d v="2010-01-20T00:00:00"/>
    <s v="High"/>
    <x v="744"/>
    <x v="22"/>
    <x v="0"/>
    <s v="Corporate"/>
    <x v="1"/>
    <x v="2"/>
    <n v="446.53"/>
    <n v="8.3699999999999992"/>
  </r>
  <r>
    <n v="4093"/>
    <n v="29185"/>
    <d v="2010-01-20T00:00:00"/>
    <s v="High"/>
    <x v="679"/>
    <x v="22"/>
    <x v="0"/>
    <s v="Corporate"/>
    <x v="0"/>
    <x v="9"/>
    <n v="217.85"/>
    <n v="40.99"/>
  </r>
  <r>
    <n v="4094"/>
    <n v="29187"/>
    <d v="2009-07-31T00:00:00"/>
    <s v="Low"/>
    <x v="1118"/>
    <x v="4"/>
    <x v="1"/>
    <s v="Consumer"/>
    <x v="0"/>
    <x v="12"/>
    <n v="142.30000000000001"/>
    <n v="24.92"/>
  </r>
  <r>
    <n v="4095"/>
    <n v="29187"/>
    <d v="2009-07-31T00:00:00"/>
    <s v="Low"/>
    <x v="1118"/>
    <x v="4"/>
    <x v="1"/>
    <s v="Consumer"/>
    <x v="0"/>
    <x v="12"/>
    <n v="21.93"/>
    <n v="2.16"/>
  </r>
  <r>
    <n v="4096"/>
    <n v="29187"/>
    <d v="2009-07-31T00:00:00"/>
    <s v="Low"/>
    <x v="1118"/>
    <x v="4"/>
    <x v="1"/>
    <s v="Consumer"/>
    <x v="2"/>
    <x v="10"/>
    <n v="26095.13"/>
    <n v="808.49"/>
  </r>
  <r>
    <n v="4097"/>
    <n v="29187"/>
    <d v="2009-07-31T00:00:00"/>
    <s v="Low"/>
    <x v="1118"/>
    <x v="4"/>
    <x v="1"/>
    <s v="Consumer"/>
    <x v="0"/>
    <x v="9"/>
    <n v="75.58"/>
    <n v="6.48"/>
  </r>
  <r>
    <n v="4098"/>
    <n v="29187"/>
    <d v="2009-07-31T00:00:00"/>
    <s v="Low"/>
    <x v="1118"/>
    <x v="4"/>
    <x v="1"/>
    <s v="Consumer"/>
    <x v="0"/>
    <x v="1"/>
    <n v="477.53"/>
    <n v="10.98"/>
  </r>
  <r>
    <n v="4099"/>
    <n v="29191"/>
    <d v="2012-06-28T00:00:00"/>
    <s v="Medium"/>
    <x v="22"/>
    <x v="15"/>
    <x v="2"/>
    <s v="Home Office"/>
    <x v="1"/>
    <x v="3"/>
    <n v="7201.89"/>
    <n v="296.18"/>
  </r>
  <r>
    <n v="4100"/>
    <n v="29216"/>
    <d v="2012-12-29T00:00:00"/>
    <s v="Critical"/>
    <x v="968"/>
    <x v="44"/>
    <x v="2"/>
    <s v="Home Office"/>
    <x v="2"/>
    <x v="5"/>
    <n v="1936.45"/>
    <n v="43.22"/>
  </r>
  <r>
    <n v="4101"/>
    <n v="29216"/>
    <d v="2012-12-29T00:00:00"/>
    <s v="Critical"/>
    <x v="968"/>
    <x v="44"/>
    <x v="2"/>
    <s v="Home Office"/>
    <x v="1"/>
    <x v="3"/>
    <n v="3711.04"/>
    <n v="218.75"/>
  </r>
  <r>
    <n v="4102"/>
    <n v="29218"/>
    <d v="2012-05-29T00:00:00"/>
    <s v="Low"/>
    <x v="327"/>
    <x v="1"/>
    <x v="1"/>
    <s v="Home Office"/>
    <x v="1"/>
    <x v="2"/>
    <n v="1823.02"/>
    <n v="92.23"/>
  </r>
  <r>
    <n v="4103"/>
    <n v="29218"/>
    <d v="2012-05-29T00:00:00"/>
    <s v="Low"/>
    <x v="327"/>
    <x v="1"/>
    <x v="1"/>
    <s v="Home Office"/>
    <x v="0"/>
    <x v="6"/>
    <n v="74.02"/>
    <n v="2.88"/>
  </r>
  <r>
    <n v="4104"/>
    <n v="29218"/>
    <d v="2012-05-29T00:00:00"/>
    <s v="Low"/>
    <x v="1119"/>
    <x v="1"/>
    <x v="1"/>
    <s v="Home Office"/>
    <x v="2"/>
    <x v="4"/>
    <n v="2252.9760000000001"/>
    <n v="205.99"/>
  </r>
  <r>
    <n v="4105"/>
    <n v="29219"/>
    <d v="2009-04-10T00:00:00"/>
    <s v="Not Specified"/>
    <x v="910"/>
    <x v="5"/>
    <x v="0"/>
    <s v="Home Office"/>
    <x v="0"/>
    <x v="6"/>
    <n v="203.4"/>
    <n v="7.08"/>
  </r>
  <r>
    <n v="4106"/>
    <n v="29220"/>
    <d v="2012-12-29T00:00:00"/>
    <s v="Medium"/>
    <x v="1120"/>
    <x v="7"/>
    <x v="3"/>
    <s v="Corporate"/>
    <x v="0"/>
    <x v="12"/>
    <n v="12690.33"/>
    <n v="367.99"/>
  </r>
  <r>
    <n v="4107"/>
    <n v="29221"/>
    <d v="2012-05-29T00:00:00"/>
    <s v="High"/>
    <x v="1090"/>
    <x v="16"/>
    <x v="1"/>
    <s v="Consumer"/>
    <x v="0"/>
    <x v="9"/>
    <n v="325.33"/>
    <n v="7.64"/>
  </r>
  <r>
    <n v="4108"/>
    <n v="29223"/>
    <d v="2012-01-20T00:00:00"/>
    <s v="High"/>
    <x v="598"/>
    <x v="23"/>
    <x v="3"/>
    <s v="Home Office"/>
    <x v="1"/>
    <x v="15"/>
    <n v="24701.119999999999"/>
    <n v="500.98"/>
  </r>
  <r>
    <n v="4109"/>
    <n v="29249"/>
    <d v="2011-06-13T00:00:00"/>
    <s v="Low"/>
    <x v="1121"/>
    <x v="15"/>
    <x v="2"/>
    <s v="Corporate"/>
    <x v="1"/>
    <x v="15"/>
    <n v="3156.6"/>
    <n v="276.2"/>
  </r>
  <r>
    <n v="4110"/>
    <n v="29249"/>
    <d v="2011-06-13T00:00:00"/>
    <s v="Low"/>
    <x v="1121"/>
    <x v="15"/>
    <x v="2"/>
    <s v="Corporate"/>
    <x v="0"/>
    <x v="9"/>
    <n v="302.69"/>
    <n v="6.35"/>
  </r>
  <r>
    <n v="4111"/>
    <n v="29252"/>
    <d v="2009-08-06T00:00:00"/>
    <s v="Low"/>
    <x v="541"/>
    <x v="3"/>
    <x v="0"/>
    <s v="Small Business"/>
    <x v="0"/>
    <x v="9"/>
    <n v="65.81"/>
    <n v="6.48"/>
  </r>
  <r>
    <n v="4112"/>
    <n v="29255"/>
    <d v="2011-12-03T00:00:00"/>
    <s v="Low"/>
    <x v="1122"/>
    <x v="26"/>
    <x v="3"/>
    <s v="Consumer"/>
    <x v="2"/>
    <x v="4"/>
    <n v="617.21899999999994"/>
    <n v="65.989999999999995"/>
  </r>
  <r>
    <n v="4113"/>
    <n v="29280"/>
    <d v="2012-03-28T00:00:00"/>
    <s v="Medium"/>
    <x v="117"/>
    <x v="19"/>
    <x v="3"/>
    <s v="Small Business"/>
    <x v="0"/>
    <x v="6"/>
    <n v="238.35"/>
    <n v="11.66"/>
  </r>
  <r>
    <n v="4114"/>
    <n v="29280"/>
    <d v="2012-03-28T00:00:00"/>
    <s v="Medium"/>
    <x v="815"/>
    <x v="13"/>
    <x v="3"/>
    <s v="Small Business"/>
    <x v="2"/>
    <x v="5"/>
    <n v="856.34"/>
    <n v="28.38"/>
  </r>
  <r>
    <n v="4115"/>
    <n v="29282"/>
    <d v="2012-11-28T00:00:00"/>
    <s v="Medium"/>
    <x v="65"/>
    <x v="8"/>
    <x v="2"/>
    <s v="Corporate"/>
    <x v="0"/>
    <x v="9"/>
    <n v="34.270000000000003"/>
    <n v="6.48"/>
  </r>
  <r>
    <n v="4116"/>
    <n v="29284"/>
    <d v="2009-04-10T00:00:00"/>
    <s v="Medium"/>
    <x v="93"/>
    <x v="16"/>
    <x v="1"/>
    <s v="Home Office"/>
    <x v="1"/>
    <x v="3"/>
    <n v="6449.0560000000005"/>
    <n v="400.98"/>
  </r>
  <r>
    <n v="4117"/>
    <n v="29286"/>
    <d v="2009-07-28T00:00:00"/>
    <s v="Critical"/>
    <x v="327"/>
    <x v="1"/>
    <x v="1"/>
    <s v="Corporate"/>
    <x v="2"/>
    <x v="10"/>
    <n v="13070.2"/>
    <n v="3502.14"/>
  </r>
  <r>
    <n v="4118"/>
    <n v="29287"/>
    <d v="2009-07-02T00:00:00"/>
    <s v="High"/>
    <x v="698"/>
    <x v="0"/>
    <x v="0"/>
    <s v="Consumer"/>
    <x v="0"/>
    <x v="12"/>
    <n v="281.39"/>
    <n v="5.74"/>
  </r>
  <r>
    <n v="4119"/>
    <n v="29287"/>
    <d v="2009-07-02T00:00:00"/>
    <s v="High"/>
    <x v="698"/>
    <x v="0"/>
    <x v="0"/>
    <s v="Consumer"/>
    <x v="2"/>
    <x v="10"/>
    <n v="12593.91"/>
    <n v="270.97000000000003"/>
  </r>
  <r>
    <n v="4120"/>
    <n v="29317"/>
    <d v="2011-10-02T00:00:00"/>
    <s v="Not Specified"/>
    <x v="608"/>
    <x v="4"/>
    <x v="1"/>
    <s v="Corporate"/>
    <x v="1"/>
    <x v="15"/>
    <n v="7789.63"/>
    <n v="200.98"/>
  </r>
  <r>
    <n v="4121"/>
    <n v="29317"/>
    <d v="2011-10-02T00:00:00"/>
    <s v="Not Specified"/>
    <x v="608"/>
    <x v="4"/>
    <x v="1"/>
    <s v="Corporate"/>
    <x v="2"/>
    <x v="10"/>
    <n v="15703.82"/>
    <n v="810.98"/>
  </r>
  <r>
    <n v="4122"/>
    <n v="29317"/>
    <d v="2011-10-02T00:00:00"/>
    <s v="Not Specified"/>
    <x v="608"/>
    <x v="4"/>
    <x v="1"/>
    <s v="Corporate"/>
    <x v="0"/>
    <x v="7"/>
    <n v="140.69"/>
    <n v="4.71"/>
  </r>
  <r>
    <n v="4123"/>
    <n v="29318"/>
    <d v="2011-06-30T00:00:00"/>
    <s v="Not Specified"/>
    <x v="385"/>
    <x v="38"/>
    <x v="0"/>
    <s v="Corporate"/>
    <x v="0"/>
    <x v="0"/>
    <n v="2954.14"/>
    <n v="138.13999999999999"/>
  </r>
  <r>
    <n v="4124"/>
    <n v="29318"/>
    <d v="2011-06-30T00:00:00"/>
    <s v="Not Specified"/>
    <x v="385"/>
    <x v="38"/>
    <x v="0"/>
    <s v="Corporate"/>
    <x v="2"/>
    <x v="4"/>
    <n v="3375.3074999999999"/>
    <n v="125.99"/>
  </r>
  <r>
    <n v="4125"/>
    <n v="29319"/>
    <d v="2009-01-24T00:00:00"/>
    <s v="Low"/>
    <x v="843"/>
    <x v="30"/>
    <x v="0"/>
    <s v="Small Business"/>
    <x v="1"/>
    <x v="15"/>
    <n v="6654.39"/>
    <n v="238.4"/>
  </r>
  <r>
    <n v="4126"/>
    <n v="29319"/>
    <d v="2009-01-24T00:00:00"/>
    <s v="Low"/>
    <x v="843"/>
    <x v="30"/>
    <x v="0"/>
    <s v="Small Business"/>
    <x v="2"/>
    <x v="16"/>
    <n v="4429.6899999999996"/>
    <n v="199.99"/>
  </r>
  <r>
    <n v="4127"/>
    <n v="29346"/>
    <d v="2009-08-16T00:00:00"/>
    <s v="Low"/>
    <x v="815"/>
    <x v="13"/>
    <x v="3"/>
    <s v="Corporate"/>
    <x v="0"/>
    <x v="14"/>
    <n v="29.06"/>
    <n v="11.58"/>
  </r>
  <r>
    <n v="4128"/>
    <n v="29347"/>
    <d v="2012-08-12T00:00:00"/>
    <s v="Medium"/>
    <x v="41"/>
    <x v="15"/>
    <x v="2"/>
    <s v="Corporate"/>
    <x v="0"/>
    <x v="9"/>
    <n v="2040.39"/>
    <n v="40.99"/>
  </r>
  <r>
    <n v="4129"/>
    <n v="29349"/>
    <d v="2010-06-10T00:00:00"/>
    <s v="High"/>
    <x v="765"/>
    <x v="13"/>
    <x v="3"/>
    <s v="Small Business"/>
    <x v="2"/>
    <x v="4"/>
    <n v="2526.54"/>
    <n v="65.989999999999995"/>
  </r>
  <r>
    <n v="4130"/>
    <n v="29349"/>
    <d v="2010-06-10T00:00:00"/>
    <s v="High"/>
    <x v="1123"/>
    <x v="12"/>
    <x v="3"/>
    <s v="Small Business"/>
    <x v="0"/>
    <x v="9"/>
    <n v="162.38999999999999"/>
    <n v="5.28"/>
  </r>
  <r>
    <n v="4131"/>
    <n v="29350"/>
    <d v="2009-08-25T00:00:00"/>
    <s v="High"/>
    <x v="1124"/>
    <x v="12"/>
    <x v="3"/>
    <s v="Consumer"/>
    <x v="0"/>
    <x v="12"/>
    <n v="2519.5500000000002"/>
    <n v="52.4"/>
  </r>
  <r>
    <n v="4132"/>
    <n v="29350"/>
    <d v="2009-08-25T00:00:00"/>
    <s v="High"/>
    <x v="1125"/>
    <x v="19"/>
    <x v="3"/>
    <s v="Consumer"/>
    <x v="0"/>
    <x v="0"/>
    <n v="150.33000000000001"/>
    <n v="15.14"/>
  </r>
  <r>
    <n v="4133"/>
    <n v="29350"/>
    <d v="2009-08-25T00:00:00"/>
    <s v="High"/>
    <x v="1126"/>
    <x v="12"/>
    <x v="3"/>
    <s v="Consumer"/>
    <x v="0"/>
    <x v="6"/>
    <n v="1634.17"/>
    <n v="36.549999999999997"/>
  </r>
  <r>
    <n v="4134"/>
    <n v="29351"/>
    <d v="2011-10-03T00:00:00"/>
    <s v="Medium"/>
    <x v="225"/>
    <x v="23"/>
    <x v="3"/>
    <s v="Consumer"/>
    <x v="0"/>
    <x v="12"/>
    <n v="5122.6099999999997"/>
    <n v="304.99"/>
  </r>
  <r>
    <n v="4135"/>
    <n v="29376"/>
    <d v="2012-08-11T00:00:00"/>
    <s v="Critical"/>
    <x v="591"/>
    <x v="36"/>
    <x v="2"/>
    <s v="Consumer"/>
    <x v="0"/>
    <x v="0"/>
    <n v="2850.31"/>
    <n v="155.06"/>
  </r>
  <r>
    <n v="4136"/>
    <n v="29380"/>
    <d v="2009-04-27T00:00:00"/>
    <s v="Not Specified"/>
    <x v="49"/>
    <x v="10"/>
    <x v="0"/>
    <s v="Corporate"/>
    <x v="0"/>
    <x v="9"/>
    <n v="150.13"/>
    <n v="12.28"/>
  </r>
  <r>
    <n v="4137"/>
    <n v="29382"/>
    <d v="2010-11-17T00:00:00"/>
    <s v="High"/>
    <x v="875"/>
    <x v="30"/>
    <x v="0"/>
    <s v="Small Business"/>
    <x v="0"/>
    <x v="14"/>
    <n v="239.35"/>
    <n v="5.68"/>
  </r>
  <r>
    <n v="4138"/>
    <n v="29382"/>
    <d v="2010-11-17T00:00:00"/>
    <s v="High"/>
    <x v="875"/>
    <x v="30"/>
    <x v="0"/>
    <s v="Small Business"/>
    <x v="1"/>
    <x v="2"/>
    <n v="684.66"/>
    <n v="19.98"/>
  </r>
  <r>
    <n v="4139"/>
    <n v="29383"/>
    <d v="2011-11-18T00:00:00"/>
    <s v="Medium"/>
    <x v="1127"/>
    <x v="26"/>
    <x v="3"/>
    <s v="Corporate"/>
    <x v="2"/>
    <x v="5"/>
    <n v="157.13"/>
    <n v="8.32"/>
  </r>
  <r>
    <n v="4140"/>
    <n v="29383"/>
    <d v="2011-11-18T00:00:00"/>
    <s v="Medium"/>
    <x v="1127"/>
    <x v="26"/>
    <x v="3"/>
    <s v="Corporate"/>
    <x v="0"/>
    <x v="9"/>
    <n v="195.11"/>
    <n v="6.48"/>
  </r>
  <r>
    <n v="4141"/>
    <n v="29383"/>
    <d v="2011-11-18T00:00:00"/>
    <s v="Medium"/>
    <x v="1127"/>
    <x v="26"/>
    <x v="3"/>
    <s v="Corporate"/>
    <x v="2"/>
    <x v="4"/>
    <n v="2738.7849999999999"/>
    <n v="115.99"/>
  </r>
  <r>
    <n v="4142"/>
    <n v="29383"/>
    <d v="2011-11-18T00:00:00"/>
    <s v="Medium"/>
    <x v="549"/>
    <x v="26"/>
    <x v="3"/>
    <s v="Corporate"/>
    <x v="1"/>
    <x v="2"/>
    <n v="217.42"/>
    <n v="7.59"/>
  </r>
  <r>
    <n v="4143"/>
    <n v="29408"/>
    <d v="2010-05-02T00:00:00"/>
    <s v="Not Specified"/>
    <x v="1128"/>
    <x v="22"/>
    <x v="0"/>
    <s v="Home Office"/>
    <x v="2"/>
    <x v="10"/>
    <n v="4260.7299999999996"/>
    <n v="119.99"/>
  </r>
  <r>
    <n v="4144"/>
    <n v="29409"/>
    <d v="2011-01-13T00:00:00"/>
    <s v="High"/>
    <x v="847"/>
    <x v="17"/>
    <x v="0"/>
    <s v="Home Office"/>
    <x v="2"/>
    <x v="5"/>
    <n v="38.99"/>
    <n v="1.7"/>
  </r>
  <r>
    <n v="4145"/>
    <n v="29410"/>
    <d v="2009-09-17T00:00:00"/>
    <s v="Critical"/>
    <x v="357"/>
    <x v="5"/>
    <x v="0"/>
    <s v="Corporate"/>
    <x v="2"/>
    <x v="10"/>
    <n v="4186.53"/>
    <n v="120.97"/>
  </r>
  <r>
    <n v="4146"/>
    <n v="29410"/>
    <d v="2009-09-17T00:00:00"/>
    <s v="Critical"/>
    <x v="357"/>
    <x v="5"/>
    <x v="0"/>
    <s v="Corporate"/>
    <x v="2"/>
    <x v="4"/>
    <n v="6057.27"/>
    <n v="195.99"/>
  </r>
  <r>
    <n v="4147"/>
    <n v="29411"/>
    <d v="2012-04-06T00:00:00"/>
    <s v="High"/>
    <x v="1129"/>
    <x v="5"/>
    <x v="0"/>
    <s v="Corporate"/>
    <x v="0"/>
    <x v="13"/>
    <n v="67.87"/>
    <n v="2.2200000000000002"/>
  </r>
  <r>
    <n v="4148"/>
    <n v="29411"/>
    <d v="2012-04-06T00:00:00"/>
    <s v="High"/>
    <x v="1129"/>
    <x v="5"/>
    <x v="0"/>
    <s v="Corporate"/>
    <x v="0"/>
    <x v="14"/>
    <n v="542.24"/>
    <n v="15.67"/>
  </r>
  <r>
    <n v="4149"/>
    <n v="29411"/>
    <d v="2012-04-06T00:00:00"/>
    <s v="High"/>
    <x v="1129"/>
    <x v="5"/>
    <x v="0"/>
    <s v="Corporate"/>
    <x v="2"/>
    <x v="10"/>
    <n v="15174.95"/>
    <n v="400.97"/>
  </r>
  <r>
    <n v="4150"/>
    <n v="29411"/>
    <d v="2012-04-06T00:00:00"/>
    <s v="High"/>
    <x v="1129"/>
    <x v="5"/>
    <x v="0"/>
    <s v="Corporate"/>
    <x v="2"/>
    <x v="10"/>
    <n v="1084.1199999999999"/>
    <n v="23.99"/>
  </r>
  <r>
    <n v="4151"/>
    <n v="29445"/>
    <d v="2010-09-29T00:00:00"/>
    <s v="High"/>
    <x v="1130"/>
    <x v="30"/>
    <x v="0"/>
    <s v="Consumer"/>
    <x v="2"/>
    <x v="10"/>
    <n v="2531.35"/>
    <n v="90.97"/>
  </r>
  <r>
    <n v="4152"/>
    <n v="29473"/>
    <d v="2012-02-15T00:00:00"/>
    <s v="Medium"/>
    <x v="767"/>
    <x v="12"/>
    <x v="3"/>
    <s v="Consumer"/>
    <x v="1"/>
    <x v="3"/>
    <n v="13367.82"/>
    <n v="320.64"/>
  </r>
  <r>
    <n v="4153"/>
    <n v="29473"/>
    <d v="2012-02-15T00:00:00"/>
    <s v="Medium"/>
    <x v="202"/>
    <x v="13"/>
    <x v="3"/>
    <s v="Consumer"/>
    <x v="2"/>
    <x v="4"/>
    <n v="206.28649999999999"/>
    <n v="7.99"/>
  </r>
  <r>
    <n v="4154"/>
    <n v="29475"/>
    <d v="2010-02-22T00:00:00"/>
    <s v="High"/>
    <x v="292"/>
    <x v="5"/>
    <x v="0"/>
    <s v="Home Office"/>
    <x v="1"/>
    <x v="2"/>
    <n v="235.12"/>
    <n v="4.91"/>
  </r>
  <r>
    <n v="4155"/>
    <n v="29475"/>
    <d v="2010-02-22T00:00:00"/>
    <s v="High"/>
    <x v="1063"/>
    <x v="5"/>
    <x v="0"/>
    <s v="Home Office"/>
    <x v="1"/>
    <x v="11"/>
    <n v="1814.82"/>
    <n v="880.98"/>
  </r>
  <r>
    <n v="4156"/>
    <n v="29478"/>
    <d v="2010-04-09T00:00:00"/>
    <s v="High"/>
    <x v="83"/>
    <x v="15"/>
    <x v="2"/>
    <s v="Consumer"/>
    <x v="2"/>
    <x v="4"/>
    <n v="272.89249999999998"/>
    <n v="20.99"/>
  </r>
  <r>
    <n v="4157"/>
    <n v="29504"/>
    <d v="2010-09-23T00:00:00"/>
    <s v="Not Specified"/>
    <x v="1131"/>
    <x v="34"/>
    <x v="2"/>
    <s v="Small Business"/>
    <x v="1"/>
    <x v="11"/>
    <n v="1485.06"/>
    <n v="70.98"/>
  </r>
  <r>
    <n v="4158"/>
    <n v="29504"/>
    <d v="2010-09-23T00:00:00"/>
    <s v="Not Specified"/>
    <x v="1131"/>
    <x v="34"/>
    <x v="2"/>
    <s v="Small Business"/>
    <x v="0"/>
    <x v="9"/>
    <n v="1211.18"/>
    <n v="38.76"/>
  </r>
  <r>
    <n v="4159"/>
    <n v="29505"/>
    <d v="2012-12-27T00:00:00"/>
    <s v="Medium"/>
    <x v="1132"/>
    <x v="16"/>
    <x v="1"/>
    <s v="Home Office"/>
    <x v="0"/>
    <x v="6"/>
    <n v="45.21"/>
    <n v="1.76"/>
  </r>
  <r>
    <n v="4160"/>
    <n v="29506"/>
    <d v="2011-06-14T00:00:00"/>
    <s v="Critical"/>
    <x v="1133"/>
    <x v="23"/>
    <x v="3"/>
    <s v="Consumer"/>
    <x v="0"/>
    <x v="12"/>
    <n v="221.13"/>
    <n v="4.55"/>
  </r>
  <r>
    <n v="4161"/>
    <n v="29506"/>
    <d v="2011-06-14T00:00:00"/>
    <s v="Critical"/>
    <x v="1133"/>
    <x v="23"/>
    <x v="3"/>
    <s v="Consumer"/>
    <x v="0"/>
    <x v="12"/>
    <n v="16.350000000000001"/>
    <n v="1.88"/>
  </r>
  <r>
    <n v="4162"/>
    <n v="29507"/>
    <d v="2012-02-09T00:00:00"/>
    <s v="Low"/>
    <x v="1122"/>
    <x v="26"/>
    <x v="3"/>
    <s v="Consumer"/>
    <x v="1"/>
    <x v="3"/>
    <n v="3049.6320000000001"/>
    <n v="280.98"/>
  </r>
  <r>
    <n v="4163"/>
    <n v="29507"/>
    <d v="2012-02-09T00:00:00"/>
    <s v="Low"/>
    <x v="1122"/>
    <x v="26"/>
    <x v="3"/>
    <s v="Consumer"/>
    <x v="2"/>
    <x v="4"/>
    <n v="1274.9490000000001"/>
    <n v="35.99"/>
  </r>
  <r>
    <n v="4164"/>
    <n v="29510"/>
    <d v="2011-04-15T00:00:00"/>
    <s v="Critical"/>
    <x v="262"/>
    <x v="0"/>
    <x v="0"/>
    <s v="Home Office"/>
    <x v="1"/>
    <x v="11"/>
    <n v="6123.94"/>
    <n v="260.98"/>
  </r>
  <r>
    <n v="4165"/>
    <n v="29536"/>
    <d v="2012-09-07T00:00:00"/>
    <s v="Medium"/>
    <x v="1134"/>
    <x v="1"/>
    <x v="1"/>
    <s v="Consumer"/>
    <x v="0"/>
    <x v="13"/>
    <n v="495.32"/>
    <n v="100.98"/>
  </r>
  <r>
    <n v="4166"/>
    <n v="29536"/>
    <d v="2012-09-07T00:00:00"/>
    <s v="Medium"/>
    <x v="1134"/>
    <x v="1"/>
    <x v="1"/>
    <s v="Consumer"/>
    <x v="1"/>
    <x v="11"/>
    <n v="2483.5300000000002"/>
    <n v="220.98"/>
  </r>
  <r>
    <n v="4167"/>
    <n v="29536"/>
    <d v="2012-09-07T00:00:00"/>
    <s v="Medium"/>
    <x v="1134"/>
    <x v="1"/>
    <x v="1"/>
    <s v="Consumer"/>
    <x v="0"/>
    <x v="9"/>
    <n v="967.41"/>
    <n v="35.44"/>
  </r>
  <r>
    <n v="4168"/>
    <n v="29537"/>
    <d v="2012-09-19T00:00:00"/>
    <s v="Low"/>
    <x v="679"/>
    <x v="5"/>
    <x v="0"/>
    <s v="Home Office"/>
    <x v="0"/>
    <x v="13"/>
    <n v="318.56"/>
    <n v="10.89"/>
  </r>
  <r>
    <n v="4169"/>
    <n v="29539"/>
    <d v="2011-04-23T00:00:00"/>
    <s v="High"/>
    <x v="607"/>
    <x v="37"/>
    <x v="2"/>
    <s v="Corporate"/>
    <x v="0"/>
    <x v="14"/>
    <n v="223.2"/>
    <n v="9.7799999999999994"/>
  </r>
  <r>
    <n v="4170"/>
    <n v="29569"/>
    <d v="2011-07-03T00:00:00"/>
    <s v="High"/>
    <x v="1134"/>
    <x v="1"/>
    <x v="1"/>
    <s v="Consumer"/>
    <x v="2"/>
    <x v="16"/>
    <n v="27720.98"/>
    <n v="599.99"/>
  </r>
  <r>
    <n v="4171"/>
    <n v="29569"/>
    <d v="2011-07-03T00:00:00"/>
    <s v="High"/>
    <x v="1134"/>
    <x v="1"/>
    <x v="1"/>
    <s v="Consumer"/>
    <x v="0"/>
    <x v="9"/>
    <n v="520.13"/>
    <n v="18.97"/>
  </r>
  <r>
    <n v="4172"/>
    <n v="29572"/>
    <d v="2010-06-03T00:00:00"/>
    <s v="Not Specified"/>
    <x v="1122"/>
    <x v="26"/>
    <x v="3"/>
    <s v="Home Office"/>
    <x v="1"/>
    <x v="3"/>
    <n v="2657.56"/>
    <n v="150.97999999999999"/>
  </r>
  <r>
    <n v="4173"/>
    <n v="29573"/>
    <d v="2012-01-16T00:00:00"/>
    <s v="Critical"/>
    <x v="927"/>
    <x v="14"/>
    <x v="0"/>
    <s v="Home Office"/>
    <x v="0"/>
    <x v="9"/>
    <n v="792.21"/>
    <n v="18.97"/>
  </r>
  <r>
    <n v="4174"/>
    <n v="29607"/>
    <d v="2012-03-13T00:00:00"/>
    <s v="Medium"/>
    <x v="178"/>
    <x v="27"/>
    <x v="3"/>
    <s v="Home Office"/>
    <x v="0"/>
    <x v="9"/>
    <n v="240.74"/>
    <n v="12.28"/>
  </r>
  <r>
    <n v="4175"/>
    <n v="29633"/>
    <d v="2009-06-22T00:00:00"/>
    <s v="Critical"/>
    <x v="1133"/>
    <x v="23"/>
    <x v="3"/>
    <s v="Consumer"/>
    <x v="0"/>
    <x v="0"/>
    <n v="96.01"/>
    <n v="7.98"/>
  </r>
  <r>
    <n v="4176"/>
    <n v="29637"/>
    <d v="2009-05-25T00:00:00"/>
    <s v="High"/>
    <x v="616"/>
    <x v="9"/>
    <x v="1"/>
    <s v="Home Office"/>
    <x v="2"/>
    <x v="10"/>
    <n v="598.19000000000005"/>
    <n v="17.98"/>
  </r>
  <r>
    <n v="4177"/>
    <n v="29639"/>
    <d v="2011-04-17T00:00:00"/>
    <s v="Critical"/>
    <x v="566"/>
    <x v="18"/>
    <x v="2"/>
    <s v="Corporate"/>
    <x v="0"/>
    <x v="6"/>
    <n v="22.37"/>
    <n v="2.6"/>
  </r>
  <r>
    <n v="4178"/>
    <n v="29666"/>
    <d v="2011-12-30T00:00:00"/>
    <s v="Not Specified"/>
    <x v="499"/>
    <x v="40"/>
    <x v="3"/>
    <s v="Small Business"/>
    <x v="2"/>
    <x v="5"/>
    <n v="362.75"/>
    <n v="8.32"/>
  </r>
  <r>
    <n v="4179"/>
    <n v="29666"/>
    <d v="2011-12-30T00:00:00"/>
    <s v="Not Specified"/>
    <x v="673"/>
    <x v="19"/>
    <x v="3"/>
    <s v="Small Business"/>
    <x v="0"/>
    <x v="9"/>
    <n v="155.86000000000001"/>
    <n v="5.28"/>
  </r>
  <r>
    <n v="4180"/>
    <n v="29667"/>
    <d v="2009-07-24T00:00:00"/>
    <s v="Not Specified"/>
    <x v="649"/>
    <x v="35"/>
    <x v="3"/>
    <s v="Corporate"/>
    <x v="0"/>
    <x v="12"/>
    <n v="215.31"/>
    <n v="15.28"/>
  </r>
  <r>
    <n v="4181"/>
    <n v="29671"/>
    <d v="2010-03-22T00:00:00"/>
    <s v="Critical"/>
    <x v="90"/>
    <x v="5"/>
    <x v="0"/>
    <s v="Consumer"/>
    <x v="0"/>
    <x v="6"/>
    <n v="1511.7"/>
    <n v="34.99"/>
  </r>
  <r>
    <n v="4182"/>
    <n v="29700"/>
    <d v="2010-04-06T00:00:00"/>
    <s v="Medium"/>
    <x v="884"/>
    <x v="19"/>
    <x v="3"/>
    <s v="Consumer"/>
    <x v="0"/>
    <x v="8"/>
    <n v="30.35"/>
    <n v="3.08"/>
  </r>
  <r>
    <n v="4183"/>
    <n v="29730"/>
    <d v="2010-06-16T00:00:00"/>
    <s v="Critical"/>
    <x v="178"/>
    <x v="27"/>
    <x v="3"/>
    <s v="Consumer"/>
    <x v="1"/>
    <x v="3"/>
    <n v="3072.86"/>
    <n v="150.97999999999999"/>
  </r>
  <r>
    <n v="4184"/>
    <n v="29761"/>
    <d v="2012-07-03T00:00:00"/>
    <s v="Medium"/>
    <x v="476"/>
    <x v="47"/>
    <x v="1"/>
    <s v="Corporate"/>
    <x v="2"/>
    <x v="4"/>
    <n v="1463.105"/>
    <n v="35.99"/>
  </r>
  <r>
    <n v="4185"/>
    <n v="29761"/>
    <d v="2012-07-03T00:00:00"/>
    <s v="Medium"/>
    <x v="1135"/>
    <x v="47"/>
    <x v="1"/>
    <s v="Corporate"/>
    <x v="0"/>
    <x v="13"/>
    <n v="1085.4000000000001"/>
    <n v="25.98"/>
  </r>
  <r>
    <n v="4186"/>
    <n v="29761"/>
    <d v="2012-07-03T00:00:00"/>
    <s v="Medium"/>
    <x v="1135"/>
    <x v="47"/>
    <x v="1"/>
    <s v="Corporate"/>
    <x v="1"/>
    <x v="2"/>
    <n v="123.67"/>
    <n v="6.24"/>
  </r>
  <r>
    <n v="4187"/>
    <n v="29762"/>
    <d v="2010-08-03T00:00:00"/>
    <s v="Critical"/>
    <x v="1136"/>
    <x v="30"/>
    <x v="0"/>
    <s v="Home Office"/>
    <x v="0"/>
    <x v="7"/>
    <n v="22.45"/>
    <n v="1.48"/>
  </r>
  <r>
    <n v="4188"/>
    <n v="29762"/>
    <d v="2010-08-03T00:00:00"/>
    <s v="Critical"/>
    <x v="316"/>
    <x v="45"/>
    <x v="0"/>
    <s v="Home Office"/>
    <x v="1"/>
    <x v="15"/>
    <n v="3268.56"/>
    <n v="95.95"/>
  </r>
  <r>
    <n v="4189"/>
    <n v="29764"/>
    <d v="2012-07-22T00:00:00"/>
    <s v="Critical"/>
    <x v="957"/>
    <x v="23"/>
    <x v="3"/>
    <s v="Small Business"/>
    <x v="0"/>
    <x v="12"/>
    <n v="165.09"/>
    <n v="15.01"/>
  </r>
  <r>
    <n v="4190"/>
    <n v="29766"/>
    <d v="2009-03-21T00:00:00"/>
    <s v="Medium"/>
    <x v="558"/>
    <x v="36"/>
    <x v="2"/>
    <s v="Consumer"/>
    <x v="2"/>
    <x v="10"/>
    <n v="89061.05"/>
    <n v="6783.02"/>
  </r>
  <r>
    <n v="4191"/>
    <n v="29766"/>
    <d v="2009-03-21T00:00:00"/>
    <s v="Medium"/>
    <x v="558"/>
    <x v="36"/>
    <x v="2"/>
    <s v="Consumer"/>
    <x v="2"/>
    <x v="4"/>
    <n v="6636.6639999999998"/>
    <n v="205.99"/>
  </r>
  <r>
    <n v="4192"/>
    <n v="29767"/>
    <d v="2011-02-05T00:00:00"/>
    <s v="High"/>
    <x v="837"/>
    <x v="28"/>
    <x v="1"/>
    <s v="Home Office"/>
    <x v="0"/>
    <x v="13"/>
    <n v="4153.0600000000004"/>
    <n v="90.24"/>
  </r>
  <r>
    <n v="4193"/>
    <n v="29795"/>
    <d v="2011-11-25T00:00:00"/>
    <s v="High"/>
    <x v="555"/>
    <x v="0"/>
    <x v="0"/>
    <s v="Small Business"/>
    <x v="0"/>
    <x v="12"/>
    <n v="19325.2"/>
    <n v="387.99"/>
  </r>
  <r>
    <n v="4194"/>
    <n v="29795"/>
    <d v="2011-11-25T00:00:00"/>
    <s v="High"/>
    <x v="1037"/>
    <x v="0"/>
    <x v="0"/>
    <s v="Small Business"/>
    <x v="1"/>
    <x v="11"/>
    <n v="8380.2199999999993"/>
    <n v="160.97999999999999"/>
  </r>
  <r>
    <n v="4195"/>
    <n v="29797"/>
    <d v="2010-06-26T00:00:00"/>
    <s v="High"/>
    <x v="1137"/>
    <x v="31"/>
    <x v="3"/>
    <s v="Small Business"/>
    <x v="1"/>
    <x v="2"/>
    <n v="742.05"/>
    <n v="14.89"/>
  </r>
  <r>
    <n v="4196"/>
    <n v="29826"/>
    <d v="2009-09-24T00:00:00"/>
    <s v="Critical"/>
    <x v="294"/>
    <x v="28"/>
    <x v="1"/>
    <s v="Consumer"/>
    <x v="2"/>
    <x v="5"/>
    <n v="157.63"/>
    <n v="17.98"/>
  </r>
  <r>
    <n v="4197"/>
    <n v="29827"/>
    <d v="2011-07-14T00:00:00"/>
    <s v="Critical"/>
    <x v="180"/>
    <x v="1"/>
    <x v="1"/>
    <s v="Consumer"/>
    <x v="2"/>
    <x v="5"/>
    <n v="926.65"/>
    <n v="26.31"/>
  </r>
  <r>
    <n v="4198"/>
    <n v="29831"/>
    <d v="2012-03-29T00:00:00"/>
    <s v="Critical"/>
    <x v="939"/>
    <x v="16"/>
    <x v="1"/>
    <s v="Small Business"/>
    <x v="0"/>
    <x v="13"/>
    <n v="2175.2199999999998"/>
    <n v="68.81"/>
  </r>
  <r>
    <n v="4199"/>
    <n v="29856"/>
    <d v="2012-06-08T00:00:00"/>
    <s v="Medium"/>
    <x v="708"/>
    <x v="45"/>
    <x v="0"/>
    <s v="Consumer"/>
    <x v="0"/>
    <x v="9"/>
    <n v="115.54"/>
    <n v="4.9800000000000004"/>
  </r>
  <r>
    <n v="4200"/>
    <n v="29857"/>
    <d v="2009-12-12T00:00:00"/>
    <s v="Medium"/>
    <x v="407"/>
    <x v="20"/>
    <x v="0"/>
    <s v="Consumer"/>
    <x v="1"/>
    <x v="11"/>
    <n v="5572.92"/>
    <n v="140.97999999999999"/>
  </r>
  <r>
    <n v="4201"/>
    <n v="29860"/>
    <d v="2009-09-13T00:00:00"/>
    <s v="Critical"/>
    <x v="176"/>
    <x v="32"/>
    <x v="0"/>
    <s v="Home Office"/>
    <x v="0"/>
    <x v="0"/>
    <n v="8295.2900000000009"/>
    <n v="178.47"/>
  </r>
  <r>
    <n v="4202"/>
    <n v="29861"/>
    <d v="2012-04-25T00:00:00"/>
    <s v="Critical"/>
    <x v="36"/>
    <x v="0"/>
    <x v="0"/>
    <s v="Small Business"/>
    <x v="0"/>
    <x v="8"/>
    <n v="35.17"/>
    <n v="3.08"/>
  </r>
  <r>
    <n v="4203"/>
    <n v="29862"/>
    <d v="2011-06-19T00:00:00"/>
    <s v="Medium"/>
    <x v="81"/>
    <x v="14"/>
    <x v="0"/>
    <s v="Corporate"/>
    <x v="0"/>
    <x v="9"/>
    <n v="214.64"/>
    <n v="6.48"/>
  </r>
  <r>
    <n v="4204"/>
    <n v="29889"/>
    <d v="2009-12-04T00:00:00"/>
    <s v="Not Specified"/>
    <x v="1098"/>
    <x v="26"/>
    <x v="3"/>
    <s v="Small Business"/>
    <x v="0"/>
    <x v="6"/>
    <n v="243.5"/>
    <n v="5.98"/>
  </r>
  <r>
    <n v="4205"/>
    <n v="29893"/>
    <d v="2012-06-16T00:00:00"/>
    <s v="Medium"/>
    <x v="313"/>
    <x v="13"/>
    <x v="3"/>
    <s v="Small Business"/>
    <x v="0"/>
    <x v="0"/>
    <n v="5452.9"/>
    <n v="225.02"/>
  </r>
  <r>
    <n v="4206"/>
    <n v="29894"/>
    <d v="2010-09-07T00:00:00"/>
    <s v="Low"/>
    <x v="680"/>
    <x v="26"/>
    <x v="3"/>
    <s v="Corporate"/>
    <x v="1"/>
    <x v="2"/>
    <n v="606.98"/>
    <n v="13.73"/>
  </r>
  <r>
    <n v="4207"/>
    <n v="29894"/>
    <d v="2010-09-07T00:00:00"/>
    <s v="Low"/>
    <x v="680"/>
    <x v="26"/>
    <x v="3"/>
    <s v="Corporate"/>
    <x v="0"/>
    <x v="9"/>
    <n v="301.62"/>
    <n v="6.68"/>
  </r>
  <r>
    <n v="4208"/>
    <n v="29895"/>
    <d v="2010-10-20T00:00:00"/>
    <s v="Medium"/>
    <x v="196"/>
    <x v="5"/>
    <x v="0"/>
    <s v="Home Office"/>
    <x v="1"/>
    <x v="11"/>
    <n v="7286.65"/>
    <n v="160.97999999999999"/>
  </r>
  <r>
    <n v="4209"/>
    <n v="29921"/>
    <d v="2012-03-23T00:00:00"/>
    <s v="Medium"/>
    <x v="1030"/>
    <x v="20"/>
    <x v="0"/>
    <s v="Small Business"/>
    <x v="0"/>
    <x v="12"/>
    <n v="3977.97"/>
    <n v="120.98"/>
  </r>
  <r>
    <n v="4210"/>
    <n v="29926"/>
    <d v="2012-03-22T00:00:00"/>
    <s v="Medium"/>
    <x v="739"/>
    <x v="1"/>
    <x v="1"/>
    <s v="Corporate"/>
    <x v="0"/>
    <x v="12"/>
    <n v="20.21"/>
    <n v="2.08"/>
  </r>
  <r>
    <n v="4211"/>
    <n v="29927"/>
    <d v="2012-11-07T00:00:00"/>
    <s v="High"/>
    <x v="1031"/>
    <x v="33"/>
    <x v="0"/>
    <s v="Corporate"/>
    <x v="0"/>
    <x v="12"/>
    <n v="257.97000000000003"/>
    <n v="12.95"/>
  </r>
  <r>
    <n v="4212"/>
    <n v="29953"/>
    <d v="2011-02-07T00:00:00"/>
    <s v="Critical"/>
    <x v="828"/>
    <x v="33"/>
    <x v="0"/>
    <s v="Home Office"/>
    <x v="0"/>
    <x v="12"/>
    <n v="619.77"/>
    <n v="14.45"/>
  </r>
  <r>
    <n v="4213"/>
    <n v="29956"/>
    <d v="2009-08-14T00:00:00"/>
    <s v="Critical"/>
    <x v="975"/>
    <x v="17"/>
    <x v="0"/>
    <s v="Consumer"/>
    <x v="0"/>
    <x v="6"/>
    <n v="80.33"/>
    <n v="1.82"/>
  </r>
  <r>
    <n v="4214"/>
    <n v="29957"/>
    <d v="2010-03-13T00:00:00"/>
    <s v="Critical"/>
    <x v="655"/>
    <x v="8"/>
    <x v="2"/>
    <s v="Corporate"/>
    <x v="1"/>
    <x v="15"/>
    <n v="2555.37"/>
    <n v="95.98"/>
  </r>
  <r>
    <n v="4215"/>
    <n v="29957"/>
    <d v="2010-03-13T00:00:00"/>
    <s v="Critical"/>
    <x v="60"/>
    <x v="43"/>
    <x v="3"/>
    <s v="Corporate"/>
    <x v="0"/>
    <x v="9"/>
    <n v="1447.62"/>
    <n v="48.04"/>
  </r>
  <r>
    <n v="4216"/>
    <n v="29958"/>
    <d v="2011-01-06T00:00:00"/>
    <s v="High"/>
    <x v="957"/>
    <x v="23"/>
    <x v="3"/>
    <s v="Consumer"/>
    <x v="0"/>
    <x v="12"/>
    <n v="307.57"/>
    <n v="6.37"/>
  </r>
  <r>
    <n v="4217"/>
    <n v="29958"/>
    <d v="2011-01-06T00:00:00"/>
    <s v="High"/>
    <x v="957"/>
    <x v="23"/>
    <x v="3"/>
    <s v="Consumer"/>
    <x v="1"/>
    <x v="15"/>
    <n v="14861.07"/>
    <n v="500.98"/>
  </r>
  <r>
    <n v="4218"/>
    <n v="29985"/>
    <d v="2012-07-11T00:00:00"/>
    <s v="Critical"/>
    <x v="669"/>
    <x v="26"/>
    <x v="3"/>
    <s v="Corporate"/>
    <x v="0"/>
    <x v="12"/>
    <n v="24.51"/>
    <n v="8.0399999999999991"/>
  </r>
  <r>
    <n v="4219"/>
    <n v="29985"/>
    <d v="2012-07-11T00:00:00"/>
    <s v="Critical"/>
    <x v="755"/>
    <x v="22"/>
    <x v="0"/>
    <s v="Corporate"/>
    <x v="1"/>
    <x v="2"/>
    <n v="196.75"/>
    <n v="7.96"/>
  </r>
  <r>
    <n v="4220"/>
    <n v="29986"/>
    <d v="2011-07-03T00:00:00"/>
    <s v="Critical"/>
    <x v="679"/>
    <x v="22"/>
    <x v="0"/>
    <s v="Corporate"/>
    <x v="0"/>
    <x v="12"/>
    <n v="1477.39"/>
    <n v="37.700000000000003"/>
  </r>
  <r>
    <n v="4221"/>
    <n v="29988"/>
    <d v="2009-06-12T00:00:00"/>
    <s v="High"/>
    <x v="617"/>
    <x v="4"/>
    <x v="1"/>
    <s v="Corporate"/>
    <x v="2"/>
    <x v="16"/>
    <n v="5177.3999999999996"/>
    <n v="449.99"/>
  </r>
  <r>
    <n v="4222"/>
    <n v="29991"/>
    <d v="2012-10-05T00:00:00"/>
    <s v="Low"/>
    <x v="363"/>
    <x v="15"/>
    <x v="2"/>
    <s v="Small Business"/>
    <x v="0"/>
    <x v="8"/>
    <n v="123.11"/>
    <n v="3.15"/>
  </r>
  <r>
    <n v="4223"/>
    <n v="30016"/>
    <d v="2009-01-03T00:00:00"/>
    <s v="Critical"/>
    <x v="1106"/>
    <x v="38"/>
    <x v="0"/>
    <s v="Corporate"/>
    <x v="0"/>
    <x v="9"/>
    <n v="85.56"/>
    <n v="5.28"/>
  </r>
  <r>
    <n v="4224"/>
    <n v="30016"/>
    <d v="2009-01-03T00:00:00"/>
    <s v="Critical"/>
    <x v="1106"/>
    <x v="38"/>
    <x v="0"/>
    <s v="Corporate"/>
    <x v="2"/>
    <x v="4"/>
    <n v="754.65549999999996"/>
    <n v="110.99"/>
  </r>
  <r>
    <n v="4225"/>
    <n v="30023"/>
    <d v="2010-10-15T00:00:00"/>
    <s v="Low"/>
    <x v="244"/>
    <x v="12"/>
    <x v="3"/>
    <s v="Consumer"/>
    <x v="2"/>
    <x v="16"/>
    <n v="16193.16"/>
    <n v="449.99"/>
  </r>
  <r>
    <n v="4226"/>
    <n v="30023"/>
    <d v="2010-10-15T00:00:00"/>
    <s v="Low"/>
    <x v="369"/>
    <x v="35"/>
    <x v="3"/>
    <s v="Consumer"/>
    <x v="0"/>
    <x v="0"/>
    <n v="157.33000000000001"/>
    <n v="11.35"/>
  </r>
  <r>
    <n v="4227"/>
    <n v="30023"/>
    <d v="2010-10-15T00:00:00"/>
    <s v="Low"/>
    <x v="421"/>
    <x v="31"/>
    <x v="3"/>
    <s v="Consumer"/>
    <x v="2"/>
    <x v="10"/>
    <n v="10253.75"/>
    <n v="400.97"/>
  </r>
  <r>
    <n v="4228"/>
    <n v="30023"/>
    <d v="2010-10-15T00:00:00"/>
    <s v="Low"/>
    <x v="815"/>
    <x v="13"/>
    <x v="3"/>
    <s v="Consumer"/>
    <x v="0"/>
    <x v="6"/>
    <n v="840.24"/>
    <n v="21.38"/>
  </r>
  <r>
    <n v="4229"/>
    <n v="30048"/>
    <d v="2011-06-13T00:00:00"/>
    <s v="Medium"/>
    <x v="536"/>
    <x v="30"/>
    <x v="0"/>
    <s v="Home Office"/>
    <x v="0"/>
    <x v="13"/>
    <n v="7765.13"/>
    <n v="180.98"/>
  </r>
  <r>
    <n v="4230"/>
    <n v="30051"/>
    <d v="2012-03-20T00:00:00"/>
    <s v="Not Specified"/>
    <x v="673"/>
    <x v="4"/>
    <x v="1"/>
    <s v="Home Office"/>
    <x v="0"/>
    <x v="6"/>
    <n v="243.06"/>
    <n v="5.85"/>
  </r>
  <r>
    <n v="4231"/>
    <n v="30053"/>
    <d v="2009-02-01T00:00:00"/>
    <s v="Critical"/>
    <x v="907"/>
    <x v="8"/>
    <x v="2"/>
    <s v="Consumer"/>
    <x v="2"/>
    <x v="10"/>
    <n v="3279.01"/>
    <n v="80.97"/>
  </r>
  <r>
    <n v="4232"/>
    <n v="30054"/>
    <d v="2012-09-01T00:00:00"/>
    <s v="Not Specified"/>
    <x v="189"/>
    <x v="26"/>
    <x v="3"/>
    <s v="Corporate"/>
    <x v="1"/>
    <x v="2"/>
    <n v="311.19"/>
    <n v="9.3800000000000008"/>
  </r>
  <r>
    <n v="4233"/>
    <n v="30081"/>
    <d v="2011-12-17T00:00:00"/>
    <s v="High"/>
    <x v="951"/>
    <x v="8"/>
    <x v="2"/>
    <s v="Home Office"/>
    <x v="0"/>
    <x v="12"/>
    <n v="213.49"/>
    <n v="8.0399999999999991"/>
  </r>
  <r>
    <n v="4234"/>
    <n v="30083"/>
    <d v="2009-01-08T00:00:00"/>
    <s v="Not Specified"/>
    <x v="257"/>
    <x v="21"/>
    <x v="2"/>
    <s v="Home Office"/>
    <x v="0"/>
    <x v="13"/>
    <n v="324.27999999999997"/>
    <n v="14.56"/>
  </r>
  <r>
    <n v="4235"/>
    <n v="30114"/>
    <d v="2010-08-16T00:00:00"/>
    <s v="Low"/>
    <x v="75"/>
    <x v="7"/>
    <x v="3"/>
    <s v="Corporate"/>
    <x v="2"/>
    <x v="16"/>
    <n v="4667.28"/>
    <n v="699.99"/>
  </r>
  <r>
    <n v="4236"/>
    <n v="30144"/>
    <d v="2011-08-06T00:00:00"/>
    <s v="Low"/>
    <x v="185"/>
    <x v="27"/>
    <x v="3"/>
    <s v="Small Business"/>
    <x v="1"/>
    <x v="3"/>
    <n v="5503.39"/>
    <n v="218.75"/>
  </r>
  <r>
    <n v="4237"/>
    <n v="30147"/>
    <d v="2012-06-17T00:00:00"/>
    <s v="Not Specified"/>
    <x v="246"/>
    <x v="22"/>
    <x v="0"/>
    <s v="Consumer"/>
    <x v="1"/>
    <x v="2"/>
    <n v="740.14"/>
    <n v="19.98"/>
  </r>
  <r>
    <n v="4238"/>
    <n v="30149"/>
    <d v="2010-12-12T00:00:00"/>
    <s v="Medium"/>
    <x v="1138"/>
    <x v="22"/>
    <x v="0"/>
    <s v="Corporate"/>
    <x v="0"/>
    <x v="12"/>
    <n v="16.47"/>
    <n v="2.08"/>
  </r>
  <r>
    <n v="4239"/>
    <n v="30149"/>
    <d v="2010-12-12T00:00:00"/>
    <s v="Medium"/>
    <x v="1139"/>
    <x v="22"/>
    <x v="0"/>
    <s v="Corporate"/>
    <x v="1"/>
    <x v="15"/>
    <n v="173.62"/>
    <n v="33.94"/>
  </r>
  <r>
    <n v="4240"/>
    <n v="30149"/>
    <d v="2010-12-12T00:00:00"/>
    <s v="Medium"/>
    <x v="1139"/>
    <x v="22"/>
    <x v="0"/>
    <s v="Corporate"/>
    <x v="1"/>
    <x v="2"/>
    <n v="690.97"/>
    <n v="13.79"/>
  </r>
  <r>
    <n v="4241"/>
    <n v="30150"/>
    <d v="2010-10-04T00:00:00"/>
    <s v="Critical"/>
    <x v="1140"/>
    <x v="12"/>
    <x v="3"/>
    <s v="Home Office"/>
    <x v="0"/>
    <x v="14"/>
    <n v="443.46"/>
    <n v="15.57"/>
  </r>
  <r>
    <n v="4242"/>
    <n v="30151"/>
    <d v="2011-01-29T00:00:00"/>
    <s v="Not Specified"/>
    <x v="346"/>
    <x v="12"/>
    <x v="3"/>
    <s v="Home Office"/>
    <x v="0"/>
    <x v="12"/>
    <n v="792.76"/>
    <n v="24.92"/>
  </r>
  <r>
    <n v="4243"/>
    <n v="30176"/>
    <d v="2009-04-19T00:00:00"/>
    <s v="Low"/>
    <x v="989"/>
    <x v="11"/>
    <x v="2"/>
    <s v="Home Office"/>
    <x v="1"/>
    <x v="2"/>
    <n v="2504.41"/>
    <n v="79.52"/>
  </r>
  <r>
    <n v="4244"/>
    <n v="30208"/>
    <d v="2012-07-16T00:00:00"/>
    <s v="Low"/>
    <x v="971"/>
    <x v="26"/>
    <x v="3"/>
    <s v="Home Office"/>
    <x v="2"/>
    <x v="4"/>
    <n v="1752.0964999999999"/>
    <n v="45.99"/>
  </r>
  <r>
    <n v="4245"/>
    <n v="30211"/>
    <d v="2010-06-07T00:00:00"/>
    <s v="Medium"/>
    <x v="1049"/>
    <x v="4"/>
    <x v="1"/>
    <s v="Small Business"/>
    <x v="0"/>
    <x v="9"/>
    <n v="141.96"/>
    <n v="7.4"/>
  </r>
  <r>
    <n v="4246"/>
    <n v="30214"/>
    <d v="2009-10-04T00:00:00"/>
    <s v="Low"/>
    <x v="1015"/>
    <x v="8"/>
    <x v="2"/>
    <s v="Home Office"/>
    <x v="0"/>
    <x v="12"/>
    <n v="375.61"/>
    <n v="10.44"/>
  </r>
  <r>
    <n v="4247"/>
    <n v="30215"/>
    <d v="2009-02-26T00:00:00"/>
    <s v="Medium"/>
    <x v="29"/>
    <x v="13"/>
    <x v="3"/>
    <s v="Home Office"/>
    <x v="2"/>
    <x v="4"/>
    <n v="3637.7280000000001"/>
    <n v="195.99"/>
  </r>
  <r>
    <n v="4248"/>
    <n v="30215"/>
    <d v="2009-02-26T00:00:00"/>
    <s v="Medium"/>
    <x v="1141"/>
    <x v="35"/>
    <x v="3"/>
    <s v="Home Office"/>
    <x v="0"/>
    <x v="9"/>
    <n v="125.84"/>
    <n v="6.88"/>
  </r>
  <r>
    <n v="4249"/>
    <n v="30243"/>
    <d v="2010-05-05T00:00:00"/>
    <s v="Critical"/>
    <x v="678"/>
    <x v="30"/>
    <x v="0"/>
    <s v="Corporate"/>
    <x v="0"/>
    <x v="13"/>
    <n v="2435.3200000000002"/>
    <n v="60.22"/>
  </r>
  <r>
    <n v="4250"/>
    <n v="30243"/>
    <d v="2010-05-05T00:00:00"/>
    <s v="Critical"/>
    <x v="678"/>
    <x v="30"/>
    <x v="0"/>
    <s v="Corporate"/>
    <x v="2"/>
    <x v="16"/>
    <n v="4242.76"/>
    <n v="199.99"/>
  </r>
  <r>
    <n v="4251"/>
    <n v="30276"/>
    <d v="2011-08-26T00:00:00"/>
    <s v="Low"/>
    <x v="830"/>
    <x v="12"/>
    <x v="3"/>
    <s v="Corporate"/>
    <x v="2"/>
    <x v="4"/>
    <n v="1453.704"/>
    <n v="35.99"/>
  </r>
  <r>
    <n v="4252"/>
    <n v="30276"/>
    <d v="2011-08-26T00:00:00"/>
    <s v="Low"/>
    <x v="1142"/>
    <x v="12"/>
    <x v="3"/>
    <s v="Corporate"/>
    <x v="1"/>
    <x v="3"/>
    <n v="7656.3040000000001"/>
    <n v="296.18"/>
  </r>
  <r>
    <n v="4253"/>
    <n v="30278"/>
    <d v="2009-09-30T00:00:00"/>
    <s v="Low"/>
    <x v="1037"/>
    <x v="36"/>
    <x v="2"/>
    <s v="Home Office"/>
    <x v="2"/>
    <x v="4"/>
    <n v="2860.93"/>
    <n v="65.989999999999995"/>
  </r>
  <r>
    <n v="4254"/>
    <n v="30279"/>
    <d v="2011-12-07T00:00:00"/>
    <s v="Critical"/>
    <x v="218"/>
    <x v="12"/>
    <x v="3"/>
    <s v="Corporate"/>
    <x v="0"/>
    <x v="13"/>
    <n v="1412.98"/>
    <n v="60.97"/>
  </r>
  <r>
    <n v="4255"/>
    <n v="30279"/>
    <d v="2011-12-07T00:00:00"/>
    <s v="Critical"/>
    <x v="1143"/>
    <x v="12"/>
    <x v="3"/>
    <s v="Corporate"/>
    <x v="2"/>
    <x v="10"/>
    <n v="19539.939999999999"/>
    <n v="517.48"/>
  </r>
  <r>
    <n v="4256"/>
    <n v="30308"/>
    <d v="2010-03-21T00:00:00"/>
    <s v="Medium"/>
    <x v="705"/>
    <x v="5"/>
    <x v="0"/>
    <s v="Corporate"/>
    <x v="0"/>
    <x v="12"/>
    <n v="30.38"/>
    <n v="1.8"/>
  </r>
  <r>
    <n v="4257"/>
    <n v="30310"/>
    <d v="2012-04-26T00:00:00"/>
    <s v="Medium"/>
    <x v="570"/>
    <x v="22"/>
    <x v="0"/>
    <s v="Consumer"/>
    <x v="2"/>
    <x v="4"/>
    <n v="2024.0284999999999"/>
    <n v="125.99"/>
  </r>
  <r>
    <n v="4258"/>
    <n v="30336"/>
    <d v="2010-01-29T00:00:00"/>
    <s v="Medium"/>
    <x v="1144"/>
    <x v="7"/>
    <x v="3"/>
    <s v="Corporate"/>
    <x v="0"/>
    <x v="0"/>
    <n v="5155.07"/>
    <n v="193.17"/>
  </r>
  <r>
    <n v="4259"/>
    <n v="30341"/>
    <d v="2009-01-31T00:00:00"/>
    <s v="Low"/>
    <x v="919"/>
    <x v="17"/>
    <x v="0"/>
    <s v="Home Office"/>
    <x v="1"/>
    <x v="15"/>
    <n v="6244.18"/>
    <n v="160.97999999999999"/>
  </r>
  <r>
    <n v="4260"/>
    <n v="30341"/>
    <d v="2009-01-31T00:00:00"/>
    <s v="Low"/>
    <x v="919"/>
    <x v="17"/>
    <x v="0"/>
    <s v="Home Office"/>
    <x v="0"/>
    <x v="8"/>
    <n v="239.75"/>
    <n v="6.3"/>
  </r>
  <r>
    <n v="4261"/>
    <n v="30341"/>
    <d v="2009-01-31T00:00:00"/>
    <s v="Low"/>
    <x v="919"/>
    <x v="17"/>
    <x v="0"/>
    <s v="Home Office"/>
    <x v="0"/>
    <x v="9"/>
    <n v="150.19999999999999"/>
    <n v="4.9800000000000004"/>
  </r>
  <r>
    <n v="4262"/>
    <n v="30343"/>
    <d v="2012-05-21T00:00:00"/>
    <s v="Critical"/>
    <x v="62"/>
    <x v="25"/>
    <x v="1"/>
    <s v="Corporate"/>
    <x v="2"/>
    <x v="5"/>
    <n v="1556.42"/>
    <n v="30.42"/>
  </r>
  <r>
    <n v="4263"/>
    <n v="30343"/>
    <d v="2012-05-21T00:00:00"/>
    <s v="Critical"/>
    <x v="1145"/>
    <x v="25"/>
    <x v="1"/>
    <s v="Corporate"/>
    <x v="0"/>
    <x v="8"/>
    <n v="130.28"/>
    <n v="4.91"/>
  </r>
  <r>
    <n v="4264"/>
    <n v="30343"/>
    <d v="2012-05-21T00:00:00"/>
    <s v="Critical"/>
    <x v="318"/>
    <x v="2"/>
    <x v="2"/>
    <s v="Corporate"/>
    <x v="2"/>
    <x v="10"/>
    <n v="41343.21"/>
    <n v="6783.02"/>
  </r>
  <r>
    <n v="4265"/>
    <n v="30369"/>
    <d v="2011-03-24T00:00:00"/>
    <s v="Critical"/>
    <x v="646"/>
    <x v="26"/>
    <x v="3"/>
    <s v="Home Office"/>
    <x v="0"/>
    <x v="9"/>
    <n v="76.81"/>
    <n v="4.9800000000000004"/>
  </r>
  <r>
    <n v="4266"/>
    <n v="30369"/>
    <d v="2011-03-24T00:00:00"/>
    <s v="Critical"/>
    <x v="646"/>
    <x v="26"/>
    <x v="3"/>
    <s v="Home Office"/>
    <x v="0"/>
    <x v="1"/>
    <n v="174.22"/>
    <n v="8.34"/>
  </r>
  <r>
    <n v="4267"/>
    <n v="30372"/>
    <d v="2010-08-30T00:00:00"/>
    <s v="High"/>
    <x v="580"/>
    <x v="30"/>
    <x v="0"/>
    <s v="Corporate"/>
    <x v="1"/>
    <x v="2"/>
    <n v="14.4"/>
    <n v="12.22"/>
  </r>
  <r>
    <n v="4268"/>
    <n v="30374"/>
    <d v="2010-03-21T00:00:00"/>
    <s v="Critical"/>
    <x v="222"/>
    <x v="29"/>
    <x v="2"/>
    <s v="Corporate"/>
    <x v="0"/>
    <x v="13"/>
    <n v="709.54"/>
    <n v="59.98"/>
  </r>
  <r>
    <n v="4269"/>
    <n v="30374"/>
    <d v="2010-03-21T00:00:00"/>
    <s v="Critical"/>
    <x v="222"/>
    <x v="29"/>
    <x v="2"/>
    <s v="Corporate"/>
    <x v="2"/>
    <x v="5"/>
    <n v="1220.08"/>
    <n v="28.48"/>
  </r>
  <r>
    <n v="4270"/>
    <n v="30375"/>
    <d v="2012-05-03T00:00:00"/>
    <s v="Low"/>
    <x v="626"/>
    <x v="11"/>
    <x v="2"/>
    <s v="Corporate"/>
    <x v="0"/>
    <x v="12"/>
    <n v="71.45"/>
    <n v="3.36"/>
  </r>
  <r>
    <n v="4271"/>
    <n v="30401"/>
    <d v="2012-10-18T00:00:00"/>
    <s v="Medium"/>
    <x v="454"/>
    <x v="4"/>
    <x v="1"/>
    <s v="Corporate"/>
    <x v="0"/>
    <x v="9"/>
    <n v="239.4"/>
    <n v="5.98"/>
  </r>
  <r>
    <n v="4272"/>
    <n v="30403"/>
    <d v="2012-07-10T00:00:00"/>
    <s v="High"/>
    <x v="1019"/>
    <x v="25"/>
    <x v="1"/>
    <s v="Home Office"/>
    <x v="0"/>
    <x v="12"/>
    <n v="305.01"/>
    <n v="7.3"/>
  </r>
  <r>
    <n v="4273"/>
    <n v="30403"/>
    <d v="2012-07-10T00:00:00"/>
    <s v="High"/>
    <x v="1019"/>
    <x v="25"/>
    <x v="1"/>
    <s v="Home Office"/>
    <x v="0"/>
    <x v="0"/>
    <n v="3583.52"/>
    <n v="161.55000000000001"/>
  </r>
  <r>
    <n v="4274"/>
    <n v="30405"/>
    <d v="2012-04-28T00:00:00"/>
    <s v="Low"/>
    <x v="1146"/>
    <x v="44"/>
    <x v="2"/>
    <s v="Home Office"/>
    <x v="1"/>
    <x v="3"/>
    <n v="2789.03"/>
    <n v="400.98"/>
  </r>
  <r>
    <n v="4275"/>
    <n v="30407"/>
    <d v="2009-04-17T00:00:00"/>
    <s v="Low"/>
    <x v="566"/>
    <x v="18"/>
    <x v="2"/>
    <s v="Corporate"/>
    <x v="0"/>
    <x v="0"/>
    <n v="17853.64"/>
    <n v="419.19"/>
  </r>
  <r>
    <n v="4276"/>
    <n v="30433"/>
    <d v="2010-06-09T00:00:00"/>
    <s v="Medium"/>
    <x v="681"/>
    <x v="14"/>
    <x v="0"/>
    <s v="Home Office"/>
    <x v="0"/>
    <x v="1"/>
    <n v="253.38"/>
    <n v="13.9"/>
  </r>
  <r>
    <n v="4277"/>
    <n v="30436"/>
    <d v="2012-07-07T00:00:00"/>
    <s v="Low"/>
    <x v="724"/>
    <x v="5"/>
    <x v="0"/>
    <s v="Corporate"/>
    <x v="0"/>
    <x v="12"/>
    <n v="121.19"/>
    <n v="3.89"/>
  </r>
  <r>
    <n v="4278"/>
    <n v="30467"/>
    <d v="2009-08-15T00:00:00"/>
    <s v="Critical"/>
    <x v="392"/>
    <x v="17"/>
    <x v="0"/>
    <s v="Consumer"/>
    <x v="0"/>
    <x v="12"/>
    <n v="2019.65"/>
    <n v="420.98"/>
  </r>
  <r>
    <n v="4279"/>
    <n v="30469"/>
    <d v="2012-12-25T00:00:00"/>
    <s v="Not Specified"/>
    <x v="1147"/>
    <x v="9"/>
    <x v="1"/>
    <s v="Corporate"/>
    <x v="0"/>
    <x v="6"/>
    <n v="304.26"/>
    <n v="7.08"/>
  </r>
  <r>
    <n v="4280"/>
    <n v="30497"/>
    <d v="2011-02-06T00:00:00"/>
    <s v="Critical"/>
    <x v="1034"/>
    <x v="8"/>
    <x v="2"/>
    <s v="Corporate"/>
    <x v="0"/>
    <x v="12"/>
    <n v="706.91"/>
    <n v="20.98"/>
  </r>
  <r>
    <n v="4281"/>
    <n v="30497"/>
    <d v="2011-02-06T00:00:00"/>
    <s v="Critical"/>
    <x v="1034"/>
    <x v="8"/>
    <x v="2"/>
    <s v="Corporate"/>
    <x v="0"/>
    <x v="9"/>
    <n v="190.06"/>
    <n v="5.98"/>
  </r>
  <r>
    <n v="4282"/>
    <n v="30499"/>
    <d v="2012-10-30T00:00:00"/>
    <s v="High"/>
    <x v="1067"/>
    <x v="30"/>
    <x v="0"/>
    <s v="Consumer"/>
    <x v="0"/>
    <x v="14"/>
    <n v="92.06"/>
    <n v="5.98"/>
  </r>
  <r>
    <n v="4283"/>
    <n v="30499"/>
    <d v="2012-10-30T00:00:00"/>
    <s v="High"/>
    <x v="1067"/>
    <x v="30"/>
    <x v="0"/>
    <s v="Consumer"/>
    <x v="0"/>
    <x v="6"/>
    <n v="199.62"/>
    <n v="5.84"/>
  </r>
  <r>
    <n v="4284"/>
    <n v="30532"/>
    <d v="2011-11-26T00:00:00"/>
    <s v="High"/>
    <x v="612"/>
    <x v="14"/>
    <x v="0"/>
    <s v="Home Office"/>
    <x v="0"/>
    <x v="12"/>
    <n v="431.37"/>
    <n v="15.22"/>
  </r>
  <r>
    <n v="4285"/>
    <n v="30532"/>
    <d v="2011-11-26T00:00:00"/>
    <s v="High"/>
    <x v="612"/>
    <x v="14"/>
    <x v="0"/>
    <s v="Home Office"/>
    <x v="0"/>
    <x v="14"/>
    <n v="262.31"/>
    <n v="11.09"/>
  </r>
  <r>
    <n v="4286"/>
    <n v="30532"/>
    <d v="2011-11-26T00:00:00"/>
    <s v="High"/>
    <x v="612"/>
    <x v="14"/>
    <x v="0"/>
    <s v="Home Office"/>
    <x v="0"/>
    <x v="9"/>
    <n v="514.03"/>
    <n v="11.34"/>
  </r>
  <r>
    <n v="4287"/>
    <n v="30532"/>
    <d v="2011-11-26T00:00:00"/>
    <s v="High"/>
    <x v="1148"/>
    <x v="14"/>
    <x v="0"/>
    <s v="Home Office"/>
    <x v="1"/>
    <x v="11"/>
    <n v="1696.7"/>
    <n v="180.98"/>
  </r>
  <r>
    <n v="4288"/>
    <n v="30564"/>
    <d v="2009-02-26T00:00:00"/>
    <s v="Critical"/>
    <x v="78"/>
    <x v="29"/>
    <x v="2"/>
    <s v="Home Office"/>
    <x v="2"/>
    <x v="4"/>
    <n v="606.39850000000001"/>
    <n v="35.99"/>
  </r>
  <r>
    <n v="4289"/>
    <n v="30565"/>
    <d v="2011-07-26T00:00:00"/>
    <s v="Medium"/>
    <x v="42"/>
    <x v="11"/>
    <x v="2"/>
    <s v="Corporate"/>
    <x v="2"/>
    <x v="5"/>
    <n v="1785.02"/>
    <n v="55.94"/>
  </r>
  <r>
    <n v="4290"/>
    <n v="30566"/>
    <d v="2011-07-01T00:00:00"/>
    <s v="Low"/>
    <x v="820"/>
    <x v="28"/>
    <x v="1"/>
    <s v="Small Business"/>
    <x v="0"/>
    <x v="9"/>
    <n v="225.45"/>
    <n v="6.48"/>
  </r>
  <r>
    <n v="4291"/>
    <n v="30567"/>
    <d v="2009-01-14T00:00:00"/>
    <s v="Not Specified"/>
    <x v="882"/>
    <x v="11"/>
    <x v="2"/>
    <s v="Small Business"/>
    <x v="0"/>
    <x v="13"/>
    <n v="2690.84"/>
    <n v="208.16"/>
  </r>
  <r>
    <n v="4292"/>
    <n v="30567"/>
    <d v="2009-01-14T00:00:00"/>
    <s v="Not Specified"/>
    <x v="636"/>
    <x v="11"/>
    <x v="2"/>
    <s v="Small Business"/>
    <x v="0"/>
    <x v="14"/>
    <n v="733.55"/>
    <n v="90.48"/>
  </r>
  <r>
    <n v="4293"/>
    <n v="30567"/>
    <d v="2009-01-14T00:00:00"/>
    <s v="Not Specified"/>
    <x v="636"/>
    <x v="11"/>
    <x v="2"/>
    <s v="Small Business"/>
    <x v="1"/>
    <x v="2"/>
    <n v="38.71"/>
    <n v="9.48"/>
  </r>
  <r>
    <n v="4294"/>
    <n v="30567"/>
    <d v="2009-01-14T00:00:00"/>
    <s v="Not Specified"/>
    <x v="636"/>
    <x v="11"/>
    <x v="2"/>
    <s v="Small Business"/>
    <x v="0"/>
    <x v="6"/>
    <n v="62.6"/>
    <n v="4.28"/>
  </r>
  <r>
    <n v="4295"/>
    <n v="30593"/>
    <d v="2011-07-25T00:00:00"/>
    <s v="Critical"/>
    <x v="1149"/>
    <x v="43"/>
    <x v="3"/>
    <s v="Small Business"/>
    <x v="1"/>
    <x v="2"/>
    <n v="97.65"/>
    <n v="4.18"/>
  </r>
  <r>
    <n v="4296"/>
    <n v="30593"/>
    <d v="2011-07-25T00:00:00"/>
    <s v="Critical"/>
    <x v="1149"/>
    <x v="43"/>
    <x v="3"/>
    <s v="Small Business"/>
    <x v="0"/>
    <x v="6"/>
    <n v="1408.34"/>
    <n v="34.58"/>
  </r>
  <r>
    <n v="4297"/>
    <n v="30597"/>
    <d v="2012-08-05T00:00:00"/>
    <s v="High"/>
    <x v="643"/>
    <x v="14"/>
    <x v="0"/>
    <s v="Consumer"/>
    <x v="1"/>
    <x v="2"/>
    <n v="93.02"/>
    <n v="5.08"/>
  </r>
  <r>
    <n v="4298"/>
    <n v="30597"/>
    <d v="2012-08-05T00:00:00"/>
    <s v="High"/>
    <x v="643"/>
    <x v="14"/>
    <x v="0"/>
    <s v="Consumer"/>
    <x v="0"/>
    <x v="0"/>
    <n v="639.84"/>
    <n v="15.14"/>
  </r>
  <r>
    <n v="4299"/>
    <n v="30599"/>
    <d v="2012-02-10T00:00:00"/>
    <s v="Not Specified"/>
    <x v="419"/>
    <x v="40"/>
    <x v="3"/>
    <s v="Corporate"/>
    <x v="0"/>
    <x v="9"/>
    <n v="105.93"/>
    <n v="4.76"/>
  </r>
  <r>
    <n v="4300"/>
    <n v="30625"/>
    <d v="2010-02-08T00:00:00"/>
    <s v="Critical"/>
    <x v="100"/>
    <x v="34"/>
    <x v="2"/>
    <s v="Corporate"/>
    <x v="0"/>
    <x v="12"/>
    <n v="478.94"/>
    <n v="12.53"/>
  </r>
  <r>
    <n v="4301"/>
    <n v="30625"/>
    <d v="2010-02-08T00:00:00"/>
    <s v="Critical"/>
    <x v="100"/>
    <x v="34"/>
    <x v="2"/>
    <s v="Corporate"/>
    <x v="1"/>
    <x v="2"/>
    <n v="2429.09"/>
    <n v="105.29"/>
  </r>
  <r>
    <n v="4302"/>
    <n v="30626"/>
    <d v="2011-04-25T00:00:00"/>
    <s v="Critical"/>
    <x v="1001"/>
    <x v="36"/>
    <x v="2"/>
    <s v="Corporate"/>
    <x v="0"/>
    <x v="6"/>
    <n v="220.82"/>
    <n v="9.93"/>
  </r>
  <r>
    <n v="4303"/>
    <n v="30657"/>
    <d v="2011-05-10T00:00:00"/>
    <s v="High"/>
    <x v="1150"/>
    <x v="2"/>
    <x v="2"/>
    <s v="Corporate"/>
    <x v="2"/>
    <x v="5"/>
    <n v="273.38"/>
    <n v="43.22"/>
  </r>
  <r>
    <n v="4304"/>
    <n v="30657"/>
    <d v="2011-05-10T00:00:00"/>
    <s v="High"/>
    <x v="1150"/>
    <x v="2"/>
    <x v="2"/>
    <s v="Corporate"/>
    <x v="2"/>
    <x v="5"/>
    <n v="179.66"/>
    <n v="22.24"/>
  </r>
  <r>
    <n v="4305"/>
    <n v="30658"/>
    <d v="2011-03-26T00:00:00"/>
    <s v="Medium"/>
    <x v="994"/>
    <x v="0"/>
    <x v="0"/>
    <s v="Corporate"/>
    <x v="2"/>
    <x v="16"/>
    <n v="17387.650000000001"/>
    <n v="499.99"/>
  </r>
  <r>
    <n v="4306"/>
    <n v="30658"/>
    <d v="2011-03-26T00:00:00"/>
    <s v="Medium"/>
    <x v="994"/>
    <x v="0"/>
    <x v="0"/>
    <s v="Corporate"/>
    <x v="0"/>
    <x v="0"/>
    <n v="6040.22"/>
    <n v="138.13999999999999"/>
  </r>
  <r>
    <n v="4307"/>
    <n v="30659"/>
    <d v="2011-09-13T00:00:00"/>
    <s v="Critical"/>
    <x v="618"/>
    <x v="20"/>
    <x v="0"/>
    <s v="Corporate"/>
    <x v="2"/>
    <x v="4"/>
    <n v="3116.7714999999998"/>
    <n v="85.99"/>
  </r>
  <r>
    <n v="4308"/>
    <n v="30660"/>
    <d v="2012-09-05T00:00:00"/>
    <s v="Critical"/>
    <x v="98"/>
    <x v="20"/>
    <x v="0"/>
    <s v="Small Business"/>
    <x v="1"/>
    <x v="3"/>
    <n v="986.27199999999993"/>
    <n v="71.37"/>
  </r>
  <r>
    <n v="4309"/>
    <n v="30720"/>
    <d v="2012-09-27T00:00:00"/>
    <s v="Low"/>
    <x v="21"/>
    <x v="16"/>
    <x v="1"/>
    <s v="Small Business"/>
    <x v="0"/>
    <x v="12"/>
    <n v="32.770000000000003"/>
    <n v="5.74"/>
  </r>
  <r>
    <n v="4310"/>
    <n v="30720"/>
    <d v="2012-09-27T00:00:00"/>
    <s v="Low"/>
    <x v="21"/>
    <x v="16"/>
    <x v="1"/>
    <s v="Small Business"/>
    <x v="2"/>
    <x v="5"/>
    <n v="1701.53"/>
    <n v="43.98"/>
  </r>
  <r>
    <n v="4311"/>
    <n v="30720"/>
    <d v="2012-09-27T00:00:00"/>
    <s v="Low"/>
    <x v="815"/>
    <x v="13"/>
    <x v="3"/>
    <s v="Small Business"/>
    <x v="1"/>
    <x v="2"/>
    <n v="2398.9"/>
    <n v="95.46"/>
  </r>
  <r>
    <n v="4312"/>
    <n v="30725"/>
    <d v="2009-12-28T00:00:00"/>
    <s v="Medium"/>
    <x v="1151"/>
    <x v="7"/>
    <x v="3"/>
    <s v="Small Business"/>
    <x v="2"/>
    <x v="16"/>
    <n v="16468.55"/>
    <n v="449.99"/>
  </r>
  <r>
    <n v="4313"/>
    <n v="30726"/>
    <d v="2009-11-25T00:00:00"/>
    <s v="Medium"/>
    <x v="1152"/>
    <x v="26"/>
    <x v="3"/>
    <s v="Home Office"/>
    <x v="0"/>
    <x v="13"/>
    <n v="725.15"/>
    <n v="20.27"/>
  </r>
  <r>
    <n v="4314"/>
    <n v="30727"/>
    <d v="2012-07-25T00:00:00"/>
    <s v="Medium"/>
    <x v="283"/>
    <x v="26"/>
    <x v="3"/>
    <s v="Small Business"/>
    <x v="0"/>
    <x v="13"/>
    <n v="1166.29"/>
    <n v="41.71"/>
  </r>
  <r>
    <n v="4315"/>
    <n v="30754"/>
    <d v="2010-11-25T00:00:00"/>
    <s v="Low"/>
    <x v="117"/>
    <x v="19"/>
    <x v="3"/>
    <s v="Home Office"/>
    <x v="1"/>
    <x v="3"/>
    <n v="4108.17"/>
    <n v="209.37"/>
  </r>
  <r>
    <n v="4316"/>
    <n v="30757"/>
    <d v="2010-12-26T00:00:00"/>
    <s v="Medium"/>
    <x v="664"/>
    <x v="4"/>
    <x v="1"/>
    <s v="Home Office"/>
    <x v="0"/>
    <x v="6"/>
    <n v="21.32"/>
    <n v="3.38"/>
  </r>
  <r>
    <n v="4317"/>
    <n v="30757"/>
    <d v="2010-12-26T00:00:00"/>
    <s v="Medium"/>
    <x v="664"/>
    <x v="4"/>
    <x v="1"/>
    <s v="Home Office"/>
    <x v="0"/>
    <x v="6"/>
    <n v="457.51"/>
    <n v="11.66"/>
  </r>
  <r>
    <n v="4318"/>
    <n v="30759"/>
    <d v="2009-05-08T00:00:00"/>
    <s v="Not Specified"/>
    <x v="1132"/>
    <x v="16"/>
    <x v="1"/>
    <s v="Corporate"/>
    <x v="1"/>
    <x v="2"/>
    <n v="64.790000000000006"/>
    <n v="29.34"/>
  </r>
  <r>
    <n v="4319"/>
    <n v="30784"/>
    <d v="2012-05-07T00:00:00"/>
    <s v="Medium"/>
    <x v="917"/>
    <x v="7"/>
    <x v="3"/>
    <s v="Small Business"/>
    <x v="1"/>
    <x v="11"/>
    <n v="707.3"/>
    <n v="70.98"/>
  </r>
  <r>
    <n v="4320"/>
    <n v="30784"/>
    <d v="2012-05-07T00:00:00"/>
    <s v="Medium"/>
    <x v="917"/>
    <x v="7"/>
    <x v="3"/>
    <s v="Small Business"/>
    <x v="0"/>
    <x v="6"/>
    <n v="335.64"/>
    <n v="6.7"/>
  </r>
  <r>
    <n v="4321"/>
    <n v="30785"/>
    <d v="2009-07-03T00:00:00"/>
    <s v="High"/>
    <x v="999"/>
    <x v="17"/>
    <x v="0"/>
    <s v="Home Office"/>
    <x v="0"/>
    <x v="9"/>
    <n v="55.81"/>
    <n v="6.48"/>
  </r>
  <r>
    <n v="4322"/>
    <n v="30785"/>
    <d v="2009-07-03T00:00:00"/>
    <s v="High"/>
    <x v="1153"/>
    <x v="17"/>
    <x v="0"/>
    <s v="Home Office"/>
    <x v="0"/>
    <x v="6"/>
    <n v="373.07"/>
    <n v="9.93"/>
  </r>
  <r>
    <n v="4323"/>
    <n v="30786"/>
    <d v="2012-07-16T00:00:00"/>
    <s v="Medium"/>
    <x v="132"/>
    <x v="6"/>
    <x v="1"/>
    <s v="Small Business"/>
    <x v="0"/>
    <x v="6"/>
    <n v="65.91"/>
    <n v="2.78"/>
  </r>
  <r>
    <n v="4324"/>
    <n v="30786"/>
    <d v="2012-07-16T00:00:00"/>
    <s v="Medium"/>
    <x v="132"/>
    <x v="6"/>
    <x v="1"/>
    <s v="Small Business"/>
    <x v="0"/>
    <x v="0"/>
    <n v="72.72"/>
    <n v="15.42"/>
  </r>
  <r>
    <n v="4325"/>
    <n v="30787"/>
    <d v="2011-09-27T00:00:00"/>
    <s v="High"/>
    <x v="1013"/>
    <x v="32"/>
    <x v="0"/>
    <s v="Home Office"/>
    <x v="2"/>
    <x v="4"/>
    <n v="6477.4589999999998"/>
    <n v="175.99"/>
  </r>
  <r>
    <n v="4326"/>
    <n v="30820"/>
    <d v="2011-04-09T00:00:00"/>
    <s v="Critical"/>
    <x v="1025"/>
    <x v="5"/>
    <x v="0"/>
    <s v="Small Business"/>
    <x v="0"/>
    <x v="6"/>
    <n v="48.01"/>
    <n v="2.21"/>
  </r>
  <r>
    <n v="4327"/>
    <n v="30848"/>
    <d v="2011-05-01T00:00:00"/>
    <s v="Medium"/>
    <x v="780"/>
    <x v="16"/>
    <x v="1"/>
    <s v="Corporate"/>
    <x v="1"/>
    <x v="3"/>
    <n v="4324.29"/>
    <n v="348.21"/>
  </r>
  <r>
    <n v="4328"/>
    <n v="30851"/>
    <d v="2010-09-21T00:00:00"/>
    <s v="Low"/>
    <x v="558"/>
    <x v="36"/>
    <x v="2"/>
    <s v="Consumer"/>
    <x v="0"/>
    <x v="6"/>
    <n v="336.29"/>
    <n v="21.38"/>
  </r>
  <r>
    <n v="4329"/>
    <n v="30852"/>
    <d v="2009-05-14T00:00:00"/>
    <s v="Critical"/>
    <x v="228"/>
    <x v="28"/>
    <x v="1"/>
    <s v="Corporate"/>
    <x v="2"/>
    <x v="4"/>
    <n v="2827.1424999999999"/>
    <n v="95.99"/>
  </r>
  <r>
    <n v="4330"/>
    <n v="30853"/>
    <d v="2011-07-27T00:00:00"/>
    <s v="Medium"/>
    <x v="519"/>
    <x v="15"/>
    <x v="2"/>
    <s v="Small Business"/>
    <x v="0"/>
    <x v="9"/>
    <n v="41.52"/>
    <n v="2.1800000000000002"/>
  </r>
  <r>
    <n v="4331"/>
    <n v="30853"/>
    <d v="2011-07-27T00:00:00"/>
    <s v="Medium"/>
    <x v="1154"/>
    <x v="21"/>
    <x v="2"/>
    <s v="Small Business"/>
    <x v="0"/>
    <x v="8"/>
    <n v="254.02"/>
    <n v="6.3"/>
  </r>
  <r>
    <n v="4332"/>
    <n v="30883"/>
    <d v="2010-08-21T00:00:00"/>
    <s v="Medium"/>
    <x v="1108"/>
    <x v="20"/>
    <x v="0"/>
    <s v="Home Office"/>
    <x v="0"/>
    <x v="9"/>
    <n v="201.37"/>
    <n v="6.98"/>
  </r>
  <r>
    <n v="4333"/>
    <n v="30884"/>
    <d v="2010-09-26T00:00:00"/>
    <s v="Low"/>
    <x v="288"/>
    <x v="13"/>
    <x v="3"/>
    <s v="Corporate"/>
    <x v="1"/>
    <x v="3"/>
    <n v="763.44799999999998"/>
    <n v="146.05000000000001"/>
  </r>
  <r>
    <n v="4334"/>
    <n v="30885"/>
    <d v="2010-06-21T00:00:00"/>
    <s v="High"/>
    <x v="665"/>
    <x v="16"/>
    <x v="1"/>
    <s v="Corporate"/>
    <x v="0"/>
    <x v="0"/>
    <n v="234.24"/>
    <n v="9.7100000000000009"/>
  </r>
  <r>
    <n v="4335"/>
    <n v="30886"/>
    <d v="2012-05-12T00:00:00"/>
    <s v="Low"/>
    <x v="1155"/>
    <x v="15"/>
    <x v="2"/>
    <s v="Consumer"/>
    <x v="0"/>
    <x v="0"/>
    <n v="5320.57"/>
    <n v="193.17"/>
  </r>
  <r>
    <n v="4336"/>
    <n v="30887"/>
    <d v="2010-07-07T00:00:00"/>
    <s v="Critical"/>
    <x v="1132"/>
    <x v="16"/>
    <x v="1"/>
    <s v="Home Office"/>
    <x v="2"/>
    <x v="4"/>
    <n v="4357.1170000000002"/>
    <n v="115.99"/>
  </r>
  <r>
    <n v="4337"/>
    <n v="30913"/>
    <d v="2012-09-22T00:00:00"/>
    <s v="Medium"/>
    <x v="739"/>
    <x v="1"/>
    <x v="1"/>
    <s v="Corporate"/>
    <x v="0"/>
    <x v="12"/>
    <n v="143.1"/>
    <n v="5.98"/>
  </r>
  <r>
    <n v="4338"/>
    <n v="30913"/>
    <d v="2012-09-22T00:00:00"/>
    <s v="Medium"/>
    <x v="1156"/>
    <x v="1"/>
    <x v="1"/>
    <s v="Corporate"/>
    <x v="2"/>
    <x v="5"/>
    <n v="795.52"/>
    <n v="22.24"/>
  </r>
  <r>
    <n v="4339"/>
    <n v="30913"/>
    <d v="2012-09-22T00:00:00"/>
    <s v="Medium"/>
    <x v="1156"/>
    <x v="1"/>
    <x v="1"/>
    <s v="Corporate"/>
    <x v="0"/>
    <x v="8"/>
    <n v="126.36"/>
    <n v="2.89"/>
  </r>
  <r>
    <n v="4340"/>
    <n v="30913"/>
    <d v="2012-09-22T00:00:00"/>
    <s v="Medium"/>
    <x v="1156"/>
    <x v="1"/>
    <x v="1"/>
    <s v="Corporate"/>
    <x v="1"/>
    <x v="2"/>
    <n v="496.62"/>
    <n v="19.98"/>
  </r>
  <r>
    <n v="4341"/>
    <n v="30915"/>
    <d v="2009-01-16T00:00:00"/>
    <s v="Low"/>
    <x v="734"/>
    <x v="26"/>
    <x v="3"/>
    <s v="Corporate"/>
    <x v="0"/>
    <x v="6"/>
    <n v="62.78"/>
    <n v="2.98"/>
  </r>
  <r>
    <n v="4342"/>
    <n v="30915"/>
    <d v="2009-01-16T00:00:00"/>
    <s v="Low"/>
    <x v="734"/>
    <x v="26"/>
    <x v="3"/>
    <s v="Corporate"/>
    <x v="2"/>
    <x v="4"/>
    <n v="2836.0505000000003"/>
    <n v="125.99"/>
  </r>
  <r>
    <n v="4343"/>
    <n v="30917"/>
    <d v="2010-11-01T00:00:00"/>
    <s v="Low"/>
    <x v="907"/>
    <x v="8"/>
    <x v="2"/>
    <s v="Corporate"/>
    <x v="2"/>
    <x v="5"/>
    <n v="86.79"/>
    <n v="8.1199999999999992"/>
  </r>
  <r>
    <n v="4344"/>
    <n v="30917"/>
    <d v="2010-11-01T00:00:00"/>
    <s v="Low"/>
    <x v="907"/>
    <x v="8"/>
    <x v="2"/>
    <s v="Corporate"/>
    <x v="2"/>
    <x v="10"/>
    <n v="753.8"/>
    <n v="96.45"/>
  </r>
  <r>
    <n v="4345"/>
    <n v="30944"/>
    <d v="2011-06-22T00:00:00"/>
    <s v="Critical"/>
    <x v="1067"/>
    <x v="21"/>
    <x v="2"/>
    <s v="Consumer"/>
    <x v="0"/>
    <x v="12"/>
    <n v="546.01"/>
    <n v="16.739999999999998"/>
  </r>
  <r>
    <n v="4346"/>
    <n v="30947"/>
    <d v="2010-07-14T00:00:00"/>
    <s v="Low"/>
    <x v="994"/>
    <x v="0"/>
    <x v="0"/>
    <s v="Corporate"/>
    <x v="0"/>
    <x v="12"/>
    <n v="691.59"/>
    <n v="41.94"/>
  </r>
  <r>
    <n v="4347"/>
    <n v="30947"/>
    <d v="2010-07-14T00:00:00"/>
    <s v="Low"/>
    <x v="994"/>
    <x v="0"/>
    <x v="0"/>
    <s v="Corporate"/>
    <x v="0"/>
    <x v="8"/>
    <n v="345.2"/>
    <n v="7.31"/>
  </r>
  <r>
    <n v="4348"/>
    <n v="30976"/>
    <d v="2012-10-24T00:00:00"/>
    <s v="High"/>
    <x v="640"/>
    <x v="44"/>
    <x v="2"/>
    <s v="Small Business"/>
    <x v="2"/>
    <x v="5"/>
    <n v="403.88"/>
    <n v="40.97"/>
  </r>
  <r>
    <n v="4349"/>
    <n v="30981"/>
    <d v="2011-02-15T00:00:00"/>
    <s v="Low"/>
    <x v="681"/>
    <x v="14"/>
    <x v="0"/>
    <s v="Home Office"/>
    <x v="0"/>
    <x v="13"/>
    <n v="7837.44"/>
    <n v="279.81"/>
  </r>
  <r>
    <n v="4350"/>
    <n v="30981"/>
    <d v="2011-02-15T00:00:00"/>
    <s v="Low"/>
    <x v="681"/>
    <x v="14"/>
    <x v="0"/>
    <s v="Home Office"/>
    <x v="1"/>
    <x v="15"/>
    <n v="3653.22"/>
    <n v="180.98"/>
  </r>
  <r>
    <n v="4351"/>
    <n v="31040"/>
    <d v="2010-09-14T00:00:00"/>
    <s v="Not Specified"/>
    <x v="1144"/>
    <x v="7"/>
    <x v="3"/>
    <s v="Corporate"/>
    <x v="2"/>
    <x v="5"/>
    <n v="872.97"/>
    <n v="39.979999999999997"/>
  </r>
  <r>
    <n v="4352"/>
    <n v="31040"/>
    <d v="2010-09-14T00:00:00"/>
    <s v="Not Specified"/>
    <x v="1144"/>
    <x v="7"/>
    <x v="3"/>
    <s v="Corporate"/>
    <x v="0"/>
    <x v="0"/>
    <n v="545.71"/>
    <n v="29.74"/>
  </r>
  <r>
    <n v="4353"/>
    <n v="31042"/>
    <d v="2012-11-19T00:00:00"/>
    <s v="Medium"/>
    <x v="480"/>
    <x v="15"/>
    <x v="2"/>
    <s v="Consumer"/>
    <x v="1"/>
    <x v="15"/>
    <n v="3227.38"/>
    <n v="120.98"/>
  </r>
  <r>
    <n v="4354"/>
    <n v="31042"/>
    <d v="2012-11-19T00:00:00"/>
    <s v="Medium"/>
    <x v="480"/>
    <x v="15"/>
    <x v="2"/>
    <s v="Consumer"/>
    <x v="0"/>
    <x v="6"/>
    <n v="134.52000000000001"/>
    <n v="2.78"/>
  </r>
  <r>
    <n v="4355"/>
    <n v="31043"/>
    <d v="2009-07-15T00:00:00"/>
    <s v="High"/>
    <x v="401"/>
    <x v="46"/>
    <x v="1"/>
    <s v="Corporate"/>
    <x v="2"/>
    <x v="5"/>
    <n v="772.42"/>
    <n v="15.28"/>
  </r>
  <r>
    <n v="4356"/>
    <n v="31043"/>
    <d v="2009-07-15T00:00:00"/>
    <s v="High"/>
    <x v="401"/>
    <x v="46"/>
    <x v="1"/>
    <s v="Corporate"/>
    <x v="2"/>
    <x v="4"/>
    <n v="221.4675"/>
    <n v="85.99"/>
  </r>
  <r>
    <n v="4357"/>
    <n v="31046"/>
    <d v="2011-02-07T00:00:00"/>
    <s v="Critical"/>
    <x v="886"/>
    <x v="5"/>
    <x v="0"/>
    <s v="Corporate"/>
    <x v="2"/>
    <x v="4"/>
    <n v="3900.5309999999995"/>
    <n v="110.99"/>
  </r>
  <r>
    <n v="4358"/>
    <n v="31046"/>
    <d v="2011-02-07T00:00:00"/>
    <s v="Critical"/>
    <x v="610"/>
    <x v="5"/>
    <x v="0"/>
    <s v="Corporate"/>
    <x v="0"/>
    <x v="1"/>
    <n v="248.42"/>
    <n v="6.84"/>
  </r>
  <r>
    <n v="4359"/>
    <n v="31072"/>
    <d v="2010-11-29T00:00:00"/>
    <s v="Low"/>
    <x v="819"/>
    <x v="26"/>
    <x v="3"/>
    <s v="Corporate"/>
    <x v="0"/>
    <x v="12"/>
    <n v="701.16"/>
    <n v="172.99"/>
  </r>
  <r>
    <n v="4360"/>
    <n v="31073"/>
    <d v="2010-07-25T00:00:00"/>
    <s v="Medium"/>
    <x v="1072"/>
    <x v="26"/>
    <x v="3"/>
    <s v="Home Office"/>
    <x v="1"/>
    <x v="2"/>
    <n v="1818.76"/>
    <n v="46.94"/>
  </r>
  <r>
    <n v="4361"/>
    <n v="31073"/>
    <d v="2010-07-25T00:00:00"/>
    <s v="Medium"/>
    <x v="1072"/>
    <x v="26"/>
    <x v="3"/>
    <s v="Home Office"/>
    <x v="0"/>
    <x v="0"/>
    <n v="4322.26"/>
    <n v="167.27"/>
  </r>
  <r>
    <n v="4362"/>
    <n v="31077"/>
    <d v="2010-10-23T00:00:00"/>
    <s v="Not Specified"/>
    <x v="937"/>
    <x v="0"/>
    <x v="0"/>
    <s v="Small Business"/>
    <x v="2"/>
    <x v="4"/>
    <n v="1955.0765000000001"/>
    <n v="65.989999999999995"/>
  </r>
  <r>
    <n v="4363"/>
    <n v="31078"/>
    <d v="2009-02-10T00:00:00"/>
    <s v="Critical"/>
    <x v="515"/>
    <x v="15"/>
    <x v="2"/>
    <s v="Corporate"/>
    <x v="2"/>
    <x v="10"/>
    <n v="104.46"/>
    <n v="13.99"/>
  </r>
  <r>
    <n v="4364"/>
    <n v="31106"/>
    <d v="2012-02-16T00:00:00"/>
    <s v="Low"/>
    <x v="1051"/>
    <x v="37"/>
    <x v="2"/>
    <s v="Corporate"/>
    <x v="0"/>
    <x v="8"/>
    <n v="101.9"/>
    <n v="2.61"/>
  </r>
  <r>
    <n v="4365"/>
    <n v="31106"/>
    <d v="2012-02-16T00:00:00"/>
    <s v="Low"/>
    <x v="1051"/>
    <x v="37"/>
    <x v="2"/>
    <s v="Corporate"/>
    <x v="1"/>
    <x v="2"/>
    <n v="187.33"/>
    <n v="25.13"/>
  </r>
  <r>
    <n v="4366"/>
    <n v="31106"/>
    <d v="2012-02-16T00:00:00"/>
    <s v="Low"/>
    <x v="1051"/>
    <x v="37"/>
    <x v="2"/>
    <s v="Corporate"/>
    <x v="0"/>
    <x v="1"/>
    <n v="259.17"/>
    <n v="5.68"/>
  </r>
  <r>
    <n v="4367"/>
    <n v="31106"/>
    <d v="2012-02-16T00:00:00"/>
    <s v="Low"/>
    <x v="1157"/>
    <x v="37"/>
    <x v="2"/>
    <s v="Corporate"/>
    <x v="2"/>
    <x v="4"/>
    <n v="4697.0320000000002"/>
    <n v="125.99"/>
  </r>
  <r>
    <n v="4368"/>
    <n v="31109"/>
    <d v="2011-10-28T00:00:00"/>
    <s v="Low"/>
    <x v="781"/>
    <x v="24"/>
    <x v="1"/>
    <s v="Small Business"/>
    <x v="0"/>
    <x v="12"/>
    <n v="1515"/>
    <n v="31.74"/>
  </r>
  <r>
    <n v="4369"/>
    <n v="31111"/>
    <d v="2009-08-24T00:00:00"/>
    <s v="Not Specified"/>
    <x v="824"/>
    <x v="0"/>
    <x v="0"/>
    <s v="Corporate"/>
    <x v="0"/>
    <x v="9"/>
    <n v="217.93"/>
    <n v="7.64"/>
  </r>
  <r>
    <n v="4370"/>
    <n v="31138"/>
    <d v="2009-01-21T00:00:00"/>
    <s v="High"/>
    <x v="1072"/>
    <x v="26"/>
    <x v="3"/>
    <s v="Small Business"/>
    <x v="1"/>
    <x v="3"/>
    <n v="1251.18"/>
    <n v="31.76"/>
  </r>
  <r>
    <n v="4371"/>
    <n v="31140"/>
    <d v="2011-02-01T00:00:00"/>
    <s v="Critical"/>
    <x v="650"/>
    <x v="37"/>
    <x v="2"/>
    <s v="Home Office"/>
    <x v="0"/>
    <x v="8"/>
    <n v="13.42"/>
    <n v="3.08"/>
  </r>
  <r>
    <n v="4372"/>
    <n v="31169"/>
    <d v="2011-06-09T00:00:00"/>
    <s v="Low"/>
    <x v="703"/>
    <x v="0"/>
    <x v="0"/>
    <s v="Home Office"/>
    <x v="1"/>
    <x v="2"/>
    <n v="254.76"/>
    <n v="40.97"/>
  </r>
  <r>
    <n v="4373"/>
    <n v="31170"/>
    <d v="2012-01-27T00:00:00"/>
    <s v="Medium"/>
    <x v="571"/>
    <x v="37"/>
    <x v="2"/>
    <s v="Corporate"/>
    <x v="2"/>
    <x v="5"/>
    <n v="320.57"/>
    <n v="10.130000000000001"/>
  </r>
  <r>
    <n v="4374"/>
    <n v="31171"/>
    <d v="2009-04-08T00:00:00"/>
    <s v="Not Specified"/>
    <x v="1153"/>
    <x v="17"/>
    <x v="0"/>
    <s v="Home Office"/>
    <x v="0"/>
    <x v="12"/>
    <n v="161.02000000000001"/>
    <n v="4.55"/>
  </r>
  <r>
    <n v="4375"/>
    <n v="31173"/>
    <d v="2012-08-18T00:00:00"/>
    <s v="Low"/>
    <x v="1122"/>
    <x v="26"/>
    <x v="3"/>
    <s v="Consumer"/>
    <x v="2"/>
    <x v="4"/>
    <n v="169.35400000000001"/>
    <n v="7.99"/>
  </r>
  <r>
    <n v="4376"/>
    <n v="31174"/>
    <d v="2009-03-26T00:00:00"/>
    <s v="Not Specified"/>
    <x v="754"/>
    <x v="34"/>
    <x v="2"/>
    <s v="Consumer"/>
    <x v="0"/>
    <x v="13"/>
    <n v="4520.6000000000004"/>
    <n v="225.04"/>
  </r>
  <r>
    <n v="4377"/>
    <n v="31174"/>
    <d v="2009-03-26T00:00:00"/>
    <s v="Not Specified"/>
    <x v="754"/>
    <x v="34"/>
    <x v="2"/>
    <s v="Consumer"/>
    <x v="0"/>
    <x v="12"/>
    <n v="225.25"/>
    <n v="7.84"/>
  </r>
  <r>
    <n v="4378"/>
    <n v="31175"/>
    <d v="2009-09-26T00:00:00"/>
    <s v="Critical"/>
    <x v="572"/>
    <x v="18"/>
    <x v="2"/>
    <s v="Corporate"/>
    <x v="0"/>
    <x v="9"/>
    <n v="539.66"/>
    <n v="19.98"/>
  </r>
  <r>
    <n v="4379"/>
    <n v="31204"/>
    <d v="2010-08-21T00:00:00"/>
    <s v="Low"/>
    <x v="334"/>
    <x v="28"/>
    <x v="1"/>
    <s v="Small Business"/>
    <x v="1"/>
    <x v="2"/>
    <n v="215.52"/>
    <n v="14.34"/>
  </r>
  <r>
    <n v="4380"/>
    <n v="31204"/>
    <d v="2010-08-21T00:00:00"/>
    <s v="Low"/>
    <x v="334"/>
    <x v="28"/>
    <x v="1"/>
    <s v="Small Business"/>
    <x v="0"/>
    <x v="7"/>
    <n v="10.46"/>
    <n v="1.1399999999999999"/>
  </r>
  <r>
    <n v="4381"/>
    <n v="31232"/>
    <d v="2012-08-29T00:00:00"/>
    <s v="High"/>
    <x v="145"/>
    <x v="40"/>
    <x v="3"/>
    <s v="Home Office"/>
    <x v="1"/>
    <x v="3"/>
    <n v="2643.15"/>
    <n v="286.85000000000002"/>
  </r>
  <r>
    <n v="4382"/>
    <n v="31233"/>
    <d v="2011-09-24T00:00:00"/>
    <s v="Low"/>
    <x v="1132"/>
    <x v="16"/>
    <x v="1"/>
    <s v="Home Office"/>
    <x v="2"/>
    <x v="5"/>
    <n v="1298.29"/>
    <n v="31.78"/>
  </r>
  <r>
    <n v="4383"/>
    <n v="31233"/>
    <d v="2011-09-24T00:00:00"/>
    <s v="Low"/>
    <x v="1132"/>
    <x v="16"/>
    <x v="1"/>
    <s v="Home Office"/>
    <x v="0"/>
    <x v="9"/>
    <n v="19.34"/>
    <n v="4.9800000000000004"/>
  </r>
  <r>
    <n v="4384"/>
    <n v="31233"/>
    <d v="2011-09-24T00:00:00"/>
    <s v="Low"/>
    <x v="1132"/>
    <x v="16"/>
    <x v="1"/>
    <s v="Home Office"/>
    <x v="0"/>
    <x v="6"/>
    <n v="590.32000000000005"/>
    <n v="16.989999999999998"/>
  </r>
  <r>
    <n v="4385"/>
    <n v="31233"/>
    <d v="2011-09-24T00:00:00"/>
    <s v="Low"/>
    <x v="1132"/>
    <x v="16"/>
    <x v="1"/>
    <s v="Home Office"/>
    <x v="1"/>
    <x v="3"/>
    <n v="4245.93"/>
    <n v="209.37"/>
  </r>
  <r>
    <n v="4386"/>
    <n v="31237"/>
    <d v="2011-07-29T00:00:00"/>
    <s v="Not Specified"/>
    <x v="111"/>
    <x v="4"/>
    <x v="1"/>
    <s v="Small Business"/>
    <x v="0"/>
    <x v="12"/>
    <n v="589.78"/>
    <n v="42.8"/>
  </r>
  <r>
    <n v="4387"/>
    <n v="31238"/>
    <d v="2010-08-22T00:00:00"/>
    <s v="Medium"/>
    <x v="1158"/>
    <x v="33"/>
    <x v="0"/>
    <s v="Corporate"/>
    <x v="0"/>
    <x v="13"/>
    <n v="7512.03"/>
    <n v="363.25"/>
  </r>
  <r>
    <n v="4388"/>
    <n v="31239"/>
    <d v="2010-08-28T00:00:00"/>
    <s v="Low"/>
    <x v="145"/>
    <x v="40"/>
    <x v="3"/>
    <s v="Corporate"/>
    <x v="2"/>
    <x v="5"/>
    <n v="677.9"/>
    <n v="33.979999999999997"/>
  </r>
  <r>
    <n v="4389"/>
    <n v="31266"/>
    <d v="2012-10-03T00:00:00"/>
    <s v="High"/>
    <x v="1003"/>
    <x v="27"/>
    <x v="3"/>
    <s v="Corporate"/>
    <x v="2"/>
    <x v="10"/>
    <n v="6573.75"/>
    <n v="399.98"/>
  </r>
  <r>
    <n v="4390"/>
    <n v="31270"/>
    <d v="2012-11-23T00:00:00"/>
    <s v="Medium"/>
    <x v="703"/>
    <x v="0"/>
    <x v="0"/>
    <s v="Corporate"/>
    <x v="1"/>
    <x v="15"/>
    <n v="6806.66"/>
    <n v="299.05"/>
  </r>
  <r>
    <n v="4391"/>
    <n v="31270"/>
    <d v="2012-11-23T00:00:00"/>
    <s v="Medium"/>
    <x v="703"/>
    <x v="0"/>
    <x v="0"/>
    <s v="Corporate"/>
    <x v="1"/>
    <x v="15"/>
    <n v="891.61"/>
    <n v="291.73"/>
  </r>
  <r>
    <n v="4392"/>
    <n v="31270"/>
    <d v="2012-11-23T00:00:00"/>
    <s v="Medium"/>
    <x v="703"/>
    <x v="0"/>
    <x v="0"/>
    <s v="Corporate"/>
    <x v="2"/>
    <x v="5"/>
    <n v="165.04"/>
    <n v="30.42"/>
  </r>
  <r>
    <n v="4393"/>
    <n v="31271"/>
    <d v="2011-04-20T00:00:00"/>
    <s v="Low"/>
    <x v="213"/>
    <x v="1"/>
    <x v="1"/>
    <s v="Small Business"/>
    <x v="1"/>
    <x v="2"/>
    <n v="43.29"/>
    <n v="8.3699999999999992"/>
  </r>
  <r>
    <n v="4394"/>
    <n v="31297"/>
    <d v="2012-08-18T00:00:00"/>
    <s v="Low"/>
    <x v="941"/>
    <x v="17"/>
    <x v="0"/>
    <s v="Corporate"/>
    <x v="0"/>
    <x v="6"/>
    <n v="679.95"/>
    <n v="17.989999999999998"/>
  </r>
  <r>
    <n v="4395"/>
    <n v="31297"/>
    <d v="2012-08-18T00:00:00"/>
    <s v="Low"/>
    <x v="1159"/>
    <x v="17"/>
    <x v="0"/>
    <s v="Corporate"/>
    <x v="0"/>
    <x v="9"/>
    <n v="1579.56"/>
    <n v="35.44"/>
  </r>
  <r>
    <n v="4396"/>
    <n v="31301"/>
    <d v="2010-10-18T00:00:00"/>
    <s v="Low"/>
    <x v="90"/>
    <x v="5"/>
    <x v="0"/>
    <s v="Consumer"/>
    <x v="0"/>
    <x v="8"/>
    <n v="109.78"/>
    <n v="3.75"/>
  </r>
  <r>
    <n v="4397"/>
    <n v="31302"/>
    <d v="2012-08-01T00:00:00"/>
    <s v="High"/>
    <x v="1109"/>
    <x v="34"/>
    <x v="2"/>
    <s v="Small Business"/>
    <x v="2"/>
    <x v="5"/>
    <n v="4648.6400000000003"/>
    <n v="115.79"/>
  </r>
  <r>
    <n v="4398"/>
    <n v="31303"/>
    <d v="2011-03-20T00:00:00"/>
    <s v="Low"/>
    <x v="377"/>
    <x v="13"/>
    <x v="3"/>
    <s v="Home Office"/>
    <x v="0"/>
    <x v="12"/>
    <n v="306.13"/>
    <n v="5.98"/>
  </r>
  <r>
    <n v="4399"/>
    <n v="31330"/>
    <d v="2010-06-01T00:00:00"/>
    <s v="High"/>
    <x v="1150"/>
    <x v="2"/>
    <x v="2"/>
    <s v="Corporate"/>
    <x v="0"/>
    <x v="6"/>
    <n v="13.5"/>
    <n v="5.98"/>
  </r>
  <r>
    <n v="4400"/>
    <n v="31330"/>
    <d v="2010-06-01T00:00:00"/>
    <s v="High"/>
    <x v="1150"/>
    <x v="2"/>
    <x v="2"/>
    <s v="Corporate"/>
    <x v="0"/>
    <x v="0"/>
    <n v="540.64"/>
    <n v="13.43"/>
  </r>
  <r>
    <n v="4401"/>
    <n v="31364"/>
    <d v="2009-05-01T00:00:00"/>
    <s v="Not Specified"/>
    <x v="835"/>
    <x v="0"/>
    <x v="0"/>
    <s v="Corporate"/>
    <x v="0"/>
    <x v="0"/>
    <n v="789.01"/>
    <n v="415.88"/>
  </r>
  <r>
    <n v="4402"/>
    <n v="31392"/>
    <d v="2010-05-06T00:00:00"/>
    <s v="Low"/>
    <x v="765"/>
    <x v="13"/>
    <x v="3"/>
    <s v="Home Office"/>
    <x v="0"/>
    <x v="9"/>
    <n v="128.86000000000001"/>
    <n v="6.48"/>
  </r>
  <r>
    <n v="4403"/>
    <n v="31392"/>
    <d v="2010-05-06T00:00:00"/>
    <s v="Low"/>
    <x v="145"/>
    <x v="40"/>
    <x v="3"/>
    <s v="Home Office"/>
    <x v="0"/>
    <x v="0"/>
    <n v="3249.09"/>
    <n v="78.8"/>
  </r>
  <r>
    <n v="4404"/>
    <n v="31393"/>
    <d v="2012-05-11T00:00:00"/>
    <s v="Critical"/>
    <x v="892"/>
    <x v="0"/>
    <x v="0"/>
    <s v="Corporate"/>
    <x v="1"/>
    <x v="2"/>
    <n v="97.57"/>
    <n v="19.940000000000001"/>
  </r>
  <r>
    <n v="4405"/>
    <n v="31393"/>
    <d v="2012-05-11T00:00:00"/>
    <s v="Critical"/>
    <x v="892"/>
    <x v="0"/>
    <x v="0"/>
    <s v="Corporate"/>
    <x v="0"/>
    <x v="1"/>
    <n v="110.32"/>
    <n v="3.68"/>
  </r>
  <r>
    <n v="4406"/>
    <n v="31399"/>
    <d v="2011-11-05T00:00:00"/>
    <s v="Not Specified"/>
    <x v="326"/>
    <x v="1"/>
    <x v="1"/>
    <s v="Consumer"/>
    <x v="2"/>
    <x v="4"/>
    <n v="337.20349999999996"/>
    <n v="45.99"/>
  </r>
  <r>
    <n v="4407"/>
    <n v="31426"/>
    <d v="2009-08-05T00:00:00"/>
    <s v="Low"/>
    <x v="840"/>
    <x v="22"/>
    <x v="0"/>
    <s v="Home Office"/>
    <x v="2"/>
    <x v="4"/>
    <n v="4054.0579999999995"/>
    <n v="125.99"/>
  </r>
  <r>
    <n v="4408"/>
    <n v="31456"/>
    <d v="2012-11-15T00:00:00"/>
    <s v="High"/>
    <x v="1084"/>
    <x v="27"/>
    <x v="3"/>
    <s v="Home Office"/>
    <x v="0"/>
    <x v="12"/>
    <n v="225.09"/>
    <n v="21.38"/>
  </r>
  <r>
    <n v="4409"/>
    <n v="31460"/>
    <d v="2012-08-26T00:00:00"/>
    <s v="High"/>
    <x v="921"/>
    <x v="9"/>
    <x v="1"/>
    <s v="Corporate"/>
    <x v="0"/>
    <x v="0"/>
    <n v="990.67"/>
    <n v="110.98"/>
  </r>
  <r>
    <n v="4410"/>
    <n v="31461"/>
    <d v="2011-06-27T00:00:00"/>
    <s v="Medium"/>
    <x v="1014"/>
    <x v="16"/>
    <x v="1"/>
    <s v="Corporate"/>
    <x v="0"/>
    <x v="13"/>
    <n v="1463.42"/>
    <n v="59.98"/>
  </r>
  <r>
    <n v="4411"/>
    <n v="31492"/>
    <d v="2010-10-15T00:00:00"/>
    <s v="Critical"/>
    <x v="489"/>
    <x v="0"/>
    <x v="0"/>
    <s v="Small Business"/>
    <x v="0"/>
    <x v="13"/>
    <n v="321.68"/>
    <n v="11.97"/>
  </r>
  <r>
    <n v="4412"/>
    <n v="31492"/>
    <d v="2010-10-15T00:00:00"/>
    <s v="Critical"/>
    <x v="489"/>
    <x v="0"/>
    <x v="0"/>
    <s v="Small Business"/>
    <x v="0"/>
    <x v="0"/>
    <n v="971.95"/>
    <n v="29.74"/>
  </r>
  <r>
    <n v="4413"/>
    <n v="31492"/>
    <d v="2010-10-15T00:00:00"/>
    <s v="Critical"/>
    <x v="489"/>
    <x v="0"/>
    <x v="0"/>
    <s v="Small Business"/>
    <x v="0"/>
    <x v="0"/>
    <n v="2149.0300000000002"/>
    <n v="95.43"/>
  </r>
  <r>
    <n v="4414"/>
    <n v="31493"/>
    <d v="2009-10-17T00:00:00"/>
    <s v="High"/>
    <x v="532"/>
    <x v="15"/>
    <x v="2"/>
    <s v="Home Office"/>
    <x v="1"/>
    <x v="2"/>
    <n v="112.47"/>
    <n v="12.2"/>
  </r>
  <r>
    <n v="4415"/>
    <n v="31495"/>
    <d v="2010-08-04T00:00:00"/>
    <s v="Low"/>
    <x v="184"/>
    <x v="5"/>
    <x v="0"/>
    <s v="Consumer"/>
    <x v="0"/>
    <x v="12"/>
    <n v="191.43"/>
    <n v="8.69"/>
  </r>
  <r>
    <n v="4416"/>
    <n v="31495"/>
    <d v="2010-08-04T00:00:00"/>
    <s v="Low"/>
    <x v="184"/>
    <x v="5"/>
    <x v="0"/>
    <s v="Consumer"/>
    <x v="0"/>
    <x v="0"/>
    <n v="1234.8499999999999"/>
    <n v="34.76"/>
  </r>
  <r>
    <n v="4417"/>
    <n v="31520"/>
    <d v="2011-11-28T00:00:00"/>
    <s v="High"/>
    <x v="1057"/>
    <x v="37"/>
    <x v="2"/>
    <s v="Consumer"/>
    <x v="1"/>
    <x v="2"/>
    <n v="138.71"/>
    <n v="5.89"/>
  </r>
  <r>
    <n v="4418"/>
    <n v="31522"/>
    <d v="2010-05-25T00:00:00"/>
    <s v="Medium"/>
    <x v="701"/>
    <x v="27"/>
    <x v="3"/>
    <s v="Home Office"/>
    <x v="1"/>
    <x v="2"/>
    <n v="302.39999999999998"/>
    <n v="22.23"/>
  </r>
  <r>
    <n v="4419"/>
    <n v="31522"/>
    <d v="2010-05-25T00:00:00"/>
    <s v="Medium"/>
    <x v="1160"/>
    <x v="27"/>
    <x v="3"/>
    <s v="Home Office"/>
    <x v="1"/>
    <x v="15"/>
    <n v="1083.3699999999999"/>
    <n v="25.98"/>
  </r>
  <r>
    <n v="4420"/>
    <n v="31523"/>
    <d v="2012-03-08T00:00:00"/>
    <s v="Low"/>
    <x v="679"/>
    <x v="5"/>
    <x v="0"/>
    <s v="Home Office"/>
    <x v="2"/>
    <x v="5"/>
    <n v="105.85"/>
    <n v="6.48"/>
  </r>
  <r>
    <n v="4421"/>
    <n v="31523"/>
    <d v="2012-03-08T00:00:00"/>
    <s v="Low"/>
    <x v="679"/>
    <x v="5"/>
    <x v="0"/>
    <s v="Home Office"/>
    <x v="0"/>
    <x v="14"/>
    <n v="179.33"/>
    <n v="8.74"/>
  </r>
  <r>
    <n v="4422"/>
    <n v="31524"/>
    <d v="2011-06-26T00:00:00"/>
    <s v="Low"/>
    <x v="141"/>
    <x v="16"/>
    <x v="1"/>
    <s v="Small Business"/>
    <x v="1"/>
    <x v="15"/>
    <n v="1025.8800000000001"/>
    <n v="100.89"/>
  </r>
  <r>
    <n v="4423"/>
    <n v="31552"/>
    <d v="2012-11-11T00:00:00"/>
    <s v="High"/>
    <x v="986"/>
    <x v="5"/>
    <x v="0"/>
    <s v="Corporate"/>
    <x v="2"/>
    <x v="5"/>
    <n v="378.08"/>
    <n v="22.24"/>
  </r>
  <r>
    <n v="4424"/>
    <n v="31552"/>
    <d v="2012-11-11T00:00:00"/>
    <s v="High"/>
    <x v="986"/>
    <x v="5"/>
    <x v="0"/>
    <s v="Corporate"/>
    <x v="2"/>
    <x v="5"/>
    <n v="731.71"/>
    <n v="29.89"/>
  </r>
  <r>
    <n v="4425"/>
    <n v="31553"/>
    <d v="2009-01-10T00:00:00"/>
    <s v="Critical"/>
    <x v="982"/>
    <x v="17"/>
    <x v="0"/>
    <s v="Corporate"/>
    <x v="0"/>
    <x v="14"/>
    <n v="4906.8500000000004"/>
    <n v="162.93"/>
  </r>
  <r>
    <n v="4426"/>
    <n v="31555"/>
    <d v="2012-01-04T00:00:00"/>
    <s v="Critical"/>
    <x v="635"/>
    <x v="15"/>
    <x v="2"/>
    <s v="Home Office"/>
    <x v="1"/>
    <x v="2"/>
    <n v="3531.75"/>
    <n v="88.84"/>
  </r>
  <r>
    <n v="4427"/>
    <n v="31555"/>
    <d v="2012-01-04T00:00:00"/>
    <s v="Critical"/>
    <x v="635"/>
    <x v="15"/>
    <x v="2"/>
    <s v="Home Office"/>
    <x v="2"/>
    <x v="10"/>
    <n v="500.5"/>
    <n v="90.97"/>
  </r>
  <r>
    <n v="4428"/>
    <n v="31556"/>
    <d v="2011-07-27T00:00:00"/>
    <s v="Critical"/>
    <x v="278"/>
    <x v="2"/>
    <x v="2"/>
    <s v="Consumer"/>
    <x v="1"/>
    <x v="2"/>
    <n v="269.35000000000002"/>
    <n v="7.7"/>
  </r>
  <r>
    <n v="4429"/>
    <n v="31558"/>
    <d v="2011-07-23T00:00:00"/>
    <s v="Low"/>
    <x v="1161"/>
    <x v="0"/>
    <x v="0"/>
    <s v="Home Office"/>
    <x v="0"/>
    <x v="13"/>
    <n v="3671.3"/>
    <n v="300.64999999999998"/>
  </r>
  <r>
    <n v="4430"/>
    <n v="31558"/>
    <d v="2011-07-23T00:00:00"/>
    <s v="Low"/>
    <x v="1161"/>
    <x v="0"/>
    <x v="0"/>
    <s v="Home Office"/>
    <x v="2"/>
    <x v="5"/>
    <n v="1763.6"/>
    <n v="45.19"/>
  </r>
  <r>
    <n v="4431"/>
    <n v="31586"/>
    <d v="2012-03-21T00:00:00"/>
    <s v="Low"/>
    <x v="989"/>
    <x v="11"/>
    <x v="2"/>
    <s v="Home Office"/>
    <x v="2"/>
    <x v="5"/>
    <n v="963.45"/>
    <n v="43.22"/>
  </r>
  <r>
    <n v="4432"/>
    <n v="31586"/>
    <d v="2012-03-21T00:00:00"/>
    <s v="Low"/>
    <x v="989"/>
    <x v="11"/>
    <x v="2"/>
    <s v="Home Office"/>
    <x v="2"/>
    <x v="4"/>
    <n v="4390.0289999999995"/>
    <n v="205.99"/>
  </r>
  <r>
    <n v="4433"/>
    <n v="31590"/>
    <d v="2010-06-05T00:00:00"/>
    <s v="Critical"/>
    <x v="99"/>
    <x v="16"/>
    <x v="1"/>
    <s v="Corporate"/>
    <x v="2"/>
    <x v="5"/>
    <n v="43.49"/>
    <n v="8.33"/>
  </r>
  <r>
    <n v="4434"/>
    <n v="31590"/>
    <d v="2010-06-05T00:00:00"/>
    <s v="Critical"/>
    <x v="99"/>
    <x v="16"/>
    <x v="1"/>
    <s v="Corporate"/>
    <x v="0"/>
    <x v="0"/>
    <n v="2854.76"/>
    <n v="111.03"/>
  </r>
  <r>
    <n v="4435"/>
    <n v="31616"/>
    <d v="2010-08-28T00:00:00"/>
    <s v="Critical"/>
    <x v="225"/>
    <x v="23"/>
    <x v="3"/>
    <s v="Consumer"/>
    <x v="0"/>
    <x v="12"/>
    <n v="182.7"/>
    <n v="4.24"/>
  </r>
  <r>
    <n v="4436"/>
    <n v="31616"/>
    <d v="2010-08-28T00:00:00"/>
    <s v="Critical"/>
    <x v="225"/>
    <x v="23"/>
    <x v="3"/>
    <s v="Consumer"/>
    <x v="0"/>
    <x v="8"/>
    <n v="141.08000000000001"/>
    <n v="3.08"/>
  </r>
  <r>
    <n v="4437"/>
    <n v="31618"/>
    <d v="2011-07-11T00:00:00"/>
    <s v="Critical"/>
    <x v="1096"/>
    <x v="0"/>
    <x v="0"/>
    <s v="Corporate"/>
    <x v="0"/>
    <x v="12"/>
    <n v="403.17"/>
    <n v="28.53"/>
  </r>
  <r>
    <n v="4438"/>
    <n v="31619"/>
    <d v="2009-09-17T00:00:00"/>
    <s v="Low"/>
    <x v="481"/>
    <x v="16"/>
    <x v="1"/>
    <s v="Corporate"/>
    <x v="0"/>
    <x v="13"/>
    <n v="114.87"/>
    <n v="10.98"/>
  </r>
  <r>
    <n v="4439"/>
    <n v="31619"/>
    <d v="2009-09-17T00:00:00"/>
    <s v="Low"/>
    <x v="481"/>
    <x v="16"/>
    <x v="1"/>
    <s v="Corporate"/>
    <x v="1"/>
    <x v="2"/>
    <n v="383.23"/>
    <n v="39.979999999999997"/>
  </r>
  <r>
    <n v="4440"/>
    <n v="31620"/>
    <d v="2011-08-11T00:00:00"/>
    <s v="Critical"/>
    <x v="360"/>
    <x v="29"/>
    <x v="2"/>
    <s v="Home Office"/>
    <x v="2"/>
    <x v="4"/>
    <n v="1108.366"/>
    <n v="65.989999999999995"/>
  </r>
  <r>
    <n v="4441"/>
    <n v="31648"/>
    <d v="2011-08-20T00:00:00"/>
    <s v="High"/>
    <x v="1162"/>
    <x v="2"/>
    <x v="2"/>
    <s v="Home Office"/>
    <x v="2"/>
    <x v="5"/>
    <n v="68.94"/>
    <n v="8.32"/>
  </r>
  <r>
    <n v="4442"/>
    <n v="31648"/>
    <d v="2011-08-20T00:00:00"/>
    <s v="High"/>
    <x v="1162"/>
    <x v="2"/>
    <x v="2"/>
    <s v="Home Office"/>
    <x v="0"/>
    <x v="9"/>
    <n v="74.040000000000006"/>
    <n v="6.68"/>
  </r>
  <r>
    <n v="4443"/>
    <n v="31650"/>
    <d v="2010-08-11T00:00:00"/>
    <s v="Not Specified"/>
    <x v="340"/>
    <x v="19"/>
    <x v="3"/>
    <s v="Consumer"/>
    <x v="2"/>
    <x v="5"/>
    <n v="1504.97"/>
    <n v="77.510000000000005"/>
  </r>
  <r>
    <n v="4444"/>
    <n v="31681"/>
    <d v="2012-11-07T00:00:00"/>
    <s v="Not Specified"/>
    <x v="1034"/>
    <x v="8"/>
    <x v="2"/>
    <s v="Corporate"/>
    <x v="0"/>
    <x v="9"/>
    <n v="212.12"/>
    <n v="5.28"/>
  </r>
  <r>
    <n v="4445"/>
    <n v="31682"/>
    <d v="2010-03-09T00:00:00"/>
    <s v="Low"/>
    <x v="1163"/>
    <x v="31"/>
    <x v="3"/>
    <s v="Corporate"/>
    <x v="0"/>
    <x v="13"/>
    <n v="3186.77"/>
    <n v="76.72"/>
  </r>
  <r>
    <n v="4446"/>
    <n v="31684"/>
    <d v="2012-09-16T00:00:00"/>
    <s v="Critical"/>
    <x v="1164"/>
    <x v="0"/>
    <x v="0"/>
    <s v="Corporate"/>
    <x v="0"/>
    <x v="9"/>
    <n v="89.97"/>
    <n v="5.68"/>
  </r>
  <r>
    <n v="4447"/>
    <n v="31684"/>
    <d v="2012-09-16T00:00:00"/>
    <s v="Critical"/>
    <x v="1164"/>
    <x v="0"/>
    <x v="0"/>
    <s v="Corporate"/>
    <x v="0"/>
    <x v="0"/>
    <n v="456.91"/>
    <n v="15.51"/>
  </r>
  <r>
    <n v="4448"/>
    <n v="31687"/>
    <d v="2011-05-19T00:00:00"/>
    <s v="High"/>
    <x v="463"/>
    <x v="11"/>
    <x v="2"/>
    <s v="Corporate"/>
    <x v="0"/>
    <x v="6"/>
    <n v="123.06"/>
    <n v="2.78"/>
  </r>
  <r>
    <n v="4449"/>
    <n v="31715"/>
    <d v="2009-01-09T00:00:00"/>
    <s v="Not Specified"/>
    <x v="765"/>
    <x v="13"/>
    <x v="3"/>
    <s v="Small Business"/>
    <x v="0"/>
    <x v="6"/>
    <n v="64.11"/>
    <n v="2.78"/>
  </r>
  <r>
    <n v="4450"/>
    <n v="31715"/>
    <d v="2009-01-09T00:00:00"/>
    <s v="Not Specified"/>
    <x v="68"/>
    <x v="16"/>
    <x v="1"/>
    <s v="Small Business"/>
    <x v="0"/>
    <x v="12"/>
    <n v="68.5"/>
    <n v="5.38"/>
  </r>
  <r>
    <n v="4451"/>
    <n v="31715"/>
    <d v="2009-01-09T00:00:00"/>
    <s v="Not Specified"/>
    <x v="68"/>
    <x v="16"/>
    <x v="1"/>
    <s v="Small Business"/>
    <x v="0"/>
    <x v="6"/>
    <n v="145.19"/>
    <n v="3.28"/>
  </r>
  <r>
    <n v="4452"/>
    <n v="31718"/>
    <d v="2010-11-27T00:00:00"/>
    <s v="Low"/>
    <x v="753"/>
    <x v="36"/>
    <x v="2"/>
    <s v="Corporate"/>
    <x v="2"/>
    <x v="4"/>
    <n v="1390.6934999999999"/>
    <n v="65.989999999999995"/>
  </r>
  <r>
    <n v="4453"/>
    <n v="31718"/>
    <d v="2010-11-27T00:00:00"/>
    <s v="Low"/>
    <x v="753"/>
    <x v="36"/>
    <x v="2"/>
    <s v="Corporate"/>
    <x v="2"/>
    <x v="4"/>
    <n v="1017.2884999999999"/>
    <n v="65.989999999999995"/>
  </r>
  <r>
    <n v="4454"/>
    <n v="31744"/>
    <d v="2012-09-09T00:00:00"/>
    <s v="Medium"/>
    <x v="1105"/>
    <x v="15"/>
    <x v="2"/>
    <s v="Consumer"/>
    <x v="0"/>
    <x v="9"/>
    <n v="86.69"/>
    <n v="6.48"/>
  </r>
  <r>
    <n v="4455"/>
    <n v="31751"/>
    <d v="2011-05-26T00:00:00"/>
    <s v="High"/>
    <x v="612"/>
    <x v="14"/>
    <x v="0"/>
    <s v="Small Business"/>
    <x v="0"/>
    <x v="12"/>
    <n v="413.12"/>
    <n v="14.27"/>
  </r>
  <r>
    <n v="4456"/>
    <n v="31777"/>
    <d v="2011-10-19T00:00:00"/>
    <s v="Not Specified"/>
    <x v="543"/>
    <x v="8"/>
    <x v="2"/>
    <s v="Small Business"/>
    <x v="1"/>
    <x v="15"/>
    <n v="6483.42"/>
    <n v="200.98"/>
  </r>
  <r>
    <n v="4457"/>
    <n v="31777"/>
    <d v="2011-10-19T00:00:00"/>
    <s v="Not Specified"/>
    <x v="543"/>
    <x v="8"/>
    <x v="2"/>
    <s v="Small Business"/>
    <x v="0"/>
    <x v="9"/>
    <n v="137.77000000000001"/>
    <n v="12.28"/>
  </r>
  <r>
    <n v="4458"/>
    <n v="31780"/>
    <d v="2010-01-29T00:00:00"/>
    <s v="Medium"/>
    <x v="467"/>
    <x v="29"/>
    <x v="2"/>
    <s v="Corporate"/>
    <x v="0"/>
    <x v="13"/>
    <n v="734.25"/>
    <n v="42.98"/>
  </r>
  <r>
    <n v="4459"/>
    <n v="31781"/>
    <d v="2009-01-16T00:00:00"/>
    <s v="Medium"/>
    <x v="1074"/>
    <x v="0"/>
    <x v="0"/>
    <s v="Corporate"/>
    <x v="0"/>
    <x v="12"/>
    <n v="249.02"/>
    <n v="5.81"/>
  </r>
  <r>
    <n v="4460"/>
    <n v="31781"/>
    <d v="2009-01-16T00:00:00"/>
    <s v="Medium"/>
    <x v="1074"/>
    <x v="0"/>
    <x v="0"/>
    <s v="Corporate"/>
    <x v="0"/>
    <x v="7"/>
    <n v="78.489999999999995"/>
    <n v="1.81"/>
  </r>
  <r>
    <n v="4461"/>
    <n v="31809"/>
    <d v="2010-07-28T00:00:00"/>
    <s v="High"/>
    <x v="170"/>
    <x v="6"/>
    <x v="1"/>
    <s v="Corporate"/>
    <x v="0"/>
    <x v="14"/>
    <n v="15"/>
    <n v="9.7799999999999994"/>
  </r>
  <r>
    <n v="4462"/>
    <n v="31810"/>
    <d v="2009-05-21T00:00:00"/>
    <s v="Critical"/>
    <x v="1135"/>
    <x v="47"/>
    <x v="1"/>
    <s v="Home Office"/>
    <x v="1"/>
    <x v="2"/>
    <n v="355.55"/>
    <n v="7.28"/>
  </r>
  <r>
    <n v="4463"/>
    <n v="31812"/>
    <d v="2011-07-31T00:00:00"/>
    <s v="High"/>
    <x v="283"/>
    <x v="26"/>
    <x v="3"/>
    <s v="Small Business"/>
    <x v="0"/>
    <x v="9"/>
    <n v="593.62"/>
    <n v="40.99"/>
  </r>
  <r>
    <n v="4464"/>
    <n v="31812"/>
    <d v="2011-07-31T00:00:00"/>
    <s v="High"/>
    <x v="1130"/>
    <x v="26"/>
    <x v="3"/>
    <s v="Small Business"/>
    <x v="0"/>
    <x v="7"/>
    <n v="38.520000000000003"/>
    <n v="1.26"/>
  </r>
  <r>
    <n v="4465"/>
    <n v="31842"/>
    <d v="2010-07-16T00:00:00"/>
    <s v="Medium"/>
    <x v="1121"/>
    <x v="15"/>
    <x v="2"/>
    <s v="Corporate"/>
    <x v="2"/>
    <x v="5"/>
    <n v="157.26"/>
    <n v="17.48"/>
  </r>
  <r>
    <n v="4466"/>
    <n v="31844"/>
    <d v="2011-07-02T00:00:00"/>
    <s v="Not Specified"/>
    <x v="912"/>
    <x v="25"/>
    <x v="1"/>
    <s v="Small Business"/>
    <x v="1"/>
    <x v="11"/>
    <n v="2085.9299999999998"/>
    <n v="150.97999999999999"/>
  </r>
  <r>
    <n v="4467"/>
    <n v="31845"/>
    <d v="2012-10-22T00:00:00"/>
    <s v="Low"/>
    <x v="702"/>
    <x v="31"/>
    <x v="3"/>
    <s v="Corporate"/>
    <x v="0"/>
    <x v="13"/>
    <n v="3645.12"/>
    <n v="100.98"/>
  </r>
  <r>
    <n v="4468"/>
    <n v="31845"/>
    <d v="2012-10-22T00:00:00"/>
    <s v="Low"/>
    <x v="1141"/>
    <x v="35"/>
    <x v="3"/>
    <s v="Corporate"/>
    <x v="0"/>
    <x v="9"/>
    <n v="114.55"/>
    <n v="10.06"/>
  </r>
  <r>
    <n v="4469"/>
    <n v="31846"/>
    <d v="2011-08-13T00:00:00"/>
    <s v="Critical"/>
    <x v="737"/>
    <x v="7"/>
    <x v="3"/>
    <s v="Home Office"/>
    <x v="1"/>
    <x v="15"/>
    <n v="261.17"/>
    <n v="33.94"/>
  </r>
  <r>
    <n v="4470"/>
    <n v="31847"/>
    <d v="2009-12-18T00:00:00"/>
    <s v="Low"/>
    <x v="989"/>
    <x v="11"/>
    <x v="2"/>
    <s v="Small Business"/>
    <x v="2"/>
    <x v="5"/>
    <n v="1692.28"/>
    <n v="39.979999999999997"/>
  </r>
  <r>
    <n v="4471"/>
    <n v="31872"/>
    <d v="2010-09-06T00:00:00"/>
    <s v="Low"/>
    <x v="141"/>
    <x v="22"/>
    <x v="0"/>
    <s v="Home Office"/>
    <x v="0"/>
    <x v="14"/>
    <n v="2833.19"/>
    <n v="83.98"/>
  </r>
  <r>
    <n v="4472"/>
    <n v="31872"/>
    <d v="2010-09-06T00:00:00"/>
    <s v="Low"/>
    <x v="141"/>
    <x v="22"/>
    <x v="0"/>
    <s v="Home Office"/>
    <x v="1"/>
    <x v="3"/>
    <n v="4452.6499999999996"/>
    <n v="159.31"/>
  </r>
  <r>
    <n v="4473"/>
    <n v="31873"/>
    <d v="2009-11-08T00:00:00"/>
    <s v="Low"/>
    <x v="1165"/>
    <x v="14"/>
    <x v="0"/>
    <s v="Home Office"/>
    <x v="0"/>
    <x v="13"/>
    <n v="141.59"/>
    <n v="70.97"/>
  </r>
  <r>
    <n v="4474"/>
    <n v="31873"/>
    <d v="2009-11-08T00:00:00"/>
    <s v="Low"/>
    <x v="1165"/>
    <x v="14"/>
    <x v="0"/>
    <s v="Home Office"/>
    <x v="2"/>
    <x v="4"/>
    <n v="2465.5014999999999"/>
    <n v="205.99"/>
  </r>
  <r>
    <n v="4475"/>
    <n v="31873"/>
    <d v="2009-11-08T00:00:00"/>
    <s v="Low"/>
    <x v="1165"/>
    <x v="14"/>
    <x v="0"/>
    <s v="Home Office"/>
    <x v="2"/>
    <x v="4"/>
    <n v="8558.4714999999997"/>
    <n v="205.99"/>
  </r>
  <r>
    <n v="4476"/>
    <n v="31873"/>
    <d v="2009-11-08T00:00:00"/>
    <s v="Low"/>
    <x v="76"/>
    <x v="14"/>
    <x v="0"/>
    <s v="Home Office"/>
    <x v="0"/>
    <x v="9"/>
    <n v="236.89"/>
    <n v="5.28"/>
  </r>
  <r>
    <n v="4477"/>
    <n v="31874"/>
    <d v="2012-09-15T00:00:00"/>
    <s v="High"/>
    <x v="1042"/>
    <x v="22"/>
    <x v="0"/>
    <s v="Corporate"/>
    <x v="0"/>
    <x v="1"/>
    <n v="321.95"/>
    <n v="10.98"/>
  </r>
  <r>
    <n v="4478"/>
    <n v="31874"/>
    <d v="2012-09-15T00:00:00"/>
    <s v="High"/>
    <x v="1042"/>
    <x v="22"/>
    <x v="0"/>
    <s v="Corporate"/>
    <x v="1"/>
    <x v="3"/>
    <n v="13244.04"/>
    <n v="348.21"/>
  </r>
  <r>
    <n v="4479"/>
    <n v="31876"/>
    <d v="2011-05-07T00:00:00"/>
    <s v="High"/>
    <x v="203"/>
    <x v="29"/>
    <x v="2"/>
    <s v="Corporate"/>
    <x v="0"/>
    <x v="0"/>
    <n v="741.49"/>
    <n v="95.99"/>
  </r>
  <r>
    <n v="4480"/>
    <n v="31877"/>
    <d v="2009-06-29T00:00:00"/>
    <s v="Medium"/>
    <x v="1166"/>
    <x v="5"/>
    <x v="0"/>
    <s v="Consumer"/>
    <x v="1"/>
    <x v="2"/>
    <n v="285.06"/>
    <n v="8.3699999999999992"/>
  </r>
  <r>
    <n v="4481"/>
    <n v="31878"/>
    <d v="2011-12-18T00:00:00"/>
    <s v="Medium"/>
    <x v="320"/>
    <x v="6"/>
    <x v="1"/>
    <s v="Home Office"/>
    <x v="0"/>
    <x v="9"/>
    <n v="138.94999999999999"/>
    <n v="9.27"/>
  </r>
  <r>
    <n v="4482"/>
    <n v="31878"/>
    <d v="2011-12-18T00:00:00"/>
    <s v="Medium"/>
    <x v="320"/>
    <x v="6"/>
    <x v="1"/>
    <s v="Home Office"/>
    <x v="2"/>
    <x v="4"/>
    <n v="5678.5524999999998"/>
    <n v="155.99"/>
  </r>
  <r>
    <n v="4483"/>
    <n v="31907"/>
    <d v="2010-05-18T00:00:00"/>
    <s v="Low"/>
    <x v="225"/>
    <x v="23"/>
    <x v="3"/>
    <s v="Consumer"/>
    <x v="2"/>
    <x v="5"/>
    <n v="331.53"/>
    <n v="8.4600000000000009"/>
  </r>
  <r>
    <n v="4484"/>
    <n v="31910"/>
    <d v="2009-10-29T00:00:00"/>
    <s v="Medium"/>
    <x v="1110"/>
    <x v="15"/>
    <x v="2"/>
    <s v="Small Business"/>
    <x v="2"/>
    <x v="4"/>
    <n v="187.63749999999999"/>
    <n v="35.99"/>
  </r>
  <r>
    <n v="4485"/>
    <n v="31938"/>
    <d v="2011-07-27T00:00:00"/>
    <s v="Medium"/>
    <x v="1042"/>
    <x v="22"/>
    <x v="0"/>
    <s v="Consumer"/>
    <x v="1"/>
    <x v="15"/>
    <n v="1193.6199999999999"/>
    <n v="89.99"/>
  </r>
  <r>
    <n v="4486"/>
    <n v="31938"/>
    <d v="2011-07-27T00:00:00"/>
    <s v="Medium"/>
    <x v="174"/>
    <x v="22"/>
    <x v="0"/>
    <s v="Consumer"/>
    <x v="1"/>
    <x v="2"/>
    <n v="363.23"/>
    <n v="7.59"/>
  </r>
  <r>
    <n v="4487"/>
    <n v="31939"/>
    <d v="2011-06-25T00:00:00"/>
    <s v="High"/>
    <x v="1167"/>
    <x v="9"/>
    <x v="1"/>
    <s v="Small Business"/>
    <x v="2"/>
    <x v="4"/>
    <n v="1506.8374999999999"/>
    <n v="140.99"/>
  </r>
  <r>
    <n v="4488"/>
    <n v="31941"/>
    <d v="2009-03-18T00:00:00"/>
    <s v="Medium"/>
    <x v="640"/>
    <x v="3"/>
    <x v="0"/>
    <s v="Small Business"/>
    <x v="0"/>
    <x v="13"/>
    <n v="2564.4499999999998"/>
    <n v="78.650000000000006"/>
  </r>
  <r>
    <n v="4489"/>
    <n v="31941"/>
    <d v="2009-03-18T00:00:00"/>
    <s v="Medium"/>
    <x v="640"/>
    <x v="3"/>
    <x v="0"/>
    <s v="Small Business"/>
    <x v="0"/>
    <x v="9"/>
    <n v="53.55"/>
    <n v="6.48"/>
  </r>
  <r>
    <n v="4490"/>
    <n v="31973"/>
    <d v="2011-05-12T00:00:00"/>
    <s v="Not Specified"/>
    <x v="1131"/>
    <x v="34"/>
    <x v="2"/>
    <s v="Small Business"/>
    <x v="1"/>
    <x v="15"/>
    <n v="404.54"/>
    <n v="26.64"/>
  </r>
  <r>
    <n v="4491"/>
    <n v="31973"/>
    <d v="2011-05-12T00:00:00"/>
    <s v="Not Specified"/>
    <x v="1131"/>
    <x v="34"/>
    <x v="2"/>
    <s v="Small Business"/>
    <x v="0"/>
    <x v="9"/>
    <n v="124.89"/>
    <n v="7.28"/>
  </r>
  <r>
    <n v="4492"/>
    <n v="32000"/>
    <d v="2012-09-13T00:00:00"/>
    <s v="Low"/>
    <x v="1148"/>
    <x v="14"/>
    <x v="0"/>
    <s v="Home Office"/>
    <x v="0"/>
    <x v="7"/>
    <n v="162.16"/>
    <n v="3.29"/>
  </r>
  <r>
    <n v="4493"/>
    <n v="32000"/>
    <d v="2012-09-13T00:00:00"/>
    <s v="Low"/>
    <x v="1148"/>
    <x v="14"/>
    <x v="0"/>
    <s v="Home Office"/>
    <x v="1"/>
    <x v="3"/>
    <n v="15168.82"/>
    <n v="550.98"/>
  </r>
  <r>
    <n v="4494"/>
    <n v="32001"/>
    <d v="2011-10-28T00:00:00"/>
    <s v="Low"/>
    <x v="1008"/>
    <x v="23"/>
    <x v="3"/>
    <s v="Small Business"/>
    <x v="1"/>
    <x v="2"/>
    <n v="494.84"/>
    <n v="22.23"/>
  </r>
  <r>
    <n v="4495"/>
    <n v="32001"/>
    <d v="2011-10-28T00:00:00"/>
    <s v="Low"/>
    <x v="1008"/>
    <x v="23"/>
    <x v="3"/>
    <s v="Small Business"/>
    <x v="2"/>
    <x v="10"/>
    <n v="3443.21"/>
    <n v="300.98"/>
  </r>
  <r>
    <n v="4496"/>
    <n v="32002"/>
    <d v="2010-07-20T00:00:00"/>
    <s v="Low"/>
    <x v="649"/>
    <x v="26"/>
    <x v="3"/>
    <s v="Consumer"/>
    <x v="2"/>
    <x v="5"/>
    <n v="1196.2"/>
    <n v="30.98"/>
  </r>
  <r>
    <n v="4497"/>
    <n v="32002"/>
    <d v="2010-07-20T00:00:00"/>
    <s v="Low"/>
    <x v="649"/>
    <x v="26"/>
    <x v="3"/>
    <s v="Consumer"/>
    <x v="1"/>
    <x v="2"/>
    <n v="98.55"/>
    <n v="13.79"/>
  </r>
  <r>
    <n v="4498"/>
    <n v="32007"/>
    <d v="2011-02-05T00:00:00"/>
    <s v="Low"/>
    <x v="1168"/>
    <x v="1"/>
    <x v="1"/>
    <s v="Consumer"/>
    <x v="1"/>
    <x v="3"/>
    <n v="17448.75"/>
    <n v="417.4"/>
  </r>
  <r>
    <n v="4499"/>
    <n v="32036"/>
    <d v="2011-10-05T00:00:00"/>
    <s v="Medium"/>
    <x v="913"/>
    <x v="10"/>
    <x v="0"/>
    <s v="Corporate"/>
    <x v="0"/>
    <x v="9"/>
    <n v="338.89"/>
    <n v="54.96"/>
  </r>
  <r>
    <n v="4500"/>
    <n v="32036"/>
    <d v="2011-10-05T00:00:00"/>
    <s v="Medium"/>
    <x v="913"/>
    <x v="10"/>
    <x v="0"/>
    <s v="Corporate"/>
    <x v="0"/>
    <x v="0"/>
    <n v="362.52"/>
    <n v="14.97"/>
  </r>
  <r>
    <n v="4501"/>
    <n v="32037"/>
    <d v="2009-02-16T00:00:00"/>
    <s v="Low"/>
    <x v="1169"/>
    <x v="5"/>
    <x v="0"/>
    <s v="Home Office"/>
    <x v="0"/>
    <x v="12"/>
    <n v="311.66000000000003"/>
    <n v="8.6"/>
  </r>
  <r>
    <n v="4502"/>
    <n v="32037"/>
    <d v="2009-02-16T00:00:00"/>
    <s v="Low"/>
    <x v="1169"/>
    <x v="5"/>
    <x v="0"/>
    <s v="Home Office"/>
    <x v="2"/>
    <x v="16"/>
    <n v="9862.51"/>
    <n v="699.99"/>
  </r>
  <r>
    <n v="4503"/>
    <n v="32038"/>
    <d v="2009-06-17T00:00:00"/>
    <s v="Low"/>
    <x v="474"/>
    <x v="7"/>
    <x v="3"/>
    <s v="Consumer"/>
    <x v="0"/>
    <x v="13"/>
    <n v="342.4"/>
    <n v="11.7"/>
  </r>
  <r>
    <n v="4504"/>
    <n v="32065"/>
    <d v="2011-12-02T00:00:00"/>
    <s v="Medium"/>
    <x v="860"/>
    <x v="7"/>
    <x v="3"/>
    <s v="Corporate"/>
    <x v="2"/>
    <x v="10"/>
    <n v="450.28"/>
    <n v="17.98"/>
  </r>
  <r>
    <n v="4505"/>
    <n v="32067"/>
    <d v="2012-03-12T00:00:00"/>
    <s v="High"/>
    <x v="1170"/>
    <x v="33"/>
    <x v="0"/>
    <s v="Small Business"/>
    <x v="2"/>
    <x v="4"/>
    <n v="2853.8834999999999"/>
    <n v="125.99"/>
  </r>
  <r>
    <n v="4506"/>
    <n v="32069"/>
    <d v="2011-11-19T00:00:00"/>
    <s v="Not Specified"/>
    <x v="67"/>
    <x v="23"/>
    <x v="3"/>
    <s v="Consumer"/>
    <x v="2"/>
    <x v="10"/>
    <n v="1100"/>
    <n v="145.44999999999999"/>
  </r>
  <r>
    <n v="4507"/>
    <n v="32069"/>
    <d v="2011-11-19T00:00:00"/>
    <s v="Not Specified"/>
    <x v="1171"/>
    <x v="15"/>
    <x v="2"/>
    <s v="Consumer"/>
    <x v="0"/>
    <x v="9"/>
    <n v="114.94"/>
    <n v="6.48"/>
  </r>
  <r>
    <n v="4508"/>
    <n v="32070"/>
    <d v="2009-07-17T00:00:00"/>
    <s v="Medium"/>
    <x v="980"/>
    <x v="36"/>
    <x v="2"/>
    <s v="Home Office"/>
    <x v="1"/>
    <x v="2"/>
    <n v="86.7"/>
    <n v="1.76"/>
  </r>
  <r>
    <n v="4509"/>
    <n v="32099"/>
    <d v="2010-05-05T00:00:00"/>
    <s v="Not Specified"/>
    <x v="1172"/>
    <x v="16"/>
    <x v="1"/>
    <s v="Home Office"/>
    <x v="0"/>
    <x v="9"/>
    <n v="506.73"/>
    <n v="12.28"/>
  </r>
  <r>
    <n v="4510"/>
    <n v="32100"/>
    <d v="2012-05-23T00:00:00"/>
    <s v="Medium"/>
    <x v="3"/>
    <x v="2"/>
    <x v="2"/>
    <s v="Corporate"/>
    <x v="2"/>
    <x v="5"/>
    <n v="1104.28"/>
    <n v="40.98"/>
  </r>
  <r>
    <n v="4511"/>
    <n v="32101"/>
    <d v="2009-12-26T00:00:00"/>
    <s v="Low"/>
    <x v="944"/>
    <x v="34"/>
    <x v="2"/>
    <s v="Corporate"/>
    <x v="1"/>
    <x v="15"/>
    <n v="14567.15"/>
    <n v="291.73"/>
  </r>
  <r>
    <n v="4512"/>
    <n v="32102"/>
    <d v="2012-12-14T00:00:00"/>
    <s v="Medium"/>
    <x v="1173"/>
    <x v="23"/>
    <x v="3"/>
    <s v="Home Office"/>
    <x v="0"/>
    <x v="9"/>
    <n v="19.809999999999999"/>
    <n v="6.48"/>
  </r>
  <r>
    <n v="4513"/>
    <n v="32129"/>
    <d v="2011-07-02T00:00:00"/>
    <s v="Critical"/>
    <x v="160"/>
    <x v="16"/>
    <x v="1"/>
    <s v="Consumer"/>
    <x v="0"/>
    <x v="9"/>
    <n v="129.27000000000001"/>
    <n v="6.48"/>
  </r>
  <r>
    <n v="4514"/>
    <n v="32129"/>
    <d v="2011-07-02T00:00:00"/>
    <s v="Critical"/>
    <x v="714"/>
    <x v="16"/>
    <x v="1"/>
    <s v="Consumer"/>
    <x v="2"/>
    <x v="10"/>
    <n v="8467.68"/>
    <n v="2036.48"/>
  </r>
  <r>
    <n v="4515"/>
    <n v="32131"/>
    <d v="2010-12-27T00:00:00"/>
    <s v="Critical"/>
    <x v="791"/>
    <x v="5"/>
    <x v="0"/>
    <s v="Small Business"/>
    <x v="0"/>
    <x v="7"/>
    <n v="126.62"/>
    <n v="3.78"/>
  </r>
  <r>
    <n v="4516"/>
    <n v="32135"/>
    <d v="2010-11-25T00:00:00"/>
    <s v="High"/>
    <x v="943"/>
    <x v="5"/>
    <x v="0"/>
    <s v="Home Office"/>
    <x v="2"/>
    <x v="5"/>
    <n v="1575.14"/>
    <n v="39.979999999999997"/>
  </r>
  <r>
    <n v="4517"/>
    <n v="32135"/>
    <d v="2010-11-25T00:00:00"/>
    <s v="High"/>
    <x v="943"/>
    <x v="5"/>
    <x v="0"/>
    <s v="Home Office"/>
    <x v="2"/>
    <x v="10"/>
    <n v="187.78"/>
    <n v="11.99"/>
  </r>
  <r>
    <n v="4518"/>
    <n v="32164"/>
    <d v="2010-02-02T00:00:00"/>
    <s v="Not Specified"/>
    <x v="687"/>
    <x v="1"/>
    <x v="1"/>
    <s v="Small Business"/>
    <x v="0"/>
    <x v="9"/>
    <n v="77.010000000000005"/>
    <n v="5.78"/>
  </r>
  <r>
    <n v="4519"/>
    <n v="32164"/>
    <d v="2010-02-02T00:00:00"/>
    <s v="Not Specified"/>
    <x v="687"/>
    <x v="1"/>
    <x v="1"/>
    <s v="Small Business"/>
    <x v="0"/>
    <x v="6"/>
    <n v="111.83"/>
    <n v="3.28"/>
  </r>
  <r>
    <n v="4520"/>
    <n v="32164"/>
    <d v="2010-02-02T00:00:00"/>
    <s v="Not Specified"/>
    <x v="687"/>
    <x v="1"/>
    <x v="1"/>
    <s v="Small Business"/>
    <x v="1"/>
    <x v="3"/>
    <n v="6552.9"/>
    <n v="296.18"/>
  </r>
  <r>
    <n v="4521"/>
    <n v="32165"/>
    <d v="2012-10-14T00:00:00"/>
    <s v="Not Specified"/>
    <x v="1094"/>
    <x v="24"/>
    <x v="1"/>
    <s v="Small Business"/>
    <x v="2"/>
    <x v="5"/>
    <n v="3413.69"/>
    <n v="73.98"/>
  </r>
  <r>
    <n v="4522"/>
    <n v="32165"/>
    <d v="2012-10-14T00:00:00"/>
    <s v="Not Specified"/>
    <x v="1094"/>
    <x v="24"/>
    <x v="1"/>
    <s v="Small Business"/>
    <x v="2"/>
    <x v="4"/>
    <n v="2939.6824999999999"/>
    <n v="85.99"/>
  </r>
  <r>
    <n v="4523"/>
    <n v="32192"/>
    <d v="2012-02-18T00:00:00"/>
    <s v="Not Specified"/>
    <x v="327"/>
    <x v="4"/>
    <x v="1"/>
    <s v="Small Business"/>
    <x v="2"/>
    <x v="4"/>
    <n v="159.256"/>
    <n v="45.99"/>
  </r>
  <r>
    <n v="4524"/>
    <n v="32193"/>
    <d v="2010-10-20T00:00:00"/>
    <s v="Low"/>
    <x v="695"/>
    <x v="0"/>
    <x v="0"/>
    <s v="Small Business"/>
    <x v="0"/>
    <x v="9"/>
    <n v="40.72"/>
    <n v="6.68"/>
  </r>
  <r>
    <n v="4525"/>
    <n v="32193"/>
    <d v="2010-10-20T00:00:00"/>
    <s v="Low"/>
    <x v="695"/>
    <x v="0"/>
    <x v="0"/>
    <s v="Small Business"/>
    <x v="0"/>
    <x v="7"/>
    <n v="113.3"/>
    <n v="3.93"/>
  </r>
  <r>
    <n v="4526"/>
    <n v="32195"/>
    <d v="2009-11-25T00:00:00"/>
    <s v="Medium"/>
    <x v="1174"/>
    <x v="5"/>
    <x v="0"/>
    <s v="Home Office"/>
    <x v="0"/>
    <x v="14"/>
    <n v="86.29"/>
    <n v="11.58"/>
  </r>
  <r>
    <n v="4527"/>
    <n v="32198"/>
    <d v="2011-11-09T00:00:00"/>
    <s v="Medium"/>
    <x v="1158"/>
    <x v="33"/>
    <x v="0"/>
    <s v="Consumer"/>
    <x v="2"/>
    <x v="5"/>
    <n v="240.63"/>
    <n v="7.37"/>
  </r>
  <r>
    <n v="4528"/>
    <n v="32199"/>
    <d v="2009-07-15T00:00:00"/>
    <s v="High"/>
    <x v="1113"/>
    <x v="30"/>
    <x v="0"/>
    <s v="Corporate"/>
    <x v="0"/>
    <x v="12"/>
    <n v="196.5"/>
    <n v="4.91"/>
  </r>
  <r>
    <n v="4529"/>
    <n v="32199"/>
    <d v="2009-07-15T00:00:00"/>
    <s v="High"/>
    <x v="1113"/>
    <x v="30"/>
    <x v="0"/>
    <s v="Corporate"/>
    <x v="2"/>
    <x v="16"/>
    <n v="3672.89"/>
    <n v="3499.99"/>
  </r>
  <r>
    <n v="4530"/>
    <n v="32199"/>
    <d v="2009-07-15T00:00:00"/>
    <s v="High"/>
    <x v="1175"/>
    <x v="30"/>
    <x v="0"/>
    <s v="Corporate"/>
    <x v="0"/>
    <x v="6"/>
    <n v="46.97"/>
    <n v="5.84"/>
  </r>
  <r>
    <n v="4531"/>
    <n v="32228"/>
    <d v="2010-11-04T00:00:00"/>
    <s v="Critical"/>
    <x v="1119"/>
    <x v="1"/>
    <x v="1"/>
    <s v="Home Office"/>
    <x v="0"/>
    <x v="6"/>
    <n v="209.63"/>
    <n v="5.84"/>
  </r>
  <r>
    <n v="4532"/>
    <n v="32229"/>
    <d v="2010-08-30T00:00:00"/>
    <s v="High"/>
    <x v="1107"/>
    <x v="0"/>
    <x v="0"/>
    <s v="Corporate"/>
    <x v="2"/>
    <x v="10"/>
    <n v="1219.19"/>
    <n v="150.97999999999999"/>
  </r>
  <r>
    <n v="4533"/>
    <n v="32229"/>
    <d v="2010-08-30T00:00:00"/>
    <s v="High"/>
    <x v="1107"/>
    <x v="0"/>
    <x v="0"/>
    <s v="Corporate"/>
    <x v="0"/>
    <x v="6"/>
    <n v="28.68"/>
    <n v="1.76"/>
  </r>
  <r>
    <n v="4534"/>
    <n v="32230"/>
    <d v="2012-08-19T00:00:00"/>
    <s v="High"/>
    <x v="757"/>
    <x v="5"/>
    <x v="0"/>
    <s v="Consumer"/>
    <x v="1"/>
    <x v="2"/>
    <n v="1753.75"/>
    <n v="39.979999999999997"/>
  </r>
  <r>
    <n v="4535"/>
    <n v="32231"/>
    <d v="2012-11-01T00:00:00"/>
    <s v="Low"/>
    <x v="575"/>
    <x v="33"/>
    <x v="0"/>
    <s v="Consumer"/>
    <x v="0"/>
    <x v="6"/>
    <n v="192.33"/>
    <n v="4.26"/>
  </r>
  <r>
    <n v="4536"/>
    <n v="32291"/>
    <d v="2009-11-05T00:00:00"/>
    <s v="Medium"/>
    <x v="1176"/>
    <x v="16"/>
    <x v="1"/>
    <s v="Small Business"/>
    <x v="1"/>
    <x v="2"/>
    <n v="183.22"/>
    <n v="12.99"/>
  </r>
  <r>
    <n v="4537"/>
    <n v="32291"/>
    <d v="2009-11-05T00:00:00"/>
    <s v="Medium"/>
    <x v="1176"/>
    <x v="16"/>
    <x v="1"/>
    <s v="Small Business"/>
    <x v="0"/>
    <x v="0"/>
    <n v="68.03"/>
    <n v="15.14"/>
  </r>
  <r>
    <n v="4538"/>
    <n v="32292"/>
    <d v="2012-02-15T00:00:00"/>
    <s v="Low"/>
    <x v="1177"/>
    <x v="19"/>
    <x v="3"/>
    <s v="Corporate"/>
    <x v="2"/>
    <x v="4"/>
    <n v="5008.7609999999995"/>
    <n v="115.99"/>
  </r>
  <r>
    <n v="4539"/>
    <n v="32292"/>
    <d v="2012-02-15T00:00:00"/>
    <s v="Low"/>
    <x v="1178"/>
    <x v="41"/>
    <x v="3"/>
    <s v="Corporate"/>
    <x v="0"/>
    <x v="6"/>
    <n v="13.53"/>
    <n v="11.55"/>
  </r>
  <r>
    <n v="4540"/>
    <n v="32295"/>
    <d v="2009-01-07T00:00:00"/>
    <s v="High"/>
    <x v="913"/>
    <x v="10"/>
    <x v="0"/>
    <s v="Small Business"/>
    <x v="2"/>
    <x v="4"/>
    <n v="607.59699999999998"/>
    <n v="65.989999999999995"/>
  </r>
  <r>
    <n v="4541"/>
    <n v="32323"/>
    <d v="2010-07-23T00:00:00"/>
    <s v="High"/>
    <x v="1179"/>
    <x v="26"/>
    <x v="3"/>
    <s v="Small Business"/>
    <x v="2"/>
    <x v="5"/>
    <n v="28.75"/>
    <n v="8.4600000000000009"/>
  </r>
  <r>
    <n v="4542"/>
    <n v="32323"/>
    <d v="2010-07-23T00:00:00"/>
    <s v="High"/>
    <x v="1179"/>
    <x v="26"/>
    <x v="3"/>
    <s v="Small Business"/>
    <x v="0"/>
    <x v="9"/>
    <n v="75.81"/>
    <n v="22.84"/>
  </r>
  <r>
    <n v="4543"/>
    <n v="32323"/>
    <d v="2010-07-23T00:00:00"/>
    <s v="High"/>
    <x v="1179"/>
    <x v="26"/>
    <x v="3"/>
    <s v="Small Business"/>
    <x v="2"/>
    <x v="4"/>
    <n v="259.71749999999997"/>
    <n v="7.99"/>
  </r>
  <r>
    <n v="4544"/>
    <n v="32325"/>
    <d v="2012-11-01T00:00:00"/>
    <s v="Critical"/>
    <x v="358"/>
    <x v="24"/>
    <x v="1"/>
    <s v="Corporate"/>
    <x v="1"/>
    <x v="2"/>
    <n v="1103.73"/>
    <n v="22.98"/>
  </r>
  <r>
    <n v="4545"/>
    <n v="32326"/>
    <d v="2010-10-31T00:00:00"/>
    <s v="High"/>
    <x v="888"/>
    <x v="7"/>
    <x v="3"/>
    <s v="Small Business"/>
    <x v="1"/>
    <x v="2"/>
    <n v="929.81"/>
    <n v="19.989999999999998"/>
  </r>
  <r>
    <n v="4546"/>
    <n v="32327"/>
    <d v="2012-08-07T00:00:00"/>
    <s v="Low"/>
    <x v="1113"/>
    <x v="30"/>
    <x v="0"/>
    <s v="Small Business"/>
    <x v="1"/>
    <x v="3"/>
    <n v="20333.816000000003"/>
    <n v="550.98"/>
  </r>
  <r>
    <n v="4547"/>
    <n v="32355"/>
    <d v="2009-05-20T00:00:00"/>
    <s v="Not Specified"/>
    <x v="727"/>
    <x v="46"/>
    <x v="1"/>
    <s v="Home Office"/>
    <x v="0"/>
    <x v="12"/>
    <n v="211.86"/>
    <n v="5.94"/>
  </r>
  <r>
    <n v="4548"/>
    <n v="32355"/>
    <d v="2009-05-20T00:00:00"/>
    <s v="Not Specified"/>
    <x v="727"/>
    <x v="46"/>
    <x v="1"/>
    <s v="Home Office"/>
    <x v="0"/>
    <x v="9"/>
    <n v="355.03"/>
    <n v="6.48"/>
  </r>
  <r>
    <n v="4549"/>
    <n v="32356"/>
    <d v="2012-10-10T00:00:00"/>
    <s v="Not Specified"/>
    <x v="360"/>
    <x v="29"/>
    <x v="2"/>
    <s v="Home Office"/>
    <x v="0"/>
    <x v="12"/>
    <n v="768.41"/>
    <n v="67.28"/>
  </r>
  <r>
    <n v="4550"/>
    <n v="32356"/>
    <d v="2012-10-10T00:00:00"/>
    <s v="Not Specified"/>
    <x v="360"/>
    <x v="29"/>
    <x v="2"/>
    <s v="Home Office"/>
    <x v="1"/>
    <x v="3"/>
    <n v="5238.192"/>
    <n v="145.97999999999999"/>
  </r>
  <r>
    <n v="4551"/>
    <n v="32386"/>
    <d v="2012-04-18T00:00:00"/>
    <s v="Critical"/>
    <x v="594"/>
    <x v="1"/>
    <x v="1"/>
    <s v="Home Office"/>
    <x v="2"/>
    <x v="10"/>
    <n v="1996.16"/>
    <n v="1938.02"/>
  </r>
  <r>
    <n v="4552"/>
    <n v="32389"/>
    <d v="2010-10-31T00:00:00"/>
    <s v="Medium"/>
    <x v="523"/>
    <x v="40"/>
    <x v="3"/>
    <s v="Small Business"/>
    <x v="1"/>
    <x v="3"/>
    <n v="121.62400000000001"/>
    <n v="15.23"/>
  </r>
  <r>
    <n v="4553"/>
    <n v="32389"/>
    <d v="2010-10-31T00:00:00"/>
    <s v="Medium"/>
    <x v="1080"/>
    <x v="31"/>
    <x v="3"/>
    <s v="Small Business"/>
    <x v="2"/>
    <x v="5"/>
    <n v="934.07"/>
    <n v="39.99"/>
  </r>
  <r>
    <n v="4554"/>
    <n v="32389"/>
    <d v="2010-10-31T00:00:00"/>
    <s v="Medium"/>
    <x v="1180"/>
    <x v="41"/>
    <x v="3"/>
    <s v="Small Business"/>
    <x v="2"/>
    <x v="4"/>
    <n v="65.466999999999999"/>
    <n v="65.989999999999995"/>
  </r>
  <r>
    <n v="4555"/>
    <n v="32418"/>
    <d v="2009-01-05T00:00:00"/>
    <s v="Not Specified"/>
    <x v="692"/>
    <x v="3"/>
    <x v="0"/>
    <s v="Corporate"/>
    <x v="1"/>
    <x v="15"/>
    <n v="1244.19"/>
    <n v="243.98"/>
  </r>
  <r>
    <n v="4556"/>
    <n v="32420"/>
    <d v="2009-07-29T00:00:00"/>
    <s v="Medium"/>
    <x v="1181"/>
    <x v="31"/>
    <x v="3"/>
    <s v="Consumer"/>
    <x v="2"/>
    <x v="5"/>
    <n v="175.08"/>
    <n v="5.0199999999999996"/>
  </r>
  <r>
    <n v="4557"/>
    <n v="32420"/>
    <d v="2009-07-29T00:00:00"/>
    <s v="Medium"/>
    <x v="311"/>
    <x v="13"/>
    <x v="3"/>
    <s v="Consumer"/>
    <x v="1"/>
    <x v="15"/>
    <n v="5369.46"/>
    <n v="280.98"/>
  </r>
  <r>
    <n v="4558"/>
    <n v="32449"/>
    <d v="2012-12-09T00:00:00"/>
    <s v="Critical"/>
    <x v="896"/>
    <x v="25"/>
    <x v="1"/>
    <s v="Corporate"/>
    <x v="0"/>
    <x v="9"/>
    <n v="277.58"/>
    <n v="7.28"/>
  </r>
  <r>
    <n v="4559"/>
    <n v="32449"/>
    <d v="2012-12-09T00:00:00"/>
    <s v="Critical"/>
    <x v="896"/>
    <x v="25"/>
    <x v="1"/>
    <s v="Corporate"/>
    <x v="1"/>
    <x v="3"/>
    <n v="4887.1400000000003"/>
    <n v="424.21"/>
  </r>
  <r>
    <n v="4560"/>
    <n v="32449"/>
    <d v="2012-12-09T00:00:00"/>
    <s v="Critical"/>
    <x v="896"/>
    <x v="25"/>
    <x v="1"/>
    <s v="Corporate"/>
    <x v="2"/>
    <x v="4"/>
    <n v="7195.2584999999999"/>
    <n v="200.99"/>
  </r>
  <r>
    <n v="4561"/>
    <n v="32450"/>
    <d v="2011-12-19T00:00:00"/>
    <s v="Medium"/>
    <x v="1182"/>
    <x v="23"/>
    <x v="3"/>
    <s v="Small Business"/>
    <x v="1"/>
    <x v="3"/>
    <n v="2638.79"/>
    <n v="70.89"/>
  </r>
  <r>
    <n v="4562"/>
    <n v="32451"/>
    <d v="2009-03-24T00:00:00"/>
    <s v="Not Specified"/>
    <x v="910"/>
    <x v="5"/>
    <x v="0"/>
    <s v="Home Office"/>
    <x v="0"/>
    <x v="12"/>
    <n v="580.55999999999995"/>
    <n v="14.28"/>
  </r>
  <r>
    <n v="4563"/>
    <n v="32452"/>
    <d v="2011-07-18T00:00:00"/>
    <s v="Medium"/>
    <x v="1158"/>
    <x v="33"/>
    <x v="0"/>
    <s v="Consumer"/>
    <x v="0"/>
    <x v="8"/>
    <n v="8.6"/>
    <n v="2.88"/>
  </r>
  <r>
    <n v="4564"/>
    <n v="32454"/>
    <d v="2011-03-31T00:00:00"/>
    <s v="Critical"/>
    <x v="224"/>
    <x v="26"/>
    <x v="3"/>
    <s v="Consumer"/>
    <x v="0"/>
    <x v="12"/>
    <n v="83.89"/>
    <n v="6.81"/>
  </r>
  <r>
    <n v="4565"/>
    <n v="32455"/>
    <d v="2010-09-23T00:00:00"/>
    <s v="High"/>
    <x v="26"/>
    <x v="18"/>
    <x v="2"/>
    <s v="Corporate"/>
    <x v="2"/>
    <x v="5"/>
    <n v="4620.53"/>
    <n v="99.99"/>
  </r>
  <r>
    <n v="4566"/>
    <n v="32484"/>
    <d v="2011-02-04T00:00:00"/>
    <s v="Not Specified"/>
    <x v="572"/>
    <x v="18"/>
    <x v="2"/>
    <s v="Corporate"/>
    <x v="1"/>
    <x v="15"/>
    <n v="2502.67"/>
    <n v="300.98"/>
  </r>
  <r>
    <n v="4567"/>
    <n v="32513"/>
    <d v="2012-02-02T00:00:00"/>
    <s v="Low"/>
    <x v="228"/>
    <x v="28"/>
    <x v="1"/>
    <s v="Corporate"/>
    <x v="0"/>
    <x v="12"/>
    <n v="3982.21"/>
    <n v="165.98"/>
  </r>
  <r>
    <n v="4568"/>
    <n v="32513"/>
    <d v="2012-02-02T00:00:00"/>
    <s v="Low"/>
    <x v="711"/>
    <x v="28"/>
    <x v="1"/>
    <s v="Corporate"/>
    <x v="0"/>
    <x v="6"/>
    <n v="66.55"/>
    <n v="1.6"/>
  </r>
  <r>
    <n v="4569"/>
    <n v="32516"/>
    <d v="2010-10-24T00:00:00"/>
    <s v="Critical"/>
    <x v="792"/>
    <x v="26"/>
    <x v="3"/>
    <s v="Corporate"/>
    <x v="0"/>
    <x v="12"/>
    <n v="43.96"/>
    <n v="2.78"/>
  </r>
  <r>
    <n v="4570"/>
    <n v="32516"/>
    <d v="2010-10-24T00:00:00"/>
    <s v="Critical"/>
    <x v="792"/>
    <x v="26"/>
    <x v="3"/>
    <s v="Corporate"/>
    <x v="0"/>
    <x v="14"/>
    <n v="60.19"/>
    <n v="7.78"/>
  </r>
  <r>
    <n v="4571"/>
    <n v="32519"/>
    <d v="2010-10-08T00:00:00"/>
    <s v="Low"/>
    <x v="564"/>
    <x v="15"/>
    <x v="2"/>
    <s v="Consumer"/>
    <x v="0"/>
    <x v="13"/>
    <n v="85.36"/>
    <n v="10.89"/>
  </r>
  <r>
    <n v="4572"/>
    <n v="32546"/>
    <d v="2011-03-18T00:00:00"/>
    <s v="Critical"/>
    <x v="1183"/>
    <x v="23"/>
    <x v="3"/>
    <s v="Home Office"/>
    <x v="0"/>
    <x v="12"/>
    <n v="156.09"/>
    <n v="22.38"/>
  </r>
  <r>
    <n v="4573"/>
    <n v="32546"/>
    <d v="2011-03-18T00:00:00"/>
    <s v="Critical"/>
    <x v="1183"/>
    <x v="23"/>
    <x v="3"/>
    <s v="Home Office"/>
    <x v="2"/>
    <x v="4"/>
    <n v="1294.0230000000001"/>
    <n v="35.99"/>
  </r>
  <r>
    <n v="4574"/>
    <n v="32580"/>
    <d v="2011-09-15T00:00:00"/>
    <s v="High"/>
    <x v="1184"/>
    <x v="45"/>
    <x v="0"/>
    <s v="Corporate"/>
    <x v="0"/>
    <x v="9"/>
    <n v="166.8"/>
    <n v="7.4"/>
  </r>
  <r>
    <n v="4575"/>
    <n v="32580"/>
    <d v="2011-09-15T00:00:00"/>
    <s v="High"/>
    <x v="1184"/>
    <x v="45"/>
    <x v="0"/>
    <s v="Corporate"/>
    <x v="0"/>
    <x v="9"/>
    <n v="261.38"/>
    <n v="6.48"/>
  </r>
  <r>
    <n v="4576"/>
    <n v="32582"/>
    <d v="2009-06-25T00:00:00"/>
    <s v="Not Specified"/>
    <x v="676"/>
    <x v="22"/>
    <x v="0"/>
    <s v="Consumer"/>
    <x v="1"/>
    <x v="2"/>
    <n v="2780.88"/>
    <n v="105.34"/>
  </r>
  <r>
    <n v="4577"/>
    <n v="32608"/>
    <d v="2012-05-22T00:00:00"/>
    <s v="High"/>
    <x v="187"/>
    <x v="26"/>
    <x v="3"/>
    <s v="Corporate"/>
    <x v="0"/>
    <x v="13"/>
    <n v="1361.91"/>
    <n v="70.97"/>
  </r>
  <r>
    <n v="4578"/>
    <n v="32610"/>
    <d v="2012-08-19T00:00:00"/>
    <s v="Not Specified"/>
    <x v="326"/>
    <x v="1"/>
    <x v="1"/>
    <s v="Consumer"/>
    <x v="0"/>
    <x v="1"/>
    <n v="316.99"/>
    <n v="6.84"/>
  </r>
  <r>
    <n v="4579"/>
    <n v="32610"/>
    <d v="2012-08-19T00:00:00"/>
    <s v="Not Specified"/>
    <x v="326"/>
    <x v="1"/>
    <x v="1"/>
    <s v="Consumer"/>
    <x v="2"/>
    <x v="4"/>
    <n v="1991.8984999999998"/>
    <n v="125.99"/>
  </r>
  <r>
    <n v="4580"/>
    <n v="32611"/>
    <d v="2009-08-27T00:00:00"/>
    <s v="Medium"/>
    <x v="1128"/>
    <x v="22"/>
    <x v="0"/>
    <s v="Corporate"/>
    <x v="0"/>
    <x v="12"/>
    <n v="33.76"/>
    <n v="2.08"/>
  </r>
  <r>
    <n v="4581"/>
    <n v="32611"/>
    <d v="2009-08-27T00:00:00"/>
    <s v="Medium"/>
    <x v="1128"/>
    <x v="22"/>
    <x v="0"/>
    <s v="Corporate"/>
    <x v="1"/>
    <x v="15"/>
    <n v="3537.39"/>
    <n v="180.98"/>
  </r>
  <r>
    <n v="4582"/>
    <n v="32611"/>
    <d v="2009-08-27T00:00:00"/>
    <s v="Medium"/>
    <x v="1128"/>
    <x v="22"/>
    <x v="0"/>
    <s v="Corporate"/>
    <x v="2"/>
    <x v="5"/>
    <n v="986.24"/>
    <n v="53.98"/>
  </r>
  <r>
    <n v="4583"/>
    <n v="32611"/>
    <d v="2009-08-27T00:00:00"/>
    <s v="Medium"/>
    <x v="1128"/>
    <x v="22"/>
    <x v="0"/>
    <s v="Corporate"/>
    <x v="0"/>
    <x v="9"/>
    <n v="81.66"/>
    <n v="4.9800000000000004"/>
  </r>
  <r>
    <n v="4584"/>
    <n v="32613"/>
    <d v="2011-12-16T00:00:00"/>
    <s v="Low"/>
    <x v="1185"/>
    <x v="7"/>
    <x v="3"/>
    <s v="Consumer"/>
    <x v="0"/>
    <x v="6"/>
    <n v="1359.74"/>
    <n v="43.98"/>
  </r>
  <r>
    <n v="4585"/>
    <n v="32613"/>
    <d v="2011-12-16T00:00:00"/>
    <s v="Low"/>
    <x v="1185"/>
    <x v="7"/>
    <x v="3"/>
    <s v="Consumer"/>
    <x v="0"/>
    <x v="0"/>
    <n v="5228.2"/>
    <n v="135.31"/>
  </r>
  <r>
    <n v="4586"/>
    <n v="32613"/>
    <d v="2011-12-16T00:00:00"/>
    <s v="Low"/>
    <x v="1185"/>
    <x v="7"/>
    <x v="3"/>
    <s v="Consumer"/>
    <x v="2"/>
    <x v="4"/>
    <n v="7174.9435000000003"/>
    <n v="195.99"/>
  </r>
  <r>
    <n v="4587"/>
    <n v="32640"/>
    <d v="2012-09-15T00:00:00"/>
    <s v="High"/>
    <x v="1186"/>
    <x v="12"/>
    <x v="3"/>
    <s v="Small Business"/>
    <x v="0"/>
    <x v="12"/>
    <n v="126.69"/>
    <n v="6.81"/>
  </r>
  <r>
    <n v="4588"/>
    <n v="32640"/>
    <d v="2012-09-15T00:00:00"/>
    <s v="High"/>
    <x v="1187"/>
    <x v="12"/>
    <x v="3"/>
    <s v="Small Business"/>
    <x v="0"/>
    <x v="9"/>
    <n v="162.11000000000001"/>
    <n v="12.28"/>
  </r>
  <r>
    <n v="4589"/>
    <n v="32641"/>
    <d v="2010-03-21T00:00:00"/>
    <s v="High"/>
    <x v="1188"/>
    <x v="28"/>
    <x v="1"/>
    <s v="Home Office"/>
    <x v="0"/>
    <x v="12"/>
    <n v="167.53"/>
    <n v="8.85"/>
  </r>
  <r>
    <n v="4590"/>
    <n v="32642"/>
    <d v="2012-03-29T00:00:00"/>
    <s v="Medium"/>
    <x v="1021"/>
    <x v="5"/>
    <x v="0"/>
    <s v="Corporate"/>
    <x v="2"/>
    <x v="5"/>
    <n v="1507.16"/>
    <n v="28.48"/>
  </r>
  <r>
    <n v="4591"/>
    <n v="32647"/>
    <d v="2011-11-18T00:00:00"/>
    <s v="High"/>
    <x v="1189"/>
    <x v="15"/>
    <x v="2"/>
    <s v="Consumer"/>
    <x v="2"/>
    <x v="5"/>
    <n v="671.75"/>
    <n v="20.97"/>
  </r>
  <r>
    <n v="4592"/>
    <n v="32647"/>
    <d v="2011-11-18T00:00:00"/>
    <s v="High"/>
    <x v="1189"/>
    <x v="15"/>
    <x v="2"/>
    <s v="Consumer"/>
    <x v="1"/>
    <x v="3"/>
    <n v="9541.0400000000009"/>
    <n v="348.21"/>
  </r>
  <r>
    <n v="4593"/>
    <n v="32675"/>
    <d v="2009-11-03T00:00:00"/>
    <s v="High"/>
    <x v="457"/>
    <x v="2"/>
    <x v="2"/>
    <s v="Corporate"/>
    <x v="1"/>
    <x v="3"/>
    <n v="6865.19"/>
    <n v="349.45"/>
  </r>
  <r>
    <n v="4594"/>
    <n v="32676"/>
    <d v="2009-02-01T00:00:00"/>
    <s v="Critical"/>
    <x v="1190"/>
    <x v="30"/>
    <x v="0"/>
    <s v="Corporate"/>
    <x v="2"/>
    <x v="5"/>
    <n v="1697.44"/>
    <n v="45.19"/>
  </r>
  <r>
    <n v="4595"/>
    <n v="32706"/>
    <d v="2009-07-04T00:00:00"/>
    <s v="Critical"/>
    <x v="1191"/>
    <x v="17"/>
    <x v="0"/>
    <s v="Home Office"/>
    <x v="2"/>
    <x v="10"/>
    <n v="2017.5"/>
    <n v="399.98"/>
  </r>
  <r>
    <n v="4596"/>
    <n v="32710"/>
    <d v="2009-11-16T00:00:00"/>
    <s v="High"/>
    <x v="924"/>
    <x v="8"/>
    <x v="2"/>
    <s v="Corporate"/>
    <x v="0"/>
    <x v="0"/>
    <n v="540.33000000000004"/>
    <n v="12.44"/>
  </r>
  <r>
    <n v="4597"/>
    <n v="32737"/>
    <d v="2009-10-28T00:00:00"/>
    <s v="High"/>
    <x v="1148"/>
    <x v="14"/>
    <x v="0"/>
    <s v="Home Office"/>
    <x v="0"/>
    <x v="12"/>
    <n v="367.11"/>
    <n v="28.53"/>
  </r>
  <r>
    <n v="4598"/>
    <n v="32741"/>
    <d v="2009-02-15T00:00:00"/>
    <s v="Low"/>
    <x v="29"/>
    <x v="7"/>
    <x v="3"/>
    <s v="Corporate"/>
    <x v="0"/>
    <x v="0"/>
    <n v="136.24"/>
    <n v="9.7100000000000009"/>
  </r>
  <r>
    <n v="4599"/>
    <n v="32743"/>
    <d v="2010-05-07T00:00:00"/>
    <s v="Critical"/>
    <x v="1037"/>
    <x v="0"/>
    <x v="0"/>
    <s v="Corporate"/>
    <x v="0"/>
    <x v="13"/>
    <n v="3548.67"/>
    <n v="177.98"/>
  </r>
  <r>
    <n v="4600"/>
    <n v="32800"/>
    <d v="2009-01-21T00:00:00"/>
    <s v="Not Specified"/>
    <x v="881"/>
    <x v="25"/>
    <x v="1"/>
    <s v="Home Office"/>
    <x v="1"/>
    <x v="15"/>
    <n v="11336.37"/>
    <n v="355.98"/>
  </r>
  <r>
    <n v="4601"/>
    <n v="32800"/>
    <d v="2009-01-21T00:00:00"/>
    <s v="Not Specified"/>
    <x v="881"/>
    <x v="25"/>
    <x v="1"/>
    <s v="Home Office"/>
    <x v="0"/>
    <x v="9"/>
    <n v="354.13"/>
    <n v="19.98"/>
  </r>
  <r>
    <n v="4602"/>
    <n v="32800"/>
    <d v="2009-01-21T00:00:00"/>
    <s v="Not Specified"/>
    <x v="881"/>
    <x v="25"/>
    <x v="1"/>
    <s v="Home Office"/>
    <x v="0"/>
    <x v="9"/>
    <n v="751.94"/>
    <n v="19.98"/>
  </r>
  <r>
    <n v="4603"/>
    <n v="32803"/>
    <d v="2011-12-16T00:00:00"/>
    <s v="Medium"/>
    <x v="930"/>
    <x v="5"/>
    <x v="0"/>
    <s v="Corporate"/>
    <x v="0"/>
    <x v="12"/>
    <n v="371.95"/>
    <n v="7.84"/>
  </r>
  <r>
    <n v="4604"/>
    <n v="32803"/>
    <d v="2011-12-16T00:00:00"/>
    <s v="Medium"/>
    <x v="930"/>
    <x v="5"/>
    <x v="0"/>
    <s v="Corporate"/>
    <x v="0"/>
    <x v="14"/>
    <n v="96.07"/>
    <n v="4.4800000000000004"/>
  </r>
  <r>
    <n v="4605"/>
    <n v="32804"/>
    <d v="2012-09-09T00:00:00"/>
    <s v="Medium"/>
    <x v="395"/>
    <x v="2"/>
    <x v="2"/>
    <s v="Corporate"/>
    <x v="0"/>
    <x v="8"/>
    <n v="174.81"/>
    <n v="3.75"/>
  </r>
  <r>
    <n v="4606"/>
    <n v="32804"/>
    <d v="2012-09-09T00:00:00"/>
    <s v="Medium"/>
    <x v="1192"/>
    <x v="2"/>
    <x v="2"/>
    <s v="Corporate"/>
    <x v="0"/>
    <x v="12"/>
    <n v="89.51"/>
    <n v="3.98"/>
  </r>
  <r>
    <n v="4607"/>
    <n v="32806"/>
    <d v="2011-06-21T00:00:00"/>
    <s v="Critical"/>
    <x v="1010"/>
    <x v="0"/>
    <x v="0"/>
    <s v="Home Office"/>
    <x v="1"/>
    <x v="2"/>
    <n v="178.78"/>
    <n v="20.239999999999998"/>
  </r>
  <r>
    <n v="4608"/>
    <n v="32806"/>
    <d v="2011-06-21T00:00:00"/>
    <s v="High"/>
    <x v="1192"/>
    <x v="2"/>
    <x v="2"/>
    <s v="Home Office"/>
    <x v="0"/>
    <x v="8"/>
    <n v="175.99"/>
    <n v="3.69"/>
  </r>
  <r>
    <n v="4609"/>
    <n v="32806"/>
    <d v="2011-06-21T00:00:00"/>
    <s v="High"/>
    <x v="1192"/>
    <x v="2"/>
    <x v="2"/>
    <s v="Home Office"/>
    <x v="0"/>
    <x v="9"/>
    <n v="221.23"/>
    <n v="6.68"/>
  </r>
  <r>
    <n v="4610"/>
    <n v="32834"/>
    <d v="2010-08-27T00:00:00"/>
    <s v="Critical"/>
    <x v="1044"/>
    <x v="5"/>
    <x v="0"/>
    <s v="Home Office"/>
    <x v="2"/>
    <x v="4"/>
    <n v="3460.5625"/>
    <n v="115.99"/>
  </r>
  <r>
    <n v="4611"/>
    <n v="32835"/>
    <d v="2012-07-07T00:00:00"/>
    <s v="Medium"/>
    <x v="1190"/>
    <x v="30"/>
    <x v="0"/>
    <s v="Corporate"/>
    <x v="2"/>
    <x v="4"/>
    <n v="572.4325"/>
    <n v="45.99"/>
  </r>
  <r>
    <n v="4612"/>
    <n v="32868"/>
    <d v="2009-01-17T00:00:00"/>
    <s v="Not Specified"/>
    <x v="396"/>
    <x v="11"/>
    <x v="2"/>
    <s v="Home Office"/>
    <x v="0"/>
    <x v="6"/>
    <n v="1101.28"/>
    <n v="28.15"/>
  </r>
  <r>
    <n v="4613"/>
    <n v="32869"/>
    <d v="2009-03-27T00:00:00"/>
    <s v="Medium"/>
    <x v="580"/>
    <x v="30"/>
    <x v="0"/>
    <s v="Corporate"/>
    <x v="2"/>
    <x v="5"/>
    <n v="322.02999999999997"/>
    <n v="8.1199999999999992"/>
  </r>
  <r>
    <n v="4614"/>
    <n v="32869"/>
    <d v="2009-03-27T00:00:00"/>
    <s v="Medium"/>
    <x v="580"/>
    <x v="30"/>
    <x v="0"/>
    <s v="Corporate"/>
    <x v="1"/>
    <x v="2"/>
    <n v="2470.84"/>
    <n v="51.65"/>
  </r>
  <r>
    <n v="4615"/>
    <n v="32869"/>
    <d v="2009-03-27T00:00:00"/>
    <s v="Medium"/>
    <x v="580"/>
    <x v="30"/>
    <x v="0"/>
    <s v="Corporate"/>
    <x v="0"/>
    <x v="6"/>
    <n v="15.26"/>
    <n v="6.68"/>
  </r>
  <r>
    <n v="4616"/>
    <n v="32869"/>
    <d v="2009-03-27T00:00:00"/>
    <s v="Medium"/>
    <x v="760"/>
    <x v="30"/>
    <x v="0"/>
    <s v="Corporate"/>
    <x v="2"/>
    <x v="4"/>
    <n v="5250.6624999999995"/>
    <n v="175.99"/>
  </r>
  <r>
    <n v="4617"/>
    <n v="32871"/>
    <d v="2012-10-26T00:00:00"/>
    <s v="High"/>
    <x v="1149"/>
    <x v="43"/>
    <x v="3"/>
    <s v="Small Business"/>
    <x v="2"/>
    <x v="5"/>
    <n v="107.92"/>
    <n v="10.97"/>
  </r>
  <r>
    <n v="4618"/>
    <n v="32871"/>
    <d v="2012-10-26T00:00:00"/>
    <s v="High"/>
    <x v="1149"/>
    <x v="43"/>
    <x v="3"/>
    <s v="Small Business"/>
    <x v="2"/>
    <x v="10"/>
    <n v="2151.08"/>
    <n v="145.44999999999999"/>
  </r>
  <r>
    <n v="4619"/>
    <n v="32871"/>
    <d v="2012-10-26T00:00:00"/>
    <s v="High"/>
    <x v="541"/>
    <x v="20"/>
    <x v="0"/>
    <s v="Small Business"/>
    <x v="2"/>
    <x v="5"/>
    <n v="939.77"/>
    <n v="20.97"/>
  </r>
  <r>
    <n v="4620"/>
    <n v="32901"/>
    <d v="2011-01-10T00:00:00"/>
    <s v="Critical"/>
    <x v="1128"/>
    <x v="22"/>
    <x v="0"/>
    <s v="Corporate"/>
    <x v="0"/>
    <x v="8"/>
    <n v="49.74"/>
    <n v="3.75"/>
  </r>
  <r>
    <n v="4621"/>
    <n v="32902"/>
    <d v="2012-03-03T00:00:00"/>
    <s v="High"/>
    <x v="1193"/>
    <x v="12"/>
    <x v="3"/>
    <s v="Home Office"/>
    <x v="0"/>
    <x v="6"/>
    <n v="145.47999999999999"/>
    <n v="4.26"/>
  </r>
  <r>
    <n v="4622"/>
    <n v="32902"/>
    <d v="2012-03-03T00:00:00"/>
    <s v="High"/>
    <x v="1194"/>
    <x v="16"/>
    <x v="1"/>
    <s v="Home Office"/>
    <x v="0"/>
    <x v="13"/>
    <n v="1638.67"/>
    <n v="68.81"/>
  </r>
  <r>
    <n v="4623"/>
    <n v="32902"/>
    <d v="2012-03-03T00:00:00"/>
    <s v="High"/>
    <x v="1194"/>
    <x v="16"/>
    <x v="1"/>
    <s v="Home Office"/>
    <x v="0"/>
    <x v="1"/>
    <n v="64.099999999999994"/>
    <n v="6.84"/>
  </r>
  <r>
    <n v="4624"/>
    <n v="32903"/>
    <d v="2012-07-26T00:00:00"/>
    <s v="Low"/>
    <x v="597"/>
    <x v="7"/>
    <x v="3"/>
    <s v="Small Business"/>
    <x v="0"/>
    <x v="0"/>
    <n v="454.58"/>
    <n v="15.31"/>
  </r>
  <r>
    <n v="4625"/>
    <n v="32929"/>
    <d v="2011-05-02T00:00:00"/>
    <s v="Low"/>
    <x v="944"/>
    <x v="34"/>
    <x v="2"/>
    <s v="Corporate"/>
    <x v="0"/>
    <x v="14"/>
    <n v="44.56"/>
    <n v="5.68"/>
  </r>
  <r>
    <n v="4626"/>
    <n v="32929"/>
    <d v="2011-05-02T00:00:00"/>
    <s v="Low"/>
    <x v="944"/>
    <x v="34"/>
    <x v="2"/>
    <s v="Corporate"/>
    <x v="0"/>
    <x v="0"/>
    <n v="152.13999999999999"/>
    <n v="12.21"/>
  </r>
  <r>
    <n v="4627"/>
    <n v="32931"/>
    <d v="2010-02-15T00:00:00"/>
    <s v="Low"/>
    <x v="1099"/>
    <x v="24"/>
    <x v="1"/>
    <s v="Corporate"/>
    <x v="0"/>
    <x v="8"/>
    <n v="86.1"/>
    <n v="2.88"/>
  </r>
  <r>
    <n v="4628"/>
    <n v="32931"/>
    <d v="2010-02-15T00:00:00"/>
    <s v="Low"/>
    <x v="1099"/>
    <x v="24"/>
    <x v="1"/>
    <s v="Corporate"/>
    <x v="0"/>
    <x v="0"/>
    <n v="298.11"/>
    <n v="12.44"/>
  </r>
  <r>
    <n v="4629"/>
    <n v="32932"/>
    <d v="2010-01-09T00:00:00"/>
    <s v="Low"/>
    <x v="508"/>
    <x v="16"/>
    <x v="1"/>
    <s v="Corporate"/>
    <x v="2"/>
    <x v="16"/>
    <n v="29884.6"/>
    <n v="599.99"/>
  </r>
  <r>
    <n v="4630"/>
    <n v="32965"/>
    <d v="2011-02-24T00:00:00"/>
    <s v="High"/>
    <x v="144"/>
    <x v="13"/>
    <x v="3"/>
    <s v="Small Business"/>
    <x v="0"/>
    <x v="9"/>
    <n v="11.15"/>
    <n v="3.98"/>
  </r>
  <r>
    <n v="4631"/>
    <n v="32965"/>
    <d v="2011-02-24T00:00:00"/>
    <s v="High"/>
    <x v="1195"/>
    <x v="12"/>
    <x v="3"/>
    <s v="Small Business"/>
    <x v="2"/>
    <x v="5"/>
    <n v="2427.25"/>
    <n v="99.99"/>
  </r>
  <r>
    <n v="4632"/>
    <n v="32966"/>
    <d v="2012-01-26T00:00:00"/>
    <s v="Low"/>
    <x v="579"/>
    <x v="15"/>
    <x v="2"/>
    <s v="Home Office"/>
    <x v="2"/>
    <x v="10"/>
    <n v="1035.2"/>
    <n v="270.97000000000003"/>
  </r>
  <r>
    <n v="4633"/>
    <n v="32966"/>
    <d v="2012-01-26T00:00:00"/>
    <s v="Low"/>
    <x v="579"/>
    <x v="15"/>
    <x v="2"/>
    <s v="Home Office"/>
    <x v="0"/>
    <x v="6"/>
    <n v="74.17"/>
    <n v="1.6"/>
  </r>
  <r>
    <n v="4634"/>
    <n v="32994"/>
    <d v="2012-09-16T00:00:00"/>
    <s v="Critical"/>
    <x v="1168"/>
    <x v="1"/>
    <x v="1"/>
    <s v="Consumer"/>
    <x v="0"/>
    <x v="9"/>
    <n v="226.41"/>
    <n v="6.48"/>
  </r>
  <r>
    <n v="4635"/>
    <n v="32996"/>
    <d v="2010-12-17T00:00:00"/>
    <s v="Critical"/>
    <x v="1115"/>
    <x v="2"/>
    <x v="2"/>
    <s v="Consumer"/>
    <x v="1"/>
    <x v="2"/>
    <n v="262.29000000000002"/>
    <n v="17.78"/>
  </r>
  <r>
    <n v="4636"/>
    <n v="32996"/>
    <d v="2010-12-17T00:00:00"/>
    <s v="Critical"/>
    <x v="1115"/>
    <x v="2"/>
    <x v="2"/>
    <s v="Consumer"/>
    <x v="2"/>
    <x v="4"/>
    <n v="116.31399999999999"/>
    <n v="65.989999999999995"/>
  </r>
  <r>
    <n v="4637"/>
    <n v="32998"/>
    <d v="2010-09-29T00:00:00"/>
    <s v="Not Specified"/>
    <x v="232"/>
    <x v="33"/>
    <x v="0"/>
    <s v="Corporate"/>
    <x v="1"/>
    <x v="11"/>
    <n v="1663.83"/>
    <n v="130.97999999999999"/>
  </r>
  <r>
    <n v="4638"/>
    <n v="32999"/>
    <d v="2009-04-14T00:00:00"/>
    <s v="Low"/>
    <x v="729"/>
    <x v="35"/>
    <x v="3"/>
    <s v="Home Office"/>
    <x v="1"/>
    <x v="11"/>
    <n v="1386.65"/>
    <n v="100.98"/>
  </r>
  <r>
    <n v="4639"/>
    <n v="33025"/>
    <d v="2009-01-24T00:00:00"/>
    <s v="Low"/>
    <x v="1196"/>
    <x v="12"/>
    <x v="3"/>
    <s v="Small Business"/>
    <x v="0"/>
    <x v="13"/>
    <n v="318.31"/>
    <n v="67.84"/>
  </r>
  <r>
    <n v="4640"/>
    <n v="33029"/>
    <d v="2012-05-31T00:00:00"/>
    <s v="High"/>
    <x v="1133"/>
    <x v="23"/>
    <x v="3"/>
    <s v="Consumer"/>
    <x v="1"/>
    <x v="3"/>
    <n v="16028.26"/>
    <n v="417.4"/>
  </r>
  <r>
    <n v="4641"/>
    <n v="33029"/>
    <d v="2012-05-31T00:00:00"/>
    <s v="High"/>
    <x v="1133"/>
    <x v="23"/>
    <x v="3"/>
    <s v="Consumer"/>
    <x v="2"/>
    <x v="4"/>
    <n v="738.25049999999999"/>
    <n v="115.99"/>
  </r>
  <r>
    <n v="4642"/>
    <n v="33031"/>
    <d v="2012-08-24T00:00:00"/>
    <s v="High"/>
    <x v="1064"/>
    <x v="7"/>
    <x v="3"/>
    <s v="Home Office"/>
    <x v="1"/>
    <x v="2"/>
    <n v="550.67999999999995"/>
    <n v="23.99"/>
  </r>
  <r>
    <n v="4643"/>
    <n v="33031"/>
    <d v="2012-08-24T00:00:00"/>
    <s v="High"/>
    <x v="1064"/>
    <x v="7"/>
    <x v="3"/>
    <s v="Home Office"/>
    <x v="0"/>
    <x v="9"/>
    <n v="120.96"/>
    <n v="6.48"/>
  </r>
  <r>
    <n v="4644"/>
    <n v="33060"/>
    <d v="2010-02-19T00:00:00"/>
    <s v="High"/>
    <x v="1015"/>
    <x v="8"/>
    <x v="2"/>
    <s v="Home Office"/>
    <x v="0"/>
    <x v="12"/>
    <n v="15.88"/>
    <n v="3.74"/>
  </r>
  <r>
    <n v="4645"/>
    <n v="33061"/>
    <d v="2011-07-15T00:00:00"/>
    <s v="High"/>
    <x v="208"/>
    <x v="23"/>
    <x v="3"/>
    <s v="Home Office"/>
    <x v="0"/>
    <x v="0"/>
    <n v="5318.89"/>
    <n v="111.03"/>
  </r>
  <r>
    <n v="4646"/>
    <n v="33090"/>
    <d v="2009-08-05T00:00:00"/>
    <s v="Medium"/>
    <x v="389"/>
    <x v="40"/>
    <x v="3"/>
    <s v="Corporate"/>
    <x v="0"/>
    <x v="0"/>
    <n v="1033.93"/>
    <n v="37.76"/>
  </r>
  <r>
    <n v="4647"/>
    <n v="33091"/>
    <d v="2011-01-25T00:00:00"/>
    <s v="High"/>
    <x v="256"/>
    <x v="33"/>
    <x v="0"/>
    <s v="Home Office"/>
    <x v="0"/>
    <x v="9"/>
    <n v="265.35000000000002"/>
    <n v="9.99"/>
  </r>
  <r>
    <n v="4648"/>
    <n v="33095"/>
    <d v="2009-02-15T00:00:00"/>
    <s v="Not Specified"/>
    <x v="1043"/>
    <x v="16"/>
    <x v="1"/>
    <s v="Consumer"/>
    <x v="2"/>
    <x v="5"/>
    <n v="4846.74"/>
    <n v="159.99"/>
  </r>
  <r>
    <n v="4649"/>
    <n v="33095"/>
    <d v="2009-02-15T00:00:00"/>
    <s v="Not Specified"/>
    <x v="1043"/>
    <x v="16"/>
    <x v="1"/>
    <s v="Consumer"/>
    <x v="1"/>
    <x v="2"/>
    <n v="2548.3000000000002"/>
    <n v="78.69"/>
  </r>
  <r>
    <n v="4650"/>
    <n v="33122"/>
    <d v="2010-06-19T00:00:00"/>
    <s v="Low"/>
    <x v="935"/>
    <x v="17"/>
    <x v="0"/>
    <s v="Small Business"/>
    <x v="2"/>
    <x v="10"/>
    <n v="8468.6299999999992"/>
    <n v="400.97"/>
  </r>
  <r>
    <n v="4651"/>
    <n v="33123"/>
    <d v="2010-11-24T00:00:00"/>
    <s v="Medium"/>
    <x v="1096"/>
    <x v="0"/>
    <x v="0"/>
    <s v="Corporate"/>
    <x v="1"/>
    <x v="11"/>
    <n v="6045.98"/>
    <n v="150.97999999999999"/>
  </r>
  <r>
    <n v="4652"/>
    <n v="33126"/>
    <d v="2011-11-12T00:00:00"/>
    <s v="Critical"/>
    <x v="1087"/>
    <x v="16"/>
    <x v="1"/>
    <s v="Small Business"/>
    <x v="1"/>
    <x v="15"/>
    <n v="5979.84"/>
    <n v="128.24"/>
  </r>
  <r>
    <n v="4653"/>
    <n v="33126"/>
    <d v="2011-11-12T00:00:00"/>
    <s v="Critical"/>
    <x v="1087"/>
    <x v="16"/>
    <x v="1"/>
    <s v="Small Business"/>
    <x v="0"/>
    <x v="8"/>
    <n v="175.76"/>
    <n v="6.3"/>
  </r>
  <r>
    <n v="4654"/>
    <n v="33152"/>
    <d v="2010-11-21T00:00:00"/>
    <s v="Critical"/>
    <x v="1144"/>
    <x v="7"/>
    <x v="3"/>
    <s v="Corporate"/>
    <x v="2"/>
    <x v="4"/>
    <n v="2569.6264999999999"/>
    <n v="155.99"/>
  </r>
  <r>
    <n v="4655"/>
    <n v="33154"/>
    <d v="2010-08-03T00:00:00"/>
    <s v="Critical"/>
    <x v="870"/>
    <x v="12"/>
    <x v="3"/>
    <s v="Corporate"/>
    <x v="2"/>
    <x v="4"/>
    <n v="368.02449999999999"/>
    <n v="65.989999999999995"/>
  </r>
  <r>
    <n v="4656"/>
    <n v="33159"/>
    <d v="2012-04-27T00:00:00"/>
    <s v="Medium"/>
    <x v="892"/>
    <x v="0"/>
    <x v="0"/>
    <s v="Corporate"/>
    <x v="2"/>
    <x v="4"/>
    <n v="56.695"/>
    <n v="20.99"/>
  </r>
  <r>
    <n v="4657"/>
    <n v="33184"/>
    <d v="2012-02-13T00:00:00"/>
    <s v="Not Specified"/>
    <x v="772"/>
    <x v="2"/>
    <x v="2"/>
    <s v="Small Business"/>
    <x v="0"/>
    <x v="12"/>
    <n v="402.49"/>
    <n v="11.7"/>
  </r>
  <r>
    <n v="4658"/>
    <n v="33184"/>
    <d v="2012-02-13T00:00:00"/>
    <s v="Not Specified"/>
    <x v="772"/>
    <x v="2"/>
    <x v="2"/>
    <s v="Small Business"/>
    <x v="0"/>
    <x v="12"/>
    <n v="1754.29"/>
    <n v="1889.99"/>
  </r>
  <r>
    <n v="4659"/>
    <n v="33186"/>
    <d v="2012-08-28T00:00:00"/>
    <s v="Low"/>
    <x v="156"/>
    <x v="0"/>
    <x v="0"/>
    <s v="Corporate"/>
    <x v="2"/>
    <x v="4"/>
    <n v="1350.5309999999999"/>
    <n v="65.989999999999995"/>
  </r>
  <r>
    <n v="4660"/>
    <n v="33189"/>
    <d v="2009-11-20T00:00:00"/>
    <s v="Low"/>
    <x v="171"/>
    <x v="24"/>
    <x v="1"/>
    <s v="Consumer"/>
    <x v="2"/>
    <x v="5"/>
    <n v="87.21"/>
    <n v="27.48"/>
  </r>
  <r>
    <n v="4661"/>
    <n v="33189"/>
    <d v="2009-11-20T00:00:00"/>
    <s v="Low"/>
    <x v="171"/>
    <x v="24"/>
    <x v="1"/>
    <s v="Consumer"/>
    <x v="0"/>
    <x v="9"/>
    <n v="50.19"/>
    <n v="10.06"/>
  </r>
  <r>
    <n v="4662"/>
    <n v="33217"/>
    <d v="2009-03-12T00:00:00"/>
    <s v="High"/>
    <x v="1151"/>
    <x v="7"/>
    <x v="3"/>
    <s v="Small Business"/>
    <x v="2"/>
    <x v="5"/>
    <n v="1388.91"/>
    <n v="73.98"/>
  </r>
  <r>
    <n v="4663"/>
    <n v="33217"/>
    <d v="2009-03-12T00:00:00"/>
    <s v="High"/>
    <x v="1151"/>
    <x v="7"/>
    <x v="3"/>
    <s v="Small Business"/>
    <x v="2"/>
    <x v="10"/>
    <n v="1806.65"/>
    <n v="51.98"/>
  </r>
  <r>
    <n v="4664"/>
    <n v="33218"/>
    <d v="2010-01-06T00:00:00"/>
    <s v="Not Specified"/>
    <x v="505"/>
    <x v="15"/>
    <x v="2"/>
    <s v="Small Business"/>
    <x v="0"/>
    <x v="12"/>
    <n v="113.8"/>
    <n v="4.57"/>
  </r>
  <r>
    <n v="4665"/>
    <n v="33218"/>
    <d v="2010-01-06T00:00:00"/>
    <s v="Not Specified"/>
    <x v="505"/>
    <x v="15"/>
    <x v="2"/>
    <s v="Small Business"/>
    <x v="1"/>
    <x v="2"/>
    <n v="480.13"/>
    <n v="16.16"/>
  </r>
  <r>
    <n v="4666"/>
    <n v="33219"/>
    <d v="2011-12-10T00:00:00"/>
    <s v="High"/>
    <x v="1166"/>
    <x v="5"/>
    <x v="0"/>
    <s v="Consumer"/>
    <x v="1"/>
    <x v="15"/>
    <n v="7341.96"/>
    <n v="216.6"/>
  </r>
  <r>
    <n v="4667"/>
    <n v="33220"/>
    <d v="2009-04-15T00:00:00"/>
    <s v="Not Specified"/>
    <x v="402"/>
    <x v="44"/>
    <x v="2"/>
    <s v="Consumer"/>
    <x v="0"/>
    <x v="13"/>
    <n v="3291.13"/>
    <n v="70.97"/>
  </r>
  <r>
    <n v="4668"/>
    <n v="33220"/>
    <d v="2009-04-15T00:00:00"/>
    <s v="Not Specified"/>
    <x v="402"/>
    <x v="44"/>
    <x v="2"/>
    <s v="Consumer"/>
    <x v="1"/>
    <x v="2"/>
    <n v="736.96"/>
    <n v="19.98"/>
  </r>
  <r>
    <n v="4669"/>
    <n v="33222"/>
    <d v="2012-06-19T00:00:00"/>
    <s v="Medium"/>
    <x v="1022"/>
    <x v="16"/>
    <x v="1"/>
    <s v="Home Office"/>
    <x v="0"/>
    <x v="12"/>
    <n v="420.76"/>
    <n v="22.38"/>
  </r>
  <r>
    <n v="4670"/>
    <n v="33222"/>
    <d v="2012-06-19T00:00:00"/>
    <s v="Medium"/>
    <x v="1022"/>
    <x v="16"/>
    <x v="1"/>
    <s v="Home Office"/>
    <x v="1"/>
    <x v="15"/>
    <n v="1676.46"/>
    <n v="60.98"/>
  </r>
  <r>
    <n v="4671"/>
    <n v="33222"/>
    <d v="2012-06-19T00:00:00"/>
    <s v="Medium"/>
    <x v="1022"/>
    <x v="16"/>
    <x v="1"/>
    <s v="Home Office"/>
    <x v="0"/>
    <x v="6"/>
    <n v="145.66"/>
    <n v="2.88"/>
  </r>
  <r>
    <n v="4672"/>
    <n v="33250"/>
    <d v="2009-06-25T00:00:00"/>
    <s v="Not Specified"/>
    <x v="232"/>
    <x v="33"/>
    <x v="0"/>
    <s v="Corporate"/>
    <x v="0"/>
    <x v="13"/>
    <n v="7381.19"/>
    <n v="177.98"/>
  </r>
  <r>
    <n v="4673"/>
    <n v="33253"/>
    <d v="2011-11-30T00:00:00"/>
    <s v="Not Specified"/>
    <x v="1197"/>
    <x v="12"/>
    <x v="3"/>
    <s v="Home Office"/>
    <x v="0"/>
    <x v="6"/>
    <n v="24.2"/>
    <n v="4.13"/>
  </r>
  <r>
    <n v="4674"/>
    <n v="33253"/>
    <d v="2011-11-30T00:00:00"/>
    <s v="Not Specified"/>
    <x v="202"/>
    <x v="13"/>
    <x v="3"/>
    <s v="Home Office"/>
    <x v="2"/>
    <x v="4"/>
    <n v="524.21199999999999"/>
    <n v="35.99"/>
  </r>
  <r>
    <n v="4675"/>
    <n v="33254"/>
    <d v="2011-11-03T00:00:00"/>
    <s v="Not Specified"/>
    <x v="1015"/>
    <x v="8"/>
    <x v="2"/>
    <s v="Home Office"/>
    <x v="1"/>
    <x v="2"/>
    <n v="466.35"/>
    <n v="39.979999999999997"/>
  </r>
  <r>
    <n v="4676"/>
    <n v="33255"/>
    <d v="2010-06-24T00:00:00"/>
    <s v="Critical"/>
    <x v="587"/>
    <x v="38"/>
    <x v="0"/>
    <s v="Home Office"/>
    <x v="0"/>
    <x v="9"/>
    <n v="108.21"/>
    <n v="5.28"/>
  </r>
  <r>
    <n v="4677"/>
    <n v="33283"/>
    <d v="2010-03-20T00:00:00"/>
    <s v="Medium"/>
    <x v="903"/>
    <x v="1"/>
    <x v="1"/>
    <s v="Home Office"/>
    <x v="1"/>
    <x v="3"/>
    <n v="10462.540000000001"/>
    <n v="218.75"/>
  </r>
  <r>
    <n v="4678"/>
    <n v="33284"/>
    <d v="2012-03-31T00:00:00"/>
    <s v="Low"/>
    <x v="324"/>
    <x v="22"/>
    <x v="0"/>
    <s v="Corporate"/>
    <x v="1"/>
    <x v="2"/>
    <n v="480.39"/>
    <n v="22.23"/>
  </r>
  <r>
    <n v="4679"/>
    <n v="33285"/>
    <d v="2012-01-19T00:00:00"/>
    <s v="High"/>
    <x v="1062"/>
    <x v="15"/>
    <x v="2"/>
    <s v="Small Business"/>
    <x v="0"/>
    <x v="0"/>
    <n v="66.92"/>
    <n v="12.28"/>
  </r>
  <r>
    <n v="4680"/>
    <n v="33287"/>
    <d v="2011-04-22T00:00:00"/>
    <s v="Critical"/>
    <x v="542"/>
    <x v="22"/>
    <x v="0"/>
    <s v="Small Business"/>
    <x v="2"/>
    <x v="10"/>
    <n v="11904.55"/>
    <n v="270.97000000000003"/>
  </r>
  <r>
    <n v="4681"/>
    <n v="33317"/>
    <d v="2009-05-11T00:00:00"/>
    <s v="High"/>
    <x v="1090"/>
    <x v="16"/>
    <x v="1"/>
    <s v="Consumer"/>
    <x v="0"/>
    <x v="13"/>
    <n v="203.35"/>
    <n v="4.4800000000000004"/>
  </r>
  <r>
    <n v="4682"/>
    <n v="33317"/>
    <d v="2009-05-11T00:00:00"/>
    <s v="High"/>
    <x v="1090"/>
    <x v="16"/>
    <x v="1"/>
    <s v="Consumer"/>
    <x v="0"/>
    <x v="12"/>
    <n v="44.52"/>
    <n v="2.16"/>
  </r>
  <r>
    <n v="4683"/>
    <n v="33317"/>
    <d v="2009-05-11T00:00:00"/>
    <s v="High"/>
    <x v="1090"/>
    <x v="16"/>
    <x v="1"/>
    <s v="Consumer"/>
    <x v="0"/>
    <x v="0"/>
    <n v="58.9"/>
    <n v="9.7100000000000009"/>
  </r>
  <r>
    <n v="4684"/>
    <n v="33317"/>
    <d v="2009-05-11T00:00:00"/>
    <s v="High"/>
    <x v="1090"/>
    <x v="16"/>
    <x v="1"/>
    <s v="Consumer"/>
    <x v="2"/>
    <x v="4"/>
    <n v="602.42049999999995"/>
    <n v="55.99"/>
  </r>
  <r>
    <n v="4685"/>
    <n v="33319"/>
    <d v="2009-03-27T00:00:00"/>
    <s v="Not Specified"/>
    <x v="1040"/>
    <x v="27"/>
    <x v="3"/>
    <s v="Corporate"/>
    <x v="1"/>
    <x v="15"/>
    <n v="1736.26"/>
    <n v="150.88999999999999"/>
  </r>
  <r>
    <n v="4686"/>
    <n v="33350"/>
    <d v="2009-07-21T00:00:00"/>
    <s v="Not Specified"/>
    <x v="977"/>
    <x v="21"/>
    <x v="2"/>
    <s v="Home Office"/>
    <x v="0"/>
    <x v="12"/>
    <n v="1786.04"/>
    <n v="1889.99"/>
  </r>
  <r>
    <n v="4687"/>
    <n v="33377"/>
    <d v="2011-07-31T00:00:00"/>
    <s v="High"/>
    <x v="835"/>
    <x v="0"/>
    <x v="0"/>
    <s v="Corporate"/>
    <x v="0"/>
    <x v="9"/>
    <n v="100.4"/>
    <n v="5.18"/>
  </r>
  <r>
    <n v="4688"/>
    <n v="33377"/>
    <d v="2011-07-31T00:00:00"/>
    <s v="High"/>
    <x v="835"/>
    <x v="0"/>
    <x v="0"/>
    <s v="Corporate"/>
    <x v="0"/>
    <x v="1"/>
    <n v="327.14999999999998"/>
    <n v="17.239999999999998"/>
  </r>
  <r>
    <n v="4689"/>
    <n v="33378"/>
    <d v="2012-04-27T00:00:00"/>
    <s v="High"/>
    <x v="1158"/>
    <x v="33"/>
    <x v="0"/>
    <s v="Consumer"/>
    <x v="0"/>
    <x v="14"/>
    <n v="945.36"/>
    <n v="39.979999999999997"/>
  </r>
  <r>
    <n v="4690"/>
    <n v="33414"/>
    <d v="2012-02-10T00:00:00"/>
    <s v="Not Specified"/>
    <x v="100"/>
    <x v="34"/>
    <x v="2"/>
    <s v="Small Business"/>
    <x v="0"/>
    <x v="6"/>
    <n v="37.22"/>
    <n v="4.13"/>
  </r>
  <r>
    <n v="4691"/>
    <n v="33444"/>
    <d v="2012-10-06T00:00:00"/>
    <s v="Medium"/>
    <x v="909"/>
    <x v="0"/>
    <x v="0"/>
    <s v="Corporate"/>
    <x v="0"/>
    <x v="6"/>
    <n v="30.51"/>
    <n v="2.6"/>
  </r>
  <r>
    <n v="4692"/>
    <n v="33444"/>
    <d v="2012-10-06T00:00:00"/>
    <s v="Medium"/>
    <x v="909"/>
    <x v="0"/>
    <x v="0"/>
    <s v="Corporate"/>
    <x v="0"/>
    <x v="0"/>
    <n v="127.8"/>
    <n v="14.97"/>
  </r>
  <r>
    <n v="4693"/>
    <n v="33445"/>
    <d v="2012-08-02T00:00:00"/>
    <s v="Low"/>
    <x v="508"/>
    <x v="16"/>
    <x v="1"/>
    <s v="Small Business"/>
    <x v="1"/>
    <x v="11"/>
    <n v="1776.96"/>
    <n v="100.98"/>
  </r>
  <r>
    <n v="4694"/>
    <n v="33445"/>
    <d v="2012-08-02T00:00:00"/>
    <s v="Low"/>
    <x v="508"/>
    <x v="16"/>
    <x v="1"/>
    <s v="Small Business"/>
    <x v="1"/>
    <x v="11"/>
    <n v="3642.14"/>
    <n v="70.98"/>
  </r>
  <r>
    <n v="4695"/>
    <n v="33445"/>
    <d v="2012-08-02T00:00:00"/>
    <s v="Low"/>
    <x v="508"/>
    <x v="16"/>
    <x v="1"/>
    <s v="Small Business"/>
    <x v="1"/>
    <x v="3"/>
    <n v="2982.5"/>
    <n v="182.55"/>
  </r>
  <r>
    <n v="4696"/>
    <n v="33473"/>
    <d v="2011-01-04T00:00:00"/>
    <s v="Low"/>
    <x v="222"/>
    <x v="29"/>
    <x v="2"/>
    <s v="Corporate"/>
    <x v="0"/>
    <x v="1"/>
    <n v="600.22"/>
    <n v="12.98"/>
  </r>
  <r>
    <n v="4697"/>
    <n v="33477"/>
    <d v="2012-10-19T00:00:00"/>
    <s v="High"/>
    <x v="1166"/>
    <x v="5"/>
    <x v="0"/>
    <s v="Small Business"/>
    <x v="0"/>
    <x v="8"/>
    <n v="269.27999999999997"/>
    <n v="10.35"/>
  </r>
  <r>
    <n v="4698"/>
    <n v="33478"/>
    <d v="2010-06-14T00:00:00"/>
    <s v="High"/>
    <x v="393"/>
    <x v="23"/>
    <x v="3"/>
    <s v="Consumer"/>
    <x v="0"/>
    <x v="9"/>
    <n v="125.9"/>
    <n v="5.88"/>
  </r>
  <r>
    <n v="4699"/>
    <n v="33479"/>
    <d v="2012-09-18T00:00:00"/>
    <s v="Critical"/>
    <x v="171"/>
    <x v="24"/>
    <x v="1"/>
    <s v="Home Office"/>
    <x v="0"/>
    <x v="12"/>
    <n v="762.2"/>
    <n v="15.01"/>
  </r>
  <r>
    <n v="4700"/>
    <n v="33479"/>
    <d v="2012-09-18T00:00:00"/>
    <s v="Critical"/>
    <x v="171"/>
    <x v="24"/>
    <x v="1"/>
    <s v="Home Office"/>
    <x v="0"/>
    <x v="9"/>
    <n v="235.45"/>
    <n v="8.56"/>
  </r>
  <r>
    <n v="4701"/>
    <n v="33479"/>
    <d v="2012-09-18T00:00:00"/>
    <s v="Critical"/>
    <x v="22"/>
    <x v="15"/>
    <x v="2"/>
    <s v="Home Office"/>
    <x v="0"/>
    <x v="9"/>
    <n v="161.87"/>
    <n v="6.48"/>
  </r>
  <r>
    <n v="4702"/>
    <n v="33505"/>
    <d v="2010-09-25T00:00:00"/>
    <s v="Low"/>
    <x v="135"/>
    <x v="10"/>
    <x v="0"/>
    <s v="Consumer"/>
    <x v="0"/>
    <x v="9"/>
    <n v="117.78"/>
    <n v="4"/>
  </r>
  <r>
    <n v="4703"/>
    <n v="33505"/>
    <d v="2010-09-25T00:00:00"/>
    <s v="Low"/>
    <x v="135"/>
    <x v="10"/>
    <x v="0"/>
    <s v="Consumer"/>
    <x v="2"/>
    <x v="4"/>
    <n v="2463.2404999999999"/>
    <n v="85.99"/>
  </r>
  <r>
    <n v="4704"/>
    <n v="33510"/>
    <d v="2011-12-02T00:00:00"/>
    <s v="High"/>
    <x v="976"/>
    <x v="26"/>
    <x v="3"/>
    <s v="Corporate"/>
    <x v="1"/>
    <x v="2"/>
    <n v="267.06"/>
    <n v="6.24"/>
  </r>
  <r>
    <n v="4705"/>
    <n v="33510"/>
    <d v="2011-12-02T00:00:00"/>
    <s v="High"/>
    <x v="976"/>
    <x v="26"/>
    <x v="3"/>
    <s v="Corporate"/>
    <x v="0"/>
    <x v="9"/>
    <n v="449.79"/>
    <n v="40.99"/>
  </r>
  <r>
    <n v="4706"/>
    <n v="33537"/>
    <d v="2010-08-13T00:00:00"/>
    <s v="Medium"/>
    <x v="1081"/>
    <x v="15"/>
    <x v="2"/>
    <s v="Corporate"/>
    <x v="0"/>
    <x v="6"/>
    <n v="45.38"/>
    <n v="1.76"/>
  </r>
  <r>
    <n v="4707"/>
    <n v="33537"/>
    <d v="2010-08-13T00:00:00"/>
    <s v="Medium"/>
    <x v="1081"/>
    <x v="15"/>
    <x v="2"/>
    <s v="Corporate"/>
    <x v="2"/>
    <x v="4"/>
    <n v="163.31049999999999"/>
    <n v="20.99"/>
  </r>
  <r>
    <n v="4708"/>
    <n v="33540"/>
    <d v="2011-06-06T00:00:00"/>
    <s v="Low"/>
    <x v="1182"/>
    <x v="23"/>
    <x v="3"/>
    <s v="Consumer"/>
    <x v="0"/>
    <x v="6"/>
    <n v="190.99"/>
    <n v="9.85"/>
  </r>
  <r>
    <n v="4709"/>
    <n v="33541"/>
    <d v="2012-06-19T00:00:00"/>
    <s v="Critical"/>
    <x v="600"/>
    <x v="26"/>
    <x v="3"/>
    <s v="Small Business"/>
    <x v="1"/>
    <x v="2"/>
    <n v="512.78"/>
    <n v="12.2"/>
  </r>
  <r>
    <n v="4710"/>
    <n v="33568"/>
    <d v="2012-07-21T00:00:00"/>
    <s v="Medium"/>
    <x v="111"/>
    <x v="4"/>
    <x v="1"/>
    <s v="Small Business"/>
    <x v="1"/>
    <x v="2"/>
    <n v="628.73"/>
    <n v="55.5"/>
  </r>
  <r>
    <n v="4711"/>
    <n v="33568"/>
    <d v="2012-07-21T00:00:00"/>
    <s v="Medium"/>
    <x v="111"/>
    <x v="4"/>
    <x v="1"/>
    <s v="Small Business"/>
    <x v="0"/>
    <x v="0"/>
    <n v="385.81"/>
    <n v="15.51"/>
  </r>
  <r>
    <n v="4712"/>
    <n v="33569"/>
    <d v="2009-08-28T00:00:00"/>
    <s v="Low"/>
    <x v="417"/>
    <x v="15"/>
    <x v="2"/>
    <s v="Consumer"/>
    <x v="1"/>
    <x v="2"/>
    <n v="123.92"/>
    <n v="14.2"/>
  </r>
  <r>
    <n v="4713"/>
    <n v="33570"/>
    <d v="2012-12-16T00:00:00"/>
    <s v="Not Specified"/>
    <x v="527"/>
    <x v="17"/>
    <x v="0"/>
    <s v="Corporate"/>
    <x v="0"/>
    <x v="12"/>
    <n v="265.88"/>
    <n v="5.74"/>
  </r>
  <r>
    <n v="4714"/>
    <n v="33570"/>
    <d v="2012-12-16T00:00:00"/>
    <s v="Not Specified"/>
    <x v="527"/>
    <x v="17"/>
    <x v="0"/>
    <s v="Corporate"/>
    <x v="2"/>
    <x v="10"/>
    <n v="1500.82"/>
    <n v="1500.97"/>
  </r>
  <r>
    <n v="4715"/>
    <n v="33570"/>
    <d v="2012-12-16T00:00:00"/>
    <s v="Not Specified"/>
    <x v="527"/>
    <x v="17"/>
    <x v="0"/>
    <s v="Corporate"/>
    <x v="2"/>
    <x v="4"/>
    <n v="3093.864"/>
    <n v="205.99"/>
  </r>
  <r>
    <n v="4716"/>
    <n v="33571"/>
    <d v="2011-10-11T00:00:00"/>
    <s v="Medium"/>
    <x v="611"/>
    <x v="15"/>
    <x v="2"/>
    <s v="Consumer"/>
    <x v="1"/>
    <x v="2"/>
    <n v="7.15"/>
    <n v="5.08"/>
  </r>
  <r>
    <n v="4717"/>
    <n v="33573"/>
    <d v="2010-10-04T00:00:00"/>
    <s v="Critical"/>
    <x v="976"/>
    <x v="26"/>
    <x v="3"/>
    <s v="Corporate"/>
    <x v="1"/>
    <x v="3"/>
    <n v="2272.56"/>
    <n v="150.97999999999999"/>
  </r>
  <r>
    <n v="4718"/>
    <n v="33600"/>
    <d v="2010-10-06T00:00:00"/>
    <s v="Low"/>
    <x v="1030"/>
    <x v="20"/>
    <x v="0"/>
    <s v="Corporate"/>
    <x v="0"/>
    <x v="9"/>
    <n v="187.28"/>
    <n v="4.28"/>
  </r>
  <r>
    <n v="4719"/>
    <n v="33604"/>
    <d v="2011-08-18T00:00:00"/>
    <s v="High"/>
    <x v="649"/>
    <x v="16"/>
    <x v="1"/>
    <s v="Corporate"/>
    <x v="0"/>
    <x v="12"/>
    <n v="59.62"/>
    <n v="5.4"/>
  </r>
  <r>
    <n v="4720"/>
    <n v="33605"/>
    <d v="2012-04-03T00:00:00"/>
    <s v="Critical"/>
    <x v="924"/>
    <x v="8"/>
    <x v="2"/>
    <s v="Corporate"/>
    <x v="0"/>
    <x v="12"/>
    <n v="153.01"/>
    <n v="3.52"/>
  </r>
  <r>
    <n v="4721"/>
    <n v="33606"/>
    <d v="2012-03-01T00:00:00"/>
    <s v="High"/>
    <x v="749"/>
    <x v="7"/>
    <x v="3"/>
    <s v="Small Business"/>
    <x v="1"/>
    <x v="2"/>
    <n v="410.03"/>
    <n v="8.75"/>
  </r>
  <r>
    <n v="4722"/>
    <n v="33632"/>
    <d v="2010-03-13T00:00:00"/>
    <s v="Critical"/>
    <x v="1108"/>
    <x v="20"/>
    <x v="0"/>
    <s v="Home Office"/>
    <x v="2"/>
    <x v="4"/>
    <n v="763.6484999999999"/>
    <n v="115.99"/>
  </r>
  <r>
    <n v="4723"/>
    <n v="33634"/>
    <d v="2010-08-31T00:00:00"/>
    <s v="Not Specified"/>
    <x v="327"/>
    <x v="4"/>
    <x v="1"/>
    <s v="Small Business"/>
    <x v="0"/>
    <x v="9"/>
    <n v="271.33999999999997"/>
    <n v="6.48"/>
  </r>
  <r>
    <n v="4724"/>
    <n v="33635"/>
    <d v="2009-07-12T00:00:00"/>
    <s v="High"/>
    <x v="55"/>
    <x v="27"/>
    <x v="3"/>
    <s v="Small Business"/>
    <x v="2"/>
    <x v="10"/>
    <n v="477.76"/>
    <n v="90.97"/>
  </r>
  <r>
    <n v="4725"/>
    <n v="33635"/>
    <d v="2009-07-12T00:00:00"/>
    <s v="High"/>
    <x v="55"/>
    <x v="27"/>
    <x v="3"/>
    <s v="Small Business"/>
    <x v="0"/>
    <x v="0"/>
    <n v="112.18"/>
    <n v="20.34"/>
  </r>
  <r>
    <n v="4726"/>
    <n v="33637"/>
    <d v="2012-11-24T00:00:00"/>
    <s v="Low"/>
    <x v="1062"/>
    <x v="15"/>
    <x v="2"/>
    <s v="Small Business"/>
    <x v="1"/>
    <x v="2"/>
    <n v="192.21"/>
    <n v="5.47"/>
  </r>
  <r>
    <n v="4727"/>
    <n v="33665"/>
    <d v="2011-05-25T00:00:00"/>
    <s v="Low"/>
    <x v="1198"/>
    <x v="20"/>
    <x v="0"/>
    <s v="Corporate"/>
    <x v="1"/>
    <x v="15"/>
    <n v="12457.63"/>
    <n v="284.98"/>
  </r>
  <r>
    <n v="4728"/>
    <n v="33666"/>
    <d v="2012-07-16T00:00:00"/>
    <s v="Not Specified"/>
    <x v="749"/>
    <x v="7"/>
    <x v="3"/>
    <s v="Home Office"/>
    <x v="1"/>
    <x v="3"/>
    <n v="3801.27"/>
    <n v="209.37"/>
  </r>
  <r>
    <n v="4729"/>
    <n v="33670"/>
    <d v="2012-04-27T00:00:00"/>
    <s v="High"/>
    <x v="1199"/>
    <x v="15"/>
    <x v="2"/>
    <s v="Home Office"/>
    <x v="0"/>
    <x v="6"/>
    <n v="207.54"/>
    <n v="4.13"/>
  </r>
  <r>
    <n v="4730"/>
    <n v="33670"/>
    <d v="2012-04-27T00:00:00"/>
    <s v="High"/>
    <x v="1199"/>
    <x v="15"/>
    <x v="2"/>
    <s v="Home Office"/>
    <x v="0"/>
    <x v="6"/>
    <n v="17.329999999999998"/>
    <n v="3.28"/>
  </r>
  <r>
    <n v="4731"/>
    <n v="33696"/>
    <d v="2009-05-07T00:00:00"/>
    <s v="High"/>
    <x v="280"/>
    <x v="16"/>
    <x v="1"/>
    <s v="Small Business"/>
    <x v="2"/>
    <x v="5"/>
    <n v="57.73"/>
    <n v="27.48"/>
  </r>
  <r>
    <n v="4732"/>
    <n v="33699"/>
    <d v="2009-07-26T00:00:00"/>
    <s v="Low"/>
    <x v="1200"/>
    <x v="31"/>
    <x v="3"/>
    <s v="Small Business"/>
    <x v="0"/>
    <x v="0"/>
    <n v="290.07"/>
    <n v="16.739999999999998"/>
  </r>
  <r>
    <n v="4733"/>
    <n v="33699"/>
    <d v="2009-07-26T00:00:00"/>
    <s v="Low"/>
    <x v="606"/>
    <x v="12"/>
    <x v="3"/>
    <s v="Small Business"/>
    <x v="1"/>
    <x v="15"/>
    <n v="1619.51"/>
    <n v="122.99"/>
  </r>
  <r>
    <n v="4734"/>
    <n v="33699"/>
    <d v="2009-07-26T00:00:00"/>
    <s v="Low"/>
    <x v="100"/>
    <x v="31"/>
    <x v="3"/>
    <s v="Small Business"/>
    <x v="0"/>
    <x v="9"/>
    <n v="196.81"/>
    <n v="6.45"/>
  </r>
  <r>
    <n v="4735"/>
    <n v="33700"/>
    <d v="2011-04-07T00:00:00"/>
    <s v="Low"/>
    <x v="929"/>
    <x v="46"/>
    <x v="1"/>
    <s v="Corporate"/>
    <x v="0"/>
    <x v="9"/>
    <n v="260.13"/>
    <n v="6.48"/>
  </r>
  <r>
    <n v="4736"/>
    <n v="33701"/>
    <d v="2009-10-01T00:00:00"/>
    <s v="Medium"/>
    <x v="402"/>
    <x v="44"/>
    <x v="2"/>
    <s v="Consumer"/>
    <x v="0"/>
    <x v="12"/>
    <n v="2333.06"/>
    <n v="67.28"/>
  </r>
  <r>
    <n v="4737"/>
    <n v="33702"/>
    <d v="2012-09-02T00:00:00"/>
    <s v="Not Specified"/>
    <x v="1014"/>
    <x v="16"/>
    <x v="1"/>
    <s v="Corporate"/>
    <x v="0"/>
    <x v="8"/>
    <n v="56.26"/>
    <n v="2.89"/>
  </r>
  <r>
    <n v="4738"/>
    <n v="33703"/>
    <d v="2010-02-06T00:00:00"/>
    <s v="Not Specified"/>
    <x v="60"/>
    <x v="0"/>
    <x v="0"/>
    <s v="Corporate"/>
    <x v="2"/>
    <x v="5"/>
    <n v="242.36"/>
    <n v="60.98"/>
  </r>
  <r>
    <n v="4739"/>
    <n v="33703"/>
    <d v="2010-02-06T00:00:00"/>
    <s v="Not Specified"/>
    <x v="60"/>
    <x v="0"/>
    <x v="0"/>
    <s v="Corporate"/>
    <x v="0"/>
    <x v="0"/>
    <n v="802.19"/>
    <n v="29.74"/>
  </r>
  <r>
    <n v="4740"/>
    <n v="33703"/>
    <d v="2010-02-06T00:00:00"/>
    <s v="Not Specified"/>
    <x v="60"/>
    <x v="0"/>
    <x v="0"/>
    <s v="Corporate"/>
    <x v="0"/>
    <x v="0"/>
    <n v="63.52"/>
    <n v="12.21"/>
  </r>
  <r>
    <n v="4741"/>
    <n v="33729"/>
    <d v="2012-09-19T00:00:00"/>
    <s v="Not Specified"/>
    <x v="711"/>
    <x v="28"/>
    <x v="1"/>
    <s v="Small Business"/>
    <x v="0"/>
    <x v="0"/>
    <n v="6995.56"/>
    <n v="279.48"/>
  </r>
  <r>
    <n v="4742"/>
    <n v="33731"/>
    <d v="2012-10-08T00:00:00"/>
    <s v="High"/>
    <x v="457"/>
    <x v="2"/>
    <x v="2"/>
    <s v="Corporate"/>
    <x v="1"/>
    <x v="15"/>
    <n v="8213.3700000000008"/>
    <n v="284.98"/>
  </r>
  <r>
    <n v="4743"/>
    <n v="33731"/>
    <d v="2012-10-08T00:00:00"/>
    <s v="High"/>
    <x v="457"/>
    <x v="2"/>
    <x v="2"/>
    <s v="Corporate"/>
    <x v="0"/>
    <x v="7"/>
    <n v="109.01"/>
    <n v="3.58"/>
  </r>
  <r>
    <n v="4744"/>
    <n v="33731"/>
    <d v="2012-10-08T00:00:00"/>
    <s v="High"/>
    <x v="1201"/>
    <x v="2"/>
    <x v="2"/>
    <s v="Corporate"/>
    <x v="0"/>
    <x v="0"/>
    <n v="138.88"/>
    <n v="11.29"/>
  </r>
  <r>
    <n v="4745"/>
    <n v="33732"/>
    <d v="2009-08-28T00:00:00"/>
    <s v="Not Specified"/>
    <x v="840"/>
    <x v="22"/>
    <x v="0"/>
    <s v="Corporate"/>
    <x v="1"/>
    <x v="2"/>
    <n v="332.95"/>
    <n v="9.65"/>
  </r>
  <r>
    <n v="4746"/>
    <n v="33734"/>
    <d v="2011-10-17T00:00:00"/>
    <s v="Not Specified"/>
    <x v="661"/>
    <x v="0"/>
    <x v="0"/>
    <s v="Corporate"/>
    <x v="0"/>
    <x v="9"/>
    <n v="371.94"/>
    <n v="29.14"/>
  </r>
  <r>
    <n v="4747"/>
    <n v="33761"/>
    <d v="2012-08-04T00:00:00"/>
    <s v="High"/>
    <x v="1202"/>
    <x v="12"/>
    <x v="3"/>
    <s v="Home Office"/>
    <x v="0"/>
    <x v="6"/>
    <n v="463.93"/>
    <n v="10.48"/>
  </r>
  <r>
    <n v="4748"/>
    <n v="33763"/>
    <d v="2010-09-23T00:00:00"/>
    <s v="Not Specified"/>
    <x v="812"/>
    <x v="30"/>
    <x v="0"/>
    <s v="Corporate"/>
    <x v="2"/>
    <x v="16"/>
    <n v="10791.38"/>
    <n v="499.99"/>
  </r>
  <r>
    <n v="4749"/>
    <n v="33764"/>
    <d v="2011-02-10T00:00:00"/>
    <s v="Critical"/>
    <x v="1064"/>
    <x v="7"/>
    <x v="3"/>
    <s v="Small Business"/>
    <x v="0"/>
    <x v="6"/>
    <n v="226.15"/>
    <n v="7.08"/>
  </r>
  <r>
    <n v="4750"/>
    <n v="33764"/>
    <d v="2011-02-10T00:00:00"/>
    <s v="Critical"/>
    <x v="1203"/>
    <x v="1"/>
    <x v="1"/>
    <s v="Small Business"/>
    <x v="0"/>
    <x v="0"/>
    <n v="539.82000000000005"/>
    <n v="120.33"/>
  </r>
  <r>
    <n v="4751"/>
    <n v="33764"/>
    <d v="2011-02-10T00:00:00"/>
    <s v="Critical"/>
    <x v="1203"/>
    <x v="1"/>
    <x v="1"/>
    <s v="Small Business"/>
    <x v="2"/>
    <x v="4"/>
    <n v="1029.8855000000001"/>
    <n v="205.99"/>
  </r>
  <r>
    <n v="4752"/>
    <n v="33793"/>
    <d v="2012-06-27T00:00:00"/>
    <s v="Critical"/>
    <x v="450"/>
    <x v="44"/>
    <x v="2"/>
    <s v="Home Office"/>
    <x v="0"/>
    <x v="12"/>
    <n v="267.58"/>
    <n v="15.16"/>
  </r>
  <r>
    <n v="4753"/>
    <n v="33794"/>
    <d v="2011-02-22T00:00:00"/>
    <s v="Critical"/>
    <x v="363"/>
    <x v="15"/>
    <x v="2"/>
    <s v="Small Business"/>
    <x v="1"/>
    <x v="2"/>
    <n v="92.77"/>
    <n v="4.91"/>
  </r>
  <r>
    <n v="4754"/>
    <n v="33797"/>
    <d v="2009-01-11T00:00:00"/>
    <s v="Not Specified"/>
    <x v="736"/>
    <x v="31"/>
    <x v="3"/>
    <s v="Small Business"/>
    <x v="2"/>
    <x v="10"/>
    <n v="4531.34"/>
    <n v="297.64"/>
  </r>
  <r>
    <n v="4755"/>
    <n v="33797"/>
    <d v="2009-01-11T00:00:00"/>
    <s v="Not Specified"/>
    <x v="1204"/>
    <x v="31"/>
    <x v="3"/>
    <s v="Small Business"/>
    <x v="1"/>
    <x v="2"/>
    <n v="574.5"/>
    <n v="12.99"/>
  </r>
  <r>
    <n v="4756"/>
    <n v="33797"/>
    <d v="2009-01-11T00:00:00"/>
    <s v="Not Specified"/>
    <x v="1205"/>
    <x v="31"/>
    <x v="3"/>
    <s v="Small Business"/>
    <x v="0"/>
    <x v="13"/>
    <n v="262.94"/>
    <n v="14.42"/>
  </r>
  <r>
    <n v="4757"/>
    <n v="33797"/>
    <d v="2009-01-11T00:00:00"/>
    <s v="Not Specified"/>
    <x v="218"/>
    <x v="12"/>
    <x v="3"/>
    <s v="Small Business"/>
    <x v="1"/>
    <x v="2"/>
    <n v="138.16999999999999"/>
    <n v="4.1399999999999997"/>
  </r>
  <r>
    <n v="4758"/>
    <n v="33797"/>
    <d v="2009-01-11T00:00:00"/>
    <s v="Not Specified"/>
    <x v="570"/>
    <x v="12"/>
    <x v="3"/>
    <s v="Small Business"/>
    <x v="0"/>
    <x v="9"/>
    <n v="216.87"/>
    <n v="11.34"/>
  </r>
  <r>
    <n v="4759"/>
    <n v="33824"/>
    <d v="2011-03-02T00:00:00"/>
    <s v="Critical"/>
    <x v="400"/>
    <x v="25"/>
    <x v="1"/>
    <s v="Corporate"/>
    <x v="0"/>
    <x v="6"/>
    <n v="50.99"/>
    <n v="2.78"/>
  </r>
  <r>
    <n v="4760"/>
    <n v="33826"/>
    <d v="2010-12-19T00:00:00"/>
    <s v="Low"/>
    <x v="1167"/>
    <x v="9"/>
    <x v="1"/>
    <s v="Small Business"/>
    <x v="1"/>
    <x v="2"/>
    <n v="185.83"/>
    <n v="14.34"/>
  </r>
  <r>
    <n v="4761"/>
    <n v="33857"/>
    <d v="2010-04-29T00:00:00"/>
    <s v="Critical"/>
    <x v="1052"/>
    <x v="15"/>
    <x v="2"/>
    <s v="Home Office"/>
    <x v="0"/>
    <x v="9"/>
    <n v="130.16"/>
    <n v="7.04"/>
  </r>
  <r>
    <n v="4762"/>
    <n v="33862"/>
    <d v="2010-06-22T00:00:00"/>
    <s v="Not Specified"/>
    <x v="226"/>
    <x v="23"/>
    <x v="3"/>
    <s v="Consumer"/>
    <x v="0"/>
    <x v="14"/>
    <n v="125.57"/>
    <n v="5.58"/>
  </r>
  <r>
    <n v="4763"/>
    <n v="33888"/>
    <d v="2009-08-20T00:00:00"/>
    <s v="Not Specified"/>
    <x v="709"/>
    <x v="0"/>
    <x v="0"/>
    <s v="Home Office"/>
    <x v="0"/>
    <x v="12"/>
    <n v="349.43"/>
    <n v="11.5"/>
  </r>
  <r>
    <n v="4764"/>
    <n v="33888"/>
    <d v="2009-08-20T00:00:00"/>
    <s v="Not Specified"/>
    <x v="709"/>
    <x v="0"/>
    <x v="0"/>
    <s v="Home Office"/>
    <x v="0"/>
    <x v="0"/>
    <n v="58.33"/>
    <n v="15.7"/>
  </r>
  <r>
    <n v="4765"/>
    <n v="33888"/>
    <d v="2009-08-20T00:00:00"/>
    <s v="Not Specified"/>
    <x v="709"/>
    <x v="0"/>
    <x v="0"/>
    <s v="Home Office"/>
    <x v="0"/>
    <x v="0"/>
    <n v="10377.219999999999"/>
    <n v="225.02"/>
  </r>
  <r>
    <n v="4766"/>
    <n v="33889"/>
    <d v="2010-11-06T00:00:00"/>
    <s v="Low"/>
    <x v="1170"/>
    <x v="33"/>
    <x v="0"/>
    <s v="Small Business"/>
    <x v="0"/>
    <x v="13"/>
    <n v="9046.33"/>
    <n v="180.98"/>
  </r>
  <r>
    <n v="4767"/>
    <n v="33889"/>
    <d v="2010-11-06T00:00:00"/>
    <s v="Low"/>
    <x v="1170"/>
    <x v="33"/>
    <x v="0"/>
    <s v="Small Business"/>
    <x v="0"/>
    <x v="13"/>
    <n v="367.96"/>
    <n v="8.67"/>
  </r>
  <r>
    <n v="4768"/>
    <n v="33889"/>
    <d v="2010-11-06T00:00:00"/>
    <s v="Low"/>
    <x v="1170"/>
    <x v="33"/>
    <x v="0"/>
    <s v="Small Business"/>
    <x v="0"/>
    <x v="14"/>
    <n v="159.05000000000001"/>
    <n v="5.98"/>
  </r>
  <r>
    <n v="4769"/>
    <n v="33889"/>
    <d v="2010-11-06T00:00:00"/>
    <s v="Low"/>
    <x v="1170"/>
    <x v="33"/>
    <x v="0"/>
    <s v="Small Business"/>
    <x v="0"/>
    <x v="8"/>
    <n v="116.14"/>
    <n v="2.88"/>
  </r>
  <r>
    <n v="4770"/>
    <n v="33893"/>
    <d v="2012-09-20T00:00:00"/>
    <s v="Not Specified"/>
    <x v="362"/>
    <x v="17"/>
    <x v="0"/>
    <s v="Consumer"/>
    <x v="0"/>
    <x v="14"/>
    <n v="232.21"/>
    <n v="35.89"/>
  </r>
  <r>
    <n v="4771"/>
    <n v="33893"/>
    <d v="2012-09-20T00:00:00"/>
    <s v="Not Specified"/>
    <x v="362"/>
    <x v="17"/>
    <x v="0"/>
    <s v="Consumer"/>
    <x v="0"/>
    <x v="6"/>
    <n v="88.3"/>
    <n v="5.85"/>
  </r>
  <r>
    <n v="4772"/>
    <n v="33894"/>
    <d v="2010-06-14T00:00:00"/>
    <s v="Critical"/>
    <x v="335"/>
    <x v="0"/>
    <x v="0"/>
    <s v="Corporate"/>
    <x v="0"/>
    <x v="9"/>
    <n v="140.66"/>
    <n v="9.27"/>
  </r>
  <r>
    <n v="4773"/>
    <n v="33894"/>
    <d v="2010-06-14T00:00:00"/>
    <s v="Critical"/>
    <x v="335"/>
    <x v="0"/>
    <x v="0"/>
    <s v="Corporate"/>
    <x v="0"/>
    <x v="1"/>
    <n v="42.89"/>
    <n v="6.84"/>
  </r>
  <r>
    <n v="4774"/>
    <n v="33894"/>
    <d v="2010-06-14T00:00:00"/>
    <s v="Critical"/>
    <x v="490"/>
    <x v="0"/>
    <x v="0"/>
    <s v="Corporate"/>
    <x v="2"/>
    <x v="5"/>
    <n v="226.5"/>
    <n v="4.9800000000000004"/>
  </r>
  <r>
    <n v="4775"/>
    <n v="33894"/>
    <d v="2010-06-14T00:00:00"/>
    <s v="Critical"/>
    <x v="490"/>
    <x v="0"/>
    <x v="0"/>
    <s v="Corporate"/>
    <x v="2"/>
    <x v="5"/>
    <n v="438.93"/>
    <n v="32.979999999999997"/>
  </r>
  <r>
    <n v="4776"/>
    <n v="33921"/>
    <d v="2010-03-30T00:00:00"/>
    <s v="Low"/>
    <x v="597"/>
    <x v="7"/>
    <x v="3"/>
    <s v="Small Business"/>
    <x v="1"/>
    <x v="15"/>
    <n v="1794.03"/>
    <n v="50.98"/>
  </r>
  <r>
    <n v="4777"/>
    <n v="33922"/>
    <d v="2010-02-27T00:00:00"/>
    <s v="Not Specified"/>
    <x v="1107"/>
    <x v="0"/>
    <x v="0"/>
    <s v="Home Office"/>
    <x v="2"/>
    <x v="10"/>
    <n v="15251.5"/>
    <n v="500.97"/>
  </r>
  <r>
    <n v="4778"/>
    <n v="33923"/>
    <d v="2009-01-07T00:00:00"/>
    <s v="Low"/>
    <x v="900"/>
    <x v="16"/>
    <x v="1"/>
    <s v="Small Business"/>
    <x v="2"/>
    <x v="4"/>
    <n v="1961.7914999999998"/>
    <n v="65.989999999999995"/>
  </r>
  <r>
    <n v="4779"/>
    <n v="33924"/>
    <d v="2012-10-18T00:00:00"/>
    <s v="Not Specified"/>
    <x v="855"/>
    <x v="16"/>
    <x v="1"/>
    <s v="Consumer"/>
    <x v="2"/>
    <x v="10"/>
    <n v="6168.07"/>
    <n v="500.98"/>
  </r>
  <r>
    <n v="4780"/>
    <n v="33925"/>
    <d v="2011-05-03T00:00:00"/>
    <s v="Low"/>
    <x v="232"/>
    <x v="4"/>
    <x v="1"/>
    <s v="Home Office"/>
    <x v="0"/>
    <x v="9"/>
    <n v="1488.86"/>
    <n v="30.98"/>
  </r>
  <r>
    <n v="4781"/>
    <n v="33956"/>
    <d v="2012-01-19T00:00:00"/>
    <s v="Low"/>
    <x v="121"/>
    <x v="7"/>
    <x v="3"/>
    <s v="Small Business"/>
    <x v="1"/>
    <x v="2"/>
    <n v="109.58"/>
    <n v="7.59"/>
  </r>
  <r>
    <n v="4782"/>
    <n v="33958"/>
    <d v="2011-02-02T00:00:00"/>
    <s v="Critical"/>
    <x v="1206"/>
    <x v="31"/>
    <x v="3"/>
    <s v="Small Business"/>
    <x v="2"/>
    <x v="4"/>
    <n v="462.36600000000004"/>
    <n v="20.99"/>
  </r>
  <r>
    <n v="4783"/>
    <n v="33958"/>
    <d v="2011-02-02T00:00:00"/>
    <s v="Critical"/>
    <x v="1207"/>
    <x v="31"/>
    <x v="3"/>
    <s v="Small Business"/>
    <x v="0"/>
    <x v="6"/>
    <n v="336.48"/>
    <n v="25.99"/>
  </r>
  <r>
    <n v="4784"/>
    <n v="33959"/>
    <d v="2009-07-31T00:00:00"/>
    <s v="Critical"/>
    <x v="144"/>
    <x v="13"/>
    <x v="3"/>
    <s v="Corporate"/>
    <x v="1"/>
    <x v="3"/>
    <n v="367.53"/>
    <n v="15.23"/>
  </r>
  <r>
    <n v="4785"/>
    <n v="33987"/>
    <d v="2011-10-25T00:00:00"/>
    <s v="High"/>
    <x v="523"/>
    <x v="40"/>
    <x v="3"/>
    <s v="Small Business"/>
    <x v="1"/>
    <x v="15"/>
    <n v="1616.87"/>
    <n v="90.98"/>
  </r>
  <r>
    <n v="4786"/>
    <n v="33987"/>
    <d v="2011-10-25T00:00:00"/>
    <s v="High"/>
    <x v="939"/>
    <x v="16"/>
    <x v="1"/>
    <s v="Small Business"/>
    <x v="2"/>
    <x v="4"/>
    <n v="1521.1344999999999"/>
    <n v="65.989999999999995"/>
  </r>
  <r>
    <n v="4787"/>
    <n v="33988"/>
    <d v="2009-01-10T00:00:00"/>
    <s v="Medium"/>
    <x v="1003"/>
    <x v="27"/>
    <x v="3"/>
    <s v="Consumer"/>
    <x v="2"/>
    <x v="5"/>
    <n v="164.78"/>
    <n v="5.0199999999999996"/>
  </r>
  <r>
    <n v="4788"/>
    <n v="34017"/>
    <d v="2009-03-23T00:00:00"/>
    <s v="High"/>
    <x v="276"/>
    <x v="45"/>
    <x v="0"/>
    <s v="Corporate"/>
    <x v="0"/>
    <x v="6"/>
    <n v="103.39"/>
    <n v="4.84"/>
  </r>
  <r>
    <n v="4789"/>
    <n v="34017"/>
    <d v="2009-03-23T00:00:00"/>
    <s v="High"/>
    <x v="276"/>
    <x v="45"/>
    <x v="0"/>
    <s v="Corporate"/>
    <x v="0"/>
    <x v="0"/>
    <n v="435.39"/>
    <n v="14.98"/>
  </r>
  <r>
    <n v="4790"/>
    <n v="34022"/>
    <d v="2012-11-03T00:00:00"/>
    <s v="Not Specified"/>
    <x v="888"/>
    <x v="7"/>
    <x v="3"/>
    <s v="Small Business"/>
    <x v="1"/>
    <x v="2"/>
    <n v="43.9"/>
    <n v="6.64"/>
  </r>
  <r>
    <n v="4791"/>
    <n v="34022"/>
    <d v="2012-11-03T00:00:00"/>
    <s v="Not Specified"/>
    <x v="888"/>
    <x v="7"/>
    <x v="3"/>
    <s v="Small Business"/>
    <x v="1"/>
    <x v="2"/>
    <n v="236.28"/>
    <n v="4.91"/>
  </r>
  <r>
    <n v="4792"/>
    <n v="34048"/>
    <d v="2011-03-28T00:00:00"/>
    <s v="Low"/>
    <x v="760"/>
    <x v="30"/>
    <x v="0"/>
    <s v="Corporate"/>
    <x v="1"/>
    <x v="2"/>
    <n v="26.68"/>
    <n v="22.23"/>
  </r>
  <r>
    <n v="4793"/>
    <n v="34082"/>
    <d v="2011-10-28T00:00:00"/>
    <s v="Not Specified"/>
    <x v="655"/>
    <x v="5"/>
    <x v="0"/>
    <s v="Corporate"/>
    <x v="0"/>
    <x v="0"/>
    <n v="2536.1799999999998"/>
    <n v="142.86000000000001"/>
  </r>
  <r>
    <n v="4794"/>
    <n v="34082"/>
    <d v="2011-10-28T00:00:00"/>
    <s v="Not Specified"/>
    <x v="1208"/>
    <x v="5"/>
    <x v="0"/>
    <s v="Corporate"/>
    <x v="0"/>
    <x v="12"/>
    <n v="38.56"/>
    <n v="1.88"/>
  </r>
  <r>
    <n v="4795"/>
    <n v="34082"/>
    <d v="2011-10-28T00:00:00"/>
    <s v="Not Specified"/>
    <x v="1208"/>
    <x v="5"/>
    <x v="0"/>
    <s v="Corporate"/>
    <x v="0"/>
    <x v="6"/>
    <n v="764.32"/>
    <n v="21.38"/>
  </r>
  <r>
    <n v="4796"/>
    <n v="34083"/>
    <d v="2012-02-05T00:00:00"/>
    <s v="Not Specified"/>
    <x v="820"/>
    <x v="28"/>
    <x v="1"/>
    <s v="Small Business"/>
    <x v="2"/>
    <x v="4"/>
    <n v="1415.1480000000001"/>
    <n v="55.99"/>
  </r>
  <r>
    <n v="4797"/>
    <n v="34086"/>
    <d v="2012-04-29T00:00:00"/>
    <s v="High"/>
    <x v="12"/>
    <x v="10"/>
    <x v="0"/>
    <s v="Consumer"/>
    <x v="2"/>
    <x v="4"/>
    <n v="2251.9135000000001"/>
    <n v="65.989999999999995"/>
  </r>
  <r>
    <n v="4798"/>
    <n v="34087"/>
    <d v="2009-07-24T00:00:00"/>
    <s v="Low"/>
    <x v="904"/>
    <x v="27"/>
    <x v="3"/>
    <s v="Corporate"/>
    <x v="2"/>
    <x v="4"/>
    <n v="3077.7310000000002"/>
    <n v="115.99"/>
  </r>
  <r>
    <n v="4799"/>
    <n v="34112"/>
    <d v="2011-09-01T00:00:00"/>
    <s v="Critical"/>
    <x v="772"/>
    <x v="2"/>
    <x v="2"/>
    <s v="Small Business"/>
    <x v="2"/>
    <x v="4"/>
    <n v="315.79199999999997"/>
    <n v="28.99"/>
  </r>
  <r>
    <n v="4800"/>
    <n v="34117"/>
    <d v="2012-02-07T00:00:00"/>
    <s v="High"/>
    <x v="1203"/>
    <x v="1"/>
    <x v="1"/>
    <s v="Small Business"/>
    <x v="0"/>
    <x v="12"/>
    <n v="299.94"/>
    <n v="6.75"/>
  </r>
  <r>
    <n v="4801"/>
    <n v="34148"/>
    <d v="2012-08-21T00:00:00"/>
    <s v="Critical"/>
    <x v="749"/>
    <x v="7"/>
    <x v="3"/>
    <s v="Small Business"/>
    <x v="0"/>
    <x v="8"/>
    <n v="136.79"/>
    <n v="4.13"/>
  </r>
  <r>
    <n v="4802"/>
    <n v="34151"/>
    <d v="2011-09-09T00:00:00"/>
    <s v="Not Specified"/>
    <x v="40"/>
    <x v="9"/>
    <x v="1"/>
    <s v="Corporate"/>
    <x v="2"/>
    <x v="4"/>
    <n v="4097.1445000000003"/>
    <n v="205.99"/>
  </r>
  <r>
    <n v="4803"/>
    <n v="34177"/>
    <d v="2009-08-15T00:00:00"/>
    <s v="High"/>
    <x v="348"/>
    <x v="0"/>
    <x v="0"/>
    <s v="Corporate"/>
    <x v="0"/>
    <x v="8"/>
    <n v="34.42"/>
    <n v="2.61"/>
  </r>
  <r>
    <n v="4804"/>
    <n v="34177"/>
    <d v="2009-08-15T00:00:00"/>
    <s v="High"/>
    <x v="348"/>
    <x v="0"/>
    <x v="0"/>
    <s v="Corporate"/>
    <x v="0"/>
    <x v="8"/>
    <n v="172.76"/>
    <n v="7.31"/>
  </r>
  <r>
    <n v="4805"/>
    <n v="34177"/>
    <d v="2009-08-15T00:00:00"/>
    <s v="High"/>
    <x v="348"/>
    <x v="0"/>
    <x v="0"/>
    <s v="Corporate"/>
    <x v="2"/>
    <x v="4"/>
    <n v="853.16200000000003"/>
    <n v="20.99"/>
  </r>
  <r>
    <n v="4806"/>
    <n v="34179"/>
    <d v="2011-11-02T00:00:00"/>
    <s v="Not Specified"/>
    <x v="1145"/>
    <x v="25"/>
    <x v="1"/>
    <s v="Corporate"/>
    <x v="2"/>
    <x v="5"/>
    <n v="293.27"/>
    <n v="14.48"/>
  </r>
  <r>
    <n v="4807"/>
    <n v="34180"/>
    <d v="2011-09-03T00:00:00"/>
    <s v="High"/>
    <x v="1209"/>
    <x v="8"/>
    <x v="2"/>
    <s v="Corporate"/>
    <x v="0"/>
    <x v="9"/>
    <n v="27"/>
    <n v="5.78"/>
  </r>
  <r>
    <n v="4808"/>
    <n v="34182"/>
    <d v="2012-10-17T00:00:00"/>
    <s v="Critical"/>
    <x v="24"/>
    <x v="7"/>
    <x v="3"/>
    <s v="Home Office"/>
    <x v="1"/>
    <x v="2"/>
    <n v="336.34"/>
    <n v="10.52"/>
  </r>
  <r>
    <n v="4809"/>
    <n v="34209"/>
    <d v="2010-08-24T00:00:00"/>
    <s v="High"/>
    <x v="560"/>
    <x v="10"/>
    <x v="0"/>
    <s v="Corporate"/>
    <x v="1"/>
    <x v="2"/>
    <n v="705.44"/>
    <n v="14.2"/>
  </r>
  <r>
    <n v="4810"/>
    <n v="34209"/>
    <d v="2010-08-24T00:00:00"/>
    <s v="High"/>
    <x v="560"/>
    <x v="10"/>
    <x v="0"/>
    <s v="Corporate"/>
    <x v="0"/>
    <x v="9"/>
    <n v="1041.72"/>
    <n v="35.44"/>
  </r>
  <r>
    <n v="4811"/>
    <n v="34211"/>
    <d v="2012-02-13T00:00:00"/>
    <s v="Not Specified"/>
    <x v="986"/>
    <x v="5"/>
    <x v="0"/>
    <s v="Small Business"/>
    <x v="0"/>
    <x v="6"/>
    <n v="136.49"/>
    <n v="9.93"/>
  </r>
  <r>
    <n v="4812"/>
    <n v="34215"/>
    <d v="2011-05-14T00:00:00"/>
    <s v="High"/>
    <x v="1161"/>
    <x v="0"/>
    <x v="0"/>
    <s v="Home Office"/>
    <x v="0"/>
    <x v="12"/>
    <n v="35.65"/>
    <n v="5.34"/>
  </r>
  <r>
    <n v="4813"/>
    <n v="34241"/>
    <d v="2012-10-08T00:00:00"/>
    <s v="Low"/>
    <x v="1112"/>
    <x v="3"/>
    <x v="0"/>
    <s v="Home Office"/>
    <x v="0"/>
    <x v="14"/>
    <n v="207.55"/>
    <n v="52.71"/>
  </r>
  <r>
    <n v="4814"/>
    <n v="34243"/>
    <d v="2011-02-11T00:00:00"/>
    <s v="High"/>
    <x v="309"/>
    <x v="16"/>
    <x v="1"/>
    <s v="Home Office"/>
    <x v="1"/>
    <x v="2"/>
    <n v="89.04"/>
    <n v="8.75"/>
  </r>
  <r>
    <n v="4815"/>
    <n v="34243"/>
    <d v="2011-02-11T00:00:00"/>
    <s v="High"/>
    <x v="309"/>
    <x v="16"/>
    <x v="1"/>
    <s v="Home Office"/>
    <x v="0"/>
    <x v="9"/>
    <n v="297.33999999999997"/>
    <n v="7.28"/>
  </r>
  <r>
    <n v="4816"/>
    <n v="34243"/>
    <d v="2011-02-11T00:00:00"/>
    <s v="High"/>
    <x v="309"/>
    <x v="16"/>
    <x v="1"/>
    <s v="Home Office"/>
    <x v="0"/>
    <x v="0"/>
    <n v="1264.1300000000001"/>
    <n v="35.479999999999997"/>
  </r>
  <r>
    <n v="4817"/>
    <n v="34244"/>
    <d v="2010-09-29T00:00:00"/>
    <s v="Low"/>
    <x v="1166"/>
    <x v="5"/>
    <x v="0"/>
    <s v="Consumer"/>
    <x v="2"/>
    <x v="5"/>
    <n v="205.3"/>
    <n v="7.37"/>
  </r>
  <r>
    <n v="4818"/>
    <n v="34244"/>
    <d v="2010-09-29T00:00:00"/>
    <s v="Low"/>
    <x v="1166"/>
    <x v="5"/>
    <x v="0"/>
    <s v="Consumer"/>
    <x v="2"/>
    <x v="5"/>
    <n v="125.7"/>
    <n v="31.78"/>
  </r>
  <r>
    <n v="4819"/>
    <n v="34245"/>
    <d v="2010-02-07T00:00:00"/>
    <s v="Medium"/>
    <x v="911"/>
    <x v="25"/>
    <x v="1"/>
    <s v="Consumer"/>
    <x v="0"/>
    <x v="9"/>
    <n v="189.22"/>
    <n v="4.28"/>
  </r>
  <r>
    <n v="4820"/>
    <n v="34246"/>
    <d v="2010-10-07T00:00:00"/>
    <s v="Critical"/>
    <x v="823"/>
    <x v="0"/>
    <x v="0"/>
    <s v="Home Office"/>
    <x v="0"/>
    <x v="13"/>
    <n v="199.86"/>
    <n v="4.0599999999999996"/>
  </r>
  <r>
    <n v="4821"/>
    <n v="34246"/>
    <d v="2010-10-07T00:00:00"/>
    <s v="Critical"/>
    <x v="823"/>
    <x v="0"/>
    <x v="0"/>
    <s v="Home Office"/>
    <x v="2"/>
    <x v="10"/>
    <n v="1888.02"/>
    <n v="99.99"/>
  </r>
  <r>
    <n v="4822"/>
    <n v="34246"/>
    <d v="2010-10-07T00:00:00"/>
    <s v="Critical"/>
    <x v="169"/>
    <x v="0"/>
    <x v="0"/>
    <s v="Home Office"/>
    <x v="0"/>
    <x v="14"/>
    <n v="322.69"/>
    <n v="11.58"/>
  </r>
  <r>
    <n v="4823"/>
    <n v="34275"/>
    <d v="2009-07-01T00:00:00"/>
    <s v="Low"/>
    <x v="875"/>
    <x v="30"/>
    <x v="0"/>
    <s v="Small Business"/>
    <x v="0"/>
    <x v="6"/>
    <n v="123.46"/>
    <n v="4.84"/>
  </r>
  <r>
    <n v="4824"/>
    <n v="34275"/>
    <d v="2009-07-01T00:00:00"/>
    <s v="Low"/>
    <x v="228"/>
    <x v="28"/>
    <x v="1"/>
    <s v="Small Business"/>
    <x v="2"/>
    <x v="10"/>
    <n v="6041.01"/>
    <n v="2036.48"/>
  </r>
  <r>
    <n v="4825"/>
    <n v="34279"/>
    <d v="2012-03-28T00:00:00"/>
    <s v="Not Specified"/>
    <x v="956"/>
    <x v="16"/>
    <x v="1"/>
    <s v="Consumer"/>
    <x v="1"/>
    <x v="3"/>
    <n v="840.55200000000013"/>
    <n v="349.45"/>
  </r>
  <r>
    <n v="4826"/>
    <n v="34309"/>
    <d v="2012-09-06T00:00:00"/>
    <s v="High"/>
    <x v="273"/>
    <x v="12"/>
    <x v="3"/>
    <s v="Small Business"/>
    <x v="0"/>
    <x v="13"/>
    <n v="75.77"/>
    <n v="4.37"/>
  </r>
  <r>
    <n v="4827"/>
    <n v="34311"/>
    <d v="2009-09-05T00:00:00"/>
    <s v="High"/>
    <x v="1094"/>
    <x v="24"/>
    <x v="1"/>
    <s v="Corporate"/>
    <x v="0"/>
    <x v="6"/>
    <n v="132.79"/>
    <n v="3.28"/>
  </r>
  <r>
    <n v="4828"/>
    <n v="34311"/>
    <d v="2009-09-05T00:00:00"/>
    <s v="High"/>
    <x v="1094"/>
    <x v="24"/>
    <x v="1"/>
    <s v="Corporate"/>
    <x v="0"/>
    <x v="0"/>
    <n v="232.85"/>
    <n v="6.98"/>
  </r>
  <r>
    <n v="4829"/>
    <n v="34337"/>
    <d v="2010-05-14T00:00:00"/>
    <s v="Medium"/>
    <x v="29"/>
    <x v="7"/>
    <x v="3"/>
    <s v="Corporate"/>
    <x v="1"/>
    <x v="2"/>
    <n v="3610.85"/>
    <n v="99.23"/>
  </r>
  <r>
    <n v="4830"/>
    <n v="34338"/>
    <d v="2010-06-30T00:00:00"/>
    <s v="Low"/>
    <x v="518"/>
    <x v="4"/>
    <x v="1"/>
    <s v="Corporate"/>
    <x v="0"/>
    <x v="9"/>
    <n v="1050.1600000000001"/>
    <n v="38.76"/>
  </r>
  <r>
    <n v="4831"/>
    <n v="34371"/>
    <d v="2010-04-01T00:00:00"/>
    <s v="Medium"/>
    <x v="48"/>
    <x v="26"/>
    <x v="3"/>
    <s v="Consumer"/>
    <x v="2"/>
    <x v="10"/>
    <n v="8334.0300000000007"/>
    <n v="510.14"/>
  </r>
  <r>
    <n v="4832"/>
    <n v="34374"/>
    <d v="2009-06-30T00:00:00"/>
    <s v="Low"/>
    <x v="111"/>
    <x v="4"/>
    <x v="1"/>
    <s v="Small Business"/>
    <x v="2"/>
    <x v="5"/>
    <n v="344.57"/>
    <n v="8.33"/>
  </r>
  <r>
    <n v="4833"/>
    <n v="34400"/>
    <d v="2012-12-24T00:00:00"/>
    <s v="Low"/>
    <x v="1121"/>
    <x v="15"/>
    <x v="2"/>
    <s v="Corporate"/>
    <x v="0"/>
    <x v="6"/>
    <n v="92.53"/>
    <n v="3.57"/>
  </r>
  <r>
    <n v="4834"/>
    <n v="34400"/>
    <d v="2012-12-24T00:00:00"/>
    <s v="Low"/>
    <x v="1121"/>
    <x v="15"/>
    <x v="2"/>
    <s v="Corporate"/>
    <x v="2"/>
    <x v="4"/>
    <n v="988.6434999999999"/>
    <n v="65.989999999999995"/>
  </r>
  <r>
    <n v="4835"/>
    <n v="34402"/>
    <d v="2010-05-02T00:00:00"/>
    <s v="High"/>
    <x v="822"/>
    <x v="18"/>
    <x v="2"/>
    <s v="Corporate"/>
    <x v="0"/>
    <x v="0"/>
    <n v="3016.85"/>
    <n v="80.98"/>
  </r>
  <r>
    <n v="4836"/>
    <n v="34402"/>
    <d v="2010-05-02T00:00:00"/>
    <s v="High"/>
    <x v="1210"/>
    <x v="18"/>
    <x v="2"/>
    <s v="Corporate"/>
    <x v="0"/>
    <x v="8"/>
    <n v="48.5"/>
    <n v="3.15"/>
  </r>
  <r>
    <n v="4837"/>
    <n v="34406"/>
    <d v="2012-09-28T00:00:00"/>
    <s v="Medium"/>
    <x v="439"/>
    <x v="16"/>
    <x v="1"/>
    <s v="Home Office"/>
    <x v="0"/>
    <x v="7"/>
    <n v="142.59"/>
    <n v="4.71"/>
  </r>
  <r>
    <n v="4838"/>
    <n v="34407"/>
    <d v="2010-07-31T00:00:00"/>
    <s v="Low"/>
    <x v="1105"/>
    <x v="15"/>
    <x v="2"/>
    <s v="Consumer"/>
    <x v="0"/>
    <x v="14"/>
    <n v="1484.89"/>
    <n v="35.89"/>
  </r>
  <r>
    <n v="4839"/>
    <n v="34432"/>
    <d v="2009-04-07T00:00:00"/>
    <s v="Not Specified"/>
    <x v="890"/>
    <x v="15"/>
    <x v="2"/>
    <s v="Home Office"/>
    <x v="0"/>
    <x v="8"/>
    <n v="244.39"/>
    <n v="12.53"/>
  </r>
  <r>
    <n v="4840"/>
    <n v="34432"/>
    <d v="2009-04-07T00:00:00"/>
    <s v="Not Specified"/>
    <x v="240"/>
    <x v="15"/>
    <x v="2"/>
    <s v="Home Office"/>
    <x v="0"/>
    <x v="0"/>
    <n v="581.41999999999996"/>
    <n v="178.47"/>
  </r>
  <r>
    <n v="4841"/>
    <n v="34434"/>
    <d v="2011-05-09T00:00:00"/>
    <s v="Not Specified"/>
    <x v="1211"/>
    <x v="20"/>
    <x v="0"/>
    <s v="Small Business"/>
    <x v="0"/>
    <x v="12"/>
    <n v="32.35"/>
    <n v="1.8"/>
  </r>
  <r>
    <n v="4842"/>
    <n v="34434"/>
    <d v="2011-05-09T00:00:00"/>
    <s v="Not Specified"/>
    <x v="1211"/>
    <x v="20"/>
    <x v="0"/>
    <s v="Small Business"/>
    <x v="0"/>
    <x v="8"/>
    <n v="116.56"/>
    <n v="4.9800000000000004"/>
  </r>
  <r>
    <n v="4843"/>
    <n v="34435"/>
    <d v="2009-08-05T00:00:00"/>
    <s v="Low"/>
    <x v="189"/>
    <x v="22"/>
    <x v="0"/>
    <s v="Consumer"/>
    <x v="0"/>
    <x v="6"/>
    <n v="447.36"/>
    <n v="10.48"/>
  </r>
  <r>
    <n v="4844"/>
    <n v="34438"/>
    <d v="2010-12-11T00:00:00"/>
    <s v="High"/>
    <x v="1130"/>
    <x v="30"/>
    <x v="0"/>
    <s v="Consumer"/>
    <x v="0"/>
    <x v="6"/>
    <n v="588.54"/>
    <n v="20.149999999999999"/>
  </r>
  <r>
    <n v="4845"/>
    <n v="34470"/>
    <d v="2012-02-01T00:00:00"/>
    <s v="Critical"/>
    <x v="1173"/>
    <x v="23"/>
    <x v="3"/>
    <s v="Home Office"/>
    <x v="1"/>
    <x v="11"/>
    <n v="2966.13"/>
    <n v="100.98"/>
  </r>
  <r>
    <n v="4846"/>
    <n v="34497"/>
    <d v="2009-03-10T00:00:00"/>
    <s v="Medium"/>
    <x v="803"/>
    <x v="15"/>
    <x v="2"/>
    <s v="Consumer"/>
    <x v="0"/>
    <x v="9"/>
    <n v="175.35"/>
    <n v="4.9800000000000004"/>
  </r>
  <r>
    <n v="4847"/>
    <n v="34497"/>
    <d v="2009-03-10T00:00:00"/>
    <s v="Medium"/>
    <x v="803"/>
    <x v="15"/>
    <x v="2"/>
    <s v="Consumer"/>
    <x v="0"/>
    <x v="9"/>
    <n v="590.6"/>
    <n v="22.84"/>
  </r>
  <r>
    <n v="4848"/>
    <n v="34498"/>
    <d v="2009-02-15T00:00:00"/>
    <s v="Low"/>
    <x v="928"/>
    <x v="15"/>
    <x v="2"/>
    <s v="Small Business"/>
    <x v="0"/>
    <x v="14"/>
    <n v="47.12"/>
    <n v="8.74"/>
  </r>
  <r>
    <n v="4849"/>
    <n v="34498"/>
    <d v="2009-02-15T00:00:00"/>
    <s v="Low"/>
    <x v="928"/>
    <x v="15"/>
    <x v="2"/>
    <s v="Small Business"/>
    <x v="0"/>
    <x v="9"/>
    <n v="62.89"/>
    <n v="18.97"/>
  </r>
  <r>
    <n v="4850"/>
    <n v="34499"/>
    <d v="2010-07-18T00:00:00"/>
    <s v="Medium"/>
    <x v="450"/>
    <x v="44"/>
    <x v="2"/>
    <s v="Home Office"/>
    <x v="1"/>
    <x v="15"/>
    <n v="555.67999999999995"/>
    <n v="243.98"/>
  </r>
  <r>
    <n v="4851"/>
    <n v="34530"/>
    <d v="2010-08-30T00:00:00"/>
    <s v="Low"/>
    <x v="746"/>
    <x v="26"/>
    <x v="3"/>
    <s v="Consumer"/>
    <x v="0"/>
    <x v="13"/>
    <n v="1516.13"/>
    <n v="67.84"/>
  </r>
  <r>
    <n v="4852"/>
    <n v="34530"/>
    <d v="2010-08-30T00:00:00"/>
    <s v="Low"/>
    <x v="746"/>
    <x v="26"/>
    <x v="3"/>
    <s v="Consumer"/>
    <x v="2"/>
    <x v="5"/>
    <n v="612.49"/>
    <n v="17.48"/>
  </r>
  <r>
    <n v="4853"/>
    <n v="34530"/>
    <d v="2010-08-30T00:00:00"/>
    <s v="Low"/>
    <x v="746"/>
    <x v="26"/>
    <x v="3"/>
    <s v="Consumer"/>
    <x v="1"/>
    <x v="3"/>
    <n v="1092.42"/>
    <n v="150.97999999999999"/>
  </r>
  <r>
    <n v="4854"/>
    <n v="34532"/>
    <d v="2012-12-11T00:00:00"/>
    <s v="Low"/>
    <x v="295"/>
    <x v="28"/>
    <x v="1"/>
    <s v="Small Business"/>
    <x v="0"/>
    <x v="14"/>
    <n v="1234.3599999999999"/>
    <n v="30.98"/>
  </r>
  <r>
    <n v="4855"/>
    <n v="34562"/>
    <d v="2010-08-24T00:00:00"/>
    <s v="Low"/>
    <x v="600"/>
    <x v="26"/>
    <x v="3"/>
    <s v="Small Business"/>
    <x v="2"/>
    <x v="5"/>
    <n v="561.91999999999996"/>
    <n v="28.38"/>
  </r>
  <r>
    <n v="4856"/>
    <n v="34562"/>
    <d v="2010-08-24T00:00:00"/>
    <s v="Low"/>
    <x v="600"/>
    <x v="26"/>
    <x v="3"/>
    <s v="Small Business"/>
    <x v="0"/>
    <x v="9"/>
    <n v="365.64"/>
    <n v="18.97"/>
  </r>
  <r>
    <n v="4857"/>
    <n v="34565"/>
    <d v="2009-07-13T00:00:00"/>
    <s v="Medium"/>
    <x v="1117"/>
    <x v="4"/>
    <x v="1"/>
    <s v="Consumer"/>
    <x v="2"/>
    <x v="4"/>
    <n v="4815.8620000000001"/>
    <n v="125.99"/>
  </r>
  <r>
    <n v="4858"/>
    <n v="34567"/>
    <d v="2009-04-26T00:00:00"/>
    <s v="Low"/>
    <x v="978"/>
    <x v="33"/>
    <x v="0"/>
    <s v="Consumer"/>
    <x v="1"/>
    <x v="15"/>
    <n v="3344.11"/>
    <n v="180.98"/>
  </r>
  <r>
    <n v="4859"/>
    <n v="34595"/>
    <d v="2012-07-19T00:00:00"/>
    <s v="Medium"/>
    <x v="987"/>
    <x v="12"/>
    <x v="3"/>
    <s v="Small Business"/>
    <x v="0"/>
    <x v="9"/>
    <n v="488.65"/>
    <n v="40.99"/>
  </r>
  <r>
    <n v="4860"/>
    <n v="34596"/>
    <d v="2011-08-31T00:00:00"/>
    <s v="Critical"/>
    <x v="683"/>
    <x v="34"/>
    <x v="2"/>
    <s v="Consumer"/>
    <x v="0"/>
    <x v="12"/>
    <n v="302.08999999999997"/>
    <n v="7.68"/>
  </r>
  <r>
    <n v="4861"/>
    <n v="34597"/>
    <d v="2010-12-16T00:00:00"/>
    <s v="Medium"/>
    <x v="1132"/>
    <x v="16"/>
    <x v="1"/>
    <s v="Home Office"/>
    <x v="2"/>
    <x v="4"/>
    <n v="849.33699999999999"/>
    <n v="125.99"/>
  </r>
  <r>
    <n v="4862"/>
    <n v="34599"/>
    <d v="2010-03-03T00:00:00"/>
    <s v="Low"/>
    <x v="392"/>
    <x v="17"/>
    <x v="0"/>
    <s v="Small Business"/>
    <x v="1"/>
    <x v="2"/>
    <n v="191.55"/>
    <n v="7.7"/>
  </r>
  <r>
    <n v="4863"/>
    <n v="34599"/>
    <d v="2010-03-03T00:00:00"/>
    <s v="Low"/>
    <x v="392"/>
    <x v="17"/>
    <x v="0"/>
    <s v="Small Business"/>
    <x v="0"/>
    <x v="9"/>
    <n v="938.86"/>
    <n v="30.98"/>
  </r>
  <r>
    <n v="4864"/>
    <n v="34631"/>
    <d v="2009-10-23T00:00:00"/>
    <s v="Not Specified"/>
    <x v="893"/>
    <x v="0"/>
    <x v="0"/>
    <s v="Corporate"/>
    <x v="0"/>
    <x v="12"/>
    <n v="22.06"/>
    <n v="3.36"/>
  </r>
  <r>
    <n v="4865"/>
    <n v="34631"/>
    <d v="2009-10-23T00:00:00"/>
    <s v="Not Specified"/>
    <x v="893"/>
    <x v="0"/>
    <x v="0"/>
    <s v="Corporate"/>
    <x v="2"/>
    <x v="16"/>
    <n v="12616.2"/>
    <n v="699.99"/>
  </r>
  <r>
    <n v="4866"/>
    <n v="34657"/>
    <d v="2010-05-05T00:00:00"/>
    <s v="Low"/>
    <x v="9"/>
    <x v="7"/>
    <x v="3"/>
    <s v="Corporate"/>
    <x v="0"/>
    <x v="14"/>
    <n v="1396.75"/>
    <n v="30.98"/>
  </r>
  <r>
    <n v="4867"/>
    <n v="34658"/>
    <d v="2010-11-18T00:00:00"/>
    <s v="Medium"/>
    <x v="986"/>
    <x v="5"/>
    <x v="0"/>
    <s v="Small Business"/>
    <x v="1"/>
    <x v="11"/>
    <n v="2701.69"/>
    <n v="81.94"/>
  </r>
  <r>
    <n v="4868"/>
    <n v="34659"/>
    <d v="2012-11-19T00:00:00"/>
    <s v="High"/>
    <x v="1147"/>
    <x v="9"/>
    <x v="1"/>
    <s v="Consumer"/>
    <x v="0"/>
    <x v="12"/>
    <n v="259.43"/>
    <n v="5.77"/>
  </r>
  <r>
    <n v="4869"/>
    <n v="34660"/>
    <d v="2011-09-03T00:00:00"/>
    <s v="Not Specified"/>
    <x v="42"/>
    <x v="21"/>
    <x v="2"/>
    <s v="Home Office"/>
    <x v="0"/>
    <x v="12"/>
    <n v="24.77"/>
    <n v="4.91"/>
  </r>
  <r>
    <n v="4870"/>
    <n v="34660"/>
    <d v="2011-09-03T00:00:00"/>
    <s v="Not Specified"/>
    <x v="591"/>
    <x v="21"/>
    <x v="2"/>
    <s v="Home Office"/>
    <x v="1"/>
    <x v="2"/>
    <n v="3832.37"/>
    <n v="107.53"/>
  </r>
  <r>
    <n v="4871"/>
    <n v="34661"/>
    <d v="2010-01-20T00:00:00"/>
    <s v="Critical"/>
    <x v="426"/>
    <x v="36"/>
    <x v="2"/>
    <s v="Corporate"/>
    <x v="1"/>
    <x v="2"/>
    <n v="864.16"/>
    <n v="33.979999999999997"/>
  </r>
  <r>
    <n v="4872"/>
    <n v="34662"/>
    <d v="2012-01-10T00:00:00"/>
    <s v="Critical"/>
    <x v="1075"/>
    <x v="12"/>
    <x v="3"/>
    <s v="Consumer"/>
    <x v="0"/>
    <x v="0"/>
    <n v="12741.81"/>
    <n v="370.98"/>
  </r>
  <r>
    <n v="4873"/>
    <n v="34663"/>
    <d v="2011-07-06T00:00:00"/>
    <s v="Not Specified"/>
    <x v="1157"/>
    <x v="37"/>
    <x v="2"/>
    <s v="Corporate"/>
    <x v="2"/>
    <x v="10"/>
    <n v="29186.49"/>
    <n v="808.49"/>
  </r>
  <r>
    <n v="4874"/>
    <n v="34689"/>
    <d v="2009-11-23T00:00:00"/>
    <s v="Low"/>
    <x v="1212"/>
    <x v="12"/>
    <x v="3"/>
    <s v="Home Office"/>
    <x v="0"/>
    <x v="0"/>
    <n v="572.4"/>
    <n v="16.91"/>
  </r>
  <r>
    <n v="4875"/>
    <n v="34691"/>
    <d v="2009-01-14T00:00:00"/>
    <s v="Critical"/>
    <x v="863"/>
    <x v="27"/>
    <x v="3"/>
    <s v="Small Business"/>
    <x v="0"/>
    <x v="13"/>
    <n v="217.68"/>
    <n v="7.77"/>
  </r>
  <r>
    <n v="4876"/>
    <n v="34691"/>
    <d v="2009-01-14T00:00:00"/>
    <s v="Critical"/>
    <x v="863"/>
    <x v="27"/>
    <x v="3"/>
    <s v="Small Business"/>
    <x v="2"/>
    <x v="10"/>
    <n v="7202.94"/>
    <n v="306.14"/>
  </r>
  <r>
    <n v="4877"/>
    <n v="34691"/>
    <d v="2009-01-14T00:00:00"/>
    <s v="Critical"/>
    <x v="863"/>
    <x v="27"/>
    <x v="3"/>
    <s v="Small Business"/>
    <x v="0"/>
    <x v="9"/>
    <n v="245.82"/>
    <n v="18.97"/>
  </r>
  <r>
    <n v="4878"/>
    <n v="34694"/>
    <d v="2011-04-28T00:00:00"/>
    <s v="Low"/>
    <x v="1140"/>
    <x v="12"/>
    <x v="3"/>
    <s v="Consumer"/>
    <x v="1"/>
    <x v="2"/>
    <n v="55.49"/>
    <n v="4.4800000000000004"/>
  </r>
  <r>
    <n v="4879"/>
    <n v="34721"/>
    <d v="2010-11-01T00:00:00"/>
    <s v="Not Specified"/>
    <x v="141"/>
    <x v="17"/>
    <x v="0"/>
    <s v="Corporate"/>
    <x v="0"/>
    <x v="1"/>
    <n v="503.17"/>
    <n v="10.23"/>
  </r>
  <r>
    <n v="4880"/>
    <n v="34723"/>
    <d v="2012-12-09T00:00:00"/>
    <s v="Medium"/>
    <x v="668"/>
    <x v="18"/>
    <x v="2"/>
    <s v="Small Business"/>
    <x v="2"/>
    <x v="10"/>
    <n v="6095.14"/>
    <n v="1500.97"/>
  </r>
  <r>
    <n v="4881"/>
    <n v="34723"/>
    <d v="2012-12-09T00:00:00"/>
    <s v="Medium"/>
    <x v="668"/>
    <x v="18"/>
    <x v="2"/>
    <s v="Small Business"/>
    <x v="2"/>
    <x v="10"/>
    <n v="3776.28"/>
    <n v="80.97"/>
  </r>
  <r>
    <n v="4882"/>
    <n v="34723"/>
    <d v="2012-12-09T00:00:00"/>
    <s v="Medium"/>
    <x v="668"/>
    <x v="18"/>
    <x v="2"/>
    <s v="Small Business"/>
    <x v="2"/>
    <x v="4"/>
    <n v="1487.8995"/>
    <n v="65.989999999999995"/>
  </r>
  <r>
    <n v="4883"/>
    <n v="34725"/>
    <d v="2011-07-27T00:00:00"/>
    <s v="Low"/>
    <x v="323"/>
    <x v="12"/>
    <x v="3"/>
    <s v="Small Business"/>
    <x v="0"/>
    <x v="0"/>
    <n v="1885.41"/>
    <n v="138.13999999999999"/>
  </r>
  <r>
    <n v="4884"/>
    <n v="34727"/>
    <d v="2011-03-13T00:00:00"/>
    <s v="Low"/>
    <x v="34"/>
    <x v="7"/>
    <x v="3"/>
    <s v="Corporate"/>
    <x v="0"/>
    <x v="12"/>
    <n v="159.71"/>
    <n v="8.0399999999999991"/>
  </r>
  <r>
    <n v="4885"/>
    <n v="34753"/>
    <d v="2010-01-18T00:00:00"/>
    <s v="Not Specified"/>
    <x v="1211"/>
    <x v="20"/>
    <x v="0"/>
    <s v="Small Business"/>
    <x v="2"/>
    <x v="4"/>
    <n v="117.062"/>
    <n v="20.99"/>
  </r>
  <r>
    <n v="4886"/>
    <n v="34754"/>
    <d v="2012-06-04T00:00:00"/>
    <s v="Critical"/>
    <x v="980"/>
    <x v="36"/>
    <x v="2"/>
    <s v="Home Office"/>
    <x v="0"/>
    <x v="9"/>
    <n v="623.35"/>
    <n v="37.94"/>
  </r>
  <r>
    <n v="4887"/>
    <n v="34757"/>
    <d v="2012-05-28T00:00:00"/>
    <s v="High"/>
    <x v="668"/>
    <x v="18"/>
    <x v="2"/>
    <s v="Small Business"/>
    <x v="0"/>
    <x v="9"/>
    <n v="250.6"/>
    <n v="6.48"/>
  </r>
  <r>
    <n v="4888"/>
    <n v="34785"/>
    <d v="2010-01-25T00:00:00"/>
    <s v="Critical"/>
    <x v="904"/>
    <x v="27"/>
    <x v="3"/>
    <s v="Corporate"/>
    <x v="1"/>
    <x v="3"/>
    <n v="15468.216"/>
    <n v="400.98"/>
  </r>
  <r>
    <n v="4889"/>
    <n v="34787"/>
    <d v="2010-02-28T00:00:00"/>
    <s v="Low"/>
    <x v="982"/>
    <x v="17"/>
    <x v="0"/>
    <s v="Corporate"/>
    <x v="0"/>
    <x v="6"/>
    <n v="453.99"/>
    <n v="30.98"/>
  </r>
  <r>
    <n v="4890"/>
    <n v="34788"/>
    <d v="2009-11-09T00:00:00"/>
    <s v="High"/>
    <x v="1213"/>
    <x v="5"/>
    <x v="0"/>
    <s v="Corporate"/>
    <x v="0"/>
    <x v="9"/>
    <n v="30.47"/>
    <n v="5.98"/>
  </r>
  <r>
    <n v="4891"/>
    <n v="34791"/>
    <d v="2011-05-07T00:00:00"/>
    <s v="Medium"/>
    <x v="762"/>
    <x v="17"/>
    <x v="0"/>
    <s v="Home Office"/>
    <x v="1"/>
    <x v="2"/>
    <n v="284.58"/>
    <n v="7.59"/>
  </r>
  <r>
    <n v="4892"/>
    <n v="34791"/>
    <d v="2011-05-07T00:00:00"/>
    <s v="Medium"/>
    <x v="762"/>
    <x v="17"/>
    <x v="0"/>
    <s v="Home Office"/>
    <x v="0"/>
    <x v="9"/>
    <n v="1010.26"/>
    <n v="104.85"/>
  </r>
  <r>
    <n v="4893"/>
    <n v="34816"/>
    <d v="2010-11-05T00:00:00"/>
    <s v="Not Specified"/>
    <x v="216"/>
    <x v="3"/>
    <x v="0"/>
    <s v="Corporate"/>
    <x v="0"/>
    <x v="13"/>
    <n v="1158.45"/>
    <n v="41.71"/>
  </r>
  <r>
    <n v="4894"/>
    <n v="34816"/>
    <d v="2010-11-05T00:00:00"/>
    <s v="Not Specified"/>
    <x v="614"/>
    <x v="3"/>
    <x v="0"/>
    <s v="Corporate"/>
    <x v="0"/>
    <x v="14"/>
    <n v="2568.71"/>
    <n v="60.98"/>
  </r>
  <r>
    <n v="4895"/>
    <n v="34822"/>
    <d v="2012-07-10T00:00:00"/>
    <s v="Not Specified"/>
    <x v="242"/>
    <x v="17"/>
    <x v="0"/>
    <s v="Consumer"/>
    <x v="2"/>
    <x v="5"/>
    <n v="990.5"/>
    <n v="43.98"/>
  </r>
  <r>
    <n v="4896"/>
    <n v="34849"/>
    <d v="2010-10-12T00:00:00"/>
    <s v="Critical"/>
    <x v="1192"/>
    <x v="2"/>
    <x v="2"/>
    <s v="Home Office"/>
    <x v="0"/>
    <x v="8"/>
    <n v="11.76"/>
    <n v="4.13"/>
  </r>
  <r>
    <n v="4897"/>
    <n v="34849"/>
    <d v="2010-10-12T00:00:00"/>
    <s v="Critical"/>
    <x v="1192"/>
    <x v="2"/>
    <x v="2"/>
    <s v="Home Office"/>
    <x v="0"/>
    <x v="9"/>
    <n v="100.13"/>
    <n v="4.7300000000000004"/>
  </r>
  <r>
    <n v="4898"/>
    <n v="34849"/>
    <d v="2010-10-12T00:00:00"/>
    <s v="Critical"/>
    <x v="1192"/>
    <x v="2"/>
    <x v="2"/>
    <s v="Home Office"/>
    <x v="0"/>
    <x v="0"/>
    <n v="1192.93"/>
    <n v="419.19"/>
  </r>
  <r>
    <n v="4899"/>
    <n v="34852"/>
    <d v="2012-09-05T00:00:00"/>
    <s v="Low"/>
    <x v="679"/>
    <x v="22"/>
    <x v="0"/>
    <s v="Corporate"/>
    <x v="0"/>
    <x v="12"/>
    <n v="53.93"/>
    <n v="2.08"/>
  </r>
  <r>
    <n v="4900"/>
    <n v="34853"/>
    <d v="2011-09-29T00:00:00"/>
    <s v="Critical"/>
    <x v="1191"/>
    <x v="17"/>
    <x v="0"/>
    <s v="Small Business"/>
    <x v="1"/>
    <x v="2"/>
    <n v="651.9"/>
    <n v="13.73"/>
  </r>
  <r>
    <n v="4901"/>
    <n v="34880"/>
    <d v="2009-09-16T00:00:00"/>
    <s v="High"/>
    <x v="1136"/>
    <x v="30"/>
    <x v="0"/>
    <s v="Home Office"/>
    <x v="0"/>
    <x v="9"/>
    <n v="284.38"/>
    <n v="6.48"/>
  </r>
  <r>
    <n v="4902"/>
    <n v="34881"/>
    <d v="2011-02-07T00:00:00"/>
    <s v="Medium"/>
    <x v="1144"/>
    <x v="7"/>
    <x v="3"/>
    <s v="Corporate"/>
    <x v="0"/>
    <x v="12"/>
    <n v="187.37"/>
    <n v="4.9800000000000004"/>
  </r>
  <r>
    <n v="4903"/>
    <n v="34882"/>
    <d v="2009-07-24T00:00:00"/>
    <s v="Critical"/>
    <x v="1214"/>
    <x v="7"/>
    <x v="3"/>
    <s v="Home Office"/>
    <x v="0"/>
    <x v="12"/>
    <n v="84.61"/>
    <n v="1.88"/>
  </r>
  <r>
    <n v="4904"/>
    <n v="34883"/>
    <d v="2009-11-04T00:00:00"/>
    <s v="Critical"/>
    <x v="1000"/>
    <x v="27"/>
    <x v="3"/>
    <s v="Corporate"/>
    <x v="2"/>
    <x v="4"/>
    <n v="906.01499999999999"/>
    <n v="35.99"/>
  </r>
  <r>
    <n v="4905"/>
    <n v="34913"/>
    <d v="2011-11-22T00:00:00"/>
    <s v="Medium"/>
    <x v="572"/>
    <x v="18"/>
    <x v="2"/>
    <s v="Home Office"/>
    <x v="0"/>
    <x v="12"/>
    <n v="107.63"/>
    <n v="6.81"/>
  </r>
  <r>
    <n v="4906"/>
    <n v="34916"/>
    <d v="2010-08-09T00:00:00"/>
    <s v="High"/>
    <x v="749"/>
    <x v="7"/>
    <x v="3"/>
    <s v="Consumer"/>
    <x v="1"/>
    <x v="2"/>
    <n v="24.36"/>
    <n v="4.82"/>
  </r>
  <r>
    <n v="4907"/>
    <n v="34918"/>
    <d v="2009-10-23T00:00:00"/>
    <s v="Medium"/>
    <x v="1215"/>
    <x v="5"/>
    <x v="0"/>
    <s v="Corporate"/>
    <x v="1"/>
    <x v="15"/>
    <n v="2230.9699999999998"/>
    <n v="180.98"/>
  </r>
  <r>
    <n v="4908"/>
    <n v="34918"/>
    <d v="2009-10-23T00:00:00"/>
    <s v="Medium"/>
    <x v="1215"/>
    <x v="5"/>
    <x v="0"/>
    <s v="Corporate"/>
    <x v="1"/>
    <x v="2"/>
    <n v="200.77"/>
    <n v="7.28"/>
  </r>
  <r>
    <n v="4909"/>
    <n v="34948"/>
    <d v="2010-01-12T00:00:00"/>
    <s v="Critical"/>
    <x v="232"/>
    <x v="4"/>
    <x v="1"/>
    <s v="Home Office"/>
    <x v="0"/>
    <x v="13"/>
    <n v="1057.06"/>
    <n v="68.81"/>
  </r>
  <r>
    <n v="4910"/>
    <n v="34976"/>
    <d v="2012-11-24T00:00:00"/>
    <s v="Medium"/>
    <x v="170"/>
    <x v="6"/>
    <x v="1"/>
    <s v="Home Office"/>
    <x v="1"/>
    <x v="15"/>
    <n v="4475"/>
    <n v="95.95"/>
  </r>
  <r>
    <n v="4911"/>
    <n v="34976"/>
    <d v="2012-11-24T00:00:00"/>
    <s v="Medium"/>
    <x v="170"/>
    <x v="6"/>
    <x v="1"/>
    <s v="Home Office"/>
    <x v="0"/>
    <x v="9"/>
    <n v="168.2"/>
    <n v="5.98"/>
  </r>
  <r>
    <n v="4912"/>
    <n v="34978"/>
    <d v="2011-02-04T00:00:00"/>
    <s v="High"/>
    <x v="1067"/>
    <x v="30"/>
    <x v="0"/>
    <s v="Consumer"/>
    <x v="0"/>
    <x v="12"/>
    <n v="165.51"/>
    <n v="3.52"/>
  </r>
  <r>
    <n v="4913"/>
    <n v="34979"/>
    <d v="2010-09-28T00:00:00"/>
    <s v="Critical"/>
    <x v="132"/>
    <x v="6"/>
    <x v="1"/>
    <s v="Small Business"/>
    <x v="2"/>
    <x v="5"/>
    <n v="609.97"/>
    <n v="39.479999999999997"/>
  </r>
  <r>
    <n v="4914"/>
    <n v="34980"/>
    <d v="2010-08-02T00:00:00"/>
    <s v="Not Specified"/>
    <x v="665"/>
    <x v="16"/>
    <x v="1"/>
    <s v="Corporate"/>
    <x v="1"/>
    <x v="2"/>
    <n v="140.77000000000001"/>
    <n v="18.649999999999999"/>
  </r>
  <r>
    <n v="4915"/>
    <n v="34980"/>
    <d v="2010-08-02T00:00:00"/>
    <s v="Not Specified"/>
    <x v="665"/>
    <x v="16"/>
    <x v="1"/>
    <s v="Corporate"/>
    <x v="0"/>
    <x v="0"/>
    <n v="848.19"/>
    <n v="34.76"/>
  </r>
  <r>
    <n v="4916"/>
    <n v="34980"/>
    <d v="2010-08-02T00:00:00"/>
    <s v="Not Specified"/>
    <x v="1216"/>
    <x v="16"/>
    <x v="1"/>
    <s v="Corporate"/>
    <x v="0"/>
    <x v="13"/>
    <n v="562.15"/>
    <n v="46.89"/>
  </r>
  <r>
    <n v="4917"/>
    <n v="35011"/>
    <d v="2012-12-10T00:00:00"/>
    <s v="Not Specified"/>
    <x v="1156"/>
    <x v="3"/>
    <x v="0"/>
    <s v="Corporate"/>
    <x v="0"/>
    <x v="1"/>
    <n v="154.44999999999999"/>
    <n v="10.98"/>
  </r>
  <r>
    <n v="4918"/>
    <n v="35012"/>
    <d v="2012-06-08T00:00:00"/>
    <s v="Medium"/>
    <x v="801"/>
    <x v="14"/>
    <x v="0"/>
    <s v="Corporate"/>
    <x v="0"/>
    <x v="13"/>
    <n v="126.79"/>
    <n v="11.97"/>
  </r>
  <r>
    <n v="4919"/>
    <n v="35012"/>
    <d v="2012-06-08T00:00:00"/>
    <s v="Medium"/>
    <x v="199"/>
    <x v="14"/>
    <x v="0"/>
    <s v="Corporate"/>
    <x v="2"/>
    <x v="4"/>
    <n v="1770.2015000000001"/>
    <n v="195.99"/>
  </r>
  <r>
    <n v="4920"/>
    <n v="35040"/>
    <d v="2012-04-18T00:00:00"/>
    <s v="Not Specified"/>
    <x v="640"/>
    <x v="44"/>
    <x v="2"/>
    <s v="Home Office"/>
    <x v="0"/>
    <x v="0"/>
    <n v="486.63"/>
    <n v="10.9"/>
  </r>
  <r>
    <n v="4921"/>
    <n v="35041"/>
    <d v="2009-04-15T00:00:00"/>
    <s v="Not Specified"/>
    <x v="250"/>
    <x v="7"/>
    <x v="3"/>
    <s v="Home Office"/>
    <x v="0"/>
    <x v="12"/>
    <n v="443.73"/>
    <n v="15.16"/>
  </r>
  <r>
    <n v="4922"/>
    <n v="35042"/>
    <d v="2010-12-02T00:00:00"/>
    <s v="Not Specified"/>
    <x v="927"/>
    <x v="14"/>
    <x v="0"/>
    <s v="Home Office"/>
    <x v="2"/>
    <x v="5"/>
    <n v="1196.8599999999999"/>
    <n v="50.98"/>
  </r>
  <r>
    <n v="4923"/>
    <n v="35043"/>
    <d v="2010-07-19T00:00:00"/>
    <s v="Not Specified"/>
    <x v="1217"/>
    <x v="29"/>
    <x v="2"/>
    <s v="Home Office"/>
    <x v="0"/>
    <x v="7"/>
    <n v="125.21"/>
    <n v="2.62"/>
  </r>
  <r>
    <n v="4924"/>
    <n v="35043"/>
    <d v="2010-07-19T00:00:00"/>
    <s v="Not Specified"/>
    <x v="1217"/>
    <x v="29"/>
    <x v="2"/>
    <s v="Home Office"/>
    <x v="2"/>
    <x v="4"/>
    <n v="924.11149999999998"/>
    <n v="125.99"/>
  </r>
  <r>
    <n v="4925"/>
    <n v="35045"/>
    <d v="2012-04-02T00:00:00"/>
    <s v="Medium"/>
    <x v="752"/>
    <x v="15"/>
    <x v="2"/>
    <s v="Small Business"/>
    <x v="0"/>
    <x v="0"/>
    <n v="565.01"/>
    <n v="13.48"/>
  </r>
  <r>
    <n v="4926"/>
    <n v="35046"/>
    <d v="2010-07-24T00:00:00"/>
    <s v="Medium"/>
    <x v="808"/>
    <x v="25"/>
    <x v="1"/>
    <s v="Corporate"/>
    <x v="0"/>
    <x v="12"/>
    <n v="151.86000000000001"/>
    <n v="7.1"/>
  </r>
  <r>
    <n v="4927"/>
    <n v="35046"/>
    <d v="2010-07-24T00:00:00"/>
    <s v="Medium"/>
    <x v="808"/>
    <x v="25"/>
    <x v="1"/>
    <s v="Corporate"/>
    <x v="1"/>
    <x v="15"/>
    <n v="3583.87"/>
    <n v="284.98"/>
  </r>
  <r>
    <n v="4928"/>
    <n v="35046"/>
    <d v="2010-07-24T00:00:00"/>
    <s v="Medium"/>
    <x v="808"/>
    <x v="25"/>
    <x v="1"/>
    <s v="Corporate"/>
    <x v="1"/>
    <x v="2"/>
    <n v="4951.3599999999997"/>
    <n v="107.53"/>
  </r>
  <r>
    <n v="4929"/>
    <n v="35047"/>
    <d v="2010-06-09T00:00:00"/>
    <s v="Medium"/>
    <x v="625"/>
    <x v="0"/>
    <x v="0"/>
    <s v="Home Office"/>
    <x v="0"/>
    <x v="7"/>
    <n v="148.16999999999999"/>
    <n v="4.71"/>
  </r>
  <r>
    <n v="4930"/>
    <n v="35077"/>
    <d v="2011-10-07T00:00:00"/>
    <s v="High"/>
    <x v="1218"/>
    <x v="27"/>
    <x v="3"/>
    <s v="Home Office"/>
    <x v="0"/>
    <x v="6"/>
    <n v="81.099999999999994"/>
    <n v="2.94"/>
  </r>
  <r>
    <n v="4931"/>
    <n v="35079"/>
    <d v="2010-08-14T00:00:00"/>
    <s v="High"/>
    <x v="1021"/>
    <x v="5"/>
    <x v="0"/>
    <s v="Consumer"/>
    <x v="1"/>
    <x v="11"/>
    <n v="71.569999999999993"/>
    <n v="4.9800000000000004"/>
  </r>
  <r>
    <n v="4932"/>
    <n v="35079"/>
    <d v="2010-08-14T00:00:00"/>
    <s v="High"/>
    <x v="1219"/>
    <x v="5"/>
    <x v="0"/>
    <s v="Consumer"/>
    <x v="1"/>
    <x v="3"/>
    <n v="2062.75"/>
    <n v="60.98"/>
  </r>
  <r>
    <n v="4933"/>
    <n v="35104"/>
    <d v="2012-04-22T00:00:00"/>
    <s v="High"/>
    <x v="1106"/>
    <x v="38"/>
    <x v="0"/>
    <s v="Small Business"/>
    <x v="2"/>
    <x v="5"/>
    <n v="36.31"/>
    <n v="29.99"/>
  </r>
  <r>
    <n v="4934"/>
    <n v="35104"/>
    <d v="2012-04-22T00:00:00"/>
    <s v="High"/>
    <x v="1106"/>
    <x v="38"/>
    <x v="0"/>
    <s v="Small Business"/>
    <x v="1"/>
    <x v="2"/>
    <n v="388.15"/>
    <n v="19.940000000000001"/>
  </r>
  <r>
    <n v="4935"/>
    <n v="35110"/>
    <d v="2011-10-18T00:00:00"/>
    <s v="High"/>
    <x v="1002"/>
    <x v="5"/>
    <x v="0"/>
    <s v="Corporate"/>
    <x v="0"/>
    <x v="12"/>
    <n v="12805.25"/>
    <n v="896.99"/>
  </r>
  <r>
    <n v="4936"/>
    <n v="35110"/>
    <d v="2011-10-18T00:00:00"/>
    <s v="High"/>
    <x v="1002"/>
    <x v="5"/>
    <x v="0"/>
    <s v="Corporate"/>
    <x v="2"/>
    <x v="5"/>
    <n v="1435.32"/>
    <n v="29.89"/>
  </r>
  <r>
    <n v="4937"/>
    <n v="35111"/>
    <d v="2010-06-05T00:00:00"/>
    <s v="Critical"/>
    <x v="551"/>
    <x v="24"/>
    <x v="1"/>
    <s v="Small Business"/>
    <x v="0"/>
    <x v="14"/>
    <n v="893.29"/>
    <n v="23.99"/>
  </r>
  <r>
    <n v="4938"/>
    <n v="35136"/>
    <d v="2009-10-08T00:00:00"/>
    <s v="Critical"/>
    <x v="26"/>
    <x v="18"/>
    <x v="2"/>
    <s v="Corporate"/>
    <x v="0"/>
    <x v="6"/>
    <n v="68.73"/>
    <n v="2.94"/>
  </r>
  <r>
    <n v="4939"/>
    <n v="35137"/>
    <d v="2010-07-17T00:00:00"/>
    <s v="High"/>
    <x v="1220"/>
    <x v="8"/>
    <x v="2"/>
    <s v="Home Office"/>
    <x v="0"/>
    <x v="12"/>
    <n v="225.06"/>
    <n v="5.34"/>
  </r>
  <r>
    <n v="4940"/>
    <n v="35137"/>
    <d v="2010-07-17T00:00:00"/>
    <s v="High"/>
    <x v="1220"/>
    <x v="8"/>
    <x v="2"/>
    <s v="Home Office"/>
    <x v="0"/>
    <x v="14"/>
    <n v="1041.78"/>
    <n v="23.99"/>
  </r>
  <r>
    <n v="4941"/>
    <n v="35139"/>
    <d v="2010-01-18T00:00:00"/>
    <s v="High"/>
    <x v="170"/>
    <x v="6"/>
    <x v="1"/>
    <s v="Home Office"/>
    <x v="0"/>
    <x v="12"/>
    <n v="264.77999999999997"/>
    <n v="8.69"/>
  </r>
  <r>
    <n v="4942"/>
    <n v="35139"/>
    <d v="2010-01-18T00:00:00"/>
    <s v="High"/>
    <x v="217"/>
    <x v="28"/>
    <x v="1"/>
    <s v="Home Office"/>
    <x v="2"/>
    <x v="10"/>
    <n v="10380.34"/>
    <n v="3502.14"/>
  </r>
  <r>
    <n v="4943"/>
    <n v="35139"/>
    <d v="2010-01-18T00:00:00"/>
    <s v="High"/>
    <x v="217"/>
    <x v="28"/>
    <x v="1"/>
    <s v="Home Office"/>
    <x v="0"/>
    <x v="6"/>
    <n v="854.9"/>
    <n v="34.58"/>
  </r>
  <r>
    <n v="4944"/>
    <n v="35139"/>
    <d v="2010-01-18T00:00:00"/>
    <s v="High"/>
    <x v="217"/>
    <x v="28"/>
    <x v="1"/>
    <s v="Home Office"/>
    <x v="0"/>
    <x v="0"/>
    <n v="389.98"/>
    <n v="12.21"/>
  </r>
  <r>
    <n v="4945"/>
    <n v="35141"/>
    <d v="2010-09-11T00:00:00"/>
    <s v="Medium"/>
    <x v="599"/>
    <x v="30"/>
    <x v="0"/>
    <s v="Small Business"/>
    <x v="0"/>
    <x v="12"/>
    <n v="2046.81"/>
    <n v="67.28"/>
  </r>
  <r>
    <n v="4946"/>
    <n v="35142"/>
    <d v="2010-04-22T00:00:00"/>
    <s v="Low"/>
    <x v="1221"/>
    <x v="38"/>
    <x v="0"/>
    <s v="Corporate"/>
    <x v="1"/>
    <x v="2"/>
    <n v="231.27"/>
    <n v="20.239999999999998"/>
  </r>
  <r>
    <n v="4947"/>
    <n v="35173"/>
    <d v="2012-03-13T00:00:00"/>
    <s v="Not Specified"/>
    <x v="1094"/>
    <x v="24"/>
    <x v="1"/>
    <s v="Corporate"/>
    <x v="1"/>
    <x v="11"/>
    <n v="6483.26"/>
    <n v="240.98"/>
  </r>
  <r>
    <n v="4948"/>
    <n v="35173"/>
    <d v="2012-03-13T00:00:00"/>
    <s v="Not Specified"/>
    <x v="1094"/>
    <x v="24"/>
    <x v="1"/>
    <s v="Corporate"/>
    <x v="2"/>
    <x v="4"/>
    <n v="1446.2070000000001"/>
    <n v="125.99"/>
  </r>
  <r>
    <n v="4949"/>
    <n v="35200"/>
    <d v="2009-02-05T00:00:00"/>
    <s v="Medium"/>
    <x v="891"/>
    <x v="9"/>
    <x v="1"/>
    <s v="Corporate"/>
    <x v="1"/>
    <x v="2"/>
    <n v="150.24"/>
    <n v="9.98"/>
  </r>
  <r>
    <n v="4950"/>
    <n v="35201"/>
    <d v="2010-06-04T00:00:00"/>
    <s v="Low"/>
    <x v="743"/>
    <x v="19"/>
    <x v="3"/>
    <s v="Home Office"/>
    <x v="2"/>
    <x v="5"/>
    <n v="211.44"/>
    <n v="10.97"/>
  </r>
  <r>
    <n v="4951"/>
    <n v="35238"/>
    <d v="2011-04-28T00:00:00"/>
    <s v="Low"/>
    <x v="640"/>
    <x v="44"/>
    <x v="2"/>
    <s v="Small Business"/>
    <x v="2"/>
    <x v="4"/>
    <n v="1403.0269999999998"/>
    <n v="65.989999999999995"/>
  </r>
  <r>
    <n v="4952"/>
    <n v="35239"/>
    <d v="2011-11-12T00:00:00"/>
    <s v="Critical"/>
    <x v="1222"/>
    <x v="28"/>
    <x v="1"/>
    <s v="Small Business"/>
    <x v="0"/>
    <x v="9"/>
    <n v="109.29"/>
    <n v="5.28"/>
  </r>
  <r>
    <n v="4953"/>
    <n v="35239"/>
    <d v="2011-11-12T00:00:00"/>
    <s v="Critical"/>
    <x v="1222"/>
    <x v="28"/>
    <x v="1"/>
    <s v="Small Business"/>
    <x v="0"/>
    <x v="0"/>
    <n v="2257.88"/>
    <n v="59.76"/>
  </r>
  <r>
    <n v="4954"/>
    <n v="35265"/>
    <d v="2010-11-29T00:00:00"/>
    <s v="Not Specified"/>
    <x v="28"/>
    <x v="15"/>
    <x v="2"/>
    <s v="Small Business"/>
    <x v="0"/>
    <x v="12"/>
    <n v="125.78"/>
    <n v="30.56"/>
  </r>
  <r>
    <n v="4955"/>
    <n v="35265"/>
    <d v="2010-11-29T00:00:00"/>
    <s v="Not Specified"/>
    <x v="28"/>
    <x v="15"/>
    <x v="2"/>
    <s v="Small Business"/>
    <x v="1"/>
    <x v="15"/>
    <n v="577"/>
    <n v="33.94"/>
  </r>
  <r>
    <n v="4956"/>
    <n v="35265"/>
    <d v="2010-11-29T00:00:00"/>
    <s v="Not Specified"/>
    <x v="28"/>
    <x v="15"/>
    <x v="2"/>
    <s v="Small Business"/>
    <x v="2"/>
    <x v="10"/>
    <n v="24.53"/>
    <n v="9.49"/>
  </r>
  <r>
    <n v="4957"/>
    <n v="35266"/>
    <d v="2011-01-10T00:00:00"/>
    <s v="Not Specified"/>
    <x v="835"/>
    <x v="0"/>
    <x v="0"/>
    <s v="Corporate"/>
    <x v="0"/>
    <x v="6"/>
    <n v="217.25"/>
    <n v="5.84"/>
  </r>
  <r>
    <n v="4958"/>
    <n v="35266"/>
    <d v="2011-01-10T00:00:00"/>
    <s v="Not Specified"/>
    <x v="835"/>
    <x v="0"/>
    <x v="0"/>
    <s v="Corporate"/>
    <x v="1"/>
    <x v="3"/>
    <n v="5993.74"/>
    <n v="218.75"/>
  </r>
  <r>
    <n v="4959"/>
    <n v="35271"/>
    <d v="2010-07-26T00:00:00"/>
    <s v="High"/>
    <x v="288"/>
    <x v="13"/>
    <x v="3"/>
    <s v="Home Office"/>
    <x v="2"/>
    <x v="4"/>
    <n v="1083.4014999999999"/>
    <n v="65.989999999999995"/>
  </r>
  <r>
    <n v="4960"/>
    <n v="35296"/>
    <d v="2011-03-21T00:00:00"/>
    <s v="Low"/>
    <x v="1069"/>
    <x v="12"/>
    <x v="3"/>
    <s v="Corporate"/>
    <x v="2"/>
    <x v="4"/>
    <n v="407.8725"/>
    <n v="65.989999999999995"/>
  </r>
  <r>
    <n v="4961"/>
    <n v="35299"/>
    <d v="2012-08-10T00:00:00"/>
    <s v="Not Specified"/>
    <x v="414"/>
    <x v="18"/>
    <x v="2"/>
    <s v="Corporate"/>
    <x v="2"/>
    <x v="5"/>
    <n v="4359"/>
    <n v="99.99"/>
  </r>
  <r>
    <n v="4962"/>
    <n v="35300"/>
    <d v="2010-03-02T00:00:00"/>
    <s v="Medium"/>
    <x v="1223"/>
    <x v="30"/>
    <x v="0"/>
    <s v="Corporate"/>
    <x v="0"/>
    <x v="8"/>
    <n v="28.81"/>
    <n v="2.89"/>
  </r>
  <r>
    <n v="4963"/>
    <n v="35300"/>
    <d v="2010-03-02T00:00:00"/>
    <s v="Medium"/>
    <x v="1223"/>
    <x v="30"/>
    <x v="0"/>
    <s v="Corporate"/>
    <x v="1"/>
    <x v="2"/>
    <n v="1445.6"/>
    <n v="41.32"/>
  </r>
  <r>
    <n v="4964"/>
    <n v="35300"/>
    <d v="2010-03-02T00:00:00"/>
    <s v="Medium"/>
    <x v="1223"/>
    <x v="30"/>
    <x v="0"/>
    <s v="Corporate"/>
    <x v="0"/>
    <x v="9"/>
    <n v="119.03"/>
    <n v="8.9499999999999993"/>
  </r>
  <r>
    <n v="4965"/>
    <n v="35302"/>
    <d v="2010-06-07T00:00:00"/>
    <s v="Medium"/>
    <x v="1077"/>
    <x v="7"/>
    <x v="3"/>
    <s v="Small Business"/>
    <x v="0"/>
    <x v="9"/>
    <n v="188.44"/>
    <n v="30.98"/>
  </r>
  <r>
    <n v="4966"/>
    <n v="35302"/>
    <d v="2010-06-07T00:00:00"/>
    <s v="Medium"/>
    <x v="1077"/>
    <x v="7"/>
    <x v="3"/>
    <s v="Small Business"/>
    <x v="2"/>
    <x v="4"/>
    <n v="1265.4969999999998"/>
    <n v="125.99"/>
  </r>
  <r>
    <n v="4967"/>
    <n v="35360"/>
    <d v="2011-04-18T00:00:00"/>
    <s v="Critical"/>
    <x v="273"/>
    <x v="19"/>
    <x v="3"/>
    <s v="Corporate"/>
    <x v="0"/>
    <x v="12"/>
    <n v="41.06"/>
    <n v="8.8800000000000008"/>
  </r>
  <r>
    <n v="4968"/>
    <n v="35361"/>
    <d v="2009-04-06T00:00:00"/>
    <s v="Medium"/>
    <x v="1194"/>
    <x v="16"/>
    <x v="1"/>
    <s v="Home Office"/>
    <x v="0"/>
    <x v="9"/>
    <n v="746.93"/>
    <n v="18.97"/>
  </r>
  <r>
    <n v="4969"/>
    <n v="35361"/>
    <d v="2009-04-06T00:00:00"/>
    <s v="Medium"/>
    <x v="1194"/>
    <x v="16"/>
    <x v="1"/>
    <s v="Home Office"/>
    <x v="0"/>
    <x v="9"/>
    <n v="313.39999999999998"/>
    <n v="8.34"/>
  </r>
  <r>
    <n v="4970"/>
    <n v="35364"/>
    <d v="2009-12-12T00:00:00"/>
    <s v="Critical"/>
    <x v="1198"/>
    <x v="20"/>
    <x v="0"/>
    <s v="Corporate"/>
    <x v="0"/>
    <x v="9"/>
    <n v="72.08"/>
    <n v="4.28"/>
  </r>
  <r>
    <n v="4971"/>
    <n v="35364"/>
    <d v="2009-12-12T00:00:00"/>
    <s v="Critical"/>
    <x v="1198"/>
    <x v="20"/>
    <x v="0"/>
    <s v="Corporate"/>
    <x v="1"/>
    <x v="3"/>
    <n v="10338.93"/>
    <n v="376.13"/>
  </r>
  <r>
    <n v="4972"/>
    <n v="35364"/>
    <d v="2009-12-12T00:00:00"/>
    <s v="Critical"/>
    <x v="1198"/>
    <x v="20"/>
    <x v="0"/>
    <s v="Corporate"/>
    <x v="1"/>
    <x v="3"/>
    <n v="15897.01"/>
    <n v="424.21"/>
  </r>
  <r>
    <n v="4973"/>
    <n v="35364"/>
    <d v="2009-12-12T00:00:00"/>
    <s v="Critical"/>
    <x v="1198"/>
    <x v="20"/>
    <x v="0"/>
    <s v="Corporate"/>
    <x v="2"/>
    <x v="4"/>
    <n v="1265.2929999999999"/>
    <n v="195.99"/>
  </r>
  <r>
    <n v="4974"/>
    <n v="35366"/>
    <d v="2011-07-12T00:00:00"/>
    <s v="Low"/>
    <x v="180"/>
    <x v="1"/>
    <x v="1"/>
    <s v="Consumer"/>
    <x v="0"/>
    <x v="9"/>
    <n v="149.31"/>
    <n v="6.48"/>
  </r>
  <r>
    <n v="4975"/>
    <n v="35392"/>
    <d v="2012-02-23T00:00:00"/>
    <s v="High"/>
    <x v="119"/>
    <x v="36"/>
    <x v="2"/>
    <s v="Small Business"/>
    <x v="0"/>
    <x v="9"/>
    <n v="70.88"/>
    <n v="6.48"/>
  </r>
  <r>
    <n v="4976"/>
    <n v="35399"/>
    <d v="2011-01-21T00:00:00"/>
    <s v="Low"/>
    <x v="1146"/>
    <x v="44"/>
    <x v="2"/>
    <s v="Corporate"/>
    <x v="0"/>
    <x v="12"/>
    <n v="188.38"/>
    <n v="4.91"/>
  </r>
  <r>
    <n v="4977"/>
    <n v="35425"/>
    <d v="2010-03-28T00:00:00"/>
    <s v="Not Specified"/>
    <x v="591"/>
    <x v="21"/>
    <x v="2"/>
    <s v="Home Office"/>
    <x v="0"/>
    <x v="12"/>
    <n v="100.34"/>
    <n v="3.58"/>
  </r>
  <r>
    <n v="4978"/>
    <n v="35425"/>
    <d v="2010-03-28T00:00:00"/>
    <s v="Not Specified"/>
    <x v="591"/>
    <x v="21"/>
    <x v="2"/>
    <s v="Home Office"/>
    <x v="0"/>
    <x v="7"/>
    <n v="75.680000000000007"/>
    <n v="1.81"/>
  </r>
  <r>
    <n v="4979"/>
    <n v="35426"/>
    <d v="2010-10-03T00:00:00"/>
    <s v="High"/>
    <x v="29"/>
    <x v="1"/>
    <x v="1"/>
    <s v="Small Business"/>
    <x v="0"/>
    <x v="9"/>
    <n v="53.01"/>
    <n v="10.31"/>
  </r>
  <r>
    <n v="4980"/>
    <n v="35430"/>
    <d v="2010-03-25T00:00:00"/>
    <s v="Low"/>
    <x v="31"/>
    <x v="26"/>
    <x v="3"/>
    <s v="Home Office"/>
    <x v="1"/>
    <x v="2"/>
    <n v="1835.84"/>
    <n v="110.98"/>
  </r>
  <r>
    <n v="4981"/>
    <n v="35430"/>
    <d v="2010-03-25T00:00:00"/>
    <s v="Low"/>
    <x v="31"/>
    <x v="26"/>
    <x v="3"/>
    <s v="Home Office"/>
    <x v="0"/>
    <x v="6"/>
    <n v="133.43"/>
    <n v="2.84"/>
  </r>
  <r>
    <n v="4982"/>
    <n v="35430"/>
    <d v="2010-03-25T00:00:00"/>
    <s v="Low"/>
    <x v="31"/>
    <x v="26"/>
    <x v="3"/>
    <s v="Home Office"/>
    <x v="2"/>
    <x v="4"/>
    <n v="1655.3664999999999"/>
    <n v="65.989999999999995"/>
  </r>
  <r>
    <n v="4983"/>
    <n v="35456"/>
    <d v="2012-11-01T00:00:00"/>
    <s v="Critical"/>
    <x v="1147"/>
    <x v="9"/>
    <x v="1"/>
    <s v="Corporate"/>
    <x v="0"/>
    <x v="7"/>
    <n v="46.37"/>
    <n v="1.26"/>
  </r>
  <r>
    <n v="4984"/>
    <n v="35457"/>
    <d v="2009-12-07T00:00:00"/>
    <s v="Low"/>
    <x v="198"/>
    <x v="34"/>
    <x v="2"/>
    <s v="Consumer"/>
    <x v="0"/>
    <x v="13"/>
    <n v="3286.27"/>
    <n v="70.97"/>
  </r>
  <r>
    <n v="4985"/>
    <n v="35461"/>
    <d v="2009-06-01T00:00:00"/>
    <s v="Critical"/>
    <x v="1224"/>
    <x v="15"/>
    <x v="2"/>
    <s v="Corporate"/>
    <x v="0"/>
    <x v="12"/>
    <n v="48.75"/>
    <n v="4.49"/>
  </r>
  <r>
    <n v="4986"/>
    <n v="35461"/>
    <d v="2009-06-01T00:00:00"/>
    <s v="Critical"/>
    <x v="1224"/>
    <x v="15"/>
    <x v="2"/>
    <s v="Corporate"/>
    <x v="0"/>
    <x v="1"/>
    <n v="112.6"/>
    <n v="3.68"/>
  </r>
  <r>
    <n v="4987"/>
    <n v="35490"/>
    <d v="2010-12-07T00:00:00"/>
    <s v="High"/>
    <x v="1041"/>
    <x v="1"/>
    <x v="1"/>
    <s v="Small Business"/>
    <x v="0"/>
    <x v="6"/>
    <n v="44.64"/>
    <n v="5.84"/>
  </r>
  <r>
    <n v="4988"/>
    <n v="35490"/>
    <d v="2010-12-07T00:00:00"/>
    <s v="High"/>
    <x v="1041"/>
    <x v="1"/>
    <x v="1"/>
    <s v="Small Business"/>
    <x v="2"/>
    <x v="4"/>
    <n v="1289.6199999999999"/>
    <n v="35.99"/>
  </r>
  <r>
    <n v="4989"/>
    <n v="35492"/>
    <d v="2012-02-10T00:00:00"/>
    <s v="Medium"/>
    <x v="1125"/>
    <x v="19"/>
    <x v="3"/>
    <s v="Corporate"/>
    <x v="1"/>
    <x v="2"/>
    <n v="455.93"/>
    <n v="12.64"/>
  </r>
  <r>
    <n v="4990"/>
    <n v="35494"/>
    <d v="2011-02-14T00:00:00"/>
    <s v="Medium"/>
    <x v="533"/>
    <x v="12"/>
    <x v="3"/>
    <s v="Consumer"/>
    <x v="1"/>
    <x v="3"/>
    <n v="1731.1040000000003"/>
    <n v="111.96"/>
  </r>
  <r>
    <n v="4991"/>
    <n v="35522"/>
    <d v="2010-10-25T00:00:00"/>
    <s v="Low"/>
    <x v="774"/>
    <x v="17"/>
    <x v="0"/>
    <s v="Home Office"/>
    <x v="2"/>
    <x v="5"/>
    <n v="2575.0100000000002"/>
    <n v="99.99"/>
  </r>
  <r>
    <n v="4992"/>
    <n v="35554"/>
    <d v="2012-09-24T00:00:00"/>
    <s v="Not Specified"/>
    <x v="1219"/>
    <x v="5"/>
    <x v="0"/>
    <s v="Consumer"/>
    <x v="1"/>
    <x v="11"/>
    <n v="4581.54"/>
    <n v="130.97999999999999"/>
  </r>
  <r>
    <n v="4993"/>
    <n v="35555"/>
    <d v="2011-03-04T00:00:00"/>
    <s v="Medium"/>
    <x v="283"/>
    <x v="5"/>
    <x v="0"/>
    <s v="Corporate"/>
    <x v="1"/>
    <x v="15"/>
    <n v="11266.4"/>
    <n v="243.98"/>
  </r>
  <r>
    <n v="4994"/>
    <n v="35555"/>
    <d v="2011-03-04T00:00:00"/>
    <s v="Medium"/>
    <x v="930"/>
    <x v="5"/>
    <x v="0"/>
    <s v="Corporate"/>
    <x v="2"/>
    <x v="5"/>
    <n v="71.61"/>
    <n v="4.8899999999999997"/>
  </r>
  <r>
    <n v="4995"/>
    <n v="35555"/>
    <d v="2011-03-04T00:00:00"/>
    <s v="Medium"/>
    <x v="930"/>
    <x v="5"/>
    <x v="0"/>
    <s v="Corporate"/>
    <x v="0"/>
    <x v="9"/>
    <n v="10.43"/>
    <n v="4.9800000000000004"/>
  </r>
  <r>
    <n v="4996"/>
    <n v="35558"/>
    <d v="2009-09-15T00:00:00"/>
    <s v="Critical"/>
    <x v="1067"/>
    <x v="30"/>
    <x v="0"/>
    <s v="Consumer"/>
    <x v="1"/>
    <x v="2"/>
    <n v="34.880000000000003"/>
    <n v="13.79"/>
  </r>
  <r>
    <n v="4997"/>
    <n v="35584"/>
    <d v="2011-05-03T00:00:00"/>
    <s v="Medium"/>
    <x v="1221"/>
    <x v="38"/>
    <x v="0"/>
    <s v="Corporate"/>
    <x v="0"/>
    <x v="0"/>
    <n v="150.33000000000001"/>
    <n v="9.7100000000000009"/>
  </r>
  <r>
    <n v="4998"/>
    <n v="35587"/>
    <d v="2011-11-10T00:00:00"/>
    <s v="Critical"/>
    <x v="576"/>
    <x v="16"/>
    <x v="1"/>
    <s v="Consumer"/>
    <x v="1"/>
    <x v="2"/>
    <n v="208.77"/>
    <n v="4.82"/>
  </r>
  <r>
    <n v="4999"/>
    <n v="35588"/>
    <d v="2010-06-13T00:00:00"/>
    <s v="Low"/>
    <x v="844"/>
    <x v="26"/>
    <x v="3"/>
    <s v="Corporate"/>
    <x v="1"/>
    <x v="11"/>
    <n v="1727.79"/>
    <n v="58.14"/>
  </r>
  <r>
    <n v="5000"/>
    <n v="35590"/>
    <d v="2012-12-02T00:00:00"/>
    <s v="Critical"/>
    <x v="315"/>
    <x v="15"/>
    <x v="2"/>
    <s v="Small Business"/>
    <x v="2"/>
    <x v="5"/>
    <n v="423.95"/>
    <n v="99.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4">
  <location ref="B6:C11" firstHeaderRow="1" firstDataRow="1" firstDataCol="1"/>
  <pivotFields count="12">
    <pivotField showAll="0"/>
    <pivotField showAll="0"/>
    <pivotField numFmtId="14" showAll="0"/>
    <pivotField showAll="0"/>
    <pivotField showAll="0"/>
    <pivotField showAll="0">
      <items count="49">
        <item x="36"/>
        <item x="9"/>
        <item x="8"/>
        <item x="16"/>
        <item x="28"/>
        <item x="35"/>
        <item x="42"/>
        <item x="15"/>
        <item x="18"/>
        <item x="24"/>
        <item x="0"/>
        <item x="30"/>
        <item x="3"/>
        <item x="20"/>
        <item x="29"/>
        <item x="37"/>
        <item x="31"/>
        <item x="13"/>
        <item x="23"/>
        <item x="22"/>
        <item x="17"/>
        <item x="44"/>
        <item x="33"/>
        <item x="47"/>
        <item x="38"/>
        <item x="46"/>
        <item x="19"/>
        <item x="12"/>
        <item x="6"/>
        <item x="7"/>
        <item x="2"/>
        <item x="32"/>
        <item x="26"/>
        <item x="10"/>
        <item x="4"/>
        <item x="27"/>
        <item x="41"/>
        <item x="21"/>
        <item x="45"/>
        <item x="11"/>
        <item x="5"/>
        <item x="25"/>
        <item x="40"/>
        <item x="34"/>
        <item x="1"/>
        <item x="43"/>
        <item x="14"/>
        <item x="39"/>
        <item t="default"/>
      </items>
    </pivotField>
    <pivotField axis="axisRow" showAll="0">
      <items count="5">
        <item x="0"/>
        <item x="3"/>
        <item x="2"/>
        <item x="1"/>
        <item t="default"/>
      </items>
    </pivotField>
    <pivotField showAll="0"/>
    <pivotField showAll="0"/>
    <pivotField showAll="0"/>
    <pivotField dataField="1"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Total Sales" fld="10" baseField="0" baseItem="0"/>
  </dataFields>
  <formats count="1">
    <format dxfId="7">
      <pivotArea type="all" dataOnly="0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4" cacheId="0" applyNumberFormats="0" applyBorderFormats="0" applyFontFormats="0" applyPatternFormats="0" applyAlignmentFormats="0" applyWidthHeightFormats="1" dataCaption="Values" updatedVersion="3" minRefreshableVersion="3" showCalcMbrs="0" useAutoFormatting="1" rowGrandTotals="0" colGrandTotals="0" itemPrintTitles="1" createdVersion="3" indent="0" outline="1" outlineData="1" multipleFieldFilters="0" chartFormat="7">
  <location ref="B6:C9" firstHeaderRow="1" firstDataRow="1" firstDataCol="1" rowPageCount="1" colPageCount="1"/>
  <pivotFields count="12">
    <pivotField showAll="0"/>
    <pivotField showAll="0"/>
    <pivotField numFmtId="14" showAll="0"/>
    <pivotField showAll="0"/>
    <pivotField showAll="0"/>
    <pivotField showAll="0">
      <items count="49">
        <item x="36"/>
        <item x="9"/>
        <item x="8"/>
        <item x="16"/>
        <item x="28"/>
        <item x="35"/>
        <item x="42"/>
        <item x="15"/>
        <item x="18"/>
        <item x="24"/>
        <item x="0"/>
        <item x="30"/>
        <item x="3"/>
        <item x="20"/>
        <item x="29"/>
        <item x="37"/>
        <item x="31"/>
        <item x="13"/>
        <item x="23"/>
        <item x="22"/>
        <item x="17"/>
        <item x="44"/>
        <item x="33"/>
        <item x="47"/>
        <item x="38"/>
        <item x="46"/>
        <item x="19"/>
        <item x="12"/>
        <item x="6"/>
        <item x="7"/>
        <item x="2"/>
        <item x="32"/>
        <item x="26"/>
        <item x="10"/>
        <item x="4"/>
        <item x="27"/>
        <item x="41"/>
        <item x="21"/>
        <item x="45"/>
        <item x="11"/>
        <item x="5"/>
        <item x="25"/>
        <item x="40"/>
        <item x="34"/>
        <item x="1"/>
        <item x="43"/>
        <item x="14"/>
        <item x="39"/>
        <item t="default"/>
      </items>
    </pivotField>
    <pivotField axis="axisPage" showAll="0">
      <items count="5">
        <item x="0"/>
        <item x="3"/>
        <item x="2"/>
        <item x="1"/>
        <item t="default"/>
      </items>
    </pivotField>
    <pivotField showAll="0"/>
    <pivotField axis="axisRow" showAll="0">
      <items count="4">
        <item x="1"/>
        <item x="0"/>
        <item x="2"/>
        <item t="default"/>
      </items>
    </pivotField>
    <pivotField showAll="0"/>
    <pivotField dataField="1" showAll="0"/>
    <pivotField showAll="0"/>
  </pivotFields>
  <rowFields count="1">
    <field x="8"/>
  </rowFields>
  <rowItems count="3">
    <i>
      <x/>
    </i>
    <i>
      <x v="1"/>
    </i>
    <i>
      <x v="2"/>
    </i>
  </rowItems>
  <colItems count="1">
    <i/>
  </colItems>
  <pageFields count="1">
    <pageField fld="6" hier="-1"/>
  </pageFields>
  <dataFields count="1">
    <dataField name="Total Sales" fld="10" baseField="0" baseItem="0"/>
  </dataFields>
  <formats count="3">
    <format dxfId="2">
      <pivotArea type="all" dataOnly="0" outline="0" fieldPosition="0"/>
    </format>
    <format dxfId="1">
      <pivotArea type="all" dataOnly="0" outline="0" fieldPosition="0"/>
    </format>
    <format dxfId="0">
      <pivotArea outline="0" collapsedLevelsAreSubtotals="1" fieldPosition="0"/>
    </format>
  </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6" format="4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6" format="5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PivotTable6" cacheId="0" applyNumberFormats="0" applyBorderFormats="0" applyFontFormats="0" applyPatternFormats="0" applyAlignmentFormats="0" applyWidthHeightFormats="1" dataCaption="Values" updatedVersion="3" minRefreshableVersion="3" showCalcMbrs="0" useAutoFormatting="1" rowGrandTotals="0" colGrandTotals="0" itemPrintTitles="1" createdVersion="3" indent="0" outline="1" outlineData="1" multipleFieldFilters="0" chartFormat="7">
  <location ref="F6:G23" firstHeaderRow="1" firstDataRow="1" firstDataCol="1" rowPageCount="1" colPageCount="1"/>
  <pivotFields count="12">
    <pivotField showAll="0"/>
    <pivotField showAll="0"/>
    <pivotField numFmtId="14" showAll="0"/>
    <pivotField showAll="0"/>
    <pivotField showAll="0"/>
    <pivotField showAll="0">
      <items count="49">
        <item x="36"/>
        <item x="9"/>
        <item x="8"/>
        <item x="16"/>
        <item x="28"/>
        <item x="35"/>
        <item x="42"/>
        <item x="15"/>
        <item x="18"/>
        <item x="24"/>
        <item x="0"/>
        <item x="30"/>
        <item x="3"/>
        <item x="20"/>
        <item x="29"/>
        <item x="37"/>
        <item x="31"/>
        <item x="13"/>
        <item x="23"/>
        <item x="22"/>
        <item x="17"/>
        <item x="44"/>
        <item x="33"/>
        <item x="47"/>
        <item x="38"/>
        <item x="46"/>
        <item x="19"/>
        <item x="12"/>
        <item x="6"/>
        <item x="7"/>
        <item x="2"/>
        <item x="32"/>
        <item x="26"/>
        <item x="10"/>
        <item x="4"/>
        <item x="27"/>
        <item x="41"/>
        <item x="21"/>
        <item x="45"/>
        <item x="11"/>
        <item x="5"/>
        <item x="25"/>
        <item x="40"/>
        <item x="34"/>
        <item x="1"/>
        <item x="43"/>
        <item x="14"/>
        <item x="39"/>
        <item t="default"/>
      </items>
    </pivotField>
    <pivotField showAll="0">
      <items count="5">
        <item x="0"/>
        <item x="3"/>
        <item x="2"/>
        <item x="1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Row" showAll="0">
      <items count="18">
        <item x="13"/>
        <item x="12"/>
        <item x="11"/>
        <item x="15"/>
        <item x="5"/>
        <item x="16"/>
        <item x="14"/>
        <item x="8"/>
        <item x="2"/>
        <item x="10"/>
        <item x="9"/>
        <item x="6"/>
        <item x="7"/>
        <item x="1"/>
        <item x="0"/>
        <item x="3"/>
        <item x="4"/>
        <item t="default"/>
      </items>
    </pivotField>
    <pivotField dataField="1" showAll="0"/>
    <pivotField showAll="0"/>
  </pivotFields>
  <rowFields count="1">
    <field x="9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Items count="1">
    <i/>
  </colItems>
  <pageFields count="1">
    <pageField fld="8" hier="-1"/>
  </pageFields>
  <dataFields count="1">
    <dataField name="Total Sales" fld="10" baseField="0" baseItem="0"/>
  </dataFields>
  <formats count="4">
    <format dxfId="6">
      <pivotArea type="all" dataOnly="0" outline="0" fieldPosition="0"/>
    </format>
    <format dxfId="5">
      <pivotArea type="all" dataOnly="0" outline="0" fieldPosition="0"/>
    </format>
    <format dxfId="4">
      <pivotArea dataOnly="0" labelOnly="1" fieldPosition="0">
        <references count="1">
          <reference field="9" count="0"/>
        </references>
      </pivotArea>
    </format>
    <format dxfId="3">
      <pivotArea outline="0" collapsedLevelsAreSubtotals="1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1"/>
  <sheetViews>
    <sheetView showGridLines="0" tabSelected="1" workbookViewId="0"/>
  </sheetViews>
  <sheetFormatPr defaultRowHeight="15" x14ac:dyDescent="0.25"/>
  <cols>
    <col min="2" max="2" width="2.5703125" customWidth="1"/>
    <col min="3" max="3" width="9.5703125" bestFit="1" customWidth="1"/>
    <col min="15" max="15" width="2.7109375" customWidth="1"/>
  </cols>
  <sheetData>
    <row r="1" spans="1:15" x14ac:dyDescent="0.2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5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</row>
    <row r="3" spans="1:15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</row>
    <row r="4" spans="1:15" ht="14.25" customHeight="1" x14ac:dyDescent="0.25">
      <c r="A4" s="8"/>
      <c r="B4" s="39"/>
      <c r="C4" s="33" t="s">
        <v>1316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9"/>
    </row>
    <row r="5" spans="1:15" x14ac:dyDescent="0.25">
      <c r="A5" s="8"/>
      <c r="B5" s="39"/>
      <c r="C5" s="37" t="s">
        <v>1317</v>
      </c>
      <c r="D5" s="37"/>
      <c r="E5" s="37"/>
      <c r="F5" s="37"/>
      <c r="G5" s="37"/>
      <c r="H5" s="37"/>
      <c r="I5" s="37"/>
      <c r="J5" s="37"/>
      <c r="K5" s="37"/>
      <c r="L5" s="37"/>
      <c r="M5" s="8"/>
      <c r="N5" s="8"/>
      <c r="O5" s="9"/>
    </row>
    <row r="6" spans="1:15" ht="15" customHeight="1" x14ac:dyDescent="0.25">
      <c r="A6" s="8"/>
      <c r="B6" s="39"/>
      <c r="C6" s="37"/>
      <c r="D6" s="37"/>
      <c r="E6" s="37"/>
      <c r="F6" s="37"/>
      <c r="G6" s="37"/>
      <c r="H6" s="37"/>
      <c r="I6" s="37"/>
      <c r="J6" s="37"/>
      <c r="K6" s="37"/>
      <c r="L6" s="37"/>
      <c r="M6" s="8"/>
      <c r="N6" s="8"/>
      <c r="O6" s="9"/>
    </row>
    <row r="7" spans="1:15" x14ac:dyDescent="0.25">
      <c r="A7" s="8"/>
      <c r="B7" s="39"/>
      <c r="C7" s="37"/>
      <c r="D7" s="37"/>
      <c r="E7" s="37"/>
      <c r="F7" s="37"/>
      <c r="G7" s="37"/>
      <c r="H7" s="37"/>
      <c r="I7" s="37"/>
      <c r="J7" s="37"/>
      <c r="K7" s="37"/>
      <c r="L7" s="37"/>
      <c r="M7" s="8"/>
      <c r="N7" s="9"/>
      <c r="O7" s="9"/>
    </row>
    <row r="8" spans="1:15" x14ac:dyDescent="0.25">
      <c r="A8" s="8"/>
      <c r="B8" s="40"/>
      <c r="C8" s="32" t="s">
        <v>1318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30"/>
    </row>
    <row r="9" spans="1:15" x14ac:dyDescent="0.25">
      <c r="A9" s="8"/>
      <c r="B9" s="40"/>
      <c r="C9" s="38" t="s">
        <v>1330</v>
      </c>
      <c r="D9" s="38"/>
      <c r="E9" s="38"/>
      <c r="F9" s="38"/>
      <c r="G9" s="38"/>
      <c r="H9" s="38"/>
      <c r="I9" s="38"/>
      <c r="J9" s="38"/>
      <c r="K9" s="38"/>
      <c r="L9" s="38"/>
      <c r="M9" s="7"/>
      <c r="N9" s="7"/>
      <c r="O9" s="30"/>
    </row>
    <row r="10" spans="1:15" ht="15" customHeight="1" x14ac:dyDescent="0.25">
      <c r="A10" s="8"/>
      <c r="B10" s="40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7"/>
      <c r="N10" s="7"/>
      <c r="O10" s="30"/>
    </row>
    <row r="11" spans="1:15" x14ac:dyDescent="0.25">
      <c r="A11" s="8"/>
      <c r="B11" s="40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7"/>
      <c r="N11" s="30"/>
      <c r="O11" s="30"/>
    </row>
    <row r="12" spans="1:15" x14ac:dyDescent="0.25">
      <c r="A12" s="8"/>
      <c r="B12" s="36"/>
      <c r="C12" s="31" t="s">
        <v>1319</v>
      </c>
      <c r="D12" s="28"/>
      <c r="E12" s="28"/>
      <c r="F12" s="28"/>
      <c r="G12" s="28"/>
      <c r="H12" s="28"/>
      <c r="I12" s="28"/>
      <c r="J12" s="28"/>
      <c r="K12" s="28"/>
      <c r="L12" s="28"/>
      <c r="M12" s="10"/>
      <c r="N12" s="10"/>
      <c r="O12" s="34"/>
    </row>
    <row r="13" spans="1:15" x14ac:dyDescent="0.25">
      <c r="A13" s="8"/>
      <c r="B13" s="36"/>
      <c r="C13" s="16"/>
      <c r="D13" s="28"/>
      <c r="E13" s="28"/>
      <c r="F13" s="28"/>
      <c r="G13" s="28"/>
      <c r="H13" s="28"/>
      <c r="I13" s="28"/>
      <c r="J13" s="28"/>
      <c r="K13" s="28"/>
      <c r="L13" s="28"/>
      <c r="M13" s="10"/>
      <c r="N13" s="10"/>
      <c r="O13" s="34"/>
    </row>
    <row r="14" spans="1:15" ht="15" customHeight="1" x14ac:dyDescent="0.25">
      <c r="A14" s="8"/>
      <c r="B14" s="36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10"/>
      <c r="N14" s="10"/>
      <c r="O14" s="34"/>
    </row>
    <row r="15" spans="1:15" x14ac:dyDescent="0.25">
      <c r="A15" s="8"/>
      <c r="B15" s="36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10"/>
      <c r="N15" s="10"/>
      <c r="O15" s="34"/>
    </row>
    <row r="16" spans="1:15" x14ac:dyDescent="0.25">
      <c r="A16" s="8"/>
      <c r="B16" s="21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10"/>
      <c r="N16" s="34"/>
      <c r="O16" s="34"/>
    </row>
    <row r="17" spans="1:15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</row>
    <row r="19" spans="1:15" x14ac:dyDescent="0.2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</row>
    <row r="20" spans="1:15" x14ac:dyDescent="0.2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</row>
    <row r="21" spans="1:15" x14ac:dyDescent="0.2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</row>
  </sheetData>
  <mergeCells count="5">
    <mergeCell ref="B12:B15"/>
    <mergeCell ref="C5:L7"/>
    <mergeCell ref="C9:L11"/>
    <mergeCell ref="B4:B7"/>
    <mergeCell ref="B8:B11"/>
  </mergeCells>
  <pageMargins left="0.7" right="0.7" top="0.75" bottom="0.75" header="0.3" footer="0.3"/>
  <pageSetup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39997558519241921"/>
  </sheetPr>
  <dimension ref="A1:N20"/>
  <sheetViews>
    <sheetView showGridLines="0" workbookViewId="0">
      <selection activeCell="J30" sqref="J30"/>
    </sheetView>
  </sheetViews>
  <sheetFormatPr defaultRowHeight="15" x14ac:dyDescent="0.25"/>
  <cols>
    <col min="2" max="2" width="13.140625" customWidth="1"/>
    <col min="3" max="3" width="12" customWidth="1"/>
    <col min="5" max="5" width="9.140625" customWidth="1"/>
    <col min="6" max="6" width="9" customWidth="1"/>
    <col min="7" max="7" width="8" customWidth="1"/>
    <col min="8" max="8" width="8.5703125" customWidth="1"/>
    <col min="9" max="9" width="7" customWidth="1"/>
    <col min="10" max="10" width="8" customWidth="1"/>
    <col min="11" max="11" width="11.85546875" customWidth="1"/>
    <col min="12" max="12" width="10" customWidth="1"/>
    <col min="13" max="13" width="12.7109375" bestFit="1" customWidth="1"/>
    <col min="14" max="14" width="11" bestFit="1" customWidth="1"/>
    <col min="15" max="15" width="10" customWidth="1"/>
    <col min="16" max="16" width="10.28515625" customWidth="1"/>
    <col min="17" max="17" width="9" customWidth="1"/>
    <col min="18" max="18" width="17.5703125" bestFit="1" customWidth="1"/>
    <col min="19" max="20" width="8" customWidth="1"/>
    <col min="21" max="21" width="8.5703125" customWidth="1"/>
    <col min="22" max="22" width="13.85546875" bestFit="1" customWidth="1"/>
    <col min="23" max="23" width="9" customWidth="1"/>
    <col min="24" max="24" width="9.85546875" customWidth="1"/>
    <col min="25" max="25" width="9" customWidth="1"/>
    <col min="26" max="26" width="9.5703125" customWidth="1"/>
    <col min="27" max="27" width="8.5703125" customWidth="1"/>
    <col min="28" max="28" width="8" customWidth="1"/>
    <col min="29" max="29" width="10" customWidth="1"/>
    <col min="30" max="30" width="10.5703125" customWidth="1"/>
    <col min="31" max="31" width="7.85546875" customWidth="1"/>
    <col min="32" max="33" width="9" customWidth="1"/>
    <col min="34" max="34" width="12.28515625" customWidth="1"/>
    <col min="35" max="35" width="9.28515625" customWidth="1"/>
    <col min="36" max="36" width="10" bestFit="1" customWidth="1"/>
    <col min="37" max="37" width="16.5703125" bestFit="1" customWidth="1"/>
    <col min="38" max="38" width="9" customWidth="1"/>
    <col min="39" max="39" width="11.42578125" customWidth="1"/>
    <col min="40" max="40" width="8.140625" customWidth="1"/>
    <col min="41" max="41" width="10" customWidth="1"/>
    <col min="42" max="42" width="10.85546875" customWidth="1"/>
    <col min="43" max="44" width="9" customWidth="1"/>
    <col min="45" max="45" width="11.7109375" bestFit="1" customWidth="1"/>
    <col min="46" max="46" width="9.5703125" customWidth="1"/>
    <col min="47" max="47" width="11" customWidth="1"/>
    <col min="48" max="48" width="8.140625" customWidth="1"/>
    <col min="49" max="49" width="11" customWidth="1"/>
    <col min="50" max="50" width="10" bestFit="1" customWidth="1"/>
    <col min="51" max="51" width="8" customWidth="1"/>
    <col min="52" max="52" width="9.42578125" bestFit="1" customWidth="1"/>
    <col min="53" max="53" width="11" bestFit="1" customWidth="1"/>
    <col min="54" max="54" width="9" customWidth="1"/>
    <col min="55" max="55" width="9.7109375" bestFit="1" customWidth="1"/>
    <col min="56" max="56" width="10" bestFit="1" customWidth="1"/>
    <col min="57" max="57" width="10.28515625" bestFit="1" customWidth="1"/>
    <col min="58" max="58" width="11" bestFit="1" customWidth="1"/>
    <col min="59" max="59" width="8" customWidth="1"/>
    <col min="60" max="60" width="12.140625" bestFit="1" customWidth="1"/>
    <col min="61" max="61" width="9" customWidth="1"/>
    <col min="62" max="63" width="8.7109375" customWidth="1"/>
    <col min="64" max="64" width="12" bestFit="1" customWidth="1"/>
    <col min="65" max="65" width="10.140625" bestFit="1" customWidth="1"/>
    <col min="66" max="66" width="8" customWidth="1"/>
    <col min="67" max="67" width="8.140625" customWidth="1"/>
    <col min="68" max="68" width="12.28515625" bestFit="1" customWidth="1"/>
    <col min="69" max="69" width="11.28515625" bestFit="1" customWidth="1"/>
    <col min="70" max="70" width="9.42578125" bestFit="1" customWidth="1"/>
    <col min="71" max="71" width="9" customWidth="1"/>
    <col min="72" max="72" width="11" bestFit="1" customWidth="1"/>
    <col min="73" max="73" width="9" customWidth="1"/>
    <col min="74" max="74" width="10" bestFit="1" customWidth="1"/>
    <col min="75" max="75" width="8" customWidth="1"/>
    <col min="76" max="76" width="11.28515625" bestFit="1" customWidth="1"/>
    <col min="77" max="77" width="7.42578125" customWidth="1"/>
    <col min="78" max="78" width="11.28515625" bestFit="1" customWidth="1"/>
    <col min="79" max="79" width="9" customWidth="1"/>
    <col min="80" max="80" width="11.42578125" bestFit="1" customWidth="1"/>
    <col min="81" max="81" width="11" bestFit="1" customWidth="1"/>
    <col min="82" max="82" width="9.7109375" bestFit="1" customWidth="1"/>
    <col min="83" max="83" width="11.140625" bestFit="1" customWidth="1"/>
    <col min="84" max="84" width="9.28515625" bestFit="1" customWidth="1"/>
    <col min="85" max="85" width="10.85546875" bestFit="1" customWidth="1"/>
    <col min="86" max="86" width="9.42578125" bestFit="1" customWidth="1"/>
    <col min="87" max="87" width="10.7109375" bestFit="1" customWidth="1"/>
    <col min="88" max="88" width="7.7109375" customWidth="1"/>
    <col min="89" max="89" width="12" bestFit="1" customWidth="1"/>
    <col min="90" max="90" width="10" bestFit="1" customWidth="1"/>
    <col min="91" max="91" width="8" customWidth="1"/>
    <col min="92" max="92" width="9" customWidth="1"/>
    <col min="93" max="93" width="11.7109375" bestFit="1" customWidth="1"/>
    <col min="94" max="94" width="8.85546875" customWidth="1"/>
    <col min="95" max="95" width="10.42578125" bestFit="1" customWidth="1"/>
    <col min="96" max="96" width="9" customWidth="1"/>
    <col min="97" max="97" width="10.85546875" bestFit="1" customWidth="1"/>
    <col min="98" max="98" width="12.42578125" bestFit="1" customWidth="1"/>
    <col min="99" max="99" width="11" bestFit="1" customWidth="1"/>
    <col min="100" max="100" width="10.7109375" bestFit="1" customWidth="1"/>
    <col min="101" max="101" width="11" bestFit="1" customWidth="1"/>
    <col min="102" max="102" width="11.7109375" bestFit="1" customWidth="1"/>
    <col min="103" max="103" width="11.28515625" bestFit="1" customWidth="1"/>
    <col min="104" max="104" width="10" bestFit="1" customWidth="1"/>
    <col min="105" max="106" width="9" customWidth="1"/>
    <col min="107" max="107" width="9.28515625" bestFit="1" customWidth="1"/>
    <col min="108" max="109" width="8" customWidth="1"/>
    <col min="110" max="110" width="14.28515625" bestFit="1" customWidth="1"/>
    <col min="111" max="111" width="11" bestFit="1" customWidth="1"/>
    <col min="112" max="112" width="10.28515625" bestFit="1" customWidth="1"/>
    <col min="113" max="113" width="9.28515625" bestFit="1" customWidth="1"/>
    <col min="114" max="114" width="8.42578125" customWidth="1"/>
    <col min="115" max="115" width="8.7109375" customWidth="1"/>
    <col min="116" max="116" width="10.5703125" bestFit="1" customWidth="1"/>
    <col min="117" max="117" width="10.85546875" bestFit="1" customWidth="1"/>
    <col min="118" max="118" width="9.7109375" bestFit="1" customWidth="1"/>
    <col min="119" max="119" width="10" bestFit="1" customWidth="1"/>
    <col min="120" max="120" width="13.28515625" bestFit="1" customWidth="1"/>
    <col min="121" max="121" width="10.28515625" bestFit="1" customWidth="1"/>
    <col min="122" max="122" width="11" bestFit="1" customWidth="1"/>
    <col min="123" max="123" width="9.5703125" bestFit="1" customWidth="1"/>
    <col min="124" max="124" width="8.85546875" customWidth="1"/>
    <col min="125" max="125" width="15.42578125" bestFit="1" customWidth="1"/>
    <col min="126" max="126" width="13.28515625" bestFit="1" customWidth="1"/>
    <col min="127" max="127" width="11" bestFit="1" customWidth="1"/>
    <col min="128" max="128" width="11.42578125" bestFit="1" customWidth="1"/>
    <col min="129" max="131" width="10" bestFit="1" customWidth="1"/>
    <col min="132" max="132" width="13.42578125" bestFit="1" customWidth="1"/>
    <col min="133" max="133" width="12.7109375" bestFit="1" customWidth="1"/>
    <col min="134" max="134" width="8.28515625" customWidth="1"/>
    <col min="135" max="135" width="10" bestFit="1" customWidth="1"/>
    <col min="136" max="137" width="9" customWidth="1"/>
    <col min="138" max="138" width="10.28515625" bestFit="1" customWidth="1"/>
    <col min="139" max="139" width="9.85546875" bestFit="1" customWidth="1"/>
    <col min="140" max="140" width="8" customWidth="1"/>
    <col min="141" max="141" width="7" customWidth="1"/>
    <col min="142" max="142" width="10" bestFit="1" customWidth="1"/>
    <col min="143" max="143" width="8.42578125" customWidth="1"/>
    <col min="144" max="144" width="12.28515625" bestFit="1" customWidth="1"/>
    <col min="145" max="145" width="9.42578125" bestFit="1" customWidth="1"/>
    <col min="146" max="146" width="10.5703125" bestFit="1" customWidth="1"/>
    <col min="147" max="147" width="9" customWidth="1"/>
    <col min="148" max="148" width="12.85546875" bestFit="1" customWidth="1"/>
    <col min="149" max="149" width="9" customWidth="1"/>
    <col min="150" max="150" width="11.140625" bestFit="1" customWidth="1"/>
    <col min="151" max="152" width="11" bestFit="1" customWidth="1"/>
    <col min="153" max="153" width="12.28515625" bestFit="1" customWidth="1"/>
    <col min="154" max="154" width="14.7109375" bestFit="1" customWidth="1"/>
    <col min="155" max="155" width="11" bestFit="1" customWidth="1"/>
    <col min="156" max="156" width="10.85546875" bestFit="1" customWidth="1"/>
    <col min="157" max="157" width="8.28515625" customWidth="1"/>
    <col min="158" max="158" width="11.28515625" bestFit="1" customWidth="1"/>
    <col min="159" max="159" width="10.5703125" bestFit="1" customWidth="1"/>
    <col min="160" max="160" width="10" bestFit="1" customWidth="1"/>
    <col min="161" max="161" width="10.42578125" bestFit="1" customWidth="1"/>
    <col min="162" max="162" width="12.42578125" bestFit="1" customWidth="1"/>
    <col min="163" max="163" width="11.140625" bestFit="1" customWidth="1"/>
    <col min="164" max="164" width="11.85546875" bestFit="1" customWidth="1"/>
    <col min="165" max="165" width="11.5703125" bestFit="1" customWidth="1"/>
    <col min="166" max="166" width="14" bestFit="1" customWidth="1"/>
    <col min="167" max="167" width="10.85546875" bestFit="1" customWidth="1"/>
    <col min="168" max="168" width="9" customWidth="1"/>
    <col min="169" max="170" width="10.5703125" bestFit="1" customWidth="1"/>
    <col min="171" max="171" width="9.28515625" bestFit="1" customWidth="1"/>
    <col min="172" max="172" width="12.140625" bestFit="1" customWidth="1"/>
    <col min="173" max="173" width="13.140625" bestFit="1" customWidth="1"/>
    <col min="174" max="174" width="11.7109375" bestFit="1" customWidth="1"/>
    <col min="175" max="175" width="8.85546875" customWidth="1"/>
    <col min="176" max="176" width="8" customWidth="1"/>
    <col min="177" max="177" width="10" bestFit="1" customWidth="1"/>
    <col min="178" max="179" width="9" customWidth="1"/>
    <col min="180" max="180" width="10.85546875" bestFit="1" customWidth="1"/>
    <col min="181" max="181" width="13.42578125" bestFit="1" customWidth="1"/>
    <col min="182" max="182" width="10.28515625" bestFit="1" customWidth="1"/>
    <col min="183" max="183" width="10.140625" bestFit="1" customWidth="1"/>
    <col min="184" max="184" width="8" customWidth="1"/>
    <col min="185" max="185" width="9.7109375" bestFit="1" customWidth="1"/>
    <col min="186" max="186" width="9.85546875" bestFit="1" customWidth="1"/>
    <col min="187" max="187" width="17.28515625" bestFit="1" customWidth="1"/>
    <col min="188" max="188" width="12.7109375" bestFit="1" customWidth="1"/>
    <col min="189" max="189" width="9" customWidth="1"/>
    <col min="190" max="190" width="10.140625" bestFit="1" customWidth="1"/>
    <col min="191" max="191" width="9" customWidth="1"/>
    <col min="192" max="192" width="9.5703125" bestFit="1" customWidth="1"/>
    <col min="193" max="193" width="14" bestFit="1" customWidth="1"/>
    <col min="194" max="194" width="13.85546875" bestFit="1" customWidth="1"/>
    <col min="195" max="195" width="7.5703125" customWidth="1"/>
    <col min="196" max="196" width="10.42578125" bestFit="1" customWidth="1"/>
    <col min="197" max="197" width="12" bestFit="1" customWidth="1"/>
    <col min="198" max="198" width="14.5703125" bestFit="1" customWidth="1"/>
    <col min="199" max="199" width="10.7109375" bestFit="1" customWidth="1"/>
    <col min="200" max="200" width="10.85546875" bestFit="1" customWidth="1"/>
    <col min="201" max="201" width="8" customWidth="1"/>
    <col min="202" max="202" width="15.5703125" bestFit="1" customWidth="1"/>
    <col min="203" max="203" width="16" bestFit="1" customWidth="1"/>
    <col min="204" max="204" width="11" bestFit="1" customWidth="1"/>
    <col min="205" max="205" width="10" bestFit="1" customWidth="1"/>
    <col min="206" max="206" width="9.5703125" bestFit="1" customWidth="1"/>
    <col min="207" max="207" width="14.5703125" bestFit="1" customWidth="1"/>
    <col min="208" max="208" width="11" bestFit="1" customWidth="1"/>
    <col min="209" max="209" width="9" customWidth="1"/>
    <col min="210" max="210" width="8" customWidth="1"/>
    <col min="211" max="211" width="11.85546875" bestFit="1" customWidth="1"/>
    <col min="212" max="212" width="10" bestFit="1" customWidth="1"/>
    <col min="213" max="213" width="12.140625" bestFit="1" customWidth="1"/>
    <col min="214" max="214" width="12.42578125" bestFit="1" customWidth="1"/>
    <col min="215" max="215" width="9.42578125" bestFit="1" customWidth="1"/>
    <col min="216" max="216" width="11" bestFit="1" customWidth="1"/>
    <col min="217" max="217" width="9" customWidth="1"/>
    <col min="218" max="218" width="11.140625" bestFit="1" customWidth="1"/>
    <col min="219" max="219" width="13.85546875" bestFit="1" customWidth="1"/>
    <col min="220" max="220" width="12.28515625" bestFit="1" customWidth="1"/>
    <col min="221" max="221" width="13.28515625" bestFit="1" customWidth="1"/>
    <col min="222" max="222" width="16.85546875" bestFit="1" customWidth="1"/>
    <col min="223" max="223" width="10" bestFit="1" customWidth="1"/>
    <col min="224" max="224" width="11" bestFit="1" customWidth="1"/>
    <col min="225" max="225" width="8.7109375" customWidth="1"/>
    <col min="226" max="226" width="8.85546875" customWidth="1"/>
    <col min="227" max="227" width="11.85546875" bestFit="1" customWidth="1"/>
    <col min="228" max="228" width="7.7109375" customWidth="1"/>
    <col min="229" max="229" width="11.85546875" bestFit="1" customWidth="1"/>
    <col min="230" max="230" width="11.42578125" bestFit="1" customWidth="1"/>
    <col min="231" max="231" width="10" bestFit="1" customWidth="1"/>
    <col min="232" max="232" width="11.85546875" bestFit="1" customWidth="1"/>
    <col min="233" max="233" width="14.140625" bestFit="1" customWidth="1"/>
    <col min="234" max="234" width="8" customWidth="1"/>
    <col min="235" max="235" width="9" customWidth="1"/>
    <col min="236" max="236" width="8.42578125" customWidth="1"/>
    <col min="237" max="237" width="11" bestFit="1" customWidth="1"/>
    <col min="238" max="238" width="10.28515625" bestFit="1" customWidth="1"/>
    <col min="239" max="240" width="7" customWidth="1"/>
    <col min="241" max="241" width="8" customWidth="1"/>
    <col min="242" max="242" width="16.5703125" bestFit="1" customWidth="1"/>
    <col min="243" max="243" width="9" customWidth="1"/>
    <col min="244" max="244" width="8.42578125" customWidth="1"/>
    <col min="245" max="245" width="9.5703125" bestFit="1" customWidth="1"/>
    <col min="246" max="246" width="15.28515625" bestFit="1" customWidth="1"/>
    <col min="247" max="248" width="10" bestFit="1" customWidth="1"/>
    <col min="249" max="249" width="12.42578125" bestFit="1" customWidth="1"/>
    <col min="250" max="250" width="10" bestFit="1" customWidth="1"/>
    <col min="251" max="251" width="8" customWidth="1"/>
    <col min="252" max="252" width="9" customWidth="1"/>
    <col min="253" max="253" width="7.42578125" customWidth="1"/>
    <col min="254" max="254" width="7.28515625" customWidth="1"/>
    <col min="255" max="255" width="6.28515625" customWidth="1"/>
    <col min="256" max="256" width="9" customWidth="1"/>
    <col min="257" max="257" width="11.42578125" bestFit="1" customWidth="1"/>
    <col min="258" max="258" width="11.140625" bestFit="1" customWidth="1"/>
    <col min="259" max="259" width="7.28515625" customWidth="1"/>
    <col min="260" max="260" width="9.5703125" bestFit="1" customWidth="1"/>
    <col min="261" max="261" width="8.140625" customWidth="1"/>
    <col min="262" max="262" width="10.5703125" bestFit="1" customWidth="1"/>
    <col min="263" max="263" width="11.85546875" bestFit="1" customWidth="1"/>
    <col min="264" max="264" width="8" customWidth="1"/>
    <col min="265" max="265" width="14.85546875" bestFit="1" customWidth="1"/>
    <col min="266" max="266" width="8" customWidth="1"/>
    <col min="267" max="267" width="7" customWidth="1"/>
    <col min="268" max="268" width="10.28515625" bestFit="1" customWidth="1"/>
    <col min="269" max="269" width="10" bestFit="1" customWidth="1"/>
    <col min="271" max="271" width="7" customWidth="1"/>
    <col min="272" max="272" width="9" customWidth="1"/>
    <col min="273" max="273" width="11.42578125" bestFit="1" customWidth="1"/>
    <col min="274" max="274" width="10" bestFit="1" customWidth="1"/>
    <col min="275" max="275" width="8.5703125" customWidth="1"/>
    <col min="276" max="276" width="10.5703125" bestFit="1" customWidth="1"/>
    <col min="277" max="277" width="11" bestFit="1" customWidth="1"/>
    <col min="278" max="278" width="8.42578125" customWidth="1"/>
    <col min="279" max="279" width="8" customWidth="1"/>
    <col min="280" max="281" width="10" bestFit="1" customWidth="1"/>
    <col min="282" max="282" width="14.140625" bestFit="1" customWidth="1"/>
    <col min="283" max="283" width="11.85546875" bestFit="1" customWidth="1"/>
    <col min="284" max="284" width="14" bestFit="1" customWidth="1"/>
    <col min="285" max="285" width="12.42578125" bestFit="1" customWidth="1"/>
    <col min="286" max="286" width="10.5703125" bestFit="1" customWidth="1"/>
    <col min="287" max="287" width="17" bestFit="1" customWidth="1"/>
    <col min="288" max="288" width="15.5703125" bestFit="1" customWidth="1"/>
    <col min="289" max="289" width="16.28515625" bestFit="1" customWidth="1"/>
    <col min="290" max="290" width="12.85546875" bestFit="1" customWidth="1"/>
    <col min="291" max="291" width="11.42578125" bestFit="1" customWidth="1"/>
    <col min="292" max="292" width="9.7109375" bestFit="1" customWidth="1"/>
    <col min="293" max="293" width="14.5703125" bestFit="1" customWidth="1"/>
    <col min="294" max="294" width="7" customWidth="1"/>
    <col min="295" max="295" width="10.42578125" bestFit="1" customWidth="1"/>
    <col min="296" max="296" width="10" bestFit="1" customWidth="1"/>
    <col min="297" max="297" width="9" customWidth="1"/>
    <col min="298" max="298" width="11.7109375" bestFit="1" customWidth="1"/>
    <col min="299" max="299" width="10.28515625" bestFit="1" customWidth="1"/>
    <col min="300" max="300" width="7" customWidth="1"/>
    <col min="301" max="301" width="8.85546875" customWidth="1"/>
    <col min="302" max="302" width="8" customWidth="1"/>
    <col min="303" max="303" width="9" customWidth="1"/>
    <col min="304" max="304" width="10" bestFit="1" customWidth="1"/>
    <col min="305" max="305" width="8" customWidth="1"/>
    <col min="306" max="306" width="9" customWidth="1"/>
    <col min="307" max="307" width="13.85546875" bestFit="1" customWidth="1"/>
    <col min="308" max="308" width="9.28515625" bestFit="1" customWidth="1"/>
    <col min="309" max="309" width="8" customWidth="1"/>
    <col min="310" max="310" width="10" bestFit="1" customWidth="1"/>
    <col min="312" max="312" width="16.140625" bestFit="1" customWidth="1"/>
    <col min="313" max="313" width="11" bestFit="1" customWidth="1"/>
    <col min="314" max="314" width="8" customWidth="1"/>
    <col min="315" max="316" width="11" bestFit="1" customWidth="1"/>
    <col min="317" max="317" width="7" customWidth="1"/>
    <col min="318" max="318" width="13.7109375" bestFit="1" customWidth="1"/>
    <col min="319" max="319" width="8" customWidth="1"/>
    <col min="320" max="320" width="10" bestFit="1" customWidth="1"/>
    <col min="321" max="321" width="8.85546875" customWidth="1"/>
    <col min="322" max="322" width="10.85546875" bestFit="1" customWidth="1"/>
    <col min="323" max="323" width="10" bestFit="1" customWidth="1"/>
    <col min="324" max="324" width="11" bestFit="1" customWidth="1"/>
    <col min="325" max="325" width="10" bestFit="1" customWidth="1"/>
    <col min="326" max="326" width="8" customWidth="1"/>
    <col min="327" max="327" width="13.85546875" bestFit="1" customWidth="1"/>
    <col min="328" max="330" width="9" customWidth="1"/>
    <col min="331" max="331" width="8" customWidth="1"/>
    <col min="332" max="332" width="7" customWidth="1"/>
    <col min="333" max="333" width="9" customWidth="1"/>
    <col min="334" max="334" width="7.42578125" customWidth="1"/>
    <col min="335" max="335" width="6.28515625" customWidth="1"/>
    <col min="336" max="336" width="11" bestFit="1" customWidth="1"/>
    <col min="337" max="337" width="8" customWidth="1"/>
    <col min="338" max="338" width="8.42578125" customWidth="1"/>
    <col min="340" max="340" width="9.42578125" bestFit="1" customWidth="1"/>
    <col min="341" max="341" width="8" customWidth="1"/>
    <col min="342" max="342" width="11.140625" bestFit="1" customWidth="1"/>
    <col min="343" max="343" width="15.5703125" bestFit="1" customWidth="1"/>
    <col min="344" max="344" width="9" customWidth="1"/>
    <col min="345" max="345" width="11.5703125" bestFit="1" customWidth="1"/>
    <col min="347" max="347" width="8" customWidth="1"/>
    <col min="348" max="348" width="9.28515625" bestFit="1" customWidth="1"/>
    <col min="349" max="349" width="8.5703125" customWidth="1"/>
    <col min="350" max="350" width="8" customWidth="1"/>
    <col min="351" max="351" width="11" bestFit="1" customWidth="1"/>
    <col min="352" max="352" width="9.5703125" bestFit="1" customWidth="1"/>
    <col min="353" max="353" width="14.140625" bestFit="1" customWidth="1"/>
    <col min="354" max="354" width="6" customWidth="1"/>
    <col min="355" max="355" width="10.85546875" bestFit="1" customWidth="1"/>
    <col min="356" max="356" width="10" bestFit="1" customWidth="1"/>
    <col min="357" max="358" width="11" bestFit="1" customWidth="1"/>
    <col min="359" max="359" width="15" bestFit="1" customWidth="1"/>
    <col min="360" max="360" width="8.140625" customWidth="1"/>
    <col min="361" max="362" width="10.5703125" bestFit="1" customWidth="1"/>
    <col min="363" max="363" width="10.140625" bestFit="1" customWidth="1"/>
    <col min="364" max="364" width="11.85546875" bestFit="1" customWidth="1"/>
    <col min="365" max="365" width="11.28515625" bestFit="1" customWidth="1"/>
    <col min="366" max="366" width="10.7109375" bestFit="1" customWidth="1"/>
    <col min="367" max="367" width="10.42578125" bestFit="1" customWidth="1"/>
    <col min="368" max="368" width="8.85546875" customWidth="1"/>
    <col min="369" max="369" width="11.5703125" bestFit="1" customWidth="1"/>
    <col min="370" max="370" width="10" bestFit="1" customWidth="1"/>
    <col min="371" max="371" width="9" customWidth="1"/>
    <col min="372" max="372" width="12.42578125" bestFit="1" customWidth="1"/>
    <col min="373" max="373" width="14.85546875" bestFit="1" customWidth="1"/>
    <col min="374" max="374" width="9" customWidth="1"/>
    <col min="375" max="375" width="8.5703125" customWidth="1"/>
    <col min="376" max="376" width="11" bestFit="1" customWidth="1"/>
    <col min="377" max="377" width="7.140625" customWidth="1"/>
    <col min="378" max="378" width="12.5703125" bestFit="1" customWidth="1"/>
    <col min="379" max="379" width="10" bestFit="1" customWidth="1"/>
    <col min="380" max="381" width="8.85546875" customWidth="1"/>
    <col min="382" max="382" width="11" bestFit="1" customWidth="1"/>
    <col min="383" max="383" width="10" bestFit="1" customWidth="1"/>
    <col min="384" max="384" width="9" customWidth="1"/>
    <col min="385" max="385" width="11.42578125" bestFit="1" customWidth="1"/>
    <col min="386" max="387" width="8.28515625" customWidth="1"/>
    <col min="388" max="388" width="15.5703125" bestFit="1" customWidth="1"/>
    <col min="389" max="390" width="8" customWidth="1"/>
    <col min="391" max="392" width="10" bestFit="1" customWidth="1"/>
    <col min="393" max="393" width="12.140625" bestFit="1" customWidth="1"/>
    <col min="394" max="394" width="12.7109375" bestFit="1" customWidth="1"/>
    <col min="395" max="395" width="10" bestFit="1" customWidth="1"/>
    <col min="396" max="397" width="9" customWidth="1"/>
    <col min="398" max="398" width="10.140625" bestFit="1" customWidth="1"/>
    <col min="399" max="399" width="11.85546875" bestFit="1" customWidth="1"/>
    <col min="400" max="400" width="11.5703125" bestFit="1" customWidth="1"/>
    <col min="401" max="401" width="10.140625" bestFit="1" customWidth="1"/>
    <col min="402" max="402" width="10" bestFit="1" customWidth="1"/>
    <col min="404" max="404" width="16.42578125" bestFit="1" customWidth="1"/>
    <col min="405" max="405" width="9.5703125" bestFit="1" customWidth="1"/>
    <col min="406" max="406" width="10.7109375" bestFit="1" customWidth="1"/>
    <col min="407" max="407" width="10.42578125" bestFit="1" customWidth="1"/>
    <col min="408" max="408" width="10.28515625" bestFit="1" customWidth="1"/>
    <col min="409" max="409" width="8" customWidth="1"/>
    <col min="410" max="410" width="9.7109375" bestFit="1" customWidth="1"/>
    <col min="411" max="411" width="8.140625" customWidth="1"/>
    <col min="412" max="412" width="10" bestFit="1" customWidth="1"/>
    <col min="413" max="413" width="11.5703125" bestFit="1" customWidth="1"/>
    <col min="414" max="414" width="12.140625" bestFit="1" customWidth="1"/>
    <col min="415" max="416" width="12.7109375" bestFit="1" customWidth="1"/>
    <col min="417" max="417" width="8.140625" customWidth="1"/>
    <col min="418" max="418" width="11.28515625" bestFit="1" customWidth="1"/>
    <col min="419" max="419" width="11.5703125" bestFit="1" customWidth="1"/>
    <col min="420" max="420" width="11.140625" bestFit="1" customWidth="1"/>
    <col min="421" max="421" width="10.28515625" bestFit="1" customWidth="1"/>
    <col min="422" max="422" width="10.42578125" bestFit="1" customWidth="1"/>
    <col min="423" max="423" width="10.140625" bestFit="1" customWidth="1"/>
    <col min="424" max="424" width="11.5703125" bestFit="1" customWidth="1"/>
    <col min="425" max="425" width="11.42578125" bestFit="1" customWidth="1"/>
    <col min="426" max="426" width="11" bestFit="1" customWidth="1"/>
    <col min="427" max="427" width="10.7109375" bestFit="1" customWidth="1"/>
    <col min="428" max="428" width="11.5703125" bestFit="1" customWidth="1"/>
    <col min="429" max="429" width="8" customWidth="1"/>
    <col min="430" max="430" width="10" bestFit="1" customWidth="1"/>
    <col min="431" max="431" width="10.28515625" bestFit="1" customWidth="1"/>
    <col min="432" max="432" width="8" customWidth="1"/>
    <col min="433" max="433" width="16.42578125" bestFit="1" customWidth="1"/>
    <col min="434" max="434" width="11.140625" bestFit="1" customWidth="1"/>
    <col min="435" max="435" width="11.5703125" bestFit="1" customWidth="1"/>
    <col min="436" max="436" width="11.28515625" bestFit="1" customWidth="1"/>
    <col min="438" max="438" width="10.140625" bestFit="1" customWidth="1"/>
    <col min="440" max="440" width="8.42578125" customWidth="1"/>
    <col min="441" max="441" width="12.7109375" bestFit="1" customWidth="1"/>
    <col min="442" max="442" width="7.5703125" customWidth="1"/>
    <col min="443" max="443" width="14.140625" bestFit="1" customWidth="1"/>
    <col min="444" max="444" width="9.5703125" bestFit="1" customWidth="1"/>
    <col min="445" max="445" width="10.140625" bestFit="1" customWidth="1"/>
    <col min="446" max="446" width="10" bestFit="1" customWidth="1"/>
    <col min="447" max="447" width="12.42578125" bestFit="1" customWidth="1"/>
    <col min="448" max="448" width="8.42578125" customWidth="1"/>
    <col min="449" max="449" width="11.28515625" bestFit="1" customWidth="1"/>
    <col min="450" max="450" width="9" customWidth="1"/>
    <col min="451" max="451" width="10.85546875" bestFit="1" customWidth="1"/>
    <col min="452" max="452" width="7" customWidth="1"/>
    <col min="453" max="453" width="10.85546875" bestFit="1" customWidth="1"/>
    <col min="454" max="454" width="9" customWidth="1"/>
    <col min="455" max="455" width="8" customWidth="1"/>
    <col min="456" max="456" width="11.140625" bestFit="1" customWidth="1"/>
    <col min="457" max="457" width="10.7109375" bestFit="1" customWidth="1"/>
    <col min="458" max="458" width="14.7109375" bestFit="1" customWidth="1"/>
    <col min="459" max="459" width="10.28515625" bestFit="1" customWidth="1"/>
    <col min="460" max="460" width="9" customWidth="1"/>
    <col min="461" max="462" width="8" customWidth="1"/>
    <col min="463" max="463" width="9.42578125" bestFit="1" customWidth="1"/>
    <col min="464" max="464" width="10.140625" bestFit="1" customWidth="1"/>
    <col min="465" max="465" width="8.85546875" customWidth="1"/>
    <col min="466" max="466" width="13.28515625" bestFit="1" customWidth="1"/>
    <col min="467" max="468" width="15.5703125" bestFit="1" customWidth="1"/>
    <col min="469" max="469" width="11" bestFit="1" customWidth="1"/>
    <col min="470" max="470" width="17.42578125" bestFit="1" customWidth="1"/>
    <col min="471" max="471" width="11" bestFit="1" customWidth="1"/>
    <col min="472" max="472" width="7" customWidth="1"/>
    <col min="473" max="473" width="8" customWidth="1"/>
    <col min="474" max="474" width="9" customWidth="1"/>
    <col min="475" max="475" width="11" bestFit="1" customWidth="1"/>
    <col min="476" max="476" width="7.42578125" customWidth="1"/>
    <col min="477" max="478" width="9" customWidth="1"/>
    <col min="479" max="479" width="10.5703125" bestFit="1" customWidth="1"/>
    <col min="480" max="480" width="11.28515625" bestFit="1" customWidth="1"/>
    <col min="481" max="481" width="8" customWidth="1"/>
    <col min="482" max="482" width="10.42578125" bestFit="1" customWidth="1"/>
    <col min="483" max="483" width="10" bestFit="1" customWidth="1"/>
    <col min="484" max="484" width="10.28515625" bestFit="1" customWidth="1"/>
    <col min="485" max="485" width="9.7109375" bestFit="1" customWidth="1"/>
    <col min="486" max="486" width="11" bestFit="1" customWidth="1"/>
    <col min="487" max="488" width="9" customWidth="1"/>
    <col min="489" max="489" width="13.7109375" bestFit="1" customWidth="1"/>
    <col min="490" max="491" width="11" bestFit="1" customWidth="1"/>
    <col min="492" max="492" width="16.85546875" bestFit="1" customWidth="1"/>
    <col min="493" max="494" width="10" bestFit="1" customWidth="1"/>
    <col min="495" max="495" width="11" bestFit="1" customWidth="1"/>
    <col min="496" max="496" width="14" bestFit="1" customWidth="1"/>
    <col min="497" max="497" width="10.85546875" bestFit="1" customWidth="1"/>
    <col min="498" max="498" width="11.85546875" bestFit="1" customWidth="1"/>
    <col min="499" max="499" width="10.42578125" bestFit="1" customWidth="1"/>
    <col min="500" max="500" width="7.140625" customWidth="1"/>
    <col min="501" max="501" width="18.85546875" bestFit="1" customWidth="1"/>
    <col min="503" max="503" width="7.7109375" customWidth="1"/>
    <col min="504" max="504" width="8" customWidth="1"/>
    <col min="505" max="505" width="9" customWidth="1"/>
    <col min="506" max="506" width="8" customWidth="1"/>
    <col min="507" max="507" width="9" customWidth="1"/>
    <col min="508" max="508" width="7" customWidth="1"/>
    <col min="509" max="509" width="11" bestFit="1" customWidth="1"/>
    <col min="510" max="510" width="11.5703125" bestFit="1" customWidth="1"/>
    <col min="511" max="511" width="11" bestFit="1" customWidth="1"/>
    <col min="512" max="512" width="9.7109375" bestFit="1" customWidth="1"/>
    <col min="513" max="514" width="13.28515625" bestFit="1" customWidth="1"/>
    <col min="515" max="515" width="10.42578125" bestFit="1" customWidth="1"/>
    <col min="516" max="516" width="12.140625" bestFit="1" customWidth="1"/>
    <col min="517" max="517" width="7" customWidth="1"/>
    <col min="518" max="518" width="10.140625" bestFit="1" customWidth="1"/>
    <col min="519" max="520" width="8" customWidth="1"/>
    <col min="521" max="521" width="10.5703125" bestFit="1" customWidth="1"/>
    <col min="522" max="522" width="9.5703125" bestFit="1" customWidth="1"/>
    <col min="523" max="523" width="10.7109375" bestFit="1" customWidth="1"/>
    <col min="524" max="524" width="10.85546875" bestFit="1" customWidth="1"/>
    <col min="525" max="525" width="10" bestFit="1" customWidth="1"/>
    <col min="526" max="526" width="9" customWidth="1"/>
    <col min="527" max="527" width="7" customWidth="1"/>
    <col min="528" max="529" width="9" customWidth="1"/>
    <col min="530" max="530" width="7.7109375" customWidth="1"/>
    <col min="531" max="532" width="10" bestFit="1" customWidth="1"/>
    <col min="533" max="533" width="10.140625" bestFit="1" customWidth="1"/>
    <col min="534" max="534" width="10.7109375" bestFit="1" customWidth="1"/>
    <col min="535" max="535" width="8.5703125" customWidth="1"/>
    <col min="536" max="536" width="7" customWidth="1"/>
    <col min="537" max="537" width="10.140625" bestFit="1" customWidth="1"/>
    <col min="538" max="538" width="9.28515625" bestFit="1" customWidth="1"/>
    <col min="539" max="539" width="10" bestFit="1" customWidth="1"/>
    <col min="540" max="540" width="14.7109375" bestFit="1" customWidth="1"/>
    <col min="541" max="541" width="14" bestFit="1" customWidth="1"/>
    <col min="542" max="542" width="10" bestFit="1" customWidth="1"/>
    <col min="543" max="543" width="9.42578125" bestFit="1" customWidth="1"/>
    <col min="544" max="544" width="8.7109375" customWidth="1"/>
    <col min="545" max="546" width="10" bestFit="1" customWidth="1"/>
    <col min="547" max="547" width="11" bestFit="1" customWidth="1"/>
    <col min="548" max="548" width="12.7109375" bestFit="1" customWidth="1"/>
    <col min="549" max="549" width="11" bestFit="1" customWidth="1"/>
    <col min="550" max="550" width="8.28515625" customWidth="1"/>
    <col min="551" max="551" width="10" bestFit="1" customWidth="1"/>
    <col min="552" max="552" width="9" customWidth="1"/>
    <col min="553" max="553" width="8.140625" customWidth="1"/>
    <col min="554" max="555" width="10" bestFit="1" customWidth="1"/>
    <col min="556" max="556" width="11" bestFit="1" customWidth="1"/>
    <col min="557" max="557" width="9" customWidth="1"/>
    <col min="558" max="558" width="11" bestFit="1" customWidth="1"/>
    <col min="559" max="559" width="11.42578125" bestFit="1" customWidth="1"/>
    <col min="560" max="560" width="13.5703125" bestFit="1" customWidth="1"/>
    <col min="561" max="561" width="12" bestFit="1" customWidth="1"/>
    <col min="562" max="562" width="12.5703125" bestFit="1" customWidth="1"/>
    <col min="563" max="563" width="11" bestFit="1" customWidth="1"/>
    <col min="564" max="564" width="15.28515625" bestFit="1" customWidth="1"/>
    <col min="565" max="565" width="12.140625" bestFit="1" customWidth="1"/>
    <col min="566" max="566" width="12.5703125" bestFit="1" customWidth="1"/>
    <col min="567" max="567" width="11.140625" bestFit="1" customWidth="1"/>
    <col min="568" max="568" width="10" bestFit="1" customWidth="1"/>
    <col min="569" max="569" width="9" customWidth="1"/>
    <col min="570" max="570" width="11" bestFit="1" customWidth="1"/>
    <col min="571" max="571" width="10" bestFit="1" customWidth="1"/>
    <col min="572" max="572" width="12.28515625" bestFit="1" customWidth="1"/>
    <col min="573" max="573" width="10" bestFit="1" customWidth="1"/>
    <col min="574" max="574" width="8" customWidth="1"/>
    <col min="575" max="575" width="7" customWidth="1"/>
    <col min="576" max="576" width="10" bestFit="1" customWidth="1"/>
    <col min="577" max="577" width="9.42578125" bestFit="1" customWidth="1"/>
    <col min="578" max="578" width="8" customWidth="1"/>
    <col min="579" max="579" width="10.42578125" bestFit="1" customWidth="1"/>
    <col min="580" max="581" width="9.42578125" bestFit="1" customWidth="1"/>
    <col min="582" max="582" width="8" customWidth="1"/>
    <col min="583" max="583" width="9" customWidth="1"/>
    <col min="584" max="584" width="11.140625" bestFit="1" customWidth="1"/>
    <col min="585" max="585" width="12.5703125" bestFit="1" customWidth="1"/>
    <col min="586" max="586" width="10" bestFit="1" customWidth="1"/>
    <col min="587" max="587" width="9" customWidth="1"/>
    <col min="588" max="588" width="12.28515625" bestFit="1" customWidth="1"/>
    <col min="589" max="589" width="11" bestFit="1" customWidth="1"/>
    <col min="590" max="590" width="12.140625" bestFit="1" customWidth="1"/>
    <col min="591" max="591" width="12.85546875" bestFit="1" customWidth="1"/>
    <col min="592" max="592" width="10" bestFit="1" customWidth="1"/>
    <col min="593" max="593" width="11" bestFit="1" customWidth="1"/>
    <col min="594" max="594" width="9.85546875" bestFit="1" customWidth="1"/>
    <col min="595" max="595" width="11" bestFit="1" customWidth="1"/>
    <col min="596" max="596" width="9.85546875" bestFit="1" customWidth="1"/>
    <col min="597" max="597" width="9.7109375" bestFit="1" customWidth="1"/>
    <col min="598" max="598" width="10" bestFit="1" customWidth="1"/>
    <col min="599" max="599" width="8" customWidth="1"/>
    <col min="600" max="600" width="7.28515625" customWidth="1"/>
    <col min="601" max="601" width="11.5703125" bestFit="1" customWidth="1"/>
    <col min="602" max="602" width="7" customWidth="1"/>
    <col min="603" max="603" width="11.5703125" bestFit="1" customWidth="1"/>
    <col min="604" max="604" width="11.42578125" bestFit="1" customWidth="1"/>
    <col min="605" max="605" width="10.140625" bestFit="1" customWidth="1"/>
    <col min="606" max="606" width="10" bestFit="1" customWidth="1"/>
    <col min="607" max="607" width="8" customWidth="1"/>
    <col min="608" max="608" width="9" customWidth="1"/>
    <col min="609" max="609" width="8" customWidth="1"/>
    <col min="610" max="610" width="8.7109375" customWidth="1"/>
    <col min="611" max="611" width="12.28515625" bestFit="1" customWidth="1"/>
    <col min="612" max="612" width="10.85546875" bestFit="1" customWidth="1"/>
    <col min="613" max="613" width="11.5703125" bestFit="1" customWidth="1"/>
    <col min="614" max="614" width="12.85546875" bestFit="1" customWidth="1"/>
    <col min="615" max="615" width="9.42578125" bestFit="1" customWidth="1"/>
    <col min="616" max="616" width="9" customWidth="1"/>
    <col min="617" max="617" width="8.85546875" customWidth="1"/>
    <col min="618" max="618" width="9.5703125" bestFit="1" customWidth="1"/>
    <col min="619" max="619" width="10" bestFit="1" customWidth="1"/>
    <col min="620" max="620" width="11" bestFit="1" customWidth="1"/>
    <col min="621" max="622" width="10" bestFit="1" customWidth="1"/>
    <col min="623" max="623" width="6.42578125" customWidth="1"/>
    <col min="624" max="624" width="10.42578125" bestFit="1" customWidth="1"/>
    <col min="625" max="625" width="9.7109375" bestFit="1" customWidth="1"/>
    <col min="626" max="626" width="10.140625" bestFit="1" customWidth="1"/>
    <col min="627" max="627" width="10" bestFit="1" customWidth="1"/>
    <col min="628" max="628" width="16" bestFit="1" customWidth="1"/>
    <col min="629" max="629" width="8" customWidth="1"/>
    <col min="630" max="630" width="9" customWidth="1"/>
    <col min="631" max="632" width="11" bestFit="1" customWidth="1"/>
    <col min="633" max="633" width="10" bestFit="1" customWidth="1"/>
    <col min="634" max="634" width="8.7109375" customWidth="1"/>
    <col min="635" max="636" width="12.5703125" bestFit="1" customWidth="1"/>
    <col min="637" max="637" width="11.7109375" bestFit="1" customWidth="1"/>
    <col min="638" max="638" width="8.7109375" customWidth="1"/>
    <col min="639" max="639" width="8" customWidth="1"/>
    <col min="640" max="640" width="8.28515625" customWidth="1"/>
    <col min="641" max="641" width="13.42578125" bestFit="1" customWidth="1"/>
    <col min="642" max="642" width="10.7109375" bestFit="1" customWidth="1"/>
    <col min="643" max="643" width="9" customWidth="1"/>
    <col min="644" max="644" width="16.7109375" bestFit="1" customWidth="1"/>
    <col min="645" max="645" width="10.28515625" bestFit="1" customWidth="1"/>
    <col min="646" max="646" width="9.42578125" bestFit="1" customWidth="1"/>
    <col min="647" max="647" width="10" bestFit="1" customWidth="1"/>
    <col min="648" max="648" width="11" bestFit="1" customWidth="1"/>
    <col min="649" max="649" width="9.5703125" bestFit="1" customWidth="1"/>
    <col min="650" max="650" width="8.42578125" customWidth="1"/>
    <col min="651" max="651" width="8.140625" customWidth="1"/>
    <col min="652" max="652" width="11.7109375" bestFit="1" customWidth="1"/>
    <col min="653" max="653" width="12.140625" bestFit="1" customWidth="1"/>
    <col min="654" max="654" width="14.42578125" bestFit="1" customWidth="1"/>
    <col min="655" max="655" width="9" customWidth="1"/>
    <col min="656" max="656" width="7.85546875" customWidth="1"/>
    <col min="657" max="657" width="11" bestFit="1" customWidth="1"/>
    <col min="658" max="658" width="12.7109375" bestFit="1" customWidth="1"/>
    <col min="659" max="659" width="9.42578125" bestFit="1" customWidth="1"/>
    <col min="660" max="660" width="11.140625" bestFit="1" customWidth="1"/>
    <col min="661" max="661" width="8" customWidth="1"/>
    <col min="663" max="663" width="11" bestFit="1" customWidth="1"/>
    <col min="664" max="664" width="10.5703125" bestFit="1" customWidth="1"/>
    <col min="665" max="665" width="13.28515625" bestFit="1" customWidth="1"/>
    <col min="666" max="666" width="10" bestFit="1" customWidth="1"/>
    <col min="667" max="667" width="9.5703125" bestFit="1" customWidth="1"/>
    <col min="668" max="668" width="8.7109375" customWidth="1"/>
    <col min="669" max="669" width="8" customWidth="1"/>
    <col min="670" max="670" width="13.140625" bestFit="1" customWidth="1"/>
    <col min="671" max="671" width="12.42578125" bestFit="1" customWidth="1"/>
    <col min="672" max="672" width="12" bestFit="1" customWidth="1"/>
    <col min="673" max="673" width="9" customWidth="1"/>
    <col min="674" max="674" width="8.28515625" customWidth="1"/>
    <col min="675" max="675" width="12.7109375" bestFit="1" customWidth="1"/>
    <col min="676" max="676" width="7.7109375" customWidth="1"/>
    <col min="677" max="677" width="8.42578125" customWidth="1"/>
    <col min="678" max="678" width="7" customWidth="1"/>
    <col min="679" max="679" width="11" bestFit="1" customWidth="1"/>
    <col min="680" max="680" width="13.7109375" bestFit="1" customWidth="1"/>
    <col min="681" max="681" width="12.140625" bestFit="1" customWidth="1"/>
    <col min="682" max="682" width="11.85546875" bestFit="1" customWidth="1"/>
    <col min="683" max="683" width="16.85546875" bestFit="1" customWidth="1"/>
    <col min="684" max="684" width="7" customWidth="1"/>
    <col min="685" max="685" width="10" bestFit="1" customWidth="1"/>
    <col min="686" max="687" width="11" bestFit="1" customWidth="1"/>
    <col min="688" max="688" width="13.28515625" bestFit="1" customWidth="1"/>
    <col min="689" max="689" width="12.5703125" bestFit="1" customWidth="1"/>
    <col min="690" max="690" width="11" bestFit="1" customWidth="1"/>
    <col min="691" max="691" width="9" customWidth="1"/>
    <col min="692" max="692" width="8.140625" customWidth="1"/>
    <col min="693" max="693" width="12" bestFit="1" customWidth="1"/>
    <col min="694" max="694" width="9.5703125" bestFit="1" customWidth="1"/>
    <col min="695" max="695" width="11.5703125" bestFit="1" customWidth="1"/>
    <col min="696" max="696" width="12.5703125" bestFit="1" customWidth="1"/>
    <col min="697" max="697" width="10" bestFit="1" customWidth="1"/>
    <col min="698" max="698" width="11.7109375" bestFit="1" customWidth="1"/>
    <col min="699" max="699" width="10.28515625" bestFit="1" customWidth="1"/>
    <col min="700" max="700" width="14.28515625" bestFit="1" customWidth="1"/>
    <col min="701" max="701" width="11.28515625" bestFit="1" customWidth="1"/>
    <col min="702" max="702" width="12.42578125" bestFit="1" customWidth="1"/>
    <col min="703" max="703" width="11.42578125" bestFit="1" customWidth="1"/>
    <col min="704" max="704" width="11" bestFit="1" customWidth="1"/>
    <col min="705" max="706" width="15.140625" bestFit="1" customWidth="1"/>
    <col min="707" max="707" width="15.28515625" bestFit="1" customWidth="1"/>
    <col min="708" max="708" width="14.140625" bestFit="1" customWidth="1"/>
    <col min="709" max="709" width="14.85546875" bestFit="1" customWidth="1"/>
    <col min="710" max="710" width="10.85546875" bestFit="1" customWidth="1"/>
    <col min="711" max="711" width="10" bestFit="1" customWidth="1"/>
    <col min="712" max="712" width="13.5703125" bestFit="1" customWidth="1"/>
    <col min="713" max="713" width="10" bestFit="1" customWidth="1"/>
    <col min="714" max="714" width="8.85546875" customWidth="1"/>
    <col min="715" max="715" width="10.28515625" bestFit="1" customWidth="1"/>
    <col min="717" max="718" width="10.28515625" bestFit="1" customWidth="1"/>
    <col min="719" max="719" width="8.7109375" customWidth="1"/>
    <col min="720" max="720" width="12.7109375" bestFit="1" customWidth="1"/>
    <col min="721" max="721" width="10" bestFit="1" customWidth="1"/>
    <col min="722" max="722" width="10.28515625" bestFit="1" customWidth="1"/>
    <col min="723" max="723" width="7.5703125" customWidth="1"/>
    <col min="724" max="724" width="9.28515625" bestFit="1" customWidth="1"/>
    <col min="725" max="725" width="10.28515625" bestFit="1" customWidth="1"/>
    <col min="726" max="726" width="9.7109375" bestFit="1" customWidth="1"/>
    <col min="727" max="727" width="8" customWidth="1"/>
    <col min="728" max="728" width="11.7109375" bestFit="1" customWidth="1"/>
    <col min="729" max="729" width="12.7109375" bestFit="1" customWidth="1"/>
    <col min="730" max="730" width="10.85546875" bestFit="1" customWidth="1"/>
    <col min="731" max="731" width="9.7109375" bestFit="1" customWidth="1"/>
    <col min="732" max="732" width="11.42578125" bestFit="1" customWidth="1"/>
    <col min="733" max="733" width="14.7109375" bestFit="1" customWidth="1"/>
    <col min="734" max="734" width="9" customWidth="1"/>
    <col min="735" max="735" width="10.7109375" bestFit="1" customWidth="1"/>
    <col min="736" max="736" width="12.140625" bestFit="1" customWidth="1"/>
    <col min="737" max="737" width="12.28515625" bestFit="1" customWidth="1"/>
    <col min="738" max="738" width="12.42578125" bestFit="1" customWidth="1"/>
    <col min="739" max="739" width="13.42578125" bestFit="1" customWidth="1"/>
    <col min="740" max="740" width="18.140625" bestFit="1" customWidth="1"/>
    <col min="741" max="741" width="10" bestFit="1" customWidth="1"/>
    <col min="742" max="742" width="10.85546875" bestFit="1" customWidth="1"/>
    <col min="743" max="743" width="8.42578125" customWidth="1"/>
    <col min="744" max="744" width="9" customWidth="1"/>
    <col min="745" max="745" width="12.140625" bestFit="1" customWidth="1"/>
    <col min="746" max="746" width="12.42578125" bestFit="1" customWidth="1"/>
    <col min="747" max="747" width="11.140625" bestFit="1" customWidth="1"/>
    <col min="748" max="748" width="8" customWidth="1"/>
    <col min="749" max="749" width="9" customWidth="1"/>
    <col min="750" max="750" width="11" bestFit="1" customWidth="1"/>
    <col min="751" max="751" width="15" bestFit="1" customWidth="1"/>
    <col min="752" max="752" width="13.85546875" bestFit="1" customWidth="1"/>
    <col min="753" max="753" width="12.85546875" bestFit="1" customWidth="1"/>
    <col min="754" max="754" width="16" bestFit="1" customWidth="1"/>
    <col min="755" max="755" width="15.140625" bestFit="1" customWidth="1"/>
    <col min="756" max="756" width="15.85546875" bestFit="1" customWidth="1"/>
    <col min="757" max="757" width="12.28515625" bestFit="1" customWidth="1"/>
    <col min="758" max="758" width="18.28515625" bestFit="1" customWidth="1"/>
    <col min="759" max="759" width="14.28515625" bestFit="1" customWidth="1"/>
    <col min="760" max="760" width="15.85546875" bestFit="1" customWidth="1"/>
    <col min="761" max="761" width="15.28515625" bestFit="1" customWidth="1"/>
    <col min="762" max="762" width="11.85546875" bestFit="1" customWidth="1"/>
    <col min="763" max="763" width="10.28515625" bestFit="1" customWidth="1"/>
    <col min="764" max="764" width="15.5703125" bestFit="1" customWidth="1"/>
    <col min="765" max="765" width="14.5703125" bestFit="1" customWidth="1"/>
    <col min="766" max="766" width="16.85546875" bestFit="1" customWidth="1"/>
    <col min="767" max="767" width="13.140625" bestFit="1" customWidth="1"/>
    <col min="768" max="768" width="11.28515625" bestFit="1" customWidth="1"/>
    <col min="769" max="769" width="11.140625" bestFit="1" customWidth="1"/>
    <col min="770" max="770" width="9.85546875" bestFit="1" customWidth="1"/>
    <col min="771" max="771" width="7.28515625" customWidth="1"/>
    <col min="772" max="772" width="10" bestFit="1" customWidth="1"/>
    <col min="773" max="773" width="8" customWidth="1"/>
    <col min="774" max="774" width="7" customWidth="1"/>
    <col min="775" max="775" width="10" bestFit="1" customWidth="1"/>
    <col min="776" max="776" width="10.42578125" bestFit="1" customWidth="1"/>
    <col min="777" max="777" width="9.42578125" bestFit="1" customWidth="1"/>
    <col min="778" max="778" width="10" bestFit="1" customWidth="1"/>
    <col min="779" max="779" width="9.85546875" bestFit="1" customWidth="1"/>
    <col min="780" max="781" width="8.28515625" customWidth="1"/>
    <col min="782" max="782" width="12.5703125" bestFit="1" customWidth="1"/>
    <col min="783" max="783" width="8" customWidth="1"/>
    <col min="784" max="784" width="8.28515625" customWidth="1"/>
    <col min="785" max="785" width="10.28515625" bestFit="1" customWidth="1"/>
    <col min="786" max="786" width="8" customWidth="1"/>
    <col min="787" max="787" width="8.85546875" customWidth="1"/>
    <col min="788" max="788" width="8" customWidth="1"/>
    <col min="789" max="789" width="7" customWidth="1"/>
    <col min="790" max="790" width="9" customWidth="1"/>
    <col min="791" max="791" width="10.28515625" bestFit="1" customWidth="1"/>
    <col min="792" max="792" width="12.140625" bestFit="1" customWidth="1"/>
    <col min="793" max="793" width="9" customWidth="1"/>
    <col min="794" max="794" width="10" bestFit="1" customWidth="1"/>
    <col min="795" max="795" width="11" bestFit="1" customWidth="1"/>
    <col min="796" max="796" width="8" customWidth="1"/>
    <col min="797" max="798" width="9" customWidth="1"/>
    <col min="799" max="799" width="11.42578125" bestFit="1" customWidth="1"/>
    <col min="800" max="800" width="8" customWidth="1"/>
    <col min="801" max="801" width="11.28515625" bestFit="1" customWidth="1"/>
    <col min="802" max="802" width="9" customWidth="1"/>
    <col min="803" max="803" width="14.140625" bestFit="1" customWidth="1"/>
    <col min="804" max="804" width="10.28515625" bestFit="1" customWidth="1"/>
    <col min="805" max="805" width="8.5703125" customWidth="1"/>
    <col min="806" max="807" width="9" customWidth="1"/>
    <col min="808" max="808" width="9.28515625" bestFit="1" customWidth="1"/>
    <col min="809" max="809" width="13.5703125" bestFit="1" customWidth="1"/>
    <col min="810" max="811" width="10" bestFit="1" customWidth="1"/>
    <col min="812" max="812" width="10.140625" bestFit="1" customWidth="1"/>
    <col min="813" max="813" width="11.28515625" bestFit="1" customWidth="1"/>
    <col min="814" max="814" width="8" customWidth="1"/>
    <col min="815" max="815" width="9" customWidth="1"/>
    <col min="816" max="816" width="7.42578125" customWidth="1"/>
    <col min="817" max="818" width="8" customWidth="1"/>
    <col min="819" max="819" width="10" bestFit="1" customWidth="1"/>
    <col min="820" max="820" width="9" customWidth="1"/>
    <col min="821" max="821" width="8.28515625" customWidth="1"/>
    <col min="822" max="822" width="13.7109375" bestFit="1" customWidth="1"/>
    <col min="823" max="823" width="9" customWidth="1"/>
    <col min="824" max="824" width="19.28515625" bestFit="1" customWidth="1"/>
    <col min="825" max="825" width="10.7109375" bestFit="1" customWidth="1"/>
    <col min="826" max="826" width="11.85546875" bestFit="1" customWidth="1"/>
    <col min="827" max="827" width="12.28515625" bestFit="1" customWidth="1"/>
    <col min="828" max="828" width="7.28515625" customWidth="1"/>
    <col min="829" max="829" width="9" customWidth="1"/>
    <col min="830" max="830" width="11.85546875" bestFit="1" customWidth="1"/>
    <col min="831" max="831" width="8.85546875" customWidth="1"/>
    <col min="832" max="832" width="8.5703125" customWidth="1"/>
    <col min="833" max="833" width="9.85546875" bestFit="1" customWidth="1"/>
    <col min="834" max="834" width="10" bestFit="1" customWidth="1"/>
    <col min="835" max="835" width="10.28515625" bestFit="1" customWidth="1"/>
    <col min="836" max="836" width="8" customWidth="1"/>
    <col min="837" max="837" width="11.5703125" bestFit="1" customWidth="1"/>
    <col min="838" max="838" width="8.7109375" customWidth="1"/>
    <col min="839" max="839" width="11" bestFit="1" customWidth="1"/>
    <col min="840" max="840" width="10.7109375" bestFit="1" customWidth="1"/>
    <col min="841" max="841" width="10" bestFit="1" customWidth="1"/>
    <col min="842" max="842" width="7.28515625" customWidth="1"/>
    <col min="843" max="843" width="8.85546875" customWidth="1"/>
    <col min="844" max="844" width="14" bestFit="1" customWidth="1"/>
    <col min="845" max="846" width="8" customWidth="1"/>
    <col min="847" max="847" width="15.5703125" bestFit="1" customWidth="1"/>
    <col min="848" max="848" width="10.28515625" bestFit="1" customWidth="1"/>
    <col min="849" max="849" width="10" bestFit="1" customWidth="1"/>
    <col min="850" max="850" width="11.85546875" bestFit="1" customWidth="1"/>
    <col min="851" max="851" width="9.85546875" bestFit="1" customWidth="1"/>
    <col min="852" max="852" width="9" customWidth="1"/>
    <col min="853" max="853" width="9.7109375" bestFit="1" customWidth="1"/>
    <col min="854" max="854" width="11" bestFit="1" customWidth="1"/>
    <col min="855" max="855" width="9.42578125" bestFit="1" customWidth="1"/>
    <col min="856" max="856" width="10.7109375" bestFit="1" customWidth="1"/>
    <col min="857" max="857" width="11.28515625" bestFit="1" customWidth="1"/>
    <col min="858" max="858" width="9" customWidth="1"/>
    <col min="859" max="859" width="11" bestFit="1" customWidth="1"/>
    <col min="860" max="860" width="12.140625" bestFit="1" customWidth="1"/>
    <col min="861" max="861" width="11.5703125" bestFit="1" customWidth="1"/>
    <col min="862" max="862" width="8.28515625" customWidth="1"/>
    <col min="863" max="863" width="10.7109375" bestFit="1" customWidth="1"/>
    <col min="864" max="864" width="9.5703125" bestFit="1" customWidth="1"/>
    <col min="865" max="865" width="9.7109375" bestFit="1" customWidth="1"/>
    <col min="866" max="866" width="9" customWidth="1"/>
    <col min="867" max="867" width="10.140625" bestFit="1" customWidth="1"/>
    <col min="868" max="868" width="9.5703125" bestFit="1" customWidth="1"/>
    <col min="869" max="869" width="9.7109375" bestFit="1" customWidth="1"/>
    <col min="870" max="870" width="8" customWidth="1"/>
    <col min="871" max="871" width="9.42578125" bestFit="1" customWidth="1"/>
    <col min="872" max="872" width="14.5703125" bestFit="1" customWidth="1"/>
    <col min="873" max="873" width="18.7109375" bestFit="1" customWidth="1"/>
    <col min="874" max="874" width="10" bestFit="1" customWidth="1"/>
    <col min="875" max="875" width="9.28515625" bestFit="1" customWidth="1"/>
    <col min="876" max="876" width="10" bestFit="1" customWidth="1"/>
    <col min="877" max="877" width="9" customWidth="1"/>
    <col min="878" max="878" width="15.28515625" bestFit="1" customWidth="1"/>
    <col min="879" max="879" width="10.140625" bestFit="1" customWidth="1"/>
    <col min="880" max="880" width="18" bestFit="1" customWidth="1"/>
    <col min="881" max="881" width="11" bestFit="1" customWidth="1"/>
    <col min="882" max="882" width="10.85546875" bestFit="1" customWidth="1"/>
    <col min="883" max="883" width="13.5703125" bestFit="1" customWidth="1"/>
    <col min="884" max="884" width="12" bestFit="1" customWidth="1"/>
    <col min="885" max="885" width="10.5703125" bestFit="1" customWidth="1"/>
    <col min="886" max="886" width="14.7109375" bestFit="1" customWidth="1"/>
    <col min="887" max="888" width="10" bestFit="1" customWidth="1"/>
    <col min="889" max="889" width="11.42578125" bestFit="1" customWidth="1"/>
    <col min="890" max="890" width="11" bestFit="1" customWidth="1"/>
    <col min="891" max="891" width="8.7109375" customWidth="1"/>
    <col min="892" max="892" width="13.5703125" bestFit="1" customWidth="1"/>
    <col min="893" max="893" width="8.28515625" customWidth="1"/>
    <col min="894" max="894" width="14.42578125" bestFit="1" customWidth="1"/>
    <col min="895" max="895" width="10" bestFit="1" customWidth="1"/>
    <col min="896" max="897" width="11" bestFit="1" customWidth="1"/>
    <col min="898" max="898" width="10" bestFit="1" customWidth="1"/>
    <col min="899" max="899" width="12.42578125" bestFit="1" customWidth="1"/>
    <col min="900" max="903" width="10" bestFit="1" customWidth="1"/>
    <col min="904" max="904" width="7.28515625" customWidth="1"/>
    <col min="905" max="905" width="7.85546875" customWidth="1"/>
    <col min="906" max="906" width="10" bestFit="1" customWidth="1"/>
    <col min="907" max="907" width="18.28515625" bestFit="1" customWidth="1"/>
    <col min="908" max="908" width="13.140625" bestFit="1" customWidth="1"/>
    <col min="909" max="910" width="11" bestFit="1" customWidth="1"/>
    <col min="911" max="911" width="9" customWidth="1"/>
    <col min="912" max="913" width="10" bestFit="1" customWidth="1"/>
    <col min="914" max="914" width="8.140625" customWidth="1"/>
    <col min="916" max="916" width="10" bestFit="1" customWidth="1"/>
    <col min="917" max="917" width="14.85546875" bestFit="1" customWidth="1"/>
    <col min="918" max="918" width="13.42578125" bestFit="1" customWidth="1"/>
    <col min="919" max="919" width="12.7109375" bestFit="1" customWidth="1"/>
    <col min="920" max="920" width="8" customWidth="1"/>
    <col min="921" max="921" width="9" customWidth="1"/>
    <col min="922" max="922" width="8" customWidth="1"/>
    <col min="923" max="923" width="8.28515625" customWidth="1"/>
    <col min="924" max="924" width="13.28515625" bestFit="1" customWidth="1"/>
    <col min="925" max="925" width="10.7109375" bestFit="1" customWidth="1"/>
    <col min="926" max="926" width="9" customWidth="1"/>
    <col min="927" max="927" width="10" bestFit="1" customWidth="1"/>
    <col min="928" max="928" width="11" bestFit="1" customWidth="1"/>
    <col min="929" max="929" width="9.28515625" bestFit="1" customWidth="1"/>
    <col min="930" max="930" width="12.85546875" bestFit="1" customWidth="1"/>
    <col min="931" max="931" width="8.7109375" customWidth="1"/>
    <col min="932" max="932" width="10" bestFit="1" customWidth="1"/>
    <col min="933" max="933" width="14.28515625" bestFit="1" customWidth="1"/>
    <col min="934" max="934" width="8.5703125" customWidth="1"/>
    <col min="935" max="935" width="10.85546875" bestFit="1" customWidth="1"/>
    <col min="936" max="936" width="12" bestFit="1" customWidth="1"/>
    <col min="937" max="937" width="10" bestFit="1" customWidth="1"/>
    <col min="938" max="938" width="9" customWidth="1"/>
    <col min="939" max="939" width="8" customWidth="1"/>
    <col min="940" max="940" width="12.5703125" bestFit="1" customWidth="1"/>
    <col min="941" max="941" width="8" customWidth="1"/>
    <col min="942" max="942" width="9" customWidth="1"/>
    <col min="943" max="943" width="11.140625" bestFit="1" customWidth="1"/>
    <col min="944" max="944" width="9.85546875" bestFit="1" customWidth="1"/>
    <col min="945" max="945" width="8.7109375" customWidth="1"/>
    <col min="946" max="946" width="8" customWidth="1"/>
    <col min="947" max="947" width="10.42578125" bestFit="1" customWidth="1"/>
    <col min="948" max="948" width="11" bestFit="1" customWidth="1"/>
    <col min="949" max="949" width="10" bestFit="1" customWidth="1"/>
    <col min="950" max="950" width="10.42578125" bestFit="1" customWidth="1"/>
    <col min="951" max="951" width="11.28515625" bestFit="1" customWidth="1"/>
    <col min="952" max="953" width="8" customWidth="1"/>
    <col min="954" max="954" width="9.7109375" bestFit="1" customWidth="1"/>
    <col min="955" max="955" width="16.5703125" bestFit="1" customWidth="1"/>
    <col min="956" max="956" width="11.140625" bestFit="1" customWidth="1"/>
    <col min="957" max="957" width="10.7109375" bestFit="1" customWidth="1"/>
    <col min="958" max="958" width="8" customWidth="1"/>
    <col min="959" max="959" width="11" bestFit="1" customWidth="1"/>
    <col min="960" max="960" width="11.42578125" bestFit="1" customWidth="1"/>
    <col min="961" max="961" width="8.28515625" customWidth="1"/>
    <col min="962" max="962" width="12.42578125" bestFit="1" customWidth="1"/>
    <col min="963" max="963" width="11" bestFit="1" customWidth="1"/>
    <col min="964" max="964" width="10.42578125" bestFit="1" customWidth="1"/>
    <col min="965" max="965" width="14.85546875" bestFit="1" customWidth="1"/>
    <col min="966" max="966" width="9.7109375" bestFit="1" customWidth="1"/>
    <col min="967" max="967" width="11.5703125" bestFit="1" customWidth="1"/>
    <col min="968" max="968" width="15.7109375" bestFit="1" customWidth="1"/>
    <col min="969" max="969" width="10" bestFit="1" customWidth="1"/>
    <col min="970" max="970" width="8" customWidth="1"/>
    <col min="971" max="971" width="9" customWidth="1"/>
    <col min="972" max="972" width="12.5703125" bestFit="1" customWidth="1"/>
    <col min="973" max="973" width="10.85546875" bestFit="1" customWidth="1"/>
    <col min="974" max="974" width="11.7109375" bestFit="1" customWidth="1"/>
    <col min="975" max="975" width="10" bestFit="1" customWidth="1"/>
    <col min="976" max="976" width="13.42578125" bestFit="1" customWidth="1"/>
    <col min="977" max="977" width="12.7109375" bestFit="1" customWidth="1"/>
    <col min="978" max="978" width="11.140625" bestFit="1" customWidth="1"/>
    <col min="979" max="979" width="8.42578125" customWidth="1"/>
    <col min="980" max="980" width="9" customWidth="1"/>
    <col min="981" max="981" width="14.85546875" bestFit="1" customWidth="1"/>
    <col min="982" max="982" width="11" bestFit="1" customWidth="1"/>
    <col min="983" max="983" width="9.28515625" bestFit="1" customWidth="1"/>
    <col min="984" max="984" width="13.28515625" bestFit="1" customWidth="1"/>
    <col min="985" max="985" width="11" bestFit="1" customWidth="1"/>
    <col min="986" max="986" width="9.7109375" bestFit="1" customWidth="1"/>
    <col min="987" max="987" width="10.7109375" bestFit="1" customWidth="1"/>
    <col min="988" max="988" width="8.42578125" customWidth="1"/>
    <col min="989" max="989" width="11.42578125" bestFit="1" customWidth="1"/>
    <col min="990" max="990" width="12.85546875" bestFit="1" customWidth="1"/>
    <col min="991" max="992" width="9" customWidth="1"/>
    <col min="993" max="993" width="7.140625" customWidth="1"/>
    <col min="994" max="994" width="17.42578125" bestFit="1" customWidth="1"/>
    <col min="995" max="995" width="8" customWidth="1"/>
    <col min="996" max="996" width="9.42578125" bestFit="1" customWidth="1"/>
    <col min="997" max="997" width="9.7109375" bestFit="1" customWidth="1"/>
    <col min="998" max="998" width="9.28515625" bestFit="1" customWidth="1"/>
    <col min="999" max="999" width="12.140625" bestFit="1" customWidth="1"/>
    <col min="1000" max="1000" width="11.5703125" bestFit="1" customWidth="1"/>
    <col min="1001" max="1001" width="12.42578125" bestFit="1" customWidth="1"/>
    <col min="1002" max="1002" width="10.140625" bestFit="1" customWidth="1"/>
    <col min="1003" max="1003" width="8.7109375" customWidth="1"/>
    <col min="1004" max="1004" width="11" bestFit="1" customWidth="1"/>
    <col min="1005" max="1005" width="7" customWidth="1"/>
    <col min="1006" max="1006" width="8" customWidth="1"/>
    <col min="1007" max="1007" width="9" customWidth="1"/>
    <col min="1008" max="1008" width="12.42578125" bestFit="1" customWidth="1"/>
    <col min="1009" max="1009" width="11" bestFit="1" customWidth="1"/>
    <col min="1010" max="1010" width="14.28515625" bestFit="1" customWidth="1"/>
    <col min="1011" max="1011" width="9.7109375" bestFit="1" customWidth="1"/>
    <col min="1012" max="1012" width="7.140625" customWidth="1"/>
    <col min="1014" max="1014" width="10.7109375" bestFit="1" customWidth="1"/>
    <col min="1015" max="1015" width="7" customWidth="1"/>
    <col min="1016" max="1016" width="8" customWidth="1"/>
    <col min="1017" max="1017" width="10" bestFit="1" customWidth="1"/>
    <col min="1018" max="1018" width="9" customWidth="1"/>
    <col min="1019" max="1019" width="10.42578125" bestFit="1" customWidth="1"/>
    <col min="1020" max="1020" width="10.85546875" bestFit="1" customWidth="1"/>
    <col min="1021" max="1021" width="11.42578125" bestFit="1" customWidth="1"/>
    <col min="1022" max="1022" width="11" bestFit="1" customWidth="1"/>
    <col min="1023" max="1023" width="12" bestFit="1" customWidth="1"/>
    <col min="1024" max="1024" width="9.7109375" bestFit="1" customWidth="1"/>
    <col min="1025" max="1025" width="10.28515625" bestFit="1" customWidth="1"/>
    <col min="1026" max="1026" width="10" bestFit="1" customWidth="1"/>
    <col min="1027" max="1027" width="10.28515625" bestFit="1" customWidth="1"/>
    <col min="1028" max="1028" width="10.7109375" bestFit="1" customWidth="1"/>
    <col min="1029" max="1029" width="11" bestFit="1" customWidth="1"/>
    <col min="1030" max="1030" width="9.42578125" bestFit="1" customWidth="1"/>
    <col min="1031" max="1031" width="10.5703125" bestFit="1" customWidth="1"/>
    <col min="1032" max="1032" width="11.140625" bestFit="1" customWidth="1"/>
    <col min="1033" max="1033" width="12.7109375" bestFit="1" customWidth="1"/>
    <col min="1034" max="1034" width="16" bestFit="1" customWidth="1"/>
    <col min="1035" max="1035" width="13.140625" bestFit="1" customWidth="1"/>
    <col min="1036" max="1036" width="15.28515625" bestFit="1" customWidth="1"/>
    <col min="1037" max="1037" width="14.28515625" bestFit="1" customWidth="1"/>
    <col min="1038" max="1038" width="14.7109375" bestFit="1" customWidth="1"/>
    <col min="1039" max="1039" width="11.85546875" bestFit="1" customWidth="1"/>
    <col min="1040" max="1040" width="10.140625" bestFit="1" customWidth="1"/>
    <col min="1041" max="1041" width="10.28515625" bestFit="1" customWidth="1"/>
    <col min="1042" max="1042" width="11" bestFit="1" customWidth="1"/>
    <col min="1043" max="1043" width="9.85546875" bestFit="1" customWidth="1"/>
    <col min="1044" max="1044" width="12.140625" bestFit="1" customWidth="1"/>
    <col min="1045" max="1045" width="10" bestFit="1" customWidth="1"/>
    <col min="1046" max="1046" width="11.7109375" bestFit="1" customWidth="1"/>
    <col min="1047" max="1047" width="9" customWidth="1"/>
    <col min="1048" max="1048" width="10" bestFit="1" customWidth="1"/>
    <col min="1049" max="1049" width="11" bestFit="1" customWidth="1"/>
    <col min="1050" max="1050" width="10.42578125" bestFit="1" customWidth="1"/>
    <col min="1051" max="1051" width="10.7109375" bestFit="1" customWidth="1"/>
    <col min="1052" max="1052" width="10.42578125" bestFit="1" customWidth="1"/>
    <col min="1054" max="1054" width="12.7109375" bestFit="1" customWidth="1"/>
    <col min="1055" max="1055" width="10.5703125" bestFit="1" customWidth="1"/>
    <col min="1056" max="1056" width="15.140625" bestFit="1" customWidth="1"/>
    <col min="1057" max="1057" width="12.28515625" bestFit="1" customWidth="1"/>
    <col min="1058" max="1058" width="13.28515625" bestFit="1" customWidth="1"/>
    <col min="1059" max="1059" width="9" customWidth="1"/>
    <col min="1060" max="1060" width="10.140625" bestFit="1" customWidth="1"/>
    <col min="1061" max="1061" width="9" customWidth="1"/>
    <col min="1062" max="1062" width="8.85546875" customWidth="1"/>
    <col min="1063" max="1063" width="12.28515625" bestFit="1" customWidth="1"/>
    <col min="1064" max="1064" width="11.42578125" bestFit="1" customWidth="1"/>
    <col min="1065" max="1065" width="8.28515625" customWidth="1"/>
    <col min="1066" max="1066" width="14.85546875" bestFit="1" customWidth="1"/>
    <col min="1067" max="1067" width="8" customWidth="1"/>
    <col min="1068" max="1068" width="8.140625" customWidth="1"/>
    <col min="1069" max="1069" width="10.5703125" bestFit="1" customWidth="1"/>
    <col min="1070" max="1070" width="10.140625" bestFit="1" customWidth="1"/>
    <col min="1071" max="1071" width="10" bestFit="1" customWidth="1"/>
    <col min="1072" max="1072" width="9" customWidth="1"/>
    <col min="1073" max="1073" width="8.28515625" customWidth="1"/>
    <col min="1074" max="1075" width="8.7109375" customWidth="1"/>
    <col min="1076" max="1076" width="8" customWidth="1"/>
    <col min="1077" max="1077" width="9.42578125" bestFit="1" customWidth="1"/>
    <col min="1078" max="1078" width="11.28515625" bestFit="1" customWidth="1"/>
    <col min="1079" max="1079" width="8.28515625" customWidth="1"/>
    <col min="1080" max="1080" width="8" customWidth="1"/>
    <col min="1081" max="1081" width="8.28515625" customWidth="1"/>
    <col min="1082" max="1083" width="8" customWidth="1"/>
    <col min="1084" max="1085" width="11" bestFit="1" customWidth="1"/>
    <col min="1086" max="1086" width="11.42578125" bestFit="1" customWidth="1"/>
    <col min="1087" max="1087" width="10.5703125" bestFit="1" customWidth="1"/>
    <col min="1088" max="1088" width="10" bestFit="1" customWidth="1"/>
    <col min="1089" max="1089" width="9.85546875" bestFit="1" customWidth="1"/>
    <col min="1090" max="1090" width="10.85546875" bestFit="1" customWidth="1"/>
    <col min="1091" max="1091" width="15" bestFit="1" customWidth="1"/>
    <col min="1093" max="1093" width="14.42578125" bestFit="1" customWidth="1"/>
    <col min="1094" max="1094" width="9" customWidth="1"/>
    <col min="1095" max="1095" width="10.7109375" bestFit="1" customWidth="1"/>
    <col min="1096" max="1096" width="11.140625" bestFit="1" customWidth="1"/>
    <col min="1097" max="1097" width="10" bestFit="1" customWidth="1"/>
    <col min="1098" max="1098" width="8.42578125" customWidth="1"/>
    <col min="1099" max="1099" width="11.140625" bestFit="1" customWidth="1"/>
    <col min="1100" max="1100" width="11" bestFit="1" customWidth="1"/>
    <col min="1101" max="1101" width="8" customWidth="1"/>
    <col min="1102" max="1102" width="8.7109375" customWidth="1"/>
    <col min="1103" max="1103" width="10.28515625" bestFit="1" customWidth="1"/>
    <col min="1104" max="1104" width="10.140625" bestFit="1" customWidth="1"/>
    <col min="1105" max="1105" width="9" customWidth="1"/>
    <col min="1106" max="1107" width="10" bestFit="1" customWidth="1"/>
    <col min="1108" max="1108" width="11" bestFit="1" customWidth="1"/>
    <col min="1109" max="1109" width="9" customWidth="1"/>
    <col min="1110" max="1110" width="8.140625" customWidth="1"/>
    <col min="1111" max="1111" width="11" bestFit="1" customWidth="1"/>
    <col min="1112" max="1112" width="9" customWidth="1"/>
    <col min="1113" max="1113" width="10.5703125" bestFit="1" customWidth="1"/>
    <col min="1114" max="1114" width="17.5703125" bestFit="1" customWidth="1"/>
    <col min="1115" max="1115" width="9.7109375" bestFit="1" customWidth="1"/>
    <col min="1116" max="1116" width="9" customWidth="1"/>
    <col min="1117" max="1117" width="13.5703125" bestFit="1" customWidth="1"/>
    <col min="1118" max="1118" width="7" customWidth="1"/>
    <col min="1119" max="1119" width="10.28515625" bestFit="1" customWidth="1"/>
    <col min="1120" max="1120" width="14.140625" bestFit="1" customWidth="1"/>
    <col min="1121" max="1121" width="15.42578125" bestFit="1" customWidth="1"/>
    <col min="1122" max="1122" width="16" bestFit="1" customWidth="1"/>
    <col min="1123" max="1123" width="8" customWidth="1"/>
    <col min="1124" max="1124" width="10.28515625" bestFit="1" customWidth="1"/>
    <col min="1125" max="1125" width="9" customWidth="1"/>
    <col min="1126" max="1126" width="11" bestFit="1" customWidth="1"/>
    <col min="1127" max="1127" width="13.42578125" bestFit="1" customWidth="1"/>
    <col min="1128" max="1128" width="10.28515625" bestFit="1" customWidth="1"/>
    <col min="1129" max="1129" width="10.140625" bestFit="1" customWidth="1"/>
    <col min="1130" max="1130" width="10.42578125" bestFit="1" customWidth="1"/>
    <col min="1131" max="1131" width="11.85546875" bestFit="1" customWidth="1"/>
    <col min="1132" max="1132" width="12.85546875" bestFit="1" customWidth="1"/>
    <col min="1133" max="1133" width="9.5703125" bestFit="1" customWidth="1"/>
    <col min="1134" max="1134" width="9" customWidth="1"/>
    <col min="1135" max="1135" width="11" bestFit="1" customWidth="1"/>
    <col min="1136" max="1136" width="13.7109375" bestFit="1" customWidth="1"/>
    <col min="1137" max="1137" width="7" customWidth="1"/>
    <col min="1138" max="1138" width="12.140625" bestFit="1" customWidth="1"/>
    <col min="1139" max="1139" width="10.28515625" bestFit="1" customWidth="1"/>
    <col min="1140" max="1140" width="10" bestFit="1" customWidth="1"/>
    <col min="1141" max="1141" width="8" customWidth="1"/>
    <col min="1142" max="1142" width="11.7109375" bestFit="1" customWidth="1"/>
    <col min="1143" max="1143" width="8.5703125" customWidth="1"/>
    <col min="1144" max="1144" width="14.28515625" bestFit="1" customWidth="1"/>
    <col min="1145" max="1145" width="9" customWidth="1"/>
    <col min="1146" max="1146" width="8.7109375" customWidth="1"/>
    <col min="1147" max="1147" width="8.85546875" customWidth="1"/>
    <col min="1148" max="1148" width="10.5703125" bestFit="1" customWidth="1"/>
    <col min="1149" max="1149" width="10.28515625" bestFit="1" customWidth="1"/>
    <col min="1150" max="1150" width="10" bestFit="1" customWidth="1"/>
    <col min="1151" max="1151" width="11.140625" bestFit="1" customWidth="1"/>
    <col min="1152" max="1153" width="10.42578125" bestFit="1" customWidth="1"/>
    <col min="1154" max="1154" width="10.28515625" bestFit="1" customWidth="1"/>
    <col min="1155" max="1155" width="8.140625" customWidth="1"/>
    <col min="1156" max="1156" width="11.42578125" bestFit="1" customWidth="1"/>
    <col min="1157" max="1157" width="11.85546875" bestFit="1" customWidth="1"/>
    <col min="1158" max="1158" width="8" customWidth="1"/>
    <col min="1159" max="1159" width="12.28515625" bestFit="1" customWidth="1"/>
    <col min="1160" max="1160" width="12.5703125" bestFit="1" customWidth="1"/>
    <col min="1161" max="1161" width="8.7109375" customWidth="1"/>
    <col min="1162" max="1162" width="15.5703125" bestFit="1" customWidth="1"/>
    <col min="1163" max="1163" width="10" bestFit="1" customWidth="1"/>
    <col min="1164" max="1164" width="10.7109375" bestFit="1" customWidth="1"/>
    <col min="1165" max="1165" width="10" bestFit="1" customWidth="1"/>
    <col min="1166" max="1166" width="13.42578125" bestFit="1" customWidth="1"/>
    <col min="1167" max="1167" width="13.140625" bestFit="1" customWidth="1"/>
    <col min="1168" max="1168" width="16.7109375" bestFit="1" customWidth="1"/>
    <col min="1169" max="1169" width="15.85546875" bestFit="1" customWidth="1"/>
    <col min="1170" max="1170" width="9.85546875" bestFit="1" customWidth="1"/>
    <col min="1171" max="1171" width="14.5703125" bestFit="1" customWidth="1"/>
    <col min="1172" max="1172" width="11" bestFit="1" customWidth="1"/>
    <col min="1173" max="1173" width="12.28515625" bestFit="1" customWidth="1"/>
    <col min="1174" max="1174" width="12.85546875" bestFit="1" customWidth="1"/>
    <col min="1175" max="1175" width="16.42578125" bestFit="1" customWidth="1"/>
    <col min="1176" max="1176" width="17.42578125" bestFit="1" customWidth="1"/>
    <col min="1177" max="1177" width="12.42578125" bestFit="1" customWidth="1"/>
    <col min="1178" max="1178" width="16" bestFit="1" customWidth="1"/>
    <col min="1179" max="1179" width="15.7109375" bestFit="1" customWidth="1"/>
    <col min="1180" max="1180" width="13.28515625" bestFit="1" customWidth="1"/>
    <col min="1181" max="1181" width="11" bestFit="1" customWidth="1"/>
    <col min="1183" max="1183" width="11.42578125" bestFit="1" customWidth="1"/>
    <col min="1184" max="1184" width="9.85546875" bestFit="1" customWidth="1"/>
    <col min="1185" max="1185" width="9.42578125" bestFit="1" customWidth="1"/>
    <col min="1186" max="1186" width="9.5703125" bestFit="1" customWidth="1"/>
    <col min="1187" max="1187" width="12.42578125" bestFit="1" customWidth="1"/>
    <col min="1188" max="1188" width="9.28515625" bestFit="1" customWidth="1"/>
    <col min="1189" max="1189" width="9.7109375" bestFit="1" customWidth="1"/>
    <col min="1190" max="1190" width="12.28515625" bestFit="1" customWidth="1"/>
    <col min="1191" max="1191" width="9.85546875" bestFit="1" customWidth="1"/>
    <col min="1192" max="1192" width="8.5703125" customWidth="1"/>
    <col min="1193" max="1193" width="8" customWidth="1"/>
    <col min="1194" max="1194" width="12.28515625" bestFit="1" customWidth="1"/>
    <col min="1195" max="1195" width="10.85546875" bestFit="1" customWidth="1"/>
    <col min="1196" max="1196" width="12.28515625" bestFit="1" customWidth="1"/>
    <col min="1197" max="1197" width="11.7109375" bestFit="1" customWidth="1"/>
    <col min="1198" max="1198" width="11.5703125" bestFit="1" customWidth="1"/>
    <col min="1199" max="1199" width="11.28515625" bestFit="1" customWidth="1"/>
    <col min="1200" max="1200" width="9.5703125" bestFit="1" customWidth="1"/>
    <col min="1201" max="1201" width="11.5703125" bestFit="1" customWidth="1"/>
    <col min="1202" max="1202" width="10" bestFit="1" customWidth="1"/>
    <col min="1203" max="1203" width="11.28515625" bestFit="1" customWidth="1"/>
    <col min="1204" max="1204" width="14.42578125" bestFit="1" customWidth="1"/>
    <col min="1205" max="1205" width="13.42578125" bestFit="1" customWidth="1"/>
    <col min="1206" max="1206" width="11.5703125" bestFit="1" customWidth="1"/>
    <col min="1207" max="1207" width="14.28515625" bestFit="1" customWidth="1"/>
    <col min="1208" max="1208" width="12.140625" bestFit="1" customWidth="1"/>
    <col min="1209" max="1209" width="10.5703125" bestFit="1" customWidth="1"/>
    <col min="1210" max="1210" width="10.42578125" bestFit="1" customWidth="1"/>
    <col min="1211" max="1211" width="10.28515625" bestFit="1" customWidth="1"/>
    <col min="1212" max="1212" width="11.140625" bestFit="1" customWidth="1"/>
    <col min="1213" max="1214" width="11" bestFit="1" customWidth="1"/>
    <col min="1215" max="1215" width="12.140625" bestFit="1" customWidth="1"/>
    <col min="1216" max="1216" width="8.7109375" customWidth="1"/>
    <col min="1217" max="1217" width="10.28515625" bestFit="1" customWidth="1"/>
    <col min="1218" max="1218" width="8.42578125" customWidth="1"/>
    <col min="1219" max="1219" width="10" bestFit="1" customWidth="1"/>
    <col min="1220" max="1220" width="9.5703125" bestFit="1" customWidth="1"/>
    <col min="1221" max="1221" width="9" customWidth="1"/>
    <col min="1222" max="1222" width="8" customWidth="1"/>
    <col min="1223" max="1223" width="10" bestFit="1" customWidth="1"/>
    <col min="1224" max="1224" width="8" customWidth="1"/>
    <col min="1225" max="1225" width="12" bestFit="1" customWidth="1"/>
    <col min="1226" max="1226" width="9.28515625" bestFit="1" customWidth="1"/>
    <col min="1227" max="1227" width="7.85546875" customWidth="1"/>
    <col min="1228" max="1228" width="12" bestFit="1" customWidth="1"/>
  </cols>
  <sheetData>
    <row r="1" spans="1:14" x14ac:dyDescent="0.2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</row>
    <row r="3" spans="1:14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</row>
    <row r="4" spans="1:14" x14ac:dyDescent="0.2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spans="1:14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spans="1:14" x14ac:dyDescent="0.25">
      <c r="A6" s="10"/>
      <c r="B6" s="10" t="s">
        <v>1320</v>
      </c>
      <c r="C6" s="10" t="s">
        <v>1323</v>
      </c>
      <c r="D6" s="16" t="s">
        <v>1324</v>
      </c>
      <c r="E6" s="10"/>
      <c r="F6" s="10"/>
      <c r="G6" s="10" t="str">
        <f>B6</f>
        <v>Row Labels</v>
      </c>
      <c r="H6" s="10" t="str">
        <f t="shared" ref="H6:I6" si="0">C6</f>
        <v>Total Sales</v>
      </c>
      <c r="I6" s="10" t="str">
        <f t="shared" si="0"/>
        <v>% Sales</v>
      </c>
      <c r="J6" s="10"/>
      <c r="K6" s="10"/>
      <c r="L6" s="10"/>
      <c r="M6" s="10"/>
      <c r="N6" s="10"/>
    </row>
    <row r="7" spans="1:14" x14ac:dyDescent="0.25">
      <c r="A7" s="10"/>
      <c r="B7" s="11" t="s">
        <v>6</v>
      </c>
      <c r="C7" s="12">
        <v>2926872.6240000026</v>
      </c>
      <c r="D7" s="13">
        <f>GETPIVOTDATA("Sales",$B$6,"Region","Central")/GETPIVOTDATA("Sales",$B$6)</f>
        <v>0.32182811820730389</v>
      </c>
      <c r="E7" s="10"/>
      <c r="F7" s="10"/>
      <c r="G7" s="10" t="str">
        <f t="shared" ref="G7:G10" si="1">B7</f>
        <v>Central</v>
      </c>
      <c r="H7" s="10">
        <f t="shared" ref="H7:H10" si="2">C7</f>
        <v>2926872.6240000026</v>
      </c>
      <c r="I7" s="10">
        <f t="shared" ref="I7:I10" si="3">D7</f>
        <v>0.32182811820730389</v>
      </c>
      <c r="J7" s="10"/>
      <c r="K7" s="10"/>
      <c r="L7" s="10"/>
      <c r="M7" s="10"/>
      <c r="N7" s="10"/>
    </row>
    <row r="8" spans="1:14" x14ac:dyDescent="0.25">
      <c r="A8" s="10"/>
      <c r="B8" s="11" t="s">
        <v>1</v>
      </c>
      <c r="C8" s="12">
        <v>2016317.4625000034</v>
      </c>
      <c r="D8" s="13">
        <f>GETPIVOTDATA("Sales",$B$6,"Region","East")/GETPIVOTDATA("Sales",$B$6)</f>
        <v>0.22170683115621009</v>
      </c>
      <c r="E8" s="10"/>
      <c r="F8" s="10"/>
      <c r="G8" s="10" t="str">
        <f t="shared" si="1"/>
        <v>East</v>
      </c>
      <c r="H8" s="10">
        <f t="shared" si="2"/>
        <v>2016317.4625000034</v>
      </c>
      <c r="I8" s="10">
        <f t="shared" si="3"/>
        <v>0.22170683115621009</v>
      </c>
      <c r="J8" s="10"/>
      <c r="K8" s="10"/>
      <c r="L8" s="10"/>
      <c r="M8" s="10"/>
      <c r="N8" s="10"/>
    </row>
    <row r="9" spans="1:14" x14ac:dyDescent="0.25">
      <c r="A9" s="10"/>
      <c r="B9" s="11" t="s">
        <v>3</v>
      </c>
      <c r="C9" s="12">
        <v>1918528.427499997</v>
      </c>
      <c r="D9" s="13">
        <f>GETPIVOTDATA("Sales",$B$6,"Region","South")/GETPIVOTDATA("Sales",$B$6)</f>
        <v>0.21095430955438169</v>
      </c>
      <c r="E9" s="10"/>
      <c r="F9" s="10"/>
      <c r="G9" s="10" t="str">
        <f t="shared" si="1"/>
        <v>South</v>
      </c>
      <c r="H9" s="10">
        <f t="shared" si="2"/>
        <v>1918528.427499997</v>
      </c>
      <c r="I9" s="10">
        <f t="shared" si="3"/>
        <v>0.21095430955438169</v>
      </c>
      <c r="J9" s="10"/>
      <c r="K9" s="10"/>
      <c r="L9" s="10"/>
      <c r="M9" s="10"/>
      <c r="N9" s="10"/>
    </row>
    <row r="10" spans="1:14" x14ac:dyDescent="0.25">
      <c r="A10" s="10"/>
      <c r="B10" s="11" t="s">
        <v>2</v>
      </c>
      <c r="C10" s="12">
        <v>2232802.6244999981</v>
      </c>
      <c r="D10" s="13">
        <f>GETPIVOTDATA("Sales",$B$6,"Region","West")/GETPIVOTDATA("Sales",$B$6)</f>
        <v>0.24551074108210427</v>
      </c>
      <c r="E10" s="10"/>
      <c r="F10" s="10"/>
      <c r="G10" s="10" t="str">
        <f t="shared" si="1"/>
        <v>West</v>
      </c>
      <c r="H10" s="10">
        <f t="shared" si="2"/>
        <v>2232802.6244999981</v>
      </c>
      <c r="I10" s="10">
        <f t="shared" si="3"/>
        <v>0.24551074108210427</v>
      </c>
      <c r="J10" s="10"/>
      <c r="K10" s="10"/>
      <c r="L10" s="10"/>
      <c r="M10" s="10"/>
      <c r="N10" s="10"/>
    </row>
    <row r="11" spans="1:14" x14ac:dyDescent="0.25">
      <c r="A11" s="10"/>
      <c r="B11" s="11" t="s">
        <v>1321</v>
      </c>
      <c r="C11" s="12">
        <v>9094521.1385000013</v>
      </c>
      <c r="D11" s="15">
        <f>SUM(D7:D10)</f>
        <v>0.99999999999999989</v>
      </c>
      <c r="E11" s="10"/>
      <c r="F11" s="10"/>
      <c r="G11" s="10"/>
      <c r="H11" s="10"/>
      <c r="I11" s="10"/>
      <c r="J11" s="10"/>
      <c r="K11" s="10"/>
      <c r="L11" s="10"/>
      <c r="M11" s="10"/>
      <c r="N11" s="10"/>
    </row>
    <row r="12" spans="1:14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1:14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</row>
    <row r="14" spans="1:14" x14ac:dyDescent="0.25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</row>
    <row r="15" spans="1:14" x14ac:dyDescent="0.25">
      <c r="A15" s="10"/>
      <c r="B15" s="1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  <row r="16" spans="1:14" x14ac:dyDescent="0.25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spans="1:14" x14ac:dyDescent="0.25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</row>
    <row r="18" spans="1:14" ht="15.75" x14ac:dyDescent="0.3">
      <c r="A18" s="17">
        <v>4</v>
      </c>
      <c r="B18" s="18" t="str">
        <f>INDEX(B7:B10,MATCH(MAX(D7:D10),D7:D10,0)) &amp;" Region stores are contributing maximum sales (" &amp;ROUND(MAX(D7:D10)*100,2)&amp;"%) "</f>
        <v xml:space="preserve">Central Region stores are contributing maximum sales (32.18%) 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</row>
    <row r="19" spans="1:14" x14ac:dyDescent="0.2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</row>
    <row r="20" spans="1:14" x14ac:dyDescent="0.2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</row>
  </sheetData>
  <conditionalFormatting sqref="B7:B10">
    <cfRule type="dataBar" priority="3">
      <dataBar>
        <cfvo type="min"/>
        <cfvo type="max"/>
        <color rgb="FF63C384"/>
      </dataBar>
    </cfRule>
  </conditionalFormatting>
  <conditionalFormatting sqref="B7:C10">
    <cfRule type="dataBar" priority="2">
      <dataBar>
        <cfvo type="min"/>
        <cfvo type="max"/>
        <color rgb="FF63C384"/>
      </dataBar>
    </cfRule>
  </conditionalFormatting>
  <conditionalFormatting sqref="D7:D10">
    <cfRule type="iconSet" priority="1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A1:N25"/>
  <sheetViews>
    <sheetView workbookViewId="0">
      <selection activeCell="E31" sqref="E31"/>
    </sheetView>
  </sheetViews>
  <sheetFormatPr defaultRowHeight="15" x14ac:dyDescent="0.25"/>
  <cols>
    <col min="1" max="1" width="8.7109375" customWidth="1"/>
    <col min="2" max="2" width="14.5703125" customWidth="1"/>
    <col min="3" max="3" width="12" customWidth="1"/>
    <col min="5" max="5" width="5.7109375" customWidth="1"/>
    <col min="6" max="6" width="26.7109375" bestFit="1" customWidth="1"/>
    <col min="7" max="7" width="12" bestFit="1" customWidth="1"/>
    <col min="8" max="14" width="11.5703125" customWidth="1"/>
    <col min="15" max="15" width="9" customWidth="1"/>
    <col min="16" max="16" width="17.5703125" bestFit="1" customWidth="1"/>
    <col min="17" max="18" width="8" customWidth="1"/>
    <col min="19" max="19" width="8.5703125" customWidth="1"/>
    <col min="20" max="20" width="13.85546875" bestFit="1" customWidth="1"/>
    <col min="21" max="21" width="9" customWidth="1"/>
    <col min="22" max="22" width="9.85546875" customWidth="1"/>
    <col min="23" max="23" width="9" customWidth="1"/>
    <col min="24" max="24" width="9.5703125" customWidth="1"/>
    <col min="25" max="25" width="8.5703125" customWidth="1"/>
    <col min="26" max="26" width="8" customWidth="1"/>
    <col min="27" max="27" width="10" customWidth="1"/>
    <col min="28" max="28" width="10.5703125" customWidth="1"/>
    <col min="29" max="29" width="7.85546875" customWidth="1"/>
    <col min="30" max="31" width="9" customWidth="1"/>
    <col min="32" max="32" width="12.28515625" customWidth="1"/>
    <col min="33" max="33" width="9.28515625" customWidth="1"/>
    <col min="34" max="34" width="10" bestFit="1" customWidth="1"/>
    <col min="35" max="35" width="16.5703125" bestFit="1" customWidth="1"/>
    <col min="36" max="36" width="9" customWidth="1"/>
    <col min="37" max="37" width="11.42578125" customWidth="1"/>
    <col min="38" max="38" width="8.140625" customWidth="1"/>
    <col min="39" max="39" width="10" customWidth="1"/>
    <col min="40" max="40" width="10.85546875" customWidth="1"/>
    <col min="41" max="42" width="9" customWidth="1"/>
    <col min="43" max="43" width="11.7109375" bestFit="1" customWidth="1"/>
    <col min="44" max="44" width="9.5703125" customWidth="1"/>
    <col min="45" max="45" width="11" customWidth="1"/>
    <col min="46" max="46" width="8.140625" customWidth="1"/>
    <col min="47" max="47" width="11" customWidth="1"/>
    <col min="48" max="48" width="10" bestFit="1" customWidth="1"/>
    <col min="49" max="49" width="8" customWidth="1"/>
    <col min="50" max="50" width="9.42578125" bestFit="1" customWidth="1"/>
    <col min="51" max="51" width="11" bestFit="1" customWidth="1"/>
    <col min="52" max="52" width="9" customWidth="1"/>
    <col min="53" max="53" width="9.7109375" bestFit="1" customWidth="1"/>
    <col min="54" max="54" width="10" bestFit="1" customWidth="1"/>
    <col min="55" max="55" width="10.28515625" bestFit="1" customWidth="1"/>
    <col min="56" max="56" width="11" bestFit="1" customWidth="1"/>
    <col min="57" max="57" width="8" customWidth="1"/>
    <col min="58" max="58" width="12.140625" bestFit="1" customWidth="1"/>
    <col min="59" max="59" width="9" customWidth="1"/>
    <col min="60" max="61" width="8.7109375" customWidth="1"/>
    <col min="62" max="62" width="12" bestFit="1" customWidth="1"/>
    <col min="63" max="63" width="10.140625" bestFit="1" customWidth="1"/>
    <col min="64" max="64" width="8" customWidth="1"/>
    <col min="65" max="65" width="8.140625" customWidth="1"/>
    <col min="66" max="66" width="12.28515625" bestFit="1" customWidth="1"/>
    <col min="67" max="67" width="11.28515625" bestFit="1" customWidth="1"/>
    <col min="68" max="68" width="9.42578125" bestFit="1" customWidth="1"/>
    <col min="69" max="69" width="9" customWidth="1"/>
    <col min="70" max="70" width="11" bestFit="1" customWidth="1"/>
    <col min="71" max="71" width="9" customWidth="1"/>
    <col min="72" max="72" width="10" bestFit="1" customWidth="1"/>
    <col min="73" max="73" width="8" customWidth="1"/>
    <col min="74" max="74" width="11.28515625" bestFit="1" customWidth="1"/>
    <col min="75" max="75" width="7.42578125" customWidth="1"/>
    <col min="76" max="76" width="11.28515625" bestFit="1" customWidth="1"/>
    <col min="77" max="77" width="9" customWidth="1"/>
    <col min="78" max="78" width="11.42578125" bestFit="1" customWidth="1"/>
    <col min="79" max="79" width="11" bestFit="1" customWidth="1"/>
    <col min="80" max="80" width="9.7109375" bestFit="1" customWidth="1"/>
    <col min="81" max="81" width="11.140625" bestFit="1" customWidth="1"/>
    <col min="82" max="82" width="9.28515625" bestFit="1" customWidth="1"/>
    <col min="83" max="83" width="10.85546875" bestFit="1" customWidth="1"/>
    <col min="84" max="84" width="9.42578125" bestFit="1" customWidth="1"/>
    <col min="85" max="85" width="10.7109375" bestFit="1" customWidth="1"/>
    <col min="86" max="86" width="7.7109375" customWidth="1"/>
    <col min="87" max="87" width="12" bestFit="1" customWidth="1"/>
    <col min="88" max="88" width="10" bestFit="1" customWidth="1"/>
    <col min="89" max="89" width="8" customWidth="1"/>
    <col min="90" max="90" width="9" customWidth="1"/>
    <col min="91" max="91" width="11.7109375" bestFit="1" customWidth="1"/>
    <col min="92" max="92" width="8.85546875" customWidth="1"/>
    <col min="93" max="93" width="10.42578125" bestFit="1" customWidth="1"/>
    <col min="94" max="94" width="9" customWidth="1"/>
    <col min="95" max="95" width="10.85546875" bestFit="1" customWidth="1"/>
    <col min="96" max="96" width="12.42578125" bestFit="1" customWidth="1"/>
    <col min="97" max="97" width="11" bestFit="1" customWidth="1"/>
    <col min="98" max="98" width="10.7109375" bestFit="1" customWidth="1"/>
    <col min="99" max="99" width="11" bestFit="1" customWidth="1"/>
    <col min="100" max="100" width="11.7109375" bestFit="1" customWidth="1"/>
    <col min="101" max="101" width="11.28515625" bestFit="1" customWidth="1"/>
    <col min="102" max="102" width="10" bestFit="1" customWidth="1"/>
    <col min="103" max="104" width="9" customWidth="1"/>
    <col min="105" max="105" width="9.28515625" bestFit="1" customWidth="1"/>
    <col min="106" max="107" width="8" customWidth="1"/>
    <col min="108" max="108" width="14.28515625" bestFit="1" customWidth="1"/>
    <col min="109" max="109" width="11" bestFit="1" customWidth="1"/>
    <col min="110" max="110" width="10.28515625" bestFit="1" customWidth="1"/>
    <col min="111" max="111" width="9.28515625" bestFit="1" customWidth="1"/>
    <col min="112" max="112" width="8.42578125" customWidth="1"/>
    <col min="113" max="113" width="8.7109375" customWidth="1"/>
    <col min="114" max="114" width="10.5703125" bestFit="1" customWidth="1"/>
    <col min="115" max="115" width="10.85546875" bestFit="1" customWidth="1"/>
    <col min="116" max="116" width="9.7109375" bestFit="1" customWidth="1"/>
    <col min="117" max="117" width="10" bestFit="1" customWidth="1"/>
    <col min="118" max="118" width="13.28515625" bestFit="1" customWidth="1"/>
    <col min="119" max="119" width="10.28515625" bestFit="1" customWidth="1"/>
    <col min="120" max="120" width="11" bestFit="1" customWidth="1"/>
    <col min="121" max="121" width="9.5703125" bestFit="1" customWidth="1"/>
    <col min="122" max="122" width="8.85546875" customWidth="1"/>
    <col min="123" max="123" width="15.42578125" bestFit="1" customWidth="1"/>
    <col min="124" max="124" width="13.28515625" bestFit="1" customWidth="1"/>
    <col min="125" max="125" width="11" bestFit="1" customWidth="1"/>
    <col min="126" max="126" width="11.42578125" bestFit="1" customWidth="1"/>
    <col min="127" max="129" width="10" bestFit="1" customWidth="1"/>
    <col min="130" max="130" width="13.42578125" bestFit="1" customWidth="1"/>
    <col min="131" max="131" width="12.7109375" bestFit="1" customWidth="1"/>
    <col min="132" max="132" width="8.28515625" customWidth="1"/>
    <col min="133" max="133" width="10" bestFit="1" customWidth="1"/>
    <col min="134" max="135" width="9" customWidth="1"/>
    <col min="136" max="136" width="10.28515625" bestFit="1" customWidth="1"/>
    <col min="137" max="137" width="9.85546875" bestFit="1" customWidth="1"/>
    <col min="138" max="138" width="8" customWidth="1"/>
    <col min="139" max="139" width="7" customWidth="1"/>
    <col min="140" max="140" width="10" bestFit="1" customWidth="1"/>
    <col min="141" max="141" width="8.42578125" customWidth="1"/>
    <col min="142" max="142" width="12.28515625" bestFit="1" customWidth="1"/>
    <col min="143" max="143" width="9.42578125" bestFit="1" customWidth="1"/>
    <col min="144" max="144" width="10.5703125" bestFit="1" customWidth="1"/>
    <col min="145" max="145" width="9" customWidth="1"/>
    <col min="146" max="146" width="12.85546875" bestFit="1" customWidth="1"/>
    <col min="147" max="147" width="9" customWidth="1"/>
    <col min="148" max="148" width="11.140625" bestFit="1" customWidth="1"/>
    <col min="149" max="150" width="11" bestFit="1" customWidth="1"/>
    <col min="151" max="151" width="12.28515625" bestFit="1" customWidth="1"/>
    <col min="152" max="152" width="14.7109375" bestFit="1" customWidth="1"/>
    <col min="153" max="153" width="11" bestFit="1" customWidth="1"/>
    <col min="154" max="154" width="10.85546875" bestFit="1" customWidth="1"/>
    <col min="155" max="155" width="8.28515625" customWidth="1"/>
    <col min="156" max="156" width="11.28515625" bestFit="1" customWidth="1"/>
    <col min="157" max="157" width="10.5703125" bestFit="1" customWidth="1"/>
    <col min="158" max="158" width="10" bestFit="1" customWidth="1"/>
    <col min="159" max="159" width="10.42578125" bestFit="1" customWidth="1"/>
    <col min="160" max="160" width="12.42578125" bestFit="1" customWidth="1"/>
    <col min="161" max="161" width="11.140625" bestFit="1" customWidth="1"/>
    <col min="162" max="162" width="11.85546875" bestFit="1" customWidth="1"/>
    <col min="163" max="163" width="11.5703125" bestFit="1" customWidth="1"/>
    <col min="164" max="164" width="14" bestFit="1" customWidth="1"/>
    <col min="165" max="165" width="10.85546875" bestFit="1" customWidth="1"/>
    <col min="166" max="166" width="9" customWidth="1"/>
    <col min="167" max="168" width="10.5703125" bestFit="1" customWidth="1"/>
    <col min="169" max="169" width="9.28515625" bestFit="1" customWidth="1"/>
    <col min="170" max="170" width="12.140625" bestFit="1" customWidth="1"/>
    <col min="171" max="171" width="13.140625" bestFit="1" customWidth="1"/>
    <col min="172" max="172" width="11.7109375" bestFit="1" customWidth="1"/>
    <col min="173" max="173" width="8.85546875" customWidth="1"/>
    <col min="174" max="174" width="8" customWidth="1"/>
    <col min="175" max="175" width="10" bestFit="1" customWidth="1"/>
    <col min="176" max="177" width="9" customWidth="1"/>
    <col min="178" max="178" width="10.85546875" bestFit="1" customWidth="1"/>
    <col min="179" max="179" width="13.42578125" bestFit="1" customWidth="1"/>
    <col min="180" max="180" width="10.28515625" bestFit="1" customWidth="1"/>
    <col min="181" max="181" width="10.140625" bestFit="1" customWidth="1"/>
    <col min="182" max="182" width="8" customWidth="1"/>
    <col min="183" max="183" width="9.7109375" bestFit="1" customWidth="1"/>
    <col min="184" max="184" width="9.85546875" bestFit="1" customWidth="1"/>
    <col min="185" max="185" width="17.28515625" bestFit="1" customWidth="1"/>
    <col min="186" max="186" width="12.7109375" bestFit="1" customWidth="1"/>
    <col min="187" max="187" width="9" customWidth="1"/>
    <col min="188" max="188" width="10.140625" bestFit="1" customWidth="1"/>
    <col min="189" max="189" width="9" customWidth="1"/>
    <col min="190" max="190" width="9.5703125" bestFit="1" customWidth="1"/>
    <col min="191" max="191" width="14" bestFit="1" customWidth="1"/>
    <col min="192" max="192" width="13.85546875" bestFit="1" customWidth="1"/>
    <col min="193" max="193" width="7.5703125" customWidth="1"/>
    <col min="194" max="194" width="10.42578125" bestFit="1" customWidth="1"/>
    <col min="195" max="195" width="12" bestFit="1" customWidth="1"/>
    <col min="196" max="196" width="14.5703125" bestFit="1" customWidth="1"/>
    <col min="197" max="197" width="10.7109375" bestFit="1" customWidth="1"/>
    <col min="198" max="198" width="10.85546875" bestFit="1" customWidth="1"/>
    <col min="199" max="199" width="8" customWidth="1"/>
    <col min="200" max="200" width="15.5703125" bestFit="1" customWidth="1"/>
    <col min="201" max="201" width="16" bestFit="1" customWidth="1"/>
    <col min="202" max="202" width="11" bestFit="1" customWidth="1"/>
    <col min="203" max="203" width="10" bestFit="1" customWidth="1"/>
    <col min="204" max="204" width="9.5703125" bestFit="1" customWidth="1"/>
    <col min="205" max="205" width="14.5703125" bestFit="1" customWidth="1"/>
    <col min="206" max="206" width="11" bestFit="1" customWidth="1"/>
    <col min="207" max="207" width="9" customWidth="1"/>
    <col min="208" max="208" width="8" customWidth="1"/>
    <col min="209" max="209" width="11.85546875" bestFit="1" customWidth="1"/>
    <col min="210" max="210" width="10" bestFit="1" customWidth="1"/>
    <col min="211" max="211" width="12.140625" bestFit="1" customWidth="1"/>
    <col min="212" max="212" width="12.42578125" bestFit="1" customWidth="1"/>
    <col min="213" max="213" width="9.42578125" bestFit="1" customWidth="1"/>
    <col min="214" max="214" width="11" bestFit="1" customWidth="1"/>
    <col min="215" max="215" width="9" customWidth="1"/>
    <col min="216" max="216" width="11.140625" bestFit="1" customWidth="1"/>
    <col min="217" max="217" width="13.85546875" bestFit="1" customWidth="1"/>
    <col min="218" max="218" width="12.28515625" bestFit="1" customWidth="1"/>
    <col min="219" max="219" width="13.28515625" bestFit="1" customWidth="1"/>
    <col min="220" max="220" width="16.85546875" bestFit="1" customWidth="1"/>
    <col min="221" max="221" width="10" bestFit="1" customWidth="1"/>
    <col min="222" max="222" width="11" bestFit="1" customWidth="1"/>
    <col min="223" max="223" width="8.7109375" customWidth="1"/>
    <col min="224" max="224" width="8.85546875" customWidth="1"/>
    <col min="225" max="225" width="11.85546875" bestFit="1" customWidth="1"/>
    <col min="226" max="226" width="7.7109375" customWidth="1"/>
    <col min="227" max="227" width="11.85546875" bestFit="1" customWidth="1"/>
    <col min="228" max="228" width="11.42578125" bestFit="1" customWidth="1"/>
    <col min="229" max="229" width="10" bestFit="1" customWidth="1"/>
    <col min="230" max="230" width="11.85546875" bestFit="1" customWidth="1"/>
    <col min="231" max="231" width="14.140625" bestFit="1" customWidth="1"/>
    <col min="232" max="232" width="8" customWidth="1"/>
    <col min="233" max="233" width="9" customWidth="1"/>
    <col min="234" max="234" width="8.42578125" customWidth="1"/>
    <col min="235" max="235" width="11" bestFit="1" customWidth="1"/>
    <col min="236" max="236" width="10.28515625" bestFit="1" customWidth="1"/>
    <col min="237" max="238" width="7" customWidth="1"/>
    <col min="239" max="239" width="8" customWidth="1"/>
    <col min="240" max="240" width="16.5703125" bestFit="1" customWidth="1"/>
    <col min="241" max="241" width="9" customWidth="1"/>
    <col min="242" max="242" width="8.42578125" customWidth="1"/>
    <col min="243" max="243" width="9.5703125" bestFit="1" customWidth="1"/>
    <col min="244" max="244" width="15.28515625" bestFit="1" customWidth="1"/>
    <col min="245" max="246" width="10" bestFit="1" customWidth="1"/>
    <col min="247" max="247" width="12.42578125" bestFit="1" customWidth="1"/>
    <col min="248" max="248" width="10" bestFit="1" customWidth="1"/>
    <col min="249" max="249" width="8" customWidth="1"/>
    <col min="250" max="250" width="9" customWidth="1"/>
    <col min="251" max="251" width="7.42578125" customWidth="1"/>
    <col min="252" max="252" width="7.28515625" customWidth="1"/>
    <col min="253" max="253" width="6.28515625" customWidth="1"/>
    <col min="254" max="254" width="9" customWidth="1"/>
    <col min="255" max="255" width="11.42578125" bestFit="1" customWidth="1"/>
    <col min="256" max="256" width="11.140625" bestFit="1" customWidth="1"/>
    <col min="257" max="257" width="7.28515625" customWidth="1"/>
    <col min="258" max="258" width="9.5703125" bestFit="1" customWidth="1"/>
    <col min="259" max="259" width="8.140625" customWidth="1"/>
    <col min="260" max="260" width="10.5703125" bestFit="1" customWidth="1"/>
    <col min="261" max="261" width="11.85546875" bestFit="1" customWidth="1"/>
    <col min="262" max="262" width="8" customWidth="1"/>
    <col min="263" max="263" width="14.85546875" bestFit="1" customWidth="1"/>
    <col min="264" max="264" width="8" customWidth="1"/>
    <col min="265" max="265" width="7" customWidth="1"/>
    <col min="266" max="266" width="10.28515625" bestFit="1" customWidth="1"/>
    <col min="267" max="267" width="10" bestFit="1" customWidth="1"/>
    <col min="269" max="269" width="7" customWidth="1"/>
    <col min="270" max="270" width="9" customWidth="1"/>
    <col min="271" max="271" width="11.42578125" bestFit="1" customWidth="1"/>
    <col min="272" max="272" width="10" bestFit="1" customWidth="1"/>
    <col min="273" max="273" width="8.5703125" customWidth="1"/>
    <col min="274" max="274" width="10.5703125" bestFit="1" customWidth="1"/>
    <col min="275" max="275" width="11" bestFit="1" customWidth="1"/>
    <col min="276" max="276" width="8.42578125" customWidth="1"/>
    <col min="277" max="277" width="8" customWidth="1"/>
    <col min="278" max="279" width="10" bestFit="1" customWidth="1"/>
    <col min="280" max="280" width="14.140625" bestFit="1" customWidth="1"/>
    <col min="281" max="281" width="11.85546875" bestFit="1" customWidth="1"/>
    <col min="282" max="282" width="14" bestFit="1" customWidth="1"/>
    <col min="283" max="283" width="12.42578125" bestFit="1" customWidth="1"/>
    <col min="284" max="284" width="10.5703125" bestFit="1" customWidth="1"/>
    <col min="285" max="285" width="17" bestFit="1" customWidth="1"/>
    <col min="286" max="286" width="15.5703125" bestFit="1" customWidth="1"/>
    <col min="287" max="287" width="16.28515625" bestFit="1" customWidth="1"/>
    <col min="288" max="288" width="12.85546875" bestFit="1" customWidth="1"/>
    <col min="289" max="289" width="11.42578125" bestFit="1" customWidth="1"/>
    <col min="290" max="290" width="9.7109375" bestFit="1" customWidth="1"/>
    <col min="291" max="291" width="14.5703125" bestFit="1" customWidth="1"/>
    <col min="292" max="292" width="7" customWidth="1"/>
    <col min="293" max="293" width="10.42578125" bestFit="1" customWidth="1"/>
    <col min="294" max="294" width="10" bestFit="1" customWidth="1"/>
    <col min="295" max="295" width="9" customWidth="1"/>
    <col min="296" max="296" width="11.7109375" bestFit="1" customWidth="1"/>
    <col min="297" max="297" width="10.28515625" bestFit="1" customWidth="1"/>
    <col min="298" max="298" width="7" customWidth="1"/>
    <col min="299" max="299" width="8.85546875" customWidth="1"/>
    <col min="300" max="300" width="8" customWidth="1"/>
    <col min="301" max="301" width="9" customWidth="1"/>
    <col min="302" max="302" width="10" bestFit="1" customWidth="1"/>
    <col min="303" max="303" width="8" customWidth="1"/>
    <col min="304" max="304" width="9" customWidth="1"/>
    <col min="305" max="305" width="13.85546875" bestFit="1" customWidth="1"/>
    <col min="306" max="306" width="9.28515625" bestFit="1" customWidth="1"/>
    <col min="307" max="307" width="8" customWidth="1"/>
    <col min="308" max="308" width="10" bestFit="1" customWidth="1"/>
    <col min="310" max="310" width="16.140625" bestFit="1" customWidth="1"/>
    <col min="311" max="311" width="11" bestFit="1" customWidth="1"/>
    <col min="312" max="312" width="8" customWidth="1"/>
    <col min="313" max="314" width="11" bestFit="1" customWidth="1"/>
    <col min="315" max="315" width="7" customWidth="1"/>
    <col min="316" max="316" width="13.7109375" bestFit="1" customWidth="1"/>
    <col min="317" max="317" width="8" customWidth="1"/>
    <col min="318" max="318" width="10" bestFit="1" customWidth="1"/>
    <col min="319" max="319" width="8.85546875" customWidth="1"/>
    <col min="320" max="320" width="10.85546875" bestFit="1" customWidth="1"/>
    <col min="321" max="321" width="10" bestFit="1" customWidth="1"/>
    <col min="322" max="322" width="11" bestFit="1" customWidth="1"/>
    <col min="323" max="323" width="10" bestFit="1" customWidth="1"/>
    <col min="324" max="324" width="8" customWidth="1"/>
    <col min="325" max="325" width="13.85546875" bestFit="1" customWidth="1"/>
    <col min="326" max="328" width="9" customWidth="1"/>
    <col min="329" max="329" width="8" customWidth="1"/>
    <col min="330" max="330" width="7" customWidth="1"/>
    <col min="331" max="331" width="9" customWidth="1"/>
    <col min="332" max="332" width="7.42578125" customWidth="1"/>
    <col min="333" max="333" width="6.28515625" customWidth="1"/>
    <col min="334" max="334" width="11" bestFit="1" customWidth="1"/>
    <col min="335" max="335" width="8" customWidth="1"/>
    <col min="336" max="336" width="8.42578125" customWidth="1"/>
    <col min="338" max="338" width="9.42578125" bestFit="1" customWidth="1"/>
    <col min="339" max="339" width="8" customWidth="1"/>
    <col min="340" max="340" width="11.140625" bestFit="1" customWidth="1"/>
    <col min="341" max="341" width="15.5703125" bestFit="1" customWidth="1"/>
    <col min="342" max="342" width="9" customWidth="1"/>
    <col min="343" max="343" width="11.5703125" bestFit="1" customWidth="1"/>
    <col min="345" max="345" width="8" customWidth="1"/>
    <col min="346" max="346" width="9.28515625" bestFit="1" customWidth="1"/>
    <col min="347" max="347" width="8.5703125" customWidth="1"/>
    <col min="348" max="348" width="8" customWidth="1"/>
    <col min="349" max="349" width="11" bestFit="1" customWidth="1"/>
    <col min="350" max="350" width="9.5703125" bestFit="1" customWidth="1"/>
    <col min="351" max="351" width="14.140625" bestFit="1" customWidth="1"/>
    <col min="352" max="352" width="6" customWidth="1"/>
    <col min="353" max="353" width="10.85546875" bestFit="1" customWidth="1"/>
    <col min="354" max="354" width="10" bestFit="1" customWidth="1"/>
    <col min="355" max="356" width="11" bestFit="1" customWidth="1"/>
    <col min="357" max="357" width="15" bestFit="1" customWidth="1"/>
    <col min="358" max="358" width="8.140625" customWidth="1"/>
    <col min="359" max="360" width="10.5703125" bestFit="1" customWidth="1"/>
    <col min="361" max="361" width="10.140625" bestFit="1" customWidth="1"/>
    <col min="362" max="362" width="11.85546875" bestFit="1" customWidth="1"/>
    <col min="363" max="363" width="11.28515625" bestFit="1" customWidth="1"/>
    <col min="364" max="364" width="10.7109375" bestFit="1" customWidth="1"/>
    <col min="365" max="365" width="10.42578125" bestFit="1" customWidth="1"/>
    <col min="366" max="366" width="8.85546875" customWidth="1"/>
    <col min="367" max="367" width="11.5703125" bestFit="1" customWidth="1"/>
    <col min="368" max="368" width="10" bestFit="1" customWidth="1"/>
    <col min="369" max="369" width="9" customWidth="1"/>
    <col min="370" max="370" width="12.42578125" bestFit="1" customWidth="1"/>
    <col min="371" max="371" width="14.85546875" bestFit="1" customWidth="1"/>
    <col min="372" max="372" width="9" customWidth="1"/>
    <col min="373" max="373" width="8.5703125" customWidth="1"/>
    <col min="374" max="374" width="11" bestFit="1" customWidth="1"/>
    <col min="375" max="375" width="7.140625" customWidth="1"/>
    <col min="376" max="376" width="12.5703125" bestFit="1" customWidth="1"/>
    <col min="377" max="377" width="10" bestFit="1" customWidth="1"/>
    <col min="378" max="379" width="8.85546875" customWidth="1"/>
    <col min="380" max="380" width="11" bestFit="1" customWidth="1"/>
    <col min="381" max="381" width="10" bestFit="1" customWidth="1"/>
    <col min="382" max="382" width="9" customWidth="1"/>
    <col min="383" max="383" width="11.42578125" bestFit="1" customWidth="1"/>
    <col min="384" max="385" width="8.28515625" customWidth="1"/>
    <col min="386" max="386" width="15.5703125" bestFit="1" customWidth="1"/>
    <col min="387" max="388" width="8" customWidth="1"/>
    <col min="389" max="390" width="10" bestFit="1" customWidth="1"/>
    <col min="391" max="391" width="12.140625" bestFit="1" customWidth="1"/>
    <col min="392" max="392" width="12.7109375" bestFit="1" customWidth="1"/>
    <col min="393" max="393" width="10" bestFit="1" customWidth="1"/>
    <col min="394" max="395" width="9" customWidth="1"/>
    <col min="396" max="396" width="10.140625" bestFit="1" customWidth="1"/>
    <col min="397" max="397" width="11.85546875" bestFit="1" customWidth="1"/>
    <col min="398" max="398" width="11.5703125" bestFit="1" customWidth="1"/>
    <col min="399" max="399" width="10.140625" bestFit="1" customWidth="1"/>
    <col min="400" max="400" width="10" bestFit="1" customWidth="1"/>
    <col min="402" max="402" width="16.42578125" bestFit="1" customWidth="1"/>
    <col min="403" max="403" width="9.5703125" bestFit="1" customWidth="1"/>
    <col min="404" max="404" width="10.7109375" bestFit="1" customWidth="1"/>
    <col min="405" max="405" width="10.42578125" bestFit="1" customWidth="1"/>
    <col min="406" max="406" width="10.28515625" bestFit="1" customWidth="1"/>
    <col min="407" max="407" width="8" customWidth="1"/>
    <col min="408" max="408" width="9.7109375" bestFit="1" customWidth="1"/>
    <col min="409" max="409" width="8.140625" customWidth="1"/>
    <col min="410" max="410" width="10" bestFit="1" customWidth="1"/>
    <col min="411" max="411" width="11.5703125" bestFit="1" customWidth="1"/>
    <col min="412" max="412" width="12.140625" bestFit="1" customWidth="1"/>
    <col min="413" max="414" width="12.7109375" bestFit="1" customWidth="1"/>
    <col min="415" max="415" width="8.140625" customWidth="1"/>
    <col min="416" max="416" width="11.28515625" bestFit="1" customWidth="1"/>
    <col min="417" max="417" width="11.5703125" bestFit="1" customWidth="1"/>
    <col min="418" max="418" width="11.140625" bestFit="1" customWidth="1"/>
    <col min="419" max="419" width="10.28515625" bestFit="1" customWidth="1"/>
    <col min="420" max="420" width="10.42578125" bestFit="1" customWidth="1"/>
    <col min="421" max="421" width="10.140625" bestFit="1" customWidth="1"/>
    <col min="422" max="422" width="11.5703125" bestFit="1" customWidth="1"/>
    <col min="423" max="423" width="11.42578125" bestFit="1" customWidth="1"/>
    <col min="424" max="424" width="11" bestFit="1" customWidth="1"/>
    <col min="425" max="425" width="10.7109375" bestFit="1" customWidth="1"/>
    <col min="426" max="426" width="11.5703125" bestFit="1" customWidth="1"/>
    <col min="427" max="427" width="8" customWidth="1"/>
    <col min="428" max="428" width="10" bestFit="1" customWidth="1"/>
    <col min="429" max="429" width="10.28515625" bestFit="1" customWidth="1"/>
    <col min="430" max="430" width="8" customWidth="1"/>
    <col min="431" max="431" width="16.42578125" bestFit="1" customWidth="1"/>
    <col min="432" max="432" width="11.140625" bestFit="1" customWidth="1"/>
    <col min="433" max="433" width="11.5703125" bestFit="1" customWidth="1"/>
    <col min="434" max="434" width="11.28515625" bestFit="1" customWidth="1"/>
    <col min="436" max="436" width="10.140625" bestFit="1" customWidth="1"/>
    <col min="438" max="438" width="8.42578125" customWidth="1"/>
    <col min="439" max="439" width="12.7109375" bestFit="1" customWidth="1"/>
    <col min="440" max="440" width="7.5703125" customWidth="1"/>
    <col min="441" max="441" width="14.140625" bestFit="1" customWidth="1"/>
    <col min="442" max="442" width="9.5703125" bestFit="1" customWidth="1"/>
    <col min="443" max="443" width="10.140625" bestFit="1" customWidth="1"/>
    <col min="444" max="444" width="10" bestFit="1" customWidth="1"/>
    <col min="445" max="445" width="12.42578125" bestFit="1" customWidth="1"/>
    <col min="446" max="446" width="8.42578125" customWidth="1"/>
    <col min="447" max="447" width="11.28515625" bestFit="1" customWidth="1"/>
    <col min="448" max="448" width="9" customWidth="1"/>
    <col min="449" max="449" width="10.85546875" bestFit="1" customWidth="1"/>
    <col min="450" max="450" width="7" customWidth="1"/>
    <col min="451" max="451" width="10.85546875" bestFit="1" customWidth="1"/>
    <col min="452" max="452" width="9" customWidth="1"/>
    <col min="453" max="453" width="8" customWidth="1"/>
    <col min="454" max="454" width="11.140625" bestFit="1" customWidth="1"/>
    <col min="455" max="455" width="10.7109375" bestFit="1" customWidth="1"/>
    <col min="456" max="456" width="14.7109375" bestFit="1" customWidth="1"/>
    <col min="457" max="457" width="10.28515625" bestFit="1" customWidth="1"/>
    <col min="458" max="458" width="9" customWidth="1"/>
    <col min="459" max="460" width="8" customWidth="1"/>
    <col min="461" max="461" width="9.42578125" bestFit="1" customWidth="1"/>
    <col min="462" max="462" width="10.140625" bestFit="1" customWidth="1"/>
    <col min="463" max="463" width="8.85546875" customWidth="1"/>
    <col min="464" max="464" width="13.28515625" bestFit="1" customWidth="1"/>
    <col min="465" max="466" width="15.5703125" bestFit="1" customWidth="1"/>
    <col min="467" max="467" width="11" bestFit="1" customWidth="1"/>
    <col min="468" max="468" width="17.42578125" bestFit="1" customWidth="1"/>
    <col min="469" max="469" width="11" bestFit="1" customWidth="1"/>
    <col min="470" max="470" width="7" customWidth="1"/>
    <col min="471" max="471" width="8" customWidth="1"/>
    <col min="472" max="472" width="9" customWidth="1"/>
    <col min="473" max="473" width="11" bestFit="1" customWidth="1"/>
    <col min="474" max="474" width="7.42578125" customWidth="1"/>
    <col min="475" max="476" width="9" customWidth="1"/>
    <col min="477" max="477" width="10.5703125" bestFit="1" customWidth="1"/>
    <col min="478" max="478" width="11.28515625" bestFit="1" customWidth="1"/>
    <col min="479" max="479" width="8" customWidth="1"/>
    <col min="480" max="480" width="10.42578125" bestFit="1" customWidth="1"/>
    <col min="481" max="481" width="10" bestFit="1" customWidth="1"/>
    <col min="482" max="482" width="10.28515625" bestFit="1" customWidth="1"/>
    <col min="483" max="483" width="9.7109375" bestFit="1" customWidth="1"/>
    <col min="484" max="484" width="11" bestFit="1" customWidth="1"/>
    <col min="485" max="486" width="9" customWidth="1"/>
    <col min="487" max="487" width="13.7109375" bestFit="1" customWidth="1"/>
    <col min="488" max="489" width="11" bestFit="1" customWidth="1"/>
    <col min="490" max="490" width="16.85546875" bestFit="1" customWidth="1"/>
    <col min="491" max="492" width="10" bestFit="1" customWidth="1"/>
    <col min="493" max="493" width="11" bestFit="1" customWidth="1"/>
    <col min="494" max="494" width="14" bestFit="1" customWidth="1"/>
    <col min="495" max="495" width="10.85546875" bestFit="1" customWidth="1"/>
    <col min="496" max="496" width="11.85546875" bestFit="1" customWidth="1"/>
    <col min="497" max="497" width="10.42578125" bestFit="1" customWidth="1"/>
    <col min="498" max="498" width="7.140625" customWidth="1"/>
    <col min="499" max="499" width="18.85546875" bestFit="1" customWidth="1"/>
    <col min="501" max="501" width="7.7109375" customWidth="1"/>
    <col min="502" max="502" width="8" customWidth="1"/>
    <col min="503" max="503" width="9" customWidth="1"/>
    <col min="504" max="504" width="8" customWidth="1"/>
    <col min="505" max="505" width="9" customWidth="1"/>
    <col min="506" max="506" width="7" customWidth="1"/>
    <col min="507" max="507" width="11" bestFit="1" customWidth="1"/>
    <col min="508" max="508" width="11.5703125" bestFit="1" customWidth="1"/>
    <col min="509" max="509" width="11" bestFit="1" customWidth="1"/>
    <col min="510" max="510" width="9.7109375" bestFit="1" customWidth="1"/>
    <col min="511" max="512" width="13.28515625" bestFit="1" customWidth="1"/>
    <col min="513" max="513" width="10.42578125" bestFit="1" customWidth="1"/>
    <col min="514" max="514" width="12.140625" bestFit="1" customWidth="1"/>
    <col min="515" max="515" width="7" customWidth="1"/>
    <col min="516" max="516" width="10.140625" bestFit="1" customWidth="1"/>
    <col min="517" max="518" width="8" customWidth="1"/>
    <col min="519" max="519" width="10.5703125" bestFit="1" customWidth="1"/>
    <col min="520" max="520" width="9.5703125" bestFit="1" customWidth="1"/>
    <col min="521" max="521" width="10.7109375" bestFit="1" customWidth="1"/>
    <col min="522" max="522" width="10.85546875" bestFit="1" customWidth="1"/>
    <col min="523" max="523" width="10" bestFit="1" customWidth="1"/>
    <col min="524" max="524" width="9" customWidth="1"/>
    <col min="525" max="525" width="7" customWidth="1"/>
    <col min="526" max="527" width="9" customWidth="1"/>
    <col min="528" max="528" width="7.7109375" customWidth="1"/>
    <col min="529" max="530" width="10" bestFit="1" customWidth="1"/>
    <col min="531" max="531" width="10.140625" bestFit="1" customWidth="1"/>
    <col min="532" max="532" width="10.7109375" bestFit="1" customWidth="1"/>
    <col min="533" max="533" width="8.5703125" customWidth="1"/>
    <col min="534" max="534" width="7" customWidth="1"/>
    <col min="535" max="535" width="10.140625" bestFit="1" customWidth="1"/>
    <col min="536" max="536" width="9.28515625" bestFit="1" customWidth="1"/>
    <col min="537" max="537" width="10" bestFit="1" customWidth="1"/>
    <col min="538" max="538" width="14.7109375" bestFit="1" customWidth="1"/>
    <col min="539" max="539" width="14" bestFit="1" customWidth="1"/>
    <col min="540" max="540" width="10" bestFit="1" customWidth="1"/>
    <col min="541" max="541" width="9.42578125" bestFit="1" customWidth="1"/>
    <col min="542" max="542" width="8.7109375" customWidth="1"/>
    <col min="543" max="544" width="10" bestFit="1" customWidth="1"/>
    <col min="545" max="545" width="11" bestFit="1" customWidth="1"/>
    <col min="546" max="546" width="12.7109375" bestFit="1" customWidth="1"/>
    <col min="547" max="547" width="11" bestFit="1" customWidth="1"/>
    <col min="548" max="548" width="8.28515625" customWidth="1"/>
    <col min="549" max="549" width="10" bestFit="1" customWidth="1"/>
    <col min="550" max="550" width="9" customWidth="1"/>
    <col min="551" max="551" width="8.140625" customWidth="1"/>
    <col min="552" max="553" width="10" bestFit="1" customWidth="1"/>
    <col min="554" max="554" width="11" bestFit="1" customWidth="1"/>
    <col min="555" max="555" width="9" customWidth="1"/>
    <col min="556" max="556" width="11" bestFit="1" customWidth="1"/>
    <col min="557" max="557" width="11.42578125" bestFit="1" customWidth="1"/>
    <col min="558" max="558" width="13.5703125" bestFit="1" customWidth="1"/>
    <col min="559" max="559" width="12" bestFit="1" customWidth="1"/>
    <col min="560" max="560" width="12.5703125" bestFit="1" customWidth="1"/>
    <col min="561" max="561" width="11" bestFit="1" customWidth="1"/>
    <col min="562" max="562" width="15.28515625" bestFit="1" customWidth="1"/>
    <col min="563" max="563" width="12.140625" bestFit="1" customWidth="1"/>
    <col min="564" max="564" width="12.5703125" bestFit="1" customWidth="1"/>
    <col min="565" max="565" width="11.140625" bestFit="1" customWidth="1"/>
    <col min="566" max="566" width="10" bestFit="1" customWidth="1"/>
    <col min="567" max="567" width="9" customWidth="1"/>
    <col min="568" max="568" width="11" bestFit="1" customWidth="1"/>
    <col min="569" max="569" width="10" bestFit="1" customWidth="1"/>
    <col min="570" max="570" width="12.28515625" bestFit="1" customWidth="1"/>
    <col min="571" max="571" width="10" bestFit="1" customWidth="1"/>
    <col min="572" max="572" width="8" customWidth="1"/>
    <col min="573" max="573" width="7" customWidth="1"/>
    <col min="574" max="574" width="10" bestFit="1" customWidth="1"/>
    <col min="575" max="575" width="9.42578125" bestFit="1" customWidth="1"/>
    <col min="576" max="576" width="8" customWidth="1"/>
    <col min="577" max="577" width="10.42578125" bestFit="1" customWidth="1"/>
    <col min="578" max="579" width="9.42578125" bestFit="1" customWidth="1"/>
    <col min="580" max="580" width="8" customWidth="1"/>
    <col min="581" max="581" width="9" customWidth="1"/>
    <col min="582" max="582" width="11.140625" bestFit="1" customWidth="1"/>
    <col min="583" max="583" width="12.5703125" bestFit="1" customWidth="1"/>
    <col min="584" max="584" width="10" bestFit="1" customWidth="1"/>
    <col min="585" max="585" width="9" customWidth="1"/>
    <col min="586" max="586" width="12.28515625" bestFit="1" customWidth="1"/>
    <col min="587" max="587" width="11" bestFit="1" customWidth="1"/>
    <col min="588" max="588" width="12.140625" bestFit="1" customWidth="1"/>
    <col min="589" max="589" width="12.85546875" bestFit="1" customWidth="1"/>
    <col min="590" max="590" width="10" bestFit="1" customWidth="1"/>
    <col min="591" max="591" width="11" bestFit="1" customWidth="1"/>
    <col min="592" max="592" width="9.85546875" bestFit="1" customWidth="1"/>
    <col min="593" max="593" width="11" bestFit="1" customWidth="1"/>
    <col min="594" max="594" width="9.85546875" bestFit="1" customWidth="1"/>
    <col min="595" max="595" width="9.7109375" bestFit="1" customWidth="1"/>
    <col min="596" max="596" width="10" bestFit="1" customWidth="1"/>
    <col min="597" max="597" width="8" customWidth="1"/>
    <col min="598" max="598" width="7.28515625" customWidth="1"/>
    <col min="599" max="599" width="11.5703125" bestFit="1" customWidth="1"/>
    <col min="600" max="600" width="7" customWidth="1"/>
    <col min="601" max="601" width="11.5703125" bestFit="1" customWidth="1"/>
    <col min="602" max="602" width="11.42578125" bestFit="1" customWidth="1"/>
    <col min="603" max="603" width="10.140625" bestFit="1" customWidth="1"/>
    <col min="604" max="604" width="10" bestFit="1" customWidth="1"/>
    <col min="605" max="605" width="8" customWidth="1"/>
    <col min="606" max="606" width="9" customWidth="1"/>
    <col min="607" max="607" width="8" customWidth="1"/>
    <col min="608" max="608" width="8.7109375" customWidth="1"/>
    <col min="609" max="609" width="12.28515625" bestFit="1" customWidth="1"/>
    <col min="610" max="610" width="10.85546875" bestFit="1" customWidth="1"/>
    <col min="611" max="611" width="11.5703125" bestFit="1" customWidth="1"/>
    <col min="612" max="612" width="12.85546875" bestFit="1" customWidth="1"/>
    <col min="613" max="613" width="9.42578125" bestFit="1" customWidth="1"/>
    <col min="614" max="614" width="9" customWidth="1"/>
    <col min="615" max="615" width="8.85546875" customWidth="1"/>
    <col min="616" max="616" width="9.5703125" bestFit="1" customWidth="1"/>
    <col min="617" max="617" width="10" bestFit="1" customWidth="1"/>
    <col min="618" max="618" width="11" bestFit="1" customWidth="1"/>
    <col min="619" max="620" width="10" bestFit="1" customWidth="1"/>
    <col min="621" max="621" width="6.42578125" customWidth="1"/>
    <col min="622" max="622" width="10.42578125" bestFit="1" customWidth="1"/>
    <col min="623" max="623" width="9.7109375" bestFit="1" customWidth="1"/>
    <col min="624" max="624" width="10.140625" bestFit="1" customWidth="1"/>
    <col min="625" max="625" width="10" bestFit="1" customWidth="1"/>
    <col min="626" max="626" width="16" bestFit="1" customWidth="1"/>
    <col min="627" max="627" width="8" customWidth="1"/>
    <col min="628" max="628" width="9" customWidth="1"/>
    <col min="629" max="630" width="11" bestFit="1" customWidth="1"/>
    <col min="631" max="631" width="10" bestFit="1" customWidth="1"/>
    <col min="632" max="632" width="8.7109375" customWidth="1"/>
    <col min="633" max="634" width="12.5703125" bestFit="1" customWidth="1"/>
    <col min="635" max="635" width="11.7109375" bestFit="1" customWidth="1"/>
    <col min="636" max="636" width="8.7109375" customWidth="1"/>
    <col min="637" max="637" width="8" customWidth="1"/>
    <col min="638" max="638" width="8.28515625" customWidth="1"/>
    <col min="639" max="639" width="13.42578125" bestFit="1" customWidth="1"/>
    <col min="640" max="640" width="10.7109375" bestFit="1" customWidth="1"/>
    <col min="641" max="641" width="9" customWidth="1"/>
    <col min="642" max="642" width="16.7109375" bestFit="1" customWidth="1"/>
    <col min="643" max="643" width="10.28515625" bestFit="1" customWidth="1"/>
    <col min="644" max="644" width="9.42578125" bestFit="1" customWidth="1"/>
    <col min="645" max="645" width="10" bestFit="1" customWidth="1"/>
    <col min="646" max="646" width="11" bestFit="1" customWidth="1"/>
    <col min="647" max="647" width="9.5703125" bestFit="1" customWidth="1"/>
    <col min="648" max="648" width="8.42578125" customWidth="1"/>
    <col min="649" max="649" width="8.140625" customWidth="1"/>
    <col min="650" max="650" width="11.7109375" bestFit="1" customWidth="1"/>
    <col min="651" max="651" width="12.140625" bestFit="1" customWidth="1"/>
    <col min="652" max="652" width="14.42578125" bestFit="1" customWidth="1"/>
    <col min="653" max="653" width="9" customWidth="1"/>
    <col min="654" max="654" width="7.85546875" customWidth="1"/>
    <col min="655" max="655" width="11" bestFit="1" customWidth="1"/>
    <col min="656" max="656" width="12.7109375" bestFit="1" customWidth="1"/>
    <col min="657" max="657" width="9.42578125" bestFit="1" customWidth="1"/>
    <col min="658" max="658" width="11.140625" bestFit="1" customWidth="1"/>
    <col min="659" max="659" width="8" customWidth="1"/>
    <col min="661" max="661" width="11" bestFit="1" customWidth="1"/>
    <col min="662" max="662" width="10.5703125" bestFit="1" customWidth="1"/>
    <col min="663" max="663" width="13.28515625" bestFit="1" customWidth="1"/>
    <col min="664" max="664" width="10" bestFit="1" customWidth="1"/>
    <col min="665" max="665" width="9.5703125" bestFit="1" customWidth="1"/>
    <col min="666" max="666" width="8.7109375" customWidth="1"/>
    <col min="667" max="667" width="8" customWidth="1"/>
    <col min="668" max="668" width="13.140625" bestFit="1" customWidth="1"/>
    <col min="669" max="669" width="12.42578125" bestFit="1" customWidth="1"/>
    <col min="670" max="670" width="12" bestFit="1" customWidth="1"/>
    <col min="671" max="671" width="9" customWidth="1"/>
    <col min="672" max="672" width="8.28515625" customWidth="1"/>
    <col min="673" max="673" width="12.7109375" bestFit="1" customWidth="1"/>
    <col min="674" max="674" width="7.7109375" customWidth="1"/>
    <col min="675" max="675" width="8.42578125" customWidth="1"/>
    <col min="676" max="676" width="7" customWidth="1"/>
    <col min="677" max="677" width="11" bestFit="1" customWidth="1"/>
    <col min="678" max="678" width="13.7109375" bestFit="1" customWidth="1"/>
    <col min="679" max="679" width="12.140625" bestFit="1" customWidth="1"/>
    <col min="680" max="680" width="11.85546875" bestFit="1" customWidth="1"/>
    <col min="681" max="681" width="16.85546875" bestFit="1" customWidth="1"/>
    <col min="682" max="682" width="7" customWidth="1"/>
    <col min="683" max="683" width="10" bestFit="1" customWidth="1"/>
    <col min="684" max="685" width="11" bestFit="1" customWidth="1"/>
    <col min="686" max="686" width="13.28515625" bestFit="1" customWidth="1"/>
    <col min="687" max="687" width="12.5703125" bestFit="1" customWidth="1"/>
    <col min="688" max="688" width="11" bestFit="1" customWidth="1"/>
    <col min="689" max="689" width="9" customWidth="1"/>
    <col min="690" max="690" width="8.140625" customWidth="1"/>
    <col min="691" max="691" width="12" bestFit="1" customWidth="1"/>
    <col min="692" max="692" width="9.5703125" bestFit="1" customWidth="1"/>
    <col min="693" max="693" width="11.5703125" bestFit="1" customWidth="1"/>
    <col min="694" max="694" width="12.5703125" bestFit="1" customWidth="1"/>
    <col min="695" max="695" width="10" bestFit="1" customWidth="1"/>
    <col min="696" max="696" width="11.7109375" bestFit="1" customWidth="1"/>
    <col min="697" max="697" width="10.28515625" bestFit="1" customWidth="1"/>
    <col min="698" max="698" width="14.28515625" bestFit="1" customWidth="1"/>
    <col min="699" max="699" width="11.28515625" bestFit="1" customWidth="1"/>
    <col min="700" max="700" width="12.42578125" bestFit="1" customWidth="1"/>
    <col min="701" max="701" width="11.42578125" bestFit="1" customWidth="1"/>
    <col min="702" max="702" width="11" bestFit="1" customWidth="1"/>
    <col min="703" max="704" width="15.140625" bestFit="1" customWidth="1"/>
    <col min="705" max="705" width="15.28515625" bestFit="1" customWidth="1"/>
    <col min="706" max="706" width="14.140625" bestFit="1" customWidth="1"/>
    <col min="707" max="707" width="14.85546875" bestFit="1" customWidth="1"/>
    <col min="708" max="708" width="10.85546875" bestFit="1" customWidth="1"/>
    <col min="709" max="709" width="10" bestFit="1" customWidth="1"/>
    <col min="710" max="710" width="13.5703125" bestFit="1" customWidth="1"/>
    <col min="711" max="711" width="10" bestFit="1" customWidth="1"/>
    <col min="712" max="712" width="8.85546875" customWidth="1"/>
    <col min="713" max="713" width="10.28515625" bestFit="1" customWidth="1"/>
    <col min="715" max="716" width="10.28515625" bestFit="1" customWidth="1"/>
    <col min="717" max="717" width="8.7109375" customWidth="1"/>
    <col min="718" max="718" width="12.7109375" bestFit="1" customWidth="1"/>
    <col min="719" max="719" width="10" bestFit="1" customWidth="1"/>
    <col min="720" max="720" width="10.28515625" bestFit="1" customWidth="1"/>
    <col min="721" max="721" width="7.5703125" customWidth="1"/>
    <col min="722" max="722" width="9.28515625" bestFit="1" customWidth="1"/>
    <col min="723" max="723" width="10.28515625" bestFit="1" customWidth="1"/>
    <col min="724" max="724" width="9.7109375" bestFit="1" customWidth="1"/>
    <col min="725" max="725" width="8" customWidth="1"/>
    <col min="726" max="726" width="11.7109375" bestFit="1" customWidth="1"/>
    <col min="727" max="727" width="12.7109375" bestFit="1" customWidth="1"/>
    <col min="728" max="728" width="10.85546875" bestFit="1" customWidth="1"/>
    <col min="729" max="729" width="9.7109375" bestFit="1" customWidth="1"/>
    <col min="730" max="730" width="11.42578125" bestFit="1" customWidth="1"/>
    <col min="731" max="731" width="14.7109375" bestFit="1" customWidth="1"/>
    <col min="732" max="732" width="9" customWidth="1"/>
    <col min="733" max="733" width="10.7109375" bestFit="1" customWidth="1"/>
    <col min="734" max="734" width="12.140625" bestFit="1" customWidth="1"/>
    <col min="735" max="735" width="12.28515625" bestFit="1" customWidth="1"/>
    <col min="736" max="736" width="12.42578125" bestFit="1" customWidth="1"/>
    <col min="737" max="737" width="13.42578125" bestFit="1" customWidth="1"/>
    <col min="738" max="738" width="18.140625" bestFit="1" customWidth="1"/>
    <col min="739" max="739" width="10" bestFit="1" customWidth="1"/>
    <col min="740" max="740" width="10.85546875" bestFit="1" customWidth="1"/>
    <col min="741" max="741" width="8.42578125" customWidth="1"/>
    <col min="742" max="742" width="9" customWidth="1"/>
    <col min="743" max="743" width="12.140625" bestFit="1" customWidth="1"/>
    <col min="744" max="744" width="12.42578125" bestFit="1" customWidth="1"/>
    <col min="745" max="745" width="11.140625" bestFit="1" customWidth="1"/>
    <col min="746" max="746" width="8" customWidth="1"/>
    <col min="747" max="747" width="9" customWidth="1"/>
    <col min="748" max="748" width="11" bestFit="1" customWidth="1"/>
    <col min="749" max="749" width="15" bestFit="1" customWidth="1"/>
    <col min="750" max="750" width="13.85546875" bestFit="1" customWidth="1"/>
    <col min="751" max="751" width="12.85546875" bestFit="1" customWidth="1"/>
    <col min="752" max="752" width="16" bestFit="1" customWidth="1"/>
    <col min="753" max="753" width="15.140625" bestFit="1" customWidth="1"/>
    <col min="754" max="754" width="15.85546875" bestFit="1" customWidth="1"/>
    <col min="755" max="755" width="12.28515625" bestFit="1" customWidth="1"/>
    <col min="756" max="756" width="18.28515625" bestFit="1" customWidth="1"/>
    <col min="757" max="757" width="14.28515625" bestFit="1" customWidth="1"/>
    <col min="758" max="758" width="15.85546875" bestFit="1" customWidth="1"/>
    <col min="759" max="759" width="15.28515625" bestFit="1" customWidth="1"/>
    <col min="760" max="760" width="11.85546875" bestFit="1" customWidth="1"/>
    <col min="761" max="761" width="10.28515625" bestFit="1" customWidth="1"/>
    <col min="762" max="762" width="15.5703125" bestFit="1" customWidth="1"/>
    <col min="763" max="763" width="14.5703125" bestFit="1" customWidth="1"/>
    <col min="764" max="764" width="16.85546875" bestFit="1" customWidth="1"/>
    <col min="765" max="765" width="13.140625" bestFit="1" customWidth="1"/>
    <col min="766" max="766" width="11.28515625" bestFit="1" customWidth="1"/>
    <col min="767" max="767" width="11.140625" bestFit="1" customWidth="1"/>
    <col min="768" max="768" width="9.85546875" bestFit="1" customWidth="1"/>
    <col min="769" max="769" width="7.28515625" customWidth="1"/>
    <col min="770" max="770" width="10" bestFit="1" customWidth="1"/>
    <col min="771" max="771" width="8" customWidth="1"/>
    <col min="772" max="772" width="7" customWidth="1"/>
    <col min="773" max="773" width="10" bestFit="1" customWidth="1"/>
    <col min="774" max="774" width="10.42578125" bestFit="1" customWidth="1"/>
    <col min="775" max="775" width="9.42578125" bestFit="1" customWidth="1"/>
    <col min="776" max="776" width="10" bestFit="1" customWidth="1"/>
    <col min="777" max="777" width="9.85546875" bestFit="1" customWidth="1"/>
    <col min="778" max="779" width="8.28515625" customWidth="1"/>
    <col min="780" max="780" width="12.5703125" bestFit="1" customWidth="1"/>
    <col min="781" max="781" width="8" customWidth="1"/>
    <col min="782" max="782" width="8.28515625" customWidth="1"/>
    <col min="783" max="783" width="10.28515625" bestFit="1" customWidth="1"/>
    <col min="784" max="784" width="8" customWidth="1"/>
    <col min="785" max="785" width="8.85546875" customWidth="1"/>
    <col min="786" max="786" width="8" customWidth="1"/>
    <col min="787" max="787" width="7" customWidth="1"/>
    <col min="788" max="788" width="9" customWidth="1"/>
    <col min="789" max="789" width="10.28515625" bestFit="1" customWidth="1"/>
    <col min="790" max="790" width="12.140625" bestFit="1" customWidth="1"/>
    <col min="791" max="791" width="9" customWidth="1"/>
    <col min="792" max="792" width="10" bestFit="1" customWidth="1"/>
    <col min="793" max="793" width="11" bestFit="1" customWidth="1"/>
    <col min="794" max="794" width="8" customWidth="1"/>
    <col min="795" max="796" width="9" customWidth="1"/>
    <col min="797" max="797" width="11.42578125" bestFit="1" customWidth="1"/>
    <col min="798" max="798" width="8" customWidth="1"/>
    <col min="799" max="799" width="11.28515625" bestFit="1" customWidth="1"/>
    <col min="800" max="800" width="9" customWidth="1"/>
    <col min="801" max="801" width="14.140625" bestFit="1" customWidth="1"/>
    <col min="802" max="802" width="10.28515625" bestFit="1" customWidth="1"/>
    <col min="803" max="803" width="8.5703125" customWidth="1"/>
    <col min="804" max="805" width="9" customWidth="1"/>
    <col min="806" max="806" width="9.28515625" bestFit="1" customWidth="1"/>
    <col min="807" max="807" width="13.5703125" bestFit="1" customWidth="1"/>
    <col min="808" max="809" width="10" bestFit="1" customWidth="1"/>
    <col min="810" max="810" width="10.140625" bestFit="1" customWidth="1"/>
    <col min="811" max="811" width="11.28515625" bestFit="1" customWidth="1"/>
    <col min="812" max="812" width="8" customWidth="1"/>
    <col min="813" max="813" width="9" customWidth="1"/>
    <col min="814" max="814" width="7.42578125" customWidth="1"/>
    <col min="815" max="816" width="8" customWidth="1"/>
    <col min="817" max="817" width="10" bestFit="1" customWidth="1"/>
    <col min="818" max="818" width="9" customWidth="1"/>
    <col min="819" max="819" width="8.28515625" customWidth="1"/>
    <col min="820" max="820" width="13.7109375" bestFit="1" customWidth="1"/>
    <col min="821" max="821" width="9" customWidth="1"/>
    <col min="822" max="822" width="19.28515625" bestFit="1" customWidth="1"/>
    <col min="823" max="823" width="10.7109375" bestFit="1" customWidth="1"/>
    <col min="824" max="824" width="11.85546875" bestFit="1" customWidth="1"/>
    <col min="825" max="825" width="12.28515625" bestFit="1" customWidth="1"/>
    <col min="826" max="826" width="7.28515625" customWidth="1"/>
    <col min="827" max="827" width="9" customWidth="1"/>
    <col min="828" max="828" width="11.85546875" bestFit="1" customWidth="1"/>
    <col min="829" max="829" width="8.85546875" customWidth="1"/>
    <col min="830" max="830" width="8.5703125" customWidth="1"/>
    <col min="831" max="831" width="9.85546875" bestFit="1" customWidth="1"/>
    <col min="832" max="832" width="10" bestFit="1" customWidth="1"/>
    <col min="833" max="833" width="10.28515625" bestFit="1" customWidth="1"/>
    <col min="834" max="834" width="8" customWidth="1"/>
    <col min="835" max="835" width="11.5703125" bestFit="1" customWidth="1"/>
    <col min="836" max="836" width="8.7109375" customWidth="1"/>
    <col min="837" max="837" width="11" bestFit="1" customWidth="1"/>
    <col min="838" max="838" width="10.7109375" bestFit="1" customWidth="1"/>
    <col min="839" max="839" width="10" bestFit="1" customWidth="1"/>
    <col min="840" max="840" width="7.28515625" customWidth="1"/>
    <col min="841" max="841" width="8.85546875" customWidth="1"/>
    <col min="842" max="842" width="14" bestFit="1" customWidth="1"/>
    <col min="843" max="844" width="8" customWidth="1"/>
    <col min="845" max="845" width="15.5703125" bestFit="1" customWidth="1"/>
    <col min="846" max="846" width="10.28515625" bestFit="1" customWidth="1"/>
    <col min="847" max="847" width="10" bestFit="1" customWidth="1"/>
    <col min="848" max="848" width="11.85546875" bestFit="1" customWidth="1"/>
    <col min="849" max="849" width="9.85546875" bestFit="1" customWidth="1"/>
    <col min="850" max="850" width="9" customWidth="1"/>
    <col min="851" max="851" width="9.7109375" bestFit="1" customWidth="1"/>
    <col min="852" max="852" width="11" bestFit="1" customWidth="1"/>
    <col min="853" max="853" width="9.42578125" bestFit="1" customWidth="1"/>
    <col min="854" max="854" width="10.7109375" bestFit="1" customWidth="1"/>
    <col min="855" max="855" width="11.28515625" bestFit="1" customWidth="1"/>
    <col min="856" max="856" width="9" customWidth="1"/>
    <col min="857" max="857" width="11" bestFit="1" customWidth="1"/>
    <col min="858" max="858" width="12.140625" bestFit="1" customWidth="1"/>
    <col min="859" max="859" width="11.5703125" bestFit="1" customWidth="1"/>
    <col min="860" max="860" width="8.28515625" customWidth="1"/>
    <col min="861" max="861" width="10.7109375" bestFit="1" customWidth="1"/>
    <col min="862" max="862" width="9.5703125" bestFit="1" customWidth="1"/>
    <col min="863" max="863" width="9.7109375" bestFit="1" customWidth="1"/>
    <col min="864" max="864" width="9" customWidth="1"/>
    <col min="865" max="865" width="10.140625" bestFit="1" customWidth="1"/>
    <col min="866" max="866" width="9.5703125" bestFit="1" customWidth="1"/>
    <col min="867" max="867" width="9.7109375" bestFit="1" customWidth="1"/>
    <col min="868" max="868" width="8" customWidth="1"/>
    <col min="869" max="869" width="9.42578125" bestFit="1" customWidth="1"/>
    <col min="870" max="870" width="14.5703125" bestFit="1" customWidth="1"/>
    <col min="871" max="871" width="18.7109375" bestFit="1" customWidth="1"/>
    <col min="872" max="872" width="10" bestFit="1" customWidth="1"/>
    <col min="873" max="873" width="9.28515625" bestFit="1" customWidth="1"/>
    <col min="874" max="874" width="10" bestFit="1" customWidth="1"/>
    <col min="875" max="875" width="9" customWidth="1"/>
    <col min="876" max="876" width="15.28515625" bestFit="1" customWidth="1"/>
    <col min="877" max="877" width="10.140625" bestFit="1" customWidth="1"/>
    <col min="878" max="878" width="18" bestFit="1" customWidth="1"/>
    <col min="879" max="879" width="11" bestFit="1" customWidth="1"/>
    <col min="880" max="880" width="10.85546875" bestFit="1" customWidth="1"/>
    <col min="881" max="881" width="13.5703125" bestFit="1" customWidth="1"/>
    <col min="882" max="882" width="12" bestFit="1" customWidth="1"/>
    <col min="883" max="883" width="10.5703125" bestFit="1" customWidth="1"/>
    <col min="884" max="884" width="14.7109375" bestFit="1" customWidth="1"/>
    <col min="885" max="886" width="10" bestFit="1" customWidth="1"/>
    <col min="887" max="887" width="11.42578125" bestFit="1" customWidth="1"/>
    <col min="888" max="888" width="11" bestFit="1" customWidth="1"/>
    <col min="889" max="889" width="8.7109375" customWidth="1"/>
    <col min="890" max="890" width="13.5703125" bestFit="1" customWidth="1"/>
    <col min="891" max="891" width="8.28515625" customWidth="1"/>
    <col min="892" max="892" width="14.42578125" bestFit="1" customWidth="1"/>
    <col min="893" max="893" width="10" bestFit="1" customWidth="1"/>
    <col min="894" max="895" width="11" bestFit="1" customWidth="1"/>
    <col min="896" max="896" width="10" bestFit="1" customWidth="1"/>
    <col min="897" max="897" width="12.42578125" bestFit="1" customWidth="1"/>
    <col min="898" max="901" width="10" bestFit="1" customWidth="1"/>
    <col min="902" max="902" width="7.28515625" customWidth="1"/>
    <col min="903" max="903" width="7.85546875" customWidth="1"/>
    <col min="904" max="904" width="10" bestFit="1" customWidth="1"/>
    <col min="905" max="905" width="18.28515625" bestFit="1" customWidth="1"/>
    <col min="906" max="906" width="13.140625" bestFit="1" customWidth="1"/>
    <col min="907" max="908" width="11" bestFit="1" customWidth="1"/>
    <col min="909" max="909" width="9" customWidth="1"/>
    <col min="910" max="911" width="10" bestFit="1" customWidth="1"/>
    <col min="912" max="912" width="8.140625" customWidth="1"/>
    <col min="914" max="914" width="10" bestFit="1" customWidth="1"/>
    <col min="915" max="915" width="14.85546875" bestFit="1" customWidth="1"/>
    <col min="916" max="916" width="13.42578125" bestFit="1" customWidth="1"/>
    <col min="917" max="917" width="12.7109375" bestFit="1" customWidth="1"/>
    <col min="918" max="918" width="8" customWidth="1"/>
    <col min="919" max="919" width="9" customWidth="1"/>
    <col min="920" max="920" width="8" customWidth="1"/>
    <col min="921" max="921" width="8.28515625" customWidth="1"/>
    <col min="922" max="922" width="13.28515625" bestFit="1" customWidth="1"/>
    <col min="923" max="923" width="10.7109375" bestFit="1" customWidth="1"/>
    <col min="924" max="924" width="9" customWidth="1"/>
    <col min="925" max="925" width="10" bestFit="1" customWidth="1"/>
    <col min="926" max="926" width="11" bestFit="1" customWidth="1"/>
    <col min="927" max="927" width="9.28515625" bestFit="1" customWidth="1"/>
    <col min="928" max="928" width="12.85546875" bestFit="1" customWidth="1"/>
    <col min="929" max="929" width="8.7109375" customWidth="1"/>
    <col min="930" max="930" width="10" bestFit="1" customWidth="1"/>
    <col min="931" max="931" width="14.28515625" bestFit="1" customWidth="1"/>
    <col min="932" max="932" width="8.5703125" customWidth="1"/>
    <col min="933" max="933" width="10.85546875" bestFit="1" customWidth="1"/>
    <col min="934" max="934" width="12" bestFit="1" customWidth="1"/>
    <col min="935" max="935" width="10" bestFit="1" customWidth="1"/>
    <col min="936" max="936" width="9" customWidth="1"/>
    <col min="937" max="937" width="8" customWidth="1"/>
    <col min="938" max="938" width="12.5703125" bestFit="1" customWidth="1"/>
    <col min="939" max="939" width="8" customWidth="1"/>
    <col min="940" max="940" width="9" customWidth="1"/>
    <col min="941" max="941" width="11.140625" bestFit="1" customWidth="1"/>
    <col min="942" max="942" width="9.85546875" bestFit="1" customWidth="1"/>
    <col min="943" max="943" width="8.7109375" customWidth="1"/>
    <col min="944" max="944" width="8" customWidth="1"/>
    <col min="945" max="945" width="10.42578125" bestFit="1" customWidth="1"/>
    <col min="946" max="946" width="11" bestFit="1" customWidth="1"/>
    <col min="947" max="947" width="10" bestFit="1" customWidth="1"/>
    <col min="948" max="948" width="10.42578125" bestFit="1" customWidth="1"/>
    <col min="949" max="949" width="11.28515625" bestFit="1" customWidth="1"/>
    <col min="950" max="951" width="8" customWidth="1"/>
    <col min="952" max="952" width="9.7109375" bestFit="1" customWidth="1"/>
    <col min="953" max="953" width="16.5703125" bestFit="1" customWidth="1"/>
    <col min="954" max="954" width="11.140625" bestFit="1" customWidth="1"/>
    <col min="955" max="955" width="10.7109375" bestFit="1" customWidth="1"/>
    <col min="956" max="956" width="8" customWidth="1"/>
    <col min="957" max="957" width="11" bestFit="1" customWidth="1"/>
    <col min="958" max="958" width="11.42578125" bestFit="1" customWidth="1"/>
    <col min="959" max="959" width="8.28515625" customWidth="1"/>
    <col min="960" max="960" width="12.42578125" bestFit="1" customWidth="1"/>
    <col min="961" max="961" width="11" bestFit="1" customWidth="1"/>
    <col min="962" max="962" width="10.42578125" bestFit="1" customWidth="1"/>
    <col min="963" max="963" width="14.85546875" bestFit="1" customWidth="1"/>
    <col min="964" max="964" width="9.7109375" bestFit="1" customWidth="1"/>
    <col min="965" max="965" width="11.5703125" bestFit="1" customWidth="1"/>
    <col min="966" max="966" width="15.7109375" bestFit="1" customWidth="1"/>
    <col min="967" max="967" width="10" bestFit="1" customWidth="1"/>
    <col min="968" max="968" width="8" customWidth="1"/>
    <col min="969" max="969" width="9" customWidth="1"/>
    <col min="970" max="970" width="12.5703125" bestFit="1" customWidth="1"/>
    <col min="971" max="971" width="10.85546875" bestFit="1" customWidth="1"/>
    <col min="972" max="972" width="11.7109375" bestFit="1" customWidth="1"/>
    <col min="973" max="973" width="10" bestFit="1" customWidth="1"/>
    <col min="974" max="974" width="13.42578125" bestFit="1" customWidth="1"/>
    <col min="975" max="975" width="12.7109375" bestFit="1" customWidth="1"/>
    <col min="976" max="976" width="11.140625" bestFit="1" customWidth="1"/>
    <col min="977" max="977" width="8.42578125" customWidth="1"/>
    <col min="978" max="978" width="9" customWidth="1"/>
    <col min="979" max="979" width="14.85546875" bestFit="1" customWidth="1"/>
    <col min="980" max="980" width="11" bestFit="1" customWidth="1"/>
    <col min="981" max="981" width="9.28515625" bestFit="1" customWidth="1"/>
    <col min="982" max="982" width="13.28515625" bestFit="1" customWidth="1"/>
    <col min="983" max="983" width="11" bestFit="1" customWidth="1"/>
    <col min="984" max="984" width="9.7109375" bestFit="1" customWidth="1"/>
    <col min="985" max="985" width="10.7109375" bestFit="1" customWidth="1"/>
    <col min="986" max="986" width="8.42578125" customWidth="1"/>
    <col min="987" max="987" width="11.42578125" bestFit="1" customWidth="1"/>
    <col min="988" max="988" width="12.85546875" bestFit="1" customWidth="1"/>
    <col min="989" max="990" width="9" customWidth="1"/>
    <col min="991" max="991" width="7.140625" customWidth="1"/>
    <col min="992" max="992" width="17.42578125" bestFit="1" customWidth="1"/>
    <col min="993" max="993" width="8" customWidth="1"/>
    <col min="994" max="994" width="9.42578125" bestFit="1" customWidth="1"/>
    <col min="995" max="995" width="9.7109375" bestFit="1" customWidth="1"/>
    <col min="996" max="996" width="9.28515625" bestFit="1" customWidth="1"/>
    <col min="997" max="997" width="12.140625" bestFit="1" customWidth="1"/>
    <col min="998" max="998" width="11.5703125" bestFit="1" customWidth="1"/>
    <col min="999" max="999" width="12.42578125" bestFit="1" customWidth="1"/>
    <col min="1000" max="1000" width="10.140625" bestFit="1" customWidth="1"/>
    <col min="1001" max="1001" width="8.7109375" customWidth="1"/>
    <col min="1002" max="1002" width="11" bestFit="1" customWidth="1"/>
    <col min="1003" max="1003" width="7" customWidth="1"/>
    <col min="1004" max="1004" width="8" customWidth="1"/>
    <col min="1005" max="1005" width="9" customWidth="1"/>
    <col min="1006" max="1006" width="12.42578125" bestFit="1" customWidth="1"/>
    <col min="1007" max="1007" width="11" bestFit="1" customWidth="1"/>
    <col min="1008" max="1008" width="14.28515625" bestFit="1" customWidth="1"/>
    <col min="1009" max="1009" width="9.7109375" bestFit="1" customWidth="1"/>
    <col min="1010" max="1010" width="7.140625" customWidth="1"/>
    <col min="1012" max="1012" width="10.7109375" bestFit="1" customWidth="1"/>
    <col min="1013" max="1013" width="7" customWidth="1"/>
    <col min="1014" max="1014" width="8" customWidth="1"/>
    <col min="1015" max="1015" width="10" bestFit="1" customWidth="1"/>
    <col min="1016" max="1016" width="9" customWidth="1"/>
    <col min="1017" max="1017" width="10.42578125" bestFit="1" customWidth="1"/>
    <col min="1018" max="1018" width="10.85546875" bestFit="1" customWidth="1"/>
    <col min="1019" max="1019" width="11.42578125" bestFit="1" customWidth="1"/>
    <col min="1020" max="1020" width="11" bestFit="1" customWidth="1"/>
    <col min="1021" max="1021" width="12" bestFit="1" customWidth="1"/>
    <col min="1022" max="1022" width="9.7109375" bestFit="1" customWidth="1"/>
    <col min="1023" max="1023" width="10.28515625" bestFit="1" customWidth="1"/>
    <col min="1024" max="1024" width="10" bestFit="1" customWidth="1"/>
    <col min="1025" max="1025" width="10.28515625" bestFit="1" customWidth="1"/>
    <col min="1026" max="1026" width="10.7109375" bestFit="1" customWidth="1"/>
    <col min="1027" max="1027" width="11" bestFit="1" customWidth="1"/>
    <col min="1028" max="1028" width="9.42578125" bestFit="1" customWidth="1"/>
    <col min="1029" max="1029" width="10.5703125" bestFit="1" customWidth="1"/>
    <col min="1030" max="1030" width="11.140625" bestFit="1" customWidth="1"/>
    <col min="1031" max="1031" width="12.7109375" bestFit="1" customWidth="1"/>
    <col min="1032" max="1032" width="16" bestFit="1" customWidth="1"/>
    <col min="1033" max="1033" width="13.140625" bestFit="1" customWidth="1"/>
    <col min="1034" max="1034" width="15.28515625" bestFit="1" customWidth="1"/>
    <col min="1035" max="1035" width="14.28515625" bestFit="1" customWidth="1"/>
    <col min="1036" max="1036" width="14.7109375" bestFit="1" customWidth="1"/>
    <col min="1037" max="1037" width="11.85546875" bestFit="1" customWidth="1"/>
    <col min="1038" max="1038" width="10.140625" bestFit="1" customWidth="1"/>
    <col min="1039" max="1039" width="10.28515625" bestFit="1" customWidth="1"/>
    <col min="1040" max="1040" width="11" bestFit="1" customWidth="1"/>
    <col min="1041" max="1041" width="9.85546875" bestFit="1" customWidth="1"/>
    <col min="1042" max="1042" width="12.140625" bestFit="1" customWidth="1"/>
    <col min="1043" max="1043" width="10" bestFit="1" customWidth="1"/>
    <col min="1044" max="1044" width="11.7109375" bestFit="1" customWidth="1"/>
    <col min="1045" max="1045" width="9" customWidth="1"/>
    <col min="1046" max="1046" width="10" bestFit="1" customWidth="1"/>
    <col min="1047" max="1047" width="11" bestFit="1" customWidth="1"/>
    <col min="1048" max="1048" width="10.42578125" bestFit="1" customWidth="1"/>
    <col min="1049" max="1049" width="10.7109375" bestFit="1" customWidth="1"/>
    <col min="1050" max="1050" width="10.42578125" bestFit="1" customWidth="1"/>
    <col min="1052" max="1052" width="12.7109375" bestFit="1" customWidth="1"/>
    <col min="1053" max="1053" width="10.5703125" bestFit="1" customWidth="1"/>
    <col min="1054" max="1054" width="15.140625" bestFit="1" customWidth="1"/>
    <col min="1055" max="1055" width="12.28515625" bestFit="1" customWidth="1"/>
    <col min="1056" max="1056" width="13.28515625" bestFit="1" customWidth="1"/>
    <col min="1057" max="1057" width="9" customWidth="1"/>
    <col min="1058" max="1058" width="10.140625" bestFit="1" customWidth="1"/>
    <col min="1059" max="1059" width="9" customWidth="1"/>
    <col min="1060" max="1060" width="8.85546875" customWidth="1"/>
    <col min="1061" max="1061" width="12.28515625" bestFit="1" customWidth="1"/>
    <col min="1062" max="1062" width="11.42578125" bestFit="1" customWidth="1"/>
    <col min="1063" max="1063" width="8.28515625" customWidth="1"/>
    <col min="1064" max="1064" width="14.85546875" bestFit="1" customWidth="1"/>
    <col min="1065" max="1065" width="8" customWidth="1"/>
    <col min="1066" max="1066" width="8.140625" customWidth="1"/>
    <col min="1067" max="1067" width="10.5703125" bestFit="1" customWidth="1"/>
    <col min="1068" max="1068" width="10.140625" bestFit="1" customWidth="1"/>
    <col min="1069" max="1069" width="10" bestFit="1" customWidth="1"/>
    <col min="1070" max="1070" width="9" customWidth="1"/>
    <col min="1071" max="1071" width="8.28515625" customWidth="1"/>
    <col min="1072" max="1073" width="8.7109375" customWidth="1"/>
    <col min="1074" max="1074" width="8" customWidth="1"/>
    <col min="1075" max="1075" width="9.42578125" bestFit="1" customWidth="1"/>
    <col min="1076" max="1076" width="11.28515625" bestFit="1" customWidth="1"/>
    <col min="1077" max="1077" width="8.28515625" customWidth="1"/>
    <col min="1078" max="1078" width="8" customWidth="1"/>
    <col min="1079" max="1079" width="8.28515625" customWidth="1"/>
    <col min="1080" max="1081" width="8" customWidth="1"/>
    <col min="1082" max="1083" width="11" bestFit="1" customWidth="1"/>
    <col min="1084" max="1084" width="11.42578125" bestFit="1" customWidth="1"/>
    <col min="1085" max="1085" width="10.5703125" bestFit="1" customWidth="1"/>
    <col min="1086" max="1086" width="10" bestFit="1" customWidth="1"/>
    <col min="1087" max="1087" width="9.85546875" bestFit="1" customWidth="1"/>
    <col min="1088" max="1088" width="10.85546875" bestFit="1" customWidth="1"/>
    <col min="1089" max="1089" width="15" bestFit="1" customWidth="1"/>
    <col min="1091" max="1091" width="14.42578125" bestFit="1" customWidth="1"/>
    <col min="1092" max="1092" width="9" customWidth="1"/>
    <col min="1093" max="1093" width="10.7109375" bestFit="1" customWidth="1"/>
    <col min="1094" max="1094" width="11.140625" bestFit="1" customWidth="1"/>
    <col min="1095" max="1095" width="10" bestFit="1" customWidth="1"/>
    <col min="1096" max="1096" width="8.42578125" customWidth="1"/>
    <col min="1097" max="1097" width="11.140625" bestFit="1" customWidth="1"/>
    <col min="1098" max="1098" width="11" bestFit="1" customWidth="1"/>
    <col min="1099" max="1099" width="8" customWidth="1"/>
    <col min="1100" max="1100" width="8.7109375" customWidth="1"/>
    <col min="1101" max="1101" width="10.28515625" bestFit="1" customWidth="1"/>
    <col min="1102" max="1102" width="10.140625" bestFit="1" customWidth="1"/>
    <col min="1103" max="1103" width="9" customWidth="1"/>
    <col min="1104" max="1105" width="10" bestFit="1" customWidth="1"/>
    <col min="1106" max="1106" width="11" bestFit="1" customWidth="1"/>
    <col min="1107" max="1107" width="9" customWidth="1"/>
    <col min="1108" max="1108" width="8.140625" customWidth="1"/>
    <col min="1109" max="1109" width="11" bestFit="1" customWidth="1"/>
    <col min="1110" max="1110" width="9" customWidth="1"/>
    <col min="1111" max="1111" width="10.5703125" bestFit="1" customWidth="1"/>
    <col min="1112" max="1112" width="17.5703125" bestFit="1" customWidth="1"/>
    <col min="1113" max="1113" width="9.7109375" bestFit="1" customWidth="1"/>
    <col min="1114" max="1114" width="9" customWidth="1"/>
    <col min="1115" max="1115" width="13.5703125" bestFit="1" customWidth="1"/>
    <col min="1116" max="1116" width="7" customWidth="1"/>
    <col min="1117" max="1117" width="10.28515625" bestFit="1" customWidth="1"/>
    <col min="1118" max="1118" width="14.140625" bestFit="1" customWidth="1"/>
    <col min="1119" max="1119" width="15.42578125" bestFit="1" customWidth="1"/>
    <col min="1120" max="1120" width="16" bestFit="1" customWidth="1"/>
    <col min="1121" max="1121" width="8" customWidth="1"/>
    <col min="1122" max="1122" width="10.28515625" bestFit="1" customWidth="1"/>
    <col min="1123" max="1123" width="9" customWidth="1"/>
    <col min="1124" max="1124" width="11" bestFit="1" customWidth="1"/>
    <col min="1125" max="1125" width="13.42578125" bestFit="1" customWidth="1"/>
    <col min="1126" max="1126" width="10.28515625" bestFit="1" customWidth="1"/>
    <col min="1127" max="1127" width="10.140625" bestFit="1" customWidth="1"/>
    <col min="1128" max="1128" width="10.42578125" bestFit="1" customWidth="1"/>
    <col min="1129" max="1129" width="11.85546875" bestFit="1" customWidth="1"/>
    <col min="1130" max="1130" width="12.85546875" bestFit="1" customWidth="1"/>
    <col min="1131" max="1131" width="9.5703125" bestFit="1" customWidth="1"/>
    <col min="1132" max="1132" width="9" customWidth="1"/>
    <col min="1133" max="1133" width="11" bestFit="1" customWidth="1"/>
    <col min="1134" max="1134" width="13.7109375" bestFit="1" customWidth="1"/>
    <col min="1135" max="1135" width="7" customWidth="1"/>
    <col min="1136" max="1136" width="12.140625" bestFit="1" customWidth="1"/>
    <col min="1137" max="1137" width="10.28515625" bestFit="1" customWidth="1"/>
    <col min="1138" max="1138" width="10" bestFit="1" customWidth="1"/>
    <col min="1139" max="1139" width="8" customWidth="1"/>
    <col min="1140" max="1140" width="11.7109375" bestFit="1" customWidth="1"/>
    <col min="1141" max="1141" width="8.5703125" customWidth="1"/>
    <col min="1142" max="1142" width="14.28515625" bestFit="1" customWidth="1"/>
    <col min="1143" max="1143" width="9" customWidth="1"/>
    <col min="1144" max="1144" width="8.7109375" customWidth="1"/>
    <col min="1145" max="1145" width="8.85546875" customWidth="1"/>
    <col min="1146" max="1146" width="10.5703125" bestFit="1" customWidth="1"/>
    <col min="1147" max="1147" width="10.28515625" bestFit="1" customWidth="1"/>
    <col min="1148" max="1148" width="10" bestFit="1" customWidth="1"/>
    <col min="1149" max="1149" width="11.140625" bestFit="1" customWidth="1"/>
    <col min="1150" max="1151" width="10.42578125" bestFit="1" customWidth="1"/>
    <col min="1152" max="1152" width="10.28515625" bestFit="1" customWidth="1"/>
    <col min="1153" max="1153" width="8.140625" customWidth="1"/>
    <col min="1154" max="1154" width="11.42578125" bestFit="1" customWidth="1"/>
    <col min="1155" max="1155" width="11.85546875" bestFit="1" customWidth="1"/>
    <col min="1156" max="1156" width="8" customWidth="1"/>
    <col min="1157" max="1157" width="12.28515625" bestFit="1" customWidth="1"/>
    <col min="1158" max="1158" width="12.5703125" bestFit="1" customWidth="1"/>
    <col min="1159" max="1159" width="8.7109375" customWidth="1"/>
    <col min="1160" max="1160" width="15.5703125" bestFit="1" customWidth="1"/>
    <col min="1161" max="1161" width="10" bestFit="1" customWidth="1"/>
    <col min="1162" max="1162" width="10.7109375" bestFit="1" customWidth="1"/>
    <col min="1163" max="1163" width="10" bestFit="1" customWidth="1"/>
    <col min="1164" max="1164" width="13.42578125" bestFit="1" customWidth="1"/>
    <col min="1165" max="1165" width="13.140625" bestFit="1" customWidth="1"/>
    <col min="1166" max="1166" width="16.7109375" bestFit="1" customWidth="1"/>
    <col min="1167" max="1167" width="15.85546875" bestFit="1" customWidth="1"/>
    <col min="1168" max="1168" width="9.85546875" bestFit="1" customWidth="1"/>
    <col min="1169" max="1169" width="14.5703125" bestFit="1" customWidth="1"/>
    <col min="1170" max="1170" width="11" bestFit="1" customWidth="1"/>
    <col min="1171" max="1171" width="12.28515625" bestFit="1" customWidth="1"/>
    <col min="1172" max="1172" width="12.85546875" bestFit="1" customWidth="1"/>
    <col min="1173" max="1173" width="16.42578125" bestFit="1" customWidth="1"/>
    <col min="1174" max="1174" width="17.42578125" bestFit="1" customWidth="1"/>
    <col min="1175" max="1175" width="12.42578125" bestFit="1" customWidth="1"/>
    <col min="1176" max="1176" width="16" bestFit="1" customWidth="1"/>
    <col min="1177" max="1177" width="15.7109375" bestFit="1" customWidth="1"/>
    <col min="1178" max="1178" width="13.28515625" bestFit="1" customWidth="1"/>
    <col min="1179" max="1179" width="11" bestFit="1" customWidth="1"/>
    <col min="1181" max="1181" width="11.42578125" bestFit="1" customWidth="1"/>
    <col min="1182" max="1182" width="9.85546875" bestFit="1" customWidth="1"/>
    <col min="1183" max="1183" width="9.42578125" bestFit="1" customWidth="1"/>
    <col min="1184" max="1184" width="9.5703125" bestFit="1" customWidth="1"/>
    <col min="1185" max="1185" width="12.42578125" bestFit="1" customWidth="1"/>
    <col min="1186" max="1186" width="9.28515625" bestFit="1" customWidth="1"/>
    <col min="1187" max="1187" width="9.7109375" bestFit="1" customWidth="1"/>
    <col min="1188" max="1188" width="12.28515625" bestFit="1" customWidth="1"/>
    <col min="1189" max="1189" width="9.85546875" bestFit="1" customWidth="1"/>
    <col min="1190" max="1190" width="8.5703125" customWidth="1"/>
    <col min="1191" max="1191" width="8" customWidth="1"/>
    <col min="1192" max="1192" width="12.28515625" bestFit="1" customWidth="1"/>
    <col min="1193" max="1193" width="10.85546875" bestFit="1" customWidth="1"/>
    <col min="1194" max="1194" width="12.28515625" bestFit="1" customWidth="1"/>
    <col min="1195" max="1195" width="11.7109375" bestFit="1" customWidth="1"/>
    <col min="1196" max="1196" width="11.5703125" bestFit="1" customWidth="1"/>
    <col min="1197" max="1197" width="11.28515625" bestFit="1" customWidth="1"/>
    <col min="1198" max="1198" width="9.5703125" bestFit="1" customWidth="1"/>
    <col min="1199" max="1199" width="11.5703125" bestFit="1" customWidth="1"/>
    <col min="1200" max="1200" width="10" bestFit="1" customWidth="1"/>
    <col min="1201" max="1201" width="11.28515625" bestFit="1" customWidth="1"/>
    <col min="1202" max="1202" width="14.42578125" bestFit="1" customWidth="1"/>
    <col min="1203" max="1203" width="13.42578125" bestFit="1" customWidth="1"/>
    <col min="1204" max="1204" width="11.5703125" bestFit="1" customWidth="1"/>
    <col min="1205" max="1205" width="14.28515625" bestFit="1" customWidth="1"/>
    <col min="1206" max="1206" width="12.140625" bestFit="1" customWidth="1"/>
    <col min="1207" max="1207" width="10.5703125" bestFit="1" customWidth="1"/>
    <col min="1208" max="1208" width="10.42578125" bestFit="1" customWidth="1"/>
    <col min="1209" max="1209" width="10.28515625" bestFit="1" customWidth="1"/>
    <col min="1210" max="1210" width="11.140625" bestFit="1" customWidth="1"/>
    <col min="1211" max="1212" width="11" bestFit="1" customWidth="1"/>
    <col min="1213" max="1213" width="12.140625" bestFit="1" customWidth="1"/>
    <col min="1214" max="1214" width="8.7109375" customWidth="1"/>
    <col min="1215" max="1215" width="10.28515625" bestFit="1" customWidth="1"/>
    <col min="1216" max="1216" width="8.42578125" customWidth="1"/>
    <col min="1217" max="1217" width="10" bestFit="1" customWidth="1"/>
    <col min="1218" max="1218" width="9.5703125" bestFit="1" customWidth="1"/>
    <col min="1219" max="1219" width="9" customWidth="1"/>
    <col min="1220" max="1220" width="8" customWidth="1"/>
    <col min="1221" max="1221" width="10" bestFit="1" customWidth="1"/>
    <col min="1222" max="1222" width="8" customWidth="1"/>
    <col min="1223" max="1223" width="12" bestFit="1" customWidth="1"/>
    <col min="1224" max="1224" width="9.28515625" bestFit="1" customWidth="1"/>
    <col min="1225" max="1225" width="7.85546875" customWidth="1"/>
    <col min="1226" max="1226" width="12" bestFit="1" customWidth="1"/>
  </cols>
  <sheetData>
    <row r="1" spans="1:14" x14ac:dyDescent="0.2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</row>
    <row r="3" spans="1:14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</row>
    <row r="4" spans="1:14" x14ac:dyDescent="0.25">
      <c r="A4" s="10"/>
      <c r="B4" s="10" t="s">
        <v>5</v>
      </c>
      <c r="C4" s="10" t="s">
        <v>1322</v>
      </c>
      <c r="D4" s="10"/>
      <c r="E4" s="10"/>
      <c r="F4" s="10" t="s">
        <v>81</v>
      </c>
      <c r="G4" s="10" t="s">
        <v>1322</v>
      </c>
      <c r="H4" s="10"/>
      <c r="I4" s="10"/>
      <c r="J4" s="10"/>
      <c r="K4" s="10"/>
      <c r="L4" s="10"/>
      <c r="M4" s="10"/>
      <c r="N4" s="10"/>
    </row>
    <row r="5" spans="1:14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spans="1:14" x14ac:dyDescent="0.25">
      <c r="A6" s="10"/>
      <c r="B6" s="10" t="s">
        <v>1320</v>
      </c>
      <c r="C6" s="10" t="s">
        <v>1323</v>
      </c>
      <c r="D6" s="16"/>
      <c r="E6" s="10"/>
      <c r="F6" s="10" t="s">
        <v>1320</v>
      </c>
      <c r="G6" s="10" t="s">
        <v>1323</v>
      </c>
      <c r="H6" s="10"/>
      <c r="I6" s="10"/>
      <c r="J6" s="10"/>
      <c r="K6" s="10"/>
      <c r="L6" s="10"/>
      <c r="M6" s="10"/>
      <c r="N6" s="10"/>
    </row>
    <row r="7" spans="1:14" x14ac:dyDescent="0.25">
      <c r="A7" s="10"/>
      <c r="B7" s="11" t="s">
        <v>91</v>
      </c>
      <c r="C7" s="27">
        <v>3044064.7859999971</v>
      </c>
      <c r="D7" s="13"/>
      <c r="E7" s="10"/>
      <c r="F7" s="26" t="s">
        <v>70</v>
      </c>
      <c r="G7" s="27">
        <v>474028.81000000029</v>
      </c>
      <c r="H7" s="10"/>
      <c r="I7" s="10"/>
      <c r="J7" s="10"/>
      <c r="K7" s="10"/>
      <c r="L7" s="10"/>
      <c r="M7" s="10"/>
      <c r="N7" s="10"/>
    </row>
    <row r="8" spans="1:14" x14ac:dyDescent="0.25">
      <c r="A8" s="10"/>
      <c r="B8" s="11" t="s">
        <v>85</v>
      </c>
      <c r="C8" s="27">
        <v>2243073.4500000007</v>
      </c>
      <c r="D8" s="13"/>
      <c r="E8" s="10"/>
      <c r="F8" s="26" t="s">
        <v>69</v>
      </c>
      <c r="G8" s="27">
        <v>559070.03000000061</v>
      </c>
      <c r="H8" s="10"/>
      <c r="I8" s="10"/>
      <c r="J8" s="10"/>
      <c r="K8" s="10"/>
      <c r="L8" s="10"/>
      <c r="M8" s="10"/>
      <c r="N8" s="10"/>
    </row>
    <row r="9" spans="1:14" x14ac:dyDescent="0.25">
      <c r="A9" s="10"/>
      <c r="B9" s="11" t="s">
        <v>92</v>
      </c>
      <c r="C9" s="27">
        <v>3807382.9024999989</v>
      </c>
      <c r="D9" s="13"/>
      <c r="E9" s="10"/>
      <c r="F9" s="26" t="s">
        <v>68</v>
      </c>
      <c r="G9" s="27">
        <v>581857.77000000014</v>
      </c>
      <c r="H9" s="10"/>
      <c r="I9" s="10"/>
      <c r="J9" s="10"/>
      <c r="K9" s="10"/>
      <c r="L9" s="10"/>
      <c r="M9" s="10"/>
      <c r="N9" s="10"/>
    </row>
    <row r="10" spans="1:14" x14ac:dyDescent="0.25">
      <c r="A10" s="10"/>
      <c r="B10" s="10"/>
      <c r="C10" s="10"/>
      <c r="D10" s="13"/>
      <c r="E10" s="10"/>
      <c r="F10" s="26" t="s">
        <v>72</v>
      </c>
      <c r="G10" s="27">
        <v>953531.68</v>
      </c>
      <c r="H10" s="10"/>
      <c r="I10" s="10"/>
      <c r="J10" s="10"/>
      <c r="K10" s="10"/>
      <c r="L10" s="10"/>
      <c r="M10" s="10"/>
      <c r="N10" s="10"/>
    </row>
    <row r="11" spans="1:14" x14ac:dyDescent="0.25">
      <c r="A11" s="10"/>
      <c r="B11" s="10"/>
      <c r="C11" s="10"/>
      <c r="D11" s="15"/>
      <c r="E11" s="10"/>
      <c r="F11" s="26" t="s">
        <v>62</v>
      </c>
      <c r="G11" s="27">
        <v>486024.6700000001</v>
      </c>
      <c r="H11" s="10"/>
      <c r="I11" s="10"/>
      <c r="J11" s="10"/>
      <c r="K11" s="10"/>
      <c r="L11" s="10"/>
      <c r="M11" s="10"/>
      <c r="N11" s="10"/>
    </row>
    <row r="12" spans="1:14" x14ac:dyDescent="0.25">
      <c r="A12" s="10"/>
      <c r="B12" s="10"/>
      <c r="C12" s="10"/>
      <c r="D12" s="10"/>
      <c r="E12" s="10"/>
      <c r="F12" s="26" t="s">
        <v>73</v>
      </c>
      <c r="G12" s="27">
        <v>723695.29000000015</v>
      </c>
      <c r="H12" s="10"/>
      <c r="I12" s="10"/>
      <c r="J12" s="10"/>
      <c r="K12" s="10"/>
      <c r="L12" s="10"/>
      <c r="M12" s="10"/>
      <c r="N12" s="10"/>
    </row>
    <row r="13" spans="1:14" x14ac:dyDescent="0.25">
      <c r="A13" s="10"/>
      <c r="B13" s="10"/>
      <c r="C13" s="10"/>
      <c r="D13" s="10"/>
      <c r="E13" s="10"/>
      <c r="F13" s="26" t="s">
        <v>71</v>
      </c>
      <c r="G13" s="27">
        <v>114881.07000000002</v>
      </c>
      <c r="H13" s="10"/>
      <c r="I13" s="10"/>
      <c r="J13" s="10"/>
      <c r="K13" s="10"/>
      <c r="L13" s="10"/>
      <c r="M13" s="10"/>
      <c r="N13" s="10"/>
    </row>
    <row r="14" spans="1:14" x14ac:dyDescent="0.25">
      <c r="A14" s="10"/>
      <c r="B14" s="10"/>
      <c r="C14" s="10"/>
      <c r="D14" s="10"/>
      <c r="E14" s="10"/>
      <c r="F14" s="26" t="s">
        <v>65</v>
      </c>
      <c r="G14" s="27">
        <v>20456.419999999991</v>
      </c>
      <c r="H14" s="10"/>
      <c r="I14" s="10"/>
      <c r="J14" s="10"/>
      <c r="K14" s="10"/>
      <c r="L14" s="10"/>
      <c r="M14" s="10"/>
      <c r="N14" s="10"/>
    </row>
    <row r="15" spans="1:14" x14ac:dyDescent="0.25">
      <c r="A15" s="10"/>
      <c r="B15" s="14"/>
      <c r="C15" s="10"/>
      <c r="D15" s="10"/>
      <c r="E15" s="10"/>
      <c r="F15" s="26" t="s">
        <v>59</v>
      </c>
      <c r="G15" s="27">
        <v>406931.68000000017</v>
      </c>
      <c r="H15" s="10"/>
      <c r="I15" s="10"/>
      <c r="J15" s="10"/>
      <c r="K15" s="10"/>
      <c r="L15" s="10"/>
      <c r="M15" s="10"/>
      <c r="N15" s="10"/>
    </row>
    <row r="16" spans="1:14" x14ac:dyDescent="0.25">
      <c r="A16" s="10"/>
      <c r="B16" s="10"/>
      <c r="C16" s="10"/>
      <c r="D16" s="10"/>
      <c r="E16" s="10"/>
      <c r="F16" s="26" t="s">
        <v>67</v>
      </c>
      <c r="G16" s="27">
        <v>1439922.7799999993</v>
      </c>
      <c r="H16" s="10"/>
      <c r="I16" s="10"/>
      <c r="J16" s="10"/>
      <c r="K16" s="10"/>
      <c r="L16" s="10"/>
      <c r="M16" s="10"/>
      <c r="N16" s="10"/>
    </row>
    <row r="17" spans="1:14" x14ac:dyDescent="0.25">
      <c r="A17" s="10"/>
      <c r="B17" s="10"/>
      <c r="C17" s="10"/>
      <c r="D17" s="10"/>
      <c r="E17" s="10"/>
      <c r="F17" s="26" t="s">
        <v>66</v>
      </c>
      <c r="G17" s="27">
        <v>253178.25999999989</v>
      </c>
      <c r="H17" s="10"/>
      <c r="I17" s="10"/>
      <c r="J17" s="10"/>
      <c r="K17" s="10"/>
      <c r="L17" s="10"/>
      <c r="M17" s="10"/>
      <c r="N17" s="10"/>
    </row>
    <row r="18" spans="1:14" ht="15.75" x14ac:dyDescent="0.3">
      <c r="A18" s="17"/>
      <c r="B18" s="18"/>
      <c r="C18" s="10"/>
      <c r="D18" s="10"/>
      <c r="E18" s="10"/>
      <c r="F18" s="26" t="s">
        <v>63</v>
      </c>
      <c r="G18" s="27">
        <v>102956.49</v>
      </c>
      <c r="H18" s="10"/>
      <c r="I18" s="10"/>
      <c r="J18" s="10"/>
      <c r="K18" s="10"/>
      <c r="L18" s="10"/>
      <c r="M18" s="10"/>
      <c r="N18" s="10"/>
    </row>
    <row r="19" spans="1:14" x14ac:dyDescent="0.25">
      <c r="A19" s="10"/>
      <c r="B19" s="10"/>
      <c r="C19" s="10"/>
      <c r="D19" s="10"/>
      <c r="E19" s="10"/>
      <c r="F19" s="26" t="s">
        <v>64</v>
      </c>
      <c r="G19" s="27">
        <v>7494.4500000000016</v>
      </c>
      <c r="H19" s="10"/>
      <c r="I19" s="10"/>
      <c r="J19" s="10"/>
      <c r="K19" s="10"/>
      <c r="L19" s="10"/>
      <c r="M19" s="10"/>
      <c r="N19" s="10"/>
    </row>
    <row r="20" spans="1:14" x14ac:dyDescent="0.25">
      <c r="A20" s="10"/>
      <c r="B20" s="10"/>
      <c r="C20" s="10"/>
      <c r="D20" s="10"/>
      <c r="E20" s="10"/>
      <c r="F20" s="26" t="s">
        <v>58</v>
      </c>
      <c r="G20" s="27">
        <v>28656.300000000007</v>
      </c>
      <c r="H20" s="10"/>
      <c r="I20" s="10"/>
      <c r="J20" s="10"/>
      <c r="K20" s="10"/>
      <c r="L20" s="10"/>
      <c r="M20" s="10"/>
      <c r="N20" s="10"/>
    </row>
    <row r="21" spans="1:14" x14ac:dyDescent="0.25">
      <c r="A21" s="10"/>
      <c r="B21" s="10"/>
      <c r="C21" s="10"/>
      <c r="D21" s="10"/>
      <c r="E21" s="10"/>
      <c r="F21" s="26" t="s">
        <v>57</v>
      </c>
      <c r="G21" s="27">
        <v>682351.62000000046</v>
      </c>
      <c r="H21" s="10"/>
      <c r="I21" s="10"/>
      <c r="J21" s="10"/>
      <c r="K21" s="10"/>
      <c r="L21" s="10"/>
      <c r="M21" s="10"/>
      <c r="N21" s="10"/>
    </row>
    <row r="22" spans="1:14" x14ac:dyDescent="0.25">
      <c r="A22" s="10"/>
      <c r="B22" s="10"/>
      <c r="C22" s="10"/>
      <c r="D22" s="10"/>
      <c r="E22" s="10"/>
      <c r="F22" s="26" t="s">
        <v>60</v>
      </c>
      <c r="G22" s="27">
        <v>1101743.6560000007</v>
      </c>
      <c r="H22" s="10"/>
      <c r="I22" s="10"/>
      <c r="J22" s="10"/>
      <c r="K22" s="10"/>
      <c r="L22" s="10"/>
      <c r="M22" s="10"/>
      <c r="N22" s="10"/>
    </row>
    <row r="23" spans="1:14" x14ac:dyDescent="0.25">
      <c r="A23" s="10"/>
      <c r="B23" s="10"/>
      <c r="C23" s="10"/>
      <c r="D23" s="10"/>
      <c r="E23" s="10"/>
      <c r="F23" s="26" t="s">
        <v>61</v>
      </c>
      <c r="G23" s="27">
        <v>1157740.1624999992</v>
      </c>
      <c r="H23" s="10"/>
      <c r="I23" s="10"/>
      <c r="J23" s="10"/>
      <c r="K23" s="10"/>
      <c r="L23" s="10"/>
      <c r="M23" s="10"/>
      <c r="N23" s="10"/>
    </row>
    <row r="24" spans="1:14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</row>
    <row r="25" spans="1:14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</row>
  </sheetData>
  <conditionalFormatting sqref="B8:B9">
    <cfRule type="dataBar" priority="5">
      <dataBar>
        <cfvo type="min"/>
        <cfvo type="max"/>
        <color rgb="FF63C384"/>
      </dataBar>
    </cfRule>
  </conditionalFormatting>
  <conditionalFormatting sqref="D7:D10">
    <cfRule type="iconSet" priority="3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F8:F10">
    <cfRule type="dataBar" priority="2">
      <dataBar>
        <cfvo type="min"/>
        <cfvo type="max"/>
        <color rgb="FF63C384"/>
      </dataBar>
    </cfRule>
  </conditionalFormatting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Q37"/>
  <sheetViews>
    <sheetView workbookViewId="0"/>
  </sheetViews>
  <sheetFormatPr defaultColWidth="9.5703125" defaultRowHeight="15" x14ac:dyDescent="0.25"/>
  <cols>
    <col min="17" max="17" width="3.85546875" customWidth="1"/>
  </cols>
  <sheetData>
    <row r="1" spans="1:17" x14ac:dyDescent="0.2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 spans="1:17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17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</row>
    <row r="4" spans="1:17" x14ac:dyDescent="0.2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</row>
    <row r="5" spans="1:17" x14ac:dyDescent="0.25">
      <c r="A5" s="10"/>
      <c r="B5" s="10"/>
      <c r="C5" s="10"/>
      <c r="D5" s="10"/>
      <c r="E5" s="10"/>
      <c r="F5" s="10"/>
      <c r="G5" s="10"/>
      <c r="H5" s="10"/>
      <c r="I5" s="10"/>
      <c r="J5" s="20" t="s">
        <v>1325</v>
      </c>
      <c r="K5" s="8"/>
      <c r="L5" s="8"/>
      <c r="M5" s="8"/>
      <c r="N5" s="8"/>
      <c r="O5" s="8"/>
      <c r="P5" s="8"/>
      <c r="Q5" s="10"/>
    </row>
    <row r="6" spans="1:17" x14ac:dyDescent="0.25">
      <c r="A6" s="10"/>
      <c r="B6" s="10"/>
      <c r="C6" s="10"/>
      <c r="D6" s="16"/>
      <c r="E6" s="10"/>
      <c r="F6" s="10"/>
      <c r="G6" s="10"/>
      <c r="H6" s="10"/>
      <c r="I6" s="10"/>
      <c r="J6" s="8"/>
      <c r="K6" s="8"/>
      <c r="L6" s="8"/>
      <c r="M6" s="8"/>
      <c r="N6" s="8"/>
      <c r="O6" s="8"/>
      <c r="P6" s="8"/>
      <c r="Q6" s="10"/>
    </row>
    <row r="7" spans="1:17" ht="15.75" x14ac:dyDescent="0.3">
      <c r="A7" s="10"/>
      <c r="B7" s="11"/>
      <c r="C7" s="12"/>
      <c r="D7" s="13"/>
      <c r="E7" s="10"/>
      <c r="F7" s="10"/>
      <c r="G7" s="10"/>
      <c r="H7" s="10"/>
      <c r="I7" s="10"/>
      <c r="J7" s="19">
        <v>4</v>
      </c>
      <c r="K7" s="8" t="s">
        <v>1326</v>
      </c>
      <c r="L7" s="8"/>
      <c r="M7" s="8"/>
      <c r="N7" s="8"/>
      <c r="O7" s="8"/>
      <c r="P7" s="8"/>
      <c r="Q7" s="10"/>
    </row>
    <row r="8" spans="1:17" x14ac:dyDescent="0.25">
      <c r="A8" s="10"/>
      <c r="B8" s="11"/>
      <c r="C8" s="12"/>
      <c r="D8" s="13"/>
      <c r="E8" s="10"/>
      <c r="F8" s="10"/>
      <c r="G8" s="10"/>
      <c r="H8" s="10"/>
      <c r="I8" s="10"/>
      <c r="J8" s="8"/>
      <c r="K8" s="8"/>
      <c r="L8" s="8"/>
      <c r="M8" s="8"/>
      <c r="N8" s="8"/>
      <c r="O8" s="8"/>
      <c r="P8" s="8"/>
      <c r="Q8" s="10"/>
    </row>
    <row r="9" spans="1:17" ht="15.75" x14ac:dyDescent="0.3">
      <c r="A9" s="10"/>
      <c r="B9" s="11"/>
      <c r="C9" s="12"/>
      <c r="D9" s="13"/>
      <c r="E9" s="10"/>
      <c r="F9" s="10"/>
      <c r="G9" s="10"/>
      <c r="H9" s="10"/>
      <c r="I9" s="10"/>
      <c r="J9" s="19">
        <v>4</v>
      </c>
      <c r="K9" s="41" t="s">
        <v>1327</v>
      </c>
      <c r="L9" s="41"/>
      <c r="M9" s="41"/>
      <c r="N9" s="41"/>
      <c r="O9" s="41"/>
      <c r="P9" s="41"/>
      <c r="Q9" s="10"/>
    </row>
    <row r="10" spans="1:17" x14ac:dyDescent="0.25">
      <c r="A10" s="10"/>
      <c r="B10" s="11"/>
      <c r="C10" s="12"/>
      <c r="D10" s="13"/>
      <c r="E10" s="10"/>
      <c r="F10" s="10"/>
      <c r="G10" s="10"/>
      <c r="H10" s="10"/>
      <c r="I10" s="10"/>
      <c r="J10" s="8"/>
      <c r="K10" s="41"/>
      <c r="L10" s="41"/>
      <c r="M10" s="41"/>
      <c r="N10" s="41"/>
      <c r="O10" s="41"/>
      <c r="P10" s="41"/>
      <c r="Q10" s="10"/>
    </row>
    <row r="11" spans="1:17" ht="15.75" x14ac:dyDescent="0.3">
      <c r="A11" s="10"/>
      <c r="B11" s="11"/>
      <c r="C11" s="12"/>
      <c r="D11" s="15"/>
      <c r="E11" s="10"/>
      <c r="F11" s="10"/>
      <c r="G11" s="10"/>
      <c r="H11" s="10"/>
      <c r="I11" s="10"/>
      <c r="J11" s="19"/>
      <c r="K11" s="8"/>
      <c r="L11" s="8"/>
      <c r="M11" s="8"/>
      <c r="N11" s="8"/>
      <c r="O11" s="8"/>
      <c r="P11" s="8"/>
      <c r="Q11" s="10"/>
    </row>
    <row r="12" spans="1:17" ht="15.75" x14ac:dyDescent="0.3">
      <c r="A12" s="10"/>
      <c r="B12" s="10"/>
      <c r="C12" s="10"/>
      <c r="D12" s="10"/>
      <c r="E12" s="10"/>
      <c r="F12" s="10"/>
      <c r="G12" s="10"/>
      <c r="H12" s="10"/>
      <c r="I12" s="10"/>
      <c r="J12" s="19">
        <v>4</v>
      </c>
      <c r="K12" s="41" t="s">
        <v>1328</v>
      </c>
      <c r="L12" s="41"/>
      <c r="M12" s="41"/>
      <c r="N12" s="41"/>
      <c r="O12" s="41"/>
      <c r="P12" s="41"/>
      <c r="Q12" s="10"/>
    </row>
    <row r="13" spans="1:17" ht="15.75" x14ac:dyDescent="0.3">
      <c r="A13" s="10"/>
      <c r="B13" s="10"/>
      <c r="C13" s="10"/>
      <c r="D13" s="10"/>
      <c r="E13" s="10"/>
      <c r="F13" s="10"/>
      <c r="G13" s="10"/>
      <c r="H13" s="10"/>
      <c r="I13" s="10"/>
      <c r="J13" s="19"/>
      <c r="K13" s="41"/>
      <c r="L13" s="41"/>
      <c r="M13" s="41"/>
      <c r="N13" s="41"/>
      <c r="O13" s="41"/>
      <c r="P13" s="41"/>
      <c r="Q13" s="10"/>
    </row>
    <row r="14" spans="1:17" x14ac:dyDescent="0.25">
      <c r="A14" s="10"/>
      <c r="B14" s="10"/>
      <c r="C14" s="10"/>
      <c r="D14" s="10"/>
      <c r="E14" s="10"/>
      <c r="F14" s="10"/>
      <c r="G14" s="10"/>
      <c r="H14" s="10"/>
      <c r="I14" s="10"/>
      <c r="J14" s="8"/>
      <c r="K14" s="8"/>
      <c r="L14" s="8"/>
      <c r="M14" s="8"/>
      <c r="N14" s="8"/>
      <c r="O14" s="8"/>
      <c r="P14" s="8"/>
      <c r="Q14" s="10"/>
    </row>
    <row r="15" spans="1:17" ht="15.75" x14ac:dyDescent="0.3">
      <c r="A15" s="10"/>
      <c r="B15" s="14"/>
      <c r="C15" s="10"/>
      <c r="D15" s="10"/>
      <c r="E15" s="10"/>
      <c r="F15" s="10"/>
      <c r="G15" s="10"/>
      <c r="H15" s="10"/>
      <c r="I15" s="10"/>
      <c r="J15" s="19"/>
      <c r="K15" s="8"/>
      <c r="L15" s="8"/>
      <c r="M15" s="8"/>
      <c r="N15" s="8"/>
      <c r="O15" s="8"/>
      <c r="P15" s="8"/>
      <c r="Q15" s="10"/>
    </row>
    <row r="16" spans="1:17" x14ac:dyDescent="0.25">
      <c r="A16" s="10"/>
      <c r="B16" s="10"/>
      <c r="C16" s="10"/>
      <c r="D16" s="10"/>
      <c r="E16" s="10"/>
      <c r="F16" s="10"/>
      <c r="G16" s="10"/>
      <c r="H16" s="10"/>
      <c r="I16" s="10"/>
      <c r="J16" s="42" t="s">
        <v>1329</v>
      </c>
      <c r="K16" s="42"/>
      <c r="L16" s="42"/>
      <c r="M16" s="42"/>
      <c r="N16" s="42"/>
      <c r="O16" s="42"/>
      <c r="P16" s="42"/>
      <c r="Q16" s="10"/>
    </row>
    <row r="17" spans="1:17" x14ac:dyDescent="0.25">
      <c r="A17" s="10"/>
      <c r="B17" s="10"/>
      <c r="C17" s="10"/>
      <c r="D17" s="10"/>
      <c r="E17" s="10"/>
      <c r="F17" s="10"/>
      <c r="G17" s="10"/>
      <c r="H17" s="10"/>
      <c r="I17" s="10"/>
      <c r="J17" s="42"/>
      <c r="K17" s="42"/>
      <c r="L17" s="42"/>
      <c r="M17" s="42"/>
      <c r="N17" s="42"/>
      <c r="O17" s="42"/>
      <c r="P17" s="42"/>
      <c r="Q17" s="10"/>
    </row>
    <row r="18" spans="1:17" ht="15.75" x14ac:dyDescent="0.3">
      <c r="A18" s="17"/>
      <c r="B18" s="18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</row>
    <row r="19" spans="1:17" x14ac:dyDescent="0.25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</row>
    <row r="20" spans="1:17" x14ac:dyDescent="0.25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</row>
    <row r="21" spans="1:17" ht="15.75" x14ac:dyDescent="0.3">
      <c r="A21" s="17"/>
      <c r="B21" s="10"/>
      <c r="C21" s="10"/>
      <c r="D21" s="10"/>
      <c r="E21" s="10"/>
      <c r="F21" s="10"/>
      <c r="G21" s="10"/>
      <c r="H21" s="10"/>
      <c r="I21" s="17"/>
      <c r="J21" s="17"/>
      <c r="K21" s="17"/>
      <c r="L21" s="17"/>
      <c r="M21" s="17"/>
      <c r="N21" s="17"/>
      <c r="O21" s="17"/>
      <c r="P21" s="17"/>
      <c r="Q21" s="17"/>
    </row>
    <row r="22" spans="1:17" x14ac:dyDescent="0.25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</row>
    <row r="23" spans="1:17" x14ac:dyDescent="0.25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</row>
    <row r="24" spans="1:17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</row>
    <row r="25" spans="1:17" x14ac:dyDescent="0.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</row>
    <row r="26" spans="1:17" x14ac:dyDescent="0.25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</row>
    <row r="27" spans="1:17" x14ac:dyDescent="0.25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</row>
    <row r="28" spans="1:17" x14ac:dyDescent="0.2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</row>
    <row r="29" spans="1:17" x14ac:dyDescent="0.25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</row>
    <row r="30" spans="1:17" x14ac:dyDescent="0.25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</row>
    <row r="31" spans="1:17" x14ac:dyDescent="0.25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</row>
    <row r="32" spans="1:17" x14ac:dyDescent="0.25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</row>
    <row r="33" spans="1:17" x14ac:dyDescent="0.25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</row>
    <row r="34" spans="1:17" x14ac:dyDescent="0.25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</row>
    <row r="35" spans="1:17" x14ac:dyDescent="0.2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1:17" ht="15.75" x14ac:dyDescent="0.3">
      <c r="A36" s="22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1:17" x14ac:dyDescent="0.2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</sheetData>
  <mergeCells count="3">
    <mergeCell ref="K9:P10"/>
    <mergeCell ref="K12:P13"/>
    <mergeCell ref="J16:P17"/>
  </mergeCells>
  <conditionalFormatting sqref="B7:B10">
    <cfRule type="dataBar" priority="3">
      <dataBar>
        <cfvo type="min"/>
        <cfvo type="max"/>
        <color rgb="FF63C384"/>
      </dataBar>
    </cfRule>
  </conditionalFormatting>
  <conditionalFormatting sqref="B7:C10">
    <cfRule type="dataBar" priority="2">
      <dataBar>
        <cfvo type="min"/>
        <cfvo type="max"/>
        <color rgb="FF63C384"/>
      </dataBar>
    </cfRule>
  </conditionalFormatting>
  <conditionalFormatting sqref="D7:D10">
    <cfRule type="iconSet" priority="1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N5001"/>
  <sheetViews>
    <sheetView workbookViewId="0">
      <selection activeCell="N7" sqref="N7"/>
    </sheetView>
  </sheetViews>
  <sheetFormatPr defaultRowHeight="15" x14ac:dyDescent="0.25"/>
  <cols>
    <col min="3" max="3" width="12.140625" bestFit="1" customWidth="1"/>
    <col min="12" max="12" width="9.140625" style="1"/>
  </cols>
  <sheetData>
    <row r="1" spans="1:14" x14ac:dyDescent="0.25">
      <c r="A1" s="23" t="s">
        <v>74</v>
      </c>
      <c r="B1" s="23" t="s">
        <v>75</v>
      </c>
      <c r="C1" s="24" t="s">
        <v>76</v>
      </c>
      <c r="D1" s="24" t="s">
        <v>77</v>
      </c>
      <c r="E1" s="24" t="s">
        <v>79</v>
      </c>
      <c r="F1" s="24" t="s">
        <v>7</v>
      </c>
      <c r="G1" s="24" t="s">
        <v>5</v>
      </c>
      <c r="H1" s="24" t="s">
        <v>80</v>
      </c>
      <c r="I1" s="24" t="s">
        <v>81</v>
      </c>
      <c r="J1" s="24" t="s">
        <v>56</v>
      </c>
      <c r="K1" s="24" t="s">
        <v>0</v>
      </c>
      <c r="L1" s="25" t="s">
        <v>78</v>
      </c>
      <c r="N1" s="35"/>
    </row>
    <row r="2" spans="1:14" x14ac:dyDescent="0.25">
      <c r="A2" s="1">
        <v>1</v>
      </c>
      <c r="B2" s="4">
        <v>3</v>
      </c>
      <c r="C2" s="5">
        <v>40464</v>
      </c>
      <c r="D2" s="3" t="s">
        <v>82</v>
      </c>
      <c r="E2" s="1" t="s">
        <v>83</v>
      </c>
      <c r="F2" s="1" t="s">
        <v>8</v>
      </c>
      <c r="G2" s="2" t="s">
        <v>6</v>
      </c>
      <c r="H2" s="3" t="s">
        <v>84</v>
      </c>
      <c r="I2" s="3" t="s">
        <v>85</v>
      </c>
      <c r="J2" s="3" t="s">
        <v>57</v>
      </c>
      <c r="K2" s="4">
        <v>261.54000000000002</v>
      </c>
      <c r="L2" s="6">
        <v>38.94</v>
      </c>
    </row>
    <row r="3" spans="1:14" x14ac:dyDescent="0.25">
      <c r="A3" s="1">
        <v>2</v>
      </c>
      <c r="B3" s="4">
        <v>6</v>
      </c>
      <c r="C3" s="5">
        <v>40959</v>
      </c>
      <c r="D3" s="3" t="s">
        <v>86</v>
      </c>
      <c r="E3" s="1" t="s">
        <v>87</v>
      </c>
      <c r="F3" s="1" t="s">
        <v>9</v>
      </c>
      <c r="G3" s="2" t="s">
        <v>2</v>
      </c>
      <c r="H3" s="3" t="s">
        <v>88</v>
      </c>
      <c r="I3" s="3" t="s">
        <v>85</v>
      </c>
      <c r="J3" s="3" t="s">
        <v>58</v>
      </c>
      <c r="K3" s="4">
        <v>6.93</v>
      </c>
      <c r="L3" s="6">
        <v>2.08</v>
      </c>
    </row>
    <row r="4" spans="1:14" x14ac:dyDescent="0.25">
      <c r="A4" s="1">
        <v>3</v>
      </c>
      <c r="B4" s="4">
        <v>32</v>
      </c>
      <c r="C4" s="5">
        <v>40739</v>
      </c>
      <c r="D4" s="3" t="s">
        <v>89</v>
      </c>
      <c r="E4" s="1" t="s">
        <v>90</v>
      </c>
      <c r="F4" s="1" t="s">
        <v>9</v>
      </c>
      <c r="G4" s="2" t="s">
        <v>2</v>
      </c>
      <c r="H4" s="3" t="s">
        <v>88</v>
      </c>
      <c r="I4" s="3" t="s">
        <v>91</v>
      </c>
      <c r="J4" s="3" t="s">
        <v>59</v>
      </c>
      <c r="K4" s="4">
        <v>2808.08</v>
      </c>
      <c r="L4" s="6">
        <v>107.53</v>
      </c>
    </row>
    <row r="5" spans="1:14" x14ac:dyDescent="0.25">
      <c r="A5" s="1">
        <v>4</v>
      </c>
      <c r="B5" s="4">
        <v>32</v>
      </c>
      <c r="C5" s="5">
        <v>40739</v>
      </c>
      <c r="D5" s="3" t="s">
        <v>89</v>
      </c>
      <c r="E5" s="1" t="s">
        <v>90</v>
      </c>
      <c r="F5" s="1" t="s">
        <v>9</v>
      </c>
      <c r="G5" s="2" t="s">
        <v>2</v>
      </c>
      <c r="H5" s="3" t="s">
        <v>88</v>
      </c>
      <c r="I5" s="3" t="s">
        <v>91</v>
      </c>
      <c r="J5" s="3" t="s">
        <v>60</v>
      </c>
      <c r="K5" s="4">
        <v>1761.4</v>
      </c>
      <c r="L5" s="6">
        <v>70.89</v>
      </c>
    </row>
    <row r="6" spans="1:14" x14ac:dyDescent="0.25">
      <c r="A6" s="1">
        <v>5</v>
      </c>
      <c r="B6" s="4">
        <v>32</v>
      </c>
      <c r="C6" s="5">
        <v>40739</v>
      </c>
      <c r="D6" s="3" t="s">
        <v>89</v>
      </c>
      <c r="E6" s="1" t="s">
        <v>90</v>
      </c>
      <c r="F6" s="1" t="s">
        <v>9</v>
      </c>
      <c r="G6" s="2" t="s">
        <v>2</v>
      </c>
      <c r="H6" s="3" t="s">
        <v>88</v>
      </c>
      <c r="I6" s="3" t="s">
        <v>92</v>
      </c>
      <c r="J6" s="3" t="s">
        <v>61</v>
      </c>
      <c r="K6" s="4">
        <v>160.23349999999999</v>
      </c>
      <c r="L6" s="6">
        <v>7.99</v>
      </c>
    </row>
    <row r="7" spans="1:14" x14ac:dyDescent="0.25">
      <c r="A7" s="1">
        <v>6</v>
      </c>
      <c r="B7" s="4">
        <v>32</v>
      </c>
      <c r="C7" s="5">
        <v>40739</v>
      </c>
      <c r="D7" s="3" t="s">
        <v>89</v>
      </c>
      <c r="E7" s="1" t="s">
        <v>93</v>
      </c>
      <c r="F7" s="1" t="s">
        <v>10</v>
      </c>
      <c r="G7" s="2" t="s">
        <v>3</v>
      </c>
      <c r="H7" s="3" t="s">
        <v>88</v>
      </c>
      <c r="I7" s="3" t="s">
        <v>92</v>
      </c>
      <c r="J7" s="3" t="s">
        <v>62</v>
      </c>
      <c r="K7" s="4">
        <v>140.56</v>
      </c>
      <c r="L7" s="6">
        <v>8.4600000000000009</v>
      </c>
    </row>
    <row r="8" spans="1:14" x14ac:dyDescent="0.25">
      <c r="A8" s="1">
        <v>7</v>
      </c>
      <c r="B8" s="4">
        <v>35</v>
      </c>
      <c r="C8" s="5">
        <v>40838</v>
      </c>
      <c r="D8" s="3" t="s">
        <v>86</v>
      </c>
      <c r="E8" s="1" t="s">
        <v>94</v>
      </c>
      <c r="F8" s="1" t="s">
        <v>11</v>
      </c>
      <c r="G8" s="2" t="s">
        <v>6</v>
      </c>
      <c r="H8" s="3" t="s">
        <v>88</v>
      </c>
      <c r="I8" s="3" t="s">
        <v>85</v>
      </c>
      <c r="J8" s="3" t="s">
        <v>63</v>
      </c>
      <c r="K8" s="4">
        <v>288.56</v>
      </c>
      <c r="L8" s="6">
        <v>9.11</v>
      </c>
    </row>
    <row r="9" spans="1:14" x14ac:dyDescent="0.25">
      <c r="A9" s="1">
        <v>8</v>
      </c>
      <c r="B9" s="4">
        <v>35</v>
      </c>
      <c r="C9" s="5">
        <v>40838</v>
      </c>
      <c r="D9" s="3" t="s">
        <v>86</v>
      </c>
      <c r="E9" s="1" t="s">
        <v>94</v>
      </c>
      <c r="F9" s="1" t="s">
        <v>11</v>
      </c>
      <c r="G9" s="2" t="s">
        <v>6</v>
      </c>
      <c r="H9" s="3" t="s">
        <v>88</v>
      </c>
      <c r="I9" s="3" t="s">
        <v>92</v>
      </c>
      <c r="J9" s="3" t="s">
        <v>61</v>
      </c>
      <c r="K9" s="4">
        <v>1892.848</v>
      </c>
      <c r="L9" s="6">
        <v>155.99</v>
      </c>
    </row>
    <row r="10" spans="1:14" x14ac:dyDescent="0.25">
      <c r="A10" s="1">
        <v>9</v>
      </c>
      <c r="B10" s="4">
        <v>36</v>
      </c>
      <c r="C10" s="5">
        <v>40849</v>
      </c>
      <c r="D10" s="3" t="s">
        <v>95</v>
      </c>
      <c r="E10" s="1" t="s">
        <v>96</v>
      </c>
      <c r="F10" s="1" t="s">
        <v>12</v>
      </c>
      <c r="G10" s="2" t="s">
        <v>2</v>
      </c>
      <c r="H10" s="3" t="s">
        <v>97</v>
      </c>
      <c r="I10" s="3" t="s">
        <v>92</v>
      </c>
      <c r="J10" s="3" t="s">
        <v>61</v>
      </c>
      <c r="K10" s="4">
        <v>2484.7455</v>
      </c>
      <c r="L10" s="6">
        <v>65.989999999999995</v>
      </c>
    </row>
    <row r="11" spans="1:14" x14ac:dyDescent="0.25">
      <c r="A11" s="1">
        <v>10</v>
      </c>
      <c r="B11" s="4">
        <v>65</v>
      </c>
      <c r="C11" s="5">
        <v>40619</v>
      </c>
      <c r="D11" s="3" t="s">
        <v>95</v>
      </c>
      <c r="E11" s="1" t="s">
        <v>98</v>
      </c>
      <c r="F11" s="1" t="s">
        <v>13</v>
      </c>
      <c r="G11" s="2" t="s">
        <v>6</v>
      </c>
      <c r="H11" s="3" t="s">
        <v>88</v>
      </c>
      <c r="I11" s="3" t="s">
        <v>92</v>
      </c>
      <c r="J11" s="3" t="s">
        <v>62</v>
      </c>
      <c r="K11" s="4">
        <v>3812.73</v>
      </c>
      <c r="L11" s="6">
        <v>115.79</v>
      </c>
    </row>
    <row r="12" spans="1:14" x14ac:dyDescent="0.25">
      <c r="A12" s="1">
        <v>11</v>
      </c>
      <c r="B12" s="4">
        <v>66</v>
      </c>
      <c r="C12" s="5">
        <v>39832</v>
      </c>
      <c r="D12" s="3" t="s">
        <v>82</v>
      </c>
      <c r="E12" s="1" t="s">
        <v>99</v>
      </c>
      <c r="F12" s="1" t="s">
        <v>14</v>
      </c>
      <c r="G12" s="2" t="s">
        <v>2</v>
      </c>
      <c r="H12" s="3" t="s">
        <v>100</v>
      </c>
      <c r="I12" s="3" t="s">
        <v>85</v>
      </c>
      <c r="J12" s="3" t="s">
        <v>63</v>
      </c>
      <c r="K12" s="4">
        <v>108.15</v>
      </c>
      <c r="L12" s="6">
        <v>2.88</v>
      </c>
    </row>
    <row r="13" spans="1:14" x14ac:dyDescent="0.25">
      <c r="A13" s="1">
        <v>12</v>
      </c>
      <c r="B13" s="4">
        <v>69</v>
      </c>
      <c r="C13" s="5">
        <v>39967</v>
      </c>
      <c r="D13" s="3" t="s">
        <v>86</v>
      </c>
      <c r="E13" s="1" t="s">
        <v>101</v>
      </c>
      <c r="F13" s="1" t="s">
        <v>10</v>
      </c>
      <c r="G13" s="2" t="s">
        <v>3</v>
      </c>
      <c r="H13" s="3" t="s">
        <v>88</v>
      </c>
      <c r="I13" s="3" t="s">
        <v>91</v>
      </c>
      <c r="J13" s="3" t="s">
        <v>59</v>
      </c>
      <c r="K13" s="4">
        <v>1186.06</v>
      </c>
      <c r="L13" s="6">
        <v>30.93</v>
      </c>
    </row>
    <row r="14" spans="1:14" x14ac:dyDescent="0.25">
      <c r="A14" s="1">
        <v>13</v>
      </c>
      <c r="B14" s="4">
        <v>69</v>
      </c>
      <c r="C14" s="5">
        <v>39967</v>
      </c>
      <c r="D14" s="3" t="s">
        <v>86</v>
      </c>
      <c r="E14" s="1" t="s">
        <v>101</v>
      </c>
      <c r="F14" s="1" t="s">
        <v>10</v>
      </c>
      <c r="G14" s="2" t="s">
        <v>3</v>
      </c>
      <c r="H14" s="3" t="s">
        <v>88</v>
      </c>
      <c r="I14" s="3" t="s">
        <v>85</v>
      </c>
      <c r="J14" s="3" t="s">
        <v>63</v>
      </c>
      <c r="K14" s="4">
        <v>51.53</v>
      </c>
      <c r="L14" s="6">
        <v>1.68</v>
      </c>
    </row>
    <row r="15" spans="1:14" x14ac:dyDescent="0.25">
      <c r="A15" s="1">
        <v>14</v>
      </c>
      <c r="B15" s="4">
        <v>70</v>
      </c>
      <c r="C15" s="5">
        <v>40529</v>
      </c>
      <c r="D15" s="3" t="s">
        <v>82</v>
      </c>
      <c r="E15" s="1" t="s">
        <v>102</v>
      </c>
      <c r="F15" s="1" t="s">
        <v>15</v>
      </c>
      <c r="G15" s="2" t="s">
        <v>1</v>
      </c>
      <c r="H15" s="3" t="s">
        <v>97</v>
      </c>
      <c r="I15" s="3" t="s">
        <v>85</v>
      </c>
      <c r="J15" s="3" t="s">
        <v>64</v>
      </c>
      <c r="K15" s="4">
        <v>90.05</v>
      </c>
      <c r="L15" s="6">
        <v>1.86</v>
      </c>
    </row>
    <row r="16" spans="1:14" x14ac:dyDescent="0.25">
      <c r="A16" s="1">
        <v>15</v>
      </c>
      <c r="B16" s="4">
        <v>70</v>
      </c>
      <c r="C16" s="5">
        <v>40529</v>
      </c>
      <c r="D16" s="3" t="s">
        <v>82</v>
      </c>
      <c r="E16" s="1" t="s">
        <v>102</v>
      </c>
      <c r="F16" s="1" t="s">
        <v>15</v>
      </c>
      <c r="G16" s="2" t="s">
        <v>1</v>
      </c>
      <c r="H16" s="3" t="s">
        <v>97</v>
      </c>
      <c r="I16" s="3" t="s">
        <v>92</v>
      </c>
      <c r="J16" s="3" t="s">
        <v>61</v>
      </c>
      <c r="K16" s="4">
        <v>7804.53</v>
      </c>
      <c r="L16" s="6">
        <v>205.99</v>
      </c>
    </row>
    <row r="17" spans="1:12" x14ac:dyDescent="0.25">
      <c r="A17" s="1">
        <v>16</v>
      </c>
      <c r="B17" s="4">
        <v>96</v>
      </c>
      <c r="C17" s="5">
        <v>39919</v>
      </c>
      <c r="D17" s="3" t="s">
        <v>89</v>
      </c>
      <c r="E17" s="1" t="s">
        <v>103</v>
      </c>
      <c r="F17" s="1" t="s">
        <v>16</v>
      </c>
      <c r="G17" s="2" t="s">
        <v>3</v>
      </c>
      <c r="H17" s="3" t="s">
        <v>97</v>
      </c>
      <c r="I17" s="3" t="s">
        <v>92</v>
      </c>
      <c r="J17" s="3" t="s">
        <v>61</v>
      </c>
      <c r="K17" s="4">
        <v>4158.1234999999997</v>
      </c>
      <c r="L17" s="6">
        <v>125.99</v>
      </c>
    </row>
    <row r="18" spans="1:12" x14ac:dyDescent="0.25">
      <c r="A18" s="1">
        <v>17</v>
      </c>
      <c r="B18" s="4">
        <v>97</v>
      </c>
      <c r="C18" s="5">
        <v>40206</v>
      </c>
      <c r="D18" s="3" t="s">
        <v>4</v>
      </c>
      <c r="E18" s="1" t="s">
        <v>104</v>
      </c>
      <c r="F18" s="1" t="s">
        <v>17</v>
      </c>
      <c r="G18" s="2" t="s">
        <v>2</v>
      </c>
      <c r="H18" s="3" t="s">
        <v>100</v>
      </c>
      <c r="I18" s="3" t="s">
        <v>85</v>
      </c>
      <c r="J18" s="3" t="s">
        <v>65</v>
      </c>
      <c r="K18" s="4">
        <v>75.569999999999993</v>
      </c>
      <c r="L18" s="6">
        <v>2.89</v>
      </c>
    </row>
    <row r="19" spans="1:12" x14ac:dyDescent="0.25">
      <c r="A19" s="1">
        <v>18</v>
      </c>
      <c r="B19" s="4">
        <v>129</v>
      </c>
      <c r="C19" s="5">
        <v>41231</v>
      </c>
      <c r="D19" s="3" t="s">
        <v>82</v>
      </c>
      <c r="E19" s="1" t="s">
        <v>105</v>
      </c>
      <c r="F19" s="1" t="s">
        <v>18</v>
      </c>
      <c r="G19" s="2" t="s">
        <v>6</v>
      </c>
      <c r="H19" s="3" t="s">
        <v>88</v>
      </c>
      <c r="I19" s="3" t="s">
        <v>85</v>
      </c>
      <c r="J19" s="3" t="s">
        <v>66</v>
      </c>
      <c r="K19" s="4">
        <v>32.72</v>
      </c>
      <c r="L19" s="6">
        <v>6.48</v>
      </c>
    </row>
    <row r="20" spans="1:12" x14ac:dyDescent="0.25">
      <c r="A20" s="1">
        <v>19</v>
      </c>
      <c r="B20" s="4">
        <v>130</v>
      </c>
      <c r="C20" s="5">
        <v>41036</v>
      </c>
      <c r="D20" s="3" t="s">
        <v>89</v>
      </c>
      <c r="E20" s="1" t="s">
        <v>106</v>
      </c>
      <c r="F20" s="1" t="s">
        <v>19</v>
      </c>
      <c r="G20" s="2" t="s">
        <v>3</v>
      </c>
      <c r="H20" s="3" t="s">
        <v>88</v>
      </c>
      <c r="I20" s="3" t="s">
        <v>92</v>
      </c>
      <c r="J20" s="3" t="s">
        <v>67</v>
      </c>
      <c r="K20" s="4">
        <v>461.89</v>
      </c>
      <c r="L20" s="6">
        <v>150.97999999999999</v>
      </c>
    </row>
    <row r="21" spans="1:12" x14ac:dyDescent="0.25">
      <c r="A21" s="1">
        <v>20</v>
      </c>
      <c r="B21" s="4">
        <v>130</v>
      </c>
      <c r="C21" s="5">
        <v>41036</v>
      </c>
      <c r="D21" s="3" t="s">
        <v>89</v>
      </c>
      <c r="E21" s="1" t="s">
        <v>106</v>
      </c>
      <c r="F21" s="1" t="s">
        <v>19</v>
      </c>
      <c r="G21" s="2" t="s">
        <v>3</v>
      </c>
      <c r="H21" s="3" t="s">
        <v>88</v>
      </c>
      <c r="I21" s="3" t="s">
        <v>85</v>
      </c>
      <c r="J21" s="3" t="s">
        <v>66</v>
      </c>
      <c r="K21" s="4">
        <v>575.11</v>
      </c>
      <c r="L21" s="6">
        <v>18.97</v>
      </c>
    </row>
    <row r="22" spans="1:12" x14ac:dyDescent="0.25">
      <c r="A22" s="1">
        <v>21</v>
      </c>
      <c r="B22" s="4">
        <v>130</v>
      </c>
      <c r="C22" s="5">
        <v>41036</v>
      </c>
      <c r="D22" s="3" t="s">
        <v>89</v>
      </c>
      <c r="E22" s="1" t="s">
        <v>106</v>
      </c>
      <c r="F22" s="1" t="s">
        <v>19</v>
      </c>
      <c r="G22" s="2" t="s">
        <v>3</v>
      </c>
      <c r="H22" s="3" t="s">
        <v>88</v>
      </c>
      <c r="I22" s="3" t="s">
        <v>85</v>
      </c>
      <c r="J22" s="3" t="s">
        <v>57</v>
      </c>
      <c r="K22" s="4">
        <v>236.46</v>
      </c>
      <c r="L22" s="6">
        <v>9.7100000000000009</v>
      </c>
    </row>
    <row r="23" spans="1:12" x14ac:dyDescent="0.25">
      <c r="A23" s="1">
        <v>22</v>
      </c>
      <c r="B23" s="4">
        <v>132</v>
      </c>
      <c r="C23" s="5">
        <v>40339</v>
      </c>
      <c r="D23" s="3" t="s">
        <v>4</v>
      </c>
      <c r="E23" s="1" t="s">
        <v>107</v>
      </c>
      <c r="F23" s="1" t="s">
        <v>20</v>
      </c>
      <c r="G23" s="2" t="s">
        <v>1</v>
      </c>
      <c r="H23" s="3" t="s">
        <v>100</v>
      </c>
      <c r="I23" s="3" t="s">
        <v>92</v>
      </c>
      <c r="J23" s="3" t="s">
        <v>61</v>
      </c>
      <c r="K23" s="4">
        <v>192.81399999999999</v>
      </c>
      <c r="L23" s="6">
        <v>7.99</v>
      </c>
    </row>
    <row r="24" spans="1:12" x14ac:dyDescent="0.25">
      <c r="A24" s="1">
        <v>23</v>
      </c>
      <c r="B24" s="4">
        <v>132</v>
      </c>
      <c r="C24" s="5">
        <v>40339</v>
      </c>
      <c r="D24" s="3" t="s">
        <v>4</v>
      </c>
      <c r="E24" s="1" t="s">
        <v>108</v>
      </c>
      <c r="F24" s="1" t="s">
        <v>21</v>
      </c>
      <c r="G24" s="2" t="s">
        <v>1</v>
      </c>
      <c r="H24" s="3" t="s">
        <v>100</v>
      </c>
      <c r="I24" s="3" t="s">
        <v>91</v>
      </c>
      <c r="J24" s="3" t="s">
        <v>68</v>
      </c>
      <c r="K24" s="4">
        <v>4011.65</v>
      </c>
      <c r="L24" s="6">
        <v>130.97999999999999</v>
      </c>
    </row>
    <row r="25" spans="1:12" x14ac:dyDescent="0.25">
      <c r="A25" s="1">
        <v>24</v>
      </c>
      <c r="B25" s="4">
        <v>134</v>
      </c>
      <c r="C25" s="5">
        <v>41029</v>
      </c>
      <c r="D25" s="3" t="s">
        <v>86</v>
      </c>
      <c r="E25" s="1" t="s">
        <v>109</v>
      </c>
      <c r="F25" s="1" t="s">
        <v>22</v>
      </c>
      <c r="G25" s="2" t="s">
        <v>6</v>
      </c>
      <c r="H25" s="3" t="s">
        <v>97</v>
      </c>
      <c r="I25" s="3" t="s">
        <v>85</v>
      </c>
      <c r="J25" s="3" t="s">
        <v>57</v>
      </c>
      <c r="K25" s="4">
        <v>1132.5999999999999</v>
      </c>
      <c r="L25" s="6">
        <v>95.99</v>
      </c>
    </row>
    <row r="26" spans="1:12" x14ac:dyDescent="0.25">
      <c r="A26" s="1">
        <v>25</v>
      </c>
      <c r="B26" s="4">
        <v>135</v>
      </c>
      <c r="C26" s="5">
        <v>40836</v>
      </c>
      <c r="D26" s="3" t="s">
        <v>86</v>
      </c>
      <c r="E26" s="1" t="s">
        <v>110</v>
      </c>
      <c r="F26" s="1" t="s">
        <v>15</v>
      </c>
      <c r="G26" s="2" t="s">
        <v>1</v>
      </c>
      <c r="H26" s="3" t="s">
        <v>100</v>
      </c>
      <c r="I26" s="3" t="s">
        <v>92</v>
      </c>
      <c r="J26" s="3" t="s">
        <v>62</v>
      </c>
      <c r="K26" s="4">
        <v>125.85</v>
      </c>
      <c r="L26" s="6">
        <v>4.9800000000000004</v>
      </c>
    </row>
    <row r="27" spans="1:12" x14ac:dyDescent="0.25">
      <c r="A27" s="1">
        <v>26</v>
      </c>
      <c r="B27" s="4">
        <v>166</v>
      </c>
      <c r="C27" s="5">
        <v>40797</v>
      </c>
      <c r="D27" s="3" t="s">
        <v>89</v>
      </c>
      <c r="E27" s="1" t="s">
        <v>111</v>
      </c>
      <c r="F27" s="1" t="s">
        <v>23</v>
      </c>
      <c r="G27" s="2" t="s">
        <v>3</v>
      </c>
      <c r="H27" s="3" t="s">
        <v>100</v>
      </c>
      <c r="I27" s="3" t="s">
        <v>92</v>
      </c>
      <c r="J27" s="3" t="s">
        <v>61</v>
      </c>
      <c r="K27" s="4">
        <v>567.93599999999992</v>
      </c>
      <c r="L27" s="6">
        <v>65.989999999999995</v>
      </c>
    </row>
    <row r="28" spans="1:12" x14ac:dyDescent="0.25">
      <c r="A28" s="1">
        <v>27</v>
      </c>
      <c r="B28" s="4">
        <v>193</v>
      </c>
      <c r="C28" s="5">
        <v>40397</v>
      </c>
      <c r="D28" s="3" t="s">
        <v>95</v>
      </c>
      <c r="E28" s="1" t="s">
        <v>112</v>
      </c>
      <c r="F28" s="1" t="s">
        <v>15</v>
      </c>
      <c r="G28" s="2" t="s">
        <v>1</v>
      </c>
      <c r="H28" s="3" t="s">
        <v>100</v>
      </c>
      <c r="I28" s="3" t="s">
        <v>85</v>
      </c>
      <c r="J28" s="3" t="s">
        <v>57</v>
      </c>
      <c r="K28" s="4">
        <v>174.89</v>
      </c>
      <c r="L28" s="6">
        <v>12.44</v>
      </c>
    </row>
    <row r="29" spans="1:12" x14ac:dyDescent="0.25">
      <c r="A29" s="1">
        <v>28</v>
      </c>
      <c r="B29" s="4">
        <v>194</v>
      </c>
      <c r="C29" s="5">
        <v>41003</v>
      </c>
      <c r="D29" s="3" t="s">
        <v>4</v>
      </c>
      <c r="E29" s="1" t="s">
        <v>113</v>
      </c>
      <c r="F29" s="1" t="s">
        <v>12</v>
      </c>
      <c r="G29" s="2" t="s">
        <v>2</v>
      </c>
      <c r="H29" s="3" t="s">
        <v>88</v>
      </c>
      <c r="I29" s="3" t="s">
        <v>91</v>
      </c>
      <c r="J29" s="3" t="s">
        <v>59</v>
      </c>
      <c r="K29" s="4">
        <v>329.03</v>
      </c>
      <c r="L29" s="6">
        <v>7.28</v>
      </c>
    </row>
    <row r="30" spans="1:12" x14ac:dyDescent="0.25">
      <c r="A30" s="1">
        <v>29</v>
      </c>
      <c r="B30" s="4">
        <v>194</v>
      </c>
      <c r="C30" s="5">
        <v>41003</v>
      </c>
      <c r="D30" s="3" t="s">
        <v>4</v>
      </c>
      <c r="E30" s="1" t="s">
        <v>113</v>
      </c>
      <c r="F30" s="1" t="s">
        <v>12</v>
      </c>
      <c r="G30" s="2" t="s">
        <v>2</v>
      </c>
      <c r="H30" s="3" t="s">
        <v>88</v>
      </c>
      <c r="I30" s="3" t="s">
        <v>85</v>
      </c>
      <c r="J30" s="3" t="s">
        <v>58</v>
      </c>
      <c r="K30" s="4">
        <v>20.190000000000001</v>
      </c>
      <c r="L30" s="6">
        <v>3.14</v>
      </c>
    </row>
    <row r="31" spans="1:12" x14ac:dyDescent="0.25">
      <c r="A31" s="1">
        <v>30</v>
      </c>
      <c r="B31" s="4">
        <v>195</v>
      </c>
      <c r="C31" s="5">
        <v>40539</v>
      </c>
      <c r="D31" s="3" t="s">
        <v>4</v>
      </c>
      <c r="E31" s="1" t="s">
        <v>114</v>
      </c>
      <c r="F31" s="1" t="s">
        <v>24</v>
      </c>
      <c r="G31" s="2" t="s">
        <v>2</v>
      </c>
      <c r="H31" s="3" t="s">
        <v>97</v>
      </c>
      <c r="I31" s="3" t="s">
        <v>85</v>
      </c>
      <c r="J31" s="3" t="s">
        <v>63</v>
      </c>
      <c r="K31" s="4">
        <v>1315.74</v>
      </c>
      <c r="L31" s="6">
        <v>36.549999999999997</v>
      </c>
    </row>
    <row r="32" spans="1:12" x14ac:dyDescent="0.25">
      <c r="A32" s="1">
        <v>31</v>
      </c>
      <c r="B32" s="4">
        <v>197</v>
      </c>
      <c r="C32" s="5">
        <v>40639</v>
      </c>
      <c r="D32" s="3" t="s">
        <v>89</v>
      </c>
      <c r="E32" s="1" t="s">
        <v>115</v>
      </c>
      <c r="F32" s="1" t="s">
        <v>23</v>
      </c>
      <c r="G32" s="2" t="s">
        <v>3</v>
      </c>
      <c r="H32" s="3" t="s">
        <v>97</v>
      </c>
      <c r="I32" s="3" t="s">
        <v>85</v>
      </c>
      <c r="J32" s="3" t="s">
        <v>58</v>
      </c>
      <c r="K32" s="4">
        <v>310.52</v>
      </c>
      <c r="L32" s="6">
        <v>12.98</v>
      </c>
    </row>
    <row r="33" spans="1:12" x14ac:dyDescent="0.25">
      <c r="A33" s="1">
        <v>32</v>
      </c>
      <c r="B33" s="4">
        <v>224</v>
      </c>
      <c r="C33" s="5">
        <v>39981</v>
      </c>
      <c r="D33" s="3" t="s">
        <v>86</v>
      </c>
      <c r="E33" s="1" t="s">
        <v>116</v>
      </c>
      <c r="F33" s="1" t="s">
        <v>24</v>
      </c>
      <c r="G33" s="2" t="s">
        <v>2</v>
      </c>
      <c r="H33" s="3" t="s">
        <v>88</v>
      </c>
      <c r="I33" s="3" t="s">
        <v>91</v>
      </c>
      <c r="J33" s="3" t="s">
        <v>59</v>
      </c>
      <c r="K33" s="4">
        <v>184.86</v>
      </c>
      <c r="L33" s="6">
        <v>7.38</v>
      </c>
    </row>
    <row r="34" spans="1:12" x14ac:dyDescent="0.25">
      <c r="A34" s="1">
        <v>33</v>
      </c>
      <c r="B34" s="4">
        <v>224</v>
      </c>
      <c r="C34" s="5">
        <v>39981</v>
      </c>
      <c r="D34" s="3" t="s">
        <v>86</v>
      </c>
      <c r="E34" s="1" t="s">
        <v>116</v>
      </c>
      <c r="F34" s="1" t="s">
        <v>24</v>
      </c>
      <c r="G34" s="2" t="s">
        <v>2</v>
      </c>
      <c r="H34" s="3" t="s">
        <v>88</v>
      </c>
      <c r="I34" s="3" t="s">
        <v>85</v>
      </c>
      <c r="J34" s="3" t="s">
        <v>66</v>
      </c>
      <c r="K34" s="4">
        <v>267.85000000000002</v>
      </c>
      <c r="L34" s="6">
        <v>5.98</v>
      </c>
    </row>
    <row r="35" spans="1:12" x14ac:dyDescent="0.25">
      <c r="A35" s="1">
        <v>34</v>
      </c>
      <c r="B35" s="4">
        <v>224</v>
      </c>
      <c r="C35" s="5">
        <v>39981</v>
      </c>
      <c r="D35" s="3" t="s">
        <v>86</v>
      </c>
      <c r="E35" s="1" t="s">
        <v>116</v>
      </c>
      <c r="F35" s="1" t="s">
        <v>24</v>
      </c>
      <c r="G35" s="2" t="s">
        <v>2</v>
      </c>
      <c r="H35" s="3" t="s">
        <v>88</v>
      </c>
      <c r="I35" s="3" t="s">
        <v>85</v>
      </c>
      <c r="J35" s="3" t="s">
        <v>57</v>
      </c>
      <c r="K35" s="4">
        <v>528.5</v>
      </c>
      <c r="L35" s="6">
        <v>15.42</v>
      </c>
    </row>
    <row r="36" spans="1:12" x14ac:dyDescent="0.25">
      <c r="A36" s="1">
        <v>35</v>
      </c>
      <c r="B36" s="4">
        <v>225</v>
      </c>
      <c r="C36" s="5">
        <v>40687</v>
      </c>
      <c r="D36" s="3" t="s">
        <v>95</v>
      </c>
      <c r="E36" s="1" t="s">
        <v>117</v>
      </c>
      <c r="F36" s="1" t="s">
        <v>15</v>
      </c>
      <c r="G36" s="2" t="s">
        <v>1</v>
      </c>
      <c r="H36" s="3" t="s">
        <v>97</v>
      </c>
      <c r="I36" s="3" t="s">
        <v>85</v>
      </c>
      <c r="J36" s="3" t="s">
        <v>63</v>
      </c>
      <c r="K36" s="4">
        <v>126.58</v>
      </c>
      <c r="L36" s="6">
        <v>5.58</v>
      </c>
    </row>
    <row r="37" spans="1:12" x14ac:dyDescent="0.25">
      <c r="A37" s="1">
        <v>36</v>
      </c>
      <c r="B37" s="4">
        <v>225</v>
      </c>
      <c r="C37" s="5">
        <v>40687</v>
      </c>
      <c r="D37" s="3" t="s">
        <v>95</v>
      </c>
      <c r="E37" s="1" t="s">
        <v>117</v>
      </c>
      <c r="F37" s="1" t="s">
        <v>15</v>
      </c>
      <c r="G37" s="2" t="s">
        <v>1</v>
      </c>
      <c r="H37" s="3" t="s">
        <v>97</v>
      </c>
      <c r="I37" s="3" t="s">
        <v>85</v>
      </c>
      <c r="J37" s="3" t="s">
        <v>63</v>
      </c>
      <c r="K37" s="4">
        <v>23.7</v>
      </c>
      <c r="L37" s="6">
        <v>19.84</v>
      </c>
    </row>
    <row r="38" spans="1:12" x14ac:dyDescent="0.25">
      <c r="A38" s="1">
        <v>37</v>
      </c>
      <c r="B38" s="4">
        <v>229</v>
      </c>
      <c r="C38" s="5">
        <v>40540</v>
      </c>
      <c r="D38" s="3" t="s">
        <v>95</v>
      </c>
      <c r="E38" s="1" t="s">
        <v>118</v>
      </c>
      <c r="F38" s="1" t="s">
        <v>25</v>
      </c>
      <c r="G38" s="2" t="s">
        <v>6</v>
      </c>
      <c r="H38" s="3" t="s">
        <v>100</v>
      </c>
      <c r="I38" s="3" t="s">
        <v>91</v>
      </c>
      <c r="J38" s="3" t="s">
        <v>59</v>
      </c>
      <c r="K38" s="4">
        <v>586.11</v>
      </c>
      <c r="L38" s="6">
        <v>12.64</v>
      </c>
    </row>
    <row r="39" spans="1:12" x14ac:dyDescent="0.25">
      <c r="A39" s="1">
        <v>38</v>
      </c>
      <c r="B39" s="4">
        <v>229</v>
      </c>
      <c r="C39" s="5">
        <v>40540</v>
      </c>
      <c r="D39" s="3" t="s">
        <v>95</v>
      </c>
      <c r="E39" s="1" t="s">
        <v>119</v>
      </c>
      <c r="F39" s="1" t="s">
        <v>26</v>
      </c>
      <c r="G39" s="2" t="s">
        <v>3</v>
      </c>
      <c r="H39" s="3" t="s">
        <v>100</v>
      </c>
      <c r="I39" s="3" t="s">
        <v>85</v>
      </c>
      <c r="J39" s="3" t="s">
        <v>69</v>
      </c>
      <c r="K39" s="4">
        <v>599.1</v>
      </c>
      <c r="L39" s="6">
        <v>24.92</v>
      </c>
    </row>
    <row r="40" spans="1:12" x14ac:dyDescent="0.25">
      <c r="A40" s="1">
        <v>39</v>
      </c>
      <c r="B40" s="4">
        <v>230</v>
      </c>
      <c r="C40" s="5">
        <v>40477</v>
      </c>
      <c r="D40" s="3" t="s">
        <v>95</v>
      </c>
      <c r="E40" s="1" t="s">
        <v>120</v>
      </c>
      <c r="F40" s="1" t="s">
        <v>13</v>
      </c>
      <c r="G40" s="2" t="s">
        <v>6</v>
      </c>
      <c r="H40" s="3" t="s">
        <v>88</v>
      </c>
      <c r="I40" s="3" t="s">
        <v>85</v>
      </c>
      <c r="J40" s="3" t="s">
        <v>63</v>
      </c>
      <c r="K40" s="4">
        <v>2029.75</v>
      </c>
      <c r="L40" s="6">
        <v>43.98</v>
      </c>
    </row>
    <row r="41" spans="1:12" x14ac:dyDescent="0.25">
      <c r="A41" s="1">
        <v>40</v>
      </c>
      <c r="B41" s="4">
        <v>230</v>
      </c>
      <c r="C41" s="5">
        <v>40477</v>
      </c>
      <c r="D41" s="3" t="s">
        <v>95</v>
      </c>
      <c r="E41" s="1" t="s">
        <v>120</v>
      </c>
      <c r="F41" s="1" t="s">
        <v>13</v>
      </c>
      <c r="G41" s="2" t="s">
        <v>6</v>
      </c>
      <c r="H41" s="3" t="s">
        <v>88</v>
      </c>
      <c r="I41" s="3" t="s">
        <v>92</v>
      </c>
      <c r="J41" s="3" t="s">
        <v>61</v>
      </c>
      <c r="K41" s="4">
        <v>1118.396</v>
      </c>
      <c r="L41" s="6">
        <v>125.99</v>
      </c>
    </row>
    <row r="42" spans="1:12" x14ac:dyDescent="0.25">
      <c r="A42" s="1">
        <v>41</v>
      </c>
      <c r="B42" s="4">
        <v>231</v>
      </c>
      <c r="C42" s="5">
        <v>40084</v>
      </c>
      <c r="D42" s="3" t="s">
        <v>89</v>
      </c>
      <c r="E42" s="1" t="s">
        <v>121</v>
      </c>
      <c r="F42" s="1" t="s">
        <v>23</v>
      </c>
      <c r="G42" s="2" t="s">
        <v>3</v>
      </c>
      <c r="H42" s="3" t="s">
        <v>84</v>
      </c>
      <c r="I42" s="3" t="s">
        <v>85</v>
      </c>
      <c r="J42" s="3" t="s">
        <v>70</v>
      </c>
      <c r="K42" s="4">
        <v>689.74</v>
      </c>
      <c r="L42" s="6">
        <v>363.25</v>
      </c>
    </row>
    <row r="43" spans="1:12" x14ac:dyDescent="0.25">
      <c r="A43" s="1">
        <v>42</v>
      </c>
      <c r="B43" s="4">
        <v>258</v>
      </c>
      <c r="C43" s="5">
        <v>40540</v>
      </c>
      <c r="D43" s="3" t="s">
        <v>95</v>
      </c>
      <c r="E43" s="1" t="s">
        <v>122</v>
      </c>
      <c r="F43" s="1" t="s">
        <v>21</v>
      </c>
      <c r="G43" s="2" t="s">
        <v>1</v>
      </c>
      <c r="H43" s="3" t="s">
        <v>97</v>
      </c>
      <c r="I43" s="3" t="s">
        <v>85</v>
      </c>
      <c r="J43" s="3" t="s">
        <v>66</v>
      </c>
      <c r="K43" s="4">
        <v>154.35</v>
      </c>
      <c r="L43" s="6">
        <v>6.48</v>
      </c>
    </row>
    <row r="44" spans="1:12" x14ac:dyDescent="0.25">
      <c r="A44" s="1">
        <v>43</v>
      </c>
      <c r="B44" s="4">
        <v>258</v>
      </c>
      <c r="C44" s="5">
        <v>40540</v>
      </c>
      <c r="D44" s="3" t="s">
        <v>95</v>
      </c>
      <c r="E44" s="1" t="s">
        <v>123</v>
      </c>
      <c r="F44" s="1" t="s">
        <v>21</v>
      </c>
      <c r="G44" s="2" t="s">
        <v>1</v>
      </c>
      <c r="H44" s="3" t="s">
        <v>97</v>
      </c>
      <c r="I44" s="3" t="s">
        <v>85</v>
      </c>
      <c r="J44" s="3" t="s">
        <v>57</v>
      </c>
      <c r="K44" s="4">
        <v>201.36</v>
      </c>
      <c r="L44" s="6">
        <v>20.98</v>
      </c>
    </row>
    <row r="45" spans="1:12" x14ac:dyDescent="0.25">
      <c r="A45" s="1">
        <v>44</v>
      </c>
      <c r="B45" s="4">
        <v>258</v>
      </c>
      <c r="C45" s="5">
        <v>40540</v>
      </c>
      <c r="D45" s="3" t="s">
        <v>95</v>
      </c>
      <c r="E45" s="1" t="s">
        <v>124</v>
      </c>
      <c r="F45" s="1" t="s">
        <v>27</v>
      </c>
      <c r="G45" s="2" t="s">
        <v>1</v>
      </c>
      <c r="H45" s="3" t="s">
        <v>97</v>
      </c>
      <c r="I45" s="3" t="s">
        <v>85</v>
      </c>
      <c r="J45" s="3" t="s">
        <v>69</v>
      </c>
      <c r="K45" s="4">
        <v>216.77</v>
      </c>
      <c r="L45" s="6">
        <v>6.54</v>
      </c>
    </row>
    <row r="46" spans="1:12" x14ac:dyDescent="0.25">
      <c r="A46" s="1">
        <v>45</v>
      </c>
      <c r="B46" s="4">
        <v>261</v>
      </c>
      <c r="C46" s="5">
        <v>40357</v>
      </c>
      <c r="D46" s="3" t="s">
        <v>4</v>
      </c>
      <c r="E46" s="1" t="s">
        <v>125</v>
      </c>
      <c r="F46" s="1" t="s">
        <v>28</v>
      </c>
      <c r="G46" s="2" t="s">
        <v>6</v>
      </c>
      <c r="H46" s="3" t="s">
        <v>84</v>
      </c>
      <c r="I46" s="3" t="s">
        <v>92</v>
      </c>
      <c r="J46" s="3" t="s">
        <v>61</v>
      </c>
      <c r="K46" s="4">
        <v>5677.6089999999995</v>
      </c>
      <c r="L46" s="6">
        <v>140.99</v>
      </c>
    </row>
    <row r="47" spans="1:12" x14ac:dyDescent="0.25">
      <c r="A47" s="1">
        <v>46</v>
      </c>
      <c r="B47" s="4">
        <v>263</v>
      </c>
      <c r="C47" s="5">
        <v>39949</v>
      </c>
      <c r="D47" s="3" t="s">
        <v>89</v>
      </c>
      <c r="E47" s="1" t="s">
        <v>126</v>
      </c>
      <c r="F47" s="1" t="s">
        <v>24</v>
      </c>
      <c r="G47" s="2" t="s">
        <v>2</v>
      </c>
      <c r="H47" s="3" t="s">
        <v>88</v>
      </c>
      <c r="I47" s="3" t="s">
        <v>85</v>
      </c>
      <c r="J47" s="3" t="s">
        <v>69</v>
      </c>
      <c r="K47" s="4">
        <v>136.77000000000001</v>
      </c>
      <c r="L47" s="6">
        <v>5.4</v>
      </c>
    </row>
    <row r="48" spans="1:12" x14ac:dyDescent="0.25">
      <c r="A48" s="1">
        <v>47</v>
      </c>
      <c r="B48" s="4">
        <v>290</v>
      </c>
      <c r="C48" s="5">
        <v>39818</v>
      </c>
      <c r="D48" s="3" t="s">
        <v>86</v>
      </c>
      <c r="E48" s="1" t="s">
        <v>127</v>
      </c>
      <c r="F48" s="1" t="s">
        <v>15</v>
      </c>
      <c r="G48" s="2" t="s">
        <v>1</v>
      </c>
      <c r="H48" s="3" t="s">
        <v>97</v>
      </c>
      <c r="I48" s="3" t="s">
        <v>85</v>
      </c>
      <c r="J48" s="3" t="s">
        <v>66</v>
      </c>
      <c r="K48" s="4">
        <v>188.73</v>
      </c>
      <c r="L48" s="6">
        <v>7.64</v>
      </c>
    </row>
    <row r="49" spans="1:12" x14ac:dyDescent="0.25">
      <c r="A49" s="1">
        <v>48</v>
      </c>
      <c r="B49" s="4">
        <v>292</v>
      </c>
      <c r="C49" s="5">
        <v>40920</v>
      </c>
      <c r="D49" s="3" t="s">
        <v>89</v>
      </c>
      <c r="E49" s="1" t="s">
        <v>128</v>
      </c>
      <c r="F49" s="1" t="s">
        <v>29</v>
      </c>
      <c r="G49" s="2" t="s">
        <v>3</v>
      </c>
      <c r="H49" s="3" t="s">
        <v>100</v>
      </c>
      <c r="I49" s="3" t="s">
        <v>85</v>
      </c>
      <c r="J49" s="3" t="s">
        <v>71</v>
      </c>
      <c r="K49" s="4">
        <v>412.62</v>
      </c>
      <c r="L49" s="6">
        <v>9.9</v>
      </c>
    </row>
    <row r="50" spans="1:12" x14ac:dyDescent="0.25">
      <c r="A50" s="1">
        <v>49</v>
      </c>
      <c r="B50" s="4">
        <v>293</v>
      </c>
      <c r="C50" s="5">
        <v>41183</v>
      </c>
      <c r="D50" s="3" t="s">
        <v>89</v>
      </c>
      <c r="E50" s="1" t="s">
        <v>129</v>
      </c>
      <c r="F50" s="1" t="s">
        <v>8</v>
      </c>
      <c r="G50" s="2" t="s">
        <v>6</v>
      </c>
      <c r="H50" s="3" t="s">
        <v>100</v>
      </c>
      <c r="I50" s="3" t="s">
        <v>85</v>
      </c>
      <c r="J50" s="3" t="s">
        <v>70</v>
      </c>
      <c r="K50" s="4">
        <v>10123.02</v>
      </c>
      <c r="L50" s="6">
        <v>208.16</v>
      </c>
    </row>
    <row r="51" spans="1:12" x14ac:dyDescent="0.25">
      <c r="A51" s="1">
        <v>50</v>
      </c>
      <c r="B51" s="4">
        <v>293</v>
      </c>
      <c r="C51" s="5">
        <v>41183</v>
      </c>
      <c r="D51" s="3" t="s">
        <v>89</v>
      </c>
      <c r="E51" s="1" t="s">
        <v>129</v>
      </c>
      <c r="F51" s="1" t="s">
        <v>8</v>
      </c>
      <c r="G51" s="2" t="s">
        <v>6</v>
      </c>
      <c r="H51" s="3" t="s">
        <v>100</v>
      </c>
      <c r="I51" s="3" t="s">
        <v>85</v>
      </c>
      <c r="J51" s="3" t="s">
        <v>69</v>
      </c>
      <c r="K51" s="4">
        <v>244.57</v>
      </c>
      <c r="L51" s="6">
        <v>8.69</v>
      </c>
    </row>
    <row r="52" spans="1:12" x14ac:dyDescent="0.25">
      <c r="A52" s="1">
        <v>51</v>
      </c>
      <c r="B52" s="4">
        <v>294</v>
      </c>
      <c r="C52" s="5">
        <v>40374</v>
      </c>
      <c r="D52" s="3" t="s">
        <v>4</v>
      </c>
      <c r="E52" s="1" t="s">
        <v>130</v>
      </c>
      <c r="F52" s="1" t="s">
        <v>11</v>
      </c>
      <c r="G52" s="2" t="s">
        <v>6</v>
      </c>
      <c r="H52" s="3" t="s">
        <v>97</v>
      </c>
      <c r="I52" s="3" t="s">
        <v>85</v>
      </c>
      <c r="J52" s="3" t="s">
        <v>57</v>
      </c>
      <c r="K52" s="4">
        <v>6375.28</v>
      </c>
      <c r="L52" s="6">
        <v>193.17</v>
      </c>
    </row>
    <row r="53" spans="1:12" x14ac:dyDescent="0.25">
      <c r="A53" s="1">
        <v>52</v>
      </c>
      <c r="B53" s="4">
        <v>322</v>
      </c>
      <c r="C53" s="5">
        <v>40986</v>
      </c>
      <c r="D53" s="3" t="s">
        <v>95</v>
      </c>
      <c r="E53" s="1" t="s">
        <v>131</v>
      </c>
      <c r="F53" s="1" t="s">
        <v>30</v>
      </c>
      <c r="G53" s="2" t="s">
        <v>6</v>
      </c>
      <c r="H53" s="3" t="s">
        <v>88</v>
      </c>
      <c r="I53" s="3" t="s">
        <v>92</v>
      </c>
      <c r="J53" s="3" t="s">
        <v>61</v>
      </c>
      <c r="K53" s="4">
        <v>2634.8554999999997</v>
      </c>
      <c r="L53" s="6">
        <v>155.99</v>
      </c>
    </row>
    <row r="54" spans="1:12" x14ac:dyDescent="0.25">
      <c r="A54" s="1">
        <v>53</v>
      </c>
      <c r="B54" s="4">
        <v>322</v>
      </c>
      <c r="C54" s="5">
        <v>40986</v>
      </c>
      <c r="D54" s="3" t="s">
        <v>95</v>
      </c>
      <c r="E54" s="1" t="s">
        <v>132</v>
      </c>
      <c r="F54" s="1" t="s">
        <v>30</v>
      </c>
      <c r="G54" s="2" t="s">
        <v>6</v>
      </c>
      <c r="H54" s="3" t="s">
        <v>88</v>
      </c>
      <c r="I54" s="3" t="s">
        <v>85</v>
      </c>
      <c r="J54" s="3" t="s">
        <v>66</v>
      </c>
      <c r="K54" s="4">
        <v>281</v>
      </c>
      <c r="L54" s="6">
        <v>6.48</v>
      </c>
    </row>
    <row r="55" spans="1:12" x14ac:dyDescent="0.25">
      <c r="A55" s="1">
        <v>54</v>
      </c>
      <c r="B55" s="4">
        <v>323</v>
      </c>
      <c r="C55" s="5">
        <v>39897</v>
      </c>
      <c r="D55" s="3" t="s">
        <v>95</v>
      </c>
      <c r="E55" s="1" t="s">
        <v>133</v>
      </c>
      <c r="F55" s="1" t="s">
        <v>17</v>
      </c>
      <c r="G55" s="2" t="s">
        <v>2</v>
      </c>
      <c r="H55" s="3" t="s">
        <v>84</v>
      </c>
      <c r="I55" s="3" t="s">
        <v>85</v>
      </c>
      <c r="J55" s="3" t="s">
        <v>71</v>
      </c>
      <c r="K55" s="4">
        <v>108.09</v>
      </c>
      <c r="L55" s="6">
        <v>5.68</v>
      </c>
    </row>
    <row r="56" spans="1:12" x14ac:dyDescent="0.25">
      <c r="A56" s="1">
        <v>55</v>
      </c>
      <c r="B56" s="4">
        <v>323</v>
      </c>
      <c r="C56" s="5">
        <v>39897</v>
      </c>
      <c r="D56" s="3" t="s">
        <v>95</v>
      </c>
      <c r="E56" s="1" t="s">
        <v>133</v>
      </c>
      <c r="F56" s="1" t="s">
        <v>17</v>
      </c>
      <c r="G56" s="2" t="s">
        <v>2</v>
      </c>
      <c r="H56" s="3" t="s">
        <v>84</v>
      </c>
      <c r="I56" s="3" t="s">
        <v>85</v>
      </c>
      <c r="J56" s="3" t="s">
        <v>66</v>
      </c>
      <c r="K56" s="4">
        <v>55.34</v>
      </c>
      <c r="L56" s="6">
        <v>22.84</v>
      </c>
    </row>
    <row r="57" spans="1:12" x14ac:dyDescent="0.25">
      <c r="A57" s="1">
        <v>56</v>
      </c>
      <c r="B57" s="4">
        <v>324</v>
      </c>
      <c r="C57" s="5">
        <v>40987</v>
      </c>
      <c r="D57" s="3" t="s">
        <v>95</v>
      </c>
      <c r="E57" s="1" t="s">
        <v>134</v>
      </c>
      <c r="F57" s="1" t="s">
        <v>10</v>
      </c>
      <c r="G57" s="2" t="s">
        <v>3</v>
      </c>
      <c r="H57" s="3" t="s">
        <v>84</v>
      </c>
      <c r="I57" s="3" t="s">
        <v>92</v>
      </c>
      <c r="J57" s="3" t="s">
        <v>61</v>
      </c>
      <c r="K57" s="4">
        <v>3872.634</v>
      </c>
      <c r="L57" s="6">
        <v>179.99</v>
      </c>
    </row>
    <row r="58" spans="1:12" x14ac:dyDescent="0.25">
      <c r="A58" s="1">
        <v>57</v>
      </c>
      <c r="B58" s="4">
        <v>325</v>
      </c>
      <c r="C58" s="5">
        <v>40467</v>
      </c>
      <c r="D58" s="3" t="s">
        <v>82</v>
      </c>
      <c r="E58" s="1" t="s">
        <v>134</v>
      </c>
      <c r="F58" s="1" t="s">
        <v>21</v>
      </c>
      <c r="G58" s="2" t="s">
        <v>1</v>
      </c>
      <c r="H58" s="3" t="s">
        <v>88</v>
      </c>
      <c r="I58" s="3" t="s">
        <v>92</v>
      </c>
      <c r="J58" s="3" t="s">
        <v>61</v>
      </c>
      <c r="K58" s="4">
        <v>884.12750000000005</v>
      </c>
      <c r="L58" s="6">
        <v>115.99</v>
      </c>
    </row>
    <row r="59" spans="1:12" x14ac:dyDescent="0.25">
      <c r="A59" s="1">
        <v>58</v>
      </c>
      <c r="B59" s="4">
        <v>326</v>
      </c>
      <c r="C59" s="5">
        <v>40697</v>
      </c>
      <c r="D59" s="3" t="s">
        <v>89</v>
      </c>
      <c r="E59" s="1" t="s">
        <v>135</v>
      </c>
      <c r="F59" s="1" t="s">
        <v>31</v>
      </c>
      <c r="G59" s="2" t="s">
        <v>1</v>
      </c>
      <c r="H59" s="3" t="s">
        <v>100</v>
      </c>
      <c r="I59" s="3" t="s">
        <v>85</v>
      </c>
      <c r="J59" s="3" t="s">
        <v>69</v>
      </c>
      <c r="K59" s="4">
        <v>218.27</v>
      </c>
      <c r="L59" s="6">
        <v>5.99</v>
      </c>
    </row>
    <row r="60" spans="1:12" x14ac:dyDescent="0.25">
      <c r="A60" s="1">
        <v>59</v>
      </c>
      <c r="B60" s="4">
        <v>326</v>
      </c>
      <c r="C60" s="5">
        <v>40697</v>
      </c>
      <c r="D60" s="3" t="s">
        <v>89</v>
      </c>
      <c r="E60" s="1" t="s">
        <v>136</v>
      </c>
      <c r="F60" s="1" t="s">
        <v>31</v>
      </c>
      <c r="G60" s="2" t="s">
        <v>1</v>
      </c>
      <c r="H60" s="3" t="s">
        <v>100</v>
      </c>
      <c r="I60" s="3" t="s">
        <v>85</v>
      </c>
      <c r="J60" s="3" t="s">
        <v>64</v>
      </c>
      <c r="K60" s="4">
        <v>100.95</v>
      </c>
      <c r="L60" s="6">
        <v>5.81</v>
      </c>
    </row>
    <row r="61" spans="1:12" x14ac:dyDescent="0.25">
      <c r="A61" s="1">
        <v>60</v>
      </c>
      <c r="B61" s="4">
        <v>353</v>
      </c>
      <c r="C61" s="5">
        <v>40542</v>
      </c>
      <c r="D61" s="3" t="s">
        <v>82</v>
      </c>
      <c r="E61" s="1" t="s">
        <v>137</v>
      </c>
      <c r="F61" s="1" t="s">
        <v>24</v>
      </c>
      <c r="G61" s="2" t="s">
        <v>2</v>
      </c>
      <c r="H61" s="3" t="s">
        <v>97</v>
      </c>
      <c r="I61" s="3" t="s">
        <v>85</v>
      </c>
      <c r="J61" s="3" t="s">
        <v>63</v>
      </c>
      <c r="K61" s="4">
        <v>46.94</v>
      </c>
      <c r="L61" s="6">
        <v>2.21</v>
      </c>
    </row>
    <row r="62" spans="1:12" x14ac:dyDescent="0.25">
      <c r="A62" s="1">
        <v>61</v>
      </c>
      <c r="B62" s="4">
        <v>355</v>
      </c>
      <c r="C62" s="5">
        <v>39977</v>
      </c>
      <c r="D62" s="3" t="s">
        <v>82</v>
      </c>
      <c r="E62" s="1" t="s">
        <v>138</v>
      </c>
      <c r="F62" s="1" t="s">
        <v>13</v>
      </c>
      <c r="G62" s="2" t="s">
        <v>6</v>
      </c>
      <c r="H62" s="3" t="s">
        <v>84</v>
      </c>
      <c r="I62" s="3" t="s">
        <v>92</v>
      </c>
      <c r="J62" s="3" t="s">
        <v>61</v>
      </c>
      <c r="K62" s="4">
        <v>1239.6315</v>
      </c>
      <c r="L62" s="6">
        <v>85.99</v>
      </c>
    </row>
    <row r="63" spans="1:12" x14ac:dyDescent="0.25">
      <c r="A63" s="1">
        <v>62</v>
      </c>
      <c r="B63" s="4">
        <v>358</v>
      </c>
      <c r="C63" s="5">
        <v>40440</v>
      </c>
      <c r="D63" s="3" t="s">
        <v>89</v>
      </c>
      <c r="E63" s="1" t="s">
        <v>108</v>
      </c>
      <c r="F63" s="1" t="s">
        <v>32</v>
      </c>
      <c r="G63" s="2" t="s">
        <v>2</v>
      </c>
      <c r="H63" s="3" t="s">
        <v>88</v>
      </c>
      <c r="I63" s="3" t="s">
        <v>91</v>
      </c>
      <c r="J63" s="3" t="s">
        <v>68</v>
      </c>
      <c r="K63" s="4">
        <v>1640.9</v>
      </c>
      <c r="L63" s="6">
        <v>48.58</v>
      </c>
    </row>
    <row r="64" spans="1:12" x14ac:dyDescent="0.25">
      <c r="A64" s="1">
        <v>63</v>
      </c>
      <c r="B64" s="4">
        <v>358</v>
      </c>
      <c r="C64" s="5">
        <v>40440</v>
      </c>
      <c r="D64" s="3" t="s">
        <v>89</v>
      </c>
      <c r="E64" s="1" t="s">
        <v>108</v>
      </c>
      <c r="F64" s="1" t="s">
        <v>32</v>
      </c>
      <c r="G64" s="2" t="s">
        <v>2</v>
      </c>
      <c r="H64" s="3" t="s">
        <v>88</v>
      </c>
      <c r="I64" s="3" t="s">
        <v>92</v>
      </c>
      <c r="J64" s="3" t="s">
        <v>62</v>
      </c>
      <c r="K64" s="4">
        <v>1235.8699999999999</v>
      </c>
      <c r="L64" s="6">
        <v>39.479999999999997</v>
      </c>
    </row>
    <row r="65" spans="1:12" x14ac:dyDescent="0.25">
      <c r="A65" s="1">
        <v>64</v>
      </c>
      <c r="B65" s="4">
        <v>359</v>
      </c>
      <c r="C65" s="5">
        <v>40165</v>
      </c>
      <c r="D65" s="3" t="s">
        <v>4</v>
      </c>
      <c r="E65" s="1" t="s">
        <v>139</v>
      </c>
      <c r="F65" s="1" t="s">
        <v>33</v>
      </c>
      <c r="G65" s="2" t="s">
        <v>2</v>
      </c>
      <c r="H65" s="3" t="s">
        <v>88</v>
      </c>
      <c r="I65" s="3" t="s">
        <v>91</v>
      </c>
      <c r="J65" s="3" t="s">
        <v>60</v>
      </c>
      <c r="K65" s="4">
        <v>3659.66</v>
      </c>
      <c r="L65" s="6">
        <v>124.49</v>
      </c>
    </row>
    <row r="66" spans="1:12" x14ac:dyDescent="0.25">
      <c r="A66" s="1">
        <v>65</v>
      </c>
      <c r="B66" s="4">
        <v>384</v>
      </c>
      <c r="C66" s="5">
        <v>40970</v>
      </c>
      <c r="D66" s="3" t="s">
        <v>82</v>
      </c>
      <c r="E66" s="1" t="s">
        <v>140</v>
      </c>
      <c r="F66" s="1" t="s">
        <v>12</v>
      </c>
      <c r="G66" s="2" t="s">
        <v>2</v>
      </c>
      <c r="H66" s="3" t="s">
        <v>88</v>
      </c>
      <c r="I66" s="3" t="s">
        <v>91</v>
      </c>
      <c r="J66" s="3" t="s">
        <v>60</v>
      </c>
      <c r="K66" s="4">
        <v>7666.04</v>
      </c>
      <c r="L66" s="6">
        <v>146.05000000000001</v>
      </c>
    </row>
    <row r="67" spans="1:12" x14ac:dyDescent="0.25">
      <c r="A67" s="1">
        <v>66</v>
      </c>
      <c r="B67" s="4">
        <v>386</v>
      </c>
      <c r="C67" s="5">
        <v>40567</v>
      </c>
      <c r="D67" s="3" t="s">
        <v>89</v>
      </c>
      <c r="E67" s="1" t="s">
        <v>141</v>
      </c>
      <c r="F67" s="1" t="s">
        <v>34</v>
      </c>
      <c r="G67" s="2" t="s">
        <v>1</v>
      </c>
      <c r="H67" s="3" t="s">
        <v>88</v>
      </c>
      <c r="I67" s="3" t="s">
        <v>85</v>
      </c>
      <c r="J67" s="3" t="s">
        <v>65</v>
      </c>
      <c r="K67" s="4">
        <v>14.96</v>
      </c>
      <c r="L67" s="6">
        <v>3.69</v>
      </c>
    </row>
    <row r="68" spans="1:12" x14ac:dyDescent="0.25">
      <c r="A68" s="1">
        <v>67</v>
      </c>
      <c r="B68" s="4">
        <v>386</v>
      </c>
      <c r="C68" s="5">
        <v>40567</v>
      </c>
      <c r="D68" s="3" t="s">
        <v>89</v>
      </c>
      <c r="E68" s="1" t="s">
        <v>141</v>
      </c>
      <c r="F68" s="1" t="s">
        <v>34</v>
      </c>
      <c r="G68" s="2" t="s">
        <v>1</v>
      </c>
      <c r="H68" s="3" t="s">
        <v>88</v>
      </c>
      <c r="I68" s="3" t="s">
        <v>85</v>
      </c>
      <c r="J68" s="3" t="s">
        <v>63</v>
      </c>
      <c r="K68" s="4">
        <v>15.69</v>
      </c>
      <c r="L68" s="6">
        <v>3.85</v>
      </c>
    </row>
    <row r="69" spans="1:12" x14ac:dyDescent="0.25">
      <c r="A69" s="1">
        <v>68</v>
      </c>
      <c r="B69" s="4">
        <v>388</v>
      </c>
      <c r="C69" s="5">
        <v>41258</v>
      </c>
      <c r="D69" s="3" t="s">
        <v>86</v>
      </c>
      <c r="E69" s="1" t="s">
        <v>142</v>
      </c>
      <c r="F69" s="1" t="s">
        <v>18</v>
      </c>
      <c r="G69" s="2" t="s">
        <v>6</v>
      </c>
      <c r="H69" s="3" t="s">
        <v>97</v>
      </c>
      <c r="I69" s="3" t="s">
        <v>85</v>
      </c>
      <c r="J69" s="3" t="s">
        <v>70</v>
      </c>
      <c r="K69" s="4">
        <v>517.92999999999995</v>
      </c>
      <c r="L69" s="6">
        <v>11.7</v>
      </c>
    </row>
    <row r="70" spans="1:12" x14ac:dyDescent="0.25">
      <c r="A70" s="1">
        <v>69</v>
      </c>
      <c r="B70" s="4">
        <v>416</v>
      </c>
      <c r="C70" s="5">
        <v>40447</v>
      </c>
      <c r="D70" s="3" t="s">
        <v>82</v>
      </c>
      <c r="E70" s="1" t="s">
        <v>143</v>
      </c>
      <c r="F70" s="1" t="s">
        <v>34</v>
      </c>
      <c r="G70" s="2" t="s">
        <v>1</v>
      </c>
      <c r="H70" s="3" t="s">
        <v>100</v>
      </c>
      <c r="I70" s="3" t="s">
        <v>92</v>
      </c>
      <c r="J70" s="3" t="s">
        <v>61</v>
      </c>
      <c r="K70" s="4">
        <v>1156.6714999999999</v>
      </c>
      <c r="L70" s="6">
        <v>65.989999999999995</v>
      </c>
    </row>
    <row r="71" spans="1:12" x14ac:dyDescent="0.25">
      <c r="A71" s="1">
        <v>70</v>
      </c>
      <c r="B71" s="4">
        <v>417</v>
      </c>
      <c r="C71" s="5">
        <v>39849</v>
      </c>
      <c r="D71" s="3" t="s">
        <v>4</v>
      </c>
      <c r="E71" s="1" t="s">
        <v>144</v>
      </c>
      <c r="F71" s="1" t="s">
        <v>24</v>
      </c>
      <c r="G71" s="2" t="s">
        <v>2</v>
      </c>
      <c r="H71" s="3" t="s">
        <v>84</v>
      </c>
      <c r="I71" s="3" t="s">
        <v>92</v>
      </c>
      <c r="J71" s="3" t="s">
        <v>67</v>
      </c>
      <c r="K71" s="4">
        <v>15260.78</v>
      </c>
      <c r="L71" s="6">
        <v>500.98</v>
      </c>
    </row>
    <row r="72" spans="1:12" x14ac:dyDescent="0.25">
      <c r="A72" s="1">
        <v>71</v>
      </c>
      <c r="B72" s="4">
        <v>417</v>
      </c>
      <c r="C72" s="5">
        <v>39849</v>
      </c>
      <c r="D72" s="3" t="s">
        <v>4</v>
      </c>
      <c r="E72" s="1" t="s">
        <v>144</v>
      </c>
      <c r="F72" s="1" t="s">
        <v>24</v>
      </c>
      <c r="G72" s="2" t="s">
        <v>2</v>
      </c>
      <c r="H72" s="3" t="s">
        <v>84</v>
      </c>
      <c r="I72" s="3" t="s">
        <v>85</v>
      </c>
      <c r="J72" s="3" t="s">
        <v>57</v>
      </c>
      <c r="K72" s="4">
        <v>540.41</v>
      </c>
      <c r="L72" s="6">
        <v>178.47</v>
      </c>
    </row>
    <row r="73" spans="1:12" x14ac:dyDescent="0.25">
      <c r="A73" s="1">
        <v>72</v>
      </c>
      <c r="B73" s="4">
        <v>420</v>
      </c>
      <c r="C73" s="5">
        <v>40846</v>
      </c>
      <c r="D73" s="3" t="s">
        <v>86</v>
      </c>
      <c r="E73" s="1" t="s">
        <v>145</v>
      </c>
      <c r="F73" s="1" t="s">
        <v>9</v>
      </c>
      <c r="G73" s="2" t="s">
        <v>2</v>
      </c>
      <c r="H73" s="3" t="s">
        <v>84</v>
      </c>
      <c r="I73" s="3" t="s">
        <v>85</v>
      </c>
      <c r="J73" s="3" t="s">
        <v>66</v>
      </c>
      <c r="K73" s="4">
        <v>43.29</v>
      </c>
      <c r="L73" s="6">
        <v>4.9800000000000004</v>
      </c>
    </row>
    <row r="74" spans="1:12" x14ac:dyDescent="0.25">
      <c r="A74" s="1">
        <v>73</v>
      </c>
      <c r="B74" s="4">
        <v>420</v>
      </c>
      <c r="C74" s="5">
        <v>40846</v>
      </c>
      <c r="D74" s="3" t="s">
        <v>86</v>
      </c>
      <c r="E74" s="1" t="s">
        <v>145</v>
      </c>
      <c r="F74" s="1" t="s">
        <v>9</v>
      </c>
      <c r="G74" s="2" t="s">
        <v>2</v>
      </c>
      <c r="H74" s="3" t="s">
        <v>84</v>
      </c>
      <c r="I74" s="3" t="s">
        <v>85</v>
      </c>
      <c r="J74" s="3" t="s">
        <v>66</v>
      </c>
      <c r="K74" s="4">
        <v>41.7</v>
      </c>
      <c r="L74" s="6">
        <v>5.78</v>
      </c>
    </row>
    <row r="75" spans="1:12" x14ac:dyDescent="0.25">
      <c r="A75" s="1">
        <v>74</v>
      </c>
      <c r="B75" s="4">
        <v>448</v>
      </c>
      <c r="C75" s="5">
        <v>40775</v>
      </c>
      <c r="D75" s="3" t="s">
        <v>4</v>
      </c>
      <c r="E75" s="1" t="s">
        <v>114</v>
      </c>
      <c r="F75" s="1" t="s">
        <v>24</v>
      </c>
      <c r="G75" s="2" t="s">
        <v>2</v>
      </c>
      <c r="H75" s="3" t="s">
        <v>88</v>
      </c>
      <c r="I75" s="3" t="s">
        <v>92</v>
      </c>
      <c r="J75" s="3" t="s">
        <v>61</v>
      </c>
      <c r="K75" s="4">
        <v>1162.4005</v>
      </c>
      <c r="L75" s="6">
        <v>65.989999999999995</v>
      </c>
    </row>
    <row r="76" spans="1:12" x14ac:dyDescent="0.25">
      <c r="A76" s="1">
        <v>75</v>
      </c>
      <c r="B76" s="4">
        <v>449</v>
      </c>
      <c r="C76" s="5">
        <v>40743</v>
      </c>
      <c r="D76" s="3" t="s">
        <v>89</v>
      </c>
      <c r="E76" s="1" t="s">
        <v>146</v>
      </c>
      <c r="F76" s="1" t="s">
        <v>13</v>
      </c>
      <c r="G76" s="2" t="s">
        <v>6</v>
      </c>
      <c r="H76" s="3" t="s">
        <v>88</v>
      </c>
      <c r="I76" s="3" t="s">
        <v>91</v>
      </c>
      <c r="J76" s="3" t="s">
        <v>59</v>
      </c>
      <c r="K76" s="4">
        <v>356.7</v>
      </c>
      <c r="L76" s="6">
        <v>7.38</v>
      </c>
    </row>
    <row r="77" spans="1:12" x14ac:dyDescent="0.25">
      <c r="A77" s="1">
        <v>76</v>
      </c>
      <c r="B77" s="4">
        <v>450</v>
      </c>
      <c r="C77" s="5">
        <v>40606</v>
      </c>
      <c r="D77" s="3" t="s">
        <v>86</v>
      </c>
      <c r="E77" s="1" t="s">
        <v>147</v>
      </c>
      <c r="F77" s="1" t="s">
        <v>11</v>
      </c>
      <c r="G77" s="2" t="s">
        <v>6</v>
      </c>
      <c r="H77" s="3" t="s">
        <v>100</v>
      </c>
      <c r="I77" s="3" t="s">
        <v>85</v>
      </c>
      <c r="J77" s="3" t="s">
        <v>63</v>
      </c>
      <c r="K77" s="4">
        <v>1000.78</v>
      </c>
      <c r="L77" s="6">
        <v>34.58</v>
      </c>
    </row>
    <row r="78" spans="1:12" x14ac:dyDescent="0.25">
      <c r="A78" s="1">
        <v>77</v>
      </c>
      <c r="B78" s="4">
        <v>450</v>
      </c>
      <c r="C78" s="5">
        <v>40606</v>
      </c>
      <c r="D78" s="3" t="s">
        <v>86</v>
      </c>
      <c r="E78" s="1" t="s">
        <v>147</v>
      </c>
      <c r="F78" s="1" t="s">
        <v>11</v>
      </c>
      <c r="G78" s="2" t="s">
        <v>6</v>
      </c>
      <c r="H78" s="3" t="s">
        <v>100</v>
      </c>
      <c r="I78" s="3" t="s">
        <v>85</v>
      </c>
      <c r="J78" s="3" t="s">
        <v>57</v>
      </c>
      <c r="K78" s="4">
        <v>543.72</v>
      </c>
      <c r="L78" s="6">
        <v>15.7</v>
      </c>
    </row>
    <row r="79" spans="1:12" x14ac:dyDescent="0.25">
      <c r="A79" s="1">
        <v>78</v>
      </c>
      <c r="B79" s="4">
        <v>454</v>
      </c>
      <c r="C79" s="5">
        <v>40903</v>
      </c>
      <c r="D79" s="3" t="s">
        <v>82</v>
      </c>
      <c r="E79" s="1" t="s">
        <v>148</v>
      </c>
      <c r="F79" s="1" t="s">
        <v>35</v>
      </c>
      <c r="G79" s="2" t="s">
        <v>1</v>
      </c>
      <c r="H79" s="3" t="s">
        <v>84</v>
      </c>
      <c r="I79" s="3" t="s">
        <v>85</v>
      </c>
      <c r="J79" s="3" t="s">
        <v>64</v>
      </c>
      <c r="K79" s="4">
        <v>234.2</v>
      </c>
      <c r="L79" s="6">
        <v>6.08</v>
      </c>
    </row>
    <row r="80" spans="1:12" x14ac:dyDescent="0.25">
      <c r="A80" s="1">
        <v>79</v>
      </c>
      <c r="B80" s="4">
        <v>481</v>
      </c>
      <c r="C80" s="5">
        <v>41189</v>
      </c>
      <c r="D80" s="3" t="s">
        <v>89</v>
      </c>
      <c r="E80" s="1" t="s">
        <v>149</v>
      </c>
      <c r="F80" s="1" t="s">
        <v>36</v>
      </c>
      <c r="G80" s="2" t="s">
        <v>2</v>
      </c>
      <c r="H80" s="3" t="s">
        <v>97</v>
      </c>
      <c r="I80" s="3" t="s">
        <v>92</v>
      </c>
      <c r="J80" s="3" t="s">
        <v>61</v>
      </c>
      <c r="K80" s="4">
        <v>4509.3774999999996</v>
      </c>
      <c r="L80" s="6">
        <v>115.99</v>
      </c>
    </row>
    <row r="81" spans="1:12" x14ac:dyDescent="0.25">
      <c r="A81" s="1">
        <v>80</v>
      </c>
      <c r="B81" s="4">
        <v>483</v>
      </c>
      <c r="C81" s="5">
        <v>40734</v>
      </c>
      <c r="D81" s="3" t="s">
        <v>89</v>
      </c>
      <c r="E81" s="1" t="s">
        <v>150</v>
      </c>
      <c r="F81" s="1" t="s">
        <v>8</v>
      </c>
      <c r="G81" s="2" t="s">
        <v>6</v>
      </c>
      <c r="H81" s="3" t="s">
        <v>88</v>
      </c>
      <c r="I81" s="3" t="s">
        <v>92</v>
      </c>
      <c r="J81" s="3" t="s">
        <v>61</v>
      </c>
      <c r="K81" s="4">
        <v>4965.7594999999992</v>
      </c>
      <c r="L81" s="6">
        <v>195.99</v>
      </c>
    </row>
    <row r="82" spans="1:12" x14ac:dyDescent="0.25">
      <c r="A82" s="1">
        <v>81</v>
      </c>
      <c r="B82" s="4">
        <v>487</v>
      </c>
      <c r="C82" s="5">
        <v>41138</v>
      </c>
      <c r="D82" s="3" t="s">
        <v>95</v>
      </c>
      <c r="E82" s="1" t="s">
        <v>151</v>
      </c>
      <c r="F82" s="1" t="s">
        <v>23</v>
      </c>
      <c r="G82" s="2" t="s">
        <v>3</v>
      </c>
      <c r="H82" s="3" t="s">
        <v>88</v>
      </c>
      <c r="I82" s="3" t="s">
        <v>85</v>
      </c>
      <c r="J82" s="3" t="s">
        <v>70</v>
      </c>
      <c r="K82" s="4">
        <v>210.4</v>
      </c>
      <c r="L82" s="6">
        <v>10.89</v>
      </c>
    </row>
    <row r="83" spans="1:12" x14ac:dyDescent="0.25">
      <c r="A83" s="1">
        <v>82</v>
      </c>
      <c r="B83" s="4">
        <v>512</v>
      </c>
      <c r="C83" s="5">
        <v>40682</v>
      </c>
      <c r="D83" s="3" t="s">
        <v>82</v>
      </c>
      <c r="E83" s="1" t="s">
        <v>152</v>
      </c>
      <c r="F83" s="1" t="s">
        <v>26</v>
      </c>
      <c r="G83" s="2" t="s">
        <v>3</v>
      </c>
      <c r="H83" s="3" t="s">
        <v>97</v>
      </c>
      <c r="I83" s="3" t="s">
        <v>91</v>
      </c>
      <c r="J83" s="3" t="s">
        <v>72</v>
      </c>
      <c r="K83" s="4">
        <v>1309.53</v>
      </c>
      <c r="L83" s="6">
        <v>218.08</v>
      </c>
    </row>
    <row r="84" spans="1:12" x14ac:dyDescent="0.25">
      <c r="A84" s="1">
        <v>83</v>
      </c>
      <c r="B84" s="4">
        <v>512</v>
      </c>
      <c r="C84" s="5">
        <v>40682</v>
      </c>
      <c r="D84" s="3" t="s">
        <v>82</v>
      </c>
      <c r="E84" s="1" t="s">
        <v>152</v>
      </c>
      <c r="F84" s="1" t="s">
        <v>26</v>
      </c>
      <c r="G84" s="2" t="s">
        <v>3</v>
      </c>
      <c r="H84" s="3" t="s">
        <v>97</v>
      </c>
      <c r="I84" s="3" t="s">
        <v>85</v>
      </c>
      <c r="J84" s="3" t="s">
        <v>57</v>
      </c>
      <c r="K84" s="4">
        <v>806.37</v>
      </c>
      <c r="L84" s="6">
        <v>15.42</v>
      </c>
    </row>
    <row r="85" spans="1:12" x14ac:dyDescent="0.25">
      <c r="A85" s="1">
        <v>84</v>
      </c>
      <c r="B85" s="4">
        <v>513</v>
      </c>
      <c r="C85" s="5">
        <v>40663</v>
      </c>
      <c r="D85" s="3" t="s">
        <v>89</v>
      </c>
      <c r="E85" s="1" t="s">
        <v>106</v>
      </c>
      <c r="F85" s="1" t="s">
        <v>34</v>
      </c>
      <c r="G85" s="2" t="s">
        <v>1</v>
      </c>
      <c r="H85" s="3" t="s">
        <v>97</v>
      </c>
      <c r="I85" s="3" t="s">
        <v>91</v>
      </c>
      <c r="J85" s="3" t="s">
        <v>72</v>
      </c>
      <c r="K85" s="4">
        <v>5437.92</v>
      </c>
      <c r="L85" s="6">
        <v>150.88999999999999</v>
      </c>
    </row>
    <row r="86" spans="1:12" x14ac:dyDescent="0.25">
      <c r="A86" s="1">
        <v>85</v>
      </c>
      <c r="B86" s="4">
        <v>515</v>
      </c>
      <c r="C86" s="5">
        <v>40418</v>
      </c>
      <c r="D86" s="3" t="s">
        <v>86</v>
      </c>
      <c r="E86" s="1" t="s">
        <v>153</v>
      </c>
      <c r="F86" s="1" t="s">
        <v>8</v>
      </c>
      <c r="G86" s="2" t="s">
        <v>6</v>
      </c>
      <c r="H86" s="3" t="s">
        <v>100</v>
      </c>
      <c r="I86" s="3" t="s">
        <v>85</v>
      </c>
      <c r="J86" s="3" t="s">
        <v>70</v>
      </c>
      <c r="K86" s="4">
        <v>394.27</v>
      </c>
      <c r="L86" s="6">
        <v>21.78</v>
      </c>
    </row>
    <row r="87" spans="1:12" x14ac:dyDescent="0.25">
      <c r="A87" s="1">
        <v>86</v>
      </c>
      <c r="B87" s="4">
        <v>515</v>
      </c>
      <c r="C87" s="5">
        <v>40418</v>
      </c>
      <c r="D87" s="3" t="s">
        <v>86</v>
      </c>
      <c r="E87" s="1" t="s">
        <v>154</v>
      </c>
      <c r="F87" s="1" t="s">
        <v>8</v>
      </c>
      <c r="G87" s="2" t="s">
        <v>6</v>
      </c>
      <c r="H87" s="3" t="s">
        <v>100</v>
      </c>
      <c r="I87" s="3" t="s">
        <v>91</v>
      </c>
      <c r="J87" s="3" t="s">
        <v>59</v>
      </c>
      <c r="K87" s="4">
        <v>146.69</v>
      </c>
      <c r="L87" s="6">
        <v>6.64</v>
      </c>
    </row>
    <row r="88" spans="1:12" x14ac:dyDescent="0.25">
      <c r="A88" s="1">
        <v>87</v>
      </c>
      <c r="B88" s="4">
        <v>548</v>
      </c>
      <c r="C88" s="5">
        <v>40076</v>
      </c>
      <c r="D88" s="3" t="s">
        <v>95</v>
      </c>
      <c r="E88" s="1" t="s">
        <v>155</v>
      </c>
      <c r="F88" s="1" t="s">
        <v>37</v>
      </c>
      <c r="G88" s="2" t="s">
        <v>3</v>
      </c>
      <c r="H88" s="3" t="s">
        <v>97</v>
      </c>
      <c r="I88" s="3" t="s">
        <v>85</v>
      </c>
      <c r="J88" s="3" t="s">
        <v>65</v>
      </c>
      <c r="K88" s="4">
        <v>129.49</v>
      </c>
      <c r="L88" s="6">
        <v>3.08</v>
      </c>
    </row>
    <row r="89" spans="1:12" x14ac:dyDescent="0.25">
      <c r="A89" s="1">
        <v>88</v>
      </c>
      <c r="B89" s="4">
        <v>548</v>
      </c>
      <c r="C89" s="5">
        <v>40076</v>
      </c>
      <c r="D89" s="3" t="s">
        <v>95</v>
      </c>
      <c r="E89" s="1" t="s">
        <v>155</v>
      </c>
      <c r="F89" s="1" t="s">
        <v>37</v>
      </c>
      <c r="G89" s="2" t="s">
        <v>3</v>
      </c>
      <c r="H89" s="3" t="s">
        <v>97</v>
      </c>
      <c r="I89" s="3" t="s">
        <v>85</v>
      </c>
      <c r="J89" s="3" t="s">
        <v>66</v>
      </c>
      <c r="K89" s="4">
        <v>202.95</v>
      </c>
      <c r="L89" s="6">
        <v>6.48</v>
      </c>
    </row>
    <row r="90" spans="1:12" x14ac:dyDescent="0.25">
      <c r="A90" s="1">
        <v>89</v>
      </c>
      <c r="B90" s="4">
        <v>548</v>
      </c>
      <c r="C90" s="5">
        <v>40076</v>
      </c>
      <c r="D90" s="3" t="s">
        <v>95</v>
      </c>
      <c r="E90" s="1" t="s">
        <v>155</v>
      </c>
      <c r="F90" s="1" t="s">
        <v>37</v>
      </c>
      <c r="G90" s="2" t="s">
        <v>3</v>
      </c>
      <c r="H90" s="3" t="s">
        <v>97</v>
      </c>
      <c r="I90" s="3" t="s">
        <v>92</v>
      </c>
      <c r="J90" s="3" t="s">
        <v>61</v>
      </c>
      <c r="K90" s="4">
        <v>2753.1925000000001</v>
      </c>
      <c r="L90" s="6">
        <v>125.99</v>
      </c>
    </row>
    <row r="91" spans="1:12" x14ac:dyDescent="0.25">
      <c r="A91" s="1">
        <v>90</v>
      </c>
      <c r="B91" s="4">
        <v>549</v>
      </c>
      <c r="C91" s="5">
        <v>41102</v>
      </c>
      <c r="D91" s="3" t="s">
        <v>95</v>
      </c>
      <c r="E91" s="1" t="s">
        <v>156</v>
      </c>
      <c r="F91" s="1" t="s">
        <v>35</v>
      </c>
      <c r="G91" s="2" t="s">
        <v>1</v>
      </c>
      <c r="H91" s="3" t="s">
        <v>100</v>
      </c>
      <c r="I91" s="3" t="s">
        <v>85</v>
      </c>
      <c r="J91" s="3" t="s">
        <v>66</v>
      </c>
      <c r="K91" s="4">
        <v>70.239999999999995</v>
      </c>
      <c r="L91" s="6">
        <v>4.9800000000000004</v>
      </c>
    </row>
    <row r="92" spans="1:12" x14ac:dyDescent="0.25">
      <c r="A92" s="1">
        <v>91</v>
      </c>
      <c r="B92" s="4">
        <v>549</v>
      </c>
      <c r="C92" s="5">
        <v>41102</v>
      </c>
      <c r="D92" s="3" t="s">
        <v>95</v>
      </c>
      <c r="E92" s="1" t="s">
        <v>156</v>
      </c>
      <c r="F92" s="1" t="s">
        <v>35</v>
      </c>
      <c r="G92" s="2" t="s">
        <v>1</v>
      </c>
      <c r="H92" s="3" t="s">
        <v>100</v>
      </c>
      <c r="I92" s="3" t="s">
        <v>85</v>
      </c>
      <c r="J92" s="3" t="s">
        <v>66</v>
      </c>
      <c r="K92" s="4">
        <v>40.75</v>
      </c>
      <c r="L92" s="6">
        <v>6.48</v>
      </c>
    </row>
    <row r="93" spans="1:12" x14ac:dyDescent="0.25">
      <c r="A93" s="1">
        <v>92</v>
      </c>
      <c r="B93" s="4">
        <v>549</v>
      </c>
      <c r="C93" s="5">
        <v>41102</v>
      </c>
      <c r="D93" s="3" t="s">
        <v>95</v>
      </c>
      <c r="E93" s="1" t="s">
        <v>156</v>
      </c>
      <c r="F93" s="1" t="s">
        <v>35</v>
      </c>
      <c r="G93" s="2" t="s">
        <v>1</v>
      </c>
      <c r="H93" s="3" t="s">
        <v>100</v>
      </c>
      <c r="I93" s="3" t="s">
        <v>85</v>
      </c>
      <c r="J93" s="3" t="s">
        <v>57</v>
      </c>
      <c r="K93" s="4">
        <v>1150.8800000000001</v>
      </c>
      <c r="L93" s="6">
        <v>38.94</v>
      </c>
    </row>
    <row r="94" spans="1:12" x14ac:dyDescent="0.25">
      <c r="A94" s="1">
        <v>93</v>
      </c>
      <c r="B94" s="4">
        <v>610</v>
      </c>
      <c r="C94" s="5">
        <v>40756</v>
      </c>
      <c r="D94" s="3" t="s">
        <v>95</v>
      </c>
      <c r="E94" s="1" t="s">
        <v>157</v>
      </c>
      <c r="F94" s="1" t="s">
        <v>16</v>
      </c>
      <c r="G94" s="2" t="s">
        <v>3</v>
      </c>
      <c r="H94" s="3" t="s">
        <v>97</v>
      </c>
      <c r="I94" s="3" t="s">
        <v>85</v>
      </c>
      <c r="J94" s="3" t="s">
        <v>66</v>
      </c>
      <c r="K94" s="4">
        <v>283.64999999999998</v>
      </c>
      <c r="L94" s="6">
        <v>6.68</v>
      </c>
    </row>
    <row r="95" spans="1:12" x14ac:dyDescent="0.25">
      <c r="A95" s="1">
        <v>94</v>
      </c>
      <c r="B95" s="4">
        <v>611</v>
      </c>
      <c r="C95" s="5">
        <v>40204</v>
      </c>
      <c r="D95" s="3" t="s">
        <v>95</v>
      </c>
      <c r="E95" s="1" t="s">
        <v>106</v>
      </c>
      <c r="F95" s="1" t="s">
        <v>34</v>
      </c>
      <c r="G95" s="2" t="s">
        <v>1</v>
      </c>
      <c r="H95" s="3" t="s">
        <v>97</v>
      </c>
      <c r="I95" s="3" t="s">
        <v>85</v>
      </c>
      <c r="J95" s="3" t="s">
        <v>57</v>
      </c>
      <c r="K95" s="4">
        <v>840.04</v>
      </c>
      <c r="L95" s="6">
        <v>17.7</v>
      </c>
    </row>
    <row r="96" spans="1:12" x14ac:dyDescent="0.25">
      <c r="A96" s="1">
        <v>95</v>
      </c>
      <c r="B96" s="4">
        <v>612</v>
      </c>
      <c r="C96" s="5">
        <v>41202</v>
      </c>
      <c r="D96" s="3" t="s">
        <v>4</v>
      </c>
      <c r="E96" s="1" t="s">
        <v>158</v>
      </c>
      <c r="F96" s="1" t="s">
        <v>16</v>
      </c>
      <c r="G96" s="2" t="s">
        <v>3</v>
      </c>
      <c r="H96" s="3" t="s">
        <v>88</v>
      </c>
      <c r="I96" s="3" t="s">
        <v>85</v>
      </c>
      <c r="J96" s="3" t="s">
        <v>66</v>
      </c>
      <c r="K96" s="4">
        <v>262.87</v>
      </c>
      <c r="L96" s="6">
        <v>5.28</v>
      </c>
    </row>
    <row r="97" spans="1:12" x14ac:dyDescent="0.25">
      <c r="A97" s="1">
        <v>96</v>
      </c>
      <c r="B97" s="4">
        <v>612</v>
      </c>
      <c r="C97" s="5">
        <v>41202</v>
      </c>
      <c r="D97" s="3" t="s">
        <v>4</v>
      </c>
      <c r="E97" s="1" t="s">
        <v>158</v>
      </c>
      <c r="F97" s="1" t="s">
        <v>16</v>
      </c>
      <c r="G97" s="2" t="s">
        <v>3</v>
      </c>
      <c r="H97" s="3" t="s">
        <v>88</v>
      </c>
      <c r="I97" s="3" t="s">
        <v>92</v>
      </c>
      <c r="J97" s="3" t="s">
        <v>61</v>
      </c>
      <c r="K97" s="4">
        <v>2531.0875000000001</v>
      </c>
      <c r="L97" s="6">
        <v>65.989999999999995</v>
      </c>
    </row>
    <row r="98" spans="1:12" x14ac:dyDescent="0.25">
      <c r="A98" s="1">
        <v>97</v>
      </c>
      <c r="B98" s="4">
        <v>613</v>
      </c>
      <c r="C98" s="5">
        <v>40711</v>
      </c>
      <c r="D98" s="3" t="s">
        <v>89</v>
      </c>
      <c r="E98" s="1" t="s">
        <v>159</v>
      </c>
      <c r="F98" s="1" t="s">
        <v>8</v>
      </c>
      <c r="G98" s="2" t="s">
        <v>6</v>
      </c>
      <c r="H98" s="3" t="s">
        <v>88</v>
      </c>
      <c r="I98" s="3" t="s">
        <v>85</v>
      </c>
      <c r="J98" s="3" t="s">
        <v>69</v>
      </c>
      <c r="K98" s="4">
        <v>93.54</v>
      </c>
      <c r="L98" s="6">
        <v>7.3</v>
      </c>
    </row>
    <row r="99" spans="1:12" x14ac:dyDescent="0.25">
      <c r="A99" s="1">
        <v>98</v>
      </c>
      <c r="B99" s="4">
        <v>613</v>
      </c>
      <c r="C99" s="5">
        <v>40711</v>
      </c>
      <c r="D99" s="3" t="s">
        <v>89</v>
      </c>
      <c r="E99" s="1" t="s">
        <v>159</v>
      </c>
      <c r="F99" s="1" t="s">
        <v>8</v>
      </c>
      <c r="G99" s="2" t="s">
        <v>6</v>
      </c>
      <c r="H99" s="3" t="s">
        <v>88</v>
      </c>
      <c r="I99" s="3" t="s">
        <v>85</v>
      </c>
      <c r="J99" s="3" t="s">
        <v>57</v>
      </c>
      <c r="K99" s="4">
        <v>905.08</v>
      </c>
      <c r="L99" s="6">
        <v>42.76</v>
      </c>
    </row>
    <row r="100" spans="1:12" x14ac:dyDescent="0.25">
      <c r="A100" s="1">
        <v>99</v>
      </c>
      <c r="B100" s="4">
        <v>614</v>
      </c>
      <c r="C100" s="5">
        <v>41243</v>
      </c>
      <c r="D100" s="3" t="s">
        <v>89</v>
      </c>
      <c r="E100" s="1" t="s">
        <v>160</v>
      </c>
      <c r="F100" s="1" t="s">
        <v>31</v>
      </c>
      <c r="G100" s="2" t="s">
        <v>1</v>
      </c>
      <c r="H100" s="3" t="s">
        <v>88</v>
      </c>
      <c r="I100" s="3" t="s">
        <v>91</v>
      </c>
      <c r="J100" s="3" t="s">
        <v>59</v>
      </c>
      <c r="K100" s="4">
        <v>628.22</v>
      </c>
      <c r="L100" s="6">
        <v>14.34</v>
      </c>
    </row>
    <row r="101" spans="1:12" x14ac:dyDescent="0.25">
      <c r="A101" s="1">
        <v>100</v>
      </c>
      <c r="B101" s="4">
        <v>614</v>
      </c>
      <c r="C101" s="5">
        <v>41243</v>
      </c>
      <c r="D101" s="3" t="s">
        <v>89</v>
      </c>
      <c r="E101" s="1" t="s">
        <v>160</v>
      </c>
      <c r="F101" s="1" t="s">
        <v>31</v>
      </c>
      <c r="G101" s="2" t="s">
        <v>1</v>
      </c>
      <c r="H101" s="3" t="s">
        <v>88</v>
      </c>
      <c r="I101" s="3" t="s">
        <v>91</v>
      </c>
      <c r="J101" s="3" t="s">
        <v>60</v>
      </c>
      <c r="K101" s="4">
        <v>3366.1</v>
      </c>
      <c r="L101" s="6">
        <v>138.75</v>
      </c>
    </row>
    <row r="102" spans="1:12" x14ac:dyDescent="0.25">
      <c r="A102" s="1">
        <v>101</v>
      </c>
      <c r="B102" s="4">
        <v>640</v>
      </c>
      <c r="C102" s="5">
        <v>40200</v>
      </c>
      <c r="D102" s="3" t="s">
        <v>89</v>
      </c>
      <c r="E102" s="1" t="s">
        <v>161</v>
      </c>
      <c r="F102" s="1" t="s">
        <v>13</v>
      </c>
      <c r="G102" s="2" t="s">
        <v>6</v>
      </c>
      <c r="H102" s="3" t="s">
        <v>100</v>
      </c>
      <c r="I102" s="3" t="s">
        <v>91</v>
      </c>
      <c r="J102" s="3" t="s">
        <v>68</v>
      </c>
      <c r="K102" s="4">
        <v>4913.6899999999996</v>
      </c>
      <c r="L102" s="6">
        <v>120.98</v>
      </c>
    </row>
    <row r="103" spans="1:12" x14ac:dyDescent="0.25">
      <c r="A103" s="1">
        <v>102</v>
      </c>
      <c r="B103" s="4">
        <v>640</v>
      </c>
      <c r="C103" s="5">
        <v>40200</v>
      </c>
      <c r="D103" s="3" t="s">
        <v>89</v>
      </c>
      <c r="E103" s="1" t="s">
        <v>161</v>
      </c>
      <c r="F103" s="1" t="s">
        <v>13</v>
      </c>
      <c r="G103" s="2" t="s">
        <v>6</v>
      </c>
      <c r="H103" s="3" t="s">
        <v>100</v>
      </c>
      <c r="I103" s="3" t="s">
        <v>85</v>
      </c>
      <c r="J103" s="3" t="s">
        <v>66</v>
      </c>
      <c r="K103" s="4">
        <v>464.77</v>
      </c>
      <c r="L103" s="6">
        <v>18.97</v>
      </c>
    </row>
    <row r="104" spans="1:12" x14ac:dyDescent="0.25">
      <c r="A104" s="1">
        <v>103</v>
      </c>
      <c r="B104" s="4">
        <v>643</v>
      </c>
      <c r="C104" s="5">
        <v>40626</v>
      </c>
      <c r="D104" s="3" t="s">
        <v>89</v>
      </c>
      <c r="E104" s="1" t="s">
        <v>162</v>
      </c>
      <c r="F104" s="1" t="s">
        <v>8</v>
      </c>
      <c r="G104" s="2" t="s">
        <v>6</v>
      </c>
      <c r="H104" s="3" t="s">
        <v>88</v>
      </c>
      <c r="I104" s="3" t="s">
        <v>85</v>
      </c>
      <c r="J104" s="3" t="s">
        <v>57</v>
      </c>
      <c r="K104" s="4">
        <v>2781.82</v>
      </c>
      <c r="L104" s="6">
        <v>138.13999999999999</v>
      </c>
    </row>
    <row r="105" spans="1:12" x14ac:dyDescent="0.25">
      <c r="A105" s="1">
        <v>104</v>
      </c>
      <c r="B105" s="4">
        <v>644</v>
      </c>
      <c r="C105" s="5">
        <v>41029</v>
      </c>
      <c r="D105" s="3" t="s">
        <v>95</v>
      </c>
      <c r="E105" s="1" t="s">
        <v>122</v>
      </c>
      <c r="F105" s="1" t="s">
        <v>15</v>
      </c>
      <c r="G105" s="2" t="s">
        <v>1</v>
      </c>
      <c r="H105" s="3" t="s">
        <v>88</v>
      </c>
      <c r="I105" s="3" t="s">
        <v>91</v>
      </c>
      <c r="J105" s="3" t="s">
        <v>72</v>
      </c>
      <c r="K105" s="4">
        <v>1679.58</v>
      </c>
      <c r="L105" s="6">
        <v>320.98</v>
      </c>
    </row>
    <row r="106" spans="1:12" x14ac:dyDescent="0.25">
      <c r="A106" s="1">
        <v>105</v>
      </c>
      <c r="B106" s="4">
        <v>645</v>
      </c>
      <c r="C106" s="5">
        <v>40149</v>
      </c>
      <c r="D106" s="3" t="s">
        <v>89</v>
      </c>
      <c r="E106" s="1" t="s">
        <v>163</v>
      </c>
      <c r="F106" s="1" t="s">
        <v>38</v>
      </c>
      <c r="G106" s="2" t="s">
        <v>6</v>
      </c>
      <c r="H106" s="3" t="s">
        <v>100</v>
      </c>
      <c r="I106" s="3" t="s">
        <v>85</v>
      </c>
      <c r="J106" s="3" t="s">
        <v>69</v>
      </c>
      <c r="K106" s="4">
        <v>557.85</v>
      </c>
      <c r="L106" s="6">
        <v>12.95</v>
      </c>
    </row>
    <row r="107" spans="1:12" x14ac:dyDescent="0.25">
      <c r="A107" s="1">
        <v>106</v>
      </c>
      <c r="B107" s="4">
        <v>646</v>
      </c>
      <c r="C107" s="5">
        <v>40138</v>
      </c>
      <c r="D107" s="3" t="s">
        <v>89</v>
      </c>
      <c r="E107" s="1" t="s">
        <v>164</v>
      </c>
      <c r="F107" s="1" t="s">
        <v>13</v>
      </c>
      <c r="G107" s="2" t="s">
        <v>6</v>
      </c>
      <c r="H107" s="3" t="s">
        <v>84</v>
      </c>
      <c r="I107" s="3" t="s">
        <v>85</v>
      </c>
      <c r="J107" s="3" t="s">
        <v>58</v>
      </c>
      <c r="K107" s="4">
        <v>173.2</v>
      </c>
      <c r="L107" s="6">
        <v>9.31</v>
      </c>
    </row>
    <row r="108" spans="1:12" x14ac:dyDescent="0.25">
      <c r="A108" s="1">
        <v>107</v>
      </c>
      <c r="B108" s="4">
        <v>678</v>
      </c>
      <c r="C108" s="5">
        <v>40235</v>
      </c>
      <c r="D108" s="3" t="s">
        <v>82</v>
      </c>
      <c r="E108" s="1" t="s">
        <v>165</v>
      </c>
      <c r="F108" s="1" t="s">
        <v>8</v>
      </c>
      <c r="G108" s="2" t="s">
        <v>6</v>
      </c>
      <c r="H108" s="3" t="s">
        <v>97</v>
      </c>
      <c r="I108" s="3" t="s">
        <v>85</v>
      </c>
      <c r="J108" s="3" t="s">
        <v>66</v>
      </c>
      <c r="K108" s="4">
        <v>228.41</v>
      </c>
      <c r="L108" s="6">
        <v>4.9800000000000004</v>
      </c>
    </row>
    <row r="109" spans="1:12" x14ac:dyDescent="0.25">
      <c r="A109" s="1">
        <v>108</v>
      </c>
      <c r="B109" s="4">
        <v>706</v>
      </c>
      <c r="C109" s="5">
        <v>40794</v>
      </c>
      <c r="D109" s="3" t="s">
        <v>95</v>
      </c>
      <c r="E109" s="1" t="s">
        <v>166</v>
      </c>
      <c r="F109" s="1" t="s">
        <v>25</v>
      </c>
      <c r="G109" s="2" t="s">
        <v>6</v>
      </c>
      <c r="H109" s="3" t="s">
        <v>100</v>
      </c>
      <c r="I109" s="3" t="s">
        <v>85</v>
      </c>
      <c r="J109" s="3" t="s">
        <v>63</v>
      </c>
      <c r="K109" s="4">
        <v>75.14</v>
      </c>
      <c r="L109" s="6">
        <v>1.76</v>
      </c>
    </row>
    <row r="110" spans="1:12" x14ac:dyDescent="0.25">
      <c r="A110" s="1">
        <v>109</v>
      </c>
      <c r="B110" s="4">
        <v>710</v>
      </c>
      <c r="C110" s="5">
        <v>40179</v>
      </c>
      <c r="D110" s="3" t="s">
        <v>82</v>
      </c>
      <c r="E110" s="1" t="s">
        <v>167</v>
      </c>
      <c r="F110" s="1" t="s">
        <v>23</v>
      </c>
      <c r="G110" s="2" t="s">
        <v>3</v>
      </c>
      <c r="H110" s="3" t="s">
        <v>88</v>
      </c>
      <c r="I110" s="3" t="s">
        <v>85</v>
      </c>
      <c r="J110" s="3" t="s">
        <v>69</v>
      </c>
      <c r="K110" s="4">
        <v>161.77000000000001</v>
      </c>
      <c r="L110" s="6">
        <v>3.58</v>
      </c>
    </row>
    <row r="111" spans="1:12" x14ac:dyDescent="0.25">
      <c r="A111" s="1">
        <v>110</v>
      </c>
      <c r="B111" s="4">
        <v>710</v>
      </c>
      <c r="C111" s="5">
        <v>40179</v>
      </c>
      <c r="D111" s="3" t="s">
        <v>82</v>
      </c>
      <c r="E111" s="1" t="s">
        <v>167</v>
      </c>
      <c r="F111" s="1" t="s">
        <v>23</v>
      </c>
      <c r="G111" s="2" t="s">
        <v>3</v>
      </c>
      <c r="H111" s="3" t="s">
        <v>88</v>
      </c>
      <c r="I111" s="3" t="s">
        <v>91</v>
      </c>
      <c r="J111" s="3" t="s">
        <v>59</v>
      </c>
      <c r="K111" s="4">
        <v>447.09</v>
      </c>
      <c r="L111" s="6">
        <v>41.32</v>
      </c>
    </row>
    <row r="112" spans="1:12" x14ac:dyDescent="0.25">
      <c r="A112" s="1">
        <v>111</v>
      </c>
      <c r="B112" s="4">
        <v>710</v>
      </c>
      <c r="C112" s="5">
        <v>40179</v>
      </c>
      <c r="D112" s="3" t="s">
        <v>82</v>
      </c>
      <c r="E112" s="1" t="s">
        <v>167</v>
      </c>
      <c r="F112" s="1" t="s">
        <v>23</v>
      </c>
      <c r="G112" s="2" t="s">
        <v>3</v>
      </c>
      <c r="H112" s="3" t="s">
        <v>88</v>
      </c>
      <c r="I112" s="3" t="s">
        <v>92</v>
      </c>
      <c r="J112" s="3" t="s">
        <v>67</v>
      </c>
      <c r="K112" s="4">
        <v>4192.88</v>
      </c>
      <c r="L112" s="6">
        <v>145.44999999999999</v>
      </c>
    </row>
    <row r="113" spans="1:12" x14ac:dyDescent="0.25">
      <c r="A113" s="1">
        <v>112</v>
      </c>
      <c r="B113" s="4">
        <v>738</v>
      </c>
      <c r="C113" s="5">
        <v>40238</v>
      </c>
      <c r="D113" s="3" t="s">
        <v>86</v>
      </c>
      <c r="E113" s="1" t="s">
        <v>168</v>
      </c>
      <c r="F113" s="1" t="s">
        <v>15</v>
      </c>
      <c r="G113" s="2" t="s">
        <v>1</v>
      </c>
      <c r="H113" s="3" t="s">
        <v>88</v>
      </c>
      <c r="I113" s="3" t="s">
        <v>85</v>
      </c>
      <c r="J113" s="3" t="s">
        <v>70</v>
      </c>
      <c r="K113" s="4">
        <v>560.51</v>
      </c>
      <c r="L113" s="6">
        <v>80.98</v>
      </c>
    </row>
    <row r="114" spans="1:12" x14ac:dyDescent="0.25">
      <c r="A114" s="1">
        <v>113</v>
      </c>
      <c r="B114" s="4">
        <v>738</v>
      </c>
      <c r="C114" s="5">
        <v>40238</v>
      </c>
      <c r="D114" s="3" t="s">
        <v>86</v>
      </c>
      <c r="E114" s="1" t="s">
        <v>168</v>
      </c>
      <c r="F114" s="1" t="s">
        <v>15</v>
      </c>
      <c r="G114" s="2" t="s">
        <v>1</v>
      </c>
      <c r="H114" s="3" t="s">
        <v>88</v>
      </c>
      <c r="I114" s="3" t="s">
        <v>85</v>
      </c>
      <c r="J114" s="3" t="s">
        <v>66</v>
      </c>
      <c r="K114" s="4">
        <v>189.95</v>
      </c>
      <c r="L114" s="6">
        <v>6.48</v>
      </c>
    </row>
    <row r="115" spans="1:12" x14ac:dyDescent="0.25">
      <c r="A115" s="1">
        <v>114</v>
      </c>
      <c r="B115" s="4">
        <v>740</v>
      </c>
      <c r="C115" s="5">
        <v>40739</v>
      </c>
      <c r="D115" s="3" t="s">
        <v>4</v>
      </c>
      <c r="E115" s="1" t="s">
        <v>169</v>
      </c>
      <c r="F115" s="1" t="s">
        <v>22</v>
      </c>
      <c r="G115" s="2" t="s">
        <v>6</v>
      </c>
      <c r="H115" s="3" t="s">
        <v>88</v>
      </c>
      <c r="I115" s="3" t="s">
        <v>85</v>
      </c>
      <c r="J115" s="3" t="s">
        <v>65</v>
      </c>
      <c r="K115" s="4">
        <v>28.01</v>
      </c>
      <c r="L115" s="6">
        <v>4.9800000000000004</v>
      </c>
    </row>
    <row r="116" spans="1:12" x14ac:dyDescent="0.25">
      <c r="A116" s="1">
        <v>115</v>
      </c>
      <c r="B116" s="4">
        <v>769</v>
      </c>
      <c r="C116" s="5">
        <v>40330</v>
      </c>
      <c r="D116" s="3" t="s">
        <v>4</v>
      </c>
      <c r="E116" s="1" t="s">
        <v>170</v>
      </c>
      <c r="F116" s="1" t="s">
        <v>38</v>
      </c>
      <c r="G116" s="2" t="s">
        <v>6</v>
      </c>
      <c r="H116" s="3" t="s">
        <v>100</v>
      </c>
      <c r="I116" s="3" t="s">
        <v>92</v>
      </c>
      <c r="J116" s="3" t="s">
        <v>67</v>
      </c>
      <c r="K116" s="4">
        <v>4261.9399999999996</v>
      </c>
      <c r="L116" s="6">
        <v>115.99</v>
      </c>
    </row>
    <row r="117" spans="1:12" x14ac:dyDescent="0.25">
      <c r="A117" s="1">
        <v>116</v>
      </c>
      <c r="B117" s="4">
        <v>771</v>
      </c>
      <c r="C117" s="5">
        <v>40710</v>
      </c>
      <c r="D117" s="3" t="s">
        <v>95</v>
      </c>
      <c r="E117" s="1" t="s">
        <v>171</v>
      </c>
      <c r="F117" s="1" t="s">
        <v>37</v>
      </c>
      <c r="G117" s="2" t="s">
        <v>3</v>
      </c>
      <c r="H117" s="3" t="s">
        <v>97</v>
      </c>
      <c r="I117" s="3" t="s">
        <v>85</v>
      </c>
      <c r="J117" s="3" t="s">
        <v>66</v>
      </c>
      <c r="K117" s="4">
        <v>88.84</v>
      </c>
      <c r="L117" s="6">
        <v>4.9800000000000004</v>
      </c>
    </row>
    <row r="118" spans="1:12" x14ac:dyDescent="0.25">
      <c r="A118" s="1">
        <v>117</v>
      </c>
      <c r="B118" s="4">
        <v>772</v>
      </c>
      <c r="C118" s="5">
        <v>40284</v>
      </c>
      <c r="D118" s="3" t="s">
        <v>89</v>
      </c>
      <c r="E118" s="1" t="s">
        <v>172</v>
      </c>
      <c r="F118" s="1" t="s">
        <v>15</v>
      </c>
      <c r="G118" s="2" t="s">
        <v>1</v>
      </c>
      <c r="H118" s="3" t="s">
        <v>100</v>
      </c>
      <c r="I118" s="3" t="s">
        <v>85</v>
      </c>
      <c r="J118" s="3" t="s">
        <v>70</v>
      </c>
      <c r="K118" s="4">
        <v>589.24</v>
      </c>
      <c r="L118" s="6">
        <v>17.52</v>
      </c>
    </row>
    <row r="119" spans="1:12" x14ac:dyDescent="0.25">
      <c r="A119" s="1">
        <v>118</v>
      </c>
      <c r="B119" s="4">
        <v>772</v>
      </c>
      <c r="C119" s="5">
        <v>40284</v>
      </c>
      <c r="D119" s="3" t="s">
        <v>89</v>
      </c>
      <c r="E119" s="1" t="s">
        <v>172</v>
      </c>
      <c r="F119" s="1" t="s">
        <v>15</v>
      </c>
      <c r="G119" s="2" t="s">
        <v>1</v>
      </c>
      <c r="H119" s="3" t="s">
        <v>100</v>
      </c>
      <c r="I119" s="3" t="s">
        <v>85</v>
      </c>
      <c r="J119" s="3" t="s">
        <v>71</v>
      </c>
      <c r="K119" s="4">
        <v>233.05</v>
      </c>
      <c r="L119" s="6">
        <v>9.9</v>
      </c>
    </row>
    <row r="120" spans="1:12" x14ac:dyDescent="0.25">
      <c r="A120" s="1">
        <v>119</v>
      </c>
      <c r="B120" s="4">
        <v>773</v>
      </c>
      <c r="C120" s="5">
        <v>40446</v>
      </c>
      <c r="D120" s="3" t="s">
        <v>4</v>
      </c>
      <c r="E120" s="1" t="s">
        <v>173</v>
      </c>
      <c r="F120" s="1" t="s">
        <v>38</v>
      </c>
      <c r="G120" s="2" t="s">
        <v>6</v>
      </c>
      <c r="H120" s="3" t="s">
        <v>97</v>
      </c>
      <c r="I120" s="3" t="s">
        <v>92</v>
      </c>
      <c r="J120" s="3" t="s">
        <v>61</v>
      </c>
      <c r="K120" s="4">
        <v>2071.3395</v>
      </c>
      <c r="L120" s="6">
        <v>65.989999999999995</v>
      </c>
    </row>
    <row r="121" spans="1:12" x14ac:dyDescent="0.25">
      <c r="A121" s="1">
        <v>120</v>
      </c>
      <c r="B121" s="4">
        <v>774</v>
      </c>
      <c r="C121" s="5">
        <v>40880</v>
      </c>
      <c r="D121" s="3" t="s">
        <v>95</v>
      </c>
      <c r="E121" s="1" t="s">
        <v>96</v>
      </c>
      <c r="F121" s="1" t="s">
        <v>12</v>
      </c>
      <c r="G121" s="2" t="s">
        <v>2</v>
      </c>
      <c r="H121" s="3" t="s">
        <v>84</v>
      </c>
      <c r="I121" s="3" t="s">
        <v>85</v>
      </c>
      <c r="J121" s="3" t="s">
        <v>70</v>
      </c>
      <c r="K121" s="4">
        <v>126.57</v>
      </c>
      <c r="L121" s="6">
        <v>4.4800000000000004</v>
      </c>
    </row>
    <row r="122" spans="1:12" x14ac:dyDescent="0.25">
      <c r="A122" s="1">
        <v>121</v>
      </c>
      <c r="B122" s="4">
        <v>775</v>
      </c>
      <c r="C122" s="5">
        <v>40619</v>
      </c>
      <c r="D122" s="3" t="s">
        <v>95</v>
      </c>
      <c r="E122" s="1" t="s">
        <v>174</v>
      </c>
      <c r="F122" s="1" t="s">
        <v>39</v>
      </c>
      <c r="G122" s="2" t="s">
        <v>1</v>
      </c>
      <c r="H122" s="3" t="s">
        <v>84</v>
      </c>
      <c r="I122" s="3" t="s">
        <v>85</v>
      </c>
      <c r="J122" s="3" t="s">
        <v>64</v>
      </c>
      <c r="K122" s="4">
        <v>43.57</v>
      </c>
      <c r="L122" s="6">
        <v>1.26</v>
      </c>
    </row>
    <row r="123" spans="1:12" x14ac:dyDescent="0.25">
      <c r="A123" s="1">
        <v>122</v>
      </c>
      <c r="B123" s="4">
        <v>775</v>
      </c>
      <c r="C123" s="5">
        <v>40619</v>
      </c>
      <c r="D123" s="3" t="s">
        <v>95</v>
      </c>
      <c r="E123" s="1" t="s">
        <v>175</v>
      </c>
      <c r="F123" s="1" t="s">
        <v>39</v>
      </c>
      <c r="G123" s="2" t="s">
        <v>1</v>
      </c>
      <c r="H123" s="3" t="s">
        <v>84</v>
      </c>
      <c r="I123" s="3" t="s">
        <v>85</v>
      </c>
      <c r="J123" s="3" t="s">
        <v>63</v>
      </c>
      <c r="K123" s="4">
        <v>31.87</v>
      </c>
      <c r="L123" s="6">
        <v>4.26</v>
      </c>
    </row>
    <row r="124" spans="1:12" x14ac:dyDescent="0.25">
      <c r="A124" s="1">
        <v>123</v>
      </c>
      <c r="B124" s="4">
        <v>801</v>
      </c>
      <c r="C124" s="5">
        <v>40956</v>
      </c>
      <c r="D124" s="3" t="s">
        <v>95</v>
      </c>
      <c r="E124" s="1" t="s">
        <v>176</v>
      </c>
      <c r="F124" s="1" t="s">
        <v>23</v>
      </c>
      <c r="G124" s="2" t="s">
        <v>3</v>
      </c>
      <c r="H124" s="3" t="s">
        <v>88</v>
      </c>
      <c r="I124" s="3" t="s">
        <v>85</v>
      </c>
      <c r="J124" s="3" t="s">
        <v>63</v>
      </c>
      <c r="K124" s="4">
        <v>59.85</v>
      </c>
      <c r="L124" s="6">
        <v>2.74</v>
      </c>
    </row>
    <row r="125" spans="1:12" x14ac:dyDescent="0.25">
      <c r="A125" s="1">
        <v>124</v>
      </c>
      <c r="B125" s="4">
        <v>802</v>
      </c>
      <c r="C125" s="5">
        <v>40547</v>
      </c>
      <c r="D125" s="3" t="s">
        <v>95</v>
      </c>
      <c r="E125" s="1" t="s">
        <v>177</v>
      </c>
      <c r="F125" s="1" t="s">
        <v>34</v>
      </c>
      <c r="G125" s="2" t="s">
        <v>1</v>
      </c>
      <c r="H125" s="3" t="s">
        <v>88</v>
      </c>
      <c r="I125" s="3" t="s">
        <v>85</v>
      </c>
      <c r="J125" s="3" t="s">
        <v>69</v>
      </c>
      <c r="K125" s="4">
        <v>378.6</v>
      </c>
      <c r="L125" s="6">
        <v>11.7</v>
      </c>
    </row>
    <row r="126" spans="1:12" x14ac:dyDescent="0.25">
      <c r="A126" s="1">
        <v>125</v>
      </c>
      <c r="B126" s="4">
        <v>802</v>
      </c>
      <c r="C126" s="5">
        <v>40547</v>
      </c>
      <c r="D126" s="3" t="s">
        <v>95</v>
      </c>
      <c r="E126" s="1" t="s">
        <v>177</v>
      </c>
      <c r="F126" s="1" t="s">
        <v>34</v>
      </c>
      <c r="G126" s="2" t="s">
        <v>1</v>
      </c>
      <c r="H126" s="3" t="s">
        <v>88</v>
      </c>
      <c r="I126" s="3" t="s">
        <v>92</v>
      </c>
      <c r="J126" s="3" t="s">
        <v>67</v>
      </c>
      <c r="K126" s="4">
        <v>38.5</v>
      </c>
      <c r="L126" s="6">
        <v>15.99</v>
      </c>
    </row>
    <row r="127" spans="1:12" x14ac:dyDescent="0.25">
      <c r="A127" s="1">
        <v>126</v>
      </c>
      <c r="B127" s="4">
        <v>805</v>
      </c>
      <c r="C127" s="5">
        <v>40728</v>
      </c>
      <c r="D127" s="3" t="s">
        <v>86</v>
      </c>
      <c r="E127" s="1" t="s">
        <v>178</v>
      </c>
      <c r="F127" s="1" t="s">
        <v>19</v>
      </c>
      <c r="G127" s="2" t="s">
        <v>3</v>
      </c>
      <c r="H127" s="3" t="s">
        <v>84</v>
      </c>
      <c r="I127" s="3" t="s">
        <v>91</v>
      </c>
      <c r="J127" s="3" t="s">
        <v>59</v>
      </c>
      <c r="K127" s="4">
        <v>197.56</v>
      </c>
      <c r="L127" s="6">
        <v>4.97</v>
      </c>
    </row>
    <row r="128" spans="1:12" x14ac:dyDescent="0.25">
      <c r="A128" s="1">
        <v>127</v>
      </c>
      <c r="B128" s="4">
        <v>807</v>
      </c>
      <c r="C128" s="5">
        <v>40505</v>
      </c>
      <c r="D128" s="3" t="s">
        <v>4</v>
      </c>
      <c r="E128" s="1" t="s">
        <v>179</v>
      </c>
      <c r="F128" s="1" t="s">
        <v>8</v>
      </c>
      <c r="G128" s="2" t="s">
        <v>6</v>
      </c>
      <c r="H128" s="3" t="s">
        <v>97</v>
      </c>
      <c r="I128" s="3" t="s">
        <v>85</v>
      </c>
      <c r="J128" s="3" t="s">
        <v>66</v>
      </c>
      <c r="K128" s="4">
        <v>196.85</v>
      </c>
      <c r="L128" s="6">
        <v>4.28</v>
      </c>
    </row>
    <row r="129" spans="1:12" x14ac:dyDescent="0.25">
      <c r="A129" s="1">
        <v>128</v>
      </c>
      <c r="B129" s="4">
        <v>807</v>
      </c>
      <c r="C129" s="5">
        <v>40505</v>
      </c>
      <c r="D129" s="3" t="s">
        <v>4</v>
      </c>
      <c r="E129" s="1" t="s">
        <v>179</v>
      </c>
      <c r="F129" s="1" t="s">
        <v>8</v>
      </c>
      <c r="G129" s="2" t="s">
        <v>6</v>
      </c>
      <c r="H129" s="3" t="s">
        <v>97</v>
      </c>
      <c r="I129" s="3" t="s">
        <v>85</v>
      </c>
      <c r="J129" s="3" t="s">
        <v>64</v>
      </c>
      <c r="K129" s="4">
        <v>124.56</v>
      </c>
      <c r="L129" s="6">
        <v>3.95</v>
      </c>
    </row>
    <row r="130" spans="1:12" x14ac:dyDescent="0.25">
      <c r="A130" s="1">
        <v>129</v>
      </c>
      <c r="B130" s="4">
        <v>832</v>
      </c>
      <c r="C130" s="5">
        <v>41017</v>
      </c>
      <c r="D130" s="3" t="s">
        <v>82</v>
      </c>
      <c r="E130" s="1" t="s">
        <v>180</v>
      </c>
      <c r="F130" s="1" t="s">
        <v>33</v>
      </c>
      <c r="G130" s="2" t="s">
        <v>2</v>
      </c>
      <c r="H130" s="3" t="s">
        <v>88</v>
      </c>
      <c r="I130" s="3" t="s">
        <v>85</v>
      </c>
      <c r="J130" s="3" t="s">
        <v>66</v>
      </c>
      <c r="K130" s="4">
        <v>53.46</v>
      </c>
      <c r="L130" s="6">
        <v>6.48</v>
      </c>
    </row>
    <row r="131" spans="1:12" x14ac:dyDescent="0.25">
      <c r="A131" s="1">
        <v>130</v>
      </c>
      <c r="B131" s="4">
        <v>833</v>
      </c>
      <c r="C131" s="5">
        <v>39856</v>
      </c>
      <c r="D131" s="3" t="s">
        <v>4</v>
      </c>
      <c r="E131" s="1" t="s">
        <v>181</v>
      </c>
      <c r="F131" s="1" t="s">
        <v>22</v>
      </c>
      <c r="G131" s="2" t="s">
        <v>6</v>
      </c>
      <c r="H131" s="3" t="s">
        <v>97</v>
      </c>
      <c r="I131" s="3" t="s">
        <v>85</v>
      </c>
      <c r="J131" s="3" t="s">
        <v>69</v>
      </c>
      <c r="K131" s="4">
        <v>19.32</v>
      </c>
      <c r="L131" s="6">
        <v>12.53</v>
      </c>
    </row>
    <row r="132" spans="1:12" x14ac:dyDescent="0.25">
      <c r="A132" s="1">
        <v>131</v>
      </c>
      <c r="B132" s="4">
        <v>834</v>
      </c>
      <c r="C132" s="5">
        <v>39955</v>
      </c>
      <c r="D132" s="3" t="s">
        <v>4</v>
      </c>
      <c r="E132" s="1" t="s">
        <v>182</v>
      </c>
      <c r="F132" s="1" t="s">
        <v>36</v>
      </c>
      <c r="G132" s="2" t="s">
        <v>2</v>
      </c>
      <c r="H132" s="3" t="s">
        <v>97</v>
      </c>
      <c r="I132" s="3" t="s">
        <v>92</v>
      </c>
      <c r="J132" s="3" t="s">
        <v>67</v>
      </c>
      <c r="K132" s="4">
        <v>1813.04</v>
      </c>
      <c r="L132" s="6">
        <v>115.99</v>
      </c>
    </row>
    <row r="133" spans="1:12" x14ac:dyDescent="0.25">
      <c r="A133" s="1">
        <v>132</v>
      </c>
      <c r="B133" s="4">
        <v>835</v>
      </c>
      <c r="C133" s="5">
        <v>40823</v>
      </c>
      <c r="D133" s="3" t="s">
        <v>86</v>
      </c>
      <c r="E133" s="1" t="s">
        <v>183</v>
      </c>
      <c r="F133" s="1" t="s">
        <v>13</v>
      </c>
      <c r="G133" s="2" t="s">
        <v>6</v>
      </c>
      <c r="H133" s="3" t="s">
        <v>84</v>
      </c>
      <c r="I133" s="3" t="s">
        <v>85</v>
      </c>
      <c r="J133" s="3" t="s">
        <v>66</v>
      </c>
      <c r="K133" s="4">
        <v>125.16</v>
      </c>
      <c r="L133" s="6">
        <v>6.48</v>
      </c>
    </row>
    <row r="134" spans="1:12" x14ac:dyDescent="0.25">
      <c r="A134" s="1">
        <v>133</v>
      </c>
      <c r="B134" s="4">
        <v>837</v>
      </c>
      <c r="C134" s="5">
        <v>39978</v>
      </c>
      <c r="D134" s="3" t="s">
        <v>86</v>
      </c>
      <c r="E134" s="1" t="s">
        <v>184</v>
      </c>
      <c r="F134" s="1" t="s">
        <v>40</v>
      </c>
      <c r="G134" s="2" t="s">
        <v>6</v>
      </c>
      <c r="H134" s="3" t="s">
        <v>88</v>
      </c>
      <c r="I134" s="3" t="s">
        <v>85</v>
      </c>
      <c r="J134" s="3" t="s">
        <v>63</v>
      </c>
      <c r="K134" s="4">
        <v>65.7</v>
      </c>
      <c r="L134" s="6">
        <v>5.84</v>
      </c>
    </row>
    <row r="135" spans="1:12" x14ac:dyDescent="0.25">
      <c r="A135" s="1">
        <v>134</v>
      </c>
      <c r="B135" s="4">
        <v>868</v>
      </c>
      <c r="C135" s="5">
        <v>41068</v>
      </c>
      <c r="D135" s="3" t="s">
        <v>86</v>
      </c>
      <c r="E135" s="1" t="s">
        <v>185</v>
      </c>
      <c r="F135" s="1" t="s">
        <v>8</v>
      </c>
      <c r="G135" s="2" t="s">
        <v>6</v>
      </c>
      <c r="H135" s="3" t="s">
        <v>97</v>
      </c>
      <c r="I135" s="3" t="s">
        <v>85</v>
      </c>
      <c r="J135" s="3" t="s">
        <v>70</v>
      </c>
      <c r="K135" s="4">
        <v>716.84</v>
      </c>
      <c r="L135" s="6">
        <v>21.78</v>
      </c>
    </row>
    <row r="136" spans="1:12" x14ac:dyDescent="0.25">
      <c r="A136" s="1">
        <v>135</v>
      </c>
      <c r="B136" s="4">
        <v>868</v>
      </c>
      <c r="C136" s="5">
        <v>41068</v>
      </c>
      <c r="D136" s="3" t="s">
        <v>86</v>
      </c>
      <c r="E136" s="1" t="s">
        <v>185</v>
      </c>
      <c r="F136" s="1" t="s">
        <v>8</v>
      </c>
      <c r="G136" s="2" t="s">
        <v>6</v>
      </c>
      <c r="H136" s="3" t="s">
        <v>97</v>
      </c>
      <c r="I136" s="3" t="s">
        <v>92</v>
      </c>
      <c r="J136" s="3" t="s">
        <v>62</v>
      </c>
      <c r="K136" s="4">
        <v>1474.33</v>
      </c>
      <c r="L136" s="6">
        <v>47.98</v>
      </c>
    </row>
    <row r="137" spans="1:12" x14ac:dyDescent="0.25">
      <c r="A137" s="1">
        <v>136</v>
      </c>
      <c r="B137" s="4">
        <v>870</v>
      </c>
      <c r="C137" s="5">
        <v>40348</v>
      </c>
      <c r="D137" s="3" t="s">
        <v>86</v>
      </c>
      <c r="E137" s="1" t="s">
        <v>151</v>
      </c>
      <c r="F137" s="1" t="s">
        <v>23</v>
      </c>
      <c r="G137" s="2" t="s">
        <v>3</v>
      </c>
      <c r="H137" s="3" t="s">
        <v>88</v>
      </c>
      <c r="I137" s="3" t="s">
        <v>85</v>
      </c>
      <c r="J137" s="3" t="s">
        <v>70</v>
      </c>
      <c r="K137" s="4">
        <v>1661.04</v>
      </c>
      <c r="L137" s="6">
        <v>70.97</v>
      </c>
    </row>
    <row r="138" spans="1:12" x14ac:dyDescent="0.25">
      <c r="A138" s="1">
        <v>137</v>
      </c>
      <c r="B138" s="4">
        <v>871</v>
      </c>
      <c r="C138" s="5">
        <v>40861</v>
      </c>
      <c r="D138" s="3" t="s">
        <v>82</v>
      </c>
      <c r="E138" s="1" t="s">
        <v>186</v>
      </c>
      <c r="F138" s="1" t="s">
        <v>24</v>
      </c>
      <c r="G138" s="2" t="s">
        <v>2</v>
      </c>
      <c r="H138" s="3" t="s">
        <v>97</v>
      </c>
      <c r="I138" s="3" t="s">
        <v>91</v>
      </c>
      <c r="J138" s="3" t="s">
        <v>59</v>
      </c>
      <c r="K138" s="4">
        <v>104.94</v>
      </c>
      <c r="L138" s="6">
        <v>6.24</v>
      </c>
    </row>
    <row r="139" spans="1:12" x14ac:dyDescent="0.25">
      <c r="A139" s="1">
        <v>138</v>
      </c>
      <c r="B139" s="4">
        <v>896</v>
      </c>
      <c r="C139" s="5">
        <v>40245</v>
      </c>
      <c r="D139" s="3" t="s">
        <v>95</v>
      </c>
      <c r="E139" s="1" t="s">
        <v>187</v>
      </c>
      <c r="F139" s="1" t="s">
        <v>13</v>
      </c>
      <c r="G139" s="2" t="s">
        <v>6</v>
      </c>
      <c r="H139" s="3" t="s">
        <v>97</v>
      </c>
      <c r="I139" s="3" t="s">
        <v>85</v>
      </c>
      <c r="J139" s="3" t="s">
        <v>69</v>
      </c>
      <c r="K139" s="4">
        <v>1246.52</v>
      </c>
      <c r="L139" s="6">
        <v>24.92</v>
      </c>
    </row>
    <row r="140" spans="1:12" x14ac:dyDescent="0.25">
      <c r="A140" s="1">
        <v>139</v>
      </c>
      <c r="B140" s="4">
        <v>898</v>
      </c>
      <c r="C140" s="5">
        <v>40331</v>
      </c>
      <c r="D140" s="3" t="s">
        <v>89</v>
      </c>
      <c r="E140" s="1" t="s">
        <v>188</v>
      </c>
      <c r="F140" s="1" t="s">
        <v>31</v>
      </c>
      <c r="G140" s="2" t="s">
        <v>1</v>
      </c>
      <c r="H140" s="3" t="s">
        <v>100</v>
      </c>
      <c r="I140" s="3" t="s">
        <v>92</v>
      </c>
      <c r="J140" s="3" t="s">
        <v>62</v>
      </c>
      <c r="K140" s="4">
        <v>676.13</v>
      </c>
      <c r="L140" s="6">
        <v>15.98</v>
      </c>
    </row>
    <row r="141" spans="1:12" x14ac:dyDescent="0.25">
      <c r="A141" s="1">
        <v>140</v>
      </c>
      <c r="B141" s="4">
        <v>898</v>
      </c>
      <c r="C141" s="5">
        <v>40331</v>
      </c>
      <c r="D141" s="3" t="s">
        <v>89</v>
      </c>
      <c r="E141" s="1" t="s">
        <v>188</v>
      </c>
      <c r="F141" s="1" t="s">
        <v>31</v>
      </c>
      <c r="G141" s="2" t="s">
        <v>1</v>
      </c>
      <c r="H141" s="3" t="s">
        <v>100</v>
      </c>
      <c r="I141" s="3" t="s">
        <v>91</v>
      </c>
      <c r="J141" s="3" t="s">
        <v>60</v>
      </c>
      <c r="K141" s="4">
        <v>7668.55</v>
      </c>
      <c r="L141" s="6">
        <v>296.18</v>
      </c>
    </row>
    <row r="142" spans="1:12" x14ac:dyDescent="0.25">
      <c r="A142" s="1">
        <v>141</v>
      </c>
      <c r="B142" s="4">
        <v>900</v>
      </c>
      <c r="C142" s="5">
        <v>40086</v>
      </c>
      <c r="D142" s="3" t="s">
        <v>86</v>
      </c>
      <c r="E142" s="1" t="s">
        <v>189</v>
      </c>
      <c r="F142" s="1" t="s">
        <v>39</v>
      </c>
      <c r="G142" s="2" t="s">
        <v>1</v>
      </c>
      <c r="H142" s="3" t="s">
        <v>97</v>
      </c>
      <c r="I142" s="3" t="s">
        <v>85</v>
      </c>
      <c r="J142" s="3" t="s">
        <v>69</v>
      </c>
      <c r="K142" s="4">
        <v>1193.6500000000001</v>
      </c>
      <c r="L142" s="6">
        <v>40.98</v>
      </c>
    </row>
    <row r="143" spans="1:12" x14ac:dyDescent="0.25">
      <c r="A143" s="1">
        <v>142</v>
      </c>
      <c r="B143" s="4">
        <v>902</v>
      </c>
      <c r="C143" s="5">
        <v>40020</v>
      </c>
      <c r="D143" s="3" t="s">
        <v>86</v>
      </c>
      <c r="E143" s="1" t="s">
        <v>190</v>
      </c>
      <c r="F143" s="1" t="s">
        <v>41</v>
      </c>
      <c r="G143" s="2" t="s">
        <v>6</v>
      </c>
      <c r="H143" s="3" t="s">
        <v>88</v>
      </c>
      <c r="I143" s="3" t="s">
        <v>85</v>
      </c>
      <c r="J143" s="3" t="s">
        <v>70</v>
      </c>
      <c r="K143" s="4">
        <v>1925.83</v>
      </c>
      <c r="L143" s="6">
        <v>207.48</v>
      </c>
    </row>
    <row r="144" spans="1:12" x14ac:dyDescent="0.25">
      <c r="A144" s="1">
        <v>143</v>
      </c>
      <c r="B144" s="4">
        <v>928</v>
      </c>
      <c r="C144" s="5">
        <v>40603</v>
      </c>
      <c r="D144" s="3" t="s">
        <v>82</v>
      </c>
      <c r="E144" s="1" t="s">
        <v>191</v>
      </c>
      <c r="F144" s="1" t="s">
        <v>28</v>
      </c>
      <c r="G144" s="2" t="s">
        <v>6</v>
      </c>
      <c r="H144" s="3" t="s">
        <v>100</v>
      </c>
      <c r="I144" s="3" t="s">
        <v>85</v>
      </c>
      <c r="J144" s="3" t="s">
        <v>70</v>
      </c>
      <c r="K144" s="4">
        <v>1222.68</v>
      </c>
      <c r="L144" s="6">
        <v>59.98</v>
      </c>
    </row>
    <row r="145" spans="1:12" x14ac:dyDescent="0.25">
      <c r="A145" s="1">
        <v>144</v>
      </c>
      <c r="B145" s="4">
        <v>928</v>
      </c>
      <c r="C145" s="5">
        <v>40603</v>
      </c>
      <c r="D145" s="3" t="s">
        <v>82</v>
      </c>
      <c r="E145" s="1" t="s">
        <v>191</v>
      </c>
      <c r="F145" s="1" t="s">
        <v>28</v>
      </c>
      <c r="G145" s="2" t="s">
        <v>6</v>
      </c>
      <c r="H145" s="3" t="s">
        <v>100</v>
      </c>
      <c r="I145" s="3" t="s">
        <v>91</v>
      </c>
      <c r="J145" s="3" t="s">
        <v>59</v>
      </c>
      <c r="K145" s="4">
        <v>390.2</v>
      </c>
      <c r="L145" s="6">
        <v>14.58</v>
      </c>
    </row>
    <row r="146" spans="1:12" x14ac:dyDescent="0.25">
      <c r="A146" s="1">
        <v>145</v>
      </c>
      <c r="B146" s="4">
        <v>929</v>
      </c>
      <c r="C146" s="5">
        <v>41183</v>
      </c>
      <c r="D146" s="3" t="s">
        <v>89</v>
      </c>
      <c r="E146" s="1" t="s">
        <v>192</v>
      </c>
      <c r="F146" s="1" t="s">
        <v>24</v>
      </c>
      <c r="G146" s="2" t="s">
        <v>2</v>
      </c>
      <c r="H146" s="3" t="s">
        <v>88</v>
      </c>
      <c r="I146" s="3" t="s">
        <v>92</v>
      </c>
      <c r="J146" s="3" t="s">
        <v>62</v>
      </c>
      <c r="K146" s="4">
        <v>227.66</v>
      </c>
      <c r="L146" s="6">
        <v>10.97</v>
      </c>
    </row>
    <row r="147" spans="1:12" x14ac:dyDescent="0.25">
      <c r="A147" s="1">
        <v>146</v>
      </c>
      <c r="B147" s="4">
        <v>929</v>
      </c>
      <c r="C147" s="5">
        <v>41183</v>
      </c>
      <c r="D147" s="3" t="s">
        <v>89</v>
      </c>
      <c r="E147" s="1" t="s">
        <v>192</v>
      </c>
      <c r="F147" s="1" t="s">
        <v>24</v>
      </c>
      <c r="G147" s="2" t="s">
        <v>2</v>
      </c>
      <c r="H147" s="3" t="s">
        <v>88</v>
      </c>
      <c r="I147" s="3" t="s">
        <v>85</v>
      </c>
      <c r="J147" s="3" t="s">
        <v>58</v>
      </c>
      <c r="K147" s="4">
        <v>84.33</v>
      </c>
      <c r="L147" s="6">
        <v>2.08</v>
      </c>
    </row>
    <row r="148" spans="1:12" x14ac:dyDescent="0.25">
      <c r="A148" s="1">
        <v>147</v>
      </c>
      <c r="B148" s="4">
        <v>930</v>
      </c>
      <c r="C148" s="5">
        <v>40163</v>
      </c>
      <c r="D148" s="3" t="s">
        <v>95</v>
      </c>
      <c r="E148" s="1" t="s">
        <v>193</v>
      </c>
      <c r="F148" s="2" t="s">
        <v>42</v>
      </c>
      <c r="G148" s="2" t="s">
        <v>3</v>
      </c>
      <c r="H148" s="3" t="s">
        <v>84</v>
      </c>
      <c r="I148" s="3" t="s">
        <v>91</v>
      </c>
      <c r="J148" s="3" t="s">
        <v>59</v>
      </c>
      <c r="K148" s="4">
        <v>922.39</v>
      </c>
      <c r="L148" s="6">
        <v>41.32</v>
      </c>
    </row>
    <row r="149" spans="1:12" x14ac:dyDescent="0.25">
      <c r="A149" s="1">
        <v>148</v>
      </c>
      <c r="B149" s="4">
        <v>930</v>
      </c>
      <c r="C149" s="5">
        <v>40163</v>
      </c>
      <c r="D149" s="3" t="s">
        <v>95</v>
      </c>
      <c r="E149" s="1" t="s">
        <v>193</v>
      </c>
      <c r="F149" s="2" t="s">
        <v>42</v>
      </c>
      <c r="G149" s="2" t="s">
        <v>3</v>
      </c>
      <c r="H149" s="3" t="s">
        <v>84</v>
      </c>
      <c r="I149" s="3" t="s">
        <v>85</v>
      </c>
      <c r="J149" s="3" t="s">
        <v>66</v>
      </c>
      <c r="K149" s="4">
        <v>79.19</v>
      </c>
      <c r="L149" s="6">
        <v>6.88</v>
      </c>
    </row>
    <row r="150" spans="1:12" x14ac:dyDescent="0.25">
      <c r="A150" s="1">
        <v>149</v>
      </c>
      <c r="B150" s="4">
        <v>933</v>
      </c>
      <c r="C150" s="5">
        <v>41125</v>
      </c>
      <c r="D150" s="3" t="s">
        <v>86</v>
      </c>
      <c r="E150" s="1" t="s">
        <v>194</v>
      </c>
      <c r="F150" s="1" t="s">
        <v>8</v>
      </c>
      <c r="G150" s="2" t="s">
        <v>6</v>
      </c>
      <c r="H150" s="3" t="s">
        <v>84</v>
      </c>
      <c r="I150" s="3" t="s">
        <v>85</v>
      </c>
      <c r="J150" s="3" t="s">
        <v>69</v>
      </c>
      <c r="K150" s="4">
        <v>80.61</v>
      </c>
      <c r="L150" s="6">
        <v>5.28</v>
      </c>
    </row>
    <row r="151" spans="1:12" x14ac:dyDescent="0.25">
      <c r="A151" s="1">
        <v>150</v>
      </c>
      <c r="B151" s="4">
        <v>960</v>
      </c>
      <c r="C151" s="5">
        <v>40076</v>
      </c>
      <c r="D151" s="3" t="s">
        <v>4</v>
      </c>
      <c r="E151" s="1" t="s">
        <v>195</v>
      </c>
      <c r="F151" s="1" t="s">
        <v>34</v>
      </c>
      <c r="G151" s="2" t="s">
        <v>1</v>
      </c>
      <c r="H151" s="3" t="s">
        <v>100</v>
      </c>
      <c r="I151" s="3" t="s">
        <v>91</v>
      </c>
      <c r="J151" s="3" t="s">
        <v>59</v>
      </c>
      <c r="K151" s="4">
        <v>605.97</v>
      </c>
      <c r="L151" s="6">
        <v>13.73</v>
      </c>
    </row>
    <row r="152" spans="1:12" x14ac:dyDescent="0.25">
      <c r="A152" s="1">
        <v>151</v>
      </c>
      <c r="B152" s="4">
        <v>962</v>
      </c>
      <c r="C152" s="5">
        <v>39938</v>
      </c>
      <c r="D152" s="3" t="s">
        <v>82</v>
      </c>
      <c r="E152" s="1" t="s">
        <v>125</v>
      </c>
      <c r="F152" s="1" t="s">
        <v>30</v>
      </c>
      <c r="G152" s="2" t="s">
        <v>6</v>
      </c>
      <c r="H152" s="3" t="s">
        <v>84</v>
      </c>
      <c r="I152" s="3" t="s">
        <v>85</v>
      </c>
      <c r="J152" s="3" t="s">
        <v>69</v>
      </c>
      <c r="K152" s="4">
        <v>4064.05</v>
      </c>
      <c r="L152" s="6">
        <v>122.99</v>
      </c>
    </row>
    <row r="153" spans="1:12" x14ac:dyDescent="0.25">
      <c r="A153" s="1">
        <v>152</v>
      </c>
      <c r="B153" s="4">
        <v>962</v>
      </c>
      <c r="C153" s="5">
        <v>39938</v>
      </c>
      <c r="D153" s="3" t="s">
        <v>82</v>
      </c>
      <c r="E153" s="1" t="s">
        <v>196</v>
      </c>
      <c r="F153" s="1" t="s">
        <v>30</v>
      </c>
      <c r="G153" s="2" t="s">
        <v>6</v>
      </c>
      <c r="H153" s="3" t="s">
        <v>84</v>
      </c>
      <c r="I153" s="3" t="s">
        <v>85</v>
      </c>
      <c r="J153" s="3" t="s">
        <v>70</v>
      </c>
      <c r="K153" s="4">
        <v>3213.87</v>
      </c>
      <c r="L153" s="6">
        <v>68.81</v>
      </c>
    </row>
    <row r="154" spans="1:12" x14ac:dyDescent="0.25">
      <c r="A154" s="1">
        <v>153</v>
      </c>
      <c r="B154" s="4">
        <v>964</v>
      </c>
      <c r="C154" s="5">
        <v>40682</v>
      </c>
      <c r="D154" s="3" t="s">
        <v>4</v>
      </c>
      <c r="E154" s="1" t="s">
        <v>197</v>
      </c>
      <c r="F154" s="1" t="s">
        <v>27</v>
      </c>
      <c r="G154" s="2" t="s">
        <v>1</v>
      </c>
      <c r="H154" s="3" t="s">
        <v>88</v>
      </c>
      <c r="I154" s="3" t="s">
        <v>85</v>
      </c>
      <c r="J154" s="3" t="s">
        <v>69</v>
      </c>
      <c r="K154" s="4">
        <v>315.02</v>
      </c>
      <c r="L154" s="6">
        <v>5.98</v>
      </c>
    </row>
    <row r="155" spans="1:12" x14ac:dyDescent="0.25">
      <c r="A155" s="1">
        <v>154</v>
      </c>
      <c r="B155" s="4">
        <v>964</v>
      </c>
      <c r="C155" s="5">
        <v>40682</v>
      </c>
      <c r="D155" s="3" t="s">
        <v>4</v>
      </c>
      <c r="E155" s="1" t="s">
        <v>198</v>
      </c>
      <c r="F155" s="1" t="s">
        <v>39</v>
      </c>
      <c r="G155" s="2" t="s">
        <v>1</v>
      </c>
      <c r="H155" s="3" t="s">
        <v>88</v>
      </c>
      <c r="I155" s="3" t="s">
        <v>85</v>
      </c>
      <c r="J155" s="3" t="s">
        <v>63</v>
      </c>
      <c r="K155" s="4">
        <v>40.020000000000003</v>
      </c>
      <c r="L155" s="6">
        <v>9.93</v>
      </c>
    </row>
    <row r="156" spans="1:12" x14ac:dyDescent="0.25">
      <c r="A156" s="1">
        <v>155</v>
      </c>
      <c r="B156" s="4">
        <v>965</v>
      </c>
      <c r="C156" s="5">
        <v>40677</v>
      </c>
      <c r="D156" s="3" t="s">
        <v>82</v>
      </c>
      <c r="E156" s="1" t="s">
        <v>199</v>
      </c>
      <c r="F156" s="1" t="s">
        <v>34</v>
      </c>
      <c r="G156" s="2" t="s">
        <v>1</v>
      </c>
      <c r="H156" s="3" t="s">
        <v>88</v>
      </c>
      <c r="I156" s="3" t="s">
        <v>91</v>
      </c>
      <c r="J156" s="3" t="s">
        <v>60</v>
      </c>
      <c r="K156" s="4">
        <v>11230.25</v>
      </c>
      <c r="L156" s="6">
        <v>280.98</v>
      </c>
    </row>
    <row r="157" spans="1:12" x14ac:dyDescent="0.25">
      <c r="A157" s="1">
        <v>156</v>
      </c>
      <c r="B157" s="4">
        <v>967</v>
      </c>
      <c r="C157" s="5">
        <v>41080</v>
      </c>
      <c r="D157" s="3" t="s">
        <v>4</v>
      </c>
      <c r="E157" s="1" t="s">
        <v>200</v>
      </c>
      <c r="F157" s="1" t="s">
        <v>24</v>
      </c>
      <c r="G157" s="2" t="s">
        <v>2</v>
      </c>
      <c r="H157" s="3" t="s">
        <v>100</v>
      </c>
      <c r="I157" s="3" t="s">
        <v>92</v>
      </c>
      <c r="J157" s="3" t="s">
        <v>67</v>
      </c>
      <c r="K157" s="4">
        <v>90.56</v>
      </c>
      <c r="L157" s="6">
        <v>13.99</v>
      </c>
    </row>
    <row r="158" spans="1:12" x14ac:dyDescent="0.25">
      <c r="A158" s="1">
        <v>157</v>
      </c>
      <c r="B158" s="4">
        <v>967</v>
      </c>
      <c r="C158" s="5">
        <v>41080</v>
      </c>
      <c r="D158" s="3" t="s">
        <v>4</v>
      </c>
      <c r="E158" s="1" t="s">
        <v>200</v>
      </c>
      <c r="F158" s="1" t="s">
        <v>24</v>
      </c>
      <c r="G158" s="2" t="s">
        <v>2</v>
      </c>
      <c r="H158" s="3" t="s">
        <v>100</v>
      </c>
      <c r="I158" s="3" t="s">
        <v>85</v>
      </c>
      <c r="J158" s="3" t="s">
        <v>63</v>
      </c>
      <c r="K158" s="4">
        <v>1634.9</v>
      </c>
      <c r="L158" s="6">
        <v>37.74</v>
      </c>
    </row>
    <row r="159" spans="1:12" x14ac:dyDescent="0.25">
      <c r="A159" s="1">
        <v>158</v>
      </c>
      <c r="B159" s="4">
        <v>967</v>
      </c>
      <c r="C159" s="5">
        <v>41080</v>
      </c>
      <c r="D159" s="3" t="s">
        <v>4</v>
      </c>
      <c r="E159" s="1" t="s">
        <v>200</v>
      </c>
      <c r="F159" s="1" t="s">
        <v>24</v>
      </c>
      <c r="G159" s="2" t="s">
        <v>2</v>
      </c>
      <c r="H159" s="3" t="s">
        <v>100</v>
      </c>
      <c r="I159" s="3" t="s">
        <v>91</v>
      </c>
      <c r="J159" s="3" t="s">
        <v>60</v>
      </c>
      <c r="K159" s="4">
        <v>11278.18</v>
      </c>
      <c r="L159" s="6">
        <v>227.55</v>
      </c>
    </row>
    <row r="160" spans="1:12" x14ac:dyDescent="0.25">
      <c r="A160" s="1">
        <v>159</v>
      </c>
      <c r="B160" s="4">
        <v>994</v>
      </c>
      <c r="C160" s="5">
        <v>39922</v>
      </c>
      <c r="D160" s="3" t="s">
        <v>82</v>
      </c>
      <c r="E160" s="1" t="s">
        <v>201</v>
      </c>
      <c r="F160" s="1" t="s">
        <v>13</v>
      </c>
      <c r="G160" s="2" t="s">
        <v>6</v>
      </c>
      <c r="H160" s="3" t="s">
        <v>88</v>
      </c>
      <c r="I160" s="3" t="s">
        <v>85</v>
      </c>
      <c r="J160" s="3" t="s">
        <v>64</v>
      </c>
      <c r="K160" s="4">
        <v>132.07</v>
      </c>
      <c r="L160" s="6">
        <v>3.58</v>
      </c>
    </row>
    <row r="161" spans="1:12" x14ac:dyDescent="0.25">
      <c r="A161" s="1">
        <v>160</v>
      </c>
      <c r="B161" s="4">
        <v>995</v>
      </c>
      <c r="C161" s="5">
        <v>40693</v>
      </c>
      <c r="D161" s="3" t="s">
        <v>4</v>
      </c>
      <c r="E161" s="1" t="s">
        <v>179</v>
      </c>
      <c r="F161" s="1" t="s">
        <v>8</v>
      </c>
      <c r="G161" s="2" t="s">
        <v>6</v>
      </c>
      <c r="H161" s="3" t="s">
        <v>97</v>
      </c>
      <c r="I161" s="3" t="s">
        <v>91</v>
      </c>
      <c r="J161" s="3" t="s">
        <v>59</v>
      </c>
      <c r="K161" s="4">
        <v>1815.49</v>
      </c>
      <c r="L161" s="6">
        <v>39.89</v>
      </c>
    </row>
    <row r="162" spans="1:12" x14ac:dyDescent="0.25">
      <c r="A162" s="1">
        <v>161</v>
      </c>
      <c r="B162" s="4">
        <v>998</v>
      </c>
      <c r="C162" s="5">
        <v>40142</v>
      </c>
      <c r="D162" s="3" t="s">
        <v>86</v>
      </c>
      <c r="E162" s="1" t="s">
        <v>202</v>
      </c>
      <c r="F162" s="1" t="s">
        <v>8</v>
      </c>
      <c r="G162" s="2" t="s">
        <v>6</v>
      </c>
      <c r="H162" s="3" t="s">
        <v>84</v>
      </c>
      <c r="I162" s="3" t="s">
        <v>85</v>
      </c>
      <c r="J162" s="3" t="s">
        <v>71</v>
      </c>
      <c r="K162" s="4">
        <v>248.26</v>
      </c>
      <c r="L162" s="6">
        <v>15.74</v>
      </c>
    </row>
    <row r="163" spans="1:12" x14ac:dyDescent="0.25">
      <c r="A163" s="1">
        <v>162</v>
      </c>
      <c r="B163" s="4">
        <v>999</v>
      </c>
      <c r="C163" s="5">
        <v>40425</v>
      </c>
      <c r="D163" s="3" t="s">
        <v>82</v>
      </c>
      <c r="E163" s="1" t="s">
        <v>203</v>
      </c>
      <c r="F163" s="1" t="s">
        <v>35</v>
      </c>
      <c r="G163" s="2" t="s">
        <v>1</v>
      </c>
      <c r="H163" s="3" t="s">
        <v>97</v>
      </c>
      <c r="I163" s="3" t="s">
        <v>85</v>
      </c>
      <c r="J163" s="3" t="s">
        <v>57</v>
      </c>
      <c r="K163" s="4">
        <v>583.64</v>
      </c>
      <c r="L163" s="6">
        <v>95.43</v>
      </c>
    </row>
    <row r="164" spans="1:12" x14ac:dyDescent="0.25">
      <c r="A164" s="1">
        <v>163</v>
      </c>
      <c r="B164" s="4">
        <v>1027</v>
      </c>
      <c r="C164" s="5">
        <v>41062</v>
      </c>
      <c r="D164" s="3" t="s">
        <v>4</v>
      </c>
      <c r="E164" s="1" t="s">
        <v>204</v>
      </c>
      <c r="F164" s="1" t="s">
        <v>12</v>
      </c>
      <c r="G164" s="2" t="s">
        <v>2</v>
      </c>
      <c r="H164" s="3" t="s">
        <v>97</v>
      </c>
      <c r="I164" s="3" t="s">
        <v>91</v>
      </c>
      <c r="J164" s="3" t="s">
        <v>68</v>
      </c>
      <c r="K164" s="4">
        <v>1406.15</v>
      </c>
      <c r="L164" s="6">
        <v>70.98</v>
      </c>
    </row>
    <row r="165" spans="1:12" x14ac:dyDescent="0.25">
      <c r="A165" s="1">
        <v>164</v>
      </c>
      <c r="B165" s="4">
        <v>1028</v>
      </c>
      <c r="C165" s="5">
        <v>39818</v>
      </c>
      <c r="D165" s="3" t="s">
        <v>89</v>
      </c>
      <c r="E165" s="1" t="s">
        <v>147</v>
      </c>
      <c r="F165" s="1" t="s">
        <v>11</v>
      </c>
      <c r="G165" s="2" t="s">
        <v>6</v>
      </c>
      <c r="H165" s="3" t="s">
        <v>100</v>
      </c>
      <c r="I165" s="3" t="s">
        <v>92</v>
      </c>
      <c r="J165" s="3" t="s">
        <v>62</v>
      </c>
      <c r="K165" s="4">
        <v>165.75</v>
      </c>
      <c r="L165" s="6">
        <v>28.48</v>
      </c>
    </row>
    <row r="166" spans="1:12" x14ac:dyDescent="0.25">
      <c r="A166" s="1">
        <v>165</v>
      </c>
      <c r="B166" s="4">
        <v>1028</v>
      </c>
      <c r="C166" s="5">
        <v>39818</v>
      </c>
      <c r="D166" s="3" t="s">
        <v>89</v>
      </c>
      <c r="E166" s="1" t="s">
        <v>147</v>
      </c>
      <c r="F166" s="1" t="s">
        <v>11</v>
      </c>
      <c r="G166" s="2" t="s">
        <v>6</v>
      </c>
      <c r="H166" s="3" t="s">
        <v>100</v>
      </c>
      <c r="I166" s="3" t="s">
        <v>92</v>
      </c>
      <c r="J166" s="3" t="s">
        <v>61</v>
      </c>
      <c r="K166" s="4">
        <v>2021.1470000000002</v>
      </c>
      <c r="L166" s="6">
        <v>205.99</v>
      </c>
    </row>
    <row r="167" spans="1:12" x14ac:dyDescent="0.25">
      <c r="A167" s="1">
        <v>166</v>
      </c>
      <c r="B167" s="4">
        <v>1031</v>
      </c>
      <c r="C167" s="5">
        <v>40056</v>
      </c>
      <c r="D167" s="3" t="s">
        <v>4</v>
      </c>
      <c r="E167" s="1" t="s">
        <v>188</v>
      </c>
      <c r="F167" s="1" t="s">
        <v>31</v>
      </c>
      <c r="G167" s="2" t="s">
        <v>1</v>
      </c>
      <c r="H167" s="3" t="s">
        <v>100</v>
      </c>
      <c r="I167" s="3" t="s">
        <v>85</v>
      </c>
      <c r="J167" s="3" t="s">
        <v>69</v>
      </c>
      <c r="K167" s="4">
        <v>226.1</v>
      </c>
      <c r="L167" s="6">
        <v>6.37</v>
      </c>
    </row>
    <row r="168" spans="1:12" x14ac:dyDescent="0.25">
      <c r="A168" s="1">
        <v>167</v>
      </c>
      <c r="B168" s="4">
        <v>1057</v>
      </c>
      <c r="C168" s="5">
        <v>40958</v>
      </c>
      <c r="D168" s="3" t="s">
        <v>95</v>
      </c>
      <c r="E168" s="1" t="s">
        <v>127</v>
      </c>
      <c r="F168" s="1" t="s">
        <v>13</v>
      </c>
      <c r="G168" s="2" t="s">
        <v>6</v>
      </c>
      <c r="H168" s="3" t="s">
        <v>88</v>
      </c>
      <c r="I168" s="3" t="s">
        <v>92</v>
      </c>
      <c r="J168" s="3" t="s">
        <v>62</v>
      </c>
      <c r="K168" s="4">
        <v>341.36</v>
      </c>
      <c r="L168" s="6">
        <v>8.4600000000000009</v>
      </c>
    </row>
    <row r="169" spans="1:12" x14ac:dyDescent="0.25">
      <c r="A169" s="1">
        <v>168</v>
      </c>
      <c r="B169" s="4">
        <v>1058</v>
      </c>
      <c r="C169" s="5">
        <v>40293</v>
      </c>
      <c r="D169" s="3" t="s">
        <v>4</v>
      </c>
      <c r="E169" s="1" t="s">
        <v>205</v>
      </c>
      <c r="F169" s="1" t="s">
        <v>42</v>
      </c>
      <c r="G169" s="2" t="s">
        <v>3</v>
      </c>
      <c r="H169" s="3" t="s">
        <v>84</v>
      </c>
      <c r="I169" s="3" t="s">
        <v>92</v>
      </c>
      <c r="J169" s="3" t="s">
        <v>61</v>
      </c>
      <c r="K169" s="4">
        <v>469.43799999999999</v>
      </c>
      <c r="L169" s="6">
        <v>195.99</v>
      </c>
    </row>
    <row r="170" spans="1:12" x14ac:dyDescent="0.25">
      <c r="A170" s="1">
        <v>169</v>
      </c>
      <c r="B170" s="4">
        <v>1059</v>
      </c>
      <c r="C170" s="5">
        <v>39870</v>
      </c>
      <c r="D170" s="3" t="s">
        <v>95</v>
      </c>
      <c r="E170" s="1" t="s">
        <v>184</v>
      </c>
      <c r="F170" s="1" t="s">
        <v>40</v>
      </c>
      <c r="G170" s="2" t="s">
        <v>6</v>
      </c>
      <c r="H170" s="3" t="s">
        <v>88</v>
      </c>
      <c r="I170" s="3" t="s">
        <v>85</v>
      </c>
      <c r="J170" s="3" t="s">
        <v>69</v>
      </c>
      <c r="K170" s="4">
        <v>127.33</v>
      </c>
      <c r="L170" s="6">
        <v>5.34</v>
      </c>
    </row>
    <row r="171" spans="1:12" x14ac:dyDescent="0.25">
      <c r="A171" s="1">
        <v>170</v>
      </c>
      <c r="B171" s="4">
        <v>1059</v>
      </c>
      <c r="C171" s="5">
        <v>39870</v>
      </c>
      <c r="D171" s="3" t="s">
        <v>95</v>
      </c>
      <c r="E171" s="1" t="s">
        <v>184</v>
      </c>
      <c r="F171" s="1" t="s">
        <v>40</v>
      </c>
      <c r="G171" s="2" t="s">
        <v>6</v>
      </c>
      <c r="H171" s="3" t="s">
        <v>88</v>
      </c>
      <c r="I171" s="3" t="s">
        <v>85</v>
      </c>
      <c r="J171" s="3" t="s">
        <v>69</v>
      </c>
      <c r="K171" s="4">
        <v>990.1</v>
      </c>
      <c r="L171" s="6">
        <v>40.98</v>
      </c>
    </row>
    <row r="172" spans="1:12" x14ac:dyDescent="0.25">
      <c r="A172" s="1">
        <v>171</v>
      </c>
      <c r="B172" s="4">
        <v>1060</v>
      </c>
      <c r="C172" s="5">
        <v>40229</v>
      </c>
      <c r="D172" s="3" t="s">
        <v>4</v>
      </c>
      <c r="E172" s="1" t="s">
        <v>206</v>
      </c>
      <c r="F172" s="1" t="s">
        <v>12</v>
      </c>
      <c r="G172" s="2" t="s">
        <v>2</v>
      </c>
      <c r="H172" s="3" t="s">
        <v>88</v>
      </c>
      <c r="I172" s="3" t="s">
        <v>85</v>
      </c>
      <c r="J172" s="3" t="s">
        <v>69</v>
      </c>
      <c r="K172" s="4">
        <v>1187.55</v>
      </c>
      <c r="L172" s="6">
        <v>37.700000000000003</v>
      </c>
    </row>
    <row r="173" spans="1:12" x14ac:dyDescent="0.25">
      <c r="A173" s="1">
        <v>172</v>
      </c>
      <c r="B173" s="4">
        <v>1088</v>
      </c>
      <c r="C173" s="5">
        <v>41049</v>
      </c>
      <c r="D173" s="3" t="s">
        <v>82</v>
      </c>
      <c r="E173" s="1" t="s">
        <v>207</v>
      </c>
      <c r="F173" s="1" t="s">
        <v>42</v>
      </c>
      <c r="G173" s="2" t="s">
        <v>3</v>
      </c>
      <c r="H173" s="3" t="s">
        <v>100</v>
      </c>
      <c r="I173" s="3" t="s">
        <v>92</v>
      </c>
      <c r="J173" s="3" t="s">
        <v>62</v>
      </c>
      <c r="K173" s="4">
        <v>269.02</v>
      </c>
      <c r="L173" s="6">
        <v>20.97</v>
      </c>
    </row>
    <row r="174" spans="1:12" x14ac:dyDescent="0.25">
      <c r="A174" s="1">
        <v>173</v>
      </c>
      <c r="B174" s="4">
        <v>1095</v>
      </c>
      <c r="C174" s="5">
        <v>40776</v>
      </c>
      <c r="D174" s="3" t="s">
        <v>4</v>
      </c>
      <c r="E174" s="1" t="s">
        <v>208</v>
      </c>
      <c r="F174" s="1" t="s">
        <v>17</v>
      </c>
      <c r="G174" s="2" t="s">
        <v>2</v>
      </c>
      <c r="H174" s="3" t="s">
        <v>100</v>
      </c>
      <c r="I174" s="3" t="s">
        <v>85</v>
      </c>
      <c r="J174" s="3" t="s">
        <v>66</v>
      </c>
      <c r="K174" s="4">
        <v>142.18</v>
      </c>
      <c r="L174" s="6">
        <v>4.9800000000000004</v>
      </c>
    </row>
    <row r="175" spans="1:12" x14ac:dyDescent="0.25">
      <c r="A175" s="1">
        <v>174</v>
      </c>
      <c r="B175" s="4">
        <v>1127</v>
      </c>
      <c r="C175" s="5">
        <v>40804</v>
      </c>
      <c r="D175" s="3" t="s">
        <v>86</v>
      </c>
      <c r="E175" s="1" t="s">
        <v>143</v>
      </c>
      <c r="F175" s="1" t="s">
        <v>34</v>
      </c>
      <c r="G175" s="2" t="s">
        <v>1</v>
      </c>
      <c r="H175" s="3" t="s">
        <v>100</v>
      </c>
      <c r="I175" s="3" t="s">
        <v>91</v>
      </c>
      <c r="J175" s="3" t="s">
        <v>59</v>
      </c>
      <c r="K175" s="4">
        <v>5340.5</v>
      </c>
      <c r="L175" s="6">
        <v>110.98</v>
      </c>
    </row>
    <row r="176" spans="1:12" x14ac:dyDescent="0.25">
      <c r="A176" s="1">
        <v>175</v>
      </c>
      <c r="B176" s="4">
        <v>1154</v>
      </c>
      <c r="C176" s="5">
        <v>40953</v>
      </c>
      <c r="D176" s="3" t="s">
        <v>95</v>
      </c>
      <c r="E176" s="1" t="s">
        <v>209</v>
      </c>
      <c r="F176" s="1" t="s">
        <v>8</v>
      </c>
      <c r="G176" s="2" t="s">
        <v>6</v>
      </c>
      <c r="H176" s="3" t="s">
        <v>97</v>
      </c>
      <c r="I176" s="3" t="s">
        <v>91</v>
      </c>
      <c r="J176" s="3" t="s">
        <v>68</v>
      </c>
      <c r="K176" s="4">
        <v>4462.2299999999996</v>
      </c>
      <c r="L176" s="6">
        <v>100.98</v>
      </c>
    </row>
    <row r="177" spans="1:12" x14ac:dyDescent="0.25">
      <c r="A177" s="1">
        <v>176</v>
      </c>
      <c r="B177" s="4">
        <v>1154</v>
      </c>
      <c r="C177" s="5">
        <v>40953</v>
      </c>
      <c r="D177" s="3" t="s">
        <v>95</v>
      </c>
      <c r="E177" s="1" t="s">
        <v>209</v>
      </c>
      <c r="F177" s="1" t="s">
        <v>8</v>
      </c>
      <c r="G177" s="2" t="s">
        <v>6</v>
      </c>
      <c r="H177" s="3" t="s">
        <v>97</v>
      </c>
      <c r="I177" s="3" t="s">
        <v>91</v>
      </c>
      <c r="J177" s="3" t="s">
        <v>60</v>
      </c>
      <c r="K177" s="4">
        <v>663.78400000000011</v>
      </c>
      <c r="L177" s="6">
        <v>71.37</v>
      </c>
    </row>
    <row r="178" spans="1:12" x14ac:dyDescent="0.25">
      <c r="A178" s="1">
        <v>177</v>
      </c>
      <c r="B178" s="4">
        <v>1154</v>
      </c>
      <c r="C178" s="5">
        <v>40953</v>
      </c>
      <c r="D178" s="3" t="s">
        <v>95</v>
      </c>
      <c r="E178" s="1" t="s">
        <v>210</v>
      </c>
      <c r="F178" s="1" t="s">
        <v>27</v>
      </c>
      <c r="G178" s="2" t="s">
        <v>1</v>
      </c>
      <c r="H178" s="3" t="s">
        <v>97</v>
      </c>
      <c r="I178" s="3" t="s">
        <v>85</v>
      </c>
      <c r="J178" s="3" t="s">
        <v>65</v>
      </c>
      <c r="K178" s="4">
        <v>115.1</v>
      </c>
      <c r="L178" s="6">
        <v>4.91</v>
      </c>
    </row>
    <row r="179" spans="1:12" x14ac:dyDescent="0.25">
      <c r="A179" s="1">
        <v>178</v>
      </c>
      <c r="B179" s="4">
        <v>1154</v>
      </c>
      <c r="C179" s="5">
        <v>40953</v>
      </c>
      <c r="D179" s="3" t="s">
        <v>95</v>
      </c>
      <c r="E179" s="1" t="s">
        <v>211</v>
      </c>
      <c r="F179" s="1" t="s">
        <v>43</v>
      </c>
      <c r="G179" s="2" t="s">
        <v>1</v>
      </c>
      <c r="H179" s="3" t="s">
        <v>97</v>
      </c>
      <c r="I179" s="3" t="s">
        <v>85</v>
      </c>
      <c r="J179" s="3" t="s">
        <v>70</v>
      </c>
      <c r="K179" s="4">
        <v>516.65</v>
      </c>
      <c r="L179" s="6">
        <v>70.97</v>
      </c>
    </row>
    <row r="180" spans="1:12" x14ac:dyDescent="0.25">
      <c r="A180" s="1">
        <v>179</v>
      </c>
      <c r="B180" s="4">
        <v>1185</v>
      </c>
      <c r="C180" s="5">
        <v>41144</v>
      </c>
      <c r="D180" s="3" t="s">
        <v>82</v>
      </c>
      <c r="E180" s="1" t="s">
        <v>212</v>
      </c>
      <c r="F180" s="1" t="s">
        <v>44</v>
      </c>
      <c r="G180" s="2" t="s">
        <v>3</v>
      </c>
      <c r="H180" s="3" t="s">
        <v>97</v>
      </c>
      <c r="I180" s="3" t="s">
        <v>85</v>
      </c>
      <c r="J180" s="3" t="s">
        <v>66</v>
      </c>
      <c r="K180" s="4">
        <v>374.78</v>
      </c>
      <c r="L180" s="6">
        <v>55.48</v>
      </c>
    </row>
    <row r="181" spans="1:12" x14ac:dyDescent="0.25">
      <c r="A181" s="1">
        <v>180</v>
      </c>
      <c r="B181" s="4">
        <v>1187</v>
      </c>
      <c r="C181" s="5">
        <v>41232</v>
      </c>
      <c r="D181" s="3" t="s">
        <v>4</v>
      </c>
      <c r="E181" s="1" t="s">
        <v>213</v>
      </c>
      <c r="F181" s="1" t="s">
        <v>38</v>
      </c>
      <c r="G181" s="2" t="s">
        <v>6</v>
      </c>
      <c r="H181" s="3" t="s">
        <v>88</v>
      </c>
      <c r="I181" s="3" t="s">
        <v>92</v>
      </c>
      <c r="J181" s="3" t="s">
        <v>62</v>
      </c>
      <c r="K181" s="4">
        <v>222.91</v>
      </c>
      <c r="L181" s="6">
        <v>15.98</v>
      </c>
    </row>
    <row r="182" spans="1:12" x14ac:dyDescent="0.25">
      <c r="A182" s="1">
        <v>181</v>
      </c>
      <c r="B182" s="4">
        <v>1189</v>
      </c>
      <c r="C182" s="5">
        <v>39911</v>
      </c>
      <c r="D182" s="3" t="s">
        <v>95</v>
      </c>
      <c r="E182" s="1" t="s">
        <v>214</v>
      </c>
      <c r="F182" s="1" t="s">
        <v>15</v>
      </c>
      <c r="G182" s="2" t="s">
        <v>1</v>
      </c>
      <c r="H182" s="3" t="s">
        <v>84</v>
      </c>
      <c r="I182" s="3" t="s">
        <v>85</v>
      </c>
      <c r="J182" s="3" t="s">
        <v>71</v>
      </c>
      <c r="K182" s="4">
        <v>129.1</v>
      </c>
      <c r="L182" s="6">
        <v>4.42</v>
      </c>
    </row>
    <row r="183" spans="1:12" x14ac:dyDescent="0.25">
      <c r="A183" s="1">
        <v>182</v>
      </c>
      <c r="B183" s="4">
        <v>1191</v>
      </c>
      <c r="C183" s="5">
        <v>40853</v>
      </c>
      <c r="D183" s="3" t="s">
        <v>4</v>
      </c>
      <c r="E183" s="1" t="s">
        <v>215</v>
      </c>
      <c r="F183" s="1" t="s">
        <v>20</v>
      </c>
      <c r="G183" s="2" t="s">
        <v>1</v>
      </c>
      <c r="H183" s="3" t="s">
        <v>97</v>
      </c>
      <c r="I183" s="3" t="s">
        <v>91</v>
      </c>
      <c r="J183" s="3" t="s">
        <v>60</v>
      </c>
      <c r="K183" s="4">
        <v>3532.96</v>
      </c>
      <c r="L183" s="6">
        <v>100.8</v>
      </c>
    </row>
    <row r="184" spans="1:12" x14ac:dyDescent="0.25">
      <c r="A184" s="1">
        <v>183</v>
      </c>
      <c r="B184" s="4">
        <v>1217</v>
      </c>
      <c r="C184" s="5">
        <v>41024</v>
      </c>
      <c r="D184" s="3" t="s">
        <v>86</v>
      </c>
      <c r="E184" s="1" t="s">
        <v>216</v>
      </c>
      <c r="F184" s="1" t="s">
        <v>45</v>
      </c>
      <c r="G184" s="2" t="s">
        <v>3</v>
      </c>
      <c r="H184" s="3" t="s">
        <v>88</v>
      </c>
      <c r="I184" s="3" t="s">
        <v>92</v>
      </c>
      <c r="J184" s="3" t="s">
        <v>62</v>
      </c>
      <c r="K184" s="4">
        <v>662.16</v>
      </c>
      <c r="L184" s="6">
        <v>28.48</v>
      </c>
    </row>
    <row r="185" spans="1:12" x14ac:dyDescent="0.25">
      <c r="A185" s="1">
        <v>184</v>
      </c>
      <c r="B185" s="4">
        <v>1218</v>
      </c>
      <c r="C185" s="5">
        <v>39983</v>
      </c>
      <c r="D185" s="3" t="s">
        <v>86</v>
      </c>
      <c r="E185" s="1" t="s">
        <v>217</v>
      </c>
      <c r="F185" s="1" t="s">
        <v>46</v>
      </c>
      <c r="G185" s="2" t="s">
        <v>6</v>
      </c>
      <c r="H185" s="3" t="s">
        <v>88</v>
      </c>
      <c r="I185" s="3" t="s">
        <v>85</v>
      </c>
      <c r="J185" s="3" t="s">
        <v>70</v>
      </c>
      <c r="K185" s="4">
        <v>46.46</v>
      </c>
      <c r="L185" s="6">
        <v>14.42</v>
      </c>
    </row>
    <row r="186" spans="1:12" x14ac:dyDescent="0.25">
      <c r="A186" s="1">
        <v>185</v>
      </c>
      <c r="B186" s="4">
        <v>1221</v>
      </c>
      <c r="C186" s="5">
        <v>41017</v>
      </c>
      <c r="D186" s="3" t="s">
        <v>86</v>
      </c>
      <c r="E186" s="1" t="s">
        <v>218</v>
      </c>
      <c r="F186" s="1" t="s">
        <v>30</v>
      </c>
      <c r="G186" s="2" t="s">
        <v>6</v>
      </c>
      <c r="H186" s="3" t="s">
        <v>88</v>
      </c>
      <c r="I186" s="3" t="s">
        <v>85</v>
      </c>
      <c r="J186" s="3" t="s">
        <v>69</v>
      </c>
      <c r="K186" s="4">
        <v>14.68</v>
      </c>
      <c r="L186" s="6">
        <v>8.6</v>
      </c>
    </row>
    <row r="187" spans="1:12" x14ac:dyDescent="0.25">
      <c r="A187" s="1">
        <v>186</v>
      </c>
      <c r="B187" s="4">
        <v>1221</v>
      </c>
      <c r="C187" s="5">
        <v>41017</v>
      </c>
      <c r="D187" s="3" t="s">
        <v>86</v>
      </c>
      <c r="E187" s="1" t="s">
        <v>219</v>
      </c>
      <c r="F187" s="1" t="s">
        <v>30</v>
      </c>
      <c r="G187" s="2" t="s">
        <v>6</v>
      </c>
      <c r="H187" s="3" t="s">
        <v>88</v>
      </c>
      <c r="I187" s="3" t="s">
        <v>85</v>
      </c>
      <c r="J187" s="3" t="s">
        <v>69</v>
      </c>
      <c r="K187" s="4">
        <v>10145.14</v>
      </c>
      <c r="L187" s="6">
        <v>896.99</v>
      </c>
    </row>
    <row r="188" spans="1:12" x14ac:dyDescent="0.25">
      <c r="A188" s="1">
        <v>187</v>
      </c>
      <c r="B188" s="4">
        <v>1221</v>
      </c>
      <c r="C188" s="5">
        <v>41017</v>
      </c>
      <c r="D188" s="3" t="s">
        <v>86</v>
      </c>
      <c r="E188" s="1" t="s">
        <v>219</v>
      </c>
      <c r="F188" s="1" t="s">
        <v>30</v>
      </c>
      <c r="G188" s="2" t="s">
        <v>6</v>
      </c>
      <c r="H188" s="3" t="s">
        <v>88</v>
      </c>
      <c r="I188" s="3" t="s">
        <v>85</v>
      </c>
      <c r="J188" s="3" t="s">
        <v>69</v>
      </c>
      <c r="K188" s="4">
        <v>68.45</v>
      </c>
      <c r="L188" s="6">
        <v>4.24</v>
      </c>
    </row>
    <row r="189" spans="1:12" x14ac:dyDescent="0.25">
      <c r="A189" s="1">
        <v>188</v>
      </c>
      <c r="B189" s="4">
        <v>1222</v>
      </c>
      <c r="C189" s="5">
        <v>40213</v>
      </c>
      <c r="D189" s="3" t="s">
        <v>4</v>
      </c>
      <c r="E189" s="1" t="s">
        <v>220</v>
      </c>
      <c r="F189" s="1" t="s">
        <v>47</v>
      </c>
      <c r="G189" s="2" t="s">
        <v>2</v>
      </c>
      <c r="H189" s="3" t="s">
        <v>97</v>
      </c>
      <c r="I189" s="3" t="s">
        <v>85</v>
      </c>
      <c r="J189" s="3" t="s">
        <v>66</v>
      </c>
      <c r="K189" s="4">
        <v>257.39</v>
      </c>
      <c r="L189" s="6">
        <v>5.28</v>
      </c>
    </row>
    <row r="190" spans="1:12" x14ac:dyDescent="0.25">
      <c r="A190" s="1">
        <v>189</v>
      </c>
      <c r="B190" s="4">
        <v>1253</v>
      </c>
      <c r="C190" s="5">
        <v>40203</v>
      </c>
      <c r="D190" s="3" t="s">
        <v>95</v>
      </c>
      <c r="E190" s="1" t="s">
        <v>221</v>
      </c>
      <c r="F190" s="1" t="s">
        <v>23</v>
      </c>
      <c r="G190" s="2" t="s">
        <v>3</v>
      </c>
      <c r="H190" s="3" t="s">
        <v>100</v>
      </c>
      <c r="I190" s="3" t="s">
        <v>85</v>
      </c>
      <c r="J190" s="3" t="s">
        <v>57</v>
      </c>
      <c r="K190" s="4">
        <v>494.34</v>
      </c>
      <c r="L190" s="6">
        <v>31.98</v>
      </c>
    </row>
    <row r="191" spans="1:12" x14ac:dyDescent="0.25">
      <c r="A191" s="1">
        <v>190</v>
      </c>
      <c r="B191" s="4">
        <v>1280</v>
      </c>
      <c r="C191" s="5">
        <v>40188</v>
      </c>
      <c r="D191" s="3" t="s">
        <v>82</v>
      </c>
      <c r="E191" s="1" t="s">
        <v>206</v>
      </c>
      <c r="F191" s="1" t="s">
        <v>12</v>
      </c>
      <c r="G191" s="2" t="s">
        <v>2</v>
      </c>
      <c r="H191" s="3" t="s">
        <v>88</v>
      </c>
      <c r="I191" s="3" t="s">
        <v>92</v>
      </c>
      <c r="J191" s="3" t="s">
        <v>62</v>
      </c>
      <c r="K191" s="4">
        <v>827.27</v>
      </c>
      <c r="L191" s="6">
        <v>20.97</v>
      </c>
    </row>
    <row r="192" spans="1:12" x14ac:dyDescent="0.25">
      <c r="A192" s="1">
        <v>191</v>
      </c>
      <c r="B192" s="4">
        <v>1282</v>
      </c>
      <c r="C192" s="5">
        <v>40966</v>
      </c>
      <c r="D192" s="3" t="s">
        <v>86</v>
      </c>
      <c r="E192" s="1" t="s">
        <v>222</v>
      </c>
      <c r="F192" s="1" t="s">
        <v>28</v>
      </c>
      <c r="G192" s="2" t="s">
        <v>6</v>
      </c>
      <c r="H192" s="3" t="s">
        <v>97</v>
      </c>
      <c r="I192" s="3" t="s">
        <v>92</v>
      </c>
      <c r="J192" s="3" t="s">
        <v>62</v>
      </c>
      <c r="K192" s="4">
        <v>892.38</v>
      </c>
      <c r="L192" s="6">
        <v>31.78</v>
      </c>
    </row>
    <row r="193" spans="1:12" x14ac:dyDescent="0.25">
      <c r="A193" s="1">
        <v>192</v>
      </c>
      <c r="B193" s="4">
        <v>1282</v>
      </c>
      <c r="C193" s="5">
        <v>40966</v>
      </c>
      <c r="D193" s="3" t="s">
        <v>86</v>
      </c>
      <c r="E193" s="1" t="s">
        <v>222</v>
      </c>
      <c r="F193" s="1" t="s">
        <v>28</v>
      </c>
      <c r="G193" s="2" t="s">
        <v>6</v>
      </c>
      <c r="H193" s="3" t="s">
        <v>97</v>
      </c>
      <c r="I193" s="3" t="s">
        <v>85</v>
      </c>
      <c r="J193" s="3" t="s">
        <v>63</v>
      </c>
      <c r="K193" s="4">
        <v>29.41</v>
      </c>
      <c r="L193" s="6">
        <v>2.78</v>
      </c>
    </row>
    <row r="194" spans="1:12" x14ac:dyDescent="0.25">
      <c r="A194" s="1">
        <v>193</v>
      </c>
      <c r="B194" s="4">
        <v>1285</v>
      </c>
      <c r="C194" s="5">
        <v>41060</v>
      </c>
      <c r="D194" s="3" t="s">
        <v>95</v>
      </c>
      <c r="E194" s="1" t="s">
        <v>223</v>
      </c>
      <c r="F194" s="1" t="s">
        <v>25</v>
      </c>
      <c r="G194" s="2" t="s">
        <v>6</v>
      </c>
      <c r="H194" s="3" t="s">
        <v>88</v>
      </c>
      <c r="I194" s="3" t="s">
        <v>91</v>
      </c>
      <c r="J194" s="3" t="s">
        <v>68</v>
      </c>
      <c r="K194" s="4">
        <v>3874.12</v>
      </c>
      <c r="L194" s="6">
        <v>130.97999999999999</v>
      </c>
    </row>
    <row r="195" spans="1:12" x14ac:dyDescent="0.25">
      <c r="A195" s="1">
        <v>194</v>
      </c>
      <c r="B195" s="4">
        <v>1285</v>
      </c>
      <c r="C195" s="5">
        <v>41060</v>
      </c>
      <c r="D195" s="3" t="s">
        <v>95</v>
      </c>
      <c r="E195" s="1" t="s">
        <v>223</v>
      </c>
      <c r="F195" s="1" t="s">
        <v>25</v>
      </c>
      <c r="G195" s="2" t="s">
        <v>6</v>
      </c>
      <c r="H195" s="3" t="s">
        <v>88</v>
      </c>
      <c r="I195" s="3" t="s">
        <v>91</v>
      </c>
      <c r="J195" s="3" t="s">
        <v>60</v>
      </c>
      <c r="K195" s="4">
        <v>1452.2160000000001</v>
      </c>
      <c r="L195" s="6">
        <v>218.75</v>
      </c>
    </row>
    <row r="196" spans="1:12" x14ac:dyDescent="0.25">
      <c r="A196" s="1">
        <v>195</v>
      </c>
      <c r="B196" s="4">
        <v>1286</v>
      </c>
      <c r="C196" s="5">
        <v>40311</v>
      </c>
      <c r="D196" s="3" t="s">
        <v>86</v>
      </c>
      <c r="E196" s="1" t="s">
        <v>224</v>
      </c>
      <c r="F196" s="1" t="s">
        <v>35</v>
      </c>
      <c r="G196" s="2" t="s">
        <v>1</v>
      </c>
      <c r="H196" s="3" t="s">
        <v>97</v>
      </c>
      <c r="I196" s="3" t="s">
        <v>85</v>
      </c>
      <c r="J196" s="3" t="s">
        <v>69</v>
      </c>
      <c r="K196" s="4">
        <v>234.37</v>
      </c>
      <c r="L196" s="6">
        <v>5.18</v>
      </c>
    </row>
    <row r="197" spans="1:12" x14ac:dyDescent="0.25">
      <c r="A197" s="1">
        <v>196</v>
      </c>
      <c r="B197" s="4">
        <v>1286</v>
      </c>
      <c r="C197" s="5">
        <v>40311</v>
      </c>
      <c r="D197" s="3" t="s">
        <v>86</v>
      </c>
      <c r="E197" s="1" t="s">
        <v>224</v>
      </c>
      <c r="F197" s="1" t="s">
        <v>35</v>
      </c>
      <c r="G197" s="2" t="s">
        <v>1</v>
      </c>
      <c r="H197" s="3" t="s">
        <v>97</v>
      </c>
      <c r="I197" s="3" t="s">
        <v>92</v>
      </c>
      <c r="J197" s="3" t="s">
        <v>61</v>
      </c>
      <c r="K197" s="4">
        <v>1000.3565000000001</v>
      </c>
      <c r="L197" s="6">
        <v>85.99</v>
      </c>
    </row>
    <row r="198" spans="1:12" x14ac:dyDescent="0.25">
      <c r="A198" s="1">
        <v>197</v>
      </c>
      <c r="B198" s="4">
        <v>1287</v>
      </c>
      <c r="C198" s="5">
        <v>39998</v>
      </c>
      <c r="D198" s="3" t="s">
        <v>89</v>
      </c>
      <c r="E198" s="1" t="s">
        <v>225</v>
      </c>
      <c r="F198" s="1" t="s">
        <v>26</v>
      </c>
      <c r="G198" s="2" t="s">
        <v>3</v>
      </c>
      <c r="H198" s="3" t="s">
        <v>88</v>
      </c>
      <c r="I198" s="3" t="s">
        <v>91</v>
      </c>
      <c r="J198" s="3" t="s">
        <v>59</v>
      </c>
      <c r="K198" s="4">
        <v>3908.65</v>
      </c>
      <c r="L198" s="6">
        <v>105.29</v>
      </c>
    </row>
    <row r="199" spans="1:12" x14ac:dyDescent="0.25">
      <c r="A199" s="1">
        <v>198</v>
      </c>
      <c r="B199" s="4">
        <v>1313</v>
      </c>
      <c r="C199" s="5">
        <v>40068</v>
      </c>
      <c r="D199" s="3" t="s">
        <v>95</v>
      </c>
      <c r="E199" s="1" t="s">
        <v>223</v>
      </c>
      <c r="F199" s="1" t="s">
        <v>25</v>
      </c>
      <c r="G199" s="2" t="s">
        <v>6</v>
      </c>
      <c r="H199" s="3" t="s">
        <v>97</v>
      </c>
      <c r="I199" s="3" t="s">
        <v>85</v>
      </c>
      <c r="J199" s="3" t="s">
        <v>66</v>
      </c>
      <c r="K199" s="4">
        <v>840.07</v>
      </c>
      <c r="L199" s="6">
        <v>22.84</v>
      </c>
    </row>
    <row r="200" spans="1:12" x14ac:dyDescent="0.25">
      <c r="A200" s="1">
        <v>199</v>
      </c>
      <c r="B200" s="4">
        <v>1314</v>
      </c>
      <c r="C200" s="5">
        <v>39945</v>
      </c>
      <c r="D200" s="3" t="s">
        <v>4</v>
      </c>
      <c r="E200" s="1" t="s">
        <v>226</v>
      </c>
      <c r="F200" s="1" t="s">
        <v>11</v>
      </c>
      <c r="G200" s="2" t="s">
        <v>6</v>
      </c>
      <c r="H200" s="3" t="s">
        <v>88</v>
      </c>
      <c r="I200" s="3" t="s">
        <v>85</v>
      </c>
      <c r="J200" s="3" t="s">
        <v>66</v>
      </c>
      <c r="K200" s="4">
        <v>42.58</v>
      </c>
      <c r="L200" s="6">
        <v>9.27</v>
      </c>
    </row>
    <row r="201" spans="1:12" x14ac:dyDescent="0.25">
      <c r="A201" s="1">
        <v>200</v>
      </c>
      <c r="B201" s="4">
        <v>1317</v>
      </c>
      <c r="C201" s="5">
        <v>40681</v>
      </c>
      <c r="D201" s="3" t="s">
        <v>89</v>
      </c>
      <c r="E201" s="1" t="s">
        <v>157</v>
      </c>
      <c r="F201" s="1" t="s">
        <v>10</v>
      </c>
      <c r="G201" s="2" t="s">
        <v>3</v>
      </c>
      <c r="H201" s="3" t="s">
        <v>100</v>
      </c>
      <c r="I201" s="3" t="s">
        <v>85</v>
      </c>
      <c r="J201" s="3" t="s">
        <v>69</v>
      </c>
      <c r="K201" s="4">
        <v>523.41999999999996</v>
      </c>
      <c r="L201" s="6">
        <v>11.7</v>
      </c>
    </row>
    <row r="202" spans="1:12" x14ac:dyDescent="0.25">
      <c r="A202" s="1">
        <v>201</v>
      </c>
      <c r="B202" s="4">
        <v>1317</v>
      </c>
      <c r="C202" s="5">
        <v>40681</v>
      </c>
      <c r="D202" s="3" t="s">
        <v>89</v>
      </c>
      <c r="E202" s="1" t="s">
        <v>157</v>
      </c>
      <c r="F202" s="1" t="s">
        <v>10</v>
      </c>
      <c r="G202" s="2" t="s">
        <v>3</v>
      </c>
      <c r="H202" s="3" t="s">
        <v>100</v>
      </c>
      <c r="I202" s="3" t="s">
        <v>85</v>
      </c>
      <c r="J202" s="3" t="s">
        <v>66</v>
      </c>
      <c r="K202" s="4">
        <v>192.54</v>
      </c>
      <c r="L202" s="6">
        <v>4.9800000000000004</v>
      </c>
    </row>
    <row r="203" spans="1:12" x14ac:dyDescent="0.25">
      <c r="A203" s="1">
        <v>202</v>
      </c>
      <c r="B203" s="4">
        <v>1317</v>
      </c>
      <c r="C203" s="5">
        <v>40681</v>
      </c>
      <c r="D203" s="3" t="s">
        <v>89</v>
      </c>
      <c r="E203" s="1" t="s">
        <v>157</v>
      </c>
      <c r="F203" s="1" t="s">
        <v>10</v>
      </c>
      <c r="G203" s="2" t="s">
        <v>3</v>
      </c>
      <c r="H203" s="3" t="s">
        <v>100</v>
      </c>
      <c r="I203" s="3" t="s">
        <v>85</v>
      </c>
      <c r="J203" s="3" t="s">
        <v>66</v>
      </c>
      <c r="K203" s="4">
        <v>156.69999999999999</v>
      </c>
      <c r="L203" s="6">
        <v>5.28</v>
      </c>
    </row>
    <row r="204" spans="1:12" x14ac:dyDescent="0.25">
      <c r="A204" s="1">
        <v>203</v>
      </c>
      <c r="B204" s="4">
        <v>1344</v>
      </c>
      <c r="C204" s="5">
        <v>41014</v>
      </c>
      <c r="D204" s="3" t="s">
        <v>82</v>
      </c>
      <c r="E204" s="1" t="s">
        <v>227</v>
      </c>
      <c r="F204" s="1" t="s">
        <v>8</v>
      </c>
      <c r="G204" s="2" t="s">
        <v>6</v>
      </c>
      <c r="H204" s="3" t="s">
        <v>88</v>
      </c>
      <c r="I204" s="3" t="s">
        <v>92</v>
      </c>
      <c r="J204" s="3" t="s">
        <v>61</v>
      </c>
      <c r="K204" s="4">
        <v>834.904</v>
      </c>
      <c r="L204" s="6">
        <v>65.989999999999995</v>
      </c>
    </row>
    <row r="205" spans="1:12" x14ac:dyDescent="0.25">
      <c r="A205" s="1">
        <v>204</v>
      </c>
      <c r="B205" s="4">
        <v>1344</v>
      </c>
      <c r="C205" s="5">
        <v>41014</v>
      </c>
      <c r="D205" s="3" t="s">
        <v>82</v>
      </c>
      <c r="E205" s="1" t="s">
        <v>227</v>
      </c>
      <c r="F205" s="1" t="s">
        <v>8</v>
      </c>
      <c r="G205" s="2" t="s">
        <v>6</v>
      </c>
      <c r="H205" s="3" t="s">
        <v>88</v>
      </c>
      <c r="I205" s="3" t="s">
        <v>92</v>
      </c>
      <c r="J205" s="3" t="s">
        <v>61</v>
      </c>
      <c r="K205" s="4">
        <v>2480.9205000000002</v>
      </c>
      <c r="L205" s="6">
        <v>155.99</v>
      </c>
    </row>
    <row r="206" spans="1:12" x14ac:dyDescent="0.25">
      <c r="A206" s="1">
        <v>205</v>
      </c>
      <c r="B206" s="4">
        <v>1345</v>
      </c>
      <c r="C206" s="5">
        <v>41209</v>
      </c>
      <c r="D206" s="3" t="s">
        <v>82</v>
      </c>
      <c r="E206" s="1" t="s">
        <v>228</v>
      </c>
      <c r="F206" s="1" t="s">
        <v>18</v>
      </c>
      <c r="G206" s="2" t="s">
        <v>6</v>
      </c>
      <c r="H206" s="3" t="s">
        <v>88</v>
      </c>
      <c r="I206" s="3" t="s">
        <v>91</v>
      </c>
      <c r="J206" s="3" t="s">
        <v>68</v>
      </c>
      <c r="K206" s="4">
        <v>2443.85</v>
      </c>
      <c r="L206" s="6">
        <v>100.98</v>
      </c>
    </row>
    <row r="207" spans="1:12" x14ac:dyDescent="0.25">
      <c r="A207" s="1">
        <v>206</v>
      </c>
      <c r="B207" s="4">
        <v>1346</v>
      </c>
      <c r="C207" s="5">
        <v>41077</v>
      </c>
      <c r="D207" s="3" t="s">
        <v>89</v>
      </c>
      <c r="E207" s="1" t="s">
        <v>229</v>
      </c>
      <c r="F207" s="1" t="s">
        <v>25</v>
      </c>
      <c r="G207" s="2" t="s">
        <v>6</v>
      </c>
      <c r="H207" s="3" t="s">
        <v>88</v>
      </c>
      <c r="I207" s="3" t="s">
        <v>91</v>
      </c>
      <c r="J207" s="3" t="s">
        <v>68</v>
      </c>
      <c r="K207" s="4">
        <v>4789.8900000000003</v>
      </c>
      <c r="L207" s="6">
        <v>100.98</v>
      </c>
    </row>
    <row r="208" spans="1:12" x14ac:dyDescent="0.25">
      <c r="A208" s="1">
        <v>207</v>
      </c>
      <c r="B208" s="4">
        <v>1382</v>
      </c>
      <c r="C208" s="5">
        <v>40406</v>
      </c>
      <c r="D208" s="3" t="s">
        <v>82</v>
      </c>
      <c r="E208" s="1" t="s">
        <v>230</v>
      </c>
      <c r="F208" s="1" t="s">
        <v>43</v>
      </c>
      <c r="G208" s="2" t="s">
        <v>1</v>
      </c>
      <c r="H208" s="3" t="s">
        <v>97</v>
      </c>
      <c r="I208" s="3" t="s">
        <v>92</v>
      </c>
      <c r="J208" s="3" t="s">
        <v>61</v>
      </c>
      <c r="K208" s="4">
        <v>89.334999999999994</v>
      </c>
      <c r="L208" s="6">
        <v>20.99</v>
      </c>
    </row>
    <row r="209" spans="1:12" x14ac:dyDescent="0.25">
      <c r="A209" s="1">
        <v>208</v>
      </c>
      <c r="B209" s="4">
        <v>1382</v>
      </c>
      <c r="C209" s="5">
        <v>40406</v>
      </c>
      <c r="D209" s="3" t="s">
        <v>82</v>
      </c>
      <c r="E209" s="1" t="s">
        <v>231</v>
      </c>
      <c r="F209" s="1" t="s">
        <v>43</v>
      </c>
      <c r="G209" s="2" t="s">
        <v>1</v>
      </c>
      <c r="H209" s="3" t="s">
        <v>97</v>
      </c>
      <c r="I209" s="3" t="s">
        <v>85</v>
      </c>
      <c r="J209" s="3" t="s">
        <v>69</v>
      </c>
      <c r="K209" s="4">
        <v>158.46</v>
      </c>
      <c r="L209" s="6">
        <v>3.98</v>
      </c>
    </row>
    <row r="210" spans="1:12" x14ac:dyDescent="0.25">
      <c r="A210" s="1">
        <v>209</v>
      </c>
      <c r="B210" s="4">
        <v>1382</v>
      </c>
      <c r="C210" s="5">
        <v>40406</v>
      </c>
      <c r="D210" s="3" t="s">
        <v>82</v>
      </c>
      <c r="E210" s="1" t="s">
        <v>232</v>
      </c>
      <c r="F210" s="1" t="s">
        <v>43</v>
      </c>
      <c r="G210" s="2" t="s">
        <v>1</v>
      </c>
      <c r="H210" s="3" t="s">
        <v>97</v>
      </c>
      <c r="I210" s="3" t="s">
        <v>91</v>
      </c>
      <c r="J210" s="3" t="s">
        <v>68</v>
      </c>
      <c r="K210" s="4">
        <v>7180.83</v>
      </c>
      <c r="L210" s="6">
        <v>220.98</v>
      </c>
    </row>
    <row r="211" spans="1:12" x14ac:dyDescent="0.25">
      <c r="A211" s="1">
        <v>210</v>
      </c>
      <c r="B211" s="4">
        <v>1383</v>
      </c>
      <c r="C211" s="5">
        <v>40294</v>
      </c>
      <c r="D211" s="3" t="s">
        <v>89</v>
      </c>
      <c r="E211" s="1" t="s">
        <v>233</v>
      </c>
      <c r="F211" s="1" t="s">
        <v>33</v>
      </c>
      <c r="G211" s="2" t="s">
        <v>2</v>
      </c>
      <c r="H211" s="3" t="s">
        <v>100</v>
      </c>
      <c r="I211" s="3" t="s">
        <v>85</v>
      </c>
      <c r="J211" s="3" t="s">
        <v>57</v>
      </c>
      <c r="K211" s="4">
        <v>17129.97</v>
      </c>
      <c r="L211" s="6">
        <v>415.88</v>
      </c>
    </row>
    <row r="212" spans="1:12" x14ac:dyDescent="0.25">
      <c r="A212" s="1">
        <v>211</v>
      </c>
      <c r="B212" s="4">
        <v>1411</v>
      </c>
      <c r="C212" s="5">
        <v>40167</v>
      </c>
      <c r="D212" s="3" t="s">
        <v>89</v>
      </c>
      <c r="E212" s="1" t="s">
        <v>231</v>
      </c>
      <c r="F212" s="1" t="s">
        <v>43</v>
      </c>
      <c r="G212" s="2" t="s">
        <v>1</v>
      </c>
      <c r="H212" s="3" t="s">
        <v>84</v>
      </c>
      <c r="I212" s="3" t="s">
        <v>91</v>
      </c>
      <c r="J212" s="3" t="s">
        <v>68</v>
      </c>
      <c r="K212" s="4">
        <v>5748.2</v>
      </c>
      <c r="L212" s="6">
        <v>160.97999999999999</v>
      </c>
    </row>
    <row r="213" spans="1:12" x14ac:dyDescent="0.25">
      <c r="A213" s="1">
        <v>212</v>
      </c>
      <c r="B213" s="4">
        <v>1411</v>
      </c>
      <c r="C213" s="5">
        <v>40167</v>
      </c>
      <c r="D213" s="3" t="s">
        <v>89</v>
      </c>
      <c r="E213" s="1" t="s">
        <v>234</v>
      </c>
      <c r="F213" s="1" t="s">
        <v>24</v>
      </c>
      <c r="G213" s="2" t="s">
        <v>2</v>
      </c>
      <c r="H213" s="3" t="s">
        <v>84</v>
      </c>
      <c r="I213" s="3" t="s">
        <v>92</v>
      </c>
      <c r="J213" s="3" t="s">
        <v>61</v>
      </c>
      <c r="K213" s="4">
        <v>6717.9324999999999</v>
      </c>
      <c r="L213" s="6">
        <v>175.99</v>
      </c>
    </row>
    <row r="214" spans="1:12" x14ac:dyDescent="0.25">
      <c r="A214" s="1">
        <v>213</v>
      </c>
      <c r="B214" s="4">
        <v>1412</v>
      </c>
      <c r="C214" s="5">
        <v>40249</v>
      </c>
      <c r="D214" s="3" t="s">
        <v>86</v>
      </c>
      <c r="E214" s="1" t="s">
        <v>154</v>
      </c>
      <c r="F214" s="1" t="s">
        <v>8</v>
      </c>
      <c r="G214" s="2" t="s">
        <v>6</v>
      </c>
      <c r="H214" s="3" t="s">
        <v>100</v>
      </c>
      <c r="I214" s="3" t="s">
        <v>85</v>
      </c>
      <c r="J214" s="3" t="s">
        <v>65</v>
      </c>
      <c r="K214" s="4">
        <v>59.03</v>
      </c>
      <c r="L214" s="6">
        <v>3.69</v>
      </c>
    </row>
    <row r="215" spans="1:12" x14ac:dyDescent="0.25">
      <c r="A215" s="1">
        <v>214</v>
      </c>
      <c r="B215" s="4">
        <v>1412</v>
      </c>
      <c r="C215" s="5">
        <v>40249</v>
      </c>
      <c r="D215" s="3" t="s">
        <v>86</v>
      </c>
      <c r="E215" s="1" t="s">
        <v>154</v>
      </c>
      <c r="F215" s="1" t="s">
        <v>8</v>
      </c>
      <c r="G215" s="2" t="s">
        <v>6</v>
      </c>
      <c r="H215" s="3" t="s">
        <v>100</v>
      </c>
      <c r="I215" s="3" t="s">
        <v>85</v>
      </c>
      <c r="J215" s="3" t="s">
        <v>64</v>
      </c>
      <c r="K215" s="4">
        <v>97.48</v>
      </c>
      <c r="L215" s="6">
        <v>4.71</v>
      </c>
    </row>
    <row r="216" spans="1:12" x14ac:dyDescent="0.25">
      <c r="A216" s="1">
        <v>215</v>
      </c>
      <c r="B216" s="4">
        <v>1414</v>
      </c>
      <c r="C216" s="5">
        <v>40770</v>
      </c>
      <c r="D216" s="3" t="s">
        <v>95</v>
      </c>
      <c r="E216" s="1" t="s">
        <v>235</v>
      </c>
      <c r="F216" s="1" t="s">
        <v>36</v>
      </c>
      <c r="G216" s="2" t="s">
        <v>2</v>
      </c>
      <c r="H216" s="3" t="s">
        <v>84</v>
      </c>
      <c r="I216" s="3" t="s">
        <v>91</v>
      </c>
      <c r="J216" s="3" t="s">
        <v>60</v>
      </c>
      <c r="K216" s="4">
        <v>4530.96</v>
      </c>
      <c r="L216" s="6">
        <v>105.49</v>
      </c>
    </row>
    <row r="217" spans="1:12" x14ac:dyDescent="0.25">
      <c r="A217" s="1">
        <v>216</v>
      </c>
      <c r="B217" s="4">
        <v>1440</v>
      </c>
      <c r="C217" s="5">
        <v>40764</v>
      </c>
      <c r="D217" s="3" t="s">
        <v>82</v>
      </c>
      <c r="E217" s="1" t="s">
        <v>236</v>
      </c>
      <c r="F217" s="1" t="s">
        <v>16</v>
      </c>
      <c r="G217" s="2" t="s">
        <v>3</v>
      </c>
      <c r="H217" s="3" t="s">
        <v>84</v>
      </c>
      <c r="I217" s="3" t="s">
        <v>91</v>
      </c>
      <c r="J217" s="3" t="s">
        <v>59</v>
      </c>
      <c r="K217" s="4">
        <v>726.22</v>
      </c>
      <c r="L217" s="6">
        <v>17.670000000000002</v>
      </c>
    </row>
    <row r="218" spans="1:12" x14ac:dyDescent="0.25">
      <c r="A218" s="1">
        <v>217</v>
      </c>
      <c r="B218" s="4">
        <v>1444</v>
      </c>
      <c r="C218" s="5">
        <v>40152</v>
      </c>
      <c r="D218" s="3" t="s">
        <v>4</v>
      </c>
      <c r="E218" s="1" t="s">
        <v>237</v>
      </c>
      <c r="F218" s="1" t="s">
        <v>21</v>
      </c>
      <c r="G218" s="2" t="s">
        <v>1</v>
      </c>
      <c r="H218" s="3" t="s">
        <v>97</v>
      </c>
      <c r="I218" s="3" t="s">
        <v>92</v>
      </c>
      <c r="J218" s="3" t="s">
        <v>73</v>
      </c>
      <c r="K218" s="4">
        <v>21717.360000000001</v>
      </c>
      <c r="L218" s="6">
        <v>699.99</v>
      </c>
    </row>
    <row r="219" spans="1:12" x14ac:dyDescent="0.25">
      <c r="A219" s="1">
        <v>218</v>
      </c>
      <c r="B219" s="4">
        <v>1444</v>
      </c>
      <c r="C219" s="5">
        <v>40152</v>
      </c>
      <c r="D219" s="3" t="s">
        <v>4</v>
      </c>
      <c r="E219" s="1" t="s">
        <v>238</v>
      </c>
      <c r="F219" s="1" t="s">
        <v>48</v>
      </c>
      <c r="G219" s="2" t="s">
        <v>1</v>
      </c>
      <c r="H219" s="3" t="s">
        <v>97</v>
      </c>
      <c r="I219" s="3" t="s">
        <v>92</v>
      </c>
      <c r="J219" s="3" t="s">
        <v>67</v>
      </c>
      <c r="K219" s="4">
        <v>15823.27</v>
      </c>
      <c r="L219" s="6">
        <v>1360.14</v>
      </c>
    </row>
    <row r="220" spans="1:12" x14ac:dyDescent="0.25">
      <c r="A220" s="1">
        <v>219</v>
      </c>
      <c r="B220" s="4">
        <v>1444</v>
      </c>
      <c r="C220" s="5">
        <v>40152</v>
      </c>
      <c r="D220" s="3" t="s">
        <v>4</v>
      </c>
      <c r="E220" s="1" t="s">
        <v>239</v>
      </c>
      <c r="F220" s="1" t="s">
        <v>43</v>
      </c>
      <c r="G220" s="2" t="s">
        <v>1</v>
      </c>
      <c r="H220" s="3" t="s">
        <v>97</v>
      </c>
      <c r="I220" s="3" t="s">
        <v>85</v>
      </c>
      <c r="J220" s="3" t="s">
        <v>66</v>
      </c>
      <c r="K220" s="4">
        <v>21.44</v>
      </c>
      <c r="L220" s="6">
        <v>6.48</v>
      </c>
    </row>
    <row r="221" spans="1:12" x14ac:dyDescent="0.25">
      <c r="A221" s="1">
        <v>220</v>
      </c>
      <c r="B221" s="4">
        <v>1444</v>
      </c>
      <c r="C221" s="5">
        <v>40152</v>
      </c>
      <c r="D221" s="3" t="s">
        <v>4</v>
      </c>
      <c r="E221" s="1" t="s">
        <v>240</v>
      </c>
      <c r="F221" s="1" t="s">
        <v>20</v>
      </c>
      <c r="G221" s="2" t="s">
        <v>1</v>
      </c>
      <c r="H221" s="3" t="s">
        <v>97</v>
      </c>
      <c r="I221" s="3" t="s">
        <v>85</v>
      </c>
      <c r="J221" s="3" t="s">
        <v>57</v>
      </c>
      <c r="K221" s="4">
        <v>416.4</v>
      </c>
      <c r="L221" s="6">
        <v>17.149999999999999</v>
      </c>
    </row>
    <row r="222" spans="1:12" x14ac:dyDescent="0.25">
      <c r="A222" s="1">
        <v>221</v>
      </c>
      <c r="B222" s="4">
        <v>1444</v>
      </c>
      <c r="C222" s="5">
        <v>40152</v>
      </c>
      <c r="D222" s="3" t="s">
        <v>4</v>
      </c>
      <c r="E222" s="1" t="s">
        <v>241</v>
      </c>
      <c r="F222" s="1" t="s">
        <v>49</v>
      </c>
      <c r="G222" s="2" t="s">
        <v>1</v>
      </c>
      <c r="H222" s="3" t="s">
        <v>97</v>
      </c>
      <c r="I222" s="3" t="s">
        <v>85</v>
      </c>
      <c r="J222" s="3" t="s">
        <v>66</v>
      </c>
      <c r="K222" s="4">
        <v>772.24</v>
      </c>
      <c r="L222" s="6">
        <v>30.98</v>
      </c>
    </row>
    <row r="223" spans="1:12" x14ac:dyDescent="0.25">
      <c r="A223" s="1">
        <v>222</v>
      </c>
      <c r="B223" s="4">
        <v>1445</v>
      </c>
      <c r="C223" s="5">
        <v>40552</v>
      </c>
      <c r="D223" s="3" t="s">
        <v>4</v>
      </c>
      <c r="E223" s="1" t="s">
        <v>242</v>
      </c>
      <c r="F223" s="1" t="s">
        <v>30</v>
      </c>
      <c r="G223" s="2" t="s">
        <v>6</v>
      </c>
      <c r="H223" s="3" t="s">
        <v>88</v>
      </c>
      <c r="I223" s="3" t="s">
        <v>85</v>
      </c>
      <c r="J223" s="3" t="s">
        <v>69</v>
      </c>
      <c r="K223" s="4">
        <v>1326.09</v>
      </c>
      <c r="L223" s="6">
        <v>420.98</v>
      </c>
    </row>
    <row r="224" spans="1:12" x14ac:dyDescent="0.25">
      <c r="A224" s="1">
        <v>223</v>
      </c>
      <c r="B224" s="4">
        <v>1445</v>
      </c>
      <c r="C224" s="5">
        <v>40552</v>
      </c>
      <c r="D224" s="3" t="s">
        <v>4</v>
      </c>
      <c r="E224" s="1" t="s">
        <v>242</v>
      </c>
      <c r="F224" s="1" t="s">
        <v>30</v>
      </c>
      <c r="G224" s="2" t="s">
        <v>6</v>
      </c>
      <c r="H224" s="3" t="s">
        <v>88</v>
      </c>
      <c r="I224" s="3" t="s">
        <v>85</v>
      </c>
      <c r="J224" s="3" t="s">
        <v>63</v>
      </c>
      <c r="K224" s="4">
        <v>339.49</v>
      </c>
      <c r="L224" s="6">
        <v>11.97</v>
      </c>
    </row>
    <row r="225" spans="1:12" x14ac:dyDescent="0.25">
      <c r="A225" s="1">
        <v>224</v>
      </c>
      <c r="B225" s="4">
        <v>1447</v>
      </c>
      <c r="C225" s="5">
        <v>41196</v>
      </c>
      <c r="D225" s="3" t="s">
        <v>89</v>
      </c>
      <c r="E225" s="1" t="s">
        <v>243</v>
      </c>
      <c r="F225" s="1" t="s">
        <v>31</v>
      </c>
      <c r="G225" s="2" t="s">
        <v>1</v>
      </c>
      <c r="H225" s="3" t="s">
        <v>100</v>
      </c>
      <c r="I225" s="3" t="s">
        <v>92</v>
      </c>
      <c r="J225" s="3" t="s">
        <v>61</v>
      </c>
      <c r="K225" s="4">
        <v>2135.9734999999996</v>
      </c>
      <c r="L225" s="6">
        <v>65.989999999999995</v>
      </c>
    </row>
    <row r="226" spans="1:12" x14ac:dyDescent="0.25">
      <c r="A226" s="1">
        <v>225</v>
      </c>
      <c r="B226" s="4">
        <v>1504</v>
      </c>
      <c r="C226" s="5">
        <v>41148</v>
      </c>
      <c r="D226" s="3" t="s">
        <v>4</v>
      </c>
      <c r="E226" s="1" t="s">
        <v>244</v>
      </c>
      <c r="F226" s="1" t="s">
        <v>42</v>
      </c>
      <c r="G226" s="2" t="s">
        <v>3</v>
      </c>
      <c r="H226" s="3" t="s">
        <v>88</v>
      </c>
      <c r="I226" s="3" t="s">
        <v>92</v>
      </c>
      <c r="J226" s="3" t="s">
        <v>62</v>
      </c>
      <c r="K226" s="4">
        <v>293.18</v>
      </c>
      <c r="L226" s="6">
        <v>10.01</v>
      </c>
    </row>
    <row r="227" spans="1:12" x14ac:dyDescent="0.25">
      <c r="A227" s="1">
        <v>226</v>
      </c>
      <c r="B227" s="4">
        <v>1507</v>
      </c>
      <c r="C227" s="5">
        <v>40464</v>
      </c>
      <c r="D227" s="3" t="s">
        <v>4</v>
      </c>
      <c r="E227" s="1" t="s">
        <v>245</v>
      </c>
      <c r="F227" s="1" t="s">
        <v>34</v>
      </c>
      <c r="G227" s="2" t="s">
        <v>1</v>
      </c>
      <c r="H227" s="3" t="s">
        <v>97</v>
      </c>
      <c r="I227" s="3" t="s">
        <v>92</v>
      </c>
      <c r="J227" s="3" t="s">
        <v>62</v>
      </c>
      <c r="K227" s="4">
        <v>4345.8599999999997</v>
      </c>
      <c r="L227" s="6">
        <v>152.47999999999999</v>
      </c>
    </row>
    <row r="228" spans="1:12" x14ac:dyDescent="0.25">
      <c r="A228" s="1">
        <v>227</v>
      </c>
      <c r="B228" s="4">
        <v>1537</v>
      </c>
      <c r="C228" s="5">
        <v>40953</v>
      </c>
      <c r="D228" s="3" t="s">
        <v>86</v>
      </c>
      <c r="E228" s="1" t="s">
        <v>246</v>
      </c>
      <c r="F228" s="1" t="s">
        <v>27</v>
      </c>
      <c r="G228" s="2" t="s">
        <v>1</v>
      </c>
      <c r="H228" s="3" t="s">
        <v>88</v>
      </c>
      <c r="I228" s="3" t="s">
        <v>85</v>
      </c>
      <c r="J228" s="3" t="s">
        <v>69</v>
      </c>
      <c r="K228" s="4">
        <v>16.600000000000001</v>
      </c>
      <c r="L228" s="6">
        <v>2.16</v>
      </c>
    </row>
    <row r="229" spans="1:12" x14ac:dyDescent="0.25">
      <c r="A229" s="1">
        <v>228</v>
      </c>
      <c r="B229" s="4">
        <v>1538</v>
      </c>
      <c r="C229" s="5">
        <v>40711</v>
      </c>
      <c r="D229" s="3" t="s">
        <v>86</v>
      </c>
      <c r="E229" s="1" t="s">
        <v>247</v>
      </c>
      <c r="F229" s="1" t="s">
        <v>13</v>
      </c>
      <c r="G229" s="2" t="s">
        <v>6</v>
      </c>
      <c r="H229" s="3" t="s">
        <v>88</v>
      </c>
      <c r="I229" s="3" t="s">
        <v>92</v>
      </c>
      <c r="J229" s="3" t="s">
        <v>61</v>
      </c>
      <c r="K229" s="4">
        <v>1297.3040000000001</v>
      </c>
      <c r="L229" s="6">
        <v>95.99</v>
      </c>
    </row>
    <row r="230" spans="1:12" x14ac:dyDescent="0.25">
      <c r="A230" s="1">
        <v>229</v>
      </c>
      <c r="B230" s="4">
        <v>1539</v>
      </c>
      <c r="C230" s="5">
        <v>40611</v>
      </c>
      <c r="D230" s="3" t="s">
        <v>82</v>
      </c>
      <c r="E230" s="1" t="s">
        <v>248</v>
      </c>
      <c r="F230" s="1" t="s">
        <v>8</v>
      </c>
      <c r="G230" s="2" t="s">
        <v>6</v>
      </c>
      <c r="H230" s="3" t="s">
        <v>88</v>
      </c>
      <c r="I230" s="3" t="s">
        <v>85</v>
      </c>
      <c r="J230" s="3" t="s">
        <v>69</v>
      </c>
      <c r="K230" s="4">
        <v>511.83</v>
      </c>
      <c r="L230" s="6">
        <v>15.99</v>
      </c>
    </row>
    <row r="231" spans="1:12" x14ac:dyDescent="0.25">
      <c r="A231" s="1">
        <v>230</v>
      </c>
      <c r="B231" s="4">
        <v>1539</v>
      </c>
      <c r="C231" s="5">
        <v>40611</v>
      </c>
      <c r="D231" s="3" t="s">
        <v>82</v>
      </c>
      <c r="E231" s="1" t="s">
        <v>248</v>
      </c>
      <c r="F231" s="1" t="s">
        <v>8</v>
      </c>
      <c r="G231" s="2" t="s">
        <v>6</v>
      </c>
      <c r="H231" s="3" t="s">
        <v>88</v>
      </c>
      <c r="I231" s="3" t="s">
        <v>92</v>
      </c>
      <c r="J231" s="3" t="s">
        <v>62</v>
      </c>
      <c r="K231" s="4">
        <v>184.99</v>
      </c>
      <c r="L231" s="6">
        <v>4.8899999999999997</v>
      </c>
    </row>
    <row r="232" spans="1:12" x14ac:dyDescent="0.25">
      <c r="A232" s="1">
        <v>231</v>
      </c>
      <c r="B232" s="4">
        <v>1540</v>
      </c>
      <c r="C232" s="5">
        <v>41125</v>
      </c>
      <c r="D232" s="3" t="s">
        <v>89</v>
      </c>
      <c r="E232" s="1" t="s">
        <v>249</v>
      </c>
      <c r="F232" s="1" t="s">
        <v>8</v>
      </c>
      <c r="G232" s="2" t="s">
        <v>6</v>
      </c>
      <c r="H232" s="3" t="s">
        <v>97</v>
      </c>
      <c r="I232" s="3" t="s">
        <v>85</v>
      </c>
      <c r="J232" s="3" t="s">
        <v>63</v>
      </c>
      <c r="K232" s="4">
        <v>80.900000000000006</v>
      </c>
      <c r="L232" s="6">
        <v>2.88</v>
      </c>
    </row>
    <row r="233" spans="1:12" x14ac:dyDescent="0.25">
      <c r="A233" s="1">
        <v>232</v>
      </c>
      <c r="B233" s="4">
        <v>1542</v>
      </c>
      <c r="C233" s="5">
        <v>40435</v>
      </c>
      <c r="D233" s="3" t="s">
        <v>4</v>
      </c>
      <c r="E233" s="1" t="s">
        <v>250</v>
      </c>
      <c r="F233" s="1" t="s">
        <v>23</v>
      </c>
      <c r="G233" s="2" t="s">
        <v>3</v>
      </c>
      <c r="H233" s="3" t="s">
        <v>100</v>
      </c>
      <c r="I233" s="3" t="s">
        <v>85</v>
      </c>
      <c r="J233" s="3" t="s">
        <v>70</v>
      </c>
      <c r="K233" s="4">
        <v>2150.25</v>
      </c>
      <c r="L233" s="6">
        <v>48.58</v>
      </c>
    </row>
    <row r="234" spans="1:12" x14ac:dyDescent="0.25">
      <c r="A234" s="1">
        <v>233</v>
      </c>
      <c r="B234" s="4">
        <v>1542</v>
      </c>
      <c r="C234" s="5">
        <v>40435</v>
      </c>
      <c r="D234" s="3" t="s">
        <v>4</v>
      </c>
      <c r="E234" s="1" t="s">
        <v>251</v>
      </c>
      <c r="F234" s="1" t="s">
        <v>23</v>
      </c>
      <c r="G234" s="2" t="s">
        <v>3</v>
      </c>
      <c r="H234" s="3" t="s">
        <v>100</v>
      </c>
      <c r="I234" s="3" t="s">
        <v>85</v>
      </c>
      <c r="J234" s="3" t="s">
        <v>57</v>
      </c>
      <c r="K234" s="4">
        <v>448</v>
      </c>
      <c r="L234" s="6">
        <v>35.51</v>
      </c>
    </row>
    <row r="235" spans="1:12" x14ac:dyDescent="0.25">
      <c r="A235" s="1">
        <v>234</v>
      </c>
      <c r="B235" s="4">
        <v>1573</v>
      </c>
      <c r="C235" s="5">
        <v>41270</v>
      </c>
      <c r="D235" s="3" t="s">
        <v>89</v>
      </c>
      <c r="E235" s="1" t="s">
        <v>252</v>
      </c>
      <c r="F235" s="1" t="s">
        <v>22</v>
      </c>
      <c r="G235" s="2" t="s">
        <v>6</v>
      </c>
      <c r="H235" s="3" t="s">
        <v>84</v>
      </c>
      <c r="I235" s="3" t="s">
        <v>91</v>
      </c>
      <c r="J235" s="3" t="s">
        <v>72</v>
      </c>
      <c r="K235" s="4">
        <v>759.94</v>
      </c>
      <c r="L235" s="6">
        <v>60.89</v>
      </c>
    </row>
    <row r="236" spans="1:12" x14ac:dyDescent="0.25">
      <c r="A236" s="1">
        <v>235</v>
      </c>
      <c r="B236" s="4">
        <v>1575</v>
      </c>
      <c r="C236" s="5">
        <v>40798</v>
      </c>
      <c r="D236" s="3" t="s">
        <v>4</v>
      </c>
      <c r="E236" s="1" t="s">
        <v>253</v>
      </c>
      <c r="F236" s="1" t="s">
        <v>24</v>
      </c>
      <c r="G236" s="2" t="s">
        <v>2</v>
      </c>
      <c r="H236" s="3" t="s">
        <v>84</v>
      </c>
      <c r="I236" s="3" t="s">
        <v>85</v>
      </c>
      <c r="J236" s="3" t="s">
        <v>66</v>
      </c>
      <c r="K236" s="4">
        <v>133.65</v>
      </c>
      <c r="L236" s="6">
        <v>4.9800000000000004</v>
      </c>
    </row>
    <row r="237" spans="1:12" x14ac:dyDescent="0.25">
      <c r="A237" s="1">
        <v>236</v>
      </c>
      <c r="B237" s="4">
        <v>1575</v>
      </c>
      <c r="C237" s="5">
        <v>40798</v>
      </c>
      <c r="D237" s="3" t="s">
        <v>4</v>
      </c>
      <c r="E237" s="1" t="s">
        <v>253</v>
      </c>
      <c r="F237" s="1" t="s">
        <v>24</v>
      </c>
      <c r="G237" s="2" t="s">
        <v>2</v>
      </c>
      <c r="H237" s="3" t="s">
        <v>84</v>
      </c>
      <c r="I237" s="3" t="s">
        <v>92</v>
      </c>
      <c r="J237" s="3" t="s">
        <v>61</v>
      </c>
      <c r="K237" s="4">
        <v>525.67399999999998</v>
      </c>
      <c r="L237" s="6">
        <v>65.989999999999995</v>
      </c>
    </row>
    <row r="238" spans="1:12" x14ac:dyDescent="0.25">
      <c r="A238" s="1">
        <v>237</v>
      </c>
      <c r="B238" s="4">
        <v>1600</v>
      </c>
      <c r="C238" s="5">
        <v>40239</v>
      </c>
      <c r="D238" s="3" t="s">
        <v>4</v>
      </c>
      <c r="E238" s="1" t="s">
        <v>254</v>
      </c>
      <c r="F238" s="1" t="s">
        <v>46</v>
      </c>
      <c r="G238" s="2" t="s">
        <v>6</v>
      </c>
      <c r="H238" s="3" t="s">
        <v>88</v>
      </c>
      <c r="I238" s="3" t="s">
        <v>91</v>
      </c>
      <c r="J238" s="3" t="s">
        <v>59</v>
      </c>
      <c r="K238" s="4">
        <v>303.58999999999997</v>
      </c>
      <c r="L238" s="6">
        <v>9.65</v>
      </c>
    </row>
    <row r="239" spans="1:12" x14ac:dyDescent="0.25">
      <c r="A239" s="1">
        <v>238</v>
      </c>
      <c r="B239" s="4">
        <v>1600</v>
      </c>
      <c r="C239" s="5">
        <v>40239</v>
      </c>
      <c r="D239" s="3" t="s">
        <v>4</v>
      </c>
      <c r="E239" s="1" t="s">
        <v>254</v>
      </c>
      <c r="F239" s="1" t="s">
        <v>46</v>
      </c>
      <c r="G239" s="2" t="s">
        <v>6</v>
      </c>
      <c r="H239" s="3" t="s">
        <v>88</v>
      </c>
      <c r="I239" s="3" t="s">
        <v>85</v>
      </c>
      <c r="J239" s="3" t="s">
        <v>66</v>
      </c>
      <c r="K239" s="4">
        <v>191.6</v>
      </c>
      <c r="L239" s="6">
        <v>4.9800000000000004</v>
      </c>
    </row>
    <row r="240" spans="1:12" x14ac:dyDescent="0.25">
      <c r="A240" s="1">
        <v>239</v>
      </c>
      <c r="B240" s="4">
        <v>1604</v>
      </c>
      <c r="C240" s="5">
        <v>40375</v>
      </c>
      <c r="D240" s="3" t="s">
        <v>82</v>
      </c>
      <c r="E240" s="1" t="s">
        <v>255</v>
      </c>
      <c r="F240" s="1" t="s">
        <v>10</v>
      </c>
      <c r="G240" s="2" t="s">
        <v>3</v>
      </c>
      <c r="H240" s="3" t="s">
        <v>100</v>
      </c>
      <c r="I240" s="3" t="s">
        <v>91</v>
      </c>
      <c r="J240" s="3" t="s">
        <v>59</v>
      </c>
      <c r="K240" s="4">
        <v>622.82000000000005</v>
      </c>
      <c r="L240" s="6">
        <v>12.64</v>
      </c>
    </row>
    <row r="241" spans="1:12" x14ac:dyDescent="0.25">
      <c r="A241" s="1">
        <v>240</v>
      </c>
      <c r="B241" s="4">
        <v>1637</v>
      </c>
      <c r="C241" s="5">
        <v>40581</v>
      </c>
      <c r="D241" s="3" t="s">
        <v>86</v>
      </c>
      <c r="E241" s="1" t="s">
        <v>256</v>
      </c>
      <c r="F241" s="1" t="s">
        <v>24</v>
      </c>
      <c r="G241" s="2" t="s">
        <v>2</v>
      </c>
      <c r="H241" s="3" t="s">
        <v>88</v>
      </c>
      <c r="I241" s="3" t="s">
        <v>85</v>
      </c>
      <c r="J241" s="3" t="s">
        <v>57</v>
      </c>
      <c r="K241" s="4">
        <v>1225.52</v>
      </c>
      <c r="L241" s="6">
        <v>35.479999999999997</v>
      </c>
    </row>
    <row r="242" spans="1:12" x14ac:dyDescent="0.25">
      <c r="A242" s="1">
        <v>241</v>
      </c>
      <c r="B242" s="4">
        <v>1637</v>
      </c>
      <c r="C242" s="5">
        <v>40581</v>
      </c>
      <c r="D242" s="3" t="s">
        <v>86</v>
      </c>
      <c r="E242" s="1" t="s">
        <v>257</v>
      </c>
      <c r="F242" s="1" t="s">
        <v>24</v>
      </c>
      <c r="G242" s="2" t="s">
        <v>2</v>
      </c>
      <c r="H242" s="3" t="s">
        <v>88</v>
      </c>
      <c r="I242" s="3" t="s">
        <v>92</v>
      </c>
      <c r="J242" s="3" t="s">
        <v>62</v>
      </c>
      <c r="K242" s="4">
        <v>1024.29</v>
      </c>
      <c r="L242" s="6">
        <v>99.99</v>
      </c>
    </row>
    <row r="243" spans="1:12" x14ac:dyDescent="0.25">
      <c r="A243" s="1">
        <v>242</v>
      </c>
      <c r="B243" s="4">
        <v>1637</v>
      </c>
      <c r="C243" s="5">
        <v>40581</v>
      </c>
      <c r="D243" s="3" t="s">
        <v>86</v>
      </c>
      <c r="E243" s="1" t="s">
        <v>257</v>
      </c>
      <c r="F243" s="1" t="s">
        <v>24</v>
      </c>
      <c r="G243" s="2" t="s">
        <v>2</v>
      </c>
      <c r="H243" s="3" t="s">
        <v>88</v>
      </c>
      <c r="I243" s="3" t="s">
        <v>85</v>
      </c>
      <c r="J243" s="3" t="s">
        <v>63</v>
      </c>
      <c r="K243" s="4">
        <v>1348.57</v>
      </c>
      <c r="L243" s="6">
        <v>30.98</v>
      </c>
    </row>
    <row r="244" spans="1:12" x14ac:dyDescent="0.25">
      <c r="A244" s="1">
        <v>243</v>
      </c>
      <c r="B244" s="4">
        <v>1639</v>
      </c>
      <c r="C244" s="5">
        <v>40774</v>
      </c>
      <c r="D244" s="3" t="s">
        <v>86</v>
      </c>
      <c r="E244" s="1" t="s">
        <v>258</v>
      </c>
      <c r="F244" s="1" t="s">
        <v>22</v>
      </c>
      <c r="G244" s="2" t="s">
        <v>6</v>
      </c>
      <c r="H244" s="3" t="s">
        <v>97</v>
      </c>
      <c r="I244" s="3" t="s">
        <v>85</v>
      </c>
      <c r="J244" s="3" t="s">
        <v>66</v>
      </c>
      <c r="K244" s="4">
        <v>163.13999999999999</v>
      </c>
      <c r="L244" s="6">
        <v>6.78</v>
      </c>
    </row>
    <row r="245" spans="1:12" x14ac:dyDescent="0.25">
      <c r="A245" s="1">
        <v>244</v>
      </c>
      <c r="B245" s="4">
        <v>1665</v>
      </c>
      <c r="C245" s="5">
        <v>39940</v>
      </c>
      <c r="D245" s="3" t="s">
        <v>89</v>
      </c>
      <c r="E245" s="1" t="s">
        <v>259</v>
      </c>
      <c r="F245" s="1" t="s">
        <v>34</v>
      </c>
      <c r="G245" s="2" t="s">
        <v>1</v>
      </c>
      <c r="H245" s="3" t="s">
        <v>88</v>
      </c>
      <c r="I245" s="3" t="s">
        <v>92</v>
      </c>
      <c r="J245" s="3" t="s">
        <v>61</v>
      </c>
      <c r="K245" s="4">
        <v>755.60749999999996</v>
      </c>
      <c r="L245" s="6">
        <v>35.99</v>
      </c>
    </row>
    <row r="246" spans="1:12" x14ac:dyDescent="0.25">
      <c r="A246" s="1">
        <v>245</v>
      </c>
      <c r="B246" s="4">
        <v>1666</v>
      </c>
      <c r="C246" s="5">
        <v>40833</v>
      </c>
      <c r="D246" s="3" t="s">
        <v>95</v>
      </c>
      <c r="E246" s="1" t="s">
        <v>163</v>
      </c>
      <c r="F246" s="1" t="s">
        <v>45</v>
      </c>
      <c r="G246" s="2" t="s">
        <v>3</v>
      </c>
      <c r="H246" s="3" t="s">
        <v>88</v>
      </c>
      <c r="I246" s="3" t="s">
        <v>85</v>
      </c>
      <c r="J246" s="3" t="s">
        <v>69</v>
      </c>
      <c r="K246" s="4">
        <v>5642.18</v>
      </c>
      <c r="L246" s="6">
        <v>315.98</v>
      </c>
    </row>
    <row r="247" spans="1:12" x14ac:dyDescent="0.25">
      <c r="A247" s="1">
        <v>246</v>
      </c>
      <c r="B247" s="4">
        <v>1699</v>
      </c>
      <c r="C247" s="5">
        <v>40541</v>
      </c>
      <c r="D247" s="3" t="s">
        <v>95</v>
      </c>
      <c r="E247" s="1" t="s">
        <v>260</v>
      </c>
      <c r="F247" s="1" t="s">
        <v>25</v>
      </c>
      <c r="G247" s="2" t="s">
        <v>6</v>
      </c>
      <c r="H247" s="3" t="s">
        <v>88</v>
      </c>
      <c r="I247" s="3" t="s">
        <v>85</v>
      </c>
      <c r="J247" s="3" t="s">
        <v>71</v>
      </c>
      <c r="K247" s="4">
        <v>430.88</v>
      </c>
      <c r="L247" s="6">
        <v>11.09</v>
      </c>
    </row>
    <row r="248" spans="1:12" x14ac:dyDescent="0.25">
      <c r="A248" s="1">
        <v>247</v>
      </c>
      <c r="B248" s="4">
        <v>1701</v>
      </c>
      <c r="C248" s="5">
        <v>41047</v>
      </c>
      <c r="D248" s="3" t="s">
        <v>89</v>
      </c>
      <c r="E248" s="1" t="s">
        <v>261</v>
      </c>
      <c r="F248" s="1" t="s">
        <v>13</v>
      </c>
      <c r="G248" s="2" t="s">
        <v>6</v>
      </c>
      <c r="H248" s="3" t="s">
        <v>100</v>
      </c>
      <c r="I248" s="3" t="s">
        <v>92</v>
      </c>
      <c r="J248" s="3" t="s">
        <v>62</v>
      </c>
      <c r="K248" s="4">
        <v>2047.58</v>
      </c>
      <c r="L248" s="6">
        <v>40.98</v>
      </c>
    </row>
    <row r="249" spans="1:12" x14ac:dyDescent="0.25">
      <c r="A249" s="1">
        <v>248</v>
      </c>
      <c r="B249" s="4">
        <v>1701</v>
      </c>
      <c r="C249" s="5">
        <v>41047</v>
      </c>
      <c r="D249" s="3" t="s">
        <v>89</v>
      </c>
      <c r="E249" s="1" t="s">
        <v>261</v>
      </c>
      <c r="F249" s="1" t="s">
        <v>13</v>
      </c>
      <c r="G249" s="2" t="s">
        <v>6</v>
      </c>
      <c r="H249" s="3" t="s">
        <v>100</v>
      </c>
      <c r="I249" s="3" t="s">
        <v>91</v>
      </c>
      <c r="J249" s="3" t="s">
        <v>59</v>
      </c>
      <c r="K249" s="4">
        <v>56.61</v>
      </c>
      <c r="L249" s="6">
        <v>40.97</v>
      </c>
    </row>
    <row r="250" spans="1:12" x14ac:dyDescent="0.25">
      <c r="A250" s="1">
        <v>249</v>
      </c>
      <c r="B250" s="4">
        <v>1702</v>
      </c>
      <c r="C250" s="5">
        <v>40669</v>
      </c>
      <c r="D250" s="3" t="s">
        <v>89</v>
      </c>
      <c r="E250" s="1" t="s">
        <v>262</v>
      </c>
      <c r="F250" s="1" t="s">
        <v>8</v>
      </c>
      <c r="G250" s="2" t="s">
        <v>6</v>
      </c>
      <c r="H250" s="3" t="s">
        <v>97</v>
      </c>
      <c r="I250" s="3" t="s">
        <v>85</v>
      </c>
      <c r="J250" s="3" t="s">
        <v>63</v>
      </c>
      <c r="K250" s="4">
        <v>67.239999999999995</v>
      </c>
      <c r="L250" s="6">
        <v>2.84</v>
      </c>
    </row>
    <row r="251" spans="1:12" x14ac:dyDescent="0.25">
      <c r="A251" s="1">
        <v>250</v>
      </c>
      <c r="B251" s="4">
        <v>1761</v>
      </c>
      <c r="C251" s="5">
        <v>40535</v>
      </c>
      <c r="D251" s="3" t="s">
        <v>89</v>
      </c>
      <c r="E251" s="1" t="s">
        <v>153</v>
      </c>
      <c r="F251" s="1" t="s">
        <v>8</v>
      </c>
      <c r="G251" s="2" t="s">
        <v>6</v>
      </c>
      <c r="H251" s="3" t="s">
        <v>88</v>
      </c>
      <c r="I251" s="3" t="s">
        <v>92</v>
      </c>
      <c r="J251" s="3" t="s">
        <v>73</v>
      </c>
      <c r="K251" s="4">
        <v>12028.23</v>
      </c>
      <c r="L251" s="6">
        <v>449.99</v>
      </c>
    </row>
    <row r="252" spans="1:12" x14ac:dyDescent="0.25">
      <c r="A252" s="1">
        <v>251</v>
      </c>
      <c r="B252" s="4">
        <v>1762</v>
      </c>
      <c r="C252" s="5">
        <v>40044</v>
      </c>
      <c r="D252" s="3" t="s">
        <v>86</v>
      </c>
      <c r="E252" s="1" t="s">
        <v>263</v>
      </c>
      <c r="F252" s="1" t="s">
        <v>14</v>
      </c>
      <c r="G252" s="2" t="s">
        <v>2</v>
      </c>
      <c r="H252" s="3" t="s">
        <v>97</v>
      </c>
      <c r="I252" s="3" t="s">
        <v>92</v>
      </c>
      <c r="J252" s="3" t="s">
        <v>62</v>
      </c>
      <c r="K252" s="4">
        <v>857.11</v>
      </c>
      <c r="L252" s="6">
        <v>31.78</v>
      </c>
    </row>
    <row r="253" spans="1:12" x14ac:dyDescent="0.25">
      <c r="A253" s="1">
        <v>252</v>
      </c>
      <c r="B253" s="4">
        <v>1762</v>
      </c>
      <c r="C253" s="5">
        <v>40044</v>
      </c>
      <c r="D253" s="3" t="s">
        <v>86</v>
      </c>
      <c r="E253" s="1" t="s">
        <v>263</v>
      </c>
      <c r="F253" s="1" t="s">
        <v>14</v>
      </c>
      <c r="G253" s="2" t="s">
        <v>2</v>
      </c>
      <c r="H253" s="3" t="s">
        <v>97</v>
      </c>
      <c r="I253" s="3" t="s">
        <v>85</v>
      </c>
      <c r="J253" s="3" t="s">
        <v>71</v>
      </c>
      <c r="K253" s="4">
        <v>69.599999999999994</v>
      </c>
      <c r="L253" s="6">
        <v>5.98</v>
      </c>
    </row>
    <row r="254" spans="1:12" x14ac:dyDescent="0.25">
      <c r="A254" s="1">
        <v>253</v>
      </c>
      <c r="B254" s="4">
        <v>1762</v>
      </c>
      <c r="C254" s="5">
        <v>40044</v>
      </c>
      <c r="D254" s="3" t="s">
        <v>86</v>
      </c>
      <c r="E254" s="1" t="s">
        <v>263</v>
      </c>
      <c r="F254" s="1" t="s">
        <v>14</v>
      </c>
      <c r="G254" s="2" t="s">
        <v>2</v>
      </c>
      <c r="H254" s="3" t="s">
        <v>97</v>
      </c>
      <c r="I254" s="3" t="s">
        <v>92</v>
      </c>
      <c r="J254" s="3" t="s">
        <v>61</v>
      </c>
      <c r="K254" s="4">
        <v>1279.5050000000001</v>
      </c>
      <c r="L254" s="6">
        <v>35.99</v>
      </c>
    </row>
    <row r="255" spans="1:12" x14ac:dyDescent="0.25">
      <c r="A255" s="1">
        <v>254</v>
      </c>
      <c r="B255" s="4">
        <v>1764</v>
      </c>
      <c r="C255" s="5">
        <v>40992</v>
      </c>
      <c r="D255" s="3" t="s">
        <v>95</v>
      </c>
      <c r="E255" s="1" t="s">
        <v>204</v>
      </c>
      <c r="F255" s="1" t="s">
        <v>12</v>
      </c>
      <c r="G255" s="2" t="s">
        <v>2</v>
      </c>
      <c r="H255" s="3" t="s">
        <v>84</v>
      </c>
      <c r="I255" s="3" t="s">
        <v>85</v>
      </c>
      <c r="J255" s="3" t="s">
        <v>66</v>
      </c>
      <c r="K255" s="4">
        <v>59.99</v>
      </c>
      <c r="L255" s="6">
        <v>8.34</v>
      </c>
    </row>
    <row r="256" spans="1:12" x14ac:dyDescent="0.25">
      <c r="A256" s="1">
        <v>255</v>
      </c>
      <c r="B256" s="4">
        <v>1767</v>
      </c>
      <c r="C256" s="5">
        <v>40615</v>
      </c>
      <c r="D256" s="3" t="s">
        <v>89</v>
      </c>
      <c r="E256" s="1" t="s">
        <v>264</v>
      </c>
      <c r="F256" s="1" t="s">
        <v>32</v>
      </c>
      <c r="G256" s="2" t="s">
        <v>2</v>
      </c>
      <c r="H256" s="3" t="s">
        <v>88</v>
      </c>
      <c r="I256" s="3" t="s">
        <v>85</v>
      </c>
      <c r="J256" s="3" t="s">
        <v>64</v>
      </c>
      <c r="K256" s="4">
        <v>46.34</v>
      </c>
      <c r="L256" s="6">
        <v>4.71</v>
      </c>
    </row>
    <row r="257" spans="1:12" x14ac:dyDescent="0.25">
      <c r="A257" s="1">
        <v>256</v>
      </c>
      <c r="B257" s="4">
        <v>1792</v>
      </c>
      <c r="C257" s="5">
        <v>40490</v>
      </c>
      <c r="D257" s="3" t="s">
        <v>82</v>
      </c>
      <c r="E257" s="1" t="s">
        <v>154</v>
      </c>
      <c r="F257" s="1" t="s">
        <v>8</v>
      </c>
      <c r="G257" s="2" t="s">
        <v>6</v>
      </c>
      <c r="H257" s="3" t="s">
        <v>100</v>
      </c>
      <c r="I257" s="3" t="s">
        <v>85</v>
      </c>
      <c r="J257" s="3" t="s">
        <v>57</v>
      </c>
      <c r="K257" s="4">
        <v>370.48</v>
      </c>
      <c r="L257" s="6">
        <v>13.48</v>
      </c>
    </row>
    <row r="258" spans="1:12" x14ac:dyDescent="0.25">
      <c r="A258" s="1">
        <v>257</v>
      </c>
      <c r="B258" s="4">
        <v>1793</v>
      </c>
      <c r="C258" s="5">
        <v>41101</v>
      </c>
      <c r="D258" s="3" t="s">
        <v>86</v>
      </c>
      <c r="E258" s="1" t="s">
        <v>265</v>
      </c>
      <c r="F258" s="1" t="s">
        <v>18</v>
      </c>
      <c r="G258" s="2" t="s">
        <v>6</v>
      </c>
      <c r="H258" s="3" t="s">
        <v>97</v>
      </c>
      <c r="I258" s="3" t="s">
        <v>85</v>
      </c>
      <c r="J258" s="3" t="s">
        <v>69</v>
      </c>
      <c r="K258" s="4">
        <v>233.43</v>
      </c>
      <c r="L258" s="6">
        <v>6.28</v>
      </c>
    </row>
    <row r="259" spans="1:12" x14ac:dyDescent="0.25">
      <c r="A259" s="1">
        <v>258</v>
      </c>
      <c r="B259" s="4">
        <v>1796</v>
      </c>
      <c r="C259" s="5">
        <v>41233</v>
      </c>
      <c r="D259" s="3" t="s">
        <v>89</v>
      </c>
      <c r="E259" s="1" t="s">
        <v>266</v>
      </c>
      <c r="F259" s="1" t="s">
        <v>42</v>
      </c>
      <c r="G259" s="2" t="s">
        <v>3</v>
      </c>
      <c r="H259" s="3" t="s">
        <v>88</v>
      </c>
      <c r="I259" s="3" t="s">
        <v>85</v>
      </c>
      <c r="J259" s="3" t="s">
        <v>69</v>
      </c>
      <c r="K259" s="4">
        <v>183.41</v>
      </c>
      <c r="L259" s="6">
        <v>4.13</v>
      </c>
    </row>
    <row r="260" spans="1:12" x14ac:dyDescent="0.25">
      <c r="A260" s="1">
        <v>259</v>
      </c>
      <c r="B260" s="4">
        <v>1799</v>
      </c>
      <c r="C260" s="5">
        <v>39878</v>
      </c>
      <c r="D260" s="3" t="s">
        <v>86</v>
      </c>
      <c r="E260" s="1" t="s">
        <v>267</v>
      </c>
      <c r="F260" s="1" t="s">
        <v>30</v>
      </c>
      <c r="G260" s="2" t="s">
        <v>6</v>
      </c>
      <c r="H260" s="3" t="s">
        <v>84</v>
      </c>
      <c r="I260" s="3" t="s">
        <v>91</v>
      </c>
      <c r="J260" s="3" t="s">
        <v>72</v>
      </c>
      <c r="K260" s="4">
        <v>1187.1199999999999</v>
      </c>
      <c r="L260" s="6">
        <v>113.98</v>
      </c>
    </row>
    <row r="261" spans="1:12" x14ac:dyDescent="0.25">
      <c r="A261" s="1">
        <v>260</v>
      </c>
      <c r="B261" s="4">
        <v>1799</v>
      </c>
      <c r="C261" s="5">
        <v>39878</v>
      </c>
      <c r="D261" s="3" t="s">
        <v>86</v>
      </c>
      <c r="E261" s="1" t="s">
        <v>267</v>
      </c>
      <c r="F261" s="1" t="s">
        <v>30</v>
      </c>
      <c r="G261" s="2" t="s">
        <v>6</v>
      </c>
      <c r="H261" s="3" t="s">
        <v>84</v>
      </c>
      <c r="I261" s="3" t="s">
        <v>85</v>
      </c>
      <c r="J261" s="3" t="s">
        <v>66</v>
      </c>
      <c r="K261" s="4">
        <v>108.31</v>
      </c>
      <c r="L261" s="6">
        <v>6.48</v>
      </c>
    </row>
    <row r="262" spans="1:12" x14ac:dyDescent="0.25">
      <c r="A262" s="1">
        <v>261</v>
      </c>
      <c r="B262" s="4">
        <v>1824</v>
      </c>
      <c r="C262" s="5">
        <v>39937</v>
      </c>
      <c r="D262" s="3" t="s">
        <v>95</v>
      </c>
      <c r="E262" s="1" t="s">
        <v>268</v>
      </c>
      <c r="F262" s="1" t="s">
        <v>12</v>
      </c>
      <c r="G262" s="2" t="s">
        <v>2</v>
      </c>
      <c r="H262" s="3" t="s">
        <v>88</v>
      </c>
      <c r="I262" s="3" t="s">
        <v>91</v>
      </c>
      <c r="J262" s="3" t="s">
        <v>72</v>
      </c>
      <c r="K262" s="4">
        <v>10656.26</v>
      </c>
      <c r="L262" s="6">
        <v>276.2</v>
      </c>
    </row>
    <row r="263" spans="1:12" x14ac:dyDescent="0.25">
      <c r="A263" s="1">
        <v>262</v>
      </c>
      <c r="B263" s="4">
        <v>1824</v>
      </c>
      <c r="C263" s="5">
        <v>39937</v>
      </c>
      <c r="D263" s="3" t="s">
        <v>95</v>
      </c>
      <c r="E263" s="1" t="s">
        <v>268</v>
      </c>
      <c r="F263" s="1" t="s">
        <v>12</v>
      </c>
      <c r="G263" s="2" t="s">
        <v>2</v>
      </c>
      <c r="H263" s="3" t="s">
        <v>88</v>
      </c>
      <c r="I263" s="3" t="s">
        <v>91</v>
      </c>
      <c r="J263" s="3" t="s">
        <v>59</v>
      </c>
      <c r="K263" s="4">
        <v>17.059999999999999</v>
      </c>
      <c r="L263" s="6">
        <v>6.28</v>
      </c>
    </row>
    <row r="264" spans="1:12" x14ac:dyDescent="0.25">
      <c r="A264" s="1">
        <v>263</v>
      </c>
      <c r="B264" s="4">
        <v>1825</v>
      </c>
      <c r="C264" s="5">
        <v>40516</v>
      </c>
      <c r="D264" s="3" t="s">
        <v>4</v>
      </c>
      <c r="E264" s="1" t="s">
        <v>214</v>
      </c>
      <c r="F264" s="1" t="s">
        <v>15</v>
      </c>
      <c r="G264" s="2" t="s">
        <v>1</v>
      </c>
      <c r="H264" s="3" t="s">
        <v>84</v>
      </c>
      <c r="I264" s="3" t="s">
        <v>85</v>
      </c>
      <c r="J264" s="3" t="s">
        <v>63</v>
      </c>
      <c r="K264" s="4">
        <v>38.26</v>
      </c>
      <c r="L264" s="6">
        <v>1.76</v>
      </c>
    </row>
    <row r="265" spans="1:12" x14ac:dyDescent="0.25">
      <c r="A265" s="1">
        <v>264</v>
      </c>
      <c r="B265" s="4">
        <v>1826</v>
      </c>
      <c r="C265" s="5">
        <v>41014</v>
      </c>
      <c r="D265" s="3" t="s">
        <v>86</v>
      </c>
      <c r="E265" s="1" t="s">
        <v>269</v>
      </c>
      <c r="F265" s="1" t="s">
        <v>40</v>
      </c>
      <c r="G265" s="2" t="s">
        <v>6</v>
      </c>
      <c r="H265" s="3" t="s">
        <v>88</v>
      </c>
      <c r="I265" s="3" t="s">
        <v>85</v>
      </c>
      <c r="J265" s="3" t="s">
        <v>66</v>
      </c>
      <c r="K265" s="4">
        <v>28.32</v>
      </c>
      <c r="L265" s="6">
        <v>4.9800000000000004</v>
      </c>
    </row>
    <row r="266" spans="1:12" x14ac:dyDescent="0.25">
      <c r="A266" s="1">
        <v>265</v>
      </c>
      <c r="B266" s="4">
        <v>1829</v>
      </c>
      <c r="C266" s="5">
        <v>39940</v>
      </c>
      <c r="D266" s="3" t="s">
        <v>89</v>
      </c>
      <c r="E266" s="1" t="s">
        <v>270</v>
      </c>
      <c r="F266" s="1" t="s">
        <v>45</v>
      </c>
      <c r="G266" s="2" t="s">
        <v>3</v>
      </c>
      <c r="H266" s="3" t="s">
        <v>84</v>
      </c>
      <c r="I266" s="3" t="s">
        <v>85</v>
      </c>
      <c r="J266" s="3" t="s">
        <v>69</v>
      </c>
      <c r="K266" s="4">
        <v>133.04</v>
      </c>
      <c r="L266" s="6">
        <v>2.78</v>
      </c>
    </row>
    <row r="267" spans="1:12" x14ac:dyDescent="0.25">
      <c r="A267" s="1">
        <v>266</v>
      </c>
      <c r="B267" s="4">
        <v>1831</v>
      </c>
      <c r="C267" s="5">
        <v>40513</v>
      </c>
      <c r="D267" s="3" t="s">
        <v>95</v>
      </c>
      <c r="E267" s="1" t="s">
        <v>271</v>
      </c>
      <c r="F267" s="1" t="s">
        <v>35</v>
      </c>
      <c r="G267" s="2" t="s">
        <v>1</v>
      </c>
      <c r="H267" s="3" t="s">
        <v>97</v>
      </c>
      <c r="I267" s="3" t="s">
        <v>85</v>
      </c>
      <c r="J267" s="3" t="s">
        <v>57</v>
      </c>
      <c r="K267" s="4">
        <v>12586.19</v>
      </c>
      <c r="L267" s="6">
        <v>370.98</v>
      </c>
    </row>
    <row r="268" spans="1:12" x14ac:dyDescent="0.25">
      <c r="A268" s="1">
        <v>267</v>
      </c>
      <c r="B268" s="4">
        <v>1856</v>
      </c>
      <c r="C268" s="5">
        <v>40987</v>
      </c>
      <c r="D268" s="3" t="s">
        <v>86</v>
      </c>
      <c r="E268" s="1" t="s">
        <v>272</v>
      </c>
      <c r="F268" s="1" t="s">
        <v>28</v>
      </c>
      <c r="G268" s="2" t="s">
        <v>6</v>
      </c>
      <c r="H268" s="3" t="s">
        <v>97</v>
      </c>
      <c r="I268" s="3" t="s">
        <v>85</v>
      </c>
      <c r="J268" s="3" t="s">
        <v>70</v>
      </c>
      <c r="K268" s="4">
        <v>1449.3</v>
      </c>
      <c r="L268" s="6">
        <v>60.98</v>
      </c>
    </row>
    <row r="269" spans="1:12" x14ac:dyDescent="0.25">
      <c r="A269" s="1">
        <v>268</v>
      </c>
      <c r="B269" s="4">
        <v>1856</v>
      </c>
      <c r="C269" s="5">
        <v>40987</v>
      </c>
      <c r="D269" s="3" t="s">
        <v>86</v>
      </c>
      <c r="E269" s="1" t="s">
        <v>272</v>
      </c>
      <c r="F269" s="1" t="s">
        <v>28</v>
      </c>
      <c r="G269" s="2" t="s">
        <v>6</v>
      </c>
      <c r="H269" s="3" t="s">
        <v>97</v>
      </c>
      <c r="I269" s="3" t="s">
        <v>92</v>
      </c>
      <c r="J269" s="3" t="s">
        <v>61</v>
      </c>
      <c r="K269" s="4">
        <v>4374.6864999999998</v>
      </c>
      <c r="L269" s="6">
        <v>125.99</v>
      </c>
    </row>
    <row r="270" spans="1:12" x14ac:dyDescent="0.25">
      <c r="A270" s="1">
        <v>269</v>
      </c>
      <c r="B270" s="4">
        <v>1856</v>
      </c>
      <c r="C270" s="5">
        <v>40987</v>
      </c>
      <c r="D270" s="3" t="s">
        <v>86</v>
      </c>
      <c r="E270" s="1" t="s">
        <v>272</v>
      </c>
      <c r="F270" s="1" t="s">
        <v>28</v>
      </c>
      <c r="G270" s="2" t="s">
        <v>6</v>
      </c>
      <c r="H270" s="3" t="s">
        <v>97</v>
      </c>
      <c r="I270" s="3" t="s">
        <v>92</v>
      </c>
      <c r="J270" s="3" t="s">
        <v>61</v>
      </c>
      <c r="K270" s="4">
        <v>4283.2350000000006</v>
      </c>
      <c r="L270" s="6">
        <v>125.99</v>
      </c>
    </row>
    <row r="271" spans="1:12" x14ac:dyDescent="0.25">
      <c r="A271" s="1">
        <v>270</v>
      </c>
      <c r="B271" s="4">
        <v>1857</v>
      </c>
      <c r="C271" s="5">
        <v>40190</v>
      </c>
      <c r="D271" s="3" t="s">
        <v>89</v>
      </c>
      <c r="E271" s="1" t="s">
        <v>273</v>
      </c>
      <c r="F271" s="1" t="s">
        <v>9</v>
      </c>
      <c r="G271" s="2" t="s">
        <v>2</v>
      </c>
      <c r="H271" s="3" t="s">
        <v>100</v>
      </c>
      <c r="I271" s="3" t="s">
        <v>85</v>
      </c>
      <c r="J271" s="3" t="s">
        <v>63</v>
      </c>
      <c r="K271" s="4">
        <v>199.76</v>
      </c>
      <c r="L271" s="6">
        <v>5.58</v>
      </c>
    </row>
    <row r="272" spans="1:12" x14ac:dyDescent="0.25">
      <c r="A272" s="1">
        <v>271</v>
      </c>
      <c r="B272" s="4">
        <v>1863</v>
      </c>
      <c r="C272" s="5">
        <v>40443</v>
      </c>
      <c r="D272" s="3" t="s">
        <v>86</v>
      </c>
      <c r="E272" s="1" t="s">
        <v>274</v>
      </c>
      <c r="F272" s="1" t="s">
        <v>32</v>
      </c>
      <c r="G272" s="2" t="s">
        <v>2</v>
      </c>
      <c r="H272" s="3" t="s">
        <v>84</v>
      </c>
      <c r="I272" s="3" t="s">
        <v>91</v>
      </c>
      <c r="J272" s="3" t="s">
        <v>72</v>
      </c>
      <c r="K272" s="4">
        <v>2415.38</v>
      </c>
      <c r="L272" s="6">
        <v>95.95</v>
      </c>
    </row>
    <row r="273" spans="1:12" x14ac:dyDescent="0.25">
      <c r="A273" s="1">
        <v>272</v>
      </c>
      <c r="B273" s="4">
        <v>1888</v>
      </c>
      <c r="C273" s="5">
        <v>40481</v>
      </c>
      <c r="D273" s="3" t="s">
        <v>86</v>
      </c>
      <c r="E273" s="1" t="s">
        <v>275</v>
      </c>
      <c r="F273" s="1" t="s">
        <v>24</v>
      </c>
      <c r="G273" s="2" t="s">
        <v>2</v>
      </c>
      <c r="H273" s="3" t="s">
        <v>88</v>
      </c>
      <c r="I273" s="3" t="s">
        <v>91</v>
      </c>
      <c r="J273" s="3" t="s">
        <v>60</v>
      </c>
      <c r="K273" s="4">
        <v>1264.46</v>
      </c>
      <c r="L273" s="6">
        <v>31.76</v>
      </c>
    </row>
    <row r="274" spans="1:12" x14ac:dyDescent="0.25">
      <c r="A274" s="1">
        <v>273</v>
      </c>
      <c r="B274" s="4">
        <v>1888</v>
      </c>
      <c r="C274" s="5">
        <v>40481</v>
      </c>
      <c r="D274" s="3" t="s">
        <v>86</v>
      </c>
      <c r="E274" s="1" t="s">
        <v>276</v>
      </c>
      <c r="F274" s="1" t="s">
        <v>24</v>
      </c>
      <c r="G274" s="2" t="s">
        <v>2</v>
      </c>
      <c r="H274" s="3" t="s">
        <v>88</v>
      </c>
      <c r="I274" s="3" t="s">
        <v>85</v>
      </c>
      <c r="J274" s="3" t="s">
        <v>69</v>
      </c>
      <c r="K274" s="4">
        <v>158.25</v>
      </c>
      <c r="L274" s="6">
        <v>4.57</v>
      </c>
    </row>
    <row r="275" spans="1:12" x14ac:dyDescent="0.25">
      <c r="A275" s="1">
        <v>274</v>
      </c>
      <c r="B275" s="4">
        <v>1891</v>
      </c>
      <c r="C275" s="5">
        <v>40161</v>
      </c>
      <c r="D275" s="3" t="s">
        <v>82</v>
      </c>
      <c r="E275" s="1" t="s">
        <v>277</v>
      </c>
      <c r="F275" s="1" t="s">
        <v>13</v>
      </c>
      <c r="G275" s="2" t="s">
        <v>6</v>
      </c>
      <c r="H275" s="3" t="s">
        <v>84</v>
      </c>
      <c r="I275" s="3" t="s">
        <v>91</v>
      </c>
      <c r="J275" s="3" t="s">
        <v>59</v>
      </c>
      <c r="K275" s="4">
        <v>302.36</v>
      </c>
      <c r="L275" s="6">
        <v>107.53</v>
      </c>
    </row>
    <row r="276" spans="1:12" x14ac:dyDescent="0.25">
      <c r="A276" s="1">
        <v>275</v>
      </c>
      <c r="B276" s="4">
        <v>1892</v>
      </c>
      <c r="C276" s="5">
        <v>39897</v>
      </c>
      <c r="D276" s="3" t="s">
        <v>82</v>
      </c>
      <c r="E276" s="1" t="s">
        <v>278</v>
      </c>
      <c r="F276" s="1" t="s">
        <v>35</v>
      </c>
      <c r="G276" s="2" t="s">
        <v>1</v>
      </c>
      <c r="H276" s="3" t="s">
        <v>84</v>
      </c>
      <c r="I276" s="3" t="s">
        <v>85</v>
      </c>
      <c r="J276" s="3" t="s">
        <v>69</v>
      </c>
      <c r="K276" s="4">
        <v>193.63</v>
      </c>
      <c r="L276" s="6">
        <v>3.98</v>
      </c>
    </row>
    <row r="277" spans="1:12" x14ac:dyDescent="0.25">
      <c r="A277" s="1">
        <v>276</v>
      </c>
      <c r="B277" s="4">
        <v>1892</v>
      </c>
      <c r="C277" s="5">
        <v>39897</v>
      </c>
      <c r="D277" s="3" t="s">
        <v>82</v>
      </c>
      <c r="E277" s="1" t="s">
        <v>278</v>
      </c>
      <c r="F277" s="1" t="s">
        <v>35</v>
      </c>
      <c r="G277" s="2" t="s">
        <v>1</v>
      </c>
      <c r="H277" s="3" t="s">
        <v>84</v>
      </c>
      <c r="I277" s="3" t="s">
        <v>85</v>
      </c>
      <c r="J277" s="3" t="s">
        <v>66</v>
      </c>
      <c r="K277" s="4">
        <v>64.290000000000006</v>
      </c>
      <c r="L277" s="6">
        <v>6.48</v>
      </c>
    </row>
    <row r="278" spans="1:12" x14ac:dyDescent="0.25">
      <c r="A278" s="1">
        <v>277</v>
      </c>
      <c r="B278" s="4">
        <v>1895</v>
      </c>
      <c r="C278" s="5">
        <v>39962</v>
      </c>
      <c r="D278" s="3" t="s">
        <v>4</v>
      </c>
      <c r="E278" s="1" t="s">
        <v>225</v>
      </c>
      <c r="F278" s="1" t="s">
        <v>26</v>
      </c>
      <c r="G278" s="2" t="s">
        <v>3</v>
      </c>
      <c r="H278" s="3" t="s">
        <v>88</v>
      </c>
      <c r="I278" s="3" t="s">
        <v>85</v>
      </c>
      <c r="J278" s="3" t="s">
        <v>66</v>
      </c>
      <c r="K278" s="4">
        <v>41.25</v>
      </c>
      <c r="L278" s="6">
        <v>6.48</v>
      </c>
    </row>
    <row r="279" spans="1:12" x14ac:dyDescent="0.25">
      <c r="A279" s="1">
        <v>278</v>
      </c>
      <c r="B279" s="4">
        <v>1921</v>
      </c>
      <c r="C279" s="5">
        <v>39830</v>
      </c>
      <c r="D279" s="3" t="s">
        <v>4</v>
      </c>
      <c r="E279" s="1" t="s">
        <v>279</v>
      </c>
      <c r="F279" s="1" t="s">
        <v>49</v>
      </c>
      <c r="G279" s="2" t="s">
        <v>1</v>
      </c>
      <c r="H279" s="3" t="s">
        <v>84</v>
      </c>
      <c r="I279" s="3" t="s">
        <v>85</v>
      </c>
      <c r="J279" s="3" t="s">
        <v>70</v>
      </c>
      <c r="K279" s="4">
        <v>7871.91</v>
      </c>
      <c r="L279" s="6">
        <v>328.14</v>
      </c>
    </row>
    <row r="280" spans="1:12" x14ac:dyDescent="0.25">
      <c r="A280" s="1">
        <v>279</v>
      </c>
      <c r="B280" s="4">
        <v>1925</v>
      </c>
      <c r="C280" s="5">
        <v>40972</v>
      </c>
      <c r="D280" s="3" t="s">
        <v>95</v>
      </c>
      <c r="E280" s="1" t="s">
        <v>280</v>
      </c>
      <c r="F280" s="1" t="s">
        <v>37</v>
      </c>
      <c r="G280" s="2" t="s">
        <v>3</v>
      </c>
      <c r="H280" s="3" t="s">
        <v>88</v>
      </c>
      <c r="I280" s="3" t="s">
        <v>92</v>
      </c>
      <c r="J280" s="3" t="s">
        <v>62</v>
      </c>
      <c r="K280" s="4">
        <v>909.82</v>
      </c>
      <c r="L280" s="6">
        <v>22.98</v>
      </c>
    </row>
    <row r="281" spans="1:12" x14ac:dyDescent="0.25">
      <c r="A281" s="1">
        <v>280</v>
      </c>
      <c r="B281" s="4">
        <v>1925</v>
      </c>
      <c r="C281" s="5">
        <v>40972</v>
      </c>
      <c r="D281" s="3" t="s">
        <v>95</v>
      </c>
      <c r="E281" s="1" t="s">
        <v>281</v>
      </c>
      <c r="F281" s="1" t="s">
        <v>28</v>
      </c>
      <c r="G281" s="2" t="s">
        <v>6</v>
      </c>
      <c r="H281" s="3" t="s">
        <v>88</v>
      </c>
      <c r="I281" s="3" t="s">
        <v>91</v>
      </c>
      <c r="J281" s="3" t="s">
        <v>72</v>
      </c>
      <c r="K281" s="4">
        <v>1874.37</v>
      </c>
      <c r="L281" s="6">
        <v>276.2</v>
      </c>
    </row>
    <row r="282" spans="1:12" x14ac:dyDescent="0.25">
      <c r="A282" s="1">
        <v>281</v>
      </c>
      <c r="B282" s="4">
        <v>1952</v>
      </c>
      <c r="C282" s="5">
        <v>39887</v>
      </c>
      <c r="D282" s="3" t="s">
        <v>89</v>
      </c>
      <c r="E282" s="1" t="s">
        <v>282</v>
      </c>
      <c r="F282" s="1" t="s">
        <v>34</v>
      </c>
      <c r="G282" s="2" t="s">
        <v>1</v>
      </c>
      <c r="H282" s="3" t="s">
        <v>88</v>
      </c>
      <c r="I282" s="3" t="s">
        <v>91</v>
      </c>
      <c r="J282" s="3" t="s">
        <v>60</v>
      </c>
      <c r="K282" s="4">
        <v>7287.55</v>
      </c>
      <c r="L282" s="6">
        <v>296.18</v>
      </c>
    </row>
    <row r="283" spans="1:12" x14ac:dyDescent="0.25">
      <c r="A283" s="1">
        <v>282</v>
      </c>
      <c r="B283" s="4">
        <v>1953</v>
      </c>
      <c r="C283" s="5">
        <v>40511</v>
      </c>
      <c r="D283" s="3" t="s">
        <v>4</v>
      </c>
      <c r="E283" s="1" t="s">
        <v>283</v>
      </c>
      <c r="F283" s="1" t="s">
        <v>34</v>
      </c>
      <c r="G283" s="2" t="s">
        <v>1</v>
      </c>
      <c r="H283" s="3" t="s">
        <v>84</v>
      </c>
      <c r="I283" s="3" t="s">
        <v>85</v>
      </c>
      <c r="J283" s="3" t="s">
        <v>69</v>
      </c>
      <c r="K283" s="4">
        <v>137.63999999999999</v>
      </c>
      <c r="L283" s="6">
        <v>10.91</v>
      </c>
    </row>
    <row r="284" spans="1:12" x14ac:dyDescent="0.25">
      <c r="A284" s="1">
        <v>283</v>
      </c>
      <c r="B284" s="4">
        <v>1985</v>
      </c>
      <c r="C284" s="5">
        <v>40057</v>
      </c>
      <c r="D284" s="3" t="s">
        <v>86</v>
      </c>
      <c r="E284" s="1" t="s">
        <v>284</v>
      </c>
      <c r="F284" s="1" t="s">
        <v>49</v>
      </c>
      <c r="G284" s="2" t="s">
        <v>1</v>
      </c>
      <c r="H284" s="3" t="s">
        <v>97</v>
      </c>
      <c r="I284" s="3" t="s">
        <v>92</v>
      </c>
      <c r="J284" s="3" t="s">
        <v>67</v>
      </c>
      <c r="K284" s="4">
        <v>15464.01</v>
      </c>
      <c r="L284" s="6">
        <v>535.64</v>
      </c>
    </row>
    <row r="285" spans="1:12" x14ac:dyDescent="0.25">
      <c r="A285" s="1">
        <v>284</v>
      </c>
      <c r="B285" s="4">
        <v>1985</v>
      </c>
      <c r="C285" s="5">
        <v>40057</v>
      </c>
      <c r="D285" s="3" t="s">
        <v>86</v>
      </c>
      <c r="E285" s="1" t="s">
        <v>285</v>
      </c>
      <c r="F285" s="1" t="s">
        <v>20</v>
      </c>
      <c r="G285" s="2" t="s">
        <v>1</v>
      </c>
      <c r="H285" s="3" t="s">
        <v>97</v>
      </c>
      <c r="I285" s="3" t="s">
        <v>85</v>
      </c>
      <c r="J285" s="3" t="s">
        <v>66</v>
      </c>
      <c r="K285" s="4">
        <v>11.35</v>
      </c>
      <c r="L285" s="6">
        <v>5.78</v>
      </c>
    </row>
    <row r="286" spans="1:12" x14ac:dyDescent="0.25">
      <c r="A286" s="1">
        <v>285</v>
      </c>
      <c r="B286" s="4">
        <v>1988</v>
      </c>
      <c r="C286" s="5">
        <v>40821</v>
      </c>
      <c r="D286" s="3" t="s">
        <v>86</v>
      </c>
      <c r="E286" s="1" t="s">
        <v>286</v>
      </c>
      <c r="F286" s="1" t="s">
        <v>20</v>
      </c>
      <c r="G286" s="2" t="s">
        <v>1</v>
      </c>
      <c r="H286" s="3" t="s">
        <v>88</v>
      </c>
      <c r="I286" s="3" t="s">
        <v>85</v>
      </c>
      <c r="J286" s="3" t="s">
        <v>57</v>
      </c>
      <c r="K286" s="4">
        <v>122.14</v>
      </c>
      <c r="L286" s="6">
        <v>13.48</v>
      </c>
    </row>
    <row r="287" spans="1:12" x14ac:dyDescent="0.25">
      <c r="A287" s="1">
        <v>286</v>
      </c>
      <c r="B287" s="4">
        <v>1991</v>
      </c>
      <c r="C287" s="5">
        <v>41158</v>
      </c>
      <c r="D287" s="3" t="s">
        <v>86</v>
      </c>
      <c r="E287" s="1" t="s">
        <v>287</v>
      </c>
      <c r="F287" s="1" t="s">
        <v>35</v>
      </c>
      <c r="G287" s="2" t="s">
        <v>1</v>
      </c>
      <c r="H287" s="3" t="s">
        <v>88</v>
      </c>
      <c r="I287" s="3" t="s">
        <v>91</v>
      </c>
      <c r="J287" s="3" t="s">
        <v>59</v>
      </c>
      <c r="K287" s="4">
        <v>3491.06</v>
      </c>
      <c r="L287" s="6">
        <v>136.97999999999999</v>
      </c>
    </row>
    <row r="288" spans="1:12" x14ac:dyDescent="0.25">
      <c r="A288" s="1">
        <v>287</v>
      </c>
      <c r="B288" s="4">
        <v>1991</v>
      </c>
      <c r="C288" s="5">
        <v>41158</v>
      </c>
      <c r="D288" s="3" t="s">
        <v>86</v>
      </c>
      <c r="E288" s="1" t="s">
        <v>287</v>
      </c>
      <c r="F288" s="1" t="s">
        <v>35</v>
      </c>
      <c r="G288" s="2" t="s">
        <v>1</v>
      </c>
      <c r="H288" s="3" t="s">
        <v>88</v>
      </c>
      <c r="I288" s="3" t="s">
        <v>92</v>
      </c>
      <c r="J288" s="3" t="s">
        <v>67</v>
      </c>
      <c r="K288" s="4">
        <v>14383.83</v>
      </c>
      <c r="L288" s="6">
        <v>399.98</v>
      </c>
    </row>
    <row r="289" spans="1:12" x14ac:dyDescent="0.25">
      <c r="A289" s="1">
        <v>288</v>
      </c>
      <c r="B289" s="4">
        <v>2020</v>
      </c>
      <c r="C289" s="5">
        <v>40349</v>
      </c>
      <c r="D289" s="3" t="s">
        <v>4</v>
      </c>
      <c r="E289" s="1" t="s">
        <v>288</v>
      </c>
      <c r="F289" s="1" t="s">
        <v>40</v>
      </c>
      <c r="G289" s="2" t="s">
        <v>6</v>
      </c>
      <c r="H289" s="3" t="s">
        <v>97</v>
      </c>
      <c r="I289" s="3" t="s">
        <v>92</v>
      </c>
      <c r="J289" s="3" t="s">
        <v>62</v>
      </c>
      <c r="K289" s="4">
        <v>213.75</v>
      </c>
      <c r="L289" s="6">
        <v>5.0199999999999996</v>
      </c>
    </row>
    <row r="290" spans="1:12" x14ac:dyDescent="0.25">
      <c r="A290" s="1">
        <v>289</v>
      </c>
      <c r="B290" s="4">
        <v>2022</v>
      </c>
      <c r="C290" s="5">
        <v>40982</v>
      </c>
      <c r="D290" s="3" t="s">
        <v>95</v>
      </c>
      <c r="E290" s="1" t="s">
        <v>289</v>
      </c>
      <c r="F290" s="1" t="s">
        <v>13</v>
      </c>
      <c r="G290" s="2" t="s">
        <v>6</v>
      </c>
      <c r="H290" s="3" t="s">
        <v>88</v>
      </c>
      <c r="I290" s="3" t="s">
        <v>85</v>
      </c>
      <c r="J290" s="3" t="s">
        <v>70</v>
      </c>
      <c r="K290" s="4">
        <v>186.44</v>
      </c>
      <c r="L290" s="6">
        <v>3.95</v>
      </c>
    </row>
    <row r="291" spans="1:12" x14ac:dyDescent="0.25">
      <c r="A291" s="1">
        <v>290</v>
      </c>
      <c r="B291" s="4">
        <v>2023</v>
      </c>
      <c r="C291" s="5">
        <v>41034</v>
      </c>
      <c r="D291" s="3" t="s">
        <v>82</v>
      </c>
      <c r="E291" s="1" t="s">
        <v>290</v>
      </c>
      <c r="F291" s="1" t="s">
        <v>26</v>
      </c>
      <c r="G291" s="2" t="s">
        <v>3</v>
      </c>
      <c r="H291" s="3" t="s">
        <v>97</v>
      </c>
      <c r="I291" s="3" t="s">
        <v>92</v>
      </c>
      <c r="J291" s="3" t="s">
        <v>62</v>
      </c>
      <c r="K291" s="4">
        <v>294.89</v>
      </c>
      <c r="L291" s="6">
        <v>73.98</v>
      </c>
    </row>
    <row r="292" spans="1:12" x14ac:dyDescent="0.25">
      <c r="A292" s="1">
        <v>291</v>
      </c>
      <c r="B292" s="4">
        <v>2023</v>
      </c>
      <c r="C292" s="5">
        <v>41034</v>
      </c>
      <c r="D292" s="3" t="s">
        <v>82</v>
      </c>
      <c r="E292" s="1" t="s">
        <v>290</v>
      </c>
      <c r="F292" s="1" t="s">
        <v>26</v>
      </c>
      <c r="G292" s="2" t="s">
        <v>3</v>
      </c>
      <c r="H292" s="3" t="s">
        <v>97</v>
      </c>
      <c r="I292" s="3" t="s">
        <v>85</v>
      </c>
      <c r="J292" s="3" t="s">
        <v>66</v>
      </c>
      <c r="K292" s="4">
        <v>246.57</v>
      </c>
      <c r="L292" s="6">
        <v>4.9800000000000004</v>
      </c>
    </row>
    <row r="293" spans="1:12" x14ac:dyDescent="0.25">
      <c r="A293" s="1">
        <v>292</v>
      </c>
      <c r="B293" s="4">
        <v>2048</v>
      </c>
      <c r="C293" s="5">
        <v>40496</v>
      </c>
      <c r="D293" s="3" t="s">
        <v>95</v>
      </c>
      <c r="E293" s="1" t="s">
        <v>266</v>
      </c>
      <c r="F293" s="1" t="s">
        <v>42</v>
      </c>
      <c r="G293" s="2" t="s">
        <v>3</v>
      </c>
      <c r="H293" s="3" t="s">
        <v>88</v>
      </c>
      <c r="I293" s="3" t="s">
        <v>85</v>
      </c>
      <c r="J293" s="3" t="s">
        <v>70</v>
      </c>
      <c r="K293" s="4">
        <v>3752.61</v>
      </c>
      <c r="L293" s="6">
        <v>294.62</v>
      </c>
    </row>
    <row r="294" spans="1:12" x14ac:dyDescent="0.25">
      <c r="A294" s="1">
        <v>293</v>
      </c>
      <c r="B294" s="4">
        <v>2048</v>
      </c>
      <c r="C294" s="5">
        <v>40496</v>
      </c>
      <c r="D294" s="3" t="s">
        <v>95</v>
      </c>
      <c r="E294" s="1" t="s">
        <v>266</v>
      </c>
      <c r="F294" s="1" t="s">
        <v>42</v>
      </c>
      <c r="G294" s="2" t="s">
        <v>3</v>
      </c>
      <c r="H294" s="3" t="s">
        <v>88</v>
      </c>
      <c r="I294" s="3" t="s">
        <v>85</v>
      </c>
      <c r="J294" s="3" t="s">
        <v>70</v>
      </c>
      <c r="K294" s="4">
        <v>548.36</v>
      </c>
      <c r="L294" s="6">
        <v>60.97</v>
      </c>
    </row>
    <row r="295" spans="1:12" x14ac:dyDescent="0.25">
      <c r="A295" s="1">
        <v>294</v>
      </c>
      <c r="B295" s="4">
        <v>2050</v>
      </c>
      <c r="C295" s="5">
        <v>39965</v>
      </c>
      <c r="D295" s="3" t="s">
        <v>86</v>
      </c>
      <c r="E295" s="1" t="s">
        <v>291</v>
      </c>
      <c r="F295" s="1" t="s">
        <v>42</v>
      </c>
      <c r="G295" s="2" t="s">
        <v>3</v>
      </c>
      <c r="H295" s="3" t="s">
        <v>100</v>
      </c>
      <c r="I295" s="3" t="s">
        <v>85</v>
      </c>
      <c r="J295" s="3" t="s">
        <v>65</v>
      </c>
      <c r="K295" s="4">
        <v>44.46</v>
      </c>
      <c r="L295" s="6">
        <v>2.89</v>
      </c>
    </row>
    <row r="296" spans="1:12" x14ac:dyDescent="0.25">
      <c r="A296" s="1">
        <v>295</v>
      </c>
      <c r="B296" s="4">
        <v>2050</v>
      </c>
      <c r="C296" s="5">
        <v>39965</v>
      </c>
      <c r="D296" s="3" t="s">
        <v>86</v>
      </c>
      <c r="E296" s="1" t="s">
        <v>291</v>
      </c>
      <c r="F296" s="1" t="s">
        <v>42</v>
      </c>
      <c r="G296" s="2" t="s">
        <v>3</v>
      </c>
      <c r="H296" s="3" t="s">
        <v>100</v>
      </c>
      <c r="I296" s="3" t="s">
        <v>85</v>
      </c>
      <c r="J296" s="3" t="s">
        <v>66</v>
      </c>
      <c r="K296" s="4">
        <v>542.11</v>
      </c>
      <c r="L296" s="6">
        <v>22.84</v>
      </c>
    </row>
    <row r="297" spans="1:12" x14ac:dyDescent="0.25">
      <c r="A297" s="1">
        <v>296</v>
      </c>
      <c r="B297" s="4">
        <v>2052</v>
      </c>
      <c r="C297" s="5">
        <v>41011</v>
      </c>
      <c r="D297" s="3" t="s">
        <v>89</v>
      </c>
      <c r="E297" s="1" t="s">
        <v>144</v>
      </c>
      <c r="F297" s="1" t="s">
        <v>24</v>
      </c>
      <c r="G297" s="2" t="s">
        <v>2</v>
      </c>
      <c r="H297" s="3" t="s">
        <v>84</v>
      </c>
      <c r="I297" s="3" t="s">
        <v>85</v>
      </c>
      <c r="J297" s="3" t="s">
        <v>69</v>
      </c>
      <c r="K297" s="4">
        <v>107.93</v>
      </c>
      <c r="L297" s="6">
        <v>4.13</v>
      </c>
    </row>
    <row r="298" spans="1:12" x14ac:dyDescent="0.25">
      <c r="A298" s="1">
        <v>297</v>
      </c>
      <c r="B298" s="4">
        <v>2053</v>
      </c>
      <c r="C298" s="5">
        <v>40580</v>
      </c>
      <c r="D298" s="3" t="s">
        <v>95</v>
      </c>
      <c r="E298" s="1" t="s">
        <v>292</v>
      </c>
      <c r="F298" s="1" t="s">
        <v>22</v>
      </c>
      <c r="G298" s="2" t="s">
        <v>6</v>
      </c>
      <c r="H298" s="3" t="s">
        <v>100</v>
      </c>
      <c r="I298" s="3" t="s">
        <v>91</v>
      </c>
      <c r="J298" s="3" t="s">
        <v>72</v>
      </c>
      <c r="K298" s="4">
        <v>19342.84</v>
      </c>
      <c r="L298" s="6">
        <v>500.98</v>
      </c>
    </row>
    <row r="299" spans="1:12" x14ac:dyDescent="0.25">
      <c r="A299" s="1">
        <v>298</v>
      </c>
      <c r="B299" s="4">
        <v>2053</v>
      </c>
      <c r="C299" s="5">
        <v>40580</v>
      </c>
      <c r="D299" s="3" t="s">
        <v>95</v>
      </c>
      <c r="E299" s="1" t="s">
        <v>292</v>
      </c>
      <c r="F299" s="1" t="s">
        <v>22</v>
      </c>
      <c r="G299" s="2" t="s">
        <v>6</v>
      </c>
      <c r="H299" s="3" t="s">
        <v>100</v>
      </c>
      <c r="I299" s="3" t="s">
        <v>92</v>
      </c>
      <c r="J299" s="3" t="s">
        <v>61</v>
      </c>
      <c r="K299" s="4">
        <v>771.78300000000002</v>
      </c>
      <c r="L299" s="6">
        <v>140.99</v>
      </c>
    </row>
    <row r="300" spans="1:12" x14ac:dyDescent="0.25">
      <c r="A300" s="1">
        <v>299</v>
      </c>
      <c r="B300" s="4">
        <v>2054</v>
      </c>
      <c r="C300" s="5">
        <v>41067</v>
      </c>
      <c r="D300" s="3" t="s">
        <v>86</v>
      </c>
      <c r="E300" s="1" t="s">
        <v>293</v>
      </c>
      <c r="F300" s="1" t="s">
        <v>42</v>
      </c>
      <c r="G300" s="2" t="s">
        <v>3</v>
      </c>
      <c r="H300" s="3" t="s">
        <v>100</v>
      </c>
      <c r="I300" s="3" t="s">
        <v>85</v>
      </c>
      <c r="J300" s="3" t="s">
        <v>70</v>
      </c>
      <c r="K300" s="4">
        <v>343.78</v>
      </c>
      <c r="L300" s="6">
        <v>363.25</v>
      </c>
    </row>
    <row r="301" spans="1:12" x14ac:dyDescent="0.25">
      <c r="A301" s="1">
        <v>300</v>
      </c>
      <c r="B301" s="4">
        <v>2054</v>
      </c>
      <c r="C301" s="5">
        <v>41067</v>
      </c>
      <c r="D301" s="3" t="s">
        <v>86</v>
      </c>
      <c r="E301" s="1" t="s">
        <v>293</v>
      </c>
      <c r="F301" s="1" t="s">
        <v>42</v>
      </c>
      <c r="G301" s="2" t="s">
        <v>3</v>
      </c>
      <c r="H301" s="3" t="s">
        <v>100</v>
      </c>
      <c r="I301" s="3" t="s">
        <v>91</v>
      </c>
      <c r="J301" s="3" t="s">
        <v>59</v>
      </c>
      <c r="K301" s="4">
        <v>826.09</v>
      </c>
      <c r="L301" s="6">
        <v>22.98</v>
      </c>
    </row>
    <row r="302" spans="1:12" x14ac:dyDescent="0.25">
      <c r="A302" s="1">
        <v>301</v>
      </c>
      <c r="B302" s="4">
        <v>2055</v>
      </c>
      <c r="C302" s="5">
        <v>40424</v>
      </c>
      <c r="D302" s="3" t="s">
        <v>95</v>
      </c>
      <c r="E302" s="1" t="s">
        <v>294</v>
      </c>
      <c r="F302" s="1" t="s">
        <v>24</v>
      </c>
      <c r="G302" s="2" t="s">
        <v>2</v>
      </c>
      <c r="H302" s="3" t="s">
        <v>84</v>
      </c>
      <c r="I302" s="3" t="s">
        <v>85</v>
      </c>
      <c r="J302" s="3" t="s">
        <v>71</v>
      </c>
      <c r="K302" s="4">
        <v>66.41</v>
      </c>
      <c r="L302" s="6">
        <v>8.74</v>
      </c>
    </row>
    <row r="303" spans="1:12" x14ac:dyDescent="0.25">
      <c r="A303" s="1">
        <v>302</v>
      </c>
      <c r="B303" s="4">
        <v>2084</v>
      </c>
      <c r="C303" s="5">
        <v>40253</v>
      </c>
      <c r="D303" s="3" t="s">
        <v>89</v>
      </c>
      <c r="E303" s="1" t="s">
        <v>295</v>
      </c>
      <c r="F303" s="1" t="s">
        <v>21</v>
      </c>
      <c r="G303" s="2" t="s">
        <v>1</v>
      </c>
      <c r="H303" s="3" t="s">
        <v>88</v>
      </c>
      <c r="I303" s="3" t="s">
        <v>85</v>
      </c>
      <c r="J303" s="3" t="s">
        <v>66</v>
      </c>
      <c r="K303" s="4">
        <v>692.73</v>
      </c>
      <c r="L303" s="6">
        <v>40.99</v>
      </c>
    </row>
    <row r="304" spans="1:12" x14ac:dyDescent="0.25">
      <c r="A304" s="1">
        <v>303</v>
      </c>
      <c r="B304" s="4">
        <v>2086</v>
      </c>
      <c r="C304" s="5">
        <v>40104</v>
      </c>
      <c r="D304" s="3" t="s">
        <v>95</v>
      </c>
      <c r="E304" s="1" t="s">
        <v>280</v>
      </c>
      <c r="F304" s="1" t="s">
        <v>37</v>
      </c>
      <c r="G304" s="2" t="s">
        <v>3</v>
      </c>
      <c r="H304" s="3" t="s">
        <v>88</v>
      </c>
      <c r="I304" s="3" t="s">
        <v>85</v>
      </c>
      <c r="J304" s="3" t="s">
        <v>66</v>
      </c>
      <c r="K304" s="4">
        <v>1411.58</v>
      </c>
      <c r="L304" s="6">
        <v>55.98</v>
      </c>
    </row>
    <row r="305" spans="1:12" x14ac:dyDescent="0.25">
      <c r="A305" s="1">
        <v>304</v>
      </c>
      <c r="B305" s="4">
        <v>2086</v>
      </c>
      <c r="C305" s="5">
        <v>40104</v>
      </c>
      <c r="D305" s="3" t="s">
        <v>95</v>
      </c>
      <c r="E305" s="1" t="s">
        <v>280</v>
      </c>
      <c r="F305" s="1" t="s">
        <v>37</v>
      </c>
      <c r="G305" s="2" t="s">
        <v>3</v>
      </c>
      <c r="H305" s="3" t="s">
        <v>88</v>
      </c>
      <c r="I305" s="3" t="s">
        <v>92</v>
      </c>
      <c r="J305" s="3" t="s">
        <v>61</v>
      </c>
      <c r="K305" s="4">
        <v>2115.2419999999997</v>
      </c>
      <c r="L305" s="6">
        <v>65.989999999999995</v>
      </c>
    </row>
    <row r="306" spans="1:12" x14ac:dyDescent="0.25">
      <c r="A306" s="1">
        <v>305</v>
      </c>
      <c r="B306" s="4">
        <v>2086</v>
      </c>
      <c r="C306" s="5">
        <v>40104</v>
      </c>
      <c r="D306" s="3" t="s">
        <v>95</v>
      </c>
      <c r="E306" s="1" t="s">
        <v>296</v>
      </c>
      <c r="F306" s="1" t="s">
        <v>37</v>
      </c>
      <c r="G306" s="2" t="s">
        <v>3</v>
      </c>
      <c r="H306" s="3" t="s">
        <v>88</v>
      </c>
      <c r="I306" s="3" t="s">
        <v>91</v>
      </c>
      <c r="J306" s="3" t="s">
        <v>72</v>
      </c>
      <c r="K306" s="4">
        <v>1246.68</v>
      </c>
      <c r="L306" s="6">
        <v>128.24</v>
      </c>
    </row>
    <row r="307" spans="1:12" x14ac:dyDescent="0.25">
      <c r="A307" s="1">
        <v>306</v>
      </c>
      <c r="B307" s="4">
        <v>2144</v>
      </c>
      <c r="C307" s="5">
        <v>39900</v>
      </c>
      <c r="D307" s="3" t="s">
        <v>4</v>
      </c>
      <c r="E307" s="1" t="s">
        <v>297</v>
      </c>
      <c r="F307" s="1" t="s">
        <v>10</v>
      </c>
      <c r="G307" s="2" t="s">
        <v>3</v>
      </c>
      <c r="H307" s="3" t="s">
        <v>88</v>
      </c>
      <c r="I307" s="3" t="s">
        <v>92</v>
      </c>
      <c r="J307" s="3" t="s">
        <v>61</v>
      </c>
      <c r="K307" s="4">
        <v>5945.3675000000003</v>
      </c>
      <c r="L307" s="6">
        <v>175.99</v>
      </c>
    </row>
    <row r="308" spans="1:12" x14ac:dyDescent="0.25">
      <c r="A308" s="1">
        <v>307</v>
      </c>
      <c r="B308" s="4">
        <v>2146</v>
      </c>
      <c r="C308" s="5">
        <v>41165</v>
      </c>
      <c r="D308" s="3" t="s">
        <v>86</v>
      </c>
      <c r="E308" s="1" t="s">
        <v>292</v>
      </c>
      <c r="F308" s="1" t="s">
        <v>22</v>
      </c>
      <c r="G308" s="2" t="s">
        <v>6</v>
      </c>
      <c r="H308" s="3" t="s">
        <v>84</v>
      </c>
      <c r="I308" s="3" t="s">
        <v>92</v>
      </c>
      <c r="J308" s="3" t="s">
        <v>61</v>
      </c>
      <c r="K308" s="4">
        <v>6111.1684999999998</v>
      </c>
      <c r="L308" s="6">
        <v>175.99</v>
      </c>
    </row>
    <row r="309" spans="1:12" x14ac:dyDescent="0.25">
      <c r="A309" s="1">
        <v>308</v>
      </c>
      <c r="B309" s="4">
        <v>2146</v>
      </c>
      <c r="C309" s="5">
        <v>41165</v>
      </c>
      <c r="D309" s="3" t="s">
        <v>86</v>
      </c>
      <c r="E309" s="1" t="s">
        <v>298</v>
      </c>
      <c r="F309" s="1" t="s">
        <v>22</v>
      </c>
      <c r="G309" s="2" t="s">
        <v>6</v>
      </c>
      <c r="H309" s="3" t="s">
        <v>84</v>
      </c>
      <c r="I309" s="3" t="s">
        <v>85</v>
      </c>
      <c r="J309" s="3" t="s">
        <v>65</v>
      </c>
      <c r="K309" s="4">
        <v>113.71</v>
      </c>
      <c r="L309" s="6">
        <v>2.61</v>
      </c>
    </row>
    <row r="310" spans="1:12" x14ac:dyDescent="0.25">
      <c r="A310" s="1">
        <v>309</v>
      </c>
      <c r="B310" s="4">
        <v>2147</v>
      </c>
      <c r="C310" s="5">
        <v>41157</v>
      </c>
      <c r="D310" s="3" t="s">
        <v>86</v>
      </c>
      <c r="E310" s="1" t="s">
        <v>299</v>
      </c>
      <c r="F310" s="1" t="s">
        <v>41</v>
      </c>
      <c r="G310" s="2" t="s">
        <v>6</v>
      </c>
      <c r="H310" s="3" t="s">
        <v>97</v>
      </c>
      <c r="I310" s="3" t="s">
        <v>85</v>
      </c>
      <c r="J310" s="3" t="s">
        <v>70</v>
      </c>
      <c r="K310" s="4">
        <v>605.1</v>
      </c>
      <c r="L310" s="6">
        <v>40.98</v>
      </c>
    </row>
    <row r="311" spans="1:12" x14ac:dyDescent="0.25">
      <c r="A311" s="1">
        <v>310</v>
      </c>
      <c r="B311" s="4">
        <v>2149</v>
      </c>
      <c r="C311" s="5">
        <v>40249</v>
      </c>
      <c r="D311" s="3" t="s">
        <v>82</v>
      </c>
      <c r="E311" s="1" t="s">
        <v>300</v>
      </c>
      <c r="F311" s="1" t="s">
        <v>44</v>
      </c>
      <c r="G311" s="2" t="s">
        <v>3</v>
      </c>
      <c r="H311" s="3" t="s">
        <v>100</v>
      </c>
      <c r="I311" s="3" t="s">
        <v>91</v>
      </c>
      <c r="J311" s="3" t="s">
        <v>59</v>
      </c>
      <c r="K311" s="4">
        <v>43.56</v>
      </c>
      <c r="L311" s="6">
        <v>9.3800000000000008</v>
      </c>
    </row>
    <row r="312" spans="1:12" x14ac:dyDescent="0.25">
      <c r="A312" s="1">
        <v>311</v>
      </c>
      <c r="B312" s="4">
        <v>2150</v>
      </c>
      <c r="C312" s="5">
        <v>39966</v>
      </c>
      <c r="D312" s="3" t="s">
        <v>4</v>
      </c>
      <c r="E312" s="1" t="s">
        <v>301</v>
      </c>
      <c r="F312" s="1" t="s">
        <v>31</v>
      </c>
      <c r="G312" s="2" t="s">
        <v>1</v>
      </c>
      <c r="H312" s="3" t="s">
        <v>88</v>
      </c>
      <c r="I312" s="3" t="s">
        <v>91</v>
      </c>
      <c r="J312" s="3" t="s">
        <v>60</v>
      </c>
      <c r="K312" s="4">
        <v>3905.75</v>
      </c>
      <c r="L312" s="6">
        <v>179.29</v>
      </c>
    </row>
    <row r="313" spans="1:12" x14ac:dyDescent="0.25">
      <c r="A313" s="1">
        <v>312</v>
      </c>
      <c r="B313" s="4">
        <v>2181</v>
      </c>
      <c r="C313" s="5">
        <v>40798</v>
      </c>
      <c r="D313" s="3" t="s">
        <v>4</v>
      </c>
      <c r="E313" s="1" t="s">
        <v>201</v>
      </c>
      <c r="F313" s="1" t="s">
        <v>13</v>
      </c>
      <c r="G313" s="2" t="s">
        <v>6</v>
      </c>
      <c r="H313" s="3" t="s">
        <v>97</v>
      </c>
      <c r="I313" s="3" t="s">
        <v>85</v>
      </c>
      <c r="J313" s="3" t="s">
        <v>65</v>
      </c>
      <c r="K313" s="4">
        <v>102.56</v>
      </c>
      <c r="L313" s="6">
        <v>2.61</v>
      </c>
    </row>
    <row r="314" spans="1:12" x14ac:dyDescent="0.25">
      <c r="A314" s="1">
        <v>313</v>
      </c>
      <c r="B314" s="4">
        <v>2181</v>
      </c>
      <c r="C314" s="5">
        <v>40798</v>
      </c>
      <c r="D314" s="3" t="s">
        <v>4</v>
      </c>
      <c r="E314" s="1" t="s">
        <v>302</v>
      </c>
      <c r="F314" s="1" t="s">
        <v>13</v>
      </c>
      <c r="G314" s="2" t="s">
        <v>6</v>
      </c>
      <c r="H314" s="3" t="s">
        <v>97</v>
      </c>
      <c r="I314" s="3" t="s">
        <v>85</v>
      </c>
      <c r="J314" s="3" t="s">
        <v>64</v>
      </c>
      <c r="K314" s="4">
        <v>15.87</v>
      </c>
      <c r="L314" s="6">
        <v>3.49</v>
      </c>
    </row>
    <row r="315" spans="1:12" x14ac:dyDescent="0.25">
      <c r="A315" s="1">
        <v>314</v>
      </c>
      <c r="B315" s="4">
        <v>2208</v>
      </c>
      <c r="C315" s="5">
        <v>40663</v>
      </c>
      <c r="D315" s="3" t="s">
        <v>86</v>
      </c>
      <c r="E315" s="1" t="s">
        <v>303</v>
      </c>
      <c r="F315" s="1" t="s">
        <v>25</v>
      </c>
      <c r="G315" s="2" t="s">
        <v>6</v>
      </c>
      <c r="H315" s="3" t="s">
        <v>97</v>
      </c>
      <c r="I315" s="3" t="s">
        <v>85</v>
      </c>
      <c r="J315" s="3" t="s">
        <v>69</v>
      </c>
      <c r="K315" s="4">
        <v>82.06</v>
      </c>
      <c r="L315" s="6">
        <v>11.5</v>
      </c>
    </row>
    <row r="316" spans="1:12" x14ac:dyDescent="0.25">
      <c r="A316" s="1">
        <v>315</v>
      </c>
      <c r="B316" s="4">
        <v>2208</v>
      </c>
      <c r="C316" s="5">
        <v>40663</v>
      </c>
      <c r="D316" s="3" t="s">
        <v>86</v>
      </c>
      <c r="E316" s="1" t="s">
        <v>303</v>
      </c>
      <c r="F316" s="1" t="s">
        <v>25</v>
      </c>
      <c r="G316" s="2" t="s">
        <v>6</v>
      </c>
      <c r="H316" s="3" t="s">
        <v>97</v>
      </c>
      <c r="I316" s="3" t="s">
        <v>92</v>
      </c>
      <c r="J316" s="3" t="s">
        <v>73</v>
      </c>
      <c r="K316" s="4">
        <v>23281.05</v>
      </c>
      <c r="L316" s="6">
        <v>599.99</v>
      </c>
    </row>
    <row r="317" spans="1:12" x14ac:dyDescent="0.25">
      <c r="A317" s="1">
        <v>316</v>
      </c>
      <c r="B317" s="4">
        <v>2209</v>
      </c>
      <c r="C317" s="5">
        <v>41099</v>
      </c>
      <c r="D317" s="3" t="s">
        <v>89</v>
      </c>
      <c r="E317" s="1" t="s">
        <v>304</v>
      </c>
      <c r="F317" s="1" t="s">
        <v>18</v>
      </c>
      <c r="G317" s="2" t="s">
        <v>6</v>
      </c>
      <c r="H317" s="3" t="s">
        <v>100</v>
      </c>
      <c r="I317" s="3" t="s">
        <v>91</v>
      </c>
      <c r="J317" s="3" t="s">
        <v>72</v>
      </c>
      <c r="K317" s="4">
        <v>9418.73</v>
      </c>
      <c r="L317" s="6">
        <v>320.98</v>
      </c>
    </row>
    <row r="318" spans="1:12" x14ac:dyDescent="0.25">
      <c r="A318" s="1">
        <v>317</v>
      </c>
      <c r="B318" s="4">
        <v>2209</v>
      </c>
      <c r="C318" s="5">
        <v>41099</v>
      </c>
      <c r="D318" s="3" t="s">
        <v>89</v>
      </c>
      <c r="E318" s="1" t="s">
        <v>304</v>
      </c>
      <c r="F318" s="1" t="s">
        <v>18</v>
      </c>
      <c r="G318" s="2" t="s">
        <v>6</v>
      </c>
      <c r="H318" s="3" t="s">
        <v>100</v>
      </c>
      <c r="I318" s="3" t="s">
        <v>85</v>
      </c>
      <c r="J318" s="3" t="s">
        <v>66</v>
      </c>
      <c r="K318" s="4">
        <v>5.68</v>
      </c>
      <c r="L318" s="6">
        <v>4.76</v>
      </c>
    </row>
    <row r="319" spans="1:12" x14ac:dyDescent="0.25">
      <c r="A319" s="1">
        <v>318</v>
      </c>
      <c r="B319" s="4">
        <v>2209</v>
      </c>
      <c r="C319" s="5">
        <v>41099</v>
      </c>
      <c r="D319" s="3" t="s">
        <v>89</v>
      </c>
      <c r="E319" s="1" t="s">
        <v>304</v>
      </c>
      <c r="F319" s="1" t="s">
        <v>18</v>
      </c>
      <c r="G319" s="2" t="s">
        <v>6</v>
      </c>
      <c r="H319" s="3" t="s">
        <v>100</v>
      </c>
      <c r="I319" s="3" t="s">
        <v>85</v>
      </c>
      <c r="J319" s="3" t="s">
        <v>63</v>
      </c>
      <c r="K319" s="4">
        <v>174.59</v>
      </c>
      <c r="L319" s="6">
        <v>4.28</v>
      </c>
    </row>
    <row r="320" spans="1:12" x14ac:dyDescent="0.25">
      <c r="A320" s="1">
        <v>319</v>
      </c>
      <c r="B320" s="4">
        <v>2209</v>
      </c>
      <c r="C320" s="5">
        <v>41099</v>
      </c>
      <c r="D320" s="3" t="s">
        <v>89</v>
      </c>
      <c r="E320" s="1" t="s">
        <v>304</v>
      </c>
      <c r="F320" s="1" t="s">
        <v>18</v>
      </c>
      <c r="G320" s="2" t="s">
        <v>6</v>
      </c>
      <c r="H320" s="3" t="s">
        <v>100</v>
      </c>
      <c r="I320" s="3" t="s">
        <v>92</v>
      </c>
      <c r="J320" s="3" t="s">
        <v>61</v>
      </c>
      <c r="K320" s="4">
        <v>1265.4969999999998</v>
      </c>
      <c r="L320" s="6">
        <v>125.99</v>
      </c>
    </row>
    <row r="321" spans="1:12" x14ac:dyDescent="0.25">
      <c r="A321" s="1">
        <v>320</v>
      </c>
      <c r="B321" s="4">
        <v>2211</v>
      </c>
      <c r="C321" s="5">
        <v>39993</v>
      </c>
      <c r="D321" s="3" t="s">
        <v>89</v>
      </c>
      <c r="E321" s="1" t="s">
        <v>301</v>
      </c>
      <c r="F321" s="1" t="s">
        <v>31</v>
      </c>
      <c r="G321" s="2" t="s">
        <v>1</v>
      </c>
      <c r="H321" s="3" t="s">
        <v>97</v>
      </c>
      <c r="I321" s="3" t="s">
        <v>92</v>
      </c>
      <c r="J321" s="3" t="s">
        <v>62</v>
      </c>
      <c r="K321" s="4">
        <v>1651.09</v>
      </c>
      <c r="L321" s="6">
        <v>73.98</v>
      </c>
    </row>
    <row r="322" spans="1:12" x14ac:dyDescent="0.25">
      <c r="A322" s="1">
        <v>321</v>
      </c>
      <c r="B322" s="4">
        <v>2211</v>
      </c>
      <c r="C322" s="5">
        <v>39993</v>
      </c>
      <c r="D322" s="3" t="s">
        <v>89</v>
      </c>
      <c r="E322" s="1" t="s">
        <v>301</v>
      </c>
      <c r="F322" s="1" t="s">
        <v>31</v>
      </c>
      <c r="G322" s="2" t="s">
        <v>1</v>
      </c>
      <c r="H322" s="3" t="s">
        <v>97</v>
      </c>
      <c r="I322" s="3" t="s">
        <v>85</v>
      </c>
      <c r="J322" s="3" t="s">
        <v>66</v>
      </c>
      <c r="K322" s="4">
        <v>95.89</v>
      </c>
      <c r="L322" s="6">
        <v>5.98</v>
      </c>
    </row>
    <row r="323" spans="1:12" x14ac:dyDescent="0.25">
      <c r="A323" s="1">
        <v>322</v>
      </c>
      <c r="B323" s="4">
        <v>2211</v>
      </c>
      <c r="C323" s="5">
        <v>39993</v>
      </c>
      <c r="D323" s="3" t="s">
        <v>89</v>
      </c>
      <c r="E323" s="1" t="s">
        <v>301</v>
      </c>
      <c r="F323" s="1" t="s">
        <v>31</v>
      </c>
      <c r="G323" s="2" t="s">
        <v>1</v>
      </c>
      <c r="H323" s="3" t="s">
        <v>97</v>
      </c>
      <c r="I323" s="3" t="s">
        <v>85</v>
      </c>
      <c r="J323" s="3" t="s">
        <v>63</v>
      </c>
      <c r="K323" s="4">
        <v>80.38</v>
      </c>
      <c r="L323" s="6">
        <v>3.57</v>
      </c>
    </row>
    <row r="324" spans="1:12" x14ac:dyDescent="0.25">
      <c r="A324" s="1">
        <v>323</v>
      </c>
      <c r="B324" s="4">
        <v>2213</v>
      </c>
      <c r="C324" s="5">
        <v>40192</v>
      </c>
      <c r="D324" s="3" t="s">
        <v>86</v>
      </c>
      <c r="E324" s="1" t="s">
        <v>283</v>
      </c>
      <c r="F324" s="1" t="s">
        <v>34</v>
      </c>
      <c r="G324" s="2" t="s">
        <v>1</v>
      </c>
      <c r="H324" s="3" t="s">
        <v>84</v>
      </c>
      <c r="I324" s="3" t="s">
        <v>85</v>
      </c>
      <c r="J324" s="3" t="s">
        <v>66</v>
      </c>
      <c r="K324" s="4">
        <v>40.31</v>
      </c>
      <c r="L324" s="6">
        <v>5.78</v>
      </c>
    </row>
    <row r="325" spans="1:12" x14ac:dyDescent="0.25">
      <c r="A325" s="1">
        <v>324</v>
      </c>
      <c r="B325" s="4">
        <v>2240</v>
      </c>
      <c r="C325" s="5">
        <v>40973</v>
      </c>
      <c r="D325" s="3" t="s">
        <v>86</v>
      </c>
      <c r="E325" s="1" t="s">
        <v>135</v>
      </c>
      <c r="F325" s="1" t="s">
        <v>19</v>
      </c>
      <c r="G325" s="2" t="s">
        <v>3</v>
      </c>
      <c r="H325" s="3" t="s">
        <v>100</v>
      </c>
      <c r="I325" s="3" t="s">
        <v>91</v>
      </c>
      <c r="J325" s="3" t="s">
        <v>59</v>
      </c>
      <c r="K325" s="4">
        <v>186.02</v>
      </c>
      <c r="L325" s="6">
        <v>10.64</v>
      </c>
    </row>
    <row r="326" spans="1:12" x14ac:dyDescent="0.25">
      <c r="A326" s="1">
        <v>325</v>
      </c>
      <c r="B326" s="4">
        <v>2240</v>
      </c>
      <c r="C326" s="5">
        <v>40973</v>
      </c>
      <c r="D326" s="3" t="s">
        <v>86</v>
      </c>
      <c r="E326" s="1" t="s">
        <v>135</v>
      </c>
      <c r="F326" s="1" t="s">
        <v>19</v>
      </c>
      <c r="G326" s="2" t="s">
        <v>3</v>
      </c>
      <c r="H326" s="3" t="s">
        <v>100</v>
      </c>
      <c r="I326" s="3" t="s">
        <v>85</v>
      </c>
      <c r="J326" s="3" t="s">
        <v>63</v>
      </c>
      <c r="K326" s="4">
        <v>142.44</v>
      </c>
      <c r="L326" s="6">
        <v>28.15</v>
      </c>
    </row>
    <row r="327" spans="1:12" x14ac:dyDescent="0.25">
      <c r="A327" s="1">
        <v>326</v>
      </c>
      <c r="B327" s="4">
        <v>2241</v>
      </c>
      <c r="C327" s="5">
        <v>40308</v>
      </c>
      <c r="D327" s="3" t="s">
        <v>95</v>
      </c>
      <c r="E327" s="1" t="s">
        <v>135</v>
      </c>
      <c r="F327" s="1" t="s">
        <v>19</v>
      </c>
      <c r="G327" s="2" t="s">
        <v>3</v>
      </c>
      <c r="H327" s="3" t="s">
        <v>100</v>
      </c>
      <c r="I327" s="3" t="s">
        <v>85</v>
      </c>
      <c r="J327" s="3" t="s">
        <v>69</v>
      </c>
      <c r="K327" s="4">
        <v>967.78</v>
      </c>
      <c r="L327" s="6">
        <v>24.95</v>
      </c>
    </row>
    <row r="328" spans="1:12" x14ac:dyDescent="0.25">
      <c r="A328" s="1">
        <v>327</v>
      </c>
      <c r="B328" s="4">
        <v>2244</v>
      </c>
      <c r="C328" s="5">
        <v>40186</v>
      </c>
      <c r="D328" s="3" t="s">
        <v>95</v>
      </c>
      <c r="E328" s="1" t="s">
        <v>305</v>
      </c>
      <c r="F328" s="1" t="s">
        <v>50</v>
      </c>
      <c r="G328" s="2" t="s">
        <v>1</v>
      </c>
      <c r="H328" s="3" t="s">
        <v>100</v>
      </c>
      <c r="I328" s="3" t="s">
        <v>85</v>
      </c>
      <c r="J328" s="3" t="s">
        <v>69</v>
      </c>
      <c r="K328" s="4">
        <v>88.61</v>
      </c>
      <c r="L328" s="6">
        <v>3.8</v>
      </c>
    </row>
    <row r="329" spans="1:12" x14ac:dyDescent="0.25">
      <c r="A329" s="1">
        <v>328</v>
      </c>
      <c r="B329" s="4">
        <v>2247</v>
      </c>
      <c r="C329" s="5">
        <v>41122</v>
      </c>
      <c r="D329" s="3" t="s">
        <v>86</v>
      </c>
      <c r="E329" s="1" t="s">
        <v>306</v>
      </c>
      <c r="F329" s="1" t="s">
        <v>9</v>
      </c>
      <c r="G329" s="2" t="s">
        <v>2</v>
      </c>
      <c r="H329" s="3" t="s">
        <v>84</v>
      </c>
      <c r="I329" s="3" t="s">
        <v>92</v>
      </c>
      <c r="J329" s="3" t="s">
        <v>67</v>
      </c>
      <c r="K329" s="4">
        <v>21134.71</v>
      </c>
      <c r="L329" s="6">
        <v>3502.14</v>
      </c>
    </row>
    <row r="330" spans="1:12" x14ac:dyDescent="0.25">
      <c r="A330" s="1">
        <v>329</v>
      </c>
      <c r="B330" s="4">
        <v>2272</v>
      </c>
      <c r="C330" s="5">
        <v>40280</v>
      </c>
      <c r="D330" s="3" t="s">
        <v>89</v>
      </c>
      <c r="E330" s="1" t="s">
        <v>307</v>
      </c>
      <c r="F330" s="1" t="s">
        <v>51</v>
      </c>
      <c r="G330" s="2" t="s">
        <v>1</v>
      </c>
      <c r="H330" s="3" t="s">
        <v>100</v>
      </c>
      <c r="I330" s="3" t="s">
        <v>91</v>
      </c>
      <c r="J330" s="3" t="s">
        <v>60</v>
      </c>
      <c r="K330" s="4">
        <v>7680.29</v>
      </c>
      <c r="L330" s="6">
        <v>212.6</v>
      </c>
    </row>
    <row r="331" spans="1:12" x14ac:dyDescent="0.25">
      <c r="A331" s="1">
        <v>330</v>
      </c>
      <c r="B331" s="4">
        <v>2275</v>
      </c>
      <c r="C331" s="5">
        <v>41203</v>
      </c>
      <c r="D331" s="3" t="s">
        <v>86</v>
      </c>
      <c r="E331" s="1" t="s">
        <v>308</v>
      </c>
      <c r="F331" s="1" t="s">
        <v>8</v>
      </c>
      <c r="G331" s="2" t="s">
        <v>6</v>
      </c>
      <c r="H331" s="3" t="s">
        <v>84</v>
      </c>
      <c r="I331" s="3" t="s">
        <v>85</v>
      </c>
      <c r="J331" s="3" t="s">
        <v>63</v>
      </c>
      <c r="K331" s="4">
        <v>278</v>
      </c>
      <c r="L331" s="6">
        <v>6.08</v>
      </c>
    </row>
    <row r="332" spans="1:12" x14ac:dyDescent="0.25">
      <c r="A332" s="1">
        <v>331</v>
      </c>
      <c r="B332" s="4">
        <v>2277</v>
      </c>
      <c r="C332" s="5">
        <v>40544</v>
      </c>
      <c r="D332" s="3" t="s">
        <v>86</v>
      </c>
      <c r="E332" s="1" t="s">
        <v>249</v>
      </c>
      <c r="F332" s="1" t="s">
        <v>8</v>
      </c>
      <c r="G332" s="2" t="s">
        <v>6</v>
      </c>
      <c r="H332" s="3" t="s">
        <v>97</v>
      </c>
      <c r="I332" s="3" t="s">
        <v>92</v>
      </c>
      <c r="J332" s="3" t="s">
        <v>62</v>
      </c>
      <c r="K332" s="4">
        <v>66.540000000000006</v>
      </c>
      <c r="L332" s="6">
        <v>5.98</v>
      </c>
    </row>
    <row r="333" spans="1:12" x14ac:dyDescent="0.25">
      <c r="A333" s="1">
        <v>332</v>
      </c>
      <c r="B333" s="4">
        <v>2277</v>
      </c>
      <c r="C333" s="5">
        <v>40544</v>
      </c>
      <c r="D333" s="3" t="s">
        <v>86</v>
      </c>
      <c r="E333" s="1" t="s">
        <v>249</v>
      </c>
      <c r="F333" s="1" t="s">
        <v>8</v>
      </c>
      <c r="G333" s="2" t="s">
        <v>6</v>
      </c>
      <c r="H333" s="3" t="s">
        <v>97</v>
      </c>
      <c r="I333" s="3" t="s">
        <v>85</v>
      </c>
      <c r="J333" s="3" t="s">
        <v>66</v>
      </c>
      <c r="K333" s="4">
        <v>845.32</v>
      </c>
      <c r="L333" s="6">
        <v>40.99</v>
      </c>
    </row>
    <row r="334" spans="1:12" x14ac:dyDescent="0.25">
      <c r="A334" s="1">
        <v>333</v>
      </c>
      <c r="B334" s="4">
        <v>2279</v>
      </c>
      <c r="C334" s="5">
        <v>40231</v>
      </c>
      <c r="D334" s="3" t="s">
        <v>4</v>
      </c>
      <c r="E334" s="1" t="s">
        <v>309</v>
      </c>
      <c r="F334" s="1" t="s">
        <v>11</v>
      </c>
      <c r="G334" s="2" t="s">
        <v>6</v>
      </c>
      <c r="H334" s="3" t="s">
        <v>88</v>
      </c>
      <c r="I334" s="3" t="s">
        <v>91</v>
      </c>
      <c r="J334" s="3" t="s">
        <v>72</v>
      </c>
      <c r="K334" s="4">
        <v>4577.18</v>
      </c>
      <c r="L334" s="6">
        <v>90.98</v>
      </c>
    </row>
    <row r="335" spans="1:12" x14ac:dyDescent="0.25">
      <c r="A335" s="1">
        <v>334</v>
      </c>
      <c r="B335" s="4">
        <v>2279</v>
      </c>
      <c r="C335" s="5">
        <v>40231</v>
      </c>
      <c r="D335" s="3" t="s">
        <v>4</v>
      </c>
      <c r="E335" s="1" t="s">
        <v>309</v>
      </c>
      <c r="F335" s="1" t="s">
        <v>11</v>
      </c>
      <c r="G335" s="2" t="s">
        <v>6</v>
      </c>
      <c r="H335" s="3" t="s">
        <v>88</v>
      </c>
      <c r="I335" s="3" t="s">
        <v>85</v>
      </c>
      <c r="J335" s="3" t="s">
        <v>57</v>
      </c>
      <c r="K335" s="4">
        <v>845.9</v>
      </c>
      <c r="L335" s="6">
        <v>20.98</v>
      </c>
    </row>
    <row r="336" spans="1:12" x14ac:dyDescent="0.25">
      <c r="A336" s="1">
        <v>335</v>
      </c>
      <c r="B336" s="4">
        <v>2305</v>
      </c>
      <c r="C336" s="5">
        <v>40203</v>
      </c>
      <c r="D336" s="3" t="s">
        <v>89</v>
      </c>
      <c r="E336" s="1" t="s">
        <v>310</v>
      </c>
      <c r="F336" s="1" t="s">
        <v>36</v>
      </c>
      <c r="G336" s="2" t="s">
        <v>2</v>
      </c>
      <c r="H336" s="3" t="s">
        <v>97</v>
      </c>
      <c r="I336" s="3" t="s">
        <v>91</v>
      </c>
      <c r="J336" s="3" t="s">
        <v>68</v>
      </c>
      <c r="K336" s="4">
        <v>3116.47</v>
      </c>
      <c r="L336" s="6">
        <v>100.98</v>
      </c>
    </row>
    <row r="337" spans="1:12" x14ac:dyDescent="0.25">
      <c r="A337" s="1">
        <v>336</v>
      </c>
      <c r="B337" s="4">
        <v>2305</v>
      </c>
      <c r="C337" s="5">
        <v>40203</v>
      </c>
      <c r="D337" s="3" t="s">
        <v>89</v>
      </c>
      <c r="E337" s="1" t="s">
        <v>310</v>
      </c>
      <c r="F337" s="1" t="s">
        <v>36</v>
      </c>
      <c r="G337" s="2" t="s">
        <v>2</v>
      </c>
      <c r="H337" s="3" t="s">
        <v>97</v>
      </c>
      <c r="I337" s="3" t="s">
        <v>85</v>
      </c>
      <c r="J337" s="3" t="s">
        <v>66</v>
      </c>
      <c r="K337" s="4">
        <v>12.41</v>
      </c>
      <c r="L337" s="6">
        <v>6.68</v>
      </c>
    </row>
    <row r="338" spans="1:12" x14ac:dyDescent="0.25">
      <c r="A338" s="1">
        <v>337</v>
      </c>
      <c r="B338" s="4">
        <v>2305</v>
      </c>
      <c r="C338" s="5">
        <v>40203</v>
      </c>
      <c r="D338" s="3" t="s">
        <v>89</v>
      </c>
      <c r="E338" s="1" t="s">
        <v>311</v>
      </c>
      <c r="F338" s="1" t="s">
        <v>20</v>
      </c>
      <c r="G338" s="2" t="s">
        <v>1</v>
      </c>
      <c r="H338" s="3" t="s">
        <v>97</v>
      </c>
      <c r="I338" s="3" t="s">
        <v>85</v>
      </c>
      <c r="J338" s="3" t="s">
        <v>57</v>
      </c>
      <c r="K338" s="4">
        <v>1382.8</v>
      </c>
      <c r="L338" s="6">
        <v>120.33</v>
      </c>
    </row>
    <row r="339" spans="1:12" x14ac:dyDescent="0.25">
      <c r="A339" s="1">
        <v>338</v>
      </c>
      <c r="B339" s="4">
        <v>2306</v>
      </c>
      <c r="C339" s="5">
        <v>40749</v>
      </c>
      <c r="D339" s="3" t="s">
        <v>89</v>
      </c>
      <c r="E339" s="1" t="s">
        <v>135</v>
      </c>
      <c r="F339" s="1" t="s">
        <v>41</v>
      </c>
      <c r="G339" s="2" t="s">
        <v>6</v>
      </c>
      <c r="H339" s="3" t="s">
        <v>88</v>
      </c>
      <c r="I339" s="3" t="s">
        <v>85</v>
      </c>
      <c r="J339" s="3" t="s">
        <v>69</v>
      </c>
      <c r="K339" s="4">
        <v>113.5</v>
      </c>
      <c r="L339" s="6">
        <v>7.45</v>
      </c>
    </row>
    <row r="340" spans="1:12" x14ac:dyDescent="0.25">
      <c r="A340" s="1">
        <v>339</v>
      </c>
      <c r="B340" s="4">
        <v>2307</v>
      </c>
      <c r="C340" s="5">
        <v>40357</v>
      </c>
      <c r="D340" s="3" t="s">
        <v>82</v>
      </c>
      <c r="E340" s="1" t="s">
        <v>312</v>
      </c>
      <c r="F340" s="1" t="s">
        <v>31</v>
      </c>
      <c r="G340" s="2" t="s">
        <v>1</v>
      </c>
      <c r="H340" s="3" t="s">
        <v>88</v>
      </c>
      <c r="I340" s="3" t="s">
        <v>85</v>
      </c>
      <c r="J340" s="3" t="s">
        <v>69</v>
      </c>
      <c r="K340" s="4">
        <v>182.33</v>
      </c>
      <c r="L340" s="6">
        <v>5.98</v>
      </c>
    </row>
    <row r="341" spans="1:12" x14ac:dyDescent="0.25">
      <c r="A341" s="1">
        <v>340</v>
      </c>
      <c r="B341" s="4">
        <v>2309</v>
      </c>
      <c r="C341" s="5">
        <v>40789</v>
      </c>
      <c r="D341" s="3" t="s">
        <v>82</v>
      </c>
      <c r="E341" s="1" t="s">
        <v>313</v>
      </c>
      <c r="F341" s="1" t="s">
        <v>24</v>
      </c>
      <c r="G341" s="2" t="s">
        <v>2</v>
      </c>
      <c r="H341" s="3" t="s">
        <v>100</v>
      </c>
      <c r="I341" s="3" t="s">
        <v>85</v>
      </c>
      <c r="J341" s="3" t="s">
        <v>69</v>
      </c>
      <c r="K341" s="4">
        <v>27.01</v>
      </c>
      <c r="L341" s="6">
        <v>3.8</v>
      </c>
    </row>
    <row r="342" spans="1:12" x14ac:dyDescent="0.25">
      <c r="A342" s="1">
        <v>341</v>
      </c>
      <c r="B342" s="4">
        <v>2311</v>
      </c>
      <c r="C342" s="5">
        <v>40664</v>
      </c>
      <c r="D342" s="3" t="s">
        <v>89</v>
      </c>
      <c r="E342" s="1" t="s">
        <v>314</v>
      </c>
      <c r="F342" s="1" t="s">
        <v>36</v>
      </c>
      <c r="G342" s="2" t="s">
        <v>2</v>
      </c>
      <c r="H342" s="3" t="s">
        <v>97</v>
      </c>
      <c r="I342" s="3" t="s">
        <v>91</v>
      </c>
      <c r="J342" s="3" t="s">
        <v>59</v>
      </c>
      <c r="K342" s="4">
        <v>1324.09</v>
      </c>
      <c r="L342" s="6">
        <v>40.89</v>
      </c>
    </row>
    <row r="343" spans="1:12" x14ac:dyDescent="0.25">
      <c r="A343" s="1">
        <v>342</v>
      </c>
      <c r="B343" s="4">
        <v>2339</v>
      </c>
      <c r="C343" s="5">
        <v>40526</v>
      </c>
      <c r="D343" s="3" t="s">
        <v>82</v>
      </c>
      <c r="E343" s="1" t="s">
        <v>315</v>
      </c>
      <c r="F343" s="1" t="s">
        <v>38</v>
      </c>
      <c r="G343" s="2" t="s">
        <v>6</v>
      </c>
      <c r="H343" s="3" t="s">
        <v>84</v>
      </c>
      <c r="I343" s="3" t="s">
        <v>85</v>
      </c>
      <c r="J343" s="3" t="s">
        <v>57</v>
      </c>
      <c r="K343" s="4">
        <v>1634.98</v>
      </c>
      <c r="L343" s="6">
        <v>140.85</v>
      </c>
    </row>
    <row r="344" spans="1:12" x14ac:dyDescent="0.25">
      <c r="A344" s="1">
        <v>343</v>
      </c>
      <c r="B344" s="4">
        <v>2341</v>
      </c>
      <c r="C344" s="5">
        <v>40327</v>
      </c>
      <c r="D344" s="3" t="s">
        <v>82</v>
      </c>
      <c r="E344" s="1" t="s">
        <v>316</v>
      </c>
      <c r="F344" s="1" t="s">
        <v>24</v>
      </c>
      <c r="G344" s="2" t="s">
        <v>2</v>
      </c>
      <c r="H344" s="3" t="s">
        <v>84</v>
      </c>
      <c r="I344" s="3" t="s">
        <v>85</v>
      </c>
      <c r="J344" s="3" t="s">
        <v>66</v>
      </c>
      <c r="K344" s="4">
        <v>157.49</v>
      </c>
      <c r="L344" s="6">
        <v>5.78</v>
      </c>
    </row>
    <row r="345" spans="1:12" x14ac:dyDescent="0.25">
      <c r="A345" s="1">
        <v>344</v>
      </c>
      <c r="B345" s="4">
        <v>2368</v>
      </c>
      <c r="C345" s="5">
        <v>40409</v>
      </c>
      <c r="D345" s="3" t="s">
        <v>95</v>
      </c>
      <c r="E345" s="1" t="s">
        <v>317</v>
      </c>
      <c r="F345" s="1" t="s">
        <v>34</v>
      </c>
      <c r="G345" s="2" t="s">
        <v>1</v>
      </c>
      <c r="H345" s="3" t="s">
        <v>100</v>
      </c>
      <c r="I345" s="3" t="s">
        <v>85</v>
      </c>
      <c r="J345" s="3" t="s">
        <v>70</v>
      </c>
      <c r="K345" s="4">
        <v>508.73</v>
      </c>
      <c r="L345" s="6">
        <v>14.81</v>
      </c>
    </row>
    <row r="346" spans="1:12" x14ac:dyDescent="0.25">
      <c r="A346" s="1">
        <v>345</v>
      </c>
      <c r="B346" s="4">
        <v>2370</v>
      </c>
      <c r="C346" s="5">
        <v>39829</v>
      </c>
      <c r="D346" s="3" t="s">
        <v>95</v>
      </c>
      <c r="E346" s="1" t="s">
        <v>318</v>
      </c>
      <c r="F346" s="1" t="s">
        <v>31</v>
      </c>
      <c r="G346" s="2" t="s">
        <v>1</v>
      </c>
      <c r="H346" s="3" t="s">
        <v>100</v>
      </c>
      <c r="I346" s="3" t="s">
        <v>91</v>
      </c>
      <c r="J346" s="3" t="s">
        <v>59</v>
      </c>
      <c r="K346" s="4">
        <v>679.6</v>
      </c>
      <c r="L346" s="6">
        <v>110.98</v>
      </c>
    </row>
    <row r="347" spans="1:12" x14ac:dyDescent="0.25">
      <c r="A347" s="1">
        <v>346</v>
      </c>
      <c r="B347" s="4">
        <v>2370</v>
      </c>
      <c r="C347" s="5">
        <v>39829</v>
      </c>
      <c r="D347" s="3" t="s">
        <v>95</v>
      </c>
      <c r="E347" s="1" t="s">
        <v>318</v>
      </c>
      <c r="F347" s="1" t="s">
        <v>31</v>
      </c>
      <c r="G347" s="2" t="s">
        <v>1</v>
      </c>
      <c r="H347" s="3" t="s">
        <v>100</v>
      </c>
      <c r="I347" s="3" t="s">
        <v>85</v>
      </c>
      <c r="J347" s="3" t="s">
        <v>66</v>
      </c>
      <c r="K347" s="4">
        <v>257.42</v>
      </c>
      <c r="L347" s="6">
        <v>8.01</v>
      </c>
    </row>
    <row r="348" spans="1:12" x14ac:dyDescent="0.25">
      <c r="A348" s="1">
        <v>347</v>
      </c>
      <c r="B348" s="4">
        <v>2373</v>
      </c>
      <c r="C348" s="5">
        <v>39883</v>
      </c>
      <c r="D348" s="3" t="s">
        <v>86</v>
      </c>
      <c r="E348" s="1" t="s">
        <v>217</v>
      </c>
      <c r="F348" s="1" t="s">
        <v>46</v>
      </c>
      <c r="G348" s="2" t="s">
        <v>6</v>
      </c>
      <c r="H348" s="3" t="s">
        <v>88</v>
      </c>
      <c r="I348" s="3" t="s">
        <v>85</v>
      </c>
      <c r="J348" s="3" t="s">
        <v>69</v>
      </c>
      <c r="K348" s="4">
        <v>317.58999999999997</v>
      </c>
      <c r="L348" s="6">
        <v>8.6</v>
      </c>
    </row>
    <row r="349" spans="1:12" x14ac:dyDescent="0.25">
      <c r="A349" s="1">
        <v>348</v>
      </c>
      <c r="B349" s="4">
        <v>2374</v>
      </c>
      <c r="C349" s="5">
        <v>40479</v>
      </c>
      <c r="D349" s="3" t="s">
        <v>86</v>
      </c>
      <c r="E349" s="1" t="s">
        <v>319</v>
      </c>
      <c r="F349" s="1" t="s">
        <v>31</v>
      </c>
      <c r="G349" s="2" t="s">
        <v>1</v>
      </c>
      <c r="H349" s="3" t="s">
        <v>100</v>
      </c>
      <c r="I349" s="3" t="s">
        <v>85</v>
      </c>
      <c r="J349" s="3" t="s">
        <v>69</v>
      </c>
      <c r="K349" s="4">
        <v>78.17</v>
      </c>
      <c r="L349" s="6">
        <v>2.84</v>
      </c>
    </row>
    <row r="350" spans="1:12" x14ac:dyDescent="0.25">
      <c r="A350" s="1">
        <v>349</v>
      </c>
      <c r="B350" s="4">
        <v>2433</v>
      </c>
      <c r="C350" s="5">
        <v>40046</v>
      </c>
      <c r="D350" s="3" t="s">
        <v>86</v>
      </c>
      <c r="E350" s="1" t="s">
        <v>139</v>
      </c>
      <c r="F350" s="1" t="s">
        <v>33</v>
      </c>
      <c r="G350" s="2" t="s">
        <v>2</v>
      </c>
      <c r="H350" s="3" t="s">
        <v>88</v>
      </c>
      <c r="I350" s="3" t="s">
        <v>92</v>
      </c>
      <c r="J350" s="3" t="s">
        <v>67</v>
      </c>
      <c r="K350" s="4">
        <v>24105.87</v>
      </c>
      <c r="L350" s="6">
        <v>2036.48</v>
      </c>
    </row>
    <row r="351" spans="1:12" x14ac:dyDescent="0.25">
      <c r="A351" s="1">
        <v>350</v>
      </c>
      <c r="B351" s="4">
        <v>2436</v>
      </c>
      <c r="C351" s="5">
        <v>40796</v>
      </c>
      <c r="D351" s="3" t="s">
        <v>86</v>
      </c>
      <c r="E351" s="1" t="s">
        <v>320</v>
      </c>
      <c r="F351" s="1" t="s">
        <v>24</v>
      </c>
      <c r="G351" s="2" t="s">
        <v>2</v>
      </c>
      <c r="H351" s="3" t="s">
        <v>88</v>
      </c>
      <c r="I351" s="3" t="s">
        <v>85</v>
      </c>
      <c r="J351" s="3" t="s">
        <v>66</v>
      </c>
      <c r="K351" s="4">
        <v>330.21</v>
      </c>
      <c r="L351" s="6">
        <v>22.84</v>
      </c>
    </row>
    <row r="352" spans="1:12" x14ac:dyDescent="0.25">
      <c r="A352" s="1">
        <v>351</v>
      </c>
      <c r="B352" s="4">
        <v>2438</v>
      </c>
      <c r="C352" s="5">
        <v>40373</v>
      </c>
      <c r="D352" s="3" t="s">
        <v>89</v>
      </c>
      <c r="E352" s="1" t="s">
        <v>321</v>
      </c>
      <c r="F352" s="1" t="s">
        <v>36</v>
      </c>
      <c r="G352" s="2" t="s">
        <v>2</v>
      </c>
      <c r="H352" s="3" t="s">
        <v>88</v>
      </c>
      <c r="I352" s="3" t="s">
        <v>85</v>
      </c>
      <c r="J352" s="3" t="s">
        <v>69</v>
      </c>
      <c r="K352" s="4">
        <v>278.68</v>
      </c>
      <c r="L352" s="6">
        <v>14.48</v>
      </c>
    </row>
    <row r="353" spans="1:12" x14ac:dyDescent="0.25">
      <c r="A353" s="1">
        <v>352</v>
      </c>
      <c r="B353" s="4">
        <v>2438</v>
      </c>
      <c r="C353" s="5">
        <v>40373</v>
      </c>
      <c r="D353" s="3" t="s">
        <v>89</v>
      </c>
      <c r="E353" s="1" t="s">
        <v>321</v>
      </c>
      <c r="F353" s="1" t="s">
        <v>36</v>
      </c>
      <c r="G353" s="2" t="s">
        <v>2</v>
      </c>
      <c r="H353" s="3" t="s">
        <v>88</v>
      </c>
      <c r="I353" s="3" t="s">
        <v>92</v>
      </c>
      <c r="J353" s="3" t="s">
        <v>61</v>
      </c>
      <c r="K353" s="4">
        <v>717.46799999999996</v>
      </c>
      <c r="L353" s="6">
        <v>35.99</v>
      </c>
    </row>
    <row r="354" spans="1:12" x14ac:dyDescent="0.25">
      <c r="A354" s="1">
        <v>353</v>
      </c>
      <c r="B354" s="4">
        <v>2465</v>
      </c>
      <c r="C354" s="5">
        <v>40717</v>
      </c>
      <c r="D354" s="3" t="s">
        <v>95</v>
      </c>
      <c r="E354" s="1" t="s">
        <v>309</v>
      </c>
      <c r="F354" s="1" t="s">
        <v>11</v>
      </c>
      <c r="G354" s="2" t="s">
        <v>6</v>
      </c>
      <c r="H354" s="3" t="s">
        <v>100</v>
      </c>
      <c r="I354" s="3" t="s">
        <v>92</v>
      </c>
      <c r="J354" s="3" t="s">
        <v>62</v>
      </c>
      <c r="K354" s="4">
        <v>1082.45</v>
      </c>
      <c r="L354" s="6">
        <v>39.479999999999997</v>
      </c>
    </row>
    <row r="355" spans="1:12" x14ac:dyDescent="0.25">
      <c r="A355" s="1">
        <v>354</v>
      </c>
      <c r="B355" s="4">
        <v>2466</v>
      </c>
      <c r="C355" s="5">
        <v>39877</v>
      </c>
      <c r="D355" s="3" t="s">
        <v>95</v>
      </c>
      <c r="E355" s="1" t="s">
        <v>322</v>
      </c>
      <c r="F355" s="1" t="s">
        <v>44</v>
      </c>
      <c r="G355" s="2" t="s">
        <v>3</v>
      </c>
      <c r="H355" s="3" t="s">
        <v>97</v>
      </c>
      <c r="I355" s="3" t="s">
        <v>91</v>
      </c>
      <c r="J355" s="3" t="s">
        <v>59</v>
      </c>
      <c r="K355" s="4">
        <v>2553.84</v>
      </c>
      <c r="L355" s="6">
        <v>107.53</v>
      </c>
    </row>
    <row r="356" spans="1:12" x14ac:dyDescent="0.25">
      <c r="A356" s="1">
        <v>355</v>
      </c>
      <c r="B356" s="4">
        <v>2467</v>
      </c>
      <c r="C356" s="5">
        <v>40739</v>
      </c>
      <c r="D356" s="3" t="s">
        <v>86</v>
      </c>
      <c r="E356" s="1" t="s">
        <v>168</v>
      </c>
      <c r="F356" s="1" t="s">
        <v>15</v>
      </c>
      <c r="G356" s="2" t="s">
        <v>1</v>
      </c>
      <c r="H356" s="3" t="s">
        <v>88</v>
      </c>
      <c r="I356" s="3" t="s">
        <v>92</v>
      </c>
      <c r="J356" s="3" t="s">
        <v>67</v>
      </c>
      <c r="K356" s="4">
        <v>4147.47</v>
      </c>
      <c r="L356" s="6">
        <v>145.44999999999999</v>
      </c>
    </row>
    <row r="357" spans="1:12" x14ac:dyDescent="0.25">
      <c r="A357" s="1">
        <v>356</v>
      </c>
      <c r="B357" s="4">
        <v>2497</v>
      </c>
      <c r="C357" s="5">
        <v>41147</v>
      </c>
      <c r="D357" s="3" t="s">
        <v>95</v>
      </c>
      <c r="E357" s="1" t="s">
        <v>323</v>
      </c>
      <c r="F357" s="1" t="s">
        <v>23</v>
      </c>
      <c r="G357" s="2" t="s">
        <v>3</v>
      </c>
      <c r="H357" s="3" t="s">
        <v>88</v>
      </c>
      <c r="I357" s="3" t="s">
        <v>92</v>
      </c>
      <c r="J357" s="3" t="s">
        <v>61</v>
      </c>
      <c r="K357" s="4">
        <v>3629.1174999999998</v>
      </c>
      <c r="L357" s="6">
        <v>205.99</v>
      </c>
    </row>
    <row r="358" spans="1:12" x14ac:dyDescent="0.25">
      <c r="A358" s="1">
        <v>357</v>
      </c>
      <c r="B358" s="4">
        <v>2500</v>
      </c>
      <c r="C358" s="5">
        <v>41135</v>
      </c>
      <c r="D358" s="3" t="s">
        <v>89</v>
      </c>
      <c r="E358" s="1" t="s">
        <v>324</v>
      </c>
      <c r="F358" s="1" t="s">
        <v>24</v>
      </c>
      <c r="G358" s="2" t="s">
        <v>2</v>
      </c>
      <c r="H358" s="3" t="s">
        <v>84</v>
      </c>
      <c r="I358" s="3" t="s">
        <v>85</v>
      </c>
      <c r="J358" s="3" t="s">
        <v>69</v>
      </c>
      <c r="K358" s="4">
        <v>22.56</v>
      </c>
      <c r="L358" s="6">
        <v>3.36</v>
      </c>
    </row>
    <row r="359" spans="1:12" x14ac:dyDescent="0.25">
      <c r="A359" s="1">
        <v>358</v>
      </c>
      <c r="B359" s="4">
        <v>2503</v>
      </c>
      <c r="C359" s="5">
        <v>40348</v>
      </c>
      <c r="D359" s="3" t="s">
        <v>4</v>
      </c>
      <c r="E359" s="1" t="s">
        <v>113</v>
      </c>
      <c r="F359" s="1" t="s">
        <v>12</v>
      </c>
      <c r="G359" s="2" t="s">
        <v>2</v>
      </c>
      <c r="H359" s="3" t="s">
        <v>88</v>
      </c>
      <c r="I359" s="3" t="s">
        <v>85</v>
      </c>
      <c r="J359" s="3" t="s">
        <v>69</v>
      </c>
      <c r="K359" s="4">
        <v>91.15</v>
      </c>
      <c r="L359" s="6">
        <v>4.13</v>
      </c>
    </row>
    <row r="360" spans="1:12" x14ac:dyDescent="0.25">
      <c r="A360" s="1">
        <v>359</v>
      </c>
      <c r="B360" s="4">
        <v>2503</v>
      </c>
      <c r="C360" s="5">
        <v>40348</v>
      </c>
      <c r="D360" s="3" t="s">
        <v>4</v>
      </c>
      <c r="E360" s="1" t="s">
        <v>113</v>
      </c>
      <c r="F360" s="1" t="s">
        <v>12</v>
      </c>
      <c r="G360" s="2" t="s">
        <v>2</v>
      </c>
      <c r="H360" s="3" t="s">
        <v>88</v>
      </c>
      <c r="I360" s="3" t="s">
        <v>85</v>
      </c>
      <c r="J360" s="3" t="s">
        <v>65</v>
      </c>
      <c r="K360" s="4">
        <v>171.48</v>
      </c>
      <c r="L360" s="6">
        <v>4.13</v>
      </c>
    </row>
    <row r="361" spans="1:12" x14ac:dyDescent="0.25">
      <c r="A361" s="1">
        <v>360</v>
      </c>
      <c r="B361" s="4">
        <v>2503</v>
      </c>
      <c r="C361" s="5">
        <v>40348</v>
      </c>
      <c r="D361" s="3" t="s">
        <v>4</v>
      </c>
      <c r="E361" s="1" t="s">
        <v>113</v>
      </c>
      <c r="F361" s="1" t="s">
        <v>12</v>
      </c>
      <c r="G361" s="2" t="s">
        <v>2</v>
      </c>
      <c r="H361" s="3" t="s">
        <v>88</v>
      </c>
      <c r="I361" s="3" t="s">
        <v>92</v>
      </c>
      <c r="J361" s="3" t="s">
        <v>61</v>
      </c>
      <c r="K361" s="4">
        <v>162.15450000000001</v>
      </c>
      <c r="L361" s="6">
        <v>20.99</v>
      </c>
    </row>
    <row r="362" spans="1:12" x14ac:dyDescent="0.25">
      <c r="A362" s="1">
        <v>361</v>
      </c>
      <c r="B362" s="4">
        <v>2530</v>
      </c>
      <c r="C362" s="5">
        <v>39892</v>
      </c>
      <c r="D362" s="3" t="s">
        <v>4</v>
      </c>
      <c r="E362" s="1" t="s">
        <v>309</v>
      </c>
      <c r="F362" s="1" t="s">
        <v>11</v>
      </c>
      <c r="G362" s="2" t="s">
        <v>6</v>
      </c>
      <c r="H362" s="3" t="s">
        <v>88</v>
      </c>
      <c r="I362" s="3" t="s">
        <v>85</v>
      </c>
      <c r="J362" s="3" t="s">
        <v>65</v>
      </c>
      <c r="K362" s="4">
        <v>23.46</v>
      </c>
      <c r="L362" s="6">
        <v>2.61</v>
      </c>
    </row>
    <row r="363" spans="1:12" x14ac:dyDescent="0.25">
      <c r="A363" s="1">
        <v>362</v>
      </c>
      <c r="B363" s="4">
        <v>2532</v>
      </c>
      <c r="C363" s="5">
        <v>40826</v>
      </c>
      <c r="D363" s="3" t="s">
        <v>89</v>
      </c>
      <c r="E363" s="1" t="s">
        <v>325</v>
      </c>
      <c r="F363" s="1" t="s">
        <v>8</v>
      </c>
      <c r="G363" s="2" t="s">
        <v>6</v>
      </c>
      <c r="H363" s="3" t="s">
        <v>88</v>
      </c>
      <c r="I363" s="3" t="s">
        <v>85</v>
      </c>
      <c r="J363" s="3" t="s">
        <v>65</v>
      </c>
      <c r="K363" s="4">
        <v>282.07</v>
      </c>
      <c r="L363" s="6">
        <v>7.31</v>
      </c>
    </row>
    <row r="364" spans="1:12" x14ac:dyDescent="0.25">
      <c r="A364" s="1">
        <v>363</v>
      </c>
      <c r="B364" s="4">
        <v>2532</v>
      </c>
      <c r="C364" s="5">
        <v>40826</v>
      </c>
      <c r="D364" s="3" t="s">
        <v>89</v>
      </c>
      <c r="E364" s="1" t="s">
        <v>325</v>
      </c>
      <c r="F364" s="1" t="s">
        <v>8</v>
      </c>
      <c r="G364" s="2" t="s">
        <v>6</v>
      </c>
      <c r="H364" s="3" t="s">
        <v>88</v>
      </c>
      <c r="I364" s="3" t="s">
        <v>92</v>
      </c>
      <c r="J364" s="3" t="s">
        <v>61</v>
      </c>
      <c r="K364" s="4">
        <v>426.03700000000003</v>
      </c>
      <c r="L364" s="6">
        <v>20.99</v>
      </c>
    </row>
    <row r="365" spans="1:12" x14ac:dyDescent="0.25">
      <c r="A365" s="1">
        <v>364</v>
      </c>
      <c r="B365" s="4">
        <v>2535</v>
      </c>
      <c r="C365" s="5">
        <v>40322</v>
      </c>
      <c r="D365" s="3" t="s">
        <v>82</v>
      </c>
      <c r="E365" s="1" t="s">
        <v>326</v>
      </c>
      <c r="F365" s="1" t="s">
        <v>24</v>
      </c>
      <c r="G365" s="2" t="s">
        <v>2</v>
      </c>
      <c r="H365" s="3" t="s">
        <v>88</v>
      </c>
      <c r="I365" s="3" t="s">
        <v>92</v>
      </c>
      <c r="J365" s="3" t="s">
        <v>62</v>
      </c>
      <c r="K365" s="4">
        <v>82.72</v>
      </c>
      <c r="L365" s="6">
        <v>14.48</v>
      </c>
    </row>
    <row r="366" spans="1:12" x14ac:dyDescent="0.25">
      <c r="A366" s="1">
        <v>365</v>
      </c>
      <c r="B366" s="4">
        <v>2560</v>
      </c>
      <c r="C366" s="5">
        <v>41156</v>
      </c>
      <c r="D366" s="3" t="s">
        <v>95</v>
      </c>
      <c r="E366" s="1" t="s">
        <v>245</v>
      </c>
      <c r="F366" s="1" t="s">
        <v>34</v>
      </c>
      <c r="G366" s="2" t="s">
        <v>1</v>
      </c>
      <c r="H366" s="3" t="s">
        <v>97</v>
      </c>
      <c r="I366" s="3" t="s">
        <v>92</v>
      </c>
      <c r="J366" s="3" t="s">
        <v>62</v>
      </c>
      <c r="K366" s="4">
        <v>731.22</v>
      </c>
      <c r="L366" s="6">
        <v>20.97</v>
      </c>
    </row>
    <row r="367" spans="1:12" x14ac:dyDescent="0.25">
      <c r="A367" s="1">
        <v>366</v>
      </c>
      <c r="B367" s="4">
        <v>2560</v>
      </c>
      <c r="C367" s="5">
        <v>41156</v>
      </c>
      <c r="D367" s="3" t="s">
        <v>95</v>
      </c>
      <c r="E367" s="1" t="s">
        <v>245</v>
      </c>
      <c r="F367" s="1" t="s">
        <v>34</v>
      </c>
      <c r="G367" s="2" t="s">
        <v>1</v>
      </c>
      <c r="H367" s="3" t="s">
        <v>97</v>
      </c>
      <c r="I367" s="3" t="s">
        <v>85</v>
      </c>
      <c r="J367" s="3" t="s">
        <v>66</v>
      </c>
      <c r="K367" s="4">
        <v>114.14</v>
      </c>
      <c r="L367" s="6">
        <v>4.9800000000000004</v>
      </c>
    </row>
    <row r="368" spans="1:12" x14ac:dyDescent="0.25">
      <c r="A368" s="1">
        <v>367</v>
      </c>
      <c r="B368" s="4">
        <v>2562</v>
      </c>
      <c r="C368" s="5">
        <v>41121</v>
      </c>
      <c r="D368" s="3" t="s">
        <v>95</v>
      </c>
      <c r="E368" s="1" t="s">
        <v>327</v>
      </c>
      <c r="F368" s="1" t="s">
        <v>17</v>
      </c>
      <c r="G368" s="2" t="s">
        <v>2</v>
      </c>
      <c r="H368" s="3" t="s">
        <v>100</v>
      </c>
      <c r="I368" s="3" t="s">
        <v>92</v>
      </c>
      <c r="J368" s="3" t="s">
        <v>62</v>
      </c>
      <c r="K368" s="4">
        <v>64.819999999999993</v>
      </c>
      <c r="L368" s="6">
        <v>2.12</v>
      </c>
    </row>
    <row r="369" spans="1:12" x14ac:dyDescent="0.25">
      <c r="A369" s="1">
        <v>368</v>
      </c>
      <c r="B369" s="4">
        <v>2562</v>
      </c>
      <c r="C369" s="5">
        <v>41121</v>
      </c>
      <c r="D369" s="3" t="s">
        <v>95</v>
      </c>
      <c r="E369" s="1" t="s">
        <v>327</v>
      </c>
      <c r="F369" s="1" t="s">
        <v>17</v>
      </c>
      <c r="G369" s="2" t="s">
        <v>2</v>
      </c>
      <c r="H369" s="3" t="s">
        <v>100</v>
      </c>
      <c r="I369" s="3" t="s">
        <v>85</v>
      </c>
      <c r="J369" s="3" t="s">
        <v>66</v>
      </c>
      <c r="K369" s="4">
        <v>77.599999999999994</v>
      </c>
      <c r="L369" s="6">
        <v>11.34</v>
      </c>
    </row>
    <row r="370" spans="1:12" x14ac:dyDescent="0.25">
      <c r="A370" s="1">
        <v>369</v>
      </c>
      <c r="B370" s="4">
        <v>2562</v>
      </c>
      <c r="C370" s="5">
        <v>41121</v>
      </c>
      <c r="D370" s="3" t="s">
        <v>95</v>
      </c>
      <c r="E370" s="1" t="s">
        <v>327</v>
      </c>
      <c r="F370" s="1" t="s">
        <v>17</v>
      </c>
      <c r="G370" s="2" t="s">
        <v>2</v>
      </c>
      <c r="H370" s="3" t="s">
        <v>100</v>
      </c>
      <c r="I370" s="3" t="s">
        <v>85</v>
      </c>
      <c r="J370" s="3" t="s">
        <v>66</v>
      </c>
      <c r="K370" s="4">
        <v>821.18</v>
      </c>
      <c r="L370" s="6">
        <v>48.91</v>
      </c>
    </row>
    <row r="371" spans="1:12" x14ac:dyDescent="0.25">
      <c r="A371" s="1">
        <v>370</v>
      </c>
      <c r="B371" s="4">
        <v>2563</v>
      </c>
      <c r="C371" s="5">
        <v>40500</v>
      </c>
      <c r="D371" s="3" t="s">
        <v>86</v>
      </c>
      <c r="E371" s="1" t="s">
        <v>328</v>
      </c>
      <c r="F371" s="1" t="s">
        <v>52</v>
      </c>
      <c r="G371" s="2" t="s">
        <v>3</v>
      </c>
      <c r="H371" s="3" t="s">
        <v>84</v>
      </c>
      <c r="I371" s="3" t="s">
        <v>85</v>
      </c>
      <c r="J371" s="3" t="s">
        <v>65</v>
      </c>
      <c r="K371" s="4">
        <v>31.77</v>
      </c>
      <c r="L371" s="6">
        <v>2.61</v>
      </c>
    </row>
    <row r="372" spans="1:12" x14ac:dyDescent="0.25">
      <c r="A372" s="1">
        <v>371</v>
      </c>
      <c r="B372" s="4">
        <v>2563</v>
      </c>
      <c r="C372" s="5">
        <v>40500</v>
      </c>
      <c r="D372" s="3" t="s">
        <v>86</v>
      </c>
      <c r="E372" s="1" t="s">
        <v>328</v>
      </c>
      <c r="F372" s="1" t="s">
        <v>52</v>
      </c>
      <c r="G372" s="2" t="s">
        <v>3</v>
      </c>
      <c r="H372" s="3" t="s">
        <v>84</v>
      </c>
      <c r="I372" s="3" t="s">
        <v>85</v>
      </c>
      <c r="J372" s="3" t="s">
        <v>63</v>
      </c>
      <c r="K372" s="4">
        <v>208.05</v>
      </c>
      <c r="L372" s="6">
        <v>5.98</v>
      </c>
    </row>
    <row r="373" spans="1:12" x14ac:dyDescent="0.25">
      <c r="A373" s="1">
        <v>372</v>
      </c>
      <c r="B373" s="4">
        <v>2593</v>
      </c>
      <c r="C373" s="5">
        <v>40424</v>
      </c>
      <c r="D373" s="3" t="s">
        <v>89</v>
      </c>
      <c r="E373" s="1" t="s">
        <v>329</v>
      </c>
      <c r="F373" s="1" t="s">
        <v>26</v>
      </c>
      <c r="G373" s="2" t="s">
        <v>3</v>
      </c>
      <c r="H373" s="3" t="s">
        <v>88</v>
      </c>
      <c r="I373" s="3" t="s">
        <v>85</v>
      </c>
      <c r="J373" s="3" t="s">
        <v>69</v>
      </c>
      <c r="K373" s="4">
        <v>2004.12</v>
      </c>
      <c r="L373" s="6">
        <v>420.98</v>
      </c>
    </row>
    <row r="374" spans="1:12" x14ac:dyDescent="0.25">
      <c r="A374" s="1">
        <v>373</v>
      </c>
      <c r="B374" s="4">
        <v>2593</v>
      </c>
      <c r="C374" s="5">
        <v>40424</v>
      </c>
      <c r="D374" s="3" t="s">
        <v>89</v>
      </c>
      <c r="E374" s="1" t="s">
        <v>329</v>
      </c>
      <c r="F374" s="1" t="s">
        <v>26</v>
      </c>
      <c r="G374" s="2" t="s">
        <v>3</v>
      </c>
      <c r="H374" s="3" t="s">
        <v>88</v>
      </c>
      <c r="I374" s="3" t="s">
        <v>91</v>
      </c>
      <c r="J374" s="3" t="s">
        <v>72</v>
      </c>
      <c r="K374" s="4">
        <v>3841.72</v>
      </c>
      <c r="L374" s="6">
        <v>243.98</v>
      </c>
    </row>
    <row r="375" spans="1:12" x14ac:dyDescent="0.25">
      <c r="A375" s="1">
        <v>374</v>
      </c>
      <c r="B375" s="4">
        <v>2595</v>
      </c>
      <c r="C375" s="5">
        <v>40890</v>
      </c>
      <c r="D375" s="3" t="s">
        <v>86</v>
      </c>
      <c r="E375" s="1" t="s">
        <v>330</v>
      </c>
      <c r="F375" s="1" t="s">
        <v>36</v>
      </c>
      <c r="G375" s="2" t="s">
        <v>2</v>
      </c>
      <c r="H375" s="3" t="s">
        <v>88</v>
      </c>
      <c r="I375" s="3" t="s">
        <v>91</v>
      </c>
      <c r="J375" s="3" t="s">
        <v>68</v>
      </c>
      <c r="K375" s="4">
        <v>11764.25</v>
      </c>
      <c r="L375" s="6">
        <v>880.98</v>
      </c>
    </row>
    <row r="376" spans="1:12" x14ac:dyDescent="0.25">
      <c r="A376" s="1">
        <v>375</v>
      </c>
      <c r="B376" s="4">
        <v>2595</v>
      </c>
      <c r="C376" s="5">
        <v>40890</v>
      </c>
      <c r="D376" s="3" t="s">
        <v>86</v>
      </c>
      <c r="E376" s="1" t="s">
        <v>330</v>
      </c>
      <c r="F376" s="1" t="s">
        <v>36</v>
      </c>
      <c r="G376" s="2" t="s">
        <v>2</v>
      </c>
      <c r="H376" s="3" t="s">
        <v>88</v>
      </c>
      <c r="I376" s="3" t="s">
        <v>91</v>
      </c>
      <c r="J376" s="3" t="s">
        <v>59</v>
      </c>
      <c r="K376" s="4">
        <v>25.17</v>
      </c>
      <c r="L376" s="6">
        <v>5.47</v>
      </c>
    </row>
    <row r="377" spans="1:12" x14ac:dyDescent="0.25">
      <c r="A377" s="1">
        <v>376</v>
      </c>
      <c r="B377" s="4">
        <v>2595</v>
      </c>
      <c r="C377" s="5">
        <v>40890</v>
      </c>
      <c r="D377" s="3" t="s">
        <v>86</v>
      </c>
      <c r="E377" s="1" t="s">
        <v>331</v>
      </c>
      <c r="F377" s="1" t="s">
        <v>36</v>
      </c>
      <c r="G377" s="2" t="s">
        <v>2</v>
      </c>
      <c r="H377" s="3" t="s">
        <v>88</v>
      </c>
      <c r="I377" s="3" t="s">
        <v>85</v>
      </c>
      <c r="J377" s="3" t="s">
        <v>66</v>
      </c>
      <c r="K377" s="4">
        <v>208.47</v>
      </c>
      <c r="L377" s="6">
        <v>6.48</v>
      </c>
    </row>
    <row r="378" spans="1:12" x14ac:dyDescent="0.25">
      <c r="A378" s="1">
        <v>377</v>
      </c>
      <c r="B378" s="4">
        <v>2626</v>
      </c>
      <c r="C378" s="5">
        <v>40793</v>
      </c>
      <c r="D378" s="3" t="s">
        <v>86</v>
      </c>
      <c r="E378" s="1" t="s">
        <v>217</v>
      </c>
      <c r="F378" s="1" t="s">
        <v>46</v>
      </c>
      <c r="G378" s="2" t="s">
        <v>6</v>
      </c>
      <c r="H378" s="3" t="s">
        <v>84</v>
      </c>
      <c r="I378" s="3" t="s">
        <v>85</v>
      </c>
      <c r="J378" s="3" t="s">
        <v>65</v>
      </c>
      <c r="K378" s="4">
        <v>48.37</v>
      </c>
      <c r="L378" s="6">
        <v>2.88</v>
      </c>
    </row>
    <row r="379" spans="1:12" x14ac:dyDescent="0.25">
      <c r="A379" s="1">
        <v>378</v>
      </c>
      <c r="B379" s="4">
        <v>2628</v>
      </c>
      <c r="C379" s="5">
        <v>40472</v>
      </c>
      <c r="D379" s="3" t="s">
        <v>82</v>
      </c>
      <c r="E379" s="1" t="s">
        <v>332</v>
      </c>
      <c r="F379" s="1" t="s">
        <v>13</v>
      </c>
      <c r="G379" s="2" t="s">
        <v>6</v>
      </c>
      <c r="H379" s="3" t="s">
        <v>100</v>
      </c>
      <c r="I379" s="3" t="s">
        <v>85</v>
      </c>
      <c r="J379" s="3" t="s">
        <v>58</v>
      </c>
      <c r="K379" s="4">
        <v>34.590000000000003</v>
      </c>
      <c r="L379" s="6">
        <v>2.1800000000000002</v>
      </c>
    </row>
    <row r="380" spans="1:12" x14ac:dyDescent="0.25">
      <c r="A380" s="1">
        <v>379</v>
      </c>
      <c r="B380" s="4">
        <v>2628</v>
      </c>
      <c r="C380" s="5">
        <v>40472</v>
      </c>
      <c r="D380" s="3" t="s">
        <v>82</v>
      </c>
      <c r="E380" s="1" t="s">
        <v>332</v>
      </c>
      <c r="F380" s="1" t="s">
        <v>13</v>
      </c>
      <c r="G380" s="2" t="s">
        <v>6</v>
      </c>
      <c r="H380" s="3" t="s">
        <v>100</v>
      </c>
      <c r="I380" s="3" t="s">
        <v>91</v>
      </c>
      <c r="J380" s="3" t="s">
        <v>60</v>
      </c>
      <c r="K380" s="4">
        <v>5029.2160000000003</v>
      </c>
      <c r="L380" s="6">
        <v>218.75</v>
      </c>
    </row>
    <row r="381" spans="1:12" x14ac:dyDescent="0.25">
      <c r="A381" s="1">
        <v>380</v>
      </c>
      <c r="B381" s="4">
        <v>2630</v>
      </c>
      <c r="C381" s="5">
        <v>41205</v>
      </c>
      <c r="D381" s="3" t="s">
        <v>82</v>
      </c>
      <c r="E381" s="1" t="s">
        <v>333</v>
      </c>
      <c r="F381" s="1" t="s">
        <v>23</v>
      </c>
      <c r="G381" s="2" t="s">
        <v>3</v>
      </c>
      <c r="H381" s="3" t="s">
        <v>88</v>
      </c>
      <c r="I381" s="3" t="s">
        <v>85</v>
      </c>
      <c r="J381" s="3" t="s">
        <v>66</v>
      </c>
      <c r="K381" s="4">
        <v>146.51</v>
      </c>
      <c r="L381" s="6">
        <v>4.7300000000000004</v>
      </c>
    </row>
    <row r="382" spans="1:12" x14ac:dyDescent="0.25">
      <c r="A382" s="1">
        <v>381</v>
      </c>
      <c r="B382" s="4">
        <v>2631</v>
      </c>
      <c r="C382" s="5">
        <v>40444</v>
      </c>
      <c r="D382" s="3" t="s">
        <v>82</v>
      </c>
      <c r="E382" s="1" t="s">
        <v>334</v>
      </c>
      <c r="F382" s="1" t="s">
        <v>8</v>
      </c>
      <c r="G382" s="2" t="s">
        <v>6</v>
      </c>
      <c r="H382" s="3" t="s">
        <v>88</v>
      </c>
      <c r="I382" s="3" t="s">
        <v>92</v>
      </c>
      <c r="J382" s="3" t="s">
        <v>62</v>
      </c>
      <c r="K382" s="4">
        <v>1078.49</v>
      </c>
      <c r="L382" s="6">
        <v>40.96</v>
      </c>
    </row>
    <row r="383" spans="1:12" x14ac:dyDescent="0.25">
      <c r="A383" s="1">
        <v>382</v>
      </c>
      <c r="B383" s="4">
        <v>2656</v>
      </c>
      <c r="C383" s="5">
        <v>40301</v>
      </c>
      <c r="D383" s="3" t="s">
        <v>95</v>
      </c>
      <c r="E383" s="1" t="s">
        <v>335</v>
      </c>
      <c r="F383" s="1" t="s">
        <v>25</v>
      </c>
      <c r="G383" s="2" t="s">
        <v>6</v>
      </c>
      <c r="H383" s="3" t="s">
        <v>100</v>
      </c>
      <c r="I383" s="3" t="s">
        <v>91</v>
      </c>
      <c r="J383" s="3" t="s">
        <v>60</v>
      </c>
      <c r="K383" s="4">
        <v>523.11</v>
      </c>
      <c r="L383" s="6">
        <v>159.31</v>
      </c>
    </row>
    <row r="384" spans="1:12" x14ac:dyDescent="0.25">
      <c r="A384" s="1">
        <v>383</v>
      </c>
      <c r="B384" s="4">
        <v>2656</v>
      </c>
      <c r="C384" s="5">
        <v>40301</v>
      </c>
      <c r="D384" s="3" t="s">
        <v>95</v>
      </c>
      <c r="E384" s="1" t="s">
        <v>335</v>
      </c>
      <c r="F384" s="1" t="s">
        <v>25</v>
      </c>
      <c r="G384" s="2" t="s">
        <v>6</v>
      </c>
      <c r="H384" s="3" t="s">
        <v>100</v>
      </c>
      <c r="I384" s="3" t="s">
        <v>92</v>
      </c>
      <c r="J384" s="3" t="s">
        <v>61</v>
      </c>
      <c r="K384" s="4">
        <v>913.41</v>
      </c>
      <c r="L384" s="6">
        <v>35.99</v>
      </c>
    </row>
    <row r="385" spans="1:12" x14ac:dyDescent="0.25">
      <c r="A385" s="1">
        <v>384</v>
      </c>
      <c r="B385" s="4">
        <v>2657</v>
      </c>
      <c r="C385" s="5">
        <v>40832</v>
      </c>
      <c r="D385" s="3" t="s">
        <v>89</v>
      </c>
      <c r="E385" s="1" t="s">
        <v>336</v>
      </c>
      <c r="F385" s="1" t="s">
        <v>23</v>
      </c>
      <c r="G385" s="2" t="s">
        <v>3</v>
      </c>
      <c r="H385" s="3" t="s">
        <v>97</v>
      </c>
      <c r="I385" s="3" t="s">
        <v>85</v>
      </c>
      <c r="J385" s="3" t="s">
        <v>70</v>
      </c>
      <c r="K385" s="4">
        <v>8316.76</v>
      </c>
      <c r="L385" s="6">
        <v>279.81</v>
      </c>
    </row>
    <row r="386" spans="1:12" x14ac:dyDescent="0.25">
      <c r="A386" s="1">
        <v>385</v>
      </c>
      <c r="B386" s="4">
        <v>2657</v>
      </c>
      <c r="C386" s="5">
        <v>40832</v>
      </c>
      <c r="D386" s="3" t="s">
        <v>89</v>
      </c>
      <c r="E386" s="1" t="s">
        <v>336</v>
      </c>
      <c r="F386" s="1" t="s">
        <v>23</v>
      </c>
      <c r="G386" s="2" t="s">
        <v>3</v>
      </c>
      <c r="H386" s="3" t="s">
        <v>97</v>
      </c>
      <c r="I386" s="3" t="s">
        <v>92</v>
      </c>
      <c r="J386" s="3" t="s">
        <v>61</v>
      </c>
      <c r="K386" s="4">
        <v>2143.2154999999998</v>
      </c>
      <c r="L386" s="6">
        <v>65.989999999999995</v>
      </c>
    </row>
    <row r="387" spans="1:12" x14ac:dyDescent="0.25">
      <c r="A387" s="1">
        <v>386</v>
      </c>
      <c r="B387" s="4">
        <v>2658</v>
      </c>
      <c r="C387" s="5">
        <v>40808</v>
      </c>
      <c r="D387" s="3" t="s">
        <v>4</v>
      </c>
      <c r="E387" s="1" t="s">
        <v>337</v>
      </c>
      <c r="F387" s="1" t="s">
        <v>24</v>
      </c>
      <c r="G387" s="2" t="s">
        <v>2</v>
      </c>
      <c r="H387" s="3" t="s">
        <v>84</v>
      </c>
      <c r="I387" s="3" t="s">
        <v>85</v>
      </c>
      <c r="J387" s="3" t="s">
        <v>66</v>
      </c>
      <c r="K387" s="4">
        <v>229.51</v>
      </c>
      <c r="L387" s="6">
        <v>6.48</v>
      </c>
    </row>
    <row r="388" spans="1:12" x14ac:dyDescent="0.25">
      <c r="A388" s="1">
        <v>387</v>
      </c>
      <c r="B388" s="4">
        <v>2658</v>
      </c>
      <c r="C388" s="5">
        <v>40808</v>
      </c>
      <c r="D388" s="3" t="s">
        <v>4</v>
      </c>
      <c r="E388" s="1" t="s">
        <v>337</v>
      </c>
      <c r="F388" s="1" t="s">
        <v>24</v>
      </c>
      <c r="G388" s="2" t="s">
        <v>2</v>
      </c>
      <c r="H388" s="3" t="s">
        <v>84</v>
      </c>
      <c r="I388" s="3" t="s">
        <v>85</v>
      </c>
      <c r="J388" s="3" t="s">
        <v>57</v>
      </c>
      <c r="K388" s="4">
        <v>473</v>
      </c>
      <c r="L388" s="6">
        <v>15.42</v>
      </c>
    </row>
    <row r="389" spans="1:12" x14ac:dyDescent="0.25">
      <c r="A389" s="1">
        <v>388</v>
      </c>
      <c r="B389" s="4">
        <v>2659</v>
      </c>
      <c r="C389" s="5">
        <v>40529</v>
      </c>
      <c r="D389" s="3" t="s">
        <v>86</v>
      </c>
      <c r="E389" s="1" t="s">
        <v>180</v>
      </c>
      <c r="F389" s="1" t="s">
        <v>33</v>
      </c>
      <c r="G389" s="2" t="s">
        <v>2</v>
      </c>
      <c r="H389" s="3" t="s">
        <v>88</v>
      </c>
      <c r="I389" s="3" t="s">
        <v>85</v>
      </c>
      <c r="J389" s="3" t="s">
        <v>66</v>
      </c>
      <c r="K389" s="4">
        <v>881.65</v>
      </c>
      <c r="L389" s="6">
        <v>18.97</v>
      </c>
    </row>
    <row r="390" spans="1:12" x14ac:dyDescent="0.25">
      <c r="A390" s="1">
        <v>389</v>
      </c>
      <c r="B390" s="4">
        <v>2688</v>
      </c>
      <c r="C390" s="5">
        <v>40931</v>
      </c>
      <c r="D390" s="3" t="s">
        <v>89</v>
      </c>
      <c r="E390" s="1" t="s">
        <v>176</v>
      </c>
      <c r="F390" s="1" t="s">
        <v>23</v>
      </c>
      <c r="G390" s="2" t="s">
        <v>3</v>
      </c>
      <c r="H390" s="3" t="s">
        <v>84</v>
      </c>
      <c r="I390" s="3" t="s">
        <v>92</v>
      </c>
      <c r="J390" s="3" t="s">
        <v>61</v>
      </c>
      <c r="K390" s="4">
        <v>2080.0349999999999</v>
      </c>
      <c r="L390" s="6">
        <v>85.99</v>
      </c>
    </row>
    <row r="391" spans="1:12" x14ac:dyDescent="0.25">
      <c r="A391" s="1">
        <v>390</v>
      </c>
      <c r="B391" s="4">
        <v>2688</v>
      </c>
      <c r="C391" s="5">
        <v>40931</v>
      </c>
      <c r="D391" s="3" t="s">
        <v>89</v>
      </c>
      <c r="E391" s="1" t="s">
        <v>338</v>
      </c>
      <c r="F391" s="1" t="s">
        <v>23</v>
      </c>
      <c r="G391" s="2" t="s">
        <v>3</v>
      </c>
      <c r="H391" s="3" t="s">
        <v>84</v>
      </c>
      <c r="I391" s="3" t="s">
        <v>92</v>
      </c>
      <c r="J391" s="3" t="s">
        <v>62</v>
      </c>
      <c r="K391" s="4">
        <v>145.41999999999999</v>
      </c>
      <c r="L391" s="6">
        <v>20.97</v>
      </c>
    </row>
    <row r="392" spans="1:12" x14ac:dyDescent="0.25">
      <c r="A392" s="1">
        <v>391</v>
      </c>
      <c r="B392" s="4">
        <v>2688</v>
      </c>
      <c r="C392" s="5">
        <v>40931</v>
      </c>
      <c r="D392" s="3" t="s">
        <v>89</v>
      </c>
      <c r="E392" s="1" t="s">
        <v>338</v>
      </c>
      <c r="F392" s="1" t="s">
        <v>23</v>
      </c>
      <c r="G392" s="2" t="s">
        <v>3</v>
      </c>
      <c r="H392" s="3" t="s">
        <v>84</v>
      </c>
      <c r="I392" s="3" t="s">
        <v>92</v>
      </c>
      <c r="J392" s="3" t="s">
        <v>61</v>
      </c>
      <c r="K392" s="4">
        <v>1559.4355</v>
      </c>
      <c r="L392" s="6">
        <v>155.99</v>
      </c>
    </row>
    <row r="393" spans="1:12" x14ac:dyDescent="0.25">
      <c r="A393" s="1">
        <v>392</v>
      </c>
      <c r="B393" s="4">
        <v>2691</v>
      </c>
      <c r="C393" s="5">
        <v>41028</v>
      </c>
      <c r="D393" s="3" t="s">
        <v>82</v>
      </c>
      <c r="E393" s="1" t="s">
        <v>247</v>
      </c>
      <c r="F393" s="1" t="s">
        <v>13</v>
      </c>
      <c r="G393" s="2" t="s">
        <v>6</v>
      </c>
      <c r="H393" s="3" t="s">
        <v>88</v>
      </c>
      <c r="I393" s="3" t="s">
        <v>91</v>
      </c>
      <c r="J393" s="3" t="s">
        <v>68</v>
      </c>
      <c r="K393" s="4">
        <v>3363.14</v>
      </c>
      <c r="L393" s="6">
        <v>260.98</v>
      </c>
    </row>
    <row r="394" spans="1:12" x14ac:dyDescent="0.25">
      <c r="A394" s="1">
        <v>393</v>
      </c>
      <c r="B394" s="4">
        <v>2720</v>
      </c>
      <c r="C394" s="5">
        <v>40336</v>
      </c>
      <c r="D394" s="3" t="s">
        <v>95</v>
      </c>
      <c r="E394" s="1" t="s">
        <v>339</v>
      </c>
      <c r="F394" s="1" t="s">
        <v>30</v>
      </c>
      <c r="G394" s="2" t="s">
        <v>6</v>
      </c>
      <c r="H394" s="3" t="s">
        <v>84</v>
      </c>
      <c r="I394" s="3" t="s">
        <v>92</v>
      </c>
      <c r="J394" s="3" t="s">
        <v>61</v>
      </c>
      <c r="K394" s="4">
        <v>2051.0160000000001</v>
      </c>
      <c r="L394" s="6">
        <v>65.989999999999995</v>
      </c>
    </row>
    <row r="395" spans="1:12" x14ac:dyDescent="0.25">
      <c r="A395" s="1">
        <v>394</v>
      </c>
      <c r="B395" s="4">
        <v>2722</v>
      </c>
      <c r="C395" s="5">
        <v>39911</v>
      </c>
      <c r="D395" s="3" t="s">
        <v>82</v>
      </c>
      <c r="E395" s="1" t="s">
        <v>340</v>
      </c>
      <c r="F395" s="1" t="s">
        <v>39</v>
      </c>
      <c r="G395" s="2" t="s">
        <v>1</v>
      </c>
      <c r="H395" s="3" t="s">
        <v>100</v>
      </c>
      <c r="I395" s="3" t="s">
        <v>92</v>
      </c>
      <c r="J395" s="3" t="s">
        <v>62</v>
      </c>
      <c r="K395" s="4">
        <v>1895.55</v>
      </c>
      <c r="L395" s="6">
        <v>40.97</v>
      </c>
    </row>
    <row r="396" spans="1:12" x14ac:dyDescent="0.25">
      <c r="A396" s="1">
        <v>395</v>
      </c>
      <c r="B396" s="4">
        <v>2725</v>
      </c>
      <c r="C396" s="5">
        <v>39953</v>
      </c>
      <c r="D396" s="3" t="s">
        <v>86</v>
      </c>
      <c r="E396" s="1" t="s">
        <v>253</v>
      </c>
      <c r="F396" s="1" t="s">
        <v>24</v>
      </c>
      <c r="G396" s="2" t="s">
        <v>2</v>
      </c>
      <c r="H396" s="3" t="s">
        <v>84</v>
      </c>
      <c r="I396" s="3" t="s">
        <v>92</v>
      </c>
      <c r="J396" s="3" t="s">
        <v>61</v>
      </c>
      <c r="K396" s="4">
        <v>2178.431</v>
      </c>
      <c r="L396" s="6">
        <v>65.989999999999995</v>
      </c>
    </row>
    <row r="397" spans="1:12" x14ac:dyDescent="0.25">
      <c r="A397" s="1">
        <v>396</v>
      </c>
      <c r="B397" s="4">
        <v>2752</v>
      </c>
      <c r="C397" s="5">
        <v>40500</v>
      </c>
      <c r="D397" s="3" t="s">
        <v>89</v>
      </c>
      <c r="E397" s="1" t="s">
        <v>298</v>
      </c>
      <c r="F397" s="1" t="s">
        <v>22</v>
      </c>
      <c r="G397" s="2" t="s">
        <v>6</v>
      </c>
      <c r="H397" s="3" t="s">
        <v>84</v>
      </c>
      <c r="I397" s="3" t="s">
        <v>92</v>
      </c>
      <c r="J397" s="3" t="s">
        <v>62</v>
      </c>
      <c r="K397" s="4">
        <v>695.47</v>
      </c>
      <c r="L397" s="6">
        <v>22.98</v>
      </c>
    </row>
    <row r="398" spans="1:12" x14ac:dyDescent="0.25">
      <c r="A398" s="1">
        <v>397</v>
      </c>
      <c r="B398" s="4">
        <v>2752</v>
      </c>
      <c r="C398" s="5">
        <v>40500</v>
      </c>
      <c r="D398" s="3" t="s">
        <v>89</v>
      </c>
      <c r="E398" s="1" t="s">
        <v>298</v>
      </c>
      <c r="F398" s="1" t="s">
        <v>22</v>
      </c>
      <c r="G398" s="2" t="s">
        <v>6</v>
      </c>
      <c r="H398" s="3" t="s">
        <v>84</v>
      </c>
      <c r="I398" s="3" t="s">
        <v>85</v>
      </c>
      <c r="J398" s="3" t="s">
        <v>64</v>
      </c>
      <c r="K398" s="4">
        <v>152.59</v>
      </c>
      <c r="L398" s="6">
        <v>3.78</v>
      </c>
    </row>
    <row r="399" spans="1:12" x14ac:dyDescent="0.25">
      <c r="A399" s="1">
        <v>398</v>
      </c>
      <c r="B399" s="4">
        <v>2752</v>
      </c>
      <c r="C399" s="5">
        <v>40500</v>
      </c>
      <c r="D399" s="3" t="s">
        <v>89</v>
      </c>
      <c r="E399" s="1" t="s">
        <v>298</v>
      </c>
      <c r="F399" s="1" t="s">
        <v>22</v>
      </c>
      <c r="G399" s="2" t="s">
        <v>6</v>
      </c>
      <c r="H399" s="3" t="s">
        <v>84</v>
      </c>
      <c r="I399" s="3" t="s">
        <v>85</v>
      </c>
      <c r="J399" s="3" t="s">
        <v>57</v>
      </c>
      <c r="K399" s="4">
        <v>365.62</v>
      </c>
      <c r="L399" s="6">
        <v>34.76</v>
      </c>
    </row>
    <row r="400" spans="1:12" x14ac:dyDescent="0.25">
      <c r="A400" s="1">
        <v>399</v>
      </c>
      <c r="B400" s="4">
        <v>2752</v>
      </c>
      <c r="C400" s="5">
        <v>40500</v>
      </c>
      <c r="D400" s="3" t="s">
        <v>89</v>
      </c>
      <c r="E400" s="1" t="s">
        <v>298</v>
      </c>
      <c r="F400" s="1" t="s">
        <v>22</v>
      </c>
      <c r="G400" s="2" t="s">
        <v>6</v>
      </c>
      <c r="H400" s="3" t="s">
        <v>84</v>
      </c>
      <c r="I400" s="3" t="s">
        <v>92</v>
      </c>
      <c r="J400" s="3" t="s">
        <v>61</v>
      </c>
      <c r="K400" s="4">
        <v>575.56899999999996</v>
      </c>
      <c r="L400" s="6">
        <v>65.989999999999995</v>
      </c>
    </row>
    <row r="401" spans="1:12" x14ac:dyDescent="0.25">
      <c r="A401" s="1">
        <v>400</v>
      </c>
      <c r="B401" s="4">
        <v>2754</v>
      </c>
      <c r="C401" s="5">
        <v>39905</v>
      </c>
      <c r="D401" s="3" t="s">
        <v>89</v>
      </c>
      <c r="E401" s="1" t="s">
        <v>330</v>
      </c>
      <c r="F401" s="1" t="s">
        <v>34</v>
      </c>
      <c r="G401" s="2" t="s">
        <v>1</v>
      </c>
      <c r="H401" s="3" t="s">
        <v>97</v>
      </c>
      <c r="I401" s="3" t="s">
        <v>85</v>
      </c>
      <c r="J401" s="3" t="s">
        <v>70</v>
      </c>
      <c r="K401" s="4">
        <v>1427.67</v>
      </c>
      <c r="L401" s="6">
        <v>90.24</v>
      </c>
    </row>
    <row r="402" spans="1:12" x14ac:dyDescent="0.25">
      <c r="A402" s="1">
        <v>401</v>
      </c>
      <c r="B402" s="4">
        <v>2754</v>
      </c>
      <c r="C402" s="5">
        <v>39905</v>
      </c>
      <c r="D402" s="3" t="s">
        <v>89</v>
      </c>
      <c r="E402" s="1" t="s">
        <v>330</v>
      </c>
      <c r="F402" s="1" t="s">
        <v>34</v>
      </c>
      <c r="G402" s="2" t="s">
        <v>1</v>
      </c>
      <c r="H402" s="3" t="s">
        <v>97</v>
      </c>
      <c r="I402" s="3" t="s">
        <v>85</v>
      </c>
      <c r="J402" s="3" t="s">
        <v>66</v>
      </c>
      <c r="K402" s="4">
        <v>499.26</v>
      </c>
      <c r="L402" s="6">
        <v>47.9</v>
      </c>
    </row>
    <row r="403" spans="1:12" x14ac:dyDescent="0.25">
      <c r="A403" s="1">
        <v>402</v>
      </c>
      <c r="B403" s="4">
        <v>2755</v>
      </c>
      <c r="C403" s="5">
        <v>40945</v>
      </c>
      <c r="D403" s="3" t="s">
        <v>86</v>
      </c>
      <c r="E403" s="1" t="s">
        <v>341</v>
      </c>
      <c r="F403" s="1" t="s">
        <v>34</v>
      </c>
      <c r="G403" s="2" t="s">
        <v>1</v>
      </c>
      <c r="H403" s="3" t="s">
        <v>88</v>
      </c>
      <c r="I403" s="3" t="s">
        <v>85</v>
      </c>
      <c r="J403" s="3" t="s">
        <v>69</v>
      </c>
      <c r="K403" s="4">
        <v>736.3</v>
      </c>
      <c r="L403" s="6">
        <v>24.95</v>
      </c>
    </row>
    <row r="404" spans="1:12" x14ac:dyDescent="0.25">
      <c r="A404" s="1">
        <v>403</v>
      </c>
      <c r="B404" s="4">
        <v>2755</v>
      </c>
      <c r="C404" s="5">
        <v>40945</v>
      </c>
      <c r="D404" s="3" t="s">
        <v>86</v>
      </c>
      <c r="E404" s="1" t="s">
        <v>341</v>
      </c>
      <c r="F404" s="1" t="s">
        <v>34</v>
      </c>
      <c r="G404" s="2" t="s">
        <v>1</v>
      </c>
      <c r="H404" s="3" t="s">
        <v>88</v>
      </c>
      <c r="I404" s="3" t="s">
        <v>85</v>
      </c>
      <c r="J404" s="3" t="s">
        <v>66</v>
      </c>
      <c r="K404" s="4">
        <v>346.06</v>
      </c>
      <c r="L404" s="6">
        <v>6.48</v>
      </c>
    </row>
    <row r="405" spans="1:12" x14ac:dyDescent="0.25">
      <c r="A405" s="1">
        <v>404</v>
      </c>
      <c r="B405" s="4">
        <v>2756</v>
      </c>
      <c r="C405" s="5">
        <v>39920</v>
      </c>
      <c r="D405" s="3" t="s">
        <v>95</v>
      </c>
      <c r="E405" s="1" t="s">
        <v>342</v>
      </c>
      <c r="F405" s="1" t="s">
        <v>24</v>
      </c>
      <c r="G405" s="2" t="s">
        <v>2</v>
      </c>
      <c r="H405" s="3" t="s">
        <v>84</v>
      </c>
      <c r="I405" s="3" t="s">
        <v>92</v>
      </c>
      <c r="J405" s="3" t="s">
        <v>62</v>
      </c>
      <c r="K405" s="4">
        <v>1344.88</v>
      </c>
      <c r="L405" s="6">
        <v>55.94</v>
      </c>
    </row>
    <row r="406" spans="1:12" x14ac:dyDescent="0.25">
      <c r="A406" s="1">
        <v>405</v>
      </c>
      <c r="B406" s="4">
        <v>2756</v>
      </c>
      <c r="C406" s="5">
        <v>39920</v>
      </c>
      <c r="D406" s="3" t="s">
        <v>95</v>
      </c>
      <c r="E406" s="1" t="s">
        <v>342</v>
      </c>
      <c r="F406" s="1" t="s">
        <v>24</v>
      </c>
      <c r="G406" s="2" t="s">
        <v>2</v>
      </c>
      <c r="H406" s="3" t="s">
        <v>84</v>
      </c>
      <c r="I406" s="3" t="s">
        <v>85</v>
      </c>
      <c r="J406" s="3" t="s">
        <v>65</v>
      </c>
      <c r="K406" s="4">
        <v>248.54</v>
      </c>
      <c r="L406" s="6">
        <v>6.3</v>
      </c>
    </row>
    <row r="407" spans="1:12" x14ac:dyDescent="0.25">
      <c r="A407" s="1">
        <v>406</v>
      </c>
      <c r="B407" s="4">
        <v>2757</v>
      </c>
      <c r="C407" s="5">
        <v>40743</v>
      </c>
      <c r="D407" s="3" t="s">
        <v>95</v>
      </c>
      <c r="E407" s="1" t="s">
        <v>343</v>
      </c>
      <c r="F407" s="1" t="s">
        <v>8</v>
      </c>
      <c r="G407" s="2" t="s">
        <v>6</v>
      </c>
      <c r="H407" s="3" t="s">
        <v>88</v>
      </c>
      <c r="I407" s="3" t="s">
        <v>91</v>
      </c>
      <c r="J407" s="3" t="s">
        <v>72</v>
      </c>
      <c r="K407" s="4">
        <v>3554.46</v>
      </c>
      <c r="L407" s="6">
        <v>95.95</v>
      </c>
    </row>
    <row r="408" spans="1:12" x14ac:dyDescent="0.25">
      <c r="A408" s="1">
        <v>407</v>
      </c>
      <c r="B408" s="4">
        <v>2757</v>
      </c>
      <c r="C408" s="5">
        <v>40743</v>
      </c>
      <c r="D408" s="3" t="s">
        <v>89</v>
      </c>
      <c r="E408" s="1" t="s">
        <v>344</v>
      </c>
      <c r="F408" s="1" t="s">
        <v>10</v>
      </c>
      <c r="G408" s="2" t="s">
        <v>3</v>
      </c>
      <c r="H408" s="3" t="s">
        <v>88</v>
      </c>
      <c r="I408" s="3" t="s">
        <v>85</v>
      </c>
      <c r="J408" s="3" t="s">
        <v>58</v>
      </c>
      <c r="K408" s="4">
        <v>569.32000000000005</v>
      </c>
      <c r="L408" s="6">
        <v>12.98</v>
      </c>
    </row>
    <row r="409" spans="1:12" x14ac:dyDescent="0.25">
      <c r="A409" s="1">
        <v>408</v>
      </c>
      <c r="B409" s="4">
        <v>2759</v>
      </c>
      <c r="C409" s="5">
        <v>40506</v>
      </c>
      <c r="D409" s="3" t="s">
        <v>86</v>
      </c>
      <c r="E409" s="1" t="s">
        <v>328</v>
      </c>
      <c r="F409" s="1" t="s">
        <v>52</v>
      </c>
      <c r="G409" s="2" t="s">
        <v>3</v>
      </c>
      <c r="H409" s="3" t="s">
        <v>84</v>
      </c>
      <c r="I409" s="3" t="s">
        <v>92</v>
      </c>
      <c r="J409" s="3" t="s">
        <v>62</v>
      </c>
      <c r="K409" s="4">
        <v>827.47</v>
      </c>
      <c r="L409" s="6">
        <v>30.98</v>
      </c>
    </row>
    <row r="410" spans="1:12" x14ac:dyDescent="0.25">
      <c r="A410" s="1">
        <v>409</v>
      </c>
      <c r="B410" s="4">
        <v>2790</v>
      </c>
      <c r="C410" s="5">
        <v>40043</v>
      </c>
      <c r="D410" s="3" t="s">
        <v>89</v>
      </c>
      <c r="E410" s="1" t="s">
        <v>310</v>
      </c>
      <c r="F410" s="1" t="s">
        <v>36</v>
      </c>
      <c r="G410" s="2" t="s">
        <v>2</v>
      </c>
      <c r="H410" s="3" t="s">
        <v>97</v>
      </c>
      <c r="I410" s="3" t="s">
        <v>85</v>
      </c>
      <c r="J410" s="3" t="s">
        <v>69</v>
      </c>
      <c r="K410" s="4">
        <v>45.91</v>
      </c>
      <c r="L410" s="6">
        <v>5.44</v>
      </c>
    </row>
    <row r="411" spans="1:12" x14ac:dyDescent="0.25">
      <c r="A411" s="1">
        <v>410</v>
      </c>
      <c r="B411" s="4">
        <v>2790</v>
      </c>
      <c r="C411" s="5">
        <v>40043</v>
      </c>
      <c r="D411" s="3" t="s">
        <v>89</v>
      </c>
      <c r="E411" s="1" t="s">
        <v>310</v>
      </c>
      <c r="F411" s="1" t="s">
        <v>36</v>
      </c>
      <c r="G411" s="2" t="s">
        <v>2</v>
      </c>
      <c r="H411" s="3" t="s">
        <v>97</v>
      </c>
      <c r="I411" s="3" t="s">
        <v>92</v>
      </c>
      <c r="J411" s="3" t="s">
        <v>73</v>
      </c>
      <c r="K411" s="4">
        <v>22319.58</v>
      </c>
      <c r="L411" s="6">
        <v>549.99</v>
      </c>
    </row>
    <row r="412" spans="1:12" x14ac:dyDescent="0.25">
      <c r="A412" s="1">
        <v>411</v>
      </c>
      <c r="B412" s="4">
        <v>2790</v>
      </c>
      <c r="C412" s="5">
        <v>40043</v>
      </c>
      <c r="D412" s="3" t="s">
        <v>89</v>
      </c>
      <c r="E412" s="1" t="s">
        <v>310</v>
      </c>
      <c r="F412" s="1" t="s">
        <v>36</v>
      </c>
      <c r="G412" s="2" t="s">
        <v>2</v>
      </c>
      <c r="H412" s="3" t="s">
        <v>97</v>
      </c>
      <c r="I412" s="3" t="s">
        <v>85</v>
      </c>
      <c r="J412" s="3" t="s">
        <v>63</v>
      </c>
      <c r="K412" s="4">
        <v>330.24</v>
      </c>
      <c r="L412" s="6">
        <v>22.01</v>
      </c>
    </row>
    <row r="413" spans="1:12" x14ac:dyDescent="0.25">
      <c r="A413" s="1">
        <v>412</v>
      </c>
      <c r="B413" s="4">
        <v>2790</v>
      </c>
      <c r="C413" s="5">
        <v>40043</v>
      </c>
      <c r="D413" s="3" t="s">
        <v>89</v>
      </c>
      <c r="E413" s="1" t="s">
        <v>310</v>
      </c>
      <c r="F413" s="1" t="s">
        <v>36</v>
      </c>
      <c r="G413" s="2" t="s">
        <v>2</v>
      </c>
      <c r="H413" s="3" t="s">
        <v>97</v>
      </c>
      <c r="I413" s="3" t="s">
        <v>85</v>
      </c>
      <c r="J413" s="3" t="s">
        <v>57</v>
      </c>
      <c r="K413" s="4">
        <v>520.65</v>
      </c>
      <c r="L413" s="6">
        <v>34.76</v>
      </c>
    </row>
    <row r="414" spans="1:12" x14ac:dyDescent="0.25">
      <c r="A414" s="1">
        <v>413</v>
      </c>
      <c r="B414" s="4">
        <v>2791</v>
      </c>
      <c r="C414" s="5">
        <v>40095</v>
      </c>
      <c r="D414" s="3" t="s">
        <v>89</v>
      </c>
      <c r="E414" s="1" t="s">
        <v>345</v>
      </c>
      <c r="F414" s="1" t="s">
        <v>8</v>
      </c>
      <c r="G414" s="2" t="s">
        <v>6</v>
      </c>
      <c r="H414" s="3" t="s">
        <v>88</v>
      </c>
      <c r="I414" s="3" t="s">
        <v>85</v>
      </c>
      <c r="J414" s="3" t="s">
        <v>69</v>
      </c>
      <c r="K414" s="4">
        <v>191.67</v>
      </c>
      <c r="L414" s="6">
        <v>3.89</v>
      </c>
    </row>
    <row r="415" spans="1:12" x14ac:dyDescent="0.25">
      <c r="A415" s="1">
        <v>414</v>
      </c>
      <c r="B415" s="4">
        <v>2791</v>
      </c>
      <c r="C415" s="5">
        <v>40095</v>
      </c>
      <c r="D415" s="3" t="s">
        <v>89</v>
      </c>
      <c r="E415" s="1" t="s">
        <v>345</v>
      </c>
      <c r="F415" s="1" t="s">
        <v>8</v>
      </c>
      <c r="G415" s="2" t="s">
        <v>6</v>
      </c>
      <c r="H415" s="3" t="s">
        <v>88</v>
      </c>
      <c r="I415" s="3" t="s">
        <v>91</v>
      </c>
      <c r="J415" s="3" t="s">
        <v>72</v>
      </c>
      <c r="K415" s="4">
        <v>5586.33</v>
      </c>
      <c r="L415" s="6">
        <v>120.98</v>
      </c>
    </row>
    <row r="416" spans="1:12" x14ac:dyDescent="0.25">
      <c r="A416" s="1">
        <v>415</v>
      </c>
      <c r="B416" s="4">
        <v>2791</v>
      </c>
      <c r="C416" s="5">
        <v>40095</v>
      </c>
      <c r="D416" s="3" t="s">
        <v>89</v>
      </c>
      <c r="E416" s="1" t="s">
        <v>345</v>
      </c>
      <c r="F416" s="1" t="s">
        <v>8</v>
      </c>
      <c r="G416" s="2" t="s">
        <v>6</v>
      </c>
      <c r="H416" s="3" t="s">
        <v>88</v>
      </c>
      <c r="I416" s="3" t="s">
        <v>85</v>
      </c>
      <c r="J416" s="3" t="s">
        <v>66</v>
      </c>
      <c r="K416" s="4">
        <v>507.64</v>
      </c>
      <c r="L416" s="6">
        <v>30.98</v>
      </c>
    </row>
    <row r="417" spans="1:12" x14ac:dyDescent="0.25">
      <c r="A417" s="1">
        <v>416</v>
      </c>
      <c r="B417" s="4">
        <v>2816</v>
      </c>
      <c r="C417" s="5">
        <v>40075</v>
      </c>
      <c r="D417" s="3" t="s">
        <v>89</v>
      </c>
      <c r="E417" s="1" t="s">
        <v>346</v>
      </c>
      <c r="F417" s="1" t="s">
        <v>23</v>
      </c>
      <c r="G417" s="2" t="s">
        <v>3</v>
      </c>
      <c r="H417" s="3" t="s">
        <v>88</v>
      </c>
      <c r="I417" s="3" t="s">
        <v>85</v>
      </c>
      <c r="J417" s="3" t="s">
        <v>63</v>
      </c>
      <c r="K417" s="4">
        <v>787.56</v>
      </c>
      <c r="L417" s="6">
        <v>21.98</v>
      </c>
    </row>
    <row r="418" spans="1:12" x14ac:dyDescent="0.25">
      <c r="A418" s="1">
        <v>417</v>
      </c>
      <c r="B418" s="4">
        <v>2817</v>
      </c>
      <c r="C418" s="5">
        <v>39921</v>
      </c>
      <c r="D418" s="3" t="s">
        <v>4</v>
      </c>
      <c r="E418" s="1" t="s">
        <v>347</v>
      </c>
      <c r="F418" s="1" t="s">
        <v>29</v>
      </c>
      <c r="G418" s="2" t="s">
        <v>3</v>
      </c>
      <c r="H418" s="3" t="s">
        <v>97</v>
      </c>
      <c r="I418" s="3" t="s">
        <v>92</v>
      </c>
      <c r="J418" s="3" t="s">
        <v>62</v>
      </c>
      <c r="K418" s="4">
        <v>3830.14</v>
      </c>
      <c r="L418" s="6">
        <v>300.97000000000003</v>
      </c>
    </row>
    <row r="419" spans="1:12" x14ac:dyDescent="0.25">
      <c r="A419" s="1">
        <v>418</v>
      </c>
      <c r="B419" s="4">
        <v>2817</v>
      </c>
      <c r="C419" s="5">
        <v>39921</v>
      </c>
      <c r="D419" s="3" t="s">
        <v>4</v>
      </c>
      <c r="E419" s="1" t="s">
        <v>348</v>
      </c>
      <c r="F419" s="1" t="s">
        <v>29</v>
      </c>
      <c r="G419" s="2" t="s">
        <v>3</v>
      </c>
      <c r="H419" s="3" t="s">
        <v>97</v>
      </c>
      <c r="I419" s="3" t="s">
        <v>91</v>
      </c>
      <c r="J419" s="3" t="s">
        <v>59</v>
      </c>
      <c r="K419" s="4">
        <v>1559.86</v>
      </c>
      <c r="L419" s="6">
        <v>39.89</v>
      </c>
    </row>
    <row r="420" spans="1:12" x14ac:dyDescent="0.25">
      <c r="A420" s="1">
        <v>419</v>
      </c>
      <c r="B420" s="4">
        <v>2818</v>
      </c>
      <c r="C420" s="5">
        <v>40158</v>
      </c>
      <c r="D420" s="3" t="s">
        <v>4</v>
      </c>
      <c r="E420" s="1" t="s">
        <v>346</v>
      </c>
      <c r="F420" s="1" t="s">
        <v>23</v>
      </c>
      <c r="G420" s="2" t="s">
        <v>3</v>
      </c>
      <c r="H420" s="3" t="s">
        <v>88</v>
      </c>
      <c r="I420" s="3" t="s">
        <v>91</v>
      </c>
      <c r="J420" s="3" t="s">
        <v>59</v>
      </c>
      <c r="K420" s="4">
        <v>565.91</v>
      </c>
      <c r="L420" s="6">
        <v>15.68</v>
      </c>
    </row>
    <row r="421" spans="1:12" x14ac:dyDescent="0.25">
      <c r="A421" s="1">
        <v>420</v>
      </c>
      <c r="B421" s="4">
        <v>2818</v>
      </c>
      <c r="C421" s="5">
        <v>40158</v>
      </c>
      <c r="D421" s="3" t="s">
        <v>4</v>
      </c>
      <c r="E421" s="1" t="s">
        <v>346</v>
      </c>
      <c r="F421" s="1" t="s">
        <v>23</v>
      </c>
      <c r="G421" s="2" t="s">
        <v>3</v>
      </c>
      <c r="H421" s="3" t="s">
        <v>88</v>
      </c>
      <c r="I421" s="3" t="s">
        <v>91</v>
      </c>
      <c r="J421" s="3" t="s">
        <v>59</v>
      </c>
      <c r="K421" s="4">
        <v>593.21</v>
      </c>
      <c r="L421" s="6">
        <v>14.98</v>
      </c>
    </row>
    <row r="422" spans="1:12" x14ac:dyDescent="0.25">
      <c r="A422" s="1">
        <v>421</v>
      </c>
      <c r="B422" s="4">
        <v>2818</v>
      </c>
      <c r="C422" s="5">
        <v>40158</v>
      </c>
      <c r="D422" s="3" t="s">
        <v>4</v>
      </c>
      <c r="E422" s="1" t="s">
        <v>346</v>
      </c>
      <c r="F422" s="1" t="s">
        <v>23</v>
      </c>
      <c r="G422" s="2" t="s">
        <v>3</v>
      </c>
      <c r="H422" s="3" t="s">
        <v>88</v>
      </c>
      <c r="I422" s="3" t="s">
        <v>85</v>
      </c>
      <c r="J422" s="3" t="s">
        <v>66</v>
      </c>
      <c r="K422" s="4">
        <v>89.23</v>
      </c>
      <c r="L422" s="6">
        <v>38.76</v>
      </c>
    </row>
    <row r="423" spans="1:12" x14ac:dyDescent="0.25">
      <c r="A423" s="1">
        <v>422</v>
      </c>
      <c r="B423" s="4">
        <v>2823</v>
      </c>
      <c r="C423" s="5">
        <v>40794</v>
      </c>
      <c r="D423" s="3" t="s">
        <v>89</v>
      </c>
      <c r="E423" s="1" t="s">
        <v>349</v>
      </c>
      <c r="F423" s="1" t="s">
        <v>41</v>
      </c>
      <c r="G423" s="2" t="s">
        <v>6</v>
      </c>
      <c r="H423" s="3" t="s">
        <v>97</v>
      </c>
      <c r="I423" s="3" t="s">
        <v>92</v>
      </c>
      <c r="J423" s="3" t="s">
        <v>62</v>
      </c>
      <c r="K423" s="4">
        <v>357.43</v>
      </c>
      <c r="L423" s="6">
        <v>20.97</v>
      </c>
    </row>
    <row r="424" spans="1:12" x14ac:dyDescent="0.25">
      <c r="A424" s="1">
        <v>423</v>
      </c>
      <c r="B424" s="4">
        <v>2823</v>
      </c>
      <c r="C424" s="5">
        <v>40794</v>
      </c>
      <c r="D424" s="3" t="s">
        <v>89</v>
      </c>
      <c r="E424" s="1" t="s">
        <v>349</v>
      </c>
      <c r="F424" s="1" t="s">
        <v>41</v>
      </c>
      <c r="G424" s="2" t="s">
        <v>6</v>
      </c>
      <c r="H424" s="3" t="s">
        <v>97</v>
      </c>
      <c r="I424" s="3" t="s">
        <v>85</v>
      </c>
      <c r="J424" s="3" t="s">
        <v>57</v>
      </c>
      <c r="K424" s="4">
        <v>4754.08</v>
      </c>
      <c r="L424" s="6">
        <v>225.02</v>
      </c>
    </row>
    <row r="425" spans="1:12" x14ac:dyDescent="0.25">
      <c r="A425" s="1">
        <v>424</v>
      </c>
      <c r="B425" s="4">
        <v>2848</v>
      </c>
      <c r="C425" s="5">
        <v>40977</v>
      </c>
      <c r="D425" s="3" t="s">
        <v>95</v>
      </c>
      <c r="E425" s="1" t="s">
        <v>222</v>
      </c>
      <c r="F425" s="1" t="s">
        <v>28</v>
      </c>
      <c r="G425" s="2" t="s">
        <v>6</v>
      </c>
      <c r="H425" s="3" t="s">
        <v>97</v>
      </c>
      <c r="I425" s="3" t="s">
        <v>91</v>
      </c>
      <c r="J425" s="3" t="s">
        <v>59</v>
      </c>
      <c r="K425" s="4">
        <v>1476.39</v>
      </c>
      <c r="L425" s="6">
        <v>43.31</v>
      </c>
    </row>
    <row r="426" spans="1:12" x14ac:dyDescent="0.25">
      <c r="A426" s="1">
        <v>425</v>
      </c>
      <c r="B426" s="4">
        <v>2848</v>
      </c>
      <c r="C426" s="5">
        <v>40977</v>
      </c>
      <c r="D426" s="3" t="s">
        <v>95</v>
      </c>
      <c r="E426" s="1" t="s">
        <v>222</v>
      </c>
      <c r="F426" s="1" t="s">
        <v>28</v>
      </c>
      <c r="G426" s="2" t="s">
        <v>6</v>
      </c>
      <c r="H426" s="3" t="s">
        <v>97</v>
      </c>
      <c r="I426" s="3" t="s">
        <v>92</v>
      </c>
      <c r="J426" s="3" t="s">
        <v>61</v>
      </c>
      <c r="K426" s="4">
        <v>863.58299999999997</v>
      </c>
      <c r="L426" s="6">
        <v>125.99</v>
      </c>
    </row>
    <row r="427" spans="1:12" x14ac:dyDescent="0.25">
      <c r="A427" s="1">
        <v>426</v>
      </c>
      <c r="B427" s="4">
        <v>2852</v>
      </c>
      <c r="C427" s="5">
        <v>40193</v>
      </c>
      <c r="D427" s="3" t="s">
        <v>95</v>
      </c>
      <c r="E427" s="1" t="s">
        <v>348</v>
      </c>
      <c r="F427" s="1" t="s">
        <v>29</v>
      </c>
      <c r="G427" s="2" t="s">
        <v>3</v>
      </c>
      <c r="H427" s="3" t="s">
        <v>97</v>
      </c>
      <c r="I427" s="3" t="s">
        <v>85</v>
      </c>
      <c r="J427" s="3" t="s">
        <v>66</v>
      </c>
      <c r="K427" s="4">
        <v>74.87</v>
      </c>
      <c r="L427" s="6">
        <v>6.48</v>
      </c>
    </row>
    <row r="428" spans="1:12" x14ac:dyDescent="0.25">
      <c r="A428" s="1">
        <v>427</v>
      </c>
      <c r="B428" s="4">
        <v>2852</v>
      </c>
      <c r="C428" s="5">
        <v>40193</v>
      </c>
      <c r="D428" s="3" t="s">
        <v>95</v>
      </c>
      <c r="E428" s="1" t="s">
        <v>350</v>
      </c>
      <c r="F428" s="1" t="s">
        <v>29</v>
      </c>
      <c r="G428" s="2" t="s">
        <v>3</v>
      </c>
      <c r="H428" s="3" t="s">
        <v>97</v>
      </c>
      <c r="I428" s="3" t="s">
        <v>92</v>
      </c>
      <c r="J428" s="3" t="s">
        <v>61</v>
      </c>
      <c r="K428" s="4">
        <v>3931.3179999999998</v>
      </c>
      <c r="L428" s="6">
        <v>115.99</v>
      </c>
    </row>
    <row r="429" spans="1:12" x14ac:dyDescent="0.25">
      <c r="A429" s="1">
        <v>428</v>
      </c>
      <c r="B429" s="4">
        <v>2853</v>
      </c>
      <c r="C429" s="5">
        <v>39937</v>
      </c>
      <c r="D429" s="3" t="s">
        <v>89</v>
      </c>
      <c r="E429" s="1" t="s">
        <v>351</v>
      </c>
      <c r="F429" s="1" t="s">
        <v>24</v>
      </c>
      <c r="G429" s="2" t="s">
        <v>2</v>
      </c>
      <c r="H429" s="3" t="s">
        <v>100</v>
      </c>
      <c r="I429" s="3" t="s">
        <v>85</v>
      </c>
      <c r="J429" s="3" t="s">
        <v>57</v>
      </c>
      <c r="K429" s="4">
        <v>4253.6499999999996</v>
      </c>
      <c r="L429" s="6">
        <v>178.47</v>
      </c>
    </row>
    <row r="430" spans="1:12" x14ac:dyDescent="0.25">
      <c r="A430" s="1">
        <v>429</v>
      </c>
      <c r="B430" s="4">
        <v>2882</v>
      </c>
      <c r="C430" s="5">
        <v>40776</v>
      </c>
      <c r="D430" s="3" t="s">
        <v>89</v>
      </c>
      <c r="E430" s="1" t="s">
        <v>352</v>
      </c>
      <c r="F430" s="1" t="s">
        <v>9</v>
      </c>
      <c r="G430" s="2" t="s">
        <v>2</v>
      </c>
      <c r="H430" s="3" t="s">
        <v>100</v>
      </c>
      <c r="I430" s="3" t="s">
        <v>91</v>
      </c>
      <c r="J430" s="3" t="s">
        <v>72</v>
      </c>
      <c r="K430" s="4">
        <v>3872.87</v>
      </c>
      <c r="L430" s="6">
        <v>160.97999999999999</v>
      </c>
    </row>
    <row r="431" spans="1:12" x14ac:dyDescent="0.25">
      <c r="A431" s="1">
        <v>430</v>
      </c>
      <c r="B431" s="4">
        <v>2882</v>
      </c>
      <c r="C431" s="5">
        <v>40776</v>
      </c>
      <c r="D431" s="3" t="s">
        <v>89</v>
      </c>
      <c r="E431" s="1" t="s">
        <v>352</v>
      </c>
      <c r="F431" s="1" t="s">
        <v>9</v>
      </c>
      <c r="G431" s="2" t="s">
        <v>2</v>
      </c>
      <c r="H431" s="3" t="s">
        <v>100</v>
      </c>
      <c r="I431" s="3" t="s">
        <v>92</v>
      </c>
      <c r="J431" s="3" t="s">
        <v>62</v>
      </c>
      <c r="K431" s="4">
        <v>356.72</v>
      </c>
      <c r="L431" s="6">
        <v>40.98</v>
      </c>
    </row>
    <row r="432" spans="1:12" x14ac:dyDescent="0.25">
      <c r="A432" s="1">
        <v>431</v>
      </c>
      <c r="B432" s="4">
        <v>2883</v>
      </c>
      <c r="C432" s="5">
        <v>40565</v>
      </c>
      <c r="D432" s="3" t="s">
        <v>82</v>
      </c>
      <c r="E432" s="1" t="s">
        <v>309</v>
      </c>
      <c r="F432" s="1" t="s">
        <v>11</v>
      </c>
      <c r="G432" s="2" t="s">
        <v>6</v>
      </c>
      <c r="H432" s="3" t="s">
        <v>100</v>
      </c>
      <c r="I432" s="3" t="s">
        <v>85</v>
      </c>
      <c r="J432" s="3" t="s">
        <v>57</v>
      </c>
      <c r="K432" s="4">
        <v>2154.34</v>
      </c>
      <c r="L432" s="6">
        <v>64.98</v>
      </c>
    </row>
    <row r="433" spans="1:12" x14ac:dyDescent="0.25">
      <c r="A433" s="1">
        <v>432</v>
      </c>
      <c r="B433" s="4">
        <v>2885</v>
      </c>
      <c r="C433" s="5">
        <v>41170</v>
      </c>
      <c r="D433" s="3" t="s">
        <v>86</v>
      </c>
      <c r="E433" s="1" t="s">
        <v>315</v>
      </c>
      <c r="F433" s="1" t="s">
        <v>42</v>
      </c>
      <c r="G433" s="2" t="s">
        <v>3</v>
      </c>
      <c r="H433" s="3" t="s">
        <v>97</v>
      </c>
      <c r="I433" s="3" t="s">
        <v>85</v>
      </c>
      <c r="J433" s="3" t="s">
        <v>66</v>
      </c>
      <c r="K433" s="4">
        <v>197.41</v>
      </c>
      <c r="L433" s="6">
        <v>6.48</v>
      </c>
    </row>
    <row r="434" spans="1:12" x14ac:dyDescent="0.25">
      <c r="A434" s="1">
        <v>433</v>
      </c>
      <c r="B434" s="4">
        <v>2885</v>
      </c>
      <c r="C434" s="5">
        <v>41170</v>
      </c>
      <c r="D434" s="3" t="s">
        <v>86</v>
      </c>
      <c r="E434" s="1" t="s">
        <v>315</v>
      </c>
      <c r="F434" s="1" t="s">
        <v>42</v>
      </c>
      <c r="G434" s="2" t="s">
        <v>3</v>
      </c>
      <c r="H434" s="3" t="s">
        <v>97</v>
      </c>
      <c r="I434" s="3" t="s">
        <v>85</v>
      </c>
      <c r="J434" s="3" t="s">
        <v>57</v>
      </c>
      <c r="K434" s="4">
        <v>712.18</v>
      </c>
      <c r="L434" s="6">
        <v>15.42</v>
      </c>
    </row>
    <row r="435" spans="1:12" x14ac:dyDescent="0.25">
      <c r="A435" s="1">
        <v>434</v>
      </c>
      <c r="B435" s="4">
        <v>2912</v>
      </c>
      <c r="C435" s="5">
        <v>40979</v>
      </c>
      <c r="D435" s="3" t="s">
        <v>82</v>
      </c>
      <c r="E435" s="1" t="s">
        <v>98</v>
      </c>
      <c r="F435" s="1" t="s">
        <v>13</v>
      </c>
      <c r="G435" s="2" t="s">
        <v>6</v>
      </c>
      <c r="H435" s="3" t="s">
        <v>88</v>
      </c>
      <c r="I435" s="3" t="s">
        <v>92</v>
      </c>
      <c r="J435" s="3" t="s">
        <v>67</v>
      </c>
      <c r="K435" s="4">
        <v>16587.13</v>
      </c>
      <c r="L435" s="6">
        <v>2550.14</v>
      </c>
    </row>
    <row r="436" spans="1:12" x14ac:dyDescent="0.25">
      <c r="A436" s="1">
        <v>435</v>
      </c>
      <c r="B436" s="4">
        <v>2912</v>
      </c>
      <c r="C436" s="5">
        <v>40979</v>
      </c>
      <c r="D436" s="3" t="s">
        <v>82</v>
      </c>
      <c r="E436" s="1" t="s">
        <v>98</v>
      </c>
      <c r="F436" s="1" t="s">
        <v>13</v>
      </c>
      <c r="G436" s="2" t="s">
        <v>6</v>
      </c>
      <c r="H436" s="3" t="s">
        <v>88</v>
      </c>
      <c r="I436" s="3" t="s">
        <v>85</v>
      </c>
      <c r="J436" s="3" t="s">
        <v>66</v>
      </c>
      <c r="K436" s="4">
        <v>507.98</v>
      </c>
      <c r="L436" s="6">
        <v>55.98</v>
      </c>
    </row>
    <row r="437" spans="1:12" x14ac:dyDescent="0.25">
      <c r="A437" s="1">
        <v>436</v>
      </c>
      <c r="B437" s="4">
        <v>2914</v>
      </c>
      <c r="C437" s="5">
        <v>40239</v>
      </c>
      <c r="D437" s="3" t="s">
        <v>4</v>
      </c>
      <c r="E437" s="1" t="s">
        <v>200</v>
      </c>
      <c r="F437" s="1" t="s">
        <v>24</v>
      </c>
      <c r="G437" s="2" t="s">
        <v>2</v>
      </c>
      <c r="H437" s="3" t="s">
        <v>100</v>
      </c>
      <c r="I437" s="3" t="s">
        <v>85</v>
      </c>
      <c r="J437" s="3" t="s">
        <v>66</v>
      </c>
      <c r="K437" s="4">
        <v>62.88</v>
      </c>
      <c r="L437" s="6">
        <v>18.97</v>
      </c>
    </row>
    <row r="438" spans="1:12" x14ac:dyDescent="0.25">
      <c r="A438" s="1">
        <v>437</v>
      </c>
      <c r="B438" s="4">
        <v>2915</v>
      </c>
      <c r="C438" s="5">
        <v>39902</v>
      </c>
      <c r="D438" s="3" t="s">
        <v>82</v>
      </c>
      <c r="E438" s="1" t="s">
        <v>353</v>
      </c>
      <c r="F438" s="1" t="s">
        <v>32</v>
      </c>
      <c r="G438" s="2" t="s">
        <v>2</v>
      </c>
      <c r="H438" s="3" t="s">
        <v>100</v>
      </c>
      <c r="I438" s="3" t="s">
        <v>85</v>
      </c>
      <c r="J438" s="3" t="s">
        <v>63</v>
      </c>
      <c r="K438" s="4">
        <v>231.26</v>
      </c>
      <c r="L438" s="6">
        <v>5.98</v>
      </c>
    </row>
    <row r="439" spans="1:12" x14ac:dyDescent="0.25">
      <c r="A439" s="1">
        <v>438</v>
      </c>
      <c r="B439" s="4">
        <v>2915</v>
      </c>
      <c r="C439" s="5">
        <v>39902</v>
      </c>
      <c r="D439" s="3" t="s">
        <v>82</v>
      </c>
      <c r="E439" s="1" t="s">
        <v>354</v>
      </c>
      <c r="F439" s="1" t="s">
        <v>32</v>
      </c>
      <c r="G439" s="2" t="s">
        <v>2</v>
      </c>
      <c r="H439" s="3" t="s">
        <v>100</v>
      </c>
      <c r="I439" s="3" t="s">
        <v>92</v>
      </c>
      <c r="J439" s="3" t="s">
        <v>62</v>
      </c>
      <c r="K439" s="4">
        <v>987.17</v>
      </c>
      <c r="L439" s="6">
        <v>39.979999999999997</v>
      </c>
    </row>
    <row r="440" spans="1:12" x14ac:dyDescent="0.25">
      <c r="A440" s="1">
        <v>439</v>
      </c>
      <c r="B440" s="4">
        <v>2947</v>
      </c>
      <c r="C440" s="5">
        <v>40658</v>
      </c>
      <c r="D440" s="3" t="s">
        <v>95</v>
      </c>
      <c r="E440" s="1" t="s">
        <v>304</v>
      </c>
      <c r="F440" s="1" t="s">
        <v>18</v>
      </c>
      <c r="G440" s="2" t="s">
        <v>6</v>
      </c>
      <c r="H440" s="3" t="s">
        <v>100</v>
      </c>
      <c r="I440" s="3" t="s">
        <v>85</v>
      </c>
      <c r="J440" s="3" t="s">
        <v>66</v>
      </c>
      <c r="K440" s="4">
        <v>57.04</v>
      </c>
      <c r="L440" s="6">
        <v>6.48</v>
      </c>
    </row>
    <row r="441" spans="1:12" x14ac:dyDescent="0.25">
      <c r="A441" s="1">
        <v>440</v>
      </c>
      <c r="B441" s="4">
        <v>2976</v>
      </c>
      <c r="C441" s="5">
        <v>40521</v>
      </c>
      <c r="D441" s="3" t="s">
        <v>86</v>
      </c>
      <c r="E441" s="1" t="s">
        <v>355</v>
      </c>
      <c r="F441" s="1" t="s">
        <v>8</v>
      </c>
      <c r="G441" s="2" t="s">
        <v>6</v>
      </c>
      <c r="H441" s="3" t="s">
        <v>100</v>
      </c>
      <c r="I441" s="3" t="s">
        <v>91</v>
      </c>
      <c r="J441" s="3" t="s">
        <v>72</v>
      </c>
      <c r="K441" s="4">
        <v>14223.82</v>
      </c>
      <c r="L441" s="6">
        <v>500.98</v>
      </c>
    </row>
    <row r="442" spans="1:12" x14ac:dyDescent="0.25">
      <c r="A442" s="1">
        <v>441</v>
      </c>
      <c r="B442" s="4">
        <v>2978</v>
      </c>
      <c r="C442" s="5">
        <v>40665</v>
      </c>
      <c r="D442" s="3" t="s">
        <v>95</v>
      </c>
      <c r="E442" s="1" t="s">
        <v>356</v>
      </c>
      <c r="F442" s="1" t="s">
        <v>24</v>
      </c>
      <c r="G442" s="2" t="s">
        <v>2</v>
      </c>
      <c r="H442" s="3" t="s">
        <v>88</v>
      </c>
      <c r="I442" s="3" t="s">
        <v>92</v>
      </c>
      <c r="J442" s="3" t="s">
        <v>61</v>
      </c>
      <c r="K442" s="4">
        <v>6264.1854999999996</v>
      </c>
      <c r="L442" s="6">
        <v>205.99</v>
      </c>
    </row>
    <row r="443" spans="1:12" x14ac:dyDescent="0.25">
      <c r="A443" s="1">
        <v>442</v>
      </c>
      <c r="B443" s="4">
        <v>2978</v>
      </c>
      <c r="C443" s="5">
        <v>40665</v>
      </c>
      <c r="D443" s="3" t="s">
        <v>95</v>
      </c>
      <c r="E443" s="1" t="s">
        <v>357</v>
      </c>
      <c r="F443" s="1" t="s">
        <v>24</v>
      </c>
      <c r="G443" s="2" t="s">
        <v>2</v>
      </c>
      <c r="H443" s="3" t="s">
        <v>88</v>
      </c>
      <c r="I443" s="3" t="s">
        <v>85</v>
      </c>
      <c r="J443" s="3" t="s">
        <v>71</v>
      </c>
      <c r="K443" s="4">
        <v>5410.95</v>
      </c>
      <c r="L443" s="6">
        <v>162.93</v>
      </c>
    </row>
    <row r="444" spans="1:12" x14ac:dyDescent="0.25">
      <c r="A444" s="1">
        <v>443</v>
      </c>
      <c r="B444" s="4">
        <v>2978</v>
      </c>
      <c r="C444" s="5">
        <v>40665</v>
      </c>
      <c r="D444" s="3" t="s">
        <v>95</v>
      </c>
      <c r="E444" s="1" t="s">
        <v>358</v>
      </c>
      <c r="F444" s="1" t="s">
        <v>49</v>
      </c>
      <c r="G444" s="2" t="s">
        <v>1</v>
      </c>
      <c r="H444" s="3" t="s">
        <v>88</v>
      </c>
      <c r="I444" s="3" t="s">
        <v>92</v>
      </c>
      <c r="J444" s="3" t="s">
        <v>61</v>
      </c>
      <c r="K444" s="4">
        <v>4671.1495000000004</v>
      </c>
      <c r="L444" s="6">
        <v>200.99</v>
      </c>
    </row>
    <row r="445" spans="1:12" x14ac:dyDescent="0.25">
      <c r="A445" s="1">
        <v>444</v>
      </c>
      <c r="B445" s="4">
        <v>3008</v>
      </c>
      <c r="C445" s="5">
        <v>40854</v>
      </c>
      <c r="D445" s="3" t="s">
        <v>4</v>
      </c>
      <c r="E445" s="1" t="s">
        <v>359</v>
      </c>
      <c r="F445" s="1" t="s">
        <v>24</v>
      </c>
      <c r="G445" s="2" t="s">
        <v>2</v>
      </c>
      <c r="H445" s="3" t="s">
        <v>100</v>
      </c>
      <c r="I445" s="3" t="s">
        <v>85</v>
      </c>
      <c r="J445" s="3" t="s">
        <v>71</v>
      </c>
      <c r="K445" s="4">
        <v>6831.72</v>
      </c>
      <c r="L445" s="6">
        <v>162.93</v>
      </c>
    </row>
    <row r="446" spans="1:12" x14ac:dyDescent="0.25">
      <c r="A446" s="1">
        <v>445</v>
      </c>
      <c r="B446" s="4">
        <v>3012</v>
      </c>
      <c r="C446" s="5">
        <v>40302</v>
      </c>
      <c r="D446" s="3" t="s">
        <v>95</v>
      </c>
      <c r="E446" s="1" t="s">
        <v>360</v>
      </c>
      <c r="F446" s="1" t="s">
        <v>10</v>
      </c>
      <c r="G446" s="2" t="s">
        <v>3</v>
      </c>
      <c r="H446" s="3" t="s">
        <v>88</v>
      </c>
      <c r="I446" s="3" t="s">
        <v>85</v>
      </c>
      <c r="J446" s="3" t="s">
        <v>69</v>
      </c>
      <c r="K446" s="4">
        <v>120.03</v>
      </c>
      <c r="L446" s="6">
        <v>2.78</v>
      </c>
    </row>
    <row r="447" spans="1:12" x14ac:dyDescent="0.25">
      <c r="A447" s="1">
        <v>446</v>
      </c>
      <c r="B447" s="4">
        <v>3014</v>
      </c>
      <c r="C447" s="5">
        <v>41211</v>
      </c>
      <c r="D447" s="3" t="s">
        <v>86</v>
      </c>
      <c r="E447" s="1" t="s">
        <v>361</v>
      </c>
      <c r="F447" s="1" t="s">
        <v>15</v>
      </c>
      <c r="G447" s="2" t="s">
        <v>1</v>
      </c>
      <c r="H447" s="3" t="s">
        <v>100</v>
      </c>
      <c r="I447" s="3" t="s">
        <v>85</v>
      </c>
      <c r="J447" s="3" t="s">
        <v>69</v>
      </c>
      <c r="K447" s="4">
        <v>4002.14</v>
      </c>
      <c r="L447" s="6">
        <v>304.99</v>
      </c>
    </row>
    <row r="448" spans="1:12" x14ac:dyDescent="0.25">
      <c r="A448" s="1">
        <v>447</v>
      </c>
      <c r="B448" s="4">
        <v>3040</v>
      </c>
      <c r="C448" s="5">
        <v>40279</v>
      </c>
      <c r="D448" s="3" t="s">
        <v>4</v>
      </c>
      <c r="E448" s="1" t="s">
        <v>362</v>
      </c>
      <c r="F448" s="1" t="s">
        <v>23</v>
      </c>
      <c r="G448" s="2" t="s">
        <v>3</v>
      </c>
      <c r="H448" s="3" t="s">
        <v>100</v>
      </c>
      <c r="I448" s="3" t="s">
        <v>85</v>
      </c>
      <c r="J448" s="3" t="s">
        <v>66</v>
      </c>
      <c r="K448" s="4">
        <v>98.39</v>
      </c>
      <c r="L448" s="6">
        <v>6.48</v>
      </c>
    </row>
    <row r="449" spans="1:12" x14ac:dyDescent="0.25">
      <c r="A449" s="1">
        <v>448</v>
      </c>
      <c r="B449" s="4">
        <v>3042</v>
      </c>
      <c r="C449" s="5">
        <v>40137</v>
      </c>
      <c r="D449" s="3" t="s">
        <v>4</v>
      </c>
      <c r="E449" s="1" t="s">
        <v>363</v>
      </c>
      <c r="F449" s="1" t="s">
        <v>24</v>
      </c>
      <c r="G449" s="2" t="s">
        <v>2</v>
      </c>
      <c r="H449" s="3" t="s">
        <v>100</v>
      </c>
      <c r="I449" s="3" t="s">
        <v>85</v>
      </c>
      <c r="J449" s="3" t="s">
        <v>63</v>
      </c>
      <c r="K449" s="4">
        <v>103.87</v>
      </c>
      <c r="L449" s="6">
        <v>4.26</v>
      </c>
    </row>
    <row r="450" spans="1:12" x14ac:dyDescent="0.25">
      <c r="A450" s="1">
        <v>449</v>
      </c>
      <c r="B450" s="4">
        <v>3046</v>
      </c>
      <c r="C450" s="5">
        <v>40876</v>
      </c>
      <c r="D450" s="3" t="s">
        <v>89</v>
      </c>
      <c r="E450" s="1" t="s">
        <v>274</v>
      </c>
      <c r="F450" s="1" t="s">
        <v>32</v>
      </c>
      <c r="G450" s="2" t="s">
        <v>2</v>
      </c>
      <c r="H450" s="3" t="s">
        <v>84</v>
      </c>
      <c r="I450" s="3" t="s">
        <v>85</v>
      </c>
      <c r="J450" s="3" t="s">
        <v>69</v>
      </c>
      <c r="K450" s="4">
        <v>10094.43</v>
      </c>
      <c r="L450" s="6">
        <v>420.98</v>
      </c>
    </row>
    <row r="451" spans="1:12" x14ac:dyDescent="0.25">
      <c r="A451" s="1">
        <v>450</v>
      </c>
      <c r="B451" s="4">
        <v>3073</v>
      </c>
      <c r="C451" s="5">
        <v>39820</v>
      </c>
      <c r="D451" s="3" t="s">
        <v>4</v>
      </c>
      <c r="E451" s="1" t="s">
        <v>364</v>
      </c>
      <c r="F451" s="1" t="s">
        <v>15</v>
      </c>
      <c r="G451" s="2" t="s">
        <v>1</v>
      </c>
      <c r="H451" s="3" t="s">
        <v>97</v>
      </c>
      <c r="I451" s="3" t="s">
        <v>85</v>
      </c>
      <c r="J451" s="3" t="s">
        <v>69</v>
      </c>
      <c r="K451" s="4">
        <v>10.58</v>
      </c>
      <c r="L451" s="6">
        <v>1.98</v>
      </c>
    </row>
    <row r="452" spans="1:12" x14ac:dyDescent="0.25">
      <c r="A452" s="1">
        <v>451</v>
      </c>
      <c r="B452" s="4">
        <v>3073</v>
      </c>
      <c r="C452" s="5">
        <v>39820</v>
      </c>
      <c r="D452" s="3" t="s">
        <v>4</v>
      </c>
      <c r="E452" s="1" t="s">
        <v>364</v>
      </c>
      <c r="F452" s="1" t="s">
        <v>15</v>
      </c>
      <c r="G452" s="2" t="s">
        <v>1</v>
      </c>
      <c r="H452" s="3" t="s">
        <v>97</v>
      </c>
      <c r="I452" s="3" t="s">
        <v>92</v>
      </c>
      <c r="J452" s="3" t="s">
        <v>73</v>
      </c>
      <c r="K452" s="4">
        <v>2119.67</v>
      </c>
      <c r="L452" s="6">
        <v>699.99</v>
      </c>
    </row>
    <row r="453" spans="1:12" x14ac:dyDescent="0.25">
      <c r="A453" s="1">
        <v>452</v>
      </c>
      <c r="B453" s="4">
        <v>3073</v>
      </c>
      <c r="C453" s="5">
        <v>39820</v>
      </c>
      <c r="D453" s="3" t="s">
        <v>4</v>
      </c>
      <c r="E453" s="1" t="s">
        <v>364</v>
      </c>
      <c r="F453" s="1" t="s">
        <v>15</v>
      </c>
      <c r="G453" s="2" t="s">
        <v>1</v>
      </c>
      <c r="H453" s="3" t="s">
        <v>97</v>
      </c>
      <c r="I453" s="3" t="s">
        <v>92</v>
      </c>
      <c r="J453" s="3" t="s">
        <v>67</v>
      </c>
      <c r="K453" s="4">
        <v>45923.76</v>
      </c>
      <c r="L453" s="6">
        <v>6783.02</v>
      </c>
    </row>
    <row r="454" spans="1:12" x14ac:dyDescent="0.25">
      <c r="A454" s="1">
        <v>453</v>
      </c>
      <c r="B454" s="4">
        <v>3078</v>
      </c>
      <c r="C454" s="5">
        <v>40220</v>
      </c>
      <c r="D454" s="3" t="s">
        <v>89</v>
      </c>
      <c r="E454" s="1" t="s">
        <v>126</v>
      </c>
      <c r="F454" s="1" t="s">
        <v>24</v>
      </c>
      <c r="G454" s="2" t="s">
        <v>2</v>
      </c>
      <c r="H454" s="3" t="s">
        <v>88</v>
      </c>
      <c r="I454" s="3" t="s">
        <v>85</v>
      </c>
      <c r="J454" s="3" t="s">
        <v>63</v>
      </c>
      <c r="K454" s="4">
        <v>33.86</v>
      </c>
      <c r="L454" s="6">
        <v>2.88</v>
      </c>
    </row>
    <row r="455" spans="1:12" x14ac:dyDescent="0.25">
      <c r="A455" s="1">
        <v>454</v>
      </c>
      <c r="B455" s="4">
        <v>3078</v>
      </c>
      <c r="C455" s="5">
        <v>40220</v>
      </c>
      <c r="D455" s="3" t="s">
        <v>89</v>
      </c>
      <c r="E455" s="1" t="s">
        <v>365</v>
      </c>
      <c r="F455" s="1" t="s">
        <v>39</v>
      </c>
      <c r="G455" s="2" t="s">
        <v>1</v>
      </c>
      <c r="H455" s="3" t="s">
        <v>88</v>
      </c>
      <c r="I455" s="3" t="s">
        <v>91</v>
      </c>
      <c r="J455" s="3" t="s">
        <v>72</v>
      </c>
      <c r="K455" s="4">
        <v>316.61</v>
      </c>
      <c r="L455" s="6">
        <v>291.73</v>
      </c>
    </row>
    <row r="456" spans="1:12" x14ac:dyDescent="0.25">
      <c r="A456" s="1">
        <v>455</v>
      </c>
      <c r="B456" s="4">
        <v>3104</v>
      </c>
      <c r="C456" s="5">
        <v>40436</v>
      </c>
      <c r="D456" s="3" t="s">
        <v>4</v>
      </c>
      <c r="E456" s="1" t="s">
        <v>366</v>
      </c>
      <c r="F456" s="1" t="s">
        <v>50</v>
      </c>
      <c r="G456" s="2" t="s">
        <v>1</v>
      </c>
      <c r="H456" s="3" t="s">
        <v>100</v>
      </c>
      <c r="I456" s="3" t="s">
        <v>85</v>
      </c>
      <c r="J456" s="3" t="s">
        <v>66</v>
      </c>
      <c r="K456" s="4">
        <v>336.06</v>
      </c>
      <c r="L456" s="6">
        <v>6.48</v>
      </c>
    </row>
    <row r="457" spans="1:12" x14ac:dyDescent="0.25">
      <c r="A457" s="1">
        <v>456</v>
      </c>
      <c r="B457" s="4">
        <v>3104</v>
      </c>
      <c r="C457" s="5">
        <v>40436</v>
      </c>
      <c r="D457" s="3" t="s">
        <v>4</v>
      </c>
      <c r="E457" s="1" t="s">
        <v>366</v>
      </c>
      <c r="F457" s="1" t="s">
        <v>50</v>
      </c>
      <c r="G457" s="2" t="s">
        <v>1</v>
      </c>
      <c r="H457" s="3" t="s">
        <v>100</v>
      </c>
      <c r="I457" s="3" t="s">
        <v>85</v>
      </c>
      <c r="J457" s="3" t="s">
        <v>63</v>
      </c>
      <c r="K457" s="4">
        <v>380.38</v>
      </c>
      <c r="L457" s="6">
        <v>15.94</v>
      </c>
    </row>
    <row r="458" spans="1:12" x14ac:dyDescent="0.25">
      <c r="A458" s="1">
        <v>457</v>
      </c>
      <c r="B458" s="4">
        <v>3108</v>
      </c>
      <c r="C458" s="5">
        <v>40394</v>
      </c>
      <c r="D458" s="3" t="s">
        <v>95</v>
      </c>
      <c r="E458" s="1" t="s">
        <v>367</v>
      </c>
      <c r="F458" s="1" t="s">
        <v>23</v>
      </c>
      <c r="G458" s="2" t="s">
        <v>3</v>
      </c>
      <c r="H458" s="3" t="s">
        <v>88</v>
      </c>
      <c r="I458" s="3" t="s">
        <v>85</v>
      </c>
      <c r="J458" s="3" t="s">
        <v>63</v>
      </c>
      <c r="K458" s="4">
        <v>65.39</v>
      </c>
      <c r="L458" s="6">
        <v>1.82</v>
      </c>
    </row>
    <row r="459" spans="1:12" x14ac:dyDescent="0.25">
      <c r="A459" s="1">
        <v>458</v>
      </c>
      <c r="B459" s="4">
        <v>3109</v>
      </c>
      <c r="C459" s="5">
        <v>40382</v>
      </c>
      <c r="D459" s="3" t="s">
        <v>82</v>
      </c>
      <c r="E459" s="1" t="s">
        <v>254</v>
      </c>
      <c r="F459" s="1" t="s">
        <v>46</v>
      </c>
      <c r="G459" s="2" t="s">
        <v>6</v>
      </c>
      <c r="H459" s="3" t="s">
        <v>88</v>
      </c>
      <c r="I459" s="3" t="s">
        <v>91</v>
      </c>
      <c r="J459" s="3" t="s">
        <v>59</v>
      </c>
      <c r="K459" s="4">
        <v>1005.74</v>
      </c>
      <c r="L459" s="6">
        <v>22.23</v>
      </c>
    </row>
    <row r="460" spans="1:12" x14ac:dyDescent="0.25">
      <c r="A460" s="1">
        <v>459</v>
      </c>
      <c r="B460" s="4">
        <v>3109</v>
      </c>
      <c r="C460" s="5">
        <v>40382</v>
      </c>
      <c r="D460" s="3" t="s">
        <v>82</v>
      </c>
      <c r="E460" s="1" t="s">
        <v>254</v>
      </c>
      <c r="F460" s="1" t="s">
        <v>46</v>
      </c>
      <c r="G460" s="2" t="s">
        <v>6</v>
      </c>
      <c r="H460" s="3" t="s">
        <v>88</v>
      </c>
      <c r="I460" s="3" t="s">
        <v>92</v>
      </c>
      <c r="J460" s="3" t="s">
        <v>61</v>
      </c>
      <c r="K460" s="4">
        <v>6477.7394999999997</v>
      </c>
      <c r="L460" s="6">
        <v>205.99</v>
      </c>
    </row>
    <row r="461" spans="1:12" x14ac:dyDescent="0.25">
      <c r="A461" s="1">
        <v>460</v>
      </c>
      <c r="B461" s="4">
        <v>3110</v>
      </c>
      <c r="C461" s="5">
        <v>40163</v>
      </c>
      <c r="D461" s="3" t="s">
        <v>89</v>
      </c>
      <c r="E461" s="1" t="s">
        <v>368</v>
      </c>
      <c r="F461" s="1" t="s">
        <v>41</v>
      </c>
      <c r="G461" s="2" t="s">
        <v>6</v>
      </c>
      <c r="H461" s="3" t="s">
        <v>88</v>
      </c>
      <c r="I461" s="3" t="s">
        <v>92</v>
      </c>
      <c r="J461" s="3" t="s">
        <v>67</v>
      </c>
      <c r="K461" s="4">
        <v>1601.32</v>
      </c>
      <c r="L461" s="6">
        <v>119.99</v>
      </c>
    </row>
    <row r="462" spans="1:12" x14ac:dyDescent="0.25">
      <c r="A462" s="1">
        <v>461</v>
      </c>
      <c r="B462" s="4">
        <v>3136</v>
      </c>
      <c r="C462" s="5">
        <v>40034</v>
      </c>
      <c r="D462" s="3" t="s">
        <v>86</v>
      </c>
      <c r="E462" s="1" t="s">
        <v>369</v>
      </c>
      <c r="F462" s="1" t="s">
        <v>53</v>
      </c>
      <c r="G462" s="2" t="s">
        <v>6</v>
      </c>
      <c r="H462" s="3" t="s">
        <v>88</v>
      </c>
      <c r="I462" s="3" t="s">
        <v>85</v>
      </c>
      <c r="J462" s="3" t="s">
        <v>63</v>
      </c>
      <c r="K462" s="4">
        <v>238.74</v>
      </c>
      <c r="L462" s="6">
        <v>30.98</v>
      </c>
    </row>
    <row r="463" spans="1:12" x14ac:dyDescent="0.25">
      <c r="A463" s="1">
        <v>462</v>
      </c>
      <c r="B463" s="4">
        <v>3138</v>
      </c>
      <c r="C463" s="5">
        <v>39852</v>
      </c>
      <c r="D463" s="3" t="s">
        <v>86</v>
      </c>
      <c r="E463" s="1" t="s">
        <v>312</v>
      </c>
      <c r="F463" s="1" t="s">
        <v>31</v>
      </c>
      <c r="G463" s="2" t="s">
        <v>1</v>
      </c>
      <c r="H463" s="3" t="s">
        <v>100</v>
      </c>
      <c r="I463" s="3" t="s">
        <v>92</v>
      </c>
      <c r="J463" s="3" t="s">
        <v>62</v>
      </c>
      <c r="K463" s="4">
        <v>718.03</v>
      </c>
      <c r="L463" s="6">
        <v>179.99</v>
      </c>
    </row>
    <row r="464" spans="1:12" x14ac:dyDescent="0.25">
      <c r="A464" s="1">
        <v>463</v>
      </c>
      <c r="B464" s="4">
        <v>3141</v>
      </c>
      <c r="C464" s="5">
        <v>40856</v>
      </c>
      <c r="D464" s="3" t="s">
        <v>95</v>
      </c>
      <c r="E464" s="1" t="s">
        <v>370</v>
      </c>
      <c r="F464" s="1" t="s">
        <v>31</v>
      </c>
      <c r="G464" s="2" t="s">
        <v>1</v>
      </c>
      <c r="H464" s="3" t="s">
        <v>97</v>
      </c>
      <c r="I464" s="3" t="s">
        <v>92</v>
      </c>
      <c r="J464" s="3" t="s">
        <v>62</v>
      </c>
      <c r="K464" s="4">
        <v>534.96</v>
      </c>
      <c r="L464" s="6">
        <v>18.89</v>
      </c>
    </row>
    <row r="465" spans="1:12" x14ac:dyDescent="0.25">
      <c r="A465" s="1">
        <v>464</v>
      </c>
      <c r="B465" s="4">
        <v>3168</v>
      </c>
      <c r="C465" s="5">
        <v>40937</v>
      </c>
      <c r="D465" s="3" t="s">
        <v>82</v>
      </c>
      <c r="E465" s="1" t="s">
        <v>364</v>
      </c>
      <c r="F465" s="1" t="s">
        <v>15</v>
      </c>
      <c r="G465" s="2" t="s">
        <v>1</v>
      </c>
      <c r="H465" s="3" t="s">
        <v>97</v>
      </c>
      <c r="I465" s="3" t="s">
        <v>91</v>
      </c>
      <c r="J465" s="3" t="s">
        <v>59</v>
      </c>
      <c r="K465" s="4">
        <v>80.599999999999994</v>
      </c>
      <c r="L465" s="6">
        <v>5.28</v>
      </c>
    </row>
    <row r="466" spans="1:12" x14ac:dyDescent="0.25">
      <c r="A466" s="1">
        <v>465</v>
      </c>
      <c r="B466" s="4">
        <v>3169</v>
      </c>
      <c r="C466" s="5">
        <v>40532</v>
      </c>
      <c r="D466" s="3" t="s">
        <v>4</v>
      </c>
      <c r="E466" s="1" t="s">
        <v>371</v>
      </c>
      <c r="F466" s="1" t="s">
        <v>10</v>
      </c>
      <c r="G466" s="2" t="s">
        <v>3</v>
      </c>
      <c r="H466" s="3" t="s">
        <v>88</v>
      </c>
      <c r="I466" s="3" t="s">
        <v>85</v>
      </c>
      <c r="J466" s="3" t="s">
        <v>71</v>
      </c>
      <c r="K466" s="4">
        <v>35.58</v>
      </c>
      <c r="L466" s="6">
        <v>4.42</v>
      </c>
    </row>
    <row r="467" spans="1:12" x14ac:dyDescent="0.25">
      <c r="A467" s="1">
        <v>466</v>
      </c>
      <c r="B467" s="4">
        <v>3172</v>
      </c>
      <c r="C467" s="5">
        <v>41062</v>
      </c>
      <c r="D467" s="3" t="s">
        <v>86</v>
      </c>
      <c r="E467" s="1" t="s">
        <v>372</v>
      </c>
      <c r="F467" s="1" t="s">
        <v>33</v>
      </c>
      <c r="G467" s="2" t="s">
        <v>2</v>
      </c>
      <c r="H467" s="3" t="s">
        <v>100</v>
      </c>
      <c r="I467" s="3" t="s">
        <v>92</v>
      </c>
      <c r="J467" s="3" t="s">
        <v>61</v>
      </c>
      <c r="K467" s="4">
        <v>584.51099999999997</v>
      </c>
      <c r="L467" s="6">
        <v>20.99</v>
      </c>
    </row>
    <row r="468" spans="1:12" x14ac:dyDescent="0.25">
      <c r="A468" s="1">
        <v>467</v>
      </c>
      <c r="B468" s="4">
        <v>3175</v>
      </c>
      <c r="C468" s="5">
        <v>40008</v>
      </c>
      <c r="D468" s="3" t="s">
        <v>82</v>
      </c>
      <c r="E468" s="1" t="s">
        <v>373</v>
      </c>
      <c r="F468" s="1" t="s">
        <v>24</v>
      </c>
      <c r="G468" s="2" t="s">
        <v>2</v>
      </c>
      <c r="H468" s="3" t="s">
        <v>84</v>
      </c>
      <c r="I468" s="3" t="s">
        <v>85</v>
      </c>
      <c r="J468" s="3" t="s">
        <v>57</v>
      </c>
      <c r="K468" s="4">
        <v>3553.62</v>
      </c>
      <c r="L468" s="6">
        <v>165.2</v>
      </c>
    </row>
    <row r="469" spans="1:12" x14ac:dyDescent="0.25">
      <c r="A469" s="1">
        <v>468</v>
      </c>
      <c r="B469" s="4">
        <v>3202</v>
      </c>
      <c r="C469" s="5">
        <v>41266</v>
      </c>
      <c r="D469" s="3" t="s">
        <v>82</v>
      </c>
      <c r="E469" s="1" t="s">
        <v>374</v>
      </c>
      <c r="F469" s="1" t="s">
        <v>45</v>
      </c>
      <c r="G469" s="2" t="s">
        <v>3</v>
      </c>
      <c r="H469" s="3" t="s">
        <v>100</v>
      </c>
      <c r="I469" s="3" t="s">
        <v>92</v>
      </c>
      <c r="J469" s="3" t="s">
        <v>62</v>
      </c>
      <c r="K469" s="4">
        <v>554.21</v>
      </c>
      <c r="L469" s="6">
        <v>53.98</v>
      </c>
    </row>
    <row r="470" spans="1:12" x14ac:dyDescent="0.25">
      <c r="A470" s="1">
        <v>469</v>
      </c>
      <c r="B470" s="4">
        <v>3205</v>
      </c>
      <c r="C470" s="5">
        <v>41009</v>
      </c>
      <c r="D470" s="3" t="s">
        <v>82</v>
      </c>
      <c r="E470" s="1" t="s">
        <v>375</v>
      </c>
      <c r="F470" s="1" t="s">
        <v>15</v>
      </c>
      <c r="G470" s="2" t="s">
        <v>1</v>
      </c>
      <c r="H470" s="3" t="s">
        <v>100</v>
      </c>
      <c r="I470" s="3" t="s">
        <v>91</v>
      </c>
      <c r="J470" s="3" t="s">
        <v>59</v>
      </c>
      <c r="K470" s="4">
        <v>136.61000000000001</v>
      </c>
      <c r="L470" s="6">
        <v>15.68</v>
      </c>
    </row>
    <row r="471" spans="1:12" x14ac:dyDescent="0.25">
      <c r="A471" s="1">
        <v>470</v>
      </c>
      <c r="B471" s="4">
        <v>3205</v>
      </c>
      <c r="C471" s="5">
        <v>41009</v>
      </c>
      <c r="D471" s="3" t="s">
        <v>82</v>
      </c>
      <c r="E471" s="1" t="s">
        <v>375</v>
      </c>
      <c r="F471" s="1" t="s">
        <v>15</v>
      </c>
      <c r="G471" s="2" t="s">
        <v>1</v>
      </c>
      <c r="H471" s="3" t="s">
        <v>100</v>
      </c>
      <c r="I471" s="3" t="s">
        <v>91</v>
      </c>
      <c r="J471" s="3" t="s">
        <v>60</v>
      </c>
      <c r="K471" s="4">
        <v>2907.63</v>
      </c>
      <c r="L471" s="6">
        <v>71.37</v>
      </c>
    </row>
    <row r="472" spans="1:12" x14ac:dyDescent="0.25">
      <c r="A472" s="1">
        <v>471</v>
      </c>
      <c r="B472" s="4">
        <v>3232</v>
      </c>
      <c r="C472" s="5">
        <v>41190</v>
      </c>
      <c r="D472" s="3" t="s">
        <v>95</v>
      </c>
      <c r="E472" s="1" t="s">
        <v>129</v>
      </c>
      <c r="F472" s="1" t="s">
        <v>8</v>
      </c>
      <c r="G472" s="2" t="s">
        <v>6</v>
      </c>
      <c r="H472" s="3" t="s">
        <v>84</v>
      </c>
      <c r="I472" s="3" t="s">
        <v>85</v>
      </c>
      <c r="J472" s="3" t="s">
        <v>69</v>
      </c>
      <c r="K472" s="4">
        <v>42.66</v>
      </c>
      <c r="L472" s="6">
        <v>7.84</v>
      </c>
    </row>
    <row r="473" spans="1:12" x14ac:dyDescent="0.25">
      <c r="A473" s="1">
        <v>472</v>
      </c>
      <c r="B473" s="4">
        <v>3235</v>
      </c>
      <c r="C473" s="5">
        <v>40861</v>
      </c>
      <c r="D473" s="3" t="s">
        <v>82</v>
      </c>
      <c r="E473" s="1" t="s">
        <v>376</v>
      </c>
      <c r="F473" s="1" t="s">
        <v>13</v>
      </c>
      <c r="G473" s="2" t="s">
        <v>6</v>
      </c>
      <c r="H473" s="3" t="s">
        <v>88</v>
      </c>
      <c r="I473" s="3" t="s">
        <v>85</v>
      </c>
      <c r="J473" s="3" t="s">
        <v>64</v>
      </c>
      <c r="K473" s="4">
        <v>142.97</v>
      </c>
      <c r="L473" s="6">
        <v>4.71</v>
      </c>
    </row>
    <row r="474" spans="1:12" x14ac:dyDescent="0.25">
      <c r="A474" s="1">
        <v>473</v>
      </c>
      <c r="B474" s="4">
        <v>3266</v>
      </c>
      <c r="C474" s="5">
        <v>40618</v>
      </c>
      <c r="D474" s="3" t="s">
        <v>82</v>
      </c>
      <c r="E474" s="1" t="s">
        <v>377</v>
      </c>
      <c r="F474" s="1" t="s">
        <v>13</v>
      </c>
      <c r="G474" s="2" t="s">
        <v>6</v>
      </c>
      <c r="H474" s="3" t="s">
        <v>88</v>
      </c>
      <c r="I474" s="3" t="s">
        <v>85</v>
      </c>
      <c r="J474" s="3" t="s">
        <v>69</v>
      </c>
      <c r="K474" s="4">
        <v>17.12</v>
      </c>
      <c r="L474" s="6">
        <v>3.8</v>
      </c>
    </row>
    <row r="475" spans="1:12" x14ac:dyDescent="0.25">
      <c r="A475" s="1">
        <v>474</v>
      </c>
      <c r="B475" s="4">
        <v>3271</v>
      </c>
      <c r="C475" s="5">
        <v>40908</v>
      </c>
      <c r="D475" s="3" t="s">
        <v>95</v>
      </c>
      <c r="E475" s="1" t="s">
        <v>378</v>
      </c>
      <c r="F475" s="1" t="s">
        <v>18</v>
      </c>
      <c r="G475" s="2" t="s">
        <v>6</v>
      </c>
      <c r="H475" s="3" t="s">
        <v>97</v>
      </c>
      <c r="I475" s="3" t="s">
        <v>92</v>
      </c>
      <c r="J475" s="3" t="s">
        <v>67</v>
      </c>
      <c r="K475" s="4">
        <v>11532.99</v>
      </c>
      <c r="L475" s="6">
        <v>264.98</v>
      </c>
    </row>
    <row r="476" spans="1:12" x14ac:dyDescent="0.25">
      <c r="A476" s="1">
        <v>475</v>
      </c>
      <c r="B476" s="4">
        <v>3271</v>
      </c>
      <c r="C476" s="5">
        <v>40908</v>
      </c>
      <c r="D476" s="3" t="s">
        <v>95</v>
      </c>
      <c r="E476" s="1" t="s">
        <v>378</v>
      </c>
      <c r="F476" s="1" t="s">
        <v>18</v>
      </c>
      <c r="G476" s="2" t="s">
        <v>6</v>
      </c>
      <c r="H476" s="3" t="s">
        <v>97</v>
      </c>
      <c r="I476" s="3" t="s">
        <v>85</v>
      </c>
      <c r="J476" s="3" t="s">
        <v>66</v>
      </c>
      <c r="K476" s="4">
        <v>146.1</v>
      </c>
      <c r="L476" s="6">
        <v>8.34</v>
      </c>
    </row>
    <row r="477" spans="1:12" x14ac:dyDescent="0.25">
      <c r="A477" s="1">
        <v>476</v>
      </c>
      <c r="B477" s="4">
        <v>3297</v>
      </c>
      <c r="C477" s="5">
        <v>41215</v>
      </c>
      <c r="D477" s="3" t="s">
        <v>89</v>
      </c>
      <c r="E477" s="1" t="s">
        <v>122</v>
      </c>
      <c r="F477" s="1" t="s">
        <v>9</v>
      </c>
      <c r="G477" s="2" t="s">
        <v>2</v>
      </c>
      <c r="H477" s="3" t="s">
        <v>100</v>
      </c>
      <c r="I477" s="3" t="s">
        <v>85</v>
      </c>
      <c r="J477" s="3" t="s">
        <v>65</v>
      </c>
      <c r="K477" s="4">
        <v>158.69999999999999</v>
      </c>
      <c r="L477" s="6">
        <v>3.75</v>
      </c>
    </row>
    <row r="478" spans="1:12" x14ac:dyDescent="0.25">
      <c r="A478" s="1">
        <v>477</v>
      </c>
      <c r="B478" s="4">
        <v>3300</v>
      </c>
      <c r="C478" s="5">
        <v>40738</v>
      </c>
      <c r="D478" s="3" t="s">
        <v>82</v>
      </c>
      <c r="E478" s="1" t="s">
        <v>379</v>
      </c>
      <c r="F478" s="1" t="s">
        <v>24</v>
      </c>
      <c r="G478" s="2" t="s">
        <v>2</v>
      </c>
      <c r="H478" s="3" t="s">
        <v>97</v>
      </c>
      <c r="I478" s="3" t="s">
        <v>92</v>
      </c>
      <c r="J478" s="3" t="s">
        <v>62</v>
      </c>
      <c r="K478" s="4">
        <v>92.02</v>
      </c>
      <c r="L478" s="6">
        <v>15.98</v>
      </c>
    </row>
    <row r="479" spans="1:12" x14ac:dyDescent="0.25">
      <c r="A479" s="1">
        <v>478</v>
      </c>
      <c r="B479" s="4">
        <v>3328</v>
      </c>
      <c r="C479" s="5">
        <v>41231</v>
      </c>
      <c r="D479" s="3" t="s">
        <v>82</v>
      </c>
      <c r="E479" s="1" t="s">
        <v>320</v>
      </c>
      <c r="F479" s="1" t="s">
        <v>24</v>
      </c>
      <c r="G479" s="2" t="s">
        <v>2</v>
      </c>
      <c r="H479" s="3" t="s">
        <v>88</v>
      </c>
      <c r="I479" s="3" t="s">
        <v>91</v>
      </c>
      <c r="J479" s="3" t="s">
        <v>60</v>
      </c>
      <c r="K479" s="4">
        <v>1736.41</v>
      </c>
      <c r="L479" s="6">
        <v>146.05000000000001</v>
      </c>
    </row>
    <row r="480" spans="1:12" x14ac:dyDescent="0.25">
      <c r="A480" s="1">
        <v>479</v>
      </c>
      <c r="B480" s="4">
        <v>3331</v>
      </c>
      <c r="C480" s="5">
        <v>40318</v>
      </c>
      <c r="D480" s="3" t="s">
        <v>89</v>
      </c>
      <c r="E480" s="1" t="s">
        <v>380</v>
      </c>
      <c r="F480" s="1" t="s">
        <v>10</v>
      </c>
      <c r="G480" s="2" t="s">
        <v>3</v>
      </c>
      <c r="H480" s="3" t="s">
        <v>88</v>
      </c>
      <c r="I480" s="3" t="s">
        <v>85</v>
      </c>
      <c r="J480" s="3" t="s">
        <v>65</v>
      </c>
      <c r="K480" s="4">
        <v>153.28</v>
      </c>
      <c r="L480" s="6">
        <v>4.91</v>
      </c>
    </row>
    <row r="481" spans="1:12" x14ac:dyDescent="0.25">
      <c r="A481" s="1">
        <v>480</v>
      </c>
      <c r="B481" s="4">
        <v>3332</v>
      </c>
      <c r="C481" s="5">
        <v>40121</v>
      </c>
      <c r="D481" s="3" t="s">
        <v>95</v>
      </c>
      <c r="E481" s="1" t="s">
        <v>381</v>
      </c>
      <c r="F481" s="1" t="s">
        <v>21</v>
      </c>
      <c r="G481" s="2" t="s">
        <v>1</v>
      </c>
      <c r="H481" s="3" t="s">
        <v>88</v>
      </c>
      <c r="I481" s="3" t="s">
        <v>85</v>
      </c>
      <c r="J481" s="3" t="s">
        <v>63</v>
      </c>
      <c r="K481" s="4">
        <v>22.19</v>
      </c>
      <c r="L481" s="6">
        <v>3.26</v>
      </c>
    </row>
    <row r="482" spans="1:12" x14ac:dyDescent="0.25">
      <c r="A482" s="1">
        <v>481</v>
      </c>
      <c r="B482" s="4">
        <v>3333</v>
      </c>
      <c r="C482" s="5">
        <v>41167</v>
      </c>
      <c r="D482" s="3" t="s">
        <v>86</v>
      </c>
      <c r="E482" s="1" t="s">
        <v>382</v>
      </c>
      <c r="F482" s="1" t="s">
        <v>34</v>
      </c>
      <c r="G482" s="2" t="s">
        <v>1</v>
      </c>
      <c r="H482" s="3" t="s">
        <v>97</v>
      </c>
      <c r="I482" s="3" t="s">
        <v>85</v>
      </c>
      <c r="J482" s="3" t="s">
        <v>70</v>
      </c>
      <c r="K482" s="4">
        <v>927.97</v>
      </c>
      <c r="L482" s="6">
        <v>22.98</v>
      </c>
    </row>
    <row r="483" spans="1:12" x14ac:dyDescent="0.25">
      <c r="A483" s="1">
        <v>482</v>
      </c>
      <c r="B483" s="4">
        <v>3333</v>
      </c>
      <c r="C483" s="5">
        <v>41167</v>
      </c>
      <c r="D483" s="3" t="s">
        <v>86</v>
      </c>
      <c r="E483" s="1" t="s">
        <v>382</v>
      </c>
      <c r="F483" s="1" t="s">
        <v>34</v>
      </c>
      <c r="G483" s="2" t="s">
        <v>1</v>
      </c>
      <c r="H483" s="3" t="s">
        <v>97</v>
      </c>
      <c r="I483" s="3" t="s">
        <v>85</v>
      </c>
      <c r="J483" s="3" t="s">
        <v>66</v>
      </c>
      <c r="K483" s="4">
        <v>59.05</v>
      </c>
      <c r="L483" s="6">
        <v>6.48</v>
      </c>
    </row>
    <row r="484" spans="1:12" x14ac:dyDescent="0.25">
      <c r="A484" s="1">
        <v>483</v>
      </c>
      <c r="B484" s="4">
        <v>3361</v>
      </c>
      <c r="C484" s="5">
        <v>41143</v>
      </c>
      <c r="D484" s="3" t="s">
        <v>86</v>
      </c>
      <c r="E484" s="1" t="s">
        <v>383</v>
      </c>
      <c r="F484" s="1" t="s">
        <v>25</v>
      </c>
      <c r="G484" s="2" t="s">
        <v>6</v>
      </c>
      <c r="H484" s="3" t="s">
        <v>88</v>
      </c>
      <c r="I484" s="3" t="s">
        <v>85</v>
      </c>
      <c r="J484" s="3" t="s">
        <v>66</v>
      </c>
      <c r="K484" s="4">
        <v>213.71</v>
      </c>
      <c r="L484" s="6">
        <v>4.28</v>
      </c>
    </row>
    <row r="485" spans="1:12" x14ac:dyDescent="0.25">
      <c r="A485" s="1">
        <v>484</v>
      </c>
      <c r="B485" s="4">
        <v>3361</v>
      </c>
      <c r="C485" s="5">
        <v>41143</v>
      </c>
      <c r="D485" s="3" t="s">
        <v>86</v>
      </c>
      <c r="E485" s="1" t="s">
        <v>383</v>
      </c>
      <c r="F485" s="1" t="s">
        <v>25</v>
      </c>
      <c r="G485" s="2" t="s">
        <v>6</v>
      </c>
      <c r="H485" s="3" t="s">
        <v>88</v>
      </c>
      <c r="I485" s="3" t="s">
        <v>85</v>
      </c>
      <c r="J485" s="3" t="s">
        <v>63</v>
      </c>
      <c r="K485" s="4">
        <v>133.66</v>
      </c>
      <c r="L485" s="6">
        <v>5.85</v>
      </c>
    </row>
    <row r="486" spans="1:12" x14ac:dyDescent="0.25">
      <c r="A486" s="1">
        <v>485</v>
      </c>
      <c r="B486" s="4">
        <v>3362</v>
      </c>
      <c r="C486" s="5">
        <v>40752</v>
      </c>
      <c r="D486" s="3" t="s">
        <v>82</v>
      </c>
      <c r="E486" s="1" t="s">
        <v>384</v>
      </c>
      <c r="F486" s="1" t="s">
        <v>11</v>
      </c>
      <c r="G486" s="2" t="s">
        <v>6</v>
      </c>
      <c r="H486" s="3" t="s">
        <v>84</v>
      </c>
      <c r="I486" s="3" t="s">
        <v>92</v>
      </c>
      <c r="J486" s="3" t="s">
        <v>62</v>
      </c>
      <c r="K486" s="4">
        <v>1699.52</v>
      </c>
      <c r="L486" s="6">
        <v>40.98</v>
      </c>
    </row>
    <row r="487" spans="1:12" x14ac:dyDescent="0.25">
      <c r="A487" s="1">
        <v>486</v>
      </c>
      <c r="B487" s="4">
        <v>3362</v>
      </c>
      <c r="C487" s="5">
        <v>40752</v>
      </c>
      <c r="D487" s="3" t="s">
        <v>82</v>
      </c>
      <c r="E487" s="1" t="s">
        <v>384</v>
      </c>
      <c r="F487" s="1" t="s">
        <v>11</v>
      </c>
      <c r="G487" s="2" t="s">
        <v>6</v>
      </c>
      <c r="H487" s="3" t="s">
        <v>84</v>
      </c>
      <c r="I487" s="3" t="s">
        <v>85</v>
      </c>
      <c r="J487" s="3" t="s">
        <v>57</v>
      </c>
      <c r="K487" s="4">
        <v>760.85</v>
      </c>
      <c r="L487" s="6">
        <v>15.14</v>
      </c>
    </row>
    <row r="488" spans="1:12" x14ac:dyDescent="0.25">
      <c r="A488" s="1">
        <v>487</v>
      </c>
      <c r="B488" s="4">
        <v>3363</v>
      </c>
      <c r="C488" s="5">
        <v>40808</v>
      </c>
      <c r="D488" s="3" t="s">
        <v>89</v>
      </c>
      <c r="E488" s="1" t="s">
        <v>385</v>
      </c>
      <c r="F488" s="1" t="s">
        <v>13</v>
      </c>
      <c r="G488" s="2" t="s">
        <v>6</v>
      </c>
      <c r="H488" s="3" t="s">
        <v>97</v>
      </c>
      <c r="I488" s="3" t="s">
        <v>85</v>
      </c>
      <c r="J488" s="3" t="s">
        <v>57</v>
      </c>
      <c r="K488" s="4">
        <v>8185.89</v>
      </c>
      <c r="L488" s="6">
        <v>415.88</v>
      </c>
    </row>
    <row r="489" spans="1:12" x14ac:dyDescent="0.25">
      <c r="A489" s="1">
        <v>488</v>
      </c>
      <c r="B489" s="4">
        <v>3393</v>
      </c>
      <c r="C489" s="5">
        <v>40727</v>
      </c>
      <c r="D489" s="3" t="s">
        <v>89</v>
      </c>
      <c r="E489" s="1" t="s">
        <v>386</v>
      </c>
      <c r="F489" s="1" t="s">
        <v>25</v>
      </c>
      <c r="G489" s="2" t="s">
        <v>6</v>
      </c>
      <c r="H489" s="3" t="s">
        <v>100</v>
      </c>
      <c r="I489" s="3" t="s">
        <v>92</v>
      </c>
      <c r="J489" s="3" t="s">
        <v>62</v>
      </c>
      <c r="K489" s="4">
        <v>127.74</v>
      </c>
      <c r="L489" s="6">
        <v>15.98</v>
      </c>
    </row>
    <row r="490" spans="1:12" x14ac:dyDescent="0.25">
      <c r="A490" s="1">
        <v>489</v>
      </c>
      <c r="B490" s="4">
        <v>3393</v>
      </c>
      <c r="C490" s="5">
        <v>40727</v>
      </c>
      <c r="D490" s="3" t="s">
        <v>89</v>
      </c>
      <c r="E490" s="1" t="s">
        <v>386</v>
      </c>
      <c r="F490" s="1" t="s">
        <v>25</v>
      </c>
      <c r="G490" s="2" t="s">
        <v>6</v>
      </c>
      <c r="H490" s="3" t="s">
        <v>100</v>
      </c>
      <c r="I490" s="3" t="s">
        <v>91</v>
      </c>
      <c r="J490" s="3" t="s">
        <v>59</v>
      </c>
      <c r="K490" s="4">
        <v>325.92</v>
      </c>
      <c r="L490" s="6">
        <v>9.48</v>
      </c>
    </row>
    <row r="491" spans="1:12" x14ac:dyDescent="0.25">
      <c r="A491" s="1">
        <v>490</v>
      </c>
      <c r="B491" s="4">
        <v>3395</v>
      </c>
      <c r="C491" s="5">
        <v>40115</v>
      </c>
      <c r="D491" s="3" t="s">
        <v>86</v>
      </c>
      <c r="E491" s="1" t="s">
        <v>387</v>
      </c>
      <c r="F491" s="1" t="s">
        <v>36</v>
      </c>
      <c r="G491" s="2" t="s">
        <v>2</v>
      </c>
      <c r="H491" s="3" t="s">
        <v>100</v>
      </c>
      <c r="I491" s="3" t="s">
        <v>85</v>
      </c>
      <c r="J491" s="3" t="s">
        <v>69</v>
      </c>
      <c r="K491" s="4">
        <v>181.17</v>
      </c>
      <c r="L491" s="6">
        <v>5.38</v>
      </c>
    </row>
    <row r="492" spans="1:12" x14ac:dyDescent="0.25">
      <c r="A492" s="1">
        <v>491</v>
      </c>
      <c r="B492" s="4">
        <v>3395</v>
      </c>
      <c r="C492" s="5">
        <v>40115</v>
      </c>
      <c r="D492" s="3" t="s">
        <v>86</v>
      </c>
      <c r="E492" s="1" t="s">
        <v>387</v>
      </c>
      <c r="F492" s="1" t="s">
        <v>36</v>
      </c>
      <c r="G492" s="2" t="s">
        <v>2</v>
      </c>
      <c r="H492" s="3" t="s">
        <v>100</v>
      </c>
      <c r="I492" s="3" t="s">
        <v>85</v>
      </c>
      <c r="J492" s="3" t="s">
        <v>66</v>
      </c>
      <c r="K492" s="4">
        <v>13.16</v>
      </c>
      <c r="L492" s="6">
        <v>7.35</v>
      </c>
    </row>
    <row r="493" spans="1:12" x14ac:dyDescent="0.25">
      <c r="A493" s="1">
        <v>492</v>
      </c>
      <c r="B493" s="4">
        <v>3395</v>
      </c>
      <c r="C493" s="5">
        <v>40115</v>
      </c>
      <c r="D493" s="3" t="s">
        <v>86</v>
      </c>
      <c r="E493" s="1" t="s">
        <v>388</v>
      </c>
      <c r="F493" s="1" t="s">
        <v>36</v>
      </c>
      <c r="G493" s="2" t="s">
        <v>2</v>
      </c>
      <c r="H493" s="3" t="s">
        <v>100</v>
      </c>
      <c r="I493" s="3" t="s">
        <v>85</v>
      </c>
      <c r="J493" s="3" t="s">
        <v>71</v>
      </c>
      <c r="K493" s="4">
        <v>107.88</v>
      </c>
      <c r="L493" s="6">
        <v>15.57</v>
      </c>
    </row>
    <row r="494" spans="1:12" x14ac:dyDescent="0.25">
      <c r="A494" s="1">
        <v>493</v>
      </c>
      <c r="B494" s="4">
        <v>3395</v>
      </c>
      <c r="C494" s="5">
        <v>40115</v>
      </c>
      <c r="D494" s="3" t="s">
        <v>86</v>
      </c>
      <c r="E494" s="1" t="s">
        <v>388</v>
      </c>
      <c r="F494" s="1" t="s">
        <v>36</v>
      </c>
      <c r="G494" s="2" t="s">
        <v>2</v>
      </c>
      <c r="H494" s="3" t="s">
        <v>100</v>
      </c>
      <c r="I494" s="3" t="s">
        <v>85</v>
      </c>
      <c r="J494" s="3" t="s">
        <v>57</v>
      </c>
      <c r="K494" s="4">
        <v>623.02</v>
      </c>
      <c r="L494" s="6">
        <v>20.89</v>
      </c>
    </row>
    <row r="495" spans="1:12" x14ac:dyDescent="0.25">
      <c r="A495" s="1">
        <v>494</v>
      </c>
      <c r="B495" s="4">
        <v>3397</v>
      </c>
      <c r="C495" s="5">
        <v>39986</v>
      </c>
      <c r="D495" s="3" t="s">
        <v>4</v>
      </c>
      <c r="E495" s="1" t="s">
        <v>389</v>
      </c>
      <c r="F495" s="1" t="s">
        <v>21</v>
      </c>
      <c r="G495" s="2" t="s">
        <v>1</v>
      </c>
      <c r="H495" s="3" t="s">
        <v>100</v>
      </c>
      <c r="I495" s="3" t="s">
        <v>92</v>
      </c>
      <c r="J495" s="3" t="s">
        <v>62</v>
      </c>
      <c r="K495" s="4">
        <v>815.89</v>
      </c>
      <c r="L495" s="6">
        <v>19.98</v>
      </c>
    </row>
    <row r="496" spans="1:12" x14ac:dyDescent="0.25">
      <c r="A496" s="1">
        <v>495</v>
      </c>
      <c r="B496" s="4">
        <v>3397</v>
      </c>
      <c r="C496" s="5">
        <v>39986</v>
      </c>
      <c r="D496" s="3" t="s">
        <v>4</v>
      </c>
      <c r="E496" s="1" t="s">
        <v>337</v>
      </c>
      <c r="F496" s="1" t="s">
        <v>20</v>
      </c>
      <c r="G496" s="2" t="s">
        <v>1</v>
      </c>
      <c r="H496" s="3" t="s">
        <v>100</v>
      </c>
      <c r="I496" s="3" t="s">
        <v>85</v>
      </c>
      <c r="J496" s="3" t="s">
        <v>69</v>
      </c>
      <c r="K496" s="4">
        <v>30.61</v>
      </c>
      <c r="L496" s="6">
        <v>2.88</v>
      </c>
    </row>
    <row r="497" spans="1:12" x14ac:dyDescent="0.25">
      <c r="A497" s="1">
        <v>496</v>
      </c>
      <c r="B497" s="4">
        <v>3456</v>
      </c>
      <c r="C497" s="5">
        <v>40329</v>
      </c>
      <c r="D497" s="3" t="s">
        <v>82</v>
      </c>
      <c r="E497" s="1" t="s">
        <v>390</v>
      </c>
      <c r="F497" s="1" t="s">
        <v>39</v>
      </c>
      <c r="G497" s="2" t="s">
        <v>1</v>
      </c>
      <c r="H497" s="3" t="s">
        <v>84</v>
      </c>
      <c r="I497" s="3" t="s">
        <v>91</v>
      </c>
      <c r="J497" s="3" t="s">
        <v>60</v>
      </c>
      <c r="K497" s="4">
        <v>5418.68</v>
      </c>
      <c r="L497" s="6">
        <v>280.98</v>
      </c>
    </row>
    <row r="498" spans="1:12" x14ac:dyDescent="0.25">
      <c r="A498" s="1">
        <v>497</v>
      </c>
      <c r="B498" s="4">
        <v>3458</v>
      </c>
      <c r="C498" s="5">
        <v>40168</v>
      </c>
      <c r="D498" s="3" t="s">
        <v>89</v>
      </c>
      <c r="E498" s="1" t="s">
        <v>391</v>
      </c>
      <c r="F498" s="1" t="s">
        <v>42</v>
      </c>
      <c r="G498" s="2" t="s">
        <v>3</v>
      </c>
      <c r="H498" s="3" t="s">
        <v>88</v>
      </c>
      <c r="I498" s="3" t="s">
        <v>92</v>
      </c>
      <c r="J498" s="3" t="s">
        <v>62</v>
      </c>
      <c r="K498" s="4">
        <v>627.91</v>
      </c>
      <c r="L498" s="6">
        <v>15.28</v>
      </c>
    </row>
    <row r="499" spans="1:12" x14ac:dyDescent="0.25">
      <c r="A499" s="1">
        <v>498</v>
      </c>
      <c r="B499" s="4">
        <v>3458</v>
      </c>
      <c r="C499" s="5">
        <v>40168</v>
      </c>
      <c r="D499" s="3" t="s">
        <v>89</v>
      </c>
      <c r="E499" s="1" t="s">
        <v>391</v>
      </c>
      <c r="F499" s="1" t="s">
        <v>42</v>
      </c>
      <c r="G499" s="2" t="s">
        <v>3</v>
      </c>
      <c r="H499" s="3" t="s">
        <v>88</v>
      </c>
      <c r="I499" s="3" t="s">
        <v>85</v>
      </c>
      <c r="J499" s="3" t="s">
        <v>63</v>
      </c>
      <c r="K499" s="4">
        <v>46.89</v>
      </c>
      <c r="L499" s="6">
        <v>1.76</v>
      </c>
    </row>
    <row r="500" spans="1:12" x14ac:dyDescent="0.25">
      <c r="A500" s="1">
        <v>499</v>
      </c>
      <c r="B500" s="4">
        <v>3459</v>
      </c>
      <c r="C500" s="5">
        <v>40021</v>
      </c>
      <c r="D500" s="3" t="s">
        <v>86</v>
      </c>
      <c r="E500" s="1" t="s">
        <v>392</v>
      </c>
      <c r="F500" s="1" t="s">
        <v>23</v>
      </c>
      <c r="G500" s="2" t="s">
        <v>3</v>
      </c>
      <c r="H500" s="3" t="s">
        <v>97</v>
      </c>
      <c r="I500" s="3" t="s">
        <v>92</v>
      </c>
      <c r="J500" s="3" t="s">
        <v>61</v>
      </c>
      <c r="K500" s="4">
        <v>2152.4039999999995</v>
      </c>
      <c r="L500" s="6">
        <v>110.99</v>
      </c>
    </row>
    <row r="501" spans="1:12" x14ac:dyDescent="0.25">
      <c r="A501" s="1">
        <v>500</v>
      </c>
      <c r="B501" s="4">
        <v>3460</v>
      </c>
      <c r="C501" s="5">
        <v>40818</v>
      </c>
      <c r="D501" s="3" t="s">
        <v>89</v>
      </c>
      <c r="E501" s="1" t="s">
        <v>393</v>
      </c>
      <c r="F501" s="1" t="s">
        <v>34</v>
      </c>
      <c r="G501" s="2" t="s">
        <v>1</v>
      </c>
      <c r="H501" s="3" t="s">
        <v>100</v>
      </c>
      <c r="I501" s="3" t="s">
        <v>85</v>
      </c>
      <c r="J501" s="3" t="s">
        <v>57</v>
      </c>
      <c r="K501" s="4">
        <v>153.22999999999999</v>
      </c>
      <c r="L501" s="6">
        <v>5.98</v>
      </c>
    </row>
    <row r="502" spans="1:12" x14ac:dyDescent="0.25">
      <c r="A502" s="1">
        <v>501</v>
      </c>
      <c r="B502" s="4">
        <v>3461</v>
      </c>
      <c r="C502" s="5">
        <v>40208</v>
      </c>
      <c r="D502" s="3" t="s">
        <v>95</v>
      </c>
      <c r="E502" s="1" t="s">
        <v>394</v>
      </c>
      <c r="F502" s="1" t="s">
        <v>26</v>
      </c>
      <c r="G502" s="2" t="s">
        <v>3</v>
      </c>
      <c r="H502" s="3" t="s">
        <v>97</v>
      </c>
      <c r="I502" s="3" t="s">
        <v>92</v>
      </c>
      <c r="J502" s="3" t="s">
        <v>61</v>
      </c>
      <c r="K502" s="4">
        <v>2053.3789999999999</v>
      </c>
      <c r="L502" s="6">
        <v>55.99</v>
      </c>
    </row>
    <row r="503" spans="1:12" x14ac:dyDescent="0.25">
      <c r="A503" s="1">
        <v>502</v>
      </c>
      <c r="B503" s="4">
        <v>3461</v>
      </c>
      <c r="C503" s="5">
        <v>40208</v>
      </c>
      <c r="D503" s="3" t="s">
        <v>95</v>
      </c>
      <c r="E503" s="1" t="s">
        <v>394</v>
      </c>
      <c r="F503" s="1" t="s">
        <v>26</v>
      </c>
      <c r="G503" s="2" t="s">
        <v>3</v>
      </c>
      <c r="H503" s="3" t="s">
        <v>97</v>
      </c>
      <c r="I503" s="3" t="s">
        <v>92</v>
      </c>
      <c r="J503" s="3" t="s">
        <v>61</v>
      </c>
      <c r="K503" s="4">
        <v>3206.3955000000001</v>
      </c>
      <c r="L503" s="6">
        <v>115.99</v>
      </c>
    </row>
    <row r="504" spans="1:12" x14ac:dyDescent="0.25">
      <c r="A504" s="1">
        <v>503</v>
      </c>
      <c r="B504" s="4">
        <v>3463</v>
      </c>
      <c r="C504" s="5">
        <v>40407</v>
      </c>
      <c r="D504" s="3" t="s">
        <v>95</v>
      </c>
      <c r="E504" s="1" t="s">
        <v>395</v>
      </c>
      <c r="F504" s="1" t="s">
        <v>41</v>
      </c>
      <c r="G504" s="2" t="s">
        <v>6</v>
      </c>
      <c r="H504" s="3" t="s">
        <v>100</v>
      </c>
      <c r="I504" s="3" t="s">
        <v>85</v>
      </c>
      <c r="J504" s="3" t="s">
        <v>66</v>
      </c>
      <c r="K504" s="4">
        <v>264.75</v>
      </c>
      <c r="L504" s="6">
        <v>6.48</v>
      </c>
    </row>
    <row r="505" spans="1:12" x14ac:dyDescent="0.25">
      <c r="A505" s="1">
        <v>504</v>
      </c>
      <c r="B505" s="4">
        <v>3488</v>
      </c>
      <c r="C505" s="5">
        <v>40550</v>
      </c>
      <c r="D505" s="3" t="s">
        <v>4</v>
      </c>
      <c r="E505" s="1" t="s">
        <v>396</v>
      </c>
      <c r="F505" s="1" t="s">
        <v>23</v>
      </c>
      <c r="G505" s="2" t="s">
        <v>3</v>
      </c>
      <c r="H505" s="3" t="s">
        <v>97</v>
      </c>
      <c r="I505" s="3" t="s">
        <v>91</v>
      </c>
      <c r="J505" s="3" t="s">
        <v>72</v>
      </c>
      <c r="K505" s="4">
        <v>4669.1899999999996</v>
      </c>
      <c r="L505" s="6">
        <v>122.99</v>
      </c>
    </row>
    <row r="506" spans="1:12" x14ac:dyDescent="0.25">
      <c r="A506" s="1">
        <v>505</v>
      </c>
      <c r="B506" s="4">
        <v>3488</v>
      </c>
      <c r="C506" s="5">
        <v>40550</v>
      </c>
      <c r="D506" s="3" t="s">
        <v>4</v>
      </c>
      <c r="E506" s="1" t="s">
        <v>396</v>
      </c>
      <c r="F506" s="1" t="s">
        <v>23</v>
      </c>
      <c r="G506" s="2" t="s">
        <v>3</v>
      </c>
      <c r="H506" s="3" t="s">
        <v>97</v>
      </c>
      <c r="I506" s="3" t="s">
        <v>85</v>
      </c>
      <c r="J506" s="3" t="s">
        <v>63</v>
      </c>
      <c r="K506" s="4">
        <v>133.4</v>
      </c>
      <c r="L506" s="6">
        <v>21.98</v>
      </c>
    </row>
    <row r="507" spans="1:12" x14ac:dyDescent="0.25">
      <c r="A507" s="1">
        <v>506</v>
      </c>
      <c r="B507" s="4">
        <v>3492</v>
      </c>
      <c r="C507" s="5">
        <v>40140</v>
      </c>
      <c r="D507" s="3" t="s">
        <v>82</v>
      </c>
      <c r="E507" s="1" t="s">
        <v>397</v>
      </c>
      <c r="F507" s="1" t="s">
        <v>23</v>
      </c>
      <c r="G507" s="2" t="s">
        <v>3</v>
      </c>
      <c r="H507" s="3" t="s">
        <v>88</v>
      </c>
      <c r="I507" s="3" t="s">
        <v>85</v>
      </c>
      <c r="J507" s="3" t="s">
        <v>69</v>
      </c>
      <c r="K507" s="4">
        <v>2393.63</v>
      </c>
      <c r="L507" s="6">
        <v>67.28</v>
      </c>
    </row>
    <row r="508" spans="1:12" x14ac:dyDescent="0.25">
      <c r="A508" s="1">
        <v>507</v>
      </c>
      <c r="B508" s="4">
        <v>3492</v>
      </c>
      <c r="C508" s="5">
        <v>40140</v>
      </c>
      <c r="D508" s="3" t="s">
        <v>82</v>
      </c>
      <c r="E508" s="1" t="s">
        <v>397</v>
      </c>
      <c r="F508" s="1" t="s">
        <v>23</v>
      </c>
      <c r="G508" s="2" t="s">
        <v>3</v>
      </c>
      <c r="H508" s="3" t="s">
        <v>88</v>
      </c>
      <c r="I508" s="3" t="s">
        <v>91</v>
      </c>
      <c r="J508" s="3" t="s">
        <v>68</v>
      </c>
      <c r="K508" s="4">
        <v>6177.53</v>
      </c>
      <c r="L508" s="6">
        <v>130.97999999999999</v>
      </c>
    </row>
    <row r="509" spans="1:12" x14ac:dyDescent="0.25">
      <c r="A509" s="1">
        <v>508</v>
      </c>
      <c r="B509" s="4">
        <v>3492</v>
      </c>
      <c r="C509" s="5">
        <v>40140</v>
      </c>
      <c r="D509" s="3" t="s">
        <v>82</v>
      </c>
      <c r="E509" s="1" t="s">
        <v>397</v>
      </c>
      <c r="F509" s="1" t="s">
        <v>23</v>
      </c>
      <c r="G509" s="2" t="s">
        <v>3</v>
      </c>
      <c r="H509" s="3" t="s">
        <v>88</v>
      </c>
      <c r="I509" s="3" t="s">
        <v>85</v>
      </c>
      <c r="J509" s="3" t="s">
        <v>63</v>
      </c>
      <c r="K509" s="4">
        <v>94.6</v>
      </c>
      <c r="L509" s="6">
        <v>2.78</v>
      </c>
    </row>
    <row r="510" spans="1:12" x14ac:dyDescent="0.25">
      <c r="A510" s="1">
        <v>509</v>
      </c>
      <c r="B510" s="4">
        <v>3493</v>
      </c>
      <c r="C510" s="5">
        <v>40413</v>
      </c>
      <c r="D510" s="3" t="s">
        <v>89</v>
      </c>
      <c r="E510" s="1" t="s">
        <v>398</v>
      </c>
      <c r="F510" s="1" t="s">
        <v>44</v>
      </c>
      <c r="G510" s="2" t="s">
        <v>3</v>
      </c>
      <c r="H510" s="3" t="s">
        <v>97</v>
      </c>
      <c r="I510" s="3" t="s">
        <v>92</v>
      </c>
      <c r="J510" s="3" t="s">
        <v>62</v>
      </c>
      <c r="K510" s="4">
        <v>7518.12</v>
      </c>
      <c r="L510" s="6">
        <v>152.47999999999999</v>
      </c>
    </row>
    <row r="511" spans="1:12" x14ac:dyDescent="0.25">
      <c r="A511" s="1">
        <v>510</v>
      </c>
      <c r="B511" s="4">
        <v>3521</v>
      </c>
      <c r="C511" s="5">
        <v>41207</v>
      </c>
      <c r="D511" s="3" t="s">
        <v>82</v>
      </c>
      <c r="E511" s="1" t="s">
        <v>399</v>
      </c>
      <c r="F511" s="1" t="s">
        <v>38</v>
      </c>
      <c r="G511" s="2" t="s">
        <v>6</v>
      </c>
      <c r="H511" s="3" t="s">
        <v>97</v>
      </c>
      <c r="I511" s="3" t="s">
        <v>85</v>
      </c>
      <c r="J511" s="3" t="s">
        <v>63</v>
      </c>
      <c r="K511" s="4">
        <v>204.11</v>
      </c>
      <c r="L511" s="6">
        <v>4.28</v>
      </c>
    </row>
    <row r="512" spans="1:12" x14ac:dyDescent="0.25">
      <c r="A512" s="1">
        <v>511</v>
      </c>
      <c r="B512" s="4">
        <v>3522</v>
      </c>
      <c r="C512" s="5">
        <v>40081</v>
      </c>
      <c r="D512" s="3" t="s">
        <v>82</v>
      </c>
      <c r="E512" s="1" t="s">
        <v>400</v>
      </c>
      <c r="F512" s="1" t="s">
        <v>42</v>
      </c>
      <c r="G512" s="2" t="s">
        <v>3</v>
      </c>
      <c r="H512" s="3" t="s">
        <v>100</v>
      </c>
      <c r="I512" s="3" t="s">
        <v>85</v>
      </c>
      <c r="J512" s="3" t="s">
        <v>70</v>
      </c>
      <c r="K512" s="4">
        <v>1935.17</v>
      </c>
      <c r="L512" s="6">
        <v>60.98</v>
      </c>
    </row>
    <row r="513" spans="1:12" x14ac:dyDescent="0.25">
      <c r="A513" s="1">
        <v>512</v>
      </c>
      <c r="B513" s="4">
        <v>3522</v>
      </c>
      <c r="C513" s="5">
        <v>40081</v>
      </c>
      <c r="D513" s="3" t="s">
        <v>82</v>
      </c>
      <c r="E513" s="1" t="s">
        <v>400</v>
      </c>
      <c r="F513" s="1" t="s">
        <v>42</v>
      </c>
      <c r="G513" s="2" t="s">
        <v>3</v>
      </c>
      <c r="H513" s="3" t="s">
        <v>100</v>
      </c>
      <c r="I513" s="3" t="s">
        <v>92</v>
      </c>
      <c r="J513" s="3" t="s">
        <v>62</v>
      </c>
      <c r="K513" s="4">
        <v>812.68</v>
      </c>
      <c r="L513" s="6">
        <v>29.89</v>
      </c>
    </row>
    <row r="514" spans="1:12" x14ac:dyDescent="0.25">
      <c r="A514" s="1">
        <v>513</v>
      </c>
      <c r="B514" s="4">
        <v>3524</v>
      </c>
      <c r="C514" s="5">
        <v>41031</v>
      </c>
      <c r="D514" s="3" t="s">
        <v>89</v>
      </c>
      <c r="E514" s="1" t="s">
        <v>401</v>
      </c>
      <c r="F514" s="1" t="s">
        <v>8</v>
      </c>
      <c r="G514" s="2" t="s">
        <v>6</v>
      </c>
      <c r="H514" s="3" t="s">
        <v>84</v>
      </c>
      <c r="I514" s="3" t="s">
        <v>85</v>
      </c>
      <c r="J514" s="3" t="s">
        <v>66</v>
      </c>
      <c r="K514" s="4">
        <v>427.32</v>
      </c>
      <c r="L514" s="6">
        <v>18.97</v>
      </c>
    </row>
    <row r="515" spans="1:12" x14ac:dyDescent="0.25">
      <c r="A515" s="1">
        <v>514</v>
      </c>
      <c r="B515" s="4">
        <v>3525</v>
      </c>
      <c r="C515" s="5">
        <v>40898</v>
      </c>
      <c r="D515" s="3" t="s">
        <v>86</v>
      </c>
      <c r="E515" s="1" t="s">
        <v>379</v>
      </c>
      <c r="F515" s="1" t="s">
        <v>24</v>
      </c>
      <c r="G515" s="2" t="s">
        <v>2</v>
      </c>
      <c r="H515" s="3" t="s">
        <v>97</v>
      </c>
      <c r="I515" s="3" t="s">
        <v>85</v>
      </c>
      <c r="J515" s="3" t="s">
        <v>63</v>
      </c>
      <c r="K515" s="4">
        <v>115.43</v>
      </c>
      <c r="L515" s="6">
        <v>2.78</v>
      </c>
    </row>
    <row r="516" spans="1:12" x14ac:dyDescent="0.25">
      <c r="A516" s="1">
        <v>515</v>
      </c>
      <c r="B516" s="4">
        <v>3526</v>
      </c>
      <c r="C516" s="5">
        <v>40617</v>
      </c>
      <c r="D516" s="3" t="s">
        <v>82</v>
      </c>
      <c r="E516" s="1" t="s">
        <v>402</v>
      </c>
      <c r="F516" s="1" t="s">
        <v>24</v>
      </c>
      <c r="G516" s="2" t="s">
        <v>2</v>
      </c>
      <c r="H516" s="3" t="s">
        <v>84</v>
      </c>
      <c r="I516" s="3" t="s">
        <v>91</v>
      </c>
      <c r="J516" s="3" t="s">
        <v>59</v>
      </c>
      <c r="K516" s="4">
        <v>246.06</v>
      </c>
      <c r="L516" s="6">
        <v>12.07</v>
      </c>
    </row>
    <row r="517" spans="1:12" x14ac:dyDescent="0.25">
      <c r="A517" s="1">
        <v>516</v>
      </c>
      <c r="B517" s="4">
        <v>3553</v>
      </c>
      <c r="C517" s="5">
        <v>39950</v>
      </c>
      <c r="D517" s="3" t="s">
        <v>4</v>
      </c>
      <c r="E517" s="1" t="s">
        <v>397</v>
      </c>
      <c r="F517" s="1" t="s">
        <v>23</v>
      </c>
      <c r="G517" s="2" t="s">
        <v>3</v>
      </c>
      <c r="H517" s="3" t="s">
        <v>88</v>
      </c>
      <c r="I517" s="3" t="s">
        <v>85</v>
      </c>
      <c r="J517" s="3" t="s">
        <v>63</v>
      </c>
      <c r="K517" s="4">
        <v>20.5</v>
      </c>
      <c r="L517" s="6">
        <v>2.94</v>
      </c>
    </row>
    <row r="518" spans="1:12" x14ac:dyDescent="0.25">
      <c r="A518" s="1">
        <v>517</v>
      </c>
      <c r="B518" s="4">
        <v>3554</v>
      </c>
      <c r="C518" s="5">
        <v>40710</v>
      </c>
      <c r="D518" s="3" t="s">
        <v>82</v>
      </c>
      <c r="E518" s="1" t="s">
        <v>403</v>
      </c>
      <c r="F518" s="1" t="s">
        <v>26</v>
      </c>
      <c r="G518" s="2" t="s">
        <v>3</v>
      </c>
      <c r="H518" s="3" t="s">
        <v>88</v>
      </c>
      <c r="I518" s="3" t="s">
        <v>85</v>
      </c>
      <c r="J518" s="3" t="s">
        <v>66</v>
      </c>
      <c r="K518" s="4">
        <v>288.91000000000003</v>
      </c>
      <c r="L518" s="6">
        <v>12.28</v>
      </c>
    </row>
    <row r="519" spans="1:12" x14ac:dyDescent="0.25">
      <c r="A519" s="1">
        <v>518</v>
      </c>
      <c r="B519" s="4">
        <v>3556</v>
      </c>
      <c r="C519" s="5">
        <v>41174</v>
      </c>
      <c r="D519" s="3" t="s">
        <v>86</v>
      </c>
      <c r="E519" s="1" t="s">
        <v>390</v>
      </c>
      <c r="F519" s="1" t="s">
        <v>39</v>
      </c>
      <c r="G519" s="2" t="s">
        <v>1</v>
      </c>
      <c r="H519" s="3" t="s">
        <v>97</v>
      </c>
      <c r="I519" s="3" t="s">
        <v>85</v>
      </c>
      <c r="J519" s="3" t="s">
        <v>69</v>
      </c>
      <c r="K519" s="4">
        <v>269.37</v>
      </c>
      <c r="L519" s="6">
        <v>5.74</v>
      </c>
    </row>
    <row r="520" spans="1:12" x14ac:dyDescent="0.25">
      <c r="A520" s="1">
        <v>519</v>
      </c>
      <c r="B520" s="4">
        <v>3556</v>
      </c>
      <c r="C520" s="5">
        <v>41174</v>
      </c>
      <c r="D520" s="3" t="s">
        <v>86</v>
      </c>
      <c r="E520" s="1" t="s">
        <v>404</v>
      </c>
      <c r="F520" s="1" t="s">
        <v>21</v>
      </c>
      <c r="G520" s="2" t="s">
        <v>1</v>
      </c>
      <c r="H520" s="3" t="s">
        <v>97</v>
      </c>
      <c r="I520" s="3" t="s">
        <v>91</v>
      </c>
      <c r="J520" s="3" t="s">
        <v>72</v>
      </c>
      <c r="K520" s="4">
        <v>4933.99</v>
      </c>
      <c r="L520" s="6">
        <v>128.24</v>
      </c>
    </row>
    <row r="521" spans="1:12" x14ac:dyDescent="0.25">
      <c r="A521" s="1">
        <v>520</v>
      </c>
      <c r="B521" s="4">
        <v>3559</v>
      </c>
      <c r="C521" s="5">
        <v>41205</v>
      </c>
      <c r="D521" s="3" t="s">
        <v>4</v>
      </c>
      <c r="E521" s="1" t="s">
        <v>141</v>
      </c>
      <c r="F521" s="1" t="s">
        <v>15</v>
      </c>
      <c r="G521" s="2" t="s">
        <v>1</v>
      </c>
      <c r="H521" s="3" t="s">
        <v>88</v>
      </c>
      <c r="I521" s="3" t="s">
        <v>85</v>
      </c>
      <c r="J521" s="3" t="s">
        <v>69</v>
      </c>
      <c r="K521" s="4">
        <v>136.66999999999999</v>
      </c>
      <c r="L521" s="6">
        <v>3.81</v>
      </c>
    </row>
    <row r="522" spans="1:12" x14ac:dyDescent="0.25">
      <c r="A522" s="1">
        <v>521</v>
      </c>
      <c r="B522" s="4">
        <v>3585</v>
      </c>
      <c r="C522" s="5">
        <v>40139</v>
      </c>
      <c r="D522" s="3" t="s">
        <v>89</v>
      </c>
      <c r="E522" s="1" t="s">
        <v>394</v>
      </c>
      <c r="F522" s="1" t="s">
        <v>13</v>
      </c>
      <c r="G522" s="2" t="s">
        <v>6</v>
      </c>
      <c r="H522" s="3" t="s">
        <v>88</v>
      </c>
      <c r="I522" s="3" t="s">
        <v>85</v>
      </c>
      <c r="J522" s="3" t="s">
        <v>66</v>
      </c>
      <c r="K522" s="4">
        <v>259.72000000000003</v>
      </c>
      <c r="L522" s="6">
        <v>10.06</v>
      </c>
    </row>
    <row r="523" spans="1:12" x14ac:dyDescent="0.25">
      <c r="A523" s="1">
        <v>522</v>
      </c>
      <c r="B523" s="4">
        <v>3585</v>
      </c>
      <c r="C523" s="5">
        <v>40139</v>
      </c>
      <c r="D523" s="3" t="s">
        <v>89</v>
      </c>
      <c r="E523" s="1" t="s">
        <v>394</v>
      </c>
      <c r="F523" s="1" t="s">
        <v>13</v>
      </c>
      <c r="G523" s="2" t="s">
        <v>6</v>
      </c>
      <c r="H523" s="3" t="s">
        <v>88</v>
      </c>
      <c r="I523" s="3" t="s">
        <v>85</v>
      </c>
      <c r="J523" s="3" t="s">
        <v>63</v>
      </c>
      <c r="K523" s="4">
        <v>54.69</v>
      </c>
      <c r="L523" s="6">
        <v>1.68</v>
      </c>
    </row>
    <row r="524" spans="1:12" x14ac:dyDescent="0.25">
      <c r="A524" s="1">
        <v>523</v>
      </c>
      <c r="B524" s="4">
        <v>3586</v>
      </c>
      <c r="C524" s="5">
        <v>40516</v>
      </c>
      <c r="D524" s="3" t="s">
        <v>89</v>
      </c>
      <c r="E524" s="1" t="s">
        <v>405</v>
      </c>
      <c r="F524" s="1" t="s">
        <v>15</v>
      </c>
      <c r="G524" s="2" t="s">
        <v>1</v>
      </c>
      <c r="H524" s="3" t="s">
        <v>97</v>
      </c>
      <c r="I524" s="3" t="s">
        <v>91</v>
      </c>
      <c r="J524" s="3" t="s">
        <v>59</v>
      </c>
      <c r="K524" s="4">
        <v>383.57</v>
      </c>
      <c r="L524" s="6">
        <v>12.58</v>
      </c>
    </row>
    <row r="525" spans="1:12" x14ac:dyDescent="0.25">
      <c r="A525" s="1">
        <v>524</v>
      </c>
      <c r="B525" s="4">
        <v>3586</v>
      </c>
      <c r="C525" s="5">
        <v>40516</v>
      </c>
      <c r="D525" s="3" t="s">
        <v>89</v>
      </c>
      <c r="E525" s="1" t="s">
        <v>405</v>
      </c>
      <c r="F525" s="1" t="s">
        <v>15</v>
      </c>
      <c r="G525" s="2" t="s">
        <v>1</v>
      </c>
      <c r="H525" s="3" t="s">
        <v>97</v>
      </c>
      <c r="I525" s="3" t="s">
        <v>91</v>
      </c>
      <c r="J525" s="3" t="s">
        <v>59</v>
      </c>
      <c r="K525" s="4">
        <v>461.1</v>
      </c>
      <c r="L525" s="6">
        <v>14.34</v>
      </c>
    </row>
    <row r="526" spans="1:12" x14ac:dyDescent="0.25">
      <c r="A526" s="1">
        <v>525</v>
      </c>
      <c r="B526" s="4">
        <v>3588</v>
      </c>
      <c r="C526" s="5">
        <v>40620</v>
      </c>
      <c r="D526" s="3" t="s">
        <v>86</v>
      </c>
      <c r="E526" s="1" t="s">
        <v>398</v>
      </c>
      <c r="F526" s="1" t="s">
        <v>44</v>
      </c>
      <c r="G526" s="2" t="s">
        <v>3</v>
      </c>
      <c r="H526" s="3" t="s">
        <v>97</v>
      </c>
      <c r="I526" s="3" t="s">
        <v>85</v>
      </c>
      <c r="J526" s="3" t="s">
        <v>70</v>
      </c>
      <c r="K526" s="4">
        <v>374.38</v>
      </c>
      <c r="L526" s="6">
        <v>8.67</v>
      </c>
    </row>
    <row r="527" spans="1:12" x14ac:dyDescent="0.25">
      <c r="A527" s="1">
        <v>526</v>
      </c>
      <c r="B527" s="4">
        <v>3588</v>
      </c>
      <c r="C527" s="5">
        <v>40620</v>
      </c>
      <c r="D527" s="3" t="s">
        <v>86</v>
      </c>
      <c r="E527" s="1" t="s">
        <v>398</v>
      </c>
      <c r="F527" s="1" t="s">
        <v>44</v>
      </c>
      <c r="G527" s="2" t="s">
        <v>3</v>
      </c>
      <c r="H527" s="3" t="s">
        <v>97</v>
      </c>
      <c r="I527" s="3" t="s">
        <v>92</v>
      </c>
      <c r="J527" s="3" t="s">
        <v>62</v>
      </c>
      <c r="K527" s="4">
        <v>1557.42</v>
      </c>
      <c r="L527" s="6">
        <v>73.98</v>
      </c>
    </row>
    <row r="528" spans="1:12" x14ac:dyDescent="0.25">
      <c r="A528" s="1">
        <v>527</v>
      </c>
      <c r="B528" s="4">
        <v>3588</v>
      </c>
      <c r="C528" s="5">
        <v>40620</v>
      </c>
      <c r="D528" s="3" t="s">
        <v>86</v>
      </c>
      <c r="E528" s="1" t="s">
        <v>398</v>
      </c>
      <c r="F528" s="1" t="s">
        <v>44</v>
      </c>
      <c r="G528" s="2" t="s">
        <v>3</v>
      </c>
      <c r="H528" s="3" t="s">
        <v>97</v>
      </c>
      <c r="I528" s="3" t="s">
        <v>91</v>
      </c>
      <c r="J528" s="3" t="s">
        <v>59</v>
      </c>
      <c r="K528" s="4">
        <v>410.27</v>
      </c>
      <c r="L528" s="6">
        <v>30.93</v>
      </c>
    </row>
    <row r="529" spans="1:12" x14ac:dyDescent="0.25">
      <c r="A529" s="1">
        <v>528</v>
      </c>
      <c r="B529" s="4">
        <v>3588</v>
      </c>
      <c r="C529" s="5">
        <v>40620</v>
      </c>
      <c r="D529" s="3" t="s">
        <v>86</v>
      </c>
      <c r="E529" s="1" t="s">
        <v>398</v>
      </c>
      <c r="F529" s="1" t="s">
        <v>44</v>
      </c>
      <c r="G529" s="2" t="s">
        <v>3</v>
      </c>
      <c r="H529" s="3" t="s">
        <v>97</v>
      </c>
      <c r="I529" s="3" t="s">
        <v>92</v>
      </c>
      <c r="J529" s="3" t="s">
        <v>67</v>
      </c>
      <c r="K529" s="4">
        <v>1531.93</v>
      </c>
      <c r="L529" s="6">
        <v>90.97</v>
      </c>
    </row>
    <row r="530" spans="1:12" x14ac:dyDescent="0.25">
      <c r="A530" s="1">
        <v>529</v>
      </c>
      <c r="B530" s="4">
        <v>3589</v>
      </c>
      <c r="C530" s="5">
        <v>39958</v>
      </c>
      <c r="D530" s="3" t="s">
        <v>89</v>
      </c>
      <c r="E530" s="1" t="s">
        <v>406</v>
      </c>
      <c r="F530" s="1" t="s">
        <v>21</v>
      </c>
      <c r="G530" s="2" t="s">
        <v>1</v>
      </c>
      <c r="H530" s="3" t="s">
        <v>97</v>
      </c>
      <c r="I530" s="3" t="s">
        <v>85</v>
      </c>
      <c r="J530" s="3" t="s">
        <v>65</v>
      </c>
      <c r="K530" s="4">
        <v>72.930000000000007</v>
      </c>
      <c r="L530" s="6">
        <v>3.15</v>
      </c>
    </row>
    <row r="531" spans="1:12" x14ac:dyDescent="0.25">
      <c r="A531" s="1">
        <v>530</v>
      </c>
      <c r="B531" s="4">
        <v>3591</v>
      </c>
      <c r="C531" s="5">
        <v>40519</v>
      </c>
      <c r="D531" s="3" t="s">
        <v>4</v>
      </c>
      <c r="E531" s="1" t="s">
        <v>407</v>
      </c>
      <c r="F531" s="1" t="s">
        <v>34</v>
      </c>
      <c r="G531" s="2" t="s">
        <v>1</v>
      </c>
      <c r="H531" s="3" t="s">
        <v>84</v>
      </c>
      <c r="I531" s="3" t="s">
        <v>85</v>
      </c>
      <c r="J531" s="3" t="s">
        <v>70</v>
      </c>
      <c r="K531" s="4">
        <v>321.57</v>
      </c>
      <c r="L531" s="6">
        <v>100.98</v>
      </c>
    </row>
    <row r="532" spans="1:12" x14ac:dyDescent="0.25">
      <c r="A532" s="1">
        <v>531</v>
      </c>
      <c r="B532" s="4">
        <v>3591</v>
      </c>
      <c r="C532" s="5">
        <v>40519</v>
      </c>
      <c r="D532" s="3" t="s">
        <v>4</v>
      </c>
      <c r="E532" s="1" t="s">
        <v>407</v>
      </c>
      <c r="F532" s="1" t="s">
        <v>34</v>
      </c>
      <c r="G532" s="2" t="s">
        <v>1</v>
      </c>
      <c r="H532" s="3" t="s">
        <v>84</v>
      </c>
      <c r="I532" s="3" t="s">
        <v>91</v>
      </c>
      <c r="J532" s="3" t="s">
        <v>72</v>
      </c>
      <c r="K532" s="4">
        <v>1085.1600000000001</v>
      </c>
      <c r="L532" s="6">
        <v>89.99</v>
      </c>
    </row>
    <row r="533" spans="1:12" x14ac:dyDescent="0.25">
      <c r="A533" s="1">
        <v>532</v>
      </c>
      <c r="B533" s="4">
        <v>3621</v>
      </c>
      <c r="C533" s="5">
        <v>40303</v>
      </c>
      <c r="D533" s="3" t="s">
        <v>4</v>
      </c>
      <c r="E533" s="1" t="s">
        <v>313</v>
      </c>
      <c r="F533" s="1" t="s">
        <v>24</v>
      </c>
      <c r="G533" s="2" t="s">
        <v>2</v>
      </c>
      <c r="H533" s="3" t="s">
        <v>84</v>
      </c>
      <c r="I533" s="3" t="s">
        <v>85</v>
      </c>
      <c r="J533" s="3" t="s">
        <v>71</v>
      </c>
      <c r="K533" s="4">
        <v>83.87</v>
      </c>
      <c r="L533" s="6">
        <v>5.58</v>
      </c>
    </row>
    <row r="534" spans="1:12" x14ac:dyDescent="0.25">
      <c r="A534" s="1">
        <v>533</v>
      </c>
      <c r="B534" s="4">
        <v>3622</v>
      </c>
      <c r="C534" s="5">
        <v>40873</v>
      </c>
      <c r="D534" s="3" t="s">
        <v>82</v>
      </c>
      <c r="E534" s="1" t="s">
        <v>408</v>
      </c>
      <c r="F534" s="1" t="s">
        <v>23</v>
      </c>
      <c r="G534" s="2" t="s">
        <v>3</v>
      </c>
      <c r="H534" s="3" t="s">
        <v>100</v>
      </c>
      <c r="I534" s="3" t="s">
        <v>85</v>
      </c>
      <c r="J534" s="3" t="s">
        <v>69</v>
      </c>
      <c r="K534" s="4">
        <v>76.599999999999994</v>
      </c>
      <c r="L534" s="6">
        <v>4.24</v>
      </c>
    </row>
    <row r="535" spans="1:12" x14ac:dyDescent="0.25">
      <c r="A535" s="1">
        <v>534</v>
      </c>
      <c r="B535" s="4">
        <v>3648</v>
      </c>
      <c r="C535" s="5">
        <v>40345</v>
      </c>
      <c r="D535" s="3" t="s">
        <v>82</v>
      </c>
      <c r="E535" s="1" t="s">
        <v>409</v>
      </c>
      <c r="F535" s="1" t="s">
        <v>53</v>
      </c>
      <c r="G535" s="2" t="s">
        <v>6</v>
      </c>
      <c r="H535" s="3" t="s">
        <v>97</v>
      </c>
      <c r="I535" s="3" t="s">
        <v>85</v>
      </c>
      <c r="J535" s="3" t="s">
        <v>65</v>
      </c>
      <c r="K535" s="4">
        <v>134.81</v>
      </c>
      <c r="L535" s="6">
        <v>3.15</v>
      </c>
    </row>
    <row r="536" spans="1:12" x14ac:dyDescent="0.25">
      <c r="A536" s="1">
        <v>535</v>
      </c>
      <c r="B536" s="4">
        <v>3648</v>
      </c>
      <c r="C536" s="5">
        <v>40345</v>
      </c>
      <c r="D536" s="3" t="s">
        <v>82</v>
      </c>
      <c r="E536" s="1" t="s">
        <v>409</v>
      </c>
      <c r="F536" s="1" t="s">
        <v>53</v>
      </c>
      <c r="G536" s="2" t="s">
        <v>6</v>
      </c>
      <c r="H536" s="3" t="s">
        <v>97</v>
      </c>
      <c r="I536" s="3" t="s">
        <v>92</v>
      </c>
      <c r="J536" s="3" t="s">
        <v>61</v>
      </c>
      <c r="K536" s="4">
        <v>5488.5264999999999</v>
      </c>
      <c r="L536" s="6">
        <v>195.99</v>
      </c>
    </row>
    <row r="537" spans="1:12" x14ac:dyDescent="0.25">
      <c r="A537" s="1">
        <v>536</v>
      </c>
      <c r="B537" s="4">
        <v>3649</v>
      </c>
      <c r="C537" s="5">
        <v>39999</v>
      </c>
      <c r="D537" s="3" t="s">
        <v>82</v>
      </c>
      <c r="E537" s="1" t="s">
        <v>410</v>
      </c>
      <c r="F537" s="1" t="s">
        <v>24</v>
      </c>
      <c r="G537" s="2" t="s">
        <v>2</v>
      </c>
      <c r="H537" s="3" t="s">
        <v>97</v>
      </c>
      <c r="I537" s="3" t="s">
        <v>85</v>
      </c>
      <c r="J537" s="3" t="s">
        <v>69</v>
      </c>
      <c r="K537" s="4">
        <v>79.42</v>
      </c>
      <c r="L537" s="6">
        <v>8.8800000000000008</v>
      </c>
    </row>
    <row r="538" spans="1:12" x14ac:dyDescent="0.25">
      <c r="A538" s="1">
        <v>537</v>
      </c>
      <c r="B538" s="4">
        <v>3649</v>
      </c>
      <c r="C538" s="5">
        <v>39999</v>
      </c>
      <c r="D538" s="3" t="s">
        <v>82</v>
      </c>
      <c r="E538" s="1" t="s">
        <v>410</v>
      </c>
      <c r="F538" s="1" t="s">
        <v>24</v>
      </c>
      <c r="G538" s="2" t="s">
        <v>2</v>
      </c>
      <c r="H538" s="3" t="s">
        <v>97</v>
      </c>
      <c r="I538" s="3" t="s">
        <v>85</v>
      </c>
      <c r="J538" s="3" t="s">
        <v>65</v>
      </c>
      <c r="K538" s="4">
        <v>75.599999999999994</v>
      </c>
      <c r="L538" s="6">
        <v>2.88</v>
      </c>
    </row>
    <row r="539" spans="1:12" x14ac:dyDescent="0.25">
      <c r="A539" s="1">
        <v>538</v>
      </c>
      <c r="B539" s="4">
        <v>3650</v>
      </c>
      <c r="C539" s="5">
        <v>41056</v>
      </c>
      <c r="D539" s="3" t="s">
        <v>86</v>
      </c>
      <c r="E539" s="1" t="s">
        <v>411</v>
      </c>
      <c r="F539" s="1" t="s">
        <v>10</v>
      </c>
      <c r="G539" s="2" t="s">
        <v>3</v>
      </c>
      <c r="H539" s="3" t="s">
        <v>97</v>
      </c>
      <c r="I539" s="3" t="s">
        <v>85</v>
      </c>
      <c r="J539" s="3" t="s">
        <v>69</v>
      </c>
      <c r="K539" s="4">
        <v>139.94999999999999</v>
      </c>
      <c r="L539" s="6">
        <v>3.58</v>
      </c>
    </row>
    <row r="540" spans="1:12" x14ac:dyDescent="0.25">
      <c r="A540" s="1">
        <v>539</v>
      </c>
      <c r="B540" s="4">
        <v>3650</v>
      </c>
      <c r="C540" s="5">
        <v>41056</v>
      </c>
      <c r="D540" s="3" t="s">
        <v>86</v>
      </c>
      <c r="E540" s="1" t="s">
        <v>411</v>
      </c>
      <c r="F540" s="1" t="s">
        <v>10</v>
      </c>
      <c r="G540" s="2" t="s">
        <v>3</v>
      </c>
      <c r="H540" s="3" t="s">
        <v>97</v>
      </c>
      <c r="I540" s="3" t="s">
        <v>91</v>
      </c>
      <c r="J540" s="3" t="s">
        <v>72</v>
      </c>
      <c r="K540" s="4">
        <v>5207.5</v>
      </c>
      <c r="L540" s="6">
        <v>216.6</v>
      </c>
    </row>
    <row r="541" spans="1:12" x14ac:dyDescent="0.25">
      <c r="A541" s="1">
        <v>540</v>
      </c>
      <c r="B541" s="4">
        <v>3653</v>
      </c>
      <c r="C541" s="5">
        <v>39898</v>
      </c>
      <c r="D541" s="3" t="s">
        <v>95</v>
      </c>
      <c r="E541" s="1" t="s">
        <v>412</v>
      </c>
      <c r="F541" s="1" t="s">
        <v>42</v>
      </c>
      <c r="G541" s="2" t="s">
        <v>3</v>
      </c>
      <c r="H541" s="3" t="s">
        <v>88</v>
      </c>
      <c r="I541" s="3" t="s">
        <v>85</v>
      </c>
      <c r="J541" s="3" t="s">
        <v>63</v>
      </c>
      <c r="K541" s="4">
        <v>271.11</v>
      </c>
      <c r="L541" s="6">
        <v>6.68</v>
      </c>
    </row>
    <row r="542" spans="1:12" x14ac:dyDescent="0.25">
      <c r="A542" s="1">
        <v>541</v>
      </c>
      <c r="B542" s="4">
        <v>3654</v>
      </c>
      <c r="C542" s="5">
        <v>41062</v>
      </c>
      <c r="D542" s="3" t="s">
        <v>82</v>
      </c>
      <c r="E542" s="1" t="s">
        <v>413</v>
      </c>
      <c r="F542" s="1" t="s">
        <v>24</v>
      </c>
      <c r="G542" s="2" t="s">
        <v>2</v>
      </c>
      <c r="H542" s="3" t="s">
        <v>88</v>
      </c>
      <c r="I542" s="3" t="s">
        <v>91</v>
      </c>
      <c r="J542" s="3" t="s">
        <v>59</v>
      </c>
      <c r="K542" s="4">
        <v>95.73</v>
      </c>
      <c r="L542" s="6">
        <v>2.08</v>
      </c>
    </row>
    <row r="543" spans="1:12" x14ac:dyDescent="0.25">
      <c r="A543" s="1">
        <v>542</v>
      </c>
      <c r="B543" s="4">
        <v>3654</v>
      </c>
      <c r="C543" s="5">
        <v>41062</v>
      </c>
      <c r="D543" s="3" t="s">
        <v>82</v>
      </c>
      <c r="E543" s="1" t="s">
        <v>414</v>
      </c>
      <c r="F543" s="1" t="s">
        <v>39</v>
      </c>
      <c r="G543" s="2" t="s">
        <v>1</v>
      </c>
      <c r="H543" s="3" t="s">
        <v>88</v>
      </c>
      <c r="I543" s="3" t="s">
        <v>92</v>
      </c>
      <c r="J543" s="3" t="s">
        <v>67</v>
      </c>
      <c r="K543" s="4">
        <v>7338.79</v>
      </c>
      <c r="L543" s="6">
        <v>204.1</v>
      </c>
    </row>
    <row r="544" spans="1:12" x14ac:dyDescent="0.25">
      <c r="A544" s="1">
        <v>543</v>
      </c>
      <c r="B544" s="4">
        <v>3654</v>
      </c>
      <c r="C544" s="5">
        <v>41062</v>
      </c>
      <c r="D544" s="3" t="s">
        <v>82</v>
      </c>
      <c r="E544" s="1" t="s">
        <v>194</v>
      </c>
      <c r="F544" s="1" t="s">
        <v>39</v>
      </c>
      <c r="G544" s="2" t="s">
        <v>1</v>
      </c>
      <c r="H544" s="3" t="s">
        <v>88</v>
      </c>
      <c r="I544" s="3" t="s">
        <v>85</v>
      </c>
      <c r="J544" s="3" t="s">
        <v>70</v>
      </c>
      <c r="K544" s="4">
        <v>12569.31</v>
      </c>
      <c r="L544" s="6">
        <v>279.81</v>
      </c>
    </row>
    <row r="545" spans="1:12" x14ac:dyDescent="0.25">
      <c r="A545" s="1">
        <v>544</v>
      </c>
      <c r="B545" s="4">
        <v>3655</v>
      </c>
      <c r="C545" s="5">
        <v>41187</v>
      </c>
      <c r="D545" s="3" t="s">
        <v>95</v>
      </c>
      <c r="E545" s="1" t="s">
        <v>145</v>
      </c>
      <c r="F545" s="1" t="s">
        <v>9</v>
      </c>
      <c r="G545" s="2" t="s">
        <v>2</v>
      </c>
      <c r="H545" s="3" t="s">
        <v>84</v>
      </c>
      <c r="I545" s="3" t="s">
        <v>85</v>
      </c>
      <c r="J545" s="3" t="s">
        <v>69</v>
      </c>
      <c r="K545" s="4">
        <v>62.54</v>
      </c>
      <c r="L545" s="6">
        <v>15.99</v>
      </c>
    </row>
    <row r="546" spans="1:12" x14ac:dyDescent="0.25">
      <c r="A546" s="1">
        <v>545</v>
      </c>
      <c r="B546" s="4">
        <v>3655</v>
      </c>
      <c r="C546" s="5">
        <v>41187</v>
      </c>
      <c r="D546" s="3" t="s">
        <v>95</v>
      </c>
      <c r="E546" s="1" t="s">
        <v>145</v>
      </c>
      <c r="F546" s="1" t="s">
        <v>9</v>
      </c>
      <c r="G546" s="2" t="s">
        <v>2</v>
      </c>
      <c r="H546" s="3" t="s">
        <v>84</v>
      </c>
      <c r="I546" s="3" t="s">
        <v>92</v>
      </c>
      <c r="J546" s="3" t="s">
        <v>61</v>
      </c>
      <c r="K546" s="4">
        <v>2750.107</v>
      </c>
      <c r="L546" s="6">
        <v>125.99</v>
      </c>
    </row>
    <row r="547" spans="1:12" x14ac:dyDescent="0.25">
      <c r="A547" s="1">
        <v>546</v>
      </c>
      <c r="B547" s="4">
        <v>3680</v>
      </c>
      <c r="C547" s="5">
        <v>41252</v>
      </c>
      <c r="D547" s="3" t="s">
        <v>86</v>
      </c>
      <c r="E547" s="1" t="s">
        <v>415</v>
      </c>
      <c r="F547" s="1" t="s">
        <v>39</v>
      </c>
      <c r="G547" s="2" t="s">
        <v>1</v>
      </c>
      <c r="H547" s="3" t="s">
        <v>88</v>
      </c>
      <c r="I547" s="3" t="s">
        <v>85</v>
      </c>
      <c r="J547" s="3" t="s">
        <v>66</v>
      </c>
      <c r="K547" s="4">
        <v>177.95</v>
      </c>
      <c r="L547" s="6">
        <v>6.48</v>
      </c>
    </row>
    <row r="548" spans="1:12" x14ac:dyDescent="0.25">
      <c r="A548" s="1">
        <v>547</v>
      </c>
      <c r="B548" s="4">
        <v>3680</v>
      </c>
      <c r="C548" s="5">
        <v>41252</v>
      </c>
      <c r="D548" s="3" t="s">
        <v>86</v>
      </c>
      <c r="E548" s="1" t="s">
        <v>416</v>
      </c>
      <c r="F548" s="1" t="s">
        <v>20</v>
      </c>
      <c r="G548" s="2" t="s">
        <v>1</v>
      </c>
      <c r="H548" s="3" t="s">
        <v>88</v>
      </c>
      <c r="I548" s="3" t="s">
        <v>85</v>
      </c>
      <c r="J548" s="3" t="s">
        <v>69</v>
      </c>
      <c r="K548" s="4">
        <v>99.53</v>
      </c>
      <c r="L548" s="6">
        <v>3.8</v>
      </c>
    </row>
    <row r="549" spans="1:12" x14ac:dyDescent="0.25">
      <c r="A549" s="1">
        <v>548</v>
      </c>
      <c r="B549" s="4">
        <v>3685</v>
      </c>
      <c r="C549" s="5">
        <v>40924</v>
      </c>
      <c r="D549" s="3" t="s">
        <v>4</v>
      </c>
      <c r="E549" s="1" t="s">
        <v>196</v>
      </c>
      <c r="F549" s="1" t="s">
        <v>30</v>
      </c>
      <c r="G549" s="2" t="s">
        <v>6</v>
      </c>
      <c r="H549" s="3" t="s">
        <v>84</v>
      </c>
      <c r="I549" s="3" t="s">
        <v>85</v>
      </c>
      <c r="J549" s="3" t="s">
        <v>63</v>
      </c>
      <c r="K549" s="4">
        <v>106.78</v>
      </c>
      <c r="L549" s="6">
        <v>3.28</v>
      </c>
    </row>
    <row r="550" spans="1:12" x14ac:dyDescent="0.25">
      <c r="A550" s="1">
        <v>549</v>
      </c>
      <c r="B550" s="4">
        <v>3687</v>
      </c>
      <c r="C550" s="5">
        <v>40211</v>
      </c>
      <c r="D550" s="3" t="s">
        <v>95</v>
      </c>
      <c r="E550" s="1" t="s">
        <v>417</v>
      </c>
      <c r="F550" s="1" t="s">
        <v>30</v>
      </c>
      <c r="G550" s="2" t="s">
        <v>6</v>
      </c>
      <c r="H550" s="3" t="s">
        <v>97</v>
      </c>
      <c r="I550" s="3" t="s">
        <v>85</v>
      </c>
      <c r="J550" s="3" t="s">
        <v>64</v>
      </c>
      <c r="K550" s="4">
        <v>79.37</v>
      </c>
      <c r="L550" s="6">
        <v>3.29</v>
      </c>
    </row>
    <row r="551" spans="1:12" x14ac:dyDescent="0.25">
      <c r="A551" s="1">
        <v>550</v>
      </c>
      <c r="B551" s="4">
        <v>3745</v>
      </c>
      <c r="C551" s="5">
        <v>40449</v>
      </c>
      <c r="D551" s="3" t="s">
        <v>82</v>
      </c>
      <c r="E551" s="1" t="s">
        <v>418</v>
      </c>
      <c r="F551" s="1" t="s">
        <v>13</v>
      </c>
      <c r="G551" s="2" t="s">
        <v>6</v>
      </c>
      <c r="H551" s="3" t="s">
        <v>97</v>
      </c>
      <c r="I551" s="3" t="s">
        <v>91</v>
      </c>
      <c r="J551" s="3" t="s">
        <v>59</v>
      </c>
      <c r="K551" s="4">
        <v>1143.3499999999999</v>
      </c>
      <c r="L551" s="6">
        <v>29.18</v>
      </c>
    </row>
    <row r="552" spans="1:12" x14ac:dyDescent="0.25">
      <c r="A552" s="1">
        <v>551</v>
      </c>
      <c r="B552" s="4">
        <v>3746</v>
      </c>
      <c r="C552" s="5">
        <v>40066</v>
      </c>
      <c r="D552" s="3" t="s">
        <v>86</v>
      </c>
      <c r="E552" s="1" t="s">
        <v>419</v>
      </c>
      <c r="F552" s="1" t="s">
        <v>9</v>
      </c>
      <c r="G552" s="2" t="s">
        <v>2</v>
      </c>
      <c r="H552" s="3" t="s">
        <v>88</v>
      </c>
      <c r="I552" s="3" t="s">
        <v>92</v>
      </c>
      <c r="J552" s="3" t="s">
        <v>61</v>
      </c>
      <c r="K552" s="4">
        <v>1463.0964999999999</v>
      </c>
      <c r="L552" s="6">
        <v>115.99</v>
      </c>
    </row>
    <row r="553" spans="1:12" x14ac:dyDescent="0.25">
      <c r="A553" s="1">
        <v>552</v>
      </c>
      <c r="B553" s="4">
        <v>3746</v>
      </c>
      <c r="C553" s="5">
        <v>40066</v>
      </c>
      <c r="D553" s="3" t="s">
        <v>86</v>
      </c>
      <c r="E553" s="1" t="s">
        <v>420</v>
      </c>
      <c r="F553" s="1" t="s">
        <v>9</v>
      </c>
      <c r="G553" s="2" t="s">
        <v>2</v>
      </c>
      <c r="H553" s="3" t="s">
        <v>88</v>
      </c>
      <c r="I553" s="3" t="s">
        <v>85</v>
      </c>
      <c r="J553" s="3" t="s">
        <v>66</v>
      </c>
      <c r="K553" s="4">
        <v>246.3</v>
      </c>
      <c r="L553" s="6">
        <v>5.98</v>
      </c>
    </row>
    <row r="554" spans="1:12" x14ac:dyDescent="0.25">
      <c r="A554" s="1">
        <v>553</v>
      </c>
      <c r="B554" s="4">
        <v>3749</v>
      </c>
      <c r="C554" s="5">
        <v>40597</v>
      </c>
      <c r="D554" s="3" t="s">
        <v>4</v>
      </c>
      <c r="E554" s="1" t="s">
        <v>421</v>
      </c>
      <c r="F554" s="1" t="s">
        <v>16</v>
      </c>
      <c r="G554" s="2" t="s">
        <v>3</v>
      </c>
      <c r="H554" s="3" t="s">
        <v>100</v>
      </c>
      <c r="I554" s="3" t="s">
        <v>85</v>
      </c>
      <c r="J554" s="3" t="s">
        <v>69</v>
      </c>
      <c r="K554" s="4">
        <v>353.62</v>
      </c>
      <c r="L554" s="6">
        <v>12.97</v>
      </c>
    </row>
    <row r="555" spans="1:12" x14ac:dyDescent="0.25">
      <c r="A555" s="1">
        <v>554</v>
      </c>
      <c r="B555" s="4">
        <v>3750</v>
      </c>
      <c r="C555" s="5">
        <v>40662</v>
      </c>
      <c r="D555" s="3" t="s">
        <v>4</v>
      </c>
      <c r="E555" s="1" t="s">
        <v>214</v>
      </c>
      <c r="F555" s="1" t="s">
        <v>15</v>
      </c>
      <c r="G555" s="2" t="s">
        <v>1</v>
      </c>
      <c r="H555" s="3" t="s">
        <v>84</v>
      </c>
      <c r="I555" s="3" t="s">
        <v>85</v>
      </c>
      <c r="J555" s="3" t="s">
        <v>66</v>
      </c>
      <c r="K555" s="4">
        <v>76.16</v>
      </c>
      <c r="L555" s="6">
        <v>5.98</v>
      </c>
    </row>
    <row r="556" spans="1:12" x14ac:dyDescent="0.25">
      <c r="A556" s="1">
        <v>555</v>
      </c>
      <c r="B556" s="4">
        <v>3777</v>
      </c>
      <c r="C556" s="5">
        <v>39910</v>
      </c>
      <c r="D556" s="3" t="s">
        <v>4</v>
      </c>
      <c r="E556" s="1" t="s">
        <v>217</v>
      </c>
      <c r="F556" s="1" t="s">
        <v>46</v>
      </c>
      <c r="G556" s="2" t="s">
        <v>6</v>
      </c>
      <c r="H556" s="3" t="s">
        <v>84</v>
      </c>
      <c r="I556" s="3" t="s">
        <v>91</v>
      </c>
      <c r="J556" s="3" t="s">
        <v>59</v>
      </c>
      <c r="K556" s="4">
        <v>244.85</v>
      </c>
      <c r="L556" s="6">
        <v>17.670000000000002</v>
      </c>
    </row>
    <row r="557" spans="1:12" x14ac:dyDescent="0.25">
      <c r="A557" s="1">
        <v>556</v>
      </c>
      <c r="B557" s="4">
        <v>3778</v>
      </c>
      <c r="C557" s="5">
        <v>40323</v>
      </c>
      <c r="D557" s="3" t="s">
        <v>95</v>
      </c>
      <c r="E557" s="1" t="s">
        <v>422</v>
      </c>
      <c r="F557" s="1" t="s">
        <v>15</v>
      </c>
      <c r="G557" s="2" t="s">
        <v>1</v>
      </c>
      <c r="H557" s="3" t="s">
        <v>97</v>
      </c>
      <c r="I557" s="3" t="s">
        <v>92</v>
      </c>
      <c r="J557" s="3" t="s">
        <v>62</v>
      </c>
      <c r="K557" s="4">
        <v>268.08999999999997</v>
      </c>
      <c r="L557" s="6">
        <v>8.32</v>
      </c>
    </row>
    <row r="558" spans="1:12" x14ac:dyDescent="0.25">
      <c r="A558" s="1">
        <v>557</v>
      </c>
      <c r="B558" s="4">
        <v>3778</v>
      </c>
      <c r="C558" s="5">
        <v>40323</v>
      </c>
      <c r="D558" s="3" t="s">
        <v>95</v>
      </c>
      <c r="E558" s="1" t="s">
        <v>422</v>
      </c>
      <c r="F558" s="1" t="s">
        <v>15</v>
      </c>
      <c r="G558" s="2" t="s">
        <v>1</v>
      </c>
      <c r="H558" s="3" t="s">
        <v>97</v>
      </c>
      <c r="I558" s="3" t="s">
        <v>92</v>
      </c>
      <c r="J558" s="3" t="s">
        <v>62</v>
      </c>
      <c r="K558" s="4">
        <v>557.03</v>
      </c>
      <c r="L558" s="6">
        <v>45.19</v>
      </c>
    </row>
    <row r="559" spans="1:12" x14ac:dyDescent="0.25">
      <c r="A559" s="1">
        <v>558</v>
      </c>
      <c r="B559" s="4">
        <v>3778</v>
      </c>
      <c r="C559" s="5">
        <v>40323</v>
      </c>
      <c r="D559" s="3" t="s">
        <v>95</v>
      </c>
      <c r="E559" s="1" t="s">
        <v>422</v>
      </c>
      <c r="F559" s="1" t="s">
        <v>15</v>
      </c>
      <c r="G559" s="2" t="s">
        <v>1</v>
      </c>
      <c r="H559" s="3" t="s">
        <v>97</v>
      </c>
      <c r="I559" s="3" t="s">
        <v>85</v>
      </c>
      <c r="J559" s="3" t="s">
        <v>66</v>
      </c>
      <c r="K559" s="4">
        <v>26.53</v>
      </c>
      <c r="L559" s="6">
        <v>6.68</v>
      </c>
    </row>
    <row r="560" spans="1:12" x14ac:dyDescent="0.25">
      <c r="A560" s="1">
        <v>559</v>
      </c>
      <c r="B560" s="4">
        <v>3778</v>
      </c>
      <c r="C560" s="5">
        <v>40323</v>
      </c>
      <c r="D560" s="3" t="s">
        <v>95</v>
      </c>
      <c r="E560" s="1" t="s">
        <v>422</v>
      </c>
      <c r="F560" s="1" t="s">
        <v>15</v>
      </c>
      <c r="G560" s="2" t="s">
        <v>1</v>
      </c>
      <c r="H560" s="3" t="s">
        <v>97</v>
      </c>
      <c r="I560" s="3" t="s">
        <v>92</v>
      </c>
      <c r="J560" s="3" t="s">
        <v>61</v>
      </c>
      <c r="K560" s="4">
        <v>5133.9234999999999</v>
      </c>
      <c r="L560" s="6">
        <v>175.99</v>
      </c>
    </row>
    <row r="561" spans="1:12" x14ac:dyDescent="0.25">
      <c r="A561" s="1">
        <v>560</v>
      </c>
      <c r="B561" s="4">
        <v>3783</v>
      </c>
      <c r="C561" s="5">
        <v>40517</v>
      </c>
      <c r="D561" s="3" t="s">
        <v>86</v>
      </c>
      <c r="E561" s="1" t="s">
        <v>297</v>
      </c>
      <c r="F561" s="1" t="s">
        <v>10</v>
      </c>
      <c r="G561" s="2" t="s">
        <v>3</v>
      </c>
      <c r="H561" s="3" t="s">
        <v>88</v>
      </c>
      <c r="I561" s="3" t="s">
        <v>92</v>
      </c>
      <c r="J561" s="3" t="s">
        <v>62</v>
      </c>
      <c r="K561" s="4">
        <v>92.14</v>
      </c>
      <c r="L561" s="6">
        <v>8.1199999999999992</v>
      </c>
    </row>
    <row r="562" spans="1:12" x14ac:dyDescent="0.25">
      <c r="A562" s="1">
        <v>561</v>
      </c>
      <c r="B562" s="4">
        <v>3783</v>
      </c>
      <c r="C562" s="5">
        <v>40517</v>
      </c>
      <c r="D562" s="3" t="s">
        <v>86</v>
      </c>
      <c r="E562" s="1" t="s">
        <v>297</v>
      </c>
      <c r="F562" s="1" t="s">
        <v>10</v>
      </c>
      <c r="G562" s="2" t="s">
        <v>3</v>
      </c>
      <c r="H562" s="3" t="s">
        <v>88</v>
      </c>
      <c r="I562" s="3" t="s">
        <v>85</v>
      </c>
      <c r="J562" s="3" t="s">
        <v>66</v>
      </c>
      <c r="K562" s="4">
        <v>257.43</v>
      </c>
      <c r="L562" s="6">
        <v>6.48</v>
      </c>
    </row>
    <row r="563" spans="1:12" x14ac:dyDescent="0.25">
      <c r="A563" s="1">
        <v>562</v>
      </c>
      <c r="B563" s="4">
        <v>3808</v>
      </c>
      <c r="C563" s="5">
        <v>39926</v>
      </c>
      <c r="D563" s="3" t="s">
        <v>95</v>
      </c>
      <c r="E563" s="1" t="s">
        <v>412</v>
      </c>
      <c r="F563" s="1" t="s">
        <v>42</v>
      </c>
      <c r="G563" s="2" t="s">
        <v>3</v>
      </c>
      <c r="H563" s="3" t="s">
        <v>88</v>
      </c>
      <c r="I563" s="3" t="s">
        <v>85</v>
      </c>
      <c r="J563" s="3" t="s">
        <v>65</v>
      </c>
      <c r="K563" s="4">
        <v>6.13</v>
      </c>
      <c r="L563" s="6">
        <v>2.89</v>
      </c>
    </row>
    <row r="564" spans="1:12" x14ac:dyDescent="0.25">
      <c r="A564" s="1">
        <v>563</v>
      </c>
      <c r="B564" s="4">
        <v>3810</v>
      </c>
      <c r="C564" s="5">
        <v>41168</v>
      </c>
      <c r="D564" s="3" t="s">
        <v>95</v>
      </c>
      <c r="E564" s="1" t="s">
        <v>221</v>
      </c>
      <c r="F564" s="1" t="s">
        <v>23</v>
      </c>
      <c r="G564" s="2" t="s">
        <v>3</v>
      </c>
      <c r="H564" s="3" t="s">
        <v>88</v>
      </c>
      <c r="I564" s="3" t="s">
        <v>85</v>
      </c>
      <c r="J564" s="3" t="s">
        <v>70</v>
      </c>
      <c r="K564" s="4">
        <v>221.86</v>
      </c>
      <c r="L564" s="6">
        <v>4.4800000000000004</v>
      </c>
    </row>
    <row r="565" spans="1:12" x14ac:dyDescent="0.25">
      <c r="A565" s="1">
        <v>564</v>
      </c>
      <c r="B565" s="4">
        <v>3810</v>
      </c>
      <c r="C565" s="5">
        <v>41168</v>
      </c>
      <c r="D565" s="3" t="s">
        <v>95</v>
      </c>
      <c r="E565" s="1" t="s">
        <v>221</v>
      </c>
      <c r="F565" s="1" t="s">
        <v>23</v>
      </c>
      <c r="G565" s="2" t="s">
        <v>3</v>
      </c>
      <c r="H565" s="3" t="s">
        <v>88</v>
      </c>
      <c r="I565" s="3" t="s">
        <v>85</v>
      </c>
      <c r="J565" s="3" t="s">
        <v>65</v>
      </c>
      <c r="K565" s="4">
        <v>78.260000000000005</v>
      </c>
      <c r="L565" s="6">
        <v>2.61</v>
      </c>
    </row>
    <row r="566" spans="1:12" x14ac:dyDescent="0.25">
      <c r="A566" s="1">
        <v>565</v>
      </c>
      <c r="B566" s="4">
        <v>3814</v>
      </c>
      <c r="C566" s="5">
        <v>40595</v>
      </c>
      <c r="D566" s="3" t="s">
        <v>82</v>
      </c>
      <c r="E566" s="1" t="s">
        <v>423</v>
      </c>
      <c r="F566" s="1" t="s">
        <v>24</v>
      </c>
      <c r="G566" s="2" t="s">
        <v>2</v>
      </c>
      <c r="H566" s="3" t="s">
        <v>100</v>
      </c>
      <c r="I566" s="3" t="s">
        <v>85</v>
      </c>
      <c r="J566" s="3" t="s">
        <v>57</v>
      </c>
      <c r="K566" s="4">
        <v>1225.4100000000001</v>
      </c>
      <c r="L566" s="6">
        <v>28.28</v>
      </c>
    </row>
    <row r="567" spans="1:12" x14ac:dyDescent="0.25">
      <c r="A567" s="1">
        <v>566</v>
      </c>
      <c r="B567" s="4">
        <v>3841</v>
      </c>
      <c r="C567" s="5">
        <v>40090</v>
      </c>
      <c r="D567" s="3" t="s">
        <v>86</v>
      </c>
      <c r="E567" s="1" t="s">
        <v>424</v>
      </c>
      <c r="F567" s="1" t="s">
        <v>15</v>
      </c>
      <c r="G567" s="2" t="s">
        <v>1</v>
      </c>
      <c r="H567" s="3" t="s">
        <v>84</v>
      </c>
      <c r="I567" s="3" t="s">
        <v>85</v>
      </c>
      <c r="J567" s="3" t="s">
        <v>70</v>
      </c>
      <c r="K567" s="4">
        <v>1184.45</v>
      </c>
      <c r="L567" s="6">
        <v>60.98</v>
      </c>
    </row>
    <row r="568" spans="1:12" x14ac:dyDescent="0.25">
      <c r="A568" s="1">
        <v>567</v>
      </c>
      <c r="B568" s="4">
        <v>3841</v>
      </c>
      <c r="C568" s="5">
        <v>40090</v>
      </c>
      <c r="D568" s="3" t="s">
        <v>86</v>
      </c>
      <c r="E568" s="1" t="s">
        <v>424</v>
      </c>
      <c r="F568" s="1" t="s">
        <v>15</v>
      </c>
      <c r="G568" s="2" t="s">
        <v>1</v>
      </c>
      <c r="H568" s="3" t="s">
        <v>84</v>
      </c>
      <c r="I568" s="3" t="s">
        <v>85</v>
      </c>
      <c r="J568" s="3" t="s">
        <v>69</v>
      </c>
      <c r="K568" s="4">
        <v>25409.63</v>
      </c>
      <c r="L568" s="6">
        <v>1270.99</v>
      </c>
    </row>
    <row r="569" spans="1:12" x14ac:dyDescent="0.25">
      <c r="A569" s="1">
        <v>568</v>
      </c>
      <c r="B569" s="4">
        <v>3841</v>
      </c>
      <c r="C569" s="5">
        <v>40090</v>
      </c>
      <c r="D569" s="3" t="s">
        <v>86</v>
      </c>
      <c r="E569" s="1" t="s">
        <v>424</v>
      </c>
      <c r="F569" s="1" t="s">
        <v>15</v>
      </c>
      <c r="G569" s="2" t="s">
        <v>1</v>
      </c>
      <c r="H569" s="3" t="s">
        <v>84</v>
      </c>
      <c r="I569" s="3" t="s">
        <v>92</v>
      </c>
      <c r="J569" s="3" t="s">
        <v>61</v>
      </c>
      <c r="K569" s="4">
        <v>7308.2829999999994</v>
      </c>
      <c r="L569" s="6">
        <v>205.99</v>
      </c>
    </row>
    <row r="570" spans="1:12" x14ac:dyDescent="0.25">
      <c r="A570" s="1">
        <v>569</v>
      </c>
      <c r="B570" s="4">
        <v>3845</v>
      </c>
      <c r="C570" s="5">
        <v>41024</v>
      </c>
      <c r="D570" s="3" t="s">
        <v>95</v>
      </c>
      <c r="E570" s="1" t="s">
        <v>425</v>
      </c>
      <c r="F570" s="1" t="s">
        <v>9</v>
      </c>
      <c r="G570" s="2" t="s">
        <v>2</v>
      </c>
      <c r="H570" s="3" t="s">
        <v>100</v>
      </c>
      <c r="I570" s="3" t="s">
        <v>85</v>
      </c>
      <c r="J570" s="3" t="s">
        <v>70</v>
      </c>
      <c r="K570" s="4">
        <v>3064.27</v>
      </c>
      <c r="L570" s="6">
        <v>363.25</v>
      </c>
    </row>
    <row r="571" spans="1:12" x14ac:dyDescent="0.25">
      <c r="A571" s="1">
        <v>570</v>
      </c>
      <c r="B571" s="4">
        <v>3845</v>
      </c>
      <c r="C571" s="5">
        <v>41024</v>
      </c>
      <c r="D571" s="3" t="s">
        <v>95</v>
      </c>
      <c r="E571" s="1" t="s">
        <v>425</v>
      </c>
      <c r="F571" s="1" t="s">
        <v>9</v>
      </c>
      <c r="G571" s="2" t="s">
        <v>2</v>
      </c>
      <c r="H571" s="3" t="s">
        <v>100</v>
      </c>
      <c r="I571" s="3" t="s">
        <v>91</v>
      </c>
      <c r="J571" s="3" t="s">
        <v>59</v>
      </c>
      <c r="K571" s="4">
        <v>475.72</v>
      </c>
      <c r="L571" s="6">
        <v>19.98</v>
      </c>
    </row>
    <row r="572" spans="1:12" x14ac:dyDescent="0.25">
      <c r="A572" s="1">
        <v>571</v>
      </c>
      <c r="B572" s="4">
        <v>3845</v>
      </c>
      <c r="C572" s="5">
        <v>41024</v>
      </c>
      <c r="D572" s="3" t="s">
        <v>95</v>
      </c>
      <c r="E572" s="1" t="s">
        <v>425</v>
      </c>
      <c r="F572" s="1" t="s">
        <v>9</v>
      </c>
      <c r="G572" s="2" t="s">
        <v>2</v>
      </c>
      <c r="H572" s="3" t="s">
        <v>100</v>
      </c>
      <c r="I572" s="3" t="s">
        <v>91</v>
      </c>
      <c r="J572" s="3" t="s">
        <v>59</v>
      </c>
      <c r="K572" s="4">
        <v>123.91</v>
      </c>
      <c r="L572" s="6">
        <v>8.34</v>
      </c>
    </row>
    <row r="573" spans="1:12" x14ac:dyDescent="0.25">
      <c r="A573" s="1">
        <v>572</v>
      </c>
      <c r="B573" s="4">
        <v>3877</v>
      </c>
      <c r="C573" s="5">
        <v>40318</v>
      </c>
      <c r="D573" s="3" t="s">
        <v>82</v>
      </c>
      <c r="E573" s="1" t="s">
        <v>426</v>
      </c>
      <c r="F573" s="1" t="s">
        <v>20</v>
      </c>
      <c r="G573" s="2" t="s">
        <v>1</v>
      </c>
      <c r="H573" s="3" t="s">
        <v>88</v>
      </c>
      <c r="I573" s="3" t="s">
        <v>85</v>
      </c>
      <c r="J573" s="3" t="s">
        <v>66</v>
      </c>
      <c r="K573" s="4">
        <v>700.46</v>
      </c>
      <c r="L573" s="6">
        <v>48.04</v>
      </c>
    </row>
    <row r="574" spans="1:12" x14ac:dyDescent="0.25">
      <c r="A574" s="1">
        <v>573</v>
      </c>
      <c r="B574" s="4">
        <v>3905</v>
      </c>
      <c r="C574" s="5">
        <v>40532</v>
      </c>
      <c r="D574" s="3" t="s">
        <v>86</v>
      </c>
      <c r="E574" s="1" t="s">
        <v>404</v>
      </c>
      <c r="F574" s="1" t="s">
        <v>21</v>
      </c>
      <c r="G574" s="2" t="s">
        <v>1</v>
      </c>
      <c r="H574" s="3" t="s">
        <v>100</v>
      </c>
      <c r="I574" s="3" t="s">
        <v>91</v>
      </c>
      <c r="J574" s="3" t="s">
        <v>72</v>
      </c>
      <c r="K574" s="4">
        <v>2537.88</v>
      </c>
      <c r="L574" s="6">
        <v>60.89</v>
      </c>
    </row>
    <row r="575" spans="1:12" x14ac:dyDescent="0.25">
      <c r="A575" s="1">
        <v>574</v>
      </c>
      <c r="B575" s="4">
        <v>3907</v>
      </c>
      <c r="C575" s="5">
        <v>41139</v>
      </c>
      <c r="D575" s="3" t="s">
        <v>4</v>
      </c>
      <c r="E575" s="1" t="s">
        <v>339</v>
      </c>
      <c r="F575" s="1" t="s">
        <v>30</v>
      </c>
      <c r="G575" s="2" t="s">
        <v>6</v>
      </c>
      <c r="H575" s="3" t="s">
        <v>84</v>
      </c>
      <c r="I575" s="3" t="s">
        <v>85</v>
      </c>
      <c r="J575" s="3" t="s">
        <v>70</v>
      </c>
      <c r="K575" s="4">
        <v>218.12</v>
      </c>
      <c r="L575" s="6">
        <v>4.4800000000000004</v>
      </c>
    </row>
    <row r="576" spans="1:12" x14ac:dyDescent="0.25">
      <c r="A576" s="1">
        <v>575</v>
      </c>
      <c r="B576" s="4">
        <v>3907</v>
      </c>
      <c r="C576" s="5">
        <v>41139</v>
      </c>
      <c r="D576" s="3" t="s">
        <v>4</v>
      </c>
      <c r="E576" s="1" t="s">
        <v>427</v>
      </c>
      <c r="F576" s="1" t="s">
        <v>36</v>
      </c>
      <c r="G576" s="2" t="s">
        <v>2</v>
      </c>
      <c r="H576" s="3" t="s">
        <v>84</v>
      </c>
      <c r="I576" s="3" t="s">
        <v>85</v>
      </c>
      <c r="J576" s="3" t="s">
        <v>69</v>
      </c>
      <c r="K576" s="4">
        <v>729.83</v>
      </c>
      <c r="L576" s="6">
        <v>22.38</v>
      </c>
    </row>
    <row r="577" spans="1:12" x14ac:dyDescent="0.25">
      <c r="A577" s="1">
        <v>576</v>
      </c>
      <c r="B577" s="4">
        <v>3907</v>
      </c>
      <c r="C577" s="5">
        <v>41139</v>
      </c>
      <c r="D577" s="3" t="s">
        <v>4</v>
      </c>
      <c r="E577" s="1" t="s">
        <v>427</v>
      </c>
      <c r="F577" s="1" t="s">
        <v>36</v>
      </c>
      <c r="G577" s="2" t="s">
        <v>2</v>
      </c>
      <c r="H577" s="3" t="s">
        <v>84</v>
      </c>
      <c r="I577" s="3" t="s">
        <v>92</v>
      </c>
      <c r="J577" s="3" t="s">
        <v>62</v>
      </c>
      <c r="K577" s="4">
        <v>1083.19</v>
      </c>
      <c r="L577" s="6">
        <v>29.99</v>
      </c>
    </row>
    <row r="578" spans="1:12" x14ac:dyDescent="0.25">
      <c r="A578" s="1">
        <v>577</v>
      </c>
      <c r="B578" s="4">
        <v>3908</v>
      </c>
      <c r="C578" s="5">
        <v>40245</v>
      </c>
      <c r="D578" s="3" t="s">
        <v>4</v>
      </c>
      <c r="E578" s="1" t="s">
        <v>428</v>
      </c>
      <c r="F578" s="1" t="s">
        <v>8</v>
      </c>
      <c r="G578" s="2" t="s">
        <v>6</v>
      </c>
      <c r="H578" s="3" t="s">
        <v>88</v>
      </c>
      <c r="I578" s="3" t="s">
        <v>92</v>
      </c>
      <c r="J578" s="3" t="s">
        <v>61</v>
      </c>
      <c r="K578" s="4">
        <v>820.28399999999999</v>
      </c>
      <c r="L578" s="6">
        <v>115.99</v>
      </c>
    </row>
    <row r="579" spans="1:12" x14ac:dyDescent="0.25">
      <c r="A579" s="1">
        <v>578</v>
      </c>
      <c r="B579" s="4">
        <v>3911</v>
      </c>
      <c r="C579" s="5">
        <v>40618</v>
      </c>
      <c r="D579" s="3" t="s">
        <v>86</v>
      </c>
      <c r="E579" s="1" t="s">
        <v>324</v>
      </c>
      <c r="F579" s="1" t="s">
        <v>24</v>
      </c>
      <c r="G579" s="2" t="s">
        <v>2</v>
      </c>
      <c r="H579" s="3" t="s">
        <v>84</v>
      </c>
      <c r="I579" s="3" t="s">
        <v>85</v>
      </c>
      <c r="J579" s="3" t="s">
        <v>57</v>
      </c>
      <c r="K579" s="4">
        <v>370.72</v>
      </c>
      <c r="L579" s="6">
        <v>15.7</v>
      </c>
    </row>
    <row r="580" spans="1:12" x14ac:dyDescent="0.25">
      <c r="A580" s="1">
        <v>579</v>
      </c>
      <c r="B580" s="4">
        <v>3942</v>
      </c>
      <c r="C580" s="5">
        <v>40356</v>
      </c>
      <c r="D580" s="3" t="s">
        <v>86</v>
      </c>
      <c r="E580" s="1" t="s">
        <v>429</v>
      </c>
      <c r="F580" s="1" t="s">
        <v>39</v>
      </c>
      <c r="G580" s="2" t="s">
        <v>1</v>
      </c>
      <c r="H580" s="3" t="s">
        <v>84</v>
      </c>
      <c r="I580" s="3" t="s">
        <v>85</v>
      </c>
      <c r="J580" s="3" t="s">
        <v>63</v>
      </c>
      <c r="K580" s="4">
        <v>225.14</v>
      </c>
      <c r="L580" s="6">
        <v>20.149999999999999</v>
      </c>
    </row>
    <row r="581" spans="1:12" x14ac:dyDescent="0.25">
      <c r="A581" s="1">
        <v>580</v>
      </c>
      <c r="B581" s="4">
        <v>3942</v>
      </c>
      <c r="C581" s="5">
        <v>40356</v>
      </c>
      <c r="D581" s="3" t="s">
        <v>86</v>
      </c>
      <c r="E581" s="1" t="s">
        <v>430</v>
      </c>
      <c r="F581" s="1" t="s">
        <v>43</v>
      </c>
      <c r="G581" s="2" t="s">
        <v>1</v>
      </c>
      <c r="H581" s="3" t="s">
        <v>84</v>
      </c>
      <c r="I581" s="3" t="s">
        <v>92</v>
      </c>
      <c r="J581" s="3" t="s">
        <v>61</v>
      </c>
      <c r="K581" s="4">
        <v>1559.7755</v>
      </c>
      <c r="L581" s="6">
        <v>85.99</v>
      </c>
    </row>
    <row r="582" spans="1:12" x14ac:dyDescent="0.25">
      <c r="A582" s="1">
        <v>581</v>
      </c>
      <c r="B582" s="4">
        <v>3970</v>
      </c>
      <c r="C582" s="5">
        <v>40994</v>
      </c>
      <c r="D582" s="3" t="s">
        <v>4</v>
      </c>
      <c r="E582" s="1" t="s">
        <v>431</v>
      </c>
      <c r="F582" s="1" t="s">
        <v>42</v>
      </c>
      <c r="G582" s="2" t="s">
        <v>3</v>
      </c>
      <c r="H582" s="3" t="s">
        <v>97</v>
      </c>
      <c r="I582" s="3" t="s">
        <v>92</v>
      </c>
      <c r="J582" s="3" t="s">
        <v>62</v>
      </c>
      <c r="K582" s="4">
        <v>1032.97</v>
      </c>
      <c r="L582" s="6">
        <v>28.48</v>
      </c>
    </row>
    <row r="583" spans="1:12" x14ac:dyDescent="0.25">
      <c r="A583" s="1">
        <v>582</v>
      </c>
      <c r="B583" s="4">
        <v>3970</v>
      </c>
      <c r="C583" s="5">
        <v>40994</v>
      </c>
      <c r="D583" s="3" t="s">
        <v>4</v>
      </c>
      <c r="E583" s="1" t="s">
        <v>431</v>
      </c>
      <c r="F583" s="1" t="s">
        <v>42</v>
      </c>
      <c r="G583" s="2" t="s">
        <v>3</v>
      </c>
      <c r="H583" s="3" t="s">
        <v>97</v>
      </c>
      <c r="I583" s="3" t="s">
        <v>85</v>
      </c>
      <c r="J583" s="3" t="s">
        <v>57</v>
      </c>
      <c r="K583" s="4">
        <v>324.83</v>
      </c>
      <c r="L583" s="6">
        <v>20.98</v>
      </c>
    </row>
    <row r="584" spans="1:12" x14ac:dyDescent="0.25">
      <c r="A584" s="1">
        <v>583</v>
      </c>
      <c r="B584" s="4">
        <v>3973</v>
      </c>
      <c r="C584" s="5">
        <v>40991</v>
      </c>
      <c r="D584" s="3" t="s">
        <v>86</v>
      </c>
      <c r="E584" s="1" t="s">
        <v>432</v>
      </c>
      <c r="F584" s="1" t="s">
        <v>46</v>
      </c>
      <c r="G584" s="2" t="s">
        <v>6</v>
      </c>
      <c r="H584" s="3" t="s">
        <v>88</v>
      </c>
      <c r="I584" s="3" t="s">
        <v>91</v>
      </c>
      <c r="J584" s="3" t="s">
        <v>59</v>
      </c>
      <c r="K584" s="4">
        <v>316.35000000000002</v>
      </c>
      <c r="L584" s="6">
        <v>15.68</v>
      </c>
    </row>
    <row r="585" spans="1:12" x14ac:dyDescent="0.25">
      <c r="A585" s="1">
        <v>584</v>
      </c>
      <c r="B585" s="4">
        <v>4004</v>
      </c>
      <c r="C585" s="5">
        <v>40304</v>
      </c>
      <c r="D585" s="3" t="s">
        <v>4</v>
      </c>
      <c r="E585" s="1" t="s">
        <v>433</v>
      </c>
      <c r="F585" s="1" t="s">
        <v>15</v>
      </c>
      <c r="G585" s="2" t="s">
        <v>1</v>
      </c>
      <c r="H585" s="3" t="s">
        <v>88</v>
      </c>
      <c r="I585" s="3" t="s">
        <v>85</v>
      </c>
      <c r="J585" s="3" t="s">
        <v>63</v>
      </c>
      <c r="K585" s="4">
        <v>63.52</v>
      </c>
      <c r="L585" s="6">
        <v>4.84</v>
      </c>
    </row>
    <row r="586" spans="1:12" x14ac:dyDescent="0.25">
      <c r="A586" s="1">
        <v>585</v>
      </c>
      <c r="B586" s="4">
        <v>4004</v>
      </c>
      <c r="C586" s="5">
        <v>40304</v>
      </c>
      <c r="D586" s="3" t="s">
        <v>4</v>
      </c>
      <c r="E586" s="1" t="s">
        <v>433</v>
      </c>
      <c r="F586" s="1" t="s">
        <v>15</v>
      </c>
      <c r="G586" s="2" t="s">
        <v>1</v>
      </c>
      <c r="H586" s="3" t="s">
        <v>88</v>
      </c>
      <c r="I586" s="3" t="s">
        <v>85</v>
      </c>
      <c r="J586" s="3" t="s">
        <v>63</v>
      </c>
      <c r="K586" s="4">
        <v>1512.25</v>
      </c>
      <c r="L586" s="6">
        <v>34.58</v>
      </c>
    </row>
    <row r="587" spans="1:12" x14ac:dyDescent="0.25">
      <c r="A587" s="1">
        <v>586</v>
      </c>
      <c r="B587" s="4">
        <v>4006</v>
      </c>
      <c r="C587" s="5">
        <v>40546</v>
      </c>
      <c r="D587" s="3" t="s">
        <v>4</v>
      </c>
      <c r="E587" s="1" t="s">
        <v>199</v>
      </c>
      <c r="F587" s="1" t="s">
        <v>34</v>
      </c>
      <c r="G587" s="2" t="s">
        <v>1</v>
      </c>
      <c r="H587" s="3" t="s">
        <v>88</v>
      </c>
      <c r="I587" s="3" t="s">
        <v>85</v>
      </c>
      <c r="J587" s="3" t="s">
        <v>66</v>
      </c>
      <c r="K587" s="4">
        <v>1441.61</v>
      </c>
      <c r="L587" s="6">
        <v>37.94</v>
      </c>
    </row>
    <row r="588" spans="1:12" x14ac:dyDescent="0.25">
      <c r="A588" s="1">
        <v>587</v>
      </c>
      <c r="B588" s="4">
        <v>4007</v>
      </c>
      <c r="C588" s="5">
        <v>40346</v>
      </c>
      <c r="D588" s="3" t="s">
        <v>89</v>
      </c>
      <c r="E588" s="1" t="s">
        <v>434</v>
      </c>
      <c r="F588" s="1" t="s">
        <v>38</v>
      </c>
      <c r="G588" s="2" t="s">
        <v>6</v>
      </c>
      <c r="H588" s="3" t="s">
        <v>88</v>
      </c>
      <c r="I588" s="3" t="s">
        <v>85</v>
      </c>
      <c r="J588" s="3" t="s">
        <v>70</v>
      </c>
      <c r="K588" s="4">
        <v>1038.4000000000001</v>
      </c>
      <c r="L588" s="6">
        <v>56.96</v>
      </c>
    </row>
    <row r="589" spans="1:12" x14ac:dyDescent="0.25">
      <c r="A589" s="1">
        <v>588</v>
      </c>
      <c r="B589" s="4">
        <v>4007</v>
      </c>
      <c r="C589" s="5">
        <v>40346</v>
      </c>
      <c r="D589" s="3" t="s">
        <v>89</v>
      </c>
      <c r="E589" s="1" t="s">
        <v>434</v>
      </c>
      <c r="F589" s="1" t="s">
        <v>38</v>
      </c>
      <c r="G589" s="2" t="s">
        <v>6</v>
      </c>
      <c r="H589" s="3" t="s">
        <v>88</v>
      </c>
      <c r="I589" s="3" t="s">
        <v>85</v>
      </c>
      <c r="J589" s="3" t="s">
        <v>57</v>
      </c>
      <c r="K589" s="4">
        <v>305.82</v>
      </c>
      <c r="L589" s="6">
        <v>279.48</v>
      </c>
    </row>
    <row r="590" spans="1:12" x14ac:dyDescent="0.25">
      <c r="A590" s="1">
        <v>589</v>
      </c>
      <c r="B590" s="4">
        <v>4033</v>
      </c>
      <c r="C590" s="5">
        <v>40330</v>
      </c>
      <c r="D590" s="3" t="s">
        <v>82</v>
      </c>
      <c r="E590" s="1" t="s">
        <v>435</v>
      </c>
      <c r="F590" s="1" t="s">
        <v>20</v>
      </c>
      <c r="G590" s="2" t="s">
        <v>1</v>
      </c>
      <c r="H590" s="3" t="s">
        <v>100</v>
      </c>
      <c r="I590" s="3" t="s">
        <v>85</v>
      </c>
      <c r="J590" s="3" t="s">
        <v>57</v>
      </c>
      <c r="K590" s="4">
        <v>763.12</v>
      </c>
      <c r="L590" s="6">
        <v>34.76</v>
      </c>
    </row>
    <row r="591" spans="1:12" x14ac:dyDescent="0.25">
      <c r="A591" s="1">
        <v>590</v>
      </c>
      <c r="B591" s="4">
        <v>4033</v>
      </c>
      <c r="C591" s="5">
        <v>40330</v>
      </c>
      <c r="D591" s="3" t="s">
        <v>82</v>
      </c>
      <c r="E591" s="1" t="s">
        <v>381</v>
      </c>
      <c r="F591" s="1" t="s">
        <v>21</v>
      </c>
      <c r="G591" s="2" t="s">
        <v>1</v>
      </c>
      <c r="H591" s="3" t="s">
        <v>100</v>
      </c>
      <c r="I591" s="3" t="s">
        <v>91</v>
      </c>
      <c r="J591" s="3" t="s">
        <v>68</v>
      </c>
      <c r="K591" s="4">
        <v>19269.05</v>
      </c>
      <c r="L591" s="6">
        <v>500.98</v>
      </c>
    </row>
    <row r="592" spans="1:12" x14ac:dyDescent="0.25">
      <c r="A592" s="1">
        <v>591</v>
      </c>
      <c r="B592" s="4">
        <v>4034</v>
      </c>
      <c r="C592" s="5">
        <v>40495</v>
      </c>
      <c r="D592" s="3" t="s">
        <v>86</v>
      </c>
      <c r="E592" s="1" t="s">
        <v>436</v>
      </c>
      <c r="F592" s="1" t="s">
        <v>41</v>
      </c>
      <c r="G592" s="2" t="s">
        <v>6</v>
      </c>
      <c r="H592" s="3" t="s">
        <v>84</v>
      </c>
      <c r="I592" s="3" t="s">
        <v>91</v>
      </c>
      <c r="J592" s="3" t="s">
        <v>59</v>
      </c>
      <c r="K592" s="4">
        <v>3367.24</v>
      </c>
      <c r="L592" s="6">
        <v>79.52</v>
      </c>
    </row>
    <row r="593" spans="1:12" x14ac:dyDescent="0.25">
      <c r="A593" s="1">
        <v>592</v>
      </c>
      <c r="B593" s="4">
        <v>4034</v>
      </c>
      <c r="C593" s="5">
        <v>40495</v>
      </c>
      <c r="D593" s="3" t="s">
        <v>86</v>
      </c>
      <c r="E593" s="1" t="s">
        <v>436</v>
      </c>
      <c r="F593" s="1" t="s">
        <v>41</v>
      </c>
      <c r="G593" s="2" t="s">
        <v>6</v>
      </c>
      <c r="H593" s="3" t="s">
        <v>84</v>
      </c>
      <c r="I593" s="3" t="s">
        <v>91</v>
      </c>
      <c r="J593" s="3" t="s">
        <v>60</v>
      </c>
      <c r="K593" s="4">
        <v>5723.24</v>
      </c>
      <c r="L593" s="6">
        <v>145.97999999999999</v>
      </c>
    </row>
    <row r="594" spans="1:12" x14ac:dyDescent="0.25">
      <c r="A594" s="1">
        <v>593</v>
      </c>
      <c r="B594" s="4">
        <v>4037</v>
      </c>
      <c r="C594" s="5">
        <v>40260</v>
      </c>
      <c r="D594" s="3" t="s">
        <v>89</v>
      </c>
      <c r="E594" s="1" t="s">
        <v>437</v>
      </c>
      <c r="F594" s="1" t="s">
        <v>41</v>
      </c>
      <c r="G594" s="2" t="s">
        <v>6</v>
      </c>
      <c r="H594" s="3" t="s">
        <v>88</v>
      </c>
      <c r="I594" s="3" t="s">
        <v>85</v>
      </c>
      <c r="J594" s="3" t="s">
        <v>66</v>
      </c>
      <c r="K594" s="4">
        <v>188.07</v>
      </c>
      <c r="L594" s="6">
        <v>6.48</v>
      </c>
    </row>
    <row r="595" spans="1:12" x14ac:dyDescent="0.25">
      <c r="A595" s="1">
        <v>594</v>
      </c>
      <c r="B595" s="4">
        <v>4067</v>
      </c>
      <c r="C595" s="5">
        <v>41188</v>
      </c>
      <c r="D595" s="3" t="s">
        <v>89</v>
      </c>
      <c r="E595" s="1" t="s">
        <v>242</v>
      </c>
      <c r="F595" s="1" t="s">
        <v>30</v>
      </c>
      <c r="G595" s="2" t="s">
        <v>6</v>
      </c>
      <c r="H595" s="3" t="s">
        <v>88</v>
      </c>
      <c r="I595" s="3" t="s">
        <v>85</v>
      </c>
      <c r="J595" s="3" t="s">
        <v>69</v>
      </c>
      <c r="K595" s="4">
        <v>118.38</v>
      </c>
      <c r="L595" s="6">
        <v>7.1</v>
      </c>
    </row>
    <row r="596" spans="1:12" x14ac:dyDescent="0.25">
      <c r="A596" s="1">
        <v>595</v>
      </c>
      <c r="B596" s="4">
        <v>4069</v>
      </c>
      <c r="C596" s="5">
        <v>41041</v>
      </c>
      <c r="D596" s="3" t="s">
        <v>4</v>
      </c>
      <c r="E596" s="1" t="s">
        <v>206</v>
      </c>
      <c r="F596" s="1" t="s">
        <v>12</v>
      </c>
      <c r="G596" s="2" t="s">
        <v>2</v>
      </c>
      <c r="H596" s="3" t="s">
        <v>100</v>
      </c>
      <c r="I596" s="3" t="s">
        <v>85</v>
      </c>
      <c r="J596" s="3" t="s">
        <v>66</v>
      </c>
      <c r="K596" s="4">
        <v>54.43</v>
      </c>
      <c r="L596" s="6">
        <v>6.48</v>
      </c>
    </row>
    <row r="597" spans="1:12" x14ac:dyDescent="0.25">
      <c r="A597" s="1">
        <v>596</v>
      </c>
      <c r="B597" s="4">
        <v>4069</v>
      </c>
      <c r="C597" s="5">
        <v>41041</v>
      </c>
      <c r="D597" s="3" t="s">
        <v>4</v>
      </c>
      <c r="E597" s="1" t="s">
        <v>206</v>
      </c>
      <c r="F597" s="1" t="s">
        <v>12</v>
      </c>
      <c r="G597" s="2" t="s">
        <v>2</v>
      </c>
      <c r="H597" s="3" t="s">
        <v>100</v>
      </c>
      <c r="I597" s="3" t="s">
        <v>85</v>
      </c>
      <c r="J597" s="3" t="s">
        <v>63</v>
      </c>
      <c r="K597" s="4">
        <v>124.94</v>
      </c>
      <c r="L597" s="6">
        <v>2.78</v>
      </c>
    </row>
    <row r="598" spans="1:12" x14ac:dyDescent="0.25">
      <c r="A598" s="1">
        <v>597</v>
      </c>
      <c r="B598" s="4">
        <v>4069</v>
      </c>
      <c r="C598" s="5">
        <v>41041</v>
      </c>
      <c r="D598" s="3" t="s">
        <v>4</v>
      </c>
      <c r="E598" s="1" t="s">
        <v>206</v>
      </c>
      <c r="F598" s="1" t="s">
        <v>12</v>
      </c>
      <c r="G598" s="2" t="s">
        <v>2</v>
      </c>
      <c r="H598" s="3" t="s">
        <v>100</v>
      </c>
      <c r="I598" s="3" t="s">
        <v>85</v>
      </c>
      <c r="J598" s="3" t="s">
        <v>64</v>
      </c>
      <c r="K598" s="4">
        <v>78.459999999999994</v>
      </c>
      <c r="L598" s="6">
        <v>2.62</v>
      </c>
    </row>
    <row r="599" spans="1:12" x14ac:dyDescent="0.25">
      <c r="A599" s="1">
        <v>598</v>
      </c>
      <c r="B599" s="4">
        <v>4070</v>
      </c>
      <c r="C599" s="5">
        <v>40705</v>
      </c>
      <c r="D599" s="3" t="s">
        <v>89</v>
      </c>
      <c r="E599" s="1" t="s">
        <v>157</v>
      </c>
      <c r="F599" s="1" t="s">
        <v>16</v>
      </c>
      <c r="G599" s="2" t="s">
        <v>3</v>
      </c>
      <c r="H599" s="3" t="s">
        <v>97</v>
      </c>
      <c r="I599" s="3" t="s">
        <v>92</v>
      </c>
      <c r="J599" s="3" t="s">
        <v>62</v>
      </c>
      <c r="K599" s="4">
        <v>646.07000000000005</v>
      </c>
      <c r="L599" s="6">
        <v>28.48</v>
      </c>
    </row>
    <row r="600" spans="1:12" x14ac:dyDescent="0.25">
      <c r="A600" s="1">
        <v>599</v>
      </c>
      <c r="B600" s="4">
        <v>4096</v>
      </c>
      <c r="C600" s="5">
        <v>41092</v>
      </c>
      <c r="D600" s="3" t="s">
        <v>86</v>
      </c>
      <c r="E600" s="1" t="s">
        <v>122</v>
      </c>
      <c r="F600" s="1" t="s">
        <v>15</v>
      </c>
      <c r="G600" s="2" t="s">
        <v>1</v>
      </c>
      <c r="H600" s="3" t="s">
        <v>88</v>
      </c>
      <c r="I600" s="3" t="s">
        <v>85</v>
      </c>
      <c r="J600" s="3" t="s">
        <v>65</v>
      </c>
      <c r="K600" s="4">
        <v>128.28</v>
      </c>
      <c r="L600" s="6">
        <v>6.3</v>
      </c>
    </row>
    <row r="601" spans="1:12" x14ac:dyDescent="0.25">
      <c r="A601" s="1">
        <v>600</v>
      </c>
      <c r="B601" s="4">
        <v>4099</v>
      </c>
      <c r="C601" s="5">
        <v>41141</v>
      </c>
      <c r="D601" s="3" t="s">
        <v>95</v>
      </c>
      <c r="E601" s="1" t="s">
        <v>208</v>
      </c>
      <c r="F601" s="1" t="s">
        <v>17</v>
      </c>
      <c r="G601" s="2" t="s">
        <v>2</v>
      </c>
      <c r="H601" s="3" t="s">
        <v>100</v>
      </c>
      <c r="I601" s="3" t="s">
        <v>85</v>
      </c>
      <c r="J601" s="3" t="s">
        <v>57</v>
      </c>
      <c r="K601" s="4">
        <v>1691.51</v>
      </c>
      <c r="L601" s="6">
        <v>42.76</v>
      </c>
    </row>
    <row r="602" spans="1:12" x14ac:dyDescent="0.25">
      <c r="A602" s="1">
        <v>601</v>
      </c>
      <c r="B602" s="4">
        <v>4099</v>
      </c>
      <c r="C602" s="5">
        <v>41141</v>
      </c>
      <c r="D602" s="3" t="s">
        <v>95</v>
      </c>
      <c r="E602" s="1" t="s">
        <v>438</v>
      </c>
      <c r="F602" s="1" t="s">
        <v>17</v>
      </c>
      <c r="G602" s="2" t="s">
        <v>2</v>
      </c>
      <c r="H602" s="3" t="s">
        <v>100</v>
      </c>
      <c r="I602" s="3" t="s">
        <v>85</v>
      </c>
      <c r="J602" s="3" t="s">
        <v>71</v>
      </c>
      <c r="K602" s="4">
        <v>122.93</v>
      </c>
      <c r="L602" s="6">
        <v>9.7799999999999994</v>
      </c>
    </row>
    <row r="603" spans="1:12" x14ac:dyDescent="0.25">
      <c r="A603" s="1">
        <v>602</v>
      </c>
      <c r="B603" s="4">
        <v>4099</v>
      </c>
      <c r="C603" s="5">
        <v>41141</v>
      </c>
      <c r="D603" s="3" t="s">
        <v>95</v>
      </c>
      <c r="E603" s="1" t="s">
        <v>438</v>
      </c>
      <c r="F603" s="1" t="s">
        <v>17</v>
      </c>
      <c r="G603" s="2" t="s">
        <v>2</v>
      </c>
      <c r="H603" s="3" t="s">
        <v>100</v>
      </c>
      <c r="I603" s="3" t="s">
        <v>91</v>
      </c>
      <c r="J603" s="3" t="s">
        <v>59</v>
      </c>
      <c r="K603" s="4">
        <v>47.86</v>
      </c>
      <c r="L603" s="6">
        <v>9.48</v>
      </c>
    </row>
    <row r="604" spans="1:12" x14ac:dyDescent="0.25">
      <c r="A604" s="1">
        <v>603</v>
      </c>
      <c r="B604" s="4">
        <v>4099</v>
      </c>
      <c r="C604" s="5">
        <v>41141</v>
      </c>
      <c r="D604" s="3" t="s">
        <v>95</v>
      </c>
      <c r="E604" s="1" t="s">
        <v>438</v>
      </c>
      <c r="F604" s="1" t="s">
        <v>17</v>
      </c>
      <c r="G604" s="2" t="s">
        <v>2</v>
      </c>
      <c r="H604" s="3" t="s">
        <v>100</v>
      </c>
      <c r="I604" s="3" t="s">
        <v>92</v>
      </c>
      <c r="J604" s="3" t="s">
        <v>61</v>
      </c>
      <c r="K604" s="4">
        <v>3607.8504999999996</v>
      </c>
      <c r="L604" s="6">
        <v>110.99</v>
      </c>
    </row>
    <row r="605" spans="1:12" x14ac:dyDescent="0.25">
      <c r="A605" s="1">
        <v>604</v>
      </c>
      <c r="B605" s="4">
        <v>4103</v>
      </c>
      <c r="C605" s="5">
        <v>41092</v>
      </c>
      <c r="D605" s="3" t="s">
        <v>82</v>
      </c>
      <c r="E605" s="1" t="s">
        <v>439</v>
      </c>
      <c r="F605" s="1" t="s">
        <v>20</v>
      </c>
      <c r="G605" s="2" t="s">
        <v>1</v>
      </c>
      <c r="H605" s="3" t="s">
        <v>97</v>
      </c>
      <c r="I605" s="3" t="s">
        <v>85</v>
      </c>
      <c r="J605" s="3" t="s">
        <v>63</v>
      </c>
      <c r="K605" s="4">
        <v>42.5</v>
      </c>
      <c r="L605" s="6">
        <v>11.66</v>
      </c>
    </row>
    <row r="606" spans="1:12" x14ac:dyDescent="0.25">
      <c r="A606" s="1">
        <v>605</v>
      </c>
      <c r="B606" s="4">
        <v>4128</v>
      </c>
      <c r="C606" s="5">
        <v>40822</v>
      </c>
      <c r="D606" s="3" t="s">
        <v>86</v>
      </c>
      <c r="E606" s="1" t="s">
        <v>440</v>
      </c>
      <c r="F606" s="1" t="s">
        <v>13</v>
      </c>
      <c r="G606" s="2" t="s">
        <v>6</v>
      </c>
      <c r="H606" s="3" t="s">
        <v>100</v>
      </c>
      <c r="I606" s="3" t="s">
        <v>85</v>
      </c>
      <c r="J606" s="3" t="s">
        <v>66</v>
      </c>
      <c r="K606" s="4">
        <v>391.42</v>
      </c>
      <c r="L606" s="6">
        <v>9.99</v>
      </c>
    </row>
    <row r="607" spans="1:12" x14ac:dyDescent="0.25">
      <c r="A607" s="1">
        <v>606</v>
      </c>
      <c r="B607" s="4">
        <v>4132</v>
      </c>
      <c r="C607" s="5">
        <v>40691</v>
      </c>
      <c r="D607" s="3" t="s">
        <v>86</v>
      </c>
      <c r="E607" s="1" t="s">
        <v>441</v>
      </c>
      <c r="F607" s="1" t="s">
        <v>8</v>
      </c>
      <c r="G607" s="2" t="s">
        <v>6</v>
      </c>
      <c r="H607" s="3" t="s">
        <v>88</v>
      </c>
      <c r="I607" s="3" t="s">
        <v>85</v>
      </c>
      <c r="J607" s="3" t="s">
        <v>65</v>
      </c>
      <c r="K607" s="4">
        <v>14.76</v>
      </c>
      <c r="L607" s="6">
        <v>2.88</v>
      </c>
    </row>
    <row r="608" spans="1:12" x14ac:dyDescent="0.25">
      <c r="A608" s="1">
        <v>607</v>
      </c>
      <c r="B608" s="4">
        <v>4134</v>
      </c>
      <c r="C608" s="5">
        <v>40554</v>
      </c>
      <c r="D608" s="3" t="s">
        <v>95</v>
      </c>
      <c r="E608" s="1" t="s">
        <v>442</v>
      </c>
      <c r="F608" s="1" t="s">
        <v>24</v>
      </c>
      <c r="G608" s="2" t="s">
        <v>2</v>
      </c>
      <c r="H608" s="3" t="s">
        <v>84</v>
      </c>
      <c r="I608" s="3" t="s">
        <v>91</v>
      </c>
      <c r="J608" s="3" t="s">
        <v>68</v>
      </c>
      <c r="K608" s="4">
        <v>6403.39</v>
      </c>
      <c r="L608" s="6">
        <v>130.97999999999999</v>
      </c>
    </row>
    <row r="609" spans="1:12" x14ac:dyDescent="0.25">
      <c r="A609" s="1">
        <v>608</v>
      </c>
      <c r="B609" s="4">
        <v>4134</v>
      </c>
      <c r="C609" s="5">
        <v>40554</v>
      </c>
      <c r="D609" s="3" t="s">
        <v>95</v>
      </c>
      <c r="E609" s="1" t="s">
        <v>442</v>
      </c>
      <c r="F609" s="1" t="s">
        <v>24</v>
      </c>
      <c r="G609" s="2" t="s">
        <v>2</v>
      </c>
      <c r="H609" s="3" t="s">
        <v>84</v>
      </c>
      <c r="I609" s="3" t="s">
        <v>92</v>
      </c>
      <c r="J609" s="3" t="s">
        <v>62</v>
      </c>
      <c r="K609" s="4">
        <v>757.91</v>
      </c>
      <c r="L609" s="6">
        <v>30.97</v>
      </c>
    </row>
    <row r="610" spans="1:12" x14ac:dyDescent="0.25">
      <c r="A610" s="1">
        <v>609</v>
      </c>
      <c r="B610" s="4">
        <v>4162</v>
      </c>
      <c r="C610" s="5">
        <v>40948</v>
      </c>
      <c r="D610" s="3" t="s">
        <v>82</v>
      </c>
      <c r="E610" s="1" t="s">
        <v>443</v>
      </c>
      <c r="F610" s="1" t="s">
        <v>39</v>
      </c>
      <c r="G610" s="2" t="s">
        <v>1</v>
      </c>
      <c r="H610" s="3" t="s">
        <v>84</v>
      </c>
      <c r="I610" s="3" t="s">
        <v>85</v>
      </c>
      <c r="J610" s="3" t="s">
        <v>57</v>
      </c>
      <c r="K610" s="4">
        <v>381.6</v>
      </c>
      <c r="L610" s="6">
        <v>193.17</v>
      </c>
    </row>
    <row r="611" spans="1:12" x14ac:dyDescent="0.25">
      <c r="A611" s="1">
        <v>610</v>
      </c>
      <c r="B611" s="4">
        <v>4166</v>
      </c>
      <c r="C611" s="5">
        <v>40236</v>
      </c>
      <c r="D611" s="3" t="s">
        <v>82</v>
      </c>
      <c r="E611" s="1" t="s">
        <v>96</v>
      </c>
      <c r="F611" s="1" t="s">
        <v>26</v>
      </c>
      <c r="G611" s="2" t="s">
        <v>3</v>
      </c>
      <c r="H611" s="3" t="s">
        <v>88</v>
      </c>
      <c r="I611" s="3" t="s">
        <v>85</v>
      </c>
      <c r="J611" s="3" t="s">
        <v>69</v>
      </c>
      <c r="K611" s="4">
        <v>138.85</v>
      </c>
      <c r="L611" s="6">
        <v>7.1</v>
      </c>
    </row>
    <row r="612" spans="1:12" x14ac:dyDescent="0.25">
      <c r="A612" s="1">
        <v>611</v>
      </c>
      <c r="B612" s="4">
        <v>4193</v>
      </c>
      <c r="C612" s="5">
        <v>39821</v>
      </c>
      <c r="D612" s="3" t="s">
        <v>89</v>
      </c>
      <c r="E612" s="1" t="s">
        <v>444</v>
      </c>
      <c r="F612" s="1" t="s">
        <v>34</v>
      </c>
      <c r="G612" s="2" t="s">
        <v>1</v>
      </c>
      <c r="H612" s="3" t="s">
        <v>97</v>
      </c>
      <c r="I612" s="3" t="s">
        <v>85</v>
      </c>
      <c r="J612" s="3" t="s">
        <v>65</v>
      </c>
      <c r="K612" s="4">
        <v>64.290000000000006</v>
      </c>
      <c r="L612" s="6">
        <v>4.13</v>
      </c>
    </row>
    <row r="613" spans="1:12" x14ac:dyDescent="0.25">
      <c r="A613" s="1">
        <v>612</v>
      </c>
      <c r="B613" s="4">
        <v>4193</v>
      </c>
      <c r="C613" s="5">
        <v>39821</v>
      </c>
      <c r="D613" s="3" t="s">
        <v>89</v>
      </c>
      <c r="E613" s="1" t="s">
        <v>444</v>
      </c>
      <c r="F613" s="1" t="s">
        <v>34</v>
      </c>
      <c r="G613" s="2" t="s">
        <v>1</v>
      </c>
      <c r="H613" s="3" t="s">
        <v>97</v>
      </c>
      <c r="I613" s="3" t="s">
        <v>91</v>
      </c>
      <c r="J613" s="3" t="s">
        <v>59</v>
      </c>
      <c r="K613" s="4">
        <v>75.77</v>
      </c>
      <c r="L613" s="6">
        <v>22.72</v>
      </c>
    </row>
    <row r="614" spans="1:12" x14ac:dyDescent="0.25">
      <c r="A614" s="1">
        <v>613</v>
      </c>
      <c r="B614" s="4">
        <v>4195</v>
      </c>
      <c r="C614" s="5">
        <v>40326</v>
      </c>
      <c r="D614" s="3" t="s">
        <v>86</v>
      </c>
      <c r="E614" s="1" t="s">
        <v>331</v>
      </c>
      <c r="F614" s="1" t="s">
        <v>36</v>
      </c>
      <c r="G614" s="2" t="s">
        <v>2</v>
      </c>
      <c r="H614" s="3" t="s">
        <v>88</v>
      </c>
      <c r="I614" s="3" t="s">
        <v>92</v>
      </c>
      <c r="J614" s="3" t="s">
        <v>62</v>
      </c>
      <c r="K614" s="4">
        <v>255.74</v>
      </c>
      <c r="L614" s="6">
        <v>8.5</v>
      </c>
    </row>
    <row r="615" spans="1:12" x14ac:dyDescent="0.25">
      <c r="A615" s="1">
        <v>614</v>
      </c>
      <c r="B615" s="4">
        <v>4199</v>
      </c>
      <c r="C615" s="5">
        <v>40951</v>
      </c>
      <c r="D615" s="3" t="s">
        <v>95</v>
      </c>
      <c r="E615" s="1" t="s">
        <v>445</v>
      </c>
      <c r="F615" s="1" t="s">
        <v>33</v>
      </c>
      <c r="G615" s="2" t="s">
        <v>2</v>
      </c>
      <c r="H615" s="3" t="s">
        <v>88</v>
      </c>
      <c r="I615" s="3" t="s">
        <v>91</v>
      </c>
      <c r="J615" s="3" t="s">
        <v>59</v>
      </c>
      <c r="K615" s="4">
        <v>639.71</v>
      </c>
      <c r="L615" s="6">
        <v>14.2</v>
      </c>
    </row>
    <row r="616" spans="1:12" x14ac:dyDescent="0.25">
      <c r="A616" s="1">
        <v>615</v>
      </c>
      <c r="B616" s="4">
        <v>4230</v>
      </c>
      <c r="C616" s="5">
        <v>40971</v>
      </c>
      <c r="D616" s="3" t="s">
        <v>95</v>
      </c>
      <c r="E616" s="1" t="s">
        <v>446</v>
      </c>
      <c r="F616" s="1" t="s">
        <v>24</v>
      </c>
      <c r="G616" s="2" t="s">
        <v>2</v>
      </c>
      <c r="H616" s="3" t="s">
        <v>88</v>
      </c>
      <c r="I616" s="3" t="s">
        <v>91</v>
      </c>
      <c r="J616" s="3" t="s">
        <v>59</v>
      </c>
      <c r="K616" s="4">
        <v>409.16</v>
      </c>
      <c r="L616" s="6">
        <v>22.72</v>
      </c>
    </row>
    <row r="617" spans="1:12" x14ac:dyDescent="0.25">
      <c r="A617" s="1">
        <v>616</v>
      </c>
      <c r="B617" s="4">
        <v>4230</v>
      </c>
      <c r="C617" s="5">
        <v>40971</v>
      </c>
      <c r="D617" s="3" t="s">
        <v>95</v>
      </c>
      <c r="E617" s="1" t="s">
        <v>446</v>
      </c>
      <c r="F617" s="1" t="s">
        <v>24</v>
      </c>
      <c r="G617" s="2" t="s">
        <v>2</v>
      </c>
      <c r="H617" s="3" t="s">
        <v>88</v>
      </c>
      <c r="I617" s="3" t="s">
        <v>92</v>
      </c>
      <c r="J617" s="3" t="s">
        <v>61</v>
      </c>
      <c r="K617" s="4">
        <v>2508.3159999999998</v>
      </c>
      <c r="L617" s="6">
        <v>65.989999999999995</v>
      </c>
    </row>
    <row r="618" spans="1:12" x14ac:dyDescent="0.25">
      <c r="A618" s="1">
        <v>617</v>
      </c>
      <c r="B618" s="4">
        <v>4257</v>
      </c>
      <c r="C618" s="5">
        <v>40626</v>
      </c>
      <c r="D618" s="3" t="s">
        <v>4</v>
      </c>
      <c r="E618" s="1" t="s">
        <v>447</v>
      </c>
      <c r="F618" s="1" t="s">
        <v>30</v>
      </c>
      <c r="G618" s="2" t="s">
        <v>6</v>
      </c>
      <c r="H618" s="3" t="s">
        <v>100</v>
      </c>
      <c r="I618" s="3" t="s">
        <v>85</v>
      </c>
      <c r="J618" s="3" t="s">
        <v>71</v>
      </c>
      <c r="K618" s="4">
        <v>253.89</v>
      </c>
      <c r="L618" s="6">
        <v>5.58</v>
      </c>
    </row>
    <row r="619" spans="1:12" x14ac:dyDescent="0.25">
      <c r="A619" s="1">
        <v>618</v>
      </c>
      <c r="B619" s="4">
        <v>4261</v>
      </c>
      <c r="C619" s="5">
        <v>41184</v>
      </c>
      <c r="D619" s="3" t="s">
        <v>95</v>
      </c>
      <c r="E619" s="1" t="s">
        <v>219</v>
      </c>
      <c r="F619" s="1" t="s">
        <v>30</v>
      </c>
      <c r="G619" s="2" t="s">
        <v>6</v>
      </c>
      <c r="H619" s="3" t="s">
        <v>88</v>
      </c>
      <c r="I619" s="3" t="s">
        <v>85</v>
      </c>
      <c r="J619" s="3" t="s">
        <v>70</v>
      </c>
      <c r="K619" s="4">
        <v>1556.87</v>
      </c>
      <c r="L619" s="6">
        <v>68.81</v>
      </c>
    </row>
    <row r="620" spans="1:12" x14ac:dyDescent="0.25">
      <c r="A620" s="1">
        <v>619</v>
      </c>
      <c r="B620" s="4">
        <v>4261</v>
      </c>
      <c r="C620" s="5">
        <v>41184</v>
      </c>
      <c r="D620" s="3" t="s">
        <v>95</v>
      </c>
      <c r="E620" s="1" t="s">
        <v>219</v>
      </c>
      <c r="F620" s="1" t="s">
        <v>30</v>
      </c>
      <c r="G620" s="2" t="s">
        <v>6</v>
      </c>
      <c r="H620" s="3" t="s">
        <v>88</v>
      </c>
      <c r="I620" s="3" t="s">
        <v>85</v>
      </c>
      <c r="J620" s="3" t="s">
        <v>66</v>
      </c>
      <c r="K620" s="4">
        <v>195.98</v>
      </c>
      <c r="L620" s="6">
        <v>5.98</v>
      </c>
    </row>
    <row r="621" spans="1:12" x14ac:dyDescent="0.25">
      <c r="A621" s="1">
        <v>620</v>
      </c>
      <c r="B621" s="4">
        <v>4261</v>
      </c>
      <c r="C621" s="5">
        <v>41184</v>
      </c>
      <c r="D621" s="3" t="s">
        <v>95</v>
      </c>
      <c r="E621" s="1" t="s">
        <v>339</v>
      </c>
      <c r="F621" s="1" t="s">
        <v>30</v>
      </c>
      <c r="G621" s="2" t="s">
        <v>6</v>
      </c>
      <c r="H621" s="3" t="s">
        <v>88</v>
      </c>
      <c r="I621" s="3" t="s">
        <v>85</v>
      </c>
      <c r="J621" s="3" t="s">
        <v>70</v>
      </c>
      <c r="K621" s="4">
        <v>9235.9699999999993</v>
      </c>
      <c r="L621" s="6">
        <v>300.64999999999998</v>
      </c>
    </row>
    <row r="622" spans="1:12" x14ac:dyDescent="0.25">
      <c r="A622" s="1">
        <v>621</v>
      </c>
      <c r="B622" s="4">
        <v>4261</v>
      </c>
      <c r="C622" s="5">
        <v>41184</v>
      </c>
      <c r="D622" s="3" t="s">
        <v>95</v>
      </c>
      <c r="E622" s="1" t="s">
        <v>339</v>
      </c>
      <c r="F622" s="1" t="s">
        <v>30</v>
      </c>
      <c r="G622" s="2" t="s">
        <v>6</v>
      </c>
      <c r="H622" s="3" t="s">
        <v>88</v>
      </c>
      <c r="I622" s="3" t="s">
        <v>85</v>
      </c>
      <c r="J622" s="3" t="s">
        <v>66</v>
      </c>
      <c r="K622" s="4">
        <v>274.38</v>
      </c>
      <c r="L622" s="6">
        <v>5.78</v>
      </c>
    </row>
    <row r="623" spans="1:12" x14ac:dyDescent="0.25">
      <c r="A623" s="1">
        <v>622</v>
      </c>
      <c r="B623" s="4">
        <v>4294</v>
      </c>
      <c r="C623" s="5">
        <v>41135</v>
      </c>
      <c r="D623" s="3" t="s">
        <v>4</v>
      </c>
      <c r="E623" s="1" t="s">
        <v>196</v>
      </c>
      <c r="F623" s="1" t="s">
        <v>30</v>
      </c>
      <c r="G623" s="2" t="s">
        <v>6</v>
      </c>
      <c r="H623" s="3" t="s">
        <v>84</v>
      </c>
      <c r="I623" s="3" t="s">
        <v>91</v>
      </c>
      <c r="J623" s="3" t="s">
        <v>59</v>
      </c>
      <c r="K623" s="4">
        <v>17.72</v>
      </c>
      <c r="L623" s="6">
        <v>1.74</v>
      </c>
    </row>
    <row r="624" spans="1:12" x14ac:dyDescent="0.25">
      <c r="A624" s="1">
        <v>623</v>
      </c>
      <c r="B624" s="4">
        <v>4321</v>
      </c>
      <c r="C624" s="5">
        <v>40011</v>
      </c>
      <c r="D624" s="3" t="s">
        <v>4</v>
      </c>
      <c r="E624" s="1" t="s">
        <v>105</v>
      </c>
      <c r="F624" s="1" t="s">
        <v>18</v>
      </c>
      <c r="G624" s="2" t="s">
        <v>6</v>
      </c>
      <c r="H624" s="3" t="s">
        <v>88</v>
      </c>
      <c r="I624" s="3" t="s">
        <v>85</v>
      </c>
      <c r="J624" s="3" t="s">
        <v>65</v>
      </c>
      <c r="K624" s="4">
        <v>1505.57</v>
      </c>
      <c r="L624" s="6">
        <v>30.53</v>
      </c>
    </row>
    <row r="625" spans="1:12" x14ac:dyDescent="0.25">
      <c r="A625" s="1">
        <v>624</v>
      </c>
      <c r="B625" s="4">
        <v>4324</v>
      </c>
      <c r="C625" s="5">
        <v>40740</v>
      </c>
      <c r="D625" s="3" t="s">
        <v>95</v>
      </c>
      <c r="E625" s="1" t="s">
        <v>448</v>
      </c>
      <c r="F625" s="1" t="s">
        <v>24</v>
      </c>
      <c r="G625" s="2" t="s">
        <v>2</v>
      </c>
      <c r="H625" s="3" t="s">
        <v>84</v>
      </c>
      <c r="I625" s="3" t="s">
        <v>85</v>
      </c>
      <c r="J625" s="3" t="s">
        <v>63</v>
      </c>
      <c r="K625" s="4">
        <v>1165.33</v>
      </c>
      <c r="L625" s="6">
        <v>40.97</v>
      </c>
    </row>
    <row r="626" spans="1:12" x14ac:dyDescent="0.25">
      <c r="A626" s="1">
        <v>625</v>
      </c>
      <c r="B626" s="4">
        <v>4354</v>
      </c>
      <c r="C626" s="5">
        <v>40085</v>
      </c>
      <c r="D626" s="3" t="s">
        <v>86</v>
      </c>
      <c r="E626" s="1" t="s">
        <v>449</v>
      </c>
      <c r="F626" s="1" t="s">
        <v>13</v>
      </c>
      <c r="G626" s="2" t="s">
        <v>6</v>
      </c>
      <c r="H626" s="3" t="s">
        <v>88</v>
      </c>
      <c r="I626" s="3" t="s">
        <v>91</v>
      </c>
      <c r="J626" s="3" t="s">
        <v>59</v>
      </c>
      <c r="K626" s="4">
        <v>49.04</v>
      </c>
      <c r="L626" s="6">
        <v>7.38</v>
      </c>
    </row>
    <row r="627" spans="1:12" x14ac:dyDescent="0.25">
      <c r="A627" s="1">
        <v>626</v>
      </c>
      <c r="B627" s="4">
        <v>4359</v>
      </c>
      <c r="C627" s="5">
        <v>40239</v>
      </c>
      <c r="D627" s="3" t="s">
        <v>95</v>
      </c>
      <c r="E627" s="1" t="s">
        <v>450</v>
      </c>
      <c r="F627" s="1" t="s">
        <v>29</v>
      </c>
      <c r="G627" s="2" t="s">
        <v>3</v>
      </c>
      <c r="H627" s="3" t="s">
        <v>97</v>
      </c>
      <c r="I627" s="3" t="s">
        <v>85</v>
      </c>
      <c r="J627" s="3" t="s">
        <v>57</v>
      </c>
      <c r="K627" s="4">
        <v>215.76</v>
      </c>
      <c r="L627" s="6">
        <v>10.9</v>
      </c>
    </row>
    <row r="628" spans="1:12" x14ac:dyDescent="0.25">
      <c r="A628" s="1">
        <v>627</v>
      </c>
      <c r="B628" s="4">
        <v>4387</v>
      </c>
      <c r="C628" s="5">
        <v>40838</v>
      </c>
      <c r="D628" s="3" t="s">
        <v>95</v>
      </c>
      <c r="E628" s="1" t="s">
        <v>444</v>
      </c>
      <c r="F628" s="1" t="s">
        <v>34</v>
      </c>
      <c r="G628" s="2" t="s">
        <v>1</v>
      </c>
      <c r="H628" s="3" t="s">
        <v>88</v>
      </c>
      <c r="I628" s="3" t="s">
        <v>91</v>
      </c>
      <c r="J628" s="3" t="s">
        <v>60</v>
      </c>
      <c r="K628" s="4">
        <v>640.21</v>
      </c>
      <c r="L628" s="6">
        <v>150.97999999999999</v>
      </c>
    </row>
    <row r="629" spans="1:12" x14ac:dyDescent="0.25">
      <c r="A629" s="1">
        <v>628</v>
      </c>
      <c r="B629" s="4">
        <v>4389</v>
      </c>
      <c r="C629" s="5">
        <v>39937</v>
      </c>
      <c r="D629" s="3" t="s">
        <v>4</v>
      </c>
      <c r="E629" s="1" t="s">
        <v>451</v>
      </c>
      <c r="F629" s="1" t="s">
        <v>32</v>
      </c>
      <c r="G629" s="2" t="s">
        <v>2</v>
      </c>
      <c r="H629" s="3" t="s">
        <v>88</v>
      </c>
      <c r="I629" s="3" t="s">
        <v>85</v>
      </c>
      <c r="J629" s="3" t="s">
        <v>69</v>
      </c>
      <c r="K629" s="4">
        <v>179.45</v>
      </c>
      <c r="L629" s="6">
        <v>5.34</v>
      </c>
    </row>
    <row r="630" spans="1:12" x14ac:dyDescent="0.25">
      <c r="A630" s="1">
        <v>629</v>
      </c>
      <c r="B630" s="4">
        <v>4389</v>
      </c>
      <c r="C630" s="5">
        <v>39937</v>
      </c>
      <c r="D630" s="3" t="s">
        <v>4</v>
      </c>
      <c r="E630" s="1" t="s">
        <v>451</v>
      </c>
      <c r="F630" s="1" t="s">
        <v>32</v>
      </c>
      <c r="G630" s="2" t="s">
        <v>2</v>
      </c>
      <c r="H630" s="3" t="s">
        <v>88</v>
      </c>
      <c r="I630" s="3" t="s">
        <v>91</v>
      </c>
      <c r="J630" s="3" t="s">
        <v>72</v>
      </c>
      <c r="K630" s="4">
        <v>7987.43</v>
      </c>
      <c r="L630" s="6">
        <v>160.97999999999999</v>
      </c>
    </row>
    <row r="631" spans="1:12" x14ac:dyDescent="0.25">
      <c r="A631" s="1">
        <v>630</v>
      </c>
      <c r="B631" s="4">
        <v>4389</v>
      </c>
      <c r="C631" s="5">
        <v>39937</v>
      </c>
      <c r="D631" s="3" t="s">
        <v>4</v>
      </c>
      <c r="E631" s="1" t="s">
        <v>451</v>
      </c>
      <c r="F631" s="1" t="s">
        <v>32</v>
      </c>
      <c r="G631" s="2" t="s">
        <v>2</v>
      </c>
      <c r="H631" s="3" t="s">
        <v>88</v>
      </c>
      <c r="I631" s="3" t="s">
        <v>92</v>
      </c>
      <c r="J631" s="3" t="s">
        <v>61</v>
      </c>
      <c r="K631" s="4">
        <v>2455.2759999999998</v>
      </c>
      <c r="L631" s="6">
        <v>65.989999999999995</v>
      </c>
    </row>
    <row r="632" spans="1:12" x14ac:dyDescent="0.25">
      <c r="A632" s="1">
        <v>631</v>
      </c>
      <c r="B632" s="4">
        <v>4391</v>
      </c>
      <c r="C632" s="5">
        <v>40956</v>
      </c>
      <c r="D632" s="3" t="s">
        <v>89</v>
      </c>
      <c r="E632" s="1" t="s">
        <v>182</v>
      </c>
      <c r="F632" s="1" t="s">
        <v>36</v>
      </c>
      <c r="G632" s="2" t="s">
        <v>2</v>
      </c>
      <c r="H632" s="3" t="s">
        <v>97</v>
      </c>
      <c r="I632" s="3" t="s">
        <v>92</v>
      </c>
      <c r="J632" s="3" t="s">
        <v>61</v>
      </c>
      <c r="K632" s="4">
        <v>2592.4319999999998</v>
      </c>
      <c r="L632" s="6">
        <v>155.99</v>
      </c>
    </row>
    <row r="633" spans="1:12" x14ac:dyDescent="0.25">
      <c r="A633" s="1">
        <v>632</v>
      </c>
      <c r="B633" s="4">
        <v>4416</v>
      </c>
      <c r="C633" s="5">
        <v>41089</v>
      </c>
      <c r="D633" s="3" t="s">
        <v>82</v>
      </c>
      <c r="E633" s="1" t="s">
        <v>452</v>
      </c>
      <c r="F633" s="1" t="s">
        <v>38</v>
      </c>
      <c r="G633" s="2" t="s">
        <v>6</v>
      </c>
      <c r="H633" s="3" t="s">
        <v>88</v>
      </c>
      <c r="I633" s="3" t="s">
        <v>85</v>
      </c>
      <c r="J633" s="3" t="s">
        <v>69</v>
      </c>
      <c r="K633" s="4">
        <v>7441.29</v>
      </c>
      <c r="L633" s="6">
        <v>165.98</v>
      </c>
    </row>
    <row r="634" spans="1:12" x14ac:dyDescent="0.25">
      <c r="A634" s="1">
        <v>633</v>
      </c>
      <c r="B634" s="4">
        <v>4422</v>
      </c>
      <c r="C634" s="5">
        <v>40684</v>
      </c>
      <c r="D634" s="3" t="s">
        <v>4</v>
      </c>
      <c r="E634" s="1" t="s">
        <v>453</v>
      </c>
      <c r="F634" s="1" t="s">
        <v>36</v>
      </c>
      <c r="G634" s="2" t="s">
        <v>2</v>
      </c>
      <c r="H634" s="3" t="s">
        <v>100</v>
      </c>
      <c r="I634" s="3" t="s">
        <v>91</v>
      </c>
      <c r="J634" s="3" t="s">
        <v>59</v>
      </c>
      <c r="K634" s="4">
        <v>313.43</v>
      </c>
      <c r="L634" s="6">
        <v>25.38</v>
      </c>
    </row>
    <row r="635" spans="1:12" x14ac:dyDescent="0.25">
      <c r="A635" s="1">
        <v>634</v>
      </c>
      <c r="B635" s="4">
        <v>4422</v>
      </c>
      <c r="C635" s="5">
        <v>40684</v>
      </c>
      <c r="D635" s="3" t="s">
        <v>4</v>
      </c>
      <c r="E635" s="1" t="s">
        <v>453</v>
      </c>
      <c r="F635" s="1" t="s">
        <v>36</v>
      </c>
      <c r="G635" s="2" t="s">
        <v>2</v>
      </c>
      <c r="H635" s="3" t="s">
        <v>100</v>
      </c>
      <c r="I635" s="3" t="s">
        <v>85</v>
      </c>
      <c r="J635" s="3" t="s">
        <v>63</v>
      </c>
      <c r="K635" s="4">
        <v>390.11</v>
      </c>
      <c r="L635" s="6">
        <v>21.38</v>
      </c>
    </row>
    <row r="636" spans="1:12" x14ac:dyDescent="0.25">
      <c r="A636" s="1">
        <v>635</v>
      </c>
      <c r="B636" s="4">
        <v>4451</v>
      </c>
      <c r="C636" s="5">
        <v>40086</v>
      </c>
      <c r="D636" s="3" t="s">
        <v>95</v>
      </c>
      <c r="E636" s="1" t="s">
        <v>454</v>
      </c>
      <c r="F636" s="1" t="s">
        <v>23</v>
      </c>
      <c r="G636" s="2" t="s">
        <v>3</v>
      </c>
      <c r="H636" s="3" t="s">
        <v>88</v>
      </c>
      <c r="I636" s="3" t="s">
        <v>85</v>
      </c>
      <c r="J636" s="3" t="s">
        <v>63</v>
      </c>
      <c r="K636" s="4">
        <v>992.95</v>
      </c>
      <c r="L636" s="6">
        <v>21.38</v>
      </c>
    </row>
    <row r="637" spans="1:12" x14ac:dyDescent="0.25">
      <c r="A637" s="1">
        <v>636</v>
      </c>
      <c r="B637" s="4">
        <v>4454</v>
      </c>
      <c r="C637" s="5">
        <v>39845</v>
      </c>
      <c r="D637" s="3" t="s">
        <v>82</v>
      </c>
      <c r="E637" s="1" t="s">
        <v>452</v>
      </c>
      <c r="F637" s="1" t="s">
        <v>38</v>
      </c>
      <c r="G637" s="2" t="s">
        <v>6</v>
      </c>
      <c r="H637" s="3" t="s">
        <v>88</v>
      </c>
      <c r="I637" s="3" t="s">
        <v>85</v>
      </c>
      <c r="J637" s="3" t="s">
        <v>65</v>
      </c>
      <c r="K637" s="4">
        <v>55.45</v>
      </c>
      <c r="L637" s="6">
        <v>3.08</v>
      </c>
    </row>
    <row r="638" spans="1:12" x14ac:dyDescent="0.25">
      <c r="A638" s="1">
        <v>637</v>
      </c>
      <c r="B638" s="4">
        <v>4455</v>
      </c>
      <c r="C638" s="5">
        <v>40461</v>
      </c>
      <c r="D638" s="3" t="s">
        <v>4</v>
      </c>
      <c r="E638" s="1" t="s">
        <v>166</v>
      </c>
      <c r="F638" s="1" t="s">
        <v>20</v>
      </c>
      <c r="G638" s="2" t="s">
        <v>1</v>
      </c>
      <c r="H638" s="3" t="s">
        <v>84</v>
      </c>
      <c r="I638" s="3" t="s">
        <v>91</v>
      </c>
      <c r="J638" s="3" t="s">
        <v>59</v>
      </c>
      <c r="K638" s="4">
        <v>279.29000000000002</v>
      </c>
      <c r="L638" s="6">
        <v>7.59</v>
      </c>
    </row>
    <row r="639" spans="1:12" x14ac:dyDescent="0.25">
      <c r="A639" s="1">
        <v>638</v>
      </c>
      <c r="B639" s="4">
        <v>4487</v>
      </c>
      <c r="C639" s="5">
        <v>40231</v>
      </c>
      <c r="D639" s="3" t="s">
        <v>4</v>
      </c>
      <c r="E639" s="1" t="s">
        <v>455</v>
      </c>
      <c r="F639" s="1" t="s">
        <v>25</v>
      </c>
      <c r="G639" s="2" t="s">
        <v>6</v>
      </c>
      <c r="H639" s="3" t="s">
        <v>84</v>
      </c>
      <c r="I639" s="3" t="s">
        <v>85</v>
      </c>
      <c r="J639" s="3" t="s">
        <v>69</v>
      </c>
      <c r="K639" s="4">
        <v>325.24</v>
      </c>
      <c r="L639" s="6">
        <v>6.54</v>
      </c>
    </row>
    <row r="640" spans="1:12" x14ac:dyDescent="0.25">
      <c r="A640" s="1">
        <v>639</v>
      </c>
      <c r="B640" s="4">
        <v>4512</v>
      </c>
      <c r="C640" s="5">
        <v>40840</v>
      </c>
      <c r="D640" s="3" t="s">
        <v>82</v>
      </c>
      <c r="E640" s="1" t="s">
        <v>444</v>
      </c>
      <c r="F640" s="1" t="s">
        <v>34</v>
      </c>
      <c r="G640" s="2" t="s">
        <v>1</v>
      </c>
      <c r="H640" s="3" t="s">
        <v>97</v>
      </c>
      <c r="I640" s="3" t="s">
        <v>91</v>
      </c>
      <c r="J640" s="3" t="s">
        <v>60</v>
      </c>
      <c r="K640" s="4">
        <v>6077.11</v>
      </c>
      <c r="L640" s="6">
        <v>146.34</v>
      </c>
    </row>
    <row r="641" spans="1:12" x14ac:dyDescent="0.25">
      <c r="A641" s="1">
        <v>640</v>
      </c>
      <c r="B641" s="4">
        <v>4514</v>
      </c>
      <c r="C641" s="5">
        <v>39932</v>
      </c>
      <c r="D641" s="3" t="s">
        <v>4</v>
      </c>
      <c r="E641" s="1" t="s">
        <v>352</v>
      </c>
      <c r="F641" s="1" t="s">
        <v>9</v>
      </c>
      <c r="G641" s="2" t="s">
        <v>2</v>
      </c>
      <c r="H641" s="3" t="s">
        <v>100</v>
      </c>
      <c r="I641" s="3" t="s">
        <v>92</v>
      </c>
      <c r="J641" s="3" t="s">
        <v>61</v>
      </c>
      <c r="K641" s="4">
        <v>2841.4395</v>
      </c>
      <c r="L641" s="6">
        <v>125.99</v>
      </c>
    </row>
    <row r="642" spans="1:12" x14ac:dyDescent="0.25">
      <c r="A642" s="1">
        <v>641</v>
      </c>
      <c r="B642" s="4">
        <v>4515</v>
      </c>
      <c r="C642" s="5">
        <v>40984</v>
      </c>
      <c r="D642" s="3" t="s">
        <v>95</v>
      </c>
      <c r="E642" s="1" t="s">
        <v>301</v>
      </c>
      <c r="F642" s="1" t="s">
        <v>31</v>
      </c>
      <c r="G642" s="2" t="s">
        <v>1</v>
      </c>
      <c r="H642" s="3" t="s">
        <v>100</v>
      </c>
      <c r="I642" s="3" t="s">
        <v>92</v>
      </c>
      <c r="J642" s="3" t="s">
        <v>67</v>
      </c>
      <c r="K642" s="4">
        <v>887.94</v>
      </c>
      <c r="L642" s="6">
        <v>120.97</v>
      </c>
    </row>
    <row r="643" spans="1:12" x14ac:dyDescent="0.25">
      <c r="A643" s="1">
        <v>642</v>
      </c>
      <c r="B643" s="4">
        <v>4516</v>
      </c>
      <c r="C643" s="5">
        <v>39900</v>
      </c>
      <c r="D643" s="3" t="s">
        <v>4</v>
      </c>
      <c r="E643" s="1" t="s">
        <v>456</v>
      </c>
      <c r="F643" s="1" t="s">
        <v>23</v>
      </c>
      <c r="G643" s="2" t="s">
        <v>3</v>
      </c>
      <c r="H643" s="3" t="s">
        <v>84</v>
      </c>
      <c r="I643" s="3" t="s">
        <v>85</v>
      </c>
      <c r="J643" s="3" t="s">
        <v>66</v>
      </c>
      <c r="K643" s="4">
        <v>294.77999999999997</v>
      </c>
      <c r="L643" s="6">
        <v>6.68</v>
      </c>
    </row>
    <row r="644" spans="1:12" x14ac:dyDescent="0.25">
      <c r="A644" s="1">
        <v>643</v>
      </c>
      <c r="B644" s="4">
        <v>4545</v>
      </c>
      <c r="C644" s="5">
        <v>40194</v>
      </c>
      <c r="D644" s="3" t="s">
        <v>86</v>
      </c>
      <c r="E644" s="1" t="s">
        <v>457</v>
      </c>
      <c r="F644" s="1" t="s">
        <v>18</v>
      </c>
      <c r="G644" s="2" t="s">
        <v>6</v>
      </c>
      <c r="H644" s="3" t="s">
        <v>84</v>
      </c>
      <c r="I644" s="3" t="s">
        <v>85</v>
      </c>
      <c r="J644" s="3" t="s">
        <v>66</v>
      </c>
      <c r="K644" s="4">
        <v>126.38</v>
      </c>
      <c r="L644" s="6">
        <v>4</v>
      </c>
    </row>
    <row r="645" spans="1:12" x14ac:dyDescent="0.25">
      <c r="A645" s="1">
        <v>644</v>
      </c>
      <c r="B645" s="4">
        <v>4545</v>
      </c>
      <c r="C645" s="5">
        <v>40194</v>
      </c>
      <c r="D645" s="3" t="s">
        <v>86</v>
      </c>
      <c r="E645" s="1" t="s">
        <v>457</v>
      </c>
      <c r="F645" s="1" t="s">
        <v>18</v>
      </c>
      <c r="G645" s="2" t="s">
        <v>6</v>
      </c>
      <c r="H645" s="3" t="s">
        <v>84</v>
      </c>
      <c r="I645" s="3" t="s">
        <v>85</v>
      </c>
      <c r="J645" s="3" t="s">
        <v>66</v>
      </c>
      <c r="K645" s="4">
        <v>33.1</v>
      </c>
      <c r="L645" s="6">
        <v>6.48</v>
      </c>
    </row>
    <row r="646" spans="1:12" x14ac:dyDescent="0.25">
      <c r="A646" s="1">
        <v>645</v>
      </c>
      <c r="B646" s="4">
        <v>4550</v>
      </c>
      <c r="C646" s="5">
        <v>40175</v>
      </c>
      <c r="D646" s="3" t="s">
        <v>89</v>
      </c>
      <c r="E646" s="1" t="s">
        <v>385</v>
      </c>
      <c r="F646" s="1" t="s">
        <v>13</v>
      </c>
      <c r="G646" s="2" t="s">
        <v>6</v>
      </c>
      <c r="H646" s="3" t="s">
        <v>97</v>
      </c>
      <c r="I646" s="3" t="s">
        <v>92</v>
      </c>
      <c r="J646" s="3" t="s">
        <v>67</v>
      </c>
      <c r="K646" s="4">
        <v>3730.54</v>
      </c>
      <c r="L646" s="6">
        <v>119.99</v>
      </c>
    </row>
    <row r="647" spans="1:12" x14ac:dyDescent="0.25">
      <c r="A647" s="1">
        <v>646</v>
      </c>
      <c r="B647" s="4">
        <v>4578</v>
      </c>
      <c r="C647" s="5">
        <v>41164</v>
      </c>
      <c r="D647" s="3" t="s">
        <v>82</v>
      </c>
      <c r="E647" s="1" t="s">
        <v>397</v>
      </c>
      <c r="F647" s="1" t="s">
        <v>23</v>
      </c>
      <c r="G647" s="2" t="s">
        <v>3</v>
      </c>
      <c r="H647" s="3" t="s">
        <v>88</v>
      </c>
      <c r="I647" s="3" t="s">
        <v>85</v>
      </c>
      <c r="J647" s="3" t="s">
        <v>66</v>
      </c>
      <c r="K647" s="4">
        <v>282.70999999999998</v>
      </c>
      <c r="L647" s="6">
        <v>6.48</v>
      </c>
    </row>
    <row r="648" spans="1:12" x14ac:dyDescent="0.25">
      <c r="A648" s="1">
        <v>647</v>
      </c>
      <c r="B648" s="4">
        <v>4578</v>
      </c>
      <c r="C648" s="5">
        <v>41164</v>
      </c>
      <c r="D648" s="3" t="s">
        <v>82</v>
      </c>
      <c r="E648" s="1" t="s">
        <v>394</v>
      </c>
      <c r="F648" s="1" t="s">
        <v>23</v>
      </c>
      <c r="G648" s="2" t="s">
        <v>3</v>
      </c>
      <c r="H648" s="3" t="s">
        <v>88</v>
      </c>
      <c r="I648" s="3" t="s">
        <v>85</v>
      </c>
      <c r="J648" s="3" t="s">
        <v>70</v>
      </c>
      <c r="K648" s="4">
        <v>724.13</v>
      </c>
      <c r="L648" s="6">
        <v>14.81</v>
      </c>
    </row>
    <row r="649" spans="1:12" x14ac:dyDescent="0.25">
      <c r="A649" s="1">
        <v>648</v>
      </c>
      <c r="B649" s="4">
        <v>4578</v>
      </c>
      <c r="C649" s="5">
        <v>41164</v>
      </c>
      <c r="D649" s="3" t="s">
        <v>82</v>
      </c>
      <c r="E649" s="1" t="s">
        <v>394</v>
      </c>
      <c r="F649" s="1" t="s">
        <v>23</v>
      </c>
      <c r="G649" s="2" t="s">
        <v>3</v>
      </c>
      <c r="H649" s="3" t="s">
        <v>88</v>
      </c>
      <c r="I649" s="3" t="s">
        <v>91</v>
      </c>
      <c r="J649" s="3" t="s">
        <v>59</v>
      </c>
      <c r="K649" s="4">
        <v>294.66000000000003</v>
      </c>
      <c r="L649" s="6">
        <v>20.239999999999998</v>
      </c>
    </row>
    <row r="650" spans="1:12" x14ac:dyDescent="0.25">
      <c r="A650" s="1">
        <v>649</v>
      </c>
      <c r="B650" s="4">
        <v>4579</v>
      </c>
      <c r="C650" s="5">
        <v>40877</v>
      </c>
      <c r="D650" s="3" t="s">
        <v>89</v>
      </c>
      <c r="E650" s="1" t="s">
        <v>458</v>
      </c>
      <c r="F650" s="2" t="s">
        <v>25</v>
      </c>
      <c r="G650" s="2" t="s">
        <v>6</v>
      </c>
      <c r="H650" s="3" t="s">
        <v>84</v>
      </c>
      <c r="I650" s="3" t="s">
        <v>85</v>
      </c>
      <c r="J650" s="3" t="s">
        <v>69</v>
      </c>
      <c r="K650" s="4">
        <v>1765.05</v>
      </c>
      <c r="L650" s="6">
        <v>43.41</v>
      </c>
    </row>
    <row r="651" spans="1:12" x14ac:dyDescent="0.25">
      <c r="A651" s="1">
        <v>650</v>
      </c>
      <c r="B651" s="4">
        <v>4580</v>
      </c>
      <c r="C651" s="5">
        <v>40496</v>
      </c>
      <c r="D651" s="3" t="s">
        <v>86</v>
      </c>
      <c r="E651" s="1" t="s">
        <v>197</v>
      </c>
      <c r="F651" s="1" t="s">
        <v>27</v>
      </c>
      <c r="G651" s="2" t="s">
        <v>1</v>
      </c>
      <c r="H651" s="3" t="s">
        <v>100</v>
      </c>
      <c r="I651" s="3" t="s">
        <v>91</v>
      </c>
      <c r="J651" s="3" t="s">
        <v>60</v>
      </c>
      <c r="K651" s="4">
        <v>7384.54</v>
      </c>
      <c r="L651" s="6">
        <v>280.98</v>
      </c>
    </row>
    <row r="652" spans="1:12" x14ac:dyDescent="0.25">
      <c r="A652" s="1">
        <v>651</v>
      </c>
      <c r="B652" s="4">
        <v>4581</v>
      </c>
      <c r="C652" s="5">
        <v>41155</v>
      </c>
      <c r="D652" s="3" t="s">
        <v>86</v>
      </c>
      <c r="E652" s="1" t="s">
        <v>446</v>
      </c>
      <c r="F652" s="1" t="s">
        <v>24</v>
      </c>
      <c r="G652" s="2" t="s">
        <v>2</v>
      </c>
      <c r="H652" s="3" t="s">
        <v>97</v>
      </c>
      <c r="I652" s="3" t="s">
        <v>85</v>
      </c>
      <c r="J652" s="3" t="s">
        <v>71</v>
      </c>
      <c r="K652" s="4">
        <v>2325.42</v>
      </c>
      <c r="L652" s="6">
        <v>90.48</v>
      </c>
    </row>
    <row r="653" spans="1:12" x14ac:dyDescent="0.25">
      <c r="A653" s="1">
        <v>652</v>
      </c>
      <c r="B653" s="4">
        <v>4583</v>
      </c>
      <c r="C653" s="5">
        <v>40080</v>
      </c>
      <c r="D653" s="3" t="s">
        <v>4</v>
      </c>
      <c r="E653" s="1" t="s">
        <v>360</v>
      </c>
      <c r="F653" s="1" t="s">
        <v>10</v>
      </c>
      <c r="G653" s="2" t="s">
        <v>3</v>
      </c>
      <c r="H653" s="3" t="s">
        <v>88</v>
      </c>
      <c r="I653" s="3" t="s">
        <v>91</v>
      </c>
      <c r="J653" s="3" t="s">
        <v>72</v>
      </c>
      <c r="K653" s="4">
        <v>3021.64</v>
      </c>
      <c r="L653" s="6">
        <v>70.98</v>
      </c>
    </row>
    <row r="654" spans="1:12" x14ac:dyDescent="0.25">
      <c r="A654" s="1">
        <v>653</v>
      </c>
      <c r="B654" s="4">
        <v>4610</v>
      </c>
      <c r="C654" s="5">
        <v>40346</v>
      </c>
      <c r="D654" s="3" t="s">
        <v>82</v>
      </c>
      <c r="E654" s="1" t="s">
        <v>459</v>
      </c>
      <c r="F654" s="1" t="s">
        <v>35</v>
      </c>
      <c r="G654" s="2" t="s">
        <v>1</v>
      </c>
      <c r="H654" s="3" t="s">
        <v>84</v>
      </c>
      <c r="I654" s="3" t="s">
        <v>92</v>
      </c>
      <c r="J654" s="3" t="s">
        <v>62</v>
      </c>
      <c r="K654" s="4">
        <v>66.88</v>
      </c>
      <c r="L654" s="6">
        <v>8.33</v>
      </c>
    </row>
    <row r="655" spans="1:12" x14ac:dyDescent="0.25">
      <c r="A655" s="1">
        <v>654</v>
      </c>
      <c r="B655" s="4">
        <v>4610</v>
      </c>
      <c r="C655" s="5">
        <v>40346</v>
      </c>
      <c r="D655" s="3" t="s">
        <v>82</v>
      </c>
      <c r="E655" s="1" t="s">
        <v>459</v>
      </c>
      <c r="F655" s="1" t="s">
        <v>35</v>
      </c>
      <c r="G655" s="2" t="s">
        <v>1</v>
      </c>
      <c r="H655" s="3" t="s">
        <v>84</v>
      </c>
      <c r="I655" s="3" t="s">
        <v>85</v>
      </c>
      <c r="J655" s="3" t="s">
        <v>71</v>
      </c>
      <c r="K655" s="4">
        <v>447.34</v>
      </c>
      <c r="L655" s="6">
        <v>15.67</v>
      </c>
    </row>
    <row r="656" spans="1:12" x14ac:dyDescent="0.25">
      <c r="A656" s="1">
        <v>655</v>
      </c>
      <c r="B656" s="4">
        <v>4611</v>
      </c>
      <c r="C656" s="5">
        <v>40187</v>
      </c>
      <c r="D656" s="3" t="s">
        <v>89</v>
      </c>
      <c r="E656" s="1" t="s">
        <v>408</v>
      </c>
      <c r="F656" s="1" t="s">
        <v>23</v>
      </c>
      <c r="G656" s="2" t="s">
        <v>3</v>
      </c>
      <c r="H656" s="3" t="s">
        <v>100</v>
      </c>
      <c r="I656" s="3" t="s">
        <v>92</v>
      </c>
      <c r="J656" s="3" t="s">
        <v>67</v>
      </c>
      <c r="K656" s="4">
        <v>16172.44</v>
      </c>
      <c r="L656" s="6">
        <v>500.98</v>
      </c>
    </row>
    <row r="657" spans="1:12" x14ac:dyDescent="0.25">
      <c r="A657" s="1">
        <v>656</v>
      </c>
      <c r="B657" s="4">
        <v>4612</v>
      </c>
      <c r="C657" s="5">
        <v>40440</v>
      </c>
      <c r="D657" s="3" t="s">
        <v>4</v>
      </c>
      <c r="E657" s="1" t="s">
        <v>227</v>
      </c>
      <c r="F657" s="1" t="s">
        <v>8</v>
      </c>
      <c r="G657" s="2" t="s">
        <v>6</v>
      </c>
      <c r="H657" s="3" t="s">
        <v>88</v>
      </c>
      <c r="I657" s="3" t="s">
        <v>85</v>
      </c>
      <c r="J657" s="3" t="s">
        <v>70</v>
      </c>
      <c r="K657" s="4">
        <v>89.55</v>
      </c>
      <c r="L657" s="6">
        <v>4.4800000000000004</v>
      </c>
    </row>
    <row r="658" spans="1:12" x14ac:dyDescent="0.25">
      <c r="A658" s="1">
        <v>657</v>
      </c>
      <c r="B658" s="4">
        <v>4642</v>
      </c>
      <c r="C658" s="5">
        <v>40600</v>
      </c>
      <c r="D658" s="3" t="s">
        <v>95</v>
      </c>
      <c r="E658" s="1" t="s">
        <v>460</v>
      </c>
      <c r="F658" s="1" t="s">
        <v>30</v>
      </c>
      <c r="G658" s="2" t="s">
        <v>6</v>
      </c>
      <c r="H658" s="3" t="s">
        <v>88</v>
      </c>
      <c r="I658" s="3" t="s">
        <v>92</v>
      </c>
      <c r="J658" s="3" t="s">
        <v>62</v>
      </c>
      <c r="K658" s="4">
        <v>65.61</v>
      </c>
      <c r="L658" s="6">
        <v>7.28</v>
      </c>
    </row>
    <row r="659" spans="1:12" x14ac:dyDescent="0.25">
      <c r="A659" s="1">
        <v>658</v>
      </c>
      <c r="B659" s="4">
        <v>4642</v>
      </c>
      <c r="C659" s="5">
        <v>40600</v>
      </c>
      <c r="D659" s="3" t="s">
        <v>95</v>
      </c>
      <c r="E659" s="1" t="s">
        <v>460</v>
      </c>
      <c r="F659" s="1" t="s">
        <v>30</v>
      </c>
      <c r="G659" s="2" t="s">
        <v>6</v>
      </c>
      <c r="H659" s="3" t="s">
        <v>88</v>
      </c>
      <c r="I659" s="3" t="s">
        <v>85</v>
      </c>
      <c r="J659" s="3" t="s">
        <v>57</v>
      </c>
      <c r="K659" s="4">
        <v>309.62</v>
      </c>
      <c r="L659" s="6">
        <v>14.03</v>
      </c>
    </row>
    <row r="660" spans="1:12" x14ac:dyDescent="0.25">
      <c r="A660" s="1">
        <v>659</v>
      </c>
      <c r="B660" s="4">
        <v>4645</v>
      </c>
      <c r="C660" s="5">
        <v>40075</v>
      </c>
      <c r="D660" s="3" t="s">
        <v>95</v>
      </c>
      <c r="E660" s="1" t="s">
        <v>461</v>
      </c>
      <c r="F660" s="1" t="s">
        <v>12</v>
      </c>
      <c r="G660" s="2" t="s">
        <v>2</v>
      </c>
      <c r="H660" s="3" t="s">
        <v>84</v>
      </c>
      <c r="I660" s="3" t="s">
        <v>92</v>
      </c>
      <c r="J660" s="3" t="s">
        <v>62</v>
      </c>
      <c r="K660" s="4">
        <v>920</v>
      </c>
      <c r="L660" s="6">
        <v>30.73</v>
      </c>
    </row>
    <row r="661" spans="1:12" x14ac:dyDescent="0.25">
      <c r="A661" s="1">
        <v>660</v>
      </c>
      <c r="B661" s="4">
        <v>4645</v>
      </c>
      <c r="C661" s="5">
        <v>40075</v>
      </c>
      <c r="D661" s="3" t="s">
        <v>95</v>
      </c>
      <c r="E661" s="1" t="s">
        <v>113</v>
      </c>
      <c r="F661" s="1" t="s">
        <v>12</v>
      </c>
      <c r="G661" s="2" t="s">
        <v>2</v>
      </c>
      <c r="H661" s="3" t="s">
        <v>84</v>
      </c>
      <c r="I661" s="3" t="s">
        <v>85</v>
      </c>
      <c r="J661" s="3" t="s">
        <v>70</v>
      </c>
      <c r="K661" s="4">
        <v>104.2</v>
      </c>
      <c r="L661" s="6">
        <v>14.56</v>
      </c>
    </row>
    <row r="662" spans="1:12" x14ac:dyDescent="0.25">
      <c r="A662" s="1">
        <v>661</v>
      </c>
      <c r="B662" s="4">
        <v>4645</v>
      </c>
      <c r="C662" s="5">
        <v>40075</v>
      </c>
      <c r="D662" s="3" t="s">
        <v>95</v>
      </c>
      <c r="E662" s="1" t="s">
        <v>113</v>
      </c>
      <c r="F662" s="1" t="s">
        <v>12</v>
      </c>
      <c r="G662" s="2" t="s">
        <v>2</v>
      </c>
      <c r="H662" s="3" t="s">
        <v>84</v>
      </c>
      <c r="I662" s="3" t="s">
        <v>92</v>
      </c>
      <c r="J662" s="3" t="s">
        <v>73</v>
      </c>
      <c r="K662" s="4">
        <v>3563.88</v>
      </c>
      <c r="L662" s="6">
        <v>299.99</v>
      </c>
    </row>
    <row r="663" spans="1:12" x14ac:dyDescent="0.25">
      <c r="A663" s="1">
        <v>662</v>
      </c>
      <c r="B663" s="4">
        <v>4647</v>
      </c>
      <c r="C663" s="5">
        <v>39946</v>
      </c>
      <c r="D663" s="3" t="s">
        <v>4</v>
      </c>
      <c r="E663" s="1" t="s">
        <v>122</v>
      </c>
      <c r="F663" s="1" t="s">
        <v>21</v>
      </c>
      <c r="G663" s="2" t="s">
        <v>1</v>
      </c>
      <c r="H663" s="3" t="s">
        <v>88</v>
      </c>
      <c r="I663" s="3" t="s">
        <v>92</v>
      </c>
      <c r="J663" s="3" t="s">
        <v>61</v>
      </c>
      <c r="K663" s="4">
        <v>1590.163</v>
      </c>
      <c r="L663" s="6">
        <v>55.99</v>
      </c>
    </row>
    <row r="664" spans="1:12" x14ac:dyDescent="0.25">
      <c r="A664" s="1">
        <v>663</v>
      </c>
      <c r="B664" s="4">
        <v>4647</v>
      </c>
      <c r="C664" s="5">
        <v>39946</v>
      </c>
      <c r="D664" s="3" t="s">
        <v>4</v>
      </c>
      <c r="E664" s="1" t="s">
        <v>197</v>
      </c>
      <c r="F664" s="1" t="s">
        <v>27</v>
      </c>
      <c r="G664" s="2" t="s">
        <v>1</v>
      </c>
      <c r="H664" s="3" t="s">
        <v>88</v>
      </c>
      <c r="I664" s="3" t="s">
        <v>85</v>
      </c>
      <c r="J664" s="3" t="s">
        <v>58</v>
      </c>
      <c r="K664" s="4">
        <v>482.93</v>
      </c>
      <c r="L664" s="6">
        <v>13.9</v>
      </c>
    </row>
    <row r="665" spans="1:12" x14ac:dyDescent="0.25">
      <c r="A665" s="1">
        <v>664</v>
      </c>
      <c r="B665" s="4">
        <v>4647</v>
      </c>
      <c r="C665" s="5">
        <v>39946</v>
      </c>
      <c r="D665" s="3" t="s">
        <v>4</v>
      </c>
      <c r="E665" s="1" t="s">
        <v>462</v>
      </c>
      <c r="F665" s="1" t="s">
        <v>43</v>
      </c>
      <c r="G665" s="2" t="s">
        <v>1</v>
      </c>
      <c r="H665" s="3" t="s">
        <v>88</v>
      </c>
      <c r="I665" s="3" t="s">
        <v>85</v>
      </c>
      <c r="J665" s="3" t="s">
        <v>71</v>
      </c>
      <c r="K665" s="4">
        <v>1203.73</v>
      </c>
      <c r="L665" s="6">
        <v>162.93</v>
      </c>
    </row>
    <row r="666" spans="1:12" x14ac:dyDescent="0.25">
      <c r="A666" s="1">
        <v>665</v>
      </c>
      <c r="B666" s="4">
        <v>4647</v>
      </c>
      <c r="C666" s="5">
        <v>39946</v>
      </c>
      <c r="D666" s="3" t="s">
        <v>4</v>
      </c>
      <c r="E666" s="1" t="s">
        <v>463</v>
      </c>
      <c r="F666" s="1" t="s">
        <v>43</v>
      </c>
      <c r="G666" s="2" t="s">
        <v>1</v>
      </c>
      <c r="H666" s="3" t="s">
        <v>88</v>
      </c>
      <c r="I666" s="3" t="s">
        <v>85</v>
      </c>
      <c r="J666" s="3" t="s">
        <v>71</v>
      </c>
      <c r="K666" s="4">
        <v>75.19</v>
      </c>
      <c r="L666" s="6">
        <v>11.58</v>
      </c>
    </row>
    <row r="667" spans="1:12" x14ac:dyDescent="0.25">
      <c r="A667" s="1">
        <v>666</v>
      </c>
      <c r="B667" s="4">
        <v>4672</v>
      </c>
      <c r="C667" s="5">
        <v>40853</v>
      </c>
      <c r="D667" s="3" t="s">
        <v>95</v>
      </c>
      <c r="E667" s="1" t="s">
        <v>419</v>
      </c>
      <c r="F667" s="1" t="s">
        <v>9</v>
      </c>
      <c r="G667" s="2" t="s">
        <v>2</v>
      </c>
      <c r="H667" s="3" t="s">
        <v>88</v>
      </c>
      <c r="I667" s="3" t="s">
        <v>91</v>
      </c>
      <c r="J667" s="3" t="s">
        <v>59</v>
      </c>
      <c r="K667" s="4">
        <v>152.44</v>
      </c>
      <c r="L667" s="6">
        <v>7.7</v>
      </c>
    </row>
    <row r="668" spans="1:12" x14ac:dyDescent="0.25">
      <c r="A668" s="1">
        <v>667</v>
      </c>
      <c r="B668" s="4">
        <v>4674</v>
      </c>
      <c r="C668" s="5">
        <v>39921</v>
      </c>
      <c r="D668" s="3" t="s">
        <v>95</v>
      </c>
      <c r="E668" s="1" t="s">
        <v>464</v>
      </c>
      <c r="F668" s="1" t="s">
        <v>19</v>
      </c>
      <c r="G668" s="2" t="s">
        <v>3</v>
      </c>
      <c r="H668" s="3" t="s">
        <v>88</v>
      </c>
      <c r="I668" s="3" t="s">
        <v>91</v>
      </c>
      <c r="J668" s="3" t="s">
        <v>72</v>
      </c>
      <c r="K668" s="4">
        <v>3041.33</v>
      </c>
      <c r="L668" s="6">
        <v>130.97999999999999</v>
      </c>
    </row>
    <row r="669" spans="1:12" x14ac:dyDescent="0.25">
      <c r="A669" s="1">
        <v>668</v>
      </c>
      <c r="B669" s="4">
        <v>4675</v>
      </c>
      <c r="C669" s="5">
        <v>40506</v>
      </c>
      <c r="D669" s="3" t="s">
        <v>86</v>
      </c>
      <c r="E669" s="1" t="s">
        <v>255</v>
      </c>
      <c r="F669" s="1" t="s">
        <v>10</v>
      </c>
      <c r="G669" s="2" t="s">
        <v>3</v>
      </c>
      <c r="H669" s="3" t="s">
        <v>100</v>
      </c>
      <c r="I669" s="3" t="s">
        <v>85</v>
      </c>
      <c r="J669" s="3" t="s">
        <v>63</v>
      </c>
      <c r="K669" s="4">
        <v>17.89</v>
      </c>
      <c r="L669" s="6">
        <v>3.98</v>
      </c>
    </row>
    <row r="670" spans="1:12" x14ac:dyDescent="0.25">
      <c r="A670" s="1">
        <v>669</v>
      </c>
      <c r="B670" s="4">
        <v>4676</v>
      </c>
      <c r="C670" s="5">
        <v>40786</v>
      </c>
      <c r="D670" s="3" t="s">
        <v>89</v>
      </c>
      <c r="E670" s="1" t="s">
        <v>262</v>
      </c>
      <c r="F670" s="1" t="s">
        <v>8</v>
      </c>
      <c r="G670" s="2" t="s">
        <v>6</v>
      </c>
      <c r="H670" s="3" t="s">
        <v>97</v>
      </c>
      <c r="I670" s="3" t="s">
        <v>92</v>
      </c>
      <c r="J670" s="3" t="s">
        <v>61</v>
      </c>
      <c r="K670" s="4">
        <v>1210.0514999999998</v>
      </c>
      <c r="L670" s="6">
        <v>125.99</v>
      </c>
    </row>
    <row r="671" spans="1:12" x14ac:dyDescent="0.25">
      <c r="A671" s="1">
        <v>670</v>
      </c>
      <c r="B671" s="4">
        <v>4676</v>
      </c>
      <c r="C671" s="5">
        <v>40786</v>
      </c>
      <c r="D671" s="3" t="s">
        <v>89</v>
      </c>
      <c r="E671" s="1" t="s">
        <v>465</v>
      </c>
      <c r="F671" s="1" t="s">
        <v>8</v>
      </c>
      <c r="G671" s="2" t="s">
        <v>6</v>
      </c>
      <c r="H671" s="3" t="s">
        <v>97</v>
      </c>
      <c r="I671" s="3" t="s">
        <v>85</v>
      </c>
      <c r="J671" s="3" t="s">
        <v>65</v>
      </c>
      <c r="K671" s="4">
        <v>187.83</v>
      </c>
      <c r="L671" s="6">
        <v>3.75</v>
      </c>
    </row>
    <row r="672" spans="1:12" x14ac:dyDescent="0.25">
      <c r="A672" s="1">
        <v>671</v>
      </c>
      <c r="B672" s="4">
        <v>4676</v>
      </c>
      <c r="C672" s="5">
        <v>40786</v>
      </c>
      <c r="D672" s="3" t="s">
        <v>89</v>
      </c>
      <c r="E672" s="1" t="s">
        <v>465</v>
      </c>
      <c r="F672" s="1" t="s">
        <v>8</v>
      </c>
      <c r="G672" s="2" t="s">
        <v>6</v>
      </c>
      <c r="H672" s="3" t="s">
        <v>97</v>
      </c>
      <c r="I672" s="3" t="s">
        <v>85</v>
      </c>
      <c r="J672" s="3" t="s">
        <v>66</v>
      </c>
      <c r="K672" s="4">
        <v>49.59</v>
      </c>
      <c r="L672" s="6">
        <v>12.28</v>
      </c>
    </row>
    <row r="673" spans="1:12" x14ac:dyDescent="0.25">
      <c r="A673" s="1">
        <v>672</v>
      </c>
      <c r="B673" s="4">
        <v>4676</v>
      </c>
      <c r="C673" s="5">
        <v>40786</v>
      </c>
      <c r="D673" s="3" t="s">
        <v>89</v>
      </c>
      <c r="E673" s="1" t="s">
        <v>465</v>
      </c>
      <c r="F673" s="1" t="s">
        <v>8</v>
      </c>
      <c r="G673" s="2" t="s">
        <v>6</v>
      </c>
      <c r="H673" s="3" t="s">
        <v>97</v>
      </c>
      <c r="I673" s="3" t="s">
        <v>92</v>
      </c>
      <c r="J673" s="3" t="s">
        <v>61</v>
      </c>
      <c r="K673" s="4">
        <v>4253.009</v>
      </c>
      <c r="L673" s="6">
        <v>155.99</v>
      </c>
    </row>
    <row r="674" spans="1:12" x14ac:dyDescent="0.25">
      <c r="A674" s="1">
        <v>673</v>
      </c>
      <c r="B674" s="4">
        <v>4705</v>
      </c>
      <c r="C674" s="5">
        <v>40989</v>
      </c>
      <c r="D674" s="3" t="s">
        <v>86</v>
      </c>
      <c r="E674" s="1" t="s">
        <v>466</v>
      </c>
      <c r="F674" s="1" t="s">
        <v>9</v>
      </c>
      <c r="G674" s="2" t="s">
        <v>2</v>
      </c>
      <c r="H674" s="3" t="s">
        <v>88</v>
      </c>
      <c r="I674" s="3" t="s">
        <v>85</v>
      </c>
      <c r="J674" s="3" t="s">
        <v>57</v>
      </c>
      <c r="K674" s="4">
        <v>123.85</v>
      </c>
      <c r="L674" s="6">
        <v>7.98</v>
      </c>
    </row>
    <row r="675" spans="1:12" x14ac:dyDescent="0.25">
      <c r="A675" s="1">
        <v>674</v>
      </c>
      <c r="B675" s="4">
        <v>4706</v>
      </c>
      <c r="C675" s="5">
        <v>41271</v>
      </c>
      <c r="D675" s="3" t="s">
        <v>86</v>
      </c>
      <c r="E675" s="1" t="s">
        <v>373</v>
      </c>
      <c r="F675" s="1" t="s">
        <v>24</v>
      </c>
      <c r="G675" s="2" t="s">
        <v>2</v>
      </c>
      <c r="H675" s="3" t="s">
        <v>84</v>
      </c>
      <c r="I675" s="3" t="s">
        <v>85</v>
      </c>
      <c r="J675" s="3" t="s">
        <v>69</v>
      </c>
      <c r="K675" s="4">
        <v>2116.6999999999998</v>
      </c>
      <c r="L675" s="6">
        <v>67.28</v>
      </c>
    </row>
    <row r="676" spans="1:12" x14ac:dyDescent="0.25">
      <c r="A676" s="1">
        <v>675</v>
      </c>
      <c r="B676" s="4">
        <v>4708</v>
      </c>
      <c r="C676" s="5">
        <v>40086</v>
      </c>
      <c r="D676" s="3" t="s">
        <v>95</v>
      </c>
      <c r="E676" s="1" t="s">
        <v>136</v>
      </c>
      <c r="F676" s="1" t="s">
        <v>31</v>
      </c>
      <c r="G676" s="2" t="s">
        <v>1</v>
      </c>
      <c r="H676" s="3" t="s">
        <v>88</v>
      </c>
      <c r="I676" s="3" t="s">
        <v>85</v>
      </c>
      <c r="J676" s="3" t="s">
        <v>66</v>
      </c>
      <c r="K676" s="4">
        <v>180.38</v>
      </c>
      <c r="L676" s="6">
        <v>6.48</v>
      </c>
    </row>
    <row r="677" spans="1:12" x14ac:dyDescent="0.25">
      <c r="A677" s="1">
        <v>676</v>
      </c>
      <c r="B677" s="4">
        <v>4737</v>
      </c>
      <c r="C677" s="5">
        <v>40247</v>
      </c>
      <c r="D677" s="3" t="s">
        <v>86</v>
      </c>
      <c r="E677" s="1" t="s">
        <v>106</v>
      </c>
      <c r="F677" s="1" t="s">
        <v>19</v>
      </c>
      <c r="G677" s="2" t="s">
        <v>3</v>
      </c>
      <c r="H677" s="3" t="s">
        <v>88</v>
      </c>
      <c r="I677" s="3" t="s">
        <v>85</v>
      </c>
      <c r="J677" s="3" t="s">
        <v>66</v>
      </c>
      <c r="K677" s="4">
        <v>314.20999999999998</v>
      </c>
      <c r="L677" s="6">
        <v>5.88</v>
      </c>
    </row>
    <row r="678" spans="1:12" x14ac:dyDescent="0.25">
      <c r="A678" s="1">
        <v>677</v>
      </c>
      <c r="B678" s="4">
        <v>4738</v>
      </c>
      <c r="C678" s="5">
        <v>41006</v>
      </c>
      <c r="D678" s="3" t="s">
        <v>89</v>
      </c>
      <c r="E678" s="1" t="s">
        <v>186</v>
      </c>
      <c r="F678" s="1" t="s">
        <v>24</v>
      </c>
      <c r="G678" s="2" t="s">
        <v>2</v>
      </c>
      <c r="H678" s="3" t="s">
        <v>97</v>
      </c>
      <c r="I678" s="3" t="s">
        <v>85</v>
      </c>
      <c r="J678" s="3" t="s">
        <v>64</v>
      </c>
      <c r="K678" s="4">
        <v>10.39</v>
      </c>
      <c r="L678" s="6">
        <v>4.71</v>
      </c>
    </row>
    <row r="679" spans="1:12" x14ac:dyDescent="0.25">
      <c r="A679" s="1">
        <v>678</v>
      </c>
      <c r="B679" s="4">
        <v>4739</v>
      </c>
      <c r="C679" s="5">
        <v>40229</v>
      </c>
      <c r="D679" s="3" t="s">
        <v>82</v>
      </c>
      <c r="E679" s="1" t="s">
        <v>412</v>
      </c>
      <c r="F679" s="1" t="s">
        <v>42</v>
      </c>
      <c r="G679" s="2" t="s">
        <v>3</v>
      </c>
      <c r="H679" s="3" t="s">
        <v>88</v>
      </c>
      <c r="I679" s="3" t="s">
        <v>85</v>
      </c>
      <c r="J679" s="3" t="s">
        <v>63</v>
      </c>
      <c r="K679" s="4">
        <v>48.57</v>
      </c>
      <c r="L679" s="6">
        <v>2.94</v>
      </c>
    </row>
    <row r="680" spans="1:12" x14ac:dyDescent="0.25">
      <c r="A680" s="1">
        <v>679</v>
      </c>
      <c r="B680" s="4">
        <v>4741</v>
      </c>
      <c r="C680" s="5">
        <v>41096</v>
      </c>
      <c r="D680" s="3" t="s">
        <v>86</v>
      </c>
      <c r="E680" s="1" t="s">
        <v>453</v>
      </c>
      <c r="F680" s="1" t="s">
        <v>36</v>
      </c>
      <c r="G680" s="2" t="s">
        <v>2</v>
      </c>
      <c r="H680" s="3" t="s">
        <v>100</v>
      </c>
      <c r="I680" s="3" t="s">
        <v>91</v>
      </c>
      <c r="J680" s="3" t="s">
        <v>59</v>
      </c>
      <c r="K680" s="4">
        <v>342.97</v>
      </c>
      <c r="L680" s="6">
        <v>8.75</v>
      </c>
    </row>
    <row r="681" spans="1:12" x14ac:dyDescent="0.25">
      <c r="A681" s="1">
        <v>680</v>
      </c>
      <c r="B681" s="4">
        <v>4743</v>
      </c>
      <c r="C681" s="5">
        <v>40267</v>
      </c>
      <c r="D681" s="3" t="s">
        <v>82</v>
      </c>
      <c r="E681" s="1" t="s">
        <v>385</v>
      </c>
      <c r="F681" s="1" t="s">
        <v>13</v>
      </c>
      <c r="G681" s="2" t="s">
        <v>6</v>
      </c>
      <c r="H681" s="3" t="s">
        <v>97</v>
      </c>
      <c r="I681" s="3" t="s">
        <v>85</v>
      </c>
      <c r="J681" s="3" t="s">
        <v>69</v>
      </c>
      <c r="K681" s="4">
        <v>352.55</v>
      </c>
      <c r="L681" s="6">
        <v>12.97</v>
      </c>
    </row>
    <row r="682" spans="1:12" x14ac:dyDescent="0.25">
      <c r="A682" s="1">
        <v>681</v>
      </c>
      <c r="B682" s="4">
        <v>4743</v>
      </c>
      <c r="C682" s="5">
        <v>40267</v>
      </c>
      <c r="D682" s="3" t="s">
        <v>82</v>
      </c>
      <c r="E682" s="1" t="s">
        <v>385</v>
      </c>
      <c r="F682" s="1" t="s">
        <v>13</v>
      </c>
      <c r="G682" s="2" t="s">
        <v>6</v>
      </c>
      <c r="H682" s="3" t="s">
        <v>97</v>
      </c>
      <c r="I682" s="3" t="s">
        <v>85</v>
      </c>
      <c r="J682" s="3" t="s">
        <v>57</v>
      </c>
      <c r="K682" s="4">
        <v>719.64</v>
      </c>
      <c r="L682" s="6">
        <v>20.89</v>
      </c>
    </row>
    <row r="683" spans="1:12" x14ac:dyDescent="0.25">
      <c r="A683" s="1">
        <v>682</v>
      </c>
      <c r="B683" s="4">
        <v>4769</v>
      </c>
      <c r="C683" s="5">
        <v>40646</v>
      </c>
      <c r="D683" s="3" t="s">
        <v>86</v>
      </c>
      <c r="E683" s="1" t="s">
        <v>467</v>
      </c>
      <c r="F683" s="1" t="s">
        <v>15</v>
      </c>
      <c r="G683" s="2" t="s">
        <v>1</v>
      </c>
      <c r="H683" s="3" t="s">
        <v>97</v>
      </c>
      <c r="I683" s="3" t="s">
        <v>85</v>
      </c>
      <c r="J683" s="3" t="s">
        <v>65</v>
      </c>
      <c r="K683" s="4">
        <v>117.4</v>
      </c>
      <c r="L683" s="6">
        <v>2.88</v>
      </c>
    </row>
    <row r="684" spans="1:12" x14ac:dyDescent="0.25">
      <c r="A684" s="1">
        <v>683</v>
      </c>
      <c r="B684" s="4">
        <v>4771</v>
      </c>
      <c r="C684" s="5">
        <v>41256</v>
      </c>
      <c r="D684" s="3" t="s">
        <v>95</v>
      </c>
      <c r="E684" s="1" t="s">
        <v>468</v>
      </c>
      <c r="F684" s="1" t="s">
        <v>24</v>
      </c>
      <c r="G684" s="2" t="s">
        <v>2</v>
      </c>
      <c r="H684" s="3" t="s">
        <v>100</v>
      </c>
      <c r="I684" s="3" t="s">
        <v>91</v>
      </c>
      <c r="J684" s="3" t="s">
        <v>60</v>
      </c>
      <c r="K684" s="4">
        <v>135.928</v>
      </c>
      <c r="L684" s="6">
        <v>31.76</v>
      </c>
    </row>
    <row r="685" spans="1:12" x14ac:dyDescent="0.25">
      <c r="A685" s="1">
        <v>684</v>
      </c>
      <c r="B685" s="4">
        <v>4772</v>
      </c>
      <c r="C685" s="5">
        <v>40069</v>
      </c>
      <c r="D685" s="3" t="s">
        <v>95</v>
      </c>
      <c r="E685" s="1" t="s">
        <v>469</v>
      </c>
      <c r="F685" s="1" t="s">
        <v>10</v>
      </c>
      <c r="G685" s="2" t="s">
        <v>3</v>
      </c>
      <c r="H685" s="3" t="s">
        <v>88</v>
      </c>
      <c r="I685" s="3" t="s">
        <v>92</v>
      </c>
      <c r="J685" s="3" t="s">
        <v>61</v>
      </c>
      <c r="K685" s="4">
        <v>1560.617</v>
      </c>
      <c r="L685" s="6">
        <v>65.989999999999995</v>
      </c>
    </row>
    <row r="686" spans="1:12" x14ac:dyDescent="0.25">
      <c r="A686" s="1">
        <v>685</v>
      </c>
      <c r="B686" s="4">
        <v>4773</v>
      </c>
      <c r="C686" s="5">
        <v>40899</v>
      </c>
      <c r="D686" s="3" t="s">
        <v>95</v>
      </c>
      <c r="E686" s="1" t="s">
        <v>124</v>
      </c>
      <c r="F686" s="1" t="s">
        <v>34</v>
      </c>
      <c r="G686" s="2" t="s">
        <v>1</v>
      </c>
      <c r="H686" s="3" t="s">
        <v>97</v>
      </c>
      <c r="I686" s="3" t="s">
        <v>91</v>
      </c>
      <c r="J686" s="3" t="s">
        <v>60</v>
      </c>
      <c r="K686" s="4">
        <v>6746.3119999999999</v>
      </c>
      <c r="L686" s="6">
        <v>179.29</v>
      </c>
    </row>
    <row r="687" spans="1:12" x14ac:dyDescent="0.25">
      <c r="A687" s="1">
        <v>686</v>
      </c>
      <c r="B687" s="4">
        <v>4773</v>
      </c>
      <c r="C687" s="5">
        <v>40899</v>
      </c>
      <c r="D687" s="3" t="s">
        <v>95</v>
      </c>
      <c r="E687" s="1" t="s">
        <v>470</v>
      </c>
      <c r="F687" s="1" t="s">
        <v>21</v>
      </c>
      <c r="G687" s="2" t="s">
        <v>1</v>
      </c>
      <c r="H687" s="3" t="s">
        <v>97</v>
      </c>
      <c r="I687" s="3" t="s">
        <v>85</v>
      </c>
      <c r="J687" s="3" t="s">
        <v>71</v>
      </c>
      <c r="K687" s="4">
        <v>311.38</v>
      </c>
      <c r="L687" s="6">
        <v>11.58</v>
      </c>
    </row>
    <row r="688" spans="1:12" x14ac:dyDescent="0.25">
      <c r="A688" s="1">
        <v>687</v>
      </c>
      <c r="B688" s="4">
        <v>4774</v>
      </c>
      <c r="C688" s="5">
        <v>40287</v>
      </c>
      <c r="D688" s="3" t="s">
        <v>4</v>
      </c>
      <c r="E688" s="1" t="s">
        <v>471</v>
      </c>
      <c r="F688" s="1" t="s">
        <v>16</v>
      </c>
      <c r="G688" s="2" t="s">
        <v>3</v>
      </c>
      <c r="H688" s="3" t="s">
        <v>88</v>
      </c>
      <c r="I688" s="3" t="s">
        <v>92</v>
      </c>
      <c r="J688" s="3" t="s">
        <v>62</v>
      </c>
      <c r="K688" s="4">
        <v>126.87</v>
      </c>
      <c r="L688" s="6">
        <v>32.979999999999997</v>
      </c>
    </row>
    <row r="689" spans="1:12" x14ac:dyDescent="0.25">
      <c r="A689" s="1">
        <v>688</v>
      </c>
      <c r="B689" s="4">
        <v>4800</v>
      </c>
      <c r="C689" s="5">
        <v>40913</v>
      </c>
      <c r="D689" s="3" t="s">
        <v>82</v>
      </c>
      <c r="E689" s="1" t="s">
        <v>472</v>
      </c>
      <c r="F689" s="1" t="s">
        <v>15</v>
      </c>
      <c r="G689" s="2" t="s">
        <v>1</v>
      </c>
      <c r="H689" s="3" t="s">
        <v>88</v>
      </c>
      <c r="I689" s="3" t="s">
        <v>85</v>
      </c>
      <c r="J689" s="3" t="s">
        <v>69</v>
      </c>
      <c r="K689" s="4">
        <v>41.94</v>
      </c>
      <c r="L689" s="6">
        <v>8.0399999999999991</v>
      </c>
    </row>
    <row r="690" spans="1:12" x14ac:dyDescent="0.25">
      <c r="A690" s="1">
        <v>689</v>
      </c>
      <c r="B690" s="4">
        <v>4800</v>
      </c>
      <c r="C690" s="5">
        <v>40913</v>
      </c>
      <c r="D690" s="3" t="s">
        <v>82</v>
      </c>
      <c r="E690" s="1" t="s">
        <v>472</v>
      </c>
      <c r="F690" s="1" t="s">
        <v>15</v>
      </c>
      <c r="G690" s="2" t="s">
        <v>1</v>
      </c>
      <c r="H690" s="3" t="s">
        <v>88</v>
      </c>
      <c r="I690" s="3" t="s">
        <v>85</v>
      </c>
      <c r="J690" s="3" t="s">
        <v>65</v>
      </c>
      <c r="K690" s="4">
        <v>89.25</v>
      </c>
      <c r="L690" s="6">
        <v>4.91</v>
      </c>
    </row>
    <row r="691" spans="1:12" x14ac:dyDescent="0.25">
      <c r="A691" s="1">
        <v>690</v>
      </c>
      <c r="B691" s="4">
        <v>4800</v>
      </c>
      <c r="C691" s="5">
        <v>40913</v>
      </c>
      <c r="D691" s="3" t="s">
        <v>82</v>
      </c>
      <c r="E691" s="1" t="s">
        <v>472</v>
      </c>
      <c r="F691" s="1" t="s">
        <v>15</v>
      </c>
      <c r="G691" s="2" t="s">
        <v>1</v>
      </c>
      <c r="H691" s="3" t="s">
        <v>88</v>
      </c>
      <c r="I691" s="3" t="s">
        <v>85</v>
      </c>
      <c r="J691" s="3" t="s">
        <v>63</v>
      </c>
      <c r="K691" s="4">
        <v>79.81</v>
      </c>
      <c r="L691" s="6">
        <v>11.55</v>
      </c>
    </row>
    <row r="692" spans="1:12" x14ac:dyDescent="0.25">
      <c r="A692" s="1">
        <v>691</v>
      </c>
      <c r="B692" s="4">
        <v>4804</v>
      </c>
      <c r="C692" s="5">
        <v>40935</v>
      </c>
      <c r="D692" s="3" t="s">
        <v>89</v>
      </c>
      <c r="E692" s="1" t="s">
        <v>276</v>
      </c>
      <c r="F692" s="1" t="s">
        <v>24</v>
      </c>
      <c r="G692" s="2" t="s">
        <v>2</v>
      </c>
      <c r="H692" s="3" t="s">
        <v>88</v>
      </c>
      <c r="I692" s="3" t="s">
        <v>92</v>
      </c>
      <c r="J692" s="3" t="s">
        <v>62</v>
      </c>
      <c r="K692" s="4">
        <v>463.83</v>
      </c>
      <c r="L692" s="6">
        <v>33.979999999999997</v>
      </c>
    </row>
    <row r="693" spans="1:12" x14ac:dyDescent="0.25">
      <c r="A693" s="1">
        <v>692</v>
      </c>
      <c r="B693" s="4">
        <v>4805</v>
      </c>
      <c r="C693" s="5">
        <v>41023</v>
      </c>
      <c r="D693" s="3" t="s">
        <v>86</v>
      </c>
      <c r="E693" s="1" t="s">
        <v>141</v>
      </c>
      <c r="F693" s="1" t="s">
        <v>9</v>
      </c>
      <c r="G693" s="2" t="s">
        <v>2</v>
      </c>
      <c r="H693" s="3" t="s">
        <v>84</v>
      </c>
      <c r="I693" s="3" t="s">
        <v>85</v>
      </c>
      <c r="J693" s="3" t="s">
        <v>66</v>
      </c>
      <c r="K693" s="4">
        <v>55.38</v>
      </c>
      <c r="L693" s="6">
        <v>6.48</v>
      </c>
    </row>
    <row r="694" spans="1:12" x14ac:dyDescent="0.25">
      <c r="A694" s="1">
        <v>693</v>
      </c>
      <c r="B694" s="4">
        <v>4835</v>
      </c>
      <c r="C694" s="5">
        <v>40110</v>
      </c>
      <c r="D694" s="3" t="s">
        <v>95</v>
      </c>
      <c r="E694" s="1" t="s">
        <v>182</v>
      </c>
      <c r="F694" s="1" t="s">
        <v>36</v>
      </c>
      <c r="G694" s="2" t="s">
        <v>2</v>
      </c>
      <c r="H694" s="3" t="s">
        <v>97</v>
      </c>
      <c r="I694" s="3" t="s">
        <v>85</v>
      </c>
      <c r="J694" s="3" t="s">
        <v>58</v>
      </c>
      <c r="K694" s="4">
        <v>9.4</v>
      </c>
      <c r="L694" s="6">
        <v>2.52</v>
      </c>
    </row>
    <row r="695" spans="1:12" x14ac:dyDescent="0.25">
      <c r="A695" s="1">
        <v>694</v>
      </c>
      <c r="B695" s="4">
        <v>4839</v>
      </c>
      <c r="C695" s="5">
        <v>39942</v>
      </c>
      <c r="D695" s="3" t="s">
        <v>95</v>
      </c>
      <c r="E695" s="1" t="s">
        <v>317</v>
      </c>
      <c r="F695" s="1" t="s">
        <v>34</v>
      </c>
      <c r="G695" s="2" t="s">
        <v>1</v>
      </c>
      <c r="H695" s="3" t="s">
        <v>100</v>
      </c>
      <c r="I695" s="3" t="s">
        <v>85</v>
      </c>
      <c r="J695" s="3" t="s">
        <v>66</v>
      </c>
      <c r="K695" s="4">
        <v>159.43</v>
      </c>
      <c r="L695" s="6">
        <v>6.48</v>
      </c>
    </row>
    <row r="696" spans="1:12" x14ac:dyDescent="0.25">
      <c r="A696" s="1">
        <v>695</v>
      </c>
      <c r="B696" s="4">
        <v>4864</v>
      </c>
      <c r="C696" s="5">
        <v>41223</v>
      </c>
      <c r="D696" s="3" t="s">
        <v>82</v>
      </c>
      <c r="E696" s="1" t="s">
        <v>473</v>
      </c>
      <c r="F696" s="1" t="s">
        <v>30</v>
      </c>
      <c r="G696" s="2" t="s">
        <v>6</v>
      </c>
      <c r="H696" s="3" t="s">
        <v>88</v>
      </c>
      <c r="I696" s="3" t="s">
        <v>85</v>
      </c>
      <c r="J696" s="3" t="s">
        <v>69</v>
      </c>
      <c r="K696" s="4">
        <v>4901.99</v>
      </c>
      <c r="L696" s="6">
        <v>315.98</v>
      </c>
    </row>
    <row r="697" spans="1:12" x14ac:dyDescent="0.25">
      <c r="A697" s="1">
        <v>696</v>
      </c>
      <c r="B697" s="4">
        <v>4870</v>
      </c>
      <c r="C697" s="5">
        <v>40030</v>
      </c>
      <c r="D697" s="3" t="s">
        <v>4</v>
      </c>
      <c r="E697" s="1" t="s">
        <v>192</v>
      </c>
      <c r="F697" s="1" t="s">
        <v>24</v>
      </c>
      <c r="G697" s="2" t="s">
        <v>2</v>
      </c>
      <c r="H697" s="3" t="s">
        <v>88</v>
      </c>
      <c r="I697" s="3" t="s">
        <v>91</v>
      </c>
      <c r="J697" s="3" t="s">
        <v>60</v>
      </c>
      <c r="K697" s="4">
        <v>17248.09</v>
      </c>
      <c r="L697" s="6">
        <v>400.98</v>
      </c>
    </row>
    <row r="698" spans="1:12" x14ac:dyDescent="0.25">
      <c r="A698" s="1">
        <v>697</v>
      </c>
      <c r="B698" s="4">
        <v>4871</v>
      </c>
      <c r="C698" s="5">
        <v>40705</v>
      </c>
      <c r="D698" s="3" t="s">
        <v>95</v>
      </c>
      <c r="E698" s="1" t="s">
        <v>291</v>
      </c>
      <c r="F698" s="1" t="s">
        <v>45</v>
      </c>
      <c r="G698" s="2" t="s">
        <v>3</v>
      </c>
      <c r="H698" s="3" t="s">
        <v>100</v>
      </c>
      <c r="I698" s="3" t="s">
        <v>91</v>
      </c>
      <c r="J698" s="3" t="s">
        <v>72</v>
      </c>
      <c r="K698" s="4">
        <v>775.74</v>
      </c>
      <c r="L698" s="6">
        <v>89.99</v>
      </c>
    </row>
    <row r="699" spans="1:12" x14ac:dyDescent="0.25">
      <c r="A699" s="1">
        <v>698</v>
      </c>
      <c r="B699" s="4">
        <v>4871</v>
      </c>
      <c r="C699" s="5">
        <v>40705</v>
      </c>
      <c r="D699" s="3" t="s">
        <v>95</v>
      </c>
      <c r="E699" s="1" t="s">
        <v>291</v>
      </c>
      <c r="F699" s="1" t="s">
        <v>45</v>
      </c>
      <c r="G699" s="2" t="s">
        <v>3</v>
      </c>
      <c r="H699" s="3" t="s">
        <v>100</v>
      </c>
      <c r="I699" s="3" t="s">
        <v>85</v>
      </c>
      <c r="J699" s="3" t="s">
        <v>58</v>
      </c>
      <c r="K699" s="4">
        <v>238.34</v>
      </c>
      <c r="L699" s="6">
        <v>9.31</v>
      </c>
    </row>
    <row r="700" spans="1:12" x14ac:dyDescent="0.25">
      <c r="A700" s="1">
        <v>699</v>
      </c>
      <c r="B700" s="4">
        <v>4896</v>
      </c>
      <c r="C700" s="5">
        <v>41142</v>
      </c>
      <c r="D700" s="3" t="s">
        <v>95</v>
      </c>
      <c r="E700" s="1" t="s">
        <v>474</v>
      </c>
      <c r="F700" s="1" t="s">
        <v>39</v>
      </c>
      <c r="G700" s="2" t="s">
        <v>1</v>
      </c>
      <c r="H700" s="3" t="s">
        <v>84</v>
      </c>
      <c r="I700" s="3" t="s">
        <v>92</v>
      </c>
      <c r="J700" s="3" t="s">
        <v>62</v>
      </c>
      <c r="K700" s="4">
        <v>831.52</v>
      </c>
      <c r="L700" s="6">
        <v>35.409999999999997</v>
      </c>
    </row>
    <row r="701" spans="1:12" x14ac:dyDescent="0.25">
      <c r="A701" s="1">
        <v>700</v>
      </c>
      <c r="B701" s="4">
        <v>4896</v>
      </c>
      <c r="C701" s="5">
        <v>41142</v>
      </c>
      <c r="D701" s="3" t="s">
        <v>95</v>
      </c>
      <c r="E701" s="1" t="s">
        <v>475</v>
      </c>
      <c r="F701" s="1" t="s">
        <v>39</v>
      </c>
      <c r="G701" s="2" t="s">
        <v>1</v>
      </c>
      <c r="H701" s="3" t="s">
        <v>84</v>
      </c>
      <c r="I701" s="3" t="s">
        <v>92</v>
      </c>
      <c r="J701" s="3" t="s">
        <v>61</v>
      </c>
      <c r="K701" s="4">
        <v>1089.8699999999999</v>
      </c>
      <c r="L701" s="6">
        <v>125.99</v>
      </c>
    </row>
    <row r="702" spans="1:12" x14ac:dyDescent="0.25">
      <c r="A702" s="1">
        <v>701</v>
      </c>
      <c r="B702" s="4">
        <v>4896</v>
      </c>
      <c r="C702" s="5">
        <v>41142</v>
      </c>
      <c r="D702" s="3" t="s">
        <v>95</v>
      </c>
      <c r="E702" s="1" t="s">
        <v>476</v>
      </c>
      <c r="F702" s="1" t="s">
        <v>20</v>
      </c>
      <c r="G702" s="2" t="s">
        <v>1</v>
      </c>
      <c r="H702" s="3" t="s">
        <v>84</v>
      </c>
      <c r="I702" s="3" t="s">
        <v>85</v>
      </c>
      <c r="J702" s="3" t="s">
        <v>69</v>
      </c>
      <c r="K702" s="4">
        <v>121.3</v>
      </c>
      <c r="L702" s="6">
        <v>5.8</v>
      </c>
    </row>
    <row r="703" spans="1:12" x14ac:dyDescent="0.25">
      <c r="A703" s="1">
        <v>702</v>
      </c>
      <c r="B703" s="4">
        <v>4931</v>
      </c>
      <c r="C703" s="5">
        <v>40133</v>
      </c>
      <c r="D703" s="3" t="s">
        <v>95</v>
      </c>
      <c r="E703" s="1" t="s">
        <v>477</v>
      </c>
      <c r="F703" s="1" t="s">
        <v>24</v>
      </c>
      <c r="G703" s="2" t="s">
        <v>2</v>
      </c>
      <c r="H703" s="3" t="s">
        <v>88</v>
      </c>
      <c r="I703" s="3" t="s">
        <v>85</v>
      </c>
      <c r="J703" s="3" t="s">
        <v>66</v>
      </c>
      <c r="K703" s="4">
        <v>168.31</v>
      </c>
      <c r="L703" s="6">
        <v>8.17</v>
      </c>
    </row>
    <row r="704" spans="1:12" x14ac:dyDescent="0.25">
      <c r="A704" s="1">
        <v>703</v>
      </c>
      <c r="B704" s="4">
        <v>4931</v>
      </c>
      <c r="C704" s="5">
        <v>40133</v>
      </c>
      <c r="D704" s="3" t="s">
        <v>95</v>
      </c>
      <c r="E704" s="1" t="s">
        <v>477</v>
      </c>
      <c r="F704" s="1" t="s">
        <v>24</v>
      </c>
      <c r="G704" s="2" t="s">
        <v>2</v>
      </c>
      <c r="H704" s="3" t="s">
        <v>88</v>
      </c>
      <c r="I704" s="3" t="s">
        <v>92</v>
      </c>
      <c r="J704" s="3" t="s">
        <v>61</v>
      </c>
      <c r="K704" s="4">
        <v>4282.7249999999995</v>
      </c>
      <c r="L704" s="6">
        <v>110.99</v>
      </c>
    </row>
    <row r="705" spans="1:12" x14ac:dyDescent="0.25">
      <c r="A705" s="1">
        <v>704</v>
      </c>
      <c r="B705" s="4">
        <v>4932</v>
      </c>
      <c r="C705" s="5">
        <v>40399</v>
      </c>
      <c r="D705" s="3" t="s">
        <v>95</v>
      </c>
      <c r="E705" s="1" t="s">
        <v>478</v>
      </c>
      <c r="F705" s="1" t="s">
        <v>46</v>
      </c>
      <c r="G705" s="2" t="s">
        <v>6</v>
      </c>
      <c r="H705" s="3" t="s">
        <v>88</v>
      </c>
      <c r="I705" s="3" t="s">
        <v>85</v>
      </c>
      <c r="J705" s="3" t="s">
        <v>66</v>
      </c>
      <c r="K705" s="4">
        <v>109.37</v>
      </c>
      <c r="L705" s="6">
        <v>10.31</v>
      </c>
    </row>
    <row r="706" spans="1:12" x14ac:dyDescent="0.25">
      <c r="A706" s="1">
        <v>705</v>
      </c>
      <c r="B706" s="4">
        <v>4935</v>
      </c>
      <c r="C706" s="5">
        <v>40322</v>
      </c>
      <c r="D706" s="3" t="s">
        <v>86</v>
      </c>
      <c r="E706" s="1" t="s">
        <v>479</v>
      </c>
      <c r="F706" s="1" t="s">
        <v>34</v>
      </c>
      <c r="G706" s="2" t="s">
        <v>1</v>
      </c>
      <c r="H706" s="3" t="s">
        <v>88</v>
      </c>
      <c r="I706" s="3" t="s">
        <v>85</v>
      </c>
      <c r="J706" s="3" t="s">
        <v>58</v>
      </c>
      <c r="K706" s="4">
        <v>106.64</v>
      </c>
      <c r="L706" s="6">
        <v>3.68</v>
      </c>
    </row>
    <row r="707" spans="1:12" x14ac:dyDescent="0.25">
      <c r="A707" s="1">
        <v>706</v>
      </c>
      <c r="B707" s="4">
        <v>4960</v>
      </c>
      <c r="C707" s="5">
        <v>40599</v>
      </c>
      <c r="D707" s="3" t="s">
        <v>82</v>
      </c>
      <c r="E707" s="1" t="s">
        <v>107</v>
      </c>
      <c r="F707" s="1" t="s">
        <v>20</v>
      </c>
      <c r="G707" s="2" t="s">
        <v>1</v>
      </c>
      <c r="H707" s="3" t="s">
        <v>88</v>
      </c>
      <c r="I707" s="3" t="s">
        <v>85</v>
      </c>
      <c r="J707" s="3" t="s">
        <v>66</v>
      </c>
      <c r="K707" s="4">
        <v>40.869999999999997</v>
      </c>
      <c r="L707" s="6">
        <v>6.48</v>
      </c>
    </row>
    <row r="708" spans="1:12" x14ac:dyDescent="0.25">
      <c r="A708" s="1">
        <v>707</v>
      </c>
      <c r="B708" s="4">
        <v>4960</v>
      </c>
      <c r="C708" s="5">
        <v>40599</v>
      </c>
      <c r="D708" s="3" t="s">
        <v>82</v>
      </c>
      <c r="E708" s="1" t="s">
        <v>480</v>
      </c>
      <c r="F708" s="1" t="s">
        <v>43</v>
      </c>
      <c r="G708" s="2" t="s">
        <v>1</v>
      </c>
      <c r="H708" s="3" t="s">
        <v>88</v>
      </c>
      <c r="I708" s="3" t="s">
        <v>91</v>
      </c>
      <c r="J708" s="3" t="s">
        <v>72</v>
      </c>
      <c r="K708" s="4">
        <v>8363.65</v>
      </c>
      <c r="L708" s="6">
        <v>300.98</v>
      </c>
    </row>
    <row r="709" spans="1:12" x14ac:dyDescent="0.25">
      <c r="A709" s="1">
        <v>708</v>
      </c>
      <c r="B709" s="4">
        <v>4965</v>
      </c>
      <c r="C709" s="5">
        <v>40471</v>
      </c>
      <c r="D709" s="3" t="s">
        <v>82</v>
      </c>
      <c r="E709" s="1" t="s">
        <v>481</v>
      </c>
      <c r="F709" s="1" t="s">
        <v>39</v>
      </c>
      <c r="G709" s="2" t="s">
        <v>1</v>
      </c>
      <c r="H709" s="3" t="s">
        <v>88</v>
      </c>
      <c r="I709" s="3" t="s">
        <v>85</v>
      </c>
      <c r="J709" s="3" t="s">
        <v>70</v>
      </c>
      <c r="K709" s="4">
        <v>1068.79</v>
      </c>
      <c r="L709" s="6">
        <v>76.72</v>
      </c>
    </row>
    <row r="710" spans="1:12" x14ac:dyDescent="0.25">
      <c r="A710" s="1">
        <v>709</v>
      </c>
      <c r="B710" s="4">
        <v>4965</v>
      </c>
      <c r="C710" s="5">
        <v>40471</v>
      </c>
      <c r="D710" s="3" t="s">
        <v>82</v>
      </c>
      <c r="E710" s="1" t="s">
        <v>482</v>
      </c>
      <c r="F710" s="1" t="s">
        <v>48</v>
      </c>
      <c r="G710" s="2" t="s">
        <v>1</v>
      </c>
      <c r="H710" s="3" t="s">
        <v>88</v>
      </c>
      <c r="I710" s="3" t="s">
        <v>85</v>
      </c>
      <c r="J710" s="3" t="s">
        <v>66</v>
      </c>
      <c r="K710" s="4">
        <v>287.13</v>
      </c>
      <c r="L710" s="6">
        <v>5.78</v>
      </c>
    </row>
    <row r="711" spans="1:12" x14ac:dyDescent="0.25">
      <c r="A711" s="1">
        <v>710</v>
      </c>
      <c r="B711" s="4">
        <v>4996</v>
      </c>
      <c r="C711" s="5">
        <v>41165</v>
      </c>
      <c r="D711" s="3" t="s">
        <v>4</v>
      </c>
      <c r="E711" s="1" t="s">
        <v>483</v>
      </c>
      <c r="F711" s="1" t="s">
        <v>30</v>
      </c>
      <c r="G711" s="2" t="s">
        <v>6</v>
      </c>
      <c r="H711" s="3" t="s">
        <v>88</v>
      </c>
      <c r="I711" s="3" t="s">
        <v>85</v>
      </c>
      <c r="J711" s="3" t="s">
        <v>57</v>
      </c>
      <c r="K711" s="4">
        <v>4305.79</v>
      </c>
      <c r="L711" s="6">
        <v>142.86000000000001</v>
      </c>
    </row>
    <row r="712" spans="1:12" x14ac:dyDescent="0.25">
      <c r="A712" s="1">
        <v>711</v>
      </c>
      <c r="B712" s="4">
        <v>5028</v>
      </c>
      <c r="C712" s="5">
        <v>41015</v>
      </c>
      <c r="D712" s="3" t="s">
        <v>89</v>
      </c>
      <c r="E712" s="1" t="s">
        <v>331</v>
      </c>
      <c r="F712" s="1" t="s">
        <v>36</v>
      </c>
      <c r="G712" s="2" t="s">
        <v>2</v>
      </c>
      <c r="H712" s="3" t="s">
        <v>88</v>
      </c>
      <c r="I712" s="3" t="s">
        <v>91</v>
      </c>
      <c r="J712" s="3" t="s">
        <v>59</v>
      </c>
      <c r="K712" s="4">
        <v>79.680000000000007</v>
      </c>
      <c r="L712" s="6">
        <v>7.7</v>
      </c>
    </row>
    <row r="713" spans="1:12" x14ac:dyDescent="0.25">
      <c r="A713" s="1">
        <v>712</v>
      </c>
      <c r="B713" s="4">
        <v>5059</v>
      </c>
      <c r="C713" s="5">
        <v>40491</v>
      </c>
      <c r="D713" s="3" t="s">
        <v>89</v>
      </c>
      <c r="E713" s="1" t="s">
        <v>484</v>
      </c>
      <c r="F713" s="1" t="s">
        <v>26</v>
      </c>
      <c r="G713" s="2" t="s">
        <v>3</v>
      </c>
      <c r="H713" s="3" t="s">
        <v>84</v>
      </c>
      <c r="I713" s="3" t="s">
        <v>85</v>
      </c>
      <c r="J713" s="3" t="s">
        <v>69</v>
      </c>
      <c r="K713" s="4">
        <v>41.18</v>
      </c>
      <c r="L713" s="6">
        <v>5.44</v>
      </c>
    </row>
    <row r="714" spans="1:12" x14ac:dyDescent="0.25">
      <c r="A714" s="1">
        <v>713</v>
      </c>
      <c r="B714" s="4">
        <v>5061</v>
      </c>
      <c r="C714" s="5">
        <v>40403</v>
      </c>
      <c r="D714" s="3" t="s">
        <v>95</v>
      </c>
      <c r="E714" s="1" t="s">
        <v>455</v>
      </c>
      <c r="F714" s="1" t="s">
        <v>25</v>
      </c>
      <c r="G714" s="2" t="s">
        <v>6</v>
      </c>
      <c r="H714" s="3" t="s">
        <v>88</v>
      </c>
      <c r="I714" s="3" t="s">
        <v>85</v>
      </c>
      <c r="J714" s="3" t="s">
        <v>63</v>
      </c>
      <c r="K714" s="4">
        <v>12.8</v>
      </c>
      <c r="L714" s="6">
        <v>2.88</v>
      </c>
    </row>
    <row r="715" spans="1:12" x14ac:dyDescent="0.25">
      <c r="A715" s="1">
        <v>714</v>
      </c>
      <c r="B715" s="4">
        <v>5092</v>
      </c>
      <c r="C715" s="5">
        <v>40845</v>
      </c>
      <c r="D715" s="3" t="s">
        <v>82</v>
      </c>
      <c r="E715" s="1" t="s">
        <v>485</v>
      </c>
      <c r="F715" s="1" t="s">
        <v>25</v>
      </c>
      <c r="G715" s="2" t="s">
        <v>6</v>
      </c>
      <c r="H715" s="3" t="s">
        <v>100</v>
      </c>
      <c r="I715" s="3" t="s">
        <v>91</v>
      </c>
      <c r="J715" s="3" t="s">
        <v>68</v>
      </c>
      <c r="K715" s="4">
        <v>709.04</v>
      </c>
      <c r="L715" s="6">
        <v>220.98</v>
      </c>
    </row>
    <row r="716" spans="1:12" x14ac:dyDescent="0.25">
      <c r="A716" s="1">
        <v>715</v>
      </c>
      <c r="B716" s="4">
        <v>5092</v>
      </c>
      <c r="C716" s="5">
        <v>40845</v>
      </c>
      <c r="D716" s="3" t="s">
        <v>82</v>
      </c>
      <c r="E716" s="1" t="s">
        <v>485</v>
      </c>
      <c r="F716" s="1" t="s">
        <v>25</v>
      </c>
      <c r="G716" s="2" t="s">
        <v>6</v>
      </c>
      <c r="H716" s="3" t="s">
        <v>100</v>
      </c>
      <c r="I716" s="3" t="s">
        <v>85</v>
      </c>
      <c r="J716" s="3" t="s">
        <v>66</v>
      </c>
      <c r="K716" s="4">
        <v>978.77</v>
      </c>
      <c r="L716" s="6">
        <v>38.76</v>
      </c>
    </row>
    <row r="717" spans="1:12" x14ac:dyDescent="0.25">
      <c r="A717" s="1">
        <v>716</v>
      </c>
      <c r="B717" s="4">
        <v>5094</v>
      </c>
      <c r="C717" s="5">
        <v>40265</v>
      </c>
      <c r="D717" s="3" t="s">
        <v>86</v>
      </c>
      <c r="E717" s="1" t="s">
        <v>161</v>
      </c>
      <c r="F717" s="1" t="s">
        <v>24</v>
      </c>
      <c r="G717" s="2" t="s">
        <v>2</v>
      </c>
      <c r="H717" s="3" t="s">
        <v>84</v>
      </c>
      <c r="I717" s="3" t="s">
        <v>85</v>
      </c>
      <c r="J717" s="3" t="s">
        <v>63</v>
      </c>
      <c r="K717" s="4">
        <v>79.58</v>
      </c>
      <c r="L717" s="6">
        <v>37.44</v>
      </c>
    </row>
    <row r="718" spans="1:12" x14ac:dyDescent="0.25">
      <c r="A718" s="1">
        <v>717</v>
      </c>
      <c r="B718" s="4">
        <v>5095</v>
      </c>
      <c r="C718" s="5">
        <v>41020</v>
      </c>
      <c r="D718" s="3" t="s">
        <v>89</v>
      </c>
      <c r="E718" s="1" t="s">
        <v>310</v>
      </c>
      <c r="F718" s="1" t="s">
        <v>36</v>
      </c>
      <c r="G718" s="2" t="s">
        <v>2</v>
      </c>
      <c r="H718" s="3" t="s">
        <v>88</v>
      </c>
      <c r="I718" s="3" t="s">
        <v>92</v>
      </c>
      <c r="J718" s="3" t="s">
        <v>61</v>
      </c>
      <c r="K718" s="4">
        <v>786.67499999999995</v>
      </c>
      <c r="L718" s="6">
        <v>125.99</v>
      </c>
    </row>
    <row r="719" spans="1:12" x14ac:dyDescent="0.25">
      <c r="A719" s="1">
        <v>718</v>
      </c>
      <c r="B719" s="4">
        <v>5121</v>
      </c>
      <c r="C719" s="5">
        <v>41039</v>
      </c>
      <c r="D719" s="3" t="s">
        <v>86</v>
      </c>
      <c r="E719" s="1" t="s">
        <v>473</v>
      </c>
      <c r="F719" s="1" t="s">
        <v>30</v>
      </c>
      <c r="G719" s="2" t="s">
        <v>6</v>
      </c>
      <c r="H719" s="3" t="s">
        <v>88</v>
      </c>
      <c r="I719" s="3" t="s">
        <v>92</v>
      </c>
      <c r="J719" s="3" t="s">
        <v>61</v>
      </c>
      <c r="K719" s="4">
        <v>1991.7029999999997</v>
      </c>
      <c r="L719" s="6">
        <v>55.99</v>
      </c>
    </row>
    <row r="720" spans="1:12" x14ac:dyDescent="0.25">
      <c r="A720" s="1">
        <v>719</v>
      </c>
      <c r="B720" s="4">
        <v>5153</v>
      </c>
      <c r="C720" s="5">
        <v>40780</v>
      </c>
      <c r="D720" s="3" t="s">
        <v>95</v>
      </c>
      <c r="E720" s="1" t="s">
        <v>173</v>
      </c>
      <c r="F720" s="1" t="s">
        <v>38</v>
      </c>
      <c r="G720" s="2" t="s">
        <v>6</v>
      </c>
      <c r="H720" s="3" t="s">
        <v>97</v>
      </c>
      <c r="I720" s="3" t="s">
        <v>91</v>
      </c>
      <c r="J720" s="3" t="s">
        <v>72</v>
      </c>
      <c r="K720" s="4">
        <v>4896.93</v>
      </c>
      <c r="L720" s="6">
        <v>128.24</v>
      </c>
    </row>
    <row r="721" spans="1:12" x14ac:dyDescent="0.25">
      <c r="A721" s="1">
        <v>720</v>
      </c>
      <c r="B721" s="4">
        <v>5155</v>
      </c>
      <c r="C721" s="5">
        <v>39975</v>
      </c>
      <c r="D721" s="3" t="s">
        <v>89</v>
      </c>
      <c r="E721" s="1" t="s">
        <v>486</v>
      </c>
      <c r="F721" s="1" t="s">
        <v>31</v>
      </c>
      <c r="G721" s="2" t="s">
        <v>1</v>
      </c>
      <c r="H721" s="3" t="s">
        <v>88</v>
      </c>
      <c r="I721" s="3" t="s">
        <v>92</v>
      </c>
      <c r="J721" s="3" t="s">
        <v>62</v>
      </c>
      <c r="K721" s="4">
        <v>569.21</v>
      </c>
      <c r="L721" s="6">
        <v>39.979999999999997</v>
      </c>
    </row>
    <row r="722" spans="1:12" x14ac:dyDescent="0.25">
      <c r="A722" s="1">
        <v>721</v>
      </c>
      <c r="B722" s="4">
        <v>5188</v>
      </c>
      <c r="C722" s="5">
        <v>40603</v>
      </c>
      <c r="D722" s="3" t="s">
        <v>86</v>
      </c>
      <c r="E722" s="1" t="s">
        <v>373</v>
      </c>
      <c r="F722" s="1" t="s">
        <v>24</v>
      </c>
      <c r="G722" s="2" t="s">
        <v>2</v>
      </c>
      <c r="H722" s="3" t="s">
        <v>84</v>
      </c>
      <c r="I722" s="3" t="s">
        <v>85</v>
      </c>
      <c r="J722" s="3" t="s">
        <v>66</v>
      </c>
      <c r="K722" s="4">
        <v>192.8</v>
      </c>
      <c r="L722" s="6">
        <v>8.01</v>
      </c>
    </row>
    <row r="723" spans="1:12" x14ac:dyDescent="0.25">
      <c r="A723" s="1">
        <v>722</v>
      </c>
      <c r="B723" s="4">
        <v>5189</v>
      </c>
      <c r="C723" s="5">
        <v>40507</v>
      </c>
      <c r="D723" s="3" t="s">
        <v>82</v>
      </c>
      <c r="E723" s="1" t="s">
        <v>487</v>
      </c>
      <c r="F723" s="1" t="s">
        <v>24</v>
      </c>
      <c r="G723" s="2" t="s">
        <v>2</v>
      </c>
      <c r="H723" s="3" t="s">
        <v>88</v>
      </c>
      <c r="I723" s="3" t="s">
        <v>92</v>
      </c>
      <c r="J723" s="3" t="s">
        <v>62</v>
      </c>
      <c r="K723" s="4">
        <v>900.06</v>
      </c>
      <c r="L723" s="6">
        <v>73.98</v>
      </c>
    </row>
    <row r="724" spans="1:12" x14ac:dyDescent="0.25">
      <c r="A724" s="1">
        <v>723</v>
      </c>
      <c r="B724" s="4">
        <v>5189</v>
      </c>
      <c r="C724" s="5">
        <v>40507</v>
      </c>
      <c r="D724" s="3" t="s">
        <v>82</v>
      </c>
      <c r="E724" s="1" t="s">
        <v>330</v>
      </c>
      <c r="F724" s="1" t="s">
        <v>20</v>
      </c>
      <c r="G724" s="2" t="s">
        <v>1</v>
      </c>
      <c r="H724" s="3" t="s">
        <v>88</v>
      </c>
      <c r="I724" s="3" t="s">
        <v>85</v>
      </c>
      <c r="J724" s="3" t="s">
        <v>57</v>
      </c>
      <c r="K724" s="4">
        <v>2066.63</v>
      </c>
      <c r="L724" s="6">
        <v>140.85</v>
      </c>
    </row>
    <row r="725" spans="1:12" x14ac:dyDescent="0.25">
      <c r="A725" s="1">
        <v>724</v>
      </c>
      <c r="B725" s="4">
        <v>5189</v>
      </c>
      <c r="C725" s="5">
        <v>40507</v>
      </c>
      <c r="D725" s="3" t="s">
        <v>82</v>
      </c>
      <c r="E725" s="1" t="s">
        <v>108</v>
      </c>
      <c r="F725" s="1" t="s">
        <v>21</v>
      </c>
      <c r="G725" s="2" t="s">
        <v>1</v>
      </c>
      <c r="H725" s="3" t="s">
        <v>88</v>
      </c>
      <c r="I725" s="3" t="s">
        <v>85</v>
      </c>
      <c r="J725" s="3" t="s">
        <v>63</v>
      </c>
      <c r="K725" s="4">
        <v>24.72</v>
      </c>
      <c r="L725" s="6">
        <v>2.74</v>
      </c>
    </row>
    <row r="726" spans="1:12" x14ac:dyDescent="0.25">
      <c r="A726" s="1">
        <v>725</v>
      </c>
      <c r="B726" s="4">
        <v>5217</v>
      </c>
      <c r="C726" s="5">
        <v>40828</v>
      </c>
      <c r="D726" s="3" t="s">
        <v>89</v>
      </c>
      <c r="E726" s="1" t="s">
        <v>488</v>
      </c>
      <c r="F726" s="1" t="s">
        <v>10</v>
      </c>
      <c r="G726" s="2" t="s">
        <v>3</v>
      </c>
      <c r="H726" s="3" t="s">
        <v>97</v>
      </c>
      <c r="I726" s="3" t="s">
        <v>85</v>
      </c>
      <c r="J726" s="3" t="s">
        <v>70</v>
      </c>
      <c r="K726" s="4">
        <v>339.35</v>
      </c>
      <c r="L726" s="6">
        <v>40.98</v>
      </c>
    </row>
    <row r="727" spans="1:12" x14ac:dyDescent="0.25">
      <c r="A727" s="1">
        <v>726</v>
      </c>
      <c r="B727" s="4">
        <v>5217</v>
      </c>
      <c r="C727" s="5">
        <v>40828</v>
      </c>
      <c r="D727" s="3" t="s">
        <v>89</v>
      </c>
      <c r="E727" s="1" t="s">
        <v>488</v>
      </c>
      <c r="F727" s="1" t="s">
        <v>10</v>
      </c>
      <c r="G727" s="2" t="s">
        <v>3</v>
      </c>
      <c r="H727" s="3" t="s">
        <v>97</v>
      </c>
      <c r="I727" s="3" t="s">
        <v>85</v>
      </c>
      <c r="J727" s="3" t="s">
        <v>65</v>
      </c>
      <c r="K727" s="4">
        <v>33.67</v>
      </c>
      <c r="L727" s="6">
        <v>3.08</v>
      </c>
    </row>
    <row r="728" spans="1:12" x14ac:dyDescent="0.25">
      <c r="A728" s="1">
        <v>727</v>
      </c>
      <c r="B728" s="4">
        <v>5221</v>
      </c>
      <c r="C728" s="5">
        <v>40702</v>
      </c>
      <c r="D728" s="3" t="s">
        <v>86</v>
      </c>
      <c r="E728" s="1" t="s">
        <v>489</v>
      </c>
      <c r="F728" s="1" t="s">
        <v>19</v>
      </c>
      <c r="G728" s="2" t="s">
        <v>3</v>
      </c>
      <c r="H728" s="3" t="s">
        <v>88</v>
      </c>
      <c r="I728" s="3" t="s">
        <v>92</v>
      </c>
      <c r="J728" s="3" t="s">
        <v>62</v>
      </c>
      <c r="K728" s="4">
        <v>1347.63</v>
      </c>
      <c r="L728" s="6">
        <v>28.48</v>
      </c>
    </row>
    <row r="729" spans="1:12" x14ac:dyDescent="0.25">
      <c r="A729" s="1">
        <v>728</v>
      </c>
      <c r="B729" s="4">
        <v>5222</v>
      </c>
      <c r="C729" s="5">
        <v>39959</v>
      </c>
      <c r="D729" s="3" t="s">
        <v>86</v>
      </c>
      <c r="E729" s="1" t="s">
        <v>490</v>
      </c>
      <c r="F729" s="1" t="s">
        <v>9</v>
      </c>
      <c r="G729" s="2" t="s">
        <v>2</v>
      </c>
      <c r="H729" s="3" t="s">
        <v>100</v>
      </c>
      <c r="I729" s="3" t="s">
        <v>91</v>
      </c>
      <c r="J729" s="3" t="s">
        <v>60</v>
      </c>
      <c r="K729" s="4">
        <v>14451.75</v>
      </c>
      <c r="L729" s="6">
        <v>349.45</v>
      </c>
    </row>
    <row r="730" spans="1:12" x14ac:dyDescent="0.25">
      <c r="A730" s="1">
        <v>729</v>
      </c>
      <c r="B730" s="4">
        <v>5251</v>
      </c>
      <c r="C730" s="5">
        <v>40644</v>
      </c>
      <c r="D730" s="3" t="s">
        <v>4</v>
      </c>
      <c r="E730" s="1" t="s">
        <v>98</v>
      </c>
      <c r="F730" s="1" t="s">
        <v>13</v>
      </c>
      <c r="G730" s="2" t="s">
        <v>6</v>
      </c>
      <c r="H730" s="3" t="s">
        <v>88</v>
      </c>
      <c r="I730" s="3" t="s">
        <v>92</v>
      </c>
      <c r="J730" s="3" t="s">
        <v>61</v>
      </c>
      <c r="K730" s="4">
        <v>3821.0390000000002</v>
      </c>
      <c r="L730" s="6">
        <v>115.99</v>
      </c>
    </row>
    <row r="731" spans="1:12" x14ac:dyDescent="0.25">
      <c r="A731" s="1">
        <v>730</v>
      </c>
      <c r="B731" s="4">
        <v>5254</v>
      </c>
      <c r="C731" s="5">
        <v>41115</v>
      </c>
      <c r="D731" s="3" t="s">
        <v>86</v>
      </c>
      <c r="E731" s="1" t="s">
        <v>491</v>
      </c>
      <c r="F731" s="1" t="s">
        <v>26</v>
      </c>
      <c r="G731" s="2" t="s">
        <v>3</v>
      </c>
      <c r="H731" s="3" t="s">
        <v>88</v>
      </c>
      <c r="I731" s="3" t="s">
        <v>92</v>
      </c>
      <c r="J731" s="3" t="s">
        <v>61</v>
      </c>
      <c r="K731" s="4">
        <v>1735.3515</v>
      </c>
      <c r="L731" s="6">
        <v>65.989999999999995</v>
      </c>
    </row>
    <row r="732" spans="1:12" x14ac:dyDescent="0.25">
      <c r="A732" s="1">
        <v>731</v>
      </c>
      <c r="B732" s="4">
        <v>5281</v>
      </c>
      <c r="C732" s="5">
        <v>40848</v>
      </c>
      <c r="D732" s="3" t="s">
        <v>89</v>
      </c>
      <c r="E732" s="1" t="s">
        <v>323</v>
      </c>
      <c r="F732" s="1" t="s">
        <v>23</v>
      </c>
      <c r="G732" s="2" t="s">
        <v>3</v>
      </c>
      <c r="H732" s="3" t="s">
        <v>100</v>
      </c>
      <c r="I732" s="3" t="s">
        <v>91</v>
      </c>
      <c r="J732" s="3" t="s">
        <v>72</v>
      </c>
      <c r="K732" s="4">
        <v>4733.7</v>
      </c>
      <c r="L732" s="6">
        <v>120.98</v>
      </c>
    </row>
    <row r="733" spans="1:12" x14ac:dyDescent="0.25">
      <c r="A733" s="1">
        <v>732</v>
      </c>
      <c r="B733" s="4">
        <v>5281</v>
      </c>
      <c r="C733" s="5">
        <v>40848</v>
      </c>
      <c r="D733" s="3" t="s">
        <v>89</v>
      </c>
      <c r="E733" s="1" t="s">
        <v>323</v>
      </c>
      <c r="F733" s="1" t="s">
        <v>23</v>
      </c>
      <c r="G733" s="2" t="s">
        <v>3</v>
      </c>
      <c r="H733" s="3" t="s">
        <v>100</v>
      </c>
      <c r="I733" s="3" t="s">
        <v>91</v>
      </c>
      <c r="J733" s="3" t="s">
        <v>59</v>
      </c>
      <c r="K733" s="4">
        <v>2718.07</v>
      </c>
      <c r="L733" s="6">
        <v>209.84</v>
      </c>
    </row>
    <row r="734" spans="1:12" x14ac:dyDescent="0.25">
      <c r="A734" s="1">
        <v>733</v>
      </c>
      <c r="B734" s="4">
        <v>5283</v>
      </c>
      <c r="C734" s="5">
        <v>39967</v>
      </c>
      <c r="D734" s="3" t="s">
        <v>4</v>
      </c>
      <c r="E734" s="1" t="s">
        <v>385</v>
      </c>
      <c r="F734" s="1" t="s">
        <v>13</v>
      </c>
      <c r="G734" s="2" t="s">
        <v>6</v>
      </c>
      <c r="H734" s="3" t="s">
        <v>97</v>
      </c>
      <c r="I734" s="3" t="s">
        <v>92</v>
      </c>
      <c r="J734" s="3" t="s">
        <v>61</v>
      </c>
      <c r="K734" s="4">
        <v>2508.6730000000002</v>
      </c>
      <c r="L734" s="6">
        <v>125.99</v>
      </c>
    </row>
    <row r="735" spans="1:12" x14ac:dyDescent="0.25">
      <c r="A735" s="1">
        <v>734</v>
      </c>
      <c r="B735" s="4">
        <v>5284</v>
      </c>
      <c r="C735" s="5">
        <v>40732</v>
      </c>
      <c r="D735" s="3" t="s">
        <v>86</v>
      </c>
      <c r="E735" s="1" t="s">
        <v>465</v>
      </c>
      <c r="F735" s="1" t="s">
        <v>8</v>
      </c>
      <c r="G735" s="2" t="s">
        <v>6</v>
      </c>
      <c r="H735" s="3" t="s">
        <v>97</v>
      </c>
      <c r="I735" s="3" t="s">
        <v>85</v>
      </c>
      <c r="J735" s="3" t="s">
        <v>69</v>
      </c>
      <c r="K735" s="4">
        <v>59.38</v>
      </c>
      <c r="L735" s="6">
        <v>8.69</v>
      </c>
    </row>
    <row r="736" spans="1:12" x14ac:dyDescent="0.25">
      <c r="A736" s="1">
        <v>735</v>
      </c>
      <c r="B736" s="4">
        <v>5316</v>
      </c>
      <c r="C736" s="5">
        <v>39843</v>
      </c>
      <c r="D736" s="3" t="s">
        <v>95</v>
      </c>
      <c r="E736" s="1" t="s">
        <v>150</v>
      </c>
      <c r="F736" s="1" t="s">
        <v>8</v>
      </c>
      <c r="G736" s="2" t="s">
        <v>6</v>
      </c>
      <c r="H736" s="3" t="s">
        <v>88</v>
      </c>
      <c r="I736" s="3" t="s">
        <v>92</v>
      </c>
      <c r="J736" s="3" t="s">
        <v>62</v>
      </c>
      <c r="K736" s="4">
        <v>1285.3699999999999</v>
      </c>
      <c r="L736" s="6">
        <v>31.78</v>
      </c>
    </row>
    <row r="737" spans="1:12" x14ac:dyDescent="0.25">
      <c r="A737" s="1">
        <v>736</v>
      </c>
      <c r="B737" s="4">
        <v>5317</v>
      </c>
      <c r="C737" s="5">
        <v>40064</v>
      </c>
      <c r="D737" s="3" t="s">
        <v>82</v>
      </c>
      <c r="E737" s="1" t="s">
        <v>427</v>
      </c>
      <c r="F737" s="1" t="s">
        <v>36</v>
      </c>
      <c r="G737" s="2" t="s">
        <v>2</v>
      </c>
      <c r="H737" s="3" t="s">
        <v>84</v>
      </c>
      <c r="I737" s="3" t="s">
        <v>85</v>
      </c>
      <c r="J737" s="3" t="s">
        <v>69</v>
      </c>
      <c r="K737" s="4">
        <v>212.57</v>
      </c>
      <c r="L737" s="6">
        <v>5.34</v>
      </c>
    </row>
    <row r="738" spans="1:12" x14ac:dyDescent="0.25">
      <c r="A738" s="1">
        <v>737</v>
      </c>
      <c r="B738" s="4">
        <v>5317</v>
      </c>
      <c r="C738" s="5">
        <v>40064</v>
      </c>
      <c r="D738" s="3" t="s">
        <v>82</v>
      </c>
      <c r="E738" s="1" t="s">
        <v>427</v>
      </c>
      <c r="F738" s="1" t="s">
        <v>36</v>
      </c>
      <c r="G738" s="2" t="s">
        <v>2</v>
      </c>
      <c r="H738" s="3" t="s">
        <v>84</v>
      </c>
      <c r="I738" s="3" t="s">
        <v>91</v>
      </c>
      <c r="J738" s="3" t="s">
        <v>68</v>
      </c>
      <c r="K738" s="4">
        <v>1469.48</v>
      </c>
      <c r="L738" s="6">
        <v>140.97999999999999</v>
      </c>
    </row>
    <row r="739" spans="1:12" x14ac:dyDescent="0.25">
      <c r="A739" s="1">
        <v>738</v>
      </c>
      <c r="B739" s="4">
        <v>5317</v>
      </c>
      <c r="C739" s="5">
        <v>40064</v>
      </c>
      <c r="D739" s="3" t="s">
        <v>82</v>
      </c>
      <c r="E739" s="1" t="s">
        <v>427</v>
      </c>
      <c r="F739" s="1" t="s">
        <v>36</v>
      </c>
      <c r="G739" s="2" t="s">
        <v>2</v>
      </c>
      <c r="H739" s="3" t="s">
        <v>84</v>
      </c>
      <c r="I739" s="3" t="s">
        <v>92</v>
      </c>
      <c r="J739" s="3" t="s">
        <v>61</v>
      </c>
      <c r="K739" s="4">
        <v>4279.24</v>
      </c>
      <c r="L739" s="6">
        <v>205.99</v>
      </c>
    </row>
    <row r="740" spans="1:12" x14ac:dyDescent="0.25">
      <c r="A740" s="1">
        <v>739</v>
      </c>
      <c r="B740" s="4">
        <v>5318</v>
      </c>
      <c r="C740" s="5">
        <v>40271</v>
      </c>
      <c r="D740" s="3" t="s">
        <v>89</v>
      </c>
      <c r="E740" s="1" t="s">
        <v>147</v>
      </c>
      <c r="F740" s="1" t="s">
        <v>11</v>
      </c>
      <c r="G740" s="2" t="s">
        <v>6</v>
      </c>
      <c r="H740" s="3" t="s">
        <v>100</v>
      </c>
      <c r="I740" s="3" t="s">
        <v>85</v>
      </c>
      <c r="J740" s="3" t="s">
        <v>70</v>
      </c>
      <c r="K740" s="4">
        <v>1042.25</v>
      </c>
      <c r="L740" s="6">
        <v>131.12</v>
      </c>
    </row>
    <row r="741" spans="1:12" x14ac:dyDescent="0.25">
      <c r="A741" s="1">
        <v>740</v>
      </c>
      <c r="B741" s="4">
        <v>5318</v>
      </c>
      <c r="C741" s="5">
        <v>40271</v>
      </c>
      <c r="D741" s="3" t="s">
        <v>89</v>
      </c>
      <c r="E741" s="1" t="s">
        <v>147</v>
      </c>
      <c r="F741" s="1" t="s">
        <v>11</v>
      </c>
      <c r="G741" s="2" t="s">
        <v>6</v>
      </c>
      <c r="H741" s="3" t="s">
        <v>100</v>
      </c>
      <c r="I741" s="3" t="s">
        <v>92</v>
      </c>
      <c r="J741" s="3" t="s">
        <v>61</v>
      </c>
      <c r="K741" s="4">
        <v>5010.7415000000001</v>
      </c>
      <c r="L741" s="6">
        <v>200.99</v>
      </c>
    </row>
    <row r="742" spans="1:12" x14ac:dyDescent="0.25">
      <c r="A742" s="1">
        <v>741</v>
      </c>
      <c r="B742" s="4">
        <v>5346</v>
      </c>
      <c r="C742" s="5">
        <v>40537</v>
      </c>
      <c r="D742" s="3" t="s">
        <v>95</v>
      </c>
      <c r="E742" s="1" t="s">
        <v>234</v>
      </c>
      <c r="F742" s="1" t="s">
        <v>30</v>
      </c>
      <c r="G742" s="2" t="s">
        <v>6</v>
      </c>
      <c r="H742" s="3" t="s">
        <v>97</v>
      </c>
      <c r="I742" s="3" t="s">
        <v>91</v>
      </c>
      <c r="J742" s="3" t="s">
        <v>59</v>
      </c>
      <c r="K742" s="4">
        <v>2932.99</v>
      </c>
      <c r="L742" s="6">
        <v>90.98</v>
      </c>
    </row>
    <row r="743" spans="1:12" x14ac:dyDescent="0.25">
      <c r="A743" s="1">
        <v>742</v>
      </c>
      <c r="B743" s="4">
        <v>5346</v>
      </c>
      <c r="C743" s="5">
        <v>40537</v>
      </c>
      <c r="D743" s="3" t="s">
        <v>95</v>
      </c>
      <c r="E743" s="1" t="s">
        <v>234</v>
      </c>
      <c r="F743" s="1" t="s">
        <v>30</v>
      </c>
      <c r="G743" s="2" t="s">
        <v>6</v>
      </c>
      <c r="H743" s="3" t="s">
        <v>97</v>
      </c>
      <c r="I743" s="3" t="s">
        <v>91</v>
      </c>
      <c r="J743" s="3" t="s">
        <v>60</v>
      </c>
      <c r="K743" s="4">
        <v>9194.7999999999993</v>
      </c>
      <c r="L743" s="6">
        <v>218.75</v>
      </c>
    </row>
    <row r="744" spans="1:12" x14ac:dyDescent="0.25">
      <c r="A744" s="1">
        <v>743</v>
      </c>
      <c r="B744" s="4">
        <v>5346</v>
      </c>
      <c r="C744" s="5">
        <v>40537</v>
      </c>
      <c r="D744" s="3" t="s">
        <v>95</v>
      </c>
      <c r="E744" s="1" t="s">
        <v>492</v>
      </c>
      <c r="F744" s="1" t="s">
        <v>30</v>
      </c>
      <c r="G744" s="2" t="s">
        <v>6</v>
      </c>
      <c r="H744" s="3" t="s">
        <v>97</v>
      </c>
      <c r="I744" s="3" t="s">
        <v>91</v>
      </c>
      <c r="J744" s="3" t="s">
        <v>68</v>
      </c>
      <c r="K744" s="4">
        <v>2285.12</v>
      </c>
      <c r="L744" s="6">
        <v>140.97999999999999</v>
      </c>
    </row>
    <row r="745" spans="1:12" x14ac:dyDescent="0.25">
      <c r="A745" s="1">
        <v>744</v>
      </c>
      <c r="B745" s="4">
        <v>5347</v>
      </c>
      <c r="C745" s="5">
        <v>40595</v>
      </c>
      <c r="D745" s="3" t="s">
        <v>4</v>
      </c>
      <c r="E745" s="1" t="s">
        <v>493</v>
      </c>
      <c r="F745" s="1" t="s">
        <v>33</v>
      </c>
      <c r="G745" s="2" t="s">
        <v>2</v>
      </c>
      <c r="H745" s="3" t="s">
        <v>88</v>
      </c>
      <c r="I745" s="3" t="s">
        <v>92</v>
      </c>
      <c r="J745" s="3" t="s">
        <v>61</v>
      </c>
      <c r="K745" s="4">
        <v>525.55499999999995</v>
      </c>
      <c r="L745" s="6">
        <v>85.99</v>
      </c>
    </row>
    <row r="746" spans="1:12" x14ac:dyDescent="0.25">
      <c r="A746" s="1">
        <v>745</v>
      </c>
      <c r="B746" s="4">
        <v>5347</v>
      </c>
      <c r="C746" s="5">
        <v>40595</v>
      </c>
      <c r="D746" s="3" t="s">
        <v>4</v>
      </c>
      <c r="E746" s="1" t="s">
        <v>493</v>
      </c>
      <c r="F746" s="1" t="s">
        <v>33</v>
      </c>
      <c r="G746" s="2" t="s">
        <v>2</v>
      </c>
      <c r="H746" s="3" t="s">
        <v>88</v>
      </c>
      <c r="I746" s="3" t="s">
        <v>92</v>
      </c>
      <c r="J746" s="3" t="s">
        <v>61</v>
      </c>
      <c r="K746" s="4">
        <v>276.029</v>
      </c>
      <c r="L746" s="6">
        <v>7.99</v>
      </c>
    </row>
    <row r="747" spans="1:12" x14ac:dyDescent="0.25">
      <c r="A747" s="1">
        <v>746</v>
      </c>
      <c r="B747" s="4">
        <v>5347</v>
      </c>
      <c r="C747" s="5">
        <v>40595</v>
      </c>
      <c r="D747" s="3" t="s">
        <v>4</v>
      </c>
      <c r="E747" s="1" t="s">
        <v>493</v>
      </c>
      <c r="F747" s="1" t="s">
        <v>33</v>
      </c>
      <c r="G747" s="2" t="s">
        <v>2</v>
      </c>
      <c r="H747" s="3" t="s">
        <v>88</v>
      </c>
      <c r="I747" s="3" t="s">
        <v>92</v>
      </c>
      <c r="J747" s="3" t="s">
        <v>61</v>
      </c>
      <c r="K747" s="4">
        <v>187.20400000000001</v>
      </c>
      <c r="L747" s="6">
        <v>205.99</v>
      </c>
    </row>
    <row r="748" spans="1:12" x14ac:dyDescent="0.25">
      <c r="A748" s="1">
        <v>747</v>
      </c>
      <c r="B748" s="4">
        <v>5350</v>
      </c>
      <c r="C748" s="5">
        <v>40460</v>
      </c>
      <c r="D748" s="3" t="s">
        <v>82</v>
      </c>
      <c r="E748" s="1" t="s">
        <v>494</v>
      </c>
      <c r="F748" s="1" t="s">
        <v>54</v>
      </c>
      <c r="G748" s="2" t="s">
        <v>2</v>
      </c>
      <c r="H748" s="3" t="s">
        <v>100</v>
      </c>
      <c r="I748" s="3" t="s">
        <v>85</v>
      </c>
      <c r="J748" s="3" t="s">
        <v>70</v>
      </c>
      <c r="K748" s="4">
        <v>434.73</v>
      </c>
      <c r="L748" s="6">
        <v>11.33</v>
      </c>
    </row>
    <row r="749" spans="1:12" x14ac:dyDescent="0.25">
      <c r="A749" s="1">
        <v>748</v>
      </c>
      <c r="B749" s="4">
        <v>5350</v>
      </c>
      <c r="C749" s="5">
        <v>40460</v>
      </c>
      <c r="D749" s="3" t="s">
        <v>82</v>
      </c>
      <c r="E749" s="1" t="s">
        <v>495</v>
      </c>
      <c r="F749" s="1" t="s">
        <v>52</v>
      </c>
      <c r="G749" s="2" t="s">
        <v>3</v>
      </c>
      <c r="H749" s="3" t="s">
        <v>100</v>
      </c>
      <c r="I749" s="3" t="s">
        <v>85</v>
      </c>
      <c r="J749" s="3" t="s">
        <v>57</v>
      </c>
      <c r="K749" s="4">
        <v>7017.42</v>
      </c>
      <c r="L749" s="6">
        <v>140.85</v>
      </c>
    </row>
    <row r="750" spans="1:12" x14ac:dyDescent="0.25">
      <c r="A750" s="1">
        <v>749</v>
      </c>
      <c r="B750" s="4">
        <v>5378</v>
      </c>
      <c r="C750" s="5">
        <v>41206</v>
      </c>
      <c r="D750" s="3" t="s">
        <v>95</v>
      </c>
      <c r="E750" s="1" t="s">
        <v>266</v>
      </c>
      <c r="F750" s="1" t="s">
        <v>42</v>
      </c>
      <c r="G750" s="2" t="s">
        <v>3</v>
      </c>
      <c r="H750" s="3" t="s">
        <v>88</v>
      </c>
      <c r="I750" s="3" t="s">
        <v>91</v>
      </c>
      <c r="J750" s="3" t="s">
        <v>59</v>
      </c>
      <c r="K750" s="4">
        <v>54.28</v>
      </c>
      <c r="L750" s="6">
        <v>6.24</v>
      </c>
    </row>
    <row r="751" spans="1:12" x14ac:dyDescent="0.25">
      <c r="A751" s="1">
        <v>750</v>
      </c>
      <c r="B751" s="4">
        <v>5381</v>
      </c>
      <c r="C751" s="5">
        <v>40206</v>
      </c>
      <c r="D751" s="3" t="s">
        <v>82</v>
      </c>
      <c r="E751" s="1" t="s">
        <v>187</v>
      </c>
      <c r="F751" s="1" t="s">
        <v>13</v>
      </c>
      <c r="G751" s="2" t="s">
        <v>6</v>
      </c>
      <c r="H751" s="3" t="s">
        <v>97</v>
      </c>
      <c r="I751" s="3" t="s">
        <v>91</v>
      </c>
      <c r="J751" s="3" t="s">
        <v>59</v>
      </c>
      <c r="K751" s="4">
        <v>4888.1400000000003</v>
      </c>
      <c r="L751" s="6">
        <v>107.53</v>
      </c>
    </row>
    <row r="752" spans="1:12" x14ac:dyDescent="0.25">
      <c r="A752" s="1">
        <v>751</v>
      </c>
      <c r="B752" s="4">
        <v>5381</v>
      </c>
      <c r="C752" s="5">
        <v>40206</v>
      </c>
      <c r="D752" s="3" t="s">
        <v>82</v>
      </c>
      <c r="E752" s="1" t="s">
        <v>187</v>
      </c>
      <c r="F752" s="1" t="s">
        <v>13</v>
      </c>
      <c r="G752" s="2" t="s">
        <v>6</v>
      </c>
      <c r="H752" s="3" t="s">
        <v>97</v>
      </c>
      <c r="I752" s="3" t="s">
        <v>85</v>
      </c>
      <c r="J752" s="3" t="s">
        <v>66</v>
      </c>
      <c r="K752" s="4">
        <v>63.87</v>
      </c>
      <c r="L752" s="6">
        <v>2.1800000000000002</v>
      </c>
    </row>
    <row r="753" spans="1:12" x14ac:dyDescent="0.25">
      <c r="A753" s="1">
        <v>752</v>
      </c>
      <c r="B753" s="4">
        <v>5382</v>
      </c>
      <c r="C753" s="5">
        <v>40920</v>
      </c>
      <c r="D753" s="3" t="s">
        <v>82</v>
      </c>
      <c r="E753" s="1" t="s">
        <v>136</v>
      </c>
      <c r="F753" s="1" t="s">
        <v>31</v>
      </c>
      <c r="G753" s="2" t="s">
        <v>1</v>
      </c>
      <c r="H753" s="3" t="s">
        <v>100</v>
      </c>
      <c r="I753" s="3" t="s">
        <v>91</v>
      </c>
      <c r="J753" s="3" t="s">
        <v>59</v>
      </c>
      <c r="K753" s="4">
        <v>260.12</v>
      </c>
      <c r="L753" s="6">
        <v>8.98</v>
      </c>
    </row>
    <row r="754" spans="1:12" x14ac:dyDescent="0.25">
      <c r="A754" s="1">
        <v>753</v>
      </c>
      <c r="B754" s="4">
        <v>5408</v>
      </c>
      <c r="C754" s="5">
        <v>41110</v>
      </c>
      <c r="D754" s="3" t="s">
        <v>82</v>
      </c>
      <c r="E754" s="1" t="s">
        <v>324</v>
      </c>
      <c r="F754" s="1" t="s">
        <v>24</v>
      </c>
      <c r="G754" s="2" t="s">
        <v>2</v>
      </c>
      <c r="H754" s="3" t="s">
        <v>84</v>
      </c>
      <c r="I754" s="3" t="s">
        <v>85</v>
      </c>
      <c r="J754" s="3" t="s">
        <v>65</v>
      </c>
      <c r="K754" s="4">
        <v>88.82</v>
      </c>
      <c r="L754" s="6">
        <v>4.13</v>
      </c>
    </row>
    <row r="755" spans="1:12" x14ac:dyDescent="0.25">
      <c r="A755" s="1">
        <v>754</v>
      </c>
      <c r="B755" s="4">
        <v>5408</v>
      </c>
      <c r="C755" s="5">
        <v>41110</v>
      </c>
      <c r="D755" s="3" t="s">
        <v>82</v>
      </c>
      <c r="E755" s="1" t="s">
        <v>324</v>
      </c>
      <c r="F755" s="1" t="s">
        <v>24</v>
      </c>
      <c r="G755" s="2" t="s">
        <v>2</v>
      </c>
      <c r="H755" s="3" t="s">
        <v>84</v>
      </c>
      <c r="I755" s="3" t="s">
        <v>91</v>
      </c>
      <c r="J755" s="3" t="s">
        <v>59</v>
      </c>
      <c r="K755" s="4">
        <v>2392.23</v>
      </c>
      <c r="L755" s="6">
        <v>209.84</v>
      </c>
    </row>
    <row r="756" spans="1:12" x14ac:dyDescent="0.25">
      <c r="A756" s="1">
        <v>755</v>
      </c>
      <c r="B756" s="4">
        <v>5409</v>
      </c>
      <c r="C756" s="5">
        <v>40916</v>
      </c>
      <c r="D756" s="3" t="s">
        <v>82</v>
      </c>
      <c r="E756" s="1" t="s">
        <v>496</v>
      </c>
      <c r="F756" s="1" t="s">
        <v>8</v>
      </c>
      <c r="G756" s="2" t="s">
        <v>6</v>
      </c>
      <c r="H756" s="3" t="s">
        <v>88</v>
      </c>
      <c r="I756" s="3" t="s">
        <v>85</v>
      </c>
      <c r="J756" s="3" t="s">
        <v>66</v>
      </c>
      <c r="K756" s="4">
        <v>48.91</v>
      </c>
      <c r="L756" s="6">
        <v>3.98</v>
      </c>
    </row>
    <row r="757" spans="1:12" x14ac:dyDescent="0.25">
      <c r="A757" s="1">
        <v>756</v>
      </c>
      <c r="B757" s="4">
        <v>5414</v>
      </c>
      <c r="C757" s="5">
        <v>40261</v>
      </c>
      <c r="D757" s="3" t="s">
        <v>86</v>
      </c>
      <c r="E757" s="1" t="s">
        <v>136</v>
      </c>
      <c r="F757" s="1" t="s">
        <v>31</v>
      </c>
      <c r="G757" s="2" t="s">
        <v>1</v>
      </c>
      <c r="H757" s="3" t="s">
        <v>88</v>
      </c>
      <c r="I757" s="3" t="s">
        <v>85</v>
      </c>
      <c r="J757" s="3" t="s">
        <v>57</v>
      </c>
      <c r="K757" s="4">
        <v>284.62</v>
      </c>
      <c r="L757" s="6">
        <v>20.98</v>
      </c>
    </row>
    <row r="758" spans="1:12" x14ac:dyDescent="0.25">
      <c r="A758" s="1">
        <v>757</v>
      </c>
      <c r="B758" s="4">
        <v>5441</v>
      </c>
      <c r="C758" s="5">
        <v>40014</v>
      </c>
      <c r="D758" s="3" t="s">
        <v>86</v>
      </c>
      <c r="E758" s="1" t="s">
        <v>497</v>
      </c>
      <c r="F758" s="1" t="s">
        <v>9</v>
      </c>
      <c r="G758" s="2" t="s">
        <v>2</v>
      </c>
      <c r="H758" s="3" t="s">
        <v>100</v>
      </c>
      <c r="I758" s="3" t="s">
        <v>85</v>
      </c>
      <c r="J758" s="3" t="s">
        <v>66</v>
      </c>
      <c r="K758" s="4">
        <v>226.83</v>
      </c>
      <c r="L758" s="6">
        <v>6.48</v>
      </c>
    </row>
    <row r="759" spans="1:12" x14ac:dyDescent="0.25">
      <c r="A759" s="1">
        <v>758</v>
      </c>
      <c r="B759" s="4">
        <v>5441</v>
      </c>
      <c r="C759" s="5">
        <v>40014</v>
      </c>
      <c r="D759" s="3" t="s">
        <v>86</v>
      </c>
      <c r="E759" s="1" t="s">
        <v>497</v>
      </c>
      <c r="F759" s="1" t="s">
        <v>9</v>
      </c>
      <c r="G759" s="2" t="s">
        <v>2</v>
      </c>
      <c r="H759" s="3" t="s">
        <v>100</v>
      </c>
      <c r="I759" s="3" t="s">
        <v>85</v>
      </c>
      <c r="J759" s="3" t="s">
        <v>57</v>
      </c>
      <c r="K759" s="4">
        <v>278.92</v>
      </c>
      <c r="L759" s="6">
        <v>17.149999999999999</v>
      </c>
    </row>
    <row r="760" spans="1:12" x14ac:dyDescent="0.25">
      <c r="A760" s="1">
        <v>759</v>
      </c>
      <c r="B760" s="4">
        <v>5444</v>
      </c>
      <c r="C760" s="5">
        <v>40619</v>
      </c>
      <c r="D760" s="3" t="s">
        <v>95</v>
      </c>
      <c r="E760" s="1" t="s">
        <v>498</v>
      </c>
      <c r="F760" s="1" t="s">
        <v>13</v>
      </c>
      <c r="G760" s="2" t="s">
        <v>6</v>
      </c>
      <c r="H760" s="3" t="s">
        <v>84</v>
      </c>
      <c r="I760" s="3" t="s">
        <v>92</v>
      </c>
      <c r="J760" s="3" t="s">
        <v>73</v>
      </c>
      <c r="K760" s="4">
        <v>885.94</v>
      </c>
      <c r="L760" s="6">
        <v>449.99</v>
      </c>
    </row>
    <row r="761" spans="1:12" x14ac:dyDescent="0.25">
      <c r="A761" s="1">
        <v>760</v>
      </c>
      <c r="B761" s="4">
        <v>5445</v>
      </c>
      <c r="C761" s="5">
        <v>40384</v>
      </c>
      <c r="D761" s="3" t="s">
        <v>82</v>
      </c>
      <c r="E761" s="1" t="s">
        <v>499</v>
      </c>
      <c r="F761" s="1" t="s">
        <v>22</v>
      </c>
      <c r="G761" s="2" t="s">
        <v>6</v>
      </c>
      <c r="H761" s="3" t="s">
        <v>97</v>
      </c>
      <c r="I761" s="3" t="s">
        <v>85</v>
      </c>
      <c r="J761" s="3" t="s">
        <v>65</v>
      </c>
      <c r="K761" s="4">
        <v>29.42</v>
      </c>
      <c r="L761" s="6">
        <v>3.69</v>
      </c>
    </row>
    <row r="762" spans="1:12" x14ac:dyDescent="0.25">
      <c r="A762" s="1">
        <v>761</v>
      </c>
      <c r="B762" s="4">
        <v>5445</v>
      </c>
      <c r="C762" s="5">
        <v>40384</v>
      </c>
      <c r="D762" s="3" t="s">
        <v>82</v>
      </c>
      <c r="E762" s="1" t="s">
        <v>499</v>
      </c>
      <c r="F762" s="1" t="s">
        <v>22</v>
      </c>
      <c r="G762" s="2" t="s">
        <v>6</v>
      </c>
      <c r="H762" s="3" t="s">
        <v>97</v>
      </c>
      <c r="I762" s="3" t="s">
        <v>85</v>
      </c>
      <c r="J762" s="3" t="s">
        <v>63</v>
      </c>
      <c r="K762" s="4">
        <v>46.48</v>
      </c>
      <c r="L762" s="6">
        <v>4.63</v>
      </c>
    </row>
    <row r="763" spans="1:12" x14ac:dyDescent="0.25">
      <c r="A763" s="1">
        <v>762</v>
      </c>
      <c r="B763" s="4">
        <v>5446</v>
      </c>
      <c r="C763" s="5">
        <v>39984</v>
      </c>
      <c r="D763" s="3" t="s">
        <v>82</v>
      </c>
      <c r="E763" s="1" t="s">
        <v>213</v>
      </c>
      <c r="F763" s="1" t="s">
        <v>38</v>
      </c>
      <c r="G763" s="2" t="s">
        <v>6</v>
      </c>
      <c r="H763" s="3" t="s">
        <v>88</v>
      </c>
      <c r="I763" s="3" t="s">
        <v>85</v>
      </c>
      <c r="J763" s="3" t="s">
        <v>71</v>
      </c>
      <c r="K763" s="4">
        <v>433.68</v>
      </c>
      <c r="L763" s="6">
        <v>10.98</v>
      </c>
    </row>
    <row r="764" spans="1:12" x14ac:dyDescent="0.25">
      <c r="A764" s="1">
        <v>763</v>
      </c>
      <c r="B764" s="4">
        <v>5472</v>
      </c>
      <c r="C764" s="5">
        <v>40278</v>
      </c>
      <c r="D764" s="3" t="s">
        <v>82</v>
      </c>
      <c r="E764" s="1" t="s">
        <v>413</v>
      </c>
      <c r="F764" s="1" t="s">
        <v>24</v>
      </c>
      <c r="G764" s="2" t="s">
        <v>2</v>
      </c>
      <c r="H764" s="3" t="s">
        <v>88</v>
      </c>
      <c r="I764" s="3" t="s">
        <v>85</v>
      </c>
      <c r="J764" s="3" t="s">
        <v>66</v>
      </c>
      <c r="K764" s="4">
        <v>216.08</v>
      </c>
      <c r="L764" s="6">
        <v>6.48</v>
      </c>
    </row>
    <row r="765" spans="1:12" x14ac:dyDescent="0.25">
      <c r="A765" s="1">
        <v>764</v>
      </c>
      <c r="B765" s="4">
        <v>5472</v>
      </c>
      <c r="C765" s="5">
        <v>40278</v>
      </c>
      <c r="D765" s="3" t="s">
        <v>82</v>
      </c>
      <c r="E765" s="1" t="s">
        <v>413</v>
      </c>
      <c r="F765" s="1" t="s">
        <v>24</v>
      </c>
      <c r="G765" s="2" t="s">
        <v>2</v>
      </c>
      <c r="H765" s="3" t="s">
        <v>88</v>
      </c>
      <c r="I765" s="3" t="s">
        <v>85</v>
      </c>
      <c r="J765" s="3" t="s">
        <v>57</v>
      </c>
      <c r="K765" s="4">
        <v>339.03</v>
      </c>
      <c r="L765" s="6">
        <v>13.48</v>
      </c>
    </row>
    <row r="766" spans="1:12" x14ac:dyDescent="0.25">
      <c r="A766" s="1">
        <v>765</v>
      </c>
      <c r="B766" s="4">
        <v>5472</v>
      </c>
      <c r="C766" s="5">
        <v>40278</v>
      </c>
      <c r="D766" s="3" t="s">
        <v>82</v>
      </c>
      <c r="E766" s="1" t="s">
        <v>413</v>
      </c>
      <c r="F766" s="1" t="s">
        <v>24</v>
      </c>
      <c r="G766" s="2" t="s">
        <v>2</v>
      </c>
      <c r="H766" s="3" t="s">
        <v>88</v>
      </c>
      <c r="I766" s="3" t="s">
        <v>92</v>
      </c>
      <c r="J766" s="3" t="s">
        <v>61</v>
      </c>
      <c r="K766" s="4">
        <v>1098.1490000000001</v>
      </c>
      <c r="L766" s="6">
        <v>115.99</v>
      </c>
    </row>
    <row r="767" spans="1:12" x14ac:dyDescent="0.25">
      <c r="A767" s="1">
        <v>766</v>
      </c>
      <c r="B767" s="4">
        <v>5473</v>
      </c>
      <c r="C767" s="5">
        <v>40992</v>
      </c>
      <c r="D767" s="3" t="s">
        <v>86</v>
      </c>
      <c r="E767" s="1" t="s">
        <v>348</v>
      </c>
      <c r="F767" s="1" t="s">
        <v>30</v>
      </c>
      <c r="G767" s="2" t="s">
        <v>6</v>
      </c>
      <c r="H767" s="3" t="s">
        <v>84</v>
      </c>
      <c r="I767" s="3" t="s">
        <v>85</v>
      </c>
      <c r="J767" s="3" t="s">
        <v>71</v>
      </c>
      <c r="K767" s="4">
        <v>355.69</v>
      </c>
      <c r="L767" s="6">
        <v>8.74</v>
      </c>
    </row>
    <row r="768" spans="1:12" x14ac:dyDescent="0.25">
      <c r="A768" s="1">
        <v>767</v>
      </c>
      <c r="B768" s="4">
        <v>5504</v>
      </c>
      <c r="C768" s="5">
        <v>40183</v>
      </c>
      <c r="D768" s="3" t="s">
        <v>89</v>
      </c>
      <c r="E768" s="1" t="s">
        <v>500</v>
      </c>
      <c r="F768" s="1" t="s">
        <v>28</v>
      </c>
      <c r="G768" s="2" t="s">
        <v>6</v>
      </c>
      <c r="H768" s="3" t="s">
        <v>84</v>
      </c>
      <c r="I768" s="3" t="s">
        <v>85</v>
      </c>
      <c r="J768" s="3" t="s">
        <v>66</v>
      </c>
      <c r="K768" s="4">
        <v>49.55</v>
      </c>
      <c r="L768" s="6">
        <v>5.78</v>
      </c>
    </row>
    <row r="769" spans="1:12" x14ac:dyDescent="0.25">
      <c r="A769" s="1">
        <v>768</v>
      </c>
      <c r="B769" s="4">
        <v>5504</v>
      </c>
      <c r="C769" s="5">
        <v>40183</v>
      </c>
      <c r="D769" s="3" t="s">
        <v>89</v>
      </c>
      <c r="E769" s="1" t="s">
        <v>500</v>
      </c>
      <c r="F769" s="1" t="s">
        <v>28</v>
      </c>
      <c r="G769" s="2" t="s">
        <v>6</v>
      </c>
      <c r="H769" s="3" t="s">
        <v>84</v>
      </c>
      <c r="I769" s="3" t="s">
        <v>92</v>
      </c>
      <c r="J769" s="3" t="s">
        <v>61</v>
      </c>
      <c r="K769" s="4">
        <v>606.55999999999995</v>
      </c>
      <c r="L769" s="6">
        <v>45.99</v>
      </c>
    </row>
    <row r="770" spans="1:12" x14ac:dyDescent="0.25">
      <c r="A770" s="1">
        <v>769</v>
      </c>
      <c r="B770" s="4">
        <v>5506</v>
      </c>
      <c r="C770" s="5">
        <v>40489</v>
      </c>
      <c r="D770" s="3" t="s">
        <v>95</v>
      </c>
      <c r="E770" s="1" t="s">
        <v>501</v>
      </c>
      <c r="F770" s="1" t="s">
        <v>8</v>
      </c>
      <c r="G770" s="2" t="s">
        <v>6</v>
      </c>
      <c r="H770" s="3" t="s">
        <v>88</v>
      </c>
      <c r="I770" s="3" t="s">
        <v>85</v>
      </c>
      <c r="J770" s="3" t="s">
        <v>66</v>
      </c>
      <c r="K770" s="4">
        <v>129.62</v>
      </c>
      <c r="L770" s="6">
        <v>5.88</v>
      </c>
    </row>
    <row r="771" spans="1:12" x14ac:dyDescent="0.25">
      <c r="A771" s="1">
        <v>770</v>
      </c>
      <c r="B771" s="4">
        <v>5509</v>
      </c>
      <c r="C771" s="5">
        <v>39910</v>
      </c>
      <c r="D771" s="3" t="s">
        <v>82</v>
      </c>
      <c r="E771" s="1" t="s">
        <v>502</v>
      </c>
      <c r="F771" s="1" t="s">
        <v>17</v>
      </c>
      <c r="G771" s="2" t="s">
        <v>2</v>
      </c>
      <c r="H771" s="3" t="s">
        <v>97</v>
      </c>
      <c r="I771" s="3" t="s">
        <v>85</v>
      </c>
      <c r="J771" s="3" t="s">
        <v>71</v>
      </c>
      <c r="K771" s="4">
        <v>68.459999999999994</v>
      </c>
      <c r="L771" s="6">
        <v>5.58</v>
      </c>
    </row>
    <row r="772" spans="1:12" x14ac:dyDescent="0.25">
      <c r="A772" s="1">
        <v>771</v>
      </c>
      <c r="B772" s="4">
        <v>5509</v>
      </c>
      <c r="C772" s="5">
        <v>39910</v>
      </c>
      <c r="D772" s="3" t="s">
        <v>82</v>
      </c>
      <c r="E772" s="1" t="s">
        <v>502</v>
      </c>
      <c r="F772" s="1" t="s">
        <v>17</v>
      </c>
      <c r="G772" s="2" t="s">
        <v>2</v>
      </c>
      <c r="H772" s="3" t="s">
        <v>97</v>
      </c>
      <c r="I772" s="3" t="s">
        <v>91</v>
      </c>
      <c r="J772" s="3" t="s">
        <v>59</v>
      </c>
      <c r="K772" s="4">
        <v>885.23</v>
      </c>
      <c r="L772" s="6">
        <v>40.89</v>
      </c>
    </row>
    <row r="773" spans="1:12" x14ac:dyDescent="0.25">
      <c r="A773" s="1">
        <v>772</v>
      </c>
      <c r="B773" s="4">
        <v>5510</v>
      </c>
      <c r="C773" s="5">
        <v>40185</v>
      </c>
      <c r="D773" s="3" t="s">
        <v>4</v>
      </c>
      <c r="E773" s="1" t="s">
        <v>503</v>
      </c>
      <c r="F773" s="1" t="s">
        <v>21</v>
      </c>
      <c r="G773" s="2" t="s">
        <v>1</v>
      </c>
      <c r="H773" s="3" t="s">
        <v>97</v>
      </c>
      <c r="I773" s="3" t="s">
        <v>85</v>
      </c>
      <c r="J773" s="3" t="s">
        <v>66</v>
      </c>
      <c r="K773" s="4">
        <v>116.38</v>
      </c>
      <c r="L773" s="6">
        <v>9.68</v>
      </c>
    </row>
    <row r="774" spans="1:12" x14ac:dyDescent="0.25">
      <c r="A774" s="1">
        <v>773</v>
      </c>
      <c r="B774" s="4">
        <v>5511</v>
      </c>
      <c r="C774" s="5">
        <v>40145</v>
      </c>
      <c r="D774" s="3" t="s">
        <v>95</v>
      </c>
      <c r="E774" s="1" t="s">
        <v>260</v>
      </c>
      <c r="F774" s="1" t="s">
        <v>25</v>
      </c>
      <c r="G774" s="2" t="s">
        <v>6</v>
      </c>
      <c r="H774" s="3" t="s">
        <v>88</v>
      </c>
      <c r="I774" s="3" t="s">
        <v>85</v>
      </c>
      <c r="J774" s="3" t="s">
        <v>63</v>
      </c>
      <c r="K774" s="4">
        <v>129.44</v>
      </c>
      <c r="L774" s="6">
        <v>2.58</v>
      </c>
    </row>
    <row r="775" spans="1:12" x14ac:dyDescent="0.25">
      <c r="A775" s="1">
        <v>774</v>
      </c>
      <c r="B775" s="4">
        <v>5511</v>
      </c>
      <c r="C775" s="5">
        <v>40145</v>
      </c>
      <c r="D775" s="3" t="s">
        <v>95</v>
      </c>
      <c r="E775" s="1" t="s">
        <v>260</v>
      </c>
      <c r="F775" s="1" t="s">
        <v>25</v>
      </c>
      <c r="G775" s="2" t="s">
        <v>6</v>
      </c>
      <c r="H775" s="3" t="s">
        <v>88</v>
      </c>
      <c r="I775" s="3" t="s">
        <v>92</v>
      </c>
      <c r="J775" s="3" t="s">
        <v>61</v>
      </c>
      <c r="K775" s="4">
        <v>1829.3869999999997</v>
      </c>
      <c r="L775" s="6">
        <v>65.989999999999995</v>
      </c>
    </row>
    <row r="776" spans="1:12" x14ac:dyDescent="0.25">
      <c r="A776" s="1">
        <v>775</v>
      </c>
      <c r="B776" s="4">
        <v>5538</v>
      </c>
      <c r="C776" s="5">
        <v>40536</v>
      </c>
      <c r="D776" s="3" t="s">
        <v>95</v>
      </c>
      <c r="E776" s="1" t="s">
        <v>395</v>
      </c>
      <c r="F776" s="1" t="s">
        <v>41</v>
      </c>
      <c r="G776" s="2" t="s">
        <v>6</v>
      </c>
      <c r="H776" s="3" t="s">
        <v>100</v>
      </c>
      <c r="I776" s="3" t="s">
        <v>85</v>
      </c>
      <c r="J776" s="3" t="s">
        <v>69</v>
      </c>
      <c r="K776" s="4">
        <v>1281.28</v>
      </c>
      <c r="L776" s="6">
        <v>29.17</v>
      </c>
    </row>
    <row r="777" spans="1:12" x14ac:dyDescent="0.25">
      <c r="A777" s="1">
        <v>776</v>
      </c>
      <c r="B777" s="4">
        <v>5538</v>
      </c>
      <c r="C777" s="5">
        <v>40536</v>
      </c>
      <c r="D777" s="3" t="s">
        <v>95</v>
      </c>
      <c r="E777" s="1" t="s">
        <v>395</v>
      </c>
      <c r="F777" s="1" t="s">
        <v>41</v>
      </c>
      <c r="G777" s="2" t="s">
        <v>6</v>
      </c>
      <c r="H777" s="3" t="s">
        <v>100</v>
      </c>
      <c r="I777" s="3" t="s">
        <v>91</v>
      </c>
      <c r="J777" s="3" t="s">
        <v>60</v>
      </c>
      <c r="K777" s="4">
        <v>1940.31</v>
      </c>
      <c r="L777" s="6">
        <v>146.05000000000001</v>
      </c>
    </row>
    <row r="778" spans="1:12" x14ac:dyDescent="0.25">
      <c r="A778" s="1">
        <v>777</v>
      </c>
      <c r="B778" s="4">
        <v>5538</v>
      </c>
      <c r="C778" s="5">
        <v>40536</v>
      </c>
      <c r="D778" s="3" t="s">
        <v>95</v>
      </c>
      <c r="E778" s="1" t="s">
        <v>395</v>
      </c>
      <c r="F778" s="1" t="s">
        <v>41</v>
      </c>
      <c r="G778" s="2" t="s">
        <v>6</v>
      </c>
      <c r="H778" s="3" t="s">
        <v>100</v>
      </c>
      <c r="I778" s="3" t="s">
        <v>92</v>
      </c>
      <c r="J778" s="3" t="s">
        <v>61</v>
      </c>
      <c r="K778" s="4">
        <v>430.84800000000001</v>
      </c>
      <c r="L778" s="6">
        <v>125.99</v>
      </c>
    </row>
    <row r="779" spans="1:12" x14ac:dyDescent="0.25">
      <c r="A779" s="1">
        <v>778</v>
      </c>
      <c r="B779" s="4">
        <v>5543</v>
      </c>
      <c r="C779" s="5">
        <v>40445</v>
      </c>
      <c r="D779" s="3" t="s">
        <v>4</v>
      </c>
      <c r="E779" s="1" t="s">
        <v>504</v>
      </c>
      <c r="F779" s="1" t="s">
        <v>15</v>
      </c>
      <c r="G779" s="2" t="s">
        <v>1</v>
      </c>
      <c r="H779" s="3" t="s">
        <v>88</v>
      </c>
      <c r="I779" s="3" t="s">
        <v>85</v>
      </c>
      <c r="J779" s="3" t="s">
        <v>70</v>
      </c>
      <c r="K779" s="4">
        <v>703.54</v>
      </c>
      <c r="L779" s="6">
        <v>48.58</v>
      </c>
    </row>
    <row r="780" spans="1:12" x14ac:dyDescent="0.25">
      <c r="A780" s="1">
        <v>779</v>
      </c>
      <c r="B780" s="4">
        <v>5543</v>
      </c>
      <c r="C780" s="5">
        <v>40445</v>
      </c>
      <c r="D780" s="3" t="s">
        <v>4</v>
      </c>
      <c r="E780" s="1" t="s">
        <v>102</v>
      </c>
      <c r="F780" s="1" t="s">
        <v>15</v>
      </c>
      <c r="G780" s="2" t="s">
        <v>1</v>
      </c>
      <c r="H780" s="3" t="s">
        <v>88</v>
      </c>
      <c r="I780" s="3" t="s">
        <v>85</v>
      </c>
      <c r="J780" s="3" t="s">
        <v>66</v>
      </c>
      <c r="K780" s="4">
        <v>65.930000000000007</v>
      </c>
      <c r="L780" s="6">
        <v>10.31</v>
      </c>
    </row>
    <row r="781" spans="1:12" x14ac:dyDescent="0.25">
      <c r="A781" s="1">
        <v>780</v>
      </c>
      <c r="B781" s="4">
        <v>5543</v>
      </c>
      <c r="C781" s="5">
        <v>40445</v>
      </c>
      <c r="D781" s="3" t="s">
        <v>4</v>
      </c>
      <c r="E781" s="1" t="s">
        <v>102</v>
      </c>
      <c r="F781" s="1" t="s">
        <v>15</v>
      </c>
      <c r="G781" s="2" t="s">
        <v>1</v>
      </c>
      <c r="H781" s="3" t="s">
        <v>88</v>
      </c>
      <c r="I781" s="3" t="s">
        <v>85</v>
      </c>
      <c r="J781" s="3" t="s">
        <v>58</v>
      </c>
      <c r="K781" s="4">
        <v>67.3</v>
      </c>
      <c r="L781" s="6">
        <v>2.1800000000000002</v>
      </c>
    </row>
    <row r="782" spans="1:12" x14ac:dyDescent="0.25">
      <c r="A782" s="1">
        <v>781</v>
      </c>
      <c r="B782" s="4">
        <v>5568</v>
      </c>
      <c r="C782" s="5">
        <v>40700</v>
      </c>
      <c r="D782" s="3" t="s">
        <v>4</v>
      </c>
      <c r="E782" s="1" t="s">
        <v>505</v>
      </c>
      <c r="F782" s="1" t="s">
        <v>19</v>
      </c>
      <c r="G782" s="2" t="s">
        <v>3</v>
      </c>
      <c r="H782" s="3" t="s">
        <v>97</v>
      </c>
      <c r="I782" s="3" t="s">
        <v>91</v>
      </c>
      <c r="J782" s="3" t="s">
        <v>59</v>
      </c>
      <c r="K782" s="4">
        <v>120.22</v>
      </c>
      <c r="L782" s="6">
        <v>14.34</v>
      </c>
    </row>
    <row r="783" spans="1:12" x14ac:dyDescent="0.25">
      <c r="A783" s="1">
        <v>782</v>
      </c>
      <c r="B783" s="4">
        <v>5569</v>
      </c>
      <c r="C783" s="5">
        <v>40297</v>
      </c>
      <c r="D783" s="3" t="s">
        <v>86</v>
      </c>
      <c r="E783" s="1" t="s">
        <v>506</v>
      </c>
      <c r="F783" s="1" t="s">
        <v>8</v>
      </c>
      <c r="G783" s="2" t="s">
        <v>6</v>
      </c>
      <c r="H783" s="3" t="s">
        <v>88</v>
      </c>
      <c r="I783" s="3" t="s">
        <v>91</v>
      </c>
      <c r="J783" s="3" t="s">
        <v>59</v>
      </c>
      <c r="K783" s="4">
        <v>118.97</v>
      </c>
      <c r="L783" s="6">
        <v>9.65</v>
      </c>
    </row>
    <row r="784" spans="1:12" x14ac:dyDescent="0.25">
      <c r="A784" s="1">
        <v>783</v>
      </c>
      <c r="B784" s="4">
        <v>5572</v>
      </c>
      <c r="C784" s="5">
        <v>40010</v>
      </c>
      <c r="D784" s="3" t="s">
        <v>89</v>
      </c>
      <c r="E784" s="1" t="s">
        <v>142</v>
      </c>
      <c r="F784" s="1" t="s">
        <v>18</v>
      </c>
      <c r="G784" s="2" t="s">
        <v>6</v>
      </c>
      <c r="H784" s="3" t="s">
        <v>88</v>
      </c>
      <c r="I784" s="3" t="s">
        <v>92</v>
      </c>
      <c r="J784" s="3" t="s">
        <v>62</v>
      </c>
      <c r="K784" s="4">
        <v>288.55</v>
      </c>
      <c r="L784" s="6">
        <v>7.37</v>
      </c>
    </row>
    <row r="785" spans="1:12" x14ac:dyDescent="0.25">
      <c r="A785" s="1">
        <v>784</v>
      </c>
      <c r="B785" s="4">
        <v>5575</v>
      </c>
      <c r="C785" s="5">
        <v>40747</v>
      </c>
      <c r="D785" s="3" t="s">
        <v>82</v>
      </c>
      <c r="E785" s="1" t="s">
        <v>507</v>
      </c>
      <c r="F785" s="1" t="s">
        <v>26</v>
      </c>
      <c r="G785" s="2" t="s">
        <v>3</v>
      </c>
      <c r="H785" s="3" t="s">
        <v>88</v>
      </c>
      <c r="I785" s="3" t="s">
        <v>85</v>
      </c>
      <c r="J785" s="3" t="s">
        <v>66</v>
      </c>
      <c r="K785" s="4">
        <v>254.69</v>
      </c>
      <c r="L785" s="6">
        <v>5.98</v>
      </c>
    </row>
    <row r="786" spans="1:12" x14ac:dyDescent="0.25">
      <c r="A786" s="1">
        <v>785</v>
      </c>
      <c r="B786" s="4">
        <v>5601</v>
      </c>
      <c r="C786" s="5">
        <v>40913</v>
      </c>
      <c r="D786" s="3" t="s">
        <v>89</v>
      </c>
      <c r="E786" s="1" t="s">
        <v>508</v>
      </c>
      <c r="F786" s="1" t="s">
        <v>13</v>
      </c>
      <c r="G786" s="2" t="s">
        <v>6</v>
      </c>
      <c r="H786" s="3" t="s">
        <v>100</v>
      </c>
      <c r="I786" s="3" t="s">
        <v>91</v>
      </c>
      <c r="J786" s="3" t="s">
        <v>59</v>
      </c>
      <c r="K786" s="4">
        <v>120.53</v>
      </c>
      <c r="L786" s="6">
        <v>12.22</v>
      </c>
    </row>
    <row r="787" spans="1:12" x14ac:dyDescent="0.25">
      <c r="A787" s="1">
        <v>786</v>
      </c>
      <c r="B787" s="4">
        <v>5607</v>
      </c>
      <c r="C787" s="5">
        <v>40908</v>
      </c>
      <c r="D787" s="3" t="s">
        <v>86</v>
      </c>
      <c r="E787" s="1" t="s">
        <v>509</v>
      </c>
      <c r="F787" s="1" t="s">
        <v>8</v>
      </c>
      <c r="G787" s="2" t="s">
        <v>6</v>
      </c>
      <c r="H787" s="3" t="s">
        <v>97</v>
      </c>
      <c r="I787" s="3" t="s">
        <v>92</v>
      </c>
      <c r="J787" s="3" t="s">
        <v>61</v>
      </c>
      <c r="K787" s="4">
        <v>61.871500000000005</v>
      </c>
      <c r="L787" s="6">
        <v>7.99</v>
      </c>
    </row>
    <row r="788" spans="1:12" x14ac:dyDescent="0.25">
      <c r="A788" s="1">
        <v>787</v>
      </c>
      <c r="B788" s="4">
        <v>5635</v>
      </c>
      <c r="C788" s="5">
        <v>41136</v>
      </c>
      <c r="D788" s="3" t="s">
        <v>4</v>
      </c>
      <c r="E788" s="1" t="s">
        <v>510</v>
      </c>
      <c r="F788" s="1" t="s">
        <v>23</v>
      </c>
      <c r="G788" s="2" t="s">
        <v>3</v>
      </c>
      <c r="H788" s="3" t="s">
        <v>88</v>
      </c>
      <c r="I788" s="3" t="s">
        <v>85</v>
      </c>
      <c r="J788" s="3" t="s">
        <v>69</v>
      </c>
      <c r="K788" s="4">
        <v>198.78</v>
      </c>
      <c r="L788" s="6">
        <v>11.5</v>
      </c>
    </row>
    <row r="789" spans="1:12" x14ac:dyDescent="0.25">
      <c r="A789" s="1">
        <v>788</v>
      </c>
      <c r="B789" s="4">
        <v>5635</v>
      </c>
      <c r="C789" s="5">
        <v>41136</v>
      </c>
      <c r="D789" s="3" t="s">
        <v>4</v>
      </c>
      <c r="E789" s="1" t="s">
        <v>510</v>
      </c>
      <c r="F789" s="1" t="s">
        <v>23</v>
      </c>
      <c r="G789" s="2" t="s">
        <v>3</v>
      </c>
      <c r="H789" s="3" t="s">
        <v>88</v>
      </c>
      <c r="I789" s="3" t="s">
        <v>91</v>
      </c>
      <c r="J789" s="3" t="s">
        <v>59</v>
      </c>
      <c r="K789" s="4">
        <v>281.58</v>
      </c>
      <c r="L789" s="6">
        <v>5.77</v>
      </c>
    </row>
    <row r="790" spans="1:12" x14ac:dyDescent="0.25">
      <c r="A790" s="1">
        <v>789</v>
      </c>
      <c r="B790" s="4">
        <v>5636</v>
      </c>
      <c r="C790" s="5">
        <v>40589</v>
      </c>
      <c r="D790" s="3" t="s">
        <v>4</v>
      </c>
      <c r="E790" s="1" t="s">
        <v>511</v>
      </c>
      <c r="F790" s="1" t="s">
        <v>15</v>
      </c>
      <c r="G790" s="2" t="s">
        <v>1</v>
      </c>
      <c r="H790" s="3" t="s">
        <v>84</v>
      </c>
      <c r="I790" s="3" t="s">
        <v>85</v>
      </c>
      <c r="J790" s="3" t="s">
        <v>63</v>
      </c>
      <c r="K790" s="4">
        <v>138.16999999999999</v>
      </c>
      <c r="L790" s="6">
        <v>5.85</v>
      </c>
    </row>
    <row r="791" spans="1:12" x14ac:dyDescent="0.25">
      <c r="A791" s="1">
        <v>790</v>
      </c>
      <c r="B791" s="4">
        <v>5639</v>
      </c>
      <c r="C791" s="5">
        <v>39965</v>
      </c>
      <c r="D791" s="3" t="s">
        <v>4</v>
      </c>
      <c r="E791" s="1" t="s">
        <v>512</v>
      </c>
      <c r="F791" s="1" t="s">
        <v>48</v>
      </c>
      <c r="G791" s="2" t="s">
        <v>1</v>
      </c>
      <c r="H791" s="3" t="s">
        <v>84</v>
      </c>
      <c r="I791" s="3" t="s">
        <v>85</v>
      </c>
      <c r="J791" s="3" t="s">
        <v>57</v>
      </c>
      <c r="K791" s="4">
        <v>501.38</v>
      </c>
      <c r="L791" s="6">
        <v>15.31</v>
      </c>
    </row>
    <row r="792" spans="1:12" x14ac:dyDescent="0.25">
      <c r="A792" s="1">
        <v>791</v>
      </c>
      <c r="B792" s="4">
        <v>5696</v>
      </c>
      <c r="C792" s="5">
        <v>40666</v>
      </c>
      <c r="D792" s="3" t="s">
        <v>95</v>
      </c>
      <c r="E792" s="1" t="s">
        <v>513</v>
      </c>
      <c r="F792" s="1" t="s">
        <v>23</v>
      </c>
      <c r="G792" s="2" t="s">
        <v>3</v>
      </c>
      <c r="H792" s="3" t="s">
        <v>100</v>
      </c>
      <c r="I792" s="3" t="s">
        <v>85</v>
      </c>
      <c r="J792" s="3" t="s">
        <v>69</v>
      </c>
      <c r="K792" s="4">
        <v>2206.17</v>
      </c>
      <c r="L792" s="6">
        <v>525.98</v>
      </c>
    </row>
    <row r="793" spans="1:12" x14ac:dyDescent="0.25">
      <c r="A793" s="1">
        <v>792</v>
      </c>
      <c r="B793" s="4">
        <v>5696</v>
      </c>
      <c r="C793" s="5">
        <v>40666</v>
      </c>
      <c r="D793" s="3" t="s">
        <v>95</v>
      </c>
      <c r="E793" s="1" t="s">
        <v>513</v>
      </c>
      <c r="F793" s="1" t="s">
        <v>23</v>
      </c>
      <c r="G793" s="2" t="s">
        <v>3</v>
      </c>
      <c r="H793" s="3" t="s">
        <v>100</v>
      </c>
      <c r="I793" s="3" t="s">
        <v>85</v>
      </c>
      <c r="J793" s="3" t="s">
        <v>69</v>
      </c>
      <c r="K793" s="4">
        <v>621.12</v>
      </c>
      <c r="L793" s="6">
        <v>16.510000000000002</v>
      </c>
    </row>
    <row r="794" spans="1:12" x14ac:dyDescent="0.25">
      <c r="A794" s="1">
        <v>793</v>
      </c>
      <c r="B794" s="4">
        <v>5696</v>
      </c>
      <c r="C794" s="5">
        <v>40666</v>
      </c>
      <c r="D794" s="3" t="s">
        <v>95</v>
      </c>
      <c r="E794" s="1" t="s">
        <v>513</v>
      </c>
      <c r="F794" s="1" t="s">
        <v>23</v>
      </c>
      <c r="G794" s="2" t="s">
        <v>3</v>
      </c>
      <c r="H794" s="3" t="s">
        <v>100</v>
      </c>
      <c r="I794" s="3" t="s">
        <v>92</v>
      </c>
      <c r="J794" s="3" t="s">
        <v>62</v>
      </c>
      <c r="K794" s="4">
        <v>175.92</v>
      </c>
      <c r="L794" s="6">
        <v>5.98</v>
      </c>
    </row>
    <row r="795" spans="1:12" x14ac:dyDescent="0.25">
      <c r="A795" s="1">
        <v>794</v>
      </c>
      <c r="B795" s="4">
        <v>5697</v>
      </c>
      <c r="C795" s="5">
        <v>41186</v>
      </c>
      <c r="D795" s="3" t="s">
        <v>95</v>
      </c>
      <c r="E795" s="1" t="s">
        <v>514</v>
      </c>
      <c r="F795" s="1" t="s">
        <v>35</v>
      </c>
      <c r="G795" s="2" t="s">
        <v>1</v>
      </c>
      <c r="H795" s="3" t="s">
        <v>97</v>
      </c>
      <c r="I795" s="3" t="s">
        <v>85</v>
      </c>
      <c r="J795" s="3" t="s">
        <v>57</v>
      </c>
      <c r="K795" s="4">
        <v>371.68</v>
      </c>
      <c r="L795" s="6">
        <v>11.29</v>
      </c>
    </row>
    <row r="796" spans="1:12" x14ac:dyDescent="0.25">
      <c r="A796" s="1">
        <v>795</v>
      </c>
      <c r="B796" s="4">
        <v>5698</v>
      </c>
      <c r="C796" s="5">
        <v>39953</v>
      </c>
      <c r="D796" s="3" t="s">
        <v>4</v>
      </c>
      <c r="E796" s="1" t="s">
        <v>515</v>
      </c>
      <c r="F796" s="1" t="s">
        <v>30</v>
      </c>
      <c r="G796" s="2" t="s">
        <v>6</v>
      </c>
      <c r="H796" s="3" t="s">
        <v>100</v>
      </c>
      <c r="I796" s="3" t="s">
        <v>85</v>
      </c>
      <c r="J796" s="3" t="s">
        <v>70</v>
      </c>
      <c r="K796" s="4">
        <v>297.05</v>
      </c>
      <c r="L796" s="6">
        <v>20.48</v>
      </c>
    </row>
    <row r="797" spans="1:12" x14ac:dyDescent="0.25">
      <c r="A797" s="1">
        <v>796</v>
      </c>
      <c r="B797" s="4">
        <v>5698</v>
      </c>
      <c r="C797" s="5">
        <v>39953</v>
      </c>
      <c r="D797" s="3" t="s">
        <v>4</v>
      </c>
      <c r="E797" s="1" t="s">
        <v>515</v>
      </c>
      <c r="F797" s="1" t="s">
        <v>30</v>
      </c>
      <c r="G797" s="2" t="s">
        <v>6</v>
      </c>
      <c r="H797" s="3" t="s">
        <v>100</v>
      </c>
      <c r="I797" s="3" t="s">
        <v>85</v>
      </c>
      <c r="J797" s="3" t="s">
        <v>71</v>
      </c>
      <c r="K797" s="4">
        <v>108.26</v>
      </c>
      <c r="L797" s="6">
        <v>15.67</v>
      </c>
    </row>
    <row r="798" spans="1:12" x14ac:dyDescent="0.25">
      <c r="A798" s="1">
        <v>797</v>
      </c>
      <c r="B798" s="4">
        <v>5699</v>
      </c>
      <c r="C798" s="5">
        <v>41119</v>
      </c>
      <c r="D798" s="3" t="s">
        <v>82</v>
      </c>
      <c r="E798" s="1" t="s">
        <v>516</v>
      </c>
      <c r="F798" s="1" t="s">
        <v>22</v>
      </c>
      <c r="G798" s="2" t="s">
        <v>6</v>
      </c>
      <c r="H798" s="3" t="s">
        <v>84</v>
      </c>
      <c r="I798" s="3" t="s">
        <v>85</v>
      </c>
      <c r="J798" s="3" t="s">
        <v>65</v>
      </c>
      <c r="K798" s="4">
        <v>9.25</v>
      </c>
      <c r="L798" s="6">
        <v>4.13</v>
      </c>
    </row>
    <row r="799" spans="1:12" x14ac:dyDescent="0.25">
      <c r="A799" s="1">
        <v>798</v>
      </c>
      <c r="B799" s="4">
        <v>5699</v>
      </c>
      <c r="C799" s="5">
        <v>41119</v>
      </c>
      <c r="D799" s="3" t="s">
        <v>82</v>
      </c>
      <c r="E799" s="1" t="s">
        <v>516</v>
      </c>
      <c r="F799" s="1" t="s">
        <v>22</v>
      </c>
      <c r="G799" s="2" t="s">
        <v>6</v>
      </c>
      <c r="H799" s="3" t="s">
        <v>84</v>
      </c>
      <c r="I799" s="3" t="s">
        <v>85</v>
      </c>
      <c r="J799" s="3" t="s">
        <v>57</v>
      </c>
      <c r="K799" s="4">
        <v>573.89</v>
      </c>
      <c r="L799" s="6">
        <v>14.98</v>
      </c>
    </row>
    <row r="800" spans="1:12" x14ac:dyDescent="0.25">
      <c r="A800" s="1">
        <v>799</v>
      </c>
      <c r="B800" s="4">
        <v>5702</v>
      </c>
      <c r="C800" s="5">
        <v>40427</v>
      </c>
      <c r="D800" s="3" t="s">
        <v>86</v>
      </c>
      <c r="E800" s="1" t="s">
        <v>517</v>
      </c>
      <c r="F800" s="1" t="s">
        <v>24</v>
      </c>
      <c r="G800" s="2" t="s">
        <v>2</v>
      </c>
      <c r="H800" s="3" t="s">
        <v>88</v>
      </c>
      <c r="I800" s="3" t="s">
        <v>92</v>
      </c>
      <c r="J800" s="3" t="s">
        <v>62</v>
      </c>
      <c r="K800" s="4">
        <v>2039.39</v>
      </c>
      <c r="L800" s="6">
        <v>99.99</v>
      </c>
    </row>
    <row r="801" spans="1:12" x14ac:dyDescent="0.25">
      <c r="A801" s="1">
        <v>800</v>
      </c>
      <c r="B801" s="4">
        <v>5703</v>
      </c>
      <c r="C801" s="5">
        <v>40313</v>
      </c>
      <c r="D801" s="3" t="s">
        <v>4</v>
      </c>
      <c r="E801" s="1" t="s">
        <v>518</v>
      </c>
      <c r="F801" s="1" t="s">
        <v>18</v>
      </c>
      <c r="G801" s="2" t="s">
        <v>6</v>
      </c>
      <c r="H801" s="3" t="s">
        <v>100</v>
      </c>
      <c r="I801" s="3" t="s">
        <v>85</v>
      </c>
      <c r="J801" s="3" t="s">
        <v>66</v>
      </c>
      <c r="K801" s="4">
        <v>357.96</v>
      </c>
      <c r="L801" s="6">
        <v>12.28</v>
      </c>
    </row>
    <row r="802" spans="1:12" x14ac:dyDescent="0.25">
      <c r="A802" s="1">
        <v>801</v>
      </c>
      <c r="B802" s="4">
        <v>5735</v>
      </c>
      <c r="C802" s="5">
        <v>40157</v>
      </c>
      <c r="D802" s="3" t="s">
        <v>4</v>
      </c>
      <c r="E802" s="1" t="s">
        <v>149</v>
      </c>
      <c r="F802" s="1" t="s">
        <v>36</v>
      </c>
      <c r="G802" s="2" t="s">
        <v>2</v>
      </c>
      <c r="H802" s="3" t="s">
        <v>97</v>
      </c>
      <c r="I802" s="3" t="s">
        <v>91</v>
      </c>
      <c r="J802" s="3" t="s">
        <v>60</v>
      </c>
      <c r="K802" s="4">
        <v>2665.64</v>
      </c>
      <c r="L802" s="6">
        <v>280.98</v>
      </c>
    </row>
    <row r="803" spans="1:12" x14ac:dyDescent="0.25">
      <c r="A803" s="1">
        <v>802</v>
      </c>
      <c r="B803" s="4">
        <v>5760</v>
      </c>
      <c r="C803" s="5">
        <v>39957</v>
      </c>
      <c r="D803" s="3" t="s">
        <v>86</v>
      </c>
      <c r="E803" s="1" t="s">
        <v>519</v>
      </c>
      <c r="F803" s="1" t="s">
        <v>13</v>
      </c>
      <c r="G803" s="2" t="s">
        <v>6</v>
      </c>
      <c r="H803" s="3" t="s">
        <v>97</v>
      </c>
      <c r="I803" s="3" t="s">
        <v>91</v>
      </c>
      <c r="J803" s="3" t="s">
        <v>72</v>
      </c>
      <c r="K803" s="4">
        <v>5261.73</v>
      </c>
      <c r="L803" s="6">
        <v>150.97999999999999</v>
      </c>
    </row>
    <row r="804" spans="1:12" x14ac:dyDescent="0.25">
      <c r="A804" s="1">
        <v>803</v>
      </c>
      <c r="B804" s="4">
        <v>5764</v>
      </c>
      <c r="C804" s="5">
        <v>40453</v>
      </c>
      <c r="D804" s="3" t="s">
        <v>86</v>
      </c>
      <c r="E804" s="1" t="s">
        <v>520</v>
      </c>
      <c r="F804" s="1" t="s">
        <v>33</v>
      </c>
      <c r="G804" s="2" t="s">
        <v>2</v>
      </c>
      <c r="H804" s="3" t="s">
        <v>84</v>
      </c>
      <c r="I804" s="3" t="s">
        <v>85</v>
      </c>
      <c r="J804" s="3" t="s">
        <v>69</v>
      </c>
      <c r="K804" s="4">
        <v>193.79</v>
      </c>
      <c r="L804" s="6">
        <v>8.0399999999999991</v>
      </c>
    </row>
    <row r="805" spans="1:12" x14ac:dyDescent="0.25">
      <c r="A805" s="1">
        <v>804</v>
      </c>
      <c r="B805" s="4">
        <v>5765</v>
      </c>
      <c r="C805" s="5">
        <v>40161</v>
      </c>
      <c r="D805" s="3" t="s">
        <v>82</v>
      </c>
      <c r="E805" s="1" t="s">
        <v>297</v>
      </c>
      <c r="F805" s="1" t="s">
        <v>10</v>
      </c>
      <c r="G805" s="2" t="s">
        <v>3</v>
      </c>
      <c r="H805" s="3" t="s">
        <v>88</v>
      </c>
      <c r="I805" s="3" t="s">
        <v>85</v>
      </c>
      <c r="J805" s="3" t="s">
        <v>66</v>
      </c>
      <c r="K805" s="4">
        <v>849.46</v>
      </c>
      <c r="L805" s="6">
        <v>35.44</v>
      </c>
    </row>
    <row r="806" spans="1:12" x14ac:dyDescent="0.25">
      <c r="A806" s="1">
        <v>805</v>
      </c>
      <c r="B806" s="4">
        <v>5767</v>
      </c>
      <c r="C806" s="5">
        <v>41027</v>
      </c>
      <c r="D806" s="3" t="s">
        <v>89</v>
      </c>
      <c r="E806" s="1" t="s">
        <v>521</v>
      </c>
      <c r="F806" s="1" t="s">
        <v>47</v>
      </c>
      <c r="G806" s="2" t="s">
        <v>2</v>
      </c>
      <c r="H806" s="3" t="s">
        <v>84</v>
      </c>
      <c r="I806" s="3" t="s">
        <v>85</v>
      </c>
      <c r="J806" s="3" t="s">
        <v>69</v>
      </c>
      <c r="K806" s="4">
        <v>163.54</v>
      </c>
      <c r="L806" s="6">
        <v>4.13</v>
      </c>
    </row>
    <row r="807" spans="1:12" x14ac:dyDescent="0.25">
      <c r="A807" s="1">
        <v>806</v>
      </c>
      <c r="B807" s="4">
        <v>5767</v>
      </c>
      <c r="C807" s="5">
        <v>41027</v>
      </c>
      <c r="D807" s="3" t="s">
        <v>89</v>
      </c>
      <c r="E807" s="1" t="s">
        <v>521</v>
      </c>
      <c r="F807" s="1" t="s">
        <v>47</v>
      </c>
      <c r="G807" s="2" t="s">
        <v>2</v>
      </c>
      <c r="H807" s="3" t="s">
        <v>84</v>
      </c>
      <c r="I807" s="3" t="s">
        <v>92</v>
      </c>
      <c r="J807" s="3" t="s">
        <v>62</v>
      </c>
      <c r="K807" s="4">
        <v>2390.54</v>
      </c>
      <c r="L807" s="6">
        <v>82.99</v>
      </c>
    </row>
    <row r="808" spans="1:12" x14ac:dyDescent="0.25">
      <c r="A808" s="1">
        <v>807</v>
      </c>
      <c r="B808" s="4">
        <v>5799</v>
      </c>
      <c r="C808" s="5">
        <v>40757</v>
      </c>
      <c r="D808" s="3" t="s">
        <v>95</v>
      </c>
      <c r="E808" s="1" t="s">
        <v>303</v>
      </c>
      <c r="F808" s="1" t="s">
        <v>25</v>
      </c>
      <c r="G808" s="2" t="s">
        <v>6</v>
      </c>
      <c r="H808" s="3" t="s">
        <v>84</v>
      </c>
      <c r="I808" s="3" t="s">
        <v>85</v>
      </c>
      <c r="J808" s="3" t="s">
        <v>70</v>
      </c>
      <c r="K808" s="4">
        <v>9626.86</v>
      </c>
      <c r="L808" s="6">
        <v>294.62</v>
      </c>
    </row>
    <row r="809" spans="1:12" x14ac:dyDescent="0.25">
      <c r="A809" s="1">
        <v>808</v>
      </c>
      <c r="B809" s="4">
        <v>5828</v>
      </c>
      <c r="C809" s="5">
        <v>39877</v>
      </c>
      <c r="D809" s="3" t="s">
        <v>82</v>
      </c>
      <c r="E809" s="1" t="s">
        <v>431</v>
      </c>
      <c r="F809" s="1" t="s">
        <v>42</v>
      </c>
      <c r="G809" s="2" t="s">
        <v>3</v>
      </c>
      <c r="H809" s="3" t="s">
        <v>97</v>
      </c>
      <c r="I809" s="3" t="s">
        <v>91</v>
      </c>
      <c r="J809" s="3" t="s">
        <v>60</v>
      </c>
      <c r="K809" s="4">
        <v>6005.21</v>
      </c>
      <c r="L809" s="6">
        <v>296.18</v>
      </c>
    </row>
    <row r="810" spans="1:12" x14ac:dyDescent="0.25">
      <c r="A810" s="1">
        <v>809</v>
      </c>
      <c r="B810" s="4">
        <v>5830</v>
      </c>
      <c r="C810" s="5">
        <v>40261</v>
      </c>
      <c r="D810" s="3" t="s">
        <v>4</v>
      </c>
      <c r="E810" s="1" t="s">
        <v>522</v>
      </c>
      <c r="F810" s="1" t="s">
        <v>39</v>
      </c>
      <c r="G810" s="2" t="s">
        <v>1</v>
      </c>
      <c r="H810" s="3" t="s">
        <v>88</v>
      </c>
      <c r="I810" s="3" t="s">
        <v>91</v>
      </c>
      <c r="J810" s="3" t="s">
        <v>59</v>
      </c>
      <c r="K810" s="4">
        <v>2012.14</v>
      </c>
      <c r="L810" s="6">
        <v>40.97</v>
      </c>
    </row>
    <row r="811" spans="1:12" x14ac:dyDescent="0.25">
      <c r="A811" s="1">
        <v>810</v>
      </c>
      <c r="B811" s="4">
        <v>5856</v>
      </c>
      <c r="C811" s="5">
        <v>40122</v>
      </c>
      <c r="D811" s="3" t="s">
        <v>89</v>
      </c>
      <c r="E811" s="1" t="s">
        <v>427</v>
      </c>
      <c r="F811" s="1" t="s">
        <v>36</v>
      </c>
      <c r="G811" s="2" t="s">
        <v>2</v>
      </c>
      <c r="H811" s="3" t="s">
        <v>84</v>
      </c>
      <c r="I811" s="3" t="s">
        <v>91</v>
      </c>
      <c r="J811" s="3" t="s">
        <v>60</v>
      </c>
      <c r="K811" s="4">
        <v>10307.01</v>
      </c>
      <c r="L811" s="6">
        <v>230.98</v>
      </c>
    </row>
    <row r="812" spans="1:12" x14ac:dyDescent="0.25">
      <c r="A812" s="1">
        <v>811</v>
      </c>
      <c r="B812" s="4">
        <v>5858</v>
      </c>
      <c r="C812" s="5">
        <v>41103</v>
      </c>
      <c r="D812" s="3" t="s">
        <v>86</v>
      </c>
      <c r="E812" s="1" t="s">
        <v>96</v>
      </c>
      <c r="F812" s="1" t="s">
        <v>12</v>
      </c>
      <c r="G812" s="2" t="s">
        <v>2</v>
      </c>
      <c r="H812" s="3" t="s">
        <v>84</v>
      </c>
      <c r="I812" s="3" t="s">
        <v>85</v>
      </c>
      <c r="J812" s="3" t="s">
        <v>70</v>
      </c>
      <c r="K812" s="4">
        <v>2531.66</v>
      </c>
      <c r="L812" s="6">
        <v>50.98</v>
      </c>
    </row>
    <row r="813" spans="1:12" x14ac:dyDescent="0.25">
      <c r="A813" s="1">
        <v>812</v>
      </c>
      <c r="B813" s="4">
        <v>5858</v>
      </c>
      <c r="C813" s="5">
        <v>41103</v>
      </c>
      <c r="D813" s="3" t="s">
        <v>86</v>
      </c>
      <c r="E813" s="1" t="s">
        <v>523</v>
      </c>
      <c r="F813" s="1" t="s">
        <v>12</v>
      </c>
      <c r="G813" s="2" t="s">
        <v>2</v>
      </c>
      <c r="H813" s="3" t="s">
        <v>84</v>
      </c>
      <c r="I813" s="3" t="s">
        <v>92</v>
      </c>
      <c r="J813" s="3" t="s">
        <v>61</v>
      </c>
      <c r="K813" s="4">
        <v>5382.3104999999996</v>
      </c>
      <c r="L813" s="6">
        <v>205.99</v>
      </c>
    </row>
    <row r="814" spans="1:12" x14ac:dyDescent="0.25">
      <c r="A814" s="1">
        <v>813</v>
      </c>
      <c r="B814" s="4">
        <v>5860</v>
      </c>
      <c r="C814" s="5">
        <v>40958</v>
      </c>
      <c r="D814" s="3" t="s">
        <v>86</v>
      </c>
      <c r="E814" s="1" t="s">
        <v>372</v>
      </c>
      <c r="F814" s="1" t="s">
        <v>33</v>
      </c>
      <c r="G814" s="2" t="s">
        <v>2</v>
      </c>
      <c r="H814" s="3" t="s">
        <v>100</v>
      </c>
      <c r="I814" s="3" t="s">
        <v>85</v>
      </c>
      <c r="J814" s="3" t="s">
        <v>63</v>
      </c>
      <c r="K814" s="4">
        <v>56.73</v>
      </c>
      <c r="L814" s="6">
        <v>4.84</v>
      </c>
    </row>
    <row r="815" spans="1:12" x14ac:dyDescent="0.25">
      <c r="A815" s="1">
        <v>814</v>
      </c>
      <c r="B815" s="4">
        <v>5863</v>
      </c>
      <c r="C815" s="5">
        <v>40503</v>
      </c>
      <c r="D815" s="3" t="s">
        <v>4</v>
      </c>
      <c r="E815" s="1" t="s">
        <v>524</v>
      </c>
      <c r="F815" s="1" t="s">
        <v>41</v>
      </c>
      <c r="G815" s="2" t="s">
        <v>6</v>
      </c>
      <c r="H815" s="3" t="s">
        <v>88</v>
      </c>
      <c r="I815" s="3" t="s">
        <v>91</v>
      </c>
      <c r="J815" s="3" t="s">
        <v>59</v>
      </c>
      <c r="K815" s="4">
        <v>933.21</v>
      </c>
      <c r="L815" s="6">
        <v>22.98</v>
      </c>
    </row>
    <row r="816" spans="1:12" x14ac:dyDescent="0.25">
      <c r="A816" s="1">
        <v>815</v>
      </c>
      <c r="B816" s="4">
        <v>5890</v>
      </c>
      <c r="C816" s="5">
        <v>41216</v>
      </c>
      <c r="D816" s="3" t="s">
        <v>89</v>
      </c>
      <c r="E816" s="1" t="s">
        <v>485</v>
      </c>
      <c r="F816" s="1" t="s">
        <v>25</v>
      </c>
      <c r="G816" s="2" t="s">
        <v>6</v>
      </c>
      <c r="H816" s="3" t="s">
        <v>100</v>
      </c>
      <c r="I816" s="3" t="s">
        <v>92</v>
      </c>
      <c r="J816" s="3" t="s">
        <v>61</v>
      </c>
      <c r="K816" s="4">
        <v>813.53499999999997</v>
      </c>
      <c r="L816" s="6">
        <v>20.99</v>
      </c>
    </row>
    <row r="817" spans="1:12" x14ac:dyDescent="0.25">
      <c r="A817" s="1">
        <v>816</v>
      </c>
      <c r="B817" s="4">
        <v>5891</v>
      </c>
      <c r="C817" s="5">
        <v>41271</v>
      </c>
      <c r="D817" s="3" t="s">
        <v>4</v>
      </c>
      <c r="E817" s="1" t="s">
        <v>149</v>
      </c>
      <c r="F817" s="1" t="s">
        <v>36</v>
      </c>
      <c r="G817" s="2" t="s">
        <v>2</v>
      </c>
      <c r="H817" s="3" t="s">
        <v>97</v>
      </c>
      <c r="I817" s="3" t="s">
        <v>85</v>
      </c>
      <c r="J817" s="3" t="s">
        <v>69</v>
      </c>
      <c r="K817" s="4">
        <v>44.45</v>
      </c>
      <c r="L817" s="6">
        <v>20.98</v>
      </c>
    </row>
    <row r="818" spans="1:12" x14ac:dyDescent="0.25">
      <c r="A818" s="1">
        <v>817</v>
      </c>
      <c r="B818" s="4">
        <v>5894</v>
      </c>
      <c r="C818" s="5">
        <v>40037</v>
      </c>
      <c r="D818" s="3" t="s">
        <v>89</v>
      </c>
      <c r="E818" s="1" t="s">
        <v>525</v>
      </c>
      <c r="F818" s="1" t="s">
        <v>8</v>
      </c>
      <c r="G818" s="2" t="s">
        <v>6</v>
      </c>
      <c r="H818" s="3" t="s">
        <v>88</v>
      </c>
      <c r="I818" s="3" t="s">
        <v>85</v>
      </c>
      <c r="J818" s="3" t="s">
        <v>69</v>
      </c>
      <c r="K818" s="4">
        <v>384.33</v>
      </c>
      <c r="L818" s="6">
        <v>58.1</v>
      </c>
    </row>
    <row r="819" spans="1:12" x14ac:dyDescent="0.25">
      <c r="A819" s="1">
        <v>818</v>
      </c>
      <c r="B819" s="4">
        <v>5894</v>
      </c>
      <c r="C819" s="5">
        <v>40037</v>
      </c>
      <c r="D819" s="3" t="s">
        <v>89</v>
      </c>
      <c r="E819" s="1" t="s">
        <v>182</v>
      </c>
      <c r="F819" s="1" t="s">
        <v>8</v>
      </c>
      <c r="G819" s="2" t="s">
        <v>6</v>
      </c>
      <c r="H819" s="3" t="s">
        <v>88</v>
      </c>
      <c r="I819" s="3" t="s">
        <v>85</v>
      </c>
      <c r="J819" s="3" t="s">
        <v>70</v>
      </c>
      <c r="K819" s="4">
        <v>239.03</v>
      </c>
      <c r="L819" s="6">
        <v>80.48</v>
      </c>
    </row>
    <row r="820" spans="1:12" x14ac:dyDescent="0.25">
      <c r="A820" s="1">
        <v>819</v>
      </c>
      <c r="B820" s="4">
        <v>5920</v>
      </c>
      <c r="C820" s="5">
        <v>40136</v>
      </c>
      <c r="D820" s="3" t="s">
        <v>89</v>
      </c>
      <c r="E820" s="1" t="s">
        <v>526</v>
      </c>
      <c r="F820" s="1" t="s">
        <v>18</v>
      </c>
      <c r="G820" s="2" t="s">
        <v>6</v>
      </c>
      <c r="H820" s="3" t="s">
        <v>100</v>
      </c>
      <c r="I820" s="3" t="s">
        <v>85</v>
      </c>
      <c r="J820" s="3" t="s">
        <v>57</v>
      </c>
      <c r="K820" s="4">
        <v>582.59</v>
      </c>
      <c r="L820" s="6">
        <v>155.06</v>
      </c>
    </row>
    <row r="821" spans="1:12" x14ac:dyDescent="0.25">
      <c r="A821" s="1">
        <v>820</v>
      </c>
      <c r="B821" s="4">
        <v>5921</v>
      </c>
      <c r="C821" s="5">
        <v>39909</v>
      </c>
      <c r="D821" s="3" t="s">
        <v>82</v>
      </c>
      <c r="E821" s="1" t="s">
        <v>527</v>
      </c>
      <c r="F821" s="1" t="s">
        <v>23</v>
      </c>
      <c r="G821" s="2" t="s">
        <v>3</v>
      </c>
      <c r="H821" s="3" t="s">
        <v>88</v>
      </c>
      <c r="I821" s="3" t="s">
        <v>85</v>
      </c>
      <c r="J821" s="3" t="s">
        <v>57</v>
      </c>
      <c r="K821" s="4">
        <v>384.74</v>
      </c>
      <c r="L821" s="6">
        <v>13.43</v>
      </c>
    </row>
    <row r="822" spans="1:12" x14ac:dyDescent="0.25">
      <c r="A822" s="1">
        <v>821</v>
      </c>
      <c r="B822" s="4">
        <v>5925</v>
      </c>
      <c r="C822" s="5">
        <v>40859</v>
      </c>
      <c r="D822" s="3" t="s">
        <v>82</v>
      </c>
      <c r="E822" s="1" t="s">
        <v>528</v>
      </c>
      <c r="F822" s="1" t="s">
        <v>8</v>
      </c>
      <c r="G822" s="2" t="s">
        <v>6</v>
      </c>
      <c r="H822" s="3" t="s">
        <v>97</v>
      </c>
      <c r="I822" s="3" t="s">
        <v>91</v>
      </c>
      <c r="J822" s="3" t="s">
        <v>59</v>
      </c>
      <c r="K822" s="4">
        <v>3922.42</v>
      </c>
      <c r="L822" s="6">
        <v>92.23</v>
      </c>
    </row>
    <row r="823" spans="1:12" x14ac:dyDescent="0.25">
      <c r="A823" s="1">
        <v>822</v>
      </c>
      <c r="B823" s="4">
        <v>5925</v>
      </c>
      <c r="C823" s="5">
        <v>40859</v>
      </c>
      <c r="D823" s="3" t="s">
        <v>82</v>
      </c>
      <c r="E823" s="1" t="s">
        <v>528</v>
      </c>
      <c r="F823" s="1" t="s">
        <v>8</v>
      </c>
      <c r="G823" s="2" t="s">
        <v>6</v>
      </c>
      <c r="H823" s="3" t="s">
        <v>97</v>
      </c>
      <c r="I823" s="3" t="s">
        <v>92</v>
      </c>
      <c r="J823" s="3" t="s">
        <v>61</v>
      </c>
      <c r="K823" s="4">
        <v>1733.3625</v>
      </c>
      <c r="L823" s="6">
        <v>85.99</v>
      </c>
    </row>
    <row r="824" spans="1:12" x14ac:dyDescent="0.25">
      <c r="A824" s="1">
        <v>823</v>
      </c>
      <c r="B824" s="4">
        <v>5954</v>
      </c>
      <c r="C824" s="5">
        <v>41245</v>
      </c>
      <c r="D824" s="3" t="s">
        <v>95</v>
      </c>
      <c r="E824" s="1" t="s">
        <v>403</v>
      </c>
      <c r="F824" s="1" t="s">
        <v>26</v>
      </c>
      <c r="G824" s="2" t="s">
        <v>3</v>
      </c>
      <c r="H824" s="3" t="s">
        <v>88</v>
      </c>
      <c r="I824" s="3" t="s">
        <v>92</v>
      </c>
      <c r="J824" s="3" t="s">
        <v>67</v>
      </c>
      <c r="K824" s="4">
        <v>18316.3</v>
      </c>
      <c r="L824" s="6">
        <v>596.98</v>
      </c>
    </row>
    <row r="825" spans="1:12" x14ac:dyDescent="0.25">
      <c r="A825" s="1">
        <v>824</v>
      </c>
      <c r="B825" s="4">
        <v>5957</v>
      </c>
      <c r="C825" s="5">
        <v>40538</v>
      </c>
      <c r="D825" s="3" t="s">
        <v>89</v>
      </c>
      <c r="E825" s="1" t="s">
        <v>212</v>
      </c>
      <c r="F825" s="1" t="s">
        <v>44</v>
      </c>
      <c r="G825" s="2" t="s">
        <v>3</v>
      </c>
      <c r="H825" s="3" t="s">
        <v>84</v>
      </c>
      <c r="I825" s="3" t="s">
        <v>85</v>
      </c>
      <c r="J825" s="3" t="s">
        <v>66</v>
      </c>
      <c r="K825" s="4">
        <v>68.319999999999993</v>
      </c>
      <c r="L825" s="6">
        <v>4.28</v>
      </c>
    </row>
    <row r="826" spans="1:12" x14ac:dyDescent="0.25">
      <c r="A826" s="1">
        <v>825</v>
      </c>
      <c r="B826" s="4">
        <v>5957</v>
      </c>
      <c r="C826" s="5">
        <v>40538</v>
      </c>
      <c r="D826" s="3" t="s">
        <v>89</v>
      </c>
      <c r="E826" s="1" t="s">
        <v>529</v>
      </c>
      <c r="F826" s="1" t="s">
        <v>44</v>
      </c>
      <c r="G826" s="2" t="s">
        <v>3</v>
      </c>
      <c r="H826" s="3" t="s">
        <v>84</v>
      </c>
      <c r="I826" s="3" t="s">
        <v>91</v>
      </c>
      <c r="J826" s="3" t="s">
        <v>68</v>
      </c>
      <c r="K826" s="4">
        <v>536.38</v>
      </c>
      <c r="L826" s="6">
        <v>150.97999999999999</v>
      </c>
    </row>
    <row r="827" spans="1:12" x14ac:dyDescent="0.25">
      <c r="A827" s="1">
        <v>826</v>
      </c>
      <c r="B827" s="4">
        <v>5957</v>
      </c>
      <c r="C827" s="5">
        <v>40538</v>
      </c>
      <c r="D827" s="3" t="s">
        <v>89</v>
      </c>
      <c r="E827" s="1" t="s">
        <v>529</v>
      </c>
      <c r="F827" s="1" t="s">
        <v>44</v>
      </c>
      <c r="G827" s="2" t="s">
        <v>3</v>
      </c>
      <c r="H827" s="3" t="s">
        <v>84</v>
      </c>
      <c r="I827" s="3" t="s">
        <v>92</v>
      </c>
      <c r="J827" s="3" t="s">
        <v>61</v>
      </c>
      <c r="K827" s="4">
        <v>391.87549999999999</v>
      </c>
      <c r="L827" s="6">
        <v>20.99</v>
      </c>
    </row>
    <row r="828" spans="1:12" x14ac:dyDescent="0.25">
      <c r="A828" s="1">
        <v>827</v>
      </c>
      <c r="B828" s="4">
        <v>5958</v>
      </c>
      <c r="C828" s="5">
        <v>40801</v>
      </c>
      <c r="D828" s="3" t="s">
        <v>4</v>
      </c>
      <c r="E828" s="1" t="s">
        <v>530</v>
      </c>
      <c r="F828" s="1" t="s">
        <v>24</v>
      </c>
      <c r="G828" s="2" t="s">
        <v>2</v>
      </c>
      <c r="H828" s="3" t="s">
        <v>84</v>
      </c>
      <c r="I828" s="3" t="s">
        <v>92</v>
      </c>
      <c r="J828" s="3" t="s">
        <v>73</v>
      </c>
      <c r="K828" s="4">
        <v>2036.97</v>
      </c>
      <c r="L828" s="6">
        <v>699.99</v>
      </c>
    </row>
    <row r="829" spans="1:12" x14ac:dyDescent="0.25">
      <c r="A829" s="1">
        <v>828</v>
      </c>
      <c r="B829" s="4">
        <v>5958</v>
      </c>
      <c r="C829" s="5">
        <v>40801</v>
      </c>
      <c r="D829" s="3" t="s">
        <v>4</v>
      </c>
      <c r="E829" s="1" t="s">
        <v>477</v>
      </c>
      <c r="F829" s="1" t="s">
        <v>24</v>
      </c>
      <c r="G829" s="2" t="s">
        <v>2</v>
      </c>
      <c r="H829" s="3" t="s">
        <v>84</v>
      </c>
      <c r="I829" s="3" t="s">
        <v>91</v>
      </c>
      <c r="J829" s="3" t="s">
        <v>60</v>
      </c>
      <c r="K829" s="4">
        <v>2629.6640000000002</v>
      </c>
      <c r="L829" s="6">
        <v>159.31</v>
      </c>
    </row>
    <row r="830" spans="1:12" x14ac:dyDescent="0.25">
      <c r="A830" s="1">
        <v>829</v>
      </c>
      <c r="B830" s="4">
        <v>5984</v>
      </c>
      <c r="C830" s="5">
        <v>39981</v>
      </c>
      <c r="D830" s="3" t="s">
        <v>82</v>
      </c>
      <c r="E830" s="1" t="s">
        <v>313</v>
      </c>
      <c r="F830" s="1" t="s">
        <v>24</v>
      </c>
      <c r="G830" s="2" t="s">
        <v>2</v>
      </c>
      <c r="H830" s="3" t="s">
        <v>100</v>
      </c>
      <c r="I830" s="3" t="s">
        <v>85</v>
      </c>
      <c r="J830" s="3" t="s">
        <v>70</v>
      </c>
      <c r="K830" s="4">
        <v>394.62</v>
      </c>
      <c r="L830" s="6">
        <v>10.89</v>
      </c>
    </row>
    <row r="831" spans="1:12" x14ac:dyDescent="0.25">
      <c r="A831" s="1">
        <v>830</v>
      </c>
      <c r="B831" s="4">
        <v>5984</v>
      </c>
      <c r="C831" s="5">
        <v>39981</v>
      </c>
      <c r="D831" s="3" t="s">
        <v>82</v>
      </c>
      <c r="E831" s="1" t="s">
        <v>313</v>
      </c>
      <c r="F831" s="1" t="s">
        <v>24</v>
      </c>
      <c r="G831" s="2" t="s">
        <v>2</v>
      </c>
      <c r="H831" s="3" t="s">
        <v>100</v>
      </c>
      <c r="I831" s="3" t="s">
        <v>91</v>
      </c>
      <c r="J831" s="3" t="s">
        <v>59</v>
      </c>
      <c r="K831" s="4">
        <v>464.64</v>
      </c>
      <c r="L831" s="6">
        <v>10.64</v>
      </c>
    </row>
    <row r="832" spans="1:12" x14ac:dyDescent="0.25">
      <c r="A832" s="1">
        <v>831</v>
      </c>
      <c r="B832" s="4">
        <v>5984</v>
      </c>
      <c r="C832" s="5">
        <v>39981</v>
      </c>
      <c r="D832" s="3" t="s">
        <v>82</v>
      </c>
      <c r="E832" s="1" t="s">
        <v>313</v>
      </c>
      <c r="F832" s="1" t="s">
        <v>24</v>
      </c>
      <c r="G832" s="2" t="s">
        <v>2</v>
      </c>
      <c r="H832" s="3" t="s">
        <v>100</v>
      </c>
      <c r="I832" s="3" t="s">
        <v>91</v>
      </c>
      <c r="J832" s="3" t="s">
        <v>59</v>
      </c>
      <c r="K832" s="4">
        <v>96.68</v>
      </c>
      <c r="L832" s="6">
        <v>7.96</v>
      </c>
    </row>
    <row r="833" spans="1:12" x14ac:dyDescent="0.25">
      <c r="A833" s="1">
        <v>832</v>
      </c>
      <c r="B833" s="4">
        <v>5986</v>
      </c>
      <c r="C833" s="5">
        <v>41020</v>
      </c>
      <c r="D833" s="3" t="s">
        <v>89</v>
      </c>
      <c r="E833" s="1" t="s">
        <v>531</v>
      </c>
      <c r="F833" s="1" t="s">
        <v>35</v>
      </c>
      <c r="G833" s="2" t="s">
        <v>1</v>
      </c>
      <c r="H833" s="3" t="s">
        <v>84</v>
      </c>
      <c r="I833" s="3" t="s">
        <v>85</v>
      </c>
      <c r="J833" s="3" t="s">
        <v>70</v>
      </c>
      <c r="K833" s="4">
        <v>5556.18</v>
      </c>
      <c r="L833" s="6">
        <v>120.98</v>
      </c>
    </row>
    <row r="834" spans="1:12" x14ac:dyDescent="0.25">
      <c r="A834" s="1">
        <v>833</v>
      </c>
      <c r="B834" s="4">
        <v>5986</v>
      </c>
      <c r="C834" s="5">
        <v>41020</v>
      </c>
      <c r="D834" s="3" t="s">
        <v>89</v>
      </c>
      <c r="E834" s="1" t="s">
        <v>531</v>
      </c>
      <c r="F834" s="1" t="s">
        <v>35</v>
      </c>
      <c r="G834" s="2" t="s">
        <v>1</v>
      </c>
      <c r="H834" s="3" t="s">
        <v>84</v>
      </c>
      <c r="I834" s="3" t="s">
        <v>91</v>
      </c>
      <c r="J834" s="3" t="s">
        <v>72</v>
      </c>
      <c r="K834" s="4">
        <v>1021.55</v>
      </c>
      <c r="L834" s="6">
        <v>50.98</v>
      </c>
    </row>
    <row r="835" spans="1:12" x14ac:dyDescent="0.25">
      <c r="A835" s="1">
        <v>834</v>
      </c>
      <c r="B835" s="4">
        <v>5986</v>
      </c>
      <c r="C835" s="5">
        <v>41020</v>
      </c>
      <c r="D835" s="3" t="s">
        <v>89</v>
      </c>
      <c r="E835" s="1" t="s">
        <v>531</v>
      </c>
      <c r="F835" s="1" t="s">
        <v>35</v>
      </c>
      <c r="G835" s="2" t="s">
        <v>1</v>
      </c>
      <c r="H835" s="3" t="s">
        <v>84</v>
      </c>
      <c r="I835" s="3" t="s">
        <v>92</v>
      </c>
      <c r="J835" s="3" t="s">
        <v>62</v>
      </c>
      <c r="K835" s="4">
        <v>205.24</v>
      </c>
      <c r="L835" s="6">
        <v>4.8899999999999997</v>
      </c>
    </row>
    <row r="836" spans="1:12" x14ac:dyDescent="0.25">
      <c r="A836" s="1">
        <v>835</v>
      </c>
      <c r="B836" s="4">
        <v>5988</v>
      </c>
      <c r="C836" s="5">
        <v>40503</v>
      </c>
      <c r="D836" s="3" t="s">
        <v>86</v>
      </c>
      <c r="E836" s="1" t="s">
        <v>130</v>
      </c>
      <c r="F836" s="1" t="s">
        <v>11</v>
      </c>
      <c r="G836" s="2" t="s">
        <v>6</v>
      </c>
      <c r="H836" s="3" t="s">
        <v>97</v>
      </c>
      <c r="I836" s="3" t="s">
        <v>92</v>
      </c>
      <c r="J836" s="3" t="s">
        <v>73</v>
      </c>
      <c r="K836" s="4">
        <v>19109.61</v>
      </c>
      <c r="L836" s="6">
        <v>499.99</v>
      </c>
    </row>
    <row r="837" spans="1:12" x14ac:dyDescent="0.25">
      <c r="A837" s="1">
        <v>836</v>
      </c>
      <c r="B837" s="4">
        <v>5989</v>
      </c>
      <c r="C837" s="5">
        <v>40830</v>
      </c>
      <c r="D837" s="3" t="s">
        <v>4</v>
      </c>
      <c r="E837" s="1" t="s">
        <v>234</v>
      </c>
      <c r="F837" s="1" t="s">
        <v>24</v>
      </c>
      <c r="G837" s="2" t="s">
        <v>2</v>
      </c>
      <c r="H837" s="3" t="s">
        <v>88</v>
      </c>
      <c r="I837" s="3" t="s">
        <v>85</v>
      </c>
      <c r="J837" s="3" t="s">
        <v>70</v>
      </c>
      <c r="K837" s="4">
        <v>155.47999999999999</v>
      </c>
      <c r="L837" s="6">
        <v>25.98</v>
      </c>
    </row>
    <row r="838" spans="1:12" x14ac:dyDescent="0.25">
      <c r="A838" s="1">
        <v>837</v>
      </c>
      <c r="B838" s="4">
        <v>5989</v>
      </c>
      <c r="C838" s="5">
        <v>40830</v>
      </c>
      <c r="D838" s="3" t="s">
        <v>4</v>
      </c>
      <c r="E838" s="1" t="s">
        <v>234</v>
      </c>
      <c r="F838" s="1" t="s">
        <v>24</v>
      </c>
      <c r="G838" s="2" t="s">
        <v>2</v>
      </c>
      <c r="H838" s="3" t="s">
        <v>88</v>
      </c>
      <c r="I838" s="3" t="s">
        <v>85</v>
      </c>
      <c r="J838" s="3" t="s">
        <v>63</v>
      </c>
      <c r="K838" s="4">
        <v>56.77</v>
      </c>
      <c r="L838" s="6">
        <v>2.78</v>
      </c>
    </row>
    <row r="839" spans="1:12" x14ac:dyDescent="0.25">
      <c r="A839" s="1">
        <v>838</v>
      </c>
      <c r="B839" s="4">
        <v>5990</v>
      </c>
      <c r="C839" s="5">
        <v>40275</v>
      </c>
      <c r="D839" s="3" t="s">
        <v>95</v>
      </c>
      <c r="E839" s="1" t="s">
        <v>532</v>
      </c>
      <c r="F839" s="1" t="s">
        <v>24</v>
      </c>
      <c r="G839" s="2" t="s">
        <v>2</v>
      </c>
      <c r="H839" s="3" t="s">
        <v>97</v>
      </c>
      <c r="I839" s="3" t="s">
        <v>85</v>
      </c>
      <c r="J839" s="3" t="s">
        <v>66</v>
      </c>
      <c r="K839" s="4">
        <v>63.91</v>
      </c>
      <c r="L839" s="6">
        <v>6.48</v>
      </c>
    </row>
    <row r="840" spans="1:12" x14ac:dyDescent="0.25">
      <c r="A840" s="1">
        <v>839</v>
      </c>
      <c r="B840" s="4">
        <v>6016</v>
      </c>
      <c r="C840" s="5">
        <v>40928</v>
      </c>
      <c r="D840" s="3" t="s">
        <v>89</v>
      </c>
      <c r="E840" s="1" t="s">
        <v>533</v>
      </c>
      <c r="F840" s="1" t="s">
        <v>8</v>
      </c>
      <c r="G840" s="2" t="s">
        <v>6</v>
      </c>
      <c r="H840" s="3" t="s">
        <v>97</v>
      </c>
      <c r="I840" s="3" t="s">
        <v>85</v>
      </c>
      <c r="J840" s="3" t="s">
        <v>66</v>
      </c>
      <c r="K840" s="4">
        <v>208.28</v>
      </c>
      <c r="L840" s="6">
        <v>11.48</v>
      </c>
    </row>
    <row r="841" spans="1:12" x14ac:dyDescent="0.25">
      <c r="A841" s="1">
        <v>840</v>
      </c>
      <c r="B841" s="4">
        <v>6018</v>
      </c>
      <c r="C841" s="5">
        <v>41139</v>
      </c>
      <c r="D841" s="3" t="s">
        <v>82</v>
      </c>
      <c r="E841" s="1" t="s">
        <v>394</v>
      </c>
      <c r="F841" s="1" t="s">
        <v>26</v>
      </c>
      <c r="G841" s="2" t="s">
        <v>3</v>
      </c>
      <c r="H841" s="3" t="s">
        <v>97</v>
      </c>
      <c r="I841" s="3" t="s">
        <v>91</v>
      </c>
      <c r="J841" s="3" t="s">
        <v>59</v>
      </c>
      <c r="K841" s="4">
        <v>206.09</v>
      </c>
      <c r="L841" s="6">
        <v>5.08</v>
      </c>
    </row>
    <row r="842" spans="1:12" x14ac:dyDescent="0.25">
      <c r="A842" s="1">
        <v>841</v>
      </c>
      <c r="B842" s="4">
        <v>6018</v>
      </c>
      <c r="C842" s="5">
        <v>41139</v>
      </c>
      <c r="D842" s="3" t="s">
        <v>82</v>
      </c>
      <c r="E842" s="1" t="s">
        <v>491</v>
      </c>
      <c r="F842" s="1" t="s">
        <v>26</v>
      </c>
      <c r="G842" s="2" t="s">
        <v>3</v>
      </c>
      <c r="H842" s="3" t="s">
        <v>97</v>
      </c>
      <c r="I842" s="3" t="s">
        <v>85</v>
      </c>
      <c r="J842" s="3" t="s">
        <v>66</v>
      </c>
      <c r="K842" s="4">
        <v>124.25</v>
      </c>
      <c r="L842" s="6">
        <v>55.98</v>
      </c>
    </row>
    <row r="843" spans="1:12" x14ac:dyDescent="0.25">
      <c r="A843" s="1">
        <v>842</v>
      </c>
      <c r="B843" s="4">
        <v>6020</v>
      </c>
      <c r="C843" s="5">
        <v>40077</v>
      </c>
      <c r="D843" s="3" t="s">
        <v>4</v>
      </c>
      <c r="E843" s="1" t="s">
        <v>534</v>
      </c>
      <c r="F843" s="1" t="s">
        <v>19</v>
      </c>
      <c r="G843" s="2" t="s">
        <v>3</v>
      </c>
      <c r="H843" s="3" t="s">
        <v>88</v>
      </c>
      <c r="I843" s="3" t="s">
        <v>85</v>
      </c>
      <c r="J843" s="3" t="s">
        <v>65</v>
      </c>
      <c r="K843" s="4">
        <v>66.09</v>
      </c>
      <c r="L843" s="6">
        <v>2.88</v>
      </c>
    </row>
    <row r="844" spans="1:12" x14ac:dyDescent="0.25">
      <c r="A844" s="1">
        <v>843</v>
      </c>
      <c r="B844" s="4">
        <v>6050</v>
      </c>
      <c r="C844" s="5">
        <v>40265</v>
      </c>
      <c r="D844" s="3" t="s">
        <v>82</v>
      </c>
      <c r="E844" s="1" t="s">
        <v>535</v>
      </c>
      <c r="F844" s="1" t="s">
        <v>15</v>
      </c>
      <c r="G844" s="2" t="s">
        <v>1</v>
      </c>
      <c r="H844" s="3" t="s">
        <v>84</v>
      </c>
      <c r="I844" s="3" t="s">
        <v>92</v>
      </c>
      <c r="J844" s="3" t="s">
        <v>67</v>
      </c>
      <c r="K844" s="4">
        <v>261.94</v>
      </c>
      <c r="L844" s="6">
        <v>80.97</v>
      </c>
    </row>
    <row r="845" spans="1:12" x14ac:dyDescent="0.25">
      <c r="A845" s="1">
        <v>844</v>
      </c>
      <c r="B845" s="4">
        <v>6050</v>
      </c>
      <c r="C845" s="5">
        <v>40265</v>
      </c>
      <c r="D845" s="3" t="s">
        <v>82</v>
      </c>
      <c r="E845" s="1" t="s">
        <v>535</v>
      </c>
      <c r="F845" s="1" t="s">
        <v>15</v>
      </c>
      <c r="G845" s="2" t="s">
        <v>1</v>
      </c>
      <c r="H845" s="3" t="s">
        <v>84</v>
      </c>
      <c r="I845" s="3" t="s">
        <v>91</v>
      </c>
      <c r="J845" s="3" t="s">
        <v>60</v>
      </c>
      <c r="K845" s="4">
        <v>9574.82</v>
      </c>
      <c r="L845" s="6">
        <v>209.37</v>
      </c>
    </row>
    <row r="846" spans="1:12" x14ac:dyDescent="0.25">
      <c r="A846" s="1">
        <v>845</v>
      </c>
      <c r="B846" s="4">
        <v>6053</v>
      </c>
      <c r="C846" s="5">
        <v>40523</v>
      </c>
      <c r="D846" s="3" t="s">
        <v>4</v>
      </c>
      <c r="E846" s="1" t="s">
        <v>536</v>
      </c>
      <c r="F846" s="1" t="s">
        <v>35</v>
      </c>
      <c r="G846" s="2" t="s">
        <v>1</v>
      </c>
      <c r="H846" s="3" t="s">
        <v>88</v>
      </c>
      <c r="I846" s="3" t="s">
        <v>85</v>
      </c>
      <c r="J846" s="3" t="s">
        <v>69</v>
      </c>
      <c r="K846" s="4">
        <v>16.079999999999998</v>
      </c>
      <c r="L846" s="6">
        <v>3.8</v>
      </c>
    </row>
    <row r="847" spans="1:12" x14ac:dyDescent="0.25">
      <c r="A847" s="1">
        <v>846</v>
      </c>
      <c r="B847" s="4">
        <v>6054</v>
      </c>
      <c r="C847" s="5">
        <v>40794</v>
      </c>
      <c r="D847" s="3" t="s">
        <v>82</v>
      </c>
      <c r="E847" s="1" t="s">
        <v>257</v>
      </c>
      <c r="F847" s="1" t="s">
        <v>24</v>
      </c>
      <c r="G847" s="2" t="s">
        <v>2</v>
      </c>
      <c r="H847" s="3" t="s">
        <v>88</v>
      </c>
      <c r="I847" s="3" t="s">
        <v>91</v>
      </c>
      <c r="J847" s="3" t="s">
        <v>59</v>
      </c>
      <c r="K847" s="4">
        <v>27.32</v>
      </c>
      <c r="L847" s="6">
        <v>2.08</v>
      </c>
    </row>
    <row r="848" spans="1:12" x14ac:dyDescent="0.25">
      <c r="A848" s="1">
        <v>847</v>
      </c>
      <c r="B848" s="4">
        <v>6054</v>
      </c>
      <c r="C848" s="5">
        <v>40794</v>
      </c>
      <c r="D848" s="3" t="s">
        <v>82</v>
      </c>
      <c r="E848" s="1" t="s">
        <v>257</v>
      </c>
      <c r="F848" s="1" t="s">
        <v>24</v>
      </c>
      <c r="G848" s="2" t="s">
        <v>2</v>
      </c>
      <c r="H848" s="3" t="s">
        <v>88</v>
      </c>
      <c r="I848" s="3" t="s">
        <v>85</v>
      </c>
      <c r="J848" s="3" t="s">
        <v>57</v>
      </c>
      <c r="K848" s="4">
        <v>643.30999999999995</v>
      </c>
      <c r="L848" s="6">
        <v>15.42</v>
      </c>
    </row>
    <row r="849" spans="1:12" x14ac:dyDescent="0.25">
      <c r="A849" s="1">
        <v>848</v>
      </c>
      <c r="B849" s="4">
        <v>6086</v>
      </c>
      <c r="C849" s="5">
        <v>40808</v>
      </c>
      <c r="D849" s="3" t="s">
        <v>95</v>
      </c>
      <c r="E849" s="1" t="s">
        <v>537</v>
      </c>
      <c r="F849" s="1" t="s">
        <v>20</v>
      </c>
      <c r="G849" s="2" t="s">
        <v>1</v>
      </c>
      <c r="H849" s="3" t="s">
        <v>88</v>
      </c>
      <c r="I849" s="3" t="s">
        <v>85</v>
      </c>
      <c r="J849" s="3" t="s">
        <v>66</v>
      </c>
      <c r="K849" s="4">
        <v>1734.72</v>
      </c>
      <c r="L849" s="6">
        <v>35.44</v>
      </c>
    </row>
    <row r="850" spans="1:12" x14ac:dyDescent="0.25">
      <c r="A850" s="1">
        <v>849</v>
      </c>
      <c r="B850" s="4">
        <v>6112</v>
      </c>
      <c r="C850" s="5">
        <v>40048</v>
      </c>
      <c r="D850" s="3" t="s">
        <v>4</v>
      </c>
      <c r="E850" s="1" t="s">
        <v>534</v>
      </c>
      <c r="F850" s="1" t="s">
        <v>19</v>
      </c>
      <c r="G850" s="2" t="s">
        <v>3</v>
      </c>
      <c r="H850" s="3" t="s">
        <v>88</v>
      </c>
      <c r="I850" s="3" t="s">
        <v>91</v>
      </c>
      <c r="J850" s="3" t="s">
        <v>60</v>
      </c>
      <c r="K850" s="4">
        <v>1597.37</v>
      </c>
      <c r="L850" s="6">
        <v>146.05000000000001</v>
      </c>
    </row>
    <row r="851" spans="1:12" x14ac:dyDescent="0.25">
      <c r="A851" s="1">
        <v>850</v>
      </c>
      <c r="B851" s="4">
        <v>6112</v>
      </c>
      <c r="C851" s="5">
        <v>40048</v>
      </c>
      <c r="D851" s="3" t="s">
        <v>4</v>
      </c>
      <c r="E851" s="1" t="s">
        <v>534</v>
      </c>
      <c r="F851" s="1" t="s">
        <v>19</v>
      </c>
      <c r="G851" s="2" t="s">
        <v>3</v>
      </c>
      <c r="H851" s="3" t="s">
        <v>88</v>
      </c>
      <c r="I851" s="3" t="s">
        <v>92</v>
      </c>
      <c r="J851" s="3" t="s">
        <v>61</v>
      </c>
      <c r="K851" s="4">
        <v>1753.9579999999999</v>
      </c>
      <c r="L851" s="6">
        <v>65.989999999999995</v>
      </c>
    </row>
    <row r="852" spans="1:12" x14ac:dyDescent="0.25">
      <c r="A852" s="1">
        <v>851</v>
      </c>
      <c r="B852" s="4">
        <v>6115</v>
      </c>
      <c r="C852" s="5">
        <v>40432</v>
      </c>
      <c r="D852" s="3" t="s">
        <v>4</v>
      </c>
      <c r="E852" s="1" t="s">
        <v>147</v>
      </c>
      <c r="F852" s="1" t="s">
        <v>11</v>
      </c>
      <c r="G852" s="2" t="s">
        <v>6</v>
      </c>
      <c r="H852" s="3" t="s">
        <v>100</v>
      </c>
      <c r="I852" s="3" t="s">
        <v>91</v>
      </c>
      <c r="J852" s="3" t="s">
        <v>59</v>
      </c>
      <c r="K852" s="4">
        <v>409.08</v>
      </c>
      <c r="L852" s="6">
        <v>17.78</v>
      </c>
    </row>
    <row r="853" spans="1:12" x14ac:dyDescent="0.25">
      <c r="A853" s="1">
        <v>852</v>
      </c>
      <c r="B853" s="4">
        <v>6116</v>
      </c>
      <c r="C853" s="5">
        <v>39892</v>
      </c>
      <c r="D853" s="3" t="s">
        <v>4</v>
      </c>
      <c r="E853" s="1" t="s">
        <v>538</v>
      </c>
      <c r="F853" s="1" t="s">
        <v>39</v>
      </c>
      <c r="G853" s="2" t="s">
        <v>1</v>
      </c>
      <c r="H853" s="3" t="s">
        <v>88</v>
      </c>
      <c r="I853" s="3" t="s">
        <v>92</v>
      </c>
      <c r="J853" s="3" t="s">
        <v>62</v>
      </c>
      <c r="K853" s="4">
        <v>150.77000000000001</v>
      </c>
      <c r="L853" s="6">
        <v>19.98</v>
      </c>
    </row>
    <row r="854" spans="1:12" x14ac:dyDescent="0.25">
      <c r="A854" s="1">
        <v>853</v>
      </c>
      <c r="B854" s="4">
        <v>6116</v>
      </c>
      <c r="C854" s="5">
        <v>39892</v>
      </c>
      <c r="D854" s="3" t="s">
        <v>4</v>
      </c>
      <c r="E854" s="1" t="s">
        <v>539</v>
      </c>
      <c r="F854" s="1" t="s">
        <v>8</v>
      </c>
      <c r="G854" s="2" t="s">
        <v>6</v>
      </c>
      <c r="H854" s="3" t="s">
        <v>88</v>
      </c>
      <c r="I854" s="3" t="s">
        <v>85</v>
      </c>
      <c r="J854" s="3" t="s">
        <v>58</v>
      </c>
      <c r="K854" s="4">
        <v>9620.82</v>
      </c>
      <c r="L854" s="6">
        <v>1637.53</v>
      </c>
    </row>
    <row r="855" spans="1:12" x14ac:dyDescent="0.25">
      <c r="A855" s="1">
        <v>854</v>
      </c>
      <c r="B855" s="4">
        <v>6117</v>
      </c>
      <c r="C855" s="5">
        <v>41264</v>
      </c>
      <c r="D855" s="3" t="s">
        <v>95</v>
      </c>
      <c r="E855" s="1" t="s">
        <v>372</v>
      </c>
      <c r="F855" s="1" t="s">
        <v>33</v>
      </c>
      <c r="G855" s="2" t="s">
        <v>2</v>
      </c>
      <c r="H855" s="3" t="s">
        <v>97</v>
      </c>
      <c r="I855" s="3" t="s">
        <v>91</v>
      </c>
      <c r="J855" s="3" t="s">
        <v>59</v>
      </c>
      <c r="K855" s="4">
        <v>157.03</v>
      </c>
      <c r="L855" s="6">
        <v>22.23</v>
      </c>
    </row>
    <row r="856" spans="1:12" x14ac:dyDescent="0.25">
      <c r="A856" s="1">
        <v>855</v>
      </c>
      <c r="B856" s="4">
        <v>6144</v>
      </c>
      <c r="C856" s="5">
        <v>39985</v>
      </c>
      <c r="D856" s="3" t="s">
        <v>95</v>
      </c>
      <c r="E856" s="1" t="s">
        <v>540</v>
      </c>
      <c r="F856" s="1" t="s">
        <v>30</v>
      </c>
      <c r="G856" s="2" t="s">
        <v>6</v>
      </c>
      <c r="H856" s="3" t="s">
        <v>88</v>
      </c>
      <c r="I856" s="3" t="s">
        <v>85</v>
      </c>
      <c r="J856" s="3" t="s">
        <v>65</v>
      </c>
      <c r="K856" s="4">
        <v>67.349999999999994</v>
      </c>
      <c r="L856" s="6">
        <v>2.88</v>
      </c>
    </row>
    <row r="857" spans="1:12" x14ac:dyDescent="0.25">
      <c r="A857" s="1">
        <v>856</v>
      </c>
      <c r="B857" s="4">
        <v>6144</v>
      </c>
      <c r="C857" s="5">
        <v>39985</v>
      </c>
      <c r="D857" s="3" t="s">
        <v>95</v>
      </c>
      <c r="E857" s="1" t="s">
        <v>540</v>
      </c>
      <c r="F857" s="1" t="s">
        <v>30</v>
      </c>
      <c r="G857" s="2" t="s">
        <v>6</v>
      </c>
      <c r="H857" s="3" t="s">
        <v>88</v>
      </c>
      <c r="I857" s="3" t="s">
        <v>91</v>
      </c>
      <c r="J857" s="3" t="s">
        <v>60</v>
      </c>
      <c r="K857" s="4">
        <v>1472.31</v>
      </c>
      <c r="L857" s="6">
        <v>348.21</v>
      </c>
    </row>
    <row r="858" spans="1:12" x14ac:dyDescent="0.25">
      <c r="A858" s="1">
        <v>857</v>
      </c>
      <c r="B858" s="4">
        <v>6148</v>
      </c>
      <c r="C858" s="5">
        <v>40901</v>
      </c>
      <c r="D858" s="3" t="s">
        <v>4</v>
      </c>
      <c r="E858" s="1" t="s">
        <v>541</v>
      </c>
      <c r="F858" s="1" t="s">
        <v>15</v>
      </c>
      <c r="G858" s="2" t="s">
        <v>1</v>
      </c>
      <c r="H858" s="3" t="s">
        <v>84</v>
      </c>
      <c r="I858" s="3" t="s">
        <v>91</v>
      </c>
      <c r="J858" s="3" t="s">
        <v>59</v>
      </c>
      <c r="K858" s="4">
        <v>510.56</v>
      </c>
      <c r="L858" s="6">
        <v>10.64</v>
      </c>
    </row>
    <row r="859" spans="1:12" x14ac:dyDescent="0.25">
      <c r="A859" s="1">
        <v>858</v>
      </c>
      <c r="B859" s="4">
        <v>6148</v>
      </c>
      <c r="C859" s="5">
        <v>40901</v>
      </c>
      <c r="D859" s="3" t="s">
        <v>4</v>
      </c>
      <c r="E859" s="1" t="s">
        <v>541</v>
      </c>
      <c r="F859" s="1" t="s">
        <v>15</v>
      </c>
      <c r="G859" s="2" t="s">
        <v>1</v>
      </c>
      <c r="H859" s="3" t="s">
        <v>84</v>
      </c>
      <c r="I859" s="3" t="s">
        <v>91</v>
      </c>
      <c r="J859" s="3" t="s">
        <v>59</v>
      </c>
      <c r="K859" s="4">
        <v>389.52</v>
      </c>
      <c r="L859" s="6">
        <v>20.28</v>
      </c>
    </row>
    <row r="860" spans="1:12" x14ac:dyDescent="0.25">
      <c r="A860" s="1">
        <v>859</v>
      </c>
      <c r="B860" s="4">
        <v>6150</v>
      </c>
      <c r="C860" s="5">
        <v>41183</v>
      </c>
      <c r="D860" s="3" t="s">
        <v>95</v>
      </c>
      <c r="E860" s="1" t="s">
        <v>542</v>
      </c>
      <c r="F860" s="1" t="s">
        <v>14</v>
      </c>
      <c r="G860" s="2" t="s">
        <v>2</v>
      </c>
      <c r="H860" s="3" t="s">
        <v>84</v>
      </c>
      <c r="I860" s="3" t="s">
        <v>85</v>
      </c>
      <c r="J860" s="3" t="s">
        <v>66</v>
      </c>
      <c r="K860" s="4">
        <v>191.14</v>
      </c>
      <c r="L860" s="6">
        <v>4.9800000000000004</v>
      </c>
    </row>
    <row r="861" spans="1:12" x14ac:dyDescent="0.25">
      <c r="A861" s="1">
        <v>860</v>
      </c>
      <c r="B861" s="4">
        <v>6179</v>
      </c>
      <c r="C861" s="5">
        <v>39966</v>
      </c>
      <c r="D861" s="3" t="s">
        <v>86</v>
      </c>
      <c r="E861" s="1" t="s">
        <v>305</v>
      </c>
      <c r="F861" s="1" t="s">
        <v>50</v>
      </c>
      <c r="G861" s="2" t="s">
        <v>1</v>
      </c>
      <c r="H861" s="3" t="s">
        <v>100</v>
      </c>
      <c r="I861" s="3" t="s">
        <v>85</v>
      </c>
      <c r="J861" s="3" t="s">
        <v>71</v>
      </c>
      <c r="K861" s="4">
        <v>477.53</v>
      </c>
      <c r="L861" s="6">
        <v>9.7799999999999994</v>
      </c>
    </row>
    <row r="862" spans="1:12" x14ac:dyDescent="0.25">
      <c r="A862" s="1">
        <v>861</v>
      </c>
      <c r="B862" s="4">
        <v>6179</v>
      </c>
      <c r="C862" s="5">
        <v>39966</v>
      </c>
      <c r="D862" s="3" t="s">
        <v>86</v>
      </c>
      <c r="E862" s="1" t="s">
        <v>305</v>
      </c>
      <c r="F862" s="1" t="s">
        <v>50</v>
      </c>
      <c r="G862" s="2" t="s">
        <v>1</v>
      </c>
      <c r="H862" s="3" t="s">
        <v>100</v>
      </c>
      <c r="I862" s="3" t="s">
        <v>92</v>
      </c>
      <c r="J862" s="3" t="s">
        <v>61</v>
      </c>
      <c r="K862" s="4">
        <v>2690.7514999999999</v>
      </c>
      <c r="L862" s="6">
        <v>200.99</v>
      </c>
    </row>
    <row r="863" spans="1:12" x14ac:dyDescent="0.25">
      <c r="A863" s="1">
        <v>862</v>
      </c>
      <c r="B863" s="4">
        <v>6180</v>
      </c>
      <c r="C863" s="5">
        <v>40644</v>
      </c>
      <c r="D863" s="3" t="s">
        <v>4</v>
      </c>
      <c r="E863" s="1" t="s">
        <v>543</v>
      </c>
      <c r="F863" s="1" t="s">
        <v>32</v>
      </c>
      <c r="G863" s="2" t="s">
        <v>2</v>
      </c>
      <c r="H863" s="3" t="s">
        <v>97</v>
      </c>
      <c r="I863" s="3" t="s">
        <v>92</v>
      </c>
      <c r="J863" s="3" t="s">
        <v>61</v>
      </c>
      <c r="K863" s="4">
        <v>2443.3420000000001</v>
      </c>
      <c r="L863" s="6">
        <v>65.989999999999995</v>
      </c>
    </row>
    <row r="864" spans="1:12" x14ac:dyDescent="0.25">
      <c r="A864" s="1">
        <v>863</v>
      </c>
      <c r="B864" s="4">
        <v>6182</v>
      </c>
      <c r="C864" s="5">
        <v>41111</v>
      </c>
      <c r="D864" s="3" t="s">
        <v>82</v>
      </c>
      <c r="E864" s="1" t="s">
        <v>308</v>
      </c>
      <c r="F864" s="1" t="s">
        <v>8</v>
      </c>
      <c r="G864" s="2" t="s">
        <v>6</v>
      </c>
      <c r="H864" s="3" t="s">
        <v>88</v>
      </c>
      <c r="I864" s="3" t="s">
        <v>85</v>
      </c>
      <c r="J864" s="3" t="s">
        <v>66</v>
      </c>
      <c r="K864" s="4">
        <v>255.48</v>
      </c>
      <c r="L864" s="6">
        <v>6.48</v>
      </c>
    </row>
    <row r="865" spans="1:12" x14ac:dyDescent="0.25">
      <c r="A865" s="1">
        <v>864</v>
      </c>
      <c r="B865" s="4">
        <v>6182</v>
      </c>
      <c r="C865" s="5">
        <v>41111</v>
      </c>
      <c r="D865" s="3" t="s">
        <v>82</v>
      </c>
      <c r="E865" s="1" t="s">
        <v>308</v>
      </c>
      <c r="F865" s="1" t="s">
        <v>8</v>
      </c>
      <c r="G865" s="2" t="s">
        <v>6</v>
      </c>
      <c r="H865" s="3" t="s">
        <v>88</v>
      </c>
      <c r="I865" s="3" t="s">
        <v>85</v>
      </c>
      <c r="J865" s="3" t="s">
        <v>66</v>
      </c>
      <c r="K865" s="4">
        <v>130.32</v>
      </c>
      <c r="L865" s="6">
        <v>6.48</v>
      </c>
    </row>
    <row r="866" spans="1:12" x14ac:dyDescent="0.25">
      <c r="A866" s="1">
        <v>865</v>
      </c>
      <c r="B866" s="4">
        <v>6183</v>
      </c>
      <c r="C866" s="5">
        <v>41075</v>
      </c>
      <c r="D866" s="3" t="s">
        <v>4</v>
      </c>
      <c r="E866" s="1" t="s">
        <v>529</v>
      </c>
      <c r="F866" s="1" t="s">
        <v>44</v>
      </c>
      <c r="G866" s="2" t="s">
        <v>3</v>
      </c>
      <c r="H866" s="3" t="s">
        <v>84</v>
      </c>
      <c r="I866" s="3" t="s">
        <v>85</v>
      </c>
      <c r="J866" s="3" t="s">
        <v>66</v>
      </c>
      <c r="K866" s="4">
        <v>1991.93</v>
      </c>
      <c r="L866" s="6">
        <v>48.94</v>
      </c>
    </row>
    <row r="867" spans="1:12" x14ac:dyDescent="0.25">
      <c r="A867" s="1">
        <v>866</v>
      </c>
      <c r="B867" s="4">
        <v>6211</v>
      </c>
      <c r="C867" s="5">
        <v>40140</v>
      </c>
      <c r="D867" s="3" t="s">
        <v>95</v>
      </c>
      <c r="E867" s="1" t="s">
        <v>163</v>
      </c>
      <c r="F867" s="1" t="s">
        <v>45</v>
      </c>
      <c r="G867" s="2" t="s">
        <v>3</v>
      </c>
      <c r="H867" s="3" t="s">
        <v>88</v>
      </c>
      <c r="I867" s="3" t="s">
        <v>85</v>
      </c>
      <c r="J867" s="3" t="s">
        <v>69</v>
      </c>
      <c r="K867" s="4">
        <v>67.72</v>
      </c>
      <c r="L867" s="6">
        <v>2.16</v>
      </c>
    </row>
    <row r="868" spans="1:12" x14ac:dyDescent="0.25">
      <c r="A868" s="1">
        <v>867</v>
      </c>
      <c r="B868" s="4">
        <v>6211</v>
      </c>
      <c r="C868" s="5">
        <v>40140</v>
      </c>
      <c r="D868" s="3" t="s">
        <v>95</v>
      </c>
      <c r="E868" s="1" t="s">
        <v>544</v>
      </c>
      <c r="F868" s="1" t="s">
        <v>45</v>
      </c>
      <c r="G868" s="2" t="s">
        <v>3</v>
      </c>
      <c r="H868" s="3" t="s">
        <v>88</v>
      </c>
      <c r="I868" s="3" t="s">
        <v>85</v>
      </c>
      <c r="J868" s="3" t="s">
        <v>63</v>
      </c>
      <c r="K868" s="4">
        <v>68.64</v>
      </c>
      <c r="L868" s="6">
        <v>21.38</v>
      </c>
    </row>
    <row r="869" spans="1:12" x14ac:dyDescent="0.25">
      <c r="A869" s="1">
        <v>868</v>
      </c>
      <c r="B869" s="4">
        <v>6241</v>
      </c>
      <c r="C869" s="5">
        <v>40176</v>
      </c>
      <c r="D869" s="3" t="s">
        <v>82</v>
      </c>
      <c r="E869" s="1" t="s">
        <v>545</v>
      </c>
      <c r="F869" s="1" t="s">
        <v>23</v>
      </c>
      <c r="G869" s="2" t="s">
        <v>3</v>
      </c>
      <c r="H869" s="3" t="s">
        <v>84</v>
      </c>
      <c r="I869" s="3" t="s">
        <v>85</v>
      </c>
      <c r="J869" s="3" t="s">
        <v>63</v>
      </c>
      <c r="K869" s="4">
        <v>133.94</v>
      </c>
      <c r="L869" s="6">
        <v>5.84</v>
      </c>
    </row>
    <row r="870" spans="1:12" x14ac:dyDescent="0.25">
      <c r="A870" s="1">
        <v>869</v>
      </c>
      <c r="B870" s="4">
        <v>6241</v>
      </c>
      <c r="C870" s="5">
        <v>40176</v>
      </c>
      <c r="D870" s="3" t="s">
        <v>82</v>
      </c>
      <c r="E870" s="1" t="s">
        <v>545</v>
      </c>
      <c r="F870" s="1" t="s">
        <v>23</v>
      </c>
      <c r="G870" s="2" t="s">
        <v>3</v>
      </c>
      <c r="H870" s="3" t="s">
        <v>84</v>
      </c>
      <c r="I870" s="3" t="s">
        <v>92</v>
      </c>
      <c r="J870" s="3" t="s">
        <v>61</v>
      </c>
      <c r="K870" s="4">
        <v>5433.0895</v>
      </c>
      <c r="L870" s="6">
        <v>205.99</v>
      </c>
    </row>
    <row r="871" spans="1:12" x14ac:dyDescent="0.25">
      <c r="A871" s="1">
        <v>870</v>
      </c>
      <c r="B871" s="4">
        <v>6246</v>
      </c>
      <c r="C871" s="5">
        <v>40107</v>
      </c>
      <c r="D871" s="3" t="s">
        <v>86</v>
      </c>
      <c r="E871" s="1" t="s">
        <v>409</v>
      </c>
      <c r="F871" s="1" t="s">
        <v>53</v>
      </c>
      <c r="G871" s="2" t="s">
        <v>6</v>
      </c>
      <c r="H871" s="3" t="s">
        <v>97</v>
      </c>
      <c r="I871" s="3" t="s">
        <v>85</v>
      </c>
      <c r="J871" s="3" t="s">
        <v>64</v>
      </c>
      <c r="K871" s="4">
        <v>52.38</v>
      </c>
      <c r="L871" s="6">
        <v>3.93</v>
      </c>
    </row>
    <row r="872" spans="1:12" x14ac:dyDescent="0.25">
      <c r="A872" s="1">
        <v>871</v>
      </c>
      <c r="B872" s="4">
        <v>6272</v>
      </c>
      <c r="C872" s="5">
        <v>40236</v>
      </c>
      <c r="D872" s="3" t="s">
        <v>89</v>
      </c>
      <c r="E872" s="1" t="s">
        <v>505</v>
      </c>
      <c r="F872" s="1" t="s">
        <v>19</v>
      </c>
      <c r="G872" s="2" t="s">
        <v>3</v>
      </c>
      <c r="H872" s="3" t="s">
        <v>88</v>
      </c>
      <c r="I872" s="3" t="s">
        <v>91</v>
      </c>
      <c r="J872" s="3" t="s">
        <v>59</v>
      </c>
      <c r="K872" s="4">
        <v>497.4</v>
      </c>
      <c r="L872" s="6">
        <v>14.98</v>
      </c>
    </row>
    <row r="873" spans="1:12" x14ac:dyDescent="0.25">
      <c r="A873" s="1">
        <v>872</v>
      </c>
      <c r="B873" s="4">
        <v>6272</v>
      </c>
      <c r="C873" s="5">
        <v>40236</v>
      </c>
      <c r="D873" s="3" t="s">
        <v>89</v>
      </c>
      <c r="E873" s="1" t="s">
        <v>505</v>
      </c>
      <c r="F873" s="1" t="s">
        <v>19</v>
      </c>
      <c r="G873" s="2" t="s">
        <v>3</v>
      </c>
      <c r="H873" s="3" t="s">
        <v>88</v>
      </c>
      <c r="I873" s="3" t="s">
        <v>91</v>
      </c>
      <c r="J873" s="3" t="s">
        <v>60</v>
      </c>
      <c r="K873" s="4">
        <v>4965.384</v>
      </c>
      <c r="L873" s="6">
        <v>124.49</v>
      </c>
    </row>
    <row r="874" spans="1:12" x14ac:dyDescent="0.25">
      <c r="A874" s="1">
        <v>873</v>
      </c>
      <c r="B874" s="4">
        <v>6272</v>
      </c>
      <c r="C874" s="5">
        <v>40236</v>
      </c>
      <c r="D874" s="3" t="s">
        <v>89</v>
      </c>
      <c r="E874" s="1" t="s">
        <v>505</v>
      </c>
      <c r="F874" s="1" t="s">
        <v>19</v>
      </c>
      <c r="G874" s="2" t="s">
        <v>3</v>
      </c>
      <c r="H874" s="3" t="s">
        <v>88</v>
      </c>
      <c r="I874" s="3" t="s">
        <v>92</v>
      </c>
      <c r="J874" s="3" t="s">
        <v>61</v>
      </c>
      <c r="K874" s="4">
        <v>358.41950000000003</v>
      </c>
      <c r="L874" s="6">
        <v>55.99</v>
      </c>
    </row>
    <row r="875" spans="1:12" x14ac:dyDescent="0.25">
      <c r="A875" s="1">
        <v>874</v>
      </c>
      <c r="B875" s="4">
        <v>6272</v>
      </c>
      <c r="C875" s="5">
        <v>40236</v>
      </c>
      <c r="D875" s="3" t="s">
        <v>89</v>
      </c>
      <c r="E875" s="1" t="s">
        <v>546</v>
      </c>
      <c r="F875" s="1" t="s">
        <v>19</v>
      </c>
      <c r="G875" s="2" t="s">
        <v>3</v>
      </c>
      <c r="H875" s="3" t="s">
        <v>88</v>
      </c>
      <c r="I875" s="3" t="s">
        <v>91</v>
      </c>
      <c r="J875" s="3" t="s">
        <v>59</v>
      </c>
      <c r="K875" s="4">
        <v>3232.68</v>
      </c>
      <c r="L875" s="6">
        <v>105.98</v>
      </c>
    </row>
    <row r="876" spans="1:12" x14ac:dyDescent="0.25">
      <c r="A876" s="1">
        <v>875</v>
      </c>
      <c r="B876" s="4">
        <v>6274</v>
      </c>
      <c r="C876" s="5">
        <v>40738</v>
      </c>
      <c r="D876" s="3" t="s">
        <v>86</v>
      </c>
      <c r="E876" s="1" t="s">
        <v>182</v>
      </c>
      <c r="F876" s="1" t="s">
        <v>36</v>
      </c>
      <c r="G876" s="2" t="s">
        <v>2</v>
      </c>
      <c r="H876" s="3" t="s">
        <v>97</v>
      </c>
      <c r="I876" s="3" t="s">
        <v>91</v>
      </c>
      <c r="J876" s="3" t="s">
        <v>59</v>
      </c>
      <c r="K876" s="4">
        <v>46.36</v>
      </c>
      <c r="L876" s="6">
        <v>1.74</v>
      </c>
    </row>
    <row r="877" spans="1:12" x14ac:dyDescent="0.25">
      <c r="A877" s="1">
        <v>876</v>
      </c>
      <c r="B877" s="4">
        <v>6279</v>
      </c>
      <c r="C877" s="5">
        <v>40207</v>
      </c>
      <c r="D877" s="3" t="s">
        <v>95</v>
      </c>
      <c r="E877" s="1" t="s">
        <v>293</v>
      </c>
      <c r="F877" s="1" t="s">
        <v>42</v>
      </c>
      <c r="G877" s="2" t="s">
        <v>3</v>
      </c>
      <c r="H877" s="3" t="s">
        <v>100</v>
      </c>
      <c r="I877" s="3" t="s">
        <v>85</v>
      </c>
      <c r="J877" s="3" t="s">
        <v>69</v>
      </c>
      <c r="K877" s="4">
        <v>3283.74</v>
      </c>
      <c r="L877" s="6">
        <v>67.28</v>
      </c>
    </row>
    <row r="878" spans="1:12" x14ac:dyDescent="0.25">
      <c r="A878" s="1">
        <v>877</v>
      </c>
      <c r="B878" s="4">
        <v>6304</v>
      </c>
      <c r="C878" s="5">
        <v>40766</v>
      </c>
      <c r="D878" s="3" t="s">
        <v>89</v>
      </c>
      <c r="E878" s="1" t="s">
        <v>547</v>
      </c>
      <c r="F878" s="1" t="s">
        <v>12</v>
      </c>
      <c r="G878" s="2" t="s">
        <v>2</v>
      </c>
      <c r="H878" s="3" t="s">
        <v>88</v>
      </c>
      <c r="I878" s="3" t="s">
        <v>85</v>
      </c>
      <c r="J878" s="3" t="s">
        <v>66</v>
      </c>
      <c r="K878" s="4">
        <v>199.11</v>
      </c>
      <c r="L878" s="6">
        <v>6.48</v>
      </c>
    </row>
    <row r="879" spans="1:12" x14ac:dyDescent="0.25">
      <c r="A879" s="1">
        <v>878</v>
      </c>
      <c r="B879" s="4">
        <v>6309</v>
      </c>
      <c r="C879" s="5">
        <v>40338</v>
      </c>
      <c r="D879" s="3" t="s">
        <v>4</v>
      </c>
      <c r="E879" s="1" t="s">
        <v>331</v>
      </c>
      <c r="F879" s="1" t="s">
        <v>36</v>
      </c>
      <c r="G879" s="2" t="s">
        <v>2</v>
      </c>
      <c r="H879" s="3" t="s">
        <v>88</v>
      </c>
      <c r="I879" s="3" t="s">
        <v>85</v>
      </c>
      <c r="J879" s="3" t="s">
        <v>65</v>
      </c>
      <c r="K879" s="4">
        <v>29.79</v>
      </c>
      <c r="L879" s="6">
        <v>2.88</v>
      </c>
    </row>
    <row r="880" spans="1:12" x14ac:dyDescent="0.25">
      <c r="A880" s="1">
        <v>879</v>
      </c>
      <c r="B880" s="4">
        <v>6310</v>
      </c>
      <c r="C880" s="5">
        <v>39936</v>
      </c>
      <c r="D880" s="3" t="s">
        <v>86</v>
      </c>
      <c r="E880" s="1" t="s">
        <v>548</v>
      </c>
      <c r="F880" s="1" t="s">
        <v>14</v>
      </c>
      <c r="G880" s="2" t="s">
        <v>2</v>
      </c>
      <c r="H880" s="3" t="s">
        <v>100</v>
      </c>
      <c r="I880" s="3" t="s">
        <v>91</v>
      </c>
      <c r="J880" s="3" t="s">
        <v>59</v>
      </c>
      <c r="K880" s="4">
        <v>216.95</v>
      </c>
      <c r="L880" s="6">
        <v>8.09</v>
      </c>
    </row>
    <row r="881" spans="1:12" x14ac:dyDescent="0.25">
      <c r="A881" s="1">
        <v>880</v>
      </c>
      <c r="B881" s="4">
        <v>6311</v>
      </c>
      <c r="C881" s="5">
        <v>40219</v>
      </c>
      <c r="D881" s="3" t="s">
        <v>4</v>
      </c>
      <c r="E881" s="1" t="s">
        <v>142</v>
      </c>
      <c r="F881" s="1" t="s">
        <v>18</v>
      </c>
      <c r="G881" s="2" t="s">
        <v>6</v>
      </c>
      <c r="H881" s="3" t="s">
        <v>88</v>
      </c>
      <c r="I881" s="3" t="s">
        <v>92</v>
      </c>
      <c r="J881" s="3" t="s">
        <v>61</v>
      </c>
      <c r="K881" s="4">
        <v>1297.4485</v>
      </c>
      <c r="L881" s="6">
        <v>85.99</v>
      </c>
    </row>
    <row r="882" spans="1:12" x14ac:dyDescent="0.25">
      <c r="A882" s="1">
        <v>881</v>
      </c>
      <c r="B882" s="4">
        <v>6336</v>
      </c>
      <c r="C882" s="5">
        <v>40783</v>
      </c>
      <c r="D882" s="3" t="s">
        <v>89</v>
      </c>
      <c r="E882" s="1" t="s">
        <v>549</v>
      </c>
      <c r="F882" s="1" t="s">
        <v>26</v>
      </c>
      <c r="G882" s="2" t="s">
        <v>3</v>
      </c>
      <c r="H882" s="3" t="s">
        <v>97</v>
      </c>
      <c r="I882" s="3" t="s">
        <v>85</v>
      </c>
      <c r="J882" s="3" t="s">
        <v>69</v>
      </c>
      <c r="K882" s="4">
        <v>320.26</v>
      </c>
      <c r="L882" s="6">
        <v>7.1</v>
      </c>
    </row>
    <row r="883" spans="1:12" x14ac:dyDescent="0.25">
      <c r="A883" s="1">
        <v>882</v>
      </c>
      <c r="B883" s="4">
        <v>6337</v>
      </c>
      <c r="C883" s="5">
        <v>40786</v>
      </c>
      <c r="D883" s="3" t="s">
        <v>86</v>
      </c>
      <c r="E883" s="1" t="s">
        <v>226</v>
      </c>
      <c r="F883" s="1" t="s">
        <v>11</v>
      </c>
      <c r="G883" s="2" t="s">
        <v>6</v>
      </c>
      <c r="H883" s="3" t="s">
        <v>88</v>
      </c>
      <c r="I883" s="3" t="s">
        <v>91</v>
      </c>
      <c r="J883" s="3" t="s">
        <v>59</v>
      </c>
      <c r="K883" s="4">
        <v>3397.72</v>
      </c>
      <c r="L883" s="6">
        <v>70.709999999999994</v>
      </c>
    </row>
    <row r="884" spans="1:12" x14ac:dyDescent="0.25">
      <c r="A884" s="1">
        <v>883</v>
      </c>
      <c r="B884" s="4">
        <v>6337</v>
      </c>
      <c r="C884" s="5">
        <v>40786</v>
      </c>
      <c r="D884" s="3" t="s">
        <v>86</v>
      </c>
      <c r="E884" s="1" t="s">
        <v>226</v>
      </c>
      <c r="F884" s="1" t="s">
        <v>11</v>
      </c>
      <c r="G884" s="2" t="s">
        <v>6</v>
      </c>
      <c r="H884" s="3" t="s">
        <v>88</v>
      </c>
      <c r="I884" s="3" t="s">
        <v>91</v>
      </c>
      <c r="J884" s="3" t="s">
        <v>60</v>
      </c>
      <c r="K884" s="4">
        <v>449.42</v>
      </c>
      <c r="L884" s="6">
        <v>376.13</v>
      </c>
    </row>
    <row r="885" spans="1:12" x14ac:dyDescent="0.25">
      <c r="A885" s="1">
        <v>884</v>
      </c>
      <c r="B885" s="4">
        <v>6339</v>
      </c>
      <c r="C885" s="5">
        <v>41254</v>
      </c>
      <c r="D885" s="3" t="s">
        <v>95</v>
      </c>
      <c r="E885" s="1" t="s">
        <v>550</v>
      </c>
      <c r="F885" s="1" t="s">
        <v>10</v>
      </c>
      <c r="G885" s="2" t="s">
        <v>3</v>
      </c>
      <c r="H885" s="3" t="s">
        <v>88</v>
      </c>
      <c r="I885" s="3" t="s">
        <v>85</v>
      </c>
      <c r="J885" s="3" t="s">
        <v>57</v>
      </c>
      <c r="K885" s="4">
        <v>303.69</v>
      </c>
      <c r="L885" s="6">
        <v>14.98</v>
      </c>
    </row>
    <row r="886" spans="1:12" x14ac:dyDescent="0.25">
      <c r="A886" s="1">
        <v>885</v>
      </c>
      <c r="B886" s="4">
        <v>6368</v>
      </c>
      <c r="C886" s="5">
        <v>39866</v>
      </c>
      <c r="D886" s="3" t="s">
        <v>86</v>
      </c>
      <c r="E886" s="1" t="s">
        <v>453</v>
      </c>
      <c r="F886" s="1" t="s">
        <v>36</v>
      </c>
      <c r="G886" s="2" t="s">
        <v>2</v>
      </c>
      <c r="H886" s="3" t="s">
        <v>88</v>
      </c>
      <c r="I886" s="3" t="s">
        <v>92</v>
      </c>
      <c r="J886" s="3" t="s">
        <v>67</v>
      </c>
      <c r="K886" s="4">
        <v>19100.45</v>
      </c>
      <c r="L886" s="6">
        <v>442.14</v>
      </c>
    </row>
    <row r="887" spans="1:12" x14ac:dyDescent="0.25">
      <c r="A887" s="1">
        <v>886</v>
      </c>
      <c r="B887" s="4">
        <v>6369</v>
      </c>
      <c r="C887" s="5">
        <v>40166</v>
      </c>
      <c r="D887" s="3" t="s">
        <v>89</v>
      </c>
      <c r="E887" s="1" t="s">
        <v>404</v>
      </c>
      <c r="F887" s="1" t="s">
        <v>21</v>
      </c>
      <c r="G887" s="2" t="s">
        <v>1</v>
      </c>
      <c r="H887" s="3" t="s">
        <v>88</v>
      </c>
      <c r="I887" s="3" t="s">
        <v>91</v>
      </c>
      <c r="J887" s="3" t="s">
        <v>60</v>
      </c>
      <c r="K887" s="4">
        <v>14922.16</v>
      </c>
      <c r="L887" s="6">
        <v>550.98</v>
      </c>
    </row>
    <row r="888" spans="1:12" x14ac:dyDescent="0.25">
      <c r="A888" s="1">
        <v>887</v>
      </c>
      <c r="B888" s="4">
        <v>6373</v>
      </c>
      <c r="C888" s="5">
        <v>40931</v>
      </c>
      <c r="D888" s="3" t="s">
        <v>86</v>
      </c>
      <c r="E888" s="1" t="s">
        <v>404</v>
      </c>
      <c r="F888" s="1" t="s">
        <v>21</v>
      </c>
      <c r="G888" s="2" t="s">
        <v>1</v>
      </c>
      <c r="H888" s="3" t="s">
        <v>97</v>
      </c>
      <c r="I888" s="3" t="s">
        <v>85</v>
      </c>
      <c r="J888" s="3" t="s">
        <v>70</v>
      </c>
      <c r="K888" s="4">
        <v>62.77</v>
      </c>
      <c r="L888" s="6">
        <v>60.97</v>
      </c>
    </row>
    <row r="889" spans="1:12" x14ac:dyDescent="0.25">
      <c r="A889" s="1">
        <v>888</v>
      </c>
      <c r="B889" s="4">
        <v>6374</v>
      </c>
      <c r="C889" s="5">
        <v>40762</v>
      </c>
      <c r="D889" s="3" t="s">
        <v>95</v>
      </c>
      <c r="E889" s="1" t="s">
        <v>551</v>
      </c>
      <c r="F889" s="1" t="s">
        <v>30</v>
      </c>
      <c r="G889" s="2" t="s">
        <v>6</v>
      </c>
      <c r="H889" s="3" t="s">
        <v>88</v>
      </c>
      <c r="I889" s="3" t="s">
        <v>92</v>
      </c>
      <c r="J889" s="3" t="s">
        <v>62</v>
      </c>
      <c r="K889" s="4">
        <v>857.42</v>
      </c>
      <c r="L889" s="6">
        <v>31.11</v>
      </c>
    </row>
    <row r="890" spans="1:12" x14ac:dyDescent="0.25">
      <c r="A890" s="1">
        <v>889</v>
      </c>
      <c r="B890" s="4">
        <v>6374</v>
      </c>
      <c r="C890" s="5">
        <v>40762</v>
      </c>
      <c r="D890" s="3" t="s">
        <v>95</v>
      </c>
      <c r="E890" s="1" t="s">
        <v>551</v>
      </c>
      <c r="F890" s="1" t="s">
        <v>30</v>
      </c>
      <c r="G890" s="2" t="s">
        <v>6</v>
      </c>
      <c r="H890" s="3" t="s">
        <v>88</v>
      </c>
      <c r="I890" s="3" t="s">
        <v>85</v>
      </c>
      <c r="J890" s="3" t="s">
        <v>64</v>
      </c>
      <c r="K890" s="4">
        <v>2.2400000000000002</v>
      </c>
      <c r="L890" s="6">
        <v>1.48</v>
      </c>
    </row>
    <row r="891" spans="1:12" x14ac:dyDescent="0.25">
      <c r="A891" s="1">
        <v>890</v>
      </c>
      <c r="B891" s="4">
        <v>6402</v>
      </c>
      <c r="C891" s="5">
        <v>40656</v>
      </c>
      <c r="D891" s="3" t="s">
        <v>82</v>
      </c>
      <c r="E891" s="1" t="s">
        <v>552</v>
      </c>
      <c r="F891" s="1" t="s">
        <v>44</v>
      </c>
      <c r="G891" s="2" t="s">
        <v>3</v>
      </c>
      <c r="H891" s="3" t="s">
        <v>88</v>
      </c>
      <c r="I891" s="3" t="s">
        <v>85</v>
      </c>
      <c r="J891" s="3" t="s">
        <v>58</v>
      </c>
      <c r="K891" s="4">
        <v>373.33</v>
      </c>
      <c r="L891" s="6">
        <v>10.23</v>
      </c>
    </row>
    <row r="892" spans="1:12" x14ac:dyDescent="0.25">
      <c r="A892" s="1">
        <v>891</v>
      </c>
      <c r="B892" s="4">
        <v>6403</v>
      </c>
      <c r="C892" s="5">
        <v>40585</v>
      </c>
      <c r="D892" s="3" t="s">
        <v>82</v>
      </c>
      <c r="E892" s="1" t="s">
        <v>259</v>
      </c>
      <c r="F892" s="1" t="s">
        <v>34</v>
      </c>
      <c r="G892" s="2" t="s">
        <v>1</v>
      </c>
      <c r="H892" s="3" t="s">
        <v>84</v>
      </c>
      <c r="I892" s="3" t="s">
        <v>85</v>
      </c>
      <c r="J892" s="3" t="s">
        <v>57</v>
      </c>
      <c r="K892" s="4">
        <v>17874.259999999998</v>
      </c>
      <c r="L892" s="6">
        <v>419.19</v>
      </c>
    </row>
    <row r="893" spans="1:12" x14ac:dyDescent="0.25">
      <c r="A893" s="1">
        <v>892</v>
      </c>
      <c r="B893" s="4">
        <v>6406</v>
      </c>
      <c r="C893" s="5">
        <v>40039</v>
      </c>
      <c r="D893" s="3" t="s">
        <v>95</v>
      </c>
      <c r="E893" s="1" t="s">
        <v>396</v>
      </c>
      <c r="F893" s="1" t="s">
        <v>23</v>
      </c>
      <c r="G893" s="2" t="s">
        <v>3</v>
      </c>
      <c r="H893" s="3" t="s">
        <v>97</v>
      </c>
      <c r="I893" s="3" t="s">
        <v>85</v>
      </c>
      <c r="J893" s="3" t="s">
        <v>58</v>
      </c>
      <c r="K893" s="4">
        <v>92.63</v>
      </c>
      <c r="L893" s="6">
        <v>2.08</v>
      </c>
    </row>
    <row r="894" spans="1:12" x14ac:dyDescent="0.25">
      <c r="A894" s="1">
        <v>893</v>
      </c>
      <c r="B894" s="4">
        <v>6432</v>
      </c>
      <c r="C894" s="5">
        <v>40857</v>
      </c>
      <c r="D894" s="3" t="s">
        <v>95</v>
      </c>
      <c r="E894" s="1" t="s">
        <v>224</v>
      </c>
      <c r="F894" s="1" t="s">
        <v>35</v>
      </c>
      <c r="G894" s="2" t="s">
        <v>1</v>
      </c>
      <c r="H894" s="3" t="s">
        <v>88</v>
      </c>
      <c r="I894" s="3" t="s">
        <v>85</v>
      </c>
      <c r="J894" s="3" t="s">
        <v>70</v>
      </c>
      <c r="K894" s="4">
        <v>311.08</v>
      </c>
      <c r="L894" s="6">
        <v>10.89</v>
      </c>
    </row>
    <row r="895" spans="1:12" x14ac:dyDescent="0.25">
      <c r="A895" s="1">
        <v>894</v>
      </c>
      <c r="B895" s="4">
        <v>6433</v>
      </c>
      <c r="C895" s="5">
        <v>40869</v>
      </c>
      <c r="D895" s="3" t="s">
        <v>4</v>
      </c>
      <c r="E895" s="1" t="s">
        <v>370</v>
      </c>
      <c r="F895" s="1" t="s">
        <v>31</v>
      </c>
      <c r="G895" s="2" t="s">
        <v>1</v>
      </c>
      <c r="H895" s="3" t="s">
        <v>97</v>
      </c>
      <c r="I895" s="3" t="s">
        <v>85</v>
      </c>
      <c r="J895" s="3" t="s">
        <v>65</v>
      </c>
      <c r="K895" s="4">
        <v>159.26</v>
      </c>
      <c r="L895" s="6">
        <v>3.69</v>
      </c>
    </row>
    <row r="896" spans="1:12" x14ac:dyDescent="0.25">
      <c r="A896" s="1">
        <v>895</v>
      </c>
      <c r="B896" s="4">
        <v>6434</v>
      </c>
      <c r="C896" s="5">
        <v>39971</v>
      </c>
      <c r="D896" s="3" t="s">
        <v>89</v>
      </c>
      <c r="E896" s="1" t="s">
        <v>309</v>
      </c>
      <c r="F896" s="1" t="s">
        <v>11</v>
      </c>
      <c r="G896" s="2" t="s">
        <v>6</v>
      </c>
      <c r="H896" s="3" t="s">
        <v>88</v>
      </c>
      <c r="I896" s="3" t="s">
        <v>85</v>
      </c>
      <c r="J896" s="3" t="s">
        <v>66</v>
      </c>
      <c r="K896" s="4">
        <v>59.58</v>
      </c>
      <c r="L896" s="6">
        <v>4.76</v>
      </c>
    </row>
    <row r="897" spans="1:12" x14ac:dyDescent="0.25">
      <c r="A897" s="1">
        <v>896</v>
      </c>
      <c r="B897" s="4">
        <v>6438</v>
      </c>
      <c r="C897" s="5">
        <v>40314</v>
      </c>
      <c r="D897" s="3" t="s">
        <v>86</v>
      </c>
      <c r="E897" s="1" t="s">
        <v>553</v>
      </c>
      <c r="F897" s="1" t="s">
        <v>13</v>
      </c>
      <c r="G897" s="2" t="s">
        <v>6</v>
      </c>
      <c r="H897" s="3" t="s">
        <v>88</v>
      </c>
      <c r="I897" s="3" t="s">
        <v>91</v>
      </c>
      <c r="J897" s="3" t="s">
        <v>59</v>
      </c>
      <c r="K897" s="4">
        <v>75.72</v>
      </c>
      <c r="L897" s="6">
        <v>9.77</v>
      </c>
    </row>
    <row r="898" spans="1:12" x14ac:dyDescent="0.25">
      <c r="A898" s="1">
        <v>897</v>
      </c>
      <c r="B898" s="4">
        <v>6438</v>
      </c>
      <c r="C898" s="5">
        <v>40314</v>
      </c>
      <c r="D898" s="3" t="s">
        <v>86</v>
      </c>
      <c r="E898" s="1" t="s">
        <v>553</v>
      </c>
      <c r="F898" s="1" t="s">
        <v>13</v>
      </c>
      <c r="G898" s="2" t="s">
        <v>6</v>
      </c>
      <c r="H898" s="3" t="s">
        <v>88</v>
      </c>
      <c r="I898" s="3" t="s">
        <v>85</v>
      </c>
      <c r="J898" s="3" t="s">
        <v>66</v>
      </c>
      <c r="K898" s="4">
        <v>225.21</v>
      </c>
      <c r="L898" s="6">
        <v>5.98</v>
      </c>
    </row>
    <row r="899" spans="1:12" x14ac:dyDescent="0.25">
      <c r="A899" s="1">
        <v>898</v>
      </c>
      <c r="B899" s="4">
        <v>6464</v>
      </c>
      <c r="C899" s="5">
        <v>39961</v>
      </c>
      <c r="D899" s="3" t="s">
        <v>4</v>
      </c>
      <c r="E899" s="1" t="s">
        <v>554</v>
      </c>
      <c r="F899" s="1" t="s">
        <v>31</v>
      </c>
      <c r="G899" s="2" t="s">
        <v>1</v>
      </c>
      <c r="H899" s="3" t="s">
        <v>100</v>
      </c>
      <c r="I899" s="3" t="s">
        <v>85</v>
      </c>
      <c r="J899" s="3" t="s">
        <v>70</v>
      </c>
      <c r="K899" s="4">
        <v>57.84</v>
      </c>
      <c r="L899" s="6">
        <v>60.97</v>
      </c>
    </row>
    <row r="900" spans="1:12" x14ac:dyDescent="0.25">
      <c r="A900" s="1">
        <v>899</v>
      </c>
      <c r="B900" s="4">
        <v>6464</v>
      </c>
      <c r="C900" s="5">
        <v>39961</v>
      </c>
      <c r="D900" s="3" t="s">
        <v>4</v>
      </c>
      <c r="E900" s="1" t="s">
        <v>554</v>
      </c>
      <c r="F900" s="1" t="s">
        <v>31</v>
      </c>
      <c r="G900" s="2" t="s">
        <v>1</v>
      </c>
      <c r="H900" s="3" t="s">
        <v>100</v>
      </c>
      <c r="I900" s="3" t="s">
        <v>91</v>
      </c>
      <c r="J900" s="3" t="s">
        <v>59</v>
      </c>
      <c r="K900" s="4">
        <v>3991.99</v>
      </c>
      <c r="L900" s="6">
        <v>90.98</v>
      </c>
    </row>
    <row r="901" spans="1:12" x14ac:dyDescent="0.25">
      <c r="A901" s="1">
        <v>900</v>
      </c>
      <c r="B901" s="4">
        <v>6465</v>
      </c>
      <c r="C901" s="5">
        <v>40767</v>
      </c>
      <c r="D901" s="3" t="s">
        <v>82</v>
      </c>
      <c r="E901" s="1" t="s">
        <v>470</v>
      </c>
      <c r="F901" s="1" t="s">
        <v>21</v>
      </c>
      <c r="G901" s="2" t="s">
        <v>1</v>
      </c>
      <c r="H901" s="3" t="s">
        <v>84</v>
      </c>
      <c r="I901" s="3" t="s">
        <v>85</v>
      </c>
      <c r="J901" s="3" t="s">
        <v>66</v>
      </c>
      <c r="K901" s="4">
        <v>240.14</v>
      </c>
      <c r="L901" s="6">
        <v>6.88</v>
      </c>
    </row>
    <row r="902" spans="1:12" x14ac:dyDescent="0.25">
      <c r="A902" s="1">
        <v>901</v>
      </c>
      <c r="B902" s="4">
        <v>6498</v>
      </c>
      <c r="C902" s="5">
        <v>39889</v>
      </c>
      <c r="D902" s="3" t="s">
        <v>4</v>
      </c>
      <c r="E902" s="1" t="s">
        <v>555</v>
      </c>
      <c r="F902" s="1" t="s">
        <v>51</v>
      </c>
      <c r="G902" s="2" t="s">
        <v>1</v>
      </c>
      <c r="H902" s="3" t="s">
        <v>97</v>
      </c>
      <c r="I902" s="3" t="s">
        <v>92</v>
      </c>
      <c r="J902" s="3" t="s">
        <v>62</v>
      </c>
      <c r="K902" s="4">
        <v>336.85</v>
      </c>
      <c r="L902" s="6">
        <v>8.1199999999999992</v>
      </c>
    </row>
    <row r="903" spans="1:12" x14ac:dyDescent="0.25">
      <c r="A903" s="1">
        <v>902</v>
      </c>
      <c r="B903" s="4">
        <v>6500</v>
      </c>
      <c r="C903" s="5">
        <v>41194</v>
      </c>
      <c r="D903" s="3" t="s">
        <v>95</v>
      </c>
      <c r="E903" s="1" t="s">
        <v>141</v>
      </c>
      <c r="F903" s="1" t="s">
        <v>9</v>
      </c>
      <c r="G903" s="2" t="s">
        <v>2</v>
      </c>
      <c r="H903" s="3" t="s">
        <v>97</v>
      </c>
      <c r="I903" s="3" t="s">
        <v>92</v>
      </c>
      <c r="J903" s="3" t="s">
        <v>62</v>
      </c>
      <c r="K903" s="4">
        <v>448.07</v>
      </c>
      <c r="L903" s="6">
        <v>30.42</v>
      </c>
    </row>
    <row r="904" spans="1:12" x14ac:dyDescent="0.25">
      <c r="A904" s="1">
        <v>903</v>
      </c>
      <c r="B904" s="4">
        <v>6500</v>
      </c>
      <c r="C904" s="5">
        <v>41194</v>
      </c>
      <c r="D904" s="3" t="s">
        <v>95</v>
      </c>
      <c r="E904" s="1" t="s">
        <v>141</v>
      </c>
      <c r="F904" s="1" t="s">
        <v>9</v>
      </c>
      <c r="G904" s="2" t="s">
        <v>2</v>
      </c>
      <c r="H904" s="3" t="s">
        <v>97</v>
      </c>
      <c r="I904" s="3" t="s">
        <v>85</v>
      </c>
      <c r="J904" s="3" t="s">
        <v>63</v>
      </c>
      <c r="K904" s="4">
        <v>38.29</v>
      </c>
      <c r="L904" s="6">
        <v>1.95</v>
      </c>
    </row>
    <row r="905" spans="1:12" x14ac:dyDescent="0.25">
      <c r="A905" s="1">
        <v>904</v>
      </c>
      <c r="B905" s="4">
        <v>6501</v>
      </c>
      <c r="C905" s="5">
        <v>40921</v>
      </c>
      <c r="D905" s="3" t="s">
        <v>89</v>
      </c>
      <c r="E905" s="1" t="s">
        <v>534</v>
      </c>
      <c r="F905" s="1" t="s">
        <v>19</v>
      </c>
      <c r="G905" s="2" t="s">
        <v>3</v>
      </c>
      <c r="H905" s="3" t="s">
        <v>88</v>
      </c>
      <c r="I905" s="3" t="s">
        <v>85</v>
      </c>
      <c r="J905" s="3" t="s">
        <v>66</v>
      </c>
      <c r="K905" s="4">
        <v>236.99</v>
      </c>
      <c r="L905" s="6">
        <v>6.48</v>
      </c>
    </row>
    <row r="906" spans="1:12" x14ac:dyDescent="0.25">
      <c r="A906" s="1">
        <v>905</v>
      </c>
      <c r="B906" s="4">
        <v>6501</v>
      </c>
      <c r="C906" s="5">
        <v>40921</v>
      </c>
      <c r="D906" s="3" t="s">
        <v>89</v>
      </c>
      <c r="E906" s="1" t="s">
        <v>556</v>
      </c>
      <c r="F906" s="1" t="s">
        <v>19</v>
      </c>
      <c r="G906" s="2" t="s">
        <v>3</v>
      </c>
      <c r="H906" s="3" t="s">
        <v>88</v>
      </c>
      <c r="I906" s="3" t="s">
        <v>92</v>
      </c>
      <c r="J906" s="3" t="s">
        <v>61</v>
      </c>
      <c r="K906" s="4">
        <v>4617.3359999999993</v>
      </c>
      <c r="L906" s="6">
        <v>125.99</v>
      </c>
    </row>
    <row r="907" spans="1:12" x14ac:dyDescent="0.25">
      <c r="A907" s="1">
        <v>906</v>
      </c>
      <c r="B907" s="4">
        <v>6502</v>
      </c>
      <c r="C907" s="5">
        <v>40775</v>
      </c>
      <c r="D907" s="3" t="s">
        <v>4</v>
      </c>
      <c r="E907" s="1" t="s">
        <v>514</v>
      </c>
      <c r="F907" s="1" t="s">
        <v>35</v>
      </c>
      <c r="G907" s="2" t="s">
        <v>1</v>
      </c>
      <c r="H907" s="3" t="s">
        <v>97</v>
      </c>
      <c r="I907" s="3" t="s">
        <v>85</v>
      </c>
      <c r="J907" s="3" t="s">
        <v>66</v>
      </c>
      <c r="K907" s="4">
        <v>116.11</v>
      </c>
      <c r="L907" s="6">
        <v>7.64</v>
      </c>
    </row>
    <row r="908" spans="1:12" x14ac:dyDescent="0.25">
      <c r="A908" s="1">
        <v>907</v>
      </c>
      <c r="B908" s="4">
        <v>6502</v>
      </c>
      <c r="C908" s="5">
        <v>40775</v>
      </c>
      <c r="D908" s="3" t="s">
        <v>4</v>
      </c>
      <c r="E908" s="1" t="s">
        <v>514</v>
      </c>
      <c r="F908" s="1" t="s">
        <v>35</v>
      </c>
      <c r="G908" s="2" t="s">
        <v>1</v>
      </c>
      <c r="H908" s="3" t="s">
        <v>97</v>
      </c>
      <c r="I908" s="3" t="s">
        <v>85</v>
      </c>
      <c r="J908" s="3" t="s">
        <v>66</v>
      </c>
      <c r="K908" s="4">
        <v>306.92</v>
      </c>
      <c r="L908" s="6">
        <v>9.99</v>
      </c>
    </row>
    <row r="909" spans="1:12" x14ac:dyDescent="0.25">
      <c r="A909" s="1">
        <v>908</v>
      </c>
      <c r="B909" s="4">
        <v>6529</v>
      </c>
      <c r="C909" s="5">
        <v>41239</v>
      </c>
      <c r="D909" s="3" t="s">
        <v>4</v>
      </c>
      <c r="E909" s="1" t="s">
        <v>557</v>
      </c>
      <c r="F909" s="1" t="s">
        <v>19</v>
      </c>
      <c r="G909" s="2" t="s">
        <v>3</v>
      </c>
      <c r="H909" s="3" t="s">
        <v>84</v>
      </c>
      <c r="I909" s="3" t="s">
        <v>85</v>
      </c>
      <c r="J909" s="3" t="s">
        <v>64</v>
      </c>
      <c r="K909" s="4">
        <v>89.71</v>
      </c>
      <c r="L909" s="6">
        <v>2.62</v>
      </c>
    </row>
    <row r="910" spans="1:12" x14ac:dyDescent="0.25">
      <c r="A910" s="1">
        <v>909</v>
      </c>
      <c r="B910" s="4">
        <v>6531</v>
      </c>
      <c r="C910" s="5">
        <v>40376</v>
      </c>
      <c r="D910" s="3" t="s">
        <v>89</v>
      </c>
      <c r="E910" s="1" t="s">
        <v>558</v>
      </c>
      <c r="F910" s="1" t="s">
        <v>24</v>
      </c>
      <c r="G910" s="2" t="s">
        <v>2</v>
      </c>
      <c r="H910" s="3" t="s">
        <v>97</v>
      </c>
      <c r="I910" s="3" t="s">
        <v>85</v>
      </c>
      <c r="J910" s="3" t="s">
        <v>70</v>
      </c>
      <c r="K910" s="4">
        <v>188.23</v>
      </c>
      <c r="L910" s="6">
        <v>4.37</v>
      </c>
    </row>
    <row r="911" spans="1:12" x14ac:dyDescent="0.25">
      <c r="A911" s="1">
        <v>910</v>
      </c>
      <c r="B911" s="4">
        <v>6531</v>
      </c>
      <c r="C911" s="5">
        <v>40376</v>
      </c>
      <c r="D911" s="3" t="s">
        <v>89</v>
      </c>
      <c r="E911" s="1" t="s">
        <v>558</v>
      </c>
      <c r="F911" s="1" t="s">
        <v>24</v>
      </c>
      <c r="G911" s="2" t="s">
        <v>2</v>
      </c>
      <c r="H911" s="3" t="s">
        <v>97</v>
      </c>
      <c r="I911" s="3" t="s">
        <v>85</v>
      </c>
      <c r="J911" s="3" t="s">
        <v>63</v>
      </c>
      <c r="K911" s="4">
        <v>541.95000000000005</v>
      </c>
      <c r="L911" s="6">
        <v>19.84</v>
      </c>
    </row>
    <row r="912" spans="1:12" x14ac:dyDescent="0.25">
      <c r="A912" s="1">
        <v>911</v>
      </c>
      <c r="B912" s="4">
        <v>6535</v>
      </c>
      <c r="C912" s="5">
        <v>41072</v>
      </c>
      <c r="D912" s="3" t="s">
        <v>95</v>
      </c>
      <c r="E912" s="1" t="s">
        <v>202</v>
      </c>
      <c r="F912" s="1" t="s">
        <v>8</v>
      </c>
      <c r="G912" s="2" t="s">
        <v>6</v>
      </c>
      <c r="H912" s="3" t="s">
        <v>88</v>
      </c>
      <c r="I912" s="3" t="s">
        <v>85</v>
      </c>
      <c r="J912" s="3" t="s">
        <v>63</v>
      </c>
      <c r="K912" s="4">
        <v>312.36</v>
      </c>
      <c r="L912" s="6">
        <v>28.15</v>
      </c>
    </row>
    <row r="913" spans="1:12" x14ac:dyDescent="0.25">
      <c r="A913" s="1">
        <v>912</v>
      </c>
      <c r="B913" s="4">
        <v>6560</v>
      </c>
      <c r="C913" s="5">
        <v>40547</v>
      </c>
      <c r="D913" s="3" t="s">
        <v>82</v>
      </c>
      <c r="E913" s="1" t="s">
        <v>559</v>
      </c>
      <c r="F913" s="1" t="s">
        <v>37</v>
      </c>
      <c r="G913" s="2" t="s">
        <v>3</v>
      </c>
      <c r="H913" s="3" t="s">
        <v>88</v>
      </c>
      <c r="I913" s="3" t="s">
        <v>85</v>
      </c>
      <c r="J913" s="3" t="s">
        <v>70</v>
      </c>
      <c r="K913" s="4">
        <v>169.18</v>
      </c>
      <c r="L913" s="6">
        <v>8.67</v>
      </c>
    </row>
    <row r="914" spans="1:12" x14ac:dyDescent="0.25">
      <c r="A914" s="1">
        <v>913</v>
      </c>
      <c r="B914" s="4">
        <v>6560</v>
      </c>
      <c r="C914" s="5">
        <v>40547</v>
      </c>
      <c r="D914" s="3" t="s">
        <v>82</v>
      </c>
      <c r="E914" s="1" t="s">
        <v>560</v>
      </c>
      <c r="F914" s="1" t="s">
        <v>37</v>
      </c>
      <c r="G914" s="2" t="s">
        <v>3</v>
      </c>
      <c r="H914" s="3" t="s">
        <v>88</v>
      </c>
      <c r="I914" s="3" t="s">
        <v>91</v>
      </c>
      <c r="J914" s="3" t="s">
        <v>60</v>
      </c>
      <c r="K914" s="4">
        <v>8252.3919999999998</v>
      </c>
      <c r="L914" s="6">
        <v>280.98</v>
      </c>
    </row>
    <row r="915" spans="1:12" x14ac:dyDescent="0.25">
      <c r="A915" s="1">
        <v>914</v>
      </c>
      <c r="B915" s="4">
        <v>6562</v>
      </c>
      <c r="C915" s="5">
        <v>40167</v>
      </c>
      <c r="D915" s="3" t="s">
        <v>95</v>
      </c>
      <c r="E915" s="1" t="s">
        <v>561</v>
      </c>
      <c r="F915" s="1" t="s">
        <v>9</v>
      </c>
      <c r="G915" s="2" t="s">
        <v>2</v>
      </c>
      <c r="H915" s="3" t="s">
        <v>100</v>
      </c>
      <c r="I915" s="3" t="s">
        <v>92</v>
      </c>
      <c r="J915" s="3" t="s">
        <v>67</v>
      </c>
      <c r="K915" s="4">
        <v>17274.87</v>
      </c>
      <c r="L915" s="6">
        <v>1360.14</v>
      </c>
    </row>
    <row r="916" spans="1:12" x14ac:dyDescent="0.25">
      <c r="A916" s="1">
        <v>915</v>
      </c>
      <c r="B916" s="4">
        <v>6564</v>
      </c>
      <c r="C916" s="5">
        <v>40564</v>
      </c>
      <c r="D916" s="3" t="s">
        <v>82</v>
      </c>
      <c r="E916" s="1" t="s">
        <v>562</v>
      </c>
      <c r="F916" s="1" t="s">
        <v>24</v>
      </c>
      <c r="G916" s="2" t="s">
        <v>2</v>
      </c>
      <c r="H916" s="3" t="s">
        <v>100</v>
      </c>
      <c r="I916" s="3" t="s">
        <v>92</v>
      </c>
      <c r="J916" s="3" t="s">
        <v>62</v>
      </c>
      <c r="K916" s="4">
        <v>448.23</v>
      </c>
      <c r="L916" s="6">
        <v>15.98</v>
      </c>
    </row>
    <row r="917" spans="1:12" x14ac:dyDescent="0.25">
      <c r="A917" s="1">
        <v>916</v>
      </c>
      <c r="B917" s="4">
        <v>6566</v>
      </c>
      <c r="C917" s="5">
        <v>40684</v>
      </c>
      <c r="D917" s="3" t="s">
        <v>95</v>
      </c>
      <c r="E917" s="1" t="s">
        <v>276</v>
      </c>
      <c r="F917" s="1" t="s">
        <v>24</v>
      </c>
      <c r="G917" s="2" t="s">
        <v>2</v>
      </c>
      <c r="H917" s="3" t="s">
        <v>88</v>
      </c>
      <c r="I917" s="3" t="s">
        <v>92</v>
      </c>
      <c r="J917" s="3" t="s">
        <v>62</v>
      </c>
      <c r="K917" s="4">
        <v>748.83</v>
      </c>
      <c r="L917" s="6">
        <v>33.979999999999997</v>
      </c>
    </row>
    <row r="918" spans="1:12" x14ac:dyDescent="0.25">
      <c r="A918" s="1">
        <v>917</v>
      </c>
      <c r="B918" s="4">
        <v>6592</v>
      </c>
      <c r="C918" s="5">
        <v>40148</v>
      </c>
      <c r="D918" s="3" t="s">
        <v>82</v>
      </c>
      <c r="E918" s="1" t="s">
        <v>161</v>
      </c>
      <c r="F918" s="1" t="s">
        <v>13</v>
      </c>
      <c r="G918" s="2" t="s">
        <v>6</v>
      </c>
      <c r="H918" s="3" t="s">
        <v>100</v>
      </c>
      <c r="I918" s="3" t="s">
        <v>85</v>
      </c>
      <c r="J918" s="3" t="s">
        <v>58</v>
      </c>
      <c r="K918" s="4">
        <v>194.29</v>
      </c>
      <c r="L918" s="6">
        <v>6.84</v>
      </c>
    </row>
    <row r="919" spans="1:12" x14ac:dyDescent="0.25">
      <c r="A919" s="1">
        <v>918</v>
      </c>
      <c r="B919" s="4">
        <v>6592</v>
      </c>
      <c r="C919" s="5">
        <v>40148</v>
      </c>
      <c r="D919" s="3" t="s">
        <v>82</v>
      </c>
      <c r="E919" s="1" t="s">
        <v>161</v>
      </c>
      <c r="F919" s="1" t="s">
        <v>13</v>
      </c>
      <c r="G919" s="2" t="s">
        <v>6</v>
      </c>
      <c r="H919" s="3" t="s">
        <v>100</v>
      </c>
      <c r="I919" s="3" t="s">
        <v>85</v>
      </c>
      <c r="J919" s="3" t="s">
        <v>57</v>
      </c>
      <c r="K919" s="4">
        <v>1621.1</v>
      </c>
      <c r="L919" s="6">
        <v>48.91</v>
      </c>
    </row>
    <row r="920" spans="1:12" x14ac:dyDescent="0.25">
      <c r="A920" s="1">
        <v>919</v>
      </c>
      <c r="B920" s="4">
        <v>6596</v>
      </c>
      <c r="C920" s="5">
        <v>40745</v>
      </c>
      <c r="D920" s="3" t="s">
        <v>82</v>
      </c>
      <c r="E920" s="1" t="s">
        <v>563</v>
      </c>
      <c r="F920" s="1" t="s">
        <v>25</v>
      </c>
      <c r="G920" s="2" t="s">
        <v>6</v>
      </c>
      <c r="H920" s="3" t="s">
        <v>88</v>
      </c>
      <c r="I920" s="3" t="s">
        <v>92</v>
      </c>
      <c r="J920" s="3" t="s">
        <v>67</v>
      </c>
      <c r="K920" s="4">
        <v>18028.07</v>
      </c>
      <c r="L920" s="6">
        <v>500.98</v>
      </c>
    </row>
    <row r="921" spans="1:12" x14ac:dyDescent="0.25">
      <c r="A921" s="1">
        <v>920</v>
      </c>
      <c r="B921" s="4">
        <v>6625</v>
      </c>
      <c r="C921" s="5">
        <v>40405</v>
      </c>
      <c r="D921" s="3" t="s">
        <v>89</v>
      </c>
      <c r="E921" s="1" t="s">
        <v>394</v>
      </c>
      <c r="F921" s="1" t="s">
        <v>23</v>
      </c>
      <c r="G921" s="2" t="s">
        <v>3</v>
      </c>
      <c r="H921" s="3" t="s">
        <v>88</v>
      </c>
      <c r="I921" s="3" t="s">
        <v>91</v>
      </c>
      <c r="J921" s="3" t="s">
        <v>68</v>
      </c>
      <c r="K921" s="4">
        <v>21062.91</v>
      </c>
      <c r="L921" s="6">
        <v>880.98</v>
      </c>
    </row>
    <row r="922" spans="1:12" x14ac:dyDescent="0.25">
      <c r="A922" s="1">
        <v>921</v>
      </c>
      <c r="B922" s="4">
        <v>6656</v>
      </c>
      <c r="C922" s="5">
        <v>39948</v>
      </c>
      <c r="D922" s="3" t="s">
        <v>95</v>
      </c>
      <c r="E922" s="1" t="s">
        <v>564</v>
      </c>
      <c r="F922" s="1" t="s">
        <v>35</v>
      </c>
      <c r="G922" s="2" t="s">
        <v>1</v>
      </c>
      <c r="H922" s="3" t="s">
        <v>84</v>
      </c>
      <c r="I922" s="3" t="s">
        <v>85</v>
      </c>
      <c r="J922" s="3" t="s">
        <v>69</v>
      </c>
      <c r="K922" s="4">
        <v>1802</v>
      </c>
      <c r="L922" s="6">
        <v>39.06</v>
      </c>
    </row>
    <row r="923" spans="1:12" x14ac:dyDescent="0.25">
      <c r="A923" s="1">
        <v>922</v>
      </c>
      <c r="B923" s="4">
        <v>6656</v>
      </c>
      <c r="C923" s="5">
        <v>39948</v>
      </c>
      <c r="D923" s="3" t="s">
        <v>95</v>
      </c>
      <c r="E923" s="1" t="s">
        <v>564</v>
      </c>
      <c r="F923" s="1" t="s">
        <v>35</v>
      </c>
      <c r="G923" s="2" t="s">
        <v>1</v>
      </c>
      <c r="H923" s="3" t="s">
        <v>84</v>
      </c>
      <c r="I923" s="3" t="s">
        <v>85</v>
      </c>
      <c r="J923" s="3" t="s">
        <v>69</v>
      </c>
      <c r="K923" s="4">
        <v>1832.22</v>
      </c>
      <c r="L923" s="6">
        <v>37.700000000000003</v>
      </c>
    </row>
    <row r="924" spans="1:12" x14ac:dyDescent="0.25">
      <c r="A924" s="1">
        <v>923</v>
      </c>
      <c r="B924" s="4">
        <v>6661</v>
      </c>
      <c r="C924" s="5">
        <v>40284</v>
      </c>
      <c r="D924" s="3" t="s">
        <v>82</v>
      </c>
      <c r="E924" s="1" t="s">
        <v>113</v>
      </c>
      <c r="F924" s="1" t="s">
        <v>12</v>
      </c>
      <c r="G924" s="2" t="s">
        <v>2</v>
      </c>
      <c r="H924" s="3" t="s">
        <v>84</v>
      </c>
      <c r="I924" s="3" t="s">
        <v>92</v>
      </c>
      <c r="J924" s="3" t="s">
        <v>73</v>
      </c>
      <c r="K924" s="4">
        <v>19224.919999999998</v>
      </c>
      <c r="L924" s="6">
        <v>449.99</v>
      </c>
    </row>
    <row r="925" spans="1:12" x14ac:dyDescent="0.25">
      <c r="A925" s="1">
        <v>924</v>
      </c>
      <c r="B925" s="4">
        <v>6661</v>
      </c>
      <c r="C925" s="5">
        <v>40284</v>
      </c>
      <c r="D925" s="3" t="s">
        <v>82</v>
      </c>
      <c r="E925" s="1" t="s">
        <v>113</v>
      </c>
      <c r="F925" s="1" t="s">
        <v>12</v>
      </c>
      <c r="G925" s="2" t="s">
        <v>2</v>
      </c>
      <c r="H925" s="3" t="s">
        <v>84</v>
      </c>
      <c r="I925" s="3" t="s">
        <v>91</v>
      </c>
      <c r="J925" s="3" t="s">
        <v>59</v>
      </c>
      <c r="K925" s="4">
        <v>778.62</v>
      </c>
      <c r="L925" s="6">
        <v>19.23</v>
      </c>
    </row>
    <row r="926" spans="1:12" x14ac:dyDescent="0.25">
      <c r="A926" s="1">
        <v>925</v>
      </c>
      <c r="B926" s="4">
        <v>6693</v>
      </c>
      <c r="C926" s="5">
        <v>41053</v>
      </c>
      <c r="D926" s="3" t="s">
        <v>95</v>
      </c>
      <c r="E926" s="1" t="s">
        <v>565</v>
      </c>
      <c r="F926" s="1" t="s">
        <v>24</v>
      </c>
      <c r="G926" s="2" t="s">
        <v>2</v>
      </c>
      <c r="H926" s="3" t="s">
        <v>88</v>
      </c>
      <c r="I926" s="3" t="s">
        <v>85</v>
      </c>
      <c r="J926" s="3" t="s">
        <v>64</v>
      </c>
      <c r="K926" s="4">
        <v>40.85</v>
      </c>
      <c r="L926" s="6">
        <v>2.62</v>
      </c>
    </row>
    <row r="927" spans="1:12" x14ac:dyDescent="0.25">
      <c r="A927" s="1">
        <v>926</v>
      </c>
      <c r="B927" s="4">
        <v>6695</v>
      </c>
      <c r="C927" s="5">
        <v>41087</v>
      </c>
      <c r="D927" s="3" t="s">
        <v>82</v>
      </c>
      <c r="E927" s="1" t="s">
        <v>175</v>
      </c>
      <c r="F927" s="1" t="s">
        <v>39</v>
      </c>
      <c r="G927" s="2" t="s">
        <v>1</v>
      </c>
      <c r="H927" s="3" t="s">
        <v>88</v>
      </c>
      <c r="I927" s="3" t="s">
        <v>85</v>
      </c>
      <c r="J927" s="3" t="s">
        <v>69</v>
      </c>
      <c r="K927" s="4">
        <v>295.24</v>
      </c>
      <c r="L927" s="6">
        <v>5.81</v>
      </c>
    </row>
    <row r="928" spans="1:12" x14ac:dyDescent="0.25">
      <c r="A928" s="1">
        <v>927</v>
      </c>
      <c r="B928" s="4">
        <v>6720</v>
      </c>
      <c r="C928" s="5">
        <v>40430</v>
      </c>
      <c r="D928" s="3" t="s">
        <v>86</v>
      </c>
      <c r="E928" s="1" t="s">
        <v>398</v>
      </c>
      <c r="F928" s="1" t="s">
        <v>44</v>
      </c>
      <c r="G928" s="2" t="s">
        <v>3</v>
      </c>
      <c r="H928" s="3" t="s">
        <v>97</v>
      </c>
      <c r="I928" s="3" t="s">
        <v>85</v>
      </c>
      <c r="J928" s="3" t="s">
        <v>69</v>
      </c>
      <c r="K928" s="4">
        <v>164.62</v>
      </c>
      <c r="L928" s="6">
        <v>5.18</v>
      </c>
    </row>
    <row r="929" spans="1:12" x14ac:dyDescent="0.25">
      <c r="A929" s="1">
        <v>928</v>
      </c>
      <c r="B929" s="4">
        <v>6720</v>
      </c>
      <c r="C929" s="5">
        <v>40430</v>
      </c>
      <c r="D929" s="3" t="s">
        <v>86</v>
      </c>
      <c r="E929" s="1" t="s">
        <v>566</v>
      </c>
      <c r="F929" s="1" t="s">
        <v>44</v>
      </c>
      <c r="G929" s="2" t="s">
        <v>3</v>
      </c>
      <c r="H929" s="3" t="s">
        <v>97</v>
      </c>
      <c r="I929" s="3" t="s">
        <v>91</v>
      </c>
      <c r="J929" s="3" t="s">
        <v>68</v>
      </c>
      <c r="K929" s="4">
        <v>4225.7700000000004</v>
      </c>
      <c r="L929" s="6">
        <v>120.98</v>
      </c>
    </row>
    <row r="930" spans="1:12" x14ac:dyDescent="0.25">
      <c r="A930" s="1">
        <v>929</v>
      </c>
      <c r="B930" s="4">
        <v>6720</v>
      </c>
      <c r="C930" s="5">
        <v>40430</v>
      </c>
      <c r="D930" s="3" t="s">
        <v>86</v>
      </c>
      <c r="E930" s="1" t="s">
        <v>566</v>
      </c>
      <c r="F930" s="1" t="s">
        <v>44</v>
      </c>
      <c r="G930" s="2" t="s">
        <v>3</v>
      </c>
      <c r="H930" s="3" t="s">
        <v>97</v>
      </c>
      <c r="I930" s="3" t="s">
        <v>85</v>
      </c>
      <c r="J930" s="3" t="s">
        <v>65</v>
      </c>
      <c r="K930" s="4">
        <v>53.89</v>
      </c>
      <c r="L930" s="6">
        <v>6.3</v>
      </c>
    </row>
    <row r="931" spans="1:12" x14ac:dyDescent="0.25">
      <c r="A931" s="1">
        <v>930</v>
      </c>
      <c r="B931" s="4">
        <v>6727</v>
      </c>
      <c r="C931" s="5">
        <v>40054</v>
      </c>
      <c r="D931" s="3" t="s">
        <v>82</v>
      </c>
      <c r="E931" s="1" t="s">
        <v>567</v>
      </c>
      <c r="F931" s="1" t="s">
        <v>15</v>
      </c>
      <c r="G931" s="2" t="s">
        <v>1</v>
      </c>
      <c r="H931" s="3" t="s">
        <v>100</v>
      </c>
      <c r="I931" s="3" t="s">
        <v>85</v>
      </c>
      <c r="J931" s="3" t="s">
        <v>65</v>
      </c>
      <c r="K931" s="4">
        <v>33.43</v>
      </c>
      <c r="L931" s="6">
        <v>2.89</v>
      </c>
    </row>
    <row r="932" spans="1:12" x14ac:dyDescent="0.25">
      <c r="A932" s="1">
        <v>931</v>
      </c>
      <c r="B932" s="4">
        <v>6753</v>
      </c>
      <c r="C932" s="5">
        <v>40447</v>
      </c>
      <c r="D932" s="3" t="s">
        <v>82</v>
      </c>
      <c r="E932" s="1" t="s">
        <v>144</v>
      </c>
      <c r="F932" s="1" t="s">
        <v>24</v>
      </c>
      <c r="G932" s="2" t="s">
        <v>2</v>
      </c>
      <c r="H932" s="3" t="s">
        <v>84</v>
      </c>
      <c r="I932" s="3" t="s">
        <v>91</v>
      </c>
      <c r="J932" s="3" t="s">
        <v>59</v>
      </c>
      <c r="K932" s="4">
        <v>53.14</v>
      </c>
      <c r="L932" s="6">
        <v>6.64</v>
      </c>
    </row>
    <row r="933" spans="1:12" x14ac:dyDescent="0.25">
      <c r="A933" s="1">
        <v>932</v>
      </c>
      <c r="B933" s="4">
        <v>6754</v>
      </c>
      <c r="C933" s="5">
        <v>40766</v>
      </c>
      <c r="D933" s="3" t="s">
        <v>89</v>
      </c>
      <c r="E933" s="1" t="s">
        <v>568</v>
      </c>
      <c r="F933" s="1" t="s">
        <v>34</v>
      </c>
      <c r="G933" s="2" t="s">
        <v>1</v>
      </c>
      <c r="H933" s="3" t="s">
        <v>88</v>
      </c>
      <c r="I933" s="3" t="s">
        <v>92</v>
      </c>
      <c r="J933" s="3" t="s">
        <v>61</v>
      </c>
      <c r="K933" s="4">
        <v>2388.636</v>
      </c>
      <c r="L933" s="6">
        <v>205.99</v>
      </c>
    </row>
    <row r="934" spans="1:12" x14ac:dyDescent="0.25">
      <c r="A934" s="1">
        <v>933</v>
      </c>
      <c r="B934" s="4">
        <v>6755</v>
      </c>
      <c r="C934" s="5">
        <v>40664</v>
      </c>
      <c r="D934" s="3" t="s">
        <v>89</v>
      </c>
      <c r="E934" s="1" t="s">
        <v>302</v>
      </c>
      <c r="F934" s="1" t="s">
        <v>13</v>
      </c>
      <c r="G934" s="2" t="s">
        <v>6</v>
      </c>
      <c r="H934" s="3" t="s">
        <v>97</v>
      </c>
      <c r="I934" s="3" t="s">
        <v>85</v>
      </c>
      <c r="J934" s="3" t="s">
        <v>69</v>
      </c>
      <c r="K934" s="4">
        <v>156.47</v>
      </c>
      <c r="L934" s="6">
        <v>7.1</v>
      </c>
    </row>
    <row r="935" spans="1:12" x14ac:dyDescent="0.25">
      <c r="A935" s="1">
        <v>934</v>
      </c>
      <c r="B935" s="4">
        <v>6757</v>
      </c>
      <c r="C935" s="5">
        <v>40940</v>
      </c>
      <c r="D935" s="3" t="s">
        <v>4</v>
      </c>
      <c r="E935" s="1" t="s">
        <v>381</v>
      </c>
      <c r="F935" s="1" t="s">
        <v>12</v>
      </c>
      <c r="G935" s="2" t="s">
        <v>2</v>
      </c>
      <c r="H935" s="3" t="s">
        <v>84</v>
      </c>
      <c r="I935" s="3" t="s">
        <v>85</v>
      </c>
      <c r="J935" s="3" t="s">
        <v>57</v>
      </c>
      <c r="K935" s="4">
        <v>869.78</v>
      </c>
      <c r="L935" s="6">
        <v>34.76</v>
      </c>
    </row>
    <row r="936" spans="1:12" x14ac:dyDescent="0.25">
      <c r="A936" s="1">
        <v>935</v>
      </c>
      <c r="B936" s="4">
        <v>6757</v>
      </c>
      <c r="C936" s="5">
        <v>40940</v>
      </c>
      <c r="D936" s="3" t="s">
        <v>4</v>
      </c>
      <c r="E936" s="1" t="s">
        <v>381</v>
      </c>
      <c r="F936" s="1" t="s">
        <v>12</v>
      </c>
      <c r="G936" s="2" t="s">
        <v>2</v>
      </c>
      <c r="H936" s="3" t="s">
        <v>84</v>
      </c>
      <c r="I936" s="3" t="s">
        <v>91</v>
      </c>
      <c r="J936" s="3" t="s">
        <v>60</v>
      </c>
      <c r="K936" s="4">
        <v>2503.0080000000003</v>
      </c>
      <c r="L936" s="6">
        <v>286.85000000000002</v>
      </c>
    </row>
    <row r="937" spans="1:12" x14ac:dyDescent="0.25">
      <c r="A937" s="1">
        <v>936</v>
      </c>
      <c r="B937" s="4">
        <v>6785</v>
      </c>
      <c r="C937" s="5">
        <v>41035</v>
      </c>
      <c r="D937" s="3" t="s">
        <v>4</v>
      </c>
      <c r="E937" s="1" t="s">
        <v>552</v>
      </c>
      <c r="F937" s="1" t="s">
        <v>44</v>
      </c>
      <c r="G937" s="2" t="s">
        <v>3</v>
      </c>
      <c r="H937" s="3" t="s">
        <v>97</v>
      </c>
      <c r="I937" s="3" t="s">
        <v>91</v>
      </c>
      <c r="J937" s="3" t="s">
        <v>59</v>
      </c>
      <c r="K937" s="4">
        <v>181.32</v>
      </c>
      <c r="L937" s="6">
        <v>25.38</v>
      </c>
    </row>
    <row r="938" spans="1:12" x14ac:dyDescent="0.25">
      <c r="A938" s="1">
        <v>937</v>
      </c>
      <c r="B938" s="4">
        <v>6788</v>
      </c>
      <c r="C938" s="5">
        <v>40759</v>
      </c>
      <c r="D938" s="3" t="s">
        <v>86</v>
      </c>
      <c r="E938" s="1" t="s">
        <v>324</v>
      </c>
      <c r="F938" s="1" t="s">
        <v>24</v>
      </c>
      <c r="G938" s="2" t="s">
        <v>2</v>
      </c>
      <c r="H938" s="3" t="s">
        <v>84</v>
      </c>
      <c r="I938" s="3" t="s">
        <v>85</v>
      </c>
      <c r="J938" s="3" t="s">
        <v>63</v>
      </c>
      <c r="K938" s="4">
        <v>127.84</v>
      </c>
      <c r="L938" s="6">
        <v>2.94</v>
      </c>
    </row>
    <row r="939" spans="1:12" x14ac:dyDescent="0.25">
      <c r="A939" s="1">
        <v>938</v>
      </c>
      <c r="B939" s="4">
        <v>6788</v>
      </c>
      <c r="C939" s="5">
        <v>40759</v>
      </c>
      <c r="D939" s="3" t="s">
        <v>86</v>
      </c>
      <c r="E939" s="1" t="s">
        <v>324</v>
      </c>
      <c r="F939" s="1" t="s">
        <v>24</v>
      </c>
      <c r="G939" s="2" t="s">
        <v>2</v>
      </c>
      <c r="H939" s="3" t="s">
        <v>84</v>
      </c>
      <c r="I939" s="3" t="s">
        <v>85</v>
      </c>
      <c r="J939" s="3" t="s">
        <v>64</v>
      </c>
      <c r="K939" s="4">
        <v>11.15</v>
      </c>
      <c r="L939" s="6">
        <v>1.81</v>
      </c>
    </row>
    <row r="940" spans="1:12" x14ac:dyDescent="0.25">
      <c r="A940" s="1">
        <v>939</v>
      </c>
      <c r="B940" s="4">
        <v>6791</v>
      </c>
      <c r="C940" s="5">
        <v>40575</v>
      </c>
      <c r="D940" s="3" t="s">
        <v>4</v>
      </c>
      <c r="E940" s="1" t="s">
        <v>569</v>
      </c>
      <c r="F940" s="1" t="s">
        <v>55</v>
      </c>
      <c r="G940" s="2" t="s">
        <v>2</v>
      </c>
      <c r="H940" s="3" t="s">
        <v>84</v>
      </c>
      <c r="I940" s="3" t="s">
        <v>92</v>
      </c>
      <c r="J940" s="3" t="s">
        <v>67</v>
      </c>
      <c r="K940" s="4">
        <v>730.33</v>
      </c>
      <c r="L940" s="6">
        <v>51.98</v>
      </c>
    </row>
    <row r="941" spans="1:12" x14ac:dyDescent="0.25">
      <c r="A941" s="1">
        <v>940</v>
      </c>
      <c r="B941" s="4">
        <v>6823</v>
      </c>
      <c r="C941" s="5">
        <v>40015</v>
      </c>
      <c r="D941" s="3" t="s">
        <v>86</v>
      </c>
      <c r="E941" s="1" t="s">
        <v>298</v>
      </c>
      <c r="F941" s="1" t="s">
        <v>22</v>
      </c>
      <c r="G941" s="2" t="s">
        <v>6</v>
      </c>
      <c r="H941" s="3" t="s">
        <v>84</v>
      </c>
      <c r="I941" s="3" t="s">
        <v>85</v>
      </c>
      <c r="J941" s="3" t="s">
        <v>69</v>
      </c>
      <c r="K941" s="4">
        <v>1262.72</v>
      </c>
      <c r="L941" s="6">
        <v>24.95</v>
      </c>
    </row>
    <row r="942" spans="1:12" x14ac:dyDescent="0.25">
      <c r="A942" s="1">
        <v>941</v>
      </c>
      <c r="B942" s="4">
        <v>6823</v>
      </c>
      <c r="C942" s="5">
        <v>40015</v>
      </c>
      <c r="D942" s="3" t="s">
        <v>86</v>
      </c>
      <c r="E942" s="1" t="s">
        <v>570</v>
      </c>
      <c r="F942" s="1" t="s">
        <v>22</v>
      </c>
      <c r="G942" s="2" t="s">
        <v>6</v>
      </c>
      <c r="H942" s="3" t="s">
        <v>84</v>
      </c>
      <c r="I942" s="3" t="s">
        <v>92</v>
      </c>
      <c r="J942" s="3" t="s">
        <v>62</v>
      </c>
      <c r="K942" s="4">
        <v>524.19000000000005</v>
      </c>
      <c r="L942" s="6">
        <v>15.98</v>
      </c>
    </row>
    <row r="943" spans="1:12" x14ac:dyDescent="0.25">
      <c r="A943" s="1">
        <v>942</v>
      </c>
      <c r="B943" s="4">
        <v>6848</v>
      </c>
      <c r="C943" s="5">
        <v>40434</v>
      </c>
      <c r="D943" s="3" t="s">
        <v>89</v>
      </c>
      <c r="E943" s="1" t="s">
        <v>450</v>
      </c>
      <c r="F943" s="1" t="s">
        <v>10</v>
      </c>
      <c r="G943" s="2" t="s">
        <v>3</v>
      </c>
      <c r="H943" s="3" t="s">
        <v>100</v>
      </c>
      <c r="I943" s="3" t="s">
        <v>85</v>
      </c>
      <c r="J943" s="3" t="s">
        <v>69</v>
      </c>
      <c r="K943" s="4">
        <v>116.84</v>
      </c>
      <c r="L943" s="6">
        <v>5.4</v>
      </c>
    </row>
    <row r="944" spans="1:12" x14ac:dyDescent="0.25">
      <c r="A944" s="1">
        <v>943</v>
      </c>
      <c r="B944" s="4">
        <v>6850</v>
      </c>
      <c r="C944" s="5">
        <v>40220</v>
      </c>
      <c r="D944" s="3" t="s">
        <v>89</v>
      </c>
      <c r="E944" s="1" t="s">
        <v>571</v>
      </c>
      <c r="F944" s="1" t="s">
        <v>54</v>
      </c>
      <c r="G944" s="2" t="s">
        <v>2</v>
      </c>
      <c r="H944" s="3" t="s">
        <v>88</v>
      </c>
      <c r="I944" s="3" t="s">
        <v>92</v>
      </c>
      <c r="J944" s="3" t="s">
        <v>62</v>
      </c>
      <c r="K944" s="4">
        <v>81.56</v>
      </c>
      <c r="L944" s="6">
        <v>10.01</v>
      </c>
    </row>
    <row r="945" spans="1:12" x14ac:dyDescent="0.25">
      <c r="A945" s="1">
        <v>944</v>
      </c>
      <c r="B945" s="4">
        <v>6850</v>
      </c>
      <c r="C945" s="5">
        <v>40220</v>
      </c>
      <c r="D945" s="3" t="s">
        <v>89</v>
      </c>
      <c r="E945" s="1" t="s">
        <v>571</v>
      </c>
      <c r="F945" s="1" t="s">
        <v>54</v>
      </c>
      <c r="G945" s="2" t="s">
        <v>2</v>
      </c>
      <c r="H945" s="3" t="s">
        <v>88</v>
      </c>
      <c r="I945" s="3" t="s">
        <v>92</v>
      </c>
      <c r="J945" s="3" t="s">
        <v>67</v>
      </c>
      <c r="K945" s="4">
        <v>2088.5</v>
      </c>
      <c r="L945" s="6">
        <v>51.98</v>
      </c>
    </row>
    <row r="946" spans="1:12" x14ac:dyDescent="0.25">
      <c r="A946" s="1">
        <v>945</v>
      </c>
      <c r="B946" s="4">
        <v>6850</v>
      </c>
      <c r="C946" s="5">
        <v>40220</v>
      </c>
      <c r="D946" s="3" t="s">
        <v>89</v>
      </c>
      <c r="E946" s="1" t="s">
        <v>572</v>
      </c>
      <c r="F946" s="1" t="s">
        <v>54</v>
      </c>
      <c r="G946" s="2" t="s">
        <v>2</v>
      </c>
      <c r="H946" s="3" t="s">
        <v>88</v>
      </c>
      <c r="I946" s="3" t="s">
        <v>85</v>
      </c>
      <c r="J946" s="3" t="s">
        <v>57</v>
      </c>
      <c r="K946" s="4">
        <v>2126.7199999999998</v>
      </c>
      <c r="L946" s="6">
        <v>64.98</v>
      </c>
    </row>
    <row r="947" spans="1:12" x14ac:dyDescent="0.25">
      <c r="A947" s="1">
        <v>946</v>
      </c>
      <c r="B947" s="4">
        <v>6850</v>
      </c>
      <c r="C947" s="5">
        <v>40220</v>
      </c>
      <c r="D947" s="3" t="s">
        <v>89</v>
      </c>
      <c r="E947" s="1" t="s">
        <v>572</v>
      </c>
      <c r="F947" s="1" t="s">
        <v>54</v>
      </c>
      <c r="G947" s="2" t="s">
        <v>2</v>
      </c>
      <c r="H947" s="3" t="s">
        <v>88</v>
      </c>
      <c r="I947" s="3" t="s">
        <v>91</v>
      </c>
      <c r="J947" s="3" t="s">
        <v>60</v>
      </c>
      <c r="K947" s="4">
        <v>3753.72</v>
      </c>
      <c r="L947" s="6">
        <v>138.75</v>
      </c>
    </row>
    <row r="948" spans="1:12" x14ac:dyDescent="0.25">
      <c r="A948" s="1">
        <v>947</v>
      </c>
      <c r="B948" s="4">
        <v>6854</v>
      </c>
      <c r="C948" s="5">
        <v>39819</v>
      </c>
      <c r="D948" s="3" t="s">
        <v>4</v>
      </c>
      <c r="E948" s="1" t="s">
        <v>573</v>
      </c>
      <c r="F948" s="1" t="s">
        <v>23</v>
      </c>
      <c r="G948" s="2" t="s">
        <v>3</v>
      </c>
      <c r="H948" s="3" t="s">
        <v>100</v>
      </c>
      <c r="I948" s="3" t="s">
        <v>85</v>
      </c>
      <c r="J948" s="3" t="s">
        <v>69</v>
      </c>
      <c r="K948" s="4">
        <v>22.13</v>
      </c>
      <c r="L948" s="6">
        <v>7.68</v>
      </c>
    </row>
    <row r="949" spans="1:12" x14ac:dyDescent="0.25">
      <c r="A949" s="1">
        <v>948</v>
      </c>
      <c r="B949" s="4">
        <v>6854</v>
      </c>
      <c r="C949" s="5">
        <v>39819</v>
      </c>
      <c r="D949" s="3" t="s">
        <v>4</v>
      </c>
      <c r="E949" s="1" t="s">
        <v>573</v>
      </c>
      <c r="F949" s="1" t="s">
        <v>23</v>
      </c>
      <c r="G949" s="2" t="s">
        <v>3</v>
      </c>
      <c r="H949" s="3" t="s">
        <v>100</v>
      </c>
      <c r="I949" s="3" t="s">
        <v>91</v>
      </c>
      <c r="J949" s="3" t="s">
        <v>59</v>
      </c>
      <c r="K949" s="4">
        <v>129.84</v>
      </c>
      <c r="L949" s="6">
        <v>6.64</v>
      </c>
    </row>
    <row r="950" spans="1:12" x14ac:dyDescent="0.25">
      <c r="A950" s="1">
        <v>949</v>
      </c>
      <c r="B950" s="4">
        <v>6880</v>
      </c>
      <c r="C950" s="5">
        <v>39958</v>
      </c>
      <c r="D950" s="3" t="s">
        <v>4</v>
      </c>
      <c r="E950" s="1" t="s">
        <v>574</v>
      </c>
      <c r="F950" s="1" t="s">
        <v>24</v>
      </c>
      <c r="G950" s="2" t="s">
        <v>2</v>
      </c>
      <c r="H950" s="3" t="s">
        <v>100</v>
      </c>
      <c r="I950" s="3" t="s">
        <v>85</v>
      </c>
      <c r="J950" s="3" t="s">
        <v>66</v>
      </c>
      <c r="K950" s="4">
        <v>235.49</v>
      </c>
      <c r="L950" s="6">
        <v>47.9</v>
      </c>
    </row>
    <row r="951" spans="1:12" x14ac:dyDescent="0.25">
      <c r="A951" s="1">
        <v>950</v>
      </c>
      <c r="B951" s="4">
        <v>6884</v>
      </c>
      <c r="C951" s="5">
        <v>39828</v>
      </c>
      <c r="D951" s="3" t="s">
        <v>82</v>
      </c>
      <c r="E951" s="1" t="s">
        <v>575</v>
      </c>
      <c r="F951" s="1" t="s">
        <v>8</v>
      </c>
      <c r="G951" s="2" t="s">
        <v>6</v>
      </c>
      <c r="H951" s="3" t="s">
        <v>97</v>
      </c>
      <c r="I951" s="3" t="s">
        <v>85</v>
      </c>
      <c r="J951" s="3" t="s">
        <v>66</v>
      </c>
      <c r="K951" s="4">
        <v>217</v>
      </c>
      <c r="L951" s="6">
        <v>4.9800000000000004</v>
      </c>
    </row>
    <row r="952" spans="1:12" x14ac:dyDescent="0.25">
      <c r="A952" s="1">
        <v>951</v>
      </c>
      <c r="B952" s="4">
        <v>6884</v>
      </c>
      <c r="C952" s="5">
        <v>39828</v>
      </c>
      <c r="D952" s="3" t="s">
        <v>82</v>
      </c>
      <c r="E952" s="1" t="s">
        <v>575</v>
      </c>
      <c r="F952" s="1" t="s">
        <v>8</v>
      </c>
      <c r="G952" s="2" t="s">
        <v>6</v>
      </c>
      <c r="H952" s="3" t="s">
        <v>97</v>
      </c>
      <c r="I952" s="3" t="s">
        <v>85</v>
      </c>
      <c r="J952" s="3" t="s">
        <v>66</v>
      </c>
      <c r="K952" s="4">
        <v>296.13</v>
      </c>
      <c r="L952" s="6">
        <v>6.35</v>
      </c>
    </row>
    <row r="953" spans="1:12" x14ac:dyDescent="0.25">
      <c r="A953" s="1">
        <v>952</v>
      </c>
      <c r="B953" s="4">
        <v>6885</v>
      </c>
      <c r="C953" s="5">
        <v>41079</v>
      </c>
      <c r="D953" s="3" t="s">
        <v>82</v>
      </c>
      <c r="E953" s="1" t="s">
        <v>576</v>
      </c>
      <c r="F953" s="1" t="s">
        <v>39</v>
      </c>
      <c r="G953" s="2" t="s">
        <v>1</v>
      </c>
      <c r="H953" s="3" t="s">
        <v>88</v>
      </c>
      <c r="I953" s="3" t="s">
        <v>91</v>
      </c>
      <c r="J953" s="3" t="s">
        <v>72</v>
      </c>
      <c r="K953" s="4">
        <v>481.27</v>
      </c>
      <c r="L953" s="6">
        <v>113.98</v>
      </c>
    </row>
    <row r="954" spans="1:12" x14ac:dyDescent="0.25">
      <c r="A954" s="1">
        <v>953</v>
      </c>
      <c r="B954" s="4">
        <v>6885</v>
      </c>
      <c r="C954" s="5">
        <v>41079</v>
      </c>
      <c r="D954" s="3" t="s">
        <v>82</v>
      </c>
      <c r="E954" s="1" t="s">
        <v>404</v>
      </c>
      <c r="F954" s="1" t="s">
        <v>21</v>
      </c>
      <c r="G954" s="2" t="s">
        <v>1</v>
      </c>
      <c r="H954" s="3" t="s">
        <v>88</v>
      </c>
      <c r="I954" s="3" t="s">
        <v>92</v>
      </c>
      <c r="J954" s="3" t="s">
        <v>67</v>
      </c>
      <c r="K954" s="4">
        <v>879.54</v>
      </c>
      <c r="L954" s="6">
        <v>23.99</v>
      </c>
    </row>
    <row r="955" spans="1:12" x14ac:dyDescent="0.25">
      <c r="A955" s="1">
        <v>954</v>
      </c>
      <c r="B955" s="4">
        <v>6886</v>
      </c>
      <c r="C955" s="5">
        <v>40927</v>
      </c>
      <c r="D955" s="3" t="s">
        <v>89</v>
      </c>
      <c r="E955" s="1" t="s">
        <v>577</v>
      </c>
      <c r="F955" s="1" t="s">
        <v>24</v>
      </c>
      <c r="G955" s="2" t="s">
        <v>2</v>
      </c>
      <c r="H955" s="3" t="s">
        <v>100</v>
      </c>
      <c r="I955" s="3" t="s">
        <v>85</v>
      </c>
      <c r="J955" s="3" t="s">
        <v>57</v>
      </c>
      <c r="K955" s="4">
        <v>8177.07</v>
      </c>
      <c r="L955" s="6">
        <v>178.47</v>
      </c>
    </row>
    <row r="956" spans="1:12" x14ac:dyDescent="0.25">
      <c r="A956" s="1">
        <v>955</v>
      </c>
      <c r="B956" s="4">
        <v>6912</v>
      </c>
      <c r="C956" s="5">
        <v>40887</v>
      </c>
      <c r="D956" s="3" t="s">
        <v>86</v>
      </c>
      <c r="E956" s="1" t="s">
        <v>578</v>
      </c>
      <c r="F956" s="1" t="s">
        <v>20</v>
      </c>
      <c r="G956" s="2" t="s">
        <v>1</v>
      </c>
      <c r="H956" s="3" t="s">
        <v>84</v>
      </c>
      <c r="I956" s="3" t="s">
        <v>85</v>
      </c>
      <c r="J956" s="3" t="s">
        <v>70</v>
      </c>
      <c r="K956" s="4">
        <v>294.52</v>
      </c>
      <c r="L956" s="6">
        <v>21.78</v>
      </c>
    </row>
    <row r="957" spans="1:12" x14ac:dyDescent="0.25">
      <c r="A957" s="1">
        <v>956</v>
      </c>
      <c r="B957" s="4">
        <v>6916</v>
      </c>
      <c r="C957" s="5">
        <v>40333</v>
      </c>
      <c r="D957" s="3" t="s">
        <v>82</v>
      </c>
      <c r="E957" s="1" t="s">
        <v>262</v>
      </c>
      <c r="F957" s="1" t="s">
        <v>8</v>
      </c>
      <c r="G957" s="2" t="s">
        <v>6</v>
      </c>
      <c r="H957" s="3" t="s">
        <v>100</v>
      </c>
      <c r="I957" s="3" t="s">
        <v>85</v>
      </c>
      <c r="J957" s="3" t="s">
        <v>57</v>
      </c>
      <c r="K957" s="4">
        <v>436.17</v>
      </c>
      <c r="L957" s="6">
        <v>10.9</v>
      </c>
    </row>
    <row r="958" spans="1:12" x14ac:dyDescent="0.25">
      <c r="A958" s="1">
        <v>957</v>
      </c>
      <c r="B958" s="4">
        <v>6918</v>
      </c>
      <c r="C958" s="5">
        <v>40725</v>
      </c>
      <c r="D958" s="3" t="s">
        <v>95</v>
      </c>
      <c r="E958" s="1" t="s">
        <v>579</v>
      </c>
      <c r="F958" s="1" t="s">
        <v>13</v>
      </c>
      <c r="G958" s="2" t="s">
        <v>6</v>
      </c>
      <c r="H958" s="3" t="s">
        <v>100</v>
      </c>
      <c r="I958" s="3" t="s">
        <v>92</v>
      </c>
      <c r="J958" s="3" t="s">
        <v>62</v>
      </c>
      <c r="K958" s="4">
        <v>1559.5</v>
      </c>
      <c r="L958" s="6">
        <v>39.479999999999997</v>
      </c>
    </row>
    <row r="959" spans="1:12" x14ac:dyDescent="0.25">
      <c r="A959" s="1">
        <v>958</v>
      </c>
      <c r="B959" s="4">
        <v>6947</v>
      </c>
      <c r="C959" s="5">
        <v>40743</v>
      </c>
      <c r="D959" s="3" t="s">
        <v>95</v>
      </c>
      <c r="E959" s="1" t="s">
        <v>471</v>
      </c>
      <c r="F959" s="1" t="s">
        <v>16</v>
      </c>
      <c r="G959" s="2" t="s">
        <v>3</v>
      </c>
      <c r="H959" s="3" t="s">
        <v>84</v>
      </c>
      <c r="I959" s="3" t="s">
        <v>91</v>
      </c>
      <c r="J959" s="3" t="s">
        <v>59</v>
      </c>
      <c r="K959" s="4">
        <v>520.49</v>
      </c>
      <c r="L959" s="6">
        <v>51.65</v>
      </c>
    </row>
    <row r="960" spans="1:12" x14ac:dyDescent="0.25">
      <c r="A960" s="1">
        <v>959</v>
      </c>
      <c r="B960" s="4">
        <v>6948</v>
      </c>
      <c r="C960" s="5">
        <v>40521</v>
      </c>
      <c r="D960" s="3" t="s">
        <v>86</v>
      </c>
      <c r="E960" s="1" t="s">
        <v>580</v>
      </c>
      <c r="F960" s="1" t="s">
        <v>22</v>
      </c>
      <c r="G960" s="2" t="s">
        <v>6</v>
      </c>
      <c r="H960" s="3" t="s">
        <v>88</v>
      </c>
      <c r="I960" s="3" t="s">
        <v>92</v>
      </c>
      <c r="J960" s="3" t="s">
        <v>62</v>
      </c>
      <c r="K960" s="4">
        <v>1143.8800000000001</v>
      </c>
      <c r="L960" s="6">
        <v>73.98</v>
      </c>
    </row>
    <row r="961" spans="1:12" x14ac:dyDescent="0.25">
      <c r="A961" s="1">
        <v>960</v>
      </c>
      <c r="B961" s="4">
        <v>6950</v>
      </c>
      <c r="C961" s="5">
        <v>40994</v>
      </c>
      <c r="D961" s="3" t="s">
        <v>82</v>
      </c>
      <c r="E961" s="1" t="s">
        <v>581</v>
      </c>
      <c r="F961" s="1" t="s">
        <v>20</v>
      </c>
      <c r="G961" s="2" t="s">
        <v>1</v>
      </c>
      <c r="H961" s="3" t="s">
        <v>97</v>
      </c>
      <c r="I961" s="3" t="s">
        <v>92</v>
      </c>
      <c r="J961" s="3" t="s">
        <v>61</v>
      </c>
      <c r="K961" s="4">
        <v>187.39949999999999</v>
      </c>
      <c r="L961" s="6">
        <v>55.99</v>
      </c>
    </row>
    <row r="962" spans="1:12" x14ac:dyDescent="0.25">
      <c r="A962" s="1">
        <v>961</v>
      </c>
      <c r="B962" s="4">
        <v>6978</v>
      </c>
      <c r="C962" s="5">
        <v>40521</v>
      </c>
      <c r="D962" s="3" t="s">
        <v>89</v>
      </c>
      <c r="E962" s="1" t="s">
        <v>149</v>
      </c>
      <c r="F962" s="1" t="s">
        <v>36</v>
      </c>
      <c r="G962" s="2" t="s">
        <v>2</v>
      </c>
      <c r="H962" s="3" t="s">
        <v>97</v>
      </c>
      <c r="I962" s="3" t="s">
        <v>92</v>
      </c>
      <c r="J962" s="3" t="s">
        <v>62</v>
      </c>
      <c r="K962" s="4">
        <v>371.95</v>
      </c>
      <c r="L962" s="6">
        <v>8.1199999999999992</v>
      </c>
    </row>
    <row r="963" spans="1:12" x14ac:dyDescent="0.25">
      <c r="A963" s="1">
        <v>962</v>
      </c>
      <c r="B963" s="4">
        <v>6979</v>
      </c>
      <c r="C963" s="5">
        <v>39871</v>
      </c>
      <c r="D963" s="3" t="s">
        <v>95</v>
      </c>
      <c r="E963" s="1" t="s">
        <v>103</v>
      </c>
      <c r="F963" s="1" t="s">
        <v>16</v>
      </c>
      <c r="G963" s="2" t="s">
        <v>3</v>
      </c>
      <c r="H963" s="3" t="s">
        <v>97</v>
      </c>
      <c r="I963" s="3" t="s">
        <v>92</v>
      </c>
      <c r="J963" s="3" t="s">
        <v>67</v>
      </c>
      <c r="K963" s="4">
        <v>334.89</v>
      </c>
      <c r="L963" s="6">
        <v>11.99</v>
      </c>
    </row>
    <row r="964" spans="1:12" x14ac:dyDescent="0.25">
      <c r="A964" s="1">
        <v>963</v>
      </c>
      <c r="B964" s="4">
        <v>6980</v>
      </c>
      <c r="C964" s="5">
        <v>40227</v>
      </c>
      <c r="D964" s="3" t="s">
        <v>86</v>
      </c>
      <c r="E964" s="1" t="s">
        <v>582</v>
      </c>
      <c r="F964" s="1" t="s">
        <v>8</v>
      </c>
      <c r="G964" s="2" t="s">
        <v>6</v>
      </c>
      <c r="H964" s="3" t="s">
        <v>100</v>
      </c>
      <c r="I964" s="3" t="s">
        <v>85</v>
      </c>
      <c r="J964" s="3" t="s">
        <v>69</v>
      </c>
      <c r="K964" s="4">
        <v>136.29</v>
      </c>
      <c r="L964" s="6">
        <v>7.3</v>
      </c>
    </row>
    <row r="965" spans="1:12" x14ac:dyDescent="0.25">
      <c r="A965" s="1">
        <v>964</v>
      </c>
      <c r="B965" s="4">
        <v>6982</v>
      </c>
      <c r="C965" s="5">
        <v>40863</v>
      </c>
      <c r="D965" s="3" t="s">
        <v>86</v>
      </c>
      <c r="E965" s="1" t="s">
        <v>428</v>
      </c>
      <c r="F965" s="1" t="s">
        <v>8</v>
      </c>
      <c r="G965" s="2" t="s">
        <v>6</v>
      </c>
      <c r="H965" s="3" t="s">
        <v>88</v>
      </c>
      <c r="I965" s="3" t="s">
        <v>92</v>
      </c>
      <c r="J965" s="3" t="s">
        <v>62</v>
      </c>
      <c r="K965" s="4">
        <v>1311.25</v>
      </c>
      <c r="L965" s="6">
        <v>39.479999999999997</v>
      </c>
    </row>
    <row r="966" spans="1:12" x14ac:dyDescent="0.25">
      <c r="A966" s="1">
        <v>965</v>
      </c>
      <c r="B966" s="4">
        <v>6982</v>
      </c>
      <c r="C966" s="5">
        <v>40863</v>
      </c>
      <c r="D966" s="3" t="s">
        <v>86</v>
      </c>
      <c r="E966" s="1" t="s">
        <v>583</v>
      </c>
      <c r="F966" s="1" t="s">
        <v>8</v>
      </c>
      <c r="G966" s="2" t="s">
        <v>6</v>
      </c>
      <c r="H966" s="3" t="s">
        <v>88</v>
      </c>
      <c r="I966" s="3" t="s">
        <v>91</v>
      </c>
      <c r="J966" s="3" t="s">
        <v>68</v>
      </c>
      <c r="K966" s="4">
        <v>544.41</v>
      </c>
      <c r="L966" s="6">
        <v>100.98</v>
      </c>
    </row>
    <row r="967" spans="1:12" x14ac:dyDescent="0.25">
      <c r="A967" s="1">
        <v>966</v>
      </c>
      <c r="B967" s="4">
        <v>6982</v>
      </c>
      <c r="C967" s="5">
        <v>40863</v>
      </c>
      <c r="D967" s="3" t="s">
        <v>86</v>
      </c>
      <c r="E967" s="1" t="s">
        <v>583</v>
      </c>
      <c r="F967" s="1" t="s">
        <v>8</v>
      </c>
      <c r="G967" s="2" t="s">
        <v>6</v>
      </c>
      <c r="H967" s="3" t="s">
        <v>88</v>
      </c>
      <c r="I967" s="3" t="s">
        <v>91</v>
      </c>
      <c r="J967" s="3" t="s">
        <v>59</v>
      </c>
      <c r="K967" s="4">
        <v>844.09</v>
      </c>
      <c r="L967" s="6">
        <v>19.98</v>
      </c>
    </row>
    <row r="968" spans="1:12" x14ac:dyDescent="0.25">
      <c r="A968" s="1">
        <v>967</v>
      </c>
      <c r="B968" s="4">
        <v>7015</v>
      </c>
      <c r="C968" s="5">
        <v>40463</v>
      </c>
      <c r="D968" s="3" t="s">
        <v>86</v>
      </c>
      <c r="E968" s="1" t="s">
        <v>118</v>
      </c>
      <c r="F968" s="1" t="s">
        <v>25</v>
      </c>
      <c r="G968" s="2" t="s">
        <v>6</v>
      </c>
      <c r="H968" s="3" t="s">
        <v>97</v>
      </c>
      <c r="I968" s="3" t="s">
        <v>92</v>
      </c>
      <c r="J968" s="3" t="s">
        <v>62</v>
      </c>
      <c r="K968" s="4">
        <v>1880.8</v>
      </c>
      <c r="L968" s="6">
        <v>40.98</v>
      </c>
    </row>
    <row r="969" spans="1:12" x14ac:dyDescent="0.25">
      <c r="A969" s="1">
        <v>968</v>
      </c>
      <c r="B969" s="4">
        <v>7015</v>
      </c>
      <c r="C969" s="5">
        <v>40463</v>
      </c>
      <c r="D969" s="3" t="s">
        <v>86</v>
      </c>
      <c r="E969" s="1" t="s">
        <v>118</v>
      </c>
      <c r="F969" s="1" t="s">
        <v>25</v>
      </c>
      <c r="G969" s="2" t="s">
        <v>6</v>
      </c>
      <c r="H969" s="3" t="s">
        <v>97</v>
      </c>
      <c r="I969" s="3" t="s">
        <v>92</v>
      </c>
      <c r="J969" s="3" t="s">
        <v>61</v>
      </c>
      <c r="K969" s="4">
        <v>7143.9270000000006</v>
      </c>
      <c r="L969" s="6">
        <v>195.99</v>
      </c>
    </row>
    <row r="970" spans="1:12" x14ac:dyDescent="0.25">
      <c r="A970" s="1">
        <v>969</v>
      </c>
      <c r="B970" s="4">
        <v>7042</v>
      </c>
      <c r="C970" s="5">
        <v>40916</v>
      </c>
      <c r="D970" s="3" t="s">
        <v>4</v>
      </c>
      <c r="E970" s="1" t="s">
        <v>584</v>
      </c>
      <c r="F970" s="1" t="s">
        <v>24</v>
      </c>
      <c r="G970" s="2" t="s">
        <v>2</v>
      </c>
      <c r="H970" s="3" t="s">
        <v>97</v>
      </c>
      <c r="I970" s="3" t="s">
        <v>91</v>
      </c>
      <c r="J970" s="3" t="s">
        <v>60</v>
      </c>
      <c r="K970" s="4">
        <v>1187.864</v>
      </c>
      <c r="L970" s="6">
        <v>376.13</v>
      </c>
    </row>
    <row r="971" spans="1:12" x14ac:dyDescent="0.25">
      <c r="A971" s="1">
        <v>970</v>
      </c>
      <c r="B971" s="4">
        <v>7043</v>
      </c>
      <c r="C971" s="5">
        <v>39838</v>
      </c>
      <c r="D971" s="3" t="s">
        <v>95</v>
      </c>
      <c r="E971" s="1" t="s">
        <v>530</v>
      </c>
      <c r="F971" s="1" t="s">
        <v>24</v>
      </c>
      <c r="G971" s="2" t="s">
        <v>2</v>
      </c>
      <c r="H971" s="3" t="s">
        <v>88</v>
      </c>
      <c r="I971" s="3" t="s">
        <v>91</v>
      </c>
      <c r="J971" s="3" t="s">
        <v>59</v>
      </c>
      <c r="K971" s="4">
        <v>11.08</v>
      </c>
      <c r="L971" s="6">
        <v>1.74</v>
      </c>
    </row>
    <row r="972" spans="1:12" x14ac:dyDescent="0.25">
      <c r="A972" s="1">
        <v>971</v>
      </c>
      <c r="B972" s="4">
        <v>7072</v>
      </c>
      <c r="C972" s="5">
        <v>40943</v>
      </c>
      <c r="D972" s="3" t="s">
        <v>95</v>
      </c>
      <c r="E972" s="1" t="s">
        <v>536</v>
      </c>
      <c r="F972" s="1" t="s">
        <v>35</v>
      </c>
      <c r="G972" s="2" t="s">
        <v>1</v>
      </c>
      <c r="H972" s="3" t="s">
        <v>88</v>
      </c>
      <c r="I972" s="3" t="s">
        <v>85</v>
      </c>
      <c r="J972" s="3" t="s">
        <v>69</v>
      </c>
      <c r="K972" s="4">
        <v>258.61</v>
      </c>
      <c r="L972" s="6">
        <v>8.85</v>
      </c>
    </row>
    <row r="973" spans="1:12" x14ac:dyDescent="0.25">
      <c r="A973" s="1">
        <v>972</v>
      </c>
      <c r="B973" s="4">
        <v>7075</v>
      </c>
      <c r="C973" s="5">
        <v>40826</v>
      </c>
      <c r="D973" s="3" t="s">
        <v>82</v>
      </c>
      <c r="E973" s="1" t="s">
        <v>537</v>
      </c>
      <c r="F973" s="1" t="s">
        <v>20</v>
      </c>
      <c r="G973" s="2" t="s">
        <v>1</v>
      </c>
      <c r="H973" s="3" t="s">
        <v>88</v>
      </c>
      <c r="I973" s="3" t="s">
        <v>85</v>
      </c>
      <c r="J973" s="3" t="s">
        <v>57</v>
      </c>
      <c r="K973" s="4">
        <v>241.89</v>
      </c>
      <c r="L973" s="6">
        <v>15.42</v>
      </c>
    </row>
    <row r="974" spans="1:12" x14ac:dyDescent="0.25">
      <c r="A974" s="1">
        <v>973</v>
      </c>
      <c r="B974" s="4">
        <v>7075</v>
      </c>
      <c r="C974" s="5">
        <v>40826</v>
      </c>
      <c r="D974" s="3" t="s">
        <v>82</v>
      </c>
      <c r="E974" s="1" t="s">
        <v>585</v>
      </c>
      <c r="F974" s="1" t="s">
        <v>20</v>
      </c>
      <c r="G974" s="2" t="s">
        <v>1</v>
      </c>
      <c r="H974" s="3" t="s">
        <v>88</v>
      </c>
      <c r="I974" s="3" t="s">
        <v>85</v>
      </c>
      <c r="J974" s="3" t="s">
        <v>64</v>
      </c>
      <c r="K974" s="4">
        <v>83.34</v>
      </c>
      <c r="L974" s="6">
        <v>1.86</v>
      </c>
    </row>
    <row r="975" spans="1:12" x14ac:dyDescent="0.25">
      <c r="A975" s="1">
        <v>974</v>
      </c>
      <c r="B975" s="4">
        <v>7077</v>
      </c>
      <c r="C975" s="5">
        <v>40898</v>
      </c>
      <c r="D975" s="3" t="s">
        <v>89</v>
      </c>
      <c r="E975" s="1" t="s">
        <v>586</v>
      </c>
      <c r="F975" s="1" t="s">
        <v>33</v>
      </c>
      <c r="G975" s="2" t="s">
        <v>2</v>
      </c>
      <c r="H975" s="3" t="s">
        <v>100</v>
      </c>
      <c r="I975" s="3" t="s">
        <v>85</v>
      </c>
      <c r="J975" s="3" t="s">
        <v>70</v>
      </c>
      <c r="K975" s="4">
        <v>304.52</v>
      </c>
      <c r="L975" s="6">
        <v>21.78</v>
      </c>
    </row>
    <row r="976" spans="1:12" x14ac:dyDescent="0.25">
      <c r="A976" s="1">
        <v>975</v>
      </c>
      <c r="B976" s="4">
        <v>7078</v>
      </c>
      <c r="C976" s="5">
        <v>40279</v>
      </c>
      <c r="D976" s="3" t="s">
        <v>89</v>
      </c>
      <c r="E976" s="1" t="s">
        <v>108</v>
      </c>
      <c r="F976" s="1" t="s">
        <v>32</v>
      </c>
      <c r="G976" s="2" t="s">
        <v>2</v>
      </c>
      <c r="H976" s="3" t="s">
        <v>88</v>
      </c>
      <c r="I976" s="3" t="s">
        <v>85</v>
      </c>
      <c r="J976" s="3" t="s">
        <v>70</v>
      </c>
      <c r="K976" s="4">
        <v>112.12</v>
      </c>
      <c r="L976" s="6">
        <v>11.33</v>
      </c>
    </row>
    <row r="977" spans="1:12" x14ac:dyDescent="0.25">
      <c r="A977" s="1">
        <v>976</v>
      </c>
      <c r="B977" s="4">
        <v>7078</v>
      </c>
      <c r="C977" s="5">
        <v>40279</v>
      </c>
      <c r="D977" s="3" t="s">
        <v>89</v>
      </c>
      <c r="E977" s="1" t="s">
        <v>108</v>
      </c>
      <c r="F977" s="1" t="s">
        <v>32</v>
      </c>
      <c r="G977" s="2" t="s">
        <v>2</v>
      </c>
      <c r="H977" s="3" t="s">
        <v>88</v>
      </c>
      <c r="I977" s="3" t="s">
        <v>85</v>
      </c>
      <c r="J977" s="3" t="s">
        <v>69</v>
      </c>
      <c r="K977" s="4">
        <v>49.58</v>
      </c>
      <c r="L977" s="6">
        <v>3.36</v>
      </c>
    </row>
    <row r="978" spans="1:12" x14ac:dyDescent="0.25">
      <c r="A978" s="1">
        <v>977</v>
      </c>
      <c r="B978" s="4">
        <v>7078</v>
      </c>
      <c r="C978" s="5">
        <v>40279</v>
      </c>
      <c r="D978" s="3" t="s">
        <v>89</v>
      </c>
      <c r="E978" s="1" t="s">
        <v>108</v>
      </c>
      <c r="F978" s="1" t="s">
        <v>32</v>
      </c>
      <c r="G978" s="2" t="s">
        <v>2</v>
      </c>
      <c r="H978" s="3" t="s">
        <v>88</v>
      </c>
      <c r="I978" s="3" t="s">
        <v>91</v>
      </c>
      <c r="J978" s="3" t="s">
        <v>72</v>
      </c>
      <c r="K978" s="4">
        <v>1939.65</v>
      </c>
      <c r="L978" s="6">
        <v>122.99</v>
      </c>
    </row>
    <row r="979" spans="1:12" x14ac:dyDescent="0.25">
      <c r="A979" s="1">
        <v>978</v>
      </c>
      <c r="B979" s="4">
        <v>7078</v>
      </c>
      <c r="C979" s="5">
        <v>40279</v>
      </c>
      <c r="D979" s="3" t="s">
        <v>89</v>
      </c>
      <c r="E979" s="1" t="s">
        <v>108</v>
      </c>
      <c r="F979" s="1" t="s">
        <v>32</v>
      </c>
      <c r="G979" s="2" t="s">
        <v>2</v>
      </c>
      <c r="H979" s="3" t="s">
        <v>88</v>
      </c>
      <c r="I979" s="3" t="s">
        <v>91</v>
      </c>
      <c r="J979" s="3" t="s">
        <v>59</v>
      </c>
      <c r="K979" s="4">
        <v>465.52</v>
      </c>
      <c r="L979" s="6">
        <v>14.98</v>
      </c>
    </row>
    <row r="980" spans="1:12" x14ac:dyDescent="0.25">
      <c r="A980" s="1">
        <v>979</v>
      </c>
      <c r="B980" s="4">
        <v>7079</v>
      </c>
      <c r="C980" s="5">
        <v>40217</v>
      </c>
      <c r="D980" s="3" t="s">
        <v>4</v>
      </c>
      <c r="E980" s="1" t="s">
        <v>587</v>
      </c>
      <c r="F980" s="1" t="s">
        <v>15</v>
      </c>
      <c r="G980" s="2" t="s">
        <v>1</v>
      </c>
      <c r="H980" s="3" t="s">
        <v>84</v>
      </c>
      <c r="I980" s="3" t="s">
        <v>91</v>
      </c>
      <c r="J980" s="3" t="s">
        <v>72</v>
      </c>
      <c r="K980" s="4">
        <v>12296.49</v>
      </c>
      <c r="L980" s="6">
        <v>280.98</v>
      </c>
    </row>
    <row r="981" spans="1:12" x14ac:dyDescent="0.25">
      <c r="A981" s="1">
        <v>980</v>
      </c>
      <c r="B981" s="4">
        <v>7079</v>
      </c>
      <c r="C981" s="5">
        <v>40217</v>
      </c>
      <c r="D981" s="3" t="s">
        <v>4</v>
      </c>
      <c r="E981" s="1" t="s">
        <v>587</v>
      </c>
      <c r="F981" s="1" t="s">
        <v>15</v>
      </c>
      <c r="G981" s="2" t="s">
        <v>1</v>
      </c>
      <c r="H981" s="3" t="s">
        <v>84</v>
      </c>
      <c r="I981" s="3" t="s">
        <v>85</v>
      </c>
      <c r="J981" s="3" t="s">
        <v>66</v>
      </c>
      <c r="K981" s="4">
        <v>128.13</v>
      </c>
      <c r="L981" s="6">
        <v>6.48</v>
      </c>
    </row>
    <row r="982" spans="1:12" x14ac:dyDescent="0.25">
      <c r="A982" s="1">
        <v>981</v>
      </c>
      <c r="B982" s="4">
        <v>7105</v>
      </c>
      <c r="C982" s="5">
        <v>40350</v>
      </c>
      <c r="D982" s="3" t="s">
        <v>82</v>
      </c>
      <c r="E982" s="1" t="s">
        <v>296</v>
      </c>
      <c r="F982" s="1" t="s">
        <v>37</v>
      </c>
      <c r="G982" s="2" t="s">
        <v>3</v>
      </c>
      <c r="H982" s="3" t="s">
        <v>88</v>
      </c>
      <c r="I982" s="3" t="s">
        <v>85</v>
      </c>
      <c r="J982" s="3" t="s">
        <v>70</v>
      </c>
      <c r="K982" s="4">
        <v>77.19</v>
      </c>
      <c r="L982" s="6">
        <v>4.0599999999999996</v>
      </c>
    </row>
    <row r="983" spans="1:12" x14ac:dyDescent="0.25">
      <c r="A983" s="1">
        <v>982</v>
      </c>
      <c r="B983" s="4">
        <v>7106</v>
      </c>
      <c r="C983" s="5">
        <v>41039</v>
      </c>
      <c r="D983" s="3" t="s">
        <v>82</v>
      </c>
      <c r="E983" s="1" t="s">
        <v>588</v>
      </c>
      <c r="F983" s="1" t="s">
        <v>25</v>
      </c>
      <c r="G983" s="2" t="s">
        <v>6</v>
      </c>
      <c r="H983" s="3" t="s">
        <v>97</v>
      </c>
      <c r="I983" s="3" t="s">
        <v>85</v>
      </c>
      <c r="J983" s="3" t="s">
        <v>69</v>
      </c>
      <c r="K983" s="4">
        <v>118.98</v>
      </c>
      <c r="L983" s="6">
        <v>14.27</v>
      </c>
    </row>
    <row r="984" spans="1:12" x14ac:dyDescent="0.25">
      <c r="A984" s="1">
        <v>983</v>
      </c>
      <c r="B984" s="4">
        <v>7106</v>
      </c>
      <c r="C984" s="5">
        <v>41039</v>
      </c>
      <c r="D984" s="3" t="s">
        <v>82</v>
      </c>
      <c r="E984" s="1" t="s">
        <v>588</v>
      </c>
      <c r="F984" s="1" t="s">
        <v>25</v>
      </c>
      <c r="G984" s="2" t="s">
        <v>6</v>
      </c>
      <c r="H984" s="3" t="s">
        <v>97</v>
      </c>
      <c r="I984" s="3" t="s">
        <v>92</v>
      </c>
      <c r="J984" s="3" t="s">
        <v>62</v>
      </c>
      <c r="K984" s="4">
        <v>4910.09</v>
      </c>
      <c r="L984" s="6">
        <v>159.99</v>
      </c>
    </row>
    <row r="985" spans="1:12" x14ac:dyDescent="0.25">
      <c r="A985" s="1">
        <v>984</v>
      </c>
      <c r="B985" s="4">
        <v>7106</v>
      </c>
      <c r="C985" s="5">
        <v>41039</v>
      </c>
      <c r="D985" s="3" t="s">
        <v>82</v>
      </c>
      <c r="E985" s="1" t="s">
        <v>588</v>
      </c>
      <c r="F985" s="1" t="s">
        <v>25</v>
      </c>
      <c r="G985" s="2" t="s">
        <v>6</v>
      </c>
      <c r="H985" s="3" t="s">
        <v>97</v>
      </c>
      <c r="I985" s="3" t="s">
        <v>85</v>
      </c>
      <c r="J985" s="3" t="s">
        <v>57</v>
      </c>
      <c r="K985" s="4">
        <v>1058.45</v>
      </c>
      <c r="L985" s="6">
        <v>27.75</v>
      </c>
    </row>
    <row r="986" spans="1:12" x14ac:dyDescent="0.25">
      <c r="A986" s="1">
        <v>985</v>
      </c>
      <c r="B986" s="4">
        <v>7107</v>
      </c>
      <c r="C986" s="5">
        <v>40912</v>
      </c>
      <c r="D986" s="3" t="s">
        <v>86</v>
      </c>
      <c r="E986" s="1" t="s">
        <v>236</v>
      </c>
      <c r="F986" s="1" t="s">
        <v>16</v>
      </c>
      <c r="G986" s="2" t="s">
        <v>3</v>
      </c>
      <c r="H986" s="3" t="s">
        <v>88</v>
      </c>
      <c r="I986" s="3" t="s">
        <v>91</v>
      </c>
      <c r="J986" s="3" t="s">
        <v>59</v>
      </c>
      <c r="K986" s="4">
        <v>172.04</v>
      </c>
      <c r="L986" s="6">
        <v>54.2</v>
      </c>
    </row>
    <row r="987" spans="1:12" x14ac:dyDescent="0.25">
      <c r="A987" s="1">
        <v>986</v>
      </c>
      <c r="B987" s="4">
        <v>7107</v>
      </c>
      <c r="C987" s="5">
        <v>40912</v>
      </c>
      <c r="D987" s="3" t="s">
        <v>86</v>
      </c>
      <c r="E987" s="1" t="s">
        <v>589</v>
      </c>
      <c r="F987" s="1" t="s">
        <v>16</v>
      </c>
      <c r="G987" s="2" t="s">
        <v>3</v>
      </c>
      <c r="H987" s="3" t="s">
        <v>88</v>
      </c>
      <c r="I987" s="3" t="s">
        <v>85</v>
      </c>
      <c r="J987" s="3" t="s">
        <v>66</v>
      </c>
      <c r="K987" s="4">
        <v>113.14</v>
      </c>
      <c r="L987" s="6">
        <v>37.94</v>
      </c>
    </row>
    <row r="988" spans="1:12" x14ac:dyDescent="0.25">
      <c r="A988" s="1">
        <v>987</v>
      </c>
      <c r="B988" s="4">
        <v>7107</v>
      </c>
      <c r="C988" s="5">
        <v>40912</v>
      </c>
      <c r="D988" s="3" t="s">
        <v>86</v>
      </c>
      <c r="E988" s="1" t="s">
        <v>589</v>
      </c>
      <c r="F988" s="1" t="s">
        <v>16</v>
      </c>
      <c r="G988" s="2" t="s">
        <v>3</v>
      </c>
      <c r="H988" s="3" t="s">
        <v>88</v>
      </c>
      <c r="I988" s="3" t="s">
        <v>85</v>
      </c>
      <c r="J988" s="3" t="s">
        <v>57</v>
      </c>
      <c r="K988" s="4">
        <v>1724.82</v>
      </c>
      <c r="L988" s="6">
        <v>55.29</v>
      </c>
    </row>
    <row r="989" spans="1:12" x14ac:dyDescent="0.25">
      <c r="A989" s="1">
        <v>988</v>
      </c>
      <c r="B989" s="4">
        <v>7110</v>
      </c>
      <c r="C989" s="5">
        <v>40762</v>
      </c>
      <c r="D989" s="3" t="s">
        <v>82</v>
      </c>
      <c r="E989" s="1" t="s">
        <v>308</v>
      </c>
      <c r="F989" s="1" t="s">
        <v>8</v>
      </c>
      <c r="G989" s="2" t="s">
        <v>6</v>
      </c>
      <c r="H989" s="3" t="s">
        <v>88</v>
      </c>
      <c r="I989" s="3" t="s">
        <v>91</v>
      </c>
      <c r="J989" s="3" t="s">
        <v>72</v>
      </c>
      <c r="K989" s="4">
        <v>6396.2</v>
      </c>
      <c r="L989" s="6">
        <v>276.2</v>
      </c>
    </row>
    <row r="990" spans="1:12" x14ac:dyDescent="0.25">
      <c r="A990" s="1">
        <v>989</v>
      </c>
      <c r="B990" s="4">
        <v>7136</v>
      </c>
      <c r="C990" s="5">
        <v>39894</v>
      </c>
      <c r="D990" s="3" t="s">
        <v>89</v>
      </c>
      <c r="E990" s="1" t="s">
        <v>590</v>
      </c>
      <c r="F990" s="1" t="s">
        <v>11</v>
      </c>
      <c r="G990" s="2" t="s">
        <v>6</v>
      </c>
      <c r="H990" s="3" t="s">
        <v>97</v>
      </c>
      <c r="I990" s="3" t="s">
        <v>92</v>
      </c>
      <c r="J990" s="3" t="s">
        <v>62</v>
      </c>
      <c r="K990" s="4">
        <v>642.9</v>
      </c>
      <c r="L990" s="6">
        <v>39.479999999999997</v>
      </c>
    </row>
    <row r="991" spans="1:12" x14ac:dyDescent="0.25">
      <c r="A991" s="1">
        <v>990</v>
      </c>
      <c r="B991" s="4">
        <v>7136</v>
      </c>
      <c r="C991" s="5">
        <v>39894</v>
      </c>
      <c r="D991" s="3" t="s">
        <v>89</v>
      </c>
      <c r="E991" s="1" t="s">
        <v>590</v>
      </c>
      <c r="F991" s="1" t="s">
        <v>11</v>
      </c>
      <c r="G991" s="2" t="s">
        <v>6</v>
      </c>
      <c r="H991" s="3" t="s">
        <v>97</v>
      </c>
      <c r="I991" s="3" t="s">
        <v>85</v>
      </c>
      <c r="J991" s="3" t="s">
        <v>65</v>
      </c>
      <c r="K991" s="4">
        <v>47.28</v>
      </c>
      <c r="L991" s="6">
        <v>4.91</v>
      </c>
    </row>
    <row r="992" spans="1:12" x14ac:dyDescent="0.25">
      <c r="A992" s="1">
        <v>991</v>
      </c>
      <c r="B992" s="4">
        <v>7142</v>
      </c>
      <c r="C992" s="5">
        <v>40745</v>
      </c>
      <c r="D992" s="3" t="s">
        <v>95</v>
      </c>
      <c r="E992" s="1" t="s">
        <v>139</v>
      </c>
      <c r="F992" s="1" t="s">
        <v>33</v>
      </c>
      <c r="G992" s="2" t="s">
        <v>2</v>
      </c>
      <c r="H992" s="3" t="s">
        <v>88</v>
      </c>
      <c r="I992" s="3" t="s">
        <v>85</v>
      </c>
      <c r="J992" s="3" t="s">
        <v>65</v>
      </c>
      <c r="K992" s="4">
        <v>132.86000000000001</v>
      </c>
      <c r="L992" s="6">
        <v>3.69</v>
      </c>
    </row>
    <row r="993" spans="1:12" x14ac:dyDescent="0.25">
      <c r="A993" s="1">
        <v>992</v>
      </c>
      <c r="B993" s="4">
        <v>7169</v>
      </c>
      <c r="C993" s="5">
        <v>40263</v>
      </c>
      <c r="D993" s="3" t="s">
        <v>4</v>
      </c>
      <c r="E993" s="1" t="s">
        <v>339</v>
      </c>
      <c r="F993" s="1" t="s">
        <v>30</v>
      </c>
      <c r="G993" s="2" t="s">
        <v>6</v>
      </c>
      <c r="H993" s="3" t="s">
        <v>88</v>
      </c>
      <c r="I993" s="3" t="s">
        <v>91</v>
      </c>
      <c r="J993" s="3" t="s">
        <v>59</v>
      </c>
      <c r="K993" s="4">
        <v>446.72</v>
      </c>
      <c r="L993" s="6">
        <v>20.28</v>
      </c>
    </row>
    <row r="994" spans="1:12" x14ac:dyDescent="0.25">
      <c r="A994" s="1">
        <v>993</v>
      </c>
      <c r="B994" s="4">
        <v>7169</v>
      </c>
      <c r="C994" s="5">
        <v>40263</v>
      </c>
      <c r="D994" s="3" t="s">
        <v>4</v>
      </c>
      <c r="E994" s="1" t="s">
        <v>339</v>
      </c>
      <c r="F994" s="1" t="s">
        <v>30</v>
      </c>
      <c r="G994" s="2" t="s">
        <v>6</v>
      </c>
      <c r="H994" s="3" t="s">
        <v>88</v>
      </c>
      <c r="I994" s="3" t="s">
        <v>92</v>
      </c>
      <c r="J994" s="3" t="s">
        <v>61</v>
      </c>
      <c r="K994" s="4">
        <v>1580.6005</v>
      </c>
      <c r="L994" s="6">
        <v>65.989999999999995</v>
      </c>
    </row>
    <row r="995" spans="1:12" x14ac:dyDescent="0.25">
      <c r="A995" s="1">
        <v>994</v>
      </c>
      <c r="B995" s="4">
        <v>7171</v>
      </c>
      <c r="C995" s="5">
        <v>40587</v>
      </c>
      <c r="D995" s="3" t="s">
        <v>4</v>
      </c>
      <c r="E995" s="1" t="s">
        <v>591</v>
      </c>
      <c r="F995" s="1" t="s">
        <v>19</v>
      </c>
      <c r="G995" s="2" t="s">
        <v>3</v>
      </c>
      <c r="H995" s="3" t="s">
        <v>100</v>
      </c>
      <c r="I995" s="3" t="s">
        <v>92</v>
      </c>
      <c r="J995" s="3" t="s">
        <v>61</v>
      </c>
      <c r="K995" s="4">
        <v>1703.8505</v>
      </c>
      <c r="L995" s="6">
        <v>65.989999999999995</v>
      </c>
    </row>
    <row r="996" spans="1:12" x14ac:dyDescent="0.25">
      <c r="A996" s="1">
        <v>995</v>
      </c>
      <c r="B996" s="4">
        <v>7171</v>
      </c>
      <c r="C996" s="5">
        <v>40587</v>
      </c>
      <c r="D996" s="3" t="s">
        <v>4</v>
      </c>
      <c r="E996" s="1" t="s">
        <v>591</v>
      </c>
      <c r="F996" s="1" t="s">
        <v>19</v>
      </c>
      <c r="G996" s="2" t="s">
        <v>3</v>
      </c>
      <c r="H996" s="3" t="s">
        <v>100</v>
      </c>
      <c r="I996" s="3" t="s">
        <v>92</v>
      </c>
      <c r="J996" s="3" t="s">
        <v>61</v>
      </c>
      <c r="K996" s="4">
        <v>303.18649999999997</v>
      </c>
      <c r="L996" s="6">
        <v>20.99</v>
      </c>
    </row>
    <row r="997" spans="1:12" x14ac:dyDescent="0.25">
      <c r="A997" s="1">
        <v>996</v>
      </c>
      <c r="B997" s="4">
        <v>7174</v>
      </c>
      <c r="C997" s="5">
        <v>40978</v>
      </c>
      <c r="D997" s="3" t="s">
        <v>86</v>
      </c>
      <c r="E997" s="1" t="s">
        <v>423</v>
      </c>
      <c r="F997" s="1" t="s">
        <v>24</v>
      </c>
      <c r="G997" s="2" t="s">
        <v>2</v>
      </c>
      <c r="H997" s="3" t="s">
        <v>100</v>
      </c>
      <c r="I997" s="3" t="s">
        <v>91</v>
      </c>
      <c r="J997" s="3" t="s">
        <v>59</v>
      </c>
      <c r="K997" s="4">
        <v>141.91999999999999</v>
      </c>
      <c r="L997" s="6">
        <v>13.73</v>
      </c>
    </row>
    <row r="998" spans="1:12" x14ac:dyDescent="0.25">
      <c r="A998" s="1">
        <v>997</v>
      </c>
      <c r="B998" s="4">
        <v>7175</v>
      </c>
      <c r="C998" s="5">
        <v>40216</v>
      </c>
      <c r="D998" s="3" t="s">
        <v>95</v>
      </c>
      <c r="E998" s="1" t="s">
        <v>368</v>
      </c>
      <c r="F998" s="1" t="s">
        <v>41</v>
      </c>
      <c r="G998" s="2" t="s">
        <v>6</v>
      </c>
      <c r="H998" s="3" t="s">
        <v>88</v>
      </c>
      <c r="I998" s="3" t="s">
        <v>91</v>
      </c>
      <c r="J998" s="3" t="s">
        <v>68</v>
      </c>
      <c r="K998" s="4">
        <v>748.25</v>
      </c>
      <c r="L998" s="6">
        <v>70.98</v>
      </c>
    </row>
    <row r="999" spans="1:12" x14ac:dyDescent="0.25">
      <c r="A999" s="1">
        <v>998</v>
      </c>
      <c r="B999" s="4">
        <v>7203</v>
      </c>
      <c r="C999" s="5">
        <v>39821</v>
      </c>
      <c r="D999" s="3" t="s">
        <v>89</v>
      </c>
      <c r="E999" s="1" t="s">
        <v>87</v>
      </c>
      <c r="F999" s="1" t="s">
        <v>9</v>
      </c>
      <c r="G999" s="2" t="s">
        <v>2</v>
      </c>
      <c r="H999" s="3" t="s">
        <v>88</v>
      </c>
      <c r="I999" s="3" t="s">
        <v>85</v>
      </c>
      <c r="J999" s="3" t="s">
        <v>69</v>
      </c>
      <c r="K999" s="4">
        <v>21752.01</v>
      </c>
      <c r="L999" s="6">
        <v>896.99</v>
      </c>
    </row>
    <row r="1000" spans="1:12" x14ac:dyDescent="0.25">
      <c r="A1000" s="1">
        <v>999</v>
      </c>
      <c r="B1000" s="4">
        <v>7239</v>
      </c>
      <c r="C1000" s="5">
        <v>40723</v>
      </c>
      <c r="D1000" s="3" t="s">
        <v>4</v>
      </c>
      <c r="E1000" s="1" t="s">
        <v>217</v>
      </c>
      <c r="F1000" s="1" t="s">
        <v>46</v>
      </c>
      <c r="G1000" s="2" t="s">
        <v>6</v>
      </c>
      <c r="H1000" s="3" t="s">
        <v>84</v>
      </c>
      <c r="I1000" s="3" t="s">
        <v>85</v>
      </c>
      <c r="J1000" s="3" t="s">
        <v>57</v>
      </c>
      <c r="K1000" s="4">
        <v>6206.16</v>
      </c>
      <c r="L1000" s="6">
        <v>120.33</v>
      </c>
    </row>
    <row r="1001" spans="1:12" x14ac:dyDescent="0.25">
      <c r="A1001" s="1">
        <v>1000</v>
      </c>
      <c r="B1001" s="4">
        <v>7267</v>
      </c>
      <c r="C1001" s="5">
        <v>41149</v>
      </c>
      <c r="D1001" s="3" t="s">
        <v>89</v>
      </c>
      <c r="E1001" s="1" t="s">
        <v>207</v>
      </c>
      <c r="F1001" s="1" t="s">
        <v>42</v>
      </c>
      <c r="G1001" s="2" t="s">
        <v>3</v>
      </c>
      <c r="H1001" s="3" t="s">
        <v>100</v>
      </c>
      <c r="I1001" s="3" t="s">
        <v>85</v>
      </c>
      <c r="J1001" s="3" t="s">
        <v>69</v>
      </c>
      <c r="K1001" s="4">
        <v>262.32</v>
      </c>
      <c r="L1001" s="6">
        <v>14.48</v>
      </c>
    </row>
    <row r="1002" spans="1:12" x14ac:dyDescent="0.25">
      <c r="A1002" s="1">
        <v>1001</v>
      </c>
      <c r="B1002" s="4">
        <v>7269</v>
      </c>
      <c r="C1002" s="5">
        <v>40070</v>
      </c>
      <c r="D1002" s="3" t="s">
        <v>4</v>
      </c>
      <c r="E1002" s="1" t="s">
        <v>207</v>
      </c>
      <c r="F1002" s="1" t="s">
        <v>42</v>
      </c>
      <c r="G1002" s="2" t="s">
        <v>3</v>
      </c>
      <c r="H1002" s="3" t="s">
        <v>100</v>
      </c>
      <c r="I1002" s="3" t="s">
        <v>92</v>
      </c>
      <c r="J1002" s="3" t="s">
        <v>61</v>
      </c>
      <c r="K1002" s="4">
        <v>1707.99</v>
      </c>
      <c r="L1002" s="6">
        <v>65.989999999999995</v>
      </c>
    </row>
    <row r="1003" spans="1:12" x14ac:dyDescent="0.25">
      <c r="A1003" s="1">
        <v>1002</v>
      </c>
      <c r="B1003" s="4">
        <v>7297</v>
      </c>
      <c r="C1003" s="5">
        <v>40070</v>
      </c>
      <c r="D1003" s="3" t="s">
        <v>89</v>
      </c>
      <c r="E1003" s="1" t="s">
        <v>592</v>
      </c>
      <c r="F1003" s="1" t="s">
        <v>48</v>
      </c>
      <c r="G1003" s="2" t="s">
        <v>1</v>
      </c>
      <c r="H1003" s="3" t="s">
        <v>84</v>
      </c>
      <c r="I1003" s="3" t="s">
        <v>91</v>
      </c>
      <c r="J1003" s="3" t="s">
        <v>59</v>
      </c>
      <c r="K1003" s="4">
        <v>936.95</v>
      </c>
      <c r="L1003" s="6">
        <v>33.979999999999997</v>
      </c>
    </row>
    <row r="1004" spans="1:12" x14ac:dyDescent="0.25">
      <c r="A1004" s="1">
        <v>1003</v>
      </c>
      <c r="B1004" s="4">
        <v>7297</v>
      </c>
      <c r="C1004" s="5">
        <v>40070</v>
      </c>
      <c r="D1004" s="3" t="s">
        <v>89</v>
      </c>
      <c r="E1004" s="1" t="s">
        <v>593</v>
      </c>
      <c r="F1004" s="1" t="s">
        <v>20</v>
      </c>
      <c r="G1004" s="2" t="s">
        <v>1</v>
      </c>
      <c r="H1004" s="3" t="s">
        <v>84</v>
      </c>
      <c r="I1004" s="3" t="s">
        <v>92</v>
      </c>
      <c r="J1004" s="3" t="s">
        <v>62</v>
      </c>
      <c r="K1004" s="4">
        <v>296.83999999999997</v>
      </c>
      <c r="L1004" s="6">
        <v>45.19</v>
      </c>
    </row>
    <row r="1005" spans="1:12" x14ac:dyDescent="0.25">
      <c r="A1005" s="1">
        <v>1004</v>
      </c>
      <c r="B1005" s="4">
        <v>7297</v>
      </c>
      <c r="C1005" s="5">
        <v>40070</v>
      </c>
      <c r="D1005" s="3" t="s">
        <v>89</v>
      </c>
      <c r="E1005" s="1" t="s">
        <v>134</v>
      </c>
      <c r="F1005" s="1" t="s">
        <v>21</v>
      </c>
      <c r="G1005" s="2" t="s">
        <v>1</v>
      </c>
      <c r="H1005" s="3" t="s">
        <v>84</v>
      </c>
      <c r="I1005" s="3" t="s">
        <v>91</v>
      </c>
      <c r="J1005" s="3" t="s">
        <v>60</v>
      </c>
      <c r="K1005" s="4">
        <v>1620.94</v>
      </c>
      <c r="L1005" s="6">
        <v>400.98</v>
      </c>
    </row>
    <row r="1006" spans="1:12" x14ac:dyDescent="0.25">
      <c r="A1006" s="1">
        <v>1005</v>
      </c>
      <c r="B1006" s="4">
        <v>7301</v>
      </c>
      <c r="C1006" s="5">
        <v>40540</v>
      </c>
      <c r="D1006" s="3" t="s">
        <v>82</v>
      </c>
      <c r="E1006" s="1" t="s">
        <v>141</v>
      </c>
      <c r="F1006" s="1" t="s">
        <v>15</v>
      </c>
      <c r="G1006" s="2" t="s">
        <v>1</v>
      </c>
      <c r="H1006" s="3" t="s">
        <v>88</v>
      </c>
      <c r="I1006" s="3" t="s">
        <v>92</v>
      </c>
      <c r="J1006" s="3" t="s">
        <v>61</v>
      </c>
      <c r="K1006" s="4">
        <v>959.08899999999994</v>
      </c>
      <c r="L1006" s="6">
        <v>65.989999999999995</v>
      </c>
    </row>
    <row r="1007" spans="1:12" x14ac:dyDescent="0.25">
      <c r="A1007" s="1">
        <v>1006</v>
      </c>
      <c r="B1007" s="4">
        <v>7335</v>
      </c>
      <c r="C1007" s="5">
        <v>40327</v>
      </c>
      <c r="D1007" s="3" t="s">
        <v>82</v>
      </c>
      <c r="E1007" s="1" t="s">
        <v>527</v>
      </c>
      <c r="F1007" s="1" t="s">
        <v>23</v>
      </c>
      <c r="G1007" s="2" t="s">
        <v>3</v>
      </c>
      <c r="H1007" s="3" t="s">
        <v>88</v>
      </c>
      <c r="I1007" s="3" t="s">
        <v>92</v>
      </c>
      <c r="J1007" s="3" t="s">
        <v>61</v>
      </c>
      <c r="K1007" s="4">
        <v>3681.7494999999999</v>
      </c>
      <c r="L1007" s="6">
        <v>95.99</v>
      </c>
    </row>
    <row r="1008" spans="1:12" x14ac:dyDescent="0.25">
      <c r="A1008" s="1">
        <v>1007</v>
      </c>
      <c r="B1008" s="4">
        <v>7363</v>
      </c>
      <c r="C1008" s="5">
        <v>40491</v>
      </c>
      <c r="D1008" s="3" t="s">
        <v>4</v>
      </c>
      <c r="E1008" s="1" t="s">
        <v>216</v>
      </c>
      <c r="F1008" s="1" t="s">
        <v>45</v>
      </c>
      <c r="G1008" s="2" t="s">
        <v>3</v>
      </c>
      <c r="H1008" s="3" t="s">
        <v>88</v>
      </c>
      <c r="I1008" s="3" t="s">
        <v>91</v>
      </c>
      <c r="J1008" s="3" t="s">
        <v>59</v>
      </c>
      <c r="K1008" s="4">
        <v>875.52</v>
      </c>
      <c r="L1008" s="6">
        <v>37.93</v>
      </c>
    </row>
    <row r="1009" spans="1:12" x14ac:dyDescent="0.25">
      <c r="A1009" s="1">
        <v>1008</v>
      </c>
      <c r="B1009" s="4">
        <v>7364</v>
      </c>
      <c r="C1009" s="5">
        <v>39941</v>
      </c>
      <c r="D1009" s="3" t="s">
        <v>89</v>
      </c>
      <c r="E1009" s="1" t="s">
        <v>594</v>
      </c>
      <c r="F1009" s="1" t="s">
        <v>41</v>
      </c>
      <c r="G1009" s="2" t="s">
        <v>6</v>
      </c>
      <c r="H1009" s="3" t="s">
        <v>88</v>
      </c>
      <c r="I1009" s="3" t="s">
        <v>85</v>
      </c>
      <c r="J1009" s="3" t="s">
        <v>71</v>
      </c>
      <c r="K1009" s="4">
        <v>260.39</v>
      </c>
      <c r="L1009" s="6">
        <v>16.98</v>
      </c>
    </row>
    <row r="1010" spans="1:12" x14ac:dyDescent="0.25">
      <c r="A1010" s="1">
        <v>1009</v>
      </c>
      <c r="B1010" s="4">
        <v>7367</v>
      </c>
      <c r="C1010" s="5">
        <v>40699</v>
      </c>
      <c r="D1010" s="3" t="s">
        <v>82</v>
      </c>
      <c r="E1010" s="1" t="s">
        <v>237</v>
      </c>
      <c r="F1010" s="1" t="s">
        <v>21</v>
      </c>
      <c r="G1010" s="2" t="s">
        <v>1</v>
      </c>
      <c r="H1010" s="3" t="s">
        <v>84</v>
      </c>
      <c r="I1010" s="3" t="s">
        <v>85</v>
      </c>
      <c r="J1010" s="3" t="s">
        <v>66</v>
      </c>
      <c r="K1010" s="4">
        <v>269.93</v>
      </c>
      <c r="L1010" s="6">
        <v>5.43</v>
      </c>
    </row>
    <row r="1011" spans="1:12" x14ac:dyDescent="0.25">
      <c r="A1011" s="1">
        <v>1010</v>
      </c>
      <c r="B1011" s="4">
        <v>7367</v>
      </c>
      <c r="C1011" s="5">
        <v>40699</v>
      </c>
      <c r="D1011" s="3" t="s">
        <v>82</v>
      </c>
      <c r="E1011" s="1" t="s">
        <v>595</v>
      </c>
      <c r="F1011" s="1" t="s">
        <v>43</v>
      </c>
      <c r="G1011" s="2" t="s">
        <v>1</v>
      </c>
      <c r="H1011" s="3" t="s">
        <v>84</v>
      </c>
      <c r="I1011" s="3" t="s">
        <v>92</v>
      </c>
      <c r="J1011" s="3" t="s">
        <v>62</v>
      </c>
      <c r="K1011" s="4">
        <v>303.62</v>
      </c>
      <c r="L1011" s="6">
        <v>6.48</v>
      </c>
    </row>
    <row r="1012" spans="1:12" x14ac:dyDescent="0.25">
      <c r="A1012" s="1">
        <v>1011</v>
      </c>
      <c r="B1012" s="4">
        <v>7398</v>
      </c>
      <c r="C1012" s="5">
        <v>39965</v>
      </c>
      <c r="D1012" s="3" t="s">
        <v>86</v>
      </c>
      <c r="E1012" s="1" t="s">
        <v>596</v>
      </c>
      <c r="F1012" s="1" t="s">
        <v>33</v>
      </c>
      <c r="G1012" s="2" t="s">
        <v>2</v>
      </c>
      <c r="H1012" s="3" t="s">
        <v>88</v>
      </c>
      <c r="I1012" s="3" t="s">
        <v>85</v>
      </c>
      <c r="J1012" s="3" t="s">
        <v>63</v>
      </c>
      <c r="K1012" s="4">
        <v>55.77</v>
      </c>
      <c r="L1012" s="6">
        <v>9.11</v>
      </c>
    </row>
    <row r="1013" spans="1:12" x14ac:dyDescent="0.25">
      <c r="A1013" s="1">
        <v>1012</v>
      </c>
      <c r="B1013" s="4">
        <v>7398</v>
      </c>
      <c r="C1013" s="5">
        <v>39965</v>
      </c>
      <c r="D1013" s="3" t="s">
        <v>86</v>
      </c>
      <c r="E1013" s="1" t="s">
        <v>596</v>
      </c>
      <c r="F1013" s="1" t="s">
        <v>33</v>
      </c>
      <c r="G1013" s="2" t="s">
        <v>2</v>
      </c>
      <c r="H1013" s="3" t="s">
        <v>88</v>
      </c>
      <c r="I1013" s="3" t="s">
        <v>85</v>
      </c>
      <c r="J1013" s="3" t="s">
        <v>57</v>
      </c>
      <c r="K1013" s="4">
        <v>2181.44</v>
      </c>
      <c r="L1013" s="6">
        <v>64.650000000000006</v>
      </c>
    </row>
    <row r="1014" spans="1:12" x14ac:dyDescent="0.25">
      <c r="A1014" s="1">
        <v>1013</v>
      </c>
      <c r="B1014" s="4">
        <v>7427</v>
      </c>
      <c r="C1014" s="5">
        <v>41258</v>
      </c>
      <c r="D1014" s="3" t="s">
        <v>86</v>
      </c>
      <c r="E1014" s="1" t="s">
        <v>551</v>
      </c>
      <c r="F1014" s="1" t="s">
        <v>30</v>
      </c>
      <c r="G1014" s="2" t="s">
        <v>6</v>
      </c>
      <c r="H1014" s="3" t="s">
        <v>88</v>
      </c>
      <c r="I1014" s="3" t="s">
        <v>85</v>
      </c>
      <c r="J1014" s="3" t="s">
        <v>70</v>
      </c>
      <c r="K1014" s="4">
        <v>16002.29</v>
      </c>
      <c r="L1014" s="6">
        <v>363.25</v>
      </c>
    </row>
    <row r="1015" spans="1:12" x14ac:dyDescent="0.25">
      <c r="A1015" s="1">
        <v>1014</v>
      </c>
      <c r="B1015" s="4">
        <v>7427</v>
      </c>
      <c r="C1015" s="5">
        <v>41258</v>
      </c>
      <c r="D1015" s="3" t="s">
        <v>86</v>
      </c>
      <c r="E1015" s="1" t="s">
        <v>551</v>
      </c>
      <c r="F1015" s="1" t="s">
        <v>30</v>
      </c>
      <c r="G1015" s="2" t="s">
        <v>6</v>
      </c>
      <c r="H1015" s="3" t="s">
        <v>88</v>
      </c>
      <c r="I1015" s="3" t="s">
        <v>85</v>
      </c>
      <c r="J1015" s="3" t="s">
        <v>69</v>
      </c>
      <c r="K1015" s="4">
        <v>182.26</v>
      </c>
      <c r="L1015" s="6">
        <v>18.940000000000001</v>
      </c>
    </row>
    <row r="1016" spans="1:12" x14ac:dyDescent="0.25">
      <c r="A1016" s="1">
        <v>1015</v>
      </c>
      <c r="B1016" s="4">
        <v>7429</v>
      </c>
      <c r="C1016" s="5">
        <v>40324</v>
      </c>
      <c r="D1016" s="3" t="s">
        <v>86</v>
      </c>
      <c r="E1016" s="1" t="s">
        <v>597</v>
      </c>
      <c r="F1016" s="1" t="s">
        <v>35</v>
      </c>
      <c r="G1016" s="2" t="s">
        <v>1</v>
      </c>
      <c r="H1016" s="3" t="s">
        <v>97</v>
      </c>
      <c r="I1016" s="3" t="s">
        <v>92</v>
      </c>
      <c r="J1016" s="3" t="s">
        <v>62</v>
      </c>
      <c r="K1016" s="4">
        <v>1379.34</v>
      </c>
      <c r="L1016" s="6">
        <v>40.479999999999997</v>
      </c>
    </row>
    <row r="1017" spans="1:12" x14ac:dyDescent="0.25">
      <c r="A1017" s="1">
        <v>1016</v>
      </c>
      <c r="B1017" s="4">
        <v>7429</v>
      </c>
      <c r="C1017" s="5">
        <v>40324</v>
      </c>
      <c r="D1017" s="3" t="s">
        <v>86</v>
      </c>
      <c r="E1017" s="1" t="s">
        <v>597</v>
      </c>
      <c r="F1017" s="1" t="s">
        <v>35</v>
      </c>
      <c r="G1017" s="2" t="s">
        <v>1</v>
      </c>
      <c r="H1017" s="3" t="s">
        <v>97</v>
      </c>
      <c r="I1017" s="3" t="s">
        <v>91</v>
      </c>
      <c r="J1017" s="3" t="s">
        <v>59</v>
      </c>
      <c r="K1017" s="4">
        <v>168.25</v>
      </c>
      <c r="L1017" s="6">
        <v>26.48</v>
      </c>
    </row>
    <row r="1018" spans="1:12" x14ac:dyDescent="0.25">
      <c r="A1018" s="1">
        <v>1017</v>
      </c>
      <c r="B1018" s="4">
        <v>7430</v>
      </c>
      <c r="C1018" s="5">
        <v>40337</v>
      </c>
      <c r="D1018" s="3" t="s">
        <v>4</v>
      </c>
      <c r="E1018" s="1" t="s">
        <v>539</v>
      </c>
      <c r="F1018" s="1" t="s">
        <v>8</v>
      </c>
      <c r="G1018" s="2" t="s">
        <v>6</v>
      </c>
      <c r="H1018" s="3" t="s">
        <v>88</v>
      </c>
      <c r="I1018" s="3" t="s">
        <v>85</v>
      </c>
      <c r="J1018" s="3" t="s">
        <v>71</v>
      </c>
      <c r="K1018" s="4">
        <v>751.77</v>
      </c>
      <c r="L1018" s="6">
        <v>15.67</v>
      </c>
    </row>
    <row r="1019" spans="1:12" x14ac:dyDescent="0.25">
      <c r="A1019" s="1">
        <v>1018</v>
      </c>
      <c r="B1019" s="4">
        <v>7431</v>
      </c>
      <c r="C1019" s="5">
        <v>39934</v>
      </c>
      <c r="D1019" s="3" t="s">
        <v>4</v>
      </c>
      <c r="E1019" s="1" t="s">
        <v>586</v>
      </c>
      <c r="F1019" s="1" t="s">
        <v>33</v>
      </c>
      <c r="G1019" s="2" t="s">
        <v>2</v>
      </c>
      <c r="H1019" s="3" t="s">
        <v>100</v>
      </c>
      <c r="I1019" s="3" t="s">
        <v>91</v>
      </c>
      <c r="J1019" s="3" t="s">
        <v>59</v>
      </c>
      <c r="K1019" s="4">
        <v>78.81</v>
      </c>
      <c r="L1019" s="6">
        <v>2.23</v>
      </c>
    </row>
    <row r="1020" spans="1:12" x14ac:dyDescent="0.25">
      <c r="A1020" s="1">
        <v>1019</v>
      </c>
      <c r="B1020" s="4">
        <v>7457</v>
      </c>
      <c r="C1020" s="5">
        <v>40451</v>
      </c>
      <c r="D1020" s="3" t="s">
        <v>86</v>
      </c>
      <c r="E1020" s="1" t="s">
        <v>598</v>
      </c>
      <c r="F1020" s="1" t="s">
        <v>23</v>
      </c>
      <c r="G1020" s="2" t="s">
        <v>3</v>
      </c>
      <c r="H1020" s="3" t="s">
        <v>84</v>
      </c>
      <c r="I1020" s="3" t="s">
        <v>85</v>
      </c>
      <c r="J1020" s="3" t="s">
        <v>71</v>
      </c>
      <c r="K1020" s="4">
        <v>2300.4499999999998</v>
      </c>
      <c r="L1020" s="6">
        <v>60.98</v>
      </c>
    </row>
    <row r="1021" spans="1:12" x14ac:dyDescent="0.25">
      <c r="A1021" s="1">
        <v>1020</v>
      </c>
      <c r="B1021" s="4">
        <v>7457</v>
      </c>
      <c r="C1021" s="5">
        <v>40451</v>
      </c>
      <c r="D1021" s="3" t="s">
        <v>86</v>
      </c>
      <c r="E1021" s="1" t="s">
        <v>598</v>
      </c>
      <c r="F1021" s="1" t="s">
        <v>23</v>
      </c>
      <c r="G1021" s="2" t="s">
        <v>3</v>
      </c>
      <c r="H1021" s="3" t="s">
        <v>84</v>
      </c>
      <c r="I1021" s="3" t="s">
        <v>85</v>
      </c>
      <c r="J1021" s="3" t="s">
        <v>63</v>
      </c>
      <c r="K1021" s="4">
        <v>548.11</v>
      </c>
      <c r="L1021" s="6">
        <v>11.55</v>
      </c>
    </row>
    <row r="1022" spans="1:12" x14ac:dyDescent="0.25">
      <c r="A1022" s="1">
        <v>1021</v>
      </c>
      <c r="B1022" s="4">
        <v>7458</v>
      </c>
      <c r="C1022" s="5">
        <v>41003</v>
      </c>
      <c r="D1022" s="3" t="s">
        <v>95</v>
      </c>
      <c r="E1022" s="1" t="s">
        <v>599</v>
      </c>
      <c r="F1022" s="1" t="s">
        <v>39</v>
      </c>
      <c r="G1022" s="2" t="s">
        <v>1</v>
      </c>
      <c r="H1022" s="3" t="s">
        <v>88</v>
      </c>
      <c r="I1022" s="3" t="s">
        <v>85</v>
      </c>
      <c r="J1022" s="3" t="s">
        <v>69</v>
      </c>
      <c r="K1022" s="4">
        <v>226.81</v>
      </c>
      <c r="L1022" s="6">
        <v>14.45</v>
      </c>
    </row>
    <row r="1023" spans="1:12" x14ac:dyDescent="0.25">
      <c r="A1023" s="1">
        <v>1022</v>
      </c>
      <c r="B1023" s="4">
        <v>7458</v>
      </c>
      <c r="C1023" s="5">
        <v>41003</v>
      </c>
      <c r="D1023" s="3" t="s">
        <v>95</v>
      </c>
      <c r="E1023" s="1" t="s">
        <v>600</v>
      </c>
      <c r="F1023" s="1" t="s">
        <v>39</v>
      </c>
      <c r="G1023" s="2" t="s">
        <v>1</v>
      </c>
      <c r="H1023" s="3" t="s">
        <v>88</v>
      </c>
      <c r="I1023" s="3" t="s">
        <v>92</v>
      </c>
      <c r="J1023" s="3" t="s">
        <v>62</v>
      </c>
      <c r="K1023" s="4">
        <v>511.07</v>
      </c>
      <c r="L1023" s="6">
        <v>10.97</v>
      </c>
    </row>
    <row r="1024" spans="1:12" x14ac:dyDescent="0.25">
      <c r="A1024" s="1">
        <v>1023</v>
      </c>
      <c r="B1024" s="4">
        <v>7458</v>
      </c>
      <c r="C1024" s="5">
        <v>41003</v>
      </c>
      <c r="D1024" s="3" t="s">
        <v>95</v>
      </c>
      <c r="E1024" s="1" t="s">
        <v>601</v>
      </c>
      <c r="F1024" s="1" t="s">
        <v>24</v>
      </c>
      <c r="G1024" s="2" t="s">
        <v>2</v>
      </c>
      <c r="H1024" s="3" t="s">
        <v>88</v>
      </c>
      <c r="I1024" s="3" t="s">
        <v>92</v>
      </c>
      <c r="J1024" s="3" t="s">
        <v>62</v>
      </c>
      <c r="K1024" s="4">
        <v>337.34</v>
      </c>
      <c r="L1024" s="6">
        <v>39.479999999999997</v>
      </c>
    </row>
    <row r="1025" spans="1:12" x14ac:dyDescent="0.25">
      <c r="A1025" s="1">
        <v>1024</v>
      </c>
      <c r="B1025" s="4">
        <v>7461</v>
      </c>
      <c r="C1025" s="5">
        <v>39825</v>
      </c>
      <c r="D1025" s="3" t="s">
        <v>82</v>
      </c>
      <c r="E1025" s="1" t="s">
        <v>240</v>
      </c>
      <c r="F1025" s="1" t="s">
        <v>36</v>
      </c>
      <c r="G1025" s="2" t="s">
        <v>2</v>
      </c>
      <c r="H1025" s="3" t="s">
        <v>97</v>
      </c>
      <c r="I1025" s="3" t="s">
        <v>91</v>
      </c>
      <c r="J1025" s="3" t="s">
        <v>72</v>
      </c>
      <c r="K1025" s="4">
        <v>4080.3</v>
      </c>
      <c r="L1025" s="6">
        <v>350.99</v>
      </c>
    </row>
    <row r="1026" spans="1:12" x14ac:dyDescent="0.25">
      <c r="A1026" s="1">
        <v>1025</v>
      </c>
      <c r="B1026" s="4">
        <v>7461</v>
      </c>
      <c r="C1026" s="5">
        <v>39825</v>
      </c>
      <c r="D1026" s="3" t="s">
        <v>82</v>
      </c>
      <c r="E1026" s="1" t="s">
        <v>240</v>
      </c>
      <c r="F1026" s="1" t="s">
        <v>36</v>
      </c>
      <c r="G1026" s="2" t="s">
        <v>2</v>
      </c>
      <c r="H1026" s="3" t="s">
        <v>97</v>
      </c>
      <c r="I1026" s="3" t="s">
        <v>85</v>
      </c>
      <c r="J1026" s="3" t="s">
        <v>71</v>
      </c>
      <c r="K1026" s="4">
        <v>260.79000000000002</v>
      </c>
      <c r="L1026" s="6">
        <v>8.74</v>
      </c>
    </row>
    <row r="1027" spans="1:12" x14ac:dyDescent="0.25">
      <c r="A1027" s="1">
        <v>1026</v>
      </c>
      <c r="B1027" s="4">
        <v>7461</v>
      </c>
      <c r="C1027" s="5">
        <v>39825</v>
      </c>
      <c r="D1027" s="3" t="s">
        <v>82</v>
      </c>
      <c r="E1027" s="1" t="s">
        <v>240</v>
      </c>
      <c r="F1027" s="1" t="s">
        <v>36</v>
      </c>
      <c r="G1027" s="2" t="s">
        <v>2</v>
      </c>
      <c r="H1027" s="3" t="s">
        <v>97</v>
      </c>
      <c r="I1027" s="3" t="s">
        <v>85</v>
      </c>
      <c r="J1027" s="3" t="s">
        <v>64</v>
      </c>
      <c r="K1027" s="4">
        <v>90.35</v>
      </c>
      <c r="L1027" s="6">
        <v>1.98</v>
      </c>
    </row>
    <row r="1028" spans="1:12" x14ac:dyDescent="0.25">
      <c r="A1028" s="1">
        <v>1027</v>
      </c>
      <c r="B1028" s="4">
        <v>7462</v>
      </c>
      <c r="C1028" s="5">
        <v>40594</v>
      </c>
      <c r="D1028" s="3" t="s">
        <v>89</v>
      </c>
      <c r="E1028" s="1" t="s">
        <v>252</v>
      </c>
      <c r="F1028" s="1" t="s">
        <v>22</v>
      </c>
      <c r="G1028" s="2" t="s">
        <v>6</v>
      </c>
      <c r="H1028" s="3" t="s">
        <v>84</v>
      </c>
      <c r="I1028" s="3" t="s">
        <v>85</v>
      </c>
      <c r="J1028" s="3" t="s">
        <v>63</v>
      </c>
      <c r="K1028" s="4">
        <v>72.63</v>
      </c>
      <c r="L1028" s="6">
        <v>22.01</v>
      </c>
    </row>
    <row r="1029" spans="1:12" x14ac:dyDescent="0.25">
      <c r="A1029" s="1">
        <v>1028</v>
      </c>
      <c r="B1029" s="4">
        <v>7488</v>
      </c>
      <c r="C1029" s="5">
        <v>41032</v>
      </c>
      <c r="D1029" s="3" t="s">
        <v>95</v>
      </c>
      <c r="E1029" s="1" t="s">
        <v>572</v>
      </c>
      <c r="F1029" s="1" t="s">
        <v>54</v>
      </c>
      <c r="G1029" s="2" t="s">
        <v>2</v>
      </c>
      <c r="H1029" s="3" t="s">
        <v>88</v>
      </c>
      <c r="I1029" s="3" t="s">
        <v>85</v>
      </c>
      <c r="J1029" s="3" t="s">
        <v>63</v>
      </c>
      <c r="K1029" s="4">
        <v>26.09</v>
      </c>
      <c r="L1029" s="6">
        <v>2.84</v>
      </c>
    </row>
    <row r="1030" spans="1:12" x14ac:dyDescent="0.25">
      <c r="A1030" s="1">
        <v>1029</v>
      </c>
      <c r="B1030" s="4">
        <v>7489</v>
      </c>
      <c r="C1030" s="5">
        <v>40451</v>
      </c>
      <c r="D1030" s="3" t="s">
        <v>95</v>
      </c>
      <c r="E1030" s="1" t="s">
        <v>602</v>
      </c>
      <c r="F1030" s="1" t="s">
        <v>11</v>
      </c>
      <c r="G1030" s="2" t="s">
        <v>6</v>
      </c>
      <c r="H1030" s="3" t="s">
        <v>97</v>
      </c>
      <c r="I1030" s="3" t="s">
        <v>91</v>
      </c>
      <c r="J1030" s="3" t="s">
        <v>68</v>
      </c>
      <c r="K1030" s="4">
        <v>6900.13</v>
      </c>
      <c r="L1030" s="6">
        <v>180.98</v>
      </c>
    </row>
    <row r="1031" spans="1:12" x14ac:dyDescent="0.25">
      <c r="A1031" s="1">
        <v>1030</v>
      </c>
      <c r="B1031" s="4">
        <v>7521</v>
      </c>
      <c r="C1031" s="5">
        <v>40601</v>
      </c>
      <c r="D1031" s="3" t="s">
        <v>82</v>
      </c>
      <c r="E1031" s="1" t="s">
        <v>603</v>
      </c>
      <c r="F1031" s="1" t="s">
        <v>49</v>
      </c>
      <c r="G1031" s="2" t="s">
        <v>1</v>
      </c>
      <c r="H1031" s="3" t="s">
        <v>84</v>
      </c>
      <c r="I1031" s="3" t="s">
        <v>92</v>
      </c>
      <c r="J1031" s="3" t="s">
        <v>61</v>
      </c>
      <c r="K1031" s="4">
        <v>1942.1734999999999</v>
      </c>
      <c r="L1031" s="6">
        <v>115.99</v>
      </c>
    </row>
    <row r="1032" spans="1:12" x14ac:dyDescent="0.25">
      <c r="A1032" s="1">
        <v>1031</v>
      </c>
      <c r="B1032" s="4">
        <v>7527</v>
      </c>
      <c r="C1032" s="5">
        <v>40158</v>
      </c>
      <c r="D1032" s="3" t="s">
        <v>4</v>
      </c>
      <c r="E1032" s="1" t="s">
        <v>315</v>
      </c>
      <c r="F1032" s="1" t="s">
        <v>42</v>
      </c>
      <c r="G1032" s="2" t="s">
        <v>3</v>
      </c>
      <c r="H1032" s="3" t="s">
        <v>84</v>
      </c>
      <c r="I1032" s="3" t="s">
        <v>91</v>
      </c>
      <c r="J1032" s="3" t="s">
        <v>59</v>
      </c>
      <c r="K1032" s="4">
        <v>560.39</v>
      </c>
      <c r="L1032" s="6">
        <v>15.68</v>
      </c>
    </row>
    <row r="1033" spans="1:12" x14ac:dyDescent="0.25">
      <c r="A1033" s="1">
        <v>1032</v>
      </c>
      <c r="B1033" s="4">
        <v>7527</v>
      </c>
      <c r="C1033" s="5">
        <v>40158</v>
      </c>
      <c r="D1033" s="3" t="s">
        <v>4</v>
      </c>
      <c r="E1033" s="1" t="s">
        <v>315</v>
      </c>
      <c r="F1033" s="1" t="s">
        <v>42</v>
      </c>
      <c r="G1033" s="2" t="s">
        <v>3</v>
      </c>
      <c r="H1033" s="3" t="s">
        <v>84</v>
      </c>
      <c r="I1033" s="3" t="s">
        <v>92</v>
      </c>
      <c r="J1033" s="3" t="s">
        <v>61</v>
      </c>
      <c r="K1033" s="4">
        <v>7062.6159999999991</v>
      </c>
      <c r="L1033" s="6">
        <v>195.99</v>
      </c>
    </row>
    <row r="1034" spans="1:12" x14ac:dyDescent="0.25">
      <c r="A1034" s="1">
        <v>1033</v>
      </c>
      <c r="B1034" s="4">
        <v>7552</v>
      </c>
      <c r="C1034" s="5">
        <v>41162</v>
      </c>
      <c r="D1034" s="3" t="s">
        <v>95</v>
      </c>
      <c r="E1034" s="1" t="s">
        <v>572</v>
      </c>
      <c r="F1034" s="1" t="s">
        <v>54</v>
      </c>
      <c r="G1034" s="2" t="s">
        <v>2</v>
      </c>
      <c r="H1034" s="3" t="s">
        <v>88</v>
      </c>
      <c r="I1034" s="3" t="s">
        <v>85</v>
      </c>
      <c r="J1034" s="3" t="s">
        <v>63</v>
      </c>
      <c r="K1034" s="4">
        <v>1406.49</v>
      </c>
      <c r="L1034" s="6">
        <v>28.15</v>
      </c>
    </row>
    <row r="1035" spans="1:12" x14ac:dyDescent="0.25">
      <c r="A1035" s="1">
        <v>1034</v>
      </c>
      <c r="B1035" s="4">
        <v>7552</v>
      </c>
      <c r="C1035" s="5">
        <v>41162</v>
      </c>
      <c r="D1035" s="3" t="s">
        <v>95</v>
      </c>
      <c r="E1035" s="1" t="s">
        <v>572</v>
      </c>
      <c r="F1035" s="1" t="s">
        <v>54</v>
      </c>
      <c r="G1035" s="2" t="s">
        <v>2</v>
      </c>
      <c r="H1035" s="3" t="s">
        <v>88</v>
      </c>
      <c r="I1035" s="3" t="s">
        <v>85</v>
      </c>
      <c r="J1035" s="3" t="s">
        <v>58</v>
      </c>
      <c r="K1035" s="4">
        <v>587.71</v>
      </c>
      <c r="L1035" s="6">
        <v>12.98</v>
      </c>
    </row>
    <row r="1036" spans="1:12" x14ac:dyDescent="0.25">
      <c r="A1036" s="1">
        <v>1035</v>
      </c>
      <c r="B1036" s="4">
        <v>7553</v>
      </c>
      <c r="C1036" s="5">
        <v>40305</v>
      </c>
      <c r="D1036" s="3" t="s">
        <v>4</v>
      </c>
      <c r="E1036" s="1" t="s">
        <v>141</v>
      </c>
      <c r="F1036" s="1" t="s">
        <v>9</v>
      </c>
      <c r="G1036" s="2" t="s">
        <v>2</v>
      </c>
      <c r="H1036" s="3" t="s">
        <v>97</v>
      </c>
      <c r="I1036" s="3" t="s">
        <v>91</v>
      </c>
      <c r="J1036" s="3" t="s">
        <v>59</v>
      </c>
      <c r="K1036" s="4">
        <v>1079.19</v>
      </c>
      <c r="L1036" s="6">
        <v>92.23</v>
      </c>
    </row>
    <row r="1037" spans="1:12" x14ac:dyDescent="0.25">
      <c r="A1037" s="1">
        <v>1036</v>
      </c>
      <c r="B1037" s="4">
        <v>7553</v>
      </c>
      <c r="C1037" s="5">
        <v>40305</v>
      </c>
      <c r="D1037" s="3" t="s">
        <v>4</v>
      </c>
      <c r="E1037" s="1" t="s">
        <v>141</v>
      </c>
      <c r="F1037" s="1" t="s">
        <v>9</v>
      </c>
      <c r="G1037" s="2" t="s">
        <v>2</v>
      </c>
      <c r="H1037" s="3" t="s">
        <v>97</v>
      </c>
      <c r="I1037" s="3" t="s">
        <v>85</v>
      </c>
      <c r="J1037" s="3" t="s">
        <v>66</v>
      </c>
      <c r="K1037" s="4">
        <v>19.05</v>
      </c>
      <c r="L1037" s="6">
        <v>4.28</v>
      </c>
    </row>
    <row r="1038" spans="1:12" x14ac:dyDescent="0.25">
      <c r="A1038" s="1">
        <v>1037</v>
      </c>
      <c r="B1038" s="4">
        <v>7559</v>
      </c>
      <c r="C1038" s="5">
        <v>40463</v>
      </c>
      <c r="D1038" s="3" t="s">
        <v>95</v>
      </c>
      <c r="E1038" s="1" t="s">
        <v>96</v>
      </c>
      <c r="F1038" s="1" t="s">
        <v>26</v>
      </c>
      <c r="G1038" s="2" t="s">
        <v>3</v>
      </c>
      <c r="H1038" s="3" t="s">
        <v>88</v>
      </c>
      <c r="I1038" s="3" t="s">
        <v>85</v>
      </c>
      <c r="J1038" s="3" t="s">
        <v>70</v>
      </c>
      <c r="K1038" s="4">
        <v>90.37</v>
      </c>
      <c r="L1038" s="6">
        <v>4.4800000000000004</v>
      </c>
    </row>
    <row r="1039" spans="1:12" x14ac:dyDescent="0.25">
      <c r="A1039" s="1">
        <v>1038</v>
      </c>
      <c r="B1039" s="4">
        <v>7559</v>
      </c>
      <c r="C1039" s="5">
        <v>40463</v>
      </c>
      <c r="D1039" s="3" t="s">
        <v>95</v>
      </c>
      <c r="E1039" s="1" t="s">
        <v>96</v>
      </c>
      <c r="F1039" s="1" t="s">
        <v>26</v>
      </c>
      <c r="G1039" s="2" t="s">
        <v>3</v>
      </c>
      <c r="H1039" s="3" t="s">
        <v>88</v>
      </c>
      <c r="I1039" s="3" t="s">
        <v>92</v>
      </c>
      <c r="J1039" s="3" t="s">
        <v>62</v>
      </c>
      <c r="K1039" s="4">
        <v>806.05</v>
      </c>
      <c r="L1039" s="6">
        <v>20.95</v>
      </c>
    </row>
    <row r="1040" spans="1:12" x14ac:dyDescent="0.25">
      <c r="A1040" s="1">
        <v>1039</v>
      </c>
      <c r="B1040" s="4">
        <v>7585</v>
      </c>
      <c r="C1040" s="5">
        <v>40682</v>
      </c>
      <c r="D1040" s="3" t="s">
        <v>89</v>
      </c>
      <c r="E1040" s="1" t="s">
        <v>604</v>
      </c>
      <c r="F1040" s="1" t="s">
        <v>54</v>
      </c>
      <c r="G1040" s="2" t="s">
        <v>2</v>
      </c>
      <c r="H1040" s="3" t="s">
        <v>100</v>
      </c>
      <c r="I1040" s="3" t="s">
        <v>92</v>
      </c>
      <c r="J1040" s="3" t="s">
        <v>61</v>
      </c>
      <c r="K1040" s="4">
        <v>650.1395</v>
      </c>
      <c r="L1040" s="6">
        <v>20.99</v>
      </c>
    </row>
    <row r="1041" spans="1:12" x14ac:dyDescent="0.25">
      <c r="A1041" s="1">
        <v>1040</v>
      </c>
      <c r="B1041" s="4">
        <v>7619</v>
      </c>
      <c r="C1041" s="5">
        <v>40459</v>
      </c>
      <c r="D1041" s="3" t="s">
        <v>86</v>
      </c>
      <c r="E1041" s="1" t="s">
        <v>317</v>
      </c>
      <c r="F1041" s="1" t="s">
        <v>34</v>
      </c>
      <c r="G1041" s="2" t="s">
        <v>1</v>
      </c>
      <c r="H1041" s="3" t="s">
        <v>100</v>
      </c>
      <c r="I1041" s="3" t="s">
        <v>92</v>
      </c>
      <c r="J1041" s="3" t="s">
        <v>62</v>
      </c>
      <c r="K1041" s="4">
        <v>141.77000000000001</v>
      </c>
      <c r="L1041" s="6">
        <v>17.48</v>
      </c>
    </row>
    <row r="1042" spans="1:12" x14ac:dyDescent="0.25">
      <c r="A1042" s="1">
        <v>1041</v>
      </c>
      <c r="B1042" s="4">
        <v>7623</v>
      </c>
      <c r="C1042" s="5">
        <v>40114</v>
      </c>
      <c r="D1042" s="3" t="s">
        <v>95</v>
      </c>
      <c r="E1042" s="1" t="s">
        <v>433</v>
      </c>
      <c r="F1042" s="1" t="s">
        <v>15</v>
      </c>
      <c r="G1042" s="2" t="s">
        <v>1</v>
      </c>
      <c r="H1042" s="3" t="s">
        <v>88</v>
      </c>
      <c r="I1042" s="3" t="s">
        <v>85</v>
      </c>
      <c r="J1042" s="3" t="s">
        <v>70</v>
      </c>
      <c r="K1042" s="4">
        <v>5459.32</v>
      </c>
      <c r="L1042" s="6">
        <v>300.64999999999998</v>
      </c>
    </row>
    <row r="1043" spans="1:12" x14ac:dyDescent="0.25">
      <c r="A1043" s="1">
        <v>1042</v>
      </c>
      <c r="B1043" s="4">
        <v>7623</v>
      </c>
      <c r="C1043" s="5">
        <v>40114</v>
      </c>
      <c r="D1043" s="3" t="s">
        <v>95</v>
      </c>
      <c r="E1043" s="1" t="s">
        <v>433</v>
      </c>
      <c r="F1043" s="1" t="s">
        <v>15</v>
      </c>
      <c r="G1043" s="2" t="s">
        <v>1</v>
      </c>
      <c r="H1043" s="3" t="s">
        <v>88</v>
      </c>
      <c r="I1043" s="3" t="s">
        <v>92</v>
      </c>
      <c r="J1043" s="3" t="s">
        <v>62</v>
      </c>
      <c r="K1043" s="4">
        <v>1793.42</v>
      </c>
      <c r="L1043" s="6">
        <v>49.99</v>
      </c>
    </row>
    <row r="1044" spans="1:12" x14ac:dyDescent="0.25">
      <c r="A1044" s="1">
        <v>1043</v>
      </c>
      <c r="B1044" s="4">
        <v>7623</v>
      </c>
      <c r="C1044" s="5">
        <v>40114</v>
      </c>
      <c r="D1044" s="3" t="s">
        <v>95</v>
      </c>
      <c r="E1044" s="1" t="s">
        <v>433</v>
      </c>
      <c r="F1044" s="1" t="s">
        <v>15</v>
      </c>
      <c r="G1044" s="2" t="s">
        <v>1</v>
      </c>
      <c r="H1044" s="3" t="s">
        <v>88</v>
      </c>
      <c r="I1044" s="3" t="s">
        <v>85</v>
      </c>
      <c r="J1044" s="3" t="s">
        <v>66</v>
      </c>
      <c r="K1044" s="4">
        <v>3080.07</v>
      </c>
      <c r="L1044" s="6">
        <v>104.85</v>
      </c>
    </row>
    <row r="1045" spans="1:12" x14ac:dyDescent="0.25">
      <c r="A1045" s="1">
        <v>1044</v>
      </c>
      <c r="B1045" s="4">
        <v>7653</v>
      </c>
      <c r="C1045" s="5">
        <v>40966</v>
      </c>
      <c r="D1045" s="3" t="s">
        <v>4</v>
      </c>
      <c r="E1045" s="1" t="s">
        <v>605</v>
      </c>
      <c r="F1045" s="1" t="s">
        <v>23</v>
      </c>
      <c r="G1045" s="2" t="s">
        <v>3</v>
      </c>
      <c r="H1045" s="3" t="s">
        <v>100</v>
      </c>
      <c r="I1045" s="3" t="s">
        <v>85</v>
      </c>
      <c r="J1045" s="3" t="s">
        <v>66</v>
      </c>
      <c r="K1045" s="4">
        <v>1425.06</v>
      </c>
      <c r="L1045" s="6">
        <v>48.04</v>
      </c>
    </row>
    <row r="1046" spans="1:12" x14ac:dyDescent="0.25">
      <c r="A1046" s="1">
        <v>1045</v>
      </c>
      <c r="B1046" s="4">
        <v>7654</v>
      </c>
      <c r="C1046" s="5">
        <v>40219</v>
      </c>
      <c r="D1046" s="3" t="s">
        <v>89</v>
      </c>
      <c r="E1046" s="1" t="s">
        <v>264</v>
      </c>
      <c r="F1046" s="1" t="s">
        <v>32</v>
      </c>
      <c r="G1046" s="2" t="s">
        <v>2</v>
      </c>
      <c r="H1046" s="3" t="s">
        <v>84</v>
      </c>
      <c r="I1046" s="3" t="s">
        <v>85</v>
      </c>
      <c r="J1046" s="3" t="s">
        <v>65</v>
      </c>
      <c r="K1046" s="4">
        <v>19.47</v>
      </c>
      <c r="L1046" s="6">
        <v>4.13</v>
      </c>
    </row>
    <row r="1047" spans="1:12" x14ac:dyDescent="0.25">
      <c r="A1047" s="1">
        <v>1046</v>
      </c>
      <c r="B1047" s="4">
        <v>7680</v>
      </c>
      <c r="C1047" s="5">
        <v>40641</v>
      </c>
      <c r="D1047" s="3" t="s">
        <v>86</v>
      </c>
      <c r="E1047" s="1" t="s">
        <v>606</v>
      </c>
      <c r="F1047" s="1" t="s">
        <v>9</v>
      </c>
      <c r="G1047" s="2" t="s">
        <v>2</v>
      </c>
      <c r="H1047" s="3" t="s">
        <v>84</v>
      </c>
      <c r="I1047" s="3" t="s">
        <v>85</v>
      </c>
      <c r="J1047" s="3" t="s">
        <v>66</v>
      </c>
      <c r="K1047" s="4">
        <v>1141.3699999999999</v>
      </c>
      <c r="L1047" s="6">
        <v>35.44</v>
      </c>
    </row>
    <row r="1048" spans="1:12" x14ac:dyDescent="0.25">
      <c r="A1048" s="1">
        <v>1047</v>
      </c>
      <c r="B1048" s="4">
        <v>7719</v>
      </c>
      <c r="C1048" s="5">
        <v>39893</v>
      </c>
      <c r="D1048" s="3" t="s">
        <v>82</v>
      </c>
      <c r="E1048" s="1" t="s">
        <v>141</v>
      </c>
      <c r="F1048" s="1" t="s">
        <v>9</v>
      </c>
      <c r="G1048" s="2" t="s">
        <v>2</v>
      </c>
      <c r="H1048" s="3" t="s">
        <v>97</v>
      </c>
      <c r="I1048" s="3" t="s">
        <v>85</v>
      </c>
      <c r="J1048" s="3" t="s">
        <v>57</v>
      </c>
      <c r="K1048" s="4">
        <v>522.62</v>
      </c>
      <c r="L1048" s="6">
        <v>13.48</v>
      </c>
    </row>
    <row r="1049" spans="1:12" x14ac:dyDescent="0.25">
      <c r="A1049" s="1">
        <v>1048</v>
      </c>
      <c r="B1049" s="4">
        <v>7744</v>
      </c>
      <c r="C1049" s="5">
        <v>40134</v>
      </c>
      <c r="D1049" s="3" t="s">
        <v>82</v>
      </c>
      <c r="E1049" s="1" t="s">
        <v>177</v>
      </c>
      <c r="F1049" s="1" t="s">
        <v>34</v>
      </c>
      <c r="G1049" s="2" t="s">
        <v>1</v>
      </c>
      <c r="H1049" s="3" t="s">
        <v>88</v>
      </c>
      <c r="I1049" s="3" t="s">
        <v>85</v>
      </c>
      <c r="J1049" s="3" t="s">
        <v>69</v>
      </c>
      <c r="K1049" s="4">
        <v>4286.55</v>
      </c>
      <c r="L1049" s="6">
        <v>172.99</v>
      </c>
    </row>
    <row r="1050" spans="1:12" x14ac:dyDescent="0.25">
      <c r="A1050" s="1">
        <v>1049</v>
      </c>
      <c r="B1050" s="4">
        <v>7744</v>
      </c>
      <c r="C1050" s="5">
        <v>40134</v>
      </c>
      <c r="D1050" s="3" t="s">
        <v>82</v>
      </c>
      <c r="E1050" s="1" t="s">
        <v>607</v>
      </c>
      <c r="F1050" s="1" t="s">
        <v>34</v>
      </c>
      <c r="G1050" s="2" t="s">
        <v>1</v>
      </c>
      <c r="H1050" s="3" t="s">
        <v>88</v>
      </c>
      <c r="I1050" s="3" t="s">
        <v>85</v>
      </c>
      <c r="J1050" s="3" t="s">
        <v>71</v>
      </c>
      <c r="K1050" s="4">
        <v>8.34</v>
      </c>
      <c r="L1050" s="6">
        <v>7.64</v>
      </c>
    </row>
    <row r="1051" spans="1:12" x14ac:dyDescent="0.25">
      <c r="A1051" s="1">
        <v>1050</v>
      </c>
      <c r="B1051" s="4">
        <v>7746</v>
      </c>
      <c r="C1051" s="5">
        <v>40517</v>
      </c>
      <c r="D1051" s="3" t="s">
        <v>4</v>
      </c>
      <c r="E1051" s="1" t="s">
        <v>264</v>
      </c>
      <c r="F1051" s="1" t="s">
        <v>32</v>
      </c>
      <c r="G1051" s="2" t="s">
        <v>2</v>
      </c>
      <c r="H1051" s="3" t="s">
        <v>100</v>
      </c>
      <c r="I1051" s="3" t="s">
        <v>85</v>
      </c>
      <c r="J1051" s="3" t="s">
        <v>66</v>
      </c>
      <c r="K1051" s="4">
        <v>28.96</v>
      </c>
      <c r="L1051" s="6">
        <v>19.98</v>
      </c>
    </row>
    <row r="1052" spans="1:12" x14ac:dyDescent="0.25">
      <c r="A1052" s="1">
        <v>1051</v>
      </c>
      <c r="B1052" s="4">
        <v>7751</v>
      </c>
      <c r="C1052" s="5">
        <v>41266</v>
      </c>
      <c r="D1052" s="3" t="s">
        <v>86</v>
      </c>
      <c r="E1052" s="1" t="s">
        <v>108</v>
      </c>
      <c r="F1052" s="1" t="s">
        <v>21</v>
      </c>
      <c r="G1052" s="2" t="s">
        <v>1</v>
      </c>
      <c r="H1052" s="3" t="s">
        <v>88</v>
      </c>
      <c r="I1052" s="3" t="s">
        <v>91</v>
      </c>
      <c r="J1052" s="3" t="s">
        <v>72</v>
      </c>
      <c r="K1052" s="4">
        <v>4547.8999999999996</v>
      </c>
      <c r="L1052" s="6">
        <v>95.98</v>
      </c>
    </row>
    <row r="1053" spans="1:12" x14ac:dyDescent="0.25">
      <c r="A1053" s="1">
        <v>1052</v>
      </c>
      <c r="B1053" s="4">
        <v>7776</v>
      </c>
      <c r="C1053" s="5">
        <v>39886</v>
      </c>
      <c r="D1053" s="3" t="s">
        <v>4</v>
      </c>
      <c r="E1053" s="1" t="s">
        <v>560</v>
      </c>
      <c r="F1053" s="1" t="s">
        <v>37</v>
      </c>
      <c r="G1053" s="2" t="s">
        <v>3</v>
      </c>
      <c r="H1053" s="3" t="s">
        <v>88</v>
      </c>
      <c r="I1053" s="3" t="s">
        <v>91</v>
      </c>
      <c r="J1053" s="3" t="s">
        <v>72</v>
      </c>
      <c r="K1053" s="4">
        <v>7223.59</v>
      </c>
      <c r="L1053" s="6">
        <v>200.98</v>
      </c>
    </row>
    <row r="1054" spans="1:12" x14ac:dyDescent="0.25">
      <c r="A1054" s="1">
        <v>1053</v>
      </c>
      <c r="B1054" s="4">
        <v>7776</v>
      </c>
      <c r="C1054" s="5">
        <v>39886</v>
      </c>
      <c r="D1054" s="3" t="s">
        <v>4</v>
      </c>
      <c r="E1054" s="1" t="s">
        <v>560</v>
      </c>
      <c r="F1054" s="1" t="s">
        <v>37</v>
      </c>
      <c r="G1054" s="2" t="s">
        <v>3</v>
      </c>
      <c r="H1054" s="3" t="s">
        <v>88</v>
      </c>
      <c r="I1054" s="3" t="s">
        <v>91</v>
      </c>
      <c r="J1054" s="3" t="s">
        <v>60</v>
      </c>
      <c r="K1054" s="4">
        <v>934.21600000000001</v>
      </c>
      <c r="L1054" s="6">
        <v>179.29</v>
      </c>
    </row>
    <row r="1055" spans="1:12" x14ac:dyDescent="0.25">
      <c r="A1055" s="1">
        <v>1054</v>
      </c>
      <c r="B1055" s="4">
        <v>7782</v>
      </c>
      <c r="C1055" s="5">
        <v>39996</v>
      </c>
      <c r="D1055" s="3" t="s">
        <v>95</v>
      </c>
      <c r="E1055" s="1" t="s">
        <v>360</v>
      </c>
      <c r="F1055" s="1" t="s">
        <v>10</v>
      </c>
      <c r="G1055" s="2" t="s">
        <v>3</v>
      </c>
      <c r="H1055" s="3" t="s">
        <v>88</v>
      </c>
      <c r="I1055" s="3" t="s">
        <v>85</v>
      </c>
      <c r="J1055" s="3" t="s">
        <v>70</v>
      </c>
      <c r="K1055" s="4">
        <v>1205.73</v>
      </c>
      <c r="L1055" s="6">
        <v>60.97</v>
      </c>
    </row>
    <row r="1056" spans="1:12" x14ac:dyDescent="0.25">
      <c r="A1056" s="1">
        <v>1055</v>
      </c>
      <c r="B1056" s="4">
        <v>7783</v>
      </c>
      <c r="C1056" s="5">
        <v>40920</v>
      </c>
      <c r="D1056" s="3" t="s">
        <v>4</v>
      </c>
      <c r="E1056" s="1" t="s">
        <v>608</v>
      </c>
      <c r="F1056" s="1" t="s">
        <v>23</v>
      </c>
      <c r="G1056" s="2" t="s">
        <v>3</v>
      </c>
      <c r="H1056" s="3" t="s">
        <v>88</v>
      </c>
      <c r="I1056" s="3" t="s">
        <v>85</v>
      </c>
      <c r="J1056" s="3" t="s">
        <v>69</v>
      </c>
      <c r="K1056" s="4">
        <v>31.35</v>
      </c>
      <c r="L1056" s="6">
        <v>8.85</v>
      </c>
    </row>
    <row r="1057" spans="1:12" x14ac:dyDescent="0.25">
      <c r="A1057" s="1">
        <v>1056</v>
      </c>
      <c r="B1057" s="4">
        <v>7812</v>
      </c>
      <c r="C1057" s="5">
        <v>40653</v>
      </c>
      <c r="D1057" s="3" t="s">
        <v>82</v>
      </c>
      <c r="E1057" s="1" t="s">
        <v>413</v>
      </c>
      <c r="F1057" s="1" t="s">
        <v>24</v>
      </c>
      <c r="G1057" s="2" t="s">
        <v>2</v>
      </c>
      <c r="H1057" s="3" t="s">
        <v>88</v>
      </c>
      <c r="I1057" s="3" t="s">
        <v>91</v>
      </c>
      <c r="J1057" s="3" t="s">
        <v>59</v>
      </c>
      <c r="K1057" s="4">
        <v>475.9</v>
      </c>
      <c r="L1057" s="6">
        <v>27.42</v>
      </c>
    </row>
    <row r="1058" spans="1:12" x14ac:dyDescent="0.25">
      <c r="A1058" s="1">
        <v>1057</v>
      </c>
      <c r="B1058" s="4">
        <v>7812</v>
      </c>
      <c r="C1058" s="5">
        <v>40653</v>
      </c>
      <c r="D1058" s="3" t="s">
        <v>82</v>
      </c>
      <c r="E1058" s="1" t="s">
        <v>413</v>
      </c>
      <c r="F1058" s="1" t="s">
        <v>24</v>
      </c>
      <c r="G1058" s="2" t="s">
        <v>2</v>
      </c>
      <c r="H1058" s="3" t="s">
        <v>88</v>
      </c>
      <c r="I1058" s="3" t="s">
        <v>91</v>
      </c>
      <c r="J1058" s="3" t="s">
        <v>60</v>
      </c>
      <c r="K1058" s="4">
        <v>3635.63</v>
      </c>
      <c r="L1058" s="6">
        <v>320.64</v>
      </c>
    </row>
    <row r="1059" spans="1:12" x14ac:dyDescent="0.25">
      <c r="A1059" s="1">
        <v>1058</v>
      </c>
      <c r="B1059" s="4">
        <v>7815</v>
      </c>
      <c r="C1059" s="5">
        <v>39835</v>
      </c>
      <c r="D1059" s="3" t="s">
        <v>95</v>
      </c>
      <c r="E1059" s="1" t="s">
        <v>609</v>
      </c>
      <c r="F1059" s="1" t="s">
        <v>19</v>
      </c>
      <c r="G1059" s="2" t="s">
        <v>3</v>
      </c>
      <c r="H1059" s="3" t="s">
        <v>97</v>
      </c>
      <c r="I1059" s="3" t="s">
        <v>92</v>
      </c>
      <c r="J1059" s="3" t="s">
        <v>62</v>
      </c>
      <c r="K1059" s="4">
        <v>187.37</v>
      </c>
      <c r="L1059" s="6">
        <v>32.979999999999997</v>
      </c>
    </row>
    <row r="1060" spans="1:12" x14ac:dyDescent="0.25">
      <c r="A1060" s="1">
        <v>1059</v>
      </c>
      <c r="B1060" s="4">
        <v>7840</v>
      </c>
      <c r="C1060" s="5">
        <v>40551</v>
      </c>
      <c r="D1060" s="3" t="s">
        <v>82</v>
      </c>
      <c r="E1060" s="1" t="s">
        <v>574</v>
      </c>
      <c r="F1060" s="1" t="s">
        <v>24</v>
      </c>
      <c r="G1060" s="2" t="s">
        <v>2</v>
      </c>
      <c r="H1060" s="3" t="s">
        <v>100</v>
      </c>
      <c r="I1060" s="3" t="s">
        <v>92</v>
      </c>
      <c r="J1060" s="3" t="s">
        <v>62</v>
      </c>
      <c r="K1060" s="4">
        <v>157.56</v>
      </c>
      <c r="L1060" s="6">
        <v>4.8899999999999997</v>
      </c>
    </row>
    <row r="1061" spans="1:12" x14ac:dyDescent="0.25">
      <c r="A1061" s="1">
        <v>1060</v>
      </c>
      <c r="B1061" s="4">
        <v>7841</v>
      </c>
      <c r="C1061" s="5">
        <v>41049</v>
      </c>
      <c r="D1061" s="3" t="s">
        <v>86</v>
      </c>
      <c r="E1061" s="1" t="s">
        <v>610</v>
      </c>
      <c r="F1061" s="1" t="s">
        <v>13</v>
      </c>
      <c r="G1061" s="2" t="s">
        <v>6</v>
      </c>
      <c r="H1061" s="3" t="s">
        <v>100</v>
      </c>
      <c r="I1061" s="3" t="s">
        <v>91</v>
      </c>
      <c r="J1061" s="3" t="s">
        <v>59</v>
      </c>
      <c r="K1061" s="4">
        <v>1002.77</v>
      </c>
      <c r="L1061" s="6">
        <v>49.34</v>
      </c>
    </row>
    <row r="1062" spans="1:12" x14ac:dyDescent="0.25">
      <c r="A1062" s="1">
        <v>1061</v>
      </c>
      <c r="B1062" s="4">
        <v>7841</v>
      </c>
      <c r="C1062" s="5">
        <v>41049</v>
      </c>
      <c r="D1062" s="3" t="s">
        <v>86</v>
      </c>
      <c r="E1062" s="1" t="s">
        <v>610</v>
      </c>
      <c r="F1062" s="1" t="s">
        <v>13</v>
      </c>
      <c r="G1062" s="2" t="s">
        <v>6</v>
      </c>
      <c r="H1062" s="3" t="s">
        <v>100</v>
      </c>
      <c r="I1062" s="3" t="s">
        <v>91</v>
      </c>
      <c r="J1062" s="3" t="s">
        <v>59</v>
      </c>
      <c r="K1062" s="4">
        <v>178.14</v>
      </c>
      <c r="L1062" s="6">
        <v>10.06</v>
      </c>
    </row>
    <row r="1063" spans="1:12" x14ac:dyDescent="0.25">
      <c r="A1063" s="1">
        <v>1062</v>
      </c>
      <c r="B1063" s="4">
        <v>7845</v>
      </c>
      <c r="C1063" s="5">
        <v>40160</v>
      </c>
      <c r="D1063" s="3" t="s">
        <v>95</v>
      </c>
      <c r="E1063" s="1" t="s">
        <v>570</v>
      </c>
      <c r="F1063" s="1" t="s">
        <v>22</v>
      </c>
      <c r="G1063" s="2" t="s">
        <v>6</v>
      </c>
      <c r="H1063" s="3" t="s">
        <v>84</v>
      </c>
      <c r="I1063" s="3" t="s">
        <v>85</v>
      </c>
      <c r="J1063" s="3" t="s">
        <v>69</v>
      </c>
      <c r="K1063" s="4">
        <v>118.56</v>
      </c>
      <c r="L1063" s="6">
        <v>4.91</v>
      </c>
    </row>
    <row r="1064" spans="1:12" x14ac:dyDescent="0.25">
      <c r="A1064" s="1">
        <v>1063</v>
      </c>
      <c r="B1064" s="4">
        <v>7845</v>
      </c>
      <c r="C1064" s="5">
        <v>40160</v>
      </c>
      <c r="D1064" s="3" t="s">
        <v>95</v>
      </c>
      <c r="E1064" s="1" t="s">
        <v>570</v>
      </c>
      <c r="F1064" s="1" t="s">
        <v>22</v>
      </c>
      <c r="G1064" s="2" t="s">
        <v>6</v>
      </c>
      <c r="H1064" s="3" t="s">
        <v>84</v>
      </c>
      <c r="I1064" s="3" t="s">
        <v>85</v>
      </c>
      <c r="J1064" s="3" t="s">
        <v>66</v>
      </c>
      <c r="K1064" s="4">
        <v>2145.0500000000002</v>
      </c>
      <c r="L1064" s="6">
        <v>48.94</v>
      </c>
    </row>
    <row r="1065" spans="1:12" x14ac:dyDescent="0.25">
      <c r="A1065" s="1">
        <v>1064</v>
      </c>
      <c r="B1065" s="4">
        <v>7846</v>
      </c>
      <c r="C1065" s="5">
        <v>40719</v>
      </c>
      <c r="D1065" s="3" t="s">
        <v>82</v>
      </c>
      <c r="E1065" s="1" t="s">
        <v>160</v>
      </c>
      <c r="F1065" s="1" t="s">
        <v>31</v>
      </c>
      <c r="G1065" s="2" t="s">
        <v>1</v>
      </c>
      <c r="H1065" s="3" t="s">
        <v>88</v>
      </c>
      <c r="I1065" s="3" t="s">
        <v>85</v>
      </c>
      <c r="J1065" s="3" t="s">
        <v>69</v>
      </c>
      <c r="K1065" s="4">
        <v>2926.33</v>
      </c>
      <c r="L1065" s="6">
        <v>67.28</v>
      </c>
    </row>
    <row r="1066" spans="1:12" x14ac:dyDescent="0.25">
      <c r="A1066" s="1">
        <v>1065</v>
      </c>
      <c r="B1066" s="4">
        <v>7846</v>
      </c>
      <c r="C1066" s="5">
        <v>40719</v>
      </c>
      <c r="D1066" s="3" t="s">
        <v>82</v>
      </c>
      <c r="E1066" s="1" t="s">
        <v>160</v>
      </c>
      <c r="F1066" s="1" t="s">
        <v>31</v>
      </c>
      <c r="G1066" s="2" t="s">
        <v>1</v>
      </c>
      <c r="H1066" s="3" t="s">
        <v>88</v>
      </c>
      <c r="I1066" s="3" t="s">
        <v>85</v>
      </c>
      <c r="J1066" s="3" t="s">
        <v>69</v>
      </c>
      <c r="K1066" s="4">
        <v>40.049999999999997</v>
      </c>
      <c r="L1066" s="6">
        <v>2.08</v>
      </c>
    </row>
    <row r="1067" spans="1:12" x14ac:dyDescent="0.25">
      <c r="A1067" s="1">
        <v>1066</v>
      </c>
      <c r="B1067" s="4">
        <v>7846</v>
      </c>
      <c r="C1067" s="5">
        <v>40719</v>
      </c>
      <c r="D1067" s="3" t="s">
        <v>82</v>
      </c>
      <c r="E1067" s="1" t="s">
        <v>160</v>
      </c>
      <c r="F1067" s="1" t="s">
        <v>31</v>
      </c>
      <c r="G1067" s="2" t="s">
        <v>1</v>
      </c>
      <c r="H1067" s="3" t="s">
        <v>88</v>
      </c>
      <c r="I1067" s="3" t="s">
        <v>92</v>
      </c>
      <c r="J1067" s="3" t="s">
        <v>62</v>
      </c>
      <c r="K1067" s="4">
        <v>552.87</v>
      </c>
      <c r="L1067" s="6">
        <v>26.31</v>
      </c>
    </row>
    <row r="1068" spans="1:12" x14ac:dyDescent="0.25">
      <c r="A1068" s="1">
        <v>1067</v>
      </c>
      <c r="B1068" s="4">
        <v>7846</v>
      </c>
      <c r="C1068" s="5">
        <v>40719</v>
      </c>
      <c r="D1068" s="3" t="s">
        <v>82</v>
      </c>
      <c r="E1068" s="1" t="s">
        <v>160</v>
      </c>
      <c r="F1068" s="1" t="s">
        <v>31</v>
      </c>
      <c r="G1068" s="2" t="s">
        <v>1</v>
      </c>
      <c r="H1068" s="3" t="s">
        <v>88</v>
      </c>
      <c r="I1068" s="3" t="s">
        <v>91</v>
      </c>
      <c r="J1068" s="3" t="s">
        <v>59</v>
      </c>
      <c r="K1068" s="4">
        <v>26.33</v>
      </c>
      <c r="L1068" s="6">
        <v>1.76</v>
      </c>
    </row>
    <row r="1069" spans="1:12" x14ac:dyDescent="0.25">
      <c r="A1069" s="1">
        <v>1068</v>
      </c>
      <c r="B1069" s="4">
        <v>7878</v>
      </c>
      <c r="C1069" s="5">
        <v>40664</v>
      </c>
      <c r="D1069" s="3" t="s">
        <v>95</v>
      </c>
      <c r="E1069" s="1" t="s">
        <v>190</v>
      </c>
      <c r="F1069" s="1" t="s">
        <v>41</v>
      </c>
      <c r="G1069" s="2" t="s">
        <v>6</v>
      </c>
      <c r="H1069" s="3" t="s">
        <v>88</v>
      </c>
      <c r="I1069" s="3" t="s">
        <v>91</v>
      </c>
      <c r="J1069" s="3" t="s">
        <v>68</v>
      </c>
      <c r="K1069" s="4">
        <v>3904.12</v>
      </c>
      <c r="L1069" s="6">
        <v>81.94</v>
      </c>
    </row>
    <row r="1070" spans="1:12" x14ac:dyDescent="0.25">
      <c r="A1070" s="1">
        <v>1069</v>
      </c>
      <c r="B1070" s="4">
        <v>7878</v>
      </c>
      <c r="C1070" s="5">
        <v>40664</v>
      </c>
      <c r="D1070" s="3" t="s">
        <v>95</v>
      </c>
      <c r="E1070" s="1" t="s">
        <v>190</v>
      </c>
      <c r="F1070" s="1" t="s">
        <v>41</v>
      </c>
      <c r="G1070" s="2" t="s">
        <v>6</v>
      </c>
      <c r="H1070" s="3" t="s">
        <v>88</v>
      </c>
      <c r="I1070" s="3" t="s">
        <v>91</v>
      </c>
      <c r="J1070" s="3" t="s">
        <v>59</v>
      </c>
      <c r="K1070" s="4">
        <v>343.64</v>
      </c>
      <c r="L1070" s="6">
        <v>8.57</v>
      </c>
    </row>
    <row r="1071" spans="1:12" x14ac:dyDescent="0.25">
      <c r="A1071" s="1">
        <v>1070</v>
      </c>
      <c r="B1071" s="4">
        <v>7878</v>
      </c>
      <c r="C1071" s="5">
        <v>40664</v>
      </c>
      <c r="D1071" s="3" t="s">
        <v>82</v>
      </c>
      <c r="E1071" s="1" t="s">
        <v>190</v>
      </c>
      <c r="F1071" s="1" t="s">
        <v>41</v>
      </c>
      <c r="G1071" s="2" t="s">
        <v>6</v>
      </c>
      <c r="H1071" s="3" t="s">
        <v>88</v>
      </c>
      <c r="I1071" s="3" t="s">
        <v>85</v>
      </c>
      <c r="J1071" s="3" t="s">
        <v>64</v>
      </c>
      <c r="K1071" s="4">
        <v>256.64</v>
      </c>
      <c r="L1071" s="6">
        <v>5.81</v>
      </c>
    </row>
    <row r="1072" spans="1:12" x14ac:dyDescent="0.25">
      <c r="A1072" s="1">
        <v>1071</v>
      </c>
      <c r="B1072" s="4">
        <v>7904</v>
      </c>
      <c r="C1072" s="5">
        <v>40325</v>
      </c>
      <c r="D1072" s="3" t="s">
        <v>82</v>
      </c>
      <c r="E1072" s="1" t="s">
        <v>611</v>
      </c>
      <c r="F1072" s="1" t="s">
        <v>12</v>
      </c>
      <c r="G1072" s="2" t="s">
        <v>2</v>
      </c>
      <c r="H1072" s="3" t="s">
        <v>88</v>
      </c>
      <c r="I1072" s="3" t="s">
        <v>85</v>
      </c>
      <c r="J1072" s="3" t="s">
        <v>65</v>
      </c>
      <c r="K1072" s="4">
        <v>298.3</v>
      </c>
      <c r="L1072" s="6">
        <v>6.3</v>
      </c>
    </row>
    <row r="1073" spans="1:12" x14ac:dyDescent="0.25">
      <c r="A1073" s="1">
        <v>1072</v>
      </c>
      <c r="B1073" s="4">
        <v>7905</v>
      </c>
      <c r="C1073" s="5">
        <v>39967</v>
      </c>
      <c r="D1073" s="3" t="s">
        <v>82</v>
      </c>
      <c r="E1073" s="1" t="s">
        <v>612</v>
      </c>
      <c r="F1073" s="1" t="s">
        <v>23</v>
      </c>
      <c r="G1073" s="2" t="s">
        <v>3</v>
      </c>
      <c r="H1073" s="3" t="s">
        <v>84</v>
      </c>
      <c r="I1073" s="3" t="s">
        <v>91</v>
      </c>
      <c r="J1073" s="3" t="s">
        <v>60</v>
      </c>
      <c r="K1073" s="4">
        <v>11057.6</v>
      </c>
      <c r="L1073" s="6">
        <v>259.70999999999998</v>
      </c>
    </row>
    <row r="1074" spans="1:12" x14ac:dyDescent="0.25">
      <c r="A1074" s="1">
        <v>1073</v>
      </c>
      <c r="B1074" s="4">
        <v>7906</v>
      </c>
      <c r="C1074" s="5">
        <v>40103</v>
      </c>
      <c r="D1074" s="3" t="s">
        <v>4</v>
      </c>
      <c r="E1074" s="1" t="s">
        <v>613</v>
      </c>
      <c r="F1074" s="1" t="s">
        <v>8</v>
      </c>
      <c r="G1074" s="2" t="s">
        <v>6</v>
      </c>
      <c r="H1074" s="3" t="s">
        <v>100</v>
      </c>
      <c r="I1074" s="3" t="s">
        <v>85</v>
      </c>
      <c r="J1074" s="3" t="s">
        <v>70</v>
      </c>
      <c r="K1074" s="4">
        <v>1003.06</v>
      </c>
      <c r="L1074" s="6">
        <v>25.98</v>
      </c>
    </row>
    <row r="1075" spans="1:12" x14ac:dyDescent="0.25">
      <c r="A1075" s="1">
        <v>1074</v>
      </c>
      <c r="B1075" s="4">
        <v>7909</v>
      </c>
      <c r="C1075" s="5">
        <v>39816</v>
      </c>
      <c r="D1075" s="3" t="s">
        <v>89</v>
      </c>
      <c r="E1075" s="1" t="s">
        <v>614</v>
      </c>
      <c r="F1075" s="1" t="s">
        <v>12</v>
      </c>
      <c r="G1075" s="2" t="s">
        <v>2</v>
      </c>
      <c r="H1075" s="3" t="s">
        <v>97</v>
      </c>
      <c r="I1075" s="3" t="s">
        <v>85</v>
      </c>
      <c r="J1075" s="3" t="s">
        <v>63</v>
      </c>
      <c r="K1075" s="4">
        <v>122.23</v>
      </c>
      <c r="L1075" s="6">
        <v>4.26</v>
      </c>
    </row>
    <row r="1076" spans="1:12" x14ac:dyDescent="0.25">
      <c r="A1076" s="1">
        <v>1075</v>
      </c>
      <c r="B1076" s="4">
        <v>7910</v>
      </c>
      <c r="C1076" s="5">
        <v>40288</v>
      </c>
      <c r="D1076" s="3" t="s">
        <v>95</v>
      </c>
      <c r="E1076" s="1" t="s">
        <v>615</v>
      </c>
      <c r="F1076" s="1" t="s">
        <v>35</v>
      </c>
      <c r="G1076" s="2" t="s">
        <v>1</v>
      </c>
      <c r="H1076" s="3" t="s">
        <v>84</v>
      </c>
      <c r="I1076" s="3" t="s">
        <v>91</v>
      </c>
      <c r="J1076" s="3" t="s">
        <v>59</v>
      </c>
      <c r="K1076" s="4">
        <v>1871.13</v>
      </c>
      <c r="L1076" s="6">
        <v>45.98</v>
      </c>
    </row>
    <row r="1077" spans="1:12" x14ac:dyDescent="0.25">
      <c r="A1077" s="1">
        <v>1076</v>
      </c>
      <c r="B1077" s="4">
        <v>7910</v>
      </c>
      <c r="C1077" s="5">
        <v>40288</v>
      </c>
      <c r="D1077" s="3" t="s">
        <v>95</v>
      </c>
      <c r="E1077" s="1" t="s">
        <v>615</v>
      </c>
      <c r="F1077" s="1" t="s">
        <v>35</v>
      </c>
      <c r="G1077" s="2" t="s">
        <v>1</v>
      </c>
      <c r="H1077" s="3" t="s">
        <v>84</v>
      </c>
      <c r="I1077" s="3" t="s">
        <v>85</v>
      </c>
      <c r="J1077" s="3" t="s">
        <v>66</v>
      </c>
      <c r="K1077" s="4">
        <v>729.57</v>
      </c>
      <c r="L1077" s="6">
        <v>35.44</v>
      </c>
    </row>
    <row r="1078" spans="1:12" x14ac:dyDescent="0.25">
      <c r="A1078" s="1">
        <v>1077</v>
      </c>
      <c r="B1078" s="4">
        <v>7936</v>
      </c>
      <c r="C1078" s="5">
        <v>40273</v>
      </c>
      <c r="D1078" s="3" t="s">
        <v>82</v>
      </c>
      <c r="E1078" s="1" t="s">
        <v>486</v>
      </c>
      <c r="F1078" s="1" t="s">
        <v>31</v>
      </c>
      <c r="G1078" s="2" t="s">
        <v>1</v>
      </c>
      <c r="H1078" s="3" t="s">
        <v>88</v>
      </c>
      <c r="I1078" s="3" t="s">
        <v>91</v>
      </c>
      <c r="J1078" s="3" t="s">
        <v>68</v>
      </c>
      <c r="K1078" s="4">
        <v>2851.17</v>
      </c>
      <c r="L1078" s="6">
        <v>58.14</v>
      </c>
    </row>
    <row r="1079" spans="1:12" x14ac:dyDescent="0.25">
      <c r="A1079" s="1">
        <v>1078</v>
      </c>
      <c r="B1079" s="4">
        <v>7936</v>
      </c>
      <c r="C1079" s="5">
        <v>40273</v>
      </c>
      <c r="D1079" s="3" t="s">
        <v>82</v>
      </c>
      <c r="E1079" s="1" t="s">
        <v>486</v>
      </c>
      <c r="F1079" s="1" t="s">
        <v>31</v>
      </c>
      <c r="G1079" s="2" t="s">
        <v>1</v>
      </c>
      <c r="H1079" s="3" t="s">
        <v>88</v>
      </c>
      <c r="I1079" s="3" t="s">
        <v>85</v>
      </c>
      <c r="J1079" s="3" t="s">
        <v>57</v>
      </c>
      <c r="K1079" s="4">
        <v>183.43</v>
      </c>
      <c r="L1079" s="6">
        <v>12.44</v>
      </c>
    </row>
    <row r="1080" spans="1:12" x14ac:dyDescent="0.25">
      <c r="A1080" s="1">
        <v>1079</v>
      </c>
      <c r="B1080" s="4">
        <v>7938</v>
      </c>
      <c r="C1080" s="5">
        <v>40250</v>
      </c>
      <c r="D1080" s="3" t="s">
        <v>4</v>
      </c>
      <c r="E1080" s="1" t="s">
        <v>616</v>
      </c>
      <c r="F1080" s="1" t="s">
        <v>43</v>
      </c>
      <c r="G1080" s="2" t="s">
        <v>1</v>
      </c>
      <c r="H1080" s="3" t="s">
        <v>88</v>
      </c>
      <c r="I1080" s="3" t="s">
        <v>85</v>
      </c>
      <c r="J1080" s="3" t="s">
        <v>63</v>
      </c>
      <c r="K1080" s="4">
        <v>334.66</v>
      </c>
      <c r="L1080" s="6">
        <v>9.93</v>
      </c>
    </row>
    <row r="1081" spans="1:12" x14ac:dyDescent="0.25">
      <c r="A1081" s="1">
        <v>1080</v>
      </c>
      <c r="B1081" s="4">
        <v>7938</v>
      </c>
      <c r="C1081" s="5">
        <v>40250</v>
      </c>
      <c r="D1081" s="3" t="s">
        <v>4</v>
      </c>
      <c r="E1081" s="1" t="s">
        <v>476</v>
      </c>
      <c r="F1081" s="1" t="s">
        <v>20</v>
      </c>
      <c r="G1081" s="2" t="s">
        <v>1</v>
      </c>
      <c r="H1081" s="3" t="s">
        <v>88</v>
      </c>
      <c r="I1081" s="3" t="s">
        <v>85</v>
      </c>
      <c r="J1081" s="3" t="s">
        <v>66</v>
      </c>
      <c r="K1081" s="4">
        <v>139.19</v>
      </c>
      <c r="L1081" s="6">
        <v>5.98</v>
      </c>
    </row>
    <row r="1082" spans="1:12" x14ac:dyDescent="0.25">
      <c r="A1082" s="1">
        <v>1081</v>
      </c>
      <c r="B1082" s="4">
        <v>7938</v>
      </c>
      <c r="C1082" s="5">
        <v>40250</v>
      </c>
      <c r="D1082" s="3" t="s">
        <v>4</v>
      </c>
      <c r="E1082" s="1" t="s">
        <v>617</v>
      </c>
      <c r="F1082" s="1" t="s">
        <v>24</v>
      </c>
      <c r="G1082" s="2" t="s">
        <v>2</v>
      </c>
      <c r="H1082" s="3" t="s">
        <v>88</v>
      </c>
      <c r="I1082" s="3" t="s">
        <v>91</v>
      </c>
      <c r="J1082" s="3" t="s">
        <v>72</v>
      </c>
      <c r="K1082" s="4">
        <v>2026.05</v>
      </c>
      <c r="L1082" s="6">
        <v>135.99</v>
      </c>
    </row>
    <row r="1083" spans="1:12" x14ac:dyDescent="0.25">
      <c r="A1083" s="1">
        <v>1082</v>
      </c>
      <c r="B1083" s="4">
        <v>7941</v>
      </c>
      <c r="C1083" s="5">
        <v>40991</v>
      </c>
      <c r="D1083" s="3" t="s">
        <v>82</v>
      </c>
      <c r="E1083" s="1" t="s">
        <v>469</v>
      </c>
      <c r="F1083" s="1" t="s">
        <v>10</v>
      </c>
      <c r="G1083" s="2" t="s">
        <v>3</v>
      </c>
      <c r="H1083" s="3" t="s">
        <v>88</v>
      </c>
      <c r="I1083" s="3" t="s">
        <v>85</v>
      </c>
      <c r="J1083" s="3" t="s">
        <v>57</v>
      </c>
      <c r="K1083" s="4">
        <v>2796.67</v>
      </c>
      <c r="L1083" s="6">
        <v>55.29</v>
      </c>
    </row>
    <row r="1084" spans="1:12" x14ac:dyDescent="0.25">
      <c r="A1084" s="1">
        <v>1083</v>
      </c>
      <c r="B1084" s="4">
        <v>7968</v>
      </c>
      <c r="C1084" s="5">
        <v>40436</v>
      </c>
      <c r="D1084" s="3" t="s">
        <v>82</v>
      </c>
      <c r="E1084" s="1" t="s">
        <v>618</v>
      </c>
      <c r="F1084" s="1" t="s">
        <v>11</v>
      </c>
      <c r="G1084" s="2" t="s">
        <v>6</v>
      </c>
      <c r="H1084" s="3" t="s">
        <v>100</v>
      </c>
      <c r="I1084" s="3" t="s">
        <v>91</v>
      </c>
      <c r="J1084" s="3" t="s">
        <v>72</v>
      </c>
      <c r="K1084" s="4">
        <v>1449.21</v>
      </c>
      <c r="L1084" s="6">
        <v>150.97999999999999</v>
      </c>
    </row>
    <row r="1085" spans="1:12" x14ac:dyDescent="0.25">
      <c r="A1085" s="1">
        <v>1084</v>
      </c>
      <c r="B1085" s="4">
        <v>8000</v>
      </c>
      <c r="C1085" s="5">
        <v>40440</v>
      </c>
      <c r="D1085" s="3" t="s">
        <v>82</v>
      </c>
      <c r="E1085" s="1" t="s">
        <v>424</v>
      </c>
      <c r="F1085" s="1" t="s">
        <v>15</v>
      </c>
      <c r="G1085" s="2" t="s">
        <v>1</v>
      </c>
      <c r="H1085" s="3" t="s">
        <v>84</v>
      </c>
      <c r="I1085" s="3" t="s">
        <v>85</v>
      </c>
      <c r="J1085" s="3" t="s">
        <v>69</v>
      </c>
      <c r="K1085" s="4">
        <v>149.25</v>
      </c>
      <c r="L1085" s="6">
        <v>15.01</v>
      </c>
    </row>
    <row r="1086" spans="1:12" x14ac:dyDescent="0.25">
      <c r="A1086" s="1">
        <v>1085</v>
      </c>
      <c r="B1086" s="4">
        <v>8000</v>
      </c>
      <c r="C1086" s="5">
        <v>40440</v>
      </c>
      <c r="D1086" s="3" t="s">
        <v>82</v>
      </c>
      <c r="E1086" s="1" t="s">
        <v>424</v>
      </c>
      <c r="F1086" s="1" t="s">
        <v>15</v>
      </c>
      <c r="G1086" s="2" t="s">
        <v>1</v>
      </c>
      <c r="H1086" s="3" t="s">
        <v>84</v>
      </c>
      <c r="I1086" s="3" t="s">
        <v>85</v>
      </c>
      <c r="J1086" s="3" t="s">
        <v>69</v>
      </c>
      <c r="K1086" s="4">
        <v>10.14</v>
      </c>
      <c r="L1086" s="6">
        <v>4.82</v>
      </c>
    </row>
    <row r="1087" spans="1:12" x14ac:dyDescent="0.25">
      <c r="A1087" s="1">
        <v>1086</v>
      </c>
      <c r="B1087" s="4">
        <v>8001</v>
      </c>
      <c r="C1087" s="5">
        <v>40501</v>
      </c>
      <c r="D1087" s="3" t="s">
        <v>89</v>
      </c>
      <c r="E1087" s="1" t="s">
        <v>359</v>
      </c>
      <c r="F1087" s="1" t="s">
        <v>24</v>
      </c>
      <c r="G1087" s="2" t="s">
        <v>2</v>
      </c>
      <c r="H1087" s="3" t="s">
        <v>100</v>
      </c>
      <c r="I1087" s="3" t="s">
        <v>85</v>
      </c>
      <c r="J1087" s="3" t="s">
        <v>66</v>
      </c>
      <c r="K1087" s="4">
        <v>37.700000000000003</v>
      </c>
      <c r="L1087" s="6">
        <v>2.1800000000000002</v>
      </c>
    </row>
    <row r="1088" spans="1:12" x14ac:dyDescent="0.25">
      <c r="A1088" s="1">
        <v>1087</v>
      </c>
      <c r="B1088" s="4">
        <v>8001</v>
      </c>
      <c r="C1088" s="5">
        <v>40501</v>
      </c>
      <c r="D1088" s="3" t="s">
        <v>89</v>
      </c>
      <c r="E1088" s="1" t="s">
        <v>359</v>
      </c>
      <c r="F1088" s="1" t="s">
        <v>24</v>
      </c>
      <c r="G1088" s="2" t="s">
        <v>2</v>
      </c>
      <c r="H1088" s="3" t="s">
        <v>100</v>
      </c>
      <c r="I1088" s="3" t="s">
        <v>85</v>
      </c>
      <c r="J1088" s="3" t="s">
        <v>57</v>
      </c>
      <c r="K1088" s="4">
        <v>1059.72</v>
      </c>
      <c r="L1088" s="6">
        <v>20.98</v>
      </c>
    </row>
    <row r="1089" spans="1:12" x14ac:dyDescent="0.25">
      <c r="A1089" s="1">
        <v>1088</v>
      </c>
      <c r="B1089" s="4">
        <v>8005</v>
      </c>
      <c r="C1089" s="5">
        <v>41004</v>
      </c>
      <c r="D1089" s="3" t="s">
        <v>95</v>
      </c>
      <c r="E1089" s="1" t="s">
        <v>596</v>
      </c>
      <c r="F1089" s="1" t="s">
        <v>33</v>
      </c>
      <c r="G1089" s="2" t="s">
        <v>2</v>
      </c>
      <c r="H1089" s="3" t="s">
        <v>84</v>
      </c>
      <c r="I1089" s="3" t="s">
        <v>85</v>
      </c>
      <c r="J1089" s="3" t="s">
        <v>69</v>
      </c>
      <c r="K1089" s="4">
        <v>790.63</v>
      </c>
      <c r="L1089" s="6">
        <v>34.54</v>
      </c>
    </row>
    <row r="1090" spans="1:12" x14ac:dyDescent="0.25">
      <c r="A1090" s="1">
        <v>1089</v>
      </c>
      <c r="B1090" s="4">
        <v>8006</v>
      </c>
      <c r="C1090" s="5">
        <v>40697</v>
      </c>
      <c r="D1090" s="3" t="s">
        <v>4</v>
      </c>
      <c r="E1090" s="1" t="s">
        <v>619</v>
      </c>
      <c r="F1090" s="1" t="s">
        <v>34</v>
      </c>
      <c r="G1090" s="2" t="s">
        <v>1</v>
      </c>
      <c r="H1090" s="3" t="s">
        <v>100</v>
      </c>
      <c r="I1090" s="3" t="s">
        <v>85</v>
      </c>
      <c r="J1090" s="3" t="s">
        <v>66</v>
      </c>
      <c r="K1090" s="4">
        <v>197.15</v>
      </c>
      <c r="L1090" s="6">
        <v>6.68</v>
      </c>
    </row>
    <row r="1091" spans="1:12" x14ac:dyDescent="0.25">
      <c r="A1091" s="1">
        <v>1090</v>
      </c>
      <c r="B1091" s="4">
        <v>8007</v>
      </c>
      <c r="C1091" s="5">
        <v>40950</v>
      </c>
      <c r="D1091" s="3" t="s">
        <v>82</v>
      </c>
      <c r="E1091" s="1" t="s">
        <v>620</v>
      </c>
      <c r="F1091" s="1" t="s">
        <v>25</v>
      </c>
      <c r="G1091" s="2" t="s">
        <v>6</v>
      </c>
      <c r="H1091" s="3" t="s">
        <v>88</v>
      </c>
      <c r="I1091" s="3" t="s">
        <v>92</v>
      </c>
      <c r="J1091" s="3" t="s">
        <v>61</v>
      </c>
      <c r="K1091" s="4">
        <v>820.56449999999995</v>
      </c>
      <c r="L1091" s="6">
        <v>205.99</v>
      </c>
    </row>
    <row r="1092" spans="1:12" x14ac:dyDescent="0.25">
      <c r="A1092" s="1">
        <v>1091</v>
      </c>
      <c r="B1092" s="4">
        <v>8007</v>
      </c>
      <c r="C1092" s="5">
        <v>40950</v>
      </c>
      <c r="D1092" s="3" t="s">
        <v>82</v>
      </c>
      <c r="E1092" s="1" t="s">
        <v>621</v>
      </c>
      <c r="F1092" s="1" t="s">
        <v>26</v>
      </c>
      <c r="G1092" s="2" t="s">
        <v>3</v>
      </c>
      <c r="H1092" s="3" t="s">
        <v>88</v>
      </c>
      <c r="I1092" s="3" t="s">
        <v>92</v>
      </c>
      <c r="J1092" s="3" t="s">
        <v>67</v>
      </c>
      <c r="K1092" s="4">
        <v>3332.06</v>
      </c>
      <c r="L1092" s="6">
        <v>99.99</v>
      </c>
    </row>
    <row r="1093" spans="1:12" x14ac:dyDescent="0.25">
      <c r="A1093" s="1">
        <v>1092</v>
      </c>
      <c r="B1093" s="4">
        <v>8033</v>
      </c>
      <c r="C1093" s="5">
        <v>41023</v>
      </c>
      <c r="D1093" s="3" t="s">
        <v>89</v>
      </c>
      <c r="E1093" s="1" t="s">
        <v>622</v>
      </c>
      <c r="F1093" s="1" t="s">
        <v>22</v>
      </c>
      <c r="G1093" s="2" t="s">
        <v>6</v>
      </c>
      <c r="H1093" s="3" t="s">
        <v>84</v>
      </c>
      <c r="I1093" s="3" t="s">
        <v>85</v>
      </c>
      <c r="J1093" s="3" t="s">
        <v>70</v>
      </c>
      <c r="K1093" s="4">
        <v>118.18</v>
      </c>
      <c r="L1093" s="6">
        <v>4.0599999999999996</v>
      </c>
    </row>
    <row r="1094" spans="1:12" x14ac:dyDescent="0.25">
      <c r="A1094" s="1">
        <v>1093</v>
      </c>
      <c r="B1094" s="4">
        <v>8034</v>
      </c>
      <c r="C1094" s="5">
        <v>40927</v>
      </c>
      <c r="D1094" s="3" t="s">
        <v>89</v>
      </c>
      <c r="E1094" s="1" t="s">
        <v>623</v>
      </c>
      <c r="F1094" s="1" t="s">
        <v>10</v>
      </c>
      <c r="G1094" s="2" t="s">
        <v>3</v>
      </c>
      <c r="H1094" s="3" t="s">
        <v>88</v>
      </c>
      <c r="I1094" s="3" t="s">
        <v>85</v>
      </c>
      <c r="J1094" s="3" t="s">
        <v>70</v>
      </c>
      <c r="K1094" s="4">
        <v>354.45</v>
      </c>
      <c r="L1094" s="6">
        <v>10.98</v>
      </c>
    </row>
    <row r="1095" spans="1:12" x14ac:dyDescent="0.25">
      <c r="A1095" s="1">
        <v>1094</v>
      </c>
      <c r="B1095" s="4">
        <v>8034</v>
      </c>
      <c r="C1095" s="5">
        <v>40927</v>
      </c>
      <c r="D1095" s="3" t="s">
        <v>89</v>
      </c>
      <c r="E1095" s="1" t="s">
        <v>623</v>
      </c>
      <c r="F1095" s="1" t="s">
        <v>10</v>
      </c>
      <c r="G1095" s="2" t="s">
        <v>3</v>
      </c>
      <c r="H1095" s="3" t="s">
        <v>88</v>
      </c>
      <c r="I1095" s="3" t="s">
        <v>85</v>
      </c>
      <c r="J1095" s="3" t="s">
        <v>63</v>
      </c>
      <c r="K1095" s="4">
        <v>238.43</v>
      </c>
      <c r="L1095" s="6">
        <v>16.989999999999998</v>
      </c>
    </row>
    <row r="1096" spans="1:12" x14ac:dyDescent="0.25">
      <c r="A1096" s="1">
        <v>1095</v>
      </c>
      <c r="B1096" s="4">
        <v>8034</v>
      </c>
      <c r="C1096" s="5">
        <v>40927</v>
      </c>
      <c r="D1096" s="3" t="s">
        <v>89</v>
      </c>
      <c r="E1096" s="1" t="s">
        <v>623</v>
      </c>
      <c r="F1096" s="1" t="s">
        <v>10</v>
      </c>
      <c r="G1096" s="2" t="s">
        <v>3</v>
      </c>
      <c r="H1096" s="3" t="s">
        <v>88</v>
      </c>
      <c r="I1096" s="3" t="s">
        <v>91</v>
      </c>
      <c r="J1096" s="3" t="s">
        <v>60</v>
      </c>
      <c r="K1096" s="4">
        <v>1606.4</v>
      </c>
      <c r="L1096" s="6">
        <v>44.43</v>
      </c>
    </row>
    <row r="1097" spans="1:12" x14ac:dyDescent="0.25">
      <c r="A1097" s="1">
        <v>1096</v>
      </c>
      <c r="B1097" s="4">
        <v>8035</v>
      </c>
      <c r="C1097" s="5">
        <v>40969</v>
      </c>
      <c r="D1097" s="3" t="s">
        <v>4</v>
      </c>
      <c r="E1097" s="1" t="s">
        <v>624</v>
      </c>
      <c r="F1097" s="1" t="s">
        <v>35</v>
      </c>
      <c r="G1097" s="2" t="s">
        <v>1</v>
      </c>
      <c r="H1097" s="3" t="s">
        <v>88</v>
      </c>
      <c r="I1097" s="3" t="s">
        <v>85</v>
      </c>
      <c r="J1097" s="3" t="s">
        <v>70</v>
      </c>
      <c r="K1097" s="4">
        <v>104.38</v>
      </c>
      <c r="L1097" s="6">
        <v>14.42</v>
      </c>
    </row>
    <row r="1098" spans="1:12" x14ac:dyDescent="0.25">
      <c r="A1098" s="1">
        <v>1097</v>
      </c>
      <c r="B1098" s="4">
        <v>8039</v>
      </c>
      <c r="C1098" s="5">
        <v>41144</v>
      </c>
      <c r="D1098" s="3" t="s">
        <v>4</v>
      </c>
      <c r="E1098" s="1" t="s">
        <v>535</v>
      </c>
      <c r="F1098" s="1" t="s">
        <v>15</v>
      </c>
      <c r="G1098" s="2" t="s">
        <v>1</v>
      </c>
      <c r="H1098" s="3" t="s">
        <v>84</v>
      </c>
      <c r="I1098" s="3" t="s">
        <v>85</v>
      </c>
      <c r="J1098" s="3" t="s">
        <v>71</v>
      </c>
      <c r="K1098" s="4">
        <v>1199.7</v>
      </c>
      <c r="L1098" s="6">
        <v>30.98</v>
      </c>
    </row>
    <row r="1099" spans="1:12" x14ac:dyDescent="0.25">
      <c r="A1099" s="1">
        <v>1098</v>
      </c>
      <c r="B1099" s="4">
        <v>8064</v>
      </c>
      <c r="C1099" s="5">
        <v>40675</v>
      </c>
      <c r="D1099" s="3" t="s">
        <v>89</v>
      </c>
      <c r="E1099" s="1" t="s">
        <v>625</v>
      </c>
      <c r="F1099" s="1" t="s">
        <v>23</v>
      </c>
      <c r="G1099" s="2" t="s">
        <v>3</v>
      </c>
      <c r="H1099" s="3" t="s">
        <v>97</v>
      </c>
      <c r="I1099" s="3" t="s">
        <v>91</v>
      </c>
      <c r="J1099" s="3" t="s">
        <v>72</v>
      </c>
      <c r="K1099" s="4">
        <v>10445.950000000001</v>
      </c>
      <c r="L1099" s="6">
        <v>243.98</v>
      </c>
    </row>
    <row r="1100" spans="1:12" x14ac:dyDescent="0.25">
      <c r="A1100" s="1">
        <v>1099</v>
      </c>
      <c r="B1100" s="4">
        <v>8065</v>
      </c>
      <c r="C1100" s="5">
        <v>41203</v>
      </c>
      <c r="D1100" s="3" t="s">
        <v>4</v>
      </c>
      <c r="E1100" s="1" t="s">
        <v>626</v>
      </c>
      <c r="F1100" s="1" t="s">
        <v>20</v>
      </c>
      <c r="G1100" s="2" t="s">
        <v>1</v>
      </c>
      <c r="H1100" s="3" t="s">
        <v>84</v>
      </c>
      <c r="I1100" s="3" t="s">
        <v>91</v>
      </c>
      <c r="J1100" s="3" t="s">
        <v>59</v>
      </c>
      <c r="K1100" s="4">
        <v>1125.76</v>
      </c>
      <c r="L1100" s="6">
        <v>60.65</v>
      </c>
    </row>
    <row r="1101" spans="1:12" x14ac:dyDescent="0.25">
      <c r="A1101" s="1">
        <v>1100</v>
      </c>
      <c r="B1101" s="4">
        <v>8070</v>
      </c>
      <c r="C1101" s="5">
        <v>40936</v>
      </c>
      <c r="D1101" s="3" t="s">
        <v>4</v>
      </c>
      <c r="E1101" s="1" t="s">
        <v>507</v>
      </c>
      <c r="F1101" s="1" t="s">
        <v>26</v>
      </c>
      <c r="G1101" s="2" t="s">
        <v>3</v>
      </c>
      <c r="H1101" s="3" t="s">
        <v>97</v>
      </c>
      <c r="I1101" s="3" t="s">
        <v>85</v>
      </c>
      <c r="J1101" s="3" t="s">
        <v>63</v>
      </c>
      <c r="K1101" s="4">
        <v>622.72</v>
      </c>
      <c r="L1101" s="6">
        <v>40.97</v>
      </c>
    </row>
    <row r="1102" spans="1:12" x14ac:dyDescent="0.25">
      <c r="A1102" s="1">
        <v>1101</v>
      </c>
      <c r="B1102" s="4">
        <v>8097</v>
      </c>
      <c r="C1102" s="5">
        <v>40521</v>
      </c>
      <c r="D1102" s="3" t="s">
        <v>4</v>
      </c>
      <c r="E1102" s="1" t="s">
        <v>210</v>
      </c>
      <c r="F1102" s="1" t="s">
        <v>27</v>
      </c>
      <c r="G1102" s="2" t="s">
        <v>1</v>
      </c>
      <c r="H1102" s="3" t="s">
        <v>97</v>
      </c>
      <c r="I1102" s="3" t="s">
        <v>85</v>
      </c>
      <c r="J1102" s="3" t="s">
        <v>71</v>
      </c>
      <c r="K1102" s="4">
        <v>7522.8</v>
      </c>
      <c r="L1102" s="6">
        <v>162.93</v>
      </c>
    </row>
    <row r="1103" spans="1:12" x14ac:dyDescent="0.25">
      <c r="A1103" s="1">
        <v>1102</v>
      </c>
      <c r="B1103" s="4">
        <v>8101</v>
      </c>
      <c r="C1103" s="5">
        <v>40241</v>
      </c>
      <c r="D1103" s="3" t="s">
        <v>4</v>
      </c>
      <c r="E1103" s="1" t="s">
        <v>577</v>
      </c>
      <c r="F1103" s="1" t="s">
        <v>24</v>
      </c>
      <c r="G1103" s="2" t="s">
        <v>2</v>
      </c>
      <c r="H1103" s="3" t="s">
        <v>100</v>
      </c>
      <c r="I1103" s="3" t="s">
        <v>91</v>
      </c>
      <c r="J1103" s="3" t="s">
        <v>72</v>
      </c>
      <c r="K1103" s="4">
        <v>3491.71</v>
      </c>
      <c r="L1103" s="6">
        <v>95.95</v>
      </c>
    </row>
    <row r="1104" spans="1:12" x14ac:dyDescent="0.25">
      <c r="A1104" s="1">
        <v>1103</v>
      </c>
      <c r="B1104" s="4">
        <v>8101</v>
      </c>
      <c r="C1104" s="5">
        <v>40241</v>
      </c>
      <c r="D1104" s="3" t="s">
        <v>4</v>
      </c>
      <c r="E1104" s="1" t="s">
        <v>627</v>
      </c>
      <c r="F1104" s="1" t="s">
        <v>24</v>
      </c>
      <c r="G1104" s="2" t="s">
        <v>2</v>
      </c>
      <c r="H1104" s="3" t="s">
        <v>100</v>
      </c>
      <c r="I1104" s="3" t="s">
        <v>85</v>
      </c>
      <c r="J1104" s="3" t="s">
        <v>63</v>
      </c>
      <c r="K1104" s="4">
        <v>485.16</v>
      </c>
      <c r="L1104" s="6">
        <v>34.58</v>
      </c>
    </row>
    <row r="1105" spans="1:12" x14ac:dyDescent="0.25">
      <c r="A1105" s="1">
        <v>1104</v>
      </c>
      <c r="B1105" s="4">
        <v>8103</v>
      </c>
      <c r="C1105" s="5">
        <v>40119</v>
      </c>
      <c r="D1105" s="3" t="s">
        <v>82</v>
      </c>
      <c r="E1105" s="1" t="s">
        <v>628</v>
      </c>
      <c r="F1105" s="1" t="s">
        <v>13</v>
      </c>
      <c r="G1105" s="2" t="s">
        <v>6</v>
      </c>
      <c r="H1105" s="3" t="s">
        <v>88</v>
      </c>
      <c r="I1105" s="3" t="s">
        <v>85</v>
      </c>
      <c r="J1105" s="3" t="s">
        <v>69</v>
      </c>
      <c r="K1105" s="4">
        <v>457.68</v>
      </c>
      <c r="L1105" s="6">
        <v>29.17</v>
      </c>
    </row>
    <row r="1106" spans="1:12" x14ac:dyDescent="0.25">
      <c r="A1106" s="1">
        <v>1105</v>
      </c>
      <c r="B1106" s="4">
        <v>8130</v>
      </c>
      <c r="C1106" s="5">
        <v>41042</v>
      </c>
      <c r="D1106" s="3" t="s">
        <v>95</v>
      </c>
      <c r="E1106" s="1" t="s">
        <v>176</v>
      </c>
      <c r="F1106" s="1" t="s">
        <v>23</v>
      </c>
      <c r="G1106" s="2" t="s">
        <v>3</v>
      </c>
      <c r="H1106" s="3" t="s">
        <v>100</v>
      </c>
      <c r="I1106" s="3" t="s">
        <v>85</v>
      </c>
      <c r="J1106" s="3" t="s">
        <v>69</v>
      </c>
      <c r="K1106" s="4">
        <v>66.33</v>
      </c>
      <c r="L1106" s="6">
        <v>4.13</v>
      </c>
    </row>
    <row r="1107" spans="1:12" x14ac:dyDescent="0.25">
      <c r="A1107" s="1">
        <v>1106</v>
      </c>
      <c r="B1107" s="4">
        <v>8131</v>
      </c>
      <c r="C1107" s="5">
        <v>40301</v>
      </c>
      <c r="D1107" s="3" t="s">
        <v>95</v>
      </c>
      <c r="E1107" s="1" t="s">
        <v>629</v>
      </c>
      <c r="F1107" s="1" t="s">
        <v>38</v>
      </c>
      <c r="G1107" s="2" t="s">
        <v>6</v>
      </c>
      <c r="H1107" s="3" t="s">
        <v>97</v>
      </c>
      <c r="I1107" s="3" t="s">
        <v>92</v>
      </c>
      <c r="J1107" s="3" t="s">
        <v>62</v>
      </c>
      <c r="K1107" s="4">
        <v>717.29</v>
      </c>
      <c r="L1107" s="6">
        <v>29.89</v>
      </c>
    </row>
    <row r="1108" spans="1:12" x14ac:dyDescent="0.25">
      <c r="A1108" s="1">
        <v>1107</v>
      </c>
      <c r="B1108" s="4">
        <v>8132</v>
      </c>
      <c r="C1108" s="5">
        <v>39947</v>
      </c>
      <c r="D1108" s="3" t="s">
        <v>82</v>
      </c>
      <c r="E1108" s="1" t="s">
        <v>630</v>
      </c>
      <c r="F1108" s="1" t="s">
        <v>17</v>
      </c>
      <c r="G1108" s="2" t="s">
        <v>2</v>
      </c>
      <c r="H1108" s="3" t="s">
        <v>97</v>
      </c>
      <c r="I1108" s="3" t="s">
        <v>92</v>
      </c>
      <c r="J1108" s="3" t="s">
        <v>62</v>
      </c>
      <c r="K1108" s="4">
        <v>229.35</v>
      </c>
      <c r="L1108" s="6">
        <v>4.8899999999999997</v>
      </c>
    </row>
    <row r="1109" spans="1:12" x14ac:dyDescent="0.25">
      <c r="A1109" s="1">
        <v>1108</v>
      </c>
      <c r="B1109" s="4">
        <v>8132</v>
      </c>
      <c r="C1109" s="5">
        <v>39947</v>
      </c>
      <c r="D1109" s="3" t="s">
        <v>82</v>
      </c>
      <c r="E1109" s="1" t="s">
        <v>630</v>
      </c>
      <c r="F1109" s="1" t="s">
        <v>17</v>
      </c>
      <c r="G1109" s="2" t="s">
        <v>2</v>
      </c>
      <c r="H1109" s="3" t="s">
        <v>97</v>
      </c>
      <c r="I1109" s="3" t="s">
        <v>85</v>
      </c>
      <c r="J1109" s="3" t="s">
        <v>66</v>
      </c>
      <c r="K1109" s="4">
        <v>294.86</v>
      </c>
      <c r="L1109" s="6">
        <v>6.68</v>
      </c>
    </row>
    <row r="1110" spans="1:12" x14ac:dyDescent="0.25">
      <c r="A1110" s="1">
        <v>1109</v>
      </c>
      <c r="B1110" s="4">
        <v>8133</v>
      </c>
      <c r="C1110" s="5">
        <v>40600</v>
      </c>
      <c r="D1110" s="3" t="s">
        <v>4</v>
      </c>
      <c r="E1110" s="1" t="s">
        <v>291</v>
      </c>
      <c r="F1110" s="1" t="s">
        <v>45</v>
      </c>
      <c r="G1110" s="2" t="s">
        <v>3</v>
      </c>
      <c r="H1110" s="3" t="s">
        <v>88</v>
      </c>
      <c r="I1110" s="3" t="s">
        <v>85</v>
      </c>
      <c r="J1110" s="3" t="s">
        <v>66</v>
      </c>
      <c r="K1110" s="4">
        <v>405.53</v>
      </c>
      <c r="L1110" s="6">
        <v>35.44</v>
      </c>
    </row>
    <row r="1111" spans="1:12" x14ac:dyDescent="0.25">
      <c r="A1111" s="1">
        <v>1110</v>
      </c>
      <c r="B1111" s="4">
        <v>8135</v>
      </c>
      <c r="C1111" s="5">
        <v>40720</v>
      </c>
      <c r="D1111" s="3" t="s">
        <v>86</v>
      </c>
      <c r="E1111" s="1" t="s">
        <v>255</v>
      </c>
      <c r="F1111" s="1" t="s">
        <v>10</v>
      </c>
      <c r="G1111" s="2" t="s">
        <v>3</v>
      </c>
      <c r="H1111" s="3" t="s">
        <v>100</v>
      </c>
      <c r="I1111" s="3" t="s">
        <v>92</v>
      </c>
      <c r="J1111" s="3" t="s">
        <v>61</v>
      </c>
      <c r="K1111" s="4">
        <v>772.41200000000003</v>
      </c>
      <c r="L1111" s="6">
        <v>55.99</v>
      </c>
    </row>
    <row r="1112" spans="1:12" x14ac:dyDescent="0.25">
      <c r="A1112" s="1">
        <v>1111</v>
      </c>
      <c r="B1112" s="4">
        <v>8161</v>
      </c>
      <c r="C1112" s="5">
        <v>39967</v>
      </c>
      <c r="D1112" s="3" t="s">
        <v>89</v>
      </c>
      <c r="E1112" s="1" t="s">
        <v>530</v>
      </c>
      <c r="F1112" s="1" t="s">
        <v>24</v>
      </c>
      <c r="G1112" s="2" t="s">
        <v>2</v>
      </c>
      <c r="H1112" s="3" t="s">
        <v>100</v>
      </c>
      <c r="I1112" s="3" t="s">
        <v>85</v>
      </c>
      <c r="J1112" s="3" t="s">
        <v>65</v>
      </c>
      <c r="K1112" s="4">
        <v>112.72</v>
      </c>
      <c r="L1112" s="6">
        <v>2.61</v>
      </c>
    </row>
    <row r="1113" spans="1:12" x14ac:dyDescent="0.25">
      <c r="A1113" s="1">
        <v>1112</v>
      </c>
      <c r="B1113" s="4">
        <v>8162</v>
      </c>
      <c r="C1113" s="5">
        <v>40093</v>
      </c>
      <c r="D1113" s="3" t="s">
        <v>4</v>
      </c>
      <c r="E1113" s="1" t="s">
        <v>631</v>
      </c>
      <c r="F1113" s="1" t="s">
        <v>15</v>
      </c>
      <c r="G1113" s="2" t="s">
        <v>1</v>
      </c>
      <c r="H1113" s="3" t="s">
        <v>84</v>
      </c>
      <c r="I1113" s="3" t="s">
        <v>92</v>
      </c>
      <c r="J1113" s="3" t="s">
        <v>62</v>
      </c>
      <c r="K1113" s="4">
        <v>670.39</v>
      </c>
      <c r="L1113" s="6">
        <v>27.48</v>
      </c>
    </row>
    <row r="1114" spans="1:12" x14ac:dyDescent="0.25">
      <c r="A1114" s="1">
        <v>1113</v>
      </c>
      <c r="B1114" s="4">
        <v>8162</v>
      </c>
      <c r="C1114" s="5">
        <v>40093</v>
      </c>
      <c r="D1114" s="3" t="s">
        <v>4</v>
      </c>
      <c r="E1114" s="1" t="s">
        <v>631</v>
      </c>
      <c r="F1114" s="1" t="s">
        <v>15</v>
      </c>
      <c r="G1114" s="2" t="s">
        <v>1</v>
      </c>
      <c r="H1114" s="3" t="s">
        <v>84</v>
      </c>
      <c r="I1114" s="3" t="s">
        <v>92</v>
      </c>
      <c r="J1114" s="3" t="s">
        <v>62</v>
      </c>
      <c r="K1114" s="4">
        <v>5618.4</v>
      </c>
      <c r="L1114" s="6">
        <v>179.99</v>
      </c>
    </row>
    <row r="1115" spans="1:12" x14ac:dyDescent="0.25">
      <c r="A1115" s="1">
        <v>1114</v>
      </c>
      <c r="B1115" s="4">
        <v>8162</v>
      </c>
      <c r="C1115" s="5">
        <v>40093</v>
      </c>
      <c r="D1115" s="3" t="s">
        <v>4</v>
      </c>
      <c r="E1115" s="1" t="s">
        <v>631</v>
      </c>
      <c r="F1115" s="1" t="s">
        <v>15</v>
      </c>
      <c r="G1115" s="2" t="s">
        <v>1</v>
      </c>
      <c r="H1115" s="3" t="s">
        <v>84</v>
      </c>
      <c r="I1115" s="3" t="s">
        <v>85</v>
      </c>
      <c r="J1115" s="3" t="s">
        <v>57</v>
      </c>
      <c r="K1115" s="4">
        <v>5450.6</v>
      </c>
      <c r="L1115" s="6">
        <v>140.85</v>
      </c>
    </row>
    <row r="1116" spans="1:12" x14ac:dyDescent="0.25">
      <c r="A1116" s="1">
        <v>1115</v>
      </c>
      <c r="B1116" s="4">
        <v>8165</v>
      </c>
      <c r="C1116" s="5">
        <v>40101</v>
      </c>
      <c r="D1116" s="3" t="s">
        <v>82</v>
      </c>
      <c r="E1116" s="1" t="s">
        <v>139</v>
      </c>
      <c r="F1116" s="1" t="s">
        <v>33</v>
      </c>
      <c r="G1116" s="2" t="s">
        <v>2</v>
      </c>
      <c r="H1116" s="3" t="s">
        <v>88</v>
      </c>
      <c r="I1116" s="3" t="s">
        <v>85</v>
      </c>
      <c r="J1116" s="3" t="s">
        <v>66</v>
      </c>
      <c r="K1116" s="4">
        <v>183.45</v>
      </c>
      <c r="L1116" s="6">
        <v>4.9800000000000004</v>
      </c>
    </row>
    <row r="1117" spans="1:12" x14ac:dyDescent="0.25">
      <c r="A1117" s="1">
        <v>1116</v>
      </c>
      <c r="B1117" s="4">
        <v>8167</v>
      </c>
      <c r="C1117" s="5">
        <v>41125</v>
      </c>
      <c r="D1117" s="3" t="s">
        <v>95</v>
      </c>
      <c r="E1117" s="1" t="s">
        <v>606</v>
      </c>
      <c r="F1117" s="1" t="s">
        <v>9</v>
      </c>
      <c r="G1117" s="2" t="s">
        <v>2</v>
      </c>
      <c r="H1117" s="3" t="s">
        <v>84</v>
      </c>
      <c r="I1117" s="3" t="s">
        <v>85</v>
      </c>
      <c r="J1117" s="3" t="s">
        <v>66</v>
      </c>
      <c r="K1117" s="4">
        <v>30.95</v>
      </c>
      <c r="L1117" s="6">
        <v>6.48</v>
      </c>
    </row>
    <row r="1118" spans="1:12" x14ac:dyDescent="0.25">
      <c r="A1118" s="1">
        <v>1117</v>
      </c>
      <c r="B1118" s="4">
        <v>8167</v>
      </c>
      <c r="C1118" s="5">
        <v>41125</v>
      </c>
      <c r="D1118" s="3" t="s">
        <v>95</v>
      </c>
      <c r="E1118" s="1" t="s">
        <v>606</v>
      </c>
      <c r="F1118" s="1" t="s">
        <v>9</v>
      </c>
      <c r="G1118" s="2" t="s">
        <v>2</v>
      </c>
      <c r="H1118" s="3" t="s">
        <v>84</v>
      </c>
      <c r="I1118" s="3" t="s">
        <v>92</v>
      </c>
      <c r="J1118" s="3" t="s">
        <v>61</v>
      </c>
      <c r="K1118" s="4">
        <v>1449.3009999999999</v>
      </c>
      <c r="L1118" s="6">
        <v>35.99</v>
      </c>
    </row>
    <row r="1119" spans="1:12" x14ac:dyDescent="0.25">
      <c r="A1119" s="1">
        <v>1118</v>
      </c>
      <c r="B1119" s="4">
        <v>8195</v>
      </c>
      <c r="C1119" s="5">
        <v>40549</v>
      </c>
      <c r="D1119" s="3" t="s">
        <v>4</v>
      </c>
      <c r="E1119" s="1" t="s">
        <v>554</v>
      </c>
      <c r="F1119" s="1" t="s">
        <v>31</v>
      </c>
      <c r="G1119" s="2" t="s">
        <v>1</v>
      </c>
      <c r="H1119" s="3" t="s">
        <v>100</v>
      </c>
      <c r="I1119" s="3" t="s">
        <v>85</v>
      </c>
      <c r="J1119" s="3" t="s">
        <v>66</v>
      </c>
      <c r="K1119" s="4">
        <v>51.3</v>
      </c>
      <c r="L1119" s="6">
        <v>7.28</v>
      </c>
    </row>
    <row r="1120" spans="1:12" x14ac:dyDescent="0.25">
      <c r="A1120" s="1">
        <v>1119</v>
      </c>
      <c r="B1120" s="4">
        <v>8195</v>
      </c>
      <c r="C1120" s="5">
        <v>40549</v>
      </c>
      <c r="D1120" s="3" t="s">
        <v>4</v>
      </c>
      <c r="E1120" s="1" t="s">
        <v>632</v>
      </c>
      <c r="F1120" s="1" t="s">
        <v>31</v>
      </c>
      <c r="G1120" s="2" t="s">
        <v>1</v>
      </c>
      <c r="H1120" s="3" t="s">
        <v>100</v>
      </c>
      <c r="I1120" s="3" t="s">
        <v>91</v>
      </c>
      <c r="J1120" s="3" t="s">
        <v>59</v>
      </c>
      <c r="K1120" s="4">
        <v>8.48</v>
      </c>
      <c r="L1120" s="6">
        <v>5.08</v>
      </c>
    </row>
    <row r="1121" spans="1:12" x14ac:dyDescent="0.25">
      <c r="A1121" s="1">
        <v>1120</v>
      </c>
      <c r="B1121" s="4">
        <v>8195</v>
      </c>
      <c r="C1121" s="5">
        <v>40549</v>
      </c>
      <c r="D1121" s="3" t="s">
        <v>4</v>
      </c>
      <c r="E1121" s="1" t="s">
        <v>632</v>
      </c>
      <c r="F1121" s="1" t="s">
        <v>31</v>
      </c>
      <c r="G1121" s="2" t="s">
        <v>1</v>
      </c>
      <c r="H1121" s="3" t="s">
        <v>100</v>
      </c>
      <c r="I1121" s="3" t="s">
        <v>85</v>
      </c>
      <c r="J1121" s="3" t="s">
        <v>63</v>
      </c>
      <c r="K1121" s="4">
        <v>87.52</v>
      </c>
      <c r="L1121" s="6">
        <v>3.28</v>
      </c>
    </row>
    <row r="1122" spans="1:12" x14ac:dyDescent="0.25">
      <c r="A1122" s="1">
        <v>1121</v>
      </c>
      <c r="B1122" s="4">
        <v>8224</v>
      </c>
      <c r="C1122" s="5">
        <v>40946</v>
      </c>
      <c r="D1122" s="3" t="s">
        <v>86</v>
      </c>
      <c r="E1122" s="1" t="s">
        <v>633</v>
      </c>
      <c r="F1122" s="1" t="s">
        <v>34</v>
      </c>
      <c r="G1122" s="2" t="s">
        <v>1</v>
      </c>
      <c r="H1122" s="3" t="s">
        <v>88</v>
      </c>
      <c r="I1122" s="3" t="s">
        <v>85</v>
      </c>
      <c r="J1122" s="3" t="s">
        <v>63</v>
      </c>
      <c r="K1122" s="4">
        <v>89.77</v>
      </c>
      <c r="L1122" s="6">
        <v>2.21</v>
      </c>
    </row>
    <row r="1123" spans="1:12" x14ac:dyDescent="0.25">
      <c r="A1123" s="1">
        <v>1122</v>
      </c>
      <c r="B1123" s="4">
        <v>8227</v>
      </c>
      <c r="C1123" s="5">
        <v>40188</v>
      </c>
      <c r="D1123" s="3" t="s">
        <v>86</v>
      </c>
      <c r="E1123" s="1" t="s">
        <v>634</v>
      </c>
      <c r="F1123" s="1" t="s">
        <v>11</v>
      </c>
      <c r="G1123" s="2" t="s">
        <v>6</v>
      </c>
      <c r="H1123" s="3" t="s">
        <v>84</v>
      </c>
      <c r="I1123" s="3" t="s">
        <v>92</v>
      </c>
      <c r="J1123" s="3" t="s">
        <v>62</v>
      </c>
      <c r="K1123" s="4">
        <v>162.25</v>
      </c>
      <c r="L1123" s="6">
        <v>4.7699999999999996</v>
      </c>
    </row>
    <row r="1124" spans="1:12" x14ac:dyDescent="0.25">
      <c r="A1124" s="1">
        <v>1123</v>
      </c>
      <c r="B1124" s="4">
        <v>8229</v>
      </c>
      <c r="C1124" s="5">
        <v>40154</v>
      </c>
      <c r="D1124" s="3" t="s">
        <v>4</v>
      </c>
      <c r="E1124" s="1" t="s">
        <v>635</v>
      </c>
      <c r="F1124" s="1" t="s">
        <v>30</v>
      </c>
      <c r="G1124" s="2" t="s">
        <v>6</v>
      </c>
      <c r="H1124" s="3" t="s">
        <v>97</v>
      </c>
      <c r="I1124" s="3" t="s">
        <v>92</v>
      </c>
      <c r="J1124" s="3" t="s">
        <v>67</v>
      </c>
      <c r="K1124" s="4">
        <v>3565.27</v>
      </c>
      <c r="L1124" s="6">
        <v>510.14</v>
      </c>
    </row>
    <row r="1125" spans="1:12" x14ac:dyDescent="0.25">
      <c r="A1125" s="1">
        <v>1124</v>
      </c>
      <c r="B1125" s="4">
        <v>8229</v>
      </c>
      <c r="C1125" s="5">
        <v>40154</v>
      </c>
      <c r="D1125" s="3" t="s">
        <v>4</v>
      </c>
      <c r="E1125" s="1" t="s">
        <v>635</v>
      </c>
      <c r="F1125" s="1" t="s">
        <v>30</v>
      </c>
      <c r="G1125" s="2" t="s">
        <v>6</v>
      </c>
      <c r="H1125" s="3" t="s">
        <v>97</v>
      </c>
      <c r="I1125" s="3" t="s">
        <v>85</v>
      </c>
      <c r="J1125" s="3" t="s">
        <v>66</v>
      </c>
      <c r="K1125" s="4">
        <v>241.01</v>
      </c>
      <c r="L1125" s="6">
        <v>4.76</v>
      </c>
    </row>
    <row r="1126" spans="1:12" x14ac:dyDescent="0.25">
      <c r="A1126" s="1">
        <v>1125</v>
      </c>
      <c r="B1126" s="4">
        <v>8231</v>
      </c>
      <c r="C1126" s="5">
        <v>41200</v>
      </c>
      <c r="D1126" s="3" t="s">
        <v>95</v>
      </c>
      <c r="E1126" s="1" t="s">
        <v>457</v>
      </c>
      <c r="F1126" s="1" t="s">
        <v>18</v>
      </c>
      <c r="G1126" s="2" t="s">
        <v>6</v>
      </c>
      <c r="H1126" s="3" t="s">
        <v>88</v>
      </c>
      <c r="I1126" s="3" t="s">
        <v>85</v>
      </c>
      <c r="J1126" s="3" t="s">
        <v>65</v>
      </c>
      <c r="K1126" s="4">
        <v>79.44</v>
      </c>
      <c r="L1126" s="6">
        <v>2.88</v>
      </c>
    </row>
    <row r="1127" spans="1:12" x14ac:dyDescent="0.25">
      <c r="A1127" s="1">
        <v>1126</v>
      </c>
      <c r="B1127" s="4">
        <v>8231</v>
      </c>
      <c r="C1127" s="5">
        <v>41200</v>
      </c>
      <c r="D1127" s="3" t="s">
        <v>95</v>
      </c>
      <c r="E1127" s="1" t="s">
        <v>457</v>
      </c>
      <c r="F1127" s="1" t="s">
        <v>18</v>
      </c>
      <c r="G1127" s="2" t="s">
        <v>6</v>
      </c>
      <c r="H1127" s="3" t="s">
        <v>88</v>
      </c>
      <c r="I1127" s="3" t="s">
        <v>91</v>
      </c>
      <c r="J1127" s="3" t="s">
        <v>59</v>
      </c>
      <c r="K1127" s="4">
        <v>110.03</v>
      </c>
      <c r="L1127" s="6">
        <v>19.98</v>
      </c>
    </row>
    <row r="1128" spans="1:12" x14ac:dyDescent="0.25">
      <c r="A1128" s="1">
        <v>1127</v>
      </c>
      <c r="B1128" s="4">
        <v>8257</v>
      </c>
      <c r="C1128" s="5">
        <v>39894</v>
      </c>
      <c r="D1128" s="3" t="s">
        <v>82</v>
      </c>
      <c r="E1128" s="1" t="s">
        <v>485</v>
      </c>
      <c r="F1128" s="1" t="s">
        <v>25</v>
      </c>
      <c r="G1128" s="2" t="s">
        <v>6</v>
      </c>
      <c r="H1128" s="3" t="s">
        <v>100</v>
      </c>
      <c r="I1128" s="3" t="s">
        <v>92</v>
      </c>
      <c r="J1128" s="3" t="s">
        <v>67</v>
      </c>
      <c r="K1128" s="4">
        <v>7486.09</v>
      </c>
      <c r="L1128" s="6">
        <v>1500.97</v>
      </c>
    </row>
    <row r="1129" spans="1:12" x14ac:dyDescent="0.25">
      <c r="A1129" s="1">
        <v>1128</v>
      </c>
      <c r="B1129" s="4">
        <v>8257</v>
      </c>
      <c r="C1129" s="5">
        <v>39894</v>
      </c>
      <c r="D1129" s="3" t="s">
        <v>82</v>
      </c>
      <c r="E1129" s="1" t="s">
        <v>485</v>
      </c>
      <c r="F1129" s="1" t="s">
        <v>25</v>
      </c>
      <c r="G1129" s="2" t="s">
        <v>6</v>
      </c>
      <c r="H1129" s="3" t="s">
        <v>100</v>
      </c>
      <c r="I1129" s="3" t="s">
        <v>85</v>
      </c>
      <c r="J1129" s="3" t="s">
        <v>66</v>
      </c>
      <c r="K1129" s="4">
        <v>881.32</v>
      </c>
      <c r="L1129" s="6">
        <v>48.04</v>
      </c>
    </row>
    <row r="1130" spans="1:12" x14ac:dyDescent="0.25">
      <c r="A1130" s="1">
        <v>1129</v>
      </c>
      <c r="B1130" s="4">
        <v>8257</v>
      </c>
      <c r="C1130" s="5">
        <v>39894</v>
      </c>
      <c r="D1130" s="3" t="s">
        <v>82</v>
      </c>
      <c r="E1130" s="1" t="s">
        <v>485</v>
      </c>
      <c r="F1130" s="1" t="s">
        <v>25</v>
      </c>
      <c r="G1130" s="2" t="s">
        <v>6</v>
      </c>
      <c r="H1130" s="3" t="s">
        <v>100</v>
      </c>
      <c r="I1130" s="3" t="s">
        <v>85</v>
      </c>
      <c r="J1130" s="3" t="s">
        <v>63</v>
      </c>
      <c r="K1130" s="4">
        <v>22.77</v>
      </c>
      <c r="L1130" s="6">
        <v>4.28</v>
      </c>
    </row>
    <row r="1131" spans="1:12" x14ac:dyDescent="0.25">
      <c r="A1131" s="1">
        <v>1130</v>
      </c>
      <c r="B1131" s="4">
        <v>8258</v>
      </c>
      <c r="C1131" s="5">
        <v>39873</v>
      </c>
      <c r="D1131" s="3" t="s">
        <v>89</v>
      </c>
      <c r="E1131" s="1" t="s">
        <v>376</v>
      </c>
      <c r="F1131" s="1" t="s">
        <v>13</v>
      </c>
      <c r="G1131" s="2" t="s">
        <v>6</v>
      </c>
      <c r="H1131" s="3" t="s">
        <v>88</v>
      </c>
      <c r="I1131" s="3" t="s">
        <v>85</v>
      </c>
      <c r="J1131" s="3" t="s">
        <v>66</v>
      </c>
      <c r="K1131" s="4">
        <v>434.77</v>
      </c>
      <c r="L1131" s="6">
        <v>11.34</v>
      </c>
    </row>
    <row r="1132" spans="1:12" x14ac:dyDescent="0.25">
      <c r="A1132" s="1">
        <v>1131</v>
      </c>
      <c r="B1132" s="4">
        <v>8259</v>
      </c>
      <c r="C1132" s="5">
        <v>39921</v>
      </c>
      <c r="D1132" s="3" t="s">
        <v>4</v>
      </c>
      <c r="E1132" s="1" t="s">
        <v>119</v>
      </c>
      <c r="F1132" s="1" t="s">
        <v>26</v>
      </c>
      <c r="G1132" s="2" t="s">
        <v>3</v>
      </c>
      <c r="H1132" s="3" t="s">
        <v>100</v>
      </c>
      <c r="I1132" s="3" t="s">
        <v>91</v>
      </c>
      <c r="J1132" s="3" t="s">
        <v>72</v>
      </c>
      <c r="K1132" s="4">
        <v>2130.2199999999998</v>
      </c>
      <c r="L1132" s="6">
        <v>89.99</v>
      </c>
    </row>
    <row r="1133" spans="1:12" x14ac:dyDescent="0.25">
      <c r="A1133" s="1">
        <v>1132</v>
      </c>
      <c r="B1133" s="4">
        <v>8288</v>
      </c>
      <c r="C1133" s="5">
        <v>40672</v>
      </c>
      <c r="D1133" s="3" t="s">
        <v>95</v>
      </c>
      <c r="E1133" s="1" t="s">
        <v>636</v>
      </c>
      <c r="F1133" s="1" t="s">
        <v>16</v>
      </c>
      <c r="G1133" s="2" t="s">
        <v>3</v>
      </c>
      <c r="H1133" s="3" t="s">
        <v>88</v>
      </c>
      <c r="I1133" s="3" t="s">
        <v>85</v>
      </c>
      <c r="J1133" s="3" t="s">
        <v>69</v>
      </c>
      <c r="K1133" s="4">
        <v>1337.81</v>
      </c>
      <c r="L1133" s="6">
        <v>59.78</v>
      </c>
    </row>
    <row r="1134" spans="1:12" x14ac:dyDescent="0.25">
      <c r="A1134" s="1">
        <v>1133</v>
      </c>
      <c r="B1134" s="4">
        <v>8289</v>
      </c>
      <c r="C1134" s="5">
        <v>41210</v>
      </c>
      <c r="D1134" s="3" t="s">
        <v>82</v>
      </c>
      <c r="E1134" s="1" t="s">
        <v>604</v>
      </c>
      <c r="F1134" s="1" t="s">
        <v>54</v>
      </c>
      <c r="G1134" s="2" t="s">
        <v>2</v>
      </c>
      <c r="H1134" s="3" t="s">
        <v>100</v>
      </c>
      <c r="I1134" s="3" t="s">
        <v>85</v>
      </c>
      <c r="J1134" s="3" t="s">
        <v>69</v>
      </c>
      <c r="K1134" s="4">
        <v>572.74</v>
      </c>
      <c r="L1134" s="6">
        <v>14.45</v>
      </c>
    </row>
    <row r="1135" spans="1:12" x14ac:dyDescent="0.25">
      <c r="A1135" s="1">
        <v>1134</v>
      </c>
      <c r="B1135" s="4">
        <v>8290</v>
      </c>
      <c r="C1135" s="5">
        <v>40156</v>
      </c>
      <c r="D1135" s="3" t="s">
        <v>95</v>
      </c>
      <c r="E1135" s="1" t="s">
        <v>637</v>
      </c>
      <c r="F1135" s="1" t="s">
        <v>30</v>
      </c>
      <c r="G1135" s="2" t="s">
        <v>6</v>
      </c>
      <c r="H1135" s="3" t="s">
        <v>97</v>
      </c>
      <c r="I1135" s="3" t="s">
        <v>85</v>
      </c>
      <c r="J1135" s="3" t="s">
        <v>65</v>
      </c>
      <c r="K1135" s="4">
        <v>209.02</v>
      </c>
      <c r="L1135" s="6">
        <v>6.3</v>
      </c>
    </row>
    <row r="1136" spans="1:12" x14ac:dyDescent="0.25">
      <c r="A1136" s="1">
        <v>1135</v>
      </c>
      <c r="B1136" s="4">
        <v>8292</v>
      </c>
      <c r="C1136" s="5">
        <v>40210</v>
      </c>
      <c r="D1136" s="3" t="s">
        <v>86</v>
      </c>
      <c r="E1136" s="1" t="s">
        <v>638</v>
      </c>
      <c r="F1136" s="1" t="s">
        <v>20</v>
      </c>
      <c r="G1136" s="2" t="s">
        <v>1</v>
      </c>
      <c r="H1136" s="3" t="s">
        <v>88</v>
      </c>
      <c r="I1136" s="3" t="s">
        <v>85</v>
      </c>
      <c r="J1136" s="3" t="s">
        <v>71</v>
      </c>
      <c r="K1136" s="4">
        <v>299.87</v>
      </c>
      <c r="L1136" s="6">
        <v>15.74</v>
      </c>
    </row>
    <row r="1137" spans="1:12" x14ac:dyDescent="0.25">
      <c r="A1137" s="1">
        <v>1136</v>
      </c>
      <c r="B1137" s="4">
        <v>8293</v>
      </c>
      <c r="C1137" s="5">
        <v>41131</v>
      </c>
      <c r="D1137" s="3" t="s">
        <v>82</v>
      </c>
      <c r="E1137" s="1" t="s">
        <v>128</v>
      </c>
      <c r="F1137" s="1" t="s">
        <v>29</v>
      </c>
      <c r="G1137" s="2" t="s">
        <v>3</v>
      </c>
      <c r="H1137" s="3" t="s">
        <v>84</v>
      </c>
      <c r="I1137" s="3" t="s">
        <v>85</v>
      </c>
      <c r="J1137" s="3" t="s">
        <v>58</v>
      </c>
      <c r="K1137" s="4">
        <v>75.03</v>
      </c>
      <c r="L1137" s="6">
        <v>3.14</v>
      </c>
    </row>
    <row r="1138" spans="1:12" x14ac:dyDescent="0.25">
      <c r="A1138" s="1">
        <v>1137</v>
      </c>
      <c r="B1138" s="4">
        <v>8293</v>
      </c>
      <c r="C1138" s="5">
        <v>41131</v>
      </c>
      <c r="D1138" s="3" t="s">
        <v>82</v>
      </c>
      <c r="E1138" s="1" t="s">
        <v>639</v>
      </c>
      <c r="F1138" s="1" t="s">
        <v>31</v>
      </c>
      <c r="G1138" s="2" t="s">
        <v>1</v>
      </c>
      <c r="H1138" s="3" t="s">
        <v>84</v>
      </c>
      <c r="I1138" s="3" t="s">
        <v>92</v>
      </c>
      <c r="J1138" s="3" t="s">
        <v>61</v>
      </c>
      <c r="K1138" s="4">
        <v>1497.7594999999999</v>
      </c>
      <c r="L1138" s="6">
        <v>35.99</v>
      </c>
    </row>
    <row r="1139" spans="1:12" x14ac:dyDescent="0.25">
      <c r="A1139" s="1">
        <v>1138</v>
      </c>
      <c r="B1139" s="4">
        <v>8294</v>
      </c>
      <c r="C1139" s="5">
        <v>41080</v>
      </c>
      <c r="D1139" s="3" t="s">
        <v>4</v>
      </c>
      <c r="E1139" s="1" t="s">
        <v>640</v>
      </c>
      <c r="F1139" s="1" t="s">
        <v>23</v>
      </c>
      <c r="G1139" s="2" t="s">
        <v>3</v>
      </c>
      <c r="H1139" s="3" t="s">
        <v>97</v>
      </c>
      <c r="I1139" s="3" t="s">
        <v>92</v>
      </c>
      <c r="J1139" s="3" t="s">
        <v>61</v>
      </c>
      <c r="K1139" s="4">
        <v>197.57399999999998</v>
      </c>
      <c r="L1139" s="6">
        <v>7.99</v>
      </c>
    </row>
    <row r="1140" spans="1:12" x14ac:dyDescent="0.25">
      <c r="A1140" s="1">
        <v>1139</v>
      </c>
      <c r="B1140" s="4">
        <v>8295</v>
      </c>
      <c r="C1140" s="5">
        <v>39904</v>
      </c>
      <c r="D1140" s="3" t="s">
        <v>89</v>
      </c>
      <c r="E1140" s="1" t="s">
        <v>641</v>
      </c>
      <c r="F1140" s="1" t="s">
        <v>44</v>
      </c>
      <c r="G1140" s="2" t="s">
        <v>3</v>
      </c>
      <c r="H1140" s="3" t="s">
        <v>100</v>
      </c>
      <c r="I1140" s="3" t="s">
        <v>92</v>
      </c>
      <c r="J1140" s="3" t="s">
        <v>61</v>
      </c>
      <c r="K1140" s="4">
        <v>835.15049999999997</v>
      </c>
      <c r="L1140" s="6">
        <v>35.99</v>
      </c>
    </row>
    <row r="1141" spans="1:12" x14ac:dyDescent="0.25">
      <c r="A1141" s="1">
        <v>1140</v>
      </c>
      <c r="B1141" s="4">
        <v>8295</v>
      </c>
      <c r="C1141" s="5">
        <v>39904</v>
      </c>
      <c r="D1141" s="3" t="s">
        <v>89</v>
      </c>
      <c r="E1141" s="1" t="s">
        <v>641</v>
      </c>
      <c r="F1141" s="1" t="s">
        <v>44</v>
      </c>
      <c r="G1141" s="2" t="s">
        <v>3</v>
      </c>
      <c r="H1141" s="3" t="s">
        <v>100</v>
      </c>
      <c r="I1141" s="3" t="s">
        <v>92</v>
      </c>
      <c r="J1141" s="3" t="s">
        <v>61</v>
      </c>
      <c r="K1141" s="4">
        <v>771.83399999999995</v>
      </c>
      <c r="L1141" s="6">
        <v>125.99</v>
      </c>
    </row>
    <row r="1142" spans="1:12" x14ac:dyDescent="0.25">
      <c r="A1142" s="1">
        <v>1141</v>
      </c>
      <c r="B1142" s="4">
        <v>8320</v>
      </c>
      <c r="C1142" s="5">
        <v>40075</v>
      </c>
      <c r="D1142" s="3" t="s">
        <v>86</v>
      </c>
      <c r="E1142" s="1" t="s">
        <v>413</v>
      </c>
      <c r="F1142" s="1" t="s">
        <v>24</v>
      </c>
      <c r="G1142" s="2" t="s">
        <v>2</v>
      </c>
      <c r="H1142" s="3" t="s">
        <v>97</v>
      </c>
      <c r="I1142" s="3" t="s">
        <v>85</v>
      </c>
      <c r="J1142" s="3" t="s">
        <v>66</v>
      </c>
      <c r="K1142" s="4">
        <v>150.34</v>
      </c>
      <c r="L1142" s="6">
        <v>6.48</v>
      </c>
    </row>
    <row r="1143" spans="1:12" x14ac:dyDescent="0.25">
      <c r="A1143" s="1">
        <v>1142</v>
      </c>
      <c r="B1143" s="4">
        <v>8320</v>
      </c>
      <c r="C1143" s="5">
        <v>40075</v>
      </c>
      <c r="D1143" s="3" t="s">
        <v>86</v>
      </c>
      <c r="E1143" s="1" t="s">
        <v>463</v>
      </c>
      <c r="F1143" s="1" t="s">
        <v>43</v>
      </c>
      <c r="G1143" s="2" t="s">
        <v>1</v>
      </c>
      <c r="H1143" s="3" t="s">
        <v>97</v>
      </c>
      <c r="I1143" s="3" t="s">
        <v>92</v>
      </c>
      <c r="J1143" s="3" t="s">
        <v>62</v>
      </c>
      <c r="K1143" s="4">
        <v>1142.3599999999999</v>
      </c>
      <c r="L1143" s="6">
        <v>30.73</v>
      </c>
    </row>
    <row r="1144" spans="1:12" x14ac:dyDescent="0.25">
      <c r="A1144" s="1">
        <v>1143</v>
      </c>
      <c r="B1144" s="4">
        <v>8323</v>
      </c>
      <c r="C1144" s="5">
        <v>40792</v>
      </c>
      <c r="D1144" s="3" t="s">
        <v>89</v>
      </c>
      <c r="E1144" s="1" t="s">
        <v>642</v>
      </c>
      <c r="F1144" s="1" t="s">
        <v>34</v>
      </c>
      <c r="G1144" s="2" t="s">
        <v>1</v>
      </c>
      <c r="H1144" s="3" t="s">
        <v>97</v>
      </c>
      <c r="I1144" s="3" t="s">
        <v>92</v>
      </c>
      <c r="J1144" s="3" t="s">
        <v>61</v>
      </c>
      <c r="K1144" s="4">
        <v>766.96349999999995</v>
      </c>
      <c r="L1144" s="6">
        <v>20.99</v>
      </c>
    </row>
    <row r="1145" spans="1:12" x14ac:dyDescent="0.25">
      <c r="A1145" s="1">
        <v>1144</v>
      </c>
      <c r="B1145" s="4">
        <v>8325</v>
      </c>
      <c r="C1145" s="5">
        <v>39827</v>
      </c>
      <c r="D1145" s="3" t="s">
        <v>95</v>
      </c>
      <c r="E1145" s="1" t="s">
        <v>643</v>
      </c>
      <c r="F1145" s="1" t="s">
        <v>24</v>
      </c>
      <c r="G1145" s="2" t="s">
        <v>2</v>
      </c>
      <c r="H1145" s="3" t="s">
        <v>97</v>
      </c>
      <c r="I1145" s="3" t="s">
        <v>92</v>
      </c>
      <c r="J1145" s="3" t="s">
        <v>67</v>
      </c>
      <c r="K1145" s="4">
        <v>2364.29</v>
      </c>
      <c r="L1145" s="6">
        <v>115.99</v>
      </c>
    </row>
    <row r="1146" spans="1:12" x14ac:dyDescent="0.25">
      <c r="A1146" s="1">
        <v>1145</v>
      </c>
      <c r="B1146" s="4">
        <v>8325</v>
      </c>
      <c r="C1146" s="5">
        <v>39827</v>
      </c>
      <c r="D1146" s="3" t="s">
        <v>95</v>
      </c>
      <c r="E1146" s="1" t="s">
        <v>643</v>
      </c>
      <c r="F1146" s="1" t="s">
        <v>24</v>
      </c>
      <c r="G1146" s="2" t="s">
        <v>2</v>
      </c>
      <c r="H1146" s="3" t="s">
        <v>97</v>
      </c>
      <c r="I1146" s="3" t="s">
        <v>85</v>
      </c>
      <c r="J1146" s="3" t="s">
        <v>63</v>
      </c>
      <c r="K1146" s="4">
        <v>112.57</v>
      </c>
      <c r="L1146" s="6">
        <v>4.28</v>
      </c>
    </row>
    <row r="1147" spans="1:12" x14ac:dyDescent="0.25">
      <c r="A1147" s="1">
        <v>1146</v>
      </c>
      <c r="B1147" s="4">
        <v>8353</v>
      </c>
      <c r="C1147" s="5">
        <v>39948</v>
      </c>
      <c r="D1147" s="3" t="s">
        <v>4</v>
      </c>
      <c r="E1147" s="1" t="s">
        <v>561</v>
      </c>
      <c r="F1147" s="1" t="s">
        <v>9</v>
      </c>
      <c r="G1147" s="2" t="s">
        <v>2</v>
      </c>
      <c r="H1147" s="3" t="s">
        <v>100</v>
      </c>
      <c r="I1147" s="3" t="s">
        <v>92</v>
      </c>
      <c r="J1147" s="3" t="s">
        <v>62</v>
      </c>
      <c r="K1147" s="4">
        <v>286.89999999999998</v>
      </c>
      <c r="L1147" s="6">
        <v>8.32</v>
      </c>
    </row>
    <row r="1148" spans="1:12" x14ac:dyDescent="0.25">
      <c r="A1148" s="1">
        <v>1147</v>
      </c>
      <c r="B1148" s="4">
        <v>8353</v>
      </c>
      <c r="C1148" s="5">
        <v>39948</v>
      </c>
      <c r="D1148" s="3" t="s">
        <v>4</v>
      </c>
      <c r="E1148" s="1" t="s">
        <v>561</v>
      </c>
      <c r="F1148" s="1" t="s">
        <v>9</v>
      </c>
      <c r="G1148" s="2" t="s">
        <v>2</v>
      </c>
      <c r="H1148" s="3" t="s">
        <v>100</v>
      </c>
      <c r="I1148" s="3" t="s">
        <v>85</v>
      </c>
      <c r="J1148" s="3" t="s">
        <v>63</v>
      </c>
      <c r="K1148" s="4">
        <v>46.4</v>
      </c>
      <c r="L1148" s="6">
        <v>2.94</v>
      </c>
    </row>
    <row r="1149" spans="1:12" x14ac:dyDescent="0.25">
      <c r="A1149" s="1">
        <v>1148</v>
      </c>
      <c r="B1149" s="4">
        <v>8384</v>
      </c>
      <c r="C1149" s="5">
        <v>40303</v>
      </c>
      <c r="D1149" s="3" t="s">
        <v>89</v>
      </c>
      <c r="E1149" s="1" t="s">
        <v>612</v>
      </c>
      <c r="F1149" s="1" t="s">
        <v>23</v>
      </c>
      <c r="G1149" s="2" t="s">
        <v>3</v>
      </c>
      <c r="H1149" s="3" t="s">
        <v>84</v>
      </c>
      <c r="I1149" s="3" t="s">
        <v>91</v>
      </c>
      <c r="J1149" s="3" t="s">
        <v>68</v>
      </c>
      <c r="K1149" s="4">
        <v>4935.72</v>
      </c>
      <c r="L1149" s="6">
        <v>140.97999999999999</v>
      </c>
    </row>
    <row r="1150" spans="1:12" x14ac:dyDescent="0.25">
      <c r="A1150" s="1">
        <v>1149</v>
      </c>
      <c r="B1150" s="4">
        <v>8387</v>
      </c>
      <c r="C1150" s="5">
        <v>40257</v>
      </c>
      <c r="D1150" s="3" t="s">
        <v>86</v>
      </c>
      <c r="E1150" s="1" t="s">
        <v>644</v>
      </c>
      <c r="F1150" s="1" t="s">
        <v>32</v>
      </c>
      <c r="G1150" s="2" t="s">
        <v>2</v>
      </c>
      <c r="H1150" s="3" t="s">
        <v>88</v>
      </c>
      <c r="I1150" s="3" t="s">
        <v>85</v>
      </c>
      <c r="J1150" s="3" t="s">
        <v>69</v>
      </c>
      <c r="K1150" s="4">
        <v>1133.96</v>
      </c>
      <c r="L1150" s="6">
        <v>31.74</v>
      </c>
    </row>
    <row r="1151" spans="1:12" x14ac:dyDescent="0.25">
      <c r="A1151" s="1">
        <v>1150</v>
      </c>
      <c r="B1151" s="4">
        <v>8388</v>
      </c>
      <c r="C1151" s="5">
        <v>40962</v>
      </c>
      <c r="D1151" s="3" t="s">
        <v>82</v>
      </c>
      <c r="E1151" s="1" t="s">
        <v>181</v>
      </c>
      <c r="F1151" s="1" t="s">
        <v>22</v>
      </c>
      <c r="G1151" s="2" t="s">
        <v>6</v>
      </c>
      <c r="H1151" s="3" t="s">
        <v>97</v>
      </c>
      <c r="I1151" s="3" t="s">
        <v>91</v>
      </c>
      <c r="J1151" s="3" t="s">
        <v>59</v>
      </c>
      <c r="K1151" s="4">
        <v>290.3</v>
      </c>
      <c r="L1151" s="6">
        <v>7.59</v>
      </c>
    </row>
    <row r="1152" spans="1:12" x14ac:dyDescent="0.25">
      <c r="A1152" s="1">
        <v>1151</v>
      </c>
      <c r="B1152" s="4">
        <v>8388</v>
      </c>
      <c r="C1152" s="5">
        <v>40962</v>
      </c>
      <c r="D1152" s="3" t="s">
        <v>82</v>
      </c>
      <c r="E1152" s="1" t="s">
        <v>645</v>
      </c>
      <c r="F1152" s="1" t="s">
        <v>22</v>
      </c>
      <c r="G1152" s="2" t="s">
        <v>6</v>
      </c>
      <c r="H1152" s="3" t="s">
        <v>97</v>
      </c>
      <c r="I1152" s="3" t="s">
        <v>85</v>
      </c>
      <c r="J1152" s="3" t="s">
        <v>69</v>
      </c>
      <c r="K1152" s="4">
        <v>434.11</v>
      </c>
      <c r="L1152" s="6">
        <v>11.7</v>
      </c>
    </row>
    <row r="1153" spans="1:12" x14ac:dyDescent="0.25">
      <c r="A1153" s="1">
        <v>1152</v>
      </c>
      <c r="B1153" s="4">
        <v>8388</v>
      </c>
      <c r="C1153" s="5">
        <v>40962</v>
      </c>
      <c r="D1153" s="3" t="s">
        <v>82</v>
      </c>
      <c r="E1153" s="1" t="s">
        <v>645</v>
      </c>
      <c r="F1153" s="1" t="s">
        <v>22</v>
      </c>
      <c r="G1153" s="2" t="s">
        <v>6</v>
      </c>
      <c r="H1153" s="3" t="s">
        <v>97</v>
      </c>
      <c r="I1153" s="3" t="s">
        <v>85</v>
      </c>
      <c r="J1153" s="3" t="s">
        <v>66</v>
      </c>
      <c r="K1153" s="4">
        <v>288.89999999999998</v>
      </c>
      <c r="L1153" s="6">
        <v>6.98</v>
      </c>
    </row>
    <row r="1154" spans="1:12" x14ac:dyDescent="0.25">
      <c r="A1154" s="1">
        <v>1153</v>
      </c>
      <c r="B1154" s="4">
        <v>8390</v>
      </c>
      <c r="C1154" s="5">
        <v>41020</v>
      </c>
      <c r="D1154" s="3" t="s">
        <v>4</v>
      </c>
      <c r="E1154" s="1" t="s">
        <v>222</v>
      </c>
      <c r="F1154" s="1" t="s">
        <v>28</v>
      </c>
      <c r="G1154" s="2" t="s">
        <v>6</v>
      </c>
      <c r="H1154" s="3" t="s">
        <v>97</v>
      </c>
      <c r="I1154" s="3" t="s">
        <v>92</v>
      </c>
      <c r="J1154" s="3" t="s">
        <v>62</v>
      </c>
      <c r="K1154" s="4">
        <v>715.4</v>
      </c>
      <c r="L1154" s="6">
        <v>30.98</v>
      </c>
    </row>
    <row r="1155" spans="1:12" x14ac:dyDescent="0.25">
      <c r="A1155" s="1">
        <v>1154</v>
      </c>
      <c r="B1155" s="4">
        <v>8391</v>
      </c>
      <c r="C1155" s="5">
        <v>40783</v>
      </c>
      <c r="D1155" s="3" t="s">
        <v>89</v>
      </c>
      <c r="E1155" s="1" t="s">
        <v>646</v>
      </c>
      <c r="F1155" s="1" t="s">
        <v>8</v>
      </c>
      <c r="G1155" s="2" t="s">
        <v>6</v>
      </c>
      <c r="H1155" s="3" t="s">
        <v>88</v>
      </c>
      <c r="I1155" s="3" t="s">
        <v>91</v>
      </c>
      <c r="J1155" s="3" t="s">
        <v>72</v>
      </c>
      <c r="K1155" s="4">
        <v>1266.72</v>
      </c>
      <c r="L1155" s="6">
        <v>300.98</v>
      </c>
    </row>
    <row r="1156" spans="1:12" x14ac:dyDescent="0.25">
      <c r="A1156" s="1">
        <v>1155</v>
      </c>
      <c r="B1156" s="4">
        <v>8416</v>
      </c>
      <c r="C1156" s="5">
        <v>40396</v>
      </c>
      <c r="D1156" s="3" t="s">
        <v>82</v>
      </c>
      <c r="E1156" s="1" t="s">
        <v>163</v>
      </c>
      <c r="F1156" s="1" t="s">
        <v>45</v>
      </c>
      <c r="G1156" s="2" t="s">
        <v>3</v>
      </c>
      <c r="H1156" s="3" t="s">
        <v>84</v>
      </c>
      <c r="I1156" s="3" t="s">
        <v>85</v>
      </c>
      <c r="J1156" s="3" t="s">
        <v>66</v>
      </c>
      <c r="K1156" s="4">
        <v>22.07</v>
      </c>
      <c r="L1156" s="6">
        <v>5.98</v>
      </c>
    </row>
    <row r="1157" spans="1:12" x14ac:dyDescent="0.25">
      <c r="A1157" s="1">
        <v>1156</v>
      </c>
      <c r="B1157" s="4">
        <v>8419</v>
      </c>
      <c r="C1157" s="5">
        <v>40815</v>
      </c>
      <c r="D1157" s="3" t="s">
        <v>95</v>
      </c>
      <c r="E1157" s="1" t="s">
        <v>401</v>
      </c>
      <c r="F1157" s="1" t="s">
        <v>8</v>
      </c>
      <c r="G1157" s="2" t="s">
        <v>6</v>
      </c>
      <c r="H1157" s="3" t="s">
        <v>84</v>
      </c>
      <c r="I1157" s="3" t="s">
        <v>85</v>
      </c>
      <c r="J1157" s="3" t="s">
        <v>66</v>
      </c>
      <c r="K1157" s="4">
        <v>368.04</v>
      </c>
      <c r="L1157" s="6">
        <v>19.98</v>
      </c>
    </row>
    <row r="1158" spans="1:12" x14ac:dyDescent="0.25">
      <c r="A1158" s="1">
        <v>1157</v>
      </c>
      <c r="B1158" s="4">
        <v>8419</v>
      </c>
      <c r="C1158" s="5">
        <v>40815</v>
      </c>
      <c r="D1158" s="3" t="s">
        <v>95</v>
      </c>
      <c r="E1158" s="1" t="s">
        <v>401</v>
      </c>
      <c r="F1158" s="1" t="s">
        <v>8</v>
      </c>
      <c r="G1158" s="2" t="s">
        <v>6</v>
      </c>
      <c r="H1158" s="3" t="s">
        <v>84</v>
      </c>
      <c r="I1158" s="3" t="s">
        <v>85</v>
      </c>
      <c r="J1158" s="3" t="s">
        <v>66</v>
      </c>
      <c r="K1158" s="4">
        <v>152.6</v>
      </c>
      <c r="L1158" s="6">
        <v>6.48</v>
      </c>
    </row>
    <row r="1159" spans="1:12" x14ac:dyDescent="0.25">
      <c r="A1159" s="1">
        <v>1158</v>
      </c>
      <c r="B1159" s="4">
        <v>8422</v>
      </c>
      <c r="C1159" s="5">
        <v>39917</v>
      </c>
      <c r="D1159" s="3" t="s">
        <v>4</v>
      </c>
      <c r="E1159" s="1" t="s">
        <v>647</v>
      </c>
      <c r="F1159" s="1" t="s">
        <v>27</v>
      </c>
      <c r="G1159" s="2" t="s">
        <v>1</v>
      </c>
      <c r="H1159" s="3" t="s">
        <v>97</v>
      </c>
      <c r="I1159" s="3" t="s">
        <v>92</v>
      </c>
      <c r="J1159" s="3" t="s">
        <v>62</v>
      </c>
      <c r="K1159" s="4">
        <v>1003.71</v>
      </c>
      <c r="L1159" s="6">
        <v>29.1</v>
      </c>
    </row>
    <row r="1160" spans="1:12" x14ac:dyDescent="0.25">
      <c r="A1160" s="1">
        <v>1159</v>
      </c>
      <c r="B1160" s="4">
        <v>8422</v>
      </c>
      <c r="C1160" s="5">
        <v>39917</v>
      </c>
      <c r="D1160" s="3" t="s">
        <v>4</v>
      </c>
      <c r="E1160" s="1" t="s">
        <v>134</v>
      </c>
      <c r="F1160" s="1" t="s">
        <v>21</v>
      </c>
      <c r="G1160" s="2" t="s">
        <v>1</v>
      </c>
      <c r="H1160" s="3" t="s">
        <v>97</v>
      </c>
      <c r="I1160" s="3" t="s">
        <v>91</v>
      </c>
      <c r="J1160" s="3" t="s">
        <v>60</v>
      </c>
      <c r="K1160" s="4">
        <v>4212.7519999999995</v>
      </c>
      <c r="L1160" s="6">
        <v>296.18</v>
      </c>
    </row>
    <row r="1161" spans="1:12" x14ac:dyDescent="0.25">
      <c r="A1161" s="1">
        <v>1160</v>
      </c>
      <c r="B1161" s="4">
        <v>8450</v>
      </c>
      <c r="C1161" s="5">
        <v>41012</v>
      </c>
      <c r="D1161" s="3" t="s">
        <v>86</v>
      </c>
      <c r="E1161" s="1" t="s">
        <v>648</v>
      </c>
      <c r="F1161" s="1" t="s">
        <v>37</v>
      </c>
      <c r="G1161" s="2" t="s">
        <v>3</v>
      </c>
      <c r="H1161" s="3" t="s">
        <v>97</v>
      </c>
      <c r="I1161" s="3" t="s">
        <v>85</v>
      </c>
      <c r="J1161" s="3" t="s">
        <v>70</v>
      </c>
      <c r="K1161" s="4">
        <v>1307</v>
      </c>
      <c r="L1161" s="6">
        <v>54.48</v>
      </c>
    </row>
    <row r="1162" spans="1:12" x14ac:dyDescent="0.25">
      <c r="A1162" s="1">
        <v>1161</v>
      </c>
      <c r="B1162" s="4">
        <v>8450</v>
      </c>
      <c r="C1162" s="5">
        <v>41012</v>
      </c>
      <c r="D1162" s="3" t="s">
        <v>86</v>
      </c>
      <c r="E1162" s="1" t="s">
        <v>648</v>
      </c>
      <c r="F1162" s="1" t="s">
        <v>37</v>
      </c>
      <c r="G1162" s="2" t="s">
        <v>3</v>
      </c>
      <c r="H1162" s="3" t="s">
        <v>97</v>
      </c>
      <c r="I1162" s="3" t="s">
        <v>85</v>
      </c>
      <c r="J1162" s="3" t="s">
        <v>69</v>
      </c>
      <c r="K1162" s="4">
        <v>41.39</v>
      </c>
      <c r="L1162" s="6">
        <v>1.88</v>
      </c>
    </row>
    <row r="1163" spans="1:12" x14ac:dyDescent="0.25">
      <c r="A1163" s="1">
        <v>1162</v>
      </c>
      <c r="B1163" s="4">
        <v>8454</v>
      </c>
      <c r="C1163" s="5">
        <v>41136</v>
      </c>
      <c r="D1163" s="3" t="s">
        <v>4</v>
      </c>
      <c r="E1163" s="1" t="s">
        <v>649</v>
      </c>
      <c r="F1163" s="1" t="s">
        <v>13</v>
      </c>
      <c r="G1163" s="2" t="s">
        <v>6</v>
      </c>
      <c r="H1163" s="3" t="s">
        <v>84</v>
      </c>
      <c r="I1163" s="3" t="s">
        <v>85</v>
      </c>
      <c r="J1163" s="3" t="s">
        <v>69</v>
      </c>
      <c r="K1163" s="4">
        <v>218.77</v>
      </c>
      <c r="L1163" s="6">
        <v>5.4</v>
      </c>
    </row>
    <row r="1164" spans="1:12" x14ac:dyDescent="0.25">
      <c r="A1164" s="1">
        <v>1163</v>
      </c>
      <c r="B1164" s="4">
        <v>8480</v>
      </c>
      <c r="C1164" s="5">
        <v>40572</v>
      </c>
      <c r="D1164" s="3" t="s">
        <v>89</v>
      </c>
      <c r="E1164" s="1" t="s">
        <v>650</v>
      </c>
      <c r="F1164" s="1" t="s">
        <v>34</v>
      </c>
      <c r="G1164" s="2" t="s">
        <v>1</v>
      </c>
      <c r="H1164" s="3" t="s">
        <v>88</v>
      </c>
      <c r="I1164" s="3" t="s">
        <v>85</v>
      </c>
      <c r="J1164" s="3" t="s">
        <v>66</v>
      </c>
      <c r="K1164" s="4">
        <v>76.36</v>
      </c>
      <c r="L1164" s="6">
        <v>6.48</v>
      </c>
    </row>
    <row r="1165" spans="1:12" x14ac:dyDescent="0.25">
      <c r="A1165" s="1">
        <v>1164</v>
      </c>
      <c r="B1165" s="4">
        <v>8480</v>
      </c>
      <c r="C1165" s="5">
        <v>40572</v>
      </c>
      <c r="D1165" s="3" t="s">
        <v>89</v>
      </c>
      <c r="E1165" s="1" t="s">
        <v>650</v>
      </c>
      <c r="F1165" s="1" t="s">
        <v>34</v>
      </c>
      <c r="G1165" s="2" t="s">
        <v>1</v>
      </c>
      <c r="H1165" s="3" t="s">
        <v>88</v>
      </c>
      <c r="I1165" s="3" t="s">
        <v>92</v>
      </c>
      <c r="J1165" s="3" t="s">
        <v>61</v>
      </c>
      <c r="K1165" s="4">
        <v>309.9015</v>
      </c>
      <c r="L1165" s="6">
        <v>125.99</v>
      </c>
    </row>
    <row r="1166" spans="1:12" x14ac:dyDescent="0.25">
      <c r="A1166" s="1">
        <v>1165</v>
      </c>
      <c r="B1166" s="4">
        <v>8513</v>
      </c>
      <c r="C1166" s="5">
        <v>40739</v>
      </c>
      <c r="D1166" s="3" t="s">
        <v>82</v>
      </c>
      <c r="E1166" s="1" t="s">
        <v>616</v>
      </c>
      <c r="F1166" s="1" t="s">
        <v>48</v>
      </c>
      <c r="G1166" s="2" t="s">
        <v>1</v>
      </c>
      <c r="H1166" s="3" t="s">
        <v>84</v>
      </c>
      <c r="I1166" s="3" t="s">
        <v>92</v>
      </c>
      <c r="J1166" s="3" t="s">
        <v>67</v>
      </c>
      <c r="K1166" s="4">
        <v>163.78</v>
      </c>
      <c r="L1166" s="6">
        <v>17.98</v>
      </c>
    </row>
    <row r="1167" spans="1:12" x14ac:dyDescent="0.25">
      <c r="A1167" s="1">
        <v>1166</v>
      </c>
      <c r="B1167" s="4">
        <v>8513</v>
      </c>
      <c r="C1167" s="5">
        <v>40739</v>
      </c>
      <c r="D1167" s="3" t="s">
        <v>82</v>
      </c>
      <c r="E1167" s="1" t="s">
        <v>651</v>
      </c>
      <c r="F1167" s="1" t="s">
        <v>20</v>
      </c>
      <c r="G1167" s="2" t="s">
        <v>1</v>
      </c>
      <c r="H1167" s="3" t="s">
        <v>84</v>
      </c>
      <c r="I1167" s="3" t="s">
        <v>85</v>
      </c>
      <c r="J1167" s="3" t="s">
        <v>70</v>
      </c>
      <c r="K1167" s="4">
        <v>84.64</v>
      </c>
      <c r="L1167" s="6">
        <v>8.6199999999999992</v>
      </c>
    </row>
    <row r="1168" spans="1:12" x14ac:dyDescent="0.25">
      <c r="A1168" s="1">
        <v>1167</v>
      </c>
      <c r="B1168" s="4">
        <v>8515</v>
      </c>
      <c r="C1168" s="5">
        <v>40533</v>
      </c>
      <c r="D1168" s="3" t="s">
        <v>95</v>
      </c>
      <c r="E1168" s="1" t="s">
        <v>652</v>
      </c>
      <c r="F1168" s="1" t="s">
        <v>30</v>
      </c>
      <c r="G1168" s="2" t="s">
        <v>6</v>
      </c>
      <c r="H1168" s="3" t="s">
        <v>84</v>
      </c>
      <c r="I1168" s="3" t="s">
        <v>92</v>
      </c>
      <c r="J1168" s="3" t="s">
        <v>62</v>
      </c>
      <c r="K1168" s="4">
        <v>729.92</v>
      </c>
      <c r="L1168" s="6">
        <v>20.95</v>
      </c>
    </row>
    <row r="1169" spans="1:12" x14ac:dyDescent="0.25">
      <c r="A1169" s="1">
        <v>1168</v>
      </c>
      <c r="B1169" s="4">
        <v>8545</v>
      </c>
      <c r="C1169" s="5">
        <v>39981</v>
      </c>
      <c r="D1169" s="3" t="s">
        <v>82</v>
      </c>
      <c r="E1169" s="1" t="s">
        <v>653</v>
      </c>
      <c r="F1169" s="1" t="s">
        <v>28</v>
      </c>
      <c r="G1169" s="2" t="s">
        <v>6</v>
      </c>
      <c r="H1169" s="3" t="s">
        <v>84</v>
      </c>
      <c r="I1169" s="3" t="s">
        <v>85</v>
      </c>
      <c r="J1169" s="3" t="s">
        <v>69</v>
      </c>
      <c r="K1169" s="4">
        <v>113.75</v>
      </c>
      <c r="L1169" s="6">
        <v>4.13</v>
      </c>
    </row>
    <row r="1170" spans="1:12" x14ac:dyDescent="0.25">
      <c r="A1170" s="1">
        <v>1169</v>
      </c>
      <c r="B1170" s="4">
        <v>8545</v>
      </c>
      <c r="C1170" s="5">
        <v>39981</v>
      </c>
      <c r="D1170" s="3" t="s">
        <v>82</v>
      </c>
      <c r="E1170" s="1" t="s">
        <v>653</v>
      </c>
      <c r="F1170" s="1" t="s">
        <v>28</v>
      </c>
      <c r="G1170" s="2" t="s">
        <v>6</v>
      </c>
      <c r="H1170" s="3" t="s">
        <v>84</v>
      </c>
      <c r="I1170" s="3" t="s">
        <v>91</v>
      </c>
      <c r="J1170" s="3" t="s">
        <v>68</v>
      </c>
      <c r="K1170" s="4">
        <v>3081.95</v>
      </c>
      <c r="L1170" s="6">
        <v>130.97999999999999</v>
      </c>
    </row>
    <row r="1171" spans="1:12" x14ac:dyDescent="0.25">
      <c r="A1171" s="1">
        <v>1170</v>
      </c>
      <c r="B1171" s="4">
        <v>8546</v>
      </c>
      <c r="C1171" s="5">
        <v>41000</v>
      </c>
      <c r="D1171" s="3" t="s">
        <v>89</v>
      </c>
      <c r="E1171" s="1" t="s">
        <v>654</v>
      </c>
      <c r="F1171" s="1" t="s">
        <v>42</v>
      </c>
      <c r="G1171" s="2" t="s">
        <v>3</v>
      </c>
      <c r="H1171" s="3" t="s">
        <v>84</v>
      </c>
      <c r="I1171" s="3" t="s">
        <v>92</v>
      </c>
      <c r="J1171" s="3" t="s">
        <v>62</v>
      </c>
      <c r="K1171" s="4">
        <v>51.94</v>
      </c>
      <c r="L1171" s="6">
        <v>10.01</v>
      </c>
    </row>
    <row r="1172" spans="1:12" x14ac:dyDescent="0.25">
      <c r="A1172" s="1">
        <v>1171</v>
      </c>
      <c r="B1172" s="4">
        <v>8551</v>
      </c>
      <c r="C1172" s="5">
        <v>40023</v>
      </c>
      <c r="D1172" s="3" t="s">
        <v>95</v>
      </c>
      <c r="E1172" s="1" t="s">
        <v>655</v>
      </c>
      <c r="F1172" s="1" t="s">
        <v>41</v>
      </c>
      <c r="G1172" s="2" t="s">
        <v>6</v>
      </c>
      <c r="H1172" s="3" t="s">
        <v>88</v>
      </c>
      <c r="I1172" s="3" t="s">
        <v>85</v>
      </c>
      <c r="J1172" s="3" t="s">
        <v>69</v>
      </c>
      <c r="K1172" s="4">
        <v>185.64</v>
      </c>
      <c r="L1172" s="6">
        <v>7.45</v>
      </c>
    </row>
    <row r="1173" spans="1:12" x14ac:dyDescent="0.25">
      <c r="A1173" s="1">
        <v>1172</v>
      </c>
      <c r="B1173" s="4">
        <v>8551</v>
      </c>
      <c r="C1173" s="5">
        <v>40023</v>
      </c>
      <c r="D1173" s="3" t="s">
        <v>95</v>
      </c>
      <c r="E1173" s="1" t="s">
        <v>655</v>
      </c>
      <c r="F1173" s="1" t="s">
        <v>41</v>
      </c>
      <c r="G1173" s="2" t="s">
        <v>6</v>
      </c>
      <c r="H1173" s="3" t="s">
        <v>88</v>
      </c>
      <c r="I1173" s="3" t="s">
        <v>85</v>
      </c>
      <c r="J1173" s="3" t="s">
        <v>66</v>
      </c>
      <c r="K1173" s="4">
        <v>225.98</v>
      </c>
      <c r="L1173" s="6">
        <v>6.48</v>
      </c>
    </row>
    <row r="1174" spans="1:12" x14ac:dyDescent="0.25">
      <c r="A1174" s="1">
        <v>1173</v>
      </c>
      <c r="B1174" s="4">
        <v>8576</v>
      </c>
      <c r="C1174" s="5">
        <v>39822</v>
      </c>
      <c r="D1174" s="3" t="s">
        <v>89</v>
      </c>
      <c r="E1174" s="1" t="s">
        <v>656</v>
      </c>
      <c r="F1174" s="1" t="s">
        <v>24</v>
      </c>
      <c r="G1174" s="2" t="s">
        <v>2</v>
      </c>
      <c r="H1174" s="3" t="s">
        <v>88</v>
      </c>
      <c r="I1174" s="3" t="s">
        <v>85</v>
      </c>
      <c r="J1174" s="3" t="s">
        <v>63</v>
      </c>
      <c r="K1174" s="4">
        <v>541.45000000000005</v>
      </c>
      <c r="L1174" s="6">
        <v>11.66</v>
      </c>
    </row>
    <row r="1175" spans="1:12" x14ac:dyDescent="0.25">
      <c r="A1175" s="1">
        <v>1174</v>
      </c>
      <c r="B1175" s="4">
        <v>8578</v>
      </c>
      <c r="C1175" s="5">
        <v>40788</v>
      </c>
      <c r="D1175" s="3" t="s">
        <v>89</v>
      </c>
      <c r="E1175" s="1" t="s">
        <v>391</v>
      </c>
      <c r="F1175" s="1" t="s">
        <v>42</v>
      </c>
      <c r="G1175" s="2" t="s">
        <v>3</v>
      </c>
      <c r="H1175" s="3" t="s">
        <v>88</v>
      </c>
      <c r="I1175" s="3" t="s">
        <v>91</v>
      </c>
      <c r="J1175" s="3" t="s">
        <v>59</v>
      </c>
      <c r="K1175" s="4">
        <v>366.87</v>
      </c>
      <c r="L1175" s="6">
        <v>9.74</v>
      </c>
    </row>
    <row r="1176" spans="1:12" x14ac:dyDescent="0.25">
      <c r="A1176" s="1">
        <v>1175</v>
      </c>
      <c r="B1176" s="4">
        <v>8580</v>
      </c>
      <c r="C1176" s="5">
        <v>40624</v>
      </c>
      <c r="D1176" s="3" t="s">
        <v>89</v>
      </c>
      <c r="E1176" s="1" t="s">
        <v>657</v>
      </c>
      <c r="F1176" s="1" t="s">
        <v>23</v>
      </c>
      <c r="G1176" s="2" t="s">
        <v>3</v>
      </c>
      <c r="H1176" s="3" t="s">
        <v>100</v>
      </c>
      <c r="I1176" s="3" t="s">
        <v>85</v>
      </c>
      <c r="J1176" s="3" t="s">
        <v>71</v>
      </c>
      <c r="K1176" s="4">
        <v>151.49</v>
      </c>
      <c r="L1176" s="6">
        <v>11.58</v>
      </c>
    </row>
    <row r="1177" spans="1:12" x14ac:dyDescent="0.25">
      <c r="A1177" s="1">
        <v>1176</v>
      </c>
      <c r="B1177" s="4">
        <v>8580</v>
      </c>
      <c r="C1177" s="5">
        <v>40624</v>
      </c>
      <c r="D1177" s="3" t="s">
        <v>89</v>
      </c>
      <c r="E1177" s="1" t="s">
        <v>658</v>
      </c>
      <c r="F1177" s="1" t="s">
        <v>23</v>
      </c>
      <c r="G1177" s="2" t="s">
        <v>3</v>
      </c>
      <c r="H1177" s="3" t="s">
        <v>100</v>
      </c>
      <c r="I1177" s="3" t="s">
        <v>85</v>
      </c>
      <c r="J1177" s="3" t="s">
        <v>70</v>
      </c>
      <c r="K1177" s="4">
        <v>308.22000000000003</v>
      </c>
      <c r="L1177" s="6">
        <v>7.77</v>
      </c>
    </row>
    <row r="1178" spans="1:12" x14ac:dyDescent="0.25">
      <c r="A1178" s="1">
        <v>1177</v>
      </c>
      <c r="B1178" s="4">
        <v>8582</v>
      </c>
      <c r="C1178" s="5">
        <v>40502</v>
      </c>
      <c r="D1178" s="3" t="s">
        <v>82</v>
      </c>
      <c r="E1178" s="1" t="s">
        <v>186</v>
      </c>
      <c r="F1178" s="1" t="s">
        <v>24</v>
      </c>
      <c r="G1178" s="2" t="s">
        <v>2</v>
      </c>
      <c r="H1178" s="3" t="s">
        <v>97</v>
      </c>
      <c r="I1178" s="3" t="s">
        <v>91</v>
      </c>
      <c r="J1178" s="3" t="s">
        <v>59</v>
      </c>
      <c r="K1178" s="4">
        <v>1556.55</v>
      </c>
      <c r="L1178" s="6">
        <v>105.34</v>
      </c>
    </row>
    <row r="1179" spans="1:12" x14ac:dyDescent="0.25">
      <c r="A1179" s="1">
        <v>1178</v>
      </c>
      <c r="B1179" s="4">
        <v>8609</v>
      </c>
      <c r="C1179" s="5">
        <v>41013</v>
      </c>
      <c r="D1179" s="3" t="s">
        <v>95</v>
      </c>
      <c r="E1179" s="1" t="s">
        <v>273</v>
      </c>
      <c r="F1179" s="1" t="s">
        <v>9</v>
      </c>
      <c r="G1179" s="2" t="s">
        <v>2</v>
      </c>
      <c r="H1179" s="3" t="s">
        <v>88</v>
      </c>
      <c r="I1179" s="3" t="s">
        <v>92</v>
      </c>
      <c r="J1179" s="3" t="s">
        <v>61</v>
      </c>
      <c r="K1179" s="4">
        <v>72.003499999999988</v>
      </c>
      <c r="L1179" s="6">
        <v>20.99</v>
      </c>
    </row>
    <row r="1180" spans="1:12" x14ac:dyDescent="0.25">
      <c r="A1180" s="1">
        <v>1179</v>
      </c>
      <c r="B1180" s="4">
        <v>8614</v>
      </c>
      <c r="C1180" s="5">
        <v>39968</v>
      </c>
      <c r="D1180" s="3" t="s">
        <v>82</v>
      </c>
      <c r="E1180" s="1" t="s">
        <v>611</v>
      </c>
      <c r="F1180" s="1" t="s">
        <v>12</v>
      </c>
      <c r="G1180" s="2" t="s">
        <v>2</v>
      </c>
      <c r="H1180" s="3" t="s">
        <v>88</v>
      </c>
      <c r="I1180" s="3" t="s">
        <v>92</v>
      </c>
      <c r="J1180" s="3" t="s">
        <v>61</v>
      </c>
      <c r="K1180" s="4">
        <v>1289.127</v>
      </c>
      <c r="L1180" s="6">
        <v>115.99</v>
      </c>
    </row>
    <row r="1181" spans="1:12" x14ac:dyDescent="0.25">
      <c r="A1181" s="1">
        <v>1180</v>
      </c>
      <c r="B1181" s="4">
        <v>8642</v>
      </c>
      <c r="C1181" s="5">
        <v>40194</v>
      </c>
      <c r="D1181" s="3" t="s">
        <v>89</v>
      </c>
      <c r="E1181" s="1" t="s">
        <v>659</v>
      </c>
      <c r="F1181" s="1" t="s">
        <v>26</v>
      </c>
      <c r="G1181" s="2" t="s">
        <v>3</v>
      </c>
      <c r="H1181" s="3" t="s">
        <v>88</v>
      </c>
      <c r="I1181" s="3" t="s">
        <v>85</v>
      </c>
      <c r="J1181" s="3" t="s">
        <v>69</v>
      </c>
      <c r="K1181" s="4">
        <v>151.05000000000001</v>
      </c>
      <c r="L1181" s="6">
        <v>5.8</v>
      </c>
    </row>
    <row r="1182" spans="1:12" x14ac:dyDescent="0.25">
      <c r="A1182" s="1">
        <v>1181</v>
      </c>
      <c r="B1182" s="4">
        <v>8642</v>
      </c>
      <c r="C1182" s="5">
        <v>40194</v>
      </c>
      <c r="D1182" s="3" t="s">
        <v>89</v>
      </c>
      <c r="E1182" s="1" t="s">
        <v>659</v>
      </c>
      <c r="F1182" s="1" t="s">
        <v>26</v>
      </c>
      <c r="G1182" s="2" t="s">
        <v>3</v>
      </c>
      <c r="H1182" s="3" t="s">
        <v>88</v>
      </c>
      <c r="I1182" s="3" t="s">
        <v>85</v>
      </c>
      <c r="J1182" s="3" t="s">
        <v>65</v>
      </c>
      <c r="K1182" s="4">
        <v>133.04</v>
      </c>
      <c r="L1182" s="6">
        <v>10.35</v>
      </c>
    </row>
    <row r="1183" spans="1:12" x14ac:dyDescent="0.25">
      <c r="A1183" s="1">
        <v>1182</v>
      </c>
      <c r="B1183" s="4">
        <v>8646</v>
      </c>
      <c r="C1183" s="5">
        <v>39912</v>
      </c>
      <c r="D1183" s="3" t="s">
        <v>89</v>
      </c>
      <c r="E1183" s="1" t="s">
        <v>660</v>
      </c>
      <c r="F1183" s="1" t="s">
        <v>23</v>
      </c>
      <c r="G1183" s="2" t="s">
        <v>3</v>
      </c>
      <c r="H1183" s="3" t="s">
        <v>100</v>
      </c>
      <c r="I1183" s="3" t="s">
        <v>85</v>
      </c>
      <c r="J1183" s="3" t="s">
        <v>70</v>
      </c>
      <c r="K1183" s="4">
        <v>85.85</v>
      </c>
      <c r="L1183" s="6">
        <v>4.4800000000000004</v>
      </c>
    </row>
    <row r="1184" spans="1:12" x14ac:dyDescent="0.25">
      <c r="A1184" s="1">
        <v>1183</v>
      </c>
      <c r="B1184" s="4">
        <v>8646</v>
      </c>
      <c r="C1184" s="5">
        <v>39912</v>
      </c>
      <c r="D1184" s="3" t="s">
        <v>89</v>
      </c>
      <c r="E1184" s="1" t="s">
        <v>660</v>
      </c>
      <c r="F1184" s="1" t="s">
        <v>23</v>
      </c>
      <c r="G1184" s="2" t="s">
        <v>3</v>
      </c>
      <c r="H1184" s="3" t="s">
        <v>100</v>
      </c>
      <c r="I1184" s="3" t="s">
        <v>91</v>
      </c>
      <c r="J1184" s="3" t="s">
        <v>72</v>
      </c>
      <c r="K1184" s="4">
        <v>14377.78</v>
      </c>
      <c r="L1184" s="6">
        <v>350.99</v>
      </c>
    </row>
    <row r="1185" spans="1:12" x14ac:dyDescent="0.25">
      <c r="A1185" s="1">
        <v>1184</v>
      </c>
      <c r="B1185" s="4">
        <v>8646</v>
      </c>
      <c r="C1185" s="5">
        <v>39912</v>
      </c>
      <c r="D1185" s="3" t="s">
        <v>89</v>
      </c>
      <c r="E1185" s="1" t="s">
        <v>660</v>
      </c>
      <c r="F1185" s="1" t="s">
        <v>23</v>
      </c>
      <c r="G1185" s="2" t="s">
        <v>3</v>
      </c>
      <c r="H1185" s="3" t="s">
        <v>100</v>
      </c>
      <c r="I1185" s="3" t="s">
        <v>92</v>
      </c>
      <c r="J1185" s="3" t="s">
        <v>62</v>
      </c>
      <c r="K1185" s="4">
        <v>994.27</v>
      </c>
      <c r="L1185" s="6">
        <v>40.98</v>
      </c>
    </row>
    <row r="1186" spans="1:12" x14ac:dyDescent="0.25">
      <c r="A1186" s="1">
        <v>1185</v>
      </c>
      <c r="B1186" s="4">
        <v>8646</v>
      </c>
      <c r="C1186" s="5">
        <v>39912</v>
      </c>
      <c r="D1186" s="3" t="s">
        <v>89</v>
      </c>
      <c r="E1186" s="1" t="s">
        <v>660</v>
      </c>
      <c r="F1186" s="1" t="s">
        <v>23</v>
      </c>
      <c r="G1186" s="2" t="s">
        <v>3</v>
      </c>
      <c r="H1186" s="3" t="s">
        <v>100</v>
      </c>
      <c r="I1186" s="3" t="s">
        <v>91</v>
      </c>
      <c r="J1186" s="3" t="s">
        <v>60</v>
      </c>
      <c r="K1186" s="4">
        <v>9558.65</v>
      </c>
      <c r="L1186" s="6">
        <v>349.45</v>
      </c>
    </row>
    <row r="1187" spans="1:12" x14ac:dyDescent="0.25">
      <c r="A1187" s="1">
        <v>1186</v>
      </c>
      <c r="B1187" s="4">
        <v>8677</v>
      </c>
      <c r="C1187" s="5">
        <v>41189</v>
      </c>
      <c r="D1187" s="3" t="s">
        <v>89</v>
      </c>
      <c r="E1187" s="1" t="s">
        <v>124</v>
      </c>
      <c r="F1187" s="1" t="s">
        <v>27</v>
      </c>
      <c r="G1187" s="2" t="s">
        <v>1</v>
      </c>
      <c r="H1187" s="3" t="s">
        <v>88</v>
      </c>
      <c r="I1187" s="3" t="s">
        <v>85</v>
      </c>
      <c r="J1187" s="3" t="s">
        <v>57</v>
      </c>
      <c r="K1187" s="4">
        <v>1610.76</v>
      </c>
      <c r="L1187" s="6">
        <v>43.57</v>
      </c>
    </row>
    <row r="1188" spans="1:12" x14ac:dyDescent="0.25">
      <c r="A1188" s="1">
        <v>1187</v>
      </c>
      <c r="B1188" s="4">
        <v>8678</v>
      </c>
      <c r="C1188" s="5">
        <v>41182</v>
      </c>
      <c r="D1188" s="3" t="s">
        <v>82</v>
      </c>
      <c r="E1188" s="1" t="s">
        <v>421</v>
      </c>
      <c r="F1188" s="1" t="s">
        <v>16</v>
      </c>
      <c r="G1188" s="2" t="s">
        <v>3</v>
      </c>
      <c r="H1188" s="3" t="s">
        <v>100</v>
      </c>
      <c r="I1188" s="3" t="s">
        <v>85</v>
      </c>
      <c r="J1188" s="3" t="s">
        <v>57</v>
      </c>
      <c r="K1188" s="4">
        <v>937.8</v>
      </c>
      <c r="L1188" s="6">
        <v>29.74</v>
      </c>
    </row>
    <row r="1189" spans="1:12" x14ac:dyDescent="0.25">
      <c r="A1189" s="1">
        <v>1188</v>
      </c>
      <c r="B1189" s="4">
        <v>8679</v>
      </c>
      <c r="C1189" s="5">
        <v>41035</v>
      </c>
      <c r="D1189" s="3" t="s">
        <v>4</v>
      </c>
      <c r="E1189" s="1" t="s">
        <v>572</v>
      </c>
      <c r="F1189" s="1" t="s">
        <v>54</v>
      </c>
      <c r="G1189" s="2" t="s">
        <v>2</v>
      </c>
      <c r="H1189" s="3" t="s">
        <v>97</v>
      </c>
      <c r="I1189" s="3" t="s">
        <v>85</v>
      </c>
      <c r="J1189" s="3" t="s">
        <v>66</v>
      </c>
      <c r="K1189" s="4">
        <v>446.06</v>
      </c>
      <c r="L1189" s="6">
        <v>9.11</v>
      </c>
    </row>
    <row r="1190" spans="1:12" x14ac:dyDescent="0.25">
      <c r="A1190" s="1">
        <v>1189</v>
      </c>
      <c r="B1190" s="4">
        <v>8704</v>
      </c>
      <c r="C1190" s="5">
        <v>40724</v>
      </c>
      <c r="D1190" s="3" t="s">
        <v>4</v>
      </c>
      <c r="E1190" s="1" t="s">
        <v>661</v>
      </c>
      <c r="F1190" s="1" t="s">
        <v>44</v>
      </c>
      <c r="G1190" s="2" t="s">
        <v>3</v>
      </c>
      <c r="H1190" s="3" t="s">
        <v>97</v>
      </c>
      <c r="I1190" s="3" t="s">
        <v>85</v>
      </c>
      <c r="J1190" s="3" t="s">
        <v>63</v>
      </c>
      <c r="K1190" s="4">
        <v>449.17</v>
      </c>
      <c r="L1190" s="6">
        <v>9.93</v>
      </c>
    </row>
    <row r="1191" spans="1:12" x14ac:dyDescent="0.25">
      <c r="A1191" s="1">
        <v>1190</v>
      </c>
      <c r="B1191" s="4">
        <v>8704</v>
      </c>
      <c r="C1191" s="5">
        <v>40724</v>
      </c>
      <c r="D1191" s="3" t="s">
        <v>4</v>
      </c>
      <c r="E1191" s="1" t="s">
        <v>661</v>
      </c>
      <c r="F1191" s="1" t="s">
        <v>44</v>
      </c>
      <c r="G1191" s="2" t="s">
        <v>3</v>
      </c>
      <c r="H1191" s="3" t="s">
        <v>97</v>
      </c>
      <c r="I1191" s="3" t="s">
        <v>85</v>
      </c>
      <c r="J1191" s="3" t="s">
        <v>63</v>
      </c>
      <c r="K1191" s="4">
        <v>79.81</v>
      </c>
      <c r="L1191" s="6">
        <v>2.21</v>
      </c>
    </row>
    <row r="1192" spans="1:12" x14ac:dyDescent="0.25">
      <c r="A1192" s="1">
        <v>1191</v>
      </c>
      <c r="B1192" s="4">
        <v>8709</v>
      </c>
      <c r="C1192" s="5">
        <v>39880</v>
      </c>
      <c r="D1192" s="3" t="s">
        <v>89</v>
      </c>
      <c r="E1192" s="1" t="s">
        <v>662</v>
      </c>
      <c r="F1192" s="1" t="s">
        <v>18</v>
      </c>
      <c r="G1192" s="2" t="s">
        <v>6</v>
      </c>
      <c r="H1192" s="3" t="s">
        <v>97</v>
      </c>
      <c r="I1192" s="3" t="s">
        <v>92</v>
      </c>
      <c r="J1192" s="3" t="s">
        <v>67</v>
      </c>
      <c r="K1192" s="4">
        <v>2451.41</v>
      </c>
      <c r="L1192" s="6">
        <v>51.98</v>
      </c>
    </row>
    <row r="1193" spans="1:12" x14ac:dyDescent="0.25">
      <c r="A1193" s="1">
        <v>1192</v>
      </c>
      <c r="B1193" s="4">
        <v>8709</v>
      </c>
      <c r="C1193" s="5">
        <v>39880</v>
      </c>
      <c r="D1193" s="3" t="s">
        <v>89</v>
      </c>
      <c r="E1193" s="1" t="s">
        <v>662</v>
      </c>
      <c r="F1193" s="1" t="s">
        <v>18</v>
      </c>
      <c r="G1193" s="2" t="s">
        <v>6</v>
      </c>
      <c r="H1193" s="3" t="s">
        <v>97</v>
      </c>
      <c r="I1193" s="3" t="s">
        <v>92</v>
      </c>
      <c r="J1193" s="3" t="s">
        <v>67</v>
      </c>
      <c r="K1193" s="4">
        <v>851.24</v>
      </c>
      <c r="L1193" s="6">
        <v>80.97</v>
      </c>
    </row>
    <row r="1194" spans="1:12" x14ac:dyDescent="0.25">
      <c r="A1194" s="1">
        <v>1193</v>
      </c>
      <c r="B1194" s="4">
        <v>8710</v>
      </c>
      <c r="C1194" s="5">
        <v>39817</v>
      </c>
      <c r="D1194" s="3" t="s">
        <v>95</v>
      </c>
      <c r="E1194" s="1" t="s">
        <v>247</v>
      </c>
      <c r="F1194" s="1" t="s">
        <v>13</v>
      </c>
      <c r="G1194" s="2" t="s">
        <v>6</v>
      </c>
      <c r="H1194" s="3" t="s">
        <v>88</v>
      </c>
      <c r="I1194" s="3" t="s">
        <v>85</v>
      </c>
      <c r="J1194" s="3" t="s">
        <v>69</v>
      </c>
      <c r="K1194" s="4">
        <v>63.34</v>
      </c>
      <c r="L1194" s="6">
        <v>3.36</v>
      </c>
    </row>
    <row r="1195" spans="1:12" x14ac:dyDescent="0.25">
      <c r="A1195" s="1">
        <v>1194</v>
      </c>
      <c r="B1195" s="4">
        <v>8710</v>
      </c>
      <c r="C1195" s="5">
        <v>39817</v>
      </c>
      <c r="D1195" s="3" t="s">
        <v>95</v>
      </c>
      <c r="E1195" s="1" t="s">
        <v>247</v>
      </c>
      <c r="F1195" s="1" t="s">
        <v>13</v>
      </c>
      <c r="G1195" s="2" t="s">
        <v>6</v>
      </c>
      <c r="H1195" s="3" t="s">
        <v>88</v>
      </c>
      <c r="I1195" s="3" t="s">
        <v>85</v>
      </c>
      <c r="J1195" s="3" t="s">
        <v>66</v>
      </c>
      <c r="K1195" s="4">
        <v>151.35</v>
      </c>
      <c r="L1195" s="6">
        <v>3.71</v>
      </c>
    </row>
    <row r="1196" spans="1:12" x14ac:dyDescent="0.25">
      <c r="A1196" s="1">
        <v>1195</v>
      </c>
      <c r="B1196" s="4">
        <v>8768</v>
      </c>
      <c r="C1196" s="5">
        <v>40773</v>
      </c>
      <c r="D1196" s="3" t="s">
        <v>89</v>
      </c>
      <c r="E1196" s="1" t="s">
        <v>264</v>
      </c>
      <c r="F1196" s="1" t="s">
        <v>32</v>
      </c>
      <c r="G1196" s="2" t="s">
        <v>2</v>
      </c>
      <c r="H1196" s="3" t="s">
        <v>84</v>
      </c>
      <c r="I1196" s="3" t="s">
        <v>92</v>
      </c>
      <c r="J1196" s="3" t="s">
        <v>61</v>
      </c>
      <c r="K1196" s="4">
        <v>2422.4404999999997</v>
      </c>
      <c r="L1196" s="6">
        <v>65.989999999999995</v>
      </c>
    </row>
    <row r="1197" spans="1:12" x14ac:dyDescent="0.25">
      <c r="A1197" s="1">
        <v>1196</v>
      </c>
      <c r="B1197" s="4">
        <v>8773</v>
      </c>
      <c r="C1197" s="5">
        <v>40838</v>
      </c>
      <c r="D1197" s="3" t="s">
        <v>95</v>
      </c>
      <c r="E1197" s="1" t="s">
        <v>223</v>
      </c>
      <c r="F1197" s="1" t="s">
        <v>25</v>
      </c>
      <c r="G1197" s="2" t="s">
        <v>6</v>
      </c>
      <c r="H1197" s="3" t="s">
        <v>97</v>
      </c>
      <c r="I1197" s="3" t="s">
        <v>92</v>
      </c>
      <c r="J1197" s="3" t="s">
        <v>61</v>
      </c>
      <c r="K1197" s="4">
        <v>220.78749999999999</v>
      </c>
      <c r="L1197" s="6">
        <v>55.99</v>
      </c>
    </row>
    <row r="1198" spans="1:12" x14ac:dyDescent="0.25">
      <c r="A1198" s="1">
        <v>1197</v>
      </c>
      <c r="B1198" s="4">
        <v>8801</v>
      </c>
      <c r="C1198" s="5">
        <v>41131</v>
      </c>
      <c r="D1198" s="3" t="s">
        <v>82</v>
      </c>
      <c r="E1198" s="1" t="s">
        <v>663</v>
      </c>
      <c r="F1198" s="1" t="s">
        <v>30</v>
      </c>
      <c r="G1198" s="2" t="s">
        <v>6</v>
      </c>
      <c r="H1198" s="3" t="s">
        <v>100</v>
      </c>
      <c r="I1198" s="3" t="s">
        <v>91</v>
      </c>
      <c r="J1198" s="3" t="s">
        <v>59</v>
      </c>
      <c r="K1198" s="4">
        <v>2593.08</v>
      </c>
      <c r="L1198" s="6">
        <v>79.52</v>
      </c>
    </row>
    <row r="1199" spans="1:12" x14ac:dyDescent="0.25">
      <c r="A1199" s="1">
        <v>1198</v>
      </c>
      <c r="B1199" s="4">
        <v>8801</v>
      </c>
      <c r="C1199" s="5">
        <v>41131</v>
      </c>
      <c r="D1199" s="3" t="s">
        <v>82</v>
      </c>
      <c r="E1199" s="1" t="s">
        <v>663</v>
      </c>
      <c r="F1199" s="1" t="s">
        <v>30</v>
      </c>
      <c r="G1199" s="2" t="s">
        <v>6</v>
      </c>
      <c r="H1199" s="3" t="s">
        <v>100</v>
      </c>
      <c r="I1199" s="3" t="s">
        <v>92</v>
      </c>
      <c r="J1199" s="3" t="s">
        <v>61</v>
      </c>
      <c r="K1199" s="4">
        <v>2529.3960000000002</v>
      </c>
      <c r="L1199" s="6">
        <v>125.99</v>
      </c>
    </row>
    <row r="1200" spans="1:12" x14ac:dyDescent="0.25">
      <c r="A1200" s="1">
        <v>1199</v>
      </c>
      <c r="B1200" s="4">
        <v>8802</v>
      </c>
      <c r="C1200" s="5">
        <v>40574</v>
      </c>
      <c r="D1200" s="3" t="s">
        <v>4</v>
      </c>
      <c r="E1200" s="1" t="s">
        <v>664</v>
      </c>
      <c r="F1200" s="1" t="s">
        <v>45</v>
      </c>
      <c r="G1200" s="2" t="s">
        <v>3</v>
      </c>
      <c r="H1200" s="3" t="s">
        <v>84</v>
      </c>
      <c r="I1200" s="3" t="s">
        <v>85</v>
      </c>
      <c r="J1200" s="3" t="s">
        <v>70</v>
      </c>
      <c r="K1200" s="4">
        <v>1866.12</v>
      </c>
      <c r="L1200" s="6">
        <v>123.38</v>
      </c>
    </row>
    <row r="1201" spans="1:12" x14ac:dyDescent="0.25">
      <c r="A1201" s="1">
        <v>1200</v>
      </c>
      <c r="B1201" s="4">
        <v>8803</v>
      </c>
      <c r="C1201" s="5">
        <v>41263</v>
      </c>
      <c r="D1201" s="3" t="s">
        <v>86</v>
      </c>
      <c r="E1201" s="1" t="s">
        <v>491</v>
      </c>
      <c r="F1201" s="1" t="s">
        <v>26</v>
      </c>
      <c r="G1201" s="2" t="s">
        <v>3</v>
      </c>
      <c r="H1201" s="3" t="s">
        <v>88</v>
      </c>
      <c r="I1201" s="3" t="s">
        <v>85</v>
      </c>
      <c r="J1201" s="3" t="s">
        <v>57</v>
      </c>
      <c r="K1201" s="4">
        <v>1184.1099999999999</v>
      </c>
      <c r="L1201" s="6">
        <v>193.17</v>
      </c>
    </row>
    <row r="1202" spans="1:12" x14ac:dyDescent="0.25">
      <c r="A1202" s="1">
        <v>1201</v>
      </c>
      <c r="B1202" s="4">
        <v>8803</v>
      </c>
      <c r="C1202" s="5">
        <v>41263</v>
      </c>
      <c r="D1202" s="3" t="s">
        <v>86</v>
      </c>
      <c r="E1202" s="1" t="s">
        <v>665</v>
      </c>
      <c r="F1202" s="1" t="s">
        <v>26</v>
      </c>
      <c r="G1202" s="2" t="s">
        <v>3</v>
      </c>
      <c r="H1202" s="3" t="s">
        <v>88</v>
      </c>
      <c r="I1202" s="3" t="s">
        <v>85</v>
      </c>
      <c r="J1202" s="3" t="s">
        <v>69</v>
      </c>
      <c r="K1202" s="4">
        <v>514.22</v>
      </c>
      <c r="L1202" s="6">
        <v>30.56</v>
      </c>
    </row>
    <row r="1203" spans="1:12" x14ac:dyDescent="0.25">
      <c r="A1203" s="1">
        <v>1202</v>
      </c>
      <c r="B1203" s="4">
        <v>8807</v>
      </c>
      <c r="C1203" s="5">
        <v>40234</v>
      </c>
      <c r="D1203" s="3" t="s">
        <v>82</v>
      </c>
      <c r="E1203" s="1" t="s">
        <v>666</v>
      </c>
      <c r="F1203" s="1" t="s">
        <v>39</v>
      </c>
      <c r="G1203" s="2" t="s">
        <v>1</v>
      </c>
      <c r="H1203" s="3" t="s">
        <v>100</v>
      </c>
      <c r="I1203" s="3" t="s">
        <v>85</v>
      </c>
      <c r="J1203" s="3" t="s">
        <v>66</v>
      </c>
      <c r="K1203" s="4">
        <v>428.14</v>
      </c>
      <c r="L1203" s="6">
        <v>22.84</v>
      </c>
    </row>
    <row r="1204" spans="1:12" x14ac:dyDescent="0.25">
      <c r="A1204" s="1">
        <v>1203</v>
      </c>
      <c r="B1204" s="4">
        <v>8807</v>
      </c>
      <c r="C1204" s="5">
        <v>40234</v>
      </c>
      <c r="D1204" s="3" t="s">
        <v>82</v>
      </c>
      <c r="E1204" s="1" t="s">
        <v>231</v>
      </c>
      <c r="F1204" s="1" t="s">
        <v>43</v>
      </c>
      <c r="G1204" s="2" t="s">
        <v>1</v>
      </c>
      <c r="H1204" s="3" t="s">
        <v>100</v>
      </c>
      <c r="I1204" s="3" t="s">
        <v>92</v>
      </c>
      <c r="J1204" s="3" t="s">
        <v>61</v>
      </c>
      <c r="K1204" s="4">
        <v>1379.3374999999999</v>
      </c>
      <c r="L1204" s="6">
        <v>125.99</v>
      </c>
    </row>
    <row r="1205" spans="1:12" x14ac:dyDescent="0.25">
      <c r="A1205" s="1">
        <v>1204</v>
      </c>
      <c r="B1205" s="4">
        <v>8832</v>
      </c>
      <c r="C1205" s="5">
        <v>40941</v>
      </c>
      <c r="D1205" s="3" t="s">
        <v>82</v>
      </c>
      <c r="E1205" s="1" t="s">
        <v>530</v>
      </c>
      <c r="F1205" s="1" t="s">
        <v>24</v>
      </c>
      <c r="G1205" s="2" t="s">
        <v>2</v>
      </c>
      <c r="H1205" s="3" t="s">
        <v>84</v>
      </c>
      <c r="I1205" s="3" t="s">
        <v>91</v>
      </c>
      <c r="J1205" s="3" t="s">
        <v>59</v>
      </c>
      <c r="K1205" s="4">
        <v>647.80999999999995</v>
      </c>
      <c r="L1205" s="6">
        <v>17.670000000000002</v>
      </c>
    </row>
    <row r="1206" spans="1:12" x14ac:dyDescent="0.25">
      <c r="A1206" s="1">
        <v>1205</v>
      </c>
      <c r="B1206" s="4">
        <v>8833</v>
      </c>
      <c r="C1206" s="5">
        <v>41033</v>
      </c>
      <c r="D1206" s="3" t="s">
        <v>82</v>
      </c>
      <c r="E1206" s="1" t="s">
        <v>401</v>
      </c>
      <c r="F1206" s="1" t="s">
        <v>8</v>
      </c>
      <c r="G1206" s="2" t="s">
        <v>6</v>
      </c>
      <c r="H1206" s="3" t="s">
        <v>84</v>
      </c>
      <c r="I1206" s="3" t="s">
        <v>85</v>
      </c>
      <c r="J1206" s="3" t="s">
        <v>57</v>
      </c>
      <c r="K1206" s="4">
        <v>3338.98</v>
      </c>
      <c r="L1206" s="6">
        <v>80.98</v>
      </c>
    </row>
    <row r="1207" spans="1:12" x14ac:dyDescent="0.25">
      <c r="A1207" s="1">
        <v>1206</v>
      </c>
      <c r="B1207" s="4">
        <v>8834</v>
      </c>
      <c r="C1207" s="5">
        <v>40490</v>
      </c>
      <c r="D1207" s="3" t="s">
        <v>89</v>
      </c>
      <c r="E1207" s="1" t="s">
        <v>667</v>
      </c>
      <c r="F1207" s="1" t="s">
        <v>44</v>
      </c>
      <c r="G1207" s="2" t="s">
        <v>3</v>
      </c>
      <c r="H1207" s="3" t="s">
        <v>100</v>
      </c>
      <c r="I1207" s="3" t="s">
        <v>92</v>
      </c>
      <c r="J1207" s="3" t="s">
        <v>67</v>
      </c>
      <c r="K1207" s="4">
        <v>6688.11</v>
      </c>
      <c r="L1207" s="6">
        <v>150.97999999999999</v>
      </c>
    </row>
    <row r="1208" spans="1:12" x14ac:dyDescent="0.25">
      <c r="A1208" s="1">
        <v>1207</v>
      </c>
      <c r="B1208" s="4">
        <v>8834</v>
      </c>
      <c r="C1208" s="5">
        <v>40490</v>
      </c>
      <c r="D1208" s="3" t="s">
        <v>89</v>
      </c>
      <c r="E1208" s="1" t="s">
        <v>668</v>
      </c>
      <c r="F1208" s="1" t="s">
        <v>41</v>
      </c>
      <c r="G1208" s="2" t="s">
        <v>6</v>
      </c>
      <c r="H1208" s="3" t="s">
        <v>100</v>
      </c>
      <c r="I1208" s="3" t="s">
        <v>91</v>
      </c>
      <c r="J1208" s="3" t="s">
        <v>59</v>
      </c>
      <c r="K1208" s="4">
        <v>16.73</v>
      </c>
      <c r="L1208" s="6">
        <v>12.64</v>
      </c>
    </row>
    <row r="1209" spans="1:12" x14ac:dyDescent="0.25">
      <c r="A1209" s="1">
        <v>1208</v>
      </c>
      <c r="B1209" s="4">
        <v>8835</v>
      </c>
      <c r="C1209" s="5">
        <v>40099</v>
      </c>
      <c r="D1209" s="3" t="s">
        <v>95</v>
      </c>
      <c r="E1209" s="1" t="s">
        <v>376</v>
      </c>
      <c r="F1209" s="1" t="s">
        <v>13</v>
      </c>
      <c r="G1209" s="2" t="s">
        <v>6</v>
      </c>
      <c r="H1209" s="3" t="s">
        <v>88</v>
      </c>
      <c r="I1209" s="3" t="s">
        <v>91</v>
      </c>
      <c r="J1209" s="3" t="s">
        <v>59</v>
      </c>
      <c r="K1209" s="4">
        <v>153.44</v>
      </c>
      <c r="L1209" s="6">
        <v>12.2</v>
      </c>
    </row>
    <row r="1210" spans="1:12" x14ac:dyDescent="0.25">
      <c r="A1210" s="1">
        <v>1209</v>
      </c>
      <c r="B1210" s="4">
        <v>8868</v>
      </c>
      <c r="C1210" s="5">
        <v>39841</v>
      </c>
      <c r="D1210" s="3" t="s">
        <v>82</v>
      </c>
      <c r="E1210" s="1" t="s">
        <v>327</v>
      </c>
      <c r="F1210" s="1" t="s">
        <v>17</v>
      </c>
      <c r="G1210" s="2" t="s">
        <v>2</v>
      </c>
      <c r="H1210" s="3" t="s">
        <v>88</v>
      </c>
      <c r="I1210" s="3" t="s">
        <v>85</v>
      </c>
      <c r="J1210" s="3" t="s">
        <v>70</v>
      </c>
      <c r="K1210" s="4">
        <v>190.45</v>
      </c>
      <c r="L1210" s="6">
        <v>59.98</v>
      </c>
    </row>
    <row r="1211" spans="1:12" x14ac:dyDescent="0.25">
      <c r="A1211" s="1">
        <v>1210</v>
      </c>
      <c r="B1211" s="4">
        <v>8868</v>
      </c>
      <c r="C1211" s="5">
        <v>39841</v>
      </c>
      <c r="D1211" s="3" t="s">
        <v>82</v>
      </c>
      <c r="E1211" s="1" t="s">
        <v>327</v>
      </c>
      <c r="F1211" s="1" t="s">
        <v>17</v>
      </c>
      <c r="G1211" s="2" t="s">
        <v>2</v>
      </c>
      <c r="H1211" s="3" t="s">
        <v>88</v>
      </c>
      <c r="I1211" s="3" t="s">
        <v>85</v>
      </c>
      <c r="J1211" s="3" t="s">
        <v>69</v>
      </c>
      <c r="K1211" s="4">
        <v>179.99</v>
      </c>
      <c r="L1211" s="6">
        <v>5.18</v>
      </c>
    </row>
    <row r="1212" spans="1:12" x14ac:dyDescent="0.25">
      <c r="A1212" s="1">
        <v>1211</v>
      </c>
      <c r="B1212" s="4">
        <v>8870</v>
      </c>
      <c r="C1212" s="5">
        <v>40242</v>
      </c>
      <c r="D1212" s="3" t="s">
        <v>86</v>
      </c>
      <c r="E1212" s="1" t="s">
        <v>631</v>
      </c>
      <c r="F1212" s="1" t="s">
        <v>15</v>
      </c>
      <c r="G1212" s="2" t="s">
        <v>1</v>
      </c>
      <c r="H1212" s="3" t="s">
        <v>84</v>
      </c>
      <c r="I1212" s="3" t="s">
        <v>85</v>
      </c>
      <c r="J1212" s="3" t="s">
        <v>66</v>
      </c>
      <c r="K1212" s="4">
        <v>441.58</v>
      </c>
      <c r="L1212" s="6">
        <v>30.98</v>
      </c>
    </row>
    <row r="1213" spans="1:12" x14ac:dyDescent="0.25">
      <c r="A1213" s="1">
        <v>1212</v>
      </c>
      <c r="B1213" s="4">
        <v>8901</v>
      </c>
      <c r="C1213" s="5">
        <v>40775</v>
      </c>
      <c r="D1213" s="3" t="s">
        <v>82</v>
      </c>
      <c r="E1213" s="1" t="s">
        <v>669</v>
      </c>
      <c r="F1213" s="1" t="s">
        <v>24</v>
      </c>
      <c r="G1213" s="2" t="s">
        <v>2</v>
      </c>
      <c r="H1213" s="3" t="s">
        <v>100</v>
      </c>
      <c r="I1213" s="3" t="s">
        <v>92</v>
      </c>
      <c r="J1213" s="3" t="s">
        <v>67</v>
      </c>
      <c r="K1213" s="4">
        <v>168.9</v>
      </c>
      <c r="L1213" s="6">
        <v>9.99</v>
      </c>
    </row>
    <row r="1214" spans="1:12" x14ac:dyDescent="0.25">
      <c r="A1214" s="1">
        <v>1213</v>
      </c>
      <c r="B1214" s="4">
        <v>8902</v>
      </c>
      <c r="C1214" s="5">
        <v>40713</v>
      </c>
      <c r="D1214" s="3" t="s">
        <v>89</v>
      </c>
      <c r="E1214" s="1" t="s">
        <v>586</v>
      </c>
      <c r="F1214" s="1" t="s">
        <v>33</v>
      </c>
      <c r="G1214" s="2" t="s">
        <v>2</v>
      </c>
      <c r="H1214" s="3" t="s">
        <v>100</v>
      </c>
      <c r="I1214" s="3" t="s">
        <v>85</v>
      </c>
      <c r="J1214" s="3" t="s">
        <v>66</v>
      </c>
      <c r="K1214" s="4">
        <v>180.46</v>
      </c>
      <c r="L1214" s="6">
        <v>6.48</v>
      </c>
    </row>
    <row r="1215" spans="1:12" x14ac:dyDescent="0.25">
      <c r="A1215" s="1">
        <v>1214</v>
      </c>
      <c r="B1215" s="4">
        <v>8930</v>
      </c>
      <c r="C1215" s="5">
        <v>39952</v>
      </c>
      <c r="D1215" s="3" t="s">
        <v>4</v>
      </c>
      <c r="E1215" s="1" t="s">
        <v>670</v>
      </c>
      <c r="F1215" s="1" t="s">
        <v>24</v>
      </c>
      <c r="G1215" s="2" t="s">
        <v>2</v>
      </c>
      <c r="H1215" s="3" t="s">
        <v>88</v>
      </c>
      <c r="I1215" s="3" t="s">
        <v>85</v>
      </c>
      <c r="J1215" s="3" t="s">
        <v>66</v>
      </c>
      <c r="K1215" s="4">
        <v>145.86000000000001</v>
      </c>
      <c r="L1215" s="6">
        <v>9.99</v>
      </c>
    </row>
    <row r="1216" spans="1:12" x14ac:dyDescent="0.25">
      <c r="A1216" s="1">
        <v>1215</v>
      </c>
      <c r="B1216" s="4">
        <v>8933</v>
      </c>
      <c r="C1216" s="5">
        <v>40458</v>
      </c>
      <c r="D1216" s="3" t="s">
        <v>89</v>
      </c>
      <c r="E1216" s="1" t="s">
        <v>300</v>
      </c>
      <c r="F1216" s="1" t="s">
        <v>44</v>
      </c>
      <c r="G1216" s="2" t="s">
        <v>3</v>
      </c>
      <c r="H1216" s="3" t="s">
        <v>100</v>
      </c>
      <c r="I1216" s="3" t="s">
        <v>85</v>
      </c>
      <c r="J1216" s="3" t="s">
        <v>69</v>
      </c>
      <c r="K1216" s="4">
        <v>1520.26</v>
      </c>
      <c r="L1216" s="6">
        <v>42.8</v>
      </c>
    </row>
    <row r="1217" spans="1:12" x14ac:dyDescent="0.25">
      <c r="A1217" s="1">
        <v>1216</v>
      </c>
      <c r="B1217" s="4">
        <v>8933</v>
      </c>
      <c r="C1217" s="5">
        <v>40458</v>
      </c>
      <c r="D1217" s="3" t="s">
        <v>89</v>
      </c>
      <c r="E1217" s="1" t="s">
        <v>300</v>
      </c>
      <c r="F1217" s="1" t="s">
        <v>44</v>
      </c>
      <c r="G1217" s="2" t="s">
        <v>3</v>
      </c>
      <c r="H1217" s="3" t="s">
        <v>100</v>
      </c>
      <c r="I1217" s="3" t="s">
        <v>91</v>
      </c>
      <c r="J1217" s="3" t="s">
        <v>59</v>
      </c>
      <c r="K1217" s="4">
        <v>688.02</v>
      </c>
      <c r="L1217" s="6">
        <v>22.98</v>
      </c>
    </row>
    <row r="1218" spans="1:12" x14ac:dyDescent="0.25">
      <c r="A1218" s="1">
        <v>1217</v>
      </c>
      <c r="B1218" s="4">
        <v>8960</v>
      </c>
      <c r="C1218" s="5">
        <v>40334</v>
      </c>
      <c r="D1218" s="3" t="s">
        <v>4</v>
      </c>
      <c r="E1218" s="1" t="s">
        <v>649</v>
      </c>
      <c r="F1218" s="1" t="s">
        <v>13</v>
      </c>
      <c r="G1218" s="2" t="s">
        <v>6</v>
      </c>
      <c r="H1218" s="3" t="s">
        <v>84</v>
      </c>
      <c r="I1218" s="3" t="s">
        <v>92</v>
      </c>
      <c r="J1218" s="3" t="s">
        <v>62</v>
      </c>
      <c r="K1218" s="4">
        <v>4335.34</v>
      </c>
      <c r="L1218" s="6">
        <v>99.99</v>
      </c>
    </row>
    <row r="1219" spans="1:12" x14ac:dyDescent="0.25">
      <c r="A1219" s="1">
        <v>1218</v>
      </c>
      <c r="B1219" s="4">
        <v>8960</v>
      </c>
      <c r="C1219" s="5">
        <v>40334</v>
      </c>
      <c r="D1219" s="3" t="s">
        <v>4</v>
      </c>
      <c r="E1219" s="1" t="s">
        <v>649</v>
      </c>
      <c r="F1219" s="1" t="s">
        <v>13</v>
      </c>
      <c r="G1219" s="2" t="s">
        <v>6</v>
      </c>
      <c r="H1219" s="3" t="s">
        <v>84</v>
      </c>
      <c r="I1219" s="3" t="s">
        <v>92</v>
      </c>
      <c r="J1219" s="3" t="s">
        <v>61</v>
      </c>
      <c r="K1219" s="4">
        <v>1150.5345</v>
      </c>
      <c r="L1219" s="6">
        <v>85.99</v>
      </c>
    </row>
    <row r="1220" spans="1:12" x14ac:dyDescent="0.25">
      <c r="A1220" s="1">
        <v>1219</v>
      </c>
      <c r="B1220" s="4">
        <v>8961</v>
      </c>
      <c r="C1220" s="5">
        <v>40722</v>
      </c>
      <c r="D1220" s="3" t="s">
        <v>82</v>
      </c>
      <c r="E1220" s="1" t="s">
        <v>521</v>
      </c>
      <c r="F1220" s="1" t="s">
        <v>47</v>
      </c>
      <c r="G1220" s="2" t="s">
        <v>2</v>
      </c>
      <c r="H1220" s="3" t="s">
        <v>84</v>
      </c>
      <c r="I1220" s="3" t="s">
        <v>91</v>
      </c>
      <c r="J1220" s="3" t="s">
        <v>60</v>
      </c>
      <c r="K1220" s="4">
        <v>4644.87</v>
      </c>
      <c r="L1220" s="6">
        <v>100.8</v>
      </c>
    </row>
    <row r="1221" spans="1:12" x14ac:dyDescent="0.25">
      <c r="A1221" s="1">
        <v>1220</v>
      </c>
      <c r="B1221" s="4">
        <v>8961</v>
      </c>
      <c r="C1221" s="5">
        <v>40722</v>
      </c>
      <c r="D1221" s="3" t="s">
        <v>82</v>
      </c>
      <c r="E1221" s="1" t="s">
        <v>671</v>
      </c>
      <c r="F1221" s="1" t="s">
        <v>35</v>
      </c>
      <c r="G1221" s="2" t="s">
        <v>1</v>
      </c>
      <c r="H1221" s="3" t="s">
        <v>84</v>
      </c>
      <c r="I1221" s="3" t="s">
        <v>92</v>
      </c>
      <c r="J1221" s="3" t="s">
        <v>62</v>
      </c>
      <c r="K1221" s="4">
        <v>627.69000000000005</v>
      </c>
      <c r="L1221" s="6">
        <v>39.979999999999997</v>
      </c>
    </row>
    <row r="1222" spans="1:12" x14ac:dyDescent="0.25">
      <c r="A1222" s="1">
        <v>1221</v>
      </c>
      <c r="B1222" s="4">
        <v>8992</v>
      </c>
      <c r="C1222" s="5">
        <v>40494</v>
      </c>
      <c r="D1222" s="3" t="s">
        <v>89</v>
      </c>
      <c r="E1222" s="1" t="s">
        <v>460</v>
      </c>
      <c r="F1222" s="1" t="s">
        <v>30</v>
      </c>
      <c r="G1222" s="2" t="s">
        <v>6</v>
      </c>
      <c r="H1222" s="3" t="s">
        <v>88</v>
      </c>
      <c r="I1222" s="3" t="s">
        <v>91</v>
      </c>
      <c r="J1222" s="3" t="s">
        <v>72</v>
      </c>
      <c r="K1222" s="4">
        <v>441.43</v>
      </c>
      <c r="L1222" s="6">
        <v>140.81</v>
      </c>
    </row>
    <row r="1223" spans="1:12" x14ac:dyDescent="0.25">
      <c r="A1223" s="1">
        <v>1222</v>
      </c>
      <c r="B1223" s="4">
        <v>8992</v>
      </c>
      <c r="C1223" s="5">
        <v>40494</v>
      </c>
      <c r="D1223" s="3" t="s">
        <v>89</v>
      </c>
      <c r="E1223" s="1" t="s">
        <v>460</v>
      </c>
      <c r="F1223" s="1" t="s">
        <v>30</v>
      </c>
      <c r="G1223" s="2" t="s">
        <v>6</v>
      </c>
      <c r="H1223" s="3" t="s">
        <v>88</v>
      </c>
      <c r="I1223" s="3" t="s">
        <v>92</v>
      </c>
      <c r="J1223" s="3" t="s">
        <v>61</v>
      </c>
      <c r="K1223" s="4">
        <v>2145.6974999999998</v>
      </c>
      <c r="L1223" s="6">
        <v>195.99</v>
      </c>
    </row>
    <row r="1224" spans="1:12" x14ac:dyDescent="0.25">
      <c r="A1224" s="1">
        <v>1223</v>
      </c>
      <c r="B1224" s="4">
        <v>8992</v>
      </c>
      <c r="C1224" s="5">
        <v>40494</v>
      </c>
      <c r="D1224" s="3" t="s">
        <v>89</v>
      </c>
      <c r="E1224" s="1" t="s">
        <v>460</v>
      </c>
      <c r="F1224" s="1" t="s">
        <v>30</v>
      </c>
      <c r="G1224" s="2" t="s">
        <v>6</v>
      </c>
      <c r="H1224" s="3" t="s">
        <v>88</v>
      </c>
      <c r="I1224" s="3" t="s">
        <v>92</v>
      </c>
      <c r="J1224" s="3" t="s">
        <v>61</v>
      </c>
      <c r="K1224" s="4">
        <v>1341.963</v>
      </c>
      <c r="L1224" s="6">
        <v>85.99</v>
      </c>
    </row>
    <row r="1225" spans="1:12" x14ac:dyDescent="0.25">
      <c r="A1225" s="1">
        <v>1224</v>
      </c>
      <c r="B1225" s="4">
        <v>8993</v>
      </c>
      <c r="C1225" s="5">
        <v>40691</v>
      </c>
      <c r="D1225" s="3" t="s">
        <v>4</v>
      </c>
      <c r="E1225" s="1" t="s">
        <v>672</v>
      </c>
      <c r="F1225" s="1" t="s">
        <v>23</v>
      </c>
      <c r="G1225" s="2" t="s">
        <v>3</v>
      </c>
      <c r="H1225" s="3" t="s">
        <v>88</v>
      </c>
      <c r="I1225" s="3" t="s">
        <v>85</v>
      </c>
      <c r="J1225" s="3" t="s">
        <v>65</v>
      </c>
      <c r="K1225" s="4">
        <v>172.15</v>
      </c>
      <c r="L1225" s="6">
        <v>3.69</v>
      </c>
    </row>
    <row r="1226" spans="1:12" x14ac:dyDescent="0.25">
      <c r="A1226" s="1">
        <v>1225</v>
      </c>
      <c r="B1226" s="4">
        <v>8994</v>
      </c>
      <c r="C1226" s="5">
        <v>39910</v>
      </c>
      <c r="D1226" s="3" t="s">
        <v>82</v>
      </c>
      <c r="E1226" s="1" t="s">
        <v>673</v>
      </c>
      <c r="F1226" s="2" t="s">
        <v>38</v>
      </c>
      <c r="G1226" s="2" t="s">
        <v>6</v>
      </c>
      <c r="H1226" s="3" t="s">
        <v>88</v>
      </c>
      <c r="I1226" s="3" t="s">
        <v>92</v>
      </c>
      <c r="J1226" s="3" t="s">
        <v>62</v>
      </c>
      <c r="K1226" s="4">
        <v>1423.35</v>
      </c>
      <c r="L1226" s="6">
        <v>40.479999999999997</v>
      </c>
    </row>
    <row r="1227" spans="1:12" x14ac:dyDescent="0.25">
      <c r="A1227" s="1">
        <v>1226</v>
      </c>
      <c r="B1227" s="4">
        <v>8995</v>
      </c>
      <c r="C1227" s="5">
        <v>40680</v>
      </c>
      <c r="D1227" s="3" t="s">
        <v>89</v>
      </c>
      <c r="E1227" s="1" t="s">
        <v>613</v>
      </c>
      <c r="F1227" s="1" t="s">
        <v>8</v>
      </c>
      <c r="G1227" s="2" t="s">
        <v>6</v>
      </c>
      <c r="H1227" s="3" t="s">
        <v>100</v>
      </c>
      <c r="I1227" s="3" t="s">
        <v>85</v>
      </c>
      <c r="J1227" s="3" t="s">
        <v>69</v>
      </c>
      <c r="K1227" s="4">
        <v>24.16</v>
      </c>
      <c r="L1227" s="6">
        <v>1.88</v>
      </c>
    </row>
    <row r="1228" spans="1:12" x14ac:dyDescent="0.25">
      <c r="A1228" s="1">
        <v>1227</v>
      </c>
      <c r="B1228" s="4">
        <v>8995</v>
      </c>
      <c r="C1228" s="5">
        <v>40680</v>
      </c>
      <c r="D1228" s="3" t="s">
        <v>89</v>
      </c>
      <c r="E1228" s="1" t="s">
        <v>613</v>
      </c>
      <c r="F1228" s="1" t="s">
        <v>8</v>
      </c>
      <c r="G1228" s="2" t="s">
        <v>6</v>
      </c>
      <c r="H1228" s="3" t="s">
        <v>100</v>
      </c>
      <c r="I1228" s="3" t="s">
        <v>85</v>
      </c>
      <c r="J1228" s="3" t="s">
        <v>66</v>
      </c>
      <c r="K1228" s="4">
        <v>270.83999999999997</v>
      </c>
      <c r="L1228" s="6">
        <v>6.48</v>
      </c>
    </row>
    <row r="1229" spans="1:12" x14ac:dyDescent="0.25">
      <c r="A1229" s="1">
        <v>1228</v>
      </c>
      <c r="B1229" s="4">
        <v>8995</v>
      </c>
      <c r="C1229" s="5">
        <v>40680</v>
      </c>
      <c r="D1229" s="3" t="s">
        <v>89</v>
      </c>
      <c r="E1229" s="1" t="s">
        <v>674</v>
      </c>
      <c r="F1229" s="1" t="s">
        <v>8</v>
      </c>
      <c r="G1229" s="2" t="s">
        <v>6</v>
      </c>
      <c r="H1229" s="3" t="s">
        <v>100</v>
      </c>
      <c r="I1229" s="3" t="s">
        <v>91</v>
      </c>
      <c r="J1229" s="3" t="s">
        <v>59</v>
      </c>
      <c r="K1229" s="4">
        <v>3389.93</v>
      </c>
      <c r="L1229" s="6">
        <v>102.3</v>
      </c>
    </row>
    <row r="1230" spans="1:12" x14ac:dyDescent="0.25">
      <c r="A1230" s="1">
        <v>1229</v>
      </c>
      <c r="B1230" s="4">
        <v>8995</v>
      </c>
      <c r="C1230" s="5">
        <v>40680</v>
      </c>
      <c r="D1230" s="3" t="s">
        <v>89</v>
      </c>
      <c r="E1230" s="1" t="s">
        <v>674</v>
      </c>
      <c r="F1230" s="1" t="s">
        <v>8</v>
      </c>
      <c r="G1230" s="2" t="s">
        <v>6</v>
      </c>
      <c r="H1230" s="3" t="s">
        <v>100</v>
      </c>
      <c r="I1230" s="3" t="s">
        <v>85</v>
      </c>
      <c r="J1230" s="3" t="s">
        <v>66</v>
      </c>
      <c r="K1230" s="4">
        <v>266.36</v>
      </c>
      <c r="L1230" s="6">
        <v>6.48</v>
      </c>
    </row>
    <row r="1231" spans="1:12" x14ac:dyDescent="0.25">
      <c r="A1231" s="1">
        <v>1230</v>
      </c>
      <c r="B1231" s="4">
        <v>8995</v>
      </c>
      <c r="C1231" s="5">
        <v>40680</v>
      </c>
      <c r="D1231" s="3" t="s">
        <v>89</v>
      </c>
      <c r="E1231" s="1" t="s">
        <v>674</v>
      </c>
      <c r="F1231" s="1" t="s">
        <v>8</v>
      </c>
      <c r="G1231" s="2" t="s">
        <v>6</v>
      </c>
      <c r="H1231" s="3" t="s">
        <v>100</v>
      </c>
      <c r="I1231" s="3" t="s">
        <v>85</v>
      </c>
      <c r="J1231" s="3" t="s">
        <v>64</v>
      </c>
      <c r="K1231" s="4">
        <v>89.41</v>
      </c>
      <c r="L1231" s="6">
        <v>1.89</v>
      </c>
    </row>
    <row r="1232" spans="1:12" x14ac:dyDescent="0.25">
      <c r="A1232" s="1">
        <v>1231</v>
      </c>
      <c r="B1232" s="4">
        <v>8996</v>
      </c>
      <c r="C1232" s="5">
        <v>40696</v>
      </c>
      <c r="D1232" s="3" t="s">
        <v>82</v>
      </c>
      <c r="E1232" s="1" t="s">
        <v>454</v>
      </c>
      <c r="F1232" s="1" t="s">
        <v>23</v>
      </c>
      <c r="G1232" s="2" t="s">
        <v>3</v>
      </c>
      <c r="H1232" s="3" t="s">
        <v>88</v>
      </c>
      <c r="I1232" s="3" t="s">
        <v>92</v>
      </c>
      <c r="J1232" s="3" t="s">
        <v>61</v>
      </c>
      <c r="K1232" s="4">
        <v>772.26750000000004</v>
      </c>
      <c r="L1232" s="6">
        <v>65.989999999999995</v>
      </c>
    </row>
    <row r="1233" spans="1:12" x14ac:dyDescent="0.25">
      <c r="A1233" s="1">
        <v>1232</v>
      </c>
      <c r="B1233" s="4">
        <v>8997</v>
      </c>
      <c r="C1233" s="5">
        <v>39995</v>
      </c>
      <c r="D1233" s="3" t="s">
        <v>82</v>
      </c>
      <c r="E1233" s="1" t="s">
        <v>141</v>
      </c>
      <c r="F1233" s="1" t="s">
        <v>9</v>
      </c>
      <c r="G1233" s="2" t="s">
        <v>2</v>
      </c>
      <c r="H1233" s="3" t="s">
        <v>84</v>
      </c>
      <c r="I1233" s="3" t="s">
        <v>92</v>
      </c>
      <c r="J1233" s="3" t="s">
        <v>73</v>
      </c>
      <c r="K1233" s="4">
        <v>17279.62</v>
      </c>
      <c r="L1233" s="6">
        <v>449.99</v>
      </c>
    </row>
    <row r="1234" spans="1:12" x14ac:dyDescent="0.25">
      <c r="A1234" s="1">
        <v>1233</v>
      </c>
      <c r="B1234" s="4">
        <v>8997</v>
      </c>
      <c r="C1234" s="5">
        <v>39995</v>
      </c>
      <c r="D1234" s="3" t="s">
        <v>82</v>
      </c>
      <c r="E1234" s="1" t="s">
        <v>141</v>
      </c>
      <c r="F1234" s="1" t="s">
        <v>9</v>
      </c>
      <c r="G1234" s="2" t="s">
        <v>2</v>
      </c>
      <c r="H1234" s="3" t="s">
        <v>84</v>
      </c>
      <c r="I1234" s="3" t="s">
        <v>85</v>
      </c>
      <c r="J1234" s="3" t="s">
        <v>63</v>
      </c>
      <c r="K1234" s="4">
        <v>120.3</v>
      </c>
      <c r="L1234" s="6">
        <v>5.84</v>
      </c>
    </row>
    <row r="1235" spans="1:12" x14ac:dyDescent="0.25">
      <c r="A1235" s="1">
        <v>1234</v>
      </c>
      <c r="B1235" s="4">
        <v>8998</v>
      </c>
      <c r="C1235" s="5">
        <v>40181</v>
      </c>
      <c r="D1235" s="3" t="s">
        <v>82</v>
      </c>
      <c r="E1235" s="1" t="s">
        <v>251</v>
      </c>
      <c r="F1235" s="1" t="s">
        <v>23</v>
      </c>
      <c r="G1235" s="2" t="s">
        <v>3</v>
      </c>
      <c r="H1235" s="3" t="s">
        <v>100</v>
      </c>
      <c r="I1235" s="3" t="s">
        <v>85</v>
      </c>
      <c r="J1235" s="3" t="s">
        <v>70</v>
      </c>
      <c r="K1235" s="4">
        <v>1767.88</v>
      </c>
      <c r="L1235" s="6">
        <v>50.98</v>
      </c>
    </row>
    <row r="1236" spans="1:12" x14ac:dyDescent="0.25">
      <c r="A1236" s="1">
        <v>1235</v>
      </c>
      <c r="B1236" s="4">
        <v>8998</v>
      </c>
      <c r="C1236" s="5">
        <v>40181</v>
      </c>
      <c r="D1236" s="3" t="s">
        <v>82</v>
      </c>
      <c r="E1236" s="1" t="s">
        <v>251</v>
      </c>
      <c r="F1236" s="1" t="s">
        <v>23</v>
      </c>
      <c r="G1236" s="2" t="s">
        <v>3</v>
      </c>
      <c r="H1236" s="3" t="s">
        <v>100</v>
      </c>
      <c r="I1236" s="3" t="s">
        <v>92</v>
      </c>
      <c r="J1236" s="3" t="s">
        <v>62</v>
      </c>
      <c r="K1236" s="4">
        <v>277.42</v>
      </c>
      <c r="L1236" s="6">
        <v>22.24</v>
      </c>
    </row>
    <row r="1237" spans="1:12" x14ac:dyDescent="0.25">
      <c r="A1237" s="1">
        <v>1236</v>
      </c>
      <c r="B1237" s="4">
        <v>8998</v>
      </c>
      <c r="C1237" s="5">
        <v>40181</v>
      </c>
      <c r="D1237" s="3" t="s">
        <v>82</v>
      </c>
      <c r="E1237" s="1" t="s">
        <v>251</v>
      </c>
      <c r="F1237" s="1" t="s">
        <v>23</v>
      </c>
      <c r="G1237" s="2" t="s">
        <v>3</v>
      </c>
      <c r="H1237" s="3" t="s">
        <v>100</v>
      </c>
      <c r="I1237" s="3" t="s">
        <v>85</v>
      </c>
      <c r="J1237" s="3" t="s">
        <v>57</v>
      </c>
      <c r="K1237" s="4">
        <v>178.13</v>
      </c>
      <c r="L1237" s="6">
        <v>13.43</v>
      </c>
    </row>
    <row r="1238" spans="1:12" x14ac:dyDescent="0.25">
      <c r="A1238" s="1">
        <v>1237</v>
      </c>
      <c r="B1238" s="4">
        <v>8999</v>
      </c>
      <c r="C1238" s="5">
        <v>39976</v>
      </c>
      <c r="D1238" s="3" t="s">
        <v>89</v>
      </c>
      <c r="E1238" s="1" t="s">
        <v>675</v>
      </c>
      <c r="F1238" s="1" t="s">
        <v>24</v>
      </c>
      <c r="G1238" s="2" t="s">
        <v>2</v>
      </c>
      <c r="H1238" s="3" t="s">
        <v>88</v>
      </c>
      <c r="I1238" s="3" t="s">
        <v>85</v>
      </c>
      <c r="J1238" s="3" t="s">
        <v>66</v>
      </c>
      <c r="K1238" s="4">
        <v>1676.48</v>
      </c>
      <c r="L1238" s="6">
        <v>55.48</v>
      </c>
    </row>
    <row r="1239" spans="1:12" x14ac:dyDescent="0.25">
      <c r="A1239" s="1">
        <v>1238</v>
      </c>
      <c r="B1239" s="4">
        <v>9024</v>
      </c>
      <c r="C1239" s="5">
        <v>41062</v>
      </c>
      <c r="D1239" s="3" t="s">
        <v>4</v>
      </c>
      <c r="E1239" s="1" t="s">
        <v>676</v>
      </c>
      <c r="F1239" s="1" t="s">
        <v>27</v>
      </c>
      <c r="G1239" s="2" t="s">
        <v>1</v>
      </c>
      <c r="H1239" s="3" t="s">
        <v>97</v>
      </c>
      <c r="I1239" s="3" t="s">
        <v>85</v>
      </c>
      <c r="J1239" s="3" t="s">
        <v>66</v>
      </c>
      <c r="K1239" s="4">
        <v>12.12</v>
      </c>
      <c r="L1239" s="6">
        <v>5.43</v>
      </c>
    </row>
    <row r="1240" spans="1:12" x14ac:dyDescent="0.25">
      <c r="A1240" s="1">
        <v>1239</v>
      </c>
      <c r="B1240" s="4">
        <v>9024</v>
      </c>
      <c r="C1240" s="5">
        <v>41062</v>
      </c>
      <c r="D1240" s="3" t="s">
        <v>4</v>
      </c>
      <c r="E1240" s="1" t="s">
        <v>677</v>
      </c>
      <c r="F1240" s="1" t="s">
        <v>39</v>
      </c>
      <c r="G1240" s="2" t="s">
        <v>1</v>
      </c>
      <c r="H1240" s="3" t="s">
        <v>97</v>
      </c>
      <c r="I1240" s="3" t="s">
        <v>92</v>
      </c>
      <c r="J1240" s="3" t="s">
        <v>61</v>
      </c>
      <c r="K1240" s="4">
        <v>2318.2134999999998</v>
      </c>
      <c r="L1240" s="6">
        <v>65.989999999999995</v>
      </c>
    </row>
    <row r="1241" spans="1:12" x14ac:dyDescent="0.25">
      <c r="A1241" s="1">
        <v>1240</v>
      </c>
      <c r="B1241" s="4">
        <v>9024</v>
      </c>
      <c r="C1241" s="5">
        <v>41062</v>
      </c>
      <c r="D1241" s="3" t="s">
        <v>4</v>
      </c>
      <c r="E1241" s="1" t="s">
        <v>678</v>
      </c>
      <c r="F1241" s="1" t="s">
        <v>20</v>
      </c>
      <c r="G1241" s="2" t="s">
        <v>1</v>
      </c>
      <c r="H1241" s="3" t="s">
        <v>97</v>
      </c>
      <c r="I1241" s="3" t="s">
        <v>92</v>
      </c>
      <c r="J1241" s="3" t="s">
        <v>62</v>
      </c>
      <c r="K1241" s="4">
        <v>1136.44</v>
      </c>
      <c r="L1241" s="6">
        <v>40.98</v>
      </c>
    </row>
    <row r="1242" spans="1:12" x14ac:dyDescent="0.25">
      <c r="A1242" s="1">
        <v>1241</v>
      </c>
      <c r="B1242" s="4">
        <v>9027</v>
      </c>
      <c r="C1242" s="5">
        <v>40788</v>
      </c>
      <c r="D1242" s="3" t="s">
        <v>82</v>
      </c>
      <c r="E1242" s="1" t="s">
        <v>170</v>
      </c>
      <c r="F1242" s="1" t="s">
        <v>38</v>
      </c>
      <c r="G1242" s="2" t="s">
        <v>6</v>
      </c>
      <c r="H1242" s="3" t="s">
        <v>100</v>
      </c>
      <c r="I1242" s="3" t="s">
        <v>92</v>
      </c>
      <c r="J1242" s="3" t="s">
        <v>61</v>
      </c>
      <c r="K1242" s="4">
        <v>932.89199999999994</v>
      </c>
      <c r="L1242" s="6">
        <v>35.99</v>
      </c>
    </row>
    <row r="1243" spans="1:12" x14ac:dyDescent="0.25">
      <c r="A1243" s="1">
        <v>1242</v>
      </c>
      <c r="B1243" s="4">
        <v>9028</v>
      </c>
      <c r="C1243" s="5">
        <v>40533</v>
      </c>
      <c r="D1243" s="3" t="s">
        <v>82</v>
      </c>
      <c r="E1243" s="1" t="s">
        <v>174</v>
      </c>
      <c r="F1243" s="1" t="s">
        <v>53</v>
      </c>
      <c r="G1243" s="2" t="s">
        <v>6</v>
      </c>
      <c r="H1243" s="3" t="s">
        <v>84</v>
      </c>
      <c r="I1243" s="3" t="s">
        <v>92</v>
      </c>
      <c r="J1243" s="3" t="s">
        <v>67</v>
      </c>
      <c r="K1243" s="4">
        <v>14556.67</v>
      </c>
      <c r="L1243" s="6">
        <v>306.14</v>
      </c>
    </row>
    <row r="1244" spans="1:12" x14ac:dyDescent="0.25">
      <c r="A1244" s="1">
        <v>1243</v>
      </c>
      <c r="B1244" s="4">
        <v>9057</v>
      </c>
      <c r="C1244" s="5">
        <v>40121</v>
      </c>
      <c r="D1244" s="3" t="s">
        <v>95</v>
      </c>
      <c r="E1244" s="1" t="s">
        <v>383</v>
      </c>
      <c r="F1244" s="1" t="s">
        <v>25</v>
      </c>
      <c r="G1244" s="2" t="s">
        <v>6</v>
      </c>
      <c r="H1244" s="3" t="s">
        <v>97</v>
      </c>
      <c r="I1244" s="3" t="s">
        <v>91</v>
      </c>
      <c r="J1244" s="3" t="s">
        <v>59</v>
      </c>
      <c r="K1244" s="4">
        <v>160.29</v>
      </c>
      <c r="L1244" s="6">
        <v>7.59</v>
      </c>
    </row>
    <row r="1245" spans="1:12" x14ac:dyDescent="0.25">
      <c r="A1245" s="1">
        <v>1244</v>
      </c>
      <c r="B1245" s="4">
        <v>9062</v>
      </c>
      <c r="C1245" s="5">
        <v>40622</v>
      </c>
      <c r="D1245" s="3" t="s">
        <v>89</v>
      </c>
      <c r="E1245" s="1" t="s">
        <v>389</v>
      </c>
      <c r="F1245" s="1" t="s">
        <v>21</v>
      </c>
      <c r="G1245" s="2" t="s">
        <v>1</v>
      </c>
      <c r="H1245" s="3" t="s">
        <v>100</v>
      </c>
      <c r="I1245" s="3" t="s">
        <v>85</v>
      </c>
      <c r="J1245" s="3" t="s">
        <v>64</v>
      </c>
      <c r="K1245" s="4">
        <v>119.2</v>
      </c>
      <c r="L1245" s="6">
        <v>3.93</v>
      </c>
    </row>
    <row r="1246" spans="1:12" x14ac:dyDescent="0.25">
      <c r="A1246" s="1">
        <v>1245</v>
      </c>
      <c r="B1246" s="4">
        <v>9062</v>
      </c>
      <c r="C1246" s="5">
        <v>40622</v>
      </c>
      <c r="D1246" s="3" t="s">
        <v>89</v>
      </c>
      <c r="E1246" s="1" t="s">
        <v>679</v>
      </c>
      <c r="F1246" s="1" t="s">
        <v>43</v>
      </c>
      <c r="G1246" s="2" t="s">
        <v>1</v>
      </c>
      <c r="H1246" s="3" t="s">
        <v>100</v>
      </c>
      <c r="I1246" s="3" t="s">
        <v>91</v>
      </c>
      <c r="J1246" s="3" t="s">
        <v>59</v>
      </c>
      <c r="K1246" s="4">
        <v>1825.42</v>
      </c>
      <c r="L1246" s="6">
        <v>99.23</v>
      </c>
    </row>
    <row r="1247" spans="1:12" x14ac:dyDescent="0.25">
      <c r="A1247" s="1">
        <v>1246</v>
      </c>
      <c r="B1247" s="4">
        <v>9088</v>
      </c>
      <c r="C1247" s="5">
        <v>39986</v>
      </c>
      <c r="D1247" s="3" t="s">
        <v>95</v>
      </c>
      <c r="E1247" s="1" t="s">
        <v>680</v>
      </c>
      <c r="F1247" s="1" t="s">
        <v>46</v>
      </c>
      <c r="G1247" s="2" t="s">
        <v>6</v>
      </c>
      <c r="H1247" s="3" t="s">
        <v>97</v>
      </c>
      <c r="I1247" s="3" t="s">
        <v>85</v>
      </c>
      <c r="J1247" s="3" t="s">
        <v>69</v>
      </c>
      <c r="K1247" s="4">
        <v>15383.7</v>
      </c>
      <c r="L1247" s="6">
        <v>304.99</v>
      </c>
    </row>
    <row r="1248" spans="1:12" x14ac:dyDescent="0.25">
      <c r="A1248" s="1">
        <v>1247</v>
      </c>
      <c r="B1248" s="4">
        <v>9088</v>
      </c>
      <c r="C1248" s="5">
        <v>39986</v>
      </c>
      <c r="D1248" s="3" t="s">
        <v>95</v>
      </c>
      <c r="E1248" s="1" t="s">
        <v>680</v>
      </c>
      <c r="F1248" s="1" t="s">
        <v>46</v>
      </c>
      <c r="G1248" s="2" t="s">
        <v>6</v>
      </c>
      <c r="H1248" s="3" t="s">
        <v>97</v>
      </c>
      <c r="I1248" s="3" t="s">
        <v>92</v>
      </c>
      <c r="J1248" s="3" t="s">
        <v>61</v>
      </c>
      <c r="K1248" s="4">
        <v>1637.4570000000001</v>
      </c>
      <c r="L1248" s="6">
        <v>65.989999999999995</v>
      </c>
    </row>
    <row r="1249" spans="1:12" x14ac:dyDescent="0.25">
      <c r="A1249" s="1">
        <v>1248</v>
      </c>
      <c r="B1249" s="4">
        <v>9089</v>
      </c>
      <c r="C1249" s="5">
        <v>40321</v>
      </c>
      <c r="D1249" s="3" t="s">
        <v>95</v>
      </c>
      <c r="E1249" s="1" t="s">
        <v>681</v>
      </c>
      <c r="F1249" s="1" t="s">
        <v>9</v>
      </c>
      <c r="G1249" s="2" t="s">
        <v>2</v>
      </c>
      <c r="H1249" s="3" t="s">
        <v>84</v>
      </c>
      <c r="I1249" s="3" t="s">
        <v>92</v>
      </c>
      <c r="J1249" s="3" t="s">
        <v>61</v>
      </c>
      <c r="K1249" s="4">
        <v>822.34950000000003</v>
      </c>
      <c r="L1249" s="6">
        <v>125.99</v>
      </c>
    </row>
    <row r="1250" spans="1:12" x14ac:dyDescent="0.25">
      <c r="A1250" s="1">
        <v>1249</v>
      </c>
      <c r="B1250" s="4">
        <v>9091</v>
      </c>
      <c r="C1250" s="5">
        <v>40493</v>
      </c>
      <c r="D1250" s="3" t="s">
        <v>89</v>
      </c>
      <c r="E1250" s="1" t="s">
        <v>320</v>
      </c>
      <c r="F1250" s="1" t="s">
        <v>24</v>
      </c>
      <c r="G1250" s="2" t="s">
        <v>2</v>
      </c>
      <c r="H1250" s="3" t="s">
        <v>88</v>
      </c>
      <c r="I1250" s="3" t="s">
        <v>91</v>
      </c>
      <c r="J1250" s="3" t="s">
        <v>59</v>
      </c>
      <c r="K1250" s="4">
        <v>605.77</v>
      </c>
      <c r="L1250" s="6">
        <v>14.34</v>
      </c>
    </row>
    <row r="1251" spans="1:12" x14ac:dyDescent="0.25">
      <c r="A1251" s="1">
        <v>1250</v>
      </c>
      <c r="B1251" s="4">
        <v>9091</v>
      </c>
      <c r="C1251" s="5">
        <v>40493</v>
      </c>
      <c r="D1251" s="3" t="s">
        <v>89</v>
      </c>
      <c r="E1251" s="1" t="s">
        <v>320</v>
      </c>
      <c r="F1251" s="1" t="s">
        <v>24</v>
      </c>
      <c r="G1251" s="2" t="s">
        <v>2</v>
      </c>
      <c r="H1251" s="3" t="s">
        <v>88</v>
      </c>
      <c r="I1251" s="3" t="s">
        <v>85</v>
      </c>
      <c r="J1251" s="3" t="s">
        <v>66</v>
      </c>
      <c r="K1251" s="4">
        <v>1480.91</v>
      </c>
      <c r="L1251" s="6">
        <v>30.98</v>
      </c>
    </row>
    <row r="1252" spans="1:12" x14ac:dyDescent="0.25">
      <c r="A1252" s="1">
        <v>1251</v>
      </c>
      <c r="B1252" s="4">
        <v>9092</v>
      </c>
      <c r="C1252" s="5">
        <v>40018</v>
      </c>
      <c r="D1252" s="3" t="s">
        <v>86</v>
      </c>
      <c r="E1252" s="1" t="s">
        <v>682</v>
      </c>
      <c r="F1252" s="1" t="s">
        <v>24</v>
      </c>
      <c r="G1252" s="2" t="s">
        <v>2</v>
      </c>
      <c r="H1252" s="3" t="s">
        <v>88</v>
      </c>
      <c r="I1252" s="3" t="s">
        <v>85</v>
      </c>
      <c r="J1252" s="3" t="s">
        <v>57</v>
      </c>
      <c r="K1252" s="4">
        <v>3644.24</v>
      </c>
      <c r="L1252" s="6">
        <v>101.41</v>
      </c>
    </row>
    <row r="1253" spans="1:12" x14ac:dyDescent="0.25">
      <c r="A1253" s="1">
        <v>1252</v>
      </c>
      <c r="B1253" s="4">
        <v>9092</v>
      </c>
      <c r="C1253" s="5">
        <v>40018</v>
      </c>
      <c r="D1253" s="3" t="s">
        <v>86</v>
      </c>
      <c r="E1253" s="1" t="s">
        <v>682</v>
      </c>
      <c r="F1253" s="1" t="s">
        <v>24</v>
      </c>
      <c r="G1253" s="2" t="s">
        <v>2</v>
      </c>
      <c r="H1253" s="3" t="s">
        <v>88</v>
      </c>
      <c r="I1253" s="3" t="s">
        <v>92</v>
      </c>
      <c r="J1253" s="3" t="s">
        <v>61</v>
      </c>
      <c r="K1253" s="4">
        <v>599.20749999999998</v>
      </c>
      <c r="L1253" s="6">
        <v>95.99</v>
      </c>
    </row>
    <row r="1254" spans="1:12" x14ac:dyDescent="0.25">
      <c r="A1254" s="1">
        <v>1253</v>
      </c>
      <c r="B1254" s="4">
        <v>9093</v>
      </c>
      <c r="C1254" s="5">
        <v>40886</v>
      </c>
      <c r="D1254" s="3" t="s">
        <v>4</v>
      </c>
      <c r="E1254" s="1" t="s">
        <v>683</v>
      </c>
      <c r="F1254" s="1" t="s">
        <v>24</v>
      </c>
      <c r="G1254" s="2" t="s">
        <v>2</v>
      </c>
      <c r="H1254" s="3" t="s">
        <v>100</v>
      </c>
      <c r="I1254" s="3" t="s">
        <v>92</v>
      </c>
      <c r="J1254" s="3" t="s">
        <v>62</v>
      </c>
      <c r="K1254" s="4">
        <v>268.55</v>
      </c>
      <c r="L1254" s="6">
        <v>8.1199999999999992</v>
      </c>
    </row>
    <row r="1255" spans="1:12" x14ac:dyDescent="0.25">
      <c r="A1255" s="1">
        <v>1254</v>
      </c>
      <c r="B1255" s="4">
        <v>9095</v>
      </c>
      <c r="C1255" s="5">
        <v>40704</v>
      </c>
      <c r="D1255" s="3" t="s">
        <v>89</v>
      </c>
      <c r="E1255" s="1" t="s">
        <v>684</v>
      </c>
      <c r="F1255" s="1" t="s">
        <v>29</v>
      </c>
      <c r="G1255" s="2" t="s">
        <v>3</v>
      </c>
      <c r="H1255" s="3" t="s">
        <v>84</v>
      </c>
      <c r="I1255" s="3" t="s">
        <v>85</v>
      </c>
      <c r="J1255" s="3" t="s">
        <v>57</v>
      </c>
      <c r="K1255" s="4">
        <v>294.91000000000003</v>
      </c>
      <c r="L1255" s="6">
        <v>12.44</v>
      </c>
    </row>
    <row r="1256" spans="1:12" x14ac:dyDescent="0.25">
      <c r="A1256" s="1">
        <v>1255</v>
      </c>
      <c r="B1256" s="4">
        <v>9123</v>
      </c>
      <c r="C1256" s="5">
        <v>40355</v>
      </c>
      <c r="D1256" s="3" t="s">
        <v>95</v>
      </c>
      <c r="E1256" s="1" t="s">
        <v>685</v>
      </c>
      <c r="F1256" s="1" t="s">
        <v>11</v>
      </c>
      <c r="G1256" s="2" t="s">
        <v>6</v>
      </c>
      <c r="H1256" s="3" t="s">
        <v>100</v>
      </c>
      <c r="I1256" s="3" t="s">
        <v>85</v>
      </c>
      <c r="J1256" s="3" t="s">
        <v>57</v>
      </c>
      <c r="K1256" s="4">
        <v>384.9</v>
      </c>
      <c r="L1256" s="6">
        <v>14.03</v>
      </c>
    </row>
    <row r="1257" spans="1:12" x14ac:dyDescent="0.25">
      <c r="A1257" s="1">
        <v>1256</v>
      </c>
      <c r="B1257" s="4">
        <v>9124</v>
      </c>
      <c r="C1257" s="5">
        <v>40832</v>
      </c>
      <c r="D1257" s="3" t="s">
        <v>82</v>
      </c>
      <c r="E1257" s="1" t="s">
        <v>545</v>
      </c>
      <c r="F1257" s="1" t="s">
        <v>23</v>
      </c>
      <c r="G1257" s="2" t="s">
        <v>3</v>
      </c>
      <c r="H1257" s="3" t="s">
        <v>84</v>
      </c>
      <c r="I1257" s="3" t="s">
        <v>92</v>
      </c>
      <c r="J1257" s="3" t="s">
        <v>62</v>
      </c>
      <c r="K1257" s="4">
        <v>2637.78</v>
      </c>
      <c r="L1257" s="6">
        <v>152.47999999999999</v>
      </c>
    </row>
    <row r="1258" spans="1:12" x14ac:dyDescent="0.25">
      <c r="A1258" s="1">
        <v>1257</v>
      </c>
      <c r="B1258" s="4">
        <v>9124</v>
      </c>
      <c r="C1258" s="5">
        <v>40832</v>
      </c>
      <c r="D1258" s="3" t="s">
        <v>82</v>
      </c>
      <c r="E1258" s="1" t="s">
        <v>545</v>
      </c>
      <c r="F1258" s="1" t="s">
        <v>23</v>
      </c>
      <c r="G1258" s="2" t="s">
        <v>3</v>
      </c>
      <c r="H1258" s="3" t="s">
        <v>84</v>
      </c>
      <c r="I1258" s="3" t="s">
        <v>85</v>
      </c>
      <c r="J1258" s="3" t="s">
        <v>66</v>
      </c>
      <c r="K1258" s="4">
        <v>157.4</v>
      </c>
      <c r="L1258" s="6">
        <v>4.9800000000000004</v>
      </c>
    </row>
    <row r="1259" spans="1:12" x14ac:dyDescent="0.25">
      <c r="A1259" s="1">
        <v>1258</v>
      </c>
      <c r="B1259" s="4">
        <v>9126</v>
      </c>
      <c r="C1259" s="5">
        <v>40134</v>
      </c>
      <c r="D1259" s="3" t="s">
        <v>4</v>
      </c>
      <c r="E1259" s="1" t="s">
        <v>646</v>
      </c>
      <c r="F1259" s="1" t="s">
        <v>8</v>
      </c>
      <c r="G1259" s="2" t="s">
        <v>6</v>
      </c>
      <c r="H1259" s="3" t="s">
        <v>88</v>
      </c>
      <c r="I1259" s="3" t="s">
        <v>85</v>
      </c>
      <c r="J1259" s="3" t="s">
        <v>70</v>
      </c>
      <c r="K1259" s="4">
        <v>2799.7</v>
      </c>
      <c r="L1259" s="6">
        <v>62.05</v>
      </c>
    </row>
    <row r="1260" spans="1:12" x14ac:dyDescent="0.25">
      <c r="A1260" s="1">
        <v>1259</v>
      </c>
      <c r="B1260" s="4">
        <v>9127</v>
      </c>
      <c r="C1260" s="5">
        <v>40826</v>
      </c>
      <c r="D1260" s="3" t="s">
        <v>86</v>
      </c>
      <c r="E1260" s="1" t="s">
        <v>686</v>
      </c>
      <c r="F1260" s="1" t="s">
        <v>8</v>
      </c>
      <c r="G1260" s="2" t="s">
        <v>6</v>
      </c>
      <c r="H1260" s="3" t="s">
        <v>88</v>
      </c>
      <c r="I1260" s="3" t="s">
        <v>85</v>
      </c>
      <c r="J1260" s="3" t="s">
        <v>57</v>
      </c>
      <c r="K1260" s="4">
        <v>2039.56</v>
      </c>
      <c r="L1260" s="6">
        <v>279.48</v>
      </c>
    </row>
    <row r="1261" spans="1:12" x14ac:dyDescent="0.25">
      <c r="A1261" s="1">
        <v>1260</v>
      </c>
      <c r="B1261" s="4">
        <v>9152</v>
      </c>
      <c r="C1261" s="5">
        <v>40410</v>
      </c>
      <c r="D1261" s="3" t="s">
        <v>86</v>
      </c>
      <c r="E1261" s="1" t="s">
        <v>672</v>
      </c>
      <c r="F1261" s="1" t="s">
        <v>23</v>
      </c>
      <c r="G1261" s="2" t="s">
        <v>3</v>
      </c>
      <c r="H1261" s="3" t="s">
        <v>97</v>
      </c>
      <c r="I1261" s="3" t="s">
        <v>92</v>
      </c>
      <c r="J1261" s="3" t="s">
        <v>61</v>
      </c>
      <c r="K1261" s="4">
        <v>292.80799999999999</v>
      </c>
      <c r="L1261" s="6">
        <v>7.99</v>
      </c>
    </row>
    <row r="1262" spans="1:12" x14ac:dyDescent="0.25">
      <c r="A1262" s="1">
        <v>1261</v>
      </c>
      <c r="B1262" s="4">
        <v>9155</v>
      </c>
      <c r="C1262" s="5">
        <v>41151</v>
      </c>
      <c r="D1262" s="3" t="s">
        <v>95</v>
      </c>
      <c r="E1262" s="1" t="s">
        <v>668</v>
      </c>
      <c r="F1262" s="1" t="s">
        <v>41</v>
      </c>
      <c r="G1262" s="2" t="s">
        <v>6</v>
      </c>
      <c r="H1262" s="3" t="s">
        <v>100</v>
      </c>
      <c r="I1262" s="3" t="s">
        <v>85</v>
      </c>
      <c r="J1262" s="3" t="s">
        <v>69</v>
      </c>
      <c r="K1262" s="4">
        <v>518.79999999999995</v>
      </c>
      <c r="L1262" s="6">
        <v>30.98</v>
      </c>
    </row>
    <row r="1263" spans="1:12" x14ac:dyDescent="0.25">
      <c r="A1263" s="1">
        <v>1262</v>
      </c>
      <c r="B1263" s="4">
        <v>9187</v>
      </c>
      <c r="C1263" s="5">
        <v>40046</v>
      </c>
      <c r="D1263" s="3" t="s">
        <v>89</v>
      </c>
      <c r="E1263" s="1" t="s">
        <v>520</v>
      </c>
      <c r="F1263" s="1" t="s">
        <v>33</v>
      </c>
      <c r="G1263" s="2" t="s">
        <v>2</v>
      </c>
      <c r="H1263" s="3" t="s">
        <v>84</v>
      </c>
      <c r="I1263" s="3" t="s">
        <v>85</v>
      </c>
      <c r="J1263" s="3" t="s">
        <v>70</v>
      </c>
      <c r="K1263" s="4">
        <v>174.64</v>
      </c>
      <c r="L1263" s="6">
        <v>4.37</v>
      </c>
    </row>
    <row r="1264" spans="1:12" x14ac:dyDescent="0.25">
      <c r="A1264" s="1">
        <v>1263</v>
      </c>
      <c r="B1264" s="4">
        <v>9187</v>
      </c>
      <c r="C1264" s="5">
        <v>40046</v>
      </c>
      <c r="D1264" s="3" t="s">
        <v>89</v>
      </c>
      <c r="E1264" s="1" t="s">
        <v>520</v>
      </c>
      <c r="F1264" s="1" t="s">
        <v>33</v>
      </c>
      <c r="G1264" s="2" t="s">
        <v>2</v>
      </c>
      <c r="H1264" s="3" t="s">
        <v>84</v>
      </c>
      <c r="I1264" s="3" t="s">
        <v>92</v>
      </c>
      <c r="J1264" s="3" t="s">
        <v>61</v>
      </c>
      <c r="K1264" s="4">
        <v>994.22800000000007</v>
      </c>
      <c r="L1264" s="6">
        <v>155.99</v>
      </c>
    </row>
    <row r="1265" spans="1:12" x14ac:dyDescent="0.25">
      <c r="A1265" s="1">
        <v>1264</v>
      </c>
      <c r="B1265" s="4">
        <v>9216</v>
      </c>
      <c r="C1265" s="5">
        <v>40647</v>
      </c>
      <c r="D1265" s="3" t="s">
        <v>4</v>
      </c>
      <c r="E1265" s="1" t="s">
        <v>170</v>
      </c>
      <c r="F1265" s="1" t="s">
        <v>38</v>
      </c>
      <c r="G1265" s="2" t="s">
        <v>6</v>
      </c>
      <c r="H1265" s="3" t="s">
        <v>100</v>
      </c>
      <c r="I1265" s="3" t="s">
        <v>85</v>
      </c>
      <c r="J1265" s="3" t="s">
        <v>70</v>
      </c>
      <c r="K1265" s="4">
        <v>5977.63</v>
      </c>
      <c r="L1265" s="6">
        <v>180.98</v>
      </c>
    </row>
    <row r="1266" spans="1:12" x14ac:dyDescent="0.25">
      <c r="A1266" s="1">
        <v>1265</v>
      </c>
      <c r="B1266" s="4">
        <v>9219</v>
      </c>
      <c r="C1266" s="5">
        <v>40084</v>
      </c>
      <c r="D1266" s="3" t="s">
        <v>82</v>
      </c>
      <c r="E1266" s="1" t="s">
        <v>596</v>
      </c>
      <c r="F1266" s="1" t="s">
        <v>33</v>
      </c>
      <c r="G1266" s="2" t="s">
        <v>2</v>
      </c>
      <c r="H1266" s="3" t="s">
        <v>100</v>
      </c>
      <c r="I1266" s="3" t="s">
        <v>92</v>
      </c>
      <c r="J1266" s="3" t="s">
        <v>62</v>
      </c>
      <c r="K1266" s="4">
        <v>1239.81</v>
      </c>
      <c r="L1266" s="6">
        <v>50.98</v>
      </c>
    </row>
    <row r="1267" spans="1:12" x14ac:dyDescent="0.25">
      <c r="A1267" s="1">
        <v>1266</v>
      </c>
      <c r="B1267" s="4">
        <v>9219</v>
      </c>
      <c r="C1267" s="5">
        <v>40084</v>
      </c>
      <c r="D1267" s="3" t="s">
        <v>82</v>
      </c>
      <c r="E1267" s="1" t="s">
        <v>596</v>
      </c>
      <c r="F1267" s="1" t="s">
        <v>33</v>
      </c>
      <c r="G1267" s="2" t="s">
        <v>2</v>
      </c>
      <c r="H1267" s="3" t="s">
        <v>100</v>
      </c>
      <c r="I1267" s="3" t="s">
        <v>85</v>
      </c>
      <c r="J1267" s="3" t="s">
        <v>66</v>
      </c>
      <c r="K1267" s="4">
        <v>273.32</v>
      </c>
      <c r="L1267" s="6">
        <v>6.48</v>
      </c>
    </row>
    <row r="1268" spans="1:12" x14ac:dyDescent="0.25">
      <c r="A1268" s="1">
        <v>1267</v>
      </c>
      <c r="B1268" s="4">
        <v>9221</v>
      </c>
      <c r="C1268" s="5">
        <v>40546</v>
      </c>
      <c r="D1268" s="3" t="s">
        <v>82</v>
      </c>
      <c r="E1268" s="1" t="s">
        <v>687</v>
      </c>
      <c r="F1268" s="1" t="s">
        <v>9</v>
      </c>
      <c r="G1268" s="2" t="s">
        <v>2</v>
      </c>
      <c r="H1268" s="3" t="s">
        <v>100</v>
      </c>
      <c r="I1268" s="3" t="s">
        <v>85</v>
      </c>
      <c r="J1268" s="3" t="s">
        <v>70</v>
      </c>
      <c r="K1268" s="4">
        <v>79.64</v>
      </c>
      <c r="L1268" s="6">
        <v>3.25</v>
      </c>
    </row>
    <row r="1269" spans="1:12" x14ac:dyDescent="0.25">
      <c r="A1269" s="1">
        <v>1268</v>
      </c>
      <c r="B1269" s="4">
        <v>9221</v>
      </c>
      <c r="C1269" s="5">
        <v>40546</v>
      </c>
      <c r="D1269" s="3" t="s">
        <v>82</v>
      </c>
      <c r="E1269" s="1" t="s">
        <v>687</v>
      </c>
      <c r="F1269" s="1" t="s">
        <v>9</v>
      </c>
      <c r="G1269" s="2" t="s">
        <v>2</v>
      </c>
      <c r="H1269" s="3" t="s">
        <v>100</v>
      </c>
      <c r="I1269" s="3" t="s">
        <v>85</v>
      </c>
      <c r="J1269" s="3" t="s">
        <v>71</v>
      </c>
      <c r="K1269" s="4">
        <v>1527.42</v>
      </c>
      <c r="L1269" s="6">
        <v>60.98</v>
      </c>
    </row>
    <row r="1270" spans="1:12" x14ac:dyDescent="0.25">
      <c r="A1270" s="1">
        <v>1269</v>
      </c>
      <c r="B1270" s="4">
        <v>9222</v>
      </c>
      <c r="C1270" s="5">
        <v>39854</v>
      </c>
      <c r="D1270" s="3" t="s">
        <v>89</v>
      </c>
      <c r="E1270" s="1" t="s">
        <v>529</v>
      </c>
      <c r="F1270" s="1" t="s">
        <v>44</v>
      </c>
      <c r="G1270" s="2" t="s">
        <v>3</v>
      </c>
      <c r="H1270" s="3" t="s">
        <v>97</v>
      </c>
      <c r="I1270" s="3" t="s">
        <v>85</v>
      </c>
      <c r="J1270" s="3" t="s">
        <v>66</v>
      </c>
      <c r="K1270" s="4">
        <v>473.67</v>
      </c>
      <c r="L1270" s="6">
        <v>11.34</v>
      </c>
    </row>
    <row r="1271" spans="1:12" x14ac:dyDescent="0.25">
      <c r="A1271" s="1">
        <v>1270</v>
      </c>
      <c r="B1271" s="4">
        <v>9248</v>
      </c>
      <c r="C1271" s="5">
        <v>40170</v>
      </c>
      <c r="D1271" s="3" t="s">
        <v>86</v>
      </c>
      <c r="E1271" s="1" t="s">
        <v>688</v>
      </c>
      <c r="F1271" s="1" t="s">
        <v>31</v>
      </c>
      <c r="G1271" s="2" t="s">
        <v>1</v>
      </c>
      <c r="H1271" s="3" t="s">
        <v>97</v>
      </c>
      <c r="I1271" s="3" t="s">
        <v>91</v>
      </c>
      <c r="J1271" s="3" t="s">
        <v>60</v>
      </c>
      <c r="K1271" s="4">
        <v>2811.7</v>
      </c>
      <c r="L1271" s="6">
        <v>71.37</v>
      </c>
    </row>
    <row r="1272" spans="1:12" x14ac:dyDescent="0.25">
      <c r="A1272" s="1">
        <v>1271</v>
      </c>
      <c r="B1272" s="4">
        <v>9249</v>
      </c>
      <c r="C1272" s="5">
        <v>40317</v>
      </c>
      <c r="D1272" s="3" t="s">
        <v>89</v>
      </c>
      <c r="E1272" s="1" t="s">
        <v>689</v>
      </c>
      <c r="F1272" s="1" t="s">
        <v>12</v>
      </c>
      <c r="G1272" s="2" t="s">
        <v>2</v>
      </c>
      <c r="H1272" s="3" t="s">
        <v>84</v>
      </c>
      <c r="I1272" s="3" t="s">
        <v>85</v>
      </c>
      <c r="J1272" s="3" t="s">
        <v>63</v>
      </c>
      <c r="K1272" s="4">
        <v>176.5</v>
      </c>
      <c r="L1272" s="6">
        <v>3.57</v>
      </c>
    </row>
    <row r="1273" spans="1:12" x14ac:dyDescent="0.25">
      <c r="A1273" s="1">
        <v>1272</v>
      </c>
      <c r="B1273" s="4">
        <v>9249</v>
      </c>
      <c r="C1273" s="5">
        <v>40317</v>
      </c>
      <c r="D1273" s="3" t="s">
        <v>89</v>
      </c>
      <c r="E1273" s="1" t="s">
        <v>689</v>
      </c>
      <c r="F1273" s="1" t="s">
        <v>12</v>
      </c>
      <c r="G1273" s="2" t="s">
        <v>2</v>
      </c>
      <c r="H1273" s="3" t="s">
        <v>84</v>
      </c>
      <c r="I1273" s="3" t="s">
        <v>85</v>
      </c>
      <c r="J1273" s="3" t="s">
        <v>57</v>
      </c>
      <c r="K1273" s="4">
        <v>1546.8</v>
      </c>
      <c r="L1273" s="6">
        <v>37.76</v>
      </c>
    </row>
    <row r="1274" spans="1:12" x14ac:dyDescent="0.25">
      <c r="A1274" s="1">
        <v>1273</v>
      </c>
      <c r="B1274" s="4">
        <v>9249</v>
      </c>
      <c r="C1274" s="5">
        <v>40317</v>
      </c>
      <c r="D1274" s="3" t="s">
        <v>89</v>
      </c>
      <c r="E1274" s="1" t="s">
        <v>689</v>
      </c>
      <c r="F1274" s="1" t="s">
        <v>12</v>
      </c>
      <c r="G1274" s="2" t="s">
        <v>2</v>
      </c>
      <c r="H1274" s="3" t="s">
        <v>84</v>
      </c>
      <c r="I1274" s="3" t="s">
        <v>91</v>
      </c>
      <c r="J1274" s="3" t="s">
        <v>60</v>
      </c>
      <c r="K1274" s="4">
        <v>3457.56</v>
      </c>
      <c r="L1274" s="6">
        <v>124.49</v>
      </c>
    </row>
    <row r="1275" spans="1:12" x14ac:dyDescent="0.25">
      <c r="A1275" s="1">
        <v>1274</v>
      </c>
      <c r="B1275" s="4">
        <v>9251</v>
      </c>
      <c r="C1275" s="5">
        <v>40419</v>
      </c>
      <c r="D1275" s="3" t="s">
        <v>4</v>
      </c>
      <c r="E1275" s="1" t="s">
        <v>530</v>
      </c>
      <c r="F1275" s="1" t="s">
        <v>24</v>
      </c>
      <c r="G1275" s="2" t="s">
        <v>2</v>
      </c>
      <c r="H1275" s="3" t="s">
        <v>88</v>
      </c>
      <c r="I1275" s="3" t="s">
        <v>91</v>
      </c>
      <c r="J1275" s="3" t="s">
        <v>72</v>
      </c>
      <c r="K1275" s="4">
        <v>3632.6</v>
      </c>
      <c r="L1275" s="6">
        <v>89.99</v>
      </c>
    </row>
    <row r="1276" spans="1:12" x14ac:dyDescent="0.25">
      <c r="A1276" s="1">
        <v>1275</v>
      </c>
      <c r="B1276" s="4">
        <v>9253</v>
      </c>
      <c r="C1276" s="5">
        <v>40938</v>
      </c>
      <c r="D1276" s="3" t="s">
        <v>95</v>
      </c>
      <c r="E1276" s="1" t="s">
        <v>690</v>
      </c>
      <c r="F1276" s="1" t="s">
        <v>15</v>
      </c>
      <c r="G1276" s="2" t="s">
        <v>1</v>
      </c>
      <c r="H1276" s="3" t="s">
        <v>84</v>
      </c>
      <c r="I1276" s="3" t="s">
        <v>91</v>
      </c>
      <c r="J1276" s="3" t="s">
        <v>59</v>
      </c>
      <c r="K1276" s="4">
        <v>1644.22</v>
      </c>
      <c r="L1276" s="6">
        <v>46.94</v>
      </c>
    </row>
    <row r="1277" spans="1:12" x14ac:dyDescent="0.25">
      <c r="A1277" s="1">
        <v>1276</v>
      </c>
      <c r="B1277" s="4">
        <v>9254</v>
      </c>
      <c r="C1277" s="5">
        <v>40312</v>
      </c>
      <c r="D1277" s="3" t="s">
        <v>4</v>
      </c>
      <c r="E1277" s="1" t="s">
        <v>347</v>
      </c>
      <c r="F1277" s="1" t="s">
        <v>29</v>
      </c>
      <c r="G1277" s="2" t="s">
        <v>3</v>
      </c>
      <c r="H1277" s="3" t="s">
        <v>100</v>
      </c>
      <c r="I1277" s="3" t="s">
        <v>85</v>
      </c>
      <c r="J1277" s="3" t="s">
        <v>65</v>
      </c>
      <c r="K1277" s="4">
        <v>131.65</v>
      </c>
      <c r="L1277" s="6">
        <v>4.91</v>
      </c>
    </row>
    <row r="1278" spans="1:12" x14ac:dyDescent="0.25">
      <c r="A1278" s="1">
        <v>1277</v>
      </c>
      <c r="B1278" s="4">
        <v>9281</v>
      </c>
      <c r="C1278" s="5">
        <v>40962</v>
      </c>
      <c r="D1278" s="3" t="s">
        <v>95</v>
      </c>
      <c r="E1278" s="1" t="s">
        <v>289</v>
      </c>
      <c r="F1278" s="1" t="s">
        <v>13</v>
      </c>
      <c r="G1278" s="2" t="s">
        <v>6</v>
      </c>
      <c r="H1278" s="3" t="s">
        <v>84</v>
      </c>
      <c r="I1278" s="3" t="s">
        <v>85</v>
      </c>
      <c r="J1278" s="3" t="s">
        <v>66</v>
      </c>
      <c r="K1278" s="4">
        <v>199.8</v>
      </c>
      <c r="L1278" s="6">
        <v>6.48</v>
      </c>
    </row>
    <row r="1279" spans="1:12" x14ac:dyDescent="0.25">
      <c r="A1279" s="1">
        <v>1278</v>
      </c>
      <c r="B1279" s="4">
        <v>9281</v>
      </c>
      <c r="C1279" s="5">
        <v>40962</v>
      </c>
      <c r="D1279" s="3" t="s">
        <v>95</v>
      </c>
      <c r="E1279" s="1" t="s">
        <v>289</v>
      </c>
      <c r="F1279" s="1" t="s">
        <v>13</v>
      </c>
      <c r="G1279" s="2" t="s">
        <v>6</v>
      </c>
      <c r="H1279" s="3" t="s">
        <v>84</v>
      </c>
      <c r="I1279" s="3" t="s">
        <v>85</v>
      </c>
      <c r="J1279" s="3" t="s">
        <v>63</v>
      </c>
      <c r="K1279" s="4">
        <v>68.97</v>
      </c>
      <c r="L1279" s="6">
        <v>2.78</v>
      </c>
    </row>
    <row r="1280" spans="1:12" x14ac:dyDescent="0.25">
      <c r="A1280" s="1">
        <v>1279</v>
      </c>
      <c r="B1280" s="4">
        <v>9285</v>
      </c>
      <c r="C1280" s="5">
        <v>39815</v>
      </c>
      <c r="D1280" s="3" t="s">
        <v>95</v>
      </c>
      <c r="E1280" s="1" t="s">
        <v>485</v>
      </c>
      <c r="F1280" s="1" t="s">
        <v>25</v>
      </c>
      <c r="G1280" s="2" t="s">
        <v>6</v>
      </c>
      <c r="H1280" s="3" t="s">
        <v>100</v>
      </c>
      <c r="I1280" s="3" t="s">
        <v>85</v>
      </c>
      <c r="J1280" s="3" t="s">
        <v>69</v>
      </c>
      <c r="K1280" s="4">
        <v>124.81</v>
      </c>
      <c r="L1280" s="6">
        <v>40.98</v>
      </c>
    </row>
    <row r="1281" spans="1:12" x14ac:dyDescent="0.25">
      <c r="A1281" s="1">
        <v>1280</v>
      </c>
      <c r="B1281" s="4">
        <v>9286</v>
      </c>
      <c r="C1281" s="5">
        <v>40636</v>
      </c>
      <c r="D1281" s="3" t="s">
        <v>95</v>
      </c>
      <c r="E1281" s="1" t="s">
        <v>490</v>
      </c>
      <c r="F1281" s="1" t="s">
        <v>9</v>
      </c>
      <c r="G1281" s="2" t="s">
        <v>2</v>
      </c>
      <c r="H1281" s="3" t="s">
        <v>100</v>
      </c>
      <c r="I1281" s="3" t="s">
        <v>85</v>
      </c>
      <c r="J1281" s="3" t="s">
        <v>66</v>
      </c>
      <c r="K1281" s="4">
        <v>123.16</v>
      </c>
      <c r="L1281" s="6">
        <v>4.9800000000000004</v>
      </c>
    </row>
    <row r="1282" spans="1:12" x14ac:dyDescent="0.25">
      <c r="A1282" s="1">
        <v>1281</v>
      </c>
      <c r="B1282" s="4">
        <v>9312</v>
      </c>
      <c r="C1282" s="5">
        <v>41047</v>
      </c>
      <c r="D1282" s="3" t="s">
        <v>86</v>
      </c>
      <c r="E1282" s="1" t="s">
        <v>672</v>
      </c>
      <c r="F1282" s="1" t="s">
        <v>23</v>
      </c>
      <c r="G1282" s="2" t="s">
        <v>3</v>
      </c>
      <c r="H1282" s="3" t="s">
        <v>97</v>
      </c>
      <c r="I1282" s="3" t="s">
        <v>91</v>
      </c>
      <c r="J1282" s="3" t="s">
        <v>72</v>
      </c>
      <c r="K1282" s="4">
        <v>1160.55</v>
      </c>
      <c r="L1282" s="6">
        <v>25.98</v>
      </c>
    </row>
    <row r="1283" spans="1:12" x14ac:dyDescent="0.25">
      <c r="A1283" s="1">
        <v>1282</v>
      </c>
      <c r="B1283" s="4">
        <v>9344</v>
      </c>
      <c r="C1283" s="5">
        <v>40883</v>
      </c>
      <c r="D1283" s="3" t="s">
        <v>82</v>
      </c>
      <c r="E1283" s="1" t="s">
        <v>468</v>
      </c>
      <c r="F1283" s="1" t="s">
        <v>24</v>
      </c>
      <c r="G1283" s="2" t="s">
        <v>2</v>
      </c>
      <c r="H1283" s="3" t="s">
        <v>100</v>
      </c>
      <c r="I1283" s="3" t="s">
        <v>85</v>
      </c>
      <c r="J1283" s="3" t="s">
        <v>57</v>
      </c>
      <c r="K1283" s="4">
        <v>1733.1</v>
      </c>
      <c r="L1283" s="6">
        <v>95.99</v>
      </c>
    </row>
    <row r="1284" spans="1:12" x14ac:dyDescent="0.25">
      <c r="A1284" s="1">
        <v>1283</v>
      </c>
      <c r="B1284" s="4">
        <v>9344</v>
      </c>
      <c r="C1284" s="5">
        <v>40883</v>
      </c>
      <c r="D1284" s="3" t="s">
        <v>82</v>
      </c>
      <c r="E1284" s="1" t="s">
        <v>468</v>
      </c>
      <c r="F1284" s="1" t="s">
        <v>24</v>
      </c>
      <c r="G1284" s="2" t="s">
        <v>2</v>
      </c>
      <c r="H1284" s="3" t="s">
        <v>100</v>
      </c>
      <c r="I1284" s="3" t="s">
        <v>92</v>
      </c>
      <c r="J1284" s="3" t="s">
        <v>61</v>
      </c>
      <c r="K1284" s="4">
        <v>3448.6455000000001</v>
      </c>
      <c r="L1284" s="6">
        <v>125.99</v>
      </c>
    </row>
    <row r="1285" spans="1:12" x14ac:dyDescent="0.25">
      <c r="A1285" s="1">
        <v>1284</v>
      </c>
      <c r="B1285" s="4">
        <v>9347</v>
      </c>
      <c r="C1285" s="5">
        <v>41130</v>
      </c>
      <c r="D1285" s="3" t="s">
        <v>82</v>
      </c>
      <c r="E1285" s="1" t="s">
        <v>688</v>
      </c>
      <c r="F1285" s="1" t="s">
        <v>31</v>
      </c>
      <c r="G1285" s="2" t="s">
        <v>1</v>
      </c>
      <c r="H1285" s="3" t="s">
        <v>88</v>
      </c>
      <c r="I1285" s="3" t="s">
        <v>85</v>
      </c>
      <c r="J1285" s="3" t="s">
        <v>70</v>
      </c>
      <c r="K1285" s="4">
        <v>131.19999999999999</v>
      </c>
      <c r="L1285" s="6">
        <v>3.95</v>
      </c>
    </row>
    <row r="1286" spans="1:12" x14ac:dyDescent="0.25">
      <c r="A1286" s="1">
        <v>1285</v>
      </c>
      <c r="B1286" s="4">
        <v>9350</v>
      </c>
      <c r="C1286" s="5">
        <v>41213</v>
      </c>
      <c r="D1286" s="3" t="s">
        <v>95</v>
      </c>
      <c r="E1286" s="1" t="s">
        <v>610</v>
      </c>
      <c r="F1286" s="1" t="s">
        <v>13</v>
      </c>
      <c r="G1286" s="2" t="s">
        <v>6</v>
      </c>
      <c r="H1286" s="3" t="s">
        <v>88</v>
      </c>
      <c r="I1286" s="3" t="s">
        <v>91</v>
      </c>
      <c r="J1286" s="3" t="s">
        <v>68</v>
      </c>
      <c r="K1286" s="4">
        <v>1735.94</v>
      </c>
      <c r="L1286" s="6">
        <v>140.97999999999999</v>
      </c>
    </row>
    <row r="1287" spans="1:12" x14ac:dyDescent="0.25">
      <c r="A1287" s="1">
        <v>1286</v>
      </c>
      <c r="B1287" s="4">
        <v>9350</v>
      </c>
      <c r="C1287" s="5">
        <v>41213</v>
      </c>
      <c r="D1287" s="3" t="s">
        <v>95</v>
      </c>
      <c r="E1287" s="1" t="s">
        <v>610</v>
      </c>
      <c r="F1287" s="1" t="s">
        <v>13</v>
      </c>
      <c r="G1287" s="2" t="s">
        <v>6</v>
      </c>
      <c r="H1287" s="3" t="s">
        <v>88</v>
      </c>
      <c r="I1287" s="3" t="s">
        <v>91</v>
      </c>
      <c r="J1287" s="3" t="s">
        <v>59</v>
      </c>
      <c r="K1287" s="4">
        <v>337.6</v>
      </c>
      <c r="L1287" s="6">
        <v>172.99</v>
      </c>
    </row>
    <row r="1288" spans="1:12" x14ac:dyDescent="0.25">
      <c r="A1288" s="1">
        <v>1287</v>
      </c>
      <c r="B1288" s="4">
        <v>9383</v>
      </c>
      <c r="C1288" s="5">
        <v>39888</v>
      </c>
      <c r="D1288" s="3" t="s">
        <v>86</v>
      </c>
      <c r="E1288" s="1" t="s">
        <v>329</v>
      </c>
      <c r="F1288" s="1" t="s">
        <v>26</v>
      </c>
      <c r="G1288" s="2" t="s">
        <v>3</v>
      </c>
      <c r="H1288" s="3" t="s">
        <v>88</v>
      </c>
      <c r="I1288" s="3" t="s">
        <v>91</v>
      </c>
      <c r="J1288" s="3" t="s">
        <v>59</v>
      </c>
      <c r="K1288" s="4">
        <v>82.42</v>
      </c>
      <c r="L1288" s="6">
        <v>7.59</v>
      </c>
    </row>
    <row r="1289" spans="1:12" x14ac:dyDescent="0.25">
      <c r="A1289" s="1">
        <v>1288</v>
      </c>
      <c r="B1289" s="4">
        <v>9409</v>
      </c>
      <c r="C1289" s="5">
        <v>41034</v>
      </c>
      <c r="D1289" s="3" t="s">
        <v>95</v>
      </c>
      <c r="E1289" s="1" t="s">
        <v>652</v>
      </c>
      <c r="F1289" s="1" t="s">
        <v>30</v>
      </c>
      <c r="G1289" s="2" t="s">
        <v>6</v>
      </c>
      <c r="H1289" s="3" t="s">
        <v>97</v>
      </c>
      <c r="I1289" s="3" t="s">
        <v>92</v>
      </c>
      <c r="J1289" s="3" t="s">
        <v>62</v>
      </c>
      <c r="K1289" s="4">
        <v>1712.66</v>
      </c>
      <c r="L1289" s="6">
        <v>152.47999999999999</v>
      </c>
    </row>
    <row r="1290" spans="1:12" x14ac:dyDescent="0.25">
      <c r="A1290" s="1">
        <v>1289</v>
      </c>
      <c r="B1290" s="4">
        <v>9472</v>
      </c>
      <c r="C1290" s="5">
        <v>40710</v>
      </c>
      <c r="D1290" s="3" t="s">
        <v>95</v>
      </c>
      <c r="E1290" s="1" t="s">
        <v>691</v>
      </c>
      <c r="F1290" s="1" t="s">
        <v>31</v>
      </c>
      <c r="G1290" s="2" t="s">
        <v>1</v>
      </c>
      <c r="H1290" s="3" t="s">
        <v>97</v>
      </c>
      <c r="I1290" s="3" t="s">
        <v>85</v>
      </c>
      <c r="J1290" s="3" t="s">
        <v>65</v>
      </c>
      <c r="K1290" s="4">
        <v>53.91</v>
      </c>
      <c r="L1290" s="6">
        <v>3.15</v>
      </c>
    </row>
    <row r="1291" spans="1:12" x14ac:dyDescent="0.25">
      <c r="A1291" s="1">
        <v>1290</v>
      </c>
      <c r="B1291" s="4">
        <v>9473</v>
      </c>
      <c r="C1291" s="5">
        <v>41193</v>
      </c>
      <c r="D1291" s="3" t="s">
        <v>86</v>
      </c>
      <c r="E1291" s="1" t="s">
        <v>550</v>
      </c>
      <c r="F1291" s="1" t="s">
        <v>10</v>
      </c>
      <c r="G1291" s="2" t="s">
        <v>3</v>
      </c>
      <c r="H1291" s="3" t="s">
        <v>88</v>
      </c>
      <c r="I1291" s="3" t="s">
        <v>85</v>
      </c>
      <c r="J1291" s="3" t="s">
        <v>69</v>
      </c>
      <c r="K1291" s="4">
        <v>31.95</v>
      </c>
      <c r="L1291" s="6">
        <v>8.0399999999999991</v>
      </c>
    </row>
    <row r="1292" spans="1:12" x14ac:dyDescent="0.25">
      <c r="A1292" s="1">
        <v>1291</v>
      </c>
      <c r="B1292" s="4">
        <v>9473</v>
      </c>
      <c r="C1292" s="5">
        <v>41193</v>
      </c>
      <c r="D1292" s="3" t="s">
        <v>86</v>
      </c>
      <c r="E1292" s="1" t="s">
        <v>550</v>
      </c>
      <c r="F1292" s="1" t="s">
        <v>10</v>
      </c>
      <c r="G1292" s="2" t="s">
        <v>3</v>
      </c>
      <c r="H1292" s="3" t="s">
        <v>88</v>
      </c>
      <c r="I1292" s="3" t="s">
        <v>85</v>
      </c>
      <c r="J1292" s="3" t="s">
        <v>69</v>
      </c>
      <c r="K1292" s="4">
        <v>563.82000000000005</v>
      </c>
      <c r="L1292" s="6">
        <v>16.510000000000002</v>
      </c>
    </row>
    <row r="1293" spans="1:12" x14ac:dyDescent="0.25">
      <c r="A1293" s="1">
        <v>1292</v>
      </c>
      <c r="B1293" s="4">
        <v>9473</v>
      </c>
      <c r="C1293" s="5">
        <v>41193</v>
      </c>
      <c r="D1293" s="3" t="s">
        <v>86</v>
      </c>
      <c r="E1293" s="1" t="s">
        <v>550</v>
      </c>
      <c r="F1293" s="1" t="s">
        <v>10</v>
      </c>
      <c r="G1293" s="2" t="s">
        <v>3</v>
      </c>
      <c r="H1293" s="3" t="s">
        <v>88</v>
      </c>
      <c r="I1293" s="3" t="s">
        <v>85</v>
      </c>
      <c r="J1293" s="3" t="s">
        <v>57</v>
      </c>
      <c r="K1293" s="4">
        <v>502.44</v>
      </c>
      <c r="L1293" s="6">
        <v>15.51</v>
      </c>
    </row>
    <row r="1294" spans="1:12" x14ac:dyDescent="0.25">
      <c r="A1294" s="1">
        <v>1293</v>
      </c>
      <c r="B1294" s="4">
        <v>9476</v>
      </c>
      <c r="C1294" s="5">
        <v>39958</v>
      </c>
      <c r="D1294" s="3" t="s">
        <v>86</v>
      </c>
      <c r="E1294" s="1" t="s">
        <v>87</v>
      </c>
      <c r="F1294" s="1" t="s">
        <v>9</v>
      </c>
      <c r="G1294" s="2" t="s">
        <v>2</v>
      </c>
      <c r="H1294" s="3" t="s">
        <v>88</v>
      </c>
      <c r="I1294" s="3" t="s">
        <v>85</v>
      </c>
      <c r="J1294" s="3" t="s">
        <v>69</v>
      </c>
      <c r="K1294" s="4">
        <v>165.04</v>
      </c>
      <c r="L1294" s="6">
        <v>15.99</v>
      </c>
    </row>
    <row r="1295" spans="1:12" x14ac:dyDescent="0.25">
      <c r="A1295" s="1">
        <v>1294</v>
      </c>
      <c r="B1295" s="4">
        <v>9478</v>
      </c>
      <c r="C1295" s="5">
        <v>39900</v>
      </c>
      <c r="D1295" s="3" t="s">
        <v>89</v>
      </c>
      <c r="E1295" s="1" t="s">
        <v>409</v>
      </c>
      <c r="F1295" s="1" t="s">
        <v>53</v>
      </c>
      <c r="G1295" s="2" t="s">
        <v>6</v>
      </c>
      <c r="H1295" s="3" t="s">
        <v>88</v>
      </c>
      <c r="I1295" s="3" t="s">
        <v>91</v>
      </c>
      <c r="J1295" s="3" t="s">
        <v>59</v>
      </c>
      <c r="K1295" s="4">
        <v>522.97</v>
      </c>
      <c r="L1295" s="6">
        <v>10.4</v>
      </c>
    </row>
    <row r="1296" spans="1:12" x14ac:dyDescent="0.25">
      <c r="A1296" s="1">
        <v>1295</v>
      </c>
      <c r="B1296" s="4">
        <v>9478</v>
      </c>
      <c r="C1296" s="5">
        <v>39900</v>
      </c>
      <c r="D1296" s="3" t="s">
        <v>89</v>
      </c>
      <c r="E1296" s="1" t="s">
        <v>409</v>
      </c>
      <c r="F1296" s="1" t="s">
        <v>53</v>
      </c>
      <c r="G1296" s="2" t="s">
        <v>6</v>
      </c>
      <c r="H1296" s="3" t="s">
        <v>88</v>
      </c>
      <c r="I1296" s="3" t="s">
        <v>85</v>
      </c>
      <c r="J1296" s="3" t="s">
        <v>66</v>
      </c>
      <c r="K1296" s="4">
        <v>199.46</v>
      </c>
      <c r="L1296" s="6">
        <v>4.28</v>
      </c>
    </row>
    <row r="1297" spans="1:12" x14ac:dyDescent="0.25">
      <c r="A1297" s="1">
        <v>1296</v>
      </c>
      <c r="B1297" s="4">
        <v>9504</v>
      </c>
      <c r="C1297" s="5">
        <v>41238</v>
      </c>
      <c r="D1297" s="3" t="s">
        <v>4</v>
      </c>
      <c r="E1297" s="1" t="s">
        <v>274</v>
      </c>
      <c r="F1297" s="1" t="s">
        <v>32</v>
      </c>
      <c r="G1297" s="2" t="s">
        <v>2</v>
      </c>
      <c r="H1297" s="3" t="s">
        <v>84</v>
      </c>
      <c r="I1297" s="3" t="s">
        <v>92</v>
      </c>
      <c r="J1297" s="3" t="s">
        <v>61</v>
      </c>
      <c r="K1297" s="4">
        <v>1954.796</v>
      </c>
      <c r="L1297" s="6">
        <v>140.99</v>
      </c>
    </row>
    <row r="1298" spans="1:12" x14ac:dyDescent="0.25">
      <c r="A1298" s="1">
        <v>1297</v>
      </c>
      <c r="B1298" s="4">
        <v>9505</v>
      </c>
      <c r="C1298" s="5">
        <v>41067</v>
      </c>
      <c r="D1298" s="3" t="s">
        <v>89</v>
      </c>
      <c r="E1298" s="1" t="s">
        <v>310</v>
      </c>
      <c r="F1298" s="1" t="s">
        <v>36</v>
      </c>
      <c r="G1298" s="2" t="s">
        <v>2</v>
      </c>
      <c r="H1298" s="3" t="s">
        <v>97</v>
      </c>
      <c r="I1298" s="3" t="s">
        <v>92</v>
      </c>
      <c r="J1298" s="3" t="s">
        <v>62</v>
      </c>
      <c r="K1298" s="4">
        <v>316.52</v>
      </c>
      <c r="L1298" s="6">
        <v>152.47999999999999</v>
      </c>
    </row>
    <row r="1299" spans="1:12" x14ac:dyDescent="0.25">
      <c r="A1299" s="1">
        <v>1298</v>
      </c>
      <c r="B1299" s="4">
        <v>9505</v>
      </c>
      <c r="C1299" s="5">
        <v>41067</v>
      </c>
      <c r="D1299" s="3" t="s">
        <v>89</v>
      </c>
      <c r="E1299" s="1" t="s">
        <v>310</v>
      </c>
      <c r="F1299" s="1" t="s">
        <v>36</v>
      </c>
      <c r="G1299" s="2" t="s">
        <v>2</v>
      </c>
      <c r="H1299" s="3" t="s">
        <v>97</v>
      </c>
      <c r="I1299" s="3" t="s">
        <v>92</v>
      </c>
      <c r="J1299" s="3" t="s">
        <v>62</v>
      </c>
      <c r="K1299" s="4">
        <v>155.38999999999999</v>
      </c>
      <c r="L1299" s="6">
        <v>32.979999999999997</v>
      </c>
    </row>
    <row r="1300" spans="1:12" x14ac:dyDescent="0.25">
      <c r="A1300" s="1">
        <v>1299</v>
      </c>
      <c r="B1300" s="4">
        <v>9509</v>
      </c>
      <c r="C1300" s="5">
        <v>41189</v>
      </c>
      <c r="D1300" s="3" t="s">
        <v>86</v>
      </c>
      <c r="E1300" s="1" t="s">
        <v>528</v>
      </c>
      <c r="F1300" s="1" t="s">
        <v>8</v>
      </c>
      <c r="G1300" s="2" t="s">
        <v>6</v>
      </c>
      <c r="H1300" s="3" t="s">
        <v>97</v>
      </c>
      <c r="I1300" s="3" t="s">
        <v>91</v>
      </c>
      <c r="J1300" s="3" t="s">
        <v>72</v>
      </c>
      <c r="K1300" s="4">
        <v>12175.82</v>
      </c>
      <c r="L1300" s="6">
        <v>320.98</v>
      </c>
    </row>
    <row r="1301" spans="1:12" x14ac:dyDescent="0.25">
      <c r="A1301" s="1">
        <v>1300</v>
      </c>
      <c r="B1301" s="4">
        <v>9509</v>
      </c>
      <c r="C1301" s="5">
        <v>41189</v>
      </c>
      <c r="D1301" s="3" t="s">
        <v>86</v>
      </c>
      <c r="E1301" s="1" t="s">
        <v>528</v>
      </c>
      <c r="F1301" s="1" t="s">
        <v>8</v>
      </c>
      <c r="G1301" s="2" t="s">
        <v>6</v>
      </c>
      <c r="H1301" s="3" t="s">
        <v>97</v>
      </c>
      <c r="I1301" s="3" t="s">
        <v>85</v>
      </c>
      <c r="J1301" s="3" t="s">
        <v>66</v>
      </c>
      <c r="K1301" s="4">
        <v>101.21</v>
      </c>
      <c r="L1301" s="6">
        <v>18.97</v>
      </c>
    </row>
    <row r="1302" spans="1:12" x14ac:dyDescent="0.25">
      <c r="A1302" s="1">
        <v>1301</v>
      </c>
      <c r="B1302" s="4">
        <v>9509</v>
      </c>
      <c r="C1302" s="5">
        <v>41189</v>
      </c>
      <c r="D1302" s="3" t="s">
        <v>86</v>
      </c>
      <c r="E1302" s="1" t="s">
        <v>528</v>
      </c>
      <c r="F1302" s="1" t="s">
        <v>8</v>
      </c>
      <c r="G1302" s="2" t="s">
        <v>6</v>
      </c>
      <c r="H1302" s="3" t="s">
        <v>97</v>
      </c>
      <c r="I1302" s="3" t="s">
        <v>85</v>
      </c>
      <c r="J1302" s="3" t="s">
        <v>66</v>
      </c>
      <c r="K1302" s="4">
        <v>1585.64</v>
      </c>
      <c r="L1302" s="6">
        <v>48.91</v>
      </c>
    </row>
    <row r="1303" spans="1:12" x14ac:dyDescent="0.25">
      <c r="A1303" s="1">
        <v>1302</v>
      </c>
      <c r="B1303" s="4">
        <v>9537</v>
      </c>
      <c r="C1303" s="5">
        <v>40587</v>
      </c>
      <c r="D1303" s="3" t="s">
        <v>86</v>
      </c>
      <c r="E1303" s="1" t="s">
        <v>315</v>
      </c>
      <c r="F1303" s="1" t="s">
        <v>38</v>
      </c>
      <c r="G1303" s="2" t="s">
        <v>6</v>
      </c>
      <c r="H1303" s="3" t="s">
        <v>84</v>
      </c>
      <c r="I1303" s="3" t="s">
        <v>91</v>
      </c>
      <c r="J1303" s="3" t="s">
        <v>68</v>
      </c>
      <c r="K1303" s="4">
        <v>906.02</v>
      </c>
      <c r="L1303" s="6">
        <v>150.97999999999999</v>
      </c>
    </row>
    <row r="1304" spans="1:12" x14ac:dyDescent="0.25">
      <c r="A1304" s="1">
        <v>1303</v>
      </c>
      <c r="B1304" s="4">
        <v>9537</v>
      </c>
      <c r="C1304" s="5">
        <v>40587</v>
      </c>
      <c r="D1304" s="3" t="s">
        <v>86</v>
      </c>
      <c r="E1304" s="1" t="s">
        <v>692</v>
      </c>
      <c r="F1304" s="1" t="s">
        <v>38</v>
      </c>
      <c r="G1304" s="2" t="s">
        <v>6</v>
      </c>
      <c r="H1304" s="3" t="s">
        <v>84</v>
      </c>
      <c r="I1304" s="3" t="s">
        <v>85</v>
      </c>
      <c r="J1304" s="3" t="s">
        <v>69</v>
      </c>
      <c r="K1304" s="4">
        <v>170.88</v>
      </c>
      <c r="L1304" s="6">
        <v>3.81</v>
      </c>
    </row>
    <row r="1305" spans="1:12" x14ac:dyDescent="0.25">
      <c r="A1305" s="1">
        <v>1304</v>
      </c>
      <c r="B1305" s="4">
        <v>9568</v>
      </c>
      <c r="C1305" s="5">
        <v>40244</v>
      </c>
      <c r="D1305" s="3" t="s">
        <v>86</v>
      </c>
      <c r="E1305" s="1" t="s">
        <v>693</v>
      </c>
      <c r="F1305" s="1" t="s">
        <v>34</v>
      </c>
      <c r="G1305" s="2" t="s">
        <v>1</v>
      </c>
      <c r="H1305" s="3" t="s">
        <v>88</v>
      </c>
      <c r="I1305" s="3" t="s">
        <v>85</v>
      </c>
      <c r="J1305" s="3" t="s">
        <v>70</v>
      </c>
      <c r="K1305" s="4">
        <v>3725.53</v>
      </c>
      <c r="L1305" s="6">
        <v>76.72</v>
      </c>
    </row>
    <row r="1306" spans="1:12" x14ac:dyDescent="0.25">
      <c r="A1306" s="1">
        <v>1305</v>
      </c>
      <c r="B1306" s="4">
        <v>9573</v>
      </c>
      <c r="C1306" s="5">
        <v>41073</v>
      </c>
      <c r="D1306" s="3" t="s">
        <v>4</v>
      </c>
      <c r="E1306" s="1" t="s">
        <v>222</v>
      </c>
      <c r="F1306" s="1" t="s">
        <v>28</v>
      </c>
      <c r="G1306" s="2" t="s">
        <v>6</v>
      </c>
      <c r="H1306" s="3" t="s">
        <v>97</v>
      </c>
      <c r="I1306" s="3" t="s">
        <v>85</v>
      </c>
      <c r="J1306" s="3" t="s">
        <v>58</v>
      </c>
      <c r="K1306" s="4">
        <v>133.22999999999999</v>
      </c>
      <c r="L1306" s="6">
        <v>3.14</v>
      </c>
    </row>
    <row r="1307" spans="1:12" x14ac:dyDescent="0.25">
      <c r="A1307" s="1">
        <v>1306</v>
      </c>
      <c r="B1307" s="4">
        <v>9573</v>
      </c>
      <c r="C1307" s="5">
        <v>41073</v>
      </c>
      <c r="D1307" s="3" t="s">
        <v>4</v>
      </c>
      <c r="E1307" s="1" t="s">
        <v>694</v>
      </c>
      <c r="F1307" s="1" t="s">
        <v>33</v>
      </c>
      <c r="G1307" s="2" t="s">
        <v>2</v>
      </c>
      <c r="H1307" s="3" t="s">
        <v>97</v>
      </c>
      <c r="I1307" s="3" t="s">
        <v>85</v>
      </c>
      <c r="J1307" s="3" t="s">
        <v>66</v>
      </c>
      <c r="K1307" s="4">
        <v>146.25</v>
      </c>
      <c r="L1307" s="6">
        <v>6.35</v>
      </c>
    </row>
    <row r="1308" spans="1:12" x14ac:dyDescent="0.25">
      <c r="A1308" s="1">
        <v>1307</v>
      </c>
      <c r="B1308" s="4">
        <v>9574</v>
      </c>
      <c r="C1308" s="5">
        <v>40754</v>
      </c>
      <c r="D1308" s="3" t="s">
        <v>4</v>
      </c>
      <c r="E1308" s="1" t="s">
        <v>695</v>
      </c>
      <c r="F1308" s="1" t="s">
        <v>38</v>
      </c>
      <c r="G1308" s="2" t="s">
        <v>6</v>
      </c>
      <c r="H1308" s="3" t="s">
        <v>88</v>
      </c>
      <c r="I1308" s="3" t="s">
        <v>85</v>
      </c>
      <c r="J1308" s="3" t="s">
        <v>69</v>
      </c>
      <c r="K1308" s="4">
        <v>434.62</v>
      </c>
      <c r="L1308" s="6">
        <v>11.5</v>
      </c>
    </row>
    <row r="1309" spans="1:12" x14ac:dyDescent="0.25">
      <c r="A1309" s="1">
        <v>1308</v>
      </c>
      <c r="B1309" s="4">
        <v>9602</v>
      </c>
      <c r="C1309" s="5">
        <v>41223</v>
      </c>
      <c r="D1309" s="3" t="s">
        <v>95</v>
      </c>
      <c r="E1309" s="1" t="s">
        <v>696</v>
      </c>
      <c r="F1309" s="1" t="s">
        <v>43</v>
      </c>
      <c r="G1309" s="2" t="s">
        <v>1</v>
      </c>
      <c r="H1309" s="3" t="s">
        <v>100</v>
      </c>
      <c r="I1309" s="3" t="s">
        <v>92</v>
      </c>
      <c r="J1309" s="3" t="s">
        <v>67</v>
      </c>
      <c r="K1309" s="4">
        <v>2654.16</v>
      </c>
      <c r="L1309" s="6">
        <v>90.97</v>
      </c>
    </row>
    <row r="1310" spans="1:12" x14ac:dyDescent="0.25">
      <c r="A1310" s="1">
        <v>1309</v>
      </c>
      <c r="B1310" s="4">
        <v>9602</v>
      </c>
      <c r="C1310" s="5">
        <v>41223</v>
      </c>
      <c r="D1310" s="3" t="s">
        <v>95</v>
      </c>
      <c r="E1310" s="1" t="s">
        <v>697</v>
      </c>
      <c r="F1310" s="1" t="s">
        <v>39</v>
      </c>
      <c r="G1310" s="2" t="s">
        <v>1</v>
      </c>
      <c r="H1310" s="3" t="s">
        <v>100</v>
      </c>
      <c r="I1310" s="3" t="s">
        <v>92</v>
      </c>
      <c r="J1310" s="3" t="s">
        <v>62</v>
      </c>
      <c r="K1310" s="4">
        <v>36.229999999999997</v>
      </c>
      <c r="L1310" s="6">
        <v>2.12</v>
      </c>
    </row>
    <row r="1311" spans="1:12" x14ac:dyDescent="0.25">
      <c r="A1311" s="1">
        <v>1310</v>
      </c>
      <c r="B1311" s="4">
        <v>9602</v>
      </c>
      <c r="C1311" s="5">
        <v>41223</v>
      </c>
      <c r="D1311" s="3" t="s">
        <v>95</v>
      </c>
      <c r="E1311" s="1" t="s">
        <v>698</v>
      </c>
      <c r="F1311" s="1" t="s">
        <v>43</v>
      </c>
      <c r="G1311" s="2" t="s">
        <v>1</v>
      </c>
      <c r="H1311" s="3" t="s">
        <v>100</v>
      </c>
      <c r="I1311" s="3" t="s">
        <v>91</v>
      </c>
      <c r="J1311" s="3" t="s">
        <v>68</v>
      </c>
      <c r="K1311" s="4">
        <v>1722.65</v>
      </c>
      <c r="L1311" s="6">
        <v>114.98</v>
      </c>
    </row>
    <row r="1312" spans="1:12" x14ac:dyDescent="0.25">
      <c r="A1312" s="1">
        <v>1311</v>
      </c>
      <c r="B1312" s="4">
        <v>9606</v>
      </c>
      <c r="C1312" s="5">
        <v>40021</v>
      </c>
      <c r="D1312" s="3" t="s">
        <v>86</v>
      </c>
      <c r="E1312" s="1" t="s">
        <v>148</v>
      </c>
      <c r="F1312" s="1" t="s">
        <v>35</v>
      </c>
      <c r="G1312" s="2" t="s">
        <v>1</v>
      </c>
      <c r="H1312" s="3" t="s">
        <v>84</v>
      </c>
      <c r="I1312" s="3" t="s">
        <v>85</v>
      </c>
      <c r="J1312" s="3" t="s">
        <v>65</v>
      </c>
      <c r="K1312" s="4">
        <v>493.26</v>
      </c>
      <c r="L1312" s="6">
        <v>12.53</v>
      </c>
    </row>
    <row r="1313" spans="1:12" x14ac:dyDescent="0.25">
      <c r="A1313" s="1">
        <v>1312</v>
      </c>
      <c r="B1313" s="4">
        <v>9606</v>
      </c>
      <c r="C1313" s="5">
        <v>40021</v>
      </c>
      <c r="D1313" s="3" t="s">
        <v>86</v>
      </c>
      <c r="E1313" s="1" t="s">
        <v>148</v>
      </c>
      <c r="F1313" s="1" t="s">
        <v>35</v>
      </c>
      <c r="G1313" s="2" t="s">
        <v>1</v>
      </c>
      <c r="H1313" s="3" t="s">
        <v>84</v>
      </c>
      <c r="I1313" s="3" t="s">
        <v>85</v>
      </c>
      <c r="J1313" s="3" t="s">
        <v>66</v>
      </c>
      <c r="K1313" s="4">
        <v>192.15</v>
      </c>
      <c r="L1313" s="6">
        <v>5.18</v>
      </c>
    </row>
    <row r="1314" spans="1:12" x14ac:dyDescent="0.25">
      <c r="A1314" s="1">
        <v>1313</v>
      </c>
      <c r="B1314" s="4">
        <v>9632</v>
      </c>
      <c r="C1314" s="5">
        <v>40924</v>
      </c>
      <c r="D1314" s="3" t="s">
        <v>82</v>
      </c>
      <c r="E1314" s="1" t="s">
        <v>420</v>
      </c>
      <c r="F1314" s="1" t="s">
        <v>9</v>
      </c>
      <c r="G1314" s="2" t="s">
        <v>2</v>
      </c>
      <c r="H1314" s="3" t="s">
        <v>97</v>
      </c>
      <c r="I1314" s="3" t="s">
        <v>85</v>
      </c>
      <c r="J1314" s="3" t="s">
        <v>69</v>
      </c>
      <c r="K1314" s="4">
        <v>3633.03</v>
      </c>
      <c r="L1314" s="6">
        <v>120.98</v>
      </c>
    </row>
    <row r="1315" spans="1:12" x14ac:dyDescent="0.25">
      <c r="A1315" s="1">
        <v>1314</v>
      </c>
      <c r="B1315" s="4">
        <v>9635</v>
      </c>
      <c r="C1315" s="5">
        <v>39916</v>
      </c>
      <c r="D1315" s="3" t="s">
        <v>95</v>
      </c>
      <c r="E1315" s="1" t="s">
        <v>699</v>
      </c>
      <c r="F1315" s="1" t="s">
        <v>20</v>
      </c>
      <c r="G1315" s="2" t="s">
        <v>1</v>
      </c>
      <c r="H1315" s="3" t="s">
        <v>88</v>
      </c>
      <c r="I1315" s="3" t="s">
        <v>85</v>
      </c>
      <c r="J1315" s="3" t="s">
        <v>69</v>
      </c>
      <c r="K1315" s="4">
        <v>3.42</v>
      </c>
      <c r="L1315" s="6">
        <v>1.88</v>
      </c>
    </row>
    <row r="1316" spans="1:12" x14ac:dyDescent="0.25">
      <c r="A1316" s="1">
        <v>1315</v>
      </c>
      <c r="B1316" s="4">
        <v>9637</v>
      </c>
      <c r="C1316" s="5">
        <v>39816</v>
      </c>
      <c r="D1316" s="3" t="s">
        <v>82</v>
      </c>
      <c r="E1316" s="1" t="s">
        <v>700</v>
      </c>
      <c r="F1316" s="1" t="s">
        <v>45</v>
      </c>
      <c r="G1316" s="2" t="s">
        <v>3</v>
      </c>
      <c r="H1316" s="3" t="s">
        <v>88</v>
      </c>
      <c r="I1316" s="3" t="s">
        <v>92</v>
      </c>
      <c r="J1316" s="3" t="s">
        <v>62</v>
      </c>
      <c r="K1316" s="4">
        <v>522.49</v>
      </c>
      <c r="L1316" s="6">
        <v>43.22</v>
      </c>
    </row>
    <row r="1317" spans="1:12" x14ac:dyDescent="0.25">
      <c r="A1317" s="1">
        <v>1316</v>
      </c>
      <c r="B1317" s="4">
        <v>9637</v>
      </c>
      <c r="C1317" s="5">
        <v>39816</v>
      </c>
      <c r="D1317" s="3" t="s">
        <v>82</v>
      </c>
      <c r="E1317" s="1" t="s">
        <v>700</v>
      </c>
      <c r="F1317" s="1" t="s">
        <v>45</v>
      </c>
      <c r="G1317" s="2" t="s">
        <v>3</v>
      </c>
      <c r="H1317" s="3" t="s">
        <v>88</v>
      </c>
      <c r="I1317" s="3" t="s">
        <v>92</v>
      </c>
      <c r="J1317" s="3" t="s">
        <v>67</v>
      </c>
      <c r="K1317" s="4">
        <v>28359.4</v>
      </c>
      <c r="L1317" s="6">
        <v>574.74</v>
      </c>
    </row>
    <row r="1318" spans="1:12" x14ac:dyDescent="0.25">
      <c r="A1318" s="1">
        <v>1317</v>
      </c>
      <c r="B1318" s="4">
        <v>9637</v>
      </c>
      <c r="C1318" s="5">
        <v>39816</v>
      </c>
      <c r="D1318" s="3" t="s">
        <v>82</v>
      </c>
      <c r="E1318" s="1" t="s">
        <v>700</v>
      </c>
      <c r="F1318" s="1" t="s">
        <v>45</v>
      </c>
      <c r="G1318" s="2" t="s">
        <v>3</v>
      </c>
      <c r="H1318" s="3" t="s">
        <v>88</v>
      </c>
      <c r="I1318" s="3" t="s">
        <v>85</v>
      </c>
      <c r="J1318" s="3" t="s">
        <v>66</v>
      </c>
      <c r="K1318" s="4">
        <v>123.76</v>
      </c>
      <c r="L1318" s="6">
        <v>10.14</v>
      </c>
    </row>
    <row r="1319" spans="1:12" x14ac:dyDescent="0.25">
      <c r="A1319" s="1">
        <v>1318</v>
      </c>
      <c r="B1319" s="4">
        <v>9639</v>
      </c>
      <c r="C1319" s="5">
        <v>40426</v>
      </c>
      <c r="D1319" s="3" t="s">
        <v>86</v>
      </c>
      <c r="E1319" s="1" t="s">
        <v>701</v>
      </c>
      <c r="F1319" s="1" t="s">
        <v>12</v>
      </c>
      <c r="G1319" s="2" t="s">
        <v>2</v>
      </c>
      <c r="H1319" s="3" t="s">
        <v>88</v>
      </c>
      <c r="I1319" s="3" t="s">
        <v>91</v>
      </c>
      <c r="J1319" s="3" t="s">
        <v>72</v>
      </c>
      <c r="K1319" s="4">
        <v>1124.3</v>
      </c>
      <c r="L1319" s="6">
        <v>25.98</v>
      </c>
    </row>
    <row r="1320" spans="1:12" x14ac:dyDescent="0.25">
      <c r="A1320" s="1">
        <v>1319</v>
      </c>
      <c r="B1320" s="4">
        <v>9639</v>
      </c>
      <c r="C1320" s="5">
        <v>40426</v>
      </c>
      <c r="D1320" s="3" t="s">
        <v>86</v>
      </c>
      <c r="E1320" s="1" t="s">
        <v>701</v>
      </c>
      <c r="F1320" s="1" t="s">
        <v>12</v>
      </c>
      <c r="G1320" s="2" t="s">
        <v>2</v>
      </c>
      <c r="H1320" s="3" t="s">
        <v>88</v>
      </c>
      <c r="I1320" s="3" t="s">
        <v>85</v>
      </c>
      <c r="J1320" s="3" t="s">
        <v>65</v>
      </c>
      <c r="K1320" s="4">
        <v>43.57</v>
      </c>
      <c r="L1320" s="6">
        <v>4.13</v>
      </c>
    </row>
    <row r="1321" spans="1:12" x14ac:dyDescent="0.25">
      <c r="A1321" s="1">
        <v>1320</v>
      </c>
      <c r="B1321" s="4">
        <v>9639</v>
      </c>
      <c r="C1321" s="5">
        <v>40426</v>
      </c>
      <c r="D1321" s="3" t="s">
        <v>86</v>
      </c>
      <c r="E1321" s="1" t="s">
        <v>701</v>
      </c>
      <c r="F1321" s="1" t="s">
        <v>12</v>
      </c>
      <c r="G1321" s="2" t="s">
        <v>2</v>
      </c>
      <c r="H1321" s="3" t="s">
        <v>88</v>
      </c>
      <c r="I1321" s="3" t="s">
        <v>92</v>
      </c>
      <c r="J1321" s="3" t="s">
        <v>61</v>
      </c>
      <c r="K1321" s="4">
        <v>2610.8939999999998</v>
      </c>
      <c r="L1321" s="6">
        <v>125.99</v>
      </c>
    </row>
    <row r="1322" spans="1:12" x14ac:dyDescent="0.25">
      <c r="A1322" s="1">
        <v>1321</v>
      </c>
      <c r="B1322" s="4">
        <v>9664</v>
      </c>
      <c r="C1322" s="5">
        <v>40275</v>
      </c>
      <c r="D1322" s="3" t="s">
        <v>89</v>
      </c>
      <c r="E1322" s="1" t="s">
        <v>702</v>
      </c>
      <c r="F1322" s="1" t="s">
        <v>14</v>
      </c>
      <c r="G1322" s="2" t="s">
        <v>2</v>
      </c>
      <c r="H1322" s="3" t="s">
        <v>84</v>
      </c>
      <c r="I1322" s="3" t="s">
        <v>85</v>
      </c>
      <c r="J1322" s="3" t="s">
        <v>66</v>
      </c>
      <c r="K1322" s="4">
        <v>88.38</v>
      </c>
      <c r="L1322" s="6">
        <v>6.48</v>
      </c>
    </row>
    <row r="1323" spans="1:12" x14ac:dyDescent="0.25">
      <c r="A1323" s="1">
        <v>1322</v>
      </c>
      <c r="B1323" s="4">
        <v>9665</v>
      </c>
      <c r="C1323" s="5">
        <v>39926</v>
      </c>
      <c r="D1323" s="3" t="s">
        <v>82</v>
      </c>
      <c r="E1323" s="1" t="s">
        <v>703</v>
      </c>
      <c r="F1323" s="1" t="s">
        <v>13</v>
      </c>
      <c r="G1323" s="2" t="s">
        <v>6</v>
      </c>
      <c r="H1323" s="3" t="s">
        <v>97</v>
      </c>
      <c r="I1323" s="3" t="s">
        <v>85</v>
      </c>
      <c r="J1323" s="3" t="s">
        <v>70</v>
      </c>
      <c r="K1323" s="4">
        <v>2348.66</v>
      </c>
      <c r="L1323" s="6">
        <v>46.89</v>
      </c>
    </row>
    <row r="1324" spans="1:12" x14ac:dyDescent="0.25">
      <c r="A1324" s="1">
        <v>1323</v>
      </c>
      <c r="B1324" s="4">
        <v>9665</v>
      </c>
      <c r="C1324" s="5">
        <v>39926</v>
      </c>
      <c r="D1324" s="3" t="s">
        <v>82</v>
      </c>
      <c r="E1324" s="1" t="s">
        <v>703</v>
      </c>
      <c r="F1324" s="1" t="s">
        <v>13</v>
      </c>
      <c r="G1324" s="2" t="s">
        <v>6</v>
      </c>
      <c r="H1324" s="3" t="s">
        <v>97</v>
      </c>
      <c r="I1324" s="3" t="s">
        <v>91</v>
      </c>
      <c r="J1324" s="3" t="s">
        <v>68</v>
      </c>
      <c r="K1324" s="4">
        <v>2657.12</v>
      </c>
      <c r="L1324" s="6">
        <v>140.97999999999999</v>
      </c>
    </row>
    <row r="1325" spans="1:12" x14ac:dyDescent="0.25">
      <c r="A1325" s="1">
        <v>1324</v>
      </c>
      <c r="B1325" s="4">
        <v>9665</v>
      </c>
      <c r="C1325" s="5">
        <v>39926</v>
      </c>
      <c r="D1325" s="3" t="s">
        <v>82</v>
      </c>
      <c r="E1325" s="1" t="s">
        <v>703</v>
      </c>
      <c r="F1325" s="1" t="s">
        <v>13</v>
      </c>
      <c r="G1325" s="2" t="s">
        <v>6</v>
      </c>
      <c r="H1325" s="3" t="s">
        <v>97</v>
      </c>
      <c r="I1325" s="3" t="s">
        <v>91</v>
      </c>
      <c r="J1325" s="3" t="s">
        <v>60</v>
      </c>
      <c r="K1325" s="4">
        <v>9579.6200000000008</v>
      </c>
      <c r="L1325" s="6">
        <v>212.6</v>
      </c>
    </row>
    <row r="1326" spans="1:12" x14ac:dyDescent="0.25">
      <c r="A1326" s="1">
        <v>1325</v>
      </c>
      <c r="B1326" s="4">
        <v>9668</v>
      </c>
      <c r="C1326" s="5">
        <v>40062</v>
      </c>
      <c r="D1326" s="3" t="s">
        <v>82</v>
      </c>
      <c r="E1326" s="1" t="s">
        <v>436</v>
      </c>
      <c r="F1326" s="1" t="s">
        <v>41</v>
      </c>
      <c r="G1326" s="2" t="s">
        <v>6</v>
      </c>
      <c r="H1326" s="3" t="s">
        <v>84</v>
      </c>
      <c r="I1326" s="3" t="s">
        <v>85</v>
      </c>
      <c r="J1326" s="3" t="s">
        <v>69</v>
      </c>
      <c r="K1326" s="4">
        <v>42.67</v>
      </c>
      <c r="L1326" s="6">
        <v>4.18</v>
      </c>
    </row>
    <row r="1327" spans="1:12" x14ac:dyDescent="0.25">
      <c r="A1327" s="1">
        <v>1326</v>
      </c>
      <c r="B1327" s="4">
        <v>9669</v>
      </c>
      <c r="C1327" s="5">
        <v>39925</v>
      </c>
      <c r="D1327" s="3" t="s">
        <v>4</v>
      </c>
      <c r="E1327" s="1" t="s">
        <v>266</v>
      </c>
      <c r="F1327" s="1" t="s">
        <v>42</v>
      </c>
      <c r="G1327" s="2" t="s">
        <v>3</v>
      </c>
      <c r="H1327" s="3" t="s">
        <v>88</v>
      </c>
      <c r="I1327" s="3" t="s">
        <v>85</v>
      </c>
      <c r="J1327" s="3" t="s">
        <v>57</v>
      </c>
      <c r="K1327" s="4">
        <v>292.11</v>
      </c>
      <c r="L1327" s="6">
        <v>15.42</v>
      </c>
    </row>
    <row r="1328" spans="1:12" x14ac:dyDescent="0.25">
      <c r="A1328" s="1">
        <v>1327</v>
      </c>
      <c r="B1328" s="4">
        <v>9671</v>
      </c>
      <c r="C1328" s="5">
        <v>40798</v>
      </c>
      <c r="D1328" s="3" t="s">
        <v>89</v>
      </c>
      <c r="E1328" s="1" t="s">
        <v>216</v>
      </c>
      <c r="F1328" s="1" t="s">
        <v>45</v>
      </c>
      <c r="G1328" s="2" t="s">
        <v>3</v>
      </c>
      <c r="H1328" s="3" t="s">
        <v>88</v>
      </c>
      <c r="I1328" s="3" t="s">
        <v>85</v>
      </c>
      <c r="J1328" s="3" t="s">
        <v>69</v>
      </c>
      <c r="K1328" s="4">
        <v>12.61</v>
      </c>
      <c r="L1328" s="6">
        <v>1.88</v>
      </c>
    </row>
    <row r="1329" spans="1:12" x14ac:dyDescent="0.25">
      <c r="A1329" s="1">
        <v>1328</v>
      </c>
      <c r="B1329" s="4">
        <v>9696</v>
      </c>
      <c r="C1329" s="5">
        <v>40593</v>
      </c>
      <c r="D1329" s="3" t="s">
        <v>86</v>
      </c>
      <c r="E1329" s="1" t="s">
        <v>206</v>
      </c>
      <c r="F1329" s="1" t="s">
        <v>12</v>
      </c>
      <c r="G1329" s="2" t="s">
        <v>2</v>
      </c>
      <c r="H1329" s="3" t="s">
        <v>88</v>
      </c>
      <c r="I1329" s="3" t="s">
        <v>85</v>
      </c>
      <c r="J1329" s="3" t="s">
        <v>69</v>
      </c>
      <c r="K1329" s="4">
        <v>110.15</v>
      </c>
      <c r="L1329" s="6">
        <v>6.75</v>
      </c>
    </row>
    <row r="1330" spans="1:12" x14ac:dyDescent="0.25">
      <c r="A1330" s="1">
        <v>1329</v>
      </c>
      <c r="B1330" s="4">
        <v>9696</v>
      </c>
      <c r="C1330" s="5">
        <v>40593</v>
      </c>
      <c r="D1330" s="3" t="s">
        <v>86</v>
      </c>
      <c r="E1330" s="1" t="s">
        <v>206</v>
      </c>
      <c r="F1330" s="1" t="s">
        <v>12</v>
      </c>
      <c r="G1330" s="2" t="s">
        <v>2</v>
      </c>
      <c r="H1330" s="3" t="s">
        <v>88</v>
      </c>
      <c r="I1330" s="3" t="s">
        <v>91</v>
      </c>
      <c r="J1330" s="3" t="s">
        <v>72</v>
      </c>
      <c r="K1330" s="4">
        <v>3335.27</v>
      </c>
      <c r="L1330" s="6">
        <v>243.98</v>
      </c>
    </row>
    <row r="1331" spans="1:12" x14ac:dyDescent="0.25">
      <c r="A1331" s="1">
        <v>1330</v>
      </c>
      <c r="B1331" s="4">
        <v>9700</v>
      </c>
      <c r="C1331" s="5">
        <v>40763</v>
      </c>
      <c r="D1331" s="3" t="s">
        <v>95</v>
      </c>
      <c r="E1331" s="1" t="s">
        <v>704</v>
      </c>
      <c r="F1331" s="1" t="s">
        <v>23</v>
      </c>
      <c r="G1331" s="2" t="s">
        <v>3</v>
      </c>
      <c r="H1331" s="3" t="s">
        <v>100</v>
      </c>
      <c r="I1331" s="3" t="s">
        <v>85</v>
      </c>
      <c r="J1331" s="3" t="s">
        <v>58</v>
      </c>
      <c r="K1331" s="4">
        <v>106.06</v>
      </c>
      <c r="L1331" s="6">
        <v>3.14</v>
      </c>
    </row>
    <row r="1332" spans="1:12" x14ac:dyDescent="0.25">
      <c r="A1332" s="1">
        <v>1331</v>
      </c>
      <c r="B1332" s="4">
        <v>9701</v>
      </c>
      <c r="C1332" s="5">
        <v>40236</v>
      </c>
      <c r="D1332" s="3" t="s">
        <v>82</v>
      </c>
      <c r="E1332" s="1" t="s">
        <v>407</v>
      </c>
      <c r="F1332" s="1" t="s">
        <v>34</v>
      </c>
      <c r="G1332" s="2" t="s">
        <v>1</v>
      </c>
      <c r="H1332" s="3" t="s">
        <v>84</v>
      </c>
      <c r="I1332" s="3" t="s">
        <v>85</v>
      </c>
      <c r="J1332" s="3" t="s">
        <v>69</v>
      </c>
      <c r="K1332" s="4">
        <v>103.75</v>
      </c>
      <c r="L1332" s="6">
        <v>12.97</v>
      </c>
    </row>
    <row r="1333" spans="1:12" x14ac:dyDescent="0.25">
      <c r="A1333" s="1">
        <v>1332</v>
      </c>
      <c r="B1333" s="4">
        <v>9701</v>
      </c>
      <c r="C1333" s="5">
        <v>40236</v>
      </c>
      <c r="D1333" s="3" t="s">
        <v>82</v>
      </c>
      <c r="E1333" s="1" t="s">
        <v>407</v>
      </c>
      <c r="F1333" s="1" t="s">
        <v>34</v>
      </c>
      <c r="G1333" s="2" t="s">
        <v>1</v>
      </c>
      <c r="H1333" s="3" t="s">
        <v>84</v>
      </c>
      <c r="I1333" s="3" t="s">
        <v>92</v>
      </c>
      <c r="J1333" s="3" t="s">
        <v>61</v>
      </c>
      <c r="K1333" s="4">
        <v>855.86500000000001</v>
      </c>
      <c r="L1333" s="6">
        <v>110.99</v>
      </c>
    </row>
    <row r="1334" spans="1:12" x14ac:dyDescent="0.25">
      <c r="A1334" s="1">
        <v>1333</v>
      </c>
      <c r="B1334" s="4">
        <v>9733</v>
      </c>
      <c r="C1334" s="5">
        <v>39889</v>
      </c>
      <c r="D1334" s="3" t="s">
        <v>86</v>
      </c>
      <c r="E1334" s="1" t="s">
        <v>160</v>
      </c>
      <c r="F1334" s="1" t="s">
        <v>31</v>
      </c>
      <c r="G1334" s="2" t="s">
        <v>1</v>
      </c>
      <c r="H1334" s="3" t="s">
        <v>97</v>
      </c>
      <c r="I1334" s="3" t="s">
        <v>85</v>
      </c>
      <c r="J1334" s="3" t="s">
        <v>66</v>
      </c>
      <c r="K1334" s="4">
        <v>223.64</v>
      </c>
      <c r="L1334" s="6">
        <v>5.98</v>
      </c>
    </row>
    <row r="1335" spans="1:12" x14ac:dyDescent="0.25">
      <c r="A1335" s="1">
        <v>1334</v>
      </c>
      <c r="B1335" s="4">
        <v>9761</v>
      </c>
      <c r="C1335" s="5">
        <v>40930</v>
      </c>
      <c r="D1335" s="3" t="s">
        <v>86</v>
      </c>
      <c r="E1335" s="1" t="s">
        <v>570</v>
      </c>
      <c r="F1335" s="1" t="s">
        <v>22</v>
      </c>
      <c r="G1335" s="2" t="s">
        <v>6</v>
      </c>
      <c r="H1335" s="3" t="s">
        <v>84</v>
      </c>
      <c r="I1335" s="3" t="s">
        <v>92</v>
      </c>
      <c r="J1335" s="3" t="s">
        <v>67</v>
      </c>
      <c r="K1335" s="4">
        <v>202.64</v>
      </c>
      <c r="L1335" s="6">
        <v>90.97</v>
      </c>
    </row>
    <row r="1336" spans="1:12" x14ac:dyDescent="0.25">
      <c r="A1336" s="1">
        <v>1335</v>
      </c>
      <c r="B1336" s="4">
        <v>9761</v>
      </c>
      <c r="C1336" s="5">
        <v>40930</v>
      </c>
      <c r="D1336" s="3" t="s">
        <v>86</v>
      </c>
      <c r="E1336" s="1" t="s">
        <v>705</v>
      </c>
      <c r="F1336" s="1" t="s">
        <v>22</v>
      </c>
      <c r="G1336" s="2" t="s">
        <v>6</v>
      </c>
      <c r="H1336" s="3" t="s">
        <v>84</v>
      </c>
      <c r="I1336" s="3" t="s">
        <v>85</v>
      </c>
      <c r="J1336" s="3" t="s">
        <v>66</v>
      </c>
      <c r="K1336" s="4">
        <v>133.69</v>
      </c>
      <c r="L1336" s="6">
        <v>5.98</v>
      </c>
    </row>
    <row r="1337" spans="1:12" x14ac:dyDescent="0.25">
      <c r="A1337" s="1">
        <v>1336</v>
      </c>
      <c r="B1337" s="4">
        <v>9762</v>
      </c>
      <c r="C1337" s="5">
        <v>39816</v>
      </c>
      <c r="D1337" s="3" t="s">
        <v>89</v>
      </c>
      <c r="E1337" s="1" t="s">
        <v>706</v>
      </c>
      <c r="F1337" s="1" t="s">
        <v>33</v>
      </c>
      <c r="G1337" s="2" t="s">
        <v>2</v>
      </c>
      <c r="H1337" s="3" t="s">
        <v>97</v>
      </c>
      <c r="I1337" s="3" t="s">
        <v>91</v>
      </c>
      <c r="J1337" s="3" t="s">
        <v>59</v>
      </c>
      <c r="K1337" s="4">
        <v>262.76</v>
      </c>
      <c r="L1337" s="6">
        <v>20.98</v>
      </c>
    </row>
    <row r="1338" spans="1:12" x14ac:dyDescent="0.25">
      <c r="A1338" s="1">
        <v>1337</v>
      </c>
      <c r="B1338" s="4">
        <v>9763</v>
      </c>
      <c r="C1338" s="5">
        <v>40768</v>
      </c>
      <c r="D1338" s="3" t="s">
        <v>4</v>
      </c>
      <c r="E1338" s="1" t="s">
        <v>325</v>
      </c>
      <c r="F1338" s="1" t="s">
        <v>8</v>
      </c>
      <c r="G1338" s="2" t="s">
        <v>6</v>
      </c>
      <c r="H1338" s="3" t="s">
        <v>88</v>
      </c>
      <c r="I1338" s="3" t="s">
        <v>85</v>
      </c>
      <c r="J1338" s="3" t="s">
        <v>65</v>
      </c>
      <c r="K1338" s="4">
        <v>176.26</v>
      </c>
      <c r="L1338" s="6">
        <v>4.13</v>
      </c>
    </row>
    <row r="1339" spans="1:12" x14ac:dyDescent="0.25">
      <c r="A1339" s="1">
        <v>1338</v>
      </c>
      <c r="B1339" s="4">
        <v>9765</v>
      </c>
      <c r="C1339" s="5">
        <v>41194</v>
      </c>
      <c r="D1339" s="3" t="s">
        <v>82</v>
      </c>
      <c r="E1339" s="1" t="s">
        <v>662</v>
      </c>
      <c r="F1339" s="1" t="s">
        <v>18</v>
      </c>
      <c r="G1339" s="2" t="s">
        <v>6</v>
      </c>
      <c r="H1339" s="3" t="s">
        <v>97</v>
      </c>
      <c r="I1339" s="3" t="s">
        <v>91</v>
      </c>
      <c r="J1339" s="3" t="s">
        <v>72</v>
      </c>
      <c r="K1339" s="4">
        <v>3505.6</v>
      </c>
      <c r="L1339" s="6">
        <v>128.24</v>
      </c>
    </row>
    <row r="1340" spans="1:12" x14ac:dyDescent="0.25">
      <c r="A1340" s="1">
        <v>1339</v>
      </c>
      <c r="B1340" s="4">
        <v>9792</v>
      </c>
      <c r="C1340" s="5">
        <v>40747</v>
      </c>
      <c r="D1340" s="3" t="s">
        <v>82</v>
      </c>
      <c r="E1340" s="1" t="s">
        <v>707</v>
      </c>
      <c r="F1340" s="1" t="s">
        <v>11</v>
      </c>
      <c r="G1340" s="2" t="s">
        <v>6</v>
      </c>
      <c r="H1340" s="3" t="s">
        <v>100</v>
      </c>
      <c r="I1340" s="3" t="s">
        <v>85</v>
      </c>
      <c r="J1340" s="3" t="s">
        <v>69</v>
      </c>
      <c r="K1340" s="4">
        <v>84.09</v>
      </c>
      <c r="L1340" s="6">
        <v>5.4</v>
      </c>
    </row>
    <row r="1341" spans="1:12" x14ac:dyDescent="0.25">
      <c r="A1341" s="1">
        <v>1340</v>
      </c>
      <c r="B1341" s="4">
        <v>9794</v>
      </c>
      <c r="C1341" s="5">
        <v>40992</v>
      </c>
      <c r="D1341" s="3" t="s">
        <v>86</v>
      </c>
      <c r="E1341" s="1" t="s">
        <v>453</v>
      </c>
      <c r="F1341" s="1" t="s">
        <v>36</v>
      </c>
      <c r="G1341" s="2" t="s">
        <v>2</v>
      </c>
      <c r="H1341" s="3" t="s">
        <v>100</v>
      </c>
      <c r="I1341" s="3" t="s">
        <v>85</v>
      </c>
      <c r="J1341" s="3" t="s">
        <v>58</v>
      </c>
      <c r="K1341" s="4">
        <v>135.22999999999999</v>
      </c>
      <c r="L1341" s="6">
        <v>5.68</v>
      </c>
    </row>
    <row r="1342" spans="1:12" x14ac:dyDescent="0.25">
      <c r="A1342" s="1">
        <v>1341</v>
      </c>
      <c r="B1342" s="4">
        <v>9796</v>
      </c>
      <c r="C1342" s="5">
        <v>40431</v>
      </c>
      <c r="D1342" s="3" t="s">
        <v>95</v>
      </c>
      <c r="E1342" s="1" t="s">
        <v>419</v>
      </c>
      <c r="F1342" s="1" t="s">
        <v>9</v>
      </c>
      <c r="G1342" s="2" t="s">
        <v>2</v>
      </c>
      <c r="H1342" s="3" t="s">
        <v>88</v>
      </c>
      <c r="I1342" s="3" t="s">
        <v>92</v>
      </c>
      <c r="J1342" s="3" t="s">
        <v>62</v>
      </c>
      <c r="K1342" s="4">
        <v>1222.5899999999999</v>
      </c>
      <c r="L1342" s="6">
        <v>40.97</v>
      </c>
    </row>
    <row r="1343" spans="1:12" x14ac:dyDescent="0.25">
      <c r="A1343" s="1">
        <v>1342</v>
      </c>
      <c r="B1343" s="4">
        <v>9824</v>
      </c>
      <c r="C1343" s="5">
        <v>40565</v>
      </c>
      <c r="D1343" s="3" t="s">
        <v>95</v>
      </c>
      <c r="E1343" s="1" t="s">
        <v>423</v>
      </c>
      <c r="F1343" s="1" t="s">
        <v>24</v>
      </c>
      <c r="G1343" s="2" t="s">
        <v>2</v>
      </c>
      <c r="H1343" s="3" t="s">
        <v>100</v>
      </c>
      <c r="I1343" s="3" t="s">
        <v>85</v>
      </c>
      <c r="J1343" s="3" t="s">
        <v>70</v>
      </c>
      <c r="K1343" s="4">
        <v>1939.66</v>
      </c>
      <c r="L1343" s="6">
        <v>48.92</v>
      </c>
    </row>
    <row r="1344" spans="1:12" x14ac:dyDescent="0.25">
      <c r="A1344" s="1">
        <v>1343</v>
      </c>
      <c r="B1344" s="4">
        <v>9824</v>
      </c>
      <c r="C1344" s="5">
        <v>40565</v>
      </c>
      <c r="D1344" s="3" t="s">
        <v>95</v>
      </c>
      <c r="E1344" s="1" t="s">
        <v>423</v>
      </c>
      <c r="F1344" s="1" t="s">
        <v>24</v>
      </c>
      <c r="G1344" s="2" t="s">
        <v>2</v>
      </c>
      <c r="H1344" s="3" t="s">
        <v>100</v>
      </c>
      <c r="I1344" s="3" t="s">
        <v>85</v>
      </c>
      <c r="J1344" s="3" t="s">
        <v>65</v>
      </c>
      <c r="K1344" s="4">
        <v>21.56</v>
      </c>
      <c r="L1344" s="6">
        <v>4.13</v>
      </c>
    </row>
    <row r="1345" spans="1:12" x14ac:dyDescent="0.25">
      <c r="A1345" s="1">
        <v>1344</v>
      </c>
      <c r="B1345" s="4">
        <v>9824</v>
      </c>
      <c r="C1345" s="5">
        <v>40565</v>
      </c>
      <c r="D1345" s="3" t="s">
        <v>95</v>
      </c>
      <c r="E1345" s="1" t="s">
        <v>423</v>
      </c>
      <c r="F1345" s="1" t="s">
        <v>24</v>
      </c>
      <c r="G1345" s="2" t="s">
        <v>2</v>
      </c>
      <c r="H1345" s="3" t="s">
        <v>100</v>
      </c>
      <c r="I1345" s="3" t="s">
        <v>85</v>
      </c>
      <c r="J1345" s="3" t="s">
        <v>63</v>
      </c>
      <c r="K1345" s="4">
        <v>115.81</v>
      </c>
      <c r="L1345" s="6">
        <v>2.88</v>
      </c>
    </row>
    <row r="1346" spans="1:12" x14ac:dyDescent="0.25">
      <c r="A1346" s="1">
        <v>1345</v>
      </c>
      <c r="B1346" s="4">
        <v>9826</v>
      </c>
      <c r="C1346" s="5">
        <v>40990</v>
      </c>
      <c r="D1346" s="3" t="s">
        <v>4</v>
      </c>
      <c r="E1346" s="1" t="s">
        <v>323</v>
      </c>
      <c r="F1346" s="1" t="s">
        <v>23</v>
      </c>
      <c r="G1346" s="2" t="s">
        <v>3</v>
      </c>
      <c r="H1346" s="3" t="s">
        <v>100</v>
      </c>
      <c r="I1346" s="3" t="s">
        <v>92</v>
      </c>
      <c r="J1346" s="3" t="s">
        <v>62</v>
      </c>
      <c r="K1346" s="4">
        <v>131.61000000000001</v>
      </c>
      <c r="L1346" s="6">
        <v>17.48</v>
      </c>
    </row>
    <row r="1347" spans="1:12" x14ac:dyDescent="0.25">
      <c r="A1347" s="1">
        <v>1346</v>
      </c>
      <c r="B1347" s="4">
        <v>9829</v>
      </c>
      <c r="C1347" s="5">
        <v>40885</v>
      </c>
      <c r="D1347" s="3" t="s">
        <v>95</v>
      </c>
      <c r="E1347" s="1" t="s">
        <v>128</v>
      </c>
      <c r="F1347" s="1" t="s">
        <v>29</v>
      </c>
      <c r="G1347" s="2" t="s">
        <v>3</v>
      </c>
      <c r="H1347" s="3" t="s">
        <v>100</v>
      </c>
      <c r="I1347" s="3" t="s">
        <v>85</v>
      </c>
      <c r="J1347" s="3" t="s">
        <v>69</v>
      </c>
      <c r="K1347" s="4">
        <v>750.39</v>
      </c>
      <c r="L1347" s="6">
        <v>30.98</v>
      </c>
    </row>
    <row r="1348" spans="1:12" x14ac:dyDescent="0.25">
      <c r="A1348" s="1">
        <v>1347</v>
      </c>
      <c r="B1348" s="4">
        <v>9829</v>
      </c>
      <c r="C1348" s="5">
        <v>40885</v>
      </c>
      <c r="D1348" s="3" t="s">
        <v>95</v>
      </c>
      <c r="E1348" s="1" t="s">
        <v>128</v>
      </c>
      <c r="F1348" s="1" t="s">
        <v>29</v>
      </c>
      <c r="G1348" s="2" t="s">
        <v>3</v>
      </c>
      <c r="H1348" s="3" t="s">
        <v>100</v>
      </c>
      <c r="I1348" s="3" t="s">
        <v>85</v>
      </c>
      <c r="J1348" s="3" t="s">
        <v>65</v>
      </c>
      <c r="K1348" s="4">
        <v>18.46</v>
      </c>
      <c r="L1348" s="6">
        <v>4.91</v>
      </c>
    </row>
    <row r="1349" spans="1:12" x14ac:dyDescent="0.25">
      <c r="A1349" s="1">
        <v>1348</v>
      </c>
      <c r="B1349" s="4">
        <v>9857</v>
      </c>
      <c r="C1349" s="5">
        <v>40309</v>
      </c>
      <c r="D1349" s="3" t="s">
        <v>89</v>
      </c>
      <c r="E1349" s="1" t="s">
        <v>708</v>
      </c>
      <c r="F1349" s="1" t="s">
        <v>35</v>
      </c>
      <c r="G1349" s="2" t="s">
        <v>1</v>
      </c>
      <c r="H1349" s="3" t="s">
        <v>97</v>
      </c>
      <c r="I1349" s="3" t="s">
        <v>85</v>
      </c>
      <c r="J1349" s="3" t="s">
        <v>71</v>
      </c>
      <c r="K1349" s="4">
        <v>2366.1799999999998</v>
      </c>
      <c r="L1349" s="6">
        <v>162.93</v>
      </c>
    </row>
    <row r="1350" spans="1:12" x14ac:dyDescent="0.25">
      <c r="A1350" s="1">
        <v>1349</v>
      </c>
      <c r="B1350" s="4">
        <v>9857</v>
      </c>
      <c r="C1350" s="5">
        <v>40309</v>
      </c>
      <c r="D1350" s="3" t="s">
        <v>89</v>
      </c>
      <c r="E1350" s="1" t="s">
        <v>708</v>
      </c>
      <c r="F1350" s="1" t="s">
        <v>35</v>
      </c>
      <c r="G1350" s="2" t="s">
        <v>1</v>
      </c>
      <c r="H1350" s="3" t="s">
        <v>97</v>
      </c>
      <c r="I1350" s="3" t="s">
        <v>91</v>
      </c>
      <c r="J1350" s="3" t="s">
        <v>59</v>
      </c>
      <c r="K1350" s="4">
        <v>675.71</v>
      </c>
      <c r="L1350" s="6">
        <v>13.79</v>
      </c>
    </row>
    <row r="1351" spans="1:12" x14ac:dyDescent="0.25">
      <c r="A1351" s="1">
        <v>1350</v>
      </c>
      <c r="B1351" s="4">
        <v>9857</v>
      </c>
      <c r="C1351" s="5">
        <v>40309</v>
      </c>
      <c r="D1351" s="3" t="s">
        <v>89</v>
      </c>
      <c r="E1351" s="1" t="s">
        <v>708</v>
      </c>
      <c r="F1351" s="1" t="s">
        <v>35</v>
      </c>
      <c r="G1351" s="2" t="s">
        <v>1</v>
      </c>
      <c r="H1351" s="3" t="s">
        <v>97</v>
      </c>
      <c r="I1351" s="3" t="s">
        <v>92</v>
      </c>
      <c r="J1351" s="3" t="s">
        <v>61</v>
      </c>
      <c r="K1351" s="4">
        <v>292.97800000000001</v>
      </c>
      <c r="L1351" s="6">
        <v>20.99</v>
      </c>
    </row>
    <row r="1352" spans="1:12" x14ac:dyDescent="0.25">
      <c r="A1352" s="1">
        <v>1351</v>
      </c>
      <c r="B1352" s="4">
        <v>9857</v>
      </c>
      <c r="C1352" s="5">
        <v>40309</v>
      </c>
      <c r="D1352" s="3" t="s">
        <v>89</v>
      </c>
      <c r="E1352" s="1" t="s">
        <v>709</v>
      </c>
      <c r="F1352" s="1" t="s">
        <v>17</v>
      </c>
      <c r="G1352" s="2" t="s">
        <v>2</v>
      </c>
      <c r="H1352" s="3" t="s">
        <v>97</v>
      </c>
      <c r="I1352" s="3" t="s">
        <v>92</v>
      </c>
      <c r="J1352" s="3" t="s">
        <v>61</v>
      </c>
      <c r="K1352" s="4">
        <v>3615.8405000000002</v>
      </c>
      <c r="L1352" s="6">
        <v>85.99</v>
      </c>
    </row>
    <row r="1353" spans="1:12" x14ac:dyDescent="0.25">
      <c r="A1353" s="1">
        <v>1352</v>
      </c>
      <c r="B1353" s="4">
        <v>9860</v>
      </c>
      <c r="C1353" s="5">
        <v>40461</v>
      </c>
      <c r="D1353" s="3" t="s">
        <v>95</v>
      </c>
      <c r="E1353" s="1" t="s">
        <v>602</v>
      </c>
      <c r="F1353" s="1" t="s">
        <v>11</v>
      </c>
      <c r="G1353" s="2" t="s">
        <v>6</v>
      </c>
      <c r="H1353" s="3" t="s">
        <v>97</v>
      </c>
      <c r="I1353" s="3" t="s">
        <v>92</v>
      </c>
      <c r="J1353" s="3" t="s">
        <v>62</v>
      </c>
      <c r="K1353" s="4">
        <v>319.69</v>
      </c>
      <c r="L1353" s="6">
        <v>7.28</v>
      </c>
    </row>
    <row r="1354" spans="1:12" x14ac:dyDescent="0.25">
      <c r="A1354" s="1">
        <v>1353</v>
      </c>
      <c r="B1354" s="4">
        <v>9861</v>
      </c>
      <c r="C1354" s="5">
        <v>41210</v>
      </c>
      <c r="D1354" s="3" t="s">
        <v>82</v>
      </c>
      <c r="E1354" s="1" t="s">
        <v>563</v>
      </c>
      <c r="F1354" s="1" t="s">
        <v>25</v>
      </c>
      <c r="G1354" s="2" t="s">
        <v>6</v>
      </c>
      <c r="H1354" s="3" t="s">
        <v>88</v>
      </c>
      <c r="I1354" s="3" t="s">
        <v>85</v>
      </c>
      <c r="J1354" s="3" t="s">
        <v>63</v>
      </c>
      <c r="K1354" s="4">
        <v>706.68</v>
      </c>
      <c r="L1354" s="6">
        <v>15.94</v>
      </c>
    </row>
    <row r="1355" spans="1:12" x14ac:dyDescent="0.25">
      <c r="A1355" s="1">
        <v>1354</v>
      </c>
      <c r="B1355" s="4">
        <v>9863</v>
      </c>
      <c r="C1355" s="5">
        <v>40790</v>
      </c>
      <c r="D1355" s="3" t="s">
        <v>95</v>
      </c>
      <c r="E1355" s="1" t="s">
        <v>258</v>
      </c>
      <c r="F1355" s="1" t="s">
        <v>22</v>
      </c>
      <c r="G1355" s="2" t="s">
        <v>6</v>
      </c>
      <c r="H1355" s="3" t="s">
        <v>97</v>
      </c>
      <c r="I1355" s="3" t="s">
        <v>85</v>
      </c>
      <c r="J1355" s="3" t="s">
        <v>63</v>
      </c>
      <c r="K1355" s="4">
        <v>33.96</v>
      </c>
      <c r="L1355" s="6">
        <v>1.76</v>
      </c>
    </row>
    <row r="1356" spans="1:12" x14ac:dyDescent="0.25">
      <c r="A1356" s="1">
        <v>1355</v>
      </c>
      <c r="B1356" s="4">
        <v>9888</v>
      </c>
      <c r="C1356" s="5">
        <v>40068</v>
      </c>
      <c r="D1356" s="3" t="s">
        <v>82</v>
      </c>
      <c r="E1356" s="1" t="s">
        <v>710</v>
      </c>
      <c r="F1356" s="1" t="s">
        <v>12</v>
      </c>
      <c r="G1356" s="2" t="s">
        <v>2</v>
      </c>
      <c r="H1356" s="3" t="s">
        <v>88</v>
      </c>
      <c r="I1356" s="3" t="s">
        <v>92</v>
      </c>
      <c r="J1356" s="3" t="s">
        <v>61</v>
      </c>
      <c r="K1356" s="4">
        <v>8374.1319999999996</v>
      </c>
      <c r="L1356" s="6">
        <v>205.99</v>
      </c>
    </row>
    <row r="1357" spans="1:12" x14ac:dyDescent="0.25">
      <c r="A1357" s="1">
        <v>1356</v>
      </c>
      <c r="B1357" s="4">
        <v>9892</v>
      </c>
      <c r="C1357" s="5">
        <v>41106</v>
      </c>
      <c r="D1357" s="3" t="s">
        <v>4</v>
      </c>
      <c r="E1357" s="1" t="s">
        <v>711</v>
      </c>
      <c r="F1357" s="1" t="s">
        <v>28</v>
      </c>
      <c r="G1357" s="2" t="s">
        <v>6</v>
      </c>
      <c r="H1357" s="3" t="s">
        <v>88</v>
      </c>
      <c r="I1357" s="3" t="s">
        <v>85</v>
      </c>
      <c r="J1357" s="3" t="s">
        <v>71</v>
      </c>
      <c r="K1357" s="4">
        <v>1406.64</v>
      </c>
      <c r="L1357" s="6">
        <v>27.18</v>
      </c>
    </row>
    <row r="1358" spans="1:12" x14ac:dyDescent="0.25">
      <c r="A1358" s="1">
        <v>1357</v>
      </c>
      <c r="B1358" s="4">
        <v>9893</v>
      </c>
      <c r="C1358" s="5">
        <v>40041</v>
      </c>
      <c r="D1358" s="3" t="s">
        <v>4</v>
      </c>
      <c r="E1358" s="1" t="s">
        <v>187</v>
      </c>
      <c r="F1358" s="1" t="s">
        <v>13</v>
      </c>
      <c r="G1358" s="2" t="s">
        <v>6</v>
      </c>
      <c r="H1358" s="3" t="s">
        <v>97</v>
      </c>
      <c r="I1358" s="3" t="s">
        <v>91</v>
      </c>
      <c r="J1358" s="3" t="s">
        <v>72</v>
      </c>
      <c r="K1358" s="4">
        <v>192.49</v>
      </c>
      <c r="L1358" s="6">
        <v>160.97999999999999</v>
      </c>
    </row>
    <row r="1359" spans="1:12" x14ac:dyDescent="0.25">
      <c r="A1359" s="1">
        <v>1358</v>
      </c>
      <c r="B1359" s="4">
        <v>9894</v>
      </c>
      <c r="C1359" s="5">
        <v>39890</v>
      </c>
      <c r="D1359" s="3" t="s">
        <v>89</v>
      </c>
      <c r="E1359" s="1" t="s">
        <v>712</v>
      </c>
      <c r="F1359" s="1" t="s">
        <v>39</v>
      </c>
      <c r="G1359" s="2" t="s">
        <v>1</v>
      </c>
      <c r="H1359" s="3" t="s">
        <v>84</v>
      </c>
      <c r="I1359" s="3" t="s">
        <v>91</v>
      </c>
      <c r="J1359" s="3" t="s">
        <v>72</v>
      </c>
      <c r="K1359" s="4">
        <v>5403.75</v>
      </c>
      <c r="L1359" s="6">
        <v>355.98</v>
      </c>
    </row>
    <row r="1360" spans="1:12" x14ac:dyDescent="0.25">
      <c r="A1360" s="1">
        <v>1359</v>
      </c>
      <c r="B1360" s="4">
        <v>9895</v>
      </c>
      <c r="C1360" s="5">
        <v>40288</v>
      </c>
      <c r="D1360" s="3" t="s">
        <v>82</v>
      </c>
      <c r="E1360" s="1" t="s">
        <v>713</v>
      </c>
      <c r="F1360" s="1" t="s">
        <v>55</v>
      </c>
      <c r="G1360" s="2" t="s">
        <v>2</v>
      </c>
      <c r="H1360" s="3" t="s">
        <v>84</v>
      </c>
      <c r="I1360" s="3" t="s">
        <v>85</v>
      </c>
      <c r="J1360" s="3" t="s">
        <v>63</v>
      </c>
      <c r="K1360" s="4">
        <v>54.79</v>
      </c>
      <c r="L1360" s="6">
        <v>5.85</v>
      </c>
    </row>
    <row r="1361" spans="1:12" x14ac:dyDescent="0.25">
      <c r="A1361" s="1">
        <v>1360</v>
      </c>
      <c r="B1361" s="4">
        <v>9921</v>
      </c>
      <c r="C1361" s="5">
        <v>40677</v>
      </c>
      <c r="D1361" s="3" t="s">
        <v>82</v>
      </c>
      <c r="E1361" s="1" t="s">
        <v>609</v>
      </c>
      <c r="F1361" s="1" t="s">
        <v>19</v>
      </c>
      <c r="G1361" s="2" t="s">
        <v>3</v>
      </c>
      <c r="H1361" s="3" t="s">
        <v>97</v>
      </c>
      <c r="I1361" s="3" t="s">
        <v>85</v>
      </c>
      <c r="J1361" s="3" t="s">
        <v>71</v>
      </c>
      <c r="K1361" s="4">
        <v>356.09</v>
      </c>
      <c r="L1361" s="6">
        <v>15.67</v>
      </c>
    </row>
    <row r="1362" spans="1:12" x14ac:dyDescent="0.25">
      <c r="A1362" s="1">
        <v>1361</v>
      </c>
      <c r="B1362" s="4">
        <v>9922</v>
      </c>
      <c r="C1362" s="5">
        <v>40636</v>
      </c>
      <c r="D1362" s="3" t="s">
        <v>86</v>
      </c>
      <c r="E1362" s="1" t="s">
        <v>714</v>
      </c>
      <c r="F1362" s="1" t="s">
        <v>52</v>
      </c>
      <c r="G1362" s="2" t="s">
        <v>3</v>
      </c>
      <c r="H1362" s="3" t="s">
        <v>100</v>
      </c>
      <c r="I1362" s="3" t="s">
        <v>92</v>
      </c>
      <c r="J1362" s="3" t="s">
        <v>62</v>
      </c>
      <c r="K1362" s="4">
        <v>1075.9100000000001</v>
      </c>
      <c r="L1362" s="6">
        <v>39.979999999999997</v>
      </c>
    </row>
    <row r="1363" spans="1:12" x14ac:dyDescent="0.25">
      <c r="A1363" s="1">
        <v>1362</v>
      </c>
      <c r="B1363" s="4">
        <v>9922</v>
      </c>
      <c r="C1363" s="5">
        <v>40636</v>
      </c>
      <c r="D1363" s="3" t="s">
        <v>86</v>
      </c>
      <c r="E1363" s="1" t="s">
        <v>714</v>
      </c>
      <c r="F1363" s="1" t="s">
        <v>52</v>
      </c>
      <c r="G1363" s="2" t="s">
        <v>3</v>
      </c>
      <c r="H1363" s="3" t="s">
        <v>100</v>
      </c>
      <c r="I1363" s="3" t="s">
        <v>92</v>
      </c>
      <c r="J1363" s="3" t="s">
        <v>61</v>
      </c>
      <c r="K1363" s="4">
        <v>1176.8589999999999</v>
      </c>
      <c r="L1363" s="6">
        <v>65.989999999999995</v>
      </c>
    </row>
    <row r="1364" spans="1:12" x14ac:dyDescent="0.25">
      <c r="A1364" s="1">
        <v>1363</v>
      </c>
      <c r="B1364" s="4">
        <v>9922</v>
      </c>
      <c r="C1364" s="5">
        <v>40636</v>
      </c>
      <c r="D1364" s="3" t="s">
        <v>86</v>
      </c>
      <c r="E1364" s="1" t="s">
        <v>303</v>
      </c>
      <c r="F1364" s="1" t="s">
        <v>25</v>
      </c>
      <c r="G1364" s="2" t="s">
        <v>6</v>
      </c>
      <c r="H1364" s="3" t="s">
        <v>100</v>
      </c>
      <c r="I1364" s="3" t="s">
        <v>91</v>
      </c>
      <c r="J1364" s="3" t="s">
        <v>60</v>
      </c>
      <c r="K1364" s="4">
        <v>6408.3</v>
      </c>
      <c r="L1364" s="6">
        <v>280.98</v>
      </c>
    </row>
    <row r="1365" spans="1:12" x14ac:dyDescent="0.25">
      <c r="A1365" s="1">
        <v>1364</v>
      </c>
      <c r="B1365" s="4">
        <v>9923</v>
      </c>
      <c r="C1365" s="5">
        <v>40091</v>
      </c>
      <c r="D1365" s="3" t="s">
        <v>89</v>
      </c>
      <c r="E1365" s="1" t="s">
        <v>563</v>
      </c>
      <c r="F1365" s="1" t="s">
        <v>25</v>
      </c>
      <c r="G1365" s="2" t="s">
        <v>6</v>
      </c>
      <c r="H1365" s="3" t="s">
        <v>88</v>
      </c>
      <c r="I1365" s="3" t="s">
        <v>91</v>
      </c>
      <c r="J1365" s="3" t="s">
        <v>59</v>
      </c>
      <c r="K1365" s="4">
        <v>63.71</v>
      </c>
      <c r="L1365" s="6">
        <v>2.08</v>
      </c>
    </row>
    <row r="1366" spans="1:12" x14ac:dyDescent="0.25">
      <c r="A1366" s="1">
        <v>1365</v>
      </c>
      <c r="B1366" s="4">
        <v>9923</v>
      </c>
      <c r="C1366" s="5">
        <v>40091</v>
      </c>
      <c r="D1366" s="3" t="s">
        <v>89</v>
      </c>
      <c r="E1366" s="1" t="s">
        <v>563</v>
      </c>
      <c r="F1366" s="1" t="s">
        <v>25</v>
      </c>
      <c r="G1366" s="2" t="s">
        <v>6</v>
      </c>
      <c r="H1366" s="3" t="s">
        <v>88</v>
      </c>
      <c r="I1366" s="3" t="s">
        <v>85</v>
      </c>
      <c r="J1366" s="3" t="s">
        <v>57</v>
      </c>
      <c r="K1366" s="4">
        <v>5388.8</v>
      </c>
      <c r="L1366" s="6">
        <v>370.98</v>
      </c>
    </row>
    <row r="1367" spans="1:12" x14ac:dyDescent="0.25">
      <c r="A1367" s="1">
        <v>1366</v>
      </c>
      <c r="B1367" s="4">
        <v>9925</v>
      </c>
      <c r="C1367" s="5">
        <v>40938</v>
      </c>
      <c r="D1367" s="3" t="s">
        <v>95</v>
      </c>
      <c r="E1367" s="1" t="s">
        <v>563</v>
      </c>
      <c r="F1367" s="1" t="s">
        <v>25</v>
      </c>
      <c r="G1367" s="2" t="s">
        <v>6</v>
      </c>
      <c r="H1367" s="3" t="s">
        <v>88</v>
      </c>
      <c r="I1367" s="3" t="s">
        <v>85</v>
      </c>
      <c r="J1367" s="3" t="s">
        <v>69</v>
      </c>
      <c r="K1367" s="4">
        <v>1751.68</v>
      </c>
      <c r="L1367" s="6">
        <v>41.94</v>
      </c>
    </row>
    <row r="1368" spans="1:12" x14ac:dyDescent="0.25">
      <c r="A1368" s="1">
        <v>1367</v>
      </c>
      <c r="B1368" s="4">
        <v>9925</v>
      </c>
      <c r="C1368" s="5">
        <v>40938</v>
      </c>
      <c r="D1368" s="3" t="s">
        <v>95</v>
      </c>
      <c r="E1368" s="1" t="s">
        <v>563</v>
      </c>
      <c r="F1368" s="1" t="s">
        <v>25</v>
      </c>
      <c r="G1368" s="2" t="s">
        <v>6</v>
      </c>
      <c r="H1368" s="3" t="s">
        <v>88</v>
      </c>
      <c r="I1368" s="3" t="s">
        <v>85</v>
      </c>
      <c r="J1368" s="3" t="s">
        <v>69</v>
      </c>
      <c r="K1368" s="4">
        <v>86.47</v>
      </c>
      <c r="L1368" s="6">
        <v>5.28</v>
      </c>
    </row>
    <row r="1369" spans="1:12" x14ac:dyDescent="0.25">
      <c r="A1369" s="1">
        <v>1368</v>
      </c>
      <c r="B1369" s="4">
        <v>9925</v>
      </c>
      <c r="C1369" s="5">
        <v>40938</v>
      </c>
      <c r="D1369" s="3" t="s">
        <v>95</v>
      </c>
      <c r="E1369" s="1" t="s">
        <v>563</v>
      </c>
      <c r="F1369" s="1" t="s">
        <v>25</v>
      </c>
      <c r="G1369" s="2" t="s">
        <v>6</v>
      </c>
      <c r="H1369" s="3" t="s">
        <v>88</v>
      </c>
      <c r="I1369" s="3" t="s">
        <v>85</v>
      </c>
      <c r="J1369" s="3" t="s">
        <v>63</v>
      </c>
      <c r="K1369" s="4">
        <v>684.5</v>
      </c>
      <c r="L1369" s="6">
        <v>21.38</v>
      </c>
    </row>
    <row r="1370" spans="1:12" x14ac:dyDescent="0.25">
      <c r="A1370" s="1">
        <v>1369</v>
      </c>
      <c r="B1370" s="4">
        <v>9926</v>
      </c>
      <c r="C1370" s="5">
        <v>40097</v>
      </c>
      <c r="D1370" s="3" t="s">
        <v>89</v>
      </c>
      <c r="E1370" s="1" t="s">
        <v>715</v>
      </c>
      <c r="F1370" s="1" t="s">
        <v>34</v>
      </c>
      <c r="G1370" s="2" t="s">
        <v>1</v>
      </c>
      <c r="H1370" s="3" t="s">
        <v>97</v>
      </c>
      <c r="I1370" s="3" t="s">
        <v>91</v>
      </c>
      <c r="J1370" s="3" t="s">
        <v>59</v>
      </c>
      <c r="K1370" s="4">
        <v>158.83000000000001</v>
      </c>
      <c r="L1370" s="6">
        <v>5.77</v>
      </c>
    </row>
    <row r="1371" spans="1:12" x14ac:dyDescent="0.25">
      <c r="A1371" s="1">
        <v>1370</v>
      </c>
      <c r="B1371" s="4">
        <v>9927</v>
      </c>
      <c r="C1371" s="5">
        <v>40771</v>
      </c>
      <c r="D1371" s="3" t="s">
        <v>89</v>
      </c>
      <c r="E1371" s="1" t="s">
        <v>308</v>
      </c>
      <c r="F1371" s="1" t="s">
        <v>8</v>
      </c>
      <c r="G1371" s="2" t="s">
        <v>6</v>
      </c>
      <c r="H1371" s="3" t="s">
        <v>88</v>
      </c>
      <c r="I1371" s="3" t="s">
        <v>91</v>
      </c>
      <c r="J1371" s="3" t="s">
        <v>68</v>
      </c>
      <c r="K1371" s="4">
        <v>4655.07</v>
      </c>
      <c r="L1371" s="6">
        <v>140.97999999999999</v>
      </c>
    </row>
    <row r="1372" spans="1:12" x14ac:dyDescent="0.25">
      <c r="A1372" s="1">
        <v>1371</v>
      </c>
      <c r="B1372" s="4">
        <v>9927</v>
      </c>
      <c r="C1372" s="5">
        <v>40771</v>
      </c>
      <c r="D1372" s="3" t="s">
        <v>89</v>
      </c>
      <c r="E1372" s="1" t="s">
        <v>308</v>
      </c>
      <c r="F1372" s="1" t="s">
        <v>8</v>
      </c>
      <c r="G1372" s="2" t="s">
        <v>6</v>
      </c>
      <c r="H1372" s="3" t="s">
        <v>88</v>
      </c>
      <c r="I1372" s="3" t="s">
        <v>91</v>
      </c>
      <c r="J1372" s="3" t="s">
        <v>72</v>
      </c>
      <c r="K1372" s="4">
        <v>10087.6</v>
      </c>
      <c r="L1372" s="6">
        <v>218.08</v>
      </c>
    </row>
    <row r="1373" spans="1:12" x14ac:dyDescent="0.25">
      <c r="A1373" s="1">
        <v>1372</v>
      </c>
      <c r="B1373" s="4">
        <v>9927</v>
      </c>
      <c r="C1373" s="5">
        <v>40771</v>
      </c>
      <c r="D1373" s="3" t="s">
        <v>89</v>
      </c>
      <c r="E1373" s="1" t="s">
        <v>308</v>
      </c>
      <c r="F1373" s="1" t="s">
        <v>8</v>
      </c>
      <c r="G1373" s="2" t="s">
        <v>6</v>
      </c>
      <c r="H1373" s="3" t="s">
        <v>88</v>
      </c>
      <c r="I1373" s="3" t="s">
        <v>92</v>
      </c>
      <c r="J1373" s="3" t="s">
        <v>62</v>
      </c>
      <c r="K1373" s="4">
        <v>1608.08</v>
      </c>
      <c r="L1373" s="6">
        <v>50.98</v>
      </c>
    </row>
    <row r="1374" spans="1:12" x14ac:dyDescent="0.25">
      <c r="A1374" s="1">
        <v>1373</v>
      </c>
      <c r="B1374" s="4">
        <v>9952</v>
      </c>
      <c r="C1374" s="5">
        <v>41030</v>
      </c>
      <c r="D1374" s="3" t="s">
        <v>89</v>
      </c>
      <c r="E1374" s="1" t="s">
        <v>244</v>
      </c>
      <c r="F1374" s="1" t="s">
        <v>42</v>
      </c>
      <c r="G1374" s="2" t="s">
        <v>3</v>
      </c>
      <c r="H1374" s="3" t="s">
        <v>97</v>
      </c>
      <c r="I1374" s="3" t="s">
        <v>85</v>
      </c>
      <c r="J1374" s="3" t="s">
        <v>57</v>
      </c>
      <c r="K1374" s="4">
        <v>7890.89</v>
      </c>
      <c r="L1374" s="6">
        <v>167.27</v>
      </c>
    </row>
    <row r="1375" spans="1:12" x14ac:dyDescent="0.25">
      <c r="A1375" s="1">
        <v>1374</v>
      </c>
      <c r="B1375" s="4">
        <v>9954</v>
      </c>
      <c r="C1375" s="5">
        <v>39983</v>
      </c>
      <c r="D1375" s="3" t="s">
        <v>86</v>
      </c>
      <c r="E1375" s="1" t="s">
        <v>716</v>
      </c>
      <c r="F1375" s="1" t="s">
        <v>23</v>
      </c>
      <c r="G1375" s="2" t="s">
        <v>3</v>
      </c>
      <c r="H1375" s="3" t="s">
        <v>88</v>
      </c>
      <c r="I1375" s="3" t="s">
        <v>91</v>
      </c>
      <c r="J1375" s="3" t="s">
        <v>72</v>
      </c>
      <c r="K1375" s="4">
        <v>10122.719999999999</v>
      </c>
      <c r="L1375" s="6">
        <v>280.98</v>
      </c>
    </row>
    <row r="1376" spans="1:12" x14ac:dyDescent="0.25">
      <c r="A1376" s="1">
        <v>1375</v>
      </c>
      <c r="B1376" s="4">
        <v>9954</v>
      </c>
      <c r="C1376" s="5">
        <v>39983</v>
      </c>
      <c r="D1376" s="3" t="s">
        <v>86</v>
      </c>
      <c r="E1376" s="1" t="s">
        <v>716</v>
      </c>
      <c r="F1376" s="1" t="s">
        <v>23</v>
      </c>
      <c r="G1376" s="2" t="s">
        <v>3</v>
      </c>
      <c r="H1376" s="3" t="s">
        <v>88</v>
      </c>
      <c r="I1376" s="3" t="s">
        <v>85</v>
      </c>
      <c r="J1376" s="3" t="s">
        <v>66</v>
      </c>
      <c r="K1376" s="4">
        <v>203.6</v>
      </c>
      <c r="L1376" s="6">
        <v>4.9800000000000004</v>
      </c>
    </row>
    <row r="1377" spans="1:12" x14ac:dyDescent="0.25">
      <c r="A1377" s="1">
        <v>1376</v>
      </c>
      <c r="B1377" s="4">
        <v>9954</v>
      </c>
      <c r="C1377" s="5">
        <v>39983</v>
      </c>
      <c r="D1377" s="3" t="s">
        <v>86</v>
      </c>
      <c r="E1377" s="1" t="s">
        <v>716</v>
      </c>
      <c r="F1377" s="1" t="s">
        <v>23</v>
      </c>
      <c r="G1377" s="2" t="s">
        <v>3</v>
      </c>
      <c r="H1377" s="3" t="s">
        <v>88</v>
      </c>
      <c r="I1377" s="3" t="s">
        <v>85</v>
      </c>
      <c r="J1377" s="3" t="s">
        <v>63</v>
      </c>
      <c r="K1377" s="4">
        <v>115.81</v>
      </c>
      <c r="L1377" s="6">
        <v>3.98</v>
      </c>
    </row>
    <row r="1378" spans="1:12" x14ac:dyDescent="0.25">
      <c r="A1378" s="1">
        <v>1377</v>
      </c>
      <c r="B1378" s="4">
        <v>9955</v>
      </c>
      <c r="C1378" s="5">
        <v>40790</v>
      </c>
      <c r="D1378" s="3" t="s">
        <v>95</v>
      </c>
      <c r="E1378" s="1" t="s">
        <v>90</v>
      </c>
      <c r="F1378" s="1" t="s">
        <v>9</v>
      </c>
      <c r="G1378" s="2" t="s">
        <v>2</v>
      </c>
      <c r="H1378" s="3" t="s">
        <v>88</v>
      </c>
      <c r="I1378" s="3" t="s">
        <v>92</v>
      </c>
      <c r="J1378" s="3" t="s">
        <v>61</v>
      </c>
      <c r="K1378" s="4">
        <v>2912.0149999999999</v>
      </c>
      <c r="L1378" s="6">
        <v>95.99</v>
      </c>
    </row>
    <row r="1379" spans="1:12" x14ac:dyDescent="0.25">
      <c r="A1379" s="1">
        <v>1378</v>
      </c>
      <c r="B1379" s="4">
        <v>9957</v>
      </c>
      <c r="C1379" s="5">
        <v>40512</v>
      </c>
      <c r="D1379" s="3" t="s">
        <v>86</v>
      </c>
      <c r="E1379" s="1" t="s">
        <v>664</v>
      </c>
      <c r="F1379" s="1" t="s">
        <v>45</v>
      </c>
      <c r="G1379" s="2" t="s">
        <v>3</v>
      </c>
      <c r="H1379" s="3" t="s">
        <v>88</v>
      </c>
      <c r="I1379" s="3" t="s">
        <v>85</v>
      </c>
      <c r="J1379" s="3" t="s">
        <v>63</v>
      </c>
      <c r="K1379" s="4">
        <v>74.75</v>
      </c>
      <c r="L1379" s="6">
        <v>2.2799999999999998</v>
      </c>
    </row>
    <row r="1380" spans="1:12" x14ac:dyDescent="0.25">
      <c r="A1380" s="1">
        <v>1379</v>
      </c>
      <c r="B1380" s="4">
        <v>9985</v>
      </c>
      <c r="C1380" s="5">
        <v>40397</v>
      </c>
      <c r="D1380" s="3" t="s">
        <v>82</v>
      </c>
      <c r="E1380" s="1" t="s">
        <v>717</v>
      </c>
      <c r="F1380" s="1" t="s">
        <v>9</v>
      </c>
      <c r="G1380" s="2" t="s">
        <v>2</v>
      </c>
      <c r="H1380" s="3" t="s">
        <v>100</v>
      </c>
      <c r="I1380" s="3" t="s">
        <v>85</v>
      </c>
      <c r="J1380" s="3" t="s">
        <v>66</v>
      </c>
      <c r="K1380" s="4">
        <v>81.900000000000006</v>
      </c>
      <c r="L1380" s="6">
        <v>6.68</v>
      </c>
    </row>
    <row r="1381" spans="1:12" x14ac:dyDescent="0.25">
      <c r="A1381" s="1">
        <v>1380</v>
      </c>
      <c r="B1381" s="4">
        <v>10022</v>
      </c>
      <c r="C1381" s="5">
        <v>39876</v>
      </c>
      <c r="D1381" s="3" t="s">
        <v>82</v>
      </c>
      <c r="E1381" s="1" t="s">
        <v>718</v>
      </c>
      <c r="F1381" s="1" t="s">
        <v>8</v>
      </c>
      <c r="G1381" s="2" t="s">
        <v>6</v>
      </c>
      <c r="H1381" s="3" t="s">
        <v>84</v>
      </c>
      <c r="I1381" s="3" t="s">
        <v>85</v>
      </c>
      <c r="J1381" s="3" t="s">
        <v>66</v>
      </c>
      <c r="K1381" s="4">
        <v>12.18</v>
      </c>
      <c r="L1381" s="6">
        <v>10.14</v>
      </c>
    </row>
    <row r="1382" spans="1:12" x14ac:dyDescent="0.25">
      <c r="A1382" s="1">
        <v>1381</v>
      </c>
      <c r="B1382" s="4">
        <v>10048</v>
      </c>
      <c r="C1382" s="5">
        <v>39948</v>
      </c>
      <c r="D1382" s="3" t="s">
        <v>86</v>
      </c>
      <c r="E1382" s="1" t="s">
        <v>125</v>
      </c>
      <c r="F1382" s="1" t="s">
        <v>28</v>
      </c>
      <c r="G1382" s="2" t="s">
        <v>6</v>
      </c>
      <c r="H1382" s="3" t="s">
        <v>88</v>
      </c>
      <c r="I1382" s="3" t="s">
        <v>92</v>
      </c>
      <c r="J1382" s="3" t="s">
        <v>62</v>
      </c>
      <c r="K1382" s="4">
        <v>3197.45</v>
      </c>
      <c r="L1382" s="6">
        <v>73.98</v>
      </c>
    </row>
    <row r="1383" spans="1:12" x14ac:dyDescent="0.25">
      <c r="A1383" s="1">
        <v>1382</v>
      </c>
      <c r="B1383" s="4">
        <v>10048</v>
      </c>
      <c r="C1383" s="5">
        <v>39948</v>
      </c>
      <c r="D1383" s="3" t="s">
        <v>86</v>
      </c>
      <c r="E1383" s="1" t="s">
        <v>125</v>
      </c>
      <c r="F1383" s="1" t="s">
        <v>28</v>
      </c>
      <c r="G1383" s="2" t="s">
        <v>6</v>
      </c>
      <c r="H1383" s="3" t="s">
        <v>88</v>
      </c>
      <c r="I1383" s="3" t="s">
        <v>85</v>
      </c>
      <c r="J1383" s="3" t="s">
        <v>58</v>
      </c>
      <c r="K1383" s="4">
        <v>78.569999999999993</v>
      </c>
      <c r="L1383" s="6">
        <v>3.68</v>
      </c>
    </row>
    <row r="1384" spans="1:12" x14ac:dyDescent="0.25">
      <c r="A1384" s="1">
        <v>1383</v>
      </c>
      <c r="B1384" s="4">
        <v>10052</v>
      </c>
      <c r="C1384" s="5">
        <v>40063</v>
      </c>
      <c r="D1384" s="3" t="s">
        <v>86</v>
      </c>
      <c r="E1384" s="1" t="s">
        <v>448</v>
      </c>
      <c r="F1384" s="1" t="s">
        <v>24</v>
      </c>
      <c r="G1384" s="2" t="s">
        <v>2</v>
      </c>
      <c r="H1384" s="3" t="s">
        <v>88</v>
      </c>
      <c r="I1384" s="3" t="s">
        <v>85</v>
      </c>
      <c r="J1384" s="3" t="s">
        <v>63</v>
      </c>
      <c r="K1384" s="4">
        <v>95.9</v>
      </c>
      <c r="L1384" s="6">
        <v>6.08</v>
      </c>
    </row>
    <row r="1385" spans="1:12" x14ac:dyDescent="0.25">
      <c r="A1385" s="1">
        <v>1384</v>
      </c>
      <c r="B1385" s="4">
        <v>10052</v>
      </c>
      <c r="C1385" s="5">
        <v>40063</v>
      </c>
      <c r="D1385" s="3" t="s">
        <v>86</v>
      </c>
      <c r="E1385" s="1" t="s">
        <v>683</v>
      </c>
      <c r="F1385" s="1" t="s">
        <v>24</v>
      </c>
      <c r="G1385" s="2" t="s">
        <v>2</v>
      </c>
      <c r="H1385" s="3" t="s">
        <v>88</v>
      </c>
      <c r="I1385" s="3" t="s">
        <v>85</v>
      </c>
      <c r="J1385" s="3" t="s">
        <v>70</v>
      </c>
      <c r="K1385" s="4">
        <v>517.91</v>
      </c>
      <c r="L1385" s="6">
        <v>19.899999999999999</v>
      </c>
    </row>
    <row r="1386" spans="1:12" x14ac:dyDescent="0.25">
      <c r="A1386" s="1">
        <v>1385</v>
      </c>
      <c r="B1386" s="4">
        <v>10052</v>
      </c>
      <c r="C1386" s="5">
        <v>40063</v>
      </c>
      <c r="D1386" s="3" t="s">
        <v>86</v>
      </c>
      <c r="E1386" s="1" t="s">
        <v>683</v>
      </c>
      <c r="F1386" s="1" t="s">
        <v>24</v>
      </c>
      <c r="G1386" s="2" t="s">
        <v>2</v>
      </c>
      <c r="H1386" s="3" t="s">
        <v>88</v>
      </c>
      <c r="I1386" s="3" t="s">
        <v>85</v>
      </c>
      <c r="J1386" s="3" t="s">
        <v>69</v>
      </c>
      <c r="K1386" s="4">
        <v>162.28</v>
      </c>
      <c r="L1386" s="6">
        <v>3.36</v>
      </c>
    </row>
    <row r="1387" spans="1:12" x14ac:dyDescent="0.25">
      <c r="A1387" s="1">
        <v>1386</v>
      </c>
      <c r="B1387" s="4">
        <v>10053</v>
      </c>
      <c r="C1387" s="5">
        <v>40918</v>
      </c>
      <c r="D1387" s="3" t="s">
        <v>89</v>
      </c>
      <c r="E1387" s="1" t="s">
        <v>719</v>
      </c>
      <c r="F1387" s="1" t="s">
        <v>19</v>
      </c>
      <c r="G1387" s="2" t="s">
        <v>3</v>
      </c>
      <c r="H1387" s="3" t="s">
        <v>84</v>
      </c>
      <c r="I1387" s="3" t="s">
        <v>92</v>
      </c>
      <c r="J1387" s="3" t="s">
        <v>62</v>
      </c>
      <c r="K1387" s="4">
        <v>162.58000000000001</v>
      </c>
      <c r="L1387" s="6">
        <v>4.8899999999999997</v>
      </c>
    </row>
    <row r="1388" spans="1:12" x14ac:dyDescent="0.25">
      <c r="A1388" s="1">
        <v>1387</v>
      </c>
      <c r="B1388" s="4">
        <v>10053</v>
      </c>
      <c r="C1388" s="5">
        <v>40918</v>
      </c>
      <c r="D1388" s="3" t="s">
        <v>89</v>
      </c>
      <c r="E1388" s="1" t="s">
        <v>719</v>
      </c>
      <c r="F1388" s="1" t="s">
        <v>19</v>
      </c>
      <c r="G1388" s="2" t="s">
        <v>3</v>
      </c>
      <c r="H1388" s="3" t="s">
        <v>84</v>
      </c>
      <c r="I1388" s="3" t="s">
        <v>91</v>
      </c>
      <c r="J1388" s="3" t="s">
        <v>60</v>
      </c>
      <c r="K1388" s="4">
        <v>6815.23</v>
      </c>
      <c r="L1388" s="6">
        <v>150.97999999999999</v>
      </c>
    </row>
    <row r="1389" spans="1:12" x14ac:dyDescent="0.25">
      <c r="A1389" s="1">
        <v>1388</v>
      </c>
      <c r="B1389" s="4">
        <v>10054</v>
      </c>
      <c r="C1389" s="5">
        <v>40661</v>
      </c>
      <c r="D1389" s="3" t="s">
        <v>89</v>
      </c>
      <c r="E1389" s="1" t="s">
        <v>720</v>
      </c>
      <c r="F1389" s="1" t="s">
        <v>31</v>
      </c>
      <c r="G1389" s="2" t="s">
        <v>1</v>
      </c>
      <c r="H1389" s="3" t="s">
        <v>97</v>
      </c>
      <c r="I1389" s="3" t="s">
        <v>91</v>
      </c>
      <c r="J1389" s="3" t="s">
        <v>59</v>
      </c>
      <c r="K1389" s="4">
        <v>203.3</v>
      </c>
      <c r="L1389" s="6">
        <v>79.52</v>
      </c>
    </row>
    <row r="1390" spans="1:12" x14ac:dyDescent="0.25">
      <c r="A1390" s="1">
        <v>1389</v>
      </c>
      <c r="B1390" s="4">
        <v>10054</v>
      </c>
      <c r="C1390" s="5">
        <v>40661</v>
      </c>
      <c r="D1390" s="3" t="s">
        <v>89</v>
      </c>
      <c r="E1390" s="1" t="s">
        <v>720</v>
      </c>
      <c r="F1390" s="1" t="s">
        <v>31</v>
      </c>
      <c r="G1390" s="2" t="s">
        <v>1</v>
      </c>
      <c r="H1390" s="3" t="s">
        <v>97</v>
      </c>
      <c r="I1390" s="3" t="s">
        <v>92</v>
      </c>
      <c r="J1390" s="3" t="s">
        <v>61</v>
      </c>
      <c r="K1390" s="4">
        <v>196.85149999999999</v>
      </c>
      <c r="L1390" s="6">
        <v>125.99</v>
      </c>
    </row>
    <row r="1391" spans="1:12" x14ac:dyDescent="0.25">
      <c r="A1391" s="1">
        <v>1390</v>
      </c>
      <c r="B1391" s="4">
        <v>10080</v>
      </c>
      <c r="C1391" s="5">
        <v>40221</v>
      </c>
      <c r="D1391" s="3" t="s">
        <v>82</v>
      </c>
      <c r="E1391" s="1" t="s">
        <v>517</v>
      </c>
      <c r="F1391" s="1" t="s">
        <v>24</v>
      </c>
      <c r="G1391" s="2" t="s">
        <v>2</v>
      </c>
      <c r="H1391" s="3" t="s">
        <v>88</v>
      </c>
      <c r="I1391" s="3" t="s">
        <v>92</v>
      </c>
      <c r="J1391" s="3" t="s">
        <v>62</v>
      </c>
      <c r="K1391" s="4">
        <v>637.04</v>
      </c>
      <c r="L1391" s="6">
        <v>30.73</v>
      </c>
    </row>
    <row r="1392" spans="1:12" x14ac:dyDescent="0.25">
      <c r="A1392" s="1">
        <v>1391</v>
      </c>
      <c r="B1392" s="4">
        <v>10081</v>
      </c>
      <c r="C1392" s="5">
        <v>40397</v>
      </c>
      <c r="D1392" s="3" t="s">
        <v>86</v>
      </c>
      <c r="E1392" s="1" t="s">
        <v>721</v>
      </c>
      <c r="F1392" s="1" t="s">
        <v>23</v>
      </c>
      <c r="G1392" s="2" t="s">
        <v>3</v>
      </c>
      <c r="H1392" s="3" t="s">
        <v>97</v>
      </c>
      <c r="I1392" s="3" t="s">
        <v>91</v>
      </c>
      <c r="J1392" s="3" t="s">
        <v>59</v>
      </c>
      <c r="K1392" s="4">
        <v>1058.43</v>
      </c>
      <c r="L1392" s="6">
        <v>20.28</v>
      </c>
    </row>
    <row r="1393" spans="1:12" x14ac:dyDescent="0.25">
      <c r="A1393" s="1">
        <v>1392</v>
      </c>
      <c r="B1393" s="4">
        <v>10114</v>
      </c>
      <c r="C1393" s="5">
        <v>40217</v>
      </c>
      <c r="D1393" s="3" t="s">
        <v>95</v>
      </c>
      <c r="E1393" s="1" t="s">
        <v>722</v>
      </c>
      <c r="F1393" s="1" t="s">
        <v>27</v>
      </c>
      <c r="G1393" s="2" t="s">
        <v>1</v>
      </c>
      <c r="H1393" s="3" t="s">
        <v>84</v>
      </c>
      <c r="I1393" s="3" t="s">
        <v>85</v>
      </c>
      <c r="J1393" s="3" t="s">
        <v>69</v>
      </c>
      <c r="K1393" s="4">
        <v>147.88</v>
      </c>
      <c r="L1393" s="6">
        <v>3.58</v>
      </c>
    </row>
    <row r="1394" spans="1:12" x14ac:dyDescent="0.25">
      <c r="A1394" s="1">
        <v>1393</v>
      </c>
      <c r="B1394" s="4">
        <v>10117</v>
      </c>
      <c r="C1394" s="5">
        <v>40498</v>
      </c>
      <c r="D1394" s="3" t="s">
        <v>4</v>
      </c>
      <c r="E1394" s="1" t="s">
        <v>723</v>
      </c>
      <c r="F1394" s="1" t="s">
        <v>24</v>
      </c>
      <c r="G1394" s="2" t="s">
        <v>2</v>
      </c>
      <c r="H1394" s="3" t="s">
        <v>100</v>
      </c>
      <c r="I1394" s="3" t="s">
        <v>85</v>
      </c>
      <c r="J1394" s="3" t="s">
        <v>69</v>
      </c>
      <c r="K1394" s="4">
        <v>64.37</v>
      </c>
      <c r="L1394" s="6">
        <v>8.85</v>
      </c>
    </row>
    <row r="1395" spans="1:12" x14ac:dyDescent="0.25">
      <c r="A1395" s="1">
        <v>1394</v>
      </c>
      <c r="B1395" s="4">
        <v>10117</v>
      </c>
      <c r="C1395" s="5">
        <v>40498</v>
      </c>
      <c r="D1395" s="3" t="s">
        <v>4</v>
      </c>
      <c r="E1395" s="1" t="s">
        <v>723</v>
      </c>
      <c r="F1395" s="1" t="s">
        <v>24</v>
      </c>
      <c r="G1395" s="2" t="s">
        <v>2</v>
      </c>
      <c r="H1395" s="3" t="s">
        <v>100</v>
      </c>
      <c r="I1395" s="3" t="s">
        <v>92</v>
      </c>
      <c r="J1395" s="3" t="s">
        <v>73</v>
      </c>
      <c r="K1395" s="4">
        <v>4588.55</v>
      </c>
      <c r="L1395" s="6">
        <v>449.99</v>
      </c>
    </row>
    <row r="1396" spans="1:12" x14ac:dyDescent="0.25">
      <c r="A1396" s="1">
        <v>1395</v>
      </c>
      <c r="B1396" s="4">
        <v>10144</v>
      </c>
      <c r="C1396" s="5">
        <v>40545</v>
      </c>
      <c r="D1396" s="3" t="s">
        <v>95</v>
      </c>
      <c r="E1396" s="1" t="s">
        <v>724</v>
      </c>
      <c r="F1396" s="1" t="s">
        <v>28</v>
      </c>
      <c r="G1396" s="2" t="s">
        <v>6</v>
      </c>
      <c r="H1396" s="3" t="s">
        <v>88</v>
      </c>
      <c r="I1396" s="3" t="s">
        <v>91</v>
      </c>
      <c r="J1396" s="3" t="s">
        <v>72</v>
      </c>
      <c r="K1396" s="4">
        <v>5403.75</v>
      </c>
      <c r="L1396" s="6">
        <v>355.98</v>
      </c>
    </row>
    <row r="1397" spans="1:12" x14ac:dyDescent="0.25">
      <c r="A1397" s="1">
        <v>1396</v>
      </c>
      <c r="B1397" s="4">
        <v>10144</v>
      </c>
      <c r="C1397" s="5">
        <v>40545</v>
      </c>
      <c r="D1397" s="3" t="s">
        <v>95</v>
      </c>
      <c r="E1397" s="1" t="s">
        <v>724</v>
      </c>
      <c r="F1397" s="1" t="s">
        <v>28</v>
      </c>
      <c r="G1397" s="2" t="s">
        <v>6</v>
      </c>
      <c r="H1397" s="3" t="s">
        <v>88</v>
      </c>
      <c r="I1397" s="3" t="s">
        <v>91</v>
      </c>
      <c r="J1397" s="3" t="s">
        <v>72</v>
      </c>
      <c r="K1397" s="4">
        <v>192.49</v>
      </c>
      <c r="L1397" s="6">
        <v>160.97999999999999</v>
      </c>
    </row>
    <row r="1398" spans="1:12" x14ac:dyDescent="0.25">
      <c r="A1398" s="1">
        <v>1397</v>
      </c>
      <c r="B1398" s="4">
        <v>10144</v>
      </c>
      <c r="C1398" s="5">
        <v>40545</v>
      </c>
      <c r="D1398" s="3" t="s">
        <v>95</v>
      </c>
      <c r="E1398" s="1" t="s">
        <v>724</v>
      </c>
      <c r="F1398" s="1" t="s">
        <v>28</v>
      </c>
      <c r="G1398" s="2" t="s">
        <v>6</v>
      </c>
      <c r="H1398" s="3" t="s">
        <v>88</v>
      </c>
      <c r="I1398" s="3" t="s">
        <v>91</v>
      </c>
      <c r="J1398" s="3" t="s">
        <v>60</v>
      </c>
      <c r="K1398" s="4">
        <v>6408.3</v>
      </c>
      <c r="L1398" s="6">
        <v>280.98</v>
      </c>
    </row>
    <row r="1399" spans="1:12" x14ac:dyDescent="0.25">
      <c r="A1399" s="1">
        <v>1398</v>
      </c>
      <c r="B1399" s="4">
        <v>10146</v>
      </c>
      <c r="C1399" s="5">
        <v>39934</v>
      </c>
      <c r="D1399" s="3" t="s">
        <v>82</v>
      </c>
      <c r="E1399" s="1" t="s">
        <v>487</v>
      </c>
      <c r="F1399" s="1" t="s">
        <v>24</v>
      </c>
      <c r="G1399" s="2" t="s">
        <v>2</v>
      </c>
      <c r="H1399" s="3" t="s">
        <v>88</v>
      </c>
      <c r="I1399" s="3" t="s">
        <v>91</v>
      </c>
      <c r="J1399" s="3" t="s">
        <v>59</v>
      </c>
      <c r="K1399" s="4">
        <v>596.21</v>
      </c>
      <c r="L1399" s="6">
        <v>34.229999999999997</v>
      </c>
    </row>
    <row r="1400" spans="1:12" x14ac:dyDescent="0.25">
      <c r="A1400" s="1">
        <v>1399</v>
      </c>
      <c r="B1400" s="4">
        <v>10147</v>
      </c>
      <c r="C1400" s="5">
        <v>40460</v>
      </c>
      <c r="D1400" s="3" t="s">
        <v>89</v>
      </c>
      <c r="E1400" s="1" t="s">
        <v>142</v>
      </c>
      <c r="F1400" s="1" t="s">
        <v>18</v>
      </c>
      <c r="G1400" s="2" t="s">
        <v>6</v>
      </c>
      <c r="H1400" s="3" t="s">
        <v>97</v>
      </c>
      <c r="I1400" s="3" t="s">
        <v>85</v>
      </c>
      <c r="J1400" s="3" t="s">
        <v>69</v>
      </c>
      <c r="K1400" s="4">
        <v>96.75</v>
      </c>
      <c r="L1400" s="6">
        <v>4.24</v>
      </c>
    </row>
    <row r="1401" spans="1:12" x14ac:dyDescent="0.25">
      <c r="A1401" s="1">
        <v>1400</v>
      </c>
      <c r="B1401" s="4">
        <v>10148</v>
      </c>
      <c r="C1401" s="5">
        <v>39897</v>
      </c>
      <c r="D1401" s="3" t="s">
        <v>82</v>
      </c>
      <c r="E1401" s="1" t="s">
        <v>427</v>
      </c>
      <c r="F1401" s="1" t="s">
        <v>36</v>
      </c>
      <c r="G1401" s="2" t="s">
        <v>2</v>
      </c>
      <c r="H1401" s="3" t="s">
        <v>84</v>
      </c>
      <c r="I1401" s="3" t="s">
        <v>91</v>
      </c>
      <c r="J1401" s="3" t="s">
        <v>68</v>
      </c>
      <c r="K1401" s="4">
        <v>14357.85</v>
      </c>
      <c r="L1401" s="6">
        <v>500.98</v>
      </c>
    </row>
    <row r="1402" spans="1:12" x14ac:dyDescent="0.25">
      <c r="A1402" s="1">
        <v>1401</v>
      </c>
      <c r="B1402" s="4">
        <v>10183</v>
      </c>
      <c r="C1402" s="5">
        <v>40141</v>
      </c>
      <c r="D1402" s="3" t="s">
        <v>95</v>
      </c>
      <c r="E1402" s="1" t="s">
        <v>610</v>
      </c>
      <c r="F1402" s="1" t="s">
        <v>13</v>
      </c>
      <c r="G1402" s="2" t="s">
        <v>6</v>
      </c>
      <c r="H1402" s="3" t="s">
        <v>88</v>
      </c>
      <c r="I1402" s="3" t="s">
        <v>91</v>
      </c>
      <c r="J1402" s="3" t="s">
        <v>72</v>
      </c>
      <c r="K1402" s="4">
        <v>1210.02</v>
      </c>
      <c r="L1402" s="6">
        <v>25.98</v>
      </c>
    </row>
    <row r="1403" spans="1:12" x14ac:dyDescent="0.25">
      <c r="A1403" s="1">
        <v>1402</v>
      </c>
      <c r="B1403" s="4">
        <v>10209</v>
      </c>
      <c r="C1403" s="5">
        <v>40511</v>
      </c>
      <c r="D1403" s="3" t="s">
        <v>4</v>
      </c>
      <c r="E1403" s="1" t="s">
        <v>462</v>
      </c>
      <c r="F1403" s="1" t="s">
        <v>43</v>
      </c>
      <c r="G1403" s="2" t="s">
        <v>1</v>
      </c>
      <c r="H1403" s="3" t="s">
        <v>88</v>
      </c>
      <c r="I1403" s="3" t="s">
        <v>91</v>
      </c>
      <c r="J1403" s="3" t="s">
        <v>59</v>
      </c>
      <c r="K1403" s="4">
        <v>461.55</v>
      </c>
      <c r="L1403" s="6">
        <v>33.979999999999997</v>
      </c>
    </row>
    <row r="1404" spans="1:12" x14ac:dyDescent="0.25">
      <c r="A1404" s="1">
        <v>1403</v>
      </c>
      <c r="B1404" s="4">
        <v>10209</v>
      </c>
      <c r="C1404" s="5">
        <v>40511</v>
      </c>
      <c r="D1404" s="3" t="s">
        <v>4</v>
      </c>
      <c r="E1404" s="1" t="s">
        <v>134</v>
      </c>
      <c r="F1404" s="1" t="s">
        <v>21</v>
      </c>
      <c r="G1404" s="2" t="s">
        <v>1</v>
      </c>
      <c r="H1404" s="3" t="s">
        <v>88</v>
      </c>
      <c r="I1404" s="3" t="s">
        <v>85</v>
      </c>
      <c r="J1404" s="3" t="s">
        <v>69</v>
      </c>
      <c r="K1404" s="4">
        <v>418.82</v>
      </c>
      <c r="L1404" s="6">
        <v>8.6</v>
      </c>
    </row>
    <row r="1405" spans="1:12" x14ac:dyDescent="0.25">
      <c r="A1405" s="1">
        <v>1404</v>
      </c>
      <c r="B1405" s="4">
        <v>10210</v>
      </c>
      <c r="C1405" s="5">
        <v>40717</v>
      </c>
      <c r="D1405" s="3" t="s">
        <v>86</v>
      </c>
      <c r="E1405" s="1" t="s">
        <v>371</v>
      </c>
      <c r="F1405" s="1" t="s">
        <v>10</v>
      </c>
      <c r="G1405" s="2" t="s">
        <v>3</v>
      </c>
      <c r="H1405" s="3" t="s">
        <v>88</v>
      </c>
      <c r="I1405" s="3" t="s">
        <v>92</v>
      </c>
      <c r="J1405" s="3" t="s">
        <v>62</v>
      </c>
      <c r="K1405" s="4">
        <v>767.34</v>
      </c>
      <c r="L1405" s="6">
        <v>73.98</v>
      </c>
    </row>
    <row r="1406" spans="1:12" x14ac:dyDescent="0.25">
      <c r="A1406" s="1">
        <v>1405</v>
      </c>
      <c r="B1406" s="4">
        <v>10212</v>
      </c>
      <c r="C1406" s="5">
        <v>40321</v>
      </c>
      <c r="D1406" s="3" t="s">
        <v>82</v>
      </c>
      <c r="E1406" s="1" t="s">
        <v>490</v>
      </c>
      <c r="F1406" s="1" t="s">
        <v>9</v>
      </c>
      <c r="G1406" s="2" t="s">
        <v>2</v>
      </c>
      <c r="H1406" s="3" t="s">
        <v>100</v>
      </c>
      <c r="I1406" s="3" t="s">
        <v>91</v>
      </c>
      <c r="J1406" s="3" t="s">
        <v>59</v>
      </c>
      <c r="K1406" s="4">
        <v>74.02</v>
      </c>
      <c r="L1406" s="6">
        <v>5.08</v>
      </c>
    </row>
    <row r="1407" spans="1:12" x14ac:dyDescent="0.25">
      <c r="A1407" s="1">
        <v>1406</v>
      </c>
      <c r="B1407" s="4">
        <v>10212</v>
      </c>
      <c r="C1407" s="5">
        <v>40321</v>
      </c>
      <c r="D1407" s="3" t="s">
        <v>82</v>
      </c>
      <c r="E1407" s="1" t="s">
        <v>490</v>
      </c>
      <c r="F1407" s="1" t="s">
        <v>9</v>
      </c>
      <c r="G1407" s="2" t="s">
        <v>2</v>
      </c>
      <c r="H1407" s="3" t="s">
        <v>100</v>
      </c>
      <c r="I1407" s="3" t="s">
        <v>85</v>
      </c>
      <c r="J1407" s="3" t="s">
        <v>66</v>
      </c>
      <c r="K1407" s="4">
        <v>1276.17</v>
      </c>
      <c r="L1407" s="6">
        <v>55.48</v>
      </c>
    </row>
    <row r="1408" spans="1:12" x14ac:dyDescent="0.25">
      <c r="A1408" s="1">
        <v>1407</v>
      </c>
      <c r="B1408" s="4">
        <v>10213</v>
      </c>
      <c r="C1408" s="5">
        <v>40591</v>
      </c>
      <c r="D1408" s="3" t="s">
        <v>89</v>
      </c>
      <c r="E1408" s="1" t="s">
        <v>725</v>
      </c>
      <c r="F1408" s="1" t="s">
        <v>17</v>
      </c>
      <c r="G1408" s="2" t="s">
        <v>2</v>
      </c>
      <c r="H1408" s="3" t="s">
        <v>88</v>
      </c>
      <c r="I1408" s="3" t="s">
        <v>92</v>
      </c>
      <c r="J1408" s="3" t="s">
        <v>62</v>
      </c>
      <c r="K1408" s="4">
        <v>464.57</v>
      </c>
      <c r="L1408" s="6">
        <v>39.979999999999997</v>
      </c>
    </row>
    <row r="1409" spans="1:12" x14ac:dyDescent="0.25">
      <c r="A1409" s="1">
        <v>1408</v>
      </c>
      <c r="B1409" s="4">
        <v>10242</v>
      </c>
      <c r="C1409" s="5">
        <v>40524</v>
      </c>
      <c r="D1409" s="3" t="s">
        <v>4</v>
      </c>
      <c r="E1409" s="1" t="s">
        <v>135</v>
      </c>
      <c r="F1409" s="1" t="s">
        <v>41</v>
      </c>
      <c r="G1409" s="2" t="s">
        <v>6</v>
      </c>
      <c r="H1409" s="3" t="s">
        <v>97</v>
      </c>
      <c r="I1409" s="3" t="s">
        <v>91</v>
      </c>
      <c r="J1409" s="3" t="s">
        <v>59</v>
      </c>
      <c r="K1409" s="4">
        <v>690.88</v>
      </c>
      <c r="L1409" s="6">
        <v>22.98</v>
      </c>
    </row>
    <row r="1410" spans="1:12" x14ac:dyDescent="0.25">
      <c r="A1410" s="1">
        <v>1409</v>
      </c>
      <c r="B1410" s="4">
        <v>10243</v>
      </c>
      <c r="C1410" s="5">
        <v>40901</v>
      </c>
      <c r="D1410" s="3" t="s">
        <v>89</v>
      </c>
      <c r="E1410" s="1" t="s">
        <v>726</v>
      </c>
      <c r="F1410" s="1" t="s">
        <v>44</v>
      </c>
      <c r="G1410" s="2" t="s">
        <v>3</v>
      </c>
      <c r="H1410" s="3" t="s">
        <v>100</v>
      </c>
      <c r="I1410" s="3" t="s">
        <v>85</v>
      </c>
      <c r="J1410" s="3" t="s">
        <v>69</v>
      </c>
      <c r="K1410" s="4">
        <v>28.41</v>
      </c>
      <c r="L1410" s="6">
        <v>1.98</v>
      </c>
    </row>
    <row r="1411" spans="1:12" x14ac:dyDescent="0.25">
      <c r="A1411" s="1">
        <v>1410</v>
      </c>
      <c r="B1411" s="4">
        <v>10245</v>
      </c>
      <c r="C1411" s="5">
        <v>40587</v>
      </c>
      <c r="D1411" s="3" t="s">
        <v>4</v>
      </c>
      <c r="E1411" s="1" t="s">
        <v>565</v>
      </c>
      <c r="F1411" s="1" t="s">
        <v>24</v>
      </c>
      <c r="G1411" s="2" t="s">
        <v>2</v>
      </c>
      <c r="H1411" s="3" t="s">
        <v>88</v>
      </c>
      <c r="I1411" s="3" t="s">
        <v>91</v>
      </c>
      <c r="J1411" s="3" t="s">
        <v>68</v>
      </c>
      <c r="K1411" s="4">
        <v>2645.88</v>
      </c>
      <c r="L1411" s="6">
        <v>100.98</v>
      </c>
    </row>
    <row r="1412" spans="1:12" x14ac:dyDescent="0.25">
      <c r="A1412" s="1">
        <v>1411</v>
      </c>
      <c r="B1412" s="4">
        <v>10245</v>
      </c>
      <c r="C1412" s="5">
        <v>40587</v>
      </c>
      <c r="D1412" s="3" t="s">
        <v>4</v>
      </c>
      <c r="E1412" s="1" t="s">
        <v>482</v>
      </c>
      <c r="F1412" s="1" t="s">
        <v>48</v>
      </c>
      <c r="G1412" s="2" t="s">
        <v>1</v>
      </c>
      <c r="H1412" s="3" t="s">
        <v>88</v>
      </c>
      <c r="I1412" s="3" t="s">
        <v>91</v>
      </c>
      <c r="J1412" s="3" t="s">
        <v>72</v>
      </c>
      <c r="K1412" s="4">
        <v>2573.29</v>
      </c>
      <c r="L1412" s="6">
        <v>122.99</v>
      </c>
    </row>
    <row r="1413" spans="1:12" x14ac:dyDescent="0.25">
      <c r="A1413" s="1">
        <v>1412</v>
      </c>
      <c r="B1413" s="4">
        <v>10245</v>
      </c>
      <c r="C1413" s="5">
        <v>40587</v>
      </c>
      <c r="D1413" s="3" t="s">
        <v>4</v>
      </c>
      <c r="E1413" s="1" t="s">
        <v>470</v>
      </c>
      <c r="F1413" s="1" t="s">
        <v>21</v>
      </c>
      <c r="G1413" s="2" t="s">
        <v>1</v>
      </c>
      <c r="H1413" s="3" t="s">
        <v>88</v>
      </c>
      <c r="I1413" s="3" t="s">
        <v>85</v>
      </c>
      <c r="J1413" s="3" t="s">
        <v>69</v>
      </c>
      <c r="K1413" s="4">
        <v>127.17</v>
      </c>
      <c r="L1413" s="6">
        <v>5.53</v>
      </c>
    </row>
    <row r="1414" spans="1:12" x14ac:dyDescent="0.25">
      <c r="A1414" s="1">
        <v>1413</v>
      </c>
      <c r="B1414" s="4">
        <v>10247</v>
      </c>
      <c r="C1414" s="5">
        <v>40188</v>
      </c>
      <c r="D1414" s="3" t="s">
        <v>4</v>
      </c>
      <c r="E1414" s="1" t="s">
        <v>377</v>
      </c>
      <c r="F1414" s="1" t="s">
        <v>13</v>
      </c>
      <c r="G1414" s="2" t="s">
        <v>6</v>
      </c>
      <c r="H1414" s="3" t="s">
        <v>97</v>
      </c>
      <c r="I1414" s="3" t="s">
        <v>85</v>
      </c>
      <c r="J1414" s="3" t="s">
        <v>66</v>
      </c>
      <c r="K1414" s="4">
        <v>111.66</v>
      </c>
      <c r="L1414" s="6">
        <v>4.9800000000000004</v>
      </c>
    </row>
    <row r="1415" spans="1:12" x14ac:dyDescent="0.25">
      <c r="A1415" s="1">
        <v>1414</v>
      </c>
      <c r="B1415" s="4">
        <v>10247</v>
      </c>
      <c r="C1415" s="5">
        <v>40188</v>
      </c>
      <c r="D1415" s="3" t="s">
        <v>4</v>
      </c>
      <c r="E1415" s="1" t="s">
        <v>727</v>
      </c>
      <c r="F1415" s="1" t="s">
        <v>13</v>
      </c>
      <c r="G1415" s="2" t="s">
        <v>6</v>
      </c>
      <c r="H1415" s="3" t="s">
        <v>97</v>
      </c>
      <c r="I1415" s="3" t="s">
        <v>92</v>
      </c>
      <c r="J1415" s="3" t="s">
        <v>62</v>
      </c>
      <c r="K1415" s="4">
        <v>231.95</v>
      </c>
      <c r="L1415" s="6">
        <v>9.7799999999999994</v>
      </c>
    </row>
    <row r="1416" spans="1:12" x14ac:dyDescent="0.25">
      <c r="A1416" s="1">
        <v>1415</v>
      </c>
      <c r="B1416" s="4">
        <v>10272</v>
      </c>
      <c r="C1416" s="5">
        <v>39830</v>
      </c>
      <c r="D1416" s="3" t="s">
        <v>4</v>
      </c>
      <c r="E1416" s="1" t="s">
        <v>728</v>
      </c>
      <c r="F1416" s="1" t="s">
        <v>23</v>
      </c>
      <c r="G1416" s="2" t="s">
        <v>3</v>
      </c>
      <c r="H1416" s="3" t="s">
        <v>88</v>
      </c>
      <c r="I1416" s="3" t="s">
        <v>85</v>
      </c>
      <c r="J1416" s="3" t="s">
        <v>71</v>
      </c>
      <c r="K1416" s="4">
        <v>299.08</v>
      </c>
      <c r="L1416" s="6">
        <v>90.48</v>
      </c>
    </row>
    <row r="1417" spans="1:12" x14ac:dyDescent="0.25">
      <c r="A1417" s="1">
        <v>1416</v>
      </c>
      <c r="B1417" s="4">
        <v>10272</v>
      </c>
      <c r="C1417" s="5">
        <v>39830</v>
      </c>
      <c r="D1417" s="3" t="s">
        <v>4</v>
      </c>
      <c r="E1417" s="1" t="s">
        <v>728</v>
      </c>
      <c r="F1417" s="1" t="s">
        <v>23</v>
      </c>
      <c r="G1417" s="2" t="s">
        <v>3</v>
      </c>
      <c r="H1417" s="3" t="s">
        <v>88</v>
      </c>
      <c r="I1417" s="3" t="s">
        <v>85</v>
      </c>
      <c r="J1417" s="3" t="s">
        <v>66</v>
      </c>
      <c r="K1417" s="4">
        <v>566.39</v>
      </c>
      <c r="L1417" s="6">
        <v>22.84</v>
      </c>
    </row>
    <row r="1418" spans="1:12" x14ac:dyDescent="0.25">
      <c r="A1418" s="1">
        <v>1417</v>
      </c>
      <c r="B1418" s="4">
        <v>10277</v>
      </c>
      <c r="C1418" s="5">
        <v>39910</v>
      </c>
      <c r="D1418" s="3" t="s">
        <v>4</v>
      </c>
      <c r="E1418" s="1" t="s">
        <v>517</v>
      </c>
      <c r="F1418" s="1" t="s">
        <v>24</v>
      </c>
      <c r="G1418" s="2" t="s">
        <v>2</v>
      </c>
      <c r="H1418" s="3" t="s">
        <v>88</v>
      </c>
      <c r="I1418" s="3" t="s">
        <v>92</v>
      </c>
      <c r="J1418" s="3" t="s">
        <v>61</v>
      </c>
      <c r="K1418" s="4">
        <v>2144.924</v>
      </c>
      <c r="L1418" s="6">
        <v>65.989999999999995</v>
      </c>
    </row>
    <row r="1419" spans="1:12" x14ac:dyDescent="0.25">
      <c r="A1419" s="1">
        <v>1418</v>
      </c>
      <c r="B1419" s="4">
        <v>10278</v>
      </c>
      <c r="C1419" s="5">
        <v>40798</v>
      </c>
      <c r="D1419" s="3" t="s">
        <v>82</v>
      </c>
      <c r="E1419" s="1" t="s">
        <v>507</v>
      </c>
      <c r="F1419" s="1" t="s">
        <v>26</v>
      </c>
      <c r="G1419" s="2" t="s">
        <v>3</v>
      </c>
      <c r="H1419" s="3" t="s">
        <v>97</v>
      </c>
      <c r="I1419" s="3" t="s">
        <v>91</v>
      </c>
      <c r="J1419" s="3" t="s">
        <v>68</v>
      </c>
      <c r="K1419" s="4">
        <v>1907.71</v>
      </c>
      <c r="L1419" s="6">
        <v>70.98</v>
      </c>
    </row>
    <row r="1420" spans="1:12" x14ac:dyDescent="0.25">
      <c r="A1420" s="1">
        <v>1419</v>
      </c>
      <c r="B1420" s="4">
        <v>10305</v>
      </c>
      <c r="C1420" s="5">
        <v>40001</v>
      </c>
      <c r="D1420" s="3" t="s">
        <v>82</v>
      </c>
      <c r="E1420" s="1" t="s">
        <v>675</v>
      </c>
      <c r="F1420" s="1" t="s">
        <v>24</v>
      </c>
      <c r="G1420" s="2" t="s">
        <v>2</v>
      </c>
      <c r="H1420" s="3" t="s">
        <v>97</v>
      </c>
      <c r="I1420" s="3" t="s">
        <v>91</v>
      </c>
      <c r="J1420" s="3" t="s">
        <v>59</v>
      </c>
      <c r="K1420" s="4">
        <v>65.89</v>
      </c>
      <c r="L1420" s="6">
        <v>5.08</v>
      </c>
    </row>
    <row r="1421" spans="1:12" x14ac:dyDescent="0.25">
      <c r="A1421" s="1">
        <v>1420</v>
      </c>
      <c r="B1421" s="4">
        <v>10306</v>
      </c>
      <c r="C1421" s="5">
        <v>40380</v>
      </c>
      <c r="D1421" s="3" t="s">
        <v>82</v>
      </c>
      <c r="E1421" s="1" t="s">
        <v>339</v>
      </c>
      <c r="F1421" s="1" t="s">
        <v>30</v>
      </c>
      <c r="G1421" s="2" t="s">
        <v>6</v>
      </c>
      <c r="H1421" s="3" t="s">
        <v>88</v>
      </c>
      <c r="I1421" s="3" t="s">
        <v>91</v>
      </c>
      <c r="J1421" s="3" t="s">
        <v>59</v>
      </c>
      <c r="K1421" s="4">
        <v>310.31</v>
      </c>
      <c r="L1421" s="6">
        <v>14.58</v>
      </c>
    </row>
    <row r="1422" spans="1:12" x14ac:dyDescent="0.25">
      <c r="A1422" s="1">
        <v>1421</v>
      </c>
      <c r="B1422" s="4">
        <v>10308</v>
      </c>
      <c r="C1422" s="5">
        <v>40653</v>
      </c>
      <c r="D1422" s="3" t="s">
        <v>89</v>
      </c>
      <c r="E1422" s="1" t="s">
        <v>623</v>
      </c>
      <c r="F1422" s="1" t="s">
        <v>10</v>
      </c>
      <c r="G1422" s="2" t="s">
        <v>3</v>
      </c>
      <c r="H1422" s="3" t="s">
        <v>84</v>
      </c>
      <c r="I1422" s="3" t="s">
        <v>92</v>
      </c>
      <c r="J1422" s="3" t="s">
        <v>61</v>
      </c>
      <c r="K1422" s="4">
        <v>5554.0360000000001</v>
      </c>
      <c r="L1422" s="6">
        <v>175.99</v>
      </c>
    </row>
    <row r="1423" spans="1:12" x14ac:dyDescent="0.25">
      <c r="A1423" s="1">
        <v>1422</v>
      </c>
      <c r="B1423" s="4">
        <v>10309</v>
      </c>
      <c r="C1423" s="5">
        <v>40138</v>
      </c>
      <c r="D1423" s="3" t="s">
        <v>82</v>
      </c>
      <c r="E1423" s="1" t="s">
        <v>729</v>
      </c>
      <c r="F1423" s="1" t="s">
        <v>19</v>
      </c>
      <c r="G1423" s="2" t="s">
        <v>3</v>
      </c>
      <c r="H1423" s="3" t="s">
        <v>84</v>
      </c>
      <c r="I1423" s="3" t="s">
        <v>85</v>
      </c>
      <c r="J1423" s="3" t="s">
        <v>69</v>
      </c>
      <c r="K1423" s="4">
        <v>496.15</v>
      </c>
      <c r="L1423" s="6">
        <v>20.98</v>
      </c>
    </row>
    <row r="1424" spans="1:12" x14ac:dyDescent="0.25">
      <c r="A1424" s="1">
        <v>1423</v>
      </c>
      <c r="B1424" s="4">
        <v>10310</v>
      </c>
      <c r="C1424" s="5">
        <v>39849</v>
      </c>
      <c r="D1424" s="3" t="s">
        <v>82</v>
      </c>
      <c r="E1424" s="1" t="s">
        <v>634</v>
      </c>
      <c r="F1424" s="1" t="s">
        <v>11</v>
      </c>
      <c r="G1424" s="2" t="s">
        <v>6</v>
      </c>
      <c r="H1424" s="3" t="s">
        <v>84</v>
      </c>
      <c r="I1424" s="3" t="s">
        <v>85</v>
      </c>
      <c r="J1424" s="3" t="s">
        <v>63</v>
      </c>
      <c r="K1424" s="4">
        <v>139.86000000000001</v>
      </c>
      <c r="L1424" s="6">
        <v>2.88</v>
      </c>
    </row>
    <row r="1425" spans="1:12" x14ac:dyDescent="0.25">
      <c r="A1425" s="1">
        <v>1424</v>
      </c>
      <c r="B1425" s="4">
        <v>10310</v>
      </c>
      <c r="C1425" s="5">
        <v>39849</v>
      </c>
      <c r="D1425" s="3" t="s">
        <v>82</v>
      </c>
      <c r="E1425" s="1" t="s">
        <v>634</v>
      </c>
      <c r="F1425" s="1" t="s">
        <v>11</v>
      </c>
      <c r="G1425" s="2" t="s">
        <v>6</v>
      </c>
      <c r="H1425" s="3" t="s">
        <v>84</v>
      </c>
      <c r="I1425" s="3" t="s">
        <v>92</v>
      </c>
      <c r="J1425" s="3" t="s">
        <v>61</v>
      </c>
      <c r="K1425" s="4">
        <v>926.58500000000004</v>
      </c>
      <c r="L1425" s="6">
        <v>195.99</v>
      </c>
    </row>
    <row r="1426" spans="1:12" x14ac:dyDescent="0.25">
      <c r="A1426" s="1">
        <v>1425</v>
      </c>
      <c r="B1426" s="4">
        <v>10338</v>
      </c>
      <c r="C1426" s="5">
        <v>40738</v>
      </c>
      <c r="D1426" s="3" t="s">
        <v>86</v>
      </c>
      <c r="E1426" s="1" t="s">
        <v>730</v>
      </c>
      <c r="F1426" s="1" t="s">
        <v>43</v>
      </c>
      <c r="G1426" s="2" t="s">
        <v>1</v>
      </c>
      <c r="H1426" s="3" t="s">
        <v>88</v>
      </c>
      <c r="I1426" s="3" t="s">
        <v>92</v>
      </c>
      <c r="J1426" s="3" t="s">
        <v>67</v>
      </c>
      <c r="K1426" s="4">
        <v>799.98</v>
      </c>
      <c r="L1426" s="6">
        <v>90.97</v>
      </c>
    </row>
    <row r="1427" spans="1:12" x14ac:dyDescent="0.25">
      <c r="A1427" s="1">
        <v>1426</v>
      </c>
      <c r="B1427" s="4">
        <v>10338</v>
      </c>
      <c r="C1427" s="5">
        <v>40738</v>
      </c>
      <c r="D1427" s="3" t="s">
        <v>86</v>
      </c>
      <c r="E1427" s="1" t="s">
        <v>731</v>
      </c>
      <c r="F1427" s="1" t="s">
        <v>39</v>
      </c>
      <c r="G1427" s="2" t="s">
        <v>1</v>
      </c>
      <c r="H1427" s="3" t="s">
        <v>88</v>
      </c>
      <c r="I1427" s="3" t="s">
        <v>91</v>
      </c>
      <c r="J1427" s="3" t="s">
        <v>60</v>
      </c>
      <c r="K1427" s="4">
        <v>363.57</v>
      </c>
      <c r="L1427" s="6">
        <v>44.43</v>
      </c>
    </row>
    <row r="1428" spans="1:12" x14ac:dyDescent="0.25">
      <c r="A1428" s="1">
        <v>1427</v>
      </c>
      <c r="B1428" s="4">
        <v>10339</v>
      </c>
      <c r="C1428" s="5">
        <v>40827</v>
      </c>
      <c r="D1428" s="3" t="s">
        <v>82</v>
      </c>
      <c r="E1428" s="1" t="s">
        <v>373</v>
      </c>
      <c r="F1428" s="1" t="s">
        <v>24</v>
      </c>
      <c r="G1428" s="2" t="s">
        <v>2</v>
      </c>
      <c r="H1428" s="3" t="s">
        <v>84</v>
      </c>
      <c r="I1428" s="3" t="s">
        <v>91</v>
      </c>
      <c r="J1428" s="3" t="s">
        <v>59</v>
      </c>
      <c r="K1428" s="4">
        <v>9752.25</v>
      </c>
      <c r="L1428" s="6">
        <v>209.84</v>
      </c>
    </row>
    <row r="1429" spans="1:12" x14ac:dyDescent="0.25">
      <c r="A1429" s="1">
        <v>1428</v>
      </c>
      <c r="B1429" s="4">
        <v>10340</v>
      </c>
      <c r="C1429" s="5">
        <v>40716</v>
      </c>
      <c r="D1429" s="3" t="s">
        <v>89</v>
      </c>
      <c r="E1429" s="1" t="s">
        <v>288</v>
      </c>
      <c r="F1429" s="1" t="s">
        <v>40</v>
      </c>
      <c r="G1429" s="2" t="s">
        <v>6</v>
      </c>
      <c r="H1429" s="3" t="s">
        <v>97</v>
      </c>
      <c r="I1429" s="3" t="s">
        <v>91</v>
      </c>
      <c r="J1429" s="3" t="s">
        <v>72</v>
      </c>
      <c r="K1429" s="4">
        <v>7547.14</v>
      </c>
      <c r="L1429" s="6">
        <v>320.98</v>
      </c>
    </row>
    <row r="1430" spans="1:12" x14ac:dyDescent="0.25">
      <c r="A1430" s="1">
        <v>1429</v>
      </c>
      <c r="B1430" s="4">
        <v>10340</v>
      </c>
      <c r="C1430" s="5">
        <v>40716</v>
      </c>
      <c r="D1430" s="3" t="s">
        <v>89</v>
      </c>
      <c r="E1430" s="1" t="s">
        <v>732</v>
      </c>
      <c r="F1430" s="1" t="s">
        <v>40</v>
      </c>
      <c r="G1430" s="2" t="s">
        <v>6</v>
      </c>
      <c r="H1430" s="3" t="s">
        <v>97</v>
      </c>
      <c r="I1430" s="3" t="s">
        <v>91</v>
      </c>
      <c r="J1430" s="3" t="s">
        <v>59</v>
      </c>
      <c r="K1430" s="4">
        <v>224.32</v>
      </c>
      <c r="L1430" s="6">
        <v>110.98</v>
      </c>
    </row>
    <row r="1431" spans="1:12" x14ac:dyDescent="0.25">
      <c r="A1431" s="1">
        <v>1430</v>
      </c>
      <c r="B1431" s="4">
        <v>10340</v>
      </c>
      <c r="C1431" s="5">
        <v>40716</v>
      </c>
      <c r="D1431" s="3" t="s">
        <v>89</v>
      </c>
      <c r="E1431" s="1" t="s">
        <v>732</v>
      </c>
      <c r="F1431" s="1" t="s">
        <v>40</v>
      </c>
      <c r="G1431" s="2" t="s">
        <v>6</v>
      </c>
      <c r="H1431" s="3" t="s">
        <v>97</v>
      </c>
      <c r="I1431" s="3" t="s">
        <v>85</v>
      </c>
      <c r="J1431" s="3" t="s">
        <v>63</v>
      </c>
      <c r="K1431" s="4">
        <v>311.98</v>
      </c>
      <c r="L1431" s="6">
        <v>22.01</v>
      </c>
    </row>
    <row r="1432" spans="1:12" x14ac:dyDescent="0.25">
      <c r="A1432" s="1">
        <v>1431</v>
      </c>
      <c r="B1432" s="4">
        <v>10341</v>
      </c>
      <c r="C1432" s="5">
        <v>41264</v>
      </c>
      <c r="D1432" s="3" t="s">
        <v>89</v>
      </c>
      <c r="E1432" s="1" t="s">
        <v>274</v>
      </c>
      <c r="F1432" s="1" t="s">
        <v>32</v>
      </c>
      <c r="G1432" s="2" t="s">
        <v>2</v>
      </c>
      <c r="H1432" s="3" t="s">
        <v>84</v>
      </c>
      <c r="I1432" s="3" t="s">
        <v>92</v>
      </c>
      <c r="J1432" s="3" t="s">
        <v>67</v>
      </c>
      <c r="K1432" s="4">
        <v>2312.96</v>
      </c>
      <c r="L1432" s="6">
        <v>145.44999999999999</v>
      </c>
    </row>
    <row r="1433" spans="1:12" x14ac:dyDescent="0.25">
      <c r="A1433" s="1">
        <v>1432</v>
      </c>
      <c r="B1433" s="4">
        <v>10342</v>
      </c>
      <c r="C1433" s="5">
        <v>40869</v>
      </c>
      <c r="D1433" s="3" t="s">
        <v>4</v>
      </c>
      <c r="E1433" s="1" t="s">
        <v>622</v>
      </c>
      <c r="F1433" s="1" t="s">
        <v>22</v>
      </c>
      <c r="G1433" s="2" t="s">
        <v>6</v>
      </c>
      <c r="H1433" s="3" t="s">
        <v>100</v>
      </c>
      <c r="I1433" s="3" t="s">
        <v>91</v>
      </c>
      <c r="J1433" s="3" t="s">
        <v>68</v>
      </c>
      <c r="K1433" s="4">
        <v>5181.08</v>
      </c>
      <c r="L1433" s="6">
        <v>114.98</v>
      </c>
    </row>
    <row r="1434" spans="1:12" x14ac:dyDescent="0.25">
      <c r="A1434" s="1">
        <v>1433</v>
      </c>
      <c r="B1434" s="4">
        <v>10342</v>
      </c>
      <c r="C1434" s="5">
        <v>40869</v>
      </c>
      <c r="D1434" s="3" t="s">
        <v>4</v>
      </c>
      <c r="E1434" s="1" t="s">
        <v>622</v>
      </c>
      <c r="F1434" s="1" t="s">
        <v>22</v>
      </c>
      <c r="G1434" s="2" t="s">
        <v>6</v>
      </c>
      <c r="H1434" s="3" t="s">
        <v>100</v>
      </c>
      <c r="I1434" s="3" t="s">
        <v>92</v>
      </c>
      <c r="J1434" s="3" t="s">
        <v>73</v>
      </c>
      <c r="K1434" s="4">
        <v>10567.45</v>
      </c>
      <c r="L1434" s="6">
        <v>299.99</v>
      </c>
    </row>
    <row r="1435" spans="1:12" x14ac:dyDescent="0.25">
      <c r="A1435" s="1">
        <v>1434</v>
      </c>
      <c r="B1435" s="4">
        <v>10342</v>
      </c>
      <c r="C1435" s="5">
        <v>40869</v>
      </c>
      <c r="D1435" s="3" t="s">
        <v>4</v>
      </c>
      <c r="E1435" s="1" t="s">
        <v>622</v>
      </c>
      <c r="F1435" s="1" t="s">
        <v>22</v>
      </c>
      <c r="G1435" s="2" t="s">
        <v>6</v>
      </c>
      <c r="H1435" s="3" t="s">
        <v>100</v>
      </c>
      <c r="I1435" s="3" t="s">
        <v>91</v>
      </c>
      <c r="J1435" s="3" t="s">
        <v>59</v>
      </c>
      <c r="K1435" s="4">
        <v>1679.04</v>
      </c>
      <c r="L1435" s="6">
        <v>40.97</v>
      </c>
    </row>
    <row r="1436" spans="1:12" x14ac:dyDescent="0.25">
      <c r="A1436" s="1">
        <v>1435</v>
      </c>
      <c r="B1436" s="4">
        <v>10342</v>
      </c>
      <c r="C1436" s="5">
        <v>40869</v>
      </c>
      <c r="D1436" s="3" t="s">
        <v>4</v>
      </c>
      <c r="E1436" s="1" t="s">
        <v>622</v>
      </c>
      <c r="F1436" s="1" t="s">
        <v>22</v>
      </c>
      <c r="G1436" s="2" t="s">
        <v>6</v>
      </c>
      <c r="H1436" s="3" t="s">
        <v>100</v>
      </c>
      <c r="I1436" s="3" t="s">
        <v>92</v>
      </c>
      <c r="J1436" s="3" t="s">
        <v>67</v>
      </c>
      <c r="K1436" s="4">
        <v>2055.9699999999998</v>
      </c>
      <c r="L1436" s="6">
        <v>999.99</v>
      </c>
    </row>
    <row r="1437" spans="1:12" x14ac:dyDescent="0.25">
      <c r="A1437" s="1">
        <v>1436</v>
      </c>
      <c r="B1437" s="4">
        <v>10369</v>
      </c>
      <c r="C1437" s="5">
        <v>40856</v>
      </c>
      <c r="D1437" s="3" t="s">
        <v>82</v>
      </c>
      <c r="E1437" s="1" t="s">
        <v>602</v>
      </c>
      <c r="F1437" s="1" t="s">
        <v>11</v>
      </c>
      <c r="G1437" s="2" t="s">
        <v>6</v>
      </c>
      <c r="H1437" s="3" t="s">
        <v>97</v>
      </c>
      <c r="I1437" s="3" t="s">
        <v>85</v>
      </c>
      <c r="J1437" s="3" t="s">
        <v>66</v>
      </c>
      <c r="K1437" s="4">
        <v>27.34</v>
      </c>
      <c r="L1437" s="6">
        <v>5.78</v>
      </c>
    </row>
    <row r="1438" spans="1:12" x14ac:dyDescent="0.25">
      <c r="A1438" s="1">
        <v>1437</v>
      </c>
      <c r="B1438" s="4">
        <v>10369</v>
      </c>
      <c r="C1438" s="5">
        <v>40856</v>
      </c>
      <c r="D1438" s="3" t="s">
        <v>82</v>
      </c>
      <c r="E1438" s="1" t="s">
        <v>733</v>
      </c>
      <c r="F1438" s="1" t="s">
        <v>11</v>
      </c>
      <c r="G1438" s="2" t="s">
        <v>6</v>
      </c>
      <c r="H1438" s="3" t="s">
        <v>97</v>
      </c>
      <c r="I1438" s="3" t="s">
        <v>92</v>
      </c>
      <c r="J1438" s="3" t="s">
        <v>62</v>
      </c>
      <c r="K1438" s="4">
        <v>683.68</v>
      </c>
      <c r="L1438" s="6">
        <v>28.48</v>
      </c>
    </row>
    <row r="1439" spans="1:12" x14ac:dyDescent="0.25">
      <c r="A1439" s="1">
        <v>1438</v>
      </c>
      <c r="B1439" s="4">
        <v>10371</v>
      </c>
      <c r="C1439" s="5">
        <v>40072</v>
      </c>
      <c r="D1439" s="3" t="s">
        <v>89</v>
      </c>
      <c r="E1439" s="1" t="s">
        <v>734</v>
      </c>
      <c r="F1439" s="1" t="s">
        <v>13</v>
      </c>
      <c r="G1439" s="2" t="s">
        <v>6</v>
      </c>
      <c r="H1439" s="3" t="s">
        <v>88</v>
      </c>
      <c r="I1439" s="3" t="s">
        <v>85</v>
      </c>
      <c r="J1439" s="3" t="s">
        <v>58</v>
      </c>
      <c r="K1439" s="4">
        <v>156.15</v>
      </c>
      <c r="L1439" s="6">
        <v>15.73</v>
      </c>
    </row>
    <row r="1440" spans="1:12" x14ac:dyDescent="0.25">
      <c r="A1440" s="1">
        <v>1439</v>
      </c>
      <c r="B1440" s="4">
        <v>10373</v>
      </c>
      <c r="C1440" s="5">
        <v>40354</v>
      </c>
      <c r="D1440" s="3" t="s">
        <v>95</v>
      </c>
      <c r="E1440" s="1" t="s">
        <v>735</v>
      </c>
      <c r="F1440" s="1" t="s">
        <v>34</v>
      </c>
      <c r="G1440" s="2" t="s">
        <v>1</v>
      </c>
      <c r="H1440" s="3" t="s">
        <v>100</v>
      </c>
      <c r="I1440" s="3" t="s">
        <v>85</v>
      </c>
      <c r="J1440" s="3" t="s">
        <v>66</v>
      </c>
      <c r="K1440" s="4">
        <v>193.16</v>
      </c>
      <c r="L1440" s="6">
        <v>6.48</v>
      </c>
    </row>
    <row r="1441" spans="1:12" x14ac:dyDescent="0.25">
      <c r="A1441" s="1">
        <v>1440</v>
      </c>
      <c r="B1441" s="4">
        <v>10432</v>
      </c>
      <c r="C1441" s="5">
        <v>40913</v>
      </c>
      <c r="D1441" s="3" t="s">
        <v>82</v>
      </c>
      <c r="E1441" s="1" t="s">
        <v>724</v>
      </c>
      <c r="F1441" s="1" t="s">
        <v>28</v>
      </c>
      <c r="G1441" s="2" t="s">
        <v>6</v>
      </c>
      <c r="H1441" s="3" t="s">
        <v>88</v>
      </c>
      <c r="I1441" s="3" t="s">
        <v>92</v>
      </c>
      <c r="J1441" s="3" t="s">
        <v>62</v>
      </c>
      <c r="K1441" s="4">
        <v>2323.36</v>
      </c>
      <c r="L1441" s="6">
        <v>179.99</v>
      </c>
    </row>
    <row r="1442" spans="1:12" x14ac:dyDescent="0.25">
      <c r="A1442" s="1">
        <v>1441</v>
      </c>
      <c r="B1442" s="4">
        <v>10434</v>
      </c>
      <c r="C1442" s="5">
        <v>40170</v>
      </c>
      <c r="D1442" s="3" t="s">
        <v>89</v>
      </c>
      <c r="E1442" s="1" t="s">
        <v>736</v>
      </c>
      <c r="F1442" s="1" t="s">
        <v>22</v>
      </c>
      <c r="G1442" s="2" t="s">
        <v>6</v>
      </c>
      <c r="H1442" s="3" t="s">
        <v>84</v>
      </c>
      <c r="I1442" s="3" t="s">
        <v>91</v>
      </c>
      <c r="J1442" s="3" t="s">
        <v>72</v>
      </c>
      <c r="K1442" s="4">
        <v>383.45</v>
      </c>
      <c r="L1442" s="6">
        <v>180.98</v>
      </c>
    </row>
    <row r="1443" spans="1:12" x14ac:dyDescent="0.25">
      <c r="A1443" s="1">
        <v>1442</v>
      </c>
      <c r="B1443" s="4">
        <v>10435</v>
      </c>
      <c r="C1443" s="5">
        <v>40400</v>
      </c>
      <c r="D1443" s="3" t="s">
        <v>4</v>
      </c>
      <c r="E1443" s="1" t="s">
        <v>737</v>
      </c>
      <c r="F1443" s="1" t="s">
        <v>38</v>
      </c>
      <c r="G1443" s="2" t="s">
        <v>6</v>
      </c>
      <c r="H1443" s="3" t="s">
        <v>88</v>
      </c>
      <c r="I1443" s="3" t="s">
        <v>85</v>
      </c>
      <c r="J1443" s="3" t="s">
        <v>63</v>
      </c>
      <c r="K1443" s="4">
        <v>871.25</v>
      </c>
      <c r="L1443" s="6">
        <v>22.99</v>
      </c>
    </row>
    <row r="1444" spans="1:12" x14ac:dyDescent="0.25">
      <c r="A1444" s="1">
        <v>1443</v>
      </c>
      <c r="B1444" s="4">
        <v>10435</v>
      </c>
      <c r="C1444" s="5">
        <v>40400</v>
      </c>
      <c r="D1444" s="3" t="s">
        <v>4</v>
      </c>
      <c r="E1444" s="1" t="s">
        <v>737</v>
      </c>
      <c r="F1444" s="1" t="s">
        <v>38</v>
      </c>
      <c r="G1444" s="2" t="s">
        <v>6</v>
      </c>
      <c r="H1444" s="3" t="s">
        <v>88</v>
      </c>
      <c r="I1444" s="3" t="s">
        <v>85</v>
      </c>
      <c r="J1444" s="3" t="s">
        <v>63</v>
      </c>
      <c r="K1444" s="4">
        <v>537.87</v>
      </c>
      <c r="L1444" s="6">
        <v>11.66</v>
      </c>
    </row>
    <row r="1445" spans="1:12" x14ac:dyDescent="0.25">
      <c r="A1445" s="1">
        <v>1444</v>
      </c>
      <c r="B1445" s="4">
        <v>10436</v>
      </c>
      <c r="C1445" s="5">
        <v>40545</v>
      </c>
      <c r="D1445" s="3" t="s">
        <v>82</v>
      </c>
      <c r="E1445" s="1" t="s">
        <v>738</v>
      </c>
      <c r="F1445" s="1" t="s">
        <v>20</v>
      </c>
      <c r="G1445" s="2" t="s">
        <v>1</v>
      </c>
      <c r="H1445" s="3" t="s">
        <v>88</v>
      </c>
      <c r="I1445" s="3" t="s">
        <v>85</v>
      </c>
      <c r="J1445" s="3" t="s">
        <v>63</v>
      </c>
      <c r="K1445" s="4">
        <v>138.75</v>
      </c>
      <c r="L1445" s="6">
        <v>5.84</v>
      </c>
    </row>
    <row r="1446" spans="1:12" x14ac:dyDescent="0.25">
      <c r="A1446" s="1">
        <v>1445</v>
      </c>
      <c r="B1446" s="4">
        <v>10437</v>
      </c>
      <c r="C1446" s="5">
        <v>40043</v>
      </c>
      <c r="D1446" s="3" t="s">
        <v>95</v>
      </c>
      <c r="E1446" s="1" t="s">
        <v>496</v>
      </c>
      <c r="F1446" s="1" t="s">
        <v>8</v>
      </c>
      <c r="G1446" s="2" t="s">
        <v>6</v>
      </c>
      <c r="H1446" s="3" t="s">
        <v>88</v>
      </c>
      <c r="I1446" s="3" t="s">
        <v>85</v>
      </c>
      <c r="J1446" s="3" t="s">
        <v>69</v>
      </c>
      <c r="K1446" s="4">
        <v>820.52</v>
      </c>
      <c r="L1446" s="6">
        <v>15.99</v>
      </c>
    </row>
    <row r="1447" spans="1:12" x14ac:dyDescent="0.25">
      <c r="A1447" s="1">
        <v>1446</v>
      </c>
      <c r="B1447" s="4">
        <v>10439</v>
      </c>
      <c r="C1447" s="5">
        <v>40996</v>
      </c>
      <c r="D1447" s="3" t="s">
        <v>86</v>
      </c>
      <c r="E1447" s="1" t="s">
        <v>717</v>
      </c>
      <c r="F1447" s="1" t="s">
        <v>9</v>
      </c>
      <c r="G1447" s="2" t="s">
        <v>2</v>
      </c>
      <c r="H1447" s="3" t="s">
        <v>100</v>
      </c>
      <c r="I1447" s="3" t="s">
        <v>85</v>
      </c>
      <c r="J1447" s="3" t="s">
        <v>69</v>
      </c>
      <c r="K1447" s="4">
        <v>823.13</v>
      </c>
      <c r="L1447" s="6">
        <v>18.940000000000001</v>
      </c>
    </row>
    <row r="1448" spans="1:12" x14ac:dyDescent="0.25">
      <c r="A1448" s="1">
        <v>1447</v>
      </c>
      <c r="B1448" s="4">
        <v>10439</v>
      </c>
      <c r="C1448" s="5">
        <v>40996</v>
      </c>
      <c r="D1448" s="3" t="s">
        <v>86</v>
      </c>
      <c r="E1448" s="1" t="s">
        <v>717</v>
      </c>
      <c r="F1448" s="1" t="s">
        <v>9</v>
      </c>
      <c r="G1448" s="2" t="s">
        <v>2</v>
      </c>
      <c r="H1448" s="3" t="s">
        <v>100</v>
      </c>
      <c r="I1448" s="3" t="s">
        <v>92</v>
      </c>
      <c r="J1448" s="3" t="s">
        <v>62</v>
      </c>
      <c r="K1448" s="4">
        <v>569.61</v>
      </c>
      <c r="L1448" s="6">
        <v>17.98</v>
      </c>
    </row>
    <row r="1449" spans="1:12" x14ac:dyDescent="0.25">
      <c r="A1449" s="1">
        <v>1448</v>
      </c>
      <c r="B1449" s="4">
        <v>10439</v>
      </c>
      <c r="C1449" s="5">
        <v>40996</v>
      </c>
      <c r="D1449" s="3" t="s">
        <v>86</v>
      </c>
      <c r="E1449" s="1" t="s">
        <v>717</v>
      </c>
      <c r="F1449" s="1" t="s">
        <v>9</v>
      </c>
      <c r="G1449" s="2" t="s">
        <v>2</v>
      </c>
      <c r="H1449" s="3" t="s">
        <v>100</v>
      </c>
      <c r="I1449" s="3" t="s">
        <v>85</v>
      </c>
      <c r="J1449" s="3" t="s">
        <v>65</v>
      </c>
      <c r="K1449" s="4">
        <v>75.06</v>
      </c>
      <c r="L1449" s="6">
        <v>2.89</v>
      </c>
    </row>
    <row r="1450" spans="1:12" x14ac:dyDescent="0.25">
      <c r="A1450" s="1">
        <v>1449</v>
      </c>
      <c r="B1450" s="4">
        <v>10439</v>
      </c>
      <c r="C1450" s="5">
        <v>40996</v>
      </c>
      <c r="D1450" s="3" t="s">
        <v>86</v>
      </c>
      <c r="E1450" s="1" t="s">
        <v>717</v>
      </c>
      <c r="F1450" s="1" t="s">
        <v>9</v>
      </c>
      <c r="G1450" s="2" t="s">
        <v>2</v>
      </c>
      <c r="H1450" s="3" t="s">
        <v>100</v>
      </c>
      <c r="I1450" s="3" t="s">
        <v>91</v>
      </c>
      <c r="J1450" s="3" t="s">
        <v>59</v>
      </c>
      <c r="K1450" s="4">
        <v>225.13</v>
      </c>
      <c r="L1450" s="6">
        <v>4.4800000000000004</v>
      </c>
    </row>
    <row r="1451" spans="1:12" x14ac:dyDescent="0.25">
      <c r="A1451" s="1">
        <v>1450</v>
      </c>
      <c r="B1451" s="4">
        <v>10464</v>
      </c>
      <c r="C1451" s="5">
        <v>40035</v>
      </c>
      <c r="D1451" s="3" t="s">
        <v>95</v>
      </c>
      <c r="E1451" s="1" t="s">
        <v>561</v>
      </c>
      <c r="F1451" s="1" t="s">
        <v>9</v>
      </c>
      <c r="G1451" s="2" t="s">
        <v>2</v>
      </c>
      <c r="H1451" s="3" t="s">
        <v>100</v>
      </c>
      <c r="I1451" s="3" t="s">
        <v>85</v>
      </c>
      <c r="J1451" s="3" t="s">
        <v>66</v>
      </c>
      <c r="K1451" s="4">
        <v>121.73</v>
      </c>
      <c r="L1451" s="6">
        <v>4.9800000000000004</v>
      </c>
    </row>
    <row r="1452" spans="1:12" x14ac:dyDescent="0.25">
      <c r="A1452" s="1">
        <v>1451</v>
      </c>
      <c r="B1452" s="4">
        <v>10466</v>
      </c>
      <c r="C1452" s="5">
        <v>41268</v>
      </c>
      <c r="D1452" s="3" t="s">
        <v>89</v>
      </c>
      <c r="E1452" s="1" t="s">
        <v>487</v>
      </c>
      <c r="F1452" s="1" t="s">
        <v>24</v>
      </c>
      <c r="G1452" s="2" t="s">
        <v>2</v>
      </c>
      <c r="H1452" s="3" t="s">
        <v>88</v>
      </c>
      <c r="I1452" s="3" t="s">
        <v>85</v>
      </c>
      <c r="J1452" s="3" t="s">
        <v>63</v>
      </c>
      <c r="K1452" s="4">
        <v>114.86</v>
      </c>
      <c r="L1452" s="6">
        <v>4.28</v>
      </c>
    </row>
    <row r="1453" spans="1:12" x14ac:dyDescent="0.25">
      <c r="A1453" s="1">
        <v>1452</v>
      </c>
      <c r="B1453" s="4">
        <v>10470</v>
      </c>
      <c r="C1453" s="5">
        <v>41033</v>
      </c>
      <c r="D1453" s="3" t="s">
        <v>82</v>
      </c>
      <c r="E1453" s="1" t="s">
        <v>739</v>
      </c>
      <c r="F1453" s="1" t="s">
        <v>34</v>
      </c>
      <c r="G1453" s="2" t="s">
        <v>1</v>
      </c>
      <c r="H1453" s="3" t="s">
        <v>88</v>
      </c>
      <c r="I1453" s="3" t="s">
        <v>85</v>
      </c>
      <c r="J1453" s="3" t="s">
        <v>70</v>
      </c>
      <c r="K1453" s="4">
        <v>1757.43</v>
      </c>
      <c r="L1453" s="6">
        <v>44.01</v>
      </c>
    </row>
    <row r="1454" spans="1:12" x14ac:dyDescent="0.25">
      <c r="A1454" s="1">
        <v>1453</v>
      </c>
      <c r="B1454" s="4">
        <v>10470</v>
      </c>
      <c r="C1454" s="5">
        <v>41033</v>
      </c>
      <c r="D1454" s="3" t="s">
        <v>82</v>
      </c>
      <c r="E1454" s="1" t="s">
        <v>739</v>
      </c>
      <c r="F1454" s="1" t="s">
        <v>34</v>
      </c>
      <c r="G1454" s="2" t="s">
        <v>1</v>
      </c>
      <c r="H1454" s="3" t="s">
        <v>88</v>
      </c>
      <c r="I1454" s="3" t="s">
        <v>85</v>
      </c>
      <c r="J1454" s="3" t="s">
        <v>69</v>
      </c>
      <c r="K1454" s="4">
        <v>137.26</v>
      </c>
      <c r="L1454" s="6">
        <v>15.99</v>
      </c>
    </row>
    <row r="1455" spans="1:12" x14ac:dyDescent="0.25">
      <c r="A1455" s="1">
        <v>1454</v>
      </c>
      <c r="B1455" s="4">
        <v>10470</v>
      </c>
      <c r="C1455" s="5">
        <v>41033</v>
      </c>
      <c r="D1455" s="3" t="s">
        <v>82</v>
      </c>
      <c r="E1455" s="1" t="s">
        <v>739</v>
      </c>
      <c r="F1455" s="1" t="s">
        <v>34</v>
      </c>
      <c r="G1455" s="2" t="s">
        <v>1</v>
      </c>
      <c r="H1455" s="3" t="s">
        <v>88</v>
      </c>
      <c r="I1455" s="3" t="s">
        <v>92</v>
      </c>
      <c r="J1455" s="3" t="s">
        <v>61</v>
      </c>
      <c r="K1455" s="4">
        <v>2913.1455000000001</v>
      </c>
      <c r="L1455" s="6">
        <v>175.99</v>
      </c>
    </row>
    <row r="1456" spans="1:12" x14ac:dyDescent="0.25">
      <c r="A1456" s="1">
        <v>1455</v>
      </c>
      <c r="B1456" s="4">
        <v>10470</v>
      </c>
      <c r="C1456" s="5">
        <v>41033</v>
      </c>
      <c r="D1456" s="3" t="s">
        <v>95</v>
      </c>
      <c r="E1456" s="1" t="s">
        <v>492</v>
      </c>
      <c r="F1456" s="1" t="s">
        <v>30</v>
      </c>
      <c r="G1456" s="2" t="s">
        <v>6</v>
      </c>
      <c r="H1456" s="3" t="s">
        <v>88</v>
      </c>
      <c r="I1456" s="3" t="s">
        <v>91</v>
      </c>
      <c r="J1456" s="3" t="s">
        <v>59</v>
      </c>
      <c r="K1456" s="4">
        <v>246.98</v>
      </c>
      <c r="L1456" s="6">
        <v>7.38</v>
      </c>
    </row>
    <row r="1457" spans="1:12" x14ac:dyDescent="0.25">
      <c r="A1457" s="1">
        <v>1456</v>
      </c>
      <c r="B1457" s="4">
        <v>10498</v>
      </c>
      <c r="C1457" s="5">
        <v>40474</v>
      </c>
      <c r="D1457" s="3" t="s">
        <v>82</v>
      </c>
      <c r="E1457" s="1" t="s">
        <v>740</v>
      </c>
      <c r="F1457" s="1" t="s">
        <v>13</v>
      </c>
      <c r="G1457" s="2" t="s">
        <v>6</v>
      </c>
      <c r="H1457" s="3" t="s">
        <v>84</v>
      </c>
      <c r="I1457" s="3" t="s">
        <v>85</v>
      </c>
      <c r="J1457" s="3" t="s">
        <v>63</v>
      </c>
      <c r="K1457" s="4">
        <v>1968.47</v>
      </c>
      <c r="L1457" s="6">
        <v>40.97</v>
      </c>
    </row>
    <row r="1458" spans="1:12" x14ac:dyDescent="0.25">
      <c r="A1458" s="1">
        <v>1457</v>
      </c>
      <c r="B1458" s="4">
        <v>10499</v>
      </c>
      <c r="C1458" s="5">
        <v>40498</v>
      </c>
      <c r="D1458" s="3" t="s">
        <v>86</v>
      </c>
      <c r="E1458" s="1" t="s">
        <v>165</v>
      </c>
      <c r="F1458" s="1" t="s">
        <v>8</v>
      </c>
      <c r="G1458" s="2" t="s">
        <v>6</v>
      </c>
      <c r="H1458" s="3" t="s">
        <v>88</v>
      </c>
      <c r="I1458" s="3" t="s">
        <v>91</v>
      </c>
      <c r="J1458" s="3" t="s">
        <v>60</v>
      </c>
      <c r="K1458" s="4">
        <v>6250.9360000000006</v>
      </c>
      <c r="L1458" s="6">
        <v>262.11</v>
      </c>
    </row>
    <row r="1459" spans="1:12" x14ac:dyDescent="0.25">
      <c r="A1459" s="1">
        <v>1458</v>
      </c>
      <c r="B1459" s="4">
        <v>10502</v>
      </c>
      <c r="C1459" s="5">
        <v>40312</v>
      </c>
      <c r="D1459" s="3" t="s">
        <v>86</v>
      </c>
      <c r="E1459" s="1" t="s">
        <v>641</v>
      </c>
      <c r="F1459" s="1" t="s">
        <v>44</v>
      </c>
      <c r="G1459" s="2" t="s">
        <v>3</v>
      </c>
      <c r="H1459" s="3" t="s">
        <v>100</v>
      </c>
      <c r="I1459" s="3" t="s">
        <v>91</v>
      </c>
      <c r="J1459" s="3" t="s">
        <v>72</v>
      </c>
      <c r="K1459" s="4">
        <v>7869.22</v>
      </c>
      <c r="L1459" s="6">
        <v>243.98</v>
      </c>
    </row>
    <row r="1460" spans="1:12" x14ac:dyDescent="0.25">
      <c r="A1460" s="1">
        <v>1459</v>
      </c>
      <c r="B1460" s="4">
        <v>10502</v>
      </c>
      <c r="C1460" s="5">
        <v>40312</v>
      </c>
      <c r="D1460" s="3" t="s">
        <v>86</v>
      </c>
      <c r="E1460" s="1" t="s">
        <v>641</v>
      </c>
      <c r="F1460" s="1" t="s">
        <v>44</v>
      </c>
      <c r="G1460" s="2" t="s">
        <v>3</v>
      </c>
      <c r="H1460" s="3" t="s">
        <v>100</v>
      </c>
      <c r="I1460" s="3" t="s">
        <v>91</v>
      </c>
      <c r="J1460" s="3" t="s">
        <v>59</v>
      </c>
      <c r="K1460" s="4">
        <v>912.44</v>
      </c>
      <c r="L1460" s="6">
        <v>25.38</v>
      </c>
    </row>
    <row r="1461" spans="1:12" x14ac:dyDescent="0.25">
      <c r="A1461" s="1">
        <v>1460</v>
      </c>
      <c r="B1461" s="4">
        <v>10528</v>
      </c>
      <c r="C1461" s="5">
        <v>40069</v>
      </c>
      <c r="D1461" s="3" t="s">
        <v>4</v>
      </c>
      <c r="E1461" s="1" t="s">
        <v>741</v>
      </c>
      <c r="F1461" s="1" t="s">
        <v>29</v>
      </c>
      <c r="G1461" s="2" t="s">
        <v>3</v>
      </c>
      <c r="H1461" s="3" t="s">
        <v>88</v>
      </c>
      <c r="I1461" s="3" t="s">
        <v>85</v>
      </c>
      <c r="J1461" s="3" t="s">
        <v>57</v>
      </c>
      <c r="K1461" s="4">
        <v>838.4</v>
      </c>
      <c r="L1461" s="6">
        <v>17.7</v>
      </c>
    </row>
    <row r="1462" spans="1:12" x14ac:dyDescent="0.25">
      <c r="A1462" s="1">
        <v>1461</v>
      </c>
      <c r="B1462" s="4">
        <v>10530</v>
      </c>
      <c r="C1462" s="5">
        <v>39840</v>
      </c>
      <c r="D1462" s="3" t="s">
        <v>4</v>
      </c>
      <c r="E1462" s="1" t="s">
        <v>573</v>
      </c>
      <c r="F1462" s="1" t="s">
        <v>23</v>
      </c>
      <c r="G1462" s="2" t="s">
        <v>3</v>
      </c>
      <c r="H1462" s="3" t="s">
        <v>100</v>
      </c>
      <c r="I1462" s="3" t="s">
        <v>92</v>
      </c>
      <c r="J1462" s="3" t="s">
        <v>61</v>
      </c>
      <c r="K1462" s="4">
        <v>377.21299999999997</v>
      </c>
      <c r="L1462" s="6">
        <v>110.99</v>
      </c>
    </row>
    <row r="1463" spans="1:12" x14ac:dyDescent="0.25">
      <c r="A1463" s="1">
        <v>1462</v>
      </c>
      <c r="B1463" s="4">
        <v>10535</v>
      </c>
      <c r="C1463" s="5">
        <v>40690</v>
      </c>
      <c r="D1463" s="3" t="s">
        <v>82</v>
      </c>
      <c r="E1463" s="1" t="s">
        <v>165</v>
      </c>
      <c r="F1463" s="1" t="s">
        <v>8</v>
      </c>
      <c r="G1463" s="2" t="s">
        <v>6</v>
      </c>
      <c r="H1463" s="3" t="s">
        <v>88</v>
      </c>
      <c r="I1463" s="3" t="s">
        <v>91</v>
      </c>
      <c r="J1463" s="3" t="s">
        <v>59</v>
      </c>
      <c r="K1463" s="4">
        <v>854.88</v>
      </c>
      <c r="L1463" s="6">
        <v>33.979999999999997</v>
      </c>
    </row>
    <row r="1464" spans="1:12" x14ac:dyDescent="0.25">
      <c r="A1464" s="1">
        <v>1463</v>
      </c>
      <c r="B1464" s="4">
        <v>10535</v>
      </c>
      <c r="C1464" s="5">
        <v>40690</v>
      </c>
      <c r="D1464" s="3" t="s">
        <v>82</v>
      </c>
      <c r="E1464" s="1" t="s">
        <v>165</v>
      </c>
      <c r="F1464" s="1" t="s">
        <v>8</v>
      </c>
      <c r="G1464" s="2" t="s">
        <v>6</v>
      </c>
      <c r="H1464" s="3" t="s">
        <v>88</v>
      </c>
      <c r="I1464" s="3" t="s">
        <v>85</v>
      </c>
      <c r="J1464" s="3" t="s">
        <v>63</v>
      </c>
      <c r="K1464" s="4">
        <v>80.27</v>
      </c>
      <c r="L1464" s="6">
        <v>1.76</v>
      </c>
    </row>
    <row r="1465" spans="1:12" x14ac:dyDescent="0.25">
      <c r="A1465" s="1">
        <v>1464</v>
      </c>
      <c r="B1465" s="4">
        <v>10562</v>
      </c>
      <c r="C1465" s="5">
        <v>40128</v>
      </c>
      <c r="D1465" s="3" t="s">
        <v>86</v>
      </c>
      <c r="E1465" s="1" t="s">
        <v>742</v>
      </c>
      <c r="F1465" s="1" t="s">
        <v>24</v>
      </c>
      <c r="G1465" s="2" t="s">
        <v>2</v>
      </c>
      <c r="H1465" s="3" t="s">
        <v>88</v>
      </c>
      <c r="I1465" s="3" t="s">
        <v>85</v>
      </c>
      <c r="J1465" s="3" t="s">
        <v>57</v>
      </c>
      <c r="K1465" s="4">
        <v>994.04</v>
      </c>
      <c r="L1465" s="6">
        <v>95.99</v>
      </c>
    </row>
    <row r="1466" spans="1:12" x14ac:dyDescent="0.25">
      <c r="A1466" s="1">
        <v>1465</v>
      </c>
      <c r="B1466" s="4">
        <v>10563</v>
      </c>
      <c r="C1466" s="5">
        <v>40450</v>
      </c>
      <c r="D1466" s="3" t="s">
        <v>95</v>
      </c>
      <c r="E1466" s="1" t="s">
        <v>675</v>
      </c>
      <c r="F1466" s="1" t="s">
        <v>24</v>
      </c>
      <c r="G1466" s="2" t="s">
        <v>2</v>
      </c>
      <c r="H1466" s="3" t="s">
        <v>88</v>
      </c>
      <c r="I1466" s="3" t="s">
        <v>85</v>
      </c>
      <c r="J1466" s="3" t="s">
        <v>70</v>
      </c>
      <c r="K1466" s="4">
        <v>10223.19</v>
      </c>
      <c r="L1466" s="6">
        <v>289.52999999999997</v>
      </c>
    </row>
    <row r="1467" spans="1:12" x14ac:dyDescent="0.25">
      <c r="A1467" s="1">
        <v>1466</v>
      </c>
      <c r="B1467" s="4">
        <v>10563</v>
      </c>
      <c r="C1467" s="5">
        <v>40450</v>
      </c>
      <c r="D1467" s="3" t="s">
        <v>95</v>
      </c>
      <c r="E1467" s="1" t="s">
        <v>675</v>
      </c>
      <c r="F1467" s="1" t="s">
        <v>24</v>
      </c>
      <c r="G1467" s="2" t="s">
        <v>2</v>
      </c>
      <c r="H1467" s="3" t="s">
        <v>88</v>
      </c>
      <c r="I1467" s="3" t="s">
        <v>85</v>
      </c>
      <c r="J1467" s="3" t="s">
        <v>66</v>
      </c>
      <c r="K1467" s="4">
        <v>312.42</v>
      </c>
      <c r="L1467" s="6">
        <v>6.48</v>
      </c>
    </row>
    <row r="1468" spans="1:12" x14ac:dyDescent="0.25">
      <c r="A1468" s="1">
        <v>1467</v>
      </c>
      <c r="B1468" s="4">
        <v>10567</v>
      </c>
      <c r="C1468" s="5">
        <v>40997</v>
      </c>
      <c r="D1468" s="3" t="s">
        <v>89</v>
      </c>
      <c r="E1468" s="1" t="s">
        <v>743</v>
      </c>
      <c r="F1468" s="1" t="s">
        <v>45</v>
      </c>
      <c r="G1468" s="2" t="s">
        <v>3</v>
      </c>
      <c r="H1468" s="3" t="s">
        <v>97</v>
      </c>
      <c r="I1468" s="3" t="s">
        <v>91</v>
      </c>
      <c r="J1468" s="3" t="s">
        <v>60</v>
      </c>
      <c r="K1468" s="4">
        <v>1111.008</v>
      </c>
      <c r="L1468" s="6">
        <v>146.34</v>
      </c>
    </row>
    <row r="1469" spans="1:12" x14ac:dyDescent="0.25">
      <c r="A1469" s="1">
        <v>1468</v>
      </c>
      <c r="B1469" s="4">
        <v>10593</v>
      </c>
      <c r="C1469" s="5">
        <v>40951</v>
      </c>
      <c r="D1469" s="3" t="s">
        <v>89</v>
      </c>
      <c r="E1469" s="1" t="s">
        <v>223</v>
      </c>
      <c r="F1469" s="1" t="s">
        <v>25</v>
      </c>
      <c r="G1469" s="2" t="s">
        <v>6</v>
      </c>
      <c r="H1469" s="3" t="s">
        <v>97</v>
      </c>
      <c r="I1469" s="3" t="s">
        <v>92</v>
      </c>
      <c r="J1469" s="3" t="s">
        <v>62</v>
      </c>
      <c r="K1469" s="4">
        <v>435.27</v>
      </c>
      <c r="L1469" s="6">
        <v>15.98</v>
      </c>
    </row>
    <row r="1470" spans="1:12" x14ac:dyDescent="0.25">
      <c r="A1470" s="1">
        <v>1469</v>
      </c>
      <c r="B1470" s="4">
        <v>10593</v>
      </c>
      <c r="C1470" s="5">
        <v>40951</v>
      </c>
      <c r="D1470" s="3" t="s">
        <v>89</v>
      </c>
      <c r="E1470" s="1" t="s">
        <v>223</v>
      </c>
      <c r="F1470" s="1" t="s">
        <v>25</v>
      </c>
      <c r="G1470" s="2" t="s">
        <v>6</v>
      </c>
      <c r="H1470" s="3" t="s">
        <v>97</v>
      </c>
      <c r="I1470" s="3" t="s">
        <v>91</v>
      </c>
      <c r="J1470" s="3" t="s">
        <v>59</v>
      </c>
      <c r="K1470" s="4">
        <v>723.82</v>
      </c>
      <c r="L1470" s="6">
        <v>27.42</v>
      </c>
    </row>
    <row r="1471" spans="1:12" x14ac:dyDescent="0.25">
      <c r="A1471" s="1">
        <v>1470</v>
      </c>
      <c r="B1471" s="4">
        <v>10624</v>
      </c>
      <c r="C1471" s="5">
        <v>40167</v>
      </c>
      <c r="D1471" s="3" t="s">
        <v>95</v>
      </c>
      <c r="E1471" s="1" t="s">
        <v>744</v>
      </c>
      <c r="F1471" s="1" t="s">
        <v>13</v>
      </c>
      <c r="G1471" s="2" t="s">
        <v>6</v>
      </c>
      <c r="H1471" s="3" t="s">
        <v>88</v>
      </c>
      <c r="I1471" s="3" t="s">
        <v>92</v>
      </c>
      <c r="J1471" s="3" t="s">
        <v>62</v>
      </c>
      <c r="K1471" s="4">
        <v>1082.43</v>
      </c>
      <c r="L1471" s="6">
        <v>47.98</v>
      </c>
    </row>
    <row r="1472" spans="1:12" x14ac:dyDescent="0.25">
      <c r="A1472" s="1">
        <v>1471</v>
      </c>
      <c r="B1472" s="4">
        <v>10627</v>
      </c>
      <c r="C1472" s="5">
        <v>40233</v>
      </c>
      <c r="D1472" s="3" t="s">
        <v>82</v>
      </c>
      <c r="E1472" s="1" t="s">
        <v>745</v>
      </c>
      <c r="F1472" s="1" t="s">
        <v>31</v>
      </c>
      <c r="G1472" s="2" t="s">
        <v>1</v>
      </c>
      <c r="H1472" s="3" t="s">
        <v>97</v>
      </c>
      <c r="I1472" s="3" t="s">
        <v>85</v>
      </c>
      <c r="J1472" s="3" t="s">
        <v>70</v>
      </c>
      <c r="K1472" s="4">
        <v>40.229999999999997</v>
      </c>
      <c r="L1472" s="6">
        <v>7.77</v>
      </c>
    </row>
    <row r="1473" spans="1:12" x14ac:dyDescent="0.25">
      <c r="A1473" s="1">
        <v>1472</v>
      </c>
      <c r="B1473" s="4">
        <v>10629</v>
      </c>
      <c r="C1473" s="5">
        <v>40067</v>
      </c>
      <c r="D1473" s="3" t="s">
        <v>95</v>
      </c>
      <c r="E1473" s="1" t="s">
        <v>720</v>
      </c>
      <c r="F1473" s="1" t="s">
        <v>31</v>
      </c>
      <c r="G1473" s="2" t="s">
        <v>1</v>
      </c>
      <c r="H1473" s="3" t="s">
        <v>88</v>
      </c>
      <c r="I1473" s="3" t="s">
        <v>91</v>
      </c>
      <c r="J1473" s="3" t="s">
        <v>59</v>
      </c>
      <c r="K1473" s="4">
        <v>341.55</v>
      </c>
      <c r="L1473" s="6">
        <v>8.3699999999999992</v>
      </c>
    </row>
    <row r="1474" spans="1:12" x14ac:dyDescent="0.25">
      <c r="A1474" s="1">
        <v>1473</v>
      </c>
      <c r="B1474" s="4">
        <v>10629</v>
      </c>
      <c r="C1474" s="5">
        <v>40067</v>
      </c>
      <c r="D1474" s="3" t="s">
        <v>95</v>
      </c>
      <c r="E1474" s="1" t="s">
        <v>720</v>
      </c>
      <c r="F1474" s="1" t="s">
        <v>31</v>
      </c>
      <c r="G1474" s="2" t="s">
        <v>1</v>
      </c>
      <c r="H1474" s="3" t="s">
        <v>88</v>
      </c>
      <c r="I1474" s="3" t="s">
        <v>85</v>
      </c>
      <c r="J1474" s="3" t="s">
        <v>66</v>
      </c>
      <c r="K1474" s="4">
        <v>98.37</v>
      </c>
      <c r="L1474" s="6">
        <v>6.48</v>
      </c>
    </row>
    <row r="1475" spans="1:12" x14ac:dyDescent="0.25">
      <c r="A1475" s="1">
        <v>1474</v>
      </c>
      <c r="B1475" s="4">
        <v>10630</v>
      </c>
      <c r="C1475" s="5">
        <v>40213</v>
      </c>
      <c r="D1475" s="3" t="s">
        <v>4</v>
      </c>
      <c r="E1475" s="1" t="s">
        <v>746</v>
      </c>
      <c r="F1475" s="1" t="s">
        <v>42</v>
      </c>
      <c r="G1475" s="2" t="s">
        <v>3</v>
      </c>
      <c r="H1475" s="3" t="s">
        <v>88</v>
      </c>
      <c r="I1475" s="3" t="s">
        <v>91</v>
      </c>
      <c r="J1475" s="3" t="s">
        <v>68</v>
      </c>
      <c r="K1475" s="4">
        <v>2773.84</v>
      </c>
      <c r="L1475" s="6">
        <v>58.14</v>
      </c>
    </row>
    <row r="1476" spans="1:12" x14ac:dyDescent="0.25">
      <c r="A1476" s="1">
        <v>1475</v>
      </c>
      <c r="B1476" s="4">
        <v>10657</v>
      </c>
      <c r="C1476" s="5">
        <v>40446</v>
      </c>
      <c r="D1476" s="3" t="s">
        <v>4</v>
      </c>
      <c r="E1476" s="1" t="s">
        <v>400</v>
      </c>
      <c r="F1476" s="1" t="s">
        <v>42</v>
      </c>
      <c r="G1476" s="2" t="s">
        <v>3</v>
      </c>
      <c r="H1476" s="3" t="s">
        <v>100</v>
      </c>
      <c r="I1476" s="3" t="s">
        <v>85</v>
      </c>
      <c r="J1476" s="3" t="s">
        <v>66</v>
      </c>
      <c r="K1476" s="4">
        <v>289.94</v>
      </c>
      <c r="L1476" s="6">
        <v>6.48</v>
      </c>
    </row>
    <row r="1477" spans="1:12" x14ac:dyDescent="0.25">
      <c r="A1477" s="1">
        <v>1476</v>
      </c>
      <c r="B1477" s="4">
        <v>10657</v>
      </c>
      <c r="C1477" s="5">
        <v>40446</v>
      </c>
      <c r="D1477" s="3" t="s">
        <v>4</v>
      </c>
      <c r="E1477" s="1" t="s">
        <v>400</v>
      </c>
      <c r="F1477" s="1" t="s">
        <v>42</v>
      </c>
      <c r="G1477" s="2" t="s">
        <v>3</v>
      </c>
      <c r="H1477" s="3" t="s">
        <v>100</v>
      </c>
      <c r="I1477" s="3" t="s">
        <v>91</v>
      </c>
      <c r="J1477" s="3" t="s">
        <v>60</v>
      </c>
      <c r="K1477" s="4">
        <v>1848.52</v>
      </c>
      <c r="L1477" s="6">
        <v>218.75</v>
      </c>
    </row>
    <row r="1478" spans="1:12" x14ac:dyDescent="0.25">
      <c r="A1478" s="1">
        <v>1477</v>
      </c>
      <c r="B1478" s="4">
        <v>10658</v>
      </c>
      <c r="C1478" s="5">
        <v>40052</v>
      </c>
      <c r="D1478" s="3" t="s">
        <v>82</v>
      </c>
      <c r="E1478" s="1" t="s">
        <v>747</v>
      </c>
      <c r="F1478" s="1" t="s">
        <v>24</v>
      </c>
      <c r="G1478" s="2" t="s">
        <v>2</v>
      </c>
      <c r="H1478" s="3" t="s">
        <v>100</v>
      </c>
      <c r="I1478" s="3" t="s">
        <v>92</v>
      </c>
      <c r="J1478" s="3" t="s">
        <v>62</v>
      </c>
      <c r="K1478" s="4">
        <v>262.54000000000002</v>
      </c>
      <c r="L1478" s="6">
        <v>8.5</v>
      </c>
    </row>
    <row r="1479" spans="1:12" x14ac:dyDescent="0.25">
      <c r="A1479" s="1">
        <v>1478</v>
      </c>
      <c r="B1479" s="4">
        <v>10658</v>
      </c>
      <c r="C1479" s="5">
        <v>40052</v>
      </c>
      <c r="D1479" s="3" t="s">
        <v>82</v>
      </c>
      <c r="E1479" s="1" t="s">
        <v>747</v>
      </c>
      <c r="F1479" s="1" t="s">
        <v>24</v>
      </c>
      <c r="G1479" s="2" t="s">
        <v>2</v>
      </c>
      <c r="H1479" s="3" t="s">
        <v>100</v>
      </c>
      <c r="I1479" s="3" t="s">
        <v>92</v>
      </c>
      <c r="J1479" s="3" t="s">
        <v>67</v>
      </c>
      <c r="K1479" s="4">
        <v>190.73</v>
      </c>
      <c r="L1479" s="6">
        <v>15.99</v>
      </c>
    </row>
    <row r="1480" spans="1:12" x14ac:dyDescent="0.25">
      <c r="A1480" s="1">
        <v>1479</v>
      </c>
      <c r="B1480" s="4">
        <v>10658</v>
      </c>
      <c r="C1480" s="5">
        <v>40052</v>
      </c>
      <c r="D1480" s="3" t="s">
        <v>82</v>
      </c>
      <c r="E1480" s="1" t="s">
        <v>747</v>
      </c>
      <c r="F1480" s="1" t="s">
        <v>24</v>
      </c>
      <c r="G1480" s="2" t="s">
        <v>2</v>
      </c>
      <c r="H1480" s="3" t="s">
        <v>100</v>
      </c>
      <c r="I1480" s="3" t="s">
        <v>92</v>
      </c>
      <c r="J1480" s="3" t="s">
        <v>61</v>
      </c>
      <c r="K1480" s="4">
        <v>1332.97</v>
      </c>
      <c r="L1480" s="6">
        <v>95.99</v>
      </c>
    </row>
    <row r="1481" spans="1:12" x14ac:dyDescent="0.25">
      <c r="A1481" s="1">
        <v>1480</v>
      </c>
      <c r="B1481" s="4">
        <v>10659</v>
      </c>
      <c r="C1481" s="5">
        <v>39947</v>
      </c>
      <c r="D1481" s="3" t="s">
        <v>95</v>
      </c>
      <c r="E1481" s="1" t="s">
        <v>748</v>
      </c>
      <c r="F1481" s="1" t="s">
        <v>16</v>
      </c>
      <c r="G1481" s="2" t="s">
        <v>3</v>
      </c>
      <c r="H1481" s="3" t="s">
        <v>88</v>
      </c>
      <c r="I1481" s="3" t="s">
        <v>85</v>
      </c>
      <c r="J1481" s="3" t="s">
        <v>66</v>
      </c>
      <c r="K1481" s="4">
        <v>227.37</v>
      </c>
      <c r="L1481" s="6">
        <v>5.28</v>
      </c>
    </row>
    <row r="1482" spans="1:12" x14ac:dyDescent="0.25">
      <c r="A1482" s="1">
        <v>1481</v>
      </c>
      <c r="B1482" s="4">
        <v>10661</v>
      </c>
      <c r="C1482" s="5">
        <v>39836</v>
      </c>
      <c r="D1482" s="3" t="s">
        <v>86</v>
      </c>
      <c r="E1482" s="1" t="s">
        <v>634</v>
      </c>
      <c r="F1482" s="1" t="s">
        <v>28</v>
      </c>
      <c r="G1482" s="2" t="s">
        <v>6</v>
      </c>
      <c r="H1482" s="3" t="s">
        <v>100</v>
      </c>
      <c r="I1482" s="3" t="s">
        <v>85</v>
      </c>
      <c r="J1482" s="3" t="s">
        <v>58</v>
      </c>
      <c r="K1482" s="4">
        <v>136.41</v>
      </c>
      <c r="L1482" s="6">
        <v>6.84</v>
      </c>
    </row>
    <row r="1483" spans="1:12" x14ac:dyDescent="0.25">
      <c r="A1483" s="1">
        <v>1482</v>
      </c>
      <c r="B1483" s="4">
        <v>10661</v>
      </c>
      <c r="C1483" s="5">
        <v>39836</v>
      </c>
      <c r="D1483" s="3" t="s">
        <v>86</v>
      </c>
      <c r="E1483" s="1" t="s">
        <v>293</v>
      </c>
      <c r="F1483" s="1" t="s">
        <v>42</v>
      </c>
      <c r="G1483" s="2" t="s">
        <v>3</v>
      </c>
      <c r="H1483" s="3" t="s">
        <v>100</v>
      </c>
      <c r="I1483" s="3" t="s">
        <v>85</v>
      </c>
      <c r="J1483" s="3" t="s">
        <v>66</v>
      </c>
      <c r="K1483" s="4">
        <v>1312.65</v>
      </c>
      <c r="L1483" s="6">
        <v>30.98</v>
      </c>
    </row>
    <row r="1484" spans="1:12" x14ac:dyDescent="0.25">
      <c r="A1484" s="1">
        <v>1483</v>
      </c>
      <c r="B1484" s="4">
        <v>10662</v>
      </c>
      <c r="C1484" s="5">
        <v>40675</v>
      </c>
      <c r="D1484" s="3" t="s">
        <v>82</v>
      </c>
      <c r="E1484" s="1" t="s">
        <v>749</v>
      </c>
      <c r="F1484" s="1" t="s">
        <v>24</v>
      </c>
      <c r="G1484" s="2" t="s">
        <v>2</v>
      </c>
      <c r="H1484" s="3" t="s">
        <v>97</v>
      </c>
      <c r="I1484" s="3" t="s">
        <v>85</v>
      </c>
      <c r="J1484" s="3" t="s">
        <v>66</v>
      </c>
      <c r="K1484" s="4">
        <v>283.13</v>
      </c>
      <c r="L1484" s="6">
        <v>6.48</v>
      </c>
    </row>
    <row r="1485" spans="1:12" x14ac:dyDescent="0.25">
      <c r="A1485" s="1">
        <v>1484</v>
      </c>
      <c r="B1485" s="4">
        <v>10663</v>
      </c>
      <c r="C1485" s="5">
        <v>39956</v>
      </c>
      <c r="D1485" s="3" t="s">
        <v>89</v>
      </c>
      <c r="E1485" s="1" t="s">
        <v>694</v>
      </c>
      <c r="F1485" s="1" t="s">
        <v>33</v>
      </c>
      <c r="G1485" s="2" t="s">
        <v>2</v>
      </c>
      <c r="H1485" s="3" t="s">
        <v>97</v>
      </c>
      <c r="I1485" s="3" t="s">
        <v>85</v>
      </c>
      <c r="J1485" s="3" t="s">
        <v>65</v>
      </c>
      <c r="K1485" s="4">
        <v>104.39</v>
      </c>
      <c r="L1485" s="6">
        <v>2.61</v>
      </c>
    </row>
    <row r="1486" spans="1:12" x14ac:dyDescent="0.25">
      <c r="A1486" s="1">
        <v>1485</v>
      </c>
      <c r="B1486" s="4">
        <v>10688</v>
      </c>
      <c r="C1486" s="5">
        <v>41041</v>
      </c>
      <c r="D1486" s="3" t="s">
        <v>4</v>
      </c>
      <c r="E1486" s="1" t="s">
        <v>616</v>
      </c>
      <c r="F1486" s="1" t="s">
        <v>43</v>
      </c>
      <c r="G1486" s="2" t="s">
        <v>1</v>
      </c>
      <c r="H1486" s="3" t="s">
        <v>88</v>
      </c>
      <c r="I1486" s="3" t="s">
        <v>91</v>
      </c>
      <c r="J1486" s="3" t="s">
        <v>59</v>
      </c>
      <c r="K1486" s="4">
        <v>618.84</v>
      </c>
      <c r="L1486" s="6">
        <v>41.47</v>
      </c>
    </row>
    <row r="1487" spans="1:12" x14ac:dyDescent="0.25">
      <c r="A1487" s="1">
        <v>1486</v>
      </c>
      <c r="B1487" s="4">
        <v>10692</v>
      </c>
      <c r="C1487" s="5">
        <v>40020</v>
      </c>
      <c r="D1487" s="3" t="s">
        <v>82</v>
      </c>
      <c r="E1487" s="1" t="s">
        <v>750</v>
      </c>
      <c r="F1487" s="1" t="s">
        <v>11</v>
      </c>
      <c r="G1487" s="2" t="s">
        <v>6</v>
      </c>
      <c r="H1487" s="3" t="s">
        <v>88</v>
      </c>
      <c r="I1487" s="3" t="s">
        <v>85</v>
      </c>
      <c r="J1487" s="3" t="s">
        <v>63</v>
      </c>
      <c r="K1487" s="4">
        <v>100.41</v>
      </c>
      <c r="L1487" s="6">
        <v>3.57</v>
      </c>
    </row>
    <row r="1488" spans="1:12" x14ac:dyDescent="0.25">
      <c r="A1488" s="1">
        <v>1487</v>
      </c>
      <c r="B1488" s="4">
        <v>10692</v>
      </c>
      <c r="C1488" s="5">
        <v>40020</v>
      </c>
      <c r="D1488" s="3" t="s">
        <v>82</v>
      </c>
      <c r="E1488" s="1" t="s">
        <v>750</v>
      </c>
      <c r="F1488" s="1" t="s">
        <v>11</v>
      </c>
      <c r="G1488" s="2" t="s">
        <v>6</v>
      </c>
      <c r="H1488" s="3" t="s">
        <v>88</v>
      </c>
      <c r="I1488" s="3" t="s">
        <v>92</v>
      </c>
      <c r="J1488" s="3" t="s">
        <v>61</v>
      </c>
      <c r="K1488" s="4">
        <v>8101.9875000000002</v>
      </c>
      <c r="L1488" s="6">
        <v>200.99</v>
      </c>
    </row>
    <row r="1489" spans="1:12" x14ac:dyDescent="0.25">
      <c r="A1489" s="1">
        <v>1488</v>
      </c>
      <c r="B1489" s="4">
        <v>10692</v>
      </c>
      <c r="C1489" s="5">
        <v>40020</v>
      </c>
      <c r="D1489" s="3" t="s">
        <v>82</v>
      </c>
      <c r="E1489" s="1" t="s">
        <v>750</v>
      </c>
      <c r="F1489" s="1" t="s">
        <v>11</v>
      </c>
      <c r="G1489" s="2" t="s">
        <v>6</v>
      </c>
      <c r="H1489" s="3" t="s">
        <v>88</v>
      </c>
      <c r="I1489" s="3" t="s">
        <v>92</v>
      </c>
      <c r="J1489" s="3" t="s">
        <v>61</v>
      </c>
      <c r="K1489" s="4">
        <v>1313.8109999999999</v>
      </c>
      <c r="L1489" s="6">
        <v>195.99</v>
      </c>
    </row>
    <row r="1490" spans="1:12" x14ac:dyDescent="0.25">
      <c r="A1490" s="1">
        <v>1489</v>
      </c>
      <c r="B1490" s="4">
        <v>10695</v>
      </c>
      <c r="C1490" s="5">
        <v>40665</v>
      </c>
      <c r="D1490" s="3" t="s">
        <v>89</v>
      </c>
      <c r="E1490" s="1" t="s">
        <v>751</v>
      </c>
      <c r="F1490" s="1" t="s">
        <v>16</v>
      </c>
      <c r="G1490" s="2" t="s">
        <v>3</v>
      </c>
      <c r="H1490" s="3" t="s">
        <v>88</v>
      </c>
      <c r="I1490" s="3" t="s">
        <v>92</v>
      </c>
      <c r="J1490" s="3" t="s">
        <v>61</v>
      </c>
      <c r="K1490" s="4">
        <v>6330.0859999999993</v>
      </c>
      <c r="L1490" s="6">
        <v>205.99</v>
      </c>
    </row>
    <row r="1491" spans="1:12" x14ac:dyDescent="0.25">
      <c r="A1491" s="1">
        <v>1490</v>
      </c>
      <c r="B1491" s="4">
        <v>10722</v>
      </c>
      <c r="C1491" s="5">
        <v>40562</v>
      </c>
      <c r="D1491" s="3" t="s">
        <v>86</v>
      </c>
      <c r="E1491" s="1" t="s">
        <v>127</v>
      </c>
      <c r="F1491" s="1" t="s">
        <v>15</v>
      </c>
      <c r="G1491" s="2" t="s">
        <v>1</v>
      </c>
      <c r="H1491" s="3" t="s">
        <v>97</v>
      </c>
      <c r="I1491" s="3" t="s">
        <v>85</v>
      </c>
      <c r="J1491" s="3" t="s">
        <v>66</v>
      </c>
      <c r="K1491" s="4">
        <v>40.26</v>
      </c>
      <c r="L1491" s="6">
        <v>4.28</v>
      </c>
    </row>
    <row r="1492" spans="1:12" x14ac:dyDescent="0.25">
      <c r="A1492" s="1">
        <v>1491</v>
      </c>
      <c r="B1492" s="4">
        <v>10752</v>
      </c>
      <c r="C1492" s="5">
        <v>40796</v>
      </c>
      <c r="D1492" s="3" t="s">
        <v>95</v>
      </c>
      <c r="E1492" s="1" t="s">
        <v>311</v>
      </c>
      <c r="F1492" s="1" t="s">
        <v>20</v>
      </c>
      <c r="G1492" s="2" t="s">
        <v>1</v>
      </c>
      <c r="H1492" s="3" t="s">
        <v>84</v>
      </c>
      <c r="I1492" s="3" t="s">
        <v>85</v>
      </c>
      <c r="J1492" s="3" t="s">
        <v>69</v>
      </c>
      <c r="K1492" s="4">
        <v>95.38</v>
      </c>
      <c r="L1492" s="6">
        <v>15.99</v>
      </c>
    </row>
    <row r="1493" spans="1:12" x14ac:dyDescent="0.25">
      <c r="A1493" s="1">
        <v>1492</v>
      </c>
      <c r="B1493" s="4">
        <v>10754</v>
      </c>
      <c r="C1493" s="5">
        <v>40254</v>
      </c>
      <c r="D1493" s="3" t="s">
        <v>82</v>
      </c>
      <c r="E1493" s="1" t="s">
        <v>752</v>
      </c>
      <c r="F1493" s="1" t="s">
        <v>29</v>
      </c>
      <c r="G1493" s="2" t="s">
        <v>3</v>
      </c>
      <c r="H1493" s="3" t="s">
        <v>88</v>
      </c>
      <c r="I1493" s="3" t="s">
        <v>85</v>
      </c>
      <c r="J1493" s="3" t="s">
        <v>66</v>
      </c>
      <c r="K1493" s="4">
        <v>48.04</v>
      </c>
      <c r="L1493" s="6">
        <v>6.48</v>
      </c>
    </row>
    <row r="1494" spans="1:12" x14ac:dyDescent="0.25">
      <c r="A1494" s="1">
        <v>1493</v>
      </c>
      <c r="B1494" s="4">
        <v>10784</v>
      </c>
      <c r="C1494" s="5">
        <v>40364</v>
      </c>
      <c r="D1494" s="3" t="s">
        <v>86</v>
      </c>
      <c r="E1494" s="1" t="s">
        <v>301</v>
      </c>
      <c r="F1494" s="1" t="s">
        <v>31</v>
      </c>
      <c r="G1494" s="2" t="s">
        <v>1</v>
      </c>
      <c r="H1494" s="3" t="s">
        <v>97</v>
      </c>
      <c r="I1494" s="3" t="s">
        <v>85</v>
      </c>
      <c r="J1494" s="3" t="s">
        <v>66</v>
      </c>
      <c r="K1494" s="4">
        <v>19.36</v>
      </c>
      <c r="L1494" s="6">
        <v>6.78</v>
      </c>
    </row>
    <row r="1495" spans="1:12" x14ac:dyDescent="0.25">
      <c r="A1495" s="1">
        <v>1494</v>
      </c>
      <c r="B1495" s="4">
        <v>10784</v>
      </c>
      <c r="C1495" s="5">
        <v>40364</v>
      </c>
      <c r="D1495" s="3" t="s">
        <v>86</v>
      </c>
      <c r="E1495" s="1" t="s">
        <v>753</v>
      </c>
      <c r="F1495" s="1" t="s">
        <v>31</v>
      </c>
      <c r="G1495" s="2" t="s">
        <v>1</v>
      </c>
      <c r="H1495" s="3" t="s">
        <v>97</v>
      </c>
      <c r="I1495" s="3" t="s">
        <v>85</v>
      </c>
      <c r="J1495" s="3" t="s">
        <v>69</v>
      </c>
      <c r="K1495" s="4">
        <v>206.27</v>
      </c>
      <c r="L1495" s="6">
        <v>6.81</v>
      </c>
    </row>
    <row r="1496" spans="1:12" x14ac:dyDescent="0.25">
      <c r="A1496" s="1">
        <v>1495</v>
      </c>
      <c r="B1496" s="4">
        <v>10789</v>
      </c>
      <c r="C1496" s="5">
        <v>40413</v>
      </c>
      <c r="D1496" s="3" t="s">
        <v>86</v>
      </c>
      <c r="E1496" s="1" t="s">
        <v>754</v>
      </c>
      <c r="F1496" s="1" t="s">
        <v>8</v>
      </c>
      <c r="G1496" s="2" t="s">
        <v>6</v>
      </c>
      <c r="H1496" s="3" t="s">
        <v>88</v>
      </c>
      <c r="I1496" s="3" t="s">
        <v>85</v>
      </c>
      <c r="J1496" s="3" t="s">
        <v>63</v>
      </c>
      <c r="K1496" s="4">
        <v>308.54000000000002</v>
      </c>
      <c r="L1496" s="6">
        <v>19.84</v>
      </c>
    </row>
    <row r="1497" spans="1:12" x14ac:dyDescent="0.25">
      <c r="A1497" s="1">
        <v>1496</v>
      </c>
      <c r="B1497" s="4">
        <v>10791</v>
      </c>
      <c r="C1497" s="5">
        <v>40774</v>
      </c>
      <c r="D1497" s="3" t="s">
        <v>86</v>
      </c>
      <c r="E1497" s="1" t="s">
        <v>460</v>
      </c>
      <c r="F1497" s="1" t="s">
        <v>8</v>
      </c>
      <c r="G1497" s="2" t="s">
        <v>6</v>
      </c>
      <c r="H1497" s="3" t="s">
        <v>84</v>
      </c>
      <c r="I1497" s="3" t="s">
        <v>85</v>
      </c>
      <c r="J1497" s="3" t="s">
        <v>66</v>
      </c>
      <c r="K1497" s="4">
        <v>400.57</v>
      </c>
      <c r="L1497" s="6">
        <v>19.98</v>
      </c>
    </row>
    <row r="1498" spans="1:12" x14ac:dyDescent="0.25">
      <c r="A1498" s="1">
        <v>1497</v>
      </c>
      <c r="B1498" s="4">
        <v>10819</v>
      </c>
      <c r="C1498" s="5">
        <v>40414</v>
      </c>
      <c r="D1498" s="3" t="s">
        <v>95</v>
      </c>
      <c r="E1498" s="1" t="s">
        <v>196</v>
      </c>
      <c r="F1498" s="1" t="s">
        <v>30</v>
      </c>
      <c r="G1498" s="2" t="s">
        <v>6</v>
      </c>
      <c r="H1498" s="3" t="s">
        <v>84</v>
      </c>
      <c r="I1498" s="3" t="s">
        <v>85</v>
      </c>
      <c r="J1498" s="3" t="s">
        <v>66</v>
      </c>
      <c r="K1498" s="4">
        <v>233.39</v>
      </c>
      <c r="L1498" s="6">
        <v>6.48</v>
      </c>
    </row>
    <row r="1499" spans="1:12" x14ac:dyDescent="0.25">
      <c r="A1499" s="1">
        <v>1498</v>
      </c>
      <c r="B1499" s="4">
        <v>10820</v>
      </c>
      <c r="C1499" s="5">
        <v>40904</v>
      </c>
      <c r="D1499" s="3" t="s">
        <v>86</v>
      </c>
      <c r="E1499" s="1" t="s">
        <v>306</v>
      </c>
      <c r="F1499" s="1" t="s">
        <v>9</v>
      </c>
      <c r="G1499" s="2" t="s">
        <v>2</v>
      </c>
      <c r="H1499" s="3" t="s">
        <v>84</v>
      </c>
      <c r="I1499" s="3" t="s">
        <v>85</v>
      </c>
      <c r="J1499" s="3" t="s">
        <v>63</v>
      </c>
      <c r="K1499" s="4">
        <v>2072.12</v>
      </c>
      <c r="L1499" s="6">
        <v>40.97</v>
      </c>
    </row>
    <row r="1500" spans="1:12" x14ac:dyDescent="0.25">
      <c r="A1500" s="1">
        <v>1499</v>
      </c>
      <c r="B1500" s="4">
        <v>10820</v>
      </c>
      <c r="C1500" s="5">
        <v>40904</v>
      </c>
      <c r="D1500" s="3" t="s">
        <v>86</v>
      </c>
      <c r="E1500" s="1" t="s">
        <v>306</v>
      </c>
      <c r="F1500" s="1" t="s">
        <v>9</v>
      </c>
      <c r="G1500" s="2" t="s">
        <v>2</v>
      </c>
      <c r="H1500" s="3" t="s">
        <v>84</v>
      </c>
      <c r="I1500" s="3" t="s">
        <v>85</v>
      </c>
      <c r="J1500" s="3" t="s">
        <v>64</v>
      </c>
      <c r="K1500" s="4">
        <v>151.19</v>
      </c>
      <c r="L1500" s="6">
        <v>4.71</v>
      </c>
    </row>
    <row r="1501" spans="1:12" x14ac:dyDescent="0.25">
      <c r="A1501" s="1">
        <v>1500</v>
      </c>
      <c r="B1501" s="4">
        <v>10823</v>
      </c>
      <c r="C1501" s="5">
        <v>41072</v>
      </c>
      <c r="D1501" s="3" t="s">
        <v>82</v>
      </c>
      <c r="E1501" s="1" t="s">
        <v>720</v>
      </c>
      <c r="F1501" s="1" t="s">
        <v>31</v>
      </c>
      <c r="G1501" s="2" t="s">
        <v>1</v>
      </c>
      <c r="H1501" s="3" t="s">
        <v>97</v>
      </c>
      <c r="I1501" s="3" t="s">
        <v>85</v>
      </c>
      <c r="J1501" s="3" t="s">
        <v>69</v>
      </c>
      <c r="K1501" s="4">
        <v>133.9</v>
      </c>
      <c r="L1501" s="6">
        <v>43.41</v>
      </c>
    </row>
    <row r="1502" spans="1:12" x14ac:dyDescent="0.25">
      <c r="A1502" s="1">
        <v>1501</v>
      </c>
      <c r="B1502" s="4">
        <v>10851</v>
      </c>
      <c r="C1502" s="5">
        <v>39909</v>
      </c>
      <c r="D1502" s="3" t="s">
        <v>89</v>
      </c>
      <c r="E1502" s="1" t="s">
        <v>755</v>
      </c>
      <c r="F1502" s="1" t="s">
        <v>38</v>
      </c>
      <c r="G1502" s="2" t="s">
        <v>6</v>
      </c>
      <c r="H1502" s="3" t="s">
        <v>100</v>
      </c>
      <c r="I1502" s="3" t="s">
        <v>85</v>
      </c>
      <c r="J1502" s="3" t="s">
        <v>58</v>
      </c>
      <c r="K1502" s="4">
        <v>608.21</v>
      </c>
      <c r="L1502" s="6">
        <v>12.88</v>
      </c>
    </row>
    <row r="1503" spans="1:12" x14ac:dyDescent="0.25">
      <c r="A1503" s="1">
        <v>1502</v>
      </c>
      <c r="B1503" s="4">
        <v>10851</v>
      </c>
      <c r="C1503" s="5">
        <v>39909</v>
      </c>
      <c r="D1503" s="3" t="s">
        <v>89</v>
      </c>
      <c r="E1503" s="1" t="s">
        <v>183</v>
      </c>
      <c r="F1503" s="1" t="s">
        <v>35</v>
      </c>
      <c r="G1503" s="2" t="s">
        <v>1</v>
      </c>
      <c r="H1503" s="3" t="s">
        <v>100</v>
      </c>
      <c r="I1503" s="3" t="s">
        <v>92</v>
      </c>
      <c r="J1503" s="3" t="s">
        <v>61</v>
      </c>
      <c r="K1503" s="4">
        <v>570.52850000000001</v>
      </c>
      <c r="L1503" s="6">
        <v>45.99</v>
      </c>
    </row>
    <row r="1504" spans="1:12" x14ac:dyDescent="0.25">
      <c r="A1504" s="1">
        <v>1503</v>
      </c>
      <c r="B1504" s="4">
        <v>10852</v>
      </c>
      <c r="C1504" s="5">
        <v>40477</v>
      </c>
      <c r="D1504" s="3" t="s">
        <v>89</v>
      </c>
      <c r="E1504" s="1" t="s">
        <v>163</v>
      </c>
      <c r="F1504" s="1" t="s">
        <v>38</v>
      </c>
      <c r="G1504" s="2" t="s">
        <v>6</v>
      </c>
      <c r="H1504" s="3" t="s">
        <v>97</v>
      </c>
      <c r="I1504" s="3" t="s">
        <v>85</v>
      </c>
      <c r="J1504" s="3" t="s">
        <v>69</v>
      </c>
      <c r="K1504" s="4">
        <v>285.83999999999997</v>
      </c>
      <c r="L1504" s="6">
        <v>15.28</v>
      </c>
    </row>
    <row r="1505" spans="1:12" x14ac:dyDescent="0.25">
      <c r="A1505" s="1">
        <v>1504</v>
      </c>
      <c r="B1505" s="4">
        <v>10852</v>
      </c>
      <c r="C1505" s="5">
        <v>40477</v>
      </c>
      <c r="D1505" s="3" t="s">
        <v>89</v>
      </c>
      <c r="E1505" s="1" t="s">
        <v>163</v>
      </c>
      <c r="F1505" s="1" t="s">
        <v>38</v>
      </c>
      <c r="G1505" s="2" t="s">
        <v>6</v>
      </c>
      <c r="H1505" s="3" t="s">
        <v>97</v>
      </c>
      <c r="I1505" s="3" t="s">
        <v>91</v>
      </c>
      <c r="J1505" s="3" t="s">
        <v>68</v>
      </c>
      <c r="K1505" s="4">
        <v>12450.48</v>
      </c>
      <c r="L1505" s="6">
        <v>300.98</v>
      </c>
    </row>
    <row r="1506" spans="1:12" x14ac:dyDescent="0.25">
      <c r="A1506" s="1">
        <v>1505</v>
      </c>
      <c r="B1506" s="4">
        <v>10884</v>
      </c>
      <c r="C1506" s="5">
        <v>40142</v>
      </c>
      <c r="D1506" s="3" t="s">
        <v>82</v>
      </c>
      <c r="E1506" s="1" t="s">
        <v>327</v>
      </c>
      <c r="F1506" s="1" t="s">
        <v>17</v>
      </c>
      <c r="G1506" s="2" t="s">
        <v>2</v>
      </c>
      <c r="H1506" s="3" t="s">
        <v>100</v>
      </c>
      <c r="I1506" s="3" t="s">
        <v>92</v>
      </c>
      <c r="J1506" s="3" t="s">
        <v>61</v>
      </c>
      <c r="K1506" s="4">
        <v>2525.9874999999997</v>
      </c>
      <c r="L1506" s="6">
        <v>125.99</v>
      </c>
    </row>
    <row r="1507" spans="1:12" x14ac:dyDescent="0.25">
      <c r="A1507" s="1">
        <v>1506</v>
      </c>
      <c r="B1507" s="4">
        <v>10886</v>
      </c>
      <c r="C1507" s="5">
        <v>40048</v>
      </c>
      <c r="D1507" s="3" t="s">
        <v>95</v>
      </c>
      <c r="E1507" s="1" t="s">
        <v>661</v>
      </c>
      <c r="F1507" s="1" t="s">
        <v>44</v>
      </c>
      <c r="G1507" s="2" t="s">
        <v>3</v>
      </c>
      <c r="H1507" s="3" t="s">
        <v>88</v>
      </c>
      <c r="I1507" s="3" t="s">
        <v>91</v>
      </c>
      <c r="J1507" s="3" t="s">
        <v>59</v>
      </c>
      <c r="K1507" s="4">
        <v>65.42</v>
      </c>
      <c r="L1507" s="6">
        <v>1.74</v>
      </c>
    </row>
    <row r="1508" spans="1:12" x14ac:dyDescent="0.25">
      <c r="A1508" s="1">
        <v>1507</v>
      </c>
      <c r="B1508" s="4">
        <v>10886</v>
      </c>
      <c r="C1508" s="5">
        <v>40048</v>
      </c>
      <c r="D1508" s="3" t="s">
        <v>95</v>
      </c>
      <c r="E1508" s="1" t="s">
        <v>661</v>
      </c>
      <c r="F1508" s="1" t="s">
        <v>44</v>
      </c>
      <c r="G1508" s="2" t="s">
        <v>3</v>
      </c>
      <c r="H1508" s="3" t="s">
        <v>88</v>
      </c>
      <c r="I1508" s="3" t="s">
        <v>92</v>
      </c>
      <c r="J1508" s="3" t="s">
        <v>67</v>
      </c>
      <c r="K1508" s="4">
        <v>5750.94</v>
      </c>
      <c r="L1508" s="6">
        <v>119.99</v>
      </c>
    </row>
    <row r="1509" spans="1:12" x14ac:dyDescent="0.25">
      <c r="A1509" s="1">
        <v>1508</v>
      </c>
      <c r="B1509" s="4">
        <v>10913</v>
      </c>
      <c r="C1509" s="5">
        <v>40215</v>
      </c>
      <c r="D1509" s="3" t="s">
        <v>82</v>
      </c>
      <c r="E1509" s="1" t="s">
        <v>689</v>
      </c>
      <c r="F1509" s="1" t="s">
        <v>12</v>
      </c>
      <c r="G1509" s="2" t="s">
        <v>2</v>
      </c>
      <c r="H1509" s="3" t="s">
        <v>84</v>
      </c>
      <c r="I1509" s="3" t="s">
        <v>91</v>
      </c>
      <c r="J1509" s="3" t="s">
        <v>72</v>
      </c>
      <c r="K1509" s="4">
        <v>5149.0600000000004</v>
      </c>
      <c r="L1509" s="6">
        <v>180.98</v>
      </c>
    </row>
    <row r="1510" spans="1:12" x14ac:dyDescent="0.25">
      <c r="A1510" s="1">
        <v>1509</v>
      </c>
      <c r="B1510" s="4">
        <v>10916</v>
      </c>
      <c r="C1510" s="5">
        <v>40612</v>
      </c>
      <c r="D1510" s="3" t="s">
        <v>4</v>
      </c>
      <c r="E1510" s="1" t="s">
        <v>652</v>
      </c>
      <c r="F1510" s="1" t="s">
        <v>30</v>
      </c>
      <c r="G1510" s="2" t="s">
        <v>6</v>
      </c>
      <c r="H1510" s="3" t="s">
        <v>84</v>
      </c>
      <c r="I1510" s="3" t="s">
        <v>85</v>
      </c>
      <c r="J1510" s="3" t="s">
        <v>69</v>
      </c>
      <c r="K1510" s="4">
        <v>135.31</v>
      </c>
      <c r="L1510" s="6">
        <v>5.74</v>
      </c>
    </row>
    <row r="1511" spans="1:12" x14ac:dyDescent="0.25">
      <c r="A1511" s="1">
        <v>1510</v>
      </c>
      <c r="B1511" s="4">
        <v>10917</v>
      </c>
      <c r="C1511" s="5">
        <v>40949</v>
      </c>
      <c r="D1511" s="3" t="s">
        <v>95</v>
      </c>
      <c r="E1511" s="1" t="s">
        <v>180</v>
      </c>
      <c r="F1511" s="1" t="s">
        <v>33</v>
      </c>
      <c r="G1511" s="2" t="s">
        <v>2</v>
      </c>
      <c r="H1511" s="3" t="s">
        <v>88</v>
      </c>
      <c r="I1511" s="3" t="s">
        <v>92</v>
      </c>
      <c r="J1511" s="3" t="s">
        <v>61</v>
      </c>
      <c r="K1511" s="4">
        <v>1281.3579999999999</v>
      </c>
      <c r="L1511" s="6">
        <v>115.99</v>
      </c>
    </row>
    <row r="1512" spans="1:12" x14ac:dyDescent="0.25">
      <c r="A1512" s="1">
        <v>1511</v>
      </c>
      <c r="B1512" s="4">
        <v>10919</v>
      </c>
      <c r="C1512" s="5">
        <v>40264</v>
      </c>
      <c r="D1512" s="3" t="s">
        <v>89</v>
      </c>
      <c r="E1512" s="1" t="s">
        <v>756</v>
      </c>
      <c r="F1512" s="1" t="s">
        <v>31</v>
      </c>
      <c r="G1512" s="2" t="s">
        <v>1</v>
      </c>
      <c r="H1512" s="3" t="s">
        <v>88</v>
      </c>
      <c r="I1512" s="3" t="s">
        <v>85</v>
      </c>
      <c r="J1512" s="3" t="s">
        <v>57</v>
      </c>
      <c r="K1512" s="4">
        <v>2040.95</v>
      </c>
      <c r="L1512" s="6">
        <v>48.91</v>
      </c>
    </row>
    <row r="1513" spans="1:12" x14ac:dyDescent="0.25">
      <c r="A1513" s="1">
        <v>1512</v>
      </c>
      <c r="B1513" s="4">
        <v>10944</v>
      </c>
      <c r="C1513" s="5">
        <v>40859</v>
      </c>
      <c r="D1513" s="3" t="s">
        <v>89</v>
      </c>
      <c r="E1513" s="1" t="s">
        <v>196</v>
      </c>
      <c r="F1513" s="1" t="s">
        <v>30</v>
      </c>
      <c r="G1513" s="2" t="s">
        <v>6</v>
      </c>
      <c r="H1513" s="3" t="s">
        <v>84</v>
      </c>
      <c r="I1513" s="3" t="s">
        <v>92</v>
      </c>
      <c r="J1513" s="3" t="s">
        <v>67</v>
      </c>
      <c r="K1513" s="4">
        <v>181.66</v>
      </c>
      <c r="L1513" s="6">
        <v>17.98</v>
      </c>
    </row>
    <row r="1514" spans="1:12" x14ac:dyDescent="0.25">
      <c r="A1514" s="1">
        <v>1513</v>
      </c>
      <c r="B1514" s="4">
        <v>10945</v>
      </c>
      <c r="C1514" s="5">
        <v>40911</v>
      </c>
      <c r="D1514" s="3" t="s">
        <v>4</v>
      </c>
      <c r="E1514" s="1" t="s">
        <v>533</v>
      </c>
      <c r="F1514" s="1" t="s">
        <v>8</v>
      </c>
      <c r="G1514" s="2" t="s">
        <v>6</v>
      </c>
      <c r="H1514" s="3" t="s">
        <v>100</v>
      </c>
      <c r="I1514" s="3" t="s">
        <v>92</v>
      </c>
      <c r="J1514" s="3" t="s">
        <v>61</v>
      </c>
      <c r="K1514" s="4">
        <v>1170.0250000000001</v>
      </c>
      <c r="L1514" s="6">
        <v>95.99</v>
      </c>
    </row>
    <row r="1515" spans="1:12" x14ac:dyDescent="0.25">
      <c r="A1515" s="1">
        <v>1514</v>
      </c>
      <c r="B1515" s="4">
        <v>10948</v>
      </c>
      <c r="C1515" s="5">
        <v>41134</v>
      </c>
      <c r="D1515" s="3" t="s">
        <v>4</v>
      </c>
      <c r="E1515" s="1" t="s">
        <v>683</v>
      </c>
      <c r="F1515" s="1" t="s">
        <v>24</v>
      </c>
      <c r="G1515" s="2" t="s">
        <v>2</v>
      </c>
      <c r="H1515" s="3" t="s">
        <v>88</v>
      </c>
      <c r="I1515" s="3" t="s">
        <v>85</v>
      </c>
      <c r="J1515" s="3" t="s">
        <v>69</v>
      </c>
      <c r="K1515" s="4">
        <v>193.11</v>
      </c>
      <c r="L1515" s="6">
        <v>3.89</v>
      </c>
    </row>
    <row r="1516" spans="1:12" x14ac:dyDescent="0.25">
      <c r="A1516" s="1">
        <v>1515</v>
      </c>
      <c r="B1516" s="4">
        <v>10949</v>
      </c>
      <c r="C1516" s="5">
        <v>39902</v>
      </c>
      <c r="D1516" s="3" t="s">
        <v>4</v>
      </c>
      <c r="E1516" s="1" t="s">
        <v>539</v>
      </c>
      <c r="F1516" s="1" t="s">
        <v>26</v>
      </c>
      <c r="G1516" s="2" t="s">
        <v>3</v>
      </c>
      <c r="H1516" s="3" t="s">
        <v>84</v>
      </c>
      <c r="I1516" s="3" t="s">
        <v>92</v>
      </c>
      <c r="J1516" s="3" t="s">
        <v>67</v>
      </c>
      <c r="K1516" s="4">
        <v>3449.26</v>
      </c>
      <c r="L1516" s="6">
        <v>80.97</v>
      </c>
    </row>
    <row r="1517" spans="1:12" x14ac:dyDescent="0.25">
      <c r="A1517" s="1">
        <v>1516</v>
      </c>
      <c r="B1517" s="4">
        <v>10951</v>
      </c>
      <c r="C1517" s="5">
        <v>41219</v>
      </c>
      <c r="D1517" s="3" t="s">
        <v>86</v>
      </c>
      <c r="E1517" s="1" t="s">
        <v>469</v>
      </c>
      <c r="F1517" s="1" t="s">
        <v>10</v>
      </c>
      <c r="G1517" s="2" t="s">
        <v>3</v>
      </c>
      <c r="H1517" s="3" t="s">
        <v>88</v>
      </c>
      <c r="I1517" s="3" t="s">
        <v>91</v>
      </c>
      <c r="J1517" s="3" t="s">
        <v>59</v>
      </c>
      <c r="K1517" s="4">
        <v>677.43</v>
      </c>
      <c r="L1517" s="6">
        <v>50.98</v>
      </c>
    </row>
    <row r="1518" spans="1:12" x14ac:dyDescent="0.25">
      <c r="A1518" s="1">
        <v>1517</v>
      </c>
      <c r="B1518" s="4">
        <v>10978</v>
      </c>
      <c r="C1518" s="5">
        <v>39904</v>
      </c>
      <c r="D1518" s="3" t="s">
        <v>95</v>
      </c>
      <c r="E1518" s="1" t="s">
        <v>178</v>
      </c>
      <c r="F1518" s="1" t="s">
        <v>19</v>
      </c>
      <c r="G1518" s="2" t="s">
        <v>3</v>
      </c>
      <c r="H1518" s="3" t="s">
        <v>84</v>
      </c>
      <c r="I1518" s="3" t="s">
        <v>91</v>
      </c>
      <c r="J1518" s="3" t="s">
        <v>72</v>
      </c>
      <c r="K1518" s="4">
        <v>566.53</v>
      </c>
      <c r="L1518" s="6">
        <v>60.98</v>
      </c>
    </row>
    <row r="1519" spans="1:12" x14ac:dyDescent="0.25">
      <c r="A1519" s="1">
        <v>1518</v>
      </c>
      <c r="B1519" s="4">
        <v>10979</v>
      </c>
      <c r="C1519" s="5">
        <v>40820</v>
      </c>
      <c r="D1519" s="3" t="s">
        <v>4</v>
      </c>
      <c r="E1519" s="1" t="s">
        <v>609</v>
      </c>
      <c r="F1519" s="1" t="s">
        <v>19</v>
      </c>
      <c r="G1519" s="2" t="s">
        <v>3</v>
      </c>
      <c r="H1519" s="3" t="s">
        <v>84</v>
      </c>
      <c r="I1519" s="3" t="s">
        <v>91</v>
      </c>
      <c r="J1519" s="3" t="s">
        <v>59</v>
      </c>
      <c r="K1519" s="4">
        <v>486.43</v>
      </c>
      <c r="L1519" s="6">
        <v>30.93</v>
      </c>
    </row>
    <row r="1520" spans="1:12" x14ac:dyDescent="0.25">
      <c r="A1520" s="1">
        <v>1519</v>
      </c>
      <c r="B1520" s="4">
        <v>10979</v>
      </c>
      <c r="C1520" s="5">
        <v>40820</v>
      </c>
      <c r="D1520" s="3" t="s">
        <v>4</v>
      </c>
      <c r="E1520" s="1" t="s">
        <v>609</v>
      </c>
      <c r="F1520" s="1" t="s">
        <v>19</v>
      </c>
      <c r="G1520" s="2" t="s">
        <v>3</v>
      </c>
      <c r="H1520" s="3" t="s">
        <v>84</v>
      </c>
      <c r="I1520" s="3" t="s">
        <v>85</v>
      </c>
      <c r="J1520" s="3" t="s">
        <v>66</v>
      </c>
      <c r="K1520" s="4">
        <v>144.94999999999999</v>
      </c>
      <c r="L1520" s="6">
        <v>19.98</v>
      </c>
    </row>
    <row r="1521" spans="1:12" x14ac:dyDescent="0.25">
      <c r="A1521" s="1">
        <v>1520</v>
      </c>
      <c r="B1521" s="4">
        <v>10981</v>
      </c>
      <c r="C1521" s="5">
        <v>40312</v>
      </c>
      <c r="D1521" s="3" t="s">
        <v>89</v>
      </c>
      <c r="E1521" s="1" t="s">
        <v>757</v>
      </c>
      <c r="F1521" s="1" t="s">
        <v>12</v>
      </c>
      <c r="G1521" s="2" t="s">
        <v>2</v>
      </c>
      <c r="H1521" s="3" t="s">
        <v>97</v>
      </c>
      <c r="I1521" s="3" t="s">
        <v>85</v>
      </c>
      <c r="J1521" s="3" t="s">
        <v>64</v>
      </c>
      <c r="K1521" s="4">
        <v>73.36</v>
      </c>
      <c r="L1521" s="6">
        <v>1.86</v>
      </c>
    </row>
    <row r="1522" spans="1:12" x14ac:dyDescent="0.25">
      <c r="A1522" s="1">
        <v>1521</v>
      </c>
      <c r="B1522" s="4">
        <v>10981</v>
      </c>
      <c r="C1522" s="5">
        <v>40312</v>
      </c>
      <c r="D1522" s="3" t="s">
        <v>89</v>
      </c>
      <c r="E1522" s="1" t="s">
        <v>757</v>
      </c>
      <c r="F1522" s="1" t="s">
        <v>12</v>
      </c>
      <c r="G1522" s="2" t="s">
        <v>2</v>
      </c>
      <c r="H1522" s="3" t="s">
        <v>97</v>
      </c>
      <c r="I1522" s="3" t="s">
        <v>92</v>
      </c>
      <c r="J1522" s="3" t="s">
        <v>61</v>
      </c>
      <c r="K1522" s="4">
        <v>3630.1460000000002</v>
      </c>
      <c r="L1522" s="6">
        <v>125.99</v>
      </c>
    </row>
    <row r="1523" spans="1:12" x14ac:dyDescent="0.25">
      <c r="A1523" s="1">
        <v>1522</v>
      </c>
      <c r="B1523" s="4">
        <v>10982</v>
      </c>
      <c r="C1523" s="5">
        <v>41253</v>
      </c>
      <c r="D1523" s="3" t="s">
        <v>86</v>
      </c>
      <c r="E1523" s="1" t="s">
        <v>543</v>
      </c>
      <c r="F1523" s="1" t="s">
        <v>32</v>
      </c>
      <c r="G1523" s="2" t="s">
        <v>2</v>
      </c>
      <c r="H1523" s="3" t="s">
        <v>97</v>
      </c>
      <c r="I1523" s="3" t="s">
        <v>85</v>
      </c>
      <c r="J1523" s="3" t="s">
        <v>69</v>
      </c>
      <c r="K1523" s="4">
        <v>538.27</v>
      </c>
      <c r="L1523" s="6">
        <v>18.940000000000001</v>
      </c>
    </row>
    <row r="1524" spans="1:12" x14ac:dyDescent="0.25">
      <c r="A1524" s="1">
        <v>1523</v>
      </c>
      <c r="B1524" s="4">
        <v>10982</v>
      </c>
      <c r="C1524" s="5">
        <v>41253</v>
      </c>
      <c r="D1524" s="3" t="s">
        <v>86</v>
      </c>
      <c r="E1524" s="1" t="s">
        <v>543</v>
      </c>
      <c r="F1524" s="1" t="s">
        <v>32</v>
      </c>
      <c r="G1524" s="2" t="s">
        <v>2</v>
      </c>
      <c r="H1524" s="3" t="s">
        <v>97</v>
      </c>
      <c r="I1524" s="3" t="s">
        <v>85</v>
      </c>
      <c r="J1524" s="3" t="s">
        <v>69</v>
      </c>
      <c r="K1524" s="4">
        <v>3665.41</v>
      </c>
      <c r="L1524" s="6">
        <v>122.99</v>
      </c>
    </row>
    <row r="1525" spans="1:12" x14ac:dyDescent="0.25">
      <c r="A1525" s="1">
        <v>1524</v>
      </c>
      <c r="B1525" s="4">
        <v>10982</v>
      </c>
      <c r="C1525" s="5">
        <v>41253</v>
      </c>
      <c r="D1525" s="3" t="s">
        <v>86</v>
      </c>
      <c r="E1525" s="1" t="s">
        <v>543</v>
      </c>
      <c r="F1525" s="1" t="s">
        <v>32</v>
      </c>
      <c r="G1525" s="2" t="s">
        <v>2</v>
      </c>
      <c r="H1525" s="3" t="s">
        <v>97</v>
      </c>
      <c r="I1525" s="3" t="s">
        <v>85</v>
      </c>
      <c r="J1525" s="3" t="s">
        <v>64</v>
      </c>
      <c r="K1525" s="4">
        <v>20.95</v>
      </c>
      <c r="L1525" s="6">
        <v>1.1399999999999999</v>
      </c>
    </row>
    <row r="1526" spans="1:12" x14ac:dyDescent="0.25">
      <c r="A1526" s="1">
        <v>1525</v>
      </c>
      <c r="B1526" s="4">
        <v>11008</v>
      </c>
      <c r="C1526" s="5">
        <v>39868</v>
      </c>
      <c r="D1526" s="3" t="s">
        <v>95</v>
      </c>
      <c r="E1526" s="1" t="s">
        <v>406</v>
      </c>
      <c r="F1526" s="1" t="s">
        <v>21</v>
      </c>
      <c r="G1526" s="2" t="s">
        <v>1</v>
      </c>
      <c r="H1526" s="3" t="s">
        <v>84</v>
      </c>
      <c r="I1526" s="3" t="s">
        <v>85</v>
      </c>
      <c r="J1526" s="3" t="s">
        <v>57</v>
      </c>
      <c r="K1526" s="4">
        <v>2545.89</v>
      </c>
      <c r="L1526" s="6">
        <v>138.13999999999999</v>
      </c>
    </row>
    <row r="1527" spans="1:12" x14ac:dyDescent="0.25">
      <c r="A1527" s="1">
        <v>1526</v>
      </c>
      <c r="B1527" s="4">
        <v>11011</v>
      </c>
      <c r="C1527" s="5">
        <v>41042</v>
      </c>
      <c r="D1527" s="3" t="s">
        <v>89</v>
      </c>
      <c r="E1527" s="1" t="s">
        <v>592</v>
      </c>
      <c r="F1527" s="1" t="s">
        <v>48</v>
      </c>
      <c r="G1527" s="2" t="s">
        <v>1</v>
      </c>
      <c r="H1527" s="3" t="s">
        <v>84</v>
      </c>
      <c r="I1527" s="3" t="s">
        <v>91</v>
      </c>
      <c r="J1527" s="3" t="s">
        <v>68</v>
      </c>
      <c r="K1527" s="4">
        <v>8305.19</v>
      </c>
      <c r="L1527" s="6">
        <v>240.98</v>
      </c>
    </row>
    <row r="1528" spans="1:12" x14ac:dyDescent="0.25">
      <c r="A1528" s="1">
        <v>1527</v>
      </c>
      <c r="B1528" s="4">
        <v>11011</v>
      </c>
      <c r="C1528" s="5">
        <v>41042</v>
      </c>
      <c r="D1528" s="3" t="s">
        <v>89</v>
      </c>
      <c r="E1528" s="1" t="s">
        <v>435</v>
      </c>
      <c r="F1528" s="1" t="s">
        <v>20</v>
      </c>
      <c r="G1528" s="2" t="s">
        <v>1</v>
      </c>
      <c r="H1528" s="3" t="s">
        <v>84</v>
      </c>
      <c r="I1528" s="3" t="s">
        <v>85</v>
      </c>
      <c r="J1528" s="3" t="s">
        <v>65</v>
      </c>
      <c r="K1528" s="4">
        <v>251.05</v>
      </c>
      <c r="L1528" s="6">
        <v>7.31</v>
      </c>
    </row>
    <row r="1529" spans="1:12" x14ac:dyDescent="0.25">
      <c r="A1529" s="1">
        <v>1528</v>
      </c>
      <c r="B1529" s="4">
        <v>11011</v>
      </c>
      <c r="C1529" s="5">
        <v>41042</v>
      </c>
      <c r="D1529" s="3" t="s">
        <v>89</v>
      </c>
      <c r="E1529" s="1" t="s">
        <v>198</v>
      </c>
      <c r="F1529" s="1" t="s">
        <v>39</v>
      </c>
      <c r="G1529" s="2" t="s">
        <v>1</v>
      </c>
      <c r="H1529" s="3" t="s">
        <v>84</v>
      </c>
      <c r="I1529" s="3" t="s">
        <v>85</v>
      </c>
      <c r="J1529" s="3" t="s">
        <v>71</v>
      </c>
      <c r="K1529" s="4">
        <v>305.62</v>
      </c>
      <c r="L1529" s="6">
        <v>8.74</v>
      </c>
    </row>
    <row r="1530" spans="1:12" x14ac:dyDescent="0.25">
      <c r="A1530" s="1">
        <v>1529</v>
      </c>
      <c r="B1530" s="4">
        <v>11013</v>
      </c>
      <c r="C1530" s="5">
        <v>39920</v>
      </c>
      <c r="D1530" s="3" t="s">
        <v>89</v>
      </c>
      <c r="E1530" s="1" t="s">
        <v>87</v>
      </c>
      <c r="F1530" s="1" t="s">
        <v>9</v>
      </c>
      <c r="G1530" s="2" t="s">
        <v>2</v>
      </c>
      <c r="H1530" s="3" t="s">
        <v>88</v>
      </c>
      <c r="I1530" s="3" t="s">
        <v>92</v>
      </c>
      <c r="J1530" s="3" t="s">
        <v>61</v>
      </c>
      <c r="K1530" s="4">
        <v>226.88200000000001</v>
      </c>
      <c r="L1530" s="6">
        <v>125.99</v>
      </c>
    </row>
    <row r="1531" spans="1:12" x14ac:dyDescent="0.25">
      <c r="A1531" s="1">
        <v>1530</v>
      </c>
      <c r="B1531" s="4">
        <v>11014</v>
      </c>
      <c r="C1531" s="5">
        <v>40428</v>
      </c>
      <c r="D1531" s="3" t="s">
        <v>89</v>
      </c>
      <c r="E1531" s="1" t="s">
        <v>758</v>
      </c>
      <c r="F1531" s="1" t="s">
        <v>24</v>
      </c>
      <c r="G1531" s="2" t="s">
        <v>2</v>
      </c>
      <c r="H1531" s="3" t="s">
        <v>88</v>
      </c>
      <c r="I1531" s="3" t="s">
        <v>85</v>
      </c>
      <c r="J1531" s="3" t="s">
        <v>69</v>
      </c>
      <c r="K1531" s="4">
        <v>158.79</v>
      </c>
      <c r="L1531" s="6">
        <v>11.7</v>
      </c>
    </row>
    <row r="1532" spans="1:12" x14ac:dyDescent="0.25">
      <c r="A1532" s="1">
        <v>1531</v>
      </c>
      <c r="B1532" s="4">
        <v>11014</v>
      </c>
      <c r="C1532" s="5">
        <v>40428</v>
      </c>
      <c r="D1532" s="3" t="s">
        <v>89</v>
      </c>
      <c r="E1532" s="1" t="s">
        <v>451</v>
      </c>
      <c r="F1532" s="1" t="s">
        <v>32</v>
      </c>
      <c r="G1532" s="2" t="s">
        <v>2</v>
      </c>
      <c r="H1532" s="3" t="s">
        <v>88</v>
      </c>
      <c r="I1532" s="3" t="s">
        <v>85</v>
      </c>
      <c r="J1532" s="3" t="s">
        <v>71</v>
      </c>
      <c r="K1532" s="4">
        <v>286.81</v>
      </c>
      <c r="L1532" s="6">
        <v>7.64</v>
      </c>
    </row>
    <row r="1533" spans="1:12" x14ac:dyDescent="0.25">
      <c r="A1533" s="1">
        <v>1532</v>
      </c>
      <c r="B1533" s="4">
        <v>11040</v>
      </c>
      <c r="C1533" s="5">
        <v>40839</v>
      </c>
      <c r="D1533" s="3" t="s">
        <v>86</v>
      </c>
      <c r="E1533" s="1" t="s">
        <v>759</v>
      </c>
      <c r="F1533" s="1" t="s">
        <v>22</v>
      </c>
      <c r="G1533" s="2" t="s">
        <v>6</v>
      </c>
      <c r="H1533" s="3" t="s">
        <v>88</v>
      </c>
      <c r="I1533" s="3" t="s">
        <v>85</v>
      </c>
      <c r="J1533" s="3" t="s">
        <v>71</v>
      </c>
      <c r="K1533" s="4">
        <v>1102.28</v>
      </c>
      <c r="L1533" s="6">
        <v>23.99</v>
      </c>
    </row>
    <row r="1534" spans="1:12" x14ac:dyDescent="0.25">
      <c r="A1534" s="1">
        <v>1533</v>
      </c>
      <c r="B1534" s="4">
        <v>11044</v>
      </c>
      <c r="C1534" s="5">
        <v>41084</v>
      </c>
      <c r="D1534" s="3" t="s">
        <v>4</v>
      </c>
      <c r="E1534" s="1" t="s">
        <v>732</v>
      </c>
      <c r="F1534" s="1" t="s">
        <v>40</v>
      </c>
      <c r="G1534" s="2" t="s">
        <v>6</v>
      </c>
      <c r="H1534" s="3" t="s">
        <v>97</v>
      </c>
      <c r="I1534" s="3" t="s">
        <v>85</v>
      </c>
      <c r="J1534" s="3" t="s">
        <v>63</v>
      </c>
      <c r="K1534" s="4">
        <v>14.49</v>
      </c>
      <c r="L1534" s="6">
        <v>3.28</v>
      </c>
    </row>
    <row r="1535" spans="1:12" x14ac:dyDescent="0.25">
      <c r="A1535" s="1">
        <v>1534</v>
      </c>
      <c r="B1535" s="4">
        <v>11045</v>
      </c>
      <c r="C1535" s="5">
        <v>40993</v>
      </c>
      <c r="D1535" s="3" t="s">
        <v>4</v>
      </c>
      <c r="E1535" s="1" t="s">
        <v>182</v>
      </c>
      <c r="F1535" s="1" t="s">
        <v>36</v>
      </c>
      <c r="G1535" s="2" t="s">
        <v>2</v>
      </c>
      <c r="H1535" s="3" t="s">
        <v>97</v>
      </c>
      <c r="I1535" s="3" t="s">
        <v>85</v>
      </c>
      <c r="J1535" s="3" t="s">
        <v>66</v>
      </c>
      <c r="K1535" s="4">
        <v>710.86</v>
      </c>
      <c r="L1535" s="6">
        <v>19.98</v>
      </c>
    </row>
    <row r="1536" spans="1:12" x14ac:dyDescent="0.25">
      <c r="A1536" s="1">
        <v>1535</v>
      </c>
      <c r="B1536" s="4">
        <v>11047</v>
      </c>
      <c r="C1536" s="5">
        <v>40522</v>
      </c>
      <c r="D1536" s="3" t="s">
        <v>82</v>
      </c>
      <c r="E1536" s="1" t="s">
        <v>529</v>
      </c>
      <c r="F1536" s="1" t="s">
        <v>44</v>
      </c>
      <c r="G1536" s="2" t="s">
        <v>3</v>
      </c>
      <c r="H1536" s="3" t="s">
        <v>97</v>
      </c>
      <c r="I1536" s="3" t="s">
        <v>85</v>
      </c>
      <c r="J1536" s="3" t="s">
        <v>70</v>
      </c>
      <c r="K1536" s="4">
        <v>1991.26</v>
      </c>
      <c r="L1536" s="6">
        <v>68.81</v>
      </c>
    </row>
    <row r="1537" spans="1:12" x14ac:dyDescent="0.25">
      <c r="A1537" s="1">
        <v>1536</v>
      </c>
      <c r="B1537" s="4">
        <v>11047</v>
      </c>
      <c r="C1537" s="5">
        <v>40522</v>
      </c>
      <c r="D1537" s="3" t="s">
        <v>82</v>
      </c>
      <c r="E1537" s="1" t="s">
        <v>529</v>
      </c>
      <c r="F1537" s="1" t="s">
        <v>44</v>
      </c>
      <c r="G1537" s="2" t="s">
        <v>3</v>
      </c>
      <c r="H1537" s="3" t="s">
        <v>97</v>
      </c>
      <c r="I1537" s="3" t="s">
        <v>91</v>
      </c>
      <c r="J1537" s="3" t="s">
        <v>60</v>
      </c>
      <c r="K1537" s="4">
        <v>10480.272000000001</v>
      </c>
      <c r="L1537" s="6">
        <v>550.98</v>
      </c>
    </row>
    <row r="1538" spans="1:12" x14ac:dyDescent="0.25">
      <c r="A1538" s="1">
        <v>1537</v>
      </c>
      <c r="B1538" s="4">
        <v>11074</v>
      </c>
      <c r="C1538" s="5">
        <v>40703</v>
      </c>
      <c r="D1538" s="3" t="s">
        <v>89</v>
      </c>
      <c r="E1538" s="1" t="s">
        <v>760</v>
      </c>
      <c r="F1538" s="1" t="s">
        <v>36</v>
      </c>
      <c r="G1538" s="2" t="s">
        <v>2</v>
      </c>
      <c r="H1538" s="3" t="s">
        <v>88</v>
      </c>
      <c r="I1538" s="3" t="s">
        <v>85</v>
      </c>
      <c r="J1538" s="3" t="s">
        <v>58</v>
      </c>
      <c r="K1538" s="4">
        <v>114.53</v>
      </c>
      <c r="L1538" s="6">
        <v>5.68</v>
      </c>
    </row>
    <row r="1539" spans="1:12" x14ac:dyDescent="0.25">
      <c r="A1539" s="1">
        <v>1538</v>
      </c>
      <c r="B1539" s="4">
        <v>11074</v>
      </c>
      <c r="C1539" s="5">
        <v>40703</v>
      </c>
      <c r="D1539" s="3" t="s">
        <v>89</v>
      </c>
      <c r="E1539" s="1" t="s">
        <v>760</v>
      </c>
      <c r="F1539" s="1" t="s">
        <v>36</v>
      </c>
      <c r="G1539" s="2" t="s">
        <v>2</v>
      </c>
      <c r="H1539" s="3" t="s">
        <v>88</v>
      </c>
      <c r="I1539" s="3" t="s">
        <v>92</v>
      </c>
      <c r="J1539" s="3" t="s">
        <v>61</v>
      </c>
      <c r="K1539" s="4">
        <v>7164.7435000000005</v>
      </c>
      <c r="L1539" s="6">
        <v>205.99</v>
      </c>
    </row>
    <row r="1540" spans="1:12" x14ac:dyDescent="0.25">
      <c r="A1540" s="1">
        <v>1539</v>
      </c>
      <c r="B1540" s="4">
        <v>11077</v>
      </c>
      <c r="C1540" s="5">
        <v>39892</v>
      </c>
      <c r="D1540" s="3" t="s">
        <v>82</v>
      </c>
      <c r="E1540" s="1" t="s">
        <v>359</v>
      </c>
      <c r="F1540" s="1" t="s">
        <v>24</v>
      </c>
      <c r="G1540" s="2" t="s">
        <v>2</v>
      </c>
      <c r="H1540" s="3" t="s">
        <v>100</v>
      </c>
      <c r="I1540" s="3" t="s">
        <v>91</v>
      </c>
      <c r="J1540" s="3" t="s">
        <v>68</v>
      </c>
      <c r="K1540" s="4">
        <v>4620.05</v>
      </c>
      <c r="L1540" s="6">
        <v>160.97999999999999</v>
      </c>
    </row>
    <row r="1541" spans="1:12" x14ac:dyDescent="0.25">
      <c r="A1541" s="1">
        <v>1540</v>
      </c>
      <c r="B1541" s="4">
        <v>11108</v>
      </c>
      <c r="C1541" s="5">
        <v>41137</v>
      </c>
      <c r="D1541" s="3" t="s">
        <v>86</v>
      </c>
      <c r="E1541" s="1" t="s">
        <v>761</v>
      </c>
      <c r="F1541" s="1" t="s">
        <v>19</v>
      </c>
      <c r="G1541" s="2" t="s">
        <v>3</v>
      </c>
      <c r="H1541" s="3" t="s">
        <v>84</v>
      </c>
      <c r="I1541" s="3" t="s">
        <v>85</v>
      </c>
      <c r="J1541" s="3" t="s">
        <v>66</v>
      </c>
      <c r="K1541" s="4">
        <v>131.71</v>
      </c>
      <c r="L1541" s="6">
        <v>6.48</v>
      </c>
    </row>
    <row r="1542" spans="1:12" x14ac:dyDescent="0.25">
      <c r="A1542" s="1">
        <v>1541</v>
      </c>
      <c r="B1542" s="4">
        <v>11109</v>
      </c>
      <c r="C1542" s="5">
        <v>40617</v>
      </c>
      <c r="D1542" s="3" t="s">
        <v>4</v>
      </c>
      <c r="E1542" s="1" t="s">
        <v>752</v>
      </c>
      <c r="F1542" s="1" t="s">
        <v>29</v>
      </c>
      <c r="G1542" s="2" t="s">
        <v>3</v>
      </c>
      <c r="H1542" s="3" t="s">
        <v>100</v>
      </c>
      <c r="I1542" s="3" t="s">
        <v>85</v>
      </c>
      <c r="J1542" s="3" t="s">
        <v>66</v>
      </c>
      <c r="K1542" s="4">
        <v>130.38</v>
      </c>
      <c r="L1542" s="6">
        <v>7.4</v>
      </c>
    </row>
    <row r="1543" spans="1:12" x14ac:dyDescent="0.25">
      <c r="A1543" s="1">
        <v>1542</v>
      </c>
      <c r="B1543" s="4">
        <v>11111</v>
      </c>
      <c r="C1543" s="5">
        <v>40560</v>
      </c>
      <c r="D1543" s="3" t="s">
        <v>4</v>
      </c>
      <c r="E1543" s="1" t="s">
        <v>762</v>
      </c>
      <c r="F1543" s="1" t="s">
        <v>34</v>
      </c>
      <c r="G1543" s="2" t="s">
        <v>1</v>
      </c>
      <c r="H1543" s="3" t="s">
        <v>88</v>
      </c>
      <c r="I1543" s="3" t="s">
        <v>91</v>
      </c>
      <c r="J1543" s="3" t="s">
        <v>59</v>
      </c>
      <c r="K1543" s="4">
        <v>308.52</v>
      </c>
      <c r="L1543" s="6">
        <v>41.47</v>
      </c>
    </row>
    <row r="1544" spans="1:12" x14ac:dyDescent="0.25">
      <c r="A1544" s="1">
        <v>1543</v>
      </c>
      <c r="B1544" s="4">
        <v>11111</v>
      </c>
      <c r="C1544" s="5">
        <v>40560</v>
      </c>
      <c r="D1544" s="3" t="s">
        <v>4</v>
      </c>
      <c r="E1544" s="1" t="s">
        <v>762</v>
      </c>
      <c r="F1544" s="1" t="s">
        <v>34</v>
      </c>
      <c r="G1544" s="2" t="s">
        <v>1</v>
      </c>
      <c r="H1544" s="3" t="s">
        <v>88</v>
      </c>
      <c r="I1544" s="3" t="s">
        <v>85</v>
      </c>
      <c r="J1544" s="3" t="s">
        <v>66</v>
      </c>
      <c r="K1544" s="4">
        <v>176.5</v>
      </c>
      <c r="L1544" s="6">
        <v>6.48</v>
      </c>
    </row>
    <row r="1545" spans="1:12" x14ac:dyDescent="0.25">
      <c r="A1545" s="1">
        <v>1544</v>
      </c>
      <c r="B1545" s="4">
        <v>11137</v>
      </c>
      <c r="C1545" s="5">
        <v>41242</v>
      </c>
      <c r="D1545" s="3" t="s">
        <v>89</v>
      </c>
      <c r="E1545" s="1" t="s">
        <v>202</v>
      </c>
      <c r="F1545" s="1" t="s">
        <v>8</v>
      </c>
      <c r="G1545" s="2" t="s">
        <v>6</v>
      </c>
      <c r="H1545" s="3" t="s">
        <v>84</v>
      </c>
      <c r="I1545" s="3" t="s">
        <v>85</v>
      </c>
      <c r="J1545" s="3" t="s">
        <v>57</v>
      </c>
      <c r="K1545" s="4">
        <v>5188.8599999999997</v>
      </c>
      <c r="L1545" s="6">
        <v>111.03</v>
      </c>
    </row>
    <row r="1546" spans="1:12" x14ac:dyDescent="0.25">
      <c r="A1546" s="1">
        <v>1545</v>
      </c>
      <c r="B1546" s="4">
        <v>11168</v>
      </c>
      <c r="C1546" s="5">
        <v>41203</v>
      </c>
      <c r="D1546" s="3" t="s">
        <v>95</v>
      </c>
      <c r="E1546" s="1" t="s">
        <v>263</v>
      </c>
      <c r="F1546" s="1" t="s">
        <v>14</v>
      </c>
      <c r="G1546" s="2" t="s">
        <v>2</v>
      </c>
      <c r="H1546" s="3" t="s">
        <v>97</v>
      </c>
      <c r="I1546" s="3" t="s">
        <v>91</v>
      </c>
      <c r="J1546" s="3" t="s">
        <v>59</v>
      </c>
      <c r="K1546" s="4">
        <v>182.86</v>
      </c>
      <c r="L1546" s="6">
        <v>4.82</v>
      </c>
    </row>
    <row r="1547" spans="1:12" x14ac:dyDescent="0.25">
      <c r="A1547" s="1">
        <v>1546</v>
      </c>
      <c r="B1547" s="4">
        <v>11169</v>
      </c>
      <c r="C1547" s="5">
        <v>40319</v>
      </c>
      <c r="D1547" s="3" t="s">
        <v>4</v>
      </c>
      <c r="E1547" s="1" t="s">
        <v>763</v>
      </c>
      <c r="F1547" s="1" t="s">
        <v>9</v>
      </c>
      <c r="G1547" s="2" t="s">
        <v>2</v>
      </c>
      <c r="H1547" s="3" t="s">
        <v>88</v>
      </c>
      <c r="I1547" s="3" t="s">
        <v>85</v>
      </c>
      <c r="J1547" s="3" t="s">
        <v>69</v>
      </c>
      <c r="K1547" s="4">
        <v>398.86</v>
      </c>
      <c r="L1547" s="6">
        <v>8.85</v>
      </c>
    </row>
    <row r="1548" spans="1:12" x14ac:dyDescent="0.25">
      <c r="A1548" s="1">
        <v>1547</v>
      </c>
      <c r="B1548" s="4">
        <v>11169</v>
      </c>
      <c r="C1548" s="5">
        <v>40319</v>
      </c>
      <c r="D1548" s="3" t="s">
        <v>4</v>
      </c>
      <c r="E1548" s="1" t="s">
        <v>763</v>
      </c>
      <c r="F1548" s="1" t="s">
        <v>9</v>
      </c>
      <c r="G1548" s="2" t="s">
        <v>2</v>
      </c>
      <c r="H1548" s="3" t="s">
        <v>88</v>
      </c>
      <c r="I1548" s="3" t="s">
        <v>85</v>
      </c>
      <c r="J1548" s="3" t="s">
        <v>65</v>
      </c>
      <c r="K1548" s="4">
        <v>109.18</v>
      </c>
      <c r="L1548" s="6">
        <v>2.61</v>
      </c>
    </row>
    <row r="1549" spans="1:12" x14ac:dyDescent="0.25">
      <c r="A1549" s="1">
        <v>1548</v>
      </c>
      <c r="B1549" s="4">
        <v>11169</v>
      </c>
      <c r="C1549" s="5">
        <v>40319</v>
      </c>
      <c r="D1549" s="3" t="s">
        <v>4</v>
      </c>
      <c r="E1549" s="1" t="s">
        <v>763</v>
      </c>
      <c r="F1549" s="1" t="s">
        <v>9</v>
      </c>
      <c r="G1549" s="2" t="s">
        <v>2</v>
      </c>
      <c r="H1549" s="3" t="s">
        <v>88</v>
      </c>
      <c r="I1549" s="3" t="s">
        <v>85</v>
      </c>
      <c r="J1549" s="3" t="s">
        <v>66</v>
      </c>
      <c r="K1549" s="4">
        <v>28.59</v>
      </c>
      <c r="L1549" s="6">
        <v>4.9800000000000004</v>
      </c>
    </row>
    <row r="1550" spans="1:12" x14ac:dyDescent="0.25">
      <c r="A1550" s="1">
        <v>1549</v>
      </c>
      <c r="B1550" s="4">
        <v>11173</v>
      </c>
      <c r="C1550" s="5">
        <v>40998</v>
      </c>
      <c r="D1550" s="3" t="s">
        <v>95</v>
      </c>
      <c r="E1550" s="1" t="s">
        <v>764</v>
      </c>
      <c r="F1550" s="1" t="s">
        <v>34</v>
      </c>
      <c r="G1550" s="2" t="s">
        <v>1</v>
      </c>
      <c r="H1550" s="3" t="s">
        <v>88</v>
      </c>
      <c r="I1550" s="3" t="s">
        <v>92</v>
      </c>
      <c r="J1550" s="3" t="s">
        <v>62</v>
      </c>
      <c r="K1550" s="4">
        <v>221.66</v>
      </c>
      <c r="L1550" s="6">
        <v>5.98</v>
      </c>
    </row>
    <row r="1551" spans="1:12" x14ac:dyDescent="0.25">
      <c r="A1551" s="1">
        <v>1550</v>
      </c>
      <c r="B1551" s="4">
        <v>11174</v>
      </c>
      <c r="C1551" s="5">
        <v>39912</v>
      </c>
      <c r="D1551" s="3" t="s">
        <v>4</v>
      </c>
      <c r="E1551" s="1" t="s">
        <v>487</v>
      </c>
      <c r="F1551" s="1" t="s">
        <v>24</v>
      </c>
      <c r="G1551" s="2" t="s">
        <v>2</v>
      </c>
      <c r="H1551" s="3" t="s">
        <v>88</v>
      </c>
      <c r="I1551" s="3" t="s">
        <v>92</v>
      </c>
      <c r="J1551" s="3" t="s">
        <v>61</v>
      </c>
      <c r="K1551" s="4">
        <v>3197.0029999999997</v>
      </c>
      <c r="L1551" s="6">
        <v>125.99</v>
      </c>
    </row>
    <row r="1552" spans="1:12" x14ac:dyDescent="0.25">
      <c r="A1552" s="1">
        <v>1551</v>
      </c>
      <c r="B1552" s="4">
        <v>11202</v>
      </c>
      <c r="C1552" s="5">
        <v>40985</v>
      </c>
      <c r="D1552" s="3" t="s">
        <v>4</v>
      </c>
      <c r="E1552" s="1" t="s">
        <v>539</v>
      </c>
      <c r="F1552" s="1" t="s">
        <v>8</v>
      </c>
      <c r="G1552" s="2" t="s">
        <v>6</v>
      </c>
      <c r="H1552" s="3" t="s">
        <v>88</v>
      </c>
      <c r="I1552" s="3" t="s">
        <v>85</v>
      </c>
      <c r="J1552" s="3" t="s">
        <v>69</v>
      </c>
      <c r="K1552" s="4">
        <v>339.81</v>
      </c>
      <c r="L1552" s="6">
        <v>43.41</v>
      </c>
    </row>
    <row r="1553" spans="1:12" x14ac:dyDescent="0.25">
      <c r="A1553" s="1">
        <v>1552</v>
      </c>
      <c r="B1553" s="4">
        <v>11206</v>
      </c>
      <c r="C1553" s="5">
        <v>40175</v>
      </c>
      <c r="D1553" s="3" t="s">
        <v>82</v>
      </c>
      <c r="E1553" s="1" t="s">
        <v>279</v>
      </c>
      <c r="F1553" s="1" t="s">
        <v>49</v>
      </c>
      <c r="G1553" s="2" t="s">
        <v>1</v>
      </c>
      <c r="H1553" s="3" t="s">
        <v>84</v>
      </c>
      <c r="I1553" s="3" t="s">
        <v>92</v>
      </c>
      <c r="J1553" s="3" t="s">
        <v>62</v>
      </c>
      <c r="K1553" s="4">
        <v>1285.55</v>
      </c>
      <c r="L1553" s="6">
        <v>49.99</v>
      </c>
    </row>
    <row r="1554" spans="1:12" x14ac:dyDescent="0.25">
      <c r="A1554" s="1">
        <v>1553</v>
      </c>
      <c r="B1554" s="4">
        <v>11206</v>
      </c>
      <c r="C1554" s="5">
        <v>40175</v>
      </c>
      <c r="D1554" s="3" t="s">
        <v>82</v>
      </c>
      <c r="E1554" s="1" t="s">
        <v>765</v>
      </c>
      <c r="F1554" s="1" t="s">
        <v>43</v>
      </c>
      <c r="G1554" s="2" t="s">
        <v>1</v>
      </c>
      <c r="H1554" s="3" t="s">
        <v>84</v>
      </c>
      <c r="I1554" s="3" t="s">
        <v>85</v>
      </c>
      <c r="J1554" s="3" t="s">
        <v>69</v>
      </c>
      <c r="K1554" s="4">
        <v>177.67</v>
      </c>
      <c r="L1554" s="6">
        <v>28.53</v>
      </c>
    </row>
    <row r="1555" spans="1:12" x14ac:dyDescent="0.25">
      <c r="A1555" s="1">
        <v>1554</v>
      </c>
      <c r="B1555" s="4">
        <v>11233</v>
      </c>
      <c r="C1555" s="5">
        <v>40785</v>
      </c>
      <c r="D1555" s="3" t="s">
        <v>86</v>
      </c>
      <c r="E1555" s="1" t="s">
        <v>156</v>
      </c>
      <c r="F1555" s="1" t="s">
        <v>35</v>
      </c>
      <c r="G1555" s="2" t="s">
        <v>1</v>
      </c>
      <c r="H1555" s="3" t="s">
        <v>88</v>
      </c>
      <c r="I1555" s="3" t="s">
        <v>85</v>
      </c>
      <c r="J1555" s="3" t="s">
        <v>71</v>
      </c>
      <c r="K1555" s="4">
        <v>276.5</v>
      </c>
      <c r="L1555" s="6">
        <v>10.98</v>
      </c>
    </row>
    <row r="1556" spans="1:12" x14ac:dyDescent="0.25">
      <c r="A1556" s="1">
        <v>1555</v>
      </c>
      <c r="B1556" s="4">
        <v>11236</v>
      </c>
      <c r="C1556" s="5">
        <v>40481</v>
      </c>
      <c r="D1556" s="3" t="s">
        <v>89</v>
      </c>
      <c r="E1556" s="1" t="s">
        <v>144</v>
      </c>
      <c r="F1556" s="1" t="s">
        <v>24</v>
      </c>
      <c r="G1556" s="2" t="s">
        <v>2</v>
      </c>
      <c r="H1556" s="3" t="s">
        <v>84</v>
      </c>
      <c r="I1556" s="3" t="s">
        <v>85</v>
      </c>
      <c r="J1556" s="3" t="s">
        <v>66</v>
      </c>
      <c r="K1556" s="4">
        <v>298.57</v>
      </c>
      <c r="L1556" s="6">
        <v>6.88</v>
      </c>
    </row>
    <row r="1557" spans="1:12" x14ac:dyDescent="0.25">
      <c r="A1557" s="1">
        <v>1556</v>
      </c>
      <c r="B1557" s="4">
        <v>11236</v>
      </c>
      <c r="C1557" s="5">
        <v>40481</v>
      </c>
      <c r="D1557" s="3" t="s">
        <v>89</v>
      </c>
      <c r="E1557" s="1" t="s">
        <v>144</v>
      </c>
      <c r="F1557" s="1" t="s">
        <v>24</v>
      </c>
      <c r="G1557" s="2" t="s">
        <v>2</v>
      </c>
      <c r="H1557" s="3" t="s">
        <v>84</v>
      </c>
      <c r="I1557" s="3" t="s">
        <v>85</v>
      </c>
      <c r="J1557" s="3" t="s">
        <v>63</v>
      </c>
      <c r="K1557" s="4">
        <v>44.32</v>
      </c>
      <c r="L1557" s="6">
        <v>2.52</v>
      </c>
    </row>
    <row r="1558" spans="1:12" x14ac:dyDescent="0.25">
      <c r="A1558" s="1">
        <v>1557</v>
      </c>
      <c r="B1558" s="4">
        <v>11236</v>
      </c>
      <c r="C1558" s="5">
        <v>40481</v>
      </c>
      <c r="D1558" s="3" t="s">
        <v>89</v>
      </c>
      <c r="E1558" s="1" t="s">
        <v>766</v>
      </c>
      <c r="F1558" s="1" t="s">
        <v>27</v>
      </c>
      <c r="G1558" s="2" t="s">
        <v>1</v>
      </c>
      <c r="H1558" s="3" t="s">
        <v>84</v>
      </c>
      <c r="I1558" s="3" t="s">
        <v>85</v>
      </c>
      <c r="J1558" s="3" t="s">
        <v>57</v>
      </c>
      <c r="K1558" s="4">
        <v>1629.75</v>
      </c>
      <c r="L1558" s="6">
        <v>415.88</v>
      </c>
    </row>
    <row r="1559" spans="1:12" x14ac:dyDescent="0.25">
      <c r="A1559" s="1">
        <v>1558</v>
      </c>
      <c r="B1559" s="4">
        <v>11236</v>
      </c>
      <c r="C1559" s="5">
        <v>40481</v>
      </c>
      <c r="D1559" s="3" t="s">
        <v>89</v>
      </c>
      <c r="E1559" s="1" t="s">
        <v>767</v>
      </c>
      <c r="F1559" s="1" t="s">
        <v>20</v>
      </c>
      <c r="G1559" s="2" t="s">
        <v>1</v>
      </c>
      <c r="H1559" s="3" t="s">
        <v>84</v>
      </c>
      <c r="I1559" s="3" t="s">
        <v>85</v>
      </c>
      <c r="J1559" s="3" t="s">
        <v>69</v>
      </c>
      <c r="K1559" s="4">
        <v>261.02</v>
      </c>
      <c r="L1559" s="6">
        <v>4.9800000000000004</v>
      </c>
    </row>
    <row r="1560" spans="1:12" x14ac:dyDescent="0.25">
      <c r="A1560" s="1">
        <v>1559</v>
      </c>
      <c r="B1560" s="4">
        <v>11239</v>
      </c>
      <c r="C1560" s="5">
        <v>40948</v>
      </c>
      <c r="D1560" s="3" t="s">
        <v>95</v>
      </c>
      <c r="E1560" s="1" t="s">
        <v>195</v>
      </c>
      <c r="F1560" s="1" t="s">
        <v>34</v>
      </c>
      <c r="G1560" s="2" t="s">
        <v>1</v>
      </c>
      <c r="H1560" s="3" t="s">
        <v>84</v>
      </c>
      <c r="I1560" s="3" t="s">
        <v>91</v>
      </c>
      <c r="J1560" s="3" t="s">
        <v>60</v>
      </c>
      <c r="K1560" s="4">
        <v>6170.02</v>
      </c>
      <c r="L1560" s="6">
        <v>179.29</v>
      </c>
    </row>
    <row r="1561" spans="1:12" x14ac:dyDescent="0.25">
      <c r="A1561" s="1">
        <v>1560</v>
      </c>
      <c r="B1561" s="4">
        <v>11269</v>
      </c>
      <c r="C1561" s="5">
        <v>41055</v>
      </c>
      <c r="D1561" s="3" t="s">
        <v>82</v>
      </c>
      <c r="E1561" s="1" t="s">
        <v>163</v>
      </c>
      <c r="F1561" s="1" t="s">
        <v>38</v>
      </c>
      <c r="G1561" s="2" t="s">
        <v>6</v>
      </c>
      <c r="H1561" s="3" t="s">
        <v>97</v>
      </c>
      <c r="I1561" s="3" t="s">
        <v>92</v>
      </c>
      <c r="J1561" s="3" t="s">
        <v>61</v>
      </c>
      <c r="K1561" s="4">
        <v>2083.0525000000002</v>
      </c>
      <c r="L1561" s="6">
        <v>65.989999999999995</v>
      </c>
    </row>
    <row r="1562" spans="1:12" x14ac:dyDescent="0.25">
      <c r="A1562" s="1">
        <v>1561</v>
      </c>
      <c r="B1562" s="4">
        <v>11269</v>
      </c>
      <c r="C1562" s="5">
        <v>41055</v>
      </c>
      <c r="D1562" s="3" t="s">
        <v>82</v>
      </c>
      <c r="E1562" s="1" t="s">
        <v>768</v>
      </c>
      <c r="F1562" s="1" t="s">
        <v>38</v>
      </c>
      <c r="G1562" s="2" t="s">
        <v>6</v>
      </c>
      <c r="H1562" s="3" t="s">
        <v>97</v>
      </c>
      <c r="I1562" s="3" t="s">
        <v>85</v>
      </c>
      <c r="J1562" s="3" t="s">
        <v>65</v>
      </c>
      <c r="K1562" s="4">
        <v>233.28</v>
      </c>
      <c r="L1562" s="6">
        <v>4.91</v>
      </c>
    </row>
    <row r="1563" spans="1:12" x14ac:dyDescent="0.25">
      <c r="A1563" s="1">
        <v>1562</v>
      </c>
      <c r="B1563" s="4">
        <v>11269</v>
      </c>
      <c r="C1563" s="5">
        <v>41055</v>
      </c>
      <c r="D1563" s="3" t="s">
        <v>82</v>
      </c>
      <c r="E1563" s="1" t="s">
        <v>768</v>
      </c>
      <c r="F1563" s="1" t="s">
        <v>38</v>
      </c>
      <c r="G1563" s="2" t="s">
        <v>6</v>
      </c>
      <c r="H1563" s="3" t="s">
        <v>97</v>
      </c>
      <c r="I1563" s="3" t="s">
        <v>85</v>
      </c>
      <c r="J1563" s="3" t="s">
        <v>57</v>
      </c>
      <c r="K1563" s="4">
        <v>47.01</v>
      </c>
      <c r="L1563" s="6">
        <v>27.75</v>
      </c>
    </row>
    <row r="1564" spans="1:12" x14ac:dyDescent="0.25">
      <c r="A1564" s="1">
        <v>1563</v>
      </c>
      <c r="B1564" s="4">
        <v>11270</v>
      </c>
      <c r="C1564" s="5">
        <v>40724</v>
      </c>
      <c r="D1564" s="3" t="s">
        <v>89</v>
      </c>
      <c r="E1564" s="1" t="s">
        <v>454</v>
      </c>
      <c r="F1564" s="1" t="s">
        <v>23</v>
      </c>
      <c r="G1564" s="2" t="s">
        <v>3</v>
      </c>
      <c r="H1564" s="3" t="s">
        <v>88</v>
      </c>
      <c r="I1564" s="3" t="s">
        <v>85</v>
      </c>
      <c r="J1564" s="3" t="s">
        <v>69</v>
      </c>
      <c r="K1564" s="4">
        <v>140.07</v>
      </c>
      <c r="L1564" s="6">
        <v>8.6</v>
      </c>
    </row>
    <row r="1565" spans="1:12" x14ac:dyDescent="0.25">
      <c r="A1565" s="1">
        <v>1564</v>
      </c>
      <c r="B1565" s="4">
        <v>11271</v>
      </c>
      <c r="C1565" s="5">
        <v>40834</v>
      </c>
      <c r="D1565" s="3" t="s">
        <v>89</v>
      </c>
      <c r="E1565" s="1" t="s">
        <v>768</v>
      </c>
      <c r="F1565" s="1" t="s">
        <v>39</v>
      </c>
      <c r="G1565" s="2" t="s">
        <v>1</v>
      </c>
      <c r="H1565" s="3" t="s">
        <v>88</v>
      </c>
      <c r="I1565" s="3" t="s">
        <v>85</v>
      </c>
      <c r="J1565" s="3" t="s">
        <v>63</v>
      </c>
      <c r="K1565" s="4">
        <v>157.87</v>
      </c>
      <c r="L1565" s="6">
        <v>3.28</v>
      </c>
    </row>
    <row r="1566" spans="1:12" x14ac:dyDescent="0.25">
      <c r="A1566" s="1">
        <v>1565</v>
      </c>
      <c r="B1566" s="4">
        <v>11301</v>
      </c>
      <c r="C1566" s="5">
        <v>40990</v>
      </c>
      <c r="D1566" s="3" t="s">
        <v>4</v>
      </c>
      <c r="E1566" s="1" t="s">
        <v>769</v>
      </c>
      <c r="F1566" s="1" t="s">
        <v>30</v>
      </c>
      <c r="G1566" s="2" t="s">
        <v>6</v>
      </c>
      <c r="H1566" s="3" t="s">
        <v>100</v>
      </c>
      <c r="I1566" s="3" t="s">
        <v>92</v>
      </c>
      <c r="J1566" s="3" t="s">
        <v>62</v>
      </c>
      <c r="K1566" s="4">
        <v>1194.96</v>
      </c>
      <c r="L1566" s="6">
        <v>39.979999999999997</v>
      </c>
    </row>
    <row r="1567" spans="1:12" x14ac:dyDescent="0.25">
      <c r="A1567" s="1">
        <v>1566</v>
      </c>
      <c r="B1567" s="4">
        <v>11302</v>
      </c>
      <c r="C1567" s="5">
        <v>39873</v>
      </c>
      <c r="D1567" s="3" t="s">
        <v>82</v>
      </c>
      <c r="E1567" s="1" t="s">
        <v>580</v>
      </c>
      <c r="F1567" s="1" t="s">
        <v>22</v>
      </c>
      <c r="G1567" s="2" t="s">
        <v>6</v>
      </c>
      <c r="H1567" s="3" t="s">
        <v>97</v>
      </c>
      <c r="I1567" s="3" t="s">
        <v>92</v>
      </c>
      <c r="J1567" s="3" t="s">
        <v>67</v>
      </c>
      <c r="K1567" s="4">
        <v>866.66</v>
      </c>
      <c r="L1567" s="6">
        <v>90.97</v>
      </c>
    </row>
    <row r="1568" spans="1:12" x14ac:dyDescent="0.25">
      <c r="A1568" s="1">
        <v>1567</v>
      </c>
      <c r="B1568" s="4">
        <v>11332</v>
      </c>
      <c r="C1568" s="5">
        <v>40133</v>
      </c>
      <c r="D1568" s="3" t="s">
        <v>82</v>
      </c>
      <c r="E1568" s="1" t="s">
        <v>447</v>
      </c>
      <c r="F1568" s="1" t="s">
        <v>30</v>
      </c>
      <c r="G1568" s="2" t="s">
        <v>6</v>
      </c>
      <c r="H1568" s="3" t="s">
        <v>88</v>
      </c>
      <c r="I1568" s="3" t="s">
        <v>92</v>
      </c>
      <c r="J1568" s="3" t="s">
        <v>61</v>
      </c>
      <c r="K1568" s="4">
        <v>184.33100000000002</v>
      </c>
      <c r="L1568" s="6">
        <v>35.99</v>
      </c>
    </row>
    <row r="1569" spans="1:12" x14ac:dyDescent="0.25">
      <c r="A1569" s="1">
        <v>1568</v>
      </c>
      <c r="B1569" s="4">
        <v>11332</v>
      </c>
      <c r="C1569" s="5">
        <v>40133</v>
      </c>
      <c r="D1569" s="3" t="s">
        <v>82</v>
      </c>
      <c r="E1569" s="1" t="s">
        <v>770</v>
      </c>
      <c r="F1569" s="1" t="s">
        <v>30</v>
      </c>
      <c r="G1569" s="2" t="s">
        <v>6</v>
      </c>
      <c r="H1569" s="3" t="s">
        <v>88</v>
      </c>
      <c r="I1569" s="3" t="s">
        <v>92</v>
      </c>
      <c r="J1569" s="3" t="s">
        <v>61</v>
      </c>
      <c r="K1569" s="4">
        <v>1223.3795</v>
      </c>
      <c r="L1569" s="6">
        <v>65.989999999999995</v>
      </c>
    </row>
    <row r="1570" spans="1:12" x14ac:dyDescent="0.25">
      <c r="A1570" s="1">
        <v>1569</v>
      </c>
      <c r="B1570" s="4">
        <v>11335</v>
      </c>
      <c r="C1570" s="5">
        <v>40107</v>
      </c>
      <c r="D1570" s="3" t="s">
        <v>89</v>
      </c>
      <c r="E1570" s="1" t="s">
        <v>621</v>
      </c>
      <c r="F1570" s="1" t="s">
        <v>26</v>
      </c>
      <c r="G1570" s="2" t="s">
        <v>3</v>
      </c>
      <c r="H1570" s="3" t="s">
        <v>88</v>
      </c>
      <c r="I1570" s="3" t="s">
        <v>85</v>
      </c>
      <c r="J1570" s="3" t="s">
        <v>65</v>
      </c>
      <c r="K1570" s="4">
        <v>14.84</v>
      </c>
      <c r="L1570" s="6">
        <v>4.9800000000000004</v>
      </c>
    </row>
    <row r="1571" spans="1:12" x14ac:dyDescent="0.25">
      <c r="A1571" s="1">
        <v>1570</v>
      </c>
      <c r="B1571" s="4">
        <v>11335</v>
      </c>
      <c r="C1571" s="5">
        <v>40107</v>
      </c>
      <c r="D1571" s="3" t="s">
        <v>89</v>
      </c>
      <c r="E1571" s="1" t="s">
        <v>621</v>
      </c>
      <c r="F1571" s="1" t="s">
        <v>26</v>
      </c>
      <c r="G1571" s="2" t="s">
        <v>3</v>
      </c>
      <c r="H1571" s="3" t="s">
        <v>88</v>
      </c>
      <c r="I1571" s="3" t="s">
        <v>92</v>
      </c>
      <c r="J1571" s="3" t="s">
        <v>67</v>
      </c>
      <c r="K1571" s="4">
        <v>922.47</v>
      </c>
      <c r="L1571" s="6">
        <v>119.99</v>
      </c>
    </row>
    <row r="1572" spans="1:12" x14ac:dyDescent="0.25">
      <c r="A1572" s="1">
        <v>1571</v>
      </c>
      <c r="B1572" s="4">
        <v>11362</v>
      </c>
      <c r="C1572" s="5">
        <v>41162</v>
      </c>
      <c r="D1572" s="3" t="s">
        <v>82</v>
      </c>
      <c r="E1572" s="1" t="s">
        <v>629</v>
      </c>
      <c r="F1572" s="1" t="s">
        <v>38</v>
      </c>
      <c r="G1572" s="2" t="s">
        <v>6</v>
      </c>
      <c r="H1572" s="3" t="s">
        <v>88</v>
      </c>
      <c r="I1572" s="3" t="s">
        <v>91</v>
      </c>
      <c r="J1572" s="3" t="s">
        <v>59</v>
      </c>
      <c r="K1572" s="4">
        <v>3245.73</v>
      </c>
      <c r="L1572" s="6">
        <v>110.98</v>
      </c>
    </row>
    <row r="1573" spans="1:12" x14ac:dyDescent="0.25">
      <c r="A1573" s="1">
        <v>1572</v>
      </c>
      <c r="B1573" s="4">
        <v>11362</v>
      </c>
      <c r="C1573" s="5">
        <v>41162</v>
      </c>
      <c r="D1573" s="3" t="s">
        <v>82</v>
      </c>
      <c r="E1573" s="1" t="s">
        <v>629</v>
      </c>
      <c r="F1573" s="1" t="s">
        <v>38</v>
      </c>
      <c r="G1573" s="2" t="s">
        <v>6</v>
      </c>
      <c r="H1573" s="3" t="s">
        <v>88</v>
      </c>
      <c r="I1573" s="3" t="s">
        <v>85</v>
      </c>
      <c r="J1573" s="3" t="s">
        <v>58</v>
      </c>
      <c r="K1573" s="4">
        <v>63.02</v>
      </c>
      <c r="L1573" s="6">
        <v>2.1800000000000002</v>
      </c>
    </row>
    <row r="1574" spans="1:12" x14ac:dyDescent="0.25">
      <c r="A1574" s="1">
        <v>1573</v>
      </c>
      <c r="B1574" s="4">
        <v>11362</v>
      </c>
      <c r="C1574" s="5">
        <v>41162</v>
      </c>
      <c r="D1574" s="3" t="s">
        <v>82</v>
      </c>
      <c r="E1574" s="1" t="s">
        <v>771</v>
      </c>
      <c r="F1574" s="1" t="s">
        <v>38</v>
      </c>
      <c r="G1574" s="2" t="s">
        <v>6</v>
      </c>
      <c r="H1574" s="3" t="s">
        <v>88</v>
      </c>
      <c r="I1574" s="3" t="s">
        <v>92</v>
      </c>
      <c r="J1574" s="3" t="s">
        <v>73</v>
      </c>
      <c r="K1574" s="4">
        <v>6420.87</v>
      </c>
      <c r="L1574" s="6">
        <v>699.99</v>
      </c>
    </row>
    <row r="1575" spans="1:12" x14ac:dyDescent="0.25">
      <c r="A1575" s="1">
        <v>1574</v>
      </c>
      <c r="B1575" s="4">
        <v>11362</v>
      </c>
      <c r="C1575" s="5">
        <v>41162</v>
      </c>
      <c r="D1575" s="3" t="s">
        <v>82</v>
      </c>
      <c r="E1575" s="1" t="s">
        <v>771</v>
      </c>
      <c r="F1575" s="1" t="s">
        <v>38</v>
      </c>
      <c r="G1575" s="2" t="s">
        <v>6</v>
      </c>
      <c r="H1575" s="3" t="s">
        <v>88</v>
      </c>
      <c r="I1575" s="3" t="s">
        <v>92</v>
      </c>
      <c r="J1575" s="3" t="s">
        <v>61</v>
      </c>
      <c r="K1575" s="4">
        <v>2407.6929999999998</v>
      </c>
      <c r="L1575" s="6">
        <v>110.99</v>
      </c>
    </row>
    <row r="1576" spans="1:12" x14ac:dyDescent="0.25">
      <c r="A1576" s="1">
        <v>1575</v>
      </c>
      <c r="B1576" s="4">
        <v>11392</v>
      </c>
      <c r="C1576" s="5">
        <v>40061</v>
      </c>
      <c r="D1576" s="3" t="s">
        <v>82</v>
      </c>
      <c r="E1576" s="1" t="s">
        <v>772</v>
      </c>
      <c r="F1576" s="1" t="s">
        <v>30</v>
      </c>
      <c r="G1576" s="2" t="s">
        <v>6</v>
      </c>
      <c r="H1576" s="3" t="s">
        <v>88</v>
      </c>
      <c r="I1576" s="3" t="s">
        <v>85</v>
      </c>
      <c r="J1576" s="3" t="s">
        <v>69</v>
      </c>
      <c r="K1576" s="4">
        <v>128.69</v>
      </c>
      <c r="L1576" s="6">
        <v>4.55</v>
      </c>
    </row>
    <row r="1577" spans="1:12" x14ac:dyDescent="0.25">
      <c r="A1577" s="1">
        <v>1576</v>
      </c>
      <c r="B1577" s="4">
        <v>11396</v>
      </c>
      <c r="C1577" s="5">
        <v>41111</v>
      </c>
      <c r="D1577" s="3" t="s">
        <v>95</v>
      </c>
      <c r="E1577" s="1" t="s">
        <v>773</v>
      </c>
      <c r="F1577" s="1" t="s">
        <v>34</v>
      </c>
      <c r="G1577" s="2" t="s">
        <v>1</v>
      </c>
      <c r="H1577" s="3" t="s">
        <v>88</v>
      </c>
      <c r="I1577" s="3" t="s">
        <v>85</v>
      </c>
      <c r="J1577" s="3" t="s">
        <v>69</v>
      </c>
      <c r="K1577" s="4">
        <v>12270.3</v>
      </c>
      <c r="L1577" s="6">
        <v>304.99</v>
      </c>
    </row>
    <row r="1578" spans="1:12" x14ac:dyDescent="0.25">
      <c r="A1578" s="1">
        <v>1577</v>
      </c>
      <c r="B1578" s="4">
        <v>11398</v>
      </c>
      <c r="C1578" s="5">
        <v>41127</v>
      </c>
      <c r="D1578" s="3" t="s">
        <v>89</v>
      </c>
      <c r="E1578" s="1" t="s">
        <v>774</v>
      </c>
      <c r="F1578" s="1" t="s">
        <v>22</v>
      </c>
      <c r="G1578" s="2" t="s">
        <v>6</v>
      </c>
      <c r="H1578" s="3" t="s">
        <v>97</v>
      </c>
      <c r="I1578" s="3" t="s">
        <v>85</v>
      </c>
      <c r="J1578" s="3" t="s">
        <v>66</v>
      </c>
      <c r="K1578" s="4">
        <v>109.7</v>
      </c>
      <c r="L1578" s="6">
        <v>5.98</v>
      </c>
    </row>
    <row r="1579" spans="1:12" x14ac:dyDescent="0.25">
      <c r="A1579" s="1">
        <v>1578</v>
      </c>
      <c r="B1579" s="4">
        <v>11398</v>
      </c>
      <c r="C1579" s="5">
        <v>41127</v>
      </c>
      <c r="D1579" s="3" t="s">
        <v>89</v>
      </c>
      <c r="E1579" s="1" t="s">
        <v>774</v>
      </c>
      <c r="F1579" s="1" t="s">
        <v>22</v>
      </c>
      <c r="G1579" s="2" t="s">
        <v>6</v>
      </c>
      <c r="H1579" s="3" t="s">
        <v>97</v>
      </c>
      <c r="I1579" s="3" t="s">
        <v>85</v>
      </c>
      <c r="J1579" s="3" t="s">
        <v>63</v>
      </c>
      <c r="K1579" s="4">
        <v>80.89</v>
      </c>
      <c r="L1579" s="6">
        <v>2.94</v>
      </c>
    </row>
    <row r="1580" spans="1:12" x14ac:dyDescent="0.25">
      <c r="A1580" s="1">
        <v>1579</v>
      </c>
      <c r="B1580" s="4">
        <v>11425</v>
      </c>
      <c r="C1580" s="5">
        <v>40716</v>
      </c>
      <c r="D1580" s="3" t="s">
        <v>95</v>
      </c>
      <c r="E1580" s="1" t="s">
        <v>775</v>
      </c>
      <c r="F1580" s="1" t="s">
        <v>13</v>
      </c>
      <c r="G1580" s="2" t="s">
        <v>6</v>
      </c>
      <c r="H1580" s="3" t="s">
        <v>100</v>
      </c>
      <c r="I1580" s="3" t="s">
        <v>85</v>
      </c>
      <c r="J1580" s="3" t="s">
        <v>57</v>
      </c>
      <c r="K1580" s="4">
        <v>482.91</v>
      </c>
      <c r="L1580" s="6">
        <v>16.91</v>
      </c>
    </row>
    <row r="1581" spans="1:12" x14ac:dyDescent="0.25">
      <c r="A1581" s="1">
        <v>1580</v>
      </c>
      <c r="B1581" s="4">
        <v>11425</v>
      </c>
      <c r="C1581" s="5">
        <v>40716</v>
      </c>
      <c r="D1581" s="3" t="s">
        <v>95</v>
      </c>
      <c r="E1581" s="1" t="s">
        <v>775</v>
      </c>
      <c r="F1581" s="1" t="s">
        <v>13</v>
      </c>
      <c r="G1581" s="2" t="s">
        <v>6</v>
      </c>
      <c r="H1581" s="3" t="s">
        <v>100</v>
      </c>
      <c r="I1581" s="3" t="s">
        <v>92</v>
      </c>
      <c r="J1581" s="3" t="s">
        <v>61</v>
      </c>
      <c r="K1581" s="4">
        <v>2969.6365000000001</v>
      </c>
      <c r="L1581" s="6">
        <v>155.99</v>
      </c>
    </row>
    <row r="1582" spans="1:12" x14ac:dyDescent="0.25">
      <c r="A1582" s="1">
        <v>1581</v>
      </c>
      <c r="B1582" s="4">
        <v>11426</v>
      </c>
      <c r="C1582" s="5">
        <v>39940</v>
      </c>
      <c r="D1582" s="3" t="s">
        <v>4</v>
      </c>
      <c r="E1582" s="1" t="s">
        <v>347</v>
      </c>
      <c r="F1582" s="1" t="s">
        <v>29</v>
      </c>
      <c r="G1582" s="2" t="s">
        <v>3</v>
      </c>
      <c r="H1582" s="3" t="s">
        <v>100</v>
      </c>
      <c r="I1582" s="3" t="s">
        <v>92</v>
      </c>
      <c r="J1582" s="3" t="s">
        <v>62</v>
      </c>
      <c r="K1582" s="4">
        <v>333.68</v>
      </c>
      <c r="L1582" s="6">
        <v>16.48</v>
      </c>
    </row>
    <row r="1583" spans="1:12" x14ac:dyDescent="0.25">
      <c r="A1583" s="1">
        <v>1582</v>
      </c>
      <c r="B1583" s="4">
        <v>11427</v>
      </c>
      <c r="C1583" s="5">
        <v>40506</v>
      </c>
      <c r="D1583" s="3" t="s">
        <v>4</v>
      </c>
      <c r="E1583" s="1" t="s">
        <v>654</v>
      </c>
      <c r="F1583" s="1" t="s">
        <v>42</v>
      </c>
      <c r="G1583" s="2" t="s">
        <v>3</v>
      </c>
      <c r="H1583" s="3" t="s">
        <v>84</v>
      </c>
      <c r="I1583" s="3" t="s">
        <v>85</v>
      </c>
      <c r="J1583" s="3" t="s">
        <v>63</v>
      </c>
      <c r="K1583" s="4">
        <v>58.64</v>
      </c>
      <c r="L1583" s="6">
        <v>2.21</v>
      </c>
    </row>
    <row r="1584" spans="1:12" x14ac:dyDescent="0.25">
      <c r="A1584" s="1">
        <v>1583</v>
      </c>
      <c r="B1584" s="4">
        <v>11427</v>
      </c>
      <c r="C1584" s="5">
        <v>40506</v>
      </c>
      <c r="D1584" s="3" t="s">
        <v>4</v>
      </c>
      <c r="E1584" s="1" t="s">
        <v>325</v>
      </c>
      <c r="F1584" s="1" t="s">
        <v>42</v>
      </c>
      <c r="G1584" s="2" t="s">
        <v>3</v>
      </c>
      <c r="H1584" s="3" t="s">
        <v>84</v>
      </c>
      <c r="I1584" s="3" t="s">
        <v>85</v>
      </c>
      <c r="J1584" s="3" t="s">
        <v>69</v>
      </c>
      <c r="K1584" s="4">
        <v>136.06</v>
      </c>
      <c r="L1584" s="6">
        <v>6.37</v>
      </c>
    </row>
    <row r="1585" spans="1:12" x14ac:dyDescent="0.25">
      <c r="A1585" s="1">
        <v>1584</v>
      </c>
      <c r="B1585" s="4">
        <v>11428</v>
      </c>
      <c r="C1585" s="5">
        <v>40929</v>
      </c>
      <c r="D1585" s="3" t="s">
        <v>4</v>
      </c>
      <c r="E1585" s="1" t="s">
        <v>717</v>
      </c>
      <c r="F1585" s="1" t="s">
        <v>46</v>
      </c>
      <c r="G1585" s="2" t="s">
        <v>6</v>
      </c>
      <c r="H1585" s="3" t="s">
        <v>84</v>
      </c>
      <c r="I1585" s="3" t="s">
        <v>85</v>
      </c>
      <c r="J1585" s="3" t="s">
        <v>71</v>
      </c>
      <c r="K1585" s="4">
        <v>1554.53</v>
      </c>
      <c r="L1585" s="6">
        <v>90.48</v>
      </c>
    </row>
    <row r="1586" spans="1:12" x14ac:dyDescent="0.25">
      <c r="A1586" s="1">
        <v>1585</v>
      </c>
      <c r="B1586" s="4">
        <v>11429</v>
      </c>
      <c r="C1586" s="5">
        <v>40240</v>
      </c>
      <c r="D1586" s="3" t="s">
        <v>82</v>
      </c>
      <c r="E1586" s="1" t="s">
        <v>639</v>
      </c>
      <c r="F1586" s="1" t="s">
        <v>31</v>
      </c>
      <c r="G1586" s="2" t="s">
        <v>1</v>
      </c>
      <c r="H1586" s="3" t="s">
        <v>97</v>
      </c>
      <c r="I1586" s="3" t="s">
        <v>85</v>
      </c>
      <c r="J1586" s="3" t="s">
        <v>69</v>
      </c>
      <c r="K1586" s="4">
        <v>446.04</v>
      </c>
      <c r="L1586" s="6">
        <v>10.98</v>
      </c>
    </row>
    <row r="1587" spans="1:12" x14ac:dyDescent="0.25">
      <c r="A1587" s="1">
        <v>1586</v>
      </c>
      <c r="B1587" s="4">
        <v>11429</v>
      </c>
      <c r="C1587" s="5">
        <v>40240</v>
      </c>
      <c r="D1587" s="3" t="s">
        <v>82</v>
      </c>
      <c r="E1587" s="1" t="s">
        <v>639</v>
      </c>
      <c r="F1587" s="1" t="s">
        <v>31</v>
      </c>
      <c r="G1587" s="2" t="s">
        <v>1</v>
      </c>
      <c r="H1587" s="3" t="s">
        <v>97</v>
      </c>
      <c r="I1587" s="3" t="s">
        <v>91</v>
      </c>
      <c r="J1587" s="3" t="s">
        <v>60</v>
      </c>
      <c r="K1587" s="4">
        <v>18421.2</v>
      </c>
      <c r="L1587" s="6">
        <v>400.98</v>
      </c>
    </row>
    <row r="1588" spans="1:12" x14ac:dyDescent="0.25">
      <c r="A1588" s="1">
        <v>1587</v>
      </c>
      <c r="B1588" s="4">
        <v>11431</v>
      </c>
      <c r="C1588" s="5">
        <v>41122</v>
      </c>
      <c r="D1588" s="3" t="s">
        <v>89</v>
      </c>
      <c r="E1588" s="1" t="s">
        <v>598</v>
      </c>
      <c r="F1588" s="1" t="s">
        <v>23</v>
      </c>
      <c r="G1588" s="2" t="s">
        <v>3</v>
      </c>
      <c r="H1588" s="3" t="s">
        <v>84</v>
      </c>
      <c r="I1588" s="3" t="s">
        <v>85</v>
      </c>
      <c r="J1588" s="3" t="s">
        <v>66</v>
      </c>
      <c r="K1588" s="4">
        <v>39.68</v>
      </c>
      <c r="L1588" s="6">
        <v>8.01</v>
      </c>
    </row>
    <row r="1589" spans="1:12" x14ac:dyDescent="0.25">
      <c r="A1589" s="1">
        <v>1588</v>
      </c>
      <c r="B1589" s="4">
        <v>11431</v>
      </c>
      <c r="C1589" s="5">
        <v>41122</v>
      </c>
      <c r="D1589" s="3" t="s">
        <v>89</v>
      </c>
      <c r="E1589" s="1" t="s">
        <v>598</v>
      </c>
      <c r="F1589" s="1" t="s">
        <v>23</v>
      </c>
      <c r="G1589" s="2" t="s">
        <v>3</v>
      </c>
      <c r="H1589" s="3" t="s">
        <v>84</v>
      </c>
      <c r="I1589" s="3" t="s">
        <v>92</v>
      </c>
      <c r="J1589" s="3" t="s">
        <v>61</v>
      </c>
      <c r="K1589" s="4">
        <v>1273.2660000000001</v>
      </c>
      <c r="L1589" s="6">
        <v>205.99</v>
      </c>
    </row>
    <row r="1590" spans="1:12" x14ac:dyDescent="0.25">
      <c r="A1590" s="1">
        <v>1589</v>
      </c>
      <c r="B1590" s="4">
        <v>11456</v>
      </c>
      <c r="C1590" s="5">
        <v>40280</v>
      </c>
      <c r="D1590" s="3" t="s">
        <v>82</v>
      </c>
      <c r="E1590" s="1" t="s">
        <v>165</v>
      </c>
      <c r="F1590" s="1" t="s">
        <v>8</v>
      </c>
      <c r="G1590" s="2" t="s">
        <v>6</v>
      </c>
      <c r="H1590" s="3" t="s">
        <v>88</v>
      </c>
      <c r="I1590" s="3" t="s">
        <v>91</v>
      </c>
      <c r="J1590" s="3" t="s">
        <v>59</v>
      </c>
      <c r="K1590" s="4">
        <v>1519.9</v>
      </c>
      <c r="L1590" s="6">
        <v>105.34</v>
      </c>
    </row>
    <row r="1591" spans="1:12" x14ac:dyDescent="0.25">
      <c r="A1591" s="1">
        <v>1590</v>
      </c>
      <c r="B1591" s="4">
        <v>11460</v>
      </c>
      <c r="C1591" s="5">
        <v>40414</v>
      </c>
      <c r="D1591" s="3" t="s">
        <v>89</v>
      </c>
      <c r="E1591" s="1" t="s">
        <v>159</v>
      </c>
      <c r="F1591" s="1" t="s">
        <v>8</v>
      </c>
      <c r="G1591" s="2" t="s">
        <v>6</v>
      </c>
      <c r="H1591" s="3" t="s">
        <v>97</v>
      </c>
      <c r="I1591" s="3" t="s">
        <v>85</v>
      </c>
      <c r="J1591" s="3" t="s">
        <v>65</v>
      </c>
      <c r="K1591" s="4">
        <v>102.24</v>
      </c>
      <c r="L1591" s="6">
        <v>3.69</v>
      </c>
    </row>
    <row r="1592" spans="1:12" x14ac:dyDescent="0.25">
      <c r="A1592" s="1">
        <v>1591</v>
      </c>
      <c r="B1592" s="4">
        <v>11491</v>
      </c>
      <c r="C1592" s="5">
        <v>40407</v>
      </c>
      <c r="D1592" s="3" t="s">
        <v>82</v>
      </c>
      <c r="E1592" s="1" t="s">
        <v>776</v>
      </c>
      <c r="F1592" s="1" t="s">
        <v>13</v>
      </c>
      <c r="G1592" s="2" t="s">
        <v>6</v>
      </c>
      <c r="H1592" s="3" t="s">
        <v>97</v>
      </c>
      <c r="I1592" s="3" t="s">
        <v>92</v>
      </c>
      <c r="J1592" s="3" t="s">
        <v>62</v>
      </c>
      <c r="K1592" s="4">
        <v>165.37</v>
      </c>
      <c r="L1592" s="6">
        <v>6.6</v>
      </c>
    </row>
    <row r="1593" spans="1:12" x14ac:dyDescent="0.25">
      <c r="A1593" s="1">
        <v>1592</v>
      </c>
      <c r="B1593" s="4">
        <v>11491</v>
      </c>
      <c r="C1593" s="5">
        <v>40407</v>
      </c>
      <c r="D1593" s="3" t="s">
        <v>82</v>
      </c>
      <c r="E1593" s="1" t="s">
        <v>776</v>
      </c>
      <c r="F1593" s="1" t="s">
        <v>13</v>
      </c>
      <c r="G1593" s="2" t="s">
        <v>6</v>
      </c>
      <c r="H1593" s="3" t="s">
        <v>97</v>
      </c>
      <c r="I1593" s="3" t="s">
        <v>91</v>
      </c>
      <c r="J1593" s="3" t="s">
        <v>59</v>
      </c>
      <c r="K1593" s="4">
        <v>1785.74</v>
      </c>
      <c r="L1593" s="6">
        <v>48.04</v>
      </c>
    </row>
    <row r="1594" spans="1:12" x14ac:dyDescent="0.25">
      <c r="A1594" s="1">
        <v>1593</v>
      </c>
      <c r="B1594" s="4">
        <v>11493</v>
      </c>
      <c r="C1594" s="5">
        <v>40836</v>
      </c>
      <c r="D1594" s="3" t="s">
        <v>95</v>
      </c>
      <c r="E1594" s="1" t="s">
        <v>564</v>
      </c>
      <c r="F1594" s="1" t="s">
        <v>35</v>
      </c>
      <c r="G1594" s="2" t="s">
        <v>1</v>
      </c>
      <c r="H1594" s="3" t="s">
        <v>84</v>
      </c>
      <c r="I1594" s="3" t="s">
        <v>85</v>
      </c>
      <c r="J1594" s="3" t="s">
        <v>63</v>
      </c>
      <c r="K1594" s="4">
        <v>111.9</v>
      </c>
      <c r="L1594" s="6">
        <v>6.47</v>
      </c>
    </row>
    <row r="1595" spans="1:12" x14ac:dyDescent="0.25">
      <c r="A1595" s="1">
        <v>1594</v>
      </c>
      <c r="B1595" s="4">
        <v>11495</v>
      </c>
      <c r="C1595" s="5">
        <v>40728</v>
      </c>
      <c r="D1595" s="3" t="s">
        <v>89</v>
      </c>
      <c r="E1595" s="1" t="s">
        <v>777</v>
      </c>
      <c r="F1595" s="1" t="s">
        <v>8</v>
      </c>
      <c r="G1595" s="2" t="s">
        <v>6</v>
      </c>
      <c r="H1595" s="3" t="s">
        <v>88</v>
      </c>
      <c r="I1595" s="3" t="s">
        <v>91</v>
      </c>
      <c r="J1595" s="3" t="s">
        <v>60</v>
      </c>
      <c r="K1595" s="4">
        <v>965.69</v>
      </c>
      <c r="L1595" s="6">
        <v>146.34</v>
      </c>
    </row>
    <row r="1596" spans="1:12" x14ac:dyDescent="0.25">
      <c r="A1596" s="1">
        <v>1595</v>
      </c>
      <c r="B1596" s="4">
        <v>11527</v>
      </c>
      <c r="C1596" s="5">
        <v>39996</v>
      </c>
      <c r="D1596" s="3" t="s">
        <v>4</v>
      </c>
      <c r="E1596" s="1" t="s">
        <v>174</v>
      </c>
      <c r="F1596" s="1" t="s">
        <v>15</v>
      </c>
      <c r="G1596" s="2" t="s">
        <v>1</v>
      </c>
      <c r="H1596" s="3" t="s">
        <v>97</v>
      </c>
      <c r="I1596" s="3" t="s">
        <v>91</v>
      </c>
      <c r="J1596" s="3" t="s">
        <v>59</v>
      </c>
      <c r="K1596" s="4">
        <v>4629.67</v>
      </c>
      <c r="L1596" s="6">
        <v>99.23</v>
      </c>
    </row>
    <row r="1597" spans="1:12" x14ac:dyDescent="0.25">
      <c r="A1597" s="1">
        <v>1596</v>
      </c>
      <c r="B1597" s="4">
        <v>11553</v>
      </c>
      <c r="C1597" s="5">
        <v>39921</v>
      </c>
      <c r="D1597" s="3" t="s">
        <v>4</v>
      </c>
      <c r="E1597" s="1" t="s">
        <v>226</v>
      </c>
      <c r="F1597" s="1" t="s">
        <v>11</v>
      </c>
      <c r="G1597" s="2" t="s">
        <v>6</v>
      </c>
      <c r="H1597" s="3" t="s">
        <v>88</v>
      </c>
      <c r="I1597" s="3" t="s">
        <v>85</v>
      </c>
      <c r="J1597" s="3" t="s">
        <v>57</v>
      </c>
      <c r="K1597" s="4">
        <v>1350.34</v>
      </c>
      <c r="L1597" s="6">
        <v>52.99</v>
      </c>
    </row>
    <row r="1598" spans="1:12" x14ac:dyDescent="0.25">
      <c r="A1598" s="1">
        <v>1597</v>
      </c>
      <c r="B1598" s="4">
        <v>11553</v>
      </c>
      <c r="C1598" s="5">
        <v>39921</v>
      </c>
      <c r="D1598" s="3" t="s">
        <v>4</v>
      </c>
      <c r="E1598" s="1" t="s">
        <v>238</v>
      </c>
      <c r="F1598" s="1" t="s">
        <v>11</v>
      </c>
      <c r="G1598" s="2" t="s">
        <v>6</v>
      </c>
      <c r="H1598" s="3" t="s">
        <v>88</v>
      </c>
      <c r="I1598" s="3" t="s">
        <v>91</v>
      </c>
      <c r="J1598" s="3" t="s">
        <v>68</v>
      </c>
      <c r="K1598" s="4">
        <v>861.26</v>
      </c>
      <c r="L1598" s="6">
        <v>100.98</v>
      </c>
    </row>
    <row r="1599" spans="1:12" x14ac:dyDescent="0.25">
      <c r="A1599" s="1">
        <v>1598</v>
      </c>
      <c r="B1599" s="4">
        <v>11553</v>
      </c>
      <c r="C1599" s="5">
        <v>39921</v>
      </c>
      <c r="D1599" s="3" t="s">
        <v>4</v>
      </c>
      <c r="E1599" s="1" t="s">
        <v>238</v>
      </c>
      <c r="F1599" s="1" t="s">
        <v>11</v>
      </c>
      <c r="G1599" s="2" t="s">
        <v>6</v>
      </c>
      <c r="H1599" s="3" t="s">
        <v>88</v>
      </c>
      <c r="I1599" s="3" t="s">
        <v>92</v>
      </c>
      <c r="J1599" s="3" t="s">
        <v>61</v>
      </c>
      <c r="K1599" s="4">
        <v>1531.4110000000001</v>
      </c>
      <c r="L1599" s="6">
        <v>85.99</v>
      </c>
    </row>
    <row r="1600" spans="1:12" x14ac:dyDescent="0.25">
      <c r="A1600" s="1">
        <v>1599</v>
      </c>
      <c r="B1600" s="4">
        <v>11584</v>
      </c>
      <c r="C1600" s="5">
        <v>40139</v>
      </c>
      <c r="D1600" s="3" t="s">
        <v>4</v>
      </c>
      <c r="E1600" s="1" t="s">
        <v>516</v>
      </c>
      <c r="F1600" s="1" t="s">
        <v>22</v>
      </c>
      <c r="G1600" s="2" t="s">
        <v>6</v>
      </c>
      <c r="H1600" s="3" t="s">
        <v>84</v>
      </c>
      <c r="I1600" s="3" t="s">
        <v>92</v>
      </c>
      <c r="J1600" s="3" t="s">
        <v>61</v>
      </c>
      <c r="K1600" s="4">
        <v>1497.3174999999999</v>
      </c>
      <c r="L1600" s="6">
        <v>35.99</v>
      </c>
    </row>
    <row r="1601" spans="1:12" x14ac:dyDescent="0.25">
      <c r="A1601" s="1">
        <v>1600</v>
      </c>
      <c r="B1601" s="4">
        <v>11585</v>
      </c>
      <c r="C1601" s="5">
        <v>39887</v>
      </c>
      <c r="D1601" s="3" t="s">
        <v>4</v>
      </c>
      <c r="E1601" s="1" t="s">
        <v>108</v>
      </c>
      <c r="F1601" s="1" t="s">
        <v>21</v>
      </c>
      <c r="G1601" s="2" t="s">
        <v>1</v>
      </c>
      <c r="H1601" s="3" t="s">
        <v>100</v>
      </c>
      <c r="I1601" s="3" t="s">
        <v>92</v>
      </c>
      <c r="J1601" s="3" t="s">
        <v>62</v>
      </c>
      <c r="K1601" s="4">
        <v>281.83999999999997</v>
      </c>
      <c r="L1601" s="6">
        <v>17.98</v>
      </c>
    </row>
    <row r="1602" spans="1:12" x14ac:dyDescent="0.25">
      <c r="A1602" s="1">
        <v>1601</v>
      </c>
      <c r="B1602" s="4">
        <v>11585</v>
      </c>
      <c r="C1602" s="5">
        <v>39887</v>
      </c>
      <c r="D1602" s="3" t="s">
        <v>4</v>
      </c>
      <c r="E1602" s="1" t="s">
        <v>778</v>
      </c>
      <c r="F1602" s="1" t="s">
        <v>43</v>
      </c>
      <c r="G1602" s="2" t="s">
        <v>1</v>
      </c>
      <c r="H1602" s="3" t="s">
        <v>100</v>
      </c>
      <c r="I1602" s="3" t="s">
        <v>92</v>
      </c>
      <c r="J1602" s="3" t="s">
        <v>61</v>
      </c>
      <c r="K1602" s="4">
        <v>200.75300000000001</v>
      </c>
      <c r="L1602" s="6">
        <v>125.99</v>
      </c>
    </row>
    <row r="1603" spans="1:12" x14ac:dyDescent="0.25">
      <c r="A1603" s="1">
        <v>1602</v>
      </c>
      <c r="B1603" s="4">
        <v>11648</v>
      </c>
      <c r="C1603" s="5">
        <v>40642</v>
      </c>
      <c r="D1603" s="3" t="s">
        <v>82</v>
      </c>
      <c r="E1603" s="1" t="s">
        <v>155</v>
      </c>
      <c r="F1603" s="1" t="s">
        <v>33</v>
      </c>
      <c r="G1603" s="2" t="s">
        <v>2</v>
      </c>
      <c r="H1603" s="3" t="s">
        <v>88</v>
      </c>
      <c r="I1603" s="3" t="s">
        <v>92</v>
      </c>
      <c r="J1603" s="3" t="s">
        <v>62</v>
      </c>
      <c r="K1603" s="4">
        <v>32.51</v>
      </c>
      <c r="L1603" s="6">
        <v>35.409999999999997</v>
      </c>
    </row>
    <row r="1604" spans="1:12" x14ac:dyDescent="0.25">
      <c r="A1604" s="1">
        <v>1603</v>
      </c>
      <c r="B1604" s="4">
        <v>11648</v>
      </c>
      <c r="C1604" s="5">
        <v>40642</v>
      </c>
      <c r="D1604" s="3" t="s">
        <v>82</v>
      </c>
      <c r="E1604" s="1" t="s">
        <v>155</v>
      </c>
      <c r="F1604" s="1" t="s">
        <v>33</v>
      </c>
      <c r="G1604" s="2" t="s">
        <v>2</v>
      </c>
      <c r="H1604" s="3" t="s">
        <v>88</v>
      </c>
      <c r="I1604" s="3" t="s">
        <v>85</v>
      </c>
      <c r="J1604" s="3" t="s">
        <v>57</v>
      </c>
      <c r="K1604" s="4">
        <v>570.51</v>
      </c>
      <c r="L1604" s="6">
        <v>16.739999999999998</v>
      </c>
    </row>
    <row r="1605" spans="1:12" x14ac:dyDescent="0.25">
      <c r="A1605" s="1">
        <v>1604</v>
      </c>
      <c r="B1605" s="4">
        <v>11650</v>
      </c>
      <c r="C1605" s="5">
        <v>41176</v>
      </c>
      <c r="D1605" s="3" t="s">
        <v>86</v>
      </c>
      <c r="E1605" s="1" t="s">
        <v>779</v>
      </c>
      <c r="F1605" s="1" t="s">
        <v>20</v>
      </c>
      <c r="G1605" s="2" t="s">
        <v>1</v>
      </c>
      <c r="H1605" s="3" t="s">
        <v>97</v>
      </c>
      <c r="I1605" s="3" t="s">
        <v>92</v>
      </c>
      <c r="J1605" s="3" t="s">
        <v>62</v>
      </c>
      <c r="K1605" s="4">
        <v>243.49</v>
      </c>
      <c r="L1605" s="6">
        <v>8.32</v>
      </c>
    </row>
    <row r="1606" spans="1:12" x14ac:dyDescent="0.25">
      <c r="A1606" s="1">
        <v>1605</v>
      </c>
      <c r="B1606" s="4">
        <v>11650</v>
      </c>
      <c r="C1606" s="5">
        <v>41176</v>
      </c>
      <c r="D1606" s="3" t="s">
        <v>86</v>
      </c>
      <c r="E1606" s="1" t="s">
        <v>720</v>
      </c>
      <c r="F1606" s="1" t="s">
        <v>31</v>
      </c>
      <c r="G1606" s="2" t="s">
        <v>1</v>
      </c>
      <c r="H1606" s="3" t="s">
        <v>97</v>
      </c>
      <c r="I1606" s="3" t="s">
        <v>85</v>
      </c>
      <c r="J1606" s="3" t="s">
        <v>63</v>
      </c>
      <c r="K1606" s="4">
        <v>1090.4000000000001</v>
      </c>
      <c r="L1606" s="6">
        <v>40.97</v>
      </c>
    </row>
    <row r="1607" spans="1:12" x14ac:dyDescent="0.25">
      <c r="A1607" s="1">
        <v>1606</v>
      </c>
      <c r="B1607" s="4">
        <v>11651</v>
      </c>
      <c r="C1607" s="5">
        <v>40596</v>
      </c>
      <c r="D1607" s="3" t="s">
        <v>4</v>
      </c>
      <c r="E1607" s="1" t="s">
        <v>780</v>
      </c>
      <c r="F1607" s="1" t="s">
        <v>9</v>
      </c>
      <c r="G1607" s="2" t="s">
        <v>2</v>
      </c>
      <c r="H1607" s="3" t="s">
        <v>84</v>
      </c>
      <c r="I1607" s="3" t="s">
        <v>85</v>
      </c>
      <c r="J1607" s="3" t="s">
        <v>63</v>
      </c>
      <c r="K1607" s="4">
        <v>65.849999999999994</v>
      </c>
      <c r="L1607" s="6">
        <v>3.28</v>
      </c>
    </row>
    <row r="1608" spans="1:12" x14ac:dyDescent="0.25">
      <c r="A1608" s="1">
        <v>1607</v>
      </c>
      <c r="B1608" s="4">
        <v>11652</v>
      </c>
      <c r="C1608" s="5">
        <v>40857</v>
      </c>
      <c r="D1608" s="3" t="s">
        <v>86</v>
      </c>
      <c r="E1608" s="1" t="s">
        <v>645</v>
      </c>
      <c r="F1608" s="1" t="s">
        <v>22</v>
      </c>
      <c r="G1608" s="2" t="s">
        <v>6</v>
      </c>
      <c r="H1608" s="3" t="s">
        <v>97</v>
      </c>
      <c r="I1608" s="3" t="s">
        <v>92</v>
      </c>
      <c r="J1608" s="3" t="s">
        <v>62</v>
      </c>
      <c r="K1608" s="4">
        <v>1154.1400000000001</v>
      </c>
      <c r="L1608" s="6">
        <v>32.979999999999997</v>
      </c>
    </row>
    <row r="1609" spans="1:12" x14ac:dyDescent="0.25">
      <c r="A1609" s="1">
        <v>1608</v>
      </c>
      <c r="B1609" s="4">
        <v>11652</v>
      </c>
      <c r="C1609" s="5">
        <v>40857</v>
      </c>
      <c r="D1609" s="3" t="s">
        <v>86</v>
      </c>
      <c r="E1609" s="1" t="s">
        <v>645</v>
      </c>
      <c r="F1609" s="1" t="s">
        <v>22</v>
      </c>
      <c r="G1609" s="2" t="s">
        <v>6</v>
      </c>
      <c r="H1609" s="3" t="s">
        <v>97</v>
      </c>
      <c r="I1609" s="3" t="s">
        <v>85</v>
      </c>
      <c r="J1609" s="3" t="s">
        <v>66</v>
      </c>
      <c r="K1609" s="4">
        <v>223.82</v>
      </c>
      <c r="L1609" s="6">
        <v>5.98</v>
      </c>
    </row>
    <row r="1610" spans="1:12" x14ac:dyDescent="0.25">
      <c r="A1610" s="1">
        <v>1609</v>
      </c>
      <c r="B1610" s="4">
        <v>11652</v>
      </c>
      <c r="C1610" s="5">
        <v>40857</v>
      </c>
      <c r="D1610" s="3" t="s">
        <v>86</v>
      </c>
      <c r="E1610" s="1" t="s">
        <v>645</v>
      </c>
      <c r="F1610" s="1" t="s">
        <v>22</v>
      </c>
      <c r="G1610" s="2" t="s">
        <v>6</v>
      </c>
      <c r="H1610" s="3" t="s">
        <v>97</v>
      </c>
      <c r="I1610" s="3" t="s">
        <v>92</v>
      </c>
      <c r="J1610" s="3" t="s">
        <v>61</v>
      </c>
      <c r="K1610" s="4">
        <v>61.463500000000003</v>
      </c>
      <c r="L1610" s="6">
        <v>65.989999999999995</v>
      </c>
    </row>
    <row r="1611" spans="1:12" x14ac:dyDescent="0.25">
      <c r="A1611" s="1">
        <v>1610</v>
      </c>
      <c r="B1611" s="4">
        <v>11652</v>
      </c>
      <c r="C1611" s="5">
        <v>40857</v>
      </c>
      <c r="D1611" s="3" t="s">
        <v>86</v>
      </c>
      <c r="E1611" s="1" t="s">
        <v>651</v>
      </c>
      <c r="F1611" s="1" t="s">
        <v>22</v>
      </c>
      <c r="G1611" s="2" t="s">
        <v>6</v>
      </c>
      <c r="H1611" s="3" t="s">
        <v>97</v>
      </c>
      <c r="I1611" s="3" t="s">
        <v>85</v>
      </c>
      <c r="J1611" s="3" t="s">
        <v>66</v>
      </c>
      <c r="K1611" s="4">
        <v>122.09</v>
      </c>
      <c r="L1611" s="6">
        <v>5.18</v>
      </c>
    </row>
    <row r="1612" spans="1:12" x14ac:dyDescent="0.25">
      <c r="A1612" s="1">
        <v>1611</v>
      </c>
      <c r="B1612" s="4">
        <v>11680</v>
      </c>
      <c r="C1612" s="5">
        <v>40060</v>
      </c>
      <c r="D1612" s="3" t="s">
        <v>4</v>
      </c>
      <c r="E1612" s="1" t="s">
        <v>257</v>
      </c>
      <c r="F1612" s="1" t="s">
        <v>24</v>
      </c>
      <c r="G1612" s="2" t="s">
        <v>2</v>
      </c>
      <c r="H1612" s="3" t="s">
        <v>88</v>
      </c>
      <c r="I1612" s="3" t="s">
        <v>92</v>
      </c>
      <c r="J1612" s="3" t="s">
        <v>61</v>
      </c>
      <c r="K1612" s="4">
        <v>7312.0314999999991</v>
      </c>
      <c r="L1612" s="6">
        <v>175.99</v>
      </c>
    </row>
    <row r="1613" spans="1:12" x14ac:dyDescent="0.25">
      <c r="A1613" s="1">
        <v>1612</v>
      </c>
      <c r="B1613" s="4">
        <v>11682</v>
      </c>
      <c r="C1613" s="5">
        <v>40363</v>
      </c>
      <c r="D1613" s="3" t="s">
        <v>82</v>
      </c>
      <c r="E1613" s="1" t="s">
        <v>410</v>
      </c>
      <c r="F1613" s="1" t="s">
        <v>24</v>
      </c>
      <c r="G1613" s="2" t="s">
        <v>2</v>
      </c>
      <c r="H1613" s="3" t="s">
        <v>97</v>
      </c>
      <c r="I1613" s="3" t="s">
        <v>92</v>
      </c>
      <c r="J1613" s="3" t="s">
        <v>62</v>
      </c>
      <c r="K1613" s="4">
        <v>102.18</v>
      </c>
      <c r="L1613" s="6">
        <v>19.98</v>
      </c>
    </row>
    <row r="1614" spans="1:12" x14ac:dyDescent="0.25">
      <c r="A1614" s="1">
        <v>1613</v>
      </c>
      <c r="B1614" s="4">
        <v>11683</v>
      </c>
      <c r="C1614" s="5">
        <v>40946</v>
      </c>
      <c r="D1614" s="3" t="s">
        <v>86</v>
      </c>
      <c r="E1614" s="1" t="s">
        <v>102</v>
      </c>
      <c r="F1614" s="1" t="s">
        <v>15</v>
      </c>
      <c r="G1614" s="2" t="s">
        <v>1</v>
      </c>
      <c r="H1614" s="3" t="s">
        <v>88</v>
      </c>
      <c r="I1614" s="3" t="s">
        <v>92</v>
      </c>
      <c r="J1614" s="3" t="s">
        <v>61</v>
      </c>
      <c r="K1614" s="4">
        <v>1650.4110000000001</v>
      </c>
      <c r="L1614" s="6">
        <v>65.989999999999995</v>
      </c>
    </row>
    <row r="1615" spans="1:12" x14ac:dyDescent="0.25">
      <c r="A1615" s="1">
        <v>1614</v>
      </c>
      <c r="B1615" s="4">
        <v>11684</v>
      </c>
      <c r="C1615" s="5">
        <v>41117</v>
      </c>
      <c r="D1615" s="3" t="s">
        <v>89</v>
      </c>
      <c r="E1615" s="1" t="s">
        <v>183</v>
      </c>
      <c r="F1615" s="1" t="s">
        <v>35</v>
      </c>
      <c r="G1615" s="2" t="s">
        <v>1</v>
      </c>
      <c r="H1615" s="3" t="s">
        <v>100</v>
      </c>
      <c r="I1615" s="3" t="s">
        <v>91</v>
      </c>
      <c r="J1615" s="3" t="s">
        <v>72</v>
      </c>
      <c r="K1615" s="4">
        <v>1173.5</v>
      </c>
      <c r="L1615" s="6">
        <v>140.81</v>
      </c>
    </row>
    <row r="1616" spans="1:12" x14ac:dyDescent="0.25">
      <c r="A1616" s="1">
        <v>1615</v>
      </c>
      <c r="B1616" s="4">
        <v>11686</v>
      </c>
      <c r="C1616" s="5">
        <v>39840</v>
      </c>
      <c r="D1616" s="3" t="s">
        <v>86</v>
      </c>
      <c r="E1616" s="1" t="s">
        <v>499</v>
      </c>
      <c r="F1616" s="1" t="s">
        <v>22</v>
      </c>
      <c r="G1616" s="2" t="s">
        <v>6</v>
      </c>
      <c r="H1616" s="3" t="s">
        <v>97</v>
      </c>
      <c r="I1616" s="3" t="s">
        <v>92</v>
      </c>
      <c r="J1616" s="3" t="s">
        <v>61</v>
      </c>
      <c r="K1616" s="4">
        <v>6121.1984999999995</v>
      </c>
      <c r="L1616" s="6">
        <v>205.99</v>
      </c>
    </row>
    <row r="1617" spans="1:12" x14ac:dyDescent="0.25">
      <c r="A1617" s="1">
        <v>1616</v>
      </c>
      <c r="B1617" s="4">
        <v>11687</v>
      </c>
      <c r="C1617" s="5">
        <v>40902</v>
      </c>
      <c r="D1617" s="3" t="s">
        <v>89</v>
      </c>
      <c r="E1617" s="1" t="s">
        <v>246</v>
      </c>
      <c r="F1617" s="1" t="s">
        <v>27</v>
      </c>
      <c r="G1617" s="2" t="s">
        <v>1</v>
      </c>
      <c r="H1617" s="3" t="s">
        <v>97</v>
      </c>
      <c r="I1617" s="3" t="s">
        <v>85</v>
      </c>
      <c r="J1617" s="3" t="s">
        <v>66</v>
      </c>
      <c r="K1617" s="4">
        <v>188.93</v>
      </c>
      <c r="L1617" s="6">
        <v>7.28</v>
      </c>
    </row>
    <row r="1618" spans="1:12" x14ac:dyDescent="0.25">
      <c r="A1618" s="1">
        <v>1617</v>
      </c>
      <c r="B1618" s="4">
        <v>11712</v>
      </c>
      <c r="C1618" s="5">
        <v>39929</v>
      </c>
      <c r="D1618" s="3" t="s">
        <v>82</v>
      </c>
      <c r="E1618" s="1" t="s">
        <v>220</v>
      </c>
      <c r="F1618" s="1" t="s">
        <v>47</v>
      </c>
      <c r="G1618" s="2" t="s">
        <v>2</v>
      </c>
      <c r="H1618" s="3" t="s">
        <v>100</v>
      </c>
      <c r="I1618" s="3" t="s">
        <v>85</v>
      </c>
      <c r="J1618" s="3" t="s">
        <v>63</v>
      </c>
      <c r="K1618" s="4">
        <v>38.96</v>
      </c>
      <c r="L1618" s="6">
        <v>4.28</v>
      </c>
    </row>
    <row r="1619" spans="1:12" x14ac:dyDescent="0.25">
      <c r="A1619" s="1">
        <v>1618</v>
      </c>
      <c r="B1619" s="4">
        <v>11714</v>
      </c>
      <c r="C1619" s="5">
        <v>40029</v>
      </c>
      <c r="D1619" s="3" t="s">
        <v>95</v>
      </c>
      <c r="E1619" s="1" t="s">
        <v>446</v>
      </c>
      <c r="F1619" s="1" t="s">
        <v>24</v>
      </c>
      <c r="G1619" s="2" t="s">
        <v>2</v>
      </c>
      <c r="H1619" s="3" t="s">
        <v>88</v>
      </c>
      <c r="I1619" s="3" t="s">
        <v>92</v>
      </c>
      <c r="J1619" s="3" t="s">
        <v>67</v>
      </c>
      <c r="K1619" s="4">
        <v>3501.79</v>
      </c>
      <c r="L1619" s="6">
        <v>3502.14</v>
      </c>
    </row>
    <row r="1620" spans="1:12" x14ac:dyDescent="0.25">
      <c r="A1620" s="1">
        <v>1619</v>
      </c>
      <c r="B1620" s="4">
        <v>11714</v>
      </c>
      <c r="C1620" s="5">
        <v>40029</v>
      </c>
      <c r="D1620" s="3" t="s">
        <v>95</v>
      </c>
      <c r="E1620" s="1" t="s">
        <v>446</v>
      </c>
      <c r="F1620" s="1" t="s">
        <v>24</v>
      </c>
      <c r="G1620" s="2" t="s">
        <v>2</v>
      </c>
      <c r="H1620" s="3" t="s">
        <v>88</v>
      </c>
      <c r="I1620" s="3" t="s">
        <v>85</v>
      </c>
      <c r="J1620" s="3" t="s">
        <v>58</v>
      </c>
      <c r="K1620" s="4">
        <v>141.83000000000001</v>
      </c>
      <c r="L1620" s="6">
        <v>15.73</v>
      </c>
    </row>
    <row r="1621" spans="1:12" x14ac:dyDescent="0.25">
      <c r="A1621" s="1">
        <v>1620</v>
      </c>
      <c r="B1621" s="4">
        <v>11719</v>
      </c>
      <c r="C1621" s="5">
        <v>40579</v>
      </c>
      <c r="D1621" s="3" t="s">
        <v>86</v>
      </c>
      <c r="E1621" s="1" t="s">
        <v>781</v>
      </c>
      <c r="F1621" s="1" t="s">
        <v>16</v>
      </c>
      <c r="G1621" s="2" t="s">
        <v>3</v>
      </c>
      <c r="H1621" s="3" t="s">
        <v>97</v>
      </c>
      <c r="I1621" s="3" t="s">
        <v>92</v>
      </c>
      <c r="J1621" s="3" t="s">
        <v>67</v>
      </c>
      <c r="K1621" s="4">
        <v>1566.8</v>
      </c>
      <c r="L1621" s="6">
        <v>500.97</v>
      </c>
    </row>
    <row r="1622" spans="1:12" x14ac:dyDescent="0.25">
      <c r="A1622" s="1">
        <v>1621</v>
      </c>
      <c r="B1622" s="4">
        <v>11719</v>
      </c>
      <c r="C1622" s="5">
        <v>40579</v>
      </c>
      <c r="D1622" s="3" t="s">
        <v>86</v>
      </c>
      <c r="E1622" s="1" t="s">
        <v>781</v>
      </c>
      <c r="F1622" s="1" t="s">
        <v>16</v>
      </c>
      <c r="G1622" s="2" t="s">
        <v>3</v>
      </c>
      <c r="H1622" s="3" t="s">
        <v>97</v>
      </c>
      <c r="I1622" s="3" t="s">
        <v>85</v>
      </c>
      <c r="J1622" s="3" t="s">
        <v>63</v>
      </c>
      <c r="K1622" s="4">
        <v>616.01</v>
      </c>
      <c r="L1622" s="6">
        <v>21.38</v>
      </c>
    </row>
    <row r="1623" spans="1:12" x14ac:dyDescent="0.25">
      <c r="A1623" s="1">
        <v>1622</v>
      </c>
      <c r="B1623" s="4">
        <v>11719</v>
      </c>
      <c r="C1623" s="5">
        <v>40579</v>
      </c>
      <c r="D1623" s="3" t="s">
        <v>86</v>
      </c>
      <c r="E1623" s="1" t="s">
        <v>781</v>
      </c>
      <c r="F1623" s="1" t="s">
        <v>16</v>
      </c>
      <c r="G1623" s="2" t="s">
        <v>3</v>
      </c>
      <c r="H1623" s="3" t="s">
        <v>97</v>
      </c>
      <c r="I1623" s="3" t="s">
        <v>92</v>
      </c>
      <c r="J1623" s="3" t="s">
        <v>61</v>
      </c>
      <c r="K1623" s="4">
        <v>438.60849999999999</v>
      </c>
      <c r="L1623" s="6">
        <v>28.99</v>
      </c>
    </row>
    <row r="1624" spans="1:12" x14ac:dyDescent="0.25">
      <c r="A1624" s="1">
        <v>1623</v>
      </c>
      <c r="B1624" s="4">
        <v>11745</v>
      </c>
      <c r="C1624" s="5">
        <v>41109</v>
      </c>
      <c r="D1624" s="3" t="s">
        <v>89</v>
      </c>
      <c r="E1624" s="1" t="s">
        <v>782</v>
      </c>
      <c r="F1624" s="1" t="s">
        <v>30</v>
      </c>
      <c r="G1624" s="2" t="s">
        <v>6</v>
      </c>
      <c r="H1624" s="3" t="s">
        <v>97</v>
      </c>
      <c r="I1624" s="3" t="s">
        <v>92</v>
      </c>
      <c r="J1624" s="3" t="s">
        <v>62</v>
      </c>
      <c r="K1624" s="4">
        <v>686.27</v>
      </c>
      <c r="L1624" s="6">
        <v>40.479999999999997</v>
      </c>
    </row>
    <row r="1625" spans="1:12" x14ac:dyDescent="0.25">
      <c r="A1625" s="1">
        <v>1624</v>
      </c>
      <c r="B1625" s="4">
        <v>11747</v>
      </c>
      <c r="C1625" s="5">
        <v>40234</v>
      </c>
      <c r="D1625" s="3" t="s">
        <v>4</v>
      </c>
      <c r="E1625" s="1" t="s">
        <v>366</v>
      </c>
      <c r="F1625" s="1" t="s">
        <v>50</v>
      </c>
      <c r="G1625" s="2" t="s">
        <v>1</v>
      </c>
      <c r="H1625" s="3" t="s">
        <v>100</v>
      </c>
      <c r="I1625" s="3" t="s">
        <v>92</v>
      </c>
      <c r="J1625" s="3" t="s">
        <v>67</v>
      </c>
      <c r="K1625" s="4">
        <v>315.27999999999997</v>
      </c>
      <c r="L1625" s="6">
        <v>99.99</v>
      </c>
    </row>
    <row r="1626" spans="1:12" x14ac:dyDescent="0.25">
      <c r="A1626" s="1">
        <v>1625</v>
      </c>
      <c r="B1626" s="4">
        <v>11748</v>
      </c>
      <c r="C1626" s="5">
        <v>39967</v>
      </c>
      <c r="D1626" s="3" t="s">
        <v>86</v>
      </c>
      <c r="E1626" s="1" t="s">
        <v>446</v>
      </c>
      <c r="F1626" s="1" t="s">
        <v>24</v>
      </c>
      <c r="G1626" s="2" t="s">
        <v>2</v>
      </c>
      <c r="H1626" s="3" t="s">
        <v>88</v>
      </c>
      <c r="I1626" s="3" t="s">
        <v>91</v>
      </c>
      <c r="J1626" s="3" t="s">
        <v>60</v>
      </c>
      <c r="K1626" s="4">
        <v>3503.12</v>
      </c>
      <c r="L1626" s="6">
        <v>145.97999999999999</v>
      </c>
    </row>
    <row r="1627" spans="1:12" x14ac:dyDescent="0.25">
      <c r="A1627" s="1">
        <v>1626</v>
      </c>
      <c r="B1627" s="4">
        <v>11776</v>
      </c>
      <c r="C1627" s="5">
        <v>40963</v>
      </c>
      <c r="D1627" s="3" t="s">
        <v>82</v>
      </c>
      <c r="E1627" s="1" t="s">
        <v>634</v>
      </c>
      <c r="F1627" s="1" t="s">
        <v>11</v>
      </c>
      <c r="G1627" s="2" t="s">
        <v>6</v>
      </c>
      <c r="H1627" s="3" t="s">
        <v>84</v>
      </c>
      <c r="I1627" s="3" t="s">
        <v>85</v>
      </c>
      <c r="J1627" s="3" t="s">
        <v>64</v>
      </c>
      <c r="K1627" s="4">
        <v>57.24</v>
      </c>
      <c r="L1627" s="6">
        <v>1.26</v>
      </c>
    </row>
    <row r="1628" spans="1:12" x14ac:dyDescent="0.25">
      <c r="A1628" s="1">
        <v>1627</v>
      </c>
      <c r="B1628" s="4">
        <v>11777</v>
      </c>
      <c r="C1628" s="5">
        <v>40172</v>
      </c>
      <c r="D1628" s="3" t="s">
        <v>82</v>
      </c>
      <c r="E1628" s="1" t="s">
        <v>714</v>
      </c>
      <c r="F1628" s="1" t="s">
        <v>52</v>
      </c>
      <c r="G1628" s="2" t="s">
        <v>3</v>
      </c>
      <c r="H1628" s="3" t="s">
        <v>100</v>
      </c>
      <c r="I1628" s="3" t="s">
        <v>85</v>
      </c>
      <c r="J1628" s="3" t="s">
        <v>57</v>
      </c>
      <c r="K1628" s="4">
        <v>651.45000000000005</v>
      </c>
      <c r="L1628" s="6">
        <v>17.7</v>
      </c>
    </row>
    <row r="1629" spans="1:12" x14ac:dyDescent="0.25">
      <c r="A1629" s="1">
        <v>1628</v>
      </c>
      <c r="B1629" s="4">
        <v>11779</v>
      </c>
      <c r="C1629" s="5">
        <v>40358</v>
      </c>
      <c r="D1629" s="3" t="s">
        <v>86</v>
      </c>
      <c r="E1629" s="1" t="s">
        <v>783</v>
      </c>
      <c r="F1629" s="1" t="s">
        <v>20</v>
      </c>
      <c r="G1629" s="2" t="s">
        <v>1</v>
      </c>
      <c r="H1629" s="3" t="s">
        <v>100</v>
      </c>
      <c r="I1629" s="3" t="s">
        <v>85</v>
      </c>
      <c r="J1629" s="3" t="s">
        <v>66</v>
      </c>
      <c r="K1629" s="4">
        <v>311.10000000000002</v>
      </c>
      <c r="L1629" s="6">
        <v>6.88</v>
      </c>
    </row>
    <row r="1630" spans="1:12" x14ac:dyDescent="0.25">
      <c r="A1630" s="1">
        <v>1629</v>
      </c>
      <c r="B1630" s="4">
        <v>11779</v>
      </c>
      <c r="C1630" s="5">
        <v>40358</v>
      </c>
      <c r="D1630" s="3" t="s">
        <v>86</v>
      </c>
      <c r="E1630" s="1" t="s">
        <v>784</v>
      </c>
      <c r="F1630" s="1" t="s">
        <v>20</v>
      </c>
      <c r="G1630" s="2" t="s">
        <v>1</v>
      </c>
      <c r="H1630" s="3" t="s">
        <v>100</v>
      </c>
      <c r="I1630" s="3" t="s">
        <v>92</v>
      </c>
      <c r="J1630" s="3" t="s">
        <v>62</v>
      </c>
      <c r="K1630" s="4">
        <v>452.93</v>
      </c>
      <c r="L1630" s="6">
        <v>10.97</v>
      </c>
    </row>
    <row r="1631" spans="1:12" x14ac:dyDescent="0.25">
      <c r="A1631" s="1">
        <v>1630</v>
      </c>
      <c r="B1631" s="4">
        <v>11780</v>
      </c>
      <c r="C1631" s="5">
        <v>40442</v>
      </c>
      <c r="D1631" s="3" t="s">
        <v>95</v>
      </c>
      <c r="E1631" s="1" t="s">
        <v>402</v>
      </c>
      <c r="F1631" s="1" t="s">
        <v>24</v>
      </c>
      <c r="G1631" s="2" t="s">
        <v>2</v>
      </c>
      <c r="H1631" s="3" t="s">
        <v>84</v>
      </c>
      <c r="I1631" s="3" t="s">
        <v>85</v>
      </c>
      <c r="J1631" s="3" t="s">
        <v>66</v>
      </c>
      <c r="K1631" s="4">
        <v>54.23</v>
      </c>
      <c r="L1631" s="6">
        <v>7.28</v>
      </c>
    </row>
    <row r="1632" spans="1:12" x14ac:dyDescent="0.25">
      <c r="A1632" s="1">
        <v>1631</v>
      </c>
      <c r="B1632" s="4">
        <v>11782</v>
      </c>
      <c r="C1632" s="5">
        <v>41118</v>
      </c>
      <c r="D1632" s="3" t="s">
        <v>82</v>
      </c>
      <c r="E1632" s="1" t="s">
        <v>785</v>
      </c>
      <c r="F1632" s="1" t="s">
        <v>11</v>
      </c>
      <c r="G1632" s="2" t="s">
        <v>6</v>
      </c>
      <c r="H1632" s="3" t="s">
        <v>88</v>
      </c>
      <c r="I1632" s="3" t="s">
        <v>85</v>
      </c>
      <c r="J1632" s="3" t="s">
        <v>66</v>
      </c>
      <c r="K1632" s="4">
        <v>247.21</v>
      </c>
      <c r="L1632" s="6">
        <v>4.9800000000000004</v>
      </c>
    </row>
    <row r="1633" spans="1:12" x14ac:dyDescent="0.25">
      <c r="A1633" s="1">
        <v>1632</v>
      </c>
      <c r="B1633" s="4">
        <v>11782</v>
      </c>
      <c r="C1633" s="5">
        <v>41118</v>
      </c>
      <c r="D1633" s="3" t="s">
        <v>82</v>
      </c>
      <c r="E1633" s="1" t="s">
        <v>785</v>
      </c>
      <c r="F1633" s="1" t="s">
        <v>11</v>
      </c>
      <c r="G1633" s="2" t="s">
        <v>6</v>
      </c>
      <c r="H1633" s="3" t="s">
        <v>88</v>
      </c>
      <c r="I1633" s="3" t="s">
        <v>92</v>
      </c>
      <c r="J1633" s="3" t="s">
        <v>61</v>
      </c>
      <c r="K1633" s="4">
        <v>1541.7809999999999</v>
      </c>
      <c r="L1633" s="6">
        <v>66.989999999999995</v>
      </c>
    </row>
    <row r="1634" spans="1:12" x14ac:dyDescent="0.25">
      <c r="A1634" s="1">
        <v>1633</v>
      </c>
      <c r="B1634" s="4">
        <v>11808</v>
      </c>
      <c r="C1634" s="5">
        <v>41121</v>
      </c>
      <c r="D1634" s="3" t="s">
        <v>86</v>
      </c>
      <c r="E1634" s="1" t="s">
        <v>141</v>
      </c>
      <c r="F1634" s="1" t="s">
        <v>34</v>
      </c>
      <c r="G1634" s="2" t="s">
        <v>1</v>
      </c>
      <c r="H1634" s="3" t="s">
        <v>88</v>
      </c>
      <c r="I1634" s="3" t="s">
        <v>91</v>
      </c>
      <c r="J1634" s="3" t="s">
        <v>60</v>
      </c>
      <c r="K1634" s="4">
        <v>148.34400000000002</v>
      </c>
      <c r="L1634" s="6">
        <v>150.97999999999999</v>
      </c>
    </row>
    <row r="1635" spans="1:12" x14ac:dyDescent="0.25">
      <c r="A1635" s="1">
        <v>1634</v>
      </c>
      <c r="B1635" s="4">
        <v>11815</v>
      </c>
      <c r="C1635" s="5">
        <v>40798</v>
      </c>
      <c r="D1635" s="3" t="s">
        <v>82</v>
      </c>
      <c r="E1635" s="1" t="s">
        <v>786</v>
      </c>
      <c r="F1635" s="1" t="s">
        <v>23</v>
      </c>
      <c r="G1635" s="2" t="s">
        <v>3</v>
      </c>
      <c r="H1635" s="3" t="s">
        <v>100</v>
      </c>
      <c r="I1635" s="3" t="s">
        <v>85</v>
      </c>
      <c r="J1635" s="3" t="s">
        <v>58</v>
      </c>
      <c r="K1635" s="4">
        <v>351.27</v>
      </c>
      <c r="L1635" s="6">
        <v>15.73</v>
      </c>
    </row>
    <row r="1636" spans="1:12" x14ac:dyDescent="0.25">
      <c r="A1636" s="1">
        <v>1635</v>
      </c>
      <c r="B1636" s="4">
        <v>11840</v>
      </c>
      <c r="C1636" s="5">
        <v>40039</v>
      </c>
      <c r="D1636" s="3" t="s">
        <v>95</v>
      </c>
      <c r="E1636" s="1" t="s">
        <v>352</v>
      </c>
      <c r="F1636" s="1" t="s">
        <v>9</v>
      </c>
      <c r="G1636" s="2" t="s">
        <v>2</v>
      </c>
      <c r="H1636" s="3" t="s">
        <v>100</v>
      </c>
      <c r="I1636" s="3" t="s">
        <v>85</v>
      </c>
      <c r="J1636" s="3" t="s">
        <v>71</v>
      </c>
      <c r="K1636" s="4">
        <v>181.5</v>
      </c>
      <c r="L1636" s="6">
        <v>4.4800000000000004</v>
      </c>
    </row>
    <row r="1637" spans="1:12" x14ac:dyDescent="0.25">
      <c r="A1637" s="1">
        <v>1636</v>
      </c>
      <c r="B1637" s="4">
        <v>11841</v>
      </c>
      <c r="C1637" s="5">
        <v>40288</v>
      </c>
      <c r="D1637" s="3" t="s">
        <v>4</v>
      </c>
      <c r="E1637" s="1" t="s">
        <v>787</v>
      </c>
      <c r="F1637" s="1" t="s">
        <v>13</v>
      </c>
      <c r="G1637" s="2" t="s">
        <v>6</v>
      </c>
      <c r="H1637" s="3" t="s">
        <v>88</v>
      </c>
      <c r="I1637" s="3" t="s">
        <v>85</v>
      </c>
      <c r="J1637" s="3" t="s">
        <v>66</v>
      </c>
      <c r="K1637" s="4">
        <v>2339.52</v>
      </c>
      <c r="L1637" s="6">
        <v>54.96</v>
      </c>
    </row>
    <row r="1638" spans="1:12" x14ac:dyDescent="0.25">
      <c r="A1638" s="1">
        <v>1637</v>
      </c>
      <c r="B1638" s="4">
        <v>11841</v>
      </c>
      <c r="C1638" s="5">
        <v>40288</v>
      </c>
      <c r="D1638" s="3" t="s">
        <v>4</v>
      </c>
      <c r="E1638" s="1" t="s">
        <v>787</v>
      </c>
      <c r="F1638" s="1" t="s">
        <v>13</v>
      </c>
      <c r="G1638" s="2" t="s">
        <v>6</v>
      </c>
      <c r="H1638" s="3" t="s">
        <v>88</v>
      </c>
      <c r="I1638" s="3" t="s">
        <v>85</v>
      </c>
      <c r="J1638" s="3" t="s">
        <v>63</v>
      </c>
      <c r="K1638" s="4">
        <v>533.25</v>
      </c>
      <c r="L1638" s="6">
        <v>11.97</v>
      </c>
    </row>
    <row r="1639" spans="1:12" x14ac:dyDescent="0.25">
      <c r="A1639" s="1">
        <v>1638</v>
      </c>
      <c r="B1639" s="4">
        <v>11843</v>
      </c>
      <c r="C1639" s="5">
        <v>40011</v>
      </c>
      <c r="D1639" s="3" t="s">
        <v>4</v>
      </c>
      <c r="E1639" s="1" t="s">
        <v>327</v>
      </c>
      <c r="F1639" s="1" t="s">
        <v>17</v>
      </c>
      <c r="G1639" s="2" t="s">
        <v>2</v>
      </c>
      <c r="H1639" s="3" t="s">
        <v>100</v>
      </c>
      <c r="I1639" s="3" t="s">
        <v>92</v>
      </c>
      <c r="J1639" s="3" t="s">
        <v>67</v>
      </c>
      <c r="K1639" s="4">
        <v>4993.42</v>
      </c>
      <c r="L1639" s="6">
        <v>119.99</v>
      </c>
    </row>
    <row r="1640" spans="1:12" x14ac:dyDescent="0.25">
      <c r="A1640" s="1">
        <v>1639</v>
      </c>
      <c r="B1640" s="4">
        <v>11843</v>
      </c>
      <c r="C1640" s="5">
        <v>40011</v>
      </c>
      <c r="D1640" s="3" t="s">
        <v>4</v>
      </c>
      <c r="E1640" s="1" t="s">
        <v>788</v>
      </c>
      <c r="F1640" s="1" t="s">
        <v>17</v>
      </c>
      <c r="G1640" s="2" t="s">
        <v>2</v>
      </c>
      <c r="H1640" s="3" t="s">
        <v>100</v>
      </c>
      <c r="I1640" s="3" t="s">
        <v>92</v>
      </c>
      <c r="J1640" s="3" t="s">
        <v>62</v>
      </c>
      <c r="K1640" s="4">
        <v>1059.3</v>
      </c>
      <c r="L1640" s="6">
        <v>115.79</v>
      </c>
    </row>
    <row r="1641" spans="1:12" x14ac:dyDescent="0.25">
      <c r="A1641" s="1">
        <v>1640</v>
      </c>
      <c r="B1641" s="4">
        <v>11846</v>
      </c>
      <c r="C1641" s="5">
        <v>40288</v>
      </c>
      <c r="D1641" s="3" t="s">
        <v>82</v>
      </c>
      <c r="E1641" s="1" t="s">
        <v>789</v>
      </c>
      <c r="F1641" s="1" t="s">
        <v>55</v>
      </c>
      <c r="G1641" s="2" t="s">
        <v>2</v>
      </c>
      <c r="H1641" s="3" t="s">
        <v>88</v>
      </c>
      <c r="I1641" s="3" t="s">
        <v>92</v>
      </c>
      <c r="J1641" s="3" t="s">
        <v>62</v>
      </c>
      <c r="K1641" s="4">
        <v>7319.85</v>
      </c>
      <c r="L1641" s="6">
        <v>152.47999999999999</v>
      </c>
    </row>
    <row r="1642" spans="1:12" x14ac:dyDescent="0.25">
      <c r="A1642" s="1">
        <v>1641</v>
      </c>
      <c r="B1642" s="4">
        <v>11846</v>
      </c>
      <c r="C1642" s="5">
        <v>40288</v>
      </c>
      <c r="D1642" s="3" t="s">
        <v>82</v>
      </c>
      <c r="E1642" s="1" t="s">
        <v>789</v>
      </c>
      <c r="F1642" s="1" t="s">
        <v>55</v>
      </c>
      <c r="G1642" s="2" t="s">
        <v>2</v>
      </c>
      <c r="H1642" s="3" t="s">
        <v>88</v>
      </c>
      <c r="I1642" s="3" t="s">
        <v>85</v>
      </c>
      <c r="J1642" s="3" t="s">
        <v>57</v>
      </c>
      <c r="K1642" s="4">
        <v>707.44</v>
      </c>
      <c r="L1642" s="6">
        <v>24.98</v>
      </c>
    </row>
    <row r="1643" spans="1:12" x14ac:dyDescent="0.25">
      <c r="A1643" s="1">
        <v>1642</v>
      </c>
      <c r="B1643" s="4">
        <v>11874</v>
      </c>
      <c r="C1643" s="5">
        <v>41161</v>
      </c>
      <c r="D1643" s="3" t="s">
        <v>4</v>
      </c>
      <c r="E1643" s="1" t="s">
        <v>141</v>
      </c>
      <c r="F1643" s="1" t="s">
        <v>34</v>
      </c>
      <c r="G1643" s="2" t="s">
        <v>1</v>
      </c>
      <c r="H1643" s="3" t="s">
        <v>88</v>
      </c>
      <c r="I1643" s="3" t="s">
        <v>92</v>
      </c>
      <c r="J1643" s="3" t="s">
        <v>62</v>
      </c>
      <c r="K1643" s="4">
        <v>40.29</v>
      </c>
      <c r="L1643" s="6">
        <v>30.42</v>
      </c>
    </row>
    <row r="1644" spans="1:12" x14ac:dyDescent="0.25">
      <c r="A1644" s="1">
        <v>1643</v>
      </c>
      <c r="B1644" s="4">
        <v>11874</v>
      </c>
      <c r="C1644" s="5">
        <v>41161</v>
      </c>
      <c r="D1644" s="3" t="s">
        <v>4</v>
      </c>
      <c r="E1644" s="1" t="s">
        <v>141</v>
      </c>
      <c r="F1644" s="1" t="s">
        <v>34</v>
      </c>
      <c r="G1644" s="2" t="s">
        <v>1</v>
      </c>
      <c r="H1644" s="3" t="s">
        <v>88</v>
      </c>
      <c r="I1644" s="3" t="s">
        <v>85</v>
      </c>
      <c r="J1644" s="3" t="s">
        <v>71</v>
      </c>
      <c r="K1644" s="4">
        <v>775.77</v>
      </c>
      <c r="L1644" s="6">
        <v>39.979999999999997</v>
      </c>
    </row>
    <row r="1645" spans="1:12" x14ac:dyDescent="0.25">
      <c r="A1645" s="1">
        <v>1644</v>
      </c>
      <c r="B1645" s="4">
        <v>11875</v>
      </c>
      <c r="C1645" s="5">
        <v>41141</v>
      </c>
      <c r="D1645" s="3" t="s">
        <v>4</v>
      </c>
      <c r="E1645" s="1" t="s">
        <v>348</v>
      </c>
      <c r="F1645" s="1" t="s">
        <v>30</v>
      </c>
      <c r="G1645" s="2" t="s">
        <v>6</v>
      </c>
      <c r="H1645" s="3" t="s">
        <v>84</v>
      </c>
      <c r="I1645" s="3" t="s">
        <v>85</v>
      </c>
      <c r="J1645" s="3" t="s">
        <v>57</v>
      </c>
      <c r="K1645" s="4">
        <v>242.63</v>
      </c>
      <c r="L1645" s="6">
        <v>12.44</v>
      </c>
    </row>
    <row r="1646" spans="1:12" x14ac:dyDescent="0.25">
      <c r="A1646" s="1">
        <v>1645</v>
      </c>
      <c r="B1646" s="4">
        <v>11876</v>
      </c>
      <c r="C1646" s="5">
        <v>40727</v>
      </c>
      <c r="D1646" s="3" t="s">
        <v>89</v>
      </c>
      <c r="E1646" s="1" t="s">
        <v>518</v>
      </c>
      <c r="F1646" s="1" t="s">
        <v>18</v>
      </c>
      <c r="G1646" s="2" t="s">
        <v>6</v>
      </c>
      <c r="H1646" s="3" t="s">
        <v>97</v>
      </c>
      <c r="I1646" s="3" t="s">
        <v>91</v>
      </c>
      <c r="J1646" s="3" t="s">
        <v>59</v>
      </c>
      <c r="K1646" s="4">
        <v>5051.8900000000003</v>
      </c>
      <c r="L1646" s="6">
        <v>107.53</v>
      </c>
    </row>
    <row r="1647" spans="1:12" x14ac:dyDescent="0.25">
      <c r="A1647" s="1">
        <v>1646</v>
      </c>
      <c r="B1647" s="4">
        <v>11877</v>
      </c>
      <c r="C1647" s="5">
        <v>40321</v>
      </c>
      <c r="D1647" s="3" t="s">
        <v>86</v>
      </c>
      <c r="E1647" s="1" t="s">
        <v>366</v>
      </c>
      <c r="F1647" s="1" t="s">
        <v>50</v>
      </c>
      <c r="G1647" s="2" t="s">
        <v>1</v>
      </c>
      <c r="H1647" s="3" t="s">
        <v>100</v>
      </c>
      <c r="I1647" s="3" t="s">
        <v>85</v>
      </c>
      <c r="J1647" s="3" t="s">
        <v>69</v>
      </c>
      <c r="K1647" s="4">
        <v>796.14</v>
      </c>
      <c r="L1647" s="6">
        <v>41.94</v>
      </c>
    </row>
    <row r="1648" spans="1:12" x14ac:dyDescent="0.25">
      <c r="A1648" s="1">
        <v>1647</v>
      </c>
      <c r="B1648" s="4">
        <v>11877</v>
      </c>
      <c r="C1648" s="5">
        <v>40321</v>
      </c>
      <c r="D1648" s="3" t="s">
        <v>86</v>
      </c>
      <c r="E1648" s="1" t="s">
        <v>366</v>
      </c>
      <c r="F1648" s="1" t="s">
        <v>50</v>
      </c>
      <c r="G1648" s="2" t="s">
        <v>1</v>
      </c>
      <c r="H1648" s="3" t="s">
        <v>100</v>
      </c>
      <c r="I1648" s="3" t="s">
        <v>85</v>
      </c>
      <c r="J1648" s="3" t="s">
        <v>66</v>
      </c>
      <c r="K1648" s="4">
        <v>142.96</v>
      </c>
      <c r="L1648" s="6">
        <v>4.7300000000000004</v>
      </c>
    </row>
    <row r="1649" spans="1:12" x14ac:dyDescent="0.25">
      <c r="A1649" s="1">
        <v>1648</v>
      </c>
      <c r="B1649" s="4">
        <v>11878</v>
      </c>
      <c r="C1649" s="5">
        <v>40233</v>
      </c>
      <c r="D1649" s="3" t="s">
        <v>86</v>
      </c>
      <c r="E1649" s="1" t="s">
        <v>740</v>
      </c>
      <c r="F1649" s="1" t="s">
        <v>13</v>
      </c>
      <c r="G1649" s="2" t="s">
        <v>6</v>
      </c>
      <c r="H1649" s="3" t="s">
        <v>84</v>
      </c>
      <c r="I1649" s="3" t="s">
        <v>85</v>
      </c>
      <c r="J1649" s="3" t="s">
        <v>65</v>
      </c>
      <c r="K1649" s="4">
        <v>102.06</v>
      </c>
      <c r="L1649" s="6">
        <v>6.3</v>
      </c>
    </row>
    <row r="1650" spans="1:12" x14ac:dyDescent="0.25">
      <c r="A1650" s="1">
        <v>1649</v>
      </c>
      <c r="B1650" s="4">
        <v>11878</v>
      </c>
      <c r="C1650" s="5">
        <v>40233</v>
      </c>
      <c r="D1650" s="3" t="s">
        <v>86</v>
      </c>
      <c r="E1650" s="1" t="s">
        <v>740</v>
      </c>
      <c r="F1650" s="1" t="s">
        <v>13</v>
      </c>
      <c r="G1650" s="2" t="s">
        <v>6</v>
      </c>
      <c r="H1650" s="3" t="s">
        <v>84</v>
      </c>
      <c r="I1650" s="3" t="s">
        <v>85</v>
      </c>
      <c r="J1650" s="3" t="s">
        <v>66</v>
      </c>
      <c r="K1650" s="4">
        <v>101.82</v>
      </c>
      <c r="L1650" s="6">
        <v>6.48</v>
      </c>
    </row>
    <row r="1651" spans="1:12" x14ac:dyDescent="0.25">
      <c r="A1651" s="1">
        <v>1650</v>
      </c>
      <c r="B1651" s="4">
        <v>11907</v>
      </c>
      <c r="C1651" s="5">
        <v>40413</v>
      </c>
      <c r="D1651" s="3" t="s">
        <v>82</v>
      </c>
      <c r="E1651" s="1" t="s">
        <v>782</v>
      </c>
      <c r="F1651" s="1" t="s">
        <v>30</v>
      </c>
      <c r="G1651" s="2" t="s">
        <v>6</v>
      </c>
      <c r="H1651" s="3" t="s">
        <v>97</v>
      </c>
      <c r="I1651" s="3" t="s">
        <v>92</v>
      </c>
      <c r="J1651" s="3" t="s">
        <v>67</v>
      </c>
      <c r="K1651" s="4">
        <v>4729.8500000000004</v>
      </c>
      <c r="L1651" s="6">
        <v>100.97</v>
      </c>
    </row>
    <row r="1652" spans="1:12" x14ac:dyDescent="0.25">
      <c r="A1652" s="1">
        <v>1651</v>
      </c>
      <c r="B1652" s="4">
        <v>11908</v>
      </c>
      <c r="C1652" s="5">
        <v>40323</v>
      </c>
      <c r="D1652" s="3" t="s">
        <v>86</v>
      </c>
      <c r="E1652" s="1" t="s">
        <v>636</v>
      </c>
      <c r="F1652" s="1" t="s">
        <v>16</v>
      </c>
      <c r="G1652" s="2" t="s">
        <v>3</v>
      </c>
      <c r="H1652" s="3" t="s">
        <v>88</v>
      </c>
      <c r="I1652" s="3" t="s">
        <v>91</v>
      </c>
      <c r="J1652" s="3" t="s">
        <v>72</v>
      </c>
      <c r="K1652" s="4">
        <v>1386.6</v>
      </c>
      <c r="L1652" s="6">
        <v>280.98</v>
      </c>
    </row>
    <row r="1653" spans="1:12" x14ac:dyDescent="0.25">
      <c r="A1653" s="1">
        <v>1652</v>
      </c>
      <c r="B1653" s="4">
        <v>11909</v>
      </c>
      <c r="C1653" s="5">
        <v>40141</v>
      </c>
      <c r="D1653" s="3" t="s">
        <v>86</v>
      </c>
      <c r="E1653" s="1" t="s">
        <v>790</v>
      </c>
      <c r="F1653" s="1" t="s">
        <v>9</v>
      </c>
      <c r="G1653" s="2" t="s">
        <v>2</v>
      </c>
      <c r="H1653" s="3" t="s">
        <v>100</v>
      </c>
      <c r="I1653" s="3" t="s">
        <v>92</v>
      </c>
      <c r="J1653" s="3" t="s">
        <v>61</v>
      </c>
      <c r="K1653" s="4">
        <v>194.17400000000001</v>
      </c>
      <c r="L1653" s="6">
        <v>20.99</v>
      </c>
    </row>
    <row r="1654" spans="1:12" x14ac:dyDescent="0.25">
      <c r="A1654" s="1">
        <v>1653</v>
      </c>
      <c r="B1654" s="4">
        <v>11910</v>
      </c>
      <c r="C1654" s="5">
        <v>40709</v>
      </c>
      <c r="D1654" s="3" t="s">
        <v>89</v>
      </c>
      <c r="E1654" s="1" t="s">
        <v>687</v>
      </c>
      <c r="F1654" s="1" t="s">
        <v>9</v>
      </c>
      <c r="G1654" s="2" t="s">
        <v>2</v>
      </c>
      <c r="H1654" s="3" t="s">
        <v>97</v>
      </c>
      <c r="I1654" s="3" t="s">
        <v>85</v>
      </c>
      <c r="J1654" s="3" t="s">
        <v>69</v>
      </c>
      <c r="K1654" s="4">
        <v>49.23</v>
      </c>
      <c r="L1654" s="6">
        <v>1.98</v>
      </c>
    </row>
    <row r="1655" spans="1:12" x14ac:dyDescent="0.25">
      <c r="A1655" s="1">
        <v>1654</v>
      </c>
      <c r="B1655" s="4">
        <v>11911</v>
      </c>
      <c r="C1655" s="5">
        <v>40492</v>
      </c>
      <c r="D1655" s="3" t="s">
        <v>95</v>
      </c>
      <c r="E1655" s="1" t="s">
        <v>791</v>
      </c>
      <c r="F1655" s="1" t="s">
        <v>8</v>
      </c>
      <c r="G1655" s="2" t="s">
        <v>6</v>
      </c>
      <c r="H1655" s="3" t="s">
        <v>100</v>
      </c>
      <c r="I1655" s="3" t="s">
        <v>85</v>
      </c>
      <c r="J1655" s="3" t="s">
        <v>69</v>
      </c>
      <c r="K1655" s="4">
        <v>397.84</v>
      </c>
      <c r="L1655" s="6">
        <v>15.22</v>
      </c>
    </row>
    <row r="1656" spans="1:12" x14ac:dyDescent="0.25">
      <c r="A1656" s="1">
        <v>1655</v>
      </c>
      <c r="B1656" s="4">
        <v>11941</v>
      </c>
      <c r="C1656" s="5">
        <v>40353</v>
      </c>
      <c r="D1656" s="3" t="s">
        <v>95</v>
      </c>
      <c r="E1656" s="1" t="s">
        <v>754</v>
      </c>
      <c r="F1656" s="1" t="s">
        <v>8</v>
      </c>
      <c r="G1656" s="2" t="s">
        <v>6</v>
      </c>
      <c r="H1656" s="3" t="s">
        <v>88</v>
      </c>
      <c r="I1656" s="3" t="s">
        <v>85</v>
      </c>
      <c r="J1656" s="3" t="s">
        <v>57</v>
      </c>
      <c r="K1656" s="4">
        <v>73.069999999999993</v>
      </c>
      <c r="L1656" s="6">
        <v>15.7</v>
      </c>
    </row>
    <row r="1657" spans="1:12" x14ac:dyDescent="0.25">
      <c r="A1657" s="1">
        <v>1656</v>
      </c>
      <c r="B1657" s="4">
        <v>11941</v>
      </c>
      <c r="C1657" s="5">
        <v>40353</v>
      </c>
      <c r="D1657" s="3" t="s">
        <v>95</v>
      </c>
      <c r="E1657" s="1" t="s">
        <v>754</v>
      </c>
      <c r="F1657" s="1" t="s">
        <v>8</v>
      </c>
      <c r="G1657" s="2" t="s">
        <v>6</v>
      </c>
      <c r="H1657" s="3" t="s">
        <v>88</v>
      </c>
      <c r="I1657" s="3" t="s">
        <v>91</v>
      </c>
      <c r="J1657" s="3" t="s">
        <v>60</v>
      </c>
      <c r="K1657" s="4">
        <v>4679.1000000000004</v>
      </c>
      <c r="L1657" s="6">
        <v>179.29</v>
      </c>
    </row>
    <row r="1658" spans="1:12" x14ac:dyDescent="0.25">
      <c r="A1658" s="1">
        <v>1657</v>
      </c>
      <c r="B1658" s="4">
        <v>11943</v>
      </c>
      <c r="C1658" s="5">
        <v>40275</v>
      </c>
      <c r="D1658" s="3" t="s">
        <v>82</v>
      </c>
      <c r="E1658" s="1" t="s">
        <v>790</v>
      </c>
      <c r="F1658" s="1" t="s">
        <v>9</v>
      </c>
      <c r="G1658" s="2" t="s">
        <v>2</v>
      </c>
      <c r="H1658" s="3" t="s">
        <v>100</v>
      </c>
      <c r="I1658" s="3" t="s">
        <v>85</v>
      </c>
      <c r="J1658" s="3" t="s">
        <v>69</v>
      </c>
      <c r="K1658" s="4">
        <v>657.94</v>
      </c>
      <c r="L1658" s="6">
        <v>14.45</v>
      </c>
    </row>
    <row r="1659" spans="1:12" x14ac:dyDescent="0.25">
      <c r="A1659" s="1">
        <v>1658</v>
      </c>
      <c r="B1659" s="4">
        <v>11943</v>
      </c>
      <c r="C1659" s="5">
        <v>40275</v>
      </c>
      <c r="D1659" s="3" t="s">
        <v>82</v>
      </c>
      <c r="E1659" s="1" t="s">
        <v>790</v>
      </c>
      <c r="F1659" s="1" t="s">
        <v>9</v>
      </c>
      <c r="G1659" s="2" t="s">
        <v>2</v>
      </c>
      <c r="H1659" s="3" t="s">
        <v>100</v>
      </c>
      <c r="I1659" s="3" t="s">
        <v>91</v>
      </c>
      <c r="J1659" s="3" t="s">
        <v>72</v>
      </c>
      <c r="K1659" s="4">
        <v>1270.73</v>
      </c>
      <c r="L1659" s="6">
        <v>70.98</v>
      </c>
    </row>
    <row r="1660" spans="1:12" x14ac:dyDescent="0.25">
      <c r="A1660" s="1">
        <v>1659</v>
      </c>
      <c r="B1660" s="4">
        <v>11968</v>
      </c>
      <c r="C1660" s="5">
        <v>40618</v>
      </c>
      <c r="D1660" s="3" t="s">
        <v>82</v>
      </c>
      <c r="E1660" s="1" t="s">
        <v>673</v>
      </c>
      <c r="F1660" s="2" t="s">
        <v>38</v>
      </c>
      <c r="G1660" s="2" t="s">
        <v>6</v>
      </c>
      <c r="H1660" s="3" t="s">
        <v>88</v>
      </c>
      <c r="I1660" s="3" t="s">
        <v>85</v>
      </c>
      <c r="J1660" s="3" t="s">
        <v>63</v>
      </c>
      <c r="K1660" s="4">
        <v>109.49</v>
      </c>
      <c r="L1660" s="6">
        <v>3.38</v>
      </c>
    </row>
    <row r="1661" spans="1:12" x14ac:dyDescent="0.25">
      <c r="A1661" s="1">
        <v>1660</v>
      </c>
      <c r="B1661" s="4">
        <v>11969</v>
      </c>
      <c r="C1661" s="5">
        <v>40927</v>
      </c>
      <c r="D1661" s="3" t="s">
        <v>86</v>
      </c>
      <c r="E1661" s="1" t="s">
        <v>792</v>
      </c>
      <c r="F1661" s="1" t="s">
        <v>25</v>
      </c>
      <c r="G1661" s="2" t="s">
        <v>6</v>
      </c>
      <c r="H1661" s="3" t="s">
        <v>100</v>
      </c>
      <c r="I1661" s="3" t="s">
        <v>85</v>
      </c>
      <c r="J1661" s="3" t="s">
        <v>57</v>
      </c>
      <c r="K1661" s="4">
        <v>1684.96</v>
      </c>
      <c r="L1661" s="6">
        <v>110.98</v>
      </c>
    </row>
    <row r="1662" spans="1:12" x14ac:dyDescent="0.25">
      <c r="A1662" s="1">
        <v>1661</v>
      </c>
      <c r="B1662" s="4">
        <v>11969</v>
      </c>
      <c r="C1662" s="5">
        <v>40927</v>
      </c>
      <c r="D1662" s="3" t="s">
        <v>86</v>
      </c>
      <c r="E1662" s="1" t="s">
        <v>792</v>
      </c>
      <c r="F1662" s="1" t="s">
        <v>25</v>
      </c>
      <c r="G1662" s="2" t="s">
        <v>6</v>
      </c>
      <c r="H1662" s="3" t="s">
        <v>100</v>
      </c>
      <c r="I1662" s="3" t="s">
        <v>91</v>
      </c>
      <c r="J1662" s="3" t="s">
        <v>60</v>
      </c>
      <c r="K1662" s="4">
        <v>1662.048</v>
      </c>
      <c r="L1662" s="6">
        <v>212.6</v>
      </c>
    </row>
    <row r="1663" spans="1:12" x14ac:dyDescent="0.25">
      <c r="A1663" s="1">
        <v>1662</v>
      </c>
      <c r="B1663" s="4">
        <v>11969</v>
      </c>
      <c r="C1663" s="5">
        <v>40927</v>
      </c>
      <c r="D1663" s="3" t="s">
        <v>86</v>
      </c>
      <c r="E1663" s="1" t="s">
        <v>792</v>
      </c>
      <c r="F1663" s="1" t="s">
        <v>25</v>
      </c>
      <c r="G1663" s="2" t="s">
        <v>6</v>
      </c>
      <c r="H1663" s="3" t="s">
        <v>100</v>
      </c>
      <c r="I1663" s="3" t="s">
        <v>91</v>
      </c>
      <c r="J1663" s="3" t="s">
        <v>60</v>
      </c>
      <c r="K1663" s="4">
        <v>11460.76</v>
      </c>
      <c r="L1663" s="6">
        <v>349.45</v>
      </c>
    </row>
    <row r="1664" spans="1:12" x14ac:dyDescent="0.25">
      <c r="A1664" s="1">
        <v>1663</v>
      </c>
      <c r="B1664" s="4">
        <v>11972</v>
      </c>
      <c r="C1664" s="5">
        <v>39816</v>
      </c>
      <c r="D1664" s="3" t="s">
        <v>86</v>
      </c>
      <c r="E1664" s="1" t="s">
        <v>793</v>
      </c>
      <c r="F1664" s="1" t="s">
        <v>33</v>
      </c>
      <c r="G1664" s="2" t="s">
        <v>2</v>
      </c>
      <c r="H1664" s="3" t="s">
        <v>88</v>
      </c>
      <c r="I1664" s="3" t="s">
        <v>92</v>
      </c>
      <c r="J1664" s="3" t="s">
        <v>67</v>
      </c>
      <c r="K1664" s="4">
        <v>896.49</v>
      </c>
      <c r="L1664" s="6">
        <v>213.45</v>
      </c>
    </row>
    <row r="1665" spans="1:12" x14ac:dyDescent="0.25">
      <c r="A1665" s="1">
        <v>1664</v>
      </c>
      <c r="B1665" s="4">
        <v>11975</v>
      </c>
      <c r="C1665" s="5">
        <v>40646</v>
      </c>
      <c r="D1665" s="3" t="s">
        <v>95</v>
      </c>
      <c r="E1665" s="1" t="s">
        <v>794</v>
      </c>
      <c r="F1665" s="1" t="s">
        <v>35</v>
      </c>
      <c r="G1665" s="2" t="s">
        <v>1</v>
      </c>
      <c r="H1665" s="3" t="s">
        <v>97</v>
      </c>
      <c r="I1665" s="3" t="s">
        <v>85</v>
      </c>
      <c r="J1665" s="3" t="s">
        <v>69</v>
      </c>
      <c r="K1665" s="4">
        <v>210.66</v>
      </c>
      <c r="L1665" s="6">
        <v>5.18</v>
      </c>
    </row>
    <row r="1666" spans="1:12" x14ac:dyDescent="0.25">
      <c r="A1666" s="1">
        <v>1665</v>
      </c>
      <c r="B1666" s="4">
        <v>12005</v>
      </c>
      <c r="C1666" s="5">
        <v>41084</v>
      </c>
      <c r="D1666" s="3" t="s">
        <v>86</v>
      </c>
      <c r="E1666" s="1" t="s">
        <v>795</v>
      </c>
      <c r="F1666" s="1" t="s">
        <v>39</v>
      </c>
      <c r="G1666" s="2" t="s">
        <v>1</v>
      </c>
      <c r="H1666" s="3" t="s">
        <v>97</v>
      </c>
      <c r="I1666" s="3" t="s">
        <v>85</v>
      </c>
      <c r="J1666" s="3" t="s">
        <v>57</v>
      </c>
      <c r="K1666" s="4">
        <v>1660.86</v>
      </c>
      <c r="L1666" s="6">
        <v>415.88</v>
      </c>
    </row>
    <row r="1667" spans="1:12" x14ac:dyDescent="0.25">
      <c r="A1667" s="1">
        <v>1666</v>
      </c>
      <c r="B1667" s="4">
        <v>12007</v>
      </c>
      <c r="C1667" s="5">
        <v>40083</v>
      </c>
      <c r="D1667" s="3" t="s">
        <v>86</v>
      </c>
      <c r="E1667" s="1" t="s">
        <v>758</v>
      </c>
      <c r="F1667" s="1" t="s">
        <v>24</v>
      </c>
      <c r="G1667" s="2" t="s">
        <v>2</v>
      </c>
      <c r="H1667" s="3" t="s">
        <v>88</v>
      </c>
      <c r="I1667" s="3" t="s">
        <v>85</v>
      </c>
      <c r="J1667" s="3" t="s">
        <v>65</v>
      </c>
      <c r="K1667" s="4">
        <v>152.26</v>
      </c>
      <c r="L1667" s="6">
        <v>3.69</v>
      </c>
    </row>
    <row r="1668" spans="1:12" x14ac:dyDescent="0.25">
      <c r="A1668" s="1">
        <v>1667</v>
      </c>
      <c r="B1668" s="4">
        <v>12037</v>
      </c>
      <c r="C1668" s="5">
        <v>40724</v>
      </c>
      <c r="D1668" s="3" t="s">
        <v>82</v>
      </c>
      <c r="E1668" s="1" t="s">
        <v>207</v>
      </c>
      <c r="F1668" s="1" t="s">
        <v>42</v>
      </c>
      <c r="G1668" s="2" t="s">
        <v>3</v>
      </c>
      <c r="H1668" s="3" t="s">
        <v>100</v>
      </c>
      <c r="I1668" s="3" t="s">
        <v>85</v>
      </c>
      <c r="J1668" s="3" t="s">
        <v>66</v>
      </c>
      <c r="K1668" s="4">
        <v>135.21</v>
      </c>
      <c r="L1668" s="6">
        <v>9.27</v>
      </c>
    </row>
    <row r="1669" spans="1:12" x14ac:dyDescent="0.25">
      <c r="A1669" s="1">
        <v>1668</v>
      </c>
      <c r="B1669" s="4">
        <v>12039</v>
      </c>
      <c r="C1669" s="5">
        <v>40345</v>
      </c>
      <c r="D1669" s="3" t="s">
        <v>89</v>
      </c>
      <c r="E1669" s="1" t="s">
        <v>617</v>
      </c>
      <c r="F1669" s="1" t="s">
        <v>24</v>
      </c>
      <c r="G1669" s="2" t="s">
        <v>2</v>
      </c>
      <c r="H1669" s="3" t="s">
        <v>88</v>
      </c>
      <c r="I1669" s="3" t="s">
        <v>92</v>
      </c>
      <c r="J1669" s="3" t="s">
        <v>61</v>
      </c>
      <c r="K1669" s="4">
        <v>2048.5679999999998</v>
      </c>
      <c r="L1669" s="6">
        <v>205.99</v>
      </c>
    </row>
    <row r="1670" spans="1:12" x14ac:dyDescent="0.25">
      <c r="A1670" s="1">
        <v>1669</v>
      </c>
      <c r="B1670" s="4">
        <v>12066</v>
      </c>
      <c r="C1670" s="5">
        <v>40580</v>
      </c>
      <c r="D1670" s="3" t="s">
        <v>4</v>
      </c>
      <c r="E1670" s="1" t="s">
        <v>342</v>
      </c>
      <c r="F1670" s="1" t="s">
        <v>24</v>
      </c>
      <c r="G1670" s="2" t="s">
        <v>2</v>
      </c>
      <c r="H1670" s="3" t="s">
        <v>84</v>
      </c>
      <c r="I1670" s="3" t="s">
        <v>92</v>
      </c>
      <c r="J1670" s="3" t="s">
        <v>61</v>
      </c>
      <c r="K1670" s="4">
        <v>4442.049</v>
      </c>
      <c r="L1670" s="6">
        <v>200.99</v>
      </c>
    </row>
    <row r="1671" spans="1:12" x14ac:dyDescent="0.25">
      <c r="A1671" s="1">
        <v>1670</v>
      </c>
      <c r="B1671" s="4">
        <v>12067</v>
      </c>
      <c r="C1671" s="5">
        <v>40213</v>
      </c>
      <c r="D1671" s="3" t="s">
        <v>95</v>
      </c>
      <c r="E1671" s="1" t="s">
        <v>178</v>
      </c>
      <c r="F1671" s="1" t="s">
        <v>19</v>
      </c>
      <c r="G1671" s="2" t="s">
        <v>3</v>
      </c>
      <c r="H1671" s="3" t="s">
        <v>84</v>
      </c>
      <c r="I1671" s="3" t="s">
        <v>85</v>
      </c>
      <c r="J1671" s="3" t="s">
        <v>69</v>
      </c>
      <c r="K1671" s="4">
        <v>271.06</v>
      </c>
      <c r="L1671" s="6">
        <v>5.74</v>
      </c>
    </row>
    <row r="1672" spans="1:12" x14ac:dyDescent="0.25">
      <c r="A1672" s="1">
        <v>1671</v>
      </c>
      <c r="B1672" s="4">
        <v>12067</v>
      </c>
      <c r="C1672" s="5">
        <v>40213</v>
      </c>
      <c r="D1672" s="3" t="s">
        <v>95</v>
      </c>
      <c r="E1672" s="1" t="s">
        <v>178</v>
      </c>
      <c r="F1672" s="1" t="s">
        <v>19</v>
      </c>
      <c r="G1672" s="2" t="s">
        <v>3</v>
      </c>
      <c r="H1672" s="3" t="s">
        <v>84</v>
      </c>
      <c r="I1672" s="3" t="s">
        <v>91</v>
      </c>
      <c r="J1672" s="3" t="s">
        <v>59</v>
      </c>
      <c r="K1672" s="4">
        <v>58.84</v>
      </c>
      <c r="L1672" s="6">
        <v>9.48</v>
      </c>
    </row>
    <row r="1673" spans="1:12" x14ac:dyDescent="0.25">
      <c r="A1673" s="1">
        <v>1672</v>
      </c>
      <c r="B1673" s="4">
        <v>12067</v>
      </c>
      <c r="C1673" s="5">
        <v>40213</v>
      </c>
      <c r="D1673" s="3" t="s">
        <v>95</v>
      </c>
      <c r="E1673" s="1" t="s">
        <v>178</v>
      </c>
      <c r="F1673" s="1" t="s">
        <v>19</v>
      </c>
      <c r="G1673" s="2" t="s">
        <v>3</v>
      </c>
      <c r="H1673" s="3" t="s">
        <v>84</v>
      </c>
      <c r="I1673" s="3" t="s">
        <v>91</v>
      </c>
      <c r="J1673" s="3" t="s">
        <v>59</v>
      </c>
      <c r="K1673" s="4">
        <v>1211.72</v>
      </c>
      <c r="L1673" s="6">
        <v>99.23</v>
      </c>
    </row>
    <row r="1674" spans="1:12" x14ac:dyDescent="0.25">
      <c r="A1674" s="1">
        <v>1673</v>
      </c>
      <c r="B1674" s="4">
        <v>12067</v>
      </c>
      <c r="C1674" s="5">
        <v>40213</v>
      </c>
      <c r="D1674" s="3" t="s">
        <v>95</v>
      </c>
      <c r="E1674" s="1" t="s">
        <v>178</v>
      </c>
      <c r="F1674" s="1" t="s">
        <v>19</v>
      </c>
      <c r="G1674" s="2" t="s">
        <v>3</v>
      </c>
      <c r="H1674" s="3" t="s">
        <v>84</v>
      </c>
      <c r="I1674" s="3" t="s">
        <v>85</v>
      </c>
      <c r="J1674" s="3" t="s">
        <v>66</v>
      </c>
      <c r="K1674" s="4">
        <v>75.260000000000005</v>
      </c>
      <c r="L1674" s="6">
        <v>7.64</v>
      </c>
    </row>
    <row r="1675" spans="1:12" x14ac:dyDescent="0.25">
      <c r="A1675" s="1">
        <v>1674</v>
      </c>
      <c r="B1675" s="4">
        <v>12067</v>
      </c>
      <c r="C1675" s="5">
        <v>40213</v>
      </c>
      <c r="D1675" s="3" t="s">
        <v>95</v>
      </c>
      <c r="E1675" s="1" t="s">
        <v>178</v>
      </c>
      <c r="F1675" s="1" t="s">
        <v>19</v>
      </c>
      <c r="G1675" s="2" t="s">
        <v>3</v>
      </c>
      <c r="H1675" s="3" t="s">
        <v>84</v>
      </c>
      <c r="I1675" s="3" t="s">
        <v>92</v>
      </c>
      <c r="J1675" s="3" t="s">
        <v>61</v>
      </c>
      <c r="K1675" s="4">
        <v>407.11599999999999</v>
      </c>
      <c r="L1675" s="6">
        <v>65.989999999999995</v>
      </c>
    </row>
    <row r="1676" spans="1:12" x14ac:dyDescent="0.25">
      <c r="A1676" s="1">
        <v>1675</v>
      </c>
      <c r="B1676" s="4">
        <v>12096</v>
      </c>
      <c r="C1676" s="5">
        <v>41171</v>
      </c>
      <c r="D1676" s="3" t="s">
        <v>4</v>
      </c>
      <c r="E1676" s="1" t="s">
        <v>509</v>
      </c>
      <c r="F1676" s="1" t="s">
        <v>8</v>
      </c>
      <c r="G1676" s="2" t="s">
        <v>6</v>
      </c>
      <c r="H1676" s="3" t="s">
        <v>97</v>
      </c>
      <c r="I1676" s="3" t="s">
        <v>92</v>
      </c>
      <c r="J1676" s="3" t="s">
        <v>61</v>
      </c>
      <c r="K1676" s="4">
        <v>8009.5924999999988</v>
      </c>
      <c r="L1676" s="6">
        <v>200.99</v>
      </c>
    </row>
    <row r="1677" spans="1:12" x14ac:dyDescent="0.25">
      <c r="A1677" s="1">
        <v>1676</v>
      </c>
      <c r="B1677" s="4">
        <v>12096</v>
      </c>
      <c r="C1677" s="5">
        <v>41171</v>
      </c>
      <c r="D1677" s="3" t="s">
        <v>4</v>
      </c>
      <c r="E1677" s="1" t="s">
        <v>796</v>
      </c>
      <c r="F1677" s="1" t="s">
        <v>8</v>
      </c>
      <c r="G1677" s="2" t="s">
        <v>6</v>
      </c>
      <c r="H1677" s="3" t="s">
        <v>97</v>
      </c>
      <c r="I1677" s="3" t="s">
        <v>91</v>
      </c>
      <c r="J1677" s="3" t="s">
        <v>59</v>
      </c>
      <c r="K1677" s="4">
        <v>4689.66</v>
      </c>
      <c r="L1677" s="6">
        <v>194.3</v>
      </c>
    </row>
    <row r="1678" spans="1:12" x14ac:dyDescent="0.25">
      <c r="A1678" s="1">
        <v>1677</v>
      </c>
      <c r="B1678" s="4">
        <v>12097</v>
      </c>
      <c r="C1678" s="5">
        <v>40491</v>
      </c>
      <c r="D1678" s="3" t="s">
        <v>95</v>
      </c>
      <c r="E1678" s="1" t="s">
        <v>454</v>
      </c>
      <c r="F1678" s="1" t="s">
        <v>23</v>
      </c>
      <c r="G1678" s="2" t="s">
        <v>3</v>
      </c>
      <c r="H1678" s="3" t="s">
        <v>100</v>
      </c>
      <c r="I1678" s="3" t="s">
        <v>85</v>
      </c>
      <c r="J1678" s="3" t="s">
        <v>66</v>
      </c>
      <c r="K1678" s="4">
        <v>49.89</v>
      </c>
      <c r="L1678" s="6">
        <v>4.9800000000000004</v>
      </c>
    </row>
    <row r="1679" spans="1:12" x14ac:dyDescent="0.25">
      <c r="A1679" s="1">
        <v>1678</v>
      </c>
      <c r="B1679" s="4">
        <v>12097</v>
      </c>
      <c r="C1679" s="5">
        <v>40491</v>
      </c>
      <c r="D1679" s="3" t="s">
        <v>95</v>
      </c>
      <c r="E1679" s="1" t="s">
        <v>454</v>
      </c>
      <c r="F1679" s="1" t="s">
        <v>23</v>
      </c>
      <c r="G1679" s="2" t="s">
        <v>3</v>
      </c>
      <c r="H1679" s="3" t="s">
        <v>100</v>
      </c>
      <c r="I1679" s="3" t="s">
        <v>92</v>
      </c>
      <c r="J1679" s="3" t="s">
        <v>61</v>
      </c>
      <c r="K1679" s="4">
        <v>1831.5289999999998</v>
      </c>
      <c r="L1679" s="6">
        <v>85.99</v>
      </c>
    </row>
    <row r="1680" spans="1:12" x14ac:dyDescent="0.25">
      <c r="A1680" s="1">
        <v>1679</v>
      </c>
      <c r="B1680" s="4">
        <v>12099</v>
      </c>
      <c r="C1680" s="5">
        <v>40067</v>
      </c>
      <c r="D1680" s="3" t="s">
        <v>95</v>
      </c>
      <c r="E1680" s="1" t="s">
        <v>797</v>
      </c>
      <c r="F1680" s="1" t="s">
        <v>17</v>
      </c>
      <c r="G1680" s="2" t="s">
        <v>2</v>
      </c>
      <c r="H1680" s="3" t="s">
        <v>88</v>
      </c>
      <c r="I1680" s="3" t="s">
        <v>85</v>
      </c>
      <c r="J1680" s="3" t="s">
        <v>65</v>
      </c>
      <c r="K1680" s="4">
        <v>17.59</v>
      </c>
      <c r="L1680" s="6">
        <v>2.61</v>
      </c>
    </row>
    <row r="1681" spans="1:12" x14ac:dyDescent="0.25">
      <c r="A1681" s="1">
        <v>1680</v>
      </c>
      <c r="B1681" s="4">
        <v>12099</v>
      </c>
      <c r="C1681" s="5">
        <v>40067</v>
      </c>
      <c r="D1681" s="3" t="s">
        <v>95</v>
      </c>
      <c r="E1681" s="1" t="s">
        <v>797</v>
      </c>
      <c r="F1681" s="1" t="s">
        <v>17</v>
      </c>
      <c r="G1681" s="2" t="s">
        <v>2</v>
      </c>
      <c r="H1681" s="3" t="s">
        <v>88</v>
      </c>
      <c r="I1681" s="3" t="s">
        <v>85</v>
      </c>
      <c r="J1681" s="3" t="s">
        <v>66</v>
      </c>
      <c r="K1681" s="4">
        <v>308.81</v>
      </c>
      <c r="L1681" s="6">
        <v>6.35</v>
      </c>
    </row>
    <row r="1682" spans="1:12" x14ac:dyDescent="0.25">
      <c r="A1682" s="1">
        <v>1681</v>
      </c>
      <c r="B1682" s="4">
        <v>12129</v>
      </c>
      <c r="C1682" s="5">
        <v>41268</v>
      </c>
      <c r="D1682" s="3" t="s">
        <v>4</v>
      </c>
      <c r="E1682" s="1" t="s">
        <v>132</v>
      </c>
      <c r="F1682" s="1" t="s">
        <v>30</v>
      </c>
      <c r="G1682" s="2" t="s">
        <v>6</v>
      </c>
      <c r="H1682" s="3" t="s">
        <v>88</v>
      </c>
      <c r="I1682" s="3" t="s">
        <v>91</v>
      </c>
      <c r="J1682" s="3" t="s">
        <v>72</v>
      </c>
      <c r="K1682" s="4">
        <v>4852.05</v>
      </c>
      <c r="L1682" s="6">
        <v>122.99</v>
      </c>
    </row>
    <row r="1683" spans="1:12" x14ac:dyDescent="0.25">
      <c r="A1683" s="1">
        <v>1682</v>
      </c>
      <c r="B1683" s="4">
        <v>12130</v>
      </c>
      <c r="C1683" s="5">
        <v>40886</v>
      </c>
      <c r="D1683" s="3" t="s">
        <v>86</v>
      </c>
      <c r="E1683" s="1" t="s">
        <v>798</v>
      </c>
      <c r="F1683" s="1" t="s">
        <v>13</v>
      </c>
      <c r="G1683" s="2" t="s">
        <v>6</v>
      </c>
      <c r="H1683" s="3" t="s">
        <v>100</v>
      </c>
      <c r="I1683" s="3" t="s">
        <v>91</v>
      </c>
      <c r="J1683" s="3" t="s">
        <v>59</v>
      </c>
      <c r="K1683" s="4">
        <v>686.2</v>
      </c>
      <c r="L1683" s="6">
        <v>18.84</v>
      </c>
    </row>
    <row r="1684" spans="1:12" x14ac:dyDescent="0.25">
      <c r="A1684" s="1">
        <v>1683</v>
      </c>
      <c r="B1684" s="4">
        <v>12130</v>
      </c>
      <c r="C1684" s="5">
        <v>40886</v>
      </c>
      <c r="D1684" s="3" t="s">
        <v>86</v>
      </c>
      <c r="E1684" s="1" t="s">
        <v>798</v>
      </c>
      <c r="F1684" s="1" t="s">
        <v>13</v>
      </c>
      <c r="G1684" s="2" t="s">
        <v>6</v>
      </c>
      <c r="H1684" s="3" t="s">
        <v>100</v>
      </c>
      <c r="I1684" s="3" t="s">
        <v>92</v>
      </c>
      <c r="J1684" s="3" t="s">
        <v>61</v>
      </c>
      <c r="K1684" s="4">
        <v>1274.5155</v>
      </c>
      <c r="L1684" s="6">
        <v>35.99</v>
      </c>
    </row>
    <row r="1685" spans="1:12" x14ac:dyDescent="0.25">
      <c r="A1685" s="1">
        <v>1684</v>
      </c>
      <c r="B1685" s="4">
        <v>12160</v>
      </c>
      <c r="C1685" s="5">
        <v>40524</v>
      </c>
      <c r="D1685" s="3" t="s">
        <v>82</v>
      </c>
      <c r="E1685" s="1" t="s">
        <v>776</v>
      </c>
      <c r="F1685" s="1" t="s">
        <v>13</v>
      </c>
      <c r="G1685" s="2" t="s">
        <v>6</v>
      </c>
      <c r="H1685" s="3" t="s">
        <v>88</v>
      </c>
      <c r="I1685" s="3" t="s">
        <v>91</v>
      </c>
      <c r="J1685" s="3" t="s">
        <v>72</v>
      </c>
      <c r="K1685" s="4">
        <v>10341.469999999999</v>
      </c>
      <c r="L1685" s="6">
        <v>208.16</v>
      </c>
    </row>
    <row r="1686" spans="1:12" x14ac:dyDescent="0.25">
      <c r="A1686" s="1">
        <v>1685</v>
      </c>
      <c r="B1686" s="4">
        <v>12160</v>
      </c>
      <c r="C1686" s="5">
        <v>40524</v>
      </c>
      <c r="D1686" s="3" t="s">
        <v>82</v>
      </c>
      <c r="E1686" s="1" t="s">
        <v>776</v>
      </c>
      <c r="F1686" s="1" t="s">
        <v>13</v>
      </c>
      <c r="G1686" s="2" t="s">
        <v>6</v>
      </c>
      <c r="H1686" s="3" t="s">
        <v>88</v>
      </c>
      <c r="I1686" s="3" t="s">
        <v>91</v>
      </c>
      <c r="J1686" s="3" t="s">
        <v>72</v>
      </c>
      <c r="K1686" s="4">
        <v>55.21</v>
      </c>
      <c r="L1686" s="6">
        <v>24.98</v>
      </c>
    </row>
    <row r="1687" spans="1:12" x14ac:dyDescent="0.25">
      <c r="A1687" s="1">
        <v>1686</v>
      </c>
      <c r="B1687" s="4">
        <v>12160</v>
      </c>
      <c r="C1687" s="5">
        <v>40524</v>
      </c>
      <c r="D1687" s="3" t="s">
        <v>82</v>
      </c>
      <c r="E1687" s="1" t="s">
        <v>776</v>
      </c>
      <c r="F1687" s="1" t="s">
        <v>13</v>
      </c>
      <c r="G1687" s="2" t="s">
        <v>6</v>
      </c>
      <c r="H1687" s="3" t="s">
        <v>88</v>
      </c>
      <c r="I1687" s="3" t="s">
        <v>91</v>
      </c>
      <c r="J1687" s="3" t="s">
        <v>59</v>
      </c>
      <c r="K1687" s="4">
        <v>38.299999999999997</v>
      </c>
      <c r="L1687" s="6">
        <v>3.36</v>
      </c>
    </row>
    <row r="1688" spans="1:12" x14ac:dyDescent="0.25">
      <c r="A1688" s="1">
        <v>1687</v>
      </c>
      <c r="B1688" s="4">
        <v>12194</v>
      </c>
      <c r="C1688" s="5">
        <v>40603</v>
      </c>
      <c r="D1688" s="3" t="s">
        <v>95</v>
      </c>
      <c r="E1688" s="1" t="s">
        <v>360</v>
      </c>
      <c r="F1688" s="1" t="s">
        <v>10</v>
      </c>
      <c r="G1688" s="2" t="s">
        <v>3</v>
      </c>
      <c r="H1688" s="3" t="s">
        <v>88</v>
      </c>
      <c r="I1688" s="3" t="s">
        <v>92</v>
      </c>
      <c r="J1688" s="3" t="s">
        <v>61</v>
      </c>
      <c r="K1688" s="4">
        <v>3355.1539999999995</v>
      </c>
      <c r="L1688" s="6">
        <v>195.99</v>
      </c>
    </row>
    <row r="1689" spans="1:12" x14ac:dyDescent="0.25">
      <c r="A1689" s="1">
        <v>1688</v>
      </c>
      <c r="B1689" s="4">
        <v>12196</v>
      </c>
      <c r="C1689" s="5">
        <v>40331</v>
      </c>
      <c r="D1689" s="3" t="s">
        <v>86</v>
      </c>
      <c r="E1689" s="1" t="s">
        <v>362</v>
      </c>
      <c r="F1689" s="1" t="s">
        <v>23</v>
      </c>
      <c r="G1689" s="2" t="s">
        <v>3</v>
      </c>
      <c r="H1689" s="3" t="s">
        <v>100</v>
      </c>
      <c r="I1689" s="3" t="s">
        <v>92</v>
      </c>
      <c r="J1689" s="3" t="s">
        <v>67</v>
      </c>
      <c r="K1689" s="4">
        <v>599.52</v>
      </c>
      <c r="L1689" s="6">
        <v>17.98</v>
      </c>
    </row>
    <row r="1690" spans="1:12" x14ac:dyDescent="0.25">
      <c r="A1690" s="1">
        <v>1689</v>
      </c>
      <c r="B1690" s="4">
        <v>12196</v>
      </c>
      <c r="C1690" s="5">
        <v>40331</v>
      </c>
      <c r="D1690" s="3" t="s">
        <v>86</v>
      </c>
      <c r="E1690" s="1" t="s">
        <v>362</v>
      </c>
      <c r="F1690" s="1" t="s">
        <v>23</v>
      </c>
      <c r="G1690" s="2" t="s">
        <v>3</v>
      </c>
      <c r="H1690" s="3" t="s">
        <v>100</v>
      </c>
      <c r="I1690" s="3" t="s">
        <v>85</v>
      </c>
      <c r="J1690" s="3" t="s">
        <v>57</v>
      </c>
      <c r="K1690" s="4">
        <v>10330.94</v>
      </c>
      <c r="L1690" s="6">
        <v>419.19</v>
      </c>
    </row>
    <row r="1691" spans="1:12" x14ac:dyDescent="0.25">
      <c r="A1691" s="1">
        <v>1690</v>
      </c>
      <c r="B1691" s="4">
        <v>12199</v>
      </c>
      <c r="C1691" s="5">
        <v>40891</v>
      </c>
      <c r="D1691" s="3" t="s">
        <v>82</v>
      </c>
      <c r="E1691" s="1" t="s">
        <v>238</v>
      </c>
      <c r="F1691" s="1" t="s">
        <v>11</v>
      </c>
      <c r="G1691" s="2" t="s">
        <v>6</v>
      </c>
      <c r="H1691" s="3" t="s">
        <v>88</v>
      </c>
      <c r="I1691" s="3" t="s">
        <v>85</v>
      </c>
      <c r="J1691" s="3" t="s">
        <v>69</v>
      </c>
      <c r="K1691" s="4">
        <v>19</v>
      </c>
      <c r="L1691" s="6">
        <v>6.54</v>
      </c>
    </row>
    <row r="1692" spans="1:12" x14ac:dyDescent="0.25">
      <c r="A1692" s="1">
        <v>1691</v>
      </c>
      <c r="B1692" s="4">
        <v>12199</v>
      </c>
      <c r="C1692" s="5">
        <v>40891</v>
      </c>
      <c r="D1692" s="3" t="s">
        <v>82</v>
      </c>
      <c r="E1692" s="1" t="s">
        <v>238</v>
      </c>
      <c r="F1692" s="1" t="s">
        <v>11</v>
      </c>
      <c r="G1692" s="2" t="s">
        <v>6</v>
      </c>
      <c r="H1692" s="3" t="s">
        <v>88</v>
      </c>
      <c r="I1692" s="3" t="s">
        <v>85</v>
      </c>
      <c r="J1692" s="3" t="s">
        <v>57</v>
      </c>
      <c r="K1692" s="4">
        <v>8289.51</v>
      </c>
      <c r="L1692" s="6">
        <v>155.06</v>
      </c>
    </row>
    <row r="1693" spans="1:12" x14ac:dyDescent="0.25">
      <c r="A1693" s="1">
        <v>1692</v>
      </c>
      <c r="B1693" s="4">
        <v>12224</v>
      </c>
      <c r="C1693" s="5">
        <v>40159</v>
      </c>
      <c r="D1693" s="3" t="s">
        <v>89</v>
      </c>
      <c r="E1693" s="1" t="s">
        <v>518</v>
      </c>
      <c r="F1693" s="1" t="s">
        <v>18</v>
      </c>
      <c r="G1693" s="2" t="s">
        <v>6</v>
      </c>
      <c r="H1693" s="3" t="s">
        <v>100</v>
      </c>
      <c r="I1693" s="3" t="s">
        <v>91</v>
      </c>
      <c r="J1693" s="3" t="s">
        <v>60</v>
      </c>
      <c r="K1693" s="4">
        <v>302.91000000000003</v>
      </c>
      <c r="L1693" s="6">
        <v>124.49</v>
      </c>
    </row>
    <row r="1694" spans="1:12" x14ac:dyDescent="0.25">
      <c r="A1694" s="1">
        <v>1693</v>
      </c>
      <c r="B1694" s="4">
        <v>12224</v>
      </c>
      <c r="C1694" s="5">
        <v>40159</v>
      </c>
      <c r="D1694" s="3" t="s">
        <v>89</v>
      </c>
      <c r="E1694" s="1" t="s">
        <v>518</v>
      </c>
      <c r="F1694" s="1" t="s">
        <v>18</v>
      </c>
      <c r="G1694" s="2" t="s">
        <v>6</v>
      </c>
      <c r="H1694" s="3" t="s">
        <v>100</v>
      </c>
      <c r="I1694" s="3" t="s">
        <v>92</v>
      </c>
      <c r="J1694" s="3" t="s">
        <v>61</v>
      </c>
      <c r="K1694" s="4">
        <v>842.61349999999993</v>
      </c>
      <c r="L1694" s="6">
        <v>35.99</v>
      </c>
    </row>
    <row r="1695" spans="1:12" x14ac:dyDescent="0.25">
      <c r="A1695" s="1">
        <v>1694</v>
      </c>
      <c r="B1695" s="4">
        <v>12228</v>
      </c>
      <c r="C1695" s="5">
        <v>39989</v>
      </c>
      <c r="D1695" s="3" t="s">
        <v>86</v>
      </c>
      <c r="E1695" s="1" t="s">
        <v>234</v>
      </c>
      <c r="F1695" s="1" t="s">
        <v>25</v>
      </c>
      <c r="G1695" s="2" t="s">
        <v>6</v>
      </c>
      <c r="H1695" s="3" t="s">
        <v>88</v>
      </c>
      <c r="I1695" s="3" t="s">
        <v>91</v>
      </c>
      <c r="J1695" s="3" t="s">
        <v>72</v>
      </c>
      <c r="K1695" s="4">
        <v>159.51</v>
      </c>
      <c r="L1695" s="6">
        <v>130.97999999999999</v>
      </c>
    </row>
    <row r="1696" spans="1:12" x14ac:dyDescent="0.25">
      <c r="A1696" s="1">
        <v>1695</v>
      </c>
      <c r="B1696" s="4">
        <v>12228</v>
      </c>
      <c r="C1696" s="5">
        <v>39989</v>
      </c>
      <c r="D1696" s="3" t="s">
        <v>86</v>
      </c>
      <c r="E1696" s="1" t="s">
        <v>234</v>
      </c>
      <c r="F1696" s="1" t="s">
        <v>25</v>
      </c>
      <c r="G1696" s="2" t="s">
        <v>6</v>
      </c>
      <c r="H1696" s="3" t="s">
        <v>88</v>
      </c>
      <c r="I1696" s="3" t="s">
        <v>92</v>
      </c>
      <c r="J1696" s="3" t="s">
        <v>61</v>
      </c>
      <c r="K1696" s="4">
        <v>5015.0510000000004</v>
      </c>
      <c r="L1696" s="6">
        <v>200.99</v>
      </c>
    </row>
    <row r="1697" spans="1:12" x14ac:dyDescent="0.25">
      <c r="A1697" s="1">
        <v>1696</v>
      </c>
      <c r="B1697" s="4">
        <v>12256</v>
      </c>
      <c r="C1697" s="5">
        <v>41261</v>
      </c>
      <c r="D1697" s="3" t="s">
        <v>4</v>
      </c>
      <c r="E1697" s="1" t="s">
        <v>518</v>
      </c>
      <c r="F1697" s="1" t="s">
        <v>18</v>
      </c>
      <c r="G1697" s="2" t="s">
        <v>6</v>
      </c>
      <c r="H1697" s="3" t="s">
        <v>97</v>
      </c>
      <c r="I1697" s="3" t="s">
        <v>85</v>
      </c>
      <c r="J1697" s="3" t="s">
        <v>65</v>
      </c>
      <c r="K1697" s="4">
        <v>117.97</v>
      </c>
      <c r="L1697" s="6">
        <v>2.88</v>
      </c>
    </row>
    <row r="1698" spans="1:12" x14ac:dyDescent="0.25">
      <c r="A1698" s="1">
        <v>1697</v>
      </c>
      <c r="B1698" s="4">
        <v>12258</v>
      </c>
      <c r="C1698" s="5">
        <v>40147</v>
      </c>
      <c r="D1698" s="3" t="s">
        <v>82</v>
      </c>
      <c r="E1698" s="1" t="s">
        <v>302</v>
      </c>
      <c r="F1698" s="1" t="s">
        <v>13</v>
      </c>
      <c r="G1698" s="2" t="s">
        <v>6</v>
      </c>
      <c r="H1698" s="3" t="s">
        <v>97</v>
      </c>
      <c r="I1698" s="3" t="s">
        <v>91</v>
      </c>
      <c r="J1698" s="3" t="s">
        <v>72</v>
      </c>
      <c r="K1698" s="4">
        <v>561.65</v>
      </c>
      <c r="L1698" s="6">
        <v>180.98</v>
      </c>
    </row>
    <row r="1699" spans="1:12" x14ac:dyDescent="0.25">
      <c r="A1699" s="1">
        <v>1698</v>
      </c>
      <c r="B1699" s="4">
        <v>12258</v>
      </c>
      <c r="C1699" s="5">
        <v>40147</v>
      </c>
      <c r="D1699" s="3" t="s">
        <v>82</v>
      </c>
      <c r="E1699" s="1" t="s">
        <v>799</v>
      </c>
      <c r="F1699" s="1" t="s">
        <v>13</v>
      </c>
      <c r="G1699" s="2" t="s">
        <v>6</v>
      </c>
      <c r="H1699" s="3" t="s">
        <v>97</v>
      </c>
      <c r="I1699" s="3" t="s">
        <v>85</v>
      </c>
      <c r="J1699" s="3" t="s">
        <v>70</v>
      </c>
      <c r="K1699" s="4">
        <v>55.6</v>
      </c>
      <c r="L1699" s="6">
        <v>3.25</v>
      </c>
    </row>
    <row r="1700" spans="1:12" x14ac:dyDescent="0.25">
      <c r="A1700" s="1">
        <v>1699</v>
      </c>
      <c r="B1700" s="4">
        <v>12258</v>
      </c>
      <c r="C1700" s="5">
        <v>40147</v>
      </c>
      <c r="D1700" s="3" t="s">
        <v>82</v>
      </c>
      <c r="E1700" s="1" t="s">
        <v>799</v>
      </c>
      <c r="F1700" s="1" t="s">
        <v>13</v>
      </c>
      <c r="G1700" s="2" t="s">
        <v>6</v>
      </c>
      <c r="H1700" s="3" t="s">
        <v>97</v>
      </c>
      <c r="I1700" s="3" t="s">
        <v>91</v>
      </c>
      <c r="J1700" s="3" t="s">
        <v>59</v>
      </c>
      <c r="K1700" s="4">
        <v>2431.13</v>
      </c>
      <c r="L1700" s="6">
        <v>110.98</v>
      </c>
    </row>
    <row r="1701" spans="1:12" x14ac:dyDescent="0.25">
      <c r="A1701" s="1">
        <v>1700</v>
      </c>
      <c r="B1701" s="4">
        <v>12258</v>
      </c>
      <c r="C1701" s="5">
        <v>40147</v>
      </c>
      <c r="D1701" s="3" t="s">
        <v>82</v>
      </c>
      <c r="E1701" s="1" t="s">
        <v>799</v>
      </c>
      <c r="F1701" s="1" t="s">
        <v>13</v>
      </c>
      <c r="G1701" s="2" t="s">
        <v>6</v>
      </c>
      <c r="H1701" s="3" t="s">
        <v>97</v>
      </c>
      <c r="I1701" s="3" t="s">
        <v>85</v>
      </c>
      <c r="J1701" s="3" t="s">
        <v>64</v>
      </c>
      <c r="K1701" s="4">
        <v>113.4</v>
      </c>
      <c r="L1701" s="6">
        <v>3.95</v>
      </c>
    </row>
    <row r="1702" spans="1:12" x14ac:dyDescent="0.25">
      <c r="A1702" s="1">
        <v>1701</v>
      </c>
      <c r="B1702" s="4">
        <v>12259</v>
      </c>
      <c r="C1702" s="5">
        <v>40223</v>
      </c>
      <c r="D1702" s="3" t="s">
        <v>89</v>
      </c>
      <c r="E1702" s="1" t="s">
        <v>800</v>
      </c>
      <c r="F1702" s="1" t="s">
        <v>42</v>
      </c>
      <c r="G1702" s="2" t="s">
        <v>3</v>
      </c>
      <c r="H1702" s="3" t="s">
        <v>100</v>
      </c>
      <c r="I1702" s="3" t="s">
        <v>91</v>
      </c>
      <c r="J1702" s="3" t="s">
        <v>68</v>
      </c>
      <c r="K1702" s="4">
        <v>5007.6899999999996</v>
      </c>
      <c r="L1702" s="6">
        <v>114.98</v>
      </c>
    </row>
    <row r="1703" spans="1:12" x14ac:dyDescent="0.25">
      <c r="A1703" s="1">
        <v>1702</v>
      </c>
      <c r="B1703" s="4">
        <v>12259</v>
      </c>
      <c r="C1703" s="5">
        <v>40223</v>
      </c>
      <c r="D1703" s="3" t="s">
        <v>89</v>
      </c>
      <c r="E1703" s="1" t="s">
        <v>800</v>
      </c>
      <c r="F1703" s="1" t="s">
        <v>42</v>
      </c>
      <c r="G1703" s="2" t="s">
        <v>3</v>
      </c>
      <c r="H1703" s="3" t="s">
        <v>100</v>
      </c>
      <c r="I1703" s="3" t="s">
        <v>85</v>
      </c>
      <c r="J1703" s="3" t="s">
        <v>57</v>
      </c>
      <c r="K1703" s="4">
        <v>1379.62</v>
      </c>
      <c r="L1703" s="6">
        <v>31.98</v>
      </c>
    </row>
    <row r="1704" spans="1:12" x14ac:dyDescent="0.25">
      <c r="A1704" s="1">
        <v>1703</v>
      </c>
      <c r="B1704" s="4">
        <v>12261</v>
      </c>
      <c r="C1704" s="5">
        <v>40474</v>
      </c>
      <c r="D1704" s="3" t="s">
        <v>82</v>
      </c>
      <c r="E1704" s="1" t="s">
        <v>228</v>
      </c>
      <c r="F1704" s="1" t="s">
        <v>18</v>
      </c>
      <c r="G1704" s="2" t="s">
        <v>6</v>
      </c>
      <c r="H1704" s="3" t="s">
        <v>88</v>
      </c>
      <c r="I1704" s="3" t="s">
        <v>91</v>
      </c>
      <c r="J1704" s="3" t="s">
        <v>72</v>
      </c>
      <c r="K1704" s="4">
        <v>2237.7600000000002</v>
      </c>
      <c r="L1704" s="6">
        <v>200.98</v>
      </c>
    </row>
    <row r="1705" spans="1:12" x14ac:dyDescent="0.25">
      <c r="A1705" s="1">
        <v>1704</v>
      </c>
      <c r="B1705" s="4">
        <v>12261</v>
      </c>
      <c r="C1705" s="5">
        <v>40474</v>
      </c>
      <c r="D1705" s="3" t="s">
        <v>82</v>
      </c>
      <c r="E1705" s="1" t="s">
        <v>228</v>
      </c>
      <c r="F1705" s="1" t="s">
        <v>18</v>
      </c>
      <c r="G1705" s="2" t="s">
        <v>6</v>
      </c>
      <c r="H1705" s="3" t="s">
        <v>88</v>
      </c>
      <c r="I1705" s="3" t="s">
        <v>85</v>
      </c>
      <c r="J1705" s="3" t="s">
        <v>63</v>
      </c>
      <c r="K1705" s="4">
        <v>20.59</v>
      </c>
      <c r="L1705" s="6">
        <v>3.98</v>
      </c>
    </row>
    <row r="1706" spans="1:12" x14ac:dyDescent="0.25">
      <c r="A1706" s="1">
        <v>1705</v>
      </c>
      <c r="B1706" s="4">
        <v>12261</v>
      </c>
      <c r="C1706" s="5">
        <v>40474</v>
      </c>
      <c r="D1706" s="3" t="s">
        <v>82</v>
      </c>
      <c r="E1706" s="1" t="s">
        <v>653</v>
      </c>
      <c r="F1706" s="1" t="s">
        <v>18</v>
      </c>
      <c r="G1706" s="2" t="s">
        <v>6</v>
      </c>
      <c r="H1706" s="3" t="s">
        <v>88</v>
      </c>
      <c r="I1706" s="3" t="s">
        <v>85</v>
      </c>
      <c r="J1706" s="3" t="s">
        <v>70</v>
      </c>
      <c r="K1706" s="4">
        <v>281.74</v>
      </c>
      <c r="L1706" s="6">
        <v>14.56</v>
      </c>
    </row>
    <row r="1707" spans="1:12" x14ac:dyDescent="0.25">
      <c r="A1707" s="1">
        <v>1706</v>
      </c>
      <c r="B1707" s="4">
        <v>12261</v>
      </c>
      <c r="C1707" s="5">
        <v>40474</v>
      </c>
      <c r="D1707" s="3" t="s">
        <v>82</v>
      </c>
      <c r="E1707" s="1" t="s">
        <v>653</v>
      </c>
      <c r="F1707" s="1" t="s">
        <v>18</v>
      </c>
      <c r="G1707" s="2" t="s">
        <v>6</v>
      </c>
      <c r="H1707" s="3" t="s">
        <v>88</v>
      </c>
      <c r="I1707" s="3" t="s">
        <v>85</v>
      </c>
      <c r="J1707" s="3" t="s">
        <v>71</v>
      </c>
      <c r="K1707" s="4">
        <v>217.35</v>
      </c>
      <c r="L1707" s="6">
        <v>8.74</v>
      </c>
    </row>
    <row r="1708" spans="1:12" x14ac:dyDescent="0.25">
      <c r="A1708" s="1">
        <v>1707</v>
      </c>
      <c r="B1708" s="4">
        <v>12261</v>
      </c>
      <c r="C1708" s="5">
        <v>40474</v>
      </c>
      <c r="D1708" s="3" t="s">
        <v>82</v>
      </c>
      <c r="E1708" s="1" t="s">
        <v>653</v>
      </c>
      <c r="F1708" s="1" t="s">
        <v>18</v>
      </c>
      <c r="G1708" s="2" t="s">
        <v>6</v>
      </c>
      <c r="H1708" s="3" t="s">
        <v>88</v>
      </c>
      <c r="I1708" s="3" t="s">
        <v>85</v>
      </c>
      <c r="J1708" s="3" t="s">
        <v>57</v>
      </c>
      <c r="K1708" s="4">
        <v>2746.57</v>
      </c>
      <c r="L1708" s="6">
        <v>178.47</v>
      </c>
    </row>
    <row r="1709" spans="1:12" x14ac:dyDescent="0.25">
      <c r="A1709" s="1">
        <v>1708</v>
      </c>
      <c r="B1709" s="4">
        <v>12262</v>
      </c>
      <c r="C1709" s="5">
        <v>40887</v>
      </c>
      <c r="D1709" s="3" t="s">
        <v>82</v>
      </c>
      <c r="E1709" s="1" t="s">
        <v>675</v>
      </c>
      <c r="F1709" s="1" t="s">
        <v>24</v>
      </c>
      <c r="G1709" s="2" t="s">
        <v>2</v>
      </c>
      <c r="H1709" s="3" t="s">
        <v>97</v>
      </c>
      <c r="I1709" s="3" t="s">
        <v>91</v>
      </c>
      <c r="J1709" s="3" t="s">
        <v>60</v>
      </c>
      <c r="K1709" s="4">
        <v>1212.9280000000001</v>
      </c>
      <c r="L1709" s="6">
        <v>31.76</v>
      </c>
    </row>
    <row r="1710" spans="1:12" x14ac:dyDescent="0.25">
      <c r="A1710" s="1">
        <v>1709</v>
      </c>
      <c r="B1710" s="4">
        <v>12263</v>
      </c>
      <c r="C1710" s="5">
        <v>40730</v>
      </c>
      <c r="D1710" s="3" t="s">
        <v>89</v>
      </c>
      <c r="E1710" s="1" t="s">
        <v>748</v>
      </c>
      <c r="F1710" s="1" t="s">
        <v>13</v>
      </c>
      <c r="G1710" s="2" t="s">
        <v>6</v>
      </c>
      <c r="H1710" s="3" t="s">
        <v>88</v>
      </c>
      <c r="I1710" s="3" t="s">
        <v>85</v>
      </c>
      <c r="J1710" s="3" t="s">
        <v>70</v>
      </c>
      <c r="K1710" s="4">
        <v>515.65</v>
      </c>
      <c r="L1710" s="6">
        <v>39.479999999999997</v>
      </c>
    </row>
    <row r="1711" spans="1:12" x14ac:dyDescent="0.25">
      <c r="A1711" s="1">
        <v>1710</v>
      </c>
      <c r="B1711" s="4">
        <v>12289</v>
      </c>
      <c r="C1711" s="5">
        <v>40901</v>
      </c>
      <c r="D1711" s="3" t="s">
        <v>82</v>
      </c>
      <c r="E1711" s="1" t="s">
        <v>777</v>
      </c>
      <c r="F1711" s="1" t="s">
        <v>8</v>
      </c>
      <c r="G1711" s="2" t="s">
        <v>6</v>
      </c>
      <c r="H1711" s="3" t="s">
        <v>88</v>
      </c>
      <c r="I1711" s="3" t="s">
        <v>92</v>
      </c>
      <c r="J1711" s="3" t="s">
        <v>67</v>
      </c>
      <c r="K1711" s="4">
        <v>3019.41</v>
      </c>
      <c r="L1711" s="6">
        <v>120.97</v>
      </c>
    </row>
    <row r="1712" spans="1:12" x14ac:dyDescent="0.25">
      <c r="A1712" s="1">
        <v>1711</v>
      </c>
      <c r="B1712" s="4">
        <v>12292</v>
      </c>
      <c r="C1712" s="5">
        <v>41062</v>
      </c>
      <c r="D1712" s="3" t="s">
        <v>86</v>
      </c>
      <c r="E1712" s="1" t="s">
        <v>668</v>
      </c>
      <c r="F1712" s="1" t="s">
        <v>41</v>
      </c>
      <c r="G1712" s="2" t="s">
        <v>6</v>
      </c>
      <c r="H1712" s="3" t="s">
        <v>100</v>
      </c>
      <c r="I1712" s="3" t="s">
        <v>92</v>
      </c>
      <c r="J1712" s="3" t="s">
        <v>62</v>
      </c>
      <c r="K1712" s="4">
        <v>824.24</v>
      </c>
      <c r="L1712" s="6">
        <v>26.31</v>
      </c>
    </row>
    <row r="1713" spans="1:12" x14ac:dyDescent="0.25">
      <c r="A1713" s="1">
        <v>1712</v>
      </c>
      <c r="B1713" s="4">
        <v>12293</v>
      </c>
      <c r="C1713" s="5">
        <v>40712</v>
      </c>
      <c r="D1713" s="3" t="s">
        <v>89</v>
      </c>
      <c r="E1713" s="1" t="s">
        <v>768</v>
      </c>
      <c r="F1713" s="1" t="s">
        <v>38</v>
      </c>
      <c r="G1713" s="2" t="s">
        <v>6</v>
      </c>
      <c r="H1713" s="3" t="s">
        <v>97</v>
      </c>
      <c r="I1713" s="3" t="s">
        <v>85</v>
      </c>
      <c r="J1713" s="3" t="s">
        <v>71</v>
      </c>
      <c r="K1713" s="4">
        <v>283.17</v>
      </c>
      <c r="L1713" s="6">
        <v>8.74</v>
      </c>
    </row>
    <row r="1714" spans="1:12" x14ac:dyDescent="0.25">
      <c r="A1714" s="1">
        <v>1713</v>
      </c>
      <c r="B1714" s="4">
        <v>12320</v>
      </c>
      <c r="C1714" s="5">
        <v>40897</v>
      </c>
      <c r="D1714" s="3" t="s">
        <v>95</v>
      </c>
      <c r="E1714" s="1" t="s">
        <v>482</v>
      </c>
      <c r="F1714" s="1" t="s">
        <v>48</v>
      </c>
      <c r="G1714" s="2" t="s">
        <v>1</v>
      </c>
      <c r="H1714" s="3" t="s">
        <v>88</v>
      </c>
      <c r="I1714" s="3" t="s">
        <v>91</v>
      </c>
      <c r="J1714" s="3" t="s">
        <v>60</v>
      </c>
      <c r="K1714" s="4">
        <v>539.21</v>
      </c>
      <c r="L1714" s="6">
        <v>15.23</v>
      </c>
    </row>
    <row r="1715" spans="1:12" x14ac:dyDescent="0.25">
      <c r="A1715" s="1">
        <v>1714</v>
      </c>
      <c r="B1715" s="4">
        <v>12322</v>
      </c>
      <c r="C1715" s="5">
        <v>40674</v>
      </c>
      <c r="D1715" s="3" t="s">
        <v>95</v>
      </c>
      <c r="E1715" s="1" t="s">
        <v>195</v>
      </c>
      <c r="F1715" s="1" t="s">
        <v>34</v>
      </c>
      <c r="G1715" s="2" t="s">
        <v>1</v>
      </c>
      <c r="H1715" s="3" t="s">
        <v>84</v>
      </c>
      <c r="I1715" s="3" t="s">
        <v>91</v>
      </c>
      <c r="J1715" s="3" t="s">
        <v>59</v>
      </c>
      <c r="K1715" s="4">
        <v>3436.9</v>
      </c>
      <c r="L1715" s="6">
        <v>92.23</v>
      </c>
    </row>
    <row r="1716" spans="1:12" x14ac:dyDescent="0.25">
      <c r="A1716" s="1">
        <v>1715</v>
      </c>
      <c r="B1716" s="4">
        <v>12323</v>
      </c>
      <c r="C1716" s="5">
        <v>40635</v>
      </c>
      <c r="D1716" s="3" t="s">
        <v>86</v>
      </c>
      <c r="E1716" s="1" t="s">
        <v>801</v>
      </c>
      <c r="F1716" s="1" t="s">
        <v>53</v>
      </c>
      <c r="G1716" s="2" t="s">
        <v>6</v>
      </c>
      <c r="H1716" s="3" t="s">
        <v>88</v>
      </c>
      <c r="I1716" s="3" t="s">
        <v>85</v>
      </c>
      <c r="J1716" s="3" t="s">
        <v>69</v>
      </c>
      <c r="K1716" s="4">
        <v>513.74</v>
      </c>
      <c r="L1716" s="6">
        <v>15.15</v>
      </c>
    </row>
    <row r="1717" spans="1:12" x14ac:dyDescent="0.25">
      <c r="A1717" s="1">
        <v>1716</v>
      </c>
      <c r="B1717" s="4">
        <v>12323</v>
      </c>
      <c r="C1717" s="5">
        <v>40635</v>
      </c>
      <c r="D1717" s="3" t="s">
        <v>86</v>
      </c>
      <c r="E1717" s="1" t="s">
        <v>801</v>
      </c>
      <c r="F1717" s="1" t="s">
        <v>53</v>
      </c>
      <c r="G1717" s="2" t="s">
        <v>6</v>
      </c>
      <c r="H1717" s="3" t="s">
        <v>88</v>
      </c>
      <c r="I1717" s="3" t="s">
        <v>91</v>
      </c>
      <c r="J1717" s="3" t="s">
        <v>59</v>
      </c>
      <c r="K1717" s="4">
        <v>36.799999999999997</v>
      </c>
      <c r="L1717" s="6">
        <v>7.38</v>
      </c>
    </row>
    <row r="1718" spans="1:12" x14ac:dyDescent="0.25">
      <c r="A1718" s="1">
        <v>1717</v>
      </c>
      <c r="B1718" s="4">
        <v>12326</v>
      </c>
      <c r="C1718" s="5">
        <v>40576</v>
      </c>
      <c r="D1718" s="3" t="s">
        <v>95</v>
      </c>
      <c r="E1718" s="1" t="s">
        <v>238</v>
      </c>
      <c r="F1718" s="1" t="s">
        <v>48</v>
      </c>
      <c r="G1718" s="2" t="s">
        <v>1</v>
      </c>
      <c r="H1718" s="3" t="s">
        <v>84</v>
      </c>
      <c r="I1718" s="3" t="s">
        <v>91</v>
      </c>
      <c r="J1718" s="3" t="s">
        <v>59</v>
      </c>
      <c r="K1718" s="4">
        <v>123.82</v>
      </c>
      <c r="L1718" s="6">
        <v>29.34</v>
      </c>
    </row>
    <row r="1719" spans="1:12" x14ac:dyDescent="0.25">
      <c r="A1719" s="1">
        <v>1718</v>
      </c>
      <c r="B1719" s="4">
        <v>12352</v>
      </c>
      <c r="C1719" s="5">
        <v>40991</v>
      </c>
      <c r="D1719" s="3" t="s">
        <v>4</v>
      </c>
      <c r="E1719" s="1" t="s">
        <v>802</v>
      </c>
      <c r="F1719" s="1" t="s">
        <v>8</v>
      </c>
      <c r="G1719" s="2" t="s">
        <v>6</v>
      </c>
      <c r="H1719" s="3" t="s">
        <v>88</v>
      </c>
      <c r="I1719" s="3" t="s">
        <v>85</v>
      </c>
      <c r="J1719" s="3" t="s">
        <v>69</v>
      </c>
      <c r="K1719" s="4">
        <v>36.86</v>
      </c>
      <c r="L1719" s="6">
        <v>5.81</v>
      </c>
    </row>
    <row r="1720" spans="1:12" x14ac:dyDescent="0.25">
      <c r="A1720" s="1">
        <v>1719</v>
      </c>
      <c r="B1720" s="4">
        <v>12355</v>
      </c>
      <c r="C1720" s="5">
        <v>40691</v>
      </c>
      <c r="D1720" s="3" t="s">
        <v>86</v>
      </c>
      <c r="E1720" s="1" t="s">
        <v>403</v>
      </c>
      <c r="F1720" s="1" t="s">
        <v>26</v>
      </c>
      <c r="G1720" s="2" t="s">
        <v>3</v>
      </c>
      <c r="H1720" s="3" t="s">
        <v>88</v>
      </c>
      <c r="I1720" s="3" t="s">
        <v>85</v>
      </c>
      <c r="J1720" s="3" t="s">
        <v>66</v>
      </c>
      <c r="K1720" s="4">
        <v>209.53</v>
      </c>
      <c r="L1720" s="6">
        <v>5.78</v>
      </c>
    </row>
    <row r="1721" spans="1:12" x14ac:dyDescent="0.25">
      <c r="A1721" s="1">
        <v>1720</v>
      </c>
      <c r="B1721" s="4">
        <v>12355</v>
      </c>
      <c r="C1721" s="5">
        <v>40691</v>
      </c>
      <c r="D1721" s="3" t="s">
        <v>86</v>
      </c>
      <c r="E1721" s="1" t="s">
        <v>403</v>
      </c>
      <c r="F1721" s="1" t="s">
        <v>26</v>
      </c>
      <c r="G1721" s="2" t="s">
        <v>3</v>
      </c>
      <c r="H1721" s="3" t="s">
        <v>88</v>
      </c>
      <c r="I1721" s="3" t="s">
        <v>85</v>
      </c>
      <c r="J1721" s="3" t="s">
        <v>57</v>
      </c>
      <c r="K1721" s="4">
        <v>225.47</v>
      </c>
      <c r="L1721" s="6">
        <v>14.97</v>
      </c>
    </row>
    <row r="1722" spans="1:12" x14ac:dyDescent="0.25">
      <c r="A1722" s="1">
        <v>1721</v>
      </c>
      <c r="B1722" s="4">
        <v>12355</v>
      </c>
      <c r="C1722" s="5">
        <v>40691</v>
      </c>
      <c r="D1722" s="3" t="s">
        <v>86</v>
      </c>
      <c r="E1722" s="1" t="s">
        <v>620</v>
      </c>
      <c r="F1722" s="1" t="s">
        <v>25</v>
      </c>
      <c r="G1722" s="2" t="s">
        <v>6</v>
      </c>
      <c r="H1722" s="3" t="s">
        <v>88</v>
      </c>
      <c r="I1722" s="3" t="s">
        <v>85</v>
      </c>
      <c r="J1722" s="3" t="s">
        <v>70</v>
      </c>
      <c r="K1722" s="4">
        <v>168.66</v>
      </c>
      <c r="L1722" s="6">
        <v>3.95</v>
      </c>
    </row>
    <row r="1723" spans="1:12" x14ac:dyDescent="0.25">
      <c r="A1723" s="1">
        <v>1722</v>
      </c>
      <c r="B1723" s="4">
        <v>12356</v>
      </c>
      <c r="C1723" s="5">
        <v>41200</v>
      </c>
      <c r="D1723" s="3" t="s">
        <v>95</v>
      </c>
      <c r="E1723" s="1" t="s">
        <v>352</v>
      </c>
      <c r="F1723" s="1" t="s">
        <v>9</v>
      </c>
      <c r="G1723" s="2" t="s">
        <v>2</v>
      </c>
      <c r="H1723" s="3" t="s">
        <v>100</v>
      </c>
      <c r="I1723" s="3" t="s">
        <v>85</v>
      </c>
      <c r="J1723" s="3" t="s">
        <v>66</v>
      </c>
      <c r="K1723" s="4">
        <v>243.05</v>
      </c>
      <c r="L1723" s="6">
        <v>5.98</v>
      </c>
    </row>
    <row r="1724" spans="1:12" x14ac:dyDescent="0.25">
      <c r="A1724" s="1">
        <v>1723</v>
      </c>
      <c r="B1724" s="4">
        <v>12389</v>
      </c>
      <c r="C1724" s="5">
        <v>40029</v>
      </c>
      <c r="D1724" s="3" t="s">
        <v>4</v>
      </c>
      <c r="E1724" s="1" t="s">
        <v>803</v>
      </c>
      <c r="F1724" s="1" t="s">
        <v>25</v>
      </c>
      <c r="G1724" s="2" t="s">
        <v>6</v>
      </c>
      <c r="H1724" s="3" t="s">
        <v>88</v>
      </c>
      <c r="I1724" s="3" t="s">
        <v>92</v>
      </c>
      <c r="J1724" s="3" t="s">
        <v>62</v>
      </c>
      <c r="K1724" s="4">
        <v>2560.59</v>
      </c>
      <c r="L1724" s="6">
        <v>80.98</v>
      </c>
    </row>
    <row r="1725" spans="1:12" x14ac:dyDescent="0.25">
      <c r="A1725" s="1">
        <v>1724</v>
      </c>
      <c r="B1725" s="4">
        <v>12389</v>
      </c>
      <c r="C1725" s="5">
        <v>40029</v>
      </c>
      <c r="D1725" s="3" t="s">
        <v>4</v>
      </c>
      <c r="E1725" s="1" t="s">
        <v>803</v>
      </c>
      <c r="F1725" s="1" t="s">
        <v>25</v>
      </c>
      <c r="G1725" s="2" t="s">
        <v>6</v>
      </c>
      <c r="H1725" s="3" t="s">
        <v>88</v>
      </c>
      <c r="I1725" s="3" t="s">
        <v>85</v>
      </c>
      <c r="J1725" s="3" t="s">
        <v>57</v>
      </c>
      <c r="K1725" s="4">
        <v>189.04</v>
      </c>
      <c r="L1725" s="6">
        <v>11.35</v>
      </c>
    </row>
    <row r="1726" spans="1:12" x14ac:dyDescent="0.25">
      <c r="A1726" s="1">
        <v>1725</v>
      </c>
      <c r="B1726" s="4">
        <v>12417</v>
      </c>
      <c r="C1726" s="5">
        <v>40475</v>
      </c>
      <c r="D1726" s="3" t="s">
        <v>95</v>
      </c>
      <c r="E1726" s="1" t="s">
        <v>225</v>
      </c>
      <c r="F1726" s="1" t="s">
        <v>14</v>
      </c>
      <c r="G1726" s="2" t="s">
        <v>2</v>
      </c>
      <c r="H1726" s="3" t="s">
        <v>88</v>
      </c>
      <c r="I1726" s="3" t="s">
        <v>85</v>
      </c>
      <c r="J1726" s="3" t="s">
        <v>66</v>
      </c>
      <c r="K1726" s="4">
        <v>137.84</v>
      </c>
      <c r="L1726" s="6">
        <v>7.4</v>
      </c>
    </row>
    <row r="1727" spans="1:12" x14ac:dyDescent="0.25">
      <c r="A1727" s="1">
        <v>1726</v>
      </c>
      <c r="B1727" s="4">
        <v>12418</v>
      </c>
      <c r="C1727" s="5">
        <v>40957</v>
      </c>
      <c r="D1727" s="3" t="s">
        <v>86</v>
      </c>
      <c r="E1727" s="1" t="s">
        <v>438</v>
      </c>
      <c r="F1727" s="1" t="s">
        <v>17</v>
      </c>
      <c r="G1727" s="2" t="s">
        <v>2</v>
      </c>
      <c r="H1727" s="3" t="s">
        <v>97</v>
      </c>
      <c r="I1727" s="3" t="s">
        <v>85</v>
      </c>
      <c r="J1727" s="3" t="s">
        <v>57</v>
      </c>
      <c r="K1727" s="4">
        <v>299.01</v>
      </c>
      <c r="L1727" s="6">
        <v>7.98</v>
      </c>
    </row>
    <row r="1728" spans="1:12" x14ac:dyDescent="0.25">
      <c r="A1728" s="1">
        <v>1727</v>
      </c>
      <c r="B1728" s="4">
        <v>12419</v>
      </c>
      <c r="C1728" s="5">
        <v>40831</v>
      </c>
      <c r="D1728" s="3" t="s">
        <v>95</v>
      </c>
      <c r="E1728" s="1" t="s">
        <v>646</v>
      </c>
      <c r="F1728" s="1" t="s">
        <v>8</v>
      </c>
      <c r="G1728" s="2" t="s">
        <v>6</v>
      </c>
      <c r="H1728" s="3" t="s">
        <v>88</v>
      </c>
      <c r="I1728" s="3" t="s">
        <v>92</v>
      </c>
      <c r="J1728" s="3" t="s">
        <v>67</v>
      </c>
      <c r="K1728" s="4">
        <v>22079.47</v>
      </c>
      <c r="L1728" s="6">
        <v>1938.02</v>
      </c>
    </row>
    <row r="1729" spans="1:12" x14ac:dyDescent="0.25">
      <c r="A1729" s="1">
        <v>1728</v>
      </c>
      <c r="B1729" s="4">
        <v>12420</v>
      </c>
      <c r="C1729" s="5">
        <v>40538</v>
      </c>
      <c r="D1729" s="3" t="s">
        <v>4</v>
      </c>
      <c r="E1729" s="1" t="s">
        <v>473</v>
      </c>
      <c r="F1729" s="1" t="s">
        <v>52</v>
      </c>
      <c r="G1729" s="2" t="s">
        <v>3</v>
      </c>
      <c r="H1729" s="3" t="s">
        <v>97</v>
      </c>
      <c r="I1729" s="3" t="s">
        <v>85</v>
      </c>
      <c r="J1729" s="3" t="s">
        <v>69</v>
      </c>
      <c r="K1729" s="4">
        <v>536.25</v>
      </c>
      <c r="L1729" s="6">
        <v>15.99</v>
      </c>
    </row>
    <row r="1730" spans="1:12" x14ac:dyDescent="0.25">
      <c r="A1730" s="1">
        <v>1729</v>
      </c>
      <c r="B1730" s="4">
        <v>12420</v>
      </c>
      <c r="C1730" s="5">
        <v>40538</v>
      </c>
      <c r="D1730" s="3" t="s">
        <v>4</v>
      </c>
      <c r="E1730" s="1" t="s">
        <v>473</v>
      </c>
      <c r="F1730" s="1" t="s">
        <v>52</v>
      </c>
      <c r="G1730" s="2" t="s">
        <v>3</v>
      </c>
      <c r="H1730" s="3" t="s">
        <v>97</v>
      </c>
      <c r="I1730" s="3" t="s">
        <v>85</v>
      </c>
      <c r="J1730" s="3" t="s">
        <v>66</v>
      </c>
      <c r="K1730" s="4">
        <v>5.73</v>
      </c>
      <c r="L1730" s="6">
        <v>4.9800000000000004</v>
      </c>
    </row>
    <row r="1731" spans="1:12" x14ac:dyDescent="0.25">
      <c r="A1731" s="1">
        <v>1730</v>
      </c>
      <c r="B1731" s="4">
        <v>12448</v>
      </c>
      <c r="C1731" s="5">
        <v>40855</v>
      </c>
      <c r="D1731" s="3" t="s">
        <v>95</v>
      </c>
      <c r="E1731" s="1" t="s">
        <v>511</v>
      </c>
      <c r="F1731" s="1" t="s">
        <v>15</v>
      </c>
      <c r="G1731" s="2" t="s">
        <v>1</v>
      </c>
      <c r="H1731" s="3" t="s">
        <v>84</v>
      </c>
      <c r="I1731" s="3" t="s">
        <v>85</v>
      </c>
      <c r="J1731" s="3" t="s">
        <v>69</v>
      </c>
      <c r="K1731" s="4">
        <v>240.27</v>
      </c>
      <c r="L1731" s="6">
        <v>7.38</v>
      </c>
    </row>
    <row r="1732" spans="1:12" x14ac:dyDescent="0.25">
      <c r="A1732" s="1">
        <v>1731</v>
      </c>
      <c r="B1732" s="4">
        <v>12448</v>
      </c>
      <c r="C1732" s="5">
        <v>40855</v>
      </c>
      <c r="D1732" s="3" t="s">
        <v>95</v>
      </c>
      <c r="E1732" s="1" t="s">
        <v>511</v>
      </c>
      <c r="F1732" s="1" t="s">
        <v>15</v>
      </c>
      <c r="G1732" s="2" t="s">
        <v>1</v>
      </c>
      <c r="H1732" s="3" t="s">
        <v>84</v>
      </c>
      <c r="I1732" s="3" t="s">
        <v>91</v>
      </c>
      <c r="J1732" s="3" t="s">
        <v>72</v>
      </c>
      <c r="K1732" s="4">
        <v>6802.37</v>
      </c>
      <c r="L1732" s="6">
        <v>284.98</v>
      </c>
    </row>
    <row r="1733" spans="1:12" x14ac:dyDescent="0.25">
      <c r="A1733" s="1">
        <v>1732</v>
      </c>
      <c r="B1733" s="4">
        <v>12449</v>
      </c>
      <c r="C1733" s="5">
        <v>40209</v>
      </c>
      <c r="D1733" s="3" t="s">
        <v>4</v>
      </c>
      <c r="E1733" s="1" t="s">
        <v>804</v>
      </c>
      <c r="F1733" s="1" t="s">
        <v>36</v>
      </c>
      <c r="G1733" s="2" t="s">
        <v>2</v>
      </c>
      <c r="H1733" s="3" t="s">
        <v>84</v>
      </c>
      <c r="I1733" s="3" t="s">
        <v>92</v>
      </c>
      <c r="J1733" s="3" t="s">
        <v>62</v>
      </c>
      <c r="K1733" s="4">
        <v>1400.1</v>
      </c>
      <c r="L1733" s="6">
        <v>39.979999999999997</v>
      </c>
    </row>
    <row r="1734" spans="1:12" x14ac:dyDescent="0.25">
      <c r="A1734" s="1">
        <v>1733</v>
      </c>
      <c r="B1734" s="4">
        <v>12450</v>
      </c>
      <c r="C1734" s="5">
        <v>39884</v>
      </c>
      <c r="D1734" s="3" t="s">
        <v>86</v>
      </c>
      <c r="E1734" s="1" t="s">
        <v>569</v>
      </c>
      <c r="F1734" s="1" t="s">
        <v>55</v>
      </c>
      <c r="G1734" s="2" t="s">
        <v>2</v>
      </c>
      <c r="H1734" s="3" t="s">
        <v>84</v>
      </c>
      <c r="I1734" s="3" t="s">
        <v>92</v>
      </c>
      <c r="J1734" s="3" t="s">
        <v>62</v>
      </c>
      <c r="K1734" s="4">
        <v>1146.4100000000001</v>
      </c>
      <c r="L1734" s="6">
        <v>73.98</v>
      </c>
    </row>
    <row r="1735" spans="1:12" x14ac:dyDescent="0.25">
      <c r="A1735" s="1">
        <v>1734</v>
      </c>
      <c r="B1735" s="4">
        <v>12451</v>
      </c>
      <c r="C1735" s="5">
        <v>40287</v>
      </c>
      <c r="D1735" s="3" t="s">
        <v>82</v>
      </c>
      <c r="E1735" s="1" t="s">
        <v>716</v>
      </c>
      <c r="F1735" s="1" t="s">
        <v>23</v>
      </c>
      <c r="G1735" s="2" t="s">
        <v>3</v>
      </c>
      <c r="H1735" s="3" t="s">
        <v>84</v>
      </c>
      <c r="I1735" s="3" t="s">
        <v>91</v>
      </c>
      <c r="J1735" s="3" t="s">
        <v>68</v>
      </c>
      <c r="K1735" s="4">
        <v>3662.16</v>
      </c>
      <c r="L1735" s="6">
        <v>130.97999999999999</v>
      </c>
    </row>
    <row r="1736" spans="1:12" x14ac:dyDescent="0.25">
      <c r="A1736" s="1">
        <v>1735</v>
      </c>
      <c r="B1736" s="4">
        <v>12451</v>
      </c>
      <c r="C1736" s="5">
        <v>40287</v>
      </c>
      <c r="D1736" s="3" t="s">
        <v>82</v>
      </c>
      <c r="E1736" s="1" t="s">
        <v>716</v>
      </c>
      <c r="F1736" s="1" t="s">
        <v>23</v>
      </c>
      <c r="G1736" s="2" t="s">
        <v>3</v>
      </c>
      <c r="H1736" s="3" t="s">
        <v>84</v>
      </c>
      <c r="I1736" s="3" t="s">
        <v>85</v>
      </c>
      <c r="J1736" s="3" t="s">
        <v>57</v>
      </c>
      <c r="K1736" s="4">
        <v>329.37</v>
      </c>
      <c r="L1736" s="6">
        <v>15.14</v>
      </c>
    </row>
    <row r="1737" spans="1:12" x14ac:dyDescent="0.25">
      <c r="A1737" s="1">
        <v>1736</v>
      </c>
      <c r="B1737" s="4">
        <v>12452</v>
      </c>
      <c r="C1737" s="5">
        <v>40519</v>
      </c>
      <c r="D1737" s="3" t="s">
        <v>4</v>
      </c>
      <c r="E1737" s="1" t="s">
        <v>717</v>
      </c>
      <c r="F1737" s="1" t="s">
        <v>46</v>
      </c>
      <c r="G1737" s="2" t="s">
        <v>6</v>
      </c>
      <c r="H1737" s="3" t="s">
        <v>88</v>
      </c>
      <c r="I1737" s="3" t="s">
        <v>85</v>
      </c>
      <c r="J1737" s="3" t="s">
        <v>69</v>
      </c>
      <c r="K1737" s="4">
        <v>356.95</v>
      </c>
      <c r="L1737" s="6">
        <v>387.99</v>
      </c>
    </row>
    <row r="1738" spans="1:12" x14ac:dyDescent="0.25">
      <c r="A1738" s="1">
        <v>1737</v>
      </c>
      <c r="B1738" s="4">
        <v>12452</v>
      </c>
      <c r="C1738" s="5">
        <v>40519</v>
      </c>
      <c r="D1738" s="3" t="s">
        <v>4</v>
      </c>
      <c r="E1738" s="1" t="s">
        <v>805</v>
      </c>
      <c r="F1738" s="1" t="s">
        <v>46</v>
      </c>
      <c r="G1738" s="2" t="s">
        <v>6</v>
      </c>
      <c r="H1738" s="3" t="s">
        <v>88</v>
      </c>
      <c r="I1738" s="3" t="s">
        <v>92</v>
      </c>
      <c r="J1738" s="3" t="s">
        <v>62</v>
      </c>
      <c r="K1738" s="4">
        <v>112.86</v>
      </c>
      <c r="L1738" s="6">
        <v>6.6</v>
      </c>
    </row>
    <row r="1739" spans="1:12" x14ac:dyDescent="0.25">
      <c r="A1739" s="1">
        <v>1738</v>
      </c>
      <c r="B1739" s="4">
        <v>12452</v>
      </c>
      <c r="C1739" s="5">
        <v>40519</v>
      </c>
      <c r="D1739" s="3" t="s">
        <v>4</v>
      </c>
      <c r="E1739" s="1" t="s">
        <v>805</v>
      </c>
      <c r="F1739" s="1" t="s">
        <v>46</v>
      </c>
      <c r="G1739" s="2" t="s">
        <v>6</v>
      </c>
      <c r="H1739" s="3" t="s">
        <v>88</v>
      </c>
      <c r="I1739" s="3" t="s">
        <v>85</v>
      </c>
      <c r="J1739" s="3" t="s">
        <v>66</v>
      </c>
      <c r="K1739" s="4">
        <v>2063.42</v>
      </c>
      <c r="L1739" s="6">
        <v>55.98</v>
      </c>
    </row>
    <row r="1740" spans="1:12" x14ac:dyDescent="0.25">
      <c r="A1740" s="1">
        <v>1739</v>
      </c>
      <c r="B1740" s="4">
        <v>12480</v>
      </c>
      <c r="C1740" s="5">
        <v>40001</v>
      </c>
      <c r="D1740" s="3" t="s">
        <v>4</v>
      </c>
      <c r="E1740" s="1" t="s">
        <v>393</v>
      </c>
      <c r="F1740" s="1" t="s">
        <v>34</v>
      </c>
      <c r="G1740" s="2" t="s">
        <v>1</v>
      </c>
      <c r="H1740" s="3" t="s">
        <v>84</v>
      </c>
      <c r="I1740" s="3" t="s">
        <v>91</v>
      </c>
      <c r="J1740" s="3" t="s">
        <v>68</v>
      </c>
      <c r="K1740" s="4">
        <v>1187.01</v>
      </c>
      <c r="L1740" s="6">
        <v>137.47999999999999</v>
      </c>
    </row>
    <row r="1741" spans="1:12" x14ac:dyDescent="0.25">
      <c r="A1741" s="1">
        <v>1740</v>
      </c>
      <c r="B1741" s="4">
        <v>12481</v>
      </c>
      <c r="C1741" s="5">
        <v>40734</v>
      </c>
      <c r="D1741" s="3" t="s">
        <v>95</v>
      </c>
      <c r="E1741" s="1" t="s">
        <v>572</v>
      </c>
      <c r="F1741" s="1" t="s">
        <v>54</v>
      </c>
      <c r="G1741" s="2" t="s">
        <v>2</v>
      </c>
      <c r="H1741" s="3" t="s">
        <v>88</v>
      </c>
      <c r="I1741" s="3" t="s">
        <v>92</v>
      </c>
      <c r="J1741" s="3" t="s">
        <v>62</v>
      </c>
      <c r="K1741" s="4">
        <v>744</v>
      </c>
      <c r="L1741" s="6">
        <v>20.89</v>
      </c>
    </row>
    <row r="1742" spans="1:12" x14ac:dyDescent="0.25">
      <c r="A1742" s="1">
        <v>1741</v>
      </c>
      <c r="B1742" s="4">
        <v>12481</v>
      </c>
      <c r="C1742" s="5">
        <v>40734</v>
      </c>
      <c r="D1742" s="3" t="s">
        <v>95</v>
      </c>
      <c r="E1742" s="1" t="s">
        <v>572</v>
      </c>
      <c r="F1742" s="1" t="s">
        <v>54</v>
      </c>
      <c r="G1742" s="2" t="s">
        <v>2</v>
      </c>
      <c r="H1742" s="3" t="s">
        <v>88</v>
      </c>
      <c r="I1742" s="3" t="s">
        <v>92</v>
      </c>
      <c r="J1742" s="3" t="s">
        <v>61</v>
      </c>
      <c r="K1742" s="4">
        <v>388.86649999999997</v>
      </c>
      <c r="L1742" s="6">
        <v>35.99</v>
      </c>
    </row>
    <row r="1743" spans="1:12" x14ac:dyDescent="0.25">
      <c r="A1743" s="1">
        <v>1742</v>
      </c>
      <c r="B1743" s="4">
        <v>12483</v>
      </c>
      <c r="C1743" s="5">
        <v>40394</v>
      </c>
      <c r="D1743" s="3" t="s">
        <v>95</v>
      </c>
      <c r="E1743" s="1" t="s">
        <v>806</v>
      </c>
      <c r="F1743" s="1" t="s">
        <v>23</v>
      </c>
      <c r="G1743" s="2" t="s">
        <v>3</v>
      </c>
      <c r="H1743" s="3" t="s">
        <v>97</v>
      </c>
      <c r="I1743" s="3" t="s">
        <v>85</v>
      </c>
      <c r="J1743" s="3" t="s">
        <v>69</v>
      </c>
      <c r="K1743" s="4">
        <v>1676.44</v>
      </c>
      <c r="L1743" s="6">
        <v>120.98</v>
      </c>
    </row>
    <row r="1744" spans="1:12" x14ac:dyDescent="0.25">
      <c r="A1744" s="1">
        <v>1743</v>
      </c>
      <c r="B1744" s="4">
        <v>12483</v>
      </c>
      <c r="C1744" s="5">
        <v>40394</v>
      </c>
      <c r="D1744" s="3" t="s">
        <v>95</v>
      </c>
      <c r="E1744" s="1" t="s">
        <v>806</v>
      </c>
      <c r="F1744" s="1" t="s">
        <v>23</v>
      </c>
      <c r="G1744" s="2" t="s">
        <v>3</v>
      </c>
      <c r="H1744" s="3" t="s">
        <v>97</v>
      </c>
      <c r="I1744" s="3" t="s">
        <v>91</v>
      </c>
      <c r="J1744" s="3" t="s">
        <v>68</v>
      </c>
      <c r="K1744" s="4">
        <v>1406.07</v>
      </c>
      <c r="L1744" s="6">
        <v>100.98</v>
      </c>
    </row>
    <row r="1745" spans="1:12" x14ac:dyDescent="0.25">
      <c r="A1745" s="1">
        <v>1744</v>
      </c>
      <c r="B1745" s="4">
        <v>12483</v>
      </c>
      <c r="C1745" s="5">
        <v>40394</v>
      </c>
      <c r="D1745" s="3" t="s">
        <v>95</v>
      </c>
      <c r="E1745" s="1" t="s">
        <v>806</v>
      </c>
      <c r="F1745" s="1" t="s">
        <v>23</v>
      </c>
      <c r="G1745" s="2" t="s">
        <v>3</v>
      </c>
      <c r="H1745" s="3" t="s">
        <v>97</v>
      </c>
      <c r="I1745" s="3" t="s">
        <v>85</v>
      </c>
      <c r="J1745" s="3" t="s">
        <v>57</v>
      </c>
      <c r="K1745" s="4">
        <v>1771.67</v>
      </c>
      <c r="L1745" s="6">
        <v>59.76</v>
      </c>
    </row>
    <row r="1746" spans="1:12" x14ac:dyDescent="0.25">
      <c r="A1746" s="1">
        <v>1745</v>
      </c>
      <c r="B1746" s="4">
        <v>12485</v>
      </c>
      <c r="C1746" s="5">
        <v>40397</v>
      </c>
      <c r="D1746" s="3" t="s">
        <v>95</v>
      </c>
      <c r="E1746" s="1" t="s">
        <v>345</v>
      </c>
      <c r="F1746" s="1" t="s">
        <v>8</v>
      </c>
      <c r="G1746" s="2" t="s">
        <v>6</v>
      </c>
      <c r="H1746" s="3" t="s">
        <v>97</v>
      </c>
      <c r="I1746" s="3" t="s">
        <v>91</v>
      </c>
      <c r="J1746" s="3" t="s">
        <v>72</v>
      </c>
      <c r="K1746" s="4">
        <v>5407.31</v>
      </c>
      <c r="L1746" s="6">
        <v>226.67</v>
      </c>
    </row>
    <row r="1747" spans="1:12" x14ac:dyDescent="0.25">
      <c r="A1747" s="1">
        <v>1746</v>
      </c>
      <c r="B1747" s="4">
        <v>12486</v>
      </c>
      <c r="C1747" s="5">
        <v>40594</v>
      </c>
      <c r="D1747" s="3" t="s">
        <v>89</v>
      </c>
      <c r="E1747" s="1" t="s">
        <v>253</v>
      </c>
      <c r="F1747" s="1" t="s">
        <v>24</v>
      </c>
      <c r="G1747" s="2" t="s">
        <v>2</v>
      </c>
      <c r="H1747" s="3" t="s">
        <v>88</v>
      </c>
      <c r="I1747" s="3" t="s">
        <v>91</v>
      </c>
      <c r="J1747" s="3" t="s">
        <v>68</v>
      </c>
      <c r="K1747" s="4">
        <v>3081.33</v>
      </c>
      <c r="L1747" s="6">
        <v>100.98</v>
      </c>
    </row>
    <row r="1748" spans="1:12" x14ac:dyDescent="0.25">
      <c r="A1748" s="1">
        <v>1747</v>
      </c>
      <c r="B1748" s="4">
        <v>12486</v>
      </c>
      <c r="C1748" s="5">
        <v>40594</v>
      </c>
      <c r="D1748" s="3" t="s">
        <v>89</v>
      </c>
      <c r="E1748" s="1" t="s">
        <v>807</v>
      </c>
      <c r="F1748" s="1" t="s">
        <v>24</v>
      </c>
      <c r="G1748" s="2" t="s">
        <v>2</v>
      </c>
      <c r="H1748" s="3" t="s">
        <v>88</v>
      </c>
      <c r="I1748" s="3" t="s">
        <v>85</v>
      </c>
      <c r="J1748" s="3" t="s">
        <v>70</v>
      </c>
      <c r="K1748" s="4">
        <v>1692.56</v>
      </c>
      <c r="L1748" s="6">
        <v>40.98</v>
      </c>
    </row>
    <row r="1749" spans="1:12" x14ac:dyDescent="0.25">
      <c r="A1749" s="1">
        <v>1748</v>
      </c>
      <c r="B1749" s="4">
        <v>12515</v>
      </c>
      <c r="C1749" s="5">
        <v>40311</v>
      </c>
      <c r="D1749" s="3" t="s">
        <v>4</v>
      </c>
      <c r="E1749" s="1" t="s">
        <v>808</v>
      </c>
      <c r="F1749" s="1" t="s">
        <v>20</v>
      </c>
      <c r="G1749" s="2" t="s">
        <v>1</v>
      </c>
      <c r="H1749" s="3" t="s">
        <v>84</v>
      </c>
      <c r="I1749" s="3" t="s">
        <v>92</v>
      </c>
      <c r="J1749" s="3" t="s">
        <v>61</v>
      </c>
      <c r="K1749" s="4">
        <v>1702.499</v>
      </c>
      <c r="L1749" s="6">
        <v>125.99</v>
      </c>
    </row>
    <row r="1750" spans="1:12" x14ac:dyDescent="0.25">
      <c r="A1750" s="1">
        <v>1749</v>
      </c>
      <c r="B1750" s="4">
        <v>12516</v>
      </c>
      <c r="C1750" s="5">
        <v>39957</v>
      </c>
      <c r="D1750" s="3" t="s">
        <v>82</v>
      </c>
      <c r="E1750" s="1" t="s">
        <v>110</v>
      </c>
      <c r="F1750" s="1" t="s">
        <v>34</v>
      </c>
      <c r="G1750" s="2" t="s">
        <v>1</v>
      </c>
      <c r="H1750" s="3" t="s">
        <v>97</v>
      </c>
      <c r="I1750" s="3" t="s">
        <v>92</v>
      </c>
      <c r="J1750" s="3" t="s">
        <v>67</v>
      </c>
      <c r="K1750" s="4">
        <v>2360.4299999999998</v>
      </c>
      <c r="L1750" s="6">
        <v>80.97</v>
      </c>
    </row>
    <row r="1751" spans="1:12" x14ac:dyDescent="0.25">
      <c r="A1751" s="1">
        <v>1750</v>
      </c>
      <c r="B1751" s="4">
        <v>12516</v>
      </c>
      <c r="C1751" s="5">
        <v>39957</v>
      </c>
      <c r="D1751" s="3" t="s">
        <v>82</v>
      </c>
      <c r="E1751" s="1" t="s">
        <v>110</v>
      </c>
      <c r="F1751" s="1" t="s">
        <v>34</v>
      </c>
      <c r="G1751" s="2" t="s">
        <v>1</v>
      </c>
      <c r="H1751" s="3" t="s">
        <v>97</v>
      </c>
      <c r="I1751" s="3" t="s">
        <v>85</v>
      </c>
      <c r="J1751" s="3" t="s">
        <v>66</v>
      </c>
      <c r="K1751" s="4">
        <v>154.6</v>
      </c>
      <c r="L1751" s="6">
        <v>6.48</v>
      </c>
    </row>
    <row r="1752" spans="1:12" x14ac:dyDescent="0.25">
      <c r="A1752" s="1">
        <v>1751</v>
      </c>
      <c r="B1752" s="4">
        <v>12544</v>
      </c>
      <c r="C1752" s="5">
        <v>39875</v>
      </c>
      <c r="D1752" s="3" t="s">
        <v>82</v>
      </c>
      <c r="E1752" s="1" t="s">
        <v>227</v>
      </c>
      <c r="F1752" s="1" t="s">
        <v>8</v>
      </c>
      <c r="G1752" s="2" t="s">
        <v>6</v>
      </c>
      <c r="H1752" s="3" t="s">
        <v>88</v>
      </c>
      <c r="I1752" s="3" t="s">
        <v>91</v>
      </c>
      <c r="J1752" s="3" t="s">
        <v>59</v>
      </c>
      <c r="K1752" s="4">
        <v>74.3</v>
      </c>
      <c r="L1752" s="6">
        <v>2.08</v>
      </c>
    </row>
    <row r="1753" spans="1:12" x14ac:dyDescent="0.25">
      <c r="A1753" s="1">
        <v>1752</v>
      </c>
      <c r="B1753" s="4">
        <v>12551</v>
      </c>
      <c r="C1753" s="5">
        <v>41071</v>
      </c>
      <c r="D1753" s="3" t="s">
        <v>82</v>
      </c>
      <c r="E1753" s="1" t="s">
        <v>809</v>
      </c>
      <c r="F1753" s="1" t="s">
        <v>13</v>
      </c>
      <c r="G1753" s="2" t="s">
        <v>6</v>
      </c>
      <c r="H1753" s="3" t="s">
        <v>84</v>
      </c>
      <c r="I1753" s="3" t="s">
        <v>92</v>
      </c>
      <c r="J1753" s="3" t="s">
        <v>61</v>
      </c>
      <c r="K1753" s="4">
        <v>5023.2534999999998</v>
      </c>
      <c r="L1753" s="6">
        <v>125.99</v>
      </c>
    </row>
    <row r="1754" spans="1:12" x14ac:dyDescent="0.25">
      <c r="A1754" s="1">
        <v>1753</v>
      </c>
      <c r="B1754" s="4">
        <v>12579</v>
      </c>
      <c r="C1754" s="5">
        <v>40710</v>
      </c>
      <c r="D1754" s="3" t="s">
        <v>86</v>
      </c>
      <c r="E1754" s="1" t="s">
        <v>637</v>
      </c>
      <c r="F1754" s="1" t="s">
        <v>30</v>
      </c>
      <c r="G1754" s="2" t="s">
        <v>6</v>
      </c>
      <c r="H1754" s="3" t="s">
        <v>97</v>
      </c>
      <c r="I1754" s="3" t="s">
        <v>85</v>
      </c>
      <c r="J1754" s="3" t="s">
        <v>66</v>
      </c>
      <c r="K1754" s="4">
        <v>70.33</v>
      </c>
      <c r="L1754" s="6">
        <v>15.04</v>
      </c>
    </row>
    <row r="1755" spans="1:12" x14ac:dyDescent="0.25">
      <c r="A1755" s="1">
        <v>1754</v>
      </c>
      <c r="B1755" s="4">
        <v>12580</v>
      </c>
      <c r="C1755" s="5">
        <v>40191</v>
      </c>
      <c r="D1755" s="3" t="s">
        <v>82</v>
      </c>
      <c r="E1755" s="1" t="s">
        <v>810</v>
      </c>
      <c r="F1755" s="1" t="s">
        <v>20</v>
      </c>
      <c r="G1755" s="2" t="s">
        <v>1</v>
      </c>
      <c r="H1755" s="3" t="s">
        <v>84</v>
      </c>
      <c r="I1755" s="3" t="s">
        <v>85</v>
      </c>
      <c r="J1755" s="3" t="s">
        <v>63</v>
      </c>
      <c r="K1755" s="4">
        <v>140.72</v>
      </c>
      <c r="L1755" s="6">
        <v>3.28</v>
      </c>
    </row>
    <row r="1756" spans="1:12" x14ac:dyDescent="0.25">
      <c r="A1756" s="1">
        <v>1755</v>
      </c>
      <c r="B1756" s="4">
        <v>12580</v>
      </c>
      <c r="C1756" s="5">
        <v>40191</v>
      </c>
      <c r="D1756" s="3" t="s">
        <v>82</v>
      </c>
      <c r="E1756" s="1" t="s">
        <v>253</v>
      </c>
      <c r="F1756" s="1" t="s">
        <v>24</v>
      </c>
      <c r="G1756" s="2" t="s">
        <v>2</v>
      </c>
      <c r="H1756" s="3" t="s">
        <v>84</v>
      </c>
      <c r="I1756" s="3" t="s">
        <v>85</v>
      </c>
      <c r="J1756" s="3" t="s">
        <v>69</v>
      </c>
      <c r="K1756" s="4">
        <v>8038.08</v>
      </c>
      <c r="L1756" s="6">
        <v>172.99</v>
      </c>
    </row>
    <row r="1757" spans="1:12" x14ac:dyDescent="0.25">
      <c r="A1757" s="1">
        <v>1756</v>
      </c>
      <c r="B1757" s="4">
        <v>12581</v>
      </c>
      <c r="C1757" s="5">
        <v>40106</v>
      </c>
      <c r="D1757" s="3" t="s">
        <v>89</v>
      </c>
      <c r="E1757" s="1" t="s">
        <v>681</v>
      </c>
      <c r="F1757" s="1" t="s">
        <v>9</v>
      </c>
      <c r="G1757" s="2" t="s">
        <v>2</v>
      </c>
      <c r="H1757" s="3" t="s">
        <v>84</v>
      </c>
      <c r="I1757" s="3" t="s">
        <v>92</v>
      </c>
      <c r="J1757" s="3" t="s">
        <v>61</v>
      </c>
      <c r="K1757" s="4">
        <v>1768.9689999999998</v>
      </c>
      <c r="L1757" s="6">
        <v>65.989999999999995</v>
      </c>
    </row>
    <row r="1758" spans="1:12" x14ac:dyDescent="0.25">
      <c r="A1758" s="1">
        <v>1757</v>
      </c>
      <c r="B1758" s="4">
        <v>12611</v>
      </c>
      <c r="C1758" s="5">
        <v>40831</v>
      </c>
      <c r="D1758" s="3" t="s">
        <v>4</v>
      </c>
      <c r="E1758" s="1" t="s">
        <v>543</v>
      </c>
      <c r="F1758" s="1" t="s">
        <v>52</v>
      </c>
      <c r="G1758" s="2" t="s">
        <v>3</v>
      </c>
      <c r="H1758" s="3" t="s">
        <v>97</v>
      </c>
      <c r="I1758" s="3" t="s">
        <v>85</v>
      </c>
      <c r="J1758" s="3" t="s">
        <v>69</v>
      </c>
      <c r="K1758" s="4">
        <v>189.99</v>
      </c>
      <c r="L1758" s="6">
        <v>12.97</v>
      </c>
    </row>
    <row r="1759" spans="1:12" x14ac:dyDescent="0.25">
      <c r="A1759" s="1">
        <v>1758</v>
      </c>
      <c r="B1759" s="4">
        <v>12612</v>
      </c>
      <c r="C1759" s="5">
        <v>40533</v>
      </c>
      <c r="D1759" s="3" t="s">
        <v>82</v>
      </c>
      <c r="E1759" s="1" t="s">
        <v>811</v>
      </c>
      <c r="F1759" s="1" t="s">
        <v>24</v>
      </c>
      <c r="G1759" s="2" t="s">
        <v>2</v>
      </c>
      <c r="H1759" s="3" t="s">
        <v>97</v>
      </c>
      <c r="I1759" s="3" t="s">
        <v>85</v>
      </c>
      <c r="J1759" s="3" t="s">
        <v>70</v>
      </c>
      <c r="K1759" s="4">
        <v>2360.98</v>
      </c>
      <c r="L1759" s="6">
        <v>78.650000000000006</v>
      </c>
    </row>
    <row r="1760" spans="1:12" x14ac:dyDescent="0.25">
      <c r="A1760" s="1">
        <v>1759</v>
      </c>
      <c r="B1760" s="4">
        <v>12612</v>
      </c>
      <c r="C1760" s="5">
        <v>40533</v>
      </c>
      <c r="D1760" s="3" t="s">
        <v>82</v>
      </c>
      <c r="E1760" s="1" t="s">
        <v>811</v>
      </c>
      <c r="F1760" s="1" t="s">
        <v>24</v>
      </c>
      <c r="G1760" s="2" t="s">
        <v>2</v>
      </c>
      <c r="H1760" s="3" t="s">
        <v>97</v>
      </c>
      <c r="I1760" s="3" t="s">
        <v>85</v>
      </c>
      <c r="J1760" s="3" t="s">
        <v>65</v>
      </c>
      <c r="K1760" s="4">
        <v>182.2</v>
      </c>
      <c r="L1760" s="6">
        <v>3.75</v>
      </c>
    </row>
    <row r="1761" spans="1:12" x14ac:dyDescent="0.25">
      <c r="A1761" s="1">
        <v>1760</v>
      </c>
      <c r="B1761" s="4">
        <v>12613</v>
      </c>
      <c r="C1761" s="5">
        <v>40278</v>
      </c>
      <c r="D1761" s="3" t="s">
        <v>4</v>
      </c>
      <c r="E1761" s="1" t="s">
        <v>374</v>
      </c>
      <c r="F1761" s="1" t="s">
        <v>45</v>
      </c>
      <c r="G1761" s="2" t="s">
        <v>3</v>
      </c>
      <c r="H1761" s="3" t="s">
        <v>100</v>
      </c>
      <c r="I1761" s="3" t="s">
        <v>85</v>
      </c>
      <c r="J1761" s="3" t="s">
        <v>69</v>
      </c>
      <c r="K1761" s="4">
        <v>15.64</v>
      </c>
      <c r="L1761" s="6">
        <v>3.36</v>
      </c>
    </row>
    <row r="1762" spans="1:12" x14ac:dyDescent="0.25">
      <c r="A1762" s="1">
        <v>1761</v>
      </c>
      <c r="B1762" s="4">
        <v>12613</v>
      </c>
      <c r="C1762" s="5">
        <v>40278</v>
      </c>
      <c r="D1762" s="3" t="s">
        <v>4</v>
      </c>
      <c r="E1762" s="1" t="s">
        <v>374</v>
      </c>
      <c r="F1762" s="1" t="s">
        <v>45</v>
      </c>
      <c r="G1762" s="2" t="s">
        <v>3</v>
      </c>
      <c r="H1762" s="3" t="s">
        <v>100</v>
      </c>
      <c r="I1762" s="3" t="s">
        <v>85</v>
      </c>
      <c r="J1762" s="3" t="s">
        <v>69</v>
      </c>
      <c r="K1762" s="4">
        <v>1751.08</v>
      </c>
      <c r="L1762" s="6">
        <v>59.78</v>
      </c>
    </row>
    <row r="1763" spans="1:12" x14ac:dyDescent="0.25">
      <c r="A1763" s="1">
        <v>1762</v>
      </c>
      <c r="B1763" s="4">
        <v>12613</v>
      </c>
      <c r="C1763" s="5">
        <v>40278</v>
      </c>
      <c r="D1763" s="3" t="s">
        <v>4</v>
      </c>
      <c r="E1763" s="1" t="s">
        <v>374</v>
      </c>
      <c r="F1763" s="1" t="s">
        <v>45</v>
      </c>
      <c r="G1763" s="2" t="s">
        <v>3</v>
      </c>
      <c r="H1763" s="3" t="s">
        <v>100</v>
      </c>
      <c r="I1763" s="3" t="s">
        <v>91</v>
      </c>
      <c r="J1763" s="3" t="s">
        <v>59</v>
      </c>
      <c r="K1763" s="4">
        <v>225.37</v>
      </c>
      <c r="L1763" s="6">
        <v>12.22</v>
      </c>
    </row>
    <row r="1764" spans="1:12" x14ac:dyDescent="0.25">
      <c r="A1764" s="1">
        <v>1763</v>
      </c>
      <c r="B1764" s="4">
        <v>12641</v>
      </c>
      <c r="C1764" s="5">
        <v>40596</v>
      </c>
      <c r="D1764" s="3" t="s">
        <v>82</v>
      </c>
      <c r="E1764" s="1" t="s">
        <v>812</v>
      </c>
      <c r="F1764" s="1" t="s">
        <v>33</v>
      </c>
      <c r="G1764" s="2" t="s">
        <v>2</v>
      </c>
      <c r="H1764" s="3" t="s">
        <v>97</v>
      </c>
      <c r="I1764" s="3" t="s">
        <v>85</v>
      </c>
      <c r="J1764" s="3" t="s">
        <v>66</v>
      </c>
      <c r="K1764" s="4">
        <v>107.12</v>
      </c>
      <c r="L1764" s="6">
        <v>55.98</v>
      </c>
    </row>
    <row r="1765" spans="1:12" x14ac:dyDescent="0.25">
      <c r="A1765" s="1">
        <v>1764</v>
      </c>
      <c r="B1765" s="4">
        <v>12641</v>
      </c>
      <c r="C1765" s="5">
        <v>40596</v>
      </c>
      <c r="D1765" s="3" t="s">
        <v>82</v>
      </c>
      <c r="E1765" s="1" t="s">
        <v>812</v>
      </c>
      <c r="F1765" s="1" t="s">
        <v>33</v>
      </c>
      <c r="G1765" s="2" t="s">
        <v>2</v>
      </c>
      <c r="H1765" s="3" t="s">
        <v>97</v>
      </c>
      <c r="I1765" s="3" t="s">
        <v>85</v>
      </c>
      <c r="J1765" s="3" t="s">
        <v>66</v>
      </c>
      <c r="K1765" s="4">
        <v>676.24</v>
      </c>
      <c r="L1765" s="6">
        <v>26.38</v>
      </c>
    </row>
    <row r="1766" spans="1:12" x14ac:dyDescent="0.25">
      <c r="A1766" s="1">
        <v>1765</v>
      </c>
      <c r="B1766" s="4">
        <v>12641</v>
      </c>
      <c r="C1766" s="5">
        <v>40596</v>
      </c>
      <c r="D1766" s="3" t="s">
        <v>82</v>
      </c>
      <c r="E1766" s="1" t="s">
        <v>812</v>
      </c>
      <c r="F1766" s="1" t="s">
        <v>33</v>
      </c>
      <c r="G1766" s="2" t="s">
        <v>2</v>
      </c>
      <c r="H1766" s="3" t="s">
        <v>97</v>
      </c>
      <c r="I1766" s="3" t="s">
        <v>85</v>
      </c>
      <c r="J1766" s="3" t="s">
        <v>57</v>
      </c>
      <c r="K1766" s="4">
        <v>3668.6</v>
      </c>
      <c r="L1766" s="6">
        <v>155.06</v>
      </c>
    </row>
    <row r="1767" spans="1:12" x14ac:dyDescent="0.25">
      <c r="A1767" s="1">
        <v>1766</v>
      </c>
      <c r="B1767" s="4">
        <v>12642</v>
      </c>
      <c r="C1767" s="5">
        <v>39930</v>
      </c>
      <c r="D1767" s="3" t="s">
        <v>95</v>
      </c>
      <c r="E1767" s="1" t="s">
        <v>469</v>
      </c>
      <c r="F1767" s="1" t="s">
        <v>10</v>
      </c>
      <c r="G1767" s="2" t="s">
        <v>3</v>
      </c>
      <c r="H1767" s="3" t="s">
        <v>97</v>
      </c>
      <c r="I1767" s="3" t="s">
        <v>85</v>
      </c>
      <c r="J1767" s="3" t="s">
        <v>69</v>
      </c>
      <c r="K1767" s="4">
        <v>564.85</v>
      </c>
      <c r="L1767" s="6">
        <v>58.1</v>
      </c>
    </row>
    <row r="1768" spans="1:12" x14ac:dyDescent="0.25">
      <c r="A1768" s="1">
        <v>1767</v>
      </c>
      <c r="B1768" s="4">
        <v>12642</v>
      </c>
      <c r="C1768" s="5">
        <v>39930</v>
      </c>
      <c r="D1768" s="3" t="s">
        <v>95</v>
      </c>
      <c r="E1768" s="1" t="s">
        <v>469</v>
      </c>
      <c r="F1768" s="1" t="s">
        <v>10</v>
      </c>
      <c r="G1768" s="2" t="s">
        <v>3</v>
      </c>
      <c r="H1768" s="3" t="s">
        <v>97</v>
      </c>
      <c r="I1768" s="3" t="s">
        <v>92</v>
      </c>
      <c r="J1768" s="3" t="s">
        <v>62</v>
      </c>
      <c r="K1768" s="4">
        <v>572.33000000000004</v>
      </c>
      <c r="L1768" s="6">
        <v>39.979999999999997</v>
      </c>
    </row>
    <row r="1769" spans="1:12" x14ac:dyDescent="0.25">
      <c r="A1769" s="1">
        <v>1768</v>
      </c>
      <c r="B1769" s="4">
        <v>12643</v>
      </c>
      <c r="C1769" s="5">
        <v>40256</v>
      </c>
      <c r="D1769" s="3" t="s">
        <v>82</v>
      </c>
      <c r="E1769" s="1" t="s">
        <v>210</v>
      </c>
      <c r="F1769" s="1" t="s">
        <v>27</v>
      </c>
      <c r="G1769" s="2" t="s">
        <v>1</v>
      </c>
      <c r="H1769" s="3" t="s">
        <v>84</v>
      </c>
      <c r="I1769" s="3" t="s">
        <v>85</v>
      </c>
      <c r="J1769" s="3" t="s">
        <v>66</v>
      </c>
      <c r="K1769" s="4">
        <v>345.69</v>
      </c>
      <c r="L1769" s="6">
        <v>15.04</v>
      </c>
    </row>
    <row r="1770" spans="1:12" x14ac:dyDescent="0.25">
      <c r="A1770" s="1">
        <v>1769</v>
      </c>
      <c r="B1770" s="4">
        <v>12676</v>
      </c>
      <c r="C1770" s="5">
        <v>39828</v>
      </c>
      <c r="D1770" s="3" t="s">
        <v>89</v>
      </c>
      <c r="E1770" s="1" t="s">
        <v>813</v>
      </c>
      <c r="F1770" s="1" t="s">
        <v>52</v>
      </c>
      <c r="G1770" s="2" t="s">
        <v>3</v>
      </c>
      <c r="H1770" s="3" t="s">
        <v>97</v>
      </c>
      <c r="I1770" s="3" t="s">
        <v>91</v>
      </c>
      <c r="J1770" s="3" t="s">
        <v>59</v>
      </c>
      <c r="K1770" s="4">
        <v>201.06</v>
      </c>
      <c r="L1770" s="6">
        <v>8.09</v>
      </c>
    </row>
    <row r="1771" spans="1:12" x14ac:dyDescent="0.25">
      <c r="A1771" s="1">
        <v>1770</v>
      </c>
      <c r="B1771" s="4">
        <v>12704</v>
      </c>
      <c r="C1771" s="5">
        <v>40218</v>
      </c>
      <c r="D1771" s="3" t="s">
        <v>82</v>
      </c>
      <c r="E1771" s="1" t="s">
        <v>154</v>
      </c>
      <c r="F1771" s="1" t="s">
        <v>8</v>
      </c>
      <c r="G1771" s="2" t="s">
        <v>6</v>
      </c>
      <c r="H1771" s="3" t="s">
        <v>84</v>
      </c>
      <c r="I1771" s="3" t="s">
        <v>92</v>
      </c>
      <c r="J1771" s="3" t="s">
        <v>73</v>
      </c>
      <c r="K1771" s="4">
        <v>21506.77</v>
      </c>
      <c r="L1771" s="6">
        <v>499.99</v>
      </c>
    </row>
    <row r="1772" spans="1:12" x14ac:dyDescent="0.25">
      <c r="A1772" s="1">
        <v>1771</v>
      </c>
      <c r="B1772" s="4">
        <v>12704</v>
      </c>
      <c r="C1772" s="5">
        <v>40218</v>
      </c>
      <c r="D1772" s="3" t="s">
        <v>82</v>
      </c>
      <c r="E1772" s="1" t="s">
        <v>154</v>
      </c>
      <c r="F1772" s="1" t="s">
        <v>8</v>
      </c>
      <c r="G1772" s="2" t="s">
        <v>6</v>
      </c>
      <c r="H1772" s="3" t="s">
        <v>84</v>
      </c>
      <c r="I1772" s="3" t="s">
        <v>85</v>
      </c>
      <c r="J1772" s="3" t="s">
        <v>57</v>
      </c>
      <c r="K1772" s="4">
        <v>669.02</v>
      </c>
      <c r="L1772" s="6">
        <v>20.98</v>
      </c>
    </row>
    <row r="1773" spans="1:12" x14ac:dyDescent="0.25">
      <c r="A1773" s="1">
        <v>1772</v>
      </c>
      <c r="B1773" s="4">
        <v>12706</v>
      </c>
      <c r="C1773" s="5">
        <v>40137</v>
      </c>
      <c r="D1773" s="3" t="s">
        <v>95</v>
      </c>
      <c r="E1773" s="1" t="s">
        <v>253</v>
      </c>
      <c r="F1773" s="1" t="s">
        <v>24</v>
      </c>
      <c r="G1773" s="2" t="s">
        <v>2</v>
      </c>
      <c r="H1773" s="3" t="s">
        <v>88</v>
      </c>
      <c r="I1773" s="3" t="s">
        <v>91</v>
      </c>
      <c r="J1773" s="3" t="s">
        <v>68</v>
      </c>
      <c r="K1773" s="4">
        <v>2494.69</v>
      </c>
      <c r="L1773" s="6">
        <v>58.14</v>
      </c>
    </row>
    <row r="1774" spans="1:12" x14ac:dyDescent="0.25">
      <c r="A1774" s="1">
        <v>1773</v>
      </c>
      <c r="B1774" s="4">
        <v>12707</v>
      </c>
      <c r="C1774" s="5">
        <v>40327</v>
      </c>
      <c r="D1774" s="3" t="s">
        <v>89</v>
      </c>
      <c r="E1774" s="1" t="s">
        <v>689</v>
      </c>
      <c r="F1774" s="1" t="s">
        <v>12</v>
      </c>
      <c r="G1774" s="2" t="s">
        <v>2</v>
      </c>
      <c r="H1774" s="3" t="s">
        <v>84</v>
      </c>
      <c r="I1774" s="3" t="s">
        <v>91</v>
      </c>
      <c r="J1774" s="3" t="s">
        <v>59</v>
      </c>
      <c r="K1774" s="4">
        <v>2213.92</v>
      </c>
      <c r="L1774" s="6">
        <v>105.98</v>
      </c>
    </row>
    <row r="1775" spans="1:12" x14ac:dyDescent="0.25">
      <c r="A1775" s="1">
        <v>1774</v>
      </c>
      <c r="B1775" s="4">
        <v>12708</v>
      </c>
      <c r="C1775" s="5">
        <v>40185</v>
      </c>
      <c r="D1775" s="3" t="s">
        <v>82</v>
      </c>
      <c r="E1775" s="1" t="s">
        <v>742</v>
      </c>
      <c r="F1775" s="1" t="s">
        <v>24</v>
      </c>
      <c r="G1775" s="2" t="s">
        <v>2</v>
      </c>
      <c r="H1775" s="3" t="s">
        <v>88</v>
      </c>
      <c r="I1775" s="3" t="s">
        <v>85</v>
      </c>
      <c r="J1775" s="3" t="s">
        <v>63</v>
      </c>
      <c r="K1775" s="4">
        <v>159.41</v>
      </c>
      <c r="L1775" s="6">
        <v>3.28</v>
      </c>
    </row>
    <row r="1776" spans="1:12" x14ac:dyDescent="0.25">
      <c r="A1776" s="1">
        <v>1775</v>
      </c>
      <c r="B1776" s="4">
        <v>12710</v>
      </c>
      <c r="C1776" s="5">
        <v>40407</v>
      </c>
      <c r="D1776" s="3" t="s">
        <v>95</v>
      </c>
      <c r="E1776" s="1" t="s">
        <v>485</v>
      </c>
      <c r="F1776" s="1" t="s">
        <v>25</v>
      </c>
      <c r="G1776" s="2" t="s">
        <v>6</v>
      </c>
      <c r="H1776" s="3" t="s">
        <v>84</v>
      </c>
      <c r="I1776" s="3" t="s">
        <v>85</v>
      </c>
      <c r="J1776" s="3" t="s">
        <v>66</v>
      </c>
      <c r="K1776" s="4">
        <v>2116.62</v>
      </c>
      <c r="L1776" s="6">
        <v>55.98</v>
      </c>
    </row>
    <row r="1777" spans="1:12" x14ac:dyDescent="0.25">
      <c r="A1777" s="1">
        <v>1776</v>
      </c>
      <c r="B1777" s="4">
        <v>12711</v>
      </c>
      <c r="C1777" s="5">
        <v>40958</v>
      </c>
      <c r="D1777" s="3" t="s">
        <v>95</v>
      </c>
      <c r="E1777" s="1" t="s">
        <v>216</v>
      </c>
      <c r="F1777" s="1" t="s">
        <v>45</v>
      </c>
      <c r="G1777" s="2" t="s">
        <v>3</v>
      </c>
      <c r="H1777" s="3" t="s">
        <v>88</v>
      </c>
      <c r="I1777" s="3" t="s">
        <v>85</v>
      </c>
      <c r="J1777" s="3" t="s">
        <v>63</v>
      </c>
      <c r="K1777" s="4">
        <v>1486.72</v>
      </c>
      <c r="L1777" s="6">
        <v>43.98</v>
      </c>
    </row>
    <row r="1778" spans="1:12" x14ac:dyDescent="0.25">
      <c r="A1778" s="1">
        <v>1777</v>
      </c>
      <c r="B1778" s="4">
        <v>12711</v>
      </c>
      <c r="C1778" s="5">
        <v>40958</v>
      </c>
      <c r="D1778" s="3" t="s">
        <v>95</v>
      </c>
      <c r="E1778" s="1" t="s">
        <v>814</v>
      </c>
      <c r="F1778" s="1" t="s">
        <v>45</v>
      </c>
      <c r="G1778" s="2" t="s">
        <v>3</v>
      </c>
      <c r="H1778" s="3" t="s">
        <v>88</v>
      </c>
      <c r="I1778" s="3" t="s">
        <v>85</v>
      </c>
      <c r="J1778" s="3" t="s">
        <v>58</v>
      </c>
      <c r="K1778" s="4">
        <v>558.04</v>
      </c>
      <c r="L1778" s="6">
        <v>12.98</v>
      </c>
    </row>
    <row r="1779" spans="1:12" x14ac:dyDescent="0.25">
      <c r="A1779" s="1">
        <v>1778</v>
      </c>
      <c r="B1779" s="4">
        <v>12736</v>
      </c>
      <c r="C1779" s="5">
        <v>40245</v>
      </c>
      <c r="D1779" s="3" t="s">
        <v>82</v>
      </c>
      <c r="E1779" s="1" t="s">
        <v>138</v>
      </c>
      <c r="F1779" s="1" t="s">
        <v>13</v>
      </c>
      <c r="G1779" s="2" t="s">
        <v>6</v>
      </c>
      <c r="H1779" s="3" t="s">
        <v>84</v>
      </c>
      <c r="I1779" s="3" t="s">
        <v>91</v>
      </c>
      <c r="J1779" s="3" t="s">
        <v>59</v>
      </c>
      <c r="K1779" s="4">
        <v>25.52</v>
      </c>
      <c r="L1779" s="6">
        <v>9.65</v>
      </c>
    </row>
    <row r="1780" spans="1:12" x14ac:dyDescent="0.25">
      <c r="A1780" s="1">
        <v>1779</v>
      </c>
      <c r="B1780" s="4">
        <v>12743</v>
      </c>
      <c r="C1780" s="5">
        <v>40352</v>
      </c>
      <c r="D1780" s="3" t="s">
        <v>89</v>
      </c>
      <c r="E1780" s="1" t="s">
        <v>110</v>
      </c>
      <c r="F1780" s="1" t="s">
        <v>30</v>
      </c>
      <c r="G1780" s="2" t="s">
        <v>6</v>
      </c>
      <c r="H1780" s="3" t="s">
        <v>88</v>
      </c>
      <c r="I1780" s="3" t="s">
        <v>92</v>
      </c>
      <c r="J1780" s="3" t="s">
        <v>61</v>
      </c>
      <c r="K1780" s="4">
        <v>677.51800000000003</v>
      </c>
      <c r="L1780" s="6">
        <v>20.99</v>
      </c>
    </row>
    <row r="1781" spans="1:12" x14ac:dyDescent="0.25">
      <c r="A1781" s="1">
        <v>1780</v>
      </c>
      <c r="B1781" s="4">
        <v>12768</v>
      </c>
      <c r="C1781" s="5">
        <v>39911</v>
      </c>
      <c r="D1781" s="3" t="s">
        <v>95</v>
      </c>
      <c r="E1781" s="1" t="s">
        <v>799</v>
      </c>
      <c r="F1781" s="1" t="s">
        <v>13</v>
      </c>
      <c r="G1781" s="2" t="s">
        <v>6</v>
      </c>
      <c r="H1781" s="3" t="s">
        <v>88</v>
      </c>
      <c r="I1781" s="3" t="s">
        <v>85</v>
      </c>
      <c r="J1781" s="3" t="s">
        <v>70</v>
      </c>
      <c r="K1781" s="4">
        <v>1562.97</v>
      </c>
      <c r="L1781" s="6">
        <v>42.98</v>
      </c>
    </row>
    <row r="1782" spans="1:12" x14ac:dyDescent="0.25">
      <c r="A1782" s="1">
        <v>1781</v>
      </c>
      <c r="B1782" s="4">
        <v>12771</v>
      </c>
      <c r="C1782" s="5">
        <v>39830</v>
      </c>
      <c r="D1782" s="3" t="s">
        <v>95</v>
      </c>
      <c r="E1782" s="1" t="s">
        <v>154</v>
      </c>
      <c r="F1782" s="1" t="s">
        <v>8</v>
      </c>
      <c r="G1782" s="2" t="s">
        <v>6</v>
      </c>
      <c r="H1782" s="3" t="s">
        <v>84</v>
      </c>
      <c r="I1782" s="3" t="s">
        <v>85</v>
      </c>
      <c r="J1782" s="3" t="s">
        <v>65</v>
      </c>
      <c r="K1782" s="4">
        <v>1143.49</v>
      </c>
      <c r="L1782" s="6">
        <v>30.53</v>
      </c>
    </row>
    <row r="1783" spans="1:12" x14ac:dyDescent="0.25">
      <c r="A1783" s="1">
        <v>1782</v>
      </c>
      <c r="B1783" s="4">
        <v>12771</v>
      </c>
      <c r="C1783" s="5">
        <v>39830</v>
      </c>
      <c r="D1783" s="3" t="s">
        <v>95</v>
      </c>
      <c r="E1783" s="1" t="s">
        <v>815</v>
      </c>
      <c r="F1783" s="1" t="s">
        <v>8</v>
      </c>
      <c r="G1783" s="2" t="s">
        <v>6</v>
      </c>
      <c r="H1783" s="3" t="s">
        <v>84</v>
      </c>
      <c r="I1783" s="3" t="s">
        <v>85</v>
      </c>
      <c r="J1783" s="3" t="s">
        <v>63</v>
      </c>
      <c r="K1783" s="4">
        <v>78.08</v>
      </c>
      <c r="L1783" s="6">
        <v>1.68</v>
      </c>
    </row>
    <row r="1784" spans="1:12" x14ac:dyDescent="0.25">
      <c r="A1784" s="1">
        <v>1783</v>
      </c>
      <c r="B1784" s="4">
        <v>12773</v>
      </c>
      <c r="C1784" s="5">
        <v>40554</v>
      </c>
      <c r="D1784" s="3" t="s">
        <v>82</v>
      </c>
      <c r="E1784" s="1" t="s">
        <v>213</v>
      </c>
      <c r="F1784" s="1" t="s">
        <v>38</v>
      </c>
      <c r="G1784" s="2" t="s">
        <v>6</v>
      </c>
      <c r="H1784" s="3" t="s">
        <v>88</v>
      </c>
      <c r="I1784" s="3" t="s">
        <v>85</v>
      </c>
      <c r="J1784" s="3" t="s">
        <v>69</v>
      </c>
      <c r="K1784" s="4">
        <v>17</v>
      </c>
      <c r="L1784" s="6">
        <v>2.78</v>
      </c>
    </row>
    <row r="1785" spans="1:12" x14ac:dyDescent="0.25">
      <c r="A1785" s="1">
        <v>1784</v>
      </c>
      <c r="B1785" s="4">
        <v>12773</v>
      </c>
      <c r="C1785" s="5">
        <v>40554</v>
      </c>
      <c r="D1785" s="3" t="s">
        <v>82</v>
      </c>
      <c r="E1785" s="1" t="s">
        <v>213</v>
      </c>
      <c r="F1785" s="1" t="s">
        <v>38</v>
      </c>
      <c r="G1785" s="2" t="s">
        <v>6</v>
      </c>
      <c r="H1785" s="3" t="s">
        <v>88</v>
      </c>
      <c r="I1785" s="3" t="s">
        <v>91</v>
      </c>
      <c r="J1785" s="3" t="s">
        <v>59</v>
      </c>
      <c r="K1785" s="4">
        <v>67.41</v>
      </c>
      <c r="L1785" s="6">
        <v>4.1399999999999997</v>
      </c>
    </row>
    <row r="1786" spans="1:12" x14ac:dyDescent="0.25">
      <c r="A1786" s="1">
        <v>1785</v>
      </c>
      <c r="B1786" s="4">
        <v>12773</v>
      </c>
      <c r="C1786" s="5">
        <v>40554</v>
      </c>
      <c r="D1786" s="3" t="s">
        <v>82</v>
      </c>
      <c r="E1786" s="1" t="s">
        <v>213</v>
      </c>
      <c r="F1786" s="1" t="s">
        <v>38</v>
      </c>
      <c r="G1786" s="2" t="s">
        <v>6</v>
      </c>
      <c r="H1786" s="3" t="s">
        <v>88</v>
      </c>
      <c r="I1786" s="3" t="s">
        <v>85</v>
      </c>
      <c r="J1786" s="3" t="s">
        <v>66</v>
      </c>
      <c r="K1786" s="4">
        <v>130.66999999999999</v>
      </c>
      <c r="L1786" s="6">
        <v>6.48</v>
      </c>
    </row>
    <row r="1787" spans="1:12" x14ac:dyDescent="0.25">
      <c r="A1787" s="1">
        <v>1786</v>
      </c>
      <c r="B1787" s="4">
        <v>12773</v>
      </c>
      <c r="C1787" s="5">
        <v>40554</v>
      </c>
      <c r="D1787" s="3" t="s">
        <v>82</v>
      </c>
      <c r="E1787" s="1" t="s">
        <v>816</v>
      </c>
      <c r="F1787" s="1" t="s">
        <v>38</v>
      </c>
      <c r="G1787" s="2" t="s">
        <v>6</v>
      </c>
      <c r="H1787" s="3" t="s">
        <v>88</v>
      </c>
      <c r="I1787" s="3" t="s">
        <v>85</v>
      </c>
      <c r="J1787" s="3" t="s">
        <v>63</v>
      </c>
      <c r="K1787" s="4">
        <v>77.62</v>
      </c>
      <c r="L1787" s="6">
        <v>3.28</v>
      </c>
    </row>
    <row r="1788" spans="1:12" x14ac:dyDescent="0.25">
      <c r="A1788" s="1">
        <v>1787</v>
      </c>
      <c r="B1788" s="4">
        <v>12803</v>
      </c>
      <c r="C1788" s="5">
        <v>40234</v>
      </c>
      <c r="D1788" s="3" t="s">
        <v>86</v>
      </c>
      <c r="E1788" s="1" t="s">
        <v>566</v>
      </c>
      <c r="F1788" s="1" t="s">
        <v>44</v>
      </c>
      <c r="G1788" s="2" t="s">
        <v>3</v>
      </c>
      <c r="H1788" s="3" t="s">
        <v>97</v>
      </c>
      <c r="I1788" s="3" t="s">
        <v>85</v>
      </c>
      <c r="J1788" s="3" t="s">
        <v>57</v>
      </c>
      <c r="K1788" s="4">
        <v>383.81</v>
      </c>
      <c r="L1788" s="6">
        <v>12.21</v>
      </c>
    </row>
    <row r="1789" spans="1:12" x14ac:dyDescent="0.25">
      <c r="A1789" s="1">
        <v>1788</v>
      </c>
      <c r="B1789" s="4">
        <v>12804</v>
      </c>
      <c r="C1789" s="5">
        <v>41054</v>
      </c>
      <c r="D1789" s="3" t="s">
        <v>4</v>
      </c>
      <c r="E1789" s="1" t="s">
        <v>402</v>
      </c>
      <c r="F1789" s="1" t="s">
        <v>19</v>
      </c>
      <c r="G1789" s="2" t="s">
        <v>3</v>
      </c>
      <c r="H1789" s="3" t="s">
        <v>97</v>
      </c>
      <c r="I1789" s="3" t="s">
        <v>85</v>
      </c>
      <c r="J1789" s="3" t="s">
        <v>65</v>
      </c>
      <c r="K1789" s="4">
        <v>69.06</v>
      </c>
      <c r="L1789" s="6">
        <v>3.08</v>
      </c>
    </row>
    <row r="1790" spans="1:12" x14ac:dyDescent="0.25">
      <c r="A1790" s="1">
        <v>1789</v>
      </c>
      <c r="B1790" s="4">
        <v>12804</v>
      </c>
      <c r="C1790" s="5">
        <v>41054</v>
      </c>
      <c r="D1790" s="3" t="s">
        <v>4</v>
      </c>
      <c r="E1790" s="1" t="s">
        <v>402</v>
      </c>
      <c r="F1790" s="1" t="s">
        <v>19</v>
      </c>
      <c r="G1790" s="2" t="s">
        <v>3</v>
      </c>
      <c r="H1790" s="3" t="s">
        <v>97</v>
      </c>
      <c r="I1790" s="3" t="s">
        <v>85</v>
      </c>
      <c r="J1790" s="3" t="s">
        <v>64</v>
      </c>
      <c r="K1790" s="4">
        <v>84.01</v>
      </c>
      <c r="L1790" s="6">
        <v>1.81</v>
      </c>
    </row>
    <row r="1791" spans="1:12" x14ac:dyDescent="0.25">
      <c r="A1791" s="1">
        <v>1790</v>
      </c>
      <c r="B1791" s="4">
        <v>12804</v>
      </c>
      <c r="C1791" s="5">
        <v>41054</v>
      </c>
      <c r="D1791" s="3" t="s">
        <v>4</v>
      </c>
      <c r="E1791" s="1" t="s">
        <v>402</v>
      </c>
      <c r="F1791" s="1" t="s">
        <v>19</v>
      </c>
      <c r="G1791" s="2" t="s">
        <v>3</v>
      </c>
      <c r="H1791" s="3" t="s">
        <v>97</v>
      </c>
      <c r="I1791" s="3" t="s">
        <v>85</v>
      </c>
      <c r="J1791" s="3" t="s">
        <v>57</v>
      </c>
      <c r="K1791" s="4">
        <v>592.91999999999996</v>
      </c>
      <c r="L1791" s="6">
        <v>16.059999999999999</v>
      </c>
    </row>
    <row r="1792" spans="1:12" x14ac:dyDescent="0.25">
      <c r="A1792" s="1">
        <v>1791</v>
      </c>
      <c r="B1792" s="4">
        <v>12806</v>
      </c>
      <c r="C1792" s="5">
        <v>40901</v>
      </c>
      <c r="D1792" s="3" t="s">
        <v>86</v>
      </c>
      <c r="E1792" s="1" t="s">
        <v>724</v>
      </c>
      <c r="F1792" s="1" t="s">
        <v>28</v>
      </c>
      <c r="G1792" s="2" t="s">
        <v>6</v>
      </c>
      <c r="H1792" s="3" t="s">
        <v>84</v>
      </c>
      <c r="I1792" s="3" t="s">
        <v>85</v>
      </c>
      <c r="J1792" s="3" t="s">
        <v>71</v>
      </c>
      <c r="K1792" s="4">
        <v>761.23</v>
      </c>
      <c r="L1792" s="6">
        <v>35.89</v>
      </c>
    </row>
    <row r="1793" spans="1:12" x14ac:dyDescent="0.25">
      <c r="A1793" s="1">
        <v>1792</v>
      </c>
      <c r="B1793" s="4">
        <v>12837</v>
      </c>
      <c r="C1793" s="5">
        <v>41245</v>
      </c>
      <c r="D1793" s="3" t="s">
        <v>4</v>
      </c>
      <c r="E1793" s="1" t="s">
        <v>817</v>
      </c>
      <c r="F1793" s="1" t="s">
        <v>13</v>
      </c>
      <c r="G1793" s="2" t="s">
        <v>6</v>
      </c>
      <c r="H1793" s="3" t="s">
        <v>97</v>
      </c>
      <c r="I1793" s="3" t="s">
        <v>85</v>
      </c>
      <c r="J1793" s="3" t="s">
        <v>65</v>
      </c>
      <c r="K1793" s="4">
        <v>66.19</v>
      </c>
      <c r="L1793" s="6">
        <v>2.88</v>
      </c>
    </row>
    <row r="1794" spans="1:12" x14ac:dyDescent="0.25">
      <c r="A1794" s="1">
        <v>1793</v>
      </c>
      <c r="B1794" s="4">
        <v>12837</v>
      </c>
      <c r="C1794" s="5">
        <v>41245</v>
      </c>
      <c r="D1794" s="3" t="s">
        <v>4</v>
      </c>
      <c r="E1794" s="1" t="s">
        <v>160</v>
      </c>
      <c r="F1794" s="1" t="s">
        <v>31</v>
      </c>
      <c r="G1794" s="2" t="s">
        <v>1</v>
      </c>
      <c r="H1794" s="3" t="s">
        <v>97</v>
      </c>
      <c r="I1794" s="3" t="s">
        <v>92</v>
      </c>
      <c r="J1794" s="3" t="s">
        <v>62</v>
      </c>
      <c r="K1794" s="4">
        <v>1100.21</v>
      </c>
      <c r="L1794" s="6">
        <v>22.24</v>
      </c>
    </row>
    <row r="1795" spans="1:12" x14ac:dyDescent="0.25">
      <c r="A1795" s="1">
        <v>1794</v>
      </c>
      <c r="B1795" s="4">
        <v>12867</v>
      </c>
      <c r="C1795" s="5">
        <v>40613</v>
      </c>
      <c r="D1795" s="3" t="s">
        <v>86</v>
      </c>
      <c r="E1795" s="1" t="s">
        <v>716</v>
      </c>
      <c r="F1795" s="1" t="s">
        <v>23</v>
      </c>
      <c r="G1795" s="2" t="s">
        <v>3</v>
      </c>
      <c r="H1795" s="3" t="s">
        <v>88</v>
      </c>
      <c r="I1795" s="3" t="s">
        <v>92</v>
      </c>
      <c r="J1795" s="3" t="s">
        <v>62</v>
      </c>
      <c r="K1795" s="4">
        <v>127.49</v>
      </c>
      <c r="L1795" s="6">
        <v>19.98</v>
      </c>
    </row>
    <row r="1796" spans="1:12" x14ac:dyDescent="0.25">
      <c r="A1796" s="1">
        <v>1795</v>
      </c>
      <c r="B1796" s="4">
        <v>12868</v>
      </c>
      <c r="C1796" s="5">
        <v>40603</v>
      </c>
      <c r="D1796" s="3" t="s">
        <v>95</v>
      </c>
      <c r="E1796" s="1" t="s">
        <v>818</v>
      </c>
      <c r="F1796" s="1" t="s">
        <v>20</v>
      </c>
      <c r="G1796" s="2" t="s">
        <v>1</v>
      </c>
      <c r="H1796" s="3" t="s">
        <v>100</v>
      </c>
      <c r="I1796" s="3" t="s">
        <v>85</v>
      </c>
      <c r="J1796" s="3" t="s">
        <v>63</v>
      </c>
      <c r="K1796" s="4">
        <v>53.33</v>
      </c>
      <c r="L1796" s="6">
        <v>1.76</v>
      </c>
    </row>
    <row r="1797" spans="1:12" x14ac:dyDescent="0.25">
      <c r="A1797" s="1">
        <v>1796</v>
      </c>
      <c r="B1797" s="4">
        <v>12868</v>
      </c>
      <c r="C1797" s="5">
        <v>40603</v>
      </c>
      <c r="D1797" s="3" t="s">
        <v>95</v>
      </c>
      <c r="E1797" s="1" t="s">
        <v>231</v>
      </c>
      <c r="F1797" s="1" t="s">
        <v>43</v>
      </c>
      <c r="G1797" s="2" t="s">
        <v>1</v>
      </c>
      <c r="H1797" s="3" t="s">
        <v>100</v>
      </c>
      <c r="I1797" s="3" t="s">
        <v>85</v>
      </c>
      <c r="J1797" s="3" t="s">
        <v>66</v>
      </c>
      <c r="K1797" s="4">
        <v>9.3699999999999992</v>
      </c>
      <c r="L1797" s="6">
        <v>4.4800000000000004</v>
      </c>
    </row>
    <row r="1798" spans="1:12" x14ac:dyDescent="0.25">
      <c r="A1798" s="1">
        <v>1797</v>
      </c>
      <c r="B1798" s="4">
        <v>12869</v>
      </c>
      <c r="C1798" s="5">
        <v>39838</v>
      </c>
      <c r="D1798" s="3" t="s">
        <v>86</v>
      </c>
      <c r="E1798" s="1" t="s">
        <v>347</v>
      </c>
      <c r="F1798" s="1" t="s">
        <v>29</v>
      </c>
      <c r="G1798" s="2" t="s">
        <v>3</v>
      </c>
      <c r="H1798" s="3" t="s">
        <v>100</v>
      </c>
      <c r="I1798" s="3" t="s">
        <v>92</v>
      </c>
      <c r="J1798" s="3" t="s">
        <v>61</v>
      </c>
      <c r="K1798" s="4">
        <v>1532.482</v>
      </c>
      <c r="L1798" s="6">
        <v>125.99</v>
      </c>
    </row>
    <row r="1799" spans="1:12" x14ac:dyDescent="0.25">
      <c r="A1799" s="1">
        <v>1798</v>
      </c>
      <c r="B1799" s="4">
        <v>12871</v>
      </c>
      <c r="C1799" s="5">
        <v>40820</v>
      </c>
      <c r="D1799" s="3" t="s">
        <v>86</v>
      </c>
      <c r="E1799" s="1" t="s">
        <v>114</v>
      </c>
      <c r="F1799" s="1" t="s">
        <v>52</v>
      </c>
      <c r="G1799" s="2" t="s">
        <v>3</v>
      </c>
      <c r="H1799" s="3" t="s">
        <v>84</v>
      </c>
      <c r="I1799" s="3" t="s">
        <v>85</v>
      </c>
      <c r="J1799" s="3" t="s">
        <v>58</v>
      </c>
      <c r="K1799" s="4">
        <v>459.26</v>
      </c>
      <c r="L1799" s="6">
        <v>10.23</v>
      </c>
    </row>
    <row r="1800" spans="1:12" x14ac:dyDescent="0.25">
      <c r="A1800" s="1">
        <v>1799</v>
      </c>
      <c r="B1800" s="4">
        <v>12897</v>
      </c>
      <c r="C1800" s="5">
        <v>40742</v>
      </c>
      <c r="D1800" s="3" t="s">
        <v>86</v>
      </c>
      <c r="E1800" s="1" t="s">
        <v>727</v>
      </c>
      <c r="F1800" s="1" t="s">
        <v>13</v>
      </c>
      <c r="G1800" s="2" t="s">
        <v>6</v>
      </c>
      <c r="H1800" s="3" t="s">
        <v>88</v>
      </c>
      <c r="I1800" s="3" t="s">
        <v>85</v>
      </c>
      <c r="J1800" s="3" t="s">
        <v>65</v>
      </c>
      <c r="K1800" s="4">
        <v>141.49</v>
      </c>
      <c r="L1800" s="6">
        <v>3.69</v>
      </c>
    </row>
    <row r="1801" spans="1:12" x14ac:dyDescent="0.25">
      <c r="A1801" s="1">
        <v>1800</v>
      </c>
      <c r="B1801" s="4">
        <v>12897</v>
      </c>
      <c r="C1801" s="5">
        <v>40742</v>
      </c>
      <c r="D1801" s="3" t="s">
        <v>86</v>
      </c>
      <c r="E1801" s="1" t="s">
        <v>727</v>
      </c>
      <c r="F1801" s="1" t="s">
        <v>13</v>
      </c>
      <c r="G1801" s="2" t="s">
        <v>6</v>
      </c>
      <c r="H1801" s="3" t="s">
        <v>88</v>
      </c>
      <c r="I1801" s="3" t="s">
        <v>85</v>
      </c>
      <c r="J1801" s="3" t="s">
        <v>66</v>
      </c>
      <c r="K1801" s="4">
        <v>211.55</v>
      </c>
      <c r="L1801" s="6">
        <v>6.48</v>
      </c>
    </row>
    <row r="1802" spans="1:12" x14ac:dyDescent="0.25">
      <c r="A1802" s="1">
        <v>1801</v>
      </c>
      <c r="B1802" s="4">
        <v>12900</v>
      </c>
      <c r="C1802" s="5">
        <v>40301</v>
      </c>
      <c r="D1802" s="3" t="s">
        <v>89</v>
      </c>
      <c r="E1802" s="1" t="s">
        <v>648</v>
      </c>
      <c r="F1802" s="1" t="s">
        <v>42</v>
      </c>
      <c r="G1802" s="2" t="s">
        <v>3</v>
      </c>
      <c r="H1802" s="3" t="s">
        <v>88</v>
      </c>
      <c r="I1802" s="3" t="s">
        <v>91</v>
      </c>
      <c r="J1802" s="3" t="s">
        <v>59</v>
      </c>
      <c r="K1802" s="4">
        <v>627.12</v>
      </c>
      <c r="L1802" s="6">
        <v>12.64</v>
      </c>
    </row>
    <row r="1803" spans="1:12" x14ac:dyDescent="0.25">
      <c r="A1803" s="1">
        <v>1802</v>
      </c>
      <c r="B1803" s="4">
        <v>12900</v>
      </c>
      <c r="C1803" s="5">
        <v>40301</v>
      </c>
      <c r="D1803" s="3" t="s">
        <v>89</v>
      </c>
      <c r="E1803" s="1" t="s">
        <v>648</v>
      </c>
      <c r="F1803" s="1" t="s">
        <v>42</v>
      </c>
      <c r="G1803" s="2" t="s">
        <v>3</v>
      </c>
      <c r="H1803" s="3" t="s">
        <v>88</v>
      </c>
      <c r="I1803" s="3" t="s">
        <v>92</v>
      </c>
      <c r="J1803" s="3" t="s">
        <v>67</v>
      </c>
      <c r="K1803" s="4">
        <v>4096.21</v>
      </c>
      <c r="L1803" s="6">
        <v>306.14</v>
      </c>
    </row>
    <row r="1804" spans="1:12" x14ac:dyDescent="0.25">
      <c r="A1804" s="1">
        <v>1803</v>
      </c>
      <c r="B1804" s="4">
        <v>12902</v>
      </c>
      <c r="C1804" s="5">
        <v>40480</v>
      </c>
      <c r="D1804" s="3" t="s">
        <v>86</v>
      </c>
      <c r="E1804" s="1" t="s">
        <v>819</v>
      </c>
      <c r="F1804" s="1" t="s">
        <v>30</v>
      </c>
      <c r="G1804" s="2" t="s">
        <v>6</v>
      </c>
      <c r="H1804" s="3" t="s">
        <v>97</v>
      </c>
      <c r="I1804" s="3" t="s">
        <v>92</v>
      </c>
      <c r="J1804" s="3" t="s">
        <v>62</v>
      </c>
      <c r="K1804" s="4">
        <v>302.05</v>
      </c>
      <c r="L1804" s="6">
        <v>30.98</v>
      </c>
    </row>
    <row r="1805" spans="1:12" x14ac:dyDescent="0.25">
      <c r="A1805" s="1">
        <v>1804</v>
      </c>
      <c r="B1805" s="4">
        <v>12902</v>
      </c>
      <c r="C1805" s="5">
        <v>40480</v>
      </c>
      <c r="D1805" s="3" t="s">
        <v>86</v>
      </c>
      <c r="E1805" s="1" t="s">
        <v>820</v>
      </c>
      <c r="F1805" s="1" t="s">
        <v>54</v>
      </c>
      <c r="G1805" s="2" t="s">
        <v>2</v>
      </c>
      <c r="H1805" s="3" t="s">
        <v>97</v>
      </c>
      <c r="I1805" s="3" t="s">
        <v>91</v>
      </c>
      <c r="J1805" s="3" t="s">
        <v>68</v>
      </c>
      <c r="K1805" s="4">
        <v>3645.45</v>
      </c>
      <c r="L1805" s="6">
        <v>120.98</v>
      </c>
    </row>
    <row r="1806" spans="1:12" x14ac:dyDescent="0.25">
      <c r="A1806" s="1">
        <v>1805</v>
      </c>
      <c r="B1806" s="4">
        <v>12903</v>
      </c>
      <c r="C1806" s="5">
        <v>40081</v>
      </c>
      <c r="D1806" s="3" t="s">
        <v>95</v>
      </c>
      <c r="E1806" s="1" t="s">
        <v>704</v>
      </c>
      <c r="F1806" s="1" t="s">
        <v>23</v>
      </c>
      <c r="G1806" s="2" t="s">
        <v>3</v>
      </c>
      <c r="H1806" s="3" t="s">
        <v>100</v>
      </c>
      <c r="I1806" s="3" t="s">
        <v>92</v>
      </c>
      <c r="J1806" s="3" t="s">
        <v>61</v>
      </c>
      <c r="K1806" s="4">
        <v>63.427</v>
      </c>
      <c r="L1806" s="6">
        <v>35.99</v>
      </c>
    </row>
    <row r="1807" spans="1:12" x14ac:dyDescent="0.25">
      <c r="A1807" s="1">
        <v>1806</v>
      </c>
      <c r="B1807" s="4">
        <v>12929</v>
      </c>
      <c r="C1807" s="5">
        <v>40420</v>
      </c>
      <c r="D1807" s="3" t="s">
        <v>95</v>
      </c>
      <c r="E1807" s="1" t="s">
        <v>821</v>
      </c>
      <c r="F1807" s="1" t="s">
        <v>8</v>
      </c>
      <c r="G1807" s="2" t="s">
        <v>6</v>
      </c>
      <c r="H1807" s="3" t="s">
        <v>88</v>
      </c>
      <c r="I1807" s="3" t="s">
        <v>91</v>
      </c>
      <c r="J1807" s="3" t="s">
        <v>72</v>
      </c>
      <c r="K1807" s="4">
        <v>5297.47</v>
      </c>
      <c r="L1807" s="6">
        <v>270.98</v>
      </c>
    </row>
    <row r="1808" spans="1:12" x14ac:dyDescent="0.25">
      <c r="A1808" s="1">
        <v>1807</v>
      </c>
      <c r="B1808" s="4">
        <v>12929</v>
      </c>
      <c r="C1808" s="5">
        <v>40420</v>
      </c>
      <c r="D1808" s="3" t="s">
        <v>95</v>
      </c>
      <c r="E1808" s="1" t="s">
        <v>821</v>
      </c>
      <c r="F1808" s="1" t="s">
        <v>8</v>
      </c>
      <c r="G1808" s="2" t="s">
        <v>6</v>
      </c>
      <c r="H1808" s="3" t="s">
        <v>88</v>
      </c>
      <c r="I1808" s="3" t="s">
        <v>85</v>
      </c>
      <c r="J1808" s="3" t="s">
        <v>66</v>
      </c>
      <c r="K1808" s="4">
        <v>95.3</v>
      </c>
      <c r="L1808" s="6">
        <v>4.4800000000000004</v>
      </c>
    </row>
    <row r="1809" spans="1:12" x14ac:dyDescent="0.25">
      <c r="A1809" s="1">
        <v>1808</v>
      </c>
      <c r="B1809" s="4">
        <v>12930</v>
      </c>
      <c r="C1809" s="5">
        <v>40871</v>
      </c>
      <c r="D1809" s="3" t="s">
        <v>89</v>
      </c>
      <c r="E1809" s="1" t="s">
        <v>517</v>
      </c>
      <c r="F1809" s="1" t="s">
        <v>24</v>
      </c>
      <c r="G1809" s="2" t="s">
        <v>2</v>
      </c>
      <c r="H1809" s="3" t="s">
        <v>88</v>
      </c>
      <c r="I1809" s="3" t="s">
        <v>85</v>
      </c>
      <c r="J1809" s="3" t="s">
        <v>70</v>
      </c>
      <c r="K1809" s="4">
        <v>1147.6400000000001</v>
      </c>
      <c r="L1809" s="6">
        <v>22.98</v>
      </c>
    </row>
    <row r="1810" spans="1:12" x14ac:dyDescent="0.25">
      <c r="A1810" s="1">
        <v>1809</v>
      </c>
      <c r="B1810" s="4">
        <v>12931</v>
      </c>
      <c r="C1810" s="5">
        <v>41023</v>
      </c>
      <c r="D1810" s="3" t="s">
        <v>4</v>
      </c>
      <c r="E1810" s="1" t="s">
        <v>822</v>
      </c>
      <c r="F1810" s="1" t="s">
        <v>20</v>
      </c>
      <c r="G1810" s="2" t="s">
        <v>1</v>
      </c>
      <c r="H1810" s="3" t="s">
        <v>97</v>
      </c>
      <c r="I1810" s="3" t="s">
        <v>85</v>
      </c>
      <c r="J1810" s="3" t="s">
        <v>57</v>
      </c>
      <c r="K1810" s="4">
        <v>653.91999999999996</v>
      </c>
      <c r="L1810" s="6">
        <v>59.76</v>
      </c>
    </row>
    <row r="1811" spans="1:12" x14ac:dyDescent="0.25">
      <c r="A1811" s="1">
        <v>1810</v>
      </c>
      <c r="B1811" s="4">
        <v>12934</v>
      </c>
      <c r="C1811" s="5">
        <v>39877</v>
      </c>
      <c r="D1811" s="3" t="s">
        <v>86</v>
      </c>
      <c r="E1811" s="1" t="s">
        <v>213</v>
      </c>
      <c r="F1811" s="1" t="s">
        <v>38</v>
      </c>
      <c r="G1811" s="2" t="s">
        <v>6</v>
      </c>
      <c r="H1811" s="3" t="s">
        <v>88</v>
      </c>
      <c r="I1811" s="3" t="s">
        <v>85</v>
      </c>
      <c r="J1811" s="3" t="s">
        <v>71</v>
      </c>
      <c r="K1811" s="4">
        <v>440.39</v>
      </c>
      <c r="L1811" s="6">
        <v>9.7799999999999994</v>
      </c>
    </row>
    <row r="1812" spans="1:12" x14ac:dyDescent="0.25">
      <c r="A1812" s="1">
        <v>1811</v>
      </c>
      <c r="B1812" s="4">
        <v>12934</v>
      </c>
      <c r="C1812" s="5">
        <v>39877</v>
      </c>
      <c r="D1812" s="3" t="s">
        <v>86</v>
      </c>
      <c r="E1812" s="1" t="s">
        <v>816</v>
      </c>
      <c r="F1812" s="1" t="s">
        <v>38</v>
      </c>
      <c r="G1812" s="2" t="s">
        <v>6</v>
      </c>
      <c r="H1812" s="3" t="s">
        <v>88</v>
      </c>
      <c r="I1812" s="3" t="s">
        <v>85</v>
      </c>
      <c r="J1812" s="3" t="s">
        <v>63</v>
      </c>
      <c r="K1812" s="4">
        <v>96.99</v>
      </c>
      <c r="L1812" s="6">
        <v>3.28</v>
      </c>
    </row>
    <row r="1813" spans="1:12" x14ac:dyDescent="0.25">
      <c r="A1813" s="1">
        <v>1812</v>
      </c>
      <c r="B1813" s="4">
        <v>12965</v>
      </c>
      <c r="C1813" s="5">
        <v>40354</v>
      </c>
      <c r="D1813" s="3" t="s">
        <v>4</v>
      </c>
      <c r="E1813" s="1" t="s">
        <v>823</v>
      </c>
      <c r="F1813" s="1" t="s">
        <v>24</v>
      </c>
      <c r="G1813" s="2" t="s">
        <v>2</v>
      </c>
      <c r="H1813" s="3" t="s">
        <v>88</v>
      </c>
      <c r="I1813" s="3" t="s">
        <v>85</v>
      </c>
      <c r="J1813" s="3" t="s">
        <v>69</v>
      </c>
      <c r="K1813" s="4">
        <v>44.74</v>
      </c>
      <c r="L1813" s="6">
        <v>5.74</v>
      </c>
    </row>
    <row r="1814" spans="1:12" x14ac:dyDescent="0.25">
      <c r="A1814" s="1">
        <v>1813</v>
      </c>
      <c r="B1814" s="4">
        <v>12965</v>
      </c>
      <c r="C1814" s="5">
        <v>40354</v>
      </c>
      <c r="D1814" s="3" t="s">
        <v>4</v>
      </c>
      <c r="E1814" s="1" t="s">
        <v>823</v>
      </c>
      <c r="F1814" s="1" t="s">
        <v>24</v>
      </c>
      <c r="G1814" s="2" t="s">
        <v>2</v>
      </c>
      <c r="H1814" s="3" t="s">
        <v>88</v>
      </c>
      <c r="I1814" s="3" t="s">
        <v>85</v>
      </c>
      <c r="J1814" s="3" t="s">
        <v>69</v>
      </c>
      <c r="K1814" s="4">
        <v>90.78</v>
      </c>
      <c r="L1814" s="6">
        <v>4.24</v>
      </c>
    </row>
    <row r="1815" spans="1:12" x14ac:dyDescent="0.25">
      <c r="A1815" s="1">
        <v>1814</v>
      </c>
      <c r="B1815" s="4">
        <v>12999</v>
      </c>
      <c r="C1815" s="5">
        <v>40271</v>
      </c>
      <c r="D1815" s="3" t="s">
        <v>89</v>
      </c>
      <c r="E1815" s="1" t="s">
        <v>291</v>
      </c>
      <c r="F1815" s="1" t="s">
        <v>42</v>
      </c>
      <c r="G1815" s="2" t="s">
        <v>3</v>
      </c>
      <c r="H1815" s="3" t="s">
        <v>100</v>
      </c>
      <c r="I1815" s="3" t="s">
        <v>85</v>
      </c>
      <c r="J1815" s="3" t="s">
        <v>57</v>
      </c>
      <c r="K1815" s="4">
        <v>2712.07</v>
      </c>
      <c r="L1815" s="6">
        <v>95.43</v>
      </c>
    </row>
    <row r="1816" spans="1:12" x14ac:dyDescent="0.25">
      <c r="A1816" s="1">
        <v>1815</v>
      </c>
      <c r="B1816" s="4">
        <v>13027</v>
      </c>
      <c r="C1816" s="5">
        <v>40923</v>
      </c>
      <c r="D1816" s="3" t="s">
        <v>95</v>
      </c>
      <c r="E1816" s="1" t="s">
        <v>824</v>
      </c>
      <c r="F1816" s="1" t="s">
        <v>20</v>
      </c>
      <c r="G1816" s="2" t="s">
        <v>1</v>
      </c>
      <c r="H1816" s="3" t="s">
        <v>84</v>
      </c>
      <c r="I1816" s="3" t="s">
        <v>85</v>
      </c>
      <c r="J1816" s="3" t="s">
        <v>66</v>
      </c>
      <c r="K1816" s="4">
        <v>290.68</v>
      </c>
      <c r="L1816" s="6">
        <v>6.78</v>
      </c>
    </row>
    <row r="1817" spans="1:12" x14ac:dyDescent="0.25">
      <c r="A1817" s="1">
        <v>1816</v>
      </c>
      <c r="B1817" s="4">
        <v>13028</v>
      </c>
      <c r="C1817" s="5">
        <v>39911</v>
      </c>
      <c r="D1817" s="3" t="s">
        <v>95</v>
      </c>
      <c r="E1817" s="1" t="s">
        <v>567</v>
      </c>
      <c r="F1817" s="1" t="s">
        <v>15</v>
      </c>
      <c r="G1817" s="2" t="s">
        <v>1</v>
      </c>
      <c r="H1817" s="3" t="s">
        <v>100</v>
      </c>
      <c r="I1817" s="3" t="s">
        <v>85</v>
      </c>
      <c r="J1817" s="3" t="s">
        <v>66</v>
      </c>
      <c r="K1817" s="4">
        <v>1357.53</v>
      </c>
      <c r="L1817" s="6">
        <v>35.44</v>
      </c>
    </row>
    <row r="1818" spans="1:12" x14ac:dyDescent="0.25">
      <c r="A1818" s="1">
        <v>1817</v>
      </c>
      <c r="B1818" s="4">
        <v>13030</v>
      </c>
      <c r="C1818" s="5">
        <v>40016</v>
      </c>
      <c r="D1818" s="3" t="s">
        <v>4</v>
      </c>
      <c r="E1818" s="1" t="s">
        <v>519</v>
      </c>
      <c r="F1818" s="1" t="s">
        <v>13</v>
      </c>
      <c r="G1818" s="2" t="s">
        <v>6</v>
      </c>
      <c r="H1818" s="3" t="s">
        <v>97</v>
      </c>
      <c r="I1818" s="3" t="s">
        <v>85</v>
      </c>
      <c r="J1818" s="3" t="s">
        <v>69</v>
      </c>
      <c r="K1818" s="4">
        <v>136.19999999999999</v>
      </c>
      <c r="L1818" s="6">
        <v>3.89</v>
      </c>
    </row>
    <row r="1819" spans="1:12" x14ac:dyDescent="0.25">
      <c r="A1819" s="1">
        <v>1818</v>
      </c>
      <c r="B1819" s="4">
        <v>13031</v>
      </c>
      <c r="C1819" s="5">
        <v>41247</v>
      </c>
      <c r="D1819" s="3" t="s">
        <v>82</v>
      </c>
      <c r="E1819" s="1" t="s">
        <v>296</v>
      </c>
      <c r="F1819" s="1" t="s">
        <v>9</v>
      </c>
      <c r="G1819" s="2" t="s">
        <v>2</v>
      </c>
      <c r="H1819" s="3" t="s">
        <v>100</v>
      </c>
      <c r="I1819" s="3" t="s">
        <v>85</v>
      </c>
      <c r="J1819" s="3" t="s">
        <v>66</v>
      </c>
      <c r="K1819" s="4">
        <v>210.06</v>
      </c>
      <c r="L1819" s="6">
        <v>6.48</v>
      </c>
    </row>
    <row r="1820" spans="1:12" x14ac:dyDescent="0.25">
      <c r="A1820" s="1">
        <v>1819</v>
      </c>
      <c r="B1820" s="4">
        <v>13056</v>
      </c>
      <c r="C1820" s="5">
        <v>39925</v>
      </c>
      <c r="D1820" s="3" t="s">
        <v>86</v>
      </c>
      <c r="E1820" s="1" t="s">
        <v>512</v>
      </c>
      <c r="F1820" s="1" t="s">
        <v>48</v>
      </c>
      <c r="G1820" s="2" t="s">
        <v>1</v>
      </c>
      <c r="H1820" s="3" t="s">
        <v>84</v>
      </c>
      <c r="I1820" s="3" t="s">
        <v>92</v>
      </c>
      <c r="J1820" s="3" t="s">
        <v>62</v>
      </c>
      <c r="K1820" s="4">
        <v>3387.32</v>
      </c>
      <c r="L1820" s="6">
        <v>100.98</v>
      </c>
    </row>
    <row r="1821" spans="1:12" x14ac:dyDescent="0.25">
      <c r="A1821" s="1">
        <v>1820</v>
      </c>
      <c r="B1821" s="4">
        <v>13088</v>
      </c>
      <c r="C1821" s="5">
        <v>40290</v>
      </c>
      <c r="D1821" s="3" t="s">
        <v>86</v>
      </c>
      <c r="E1821" s="1" t="s">
        <v>495</v>
      </c>
      <c r="F1821" s="1" t="s">
        <v>34</v>
      </c>
      <c r="G1821" s="2" t="s">
        <v>1</v>
      </c>
      <c r="H1821" s="3" t="s">
        <v>88</v>
      </c>
      <c r="I1821" s="3" t="s">
        <v>85</v>
      </c>
      <c r="J1821" s="3" t="s">
        <v>70</v>
      </c>
      <c r="K1821" s="4">
        <v>187.92</v>
      </c>
      <c r="L1821" s="6">
        <v>3.25</v>
      </c>
    </row>
    <row r="1822" spans="1:12" x14ac:dyDescent="0.25">
      <c r="A1822" s="1">
        <v>1821</v>
      </c>
      <c r="B1822" s="4">
        <v>13089</v>
      </c>
      <c r="C1822" s="5">
        <v>40891</v>
      </c>
      <c r="D1822" s="3" t="s">
        <v>86</v>
      </c>
      <c r="E1822" s="1" t="s">
        <v>433</v>
      </c>
      <c r="F1822" s="1" t="s">
        <v>27</v>
      </c>
      <c r="G1822" s="2" t="s">
        <v>1</v>
      </c>
      <c r="H1822" s="3" t="s">
        <v>88</v>
      </c>
      <c r="I1822" s="3" t="s">
        <v>91</v>
      </c>
      <c r="J1822" s="3" t="s">
        <v>68</v>
      </c>
      <c r="K1822" s="4">
        <v>3577.11</v>
      </c>
      <c r="L1822" s="6">
        <v>114.98</v>
      </c>
    </row>
    <row r="1823" spans="1:12" x14ac:dyDescent="0.25">
      <c r="A1823" s="1">
        <v>1822</v>
      </c>
      <c r="B1823" s="4">
        <v>13090</v>
      </c>
      <c r="C1823" s="5">
        <v>40385</v>
      </c>
      <c r="D1823" s="3" t="s">
        <v>86</v>
      </c>
      <c r="E1823" s="1" t="s">
        <v>825</v>
      </c>
      <c r="F1823" s="1" t="s">
        <v>24</v>
      </c>
      <c r="G1823" s="2" t="s">
        <v>2</v>
      </c>
      <c r="H1823" s="3" t="s">
        <v>88</v>
      </c>
      <c r="I1823" s="3" t="s">
        <v>85</v>
      </c>
      <c r="J1823" s="3" t="s">
        <v>66</v>
      </c>
      <c r="K1823" s="4">
        <v>150.19999999999999</v>
      </c>
      <c r="L1823" s="6">
        <v>9.27</v>
      </c>
    </row>
    <row r="1824" spans="1:12" x14ac:dyDescent="0.25">
      <c r="A1824" s="1">
        <v>1823</v>
      </c>
      <c r="B1824" s="4">
        <v>13091</v>
      </c>
      <c r="C1824" s="5">
        <v>40132</v>
      </c>
      <c r="D1824" s="3" t="s">
        <v>4</v>
      </c>
      <c r="E1824" s="1" t="s">
        <v>826</v>
      </c>
      <c r="F1824" s="1" t="s">
        <v>13</v>
      </c>
      <c r="G1824" s="2" t="s">
        <v>6</v>
      </c>
      <c r="H1824" s="3" t="s">
        <v>88</v>
      </c>
      <c r="I1824" s="3" t="s">
        <v>85</v>
      </c>
      <c r="J1824" s="3" t="s">
        <v>66</v>
      </c>
      <c r="K1824" s="4">
        <v>81.430000000000007</v>
      </c>
      <c r="L1824" s="6">
        <v>6.48</v>
      </c>
    </row>
    <row r="1825" spans="1:12" x14ac:dyDescent="0.25">
      <c r="A1825" s="1">
        <v>1824</v>
      </c>
      <c r="B1825" s="4">
        <v>13091</v>
      </c>
      <c r="C1825" s="5">
        <v>40132</v>
      </c>
      <c r="D1825" s="3" t="s">
        <v>4</v>
      </c>
      <c r="E1825" s="1" t="s">
        <v>826</v>
      </c>
      <c r="F1825" s="1" t="s">
        <v>13</v>
      </c>
      <c r="G1825" s="2" t="s">
        <v>6</v>
      </c>
      <c r="H1825" s="3" t="s">
        <v>88</v>
      </c>
      <c r="I1825" s="3" t="s">
        <v>85</v>
      </c>
      <c r="J1825" s="3" t="s">
        <v>57</v>
      </c>
      <c r="K1825" s="4">
        <v>883.15</v>
      </c>
      <c r="L1825" s="6">
        <v>20.34</v>
      </c>
    </row>
    <row r="1826" spans="1:12" x14ac:dyDescent="0.25">
      <c r="A1826" s="1">
        <v>1825</v>
      </c>
      <c r="B1826" s="4">
        <v>13094</v>
      </c>
      <c r="C1826" s="5">
        <v>40408</v>
      </c>
      <c r="D1826" s="3" t="s">
        <v>86</v>
      </c>
      <c r="E1826" s="1" t="s">
        <v>347</v>
      </c>
      <c r="F1826" s="1" t="s">
        <v>29</v>
      </c>
      <c r="G1826" s="2" t="s">
        <v>3</v>
      </c>
      <c r="H1826" s="3" t="s">
        <v>100</v>
      </c>
      <c r="I1826" s="3" t="s">
        <v>85</v>
      </c>
      <c r="J1826" s="3" t="s">
        <v>66</v>
      </c>
      <c r="K1826" s="4">
        <v>283.57</v>
      </c>
      <c r="L1826" s="6">
        <v>37.94</v>
      </c>
    </row>
    <row r="1827" spans="1:12" x14ac:dyDescent="0.25">
      <c r="A1827" s="1">
        <v>1826</v>
      </c>
      <c r="B1827" s="4">
        <v>13120</v>
      </c>
      <c r="C1827" s="5">
        <v>40161</v>
      </c>
      <c r="D1827" s="3" t="s">
        <v>82</v>
      </c>
      <c r="E1827" s="1" t="s">
        <v>695</v>
      </c>
      <c r="F1827" s="1" t="s">
        <v>38</v>
      </c>
      <c r="G1827" s="2" t="s">
        <v>6</v>
      </c>
      <c r="H1827" s="3" t="s">
        <v>100</v>
      </c>
      <c r="I1827" s="3" t="s">
        <v>85</v>
      </c>
      <c r="J1827" s="3" t="s">
        <v>69</v>
      </c>
      <c r="K1827" s="4">
        <v>590.42999999999995</v>
      </c>
      <c r="L1827" s="6">
        <v>12.95</v>
      </c>
    </row>
    <row r="1828" spans="1:12" x14ac:dyDescent="0.25">
      <c r="A1828" s="1">
        <v>1827</v>
      </c>
      <c r="B1828" s="4">
        <v>13120</v>
      </c>
      <c r="C1828" s="5">
        <v>40161</v>
      </c>
      <c r="D1828" s="3" t="s">
        <v>82</v>
      </c>
      <c r="E1828" s="1" t="s">
        <v>695</v>
      </c>
      <c r="F1828" s="1" t="s">
        <v>38</v>
      </c>
      <c r="G1828" s="2" t="s">
        <v>6</v>
      </c>
      <c r="H1828" s="3" t="s">
        <v>100</v>
      </c>
      <c r="I1828" s="3" t="s">
        <v>85</v>
      </c>
      <c r="J1828" s="3" t="s">
        <v>69</v>
      </c>
      <c r="K1828" s="4">
        <v>216.33</v>
      </c>
      <c r="L1828" s="6">
        <v>24.92</v>
      </c>
    </row>
    <row r="1829" spans="1:12" x14ac:dyDescent="0.25">
      <c r="A1829" s="1">
        <v>1828</v>
      </c>
      <c r="B1829" s="4">
        <v>13121</v>
      </c>
      <c r="C1829" s="5">
        <v>40244</v>
      </c>
      <c r="D1829" s="3" t="s">
        <v>89</v>
      </c>
      <c r="E1829" s="1" t="s">
        <v>827</v>
      </c>
      <c r="F1829" s="1" t="s">
        <v>34</v>
      </c>
      <c r="G1829" s="2" t="s">
        <v>1</v>
      </c>
      <c r="H1829" s="3" t="s">
        <v>88</v>
      </c>
      <c r="I1829" s="3" t="s">
        <v>92</v>
      </c>
      <c r="J1829" s="3" t="s">
        <v>62</v>
      </c>
      <c r="K1829" s="4">
        <v>1211</v>
      </c>
      <c r="L1829" s="6">
        <v>30.98</v>
      </c>
    </row>
    <row r="1830" spans="1:12" x14ac:dyDescent="0.25">
      <c r="A1830" s="1">
        <v>1829</v>
      </c>
      <c r="B1830" s="4">
        <v>13121</v>
      </c>
      <c r="C1830" s="5">
        <v>40244</v>
      </c>
      <c r="D1830" s="3" t="s">
        <v>89</v>
      </c>
      <c r="E1830" s="1" t="s">
        <v>827</v>
      </c>
      <c r="F1830" s="1" t="s">
        <v>34</v>
      </c>
      <c r="G1830" s="2" t="s">
        <v>1</v>
      </c>
      <c r="H1830" s="3" t="s">
        <v>88</v>
      </c>
      <c r="I1830" s="3" t="s">
        <v>92</v>
      </c>
      <c r="J1830" s="3" t="s">
        <v>61</v>
      </c>
      <c r="K1830" s="4">
        <v>4924.1350000000002</v>
      </c>
      <c r="L1830" s="6">
        <v>205.99</v>
      </c>
    </row>
    <row r="1831" spans="1:12" x14ac:dyDescent="0.25">
      <c r="A1831" s="1">
        <v>1830</v>
      </c>
      <c r="B1831" s="4">
        <v>13125</v>
      </c>
      <c r="C1831" s="5">
        <v>40525</v>
      </c>
      <c r="D1831" s="3" t="s">
        <v>86</v>
      </c>
      <c r="E1831" s="1" t="s">
        <v>828</v>
      </c>
      <c r="F1831" s="1" t="s">
        <v>48</v>
      </c>
      <c r="G1831" s="2" t="s">
        <v>1</v>
      </c>
      <c r="H1831" s="3" t="s">
        <v>88</v>
      </c>
      <c r="I1831" s="3" t="s">
        <v>92</v>
      </c>
      <c r="J1831" s="3" t="s">
        <v>62</v>
      </c>
      <c r="K1831" s="4">
        <v>990.73</v>
      </c>
      <c r="L1831" s="6">
        <v>30.73</v>
      </c>
    </row>
    <row r="1832" spans="1:12" x14ac:dyDescent="0.25">
      <c r="A1832" s="1">
        <v>1831</v>
      </c>
      <c r="B1832" s="4">
        <v>13126</v>
      </c>
      <c r="C1832" s="5">
        <v>40835</v>
      </c>
      <c r="D1832" s="3" t="s">
        <v>86</v>
      </c>
      <c r="E1832" s="1" t="s">
        <v>717</v>
      </c>
      <c r="F1832" s="1" t="s">
        <v>9</v>
      </c>
      <c r="G1832" s="2" t="s">
        <v>2</v>
      </c>
      <c r="H1832" s="3" t="s">
        <v>100</v>
      </c>
      <c r="I1832" s="3" t="s">
        <v>92</v>
      </c>
      <c r="J1832" s="3" t="s">
        <v>73</v>
      </c>
      <c r="K1832" s="4">
        <v>24233.54</v>
      </c>
      <c r="L1832" s="6">
        <v>599.99</v>
      </c>
    </row>
    <row r="1833" spans="1:12" x14ac:dyDescent="0.25">
      <c r="A1833" s="1">
        <v>1832</v>
      </c>
      <c r="B1833" s="4">
        <v>13126</v>
      </c>
      <c r="C1833" s="5">
        <v>40835</v>
      </c>
      <c r="D1833" s="3" t="s">
        <v>86</v>
      </c>
      <c r="E1833" s="1" t="s">
        <v>829</v>
      </c>
      <c r="F1833" s="1" t="s">
        <v>9</v>
      </c>
      <c r="G1833" s="2" t="s">
        <v>2</v>
      </c>
      <c r="H1833" s="3" t="s">
        <v>100</v>
      </c>
      <c r="I1833" s="3" t="s">
        <v>91</v>
      </c>
      <c r="J1833" s="3" t="s">
        <v>72</v>
      </c>
      <c r="K1833" s="4">
        <v>6325.65</v>
      </c>
      <c r="L1833" s="6">
        <v>135.99</v>
      </c>
    </row>
    <row r="1834" spans="1:12" x14ac:dyDescent="0.25">
      <c r="A1834" s="1">
        <v>1833</v>
      </c>
      <c r="B1834" s="4">
        <v>13126</v>
      </c>
      <c r="C1834" s="5">
        <v>40835</v>
      </c>
      <c r="D1834" s="3" t="s">
        <v>86</v>
      </c>
      <c r="E1834" s="1" t="s">
        <v>829</v>
      </c>
      <c r="F1834" s="1" t="s">
        <v>9</v>
      </c>
      <c r="G1834" s="2" t="s">
        <v>2</v>
      </c>
      <c r="H1834" s="3" t="s">
        <v>100</v>
      </c>
      <c r="I1834" s="3" t="s">
        <v>91</v>
      </c>
      <c r="J1834" s="3" t="s">
        <v>60</v>
      </c>
      <c r="K1834" s="4">
        <v>380.62</v>
      </c>
      <c r="L1834" s="6">
        <v>179.29</v>
      </c>
    </row>
    <row r="1835" spans="1:12" x14ac:dyDescent="0.25">
      <c r="A1835" s="1">
        <v>1834</v>
      </c>
      <c r="B1835" s="4">
        <v>13127</v>
      </c>
      <c r="C1835" s="5">
        <v>40390</v>
      </c>
      <c r="D1835" s="3" t="s">
        <v>4</v>
      </c>
      <c r="E1835" s="1" t="s">
        <v>290</v>
      </c>
      <c r="F1835" s="1" t="s">
        <v>26</v>
      </c>
      <c r="G1835" s="2" t="s">
        <v>3</v>
      </c>
      <c r="H1835" s="3" t="s">
        <v>97</v>
      </c>
      <c r="I1835" s="3" t="s">
        <v>85</v>
      </c>
      <c r="J1835" s="3" t="s">
        <v>70</v>
      </c>
      <c r="K1835" s="4">
        <v>951.31</v>
      </c>
      <c r="L1835" s="6">
        <v>68.81</v>
      </c>
    </row>
    <row r="1836" spans="1:12" x14ac:dyDescent="0.25">
      <c r="A1836" s="1">
        <v>1835</v>
      </c>
      <c r="B1836" s="4">
        <v>13156</v>
      </c>
      <c r="C1836" s="5">
        <v>40821</v>
      </c>
      <c r="D1836" s="3" t="s">
        <v>82</v>
      </c>
      <c r="E1836" s="1" t="s">
        <v>830</v>
      </c>
      <c r="F1836" s="1" t="s">
        <v>15</v>
      </c>
      <c r="G1836" s="2" t="s">
        <v>1</v>
      </c>
      <c r="H1836" s="3" t="s">
        <v>88</v>
      </c>
      <c r="I1836" s="3" t="s">
        <v>91</v>
      </c>
      <c r="J1836" s="3" t="s">
        <v>59</v>
      </c>
      <c r="K1836" s="4">
        <v>502.01</v>
      </c>
      <c r="L1836" s="6">
        <v>39.979999999999997</v>
      </c>
    </row>
    <row r="1837" spans="1:12" x14ac:dyDescent="0.25">
      <c r="A1837" s="1">
        <v>1836</v>
      </c>
      <c r="B1837" s="4">
        <v>13157</v>
      </c>
      <c r="C1837" s="5">
        <v>40950</v>
      </c>
      <c r="D1837" s="3" t="s">
        <v>4</v>
      </c>
      <c r="E1837" s="1" t="s">
        <v>831</v>
      </c>
      <c r="F1837" s="1" t="s">
        <v>24</v>
      </c>
      <c r="G1837" s="2" t="s">
        <v>2</v>
      </c>
      <c r="H1837" s="3" t="s">
        <v>88</v>
      </c>
      <c r="I1837" s="3" t="s">
        <v>92</v>
      </c>
      <c r="J1837" s="3" t="s">
        <v>61</v>
      </c>
      <c r="K1837" s="4">
        <v>38.93</v>
      </c>
      <c r="L1837" s="6">
        <v>20.99</v>
      </c>
    </row>
    <row r="1838" spans="1:12" x14ac:dyDescent="0.25">
      <c r="A1838" s="1">
        <v>1837</v>
      </c>
      <c r="B1838" s="4">
        <v>13158</v>
      </c>
      <c r="C1838" s="5">
        <v>41233</v>
      </c>
      <c r="D1838" s="3" t="s">
        <v>95</v>
      </c>
      <c r="E1838" s="1" t="s">
        <v>711</v>
      </c>
      <c r="F1838" s="1" t="s">
        <v>28</v>
      </c>
      <c r="G1838" s="2" t="s">
        <v>6</v>
      </c>
      <c r="H1838" s="3" t="s">
        <v>88</v>
      </c>
      <c r="I1838" s="3" t="s">
        <v>85</v>
      </c>
      <c r="J1838" s="3" t="s">
        <v>69</v>
      </c>
      <c r="K1838" s="4">
        <v>187.16</v>
      </c>
      <c r="L1838" s="6">
        <v>6.75</v>
      </c>
    </row>
    <row r="1839" spans="1:12" x14ac:dyDescent="0.25">
      <c r="A1839" s="1">
        <v>1838</v>
      </c>
      <c r="B1839" s="4">
        <v>13218</v>
      </c>
      <c r="C1839" s="5">
        <v>39949</v>
      </c>
      <c r="D1839" s="3" t="s">
        <v>89</v>
      </c>
      <c r="E1839" s="1" t="s">
        <v>758</v>
      </c>
      <c r="F1839" s="1" t="s">
        <v>24</v>
      </c>
      <c r="G1839" s="2" t="s">
        <v>2</v>
      </c>
      <c r="H1839" s="3" t="s">
        <v>88</v>
      </c>
      <c r="I1839" s="3" t="s">
        <v>85</v>
      </c>
      <c r="J1839" s="3" t="s">
        <v>69</v>
      </c>
      <c r="K1839" s="4">
        <v>513.08000000000004</v>
      </c>
      <c r="L1839" s="6">
        <v>28.53</v>
      </c>
    </row>
    <row r="1840" spans="1:12" x14ac:dyDescent="0.25">
      <c r="A1840" s="1">
        <v>1839</v>
      </c>
      <c r="B1840" s="4">
        <v>13218</v>
      </c>
      <c r="C1840" s="5">
        <v>39949</v>
      </c>
      <c r="D1840" s="3" t="s">
        <v>89</v>
      </c>
      <c r="E1840" s="1" t="s">
        <v>758</v>
      </c>
      <c r="F1840" s="1" t="s">
        <v>24</v>
      </c>
      <c r="G1840" s="2" t="s">
        <v>2</v>
      </c>
      <c r="H1840" s="3" t="s">
        <v>88</v>
      </c>
      <c r="I1840" s="3" t="s">
        <v>85</v>
      </c>
      <c r="J1840" s="3" t="s">
        <v>66</v>
      </c>
      <c r="K1840" s="4">
        <v>98.8</v>
      </c>
      <c r="L1840" s="6">
        <v>5.98</v>
      </c>
    </row>
    <row r="1841" spans="1:12" x14ac:dyDescent="0.25">
      <c r="A1841" s="1">
        <v>1840</v>
      </c>
      <c r="B1841" s="4">
        <v>13252</v>
      </c>
      <c r="C1841" s="5">
        <v>39894</v>
      </c>
      <c r="D1841" s="3" t="s">
        <v>86</v>
      </c>
      <c r="E1841" s="1" t="s">
        <v>361</v>
      </c>
      <c r="F1841" s="1" t="s">
        <v>15</v>
      </c>
      <c r="G1841" s="2" t="s">
        <v>1</v>
      </c>
      <c r="H1841" s="3" t="s">
        <v>100</v>
      </c>
      <c r="I1841" s="3" t="s">
        <v>91</v>
      </c>
      <c r="J1841" s="3" t="s">
        <v>72</v>
      </c>
      <c r="K1841" s="4">
        <v>7312.86</v>
      </c>
      <c r="L1841" s="6">
        <v>160.97999999999999</v>
      </c>
    </row>
    <row r="1842" spans="1:12" x14ac:dyDescent="0.25">
      <c r="A1842" s="1">
        <v>1841</v>
      </c>
      <c r="B1842" s="4">
        <v>13252</v>
      </c>
      <c r="C1842" s="5">
        <v>39894</v>
      </c>
      <c r="D1842" s="3" t="s">
        <v>86</v>
      </c>
      <c r="E1842" s="1" t="s">
        <v>361</v>
      </c>
      <c r="F1842" s="1" t="s">
        <v>15</v>
      </c>
      <c r="G1842" s="2" t="s">
        <v>1</v>
      </c>
      <c r="H1842" s="3" t="s">
        <v>100</v>
      </c>
      <c r="I1842" s="3" t="s">
        <v>92</v>
      </c>
      <c r="J1842" s="3" t="s">
        <v>62</v>
      </c>
      <c r="K1842" s="4">
        <v>605.16</v>
      </c>
      <c r="L1842" s="6">
        <v>15.98</v>
      </c>
    </row>
    <row r="1843" spans="1:12" x14ac:dyDescent="0.25">
      <c r="A1843" s="1">
        <v>1842</v>
      </c>
      <c r="B1843" s="4">
        <v>13280</v>
      </c>
      <c r="C1843" s="5">
        <v>40067</v>
      </c>
      <c r="D1843" s="3" t="s">
        <v>89</v>
      </c>
      <c r="E1843" s="1" t="s">
        <v>648</v>
      </c>
      <c r="F1843" s="1" t="s">
        <v>8</v>
      </c>
      <c r="G1843" s="2" t="s">
        <v>6</v>
      </c>
      <c r="H1843" s="3" t="s">
        <v>84</v>
      </c>
      <c r="I1843" s="3" t="s">
        <v>85</v>
      </c>
      <c r="J1843" s="3" t="s">
        <v>57</v>
      </c>
      <c r="K1843" s="4">
        <v>460.68</v>
      </c>
      <c r="L1843" s="6">
        <v>10.9</v>
      </c>
    </row>
    <row r="1844" spans="1:12" x14ac:dyDescent="0.25">
      <c r="A1844" s="1">
        <v>1843</v>
      </c>
      <c r="B1844" s="4">
        <v>13280</v>
      </c>
      <c r="C1844" s="5">
        <v>40067</v>
      </c>
      <c r="D1844" s="3" t="s">
        <v>89</v>
      </c>
      <c r="E1844" s="1" t="s">
        <v>648</v>
      </c>
      <c r="F1844" s="1" t="s">
        <v>8</v>
      </c>
      <c r="G1844" s="2" t="s">
        <v>6</v>
      </c>
      <c r="H1844" s="3" t="s">
        <v>84</v>
      </c>
      <c r="I1844" s="3" t="s">
        <v>92</v>
      </c>
      <c r="J1844" s="3" t="s">
        <v>61</v>
      </c>
      <c r="K1844" s="4">
        <v>318.75849999999997</v>
      </c>
      <c r="L1844" s="6">
        <v>7.99</v>
      </c>
    </row>
    <row r="1845" spans="1:12" x14ac:dyDescent="0.25">
      <c r="A1845" s="1">
        <v>1844</v>
      </c>
      <c r="B1845" s="4">
        <v>13282</v>
      </c>
      <c r="C1845" s="5">
        <v>41038</v>
      </c>
      <c r="D1845" s="3" t="s">
        <v>82</v>
      </c>
      <c r="E1845" s="1" t="s">
        <v>832</v>
      </c>
      <c r="F1845" s="1" t="s">
        <v>9</v>
      </c>
      <c r="G1845" s="2" t="s">
        <v>2</v>
      </c>
      <c r="H1845" s="3" t="s">
        <v>88</v>
      </c>
      <c r="I1845" s="3" t="s">
        <v>92</v>
      </c>
      <c r="J1845" s="3" t="s">
        <v>62</v>
      </c>
      <c r="K1845" s="4">
        <v>763.85</v>
      </c>
      <c r="L1845" s="6">
        <v>34.979999999999997</v>
      </c>
    </row>
    <row r="1846" spans="1:12" x14ac:dyDescent="0.25">
      <c r="A1846" s="1">
        <v>1845</v>
      </c>
      <c r="B1846" s="4">
        <v>13282</v>
      </c>
      <c r="C1846" s="5">
        <v>41038</v>
      </c>
      <c r="D1846" s="3" t="s">
        <v>82</v>
      </c>
      <c r="E1846" s="1" t="s">
        <v>832</v>
      </c>
      <c r="F1846" s="1" t="s">
        <v>9</v>
      </c>
      <c r="G1846" s="2" t="s">
        <v>2</v>
      </c>
      <c r="H1846" s="3" t="s">
        <v>88</v>
      </c>
      <c r="I1846" s="3" t="s">
        <v>85</v>
      </c>
      <c r="J1846" s="3" t="s">
        <v>65</v>
      </c>
      <c r="K1846" s="4">
        <v>12.59</v>
      </c>
      <c r="L1846" s="6">
        <v>6.3</v>
      </c>
    </row>
    <row r="1847" spans="1:12" x14ac:dyDescent="0.25">
      <c r="A1847" s="1">
        <v>1846</v>
      </c>
      <c r="B1847" s="4">
        <v>13284</v>
      </c>
      <c r="C1847" s="5">
        <v>41133</v>
      </c>
      <c r="D1847" s="3" t="s">
        <v>89</v>
      </c>
      <c r="E1847" s="1" t="s">
        <v>833</v>
      </c>
      <c r="F1847" s="1" t="s">
        <v>39</v>
      </c>
      <c r="G1847" s="2" t="s">
        <v>1</v>
      </c>
      <c r="H1847" s="3" t="s">
        <v>100</v>
      </c>
      <c r="I1847" s="3" t="s">
        <v>85</v>
      </c>
      <c r="J1847" s="3" t="s">
        <v>69</v>
      </c>
      <c r="K1847" s="4">
        <v>9062.44</v>
      </c>
      <c r="L1847" s="6">
        <v>420.98</v>
      </c>
    </row>
    <row r="1848" spans="1:12" x14ac:dyDescent="0.25">
      <c r="A1848" s="1">
        <v>1847</v>
      </c>
      <c r="B1848" s="4">
        <v>13284</v>
      </c>
      <c r="C1848" s="5">
        <v>41133</v>
      </c>
      <c r="D1848" s="3" t="s">
        <v>89</v>
      </c>
      <c r="E1848" s="1" t="s">
        <v>834</v>
      </c>
      <c r="F1848" s="1" t="s">
        <v>39</v>
      </c>
      <c r="G1848" s="2" t="s">
        <v>1</v>
      </c>
      <c r="H1848" s="3" t="s">
        <v>100</v>
      </c>
      <c r="I1848" s="3" t="s">
        <v>85</v>
      </c>
      <c r="J1848" s="3" t="s">
        <v>69</v>
      </c>
      <c r="K1848" s="4">
        <v>1662.57</v>
      </c>
      <c r="L1848" s="6">
        <v>37.700000000000003</v>
      </c>
    </row>
    <row r="1849" spans="1:12" x14ac:dyDescent="0.25">
      <c r="A1849" s="1">
        <v>1848</v>
      </c>
      <c r="B1849" s="4">
        <v>13313</v>
      </c>
      <c r="C1849" s="5">
        <v>40010</v>
      </c>
      <c r="D1849" s="3" t="s">
        <v>86</v>
      </c>
      <c r="E1849" s="1" t="s">
        <v>575</v>
      </c>
      <c r="F1849" s="1" t="s">
        <v>8</v>
      </c>
      <c r="G1849" s="2" t="s">
        <v>6</v>
      </c>
      <c r="H1849" s="3" t="s">
        <v>97</v>
      </c>
      <c r="I1849" s="3" t="s">
        <v>85</v>
      </c>
      <c r="J1849" s="3" t="s">
        <v>70</v>
      </c>
      <c r="K1849" s="4">
        <v>1020.61</v>
      </c>
      <c r="L1849" s="6">
        <v>21.66</v>
      </c>
    </row>
    <row r="1850" spans="1:12" x14ac:dyDescent="0.25">
      <c r="A1850" s="1">
        <v>1849</v>
      </c>
      <c r="B1850" s="4">
        <v>13313</v>
      </c>
      <c r="C1850" s="5">
        <v>40010</v>
      </c>
      <c r="D1850" s="3" t="s">
        <v>86</v>
      </c>
      <c r="E1850" s="1" t="s">
        <v>269</v>
      </c>
      <c r="F1850" s="1" t="s">
        <v>40</v>
      </c>
      <c r="G1850" s="2" t="s">
        <v>6</v>
      </c>
      <c r="H1850" s="3" t="s">
        <v>97</v>
      </c>
      <c r="I1850" s="3" t="s">
        <v>91</v>
      </c>
      <c r="J1850" s="3" t="s">
        <v>59</v>
      </c>
      <c r="K1850" s="4">
        <v>243.51</v>
      </c>
      <c r="L1850" s="6">
        <v>12.99</v>
      </c>
    </row>
    <row r="1851" spans="1:12" x14ac:dyDescent="0.25">
      <c r="A1851" s="1">
        <v>1850</v>
      </c>
      <c r="B1851" s="4">
        <v>13313</v>
      </c>
      <c r="C1851" s="5">
        <v>40010</v>
      </c>
      <c r="D1851" s="3" t="s">
        <v>86</v>
      </c>
      <c r="E1851" s="1" t="s">
        <v>269</v>
      </c>
      <c r="F1851" s="1" t="s">
        <v>40</v>
      </c>
      <c r="G1851" s="2" t="s">
        <v>6</v>
      </c>
      <c r="H1851" s="3" t="s">
        <v>97</v>
      </c>
      <c r="I1851" s="3" t="s">
        <v>85</v>
      </c>
      <c r="J1851" s="3" t="s">
        <v>66</v>
      </c>
      <c r="K1851" s="4">
        <v>755.6</v>
      </c>
      <c r="L1851" s="6">
        <v>35.44</v>
      </c>
    </row>
    <row r="1852" spans="1:12" x14ac:dyDescent="0.25">
      <c r="A1852" s="1">
        <v>1851</v>
      </c>
      <c r="B1852" s="4">
        <v>13313</v>
      </c>
      <c r="C1852" s="5">
        <v>40010</v>
      </c>
      <c r="D1852" s="3" t="s">
        <v>86</v>
      </c>
      <c r="E1852" s="1" t="s">
        <v>269</v>
      </c>
      <c r="F1852" s="1" t="s">
        <v>40</v>
      </c>
      <c r="G1852" s="2" t="s">
        <v>6</v>
      </c>
      <c r="H1852" s="3" t="s">
        <v>97</v>
      </c>
      <c r="I1852" s="3" t="s">
        <v>85</v>
      </c>
      <c r="J1852" s="3" t="s">
        <v>58</v>
      </c>
      <c r="K1852" s="4">
        <v>592.73</v>
      </c>
      <c r="L1852" s="6">
        <v>12.98</v>
      </c>
    </row>
    <row r="1853" spans="1:12" x14ac:dyDescent="0.25">
      <c r="A1853" s="1">
        <v>1852</v>
      </c>
      <c r="B1853" s="4">
        <v>13314</v>
      </c>
      <c r="C1853" s="5">
        <v>39946</v>
      </c>
      <c r="D1853" s="3" t="s">
        <v>89</v>
      </c>
      <c r="E1853" s="1" t="s">
        <v>530</v>
      </c>
      <c r="F1853" s="1" t="s">
        <v>24</v>
      </c>
      <c r="G1853" s="2" t="s">
        <v>2</v>
      </c>
      <c r="H1853" s="3" t="s">
        <v>84</v>
      </c>
      <c r="I1853" s="3" t="s">
        <v>85</v>
      </c>
      <c r="J1853" s="3" t="s">
        <v>64</v>
      </c>
      <c r="K1853" s="4">
        <v>89.4</v>
      </c>
      <c r="L1853" s="6">
        <v>2.62</v>
      </c>
    </row>
    <row r="1854" spans="1:12" x14ac:dyDescent="0.25">
      <c r="A1854" s="1">
        <v>1853</v>
      </c>
      <c r="B1854" s="4">
        <v>13345</v>
      </c>
      <c r="C1854" s="5">
        <v>41154</v>
      </c>
      <c r="D1854" s="3" t="s">
        <v>86</v>
      </c>
      <c r="E1854" s="1" t="s">
        <v>805</v>
      </c>
      <c r="F1854" s="1" t="s">
        <v>46</v>
      </c>
      <c r="G1854" s="2" t="s">
        <v>6</v>
      </c>
      <c r="H1854" s="3" t="s">
        <v>88</v>
      </c>
      <c r="I1854" s="3" t="s">
        <v>92</v>
      </c>
      <c r="J1854" s="3" t="s">
        <v>62</v>
      </c>
      <c r="K1854" s="4">
        <v>116.82</v>
      </c>
      <c r="L1854" s="6">
        <v>4.7699999999999996</v>
      </c>
    </row>
    <row r="1855" spans="1:12" x14ac:dyDescent="0.25">
      <c r="A1855" s="1">
        <v>1854</v>
      </c>
      <c r="B1855" s="4">
        <v>13345</v>
      </c>
      <c r="C1855" s="5">
        <v>41154</v>
      </c>
      <c r="D1855" s="3" t="s">
        <v>86</v>
      </c>
      <c r="E1855" s="1" t="s">
        <v>805</v>
      </c>
      <c r="F1855" s="1" t="s">
        <v>46</v>
      </c>
      <c r="G1855" s="2" t="s">
        <v>6</v>
      </c>
      <c r="H1855" s="3" t="s">
        <v>88</v>
      </c>
      <c r="I1855" s="3" t="s">
        <v>85</v>
      </c>
      <c r="J1855" s="3" t="s">
        <v>58</v>
      </c>
      <c r="K1855" s="4">
        <v>483.64</v>
      </c>
      <c r="L1855" s="6">
        <v>10.98</v>
      </c>
    </row>
    <row r="1856" spans="1:12" x14ac:dyDescent="0.25">
      <c r="A1856" s="1">
        <v>1855</v>
      </c>
      <c r="B1856" s="4">
        <v>13346</v>
      </c>
      <c r="C1856" s="5">
        <v>41228</v>
      </c>
      <c r="D1856" s="3" t="s">
        <v>82</v>
      </c>
      <c r="E1856" s="1" t="s">
        <v>165</v>
      </c>
      <c r="F1856" s="1" t="s">
        <v>8</v>
      </c>
      <c r="G1856" s="2" t="s">
        <v>6</v>
      </c>
      <c r="H1856" s="3" t="s">
        <v>88</v>
      </c>
      <c r="I1856" s="3" t="s">
        <v>85</v>
      </c>
      <c r="J1856" s="3" t="s">
        <v>66</v>
      </c>
      <c r="K1856" s="4">
        <v>268.33999999999997</v>
      </c>
      <c r="L1856" s="6">
        <v>6.48</v>
      </c>
    </row>
    <row r="1857" spans="1:12" x14ac:dyDescent="0.25">
      <c r="A1857" s="1">
        <v>1856</v>
      </c>
      <c r="B1857" s="4">
        <v>13347</v>
      </c>
      <c r="C1857" s="5">
        <v>40291</v>
      </c>
      <c r="D1857" s="3" t="s">
        <v>86</v>
      </c>
      <c r="E1857" s="1" t="s">
        <v>319</v>
      </c>
      <c r="F1857" s="1" t="s">
        <v>31</v>
      </c>
      <c r="G1857" s="2" t="s">
        <v>1</v>
      </c>
      <c r="H1857" s="3" t="s">
        <v>100</v>
      </c>
      <c r="I1857" s="3" t="s">
        <v>85</v>
      </c>
      <c r="J1857" s="3" t="s">
        <v>69</v>
      </c>
      <c r="K1857" s="4">
        <v>104.89</v>
      </c>
      <c r="L1857" s="6">
        <v>3.8</v>
      </c>
    </row>
    <row r="1858" spans="1:12" x14ac:dyDescent="0.25">
      <c r="A1858" s="1">
        <v>1857</v>
      </c>
      <c r="B1858" s="4">
        <v>13348</v>
      </c>
      <c r="C1858" s="5">
        <v>40489</v>
      </c>
      <c r="D1858" s="3" t="s">
        <v>4</v>
      </c>
      <c r="E1858" s="1" t="s">
        <v>195</v>
      </c>
      <c r="F1858" s="1" t="s">
        <v>34</v>
      </c>
      <c r="G1858" s="2" t="s">
        <v>1</v>
      </c>
      <c r="H1858" s="3" t="s">
        <v>100</v>
      </c>
      <c r="I1858" s="3" t="s">
        <v>85</v>
      </c>
      <c r="J1858" s="3" t="s">
        <v>57</v>
      </c>
      <c r="K1858" s="4">
        <v>4890.58</v>
      </c>
      <c r="L1858" s="6">
        <v>140.85</v>
      </c>
    </row>
    <row r="1859" spans="1:12" x14ac:dyDescent="0.25">
      <c r="A1859" s="1">
        <v>1858</v>
      </c>
      <c r="B1859" s="4">
        <v>13351</v>
      </c>
      <c r="C1859" s="5">
        <v>40304</v>
      </c>
      <c r="D1859" s="3" t="s">
        <v>4</v>
      </c>
      <c r="E1859" s="1" t="s">
        <v>835</v>
      </c>
      <c r="F1859" s="1" t="s">
        <v>49</v>
      </c>
      <c r="G1859" s="2" t="s">
        <v>1</v>
      </c>
      <c r="H1859" s="3" t="s">
        <v>88</v>
      </c>
      <c r="I1859" s="3" t="s">
        <v>92</v>
      </c>
      <c r="J1859" s="3" t="s">
        <v>62</v>
      </c>
      <c r="K1859" s="4">
        <v>3331.81</v>
      </c>
      <c r="L1859" s="6">
        <v>179.99</v>
      </c>
    </row>
    <row r="1860" spans="1:12" x14ac:dyDescent="0.25">
      <c r="A1860" s="1">
        <v>1859</v>
      </c>
      <c r="B1860" s="4">
        <v>13378</v>
      </c>
      <c r="C1860" s="5">
        <v>40077</v>
      </c>
      <c r="D1860" s="3" t="s">
        <v>82</v>
      </c>
      <c r="E1860" s="1" t="s">
        <v>836</v>
      </c>
      <c r="F1860" s="1" t="s">
        <v>27</v>
      </c>
      <c r="G1860" s="2" t="s">
        <v>1</v>
      </c>
      <c r="H1860" s="3" t="s">
        <v>88</v>
      </c>
      <c r="I1860" s="3" t="s">
        <v>85</v>
      </c>
      <c r="J1860" s="3" t="s">
        <v>58</v>
      </c>
      <c r="K1860" s="4">
        <v>96.04</v>
      </c>
      <c r="L1860" s="6">
        <v>5.74</v>
      </c>
    </row>
    <row r="1861" spans="1:12" x14ac:dyDescent="0.25">
      <c r="A1861" s="1">
        <v>1860</v>
      </c>
      <c r="B1861" s="4">
        <v>13380</v>
      </c>
      <c r="C1861" s="5">
        <v>40009</v>
      </c>
      <c r="D1861" s="3" t="s">
        <v>95</v>
      </c>
      <c r="E1861" s="1" t="s">
        <v>837</v>
      </c>
      <c r="F1861" s="1" t="s">
        <v>30</v>
      </c>
      <c r="G1861" s="2" t="s">
        <v>6</v>
      </c>
      <c r="H1861" s="3" t="s">
        <v>88</v>
      </c>
      <c r="I1861" s="3" t="s">
        <v>85</v>
      </c>
      <c r="J1861" s="3" t="s">
        <v>63</v>
      </c>
      <c r="K1861" s="4">
        <v>66.12</v>
      </c>
      <c r="L1861" s="6">
        <v>2.88</v>
      </c>
    </row>
    <row r="1862" spans="1:12" x14ac:dyDescent="0.25">
      <c r="A1862" s="1">
        <v>1861</v>
      </c>
      <c r="B1862" s="4">
        <v>13381</v>
      </c>
      <c r="C1862" s="5">
        <v>40772</v>
      </c>
      <c r="D1862" s="3" t="s">
        <v>4</v>
      </c>
      <c r="E1862" s="1" t="s">
        <v>753</v>
      </c>
      <c r="F1862" s="1" t="s">
        <v>31</v>
      </c>
      <c r="G1862" s="2" t="s">
        <v>1</v>
      </c>
      <c r="H1862" s="3" t="s">
        <v>100</v>
      </c>
      <c r="I1862" s="3" t="s">
        <v>91</v>
      </c>
      <c r="J1862" s="3" t="s">
        <v>60</v>
      </c>
      <c r="K1862" s="4">
        <v>10714.78</v>
      </c>
      <c r="L1862" s="6">
        <v>259.70999999999998</v>
      </c>
    </row>
    <row r="1863" spans="1:12" x14ac:dyDescent="0.25">
      <c r="A1863" s="1">
        <v>1862</v>
      </c>
      <c r="B1863" s="4">
        <v>13383</v>
      </c>
      <c r="C1863" s="5">
        <v>41075</v>
      </c>
      <c r="D1863" s="3" t="s">
        <v>86</v>
      </c>
      <c r="E1863" s="1" t="s">
        <v>183</v>
      </c>
      <c r="F1863" s="1" t="s">
        <v>13</v>
      </c>
      <c r="G1863" s="2" t="s">
        <v>6</v>
      </c>
      <c r="H1863" s="3" t="s">
        <v>100</v>
      </c>
      <c r="I1863" s="3" t="s">
        <v>85</v>
      </c>
      <c r="J1863" s="3" t="s">
        <v>57</v>
      </c>
      <c r="K1863" s="4">
        <v>750.03</v>
      </c>
      <c r="L1863" s="6">
        <v>20.34</v>
      </c>
    </row>
    <row r="1864" spans="1:12" x14ac:dyDescent="0.25">
      <c r="A1864" s="1">
        <v>1863</v>
      </c>
      <c r="B1864" s="4">
        <v>13408</v>
      </c>
      <c r="C1864" s="5">
        <v>39858</v>
      </c>
      <c r="D1864" s="3" t="s">
        <v>82</v>
      </c>
      <c r="E1864" s="1" t="s">
        <v>838</v>
      </c>
      <c r="F1864" s="1" t="s">
        <v>18</v>
      </c>
      <c r="G1864" s="2" t="s">
        <v>6</v>
      </c>
      <c r="H1864" s="3" t="s">
        <v>97</v>
      </c>
      <c r="I1864" s="3" t="s">
        <v>91</v>
      </c>
      <c r="J1864" s="3" t="s">
        <v>59</v>
      </c>
      <c r="K1864" s="4">
        <v>256.77</v>
      </c>
      <c r="L1864" s="6">
        <v>60.65</v>
      </c>
    </row>
    <row r="1865" spans="1:12" x14ac:dyDescent="0.25">
      <c r="A1865" s="1">
        <v>1864</v>
      </c>
      <c r="B1865" s="4">
        <v>13410</v>
      </c>
      <c r="C1865" s="5">
        <v>40335</v>
      </c>
      <c r="D1865" s="3" t="s">
        <v>86</v>
      </c>
      <c r="E1865" s="1" t="s">
        <v>478</v>
      </c>
      <c r="F1865" s="1" t="s">
        <v>46</v>
      </c>
      <c r="G1865" s="2" t="s">
        <v>6</v>
      </c>
      <c r="H1865" s="3" t="s">
        <v>88</v>
      </c>
      <c r="I1865" s="3" t="s">
        <v>92</v>
      </c>
      <c r="J1865" s="3" t="s">
        <v>62</v>
      </c>
      <c r="K1865" s="4">
        <v>33.64</v>
      </c>
      <c r="L1865" s="6">
        <v>8.1199999999999992</v>
      </c>
    </row>
    <row r="1866" spans="1:12" x14ac:dyDescent="0.25">
      <c r="A1866" s="1">
        <v>1865</v>
      </c>
      <c r="B1866" s="4">
        <v>13410</v>
      </c>
      <c r="C1866" s="5">
        <v>40335</v>
      </c>
      <c r="D1866" s="3" t="s">
        <v>86</v>
      </c>
      <c r="E1866" s="1" t="s">
        <v>478</v>
      </c>
      <c r="F1866" s="1" t="s">
        <v>46</v>
      </c>
      <c r="G1866" s="2" t="s">
        <v>6</v>
      </c>
      <c r="H1866" s="3" t="s">
        <v>88</v>
      </c>
      <c r="I1866" s="3" t="s">
        <v>92</v>
      </c>
      <c r="J1866" s="3" t="s">
        <v>67</v>
      </c>
      <c r="K1866" s="4">
        <v>701.94</v>
      </c>
      <c r="L1866" s="6">
        <v>23.99</v>
      </c>
    </row>
    <row r="1867" spans="1:12" x14ac:dyDescent="0.25">
      <c r="A1867" s="1">
        <v>1866</v>
      </c>
      <c r="B1867" s="4">
        <v>13413</v>
      </c>
      <c r="C1867" s="5">
        <v>40207</v>
      </c>
      <c r="D1867" s="3" t="s">
        <v>95</v>
      </c>
      <c r="E1867" s="1" t="s">
        <v>839</v>
      </c>
      <c r="F1867" s="1" t="s">
        <v>34</v>
      </c>
      <c r="G1867" s="2" t="s">
        <v>1</v>
      </c>
      <c r="H1867" s="3" t="s">
        <v>100</v>
      </c>
      <c r="I1867" s="3" t="s">
        <v>85</v>
      </c>
      <c r="J1867" s="3" t="s">
        <v>66</v>
      </c>
      <c r="K1867" s="4">
        <v>150.28</v>
      </c>
      <c r="L1867" s="6">
        <v>4.9800000000000004</v>
      </c>
    </row>
    <row r="1868" spans="1:12" x14ac:dyDescent="0.25">
      <c r="A1868" s="1">
        <v>1867</v>
      </c>
      <c r="B1868" s="4">
        <v>13440</v>
      </c>
      <c r="C1868" s="5">
        <v>40464</v>
      </c>
      <c r="D1868" s="3" t="s">
        <v>86</v>
      </c>
      <c r="E1868" s="1" t="s">
        <v>840</v>
      </c>
      <c r="F1868" s="1" t="s">
        <v>13</v>
      </c>
      <c r="G1868" s="2" t="s">
        <v>6</v>
      </c>
      <c r="H1868" s="3" t="s">
        <v>100</v>
      </c>
      <c r="I1868" s="3" t="s">
        <v>92</v>
      </c>
      <c r="J1868" s="3" t="s">
        <v>62</v>
      </c>
      <c r="K1868" s="4">
        <v>971.82</v>
      </c>
      <c r="L1868" s="6">
        <v>43.98</v>
      </c>
    </row>
    <row r="1869" spans="1:12" x14ac:dyDescent="0.25">
      <c r="A1869" s="1">
        <v>1868</v>
      </c>
      <c r="B1869" s="4">
        <v>13444</v>
      </c>
      <c r="C1869" s="5">
        <v>40913</v>
      </c>
      <c r="D1869" s="3" t="s">
        <v>89</v>
      </c>
      <c r="E1869" s="1" t="s">
        <v>304</v>
      </c>
      <c r="F1869" s="1" t="s">
        <v>18</v>
      </c>
      <c r="G1869" s="2" t="s">
        <v>6</v>
      </c>
      <c r="H1869" s="3" t="s">
        <v>100</v>
      </c>
      <c r="I1869" s="3" t="s">
        <v>85</v>
      </c>
      <c r="J1869" s="3" t="s">
        <v>66</v>
      </c>
      <c r="K1869" s="4">
        <v>154.44</v>
      </c>
      <c r="L1869" s="6">
        <v>4.76</v>
      </c>
    </row>
    <row r="1870" spans="1:12" x14ac:dyDescent="0.25">
      <c r="A1870" s="1">
        <v>1869</v>
      </c>
      <c r="B1870" s="4">
        <v>13447</v>
      </c>
      <c r="C1870" s="5">
        <v>40186</v>
      </c>
      <c r="D1870" s="3" t="s">
        <v>89</v>
      </c>
      <c r="E1870" s="1" t="s">
        <v>650</v>
      </c>
      <c r="F1870" s="1" t="s">
        <v>34</v>
      </c>
      <c r="G1870" s="2" t="s">
        <v>1</v>
      </c>
      <c r="H1870" s="3" t="s">
        <v>88</v>
      </c>
      <c r="I1870" s="3" t="s">
        <v>92</v>
      </c>
      <c r="J1870" s="3" t="s">
        <v>61</v>
      </c>
      <c r="K1870" s="4">
        <v>436.48349999999999</v>
      </c>
      <c r="L1870" s="6">
        <v>20.99</v>
      </c>
    </row>
    <row r="1871" spans="1:12" x14ac:dyDescent="0.25">
      <c r="A1871" s="1">
        <v>1870</v>
      </c>
      <c r="B1871" s="4">
        <v>13472</v>
      </c>
      <c r="C1871" s="5">
        <v>40842</v>
      </c>
      <c r="D1871" s="3" t="s">
        <v>95</v>
      </c>
      <c r="E1871" s="1" t="s">
        <v>237</v>
      </c>
      <c r="F1871" s="1" t="s">
        <v>21</v>
      </c>
      <c r="G1871" s="2" t="s">
        <v>1</v>
      </c>
      <c r="H1871" s="3" t="s">
        <v>97</v>
      </c>
      <c r="I1871" s="3" t="s">
        <v>85</v>
      </c>
      <c r="J1871" s="3" t="s">
        <v>65</v>
      </c>
      <c r="K1871" s="4">
        <v>106.03</v>
      </c>
      <c r="L1871" s="6">
        <v>4.13</v>
      </c>
    </row>
    <row r="1872" spans="1:12" x14ac:dyDescent="0.25">
      <c r="A1872" s="1">
        <v>1871</v>
      </c>
      <c r="B1872" s="4">
        <v>13476</v>
      </c>
      <c r="C1872" s="5">
        <v>40467</v>
      </c>
      <c r="D1872" s="3" t="s">
        <v>86</v>
      </c>
      <c r="E1872" s="1" t="s">
        <v>599</v>
      </c>
      <c r="F1872" s="1" t="s">
        <v>39</v>
      </c>
      <c r="G1872" s="2" t="s">
        <v>1</v>
      </c>
      <c r="H1872" s="3" t="s">
        <v>97</v>
      </c>
      <c r="I1872" s="3" t="s">
        <v>85</v>
      </c>
      <c r="J1872" s="3" t="s">
        <v>57</v>
      </c>
      <c r="K1872" s="4">
        <v>173.33</v>
      </c>
      <c r="L1872" s="6">
        <v>52.99</v>
      </c>
    </row>
    <row r="1873" spans="1:12" x14ac:dyDescent="0.25">
      <c r="A1873" s="1">
        <v>1872</v>
      </c>
      <c r="B1873" s="4">
        <v>13476</v>
      </c>
      <c r="C1873" s="5">
        <v>40467</v>
      </c>
      <c r="D1873" s="3" t="s">
        <v>86</v>
      </c>
      <c r="E1873" s="1" t="s">
        <v>841</v>
      </c>
      <c r="F1873" s="1" t="s">
        <v>49</v>
      </c>
      <c r="G1873" s="2" t="s">
        <v>1</v>
      </c>
      <c r="H1873" s="3" t="s">
        <v>97</v>
      </c>
      <c r="I1873" s="3" t="s">
        <v>92</v>
      </c>
      <c r="J1873" s="3" t="s">
        <v>62</v>
      </c>
      <c r="K1873" s="4">
        <v>972.35</v>
      </c>
      <c r="L1873" s="6">
        <v>30.73</v>
      </c>
    </row>
    <row r="1874" spans="1:12" x14ac:dyDescent="0.25">
      <c r="A1874" s="1">
        <v>1873</v>
      </c>
      <c r="B1874" s="4">
        <v>13476</v>
      </c>
      <c r="C1874" s="5">
        <v>40467</v>
      </c>
      <c r="D1874" s="3" t="s">
        <v>86</v>
      </c>
      <c r="E1874" s="1" t="s">
        <v>678</v>
      </c>
      <c r="F1874" s="1" t="s">
        <v>20</v>
      </c>
      <c r="G1874" s="2" t="s">
        <v>1</v>
      </c>
      <c r="H1874" s="3" t="s">
        <v>97</v>
      </c>
      <c r="I1874" s="3" t="s">
        <v>85</v>
      </c>
      <c r="J1874" s="3" t="s">
        <v>69</v>
      </c>
      <c r="K1874" s="4">
        <v>231.29</v>
      </c>
      <c r="L1874" s="6">
        <v>4.91</v>
      </c>
    </row>
    <row r="1875" spans="1:12" x14ac:dyDescent="0.25">
      <c r="A1875" s="1">
        <v>1874</v>
      </c>
      <c r="B1875" s="4">
        <v>13479</v>
      </c>
      <c r="C1875" s="5">
        <v>40151</v>
      </c>
      <c r="D1875" s="3" t="s">
        <v>89</v>
      </c>
      <c r="E1875" s="1" t="s">
        <v>579</v>
      </c>
      <c r="F1875" s="1" t="s">
        <v>13</v>
      </c>
      <c r="G1875" s="2" t="s">
        <v>6</v>
      </c>
      <c r="H1875" s="3" t="s">
        <v>100</v>
      </c>
      <c r="I1875" s="3" t="s">
        <v>92</v>
      </c>
      <c r="J1875" s="3" t="s">
        <v>62</v>
      </c>
      <c r="K1875" s="4">
        <v>292.95999999999998</v>
      </c>
      <c r="L1875" s="6">
        <v>99.99</v>
      </c>
    </row>
    <row r="1876" spans="1:12" x14ac:dyDescent="0.25">
      <c r="A1876" s="1">
        <v>1875</v>
      </c>
      <c r="B1876" s="4">
        <v>13479</v>
      </c>
      <c r="C1876" s="5">
        <v>40151</v>
      </c>
      <c r="D1876" s="3" t="s">
        <v>89</v>
      </c>
      <c r="E1876" s="1" t="s">
        <v>579</v>
      </c>
      <c r="F1876" s="1" t="s">
        <v>13</v>
      </c>
      <c r="G1876" s="2" t="s">
        <v>6</v>
      </c>
      <c r="H1876" s="3" t="s">
        <v>100</v>
      </c>
      <c r="I1876" s="3" t="s">
        <v>92</v>
      </c>
      <c r="J1876" s="3" t="s">
        <v>61</v>
      </c>
      <c r="K1876" s="4">
        <v>2206.991</v>
      </c>
      <c r="L1876" s="6">
        <v>205.99</v>
      </c>
    </row>
    <row r="1877" spans="1:12" x14ac:dyDescent="0.25">
      <c r="A1877" s="1">
        <v>1876</v>
      </c>
      <c r="B1877" s="4">
        <v>13507</v>
      </c>
      <c r="C1877" s="5">
        <v>41272</v>
      </c>
      <c r="D1877" s="3" t="s">
        <v>4</v>
      </c>
      <c r="E1877" s="1" t="s">
        <v>500</v>
      </c>
      <c r="F1877" s="1" t="s">
        <v>28</v>
      </c>
      <c r="G1877" s="2" t="s">
        <v>6</v>
      </c>
      <c r="H1877" s="3" t="s">
        <v>84</v>
      </c>
      <c r="I1877" s="3" t="s">
        <v>85</v>
      </c>
      <c r="J1877" s="3" t="s">
        <v>66</v>
      </c>
      <c r="K1877" s="4">
        <v>176.1</v>
      </c>
      <c r="L1877" s="6">
        <v>6.78</v>
      </c>
    </row>
    <row r="1878" spans="1:12" x14ac:dyDescent="0.25">
      <c r="A1878" s="1">
        <v>1877</v>
      </c>
      <c r="B1878" s="4">
        <v>13536</v>
      </c>
      <c r="C1878" s="5">
        <v>40043</v>
      </c>
      <c r="D1878" s="3" t="s">
        <v>4</v>
      </c>
      <c r="E1878" s="1" t="s">
        <v>257</v>
      </c>
      <c r="F1878" s="1" t="s">
        <v>24</v>
      </c>
      <c r="G1878" s="2" t="s">
        <v>2</v>
      </c>
      <c r="H1878" s="3" t="s">
        <v>97</v>
      </c>
      <c r="I1878" s="3" t="s">
        <v>85</v>
      </c>
      <c r="J1878" s="3" t="s">
        <v>66</v>
      </c>
      <c r="K1878" s="4">
        <v>123.15</v>
      </c>
      <c r="L1878" s="6">
        <v>5.18</v>
      </c>
    </row>
    <row r="1879" spans="1:12" x14ac:dyDescent="0.25">
      <c r="A1879" s="1">
        <v>1878</v>
      </c>
      <c r="B1879" s="4">
        <v>13537</v>
      </c>
      <c r="C1879" s="5">
        <v>40328</v>
      </c>
      <c r="D1879" s="3" t="s">
        <v>82</v>
      </c>
      <c r="E1879" s="1" t="s">
        <v>224</v>
      </c>
      <c r="F1879" s="1" t="s">
        <v>35</v>
      </c>
      <c r="G1879" s="2" t="s">
        <v>1</v>
      </c>
      <c r="H1879" s="3" t="s">
        <v>97</v>
      </c>
      <c r="I1879" s="3" t="s">
        <v>85</v>
      </c>
      <c r="J1879" s="3" t="s">
        <v>66</v>
      </c>
      <c r="K1879" s="4">
        <v>316.61</v>
      </c>
      <c r="L1879" s="6">
        <v>7.4</v>
      </c>
    </row>
    <row r="1880" spans="1:12" x14ac:dyDescent="0.25">
      <c r="A1880" s="1">
        <v>1879</v>
      </c>
      <c r="B1880" s="4">
        <v>13540</v>
      </c>
      <c r="C1880" s="5">
        <v>40321</v>
      </c>
      <c r="D1880" s="3" t="s">
        <v>89</v>
      </c>
      <c r="E1880" s="1" t="s">
        <v>842</v>
      </c>
      <c r="F1880" s="1" t="s">
        <v>15</v>
      </c>
      <c r="G1880" s="2" t="s">
        <v>1</v>
      </c>
      <c r="H1880" s="3" t="s">
        <v>100</v>
      </c>
      <c r="I1880" s="3" t="s">
        <v>85</v>
      </c>
      <c r="J1880" s="3" t="s">
        <v>65</v>
      </c>
      <c r="K1880" s="4">
        <v>121</v>
      </c>
      <c r="L1880" s="6">
        <v>3.75</v>
      </c>
    </row>
    <row r="1881" spans="1:12" x14ac:dyDescent="0.25">
      <c r="A1881" s="1">
        <v>1880</v>
      </c>
      <c r="B1881" s="4">
        <v>13540</v>
      </c>
      <c r="C1881" s="5">
        <v>40321</v>
      </c>
      <c r="D1881" s="3" t="s">
        <v>89</v>
      </c>
      <c r="E1881" s="1" t="s">
        <v>842</v>
      </c>
      <c r="F1881" s="1" t="s">
        <v>15</v>
      </c>
      <c r="G1881" s="2" t="s">
        <v>1</v>
      </c>
      <c r="H1881" s="3" t="s">
        <v>100</v>
      </c>
      <c r="I1881" s="3" t="s">
        <v>92</v>
      </c>
      <c r="J1881" s="3" t="s">
        <v>61</v>
      </c>
      <c r="K1881" s="4">
        <v>1484.1849999999999</v>
      </c>
      <c r="L1881" s="6">
        <v>65.989999999999995</v>
      </c>
    </row>
    <row r="1882" spans="1:12" x14ac:dyDescent="0.25">
      <c r="A1882" s="1">
        <v>1881</v>
      </c>
      <c r="B1882" s="4">
        <v>13540</v>
      </c>
      <c r="C1882" s="5">
        <v>40321</v>
      </c>
      <c r="D1882" s="3" t="s">
        <v>89</v>
      </c>
      <c r="E1882" s="1" t="s">
        <v>513</v>
      </c>
      <c r="F1882" s="1" t="s">
        <v>23</v>
      </c>
      <c r="G1882" s="2" t="s">
        <v>3</v>
      </c>
      <c r="H1882" s="3" t="s">
        <v>100</v>
      </c>
      <c r="I1882" s="3" t="s">
        <v>92</v>
      </c>
      <c r="J1882" s="3" t="s">
        <v>62</v>
      </c>
      <c r="K1882" s="4">
        <v>259.58999999999997</v>
      </c>
      <c r="L1882" s="6">
        <v>8.5</v>
      </c>
    </row>
    <row r="1883" spans="1:12" x14ac:dyDescent="0.25">
      <c r="A1883" s="1">
        <v>1882</v>
      </c>
      <c r="B1883" s="4">
        <v>13540</v>
      </c>
      <c r="C1883" s="5">
        <v>40321</v>
      </c>
      <c r="D1883" s="3" t="s">
        <v>89</v>
      </c>
      <c r="E1883" s="1" t="s">
        <v>513</v>
      </c>
      <c r="F1883" s="1" t="s">
        <v>23</v>
      </c>
      <c r="G1883" s="2" t="s">
        <v>3</v>
      </c>
      <c r="H1883" s="3" t="s">
        <v>100</v>
      </c>
      <c r="I1883" s="3" t="s">
        <v>85</v>
      </c>
      <c r="J1883" s="3" t="s">
        <v>64</v>
      </c>
      <c r="K1883" s="4">
        <v>34.93</v>
      </c>
      <c r="L1883" s="6">
        <v>2.1800000000000002</v>
      </c>
    </row>
    <row r="1884" spans="1:12" x14ac:dyDescent="0.25">
      <c r="A1884" s="1">
        <v>1883</v>
      </c>
      <c r="B1884" s="4">
        <v>13540</v>
      </c>
      <c r="C1884" s="5">
        <v>40321</v>
      </c>
      <c r="D1884" s="3" t="s">
        <v>89</v>
      </c>
      <c r="E1884" s="1" t="s">
        <v>513</v>
      </c>
      <c r="F1884" s="1" t="s">
        <v>23</v>
      </c>
      <c r="G1884" s="2" t="s">
        <v>3</v>
      </c>
      <c r="H1884" s="3" t="s">
        <v>100</v>
      </c>
      <c r="I1884" s="3" t="s">
        <v>85</v>
      </c>
      <c r="J1884" s="3" t="s">
        <v>57</v>
      </c>
      <c r="K1884" s="4">
        <v>431.06</v>
      </c>
      <c r="L1884" s="6">
        <v>12.28</v>
      </c>
    </row>
    <row r="1885" spans="1:12" x14ac:dyDescent="0.25">
      <c r="A1885" s="1">
        <v>1884</v>
      </c>
      <c r="B1885" s="4">
        <v>13542</v>
      </c>
      <c r="C1885" s="5">
        <v>39880</v>
      </c>
      <c r="D1885" s="3" t="s">
        <v>82</v>
      </c>
      <c r="E1885" s="1" t="s">
        <v>101</v>
      </c>
      <c r="F1885" s="1" t="s">
        <v>10</v>
      </c>
      <c r="G1885" s="2" t="s">
        <v>3</v>
      </c>
      <c r="H1885" s="3" t="s">
        <v>100</v>
      </c>
      <c r="I1885" s="3" t="s">
        <v>91</v>
      </c>
      <c r="J1885" s="3" t="s">
        <v>72</v>
      </c>
      <c r="K1885" s="4">
        <v>3571.84</v>
      </c>
      <c r="L1885" s="6">
        <v>300.98</v>
      </c>
    </row>
    <row r="1886" spans="1:12" x14ac:dyDescent="0.25">
      <c r="A1886" s="1">
        <v>1885</v>
      </c>
      <c r="B1886" s="4">
        <v>13542</v>
      </c>
      <c r="C1886" s="5">
        <v>39880</v>
      </c>
      <c r="D1886" s="3" t="s">
        <v>82</v>
      </c>
      <c r="E1886" s="1" t="s">
        <v>101</v>
      </c>
      <c r="F1886" s="1" t="s">
        <v>10</v>
      </c>
      <c r="G1886" s="2" t="s">
        <v>3</v>
      </c>
      <c r="H1886" s="3" t="s">
        <v>100</v>
      </c>
      <c r="I1886" s="3" t="s">
        <v>85</v>
      </c>
      <c r="J1886" s="3" t="s">
        <v>71</v>
      </c>
      <c r="K1886" s="4">
        <v>310.44</v>
      </c>
      <c r="L1886" s="6">
        <v>8.74</v>
      </c>
    </row>
    <row r="1887" spans="1:12" x14ac:dyDescent="0.25">
      <c r="A1887" s="1">
        <v>1886</v>
      </c>
      <c r="B1887" s="4">
        <v>13543</v>
      </c>
      <c r="C1887" s="5">
        <v>41129</v>
      </c>
      <c r="D1887" s="3" t="s">
        <v>4</v>
      </c>
      <c r="E1887" s="1" t="s">
        <v>700</v>
      </c>
      <c r="F1887" s="1" t="s">
        <v>45</v>
      </c>
      <c r="G1887" s="2" t="s">
        <v>3</v>
      </c>
      <c r="H1887" s="3" t="s">
        <v>88</v>
      </c>
      <c r="I1887" s="3" t="s">
        <v>85</v>
      </c>
      <c r="J1887" s="3" t="s">
        <v>57</v>
      </c>
      <c r="K1887" s="4">
        <v>27.83</v>
      </c>
      <c r="L1887" s="6">
        <v>9.7100000000000009</v>
      </c>
    </row>
    <row r="1888" spans="1:12" x14ac:dyDescent="0.25">
      <c r="A1888" s="1">
        <v>1887</v>
      </c>
      <c r="B1888" s="4">
        <v>13569</v>
      </c>
      <c r="C1888" s="5">
        <v>40643</v>
      </c>
      <c r="D1888" s="3" t="s">
        <v>95</v>
      </c>
      <c r="E1888" s="1" t="s">
        <v>617</v>
      </c>
      <c r="F1888" s="1" t="s">
        <v>24</v>
      </c>
      <c r="G1888" s="2" t="s">
        <v>2</v>
      </c>
      <c r="H1888" s="3" t="s">
        <v>88</v>
      </c>
      <c r="I1888" s="3" t="s">
        <v>85</v>
      </c>
      <c r="J1888" s="3" t="s">
        <v>70</v>
      </c>
      <c r="K1888" s="4">
        <v>563.17999999999995</v>
      </c>
      <c r="L1888" s="6">
        <v>40.98</v>
      </c>
    </row>
    <row r="1889" spans="1:12" x14ac:dyDescent="0.25">
      <c r="A1889" s="1">
        <v>1888</v>
      </c>
      <c r="B1889" s="4">
        <v>13569</v>
      </c>
      <c r="C1889" s="5">
        <v>40643</v>
      </c>
      <c r="D1889" s="3" t="s">
        <v>95</v>
      </c>
      <c r="E1889" s="1" t="s">
        <v>617</v>
      </c>
      <c r="F1889" s="1" t="s">
        <v>24</v>
      </c>
      <c r="G1889" s="2" t="s">
        <v>2</v>
      </c>
      <c r="H1889" s="3" t="s">
        <v>88</v>
      </c>
      <c r="I1889" s="3" t="s">
        <v>85</v>
      </c>
      <c r="J1889" s="3" t="s">
        <v>69</v>
      </c>
      <c r="K1889" s="4">
        <v>47.45</v>
      </c>
      <c r="L1889" s="6">
        <v>2.88</v>
      </c>
    </row>
    <row r="1890" spans="1:12" x14ac:dyDescent="0.25">
      <c r="A1890" s="1">
        <v>1889</v>
      </c>
      <c r="B1890" s="4">
        <v>13570</v>
      </c>
      <c r="C1890" s="5">
        <v>41245</v>
      </c>
      <c r="D1890" s="3" t="s">
        <v>86</v>
      </c>
      <c r="E1890" s="1" t="s">
        <v>517</v>
      </c>
      <c r="F1890" s="1" t="s">
        <v>24</v>
      </c>
      <c r="G1890" s="2" t="s">
        <v>2</v>
      </c>
      <c r="H1890" s="3" t="s">
        <v>88</v>
      </c>
      <c r="I1890" s="3" t="s">
        <v>91</v>
      </c>
      <c r="J1890" s="3" t="s">
        <v>59</v>
      </c>
      <c r="K1890" s="4">
        <v>16.97</v>
      </c>
      <c r="L1890" s="6">
        <v>8.34</v>
      </c>
    </row>
    <row r="1891" spans="1:12" x14ac:dyDescent="0.25">
      <c r="A1891" s="1">
        <v>1890</v>
      </c>
      <c r="B1891" s="4">
        <v>13570</v>
      </c>
      <c r="C1891" s="5">
        <v>41245</v>
      </c>
      <c r="D1891" s="3" t="s">
        <v>86</v>
      </c>
      <c r="E1891" s="1" t="s">
        <v>517</v>
      </c>
      <c r="F1891" s="1" t="s">
        <v>24</v>
      </c>
      <c r="G1891" s="2" t="s">
        <v>2</v>
      </c>
      <c r="H1891" s="3" t="s">
        <v>88</v>
      </c>
      <c r="I1891" s="3" t="s">
        <v>92</v>
      </c>
      <c r="J1891" s="3" t="s">
        <v>61</v>
      </c>
      <c r="K1891" s="4">
        <v>4077.7559999999994</v>
      </c>
      <c r="L1891" s="6">
        <v>110.99</v>
      </c>
    </row>
    <row r="1892" spans="1:12" x14ac:dyDescent="0.25">
      <c r="A1892" s="1">
        <v>1891</v>
      </c>
      <c r="B1892" s="4">
        <v>13572</v>
      </c>
      <c r="C1892" s="5">
        <v>41046</v>
      </c>
      <c r="D1892" s="3" t="s">
        <v>95</v>
      </c>
      <c r="E1892" s="1" t="s">
        <v>285</v>
      </c>
      <c r="F1892" s="1" t="s">
        <v>20</v>
      </c>
      <c r="G1892" s="2" t="s">
        <v>1</v>
      </c>
      <c r="H1892" s="3" t="s">
        <v>97</v>
      </c>
      <c r="I1892" s="3" t="s">
        <v>92</v>
      </c>
      <c r="J1892" s="3" t="s">
        <v>62</v>
      </c>
      <c r="K1892" s="4">
        <v>40.11</v>
      </c>
      <c r="L1892" s="6">
        <v>5.0199999999999996</v>
      </c>
    </row>
    <row r="1893" spans="1:12" x14ac:dyDescent="0.25">
      <c r="A1893" s="1">
        <v>1892</v>
      </c>
      <c r="B1893" s="4">
        <v>13575</v>
      </c>
      <c r="C1893" s="5">
        <v>41150</v>
      </c>
      <c r="D1893" s="3" t="s">
        <v>95</v>
      </c>
      <c r="E1893" s="1" t="s">
        <v>761</v>
      </c>
      <c r="F1893" s="1" t="s">
        <v>19</v>
      </c>
      <c r="G1893" s="2" t="s">
        <v>3</v>
      </c>
      <c r="H1893" s="3" t="s">
        <v>84</v>
      </c>
      <c r="I1893" s="3" t="s">
        <v>85</v>
      </c>
      <c r="J1893" s="3" t="s">
        <v>66</v>
      </c>
      <c r="K1893" s="4">
        <v>106.1</v>
      </c>
      <c r="L1893" s="6">
        <v>6.48</v>
      </c>
    </row>
    <row r="1894" spans="1:12" x14ac:dyDescent="0.25">
      <c r="A1894" s="1">
        <v>1893</v>
      </c>
      <c r="B1894" s="4">
        <v>13601</v>
      </c>
      <c r="C1894" s="5">
        <v>41137</v>
      </c>
      <c r="D1894" s="3" t="s">
        <v>82</v>
      </c>
      <c r="E1894" s="1" t="s">
        <v>838</v>
      </c>
      <c r="F1894" s="1" t="s">
        <v>18</v>
      </c>
      <c r="G1894" s="2" t="s">
        <v>6</v>
      </c>
      <c r="H1894" s="3" t="s">
        <v>100</v>
      </c>
      <c r="I1894" s="3" t="s">
        <v>85</v>
      </c>
      <c r="J1894" s="3" t="s">
        <v>70</v>
      </c>
      <c r="K1894" s="4">
        <v>822.91</v>
      </c>
      <c r="L1894" s="6">
        <v>49.43</v>
      </c>
    </row>
    <row r="1895" spans="1:12" x14ac:dyDescent="0.25">
      <c r="A1895" s="1">
        <v>1894</v>
      </c>
      <c r="B1895" s="4">
        <v>13602</v>
      </c>
      <c r="C1895" s="5">
        <v>39826</v>
      </c>
      <c r="D1895" s="3" t="s">
        <v>82</v>
      </c>
      <c r="E1895" s="1" t="s">
        <v>723</v>
      </c>
      <c r="F1895" s="1" t="s">
        <v>24</v>
      </c>
      <c r="G1895" s="2" t="s">
        <v>2</v>
      </c>
      <c r="H1895" s="3" t="s">
        <v>88</v>
      </c>
      <c r="I1895" s="3" t="s">
        <v>92</v>
      </c>
      <c r="J1895" s="3" t="s">
        <v>67</v>
      </c>
      <c r="K1895" s="4">
        <v>445.34</v>
      </c>
      <c r="L1895" s="6">
        <v>145.44999999999999</v>
      </c>
    </row>
    <row r="1896" spans="1:12" x14ac:dyDescent="0.25">
      <c r="A1896" s="1">
        <v>1895</v>
      </c>
      <c r="B1896" s="4">
        <v>13602</v>
      </c>
      <c r="C1896" s="5">
        <v>39826</v>
      </c>
      <c r="D1896" s="3" t="s">
        <v>82</v>
      </c>
      <c r="E1896" s="1" t="s">
        <v>723</v>
      </c>
      <c r="F1896" s="1" t="s">
        <v>24</v>
      </c>
      <c r="G1896" s="2" t="s">
        <v>2</v>
      </c>
      <c r="H1896" s="3" t="s">
        <v>88</v>
      </c>
      <c r="I1896" s="3" t="s">
        <v>85</v>
      </c>
      <c r="J1896" s="3" t="s">
        <v>66</v>
      </c>
      <c r="K1896" s="4">
        <v>660.99</v>
      </c>
      <c r="L1896" s="6">
        <v>48.04</v>
      </c>
    </row>
    <row r="1897" spans="1:12" x14ac:dyDescent="0.25">
      <c r="A1897" s="1">
        <v>1896</v>
      </c>
      <c r="B1897" s="4">
        <v>13604</v>
      </c>
      <c r="C1897" s="5">
        <v>39846</v>
      </c>
      <c r="D1897" s="3" t="s">
        <v>86</v>
      </c>
      <c r="E1897" s="1" t="s">
        <v>452</v>
      </c>
      <c r="F1897" s="1" t="s">
        <v>38</v>
      </c>
      <c r="G1897" s="2" t="s">
        <v>6</v>
      </c>
      <c r="H1897" s="3" t="s">
        <v>88</v>
      </c>
      <c r="I1897" s="3" t="s">
        <v>92</v>
      </c>
      <c r="J1897" s="3" t="s">
        <v>62</v>
      </c>
      <c r="K1897" s="4">
        <v>3152.75</v>
      </c>
      <c r="L1897" s="6">
        <v>83.1</v>
      </c>
    </row>
    <row r="1898" spans="1:12" x14ac:dyDescent="0.25">
      <c r="A1898" s="1">
        <v>1897</v>
      </c>
      <c r="B1898" s="4">
        <v>13604</v>
      </c>
      <c r="C1898" s="5">
        <v>39846</v>
      </c>
      <c r="D1898" s="3" t="s">
        <v>86</v>
      </c>
      <c r="E1898" s="1" t="s">
        <v>452</v>
      </c>
      <c r="F1898" s="1" t="s">
        <v>38</v>
      </c>
      <c r="G1898" s="2" t="s">
        <v>6</v>
      </c>
      <c r="H1898" s="3" t="s">
        <v>88</v>
      </c>
      <c r="I1898" s="3" t="s">
        <v>91</v>
      </c>
      <c r="J1898" s="3" t="s">
        <v>59</v>
      </c>
      <c r="K1898" s="4">
        <v>3609.88</v>
      </c>
      <c r="L1898" s="6">
        <v>90.98</v>
      </c>
    </row>
    <row r="1899" spans="1:12" x14ac:dyDescent="0.25">
      <c r="A1899" s="1">
        <v>1898</v>
      </c>
      <c r="B1899" s="4">
        <v>13606</v>
      </c>
      <c r="C1899" s="5">
        <v>39929</v>
      </c>
      <c r="D1899" s="3" t="s">
        <v>86</v>
      </c>
      <c r="E1899" s="1" t="s">
        <v>196</v>
      </c>
      <c r="F1899" s="1" t="s">
        <v>30</v>
      </c>
      <c r="G1899" s="2" t="s">
        <v>6</v>
      </c>
      <c r="H1899" s="3" t="s">
        <v>84</v>
      </c>
      <c r="I1899" s="3" t="s">
        <v>85</v>
      </c>
      <c r="J1899" s="3" t="s">
        <v>63</v>
      </c>
      <c r="K1899" s="4">
        <v>109.86</v>
      </c>
      <c r="L1899" s="6">
        <v>3.38</v>
      </c>
    </row>
    <row r="1900" spans="1:12" x14ac:dyDescent="0.25">
      <c r="A1900" s="1">
        <v>1899</v>
      </c>
      <c r="B1900" s="4">
        <v>13607</v>
      </c>
      <c r="C1900" s="5">
        <v>40500</v>
      </c>
      <c r="D1900" s="3" t="s">
        <v>95</v>
      </c>
      <c r="E1900" s="1" t="s">
        <v>702</v>
      </c>
      <c r="F1900" s="1" t="s">
        <v>14</v>
      </c>
      <c r="G1900" s="2" t="s">
        <v>2</v>
      </c>
      <c r="H1900" s="3" t="s">
        <v>84</v>
      </c>
      <c r="I1900" s="3" t="s">
        <v>92</v>
      </c>
      <c r="J1900" s="3" t="s">
        <v>62</v>
      </c>
      <c r="K1900" s="4">
        <v>440.6</v>
      </c>
      <c r="L1900" s="6">
        <v>39.479999999999997</v>
      </c>
    </row>
    <row r="1901" spans="1:12" x14ac:dyDescent="0.25">
      <c r="A1901" s="1">
        <v>1900</v>
      </c>
      <c r="B1901" s="4">
        <v>13607</v>
      </c>
      <c r="C1901" s="5">
        <v>40500</v>
      </c>
      <c r="D1901" s="3" t="s">
        <v>95</v>
      </c>
      <c r="E1901" s="1" t="s">
        <v>702</v>
      </c>
      <c r="F1901" s="1" t="s">
        <v>14</v>
      </c>
      <c r="G1901" s="2" t="s">
        <v>2</v>
      </c>
      <c r="H1901" s="3" t="s">
        <v>84</v>
      </c>
      <c r="I1901" s="3" t="s">
        <v>85</v>
      </c>
      <c r="J1901" s="3" t="s">
        <v>65</v>
      </c>
      <c r="K1901" s="4">
        <v>109.9</v>
      </c>
      <c r="L1901" s="6">
        <v>2.61</v>
      </c>
    </row>
    <row r="1902" spans="1:12" x14ac:dyDescent="0.25">
      <c r="A1902" s="1">
        <v>1901</v>
      </c>
      <c r="B1902" s="4">
        <v>13607</v>
      </c>
      <c r="C1902" s="5">
        <v>40500</v>
      </c>
      <c r="D1902" s="3" t="s">
        <v>95</v>
      </c>
      <c r="E1902" s="1" t="s">
        <v>702</v>
      </c>
      <c r="F1902" s="1" t="s">
        <v>14</v>
      </c>
      <c r="G1902" s="2" t="s">
        <v>2</v>
      </c>
      <c r="H1902" s="3" t="s">
        <v>84</v>
      </c>
      <c r="I1902" s="3" t="s">
        <v>85</v>
      </c>
      <c r="J1902" s="3" t="s">
        <v>57</v>
      </c>
      <c r="K1902" s="4">
        <v>315.29000000000002</v>
      </c>
      <c r="L1902" s="6">
        <v>20.34</v>
      </c>
    </row>
    <row r="1903" spans="1:12" x14ac:dyDescent="0.25">
      <c r="A1903" s="1">
        <v>1902</v>
      </c>
      <c r="B1903" s="4">
        <v>13632</v>
      </c>
      <c r="C1903" s="5">
        <v>39882</v>
      </c>
      <c r="D1903" s="3" t="s">
        <v>4</v>
      </c>
      <c r="E1903" s="1" t="s">
        <v>325</v>
      </c>
      <c r="F1903" s="1" t="s">
        <v>42</v>
      </c>
      <c r="G1903" s="2" t="s">
        <v>3</v>
      </c>
      <c r="H1903" s="3" t="s">
        <v>97</v>
      </c>
      <c r="I1903" s="3" t="s">
        <v>92</v>
      </c>
      <c r="J1903" s="3" t="s">
        <v>67</v>
      </c>
      <c r="K1903" s="4">
        <v>608.92999999999995</v>
      </c>
      <c r="L1903" s="6">
        <v>99.99</v>
      </c>
    </row>
    <row r="1904" spans="1:12" x14ac:dyDescent="0.25">
      <c r="A1904" s="1">
        <v>1903</v>
      </c>
      <c r="B1904" s="4">
        <v>13633</v>
      </c>
      <c r="C1904" s="5">
        <v>41002</v>
      </c>
      <c r="D1904" s="3" t="s">
        <v>86</v>
      </c>
      <c r="E1904" s="1" t="s">
        <v>289</v>
      </c>
      <c r="F1904" s="1" t="s">
        <v>13</v>
      </c>
      <c r="G1904" s="2" t="s">
        <v>6</v>
      </c>
      <c r="H1904" s="3" t="s">
        <v>88</v>
      </c>
      <c r="I1904" s="3" t="s">
        <v>91</v>
      </c>
      <c r="J1904" s="3" t="s">
        <v>72</v>
      </c>
      <c r="K1904" s="4">
        <v>2703.37</v>
      </c>
      <c r="L1904" s="6">
        <v>150.97999999999999</v>
      </c>
    </row>
    <row r="1905" spans="1:12" x14ac:dyDescent="0.25">
      <c r="A1905" s="1">
        <v>1904</v>
      </c>
      <c r="B1905" s="4">
        <v>13633</v>
      </c>
      <c r="C1905" s="5">
        <v>41002</v>
      </c>
      <c r="D1905" s="3" t="s">
        <v>86</v>
      </c>
      <c r="E1905" s="1" t="s">
        <v>289</v>
      </c>
      <c r="F1905" s="1" t="s">
        <v>13</v>
      </c>
      <c r="G1905" s="2" t="s">
        <v>6</v>
      </c>
      <c r="H1905" s="3" t="s">
        <v>88</v>
      </c>
      <c r="I1905" s="3" t="s">
        <v>85</v>
      </c>
      <c r="J1905" s="3" t="s">
        <v>57</v>
      </c>
      <c r="K1905" s="4">
        <v>1538.17</v>
      </c>
      <c r="L1905" s="6">
        <v>38.94</v>
      </c>
    </row>
    <row r="1906" spans="1:12" x14ac:dyDescent="0.25">
      <c r="A1906" s="1">
        <v>1905</v>
      </c>
      <c r="B1906" s="4">
        <v>13634</v>
      </c>
      <c r="C1906" s="5">
        <v>40651</v>
      </c>
      <c r="D1906" s="3" t="s">
        <v>89</v>
      </c>
      <c r="E1906" s="1" t="s">
        <v>312</v>
      </c>
      <c r="F1906" s="1" t="s">
        <v>31</v>
      </c>
      <c r="G1906" s="2" t="s">
        <v>1</v>
      </c>
      <c r="H1906" s="3" t="s">
        <v>100</v>
      </c>
      <c r="I1906" s="3" t="s">
        <v>92</v>
      </c>
      <c r="J1906" s="3" t="s">
        <v>62</v>
      </c>
      <c r="K1906" s="4">
        <v>1824.13</v>
      </c>
      <c r="L1906" s="6">
        <v>39.979999999999997</v>
      </c>
    </row>
    <row r="1907" spans="1:12" x14ac:dyDescent="0.25">
      <c r="A1907" s="1">
        <v>1906</v>
      </c>
      <c r="B1907" s="4">
        <v>13634</v>
      </c>
      <c r="C1907" s="5">
        <v>40651</v>
      </c>
      <c r="D1907" s="3" t="s">
        <v>89</v>
      </c>
      <c r="E1907" s="1" t="s">
        <v>312</v>
      </c>
      <c r="F1907" s="1" t="s">
        <v>31</v>
      </c>
      <c r="G1907" s="2" t="s">
        <v>1</v>
      </c>
      <c r="H1907" s="3" t="s">
        <v>100</v>
      </c>
      <c r="I1907" s="3" t="s">
        <v>85</v>
      </c>
      <c r="J1907" s="3" t="s">
        <v>71</v>
      </c>
      <c r="K1907" s="4">
        <v>151.38</v>
      </c>
      <c r="L1907" s="6">
        <v>5.58</v>
      </c>
    </row>
    <row r="1908" spans="1:12" x14ac:dyDescent="0.25">
      <c r="A1908" s="1">
        <v>1907</v>
      </c>
      <c r="B1908" s="4">
        <v>13635</v>
      </c>
      <c r="C1908" s="5">
        <v>39934</v>
      </c>
      <c r="D1908" s="3" t="s">
        <v>95</v>
      </c>
      <c r="E1908" s="1" t="s">
        <v>546</v>
      </c>
      <c r="F1908" s="1" t="s">
        <v>19</v>
      </c>
      <c r="G1908" s="2" t="s">
        <v>3</v>
      </c>
      <c r="H1908" s="3" t="s">
        <v>97</v>
      </c>
      <c r="I1908" s="3" t="s">
        <v>85</v>
      </c>
      <c r="J1908" s="3" t="s">
        <v>66</v>
      </c>
      <c r="K1908" s="4">
        <v>149</v>
      </c>
      <c r="L1908" s="6">
        <v>4.9800000000000004</v>
      </c>
    </row>
    <row r="1909" spans="1:12" x14ac:dyDescent="0.25">
      <c r="A1909" s="1">
        <v>1908</v>
      </c>
      <c r="B1909" s="4">
        <v>13635</v>
      </c>
      <c r="C1909" s="5">
        <v>39934</v>
      </c>
      <c r="D1909" s="3" t="s">
        <v>95</v>
      </c>
      <c r="E1909" s="1" t="s">
        <v>546</v>
      </c>
      <c r="F1909" s="1" t="s">
        <v>19</v>
      </c>
      <c r="G1909" s="2" t="s">
        <v>3</v>
      </c>
      <c r="H1909" s="3" t="s">
        <v>97</v>
      </c>
      <c r="I1909" s="3" t="s">
        <v>85</v>
      </c>
      <c r="J1909" s="3" t="s">
        <v>66</v>
      </c>
      <c r="K1909" s="4">
        <v>334.29</v>
      </c>
      <c r="L1909" s="6">
        <v>6.48</v>
      </c>
    </row>
    <row r="1910" spans="1:12" x14ac:dyDescent="0.25">
      <c r="A1910" s="1">
        <v>1909</v>
      </c>
      <c r="B1910" s="4">
        <v>13636</v>
      </c>
      <c r="C1910" s="5">
        <v>39835</v>
      </c>
      <c r="D1910" s="3" t="s">
        <v>82</v>
      </c>
      <c r="E1910" s="1" t="s">
        <v>223</v>
      </c>
      <c r="F1910" s="1" t="s">
        <v>25</v>
      </c>
      <c r="G1910" s="2" t="s">
        <v>6</v>
      </c>
      <c r="H1910" s="3" t="s">
        <v>97</v>
      </c>
      <c r="I1910" s="3" t="s">
        <v>91</v>
      </c>
      <c r="J1910" s="3" t="s">
        <v>68</v>
      </c>
      <c r="K1910" s="4">
        <v>28180.080000000002</v>
      </c>
      <c r="L1910" s="6">
        <v>880.98</v>
      </c>
    </row>
    <row r="1911" spans="1:12" x14ac:dyDescent="0.25">
      <c r="A1911" s="1">
        <v>1910</v>
      </c>
      <c r="B1911" s="4">
        <v>13638</v>
      </c>
      <c r="C1911" s="5">
        <v>40816</v>
      </c>
      <c r="D1911" s="3" t="s">
        <v>89</v>
      </c>
      <c r="E1911" s="1" t="s">
        <v>393</v>
      </c>
      <c r="F1911" s="1" t="s">
        <v>34</v>
      </c>
      <c r="G1911" s="2" t="s">
        <v>1</v>
      </c>
      <c r="H1911" s="3" t="s">
        <v>100</v>
      </c>
      <c r="I1911" s="3" t="s">
        <v>92</v>
      </c>
      <c r="J1911" s="3" t="s">
        <v>62</v>
      </c>
      <c r="K1911" s="4">
        <v>682.77</v>
      </c>
      <c r="L1911" s="6">
        <v>14.48</v>
      </c>
    </row>
    <row r="1912" spans="1:12" x14ac:dyDescent="0.25">
      <c r="A1912" s="1">
        <v>1911</v>
      </c>
      <c r="B1912" s="4">
        <v>13668</v>
      </c>
      <c r="C1912" s="5">
        <v>40963</v>
      </c>
      <c r="D1912" s="3" t="s">
        <v>95</v>
      </c>
      <c r="E1912" s="1" t="s">
        <v>558</v>
      </c>
      <c r="F1912" s="1" t="s">
        <v>24</v>
      </c>
      <c r="G1912" s="2" t="s">
        <v>2</v>
      </c>
      <c r="H1912" s="3" t="s">
        <v>97</v>
      </c>
      <c r="I1912" s="3" t="s">
        <v>91</v>
      </c>
      <c r="J1912" s="3" t="s">
        <v>59</v>
      </c>
      <c r="K1912" s="4">
        <v>282.61</v>
      </c>
      <c r="L1912" s="6">
        <v>6.24</v>
      </c>
    </row>
    <row r="1913" spans="1:12" x14ac:dyDescent="0.25">
      <c r="A1913" s="1">
        <v>1912</v>
      </c>
      <c r="B1913" s="4">
        <v>13670</v>
      </c>
      <c r="C1913" s="5">
        <v>41052</v>
      </c>
      <c r="D1913" s="3" t="s">
        <v>95</v>
      </c>
      <c r="E1913" s="1" t="s">
        <v>597</v>
      </c>
      <c r="F1913" s="1" t="s">
        <v>35</v>
      </c>
      <c r="G1913" s="2" t="s">
        <v>1</v>
      </c>
      <c r="H1913" s="3" t="s">
        <v>97</v>
      </c>
      <c r="I1913" s="3" t="s">
        <v>85</v>
      </c>
      <c r="J1913" s="3" t="s">
        <v>65</v>
      </c>
      <c r="K1913" s="4">
        <v>116.37</v>
      </c>
      <c r="L1913" s="6">
        <v>3.69</v>
      </c>
    </row>
    <row r="1914" spans="1:12" x14ac:dyDescent="0.25">
      <c r="A1914" s="1">
        <v>1913</v>
      </c>
      <c r="B1914" s="4">
        <v>13702</v>
      </c>
      <c r="C1914" s="5">
        <v>40796</v>
      </c>
      <c r="D1914" s="3" t="s">
        <v>82</v>
      </c>
      <c r="E1914" s="1" t="s">
        <v>648</v>
      </c>
      <c r="F1914" s="1" t="s">
        <v>8</v>
      </c>
      <c r="G1914" s="2" t="s">
        <v>6</v>
      </c>
      <c r="H1914" s="3" t="s">
        <v>84</v>
      </c>
      <c r="I1914" s="3" t="s">
        <v>85</v>
      </c>
      <c r="J1914" s="3" t="s">
        <v>66</v>
      </c>
      <c r="K1914" s="4">
        <v>209</v>
      </c>
      <c r="L1914" s="6">
        <v>35.44</v>
      </c>
    </row>
    <row r="1915" spans="1:12" x14ac:dyDescent="0.25">
      <c r="A1915" s="1">
        <v>1914</v>
      </c>
      <c r="B1915" s="4">
        <v>13729</v>
      </c>
      <c r="C1915" s="5">
        <v>39814</v>
      </c>
      <c r="D1915" s="3" t="s">
        <v>86</v>
      </c>
      <c r="E1915" s="1" t="s">
        <v>745</v>
      </c>
      <c r="F1915" s="1" t="s">
        <v>31</v>
      </c>
      <c r="G1915" s="2" t="s">
        <v>1</v>
      </c>
      <c r="H1915" s="3" t="s">
        <v>97</v>
      </c>
      <c r="I1915" s="3" t="s">
        <v>85</v>
      </c>
      <c r="J1915" s="3" t="s">
        <v>57</v>
      </c>
      <c r="K1915" s="4">
        <v>872.48</v>
      </c>
      <c r="L1915" s="6">
        <v>95.99</v>
      </c>
    </row>
    <row r="1916" spans="1:12" x14ac:dyDescent="0.25">
      <c r="A1916" s="1">
        <v>1915</v>
      </c>
      <c r="B1916" s="4">
        <v>13730</v>
      </c>
      <c r="C1916" s="5">
        <v>40672</v>
      </c>
      <c r="D1916" s="3" t="s">
        <v>89</v>
      </c>
      <c r="E1916" s="1" t="s">
        <v>312</v>
      </c>
      <c r="F1916" s="1" t="s">
        <v>31</v>
      </c>
      <c r="G1916" s="2" t="s">
        <v>1</v>
      </c>
      <c r="H1916" s="3" t="s">
        <v>88</v>
      </c>
      <c r="I1916" s="3" t="s">
        <v>91</v>
      </c>
      <c r="J1916" s="3" t="s">
        <v>60</v>
      </c>
      <c r="K1916" s="4">
        <v>3617.64</v>
      </c>
      <c r="L1916" s="6">
        <v>146.34</v>
      </c>
    </row>
    <row r="1917" spans="1:12" x14ac:dyDescent="0.25">
      <c r="A1917" s="1">
        <v>1916</v>
      </c>
      <c r="B1917" s="4">
        <v>13731</v>
      </c>
      <c r="C1917" s="5">
        <v>40307</v>
      </c>
      <c r="D1917" s="3" t="s">
        <v>86</v>
      </c>
      <c r="E1917" s="1" t="s">
        <v>843</v>
      </c>
      <c r="F1917" s="1" t="s">
        <v>20</v>
      </c>
      <c r="G1917" s="2" t="s">
        <v>1</v>
      </c>
      <c r="H1917" s="3" t="s">
        <v>84</v>
      </c>
      <c r="I1917" s="3" t="s">
        <v>85</v>
      </c>
      <c r="J1917" s="3" t="s">
        <v>66</v>
      </c>
      <c r="K1917" s="4">
        <v>44.08</v>
      </c>
      <c r="L1917" s="6">
        <v>4.4800000000000004</v>
      </c>
    </row>
    <row r="1918" spans="1:12" x14ac:dyDescent="0.25">
      <c r="A1918" s="1">
        <v>1917</v>
      </c>
      <c r="B1918" s="4">
        <v>13735</v>
      </c>
      <c r="C1918" s="5">
        <v>39954</v>
      </c>
      <c r="D1918" s="3" t="s">
        <v>4</v>
      </c>
      <c r="E1918" s="1" t="s">
        <v>727</v>
      </c>
      <c r="F1918" s="1" t="s">
        <v>13</v>
      </c>
      <c r="G1918" s="2" t="s">
        <v>6</v>
      </c>
      <c r="H1918" s="3" t="s">
        <v>97</v>
      </c>
      <c r="I1918" s="3" t="s">
        <v>85</v>
      </c>
      <c r="J1918" s="3" t="s">
        <v>71</v>
      </c>
      <c r="K1918" s="4">
        <v>281.70999999999998</v>
      </c>
      <c r="L1918" s="6">
        <v>7.64</v>
      </c>
    </row>
    <row r="1919" spans="1:12" x14ac:dyDescent="0.25">
      <c r="A1919" s="1">
        <v>1918</v>
      </c>
      <c r="B1919" s="4">
        <v>13761</v>
      </c>
      <c r="C1919" s="5">
        <v>40103</v>
      </c>
      <c r="D1919" s="3" t="s">
        <v>82</v>
      </c>
      <c r="E1919" s="1" t="s">
        <v>844</v>
      </c>
      <c r="F1919" s="1" t="s">
        <v>34</v>
      </c>
      <c r="G1919" s="2" t="s">
        <v>1</v>
      </c>
      <c r="H1919" s="3" t="s">
        <v>97</v>
      </c>
      <c r="I1919" s="3" t="s">
        <v>85</v>
      </c>
      <c r="J1919" s="3" t="s">
        <v>57</v>
      </c>
      <c r="K1919" s="4">
        <v>2421.44</v>
      </c>
      <c r="L1919" s="6">
        <v>78.8</v>
      </c>
    </row>
    <row r="1920" spans="1:12" x14ac:dyDescent="0.25">
      <c r="A1920" s="1">
        <v>1919</v>
      </c>
      <c r="B1920" s="4">
        <v>13762</v>
      </c>
      <c r="C1920" s="5">
        <v>40350</v>
      </c>
      <c r="D1920" s="3" t="s">
        <v>4</v>
      </c>
      <c r="E1920" s="1" t="s">
        <v>845</v>
      </c>
      <c r="F1920" s="1" t="s">
        <v>23</v>
      </c>
      <c r="G1920" s="2" t="s">
        <v>3</v>
      </c>
      <c r="H1920" s="3" t="s">
        <v>88</v>
      </c>
      <c r="I1920" s="3" t="s">
        <v>85</v>
      </c>
      <c r="J1920" s="3" t="s">
        <v>69</v>
      </c>
      <c r="K1920" s="4">
        <v>55</v>
      </c>
      <c r="L1920" s="6">
        <v>6.28</v>
      </c>
    </row>
    <row r="1921" spans="1:12" x14ac:dyDescent="0.25">
      <c r="A1921" s="1">
        <v>1920</v>
      </c>
      <c r="B1921" s="4">
        <v>13762</v>
      </c>
      <c r="C1921" s="5">
        <v>40350</v>
      </c>
      <c r="D1921" s="3" t="s">
        <v>4</v>
      </c>
      <c r="E1921" s="1" t="s">
        <v>845</v>
      </c>
      <c r="F1921" s="1" t="s">
        <v>23</v>
      </c>
      <c r="G1921" s="2" t="s">
        <v>3</v>
      </c>
      <c r="H1921" s="3" t="s">
        <v>88</v>
      </c>
      <c r="I1921" s="3" t="s">
        <v>85</v>
      </c>
      <c r="J1921" s="3" t="s">
        <v>71</v>
      </c>
      <c r="K1921" s="4">
        <v>51.66</v>
      </c>
      <c r="L1921" s="6">
        <v>7.64</v>
      </c>
    </row>
    <row r="1922" spans="1:12" x14ac:dyDescent="0.25">
      <c r="A1922" s="1">
        <v>1921</v>
      </c>
      <c r="B1922" s="4">
        <v>13762</v>
      </c>
      <c r="C1922" s="5">
        <v>40350</v>
      </c>
      <c r="D1922" s="3" t="s">
        <v>4</v>
      </c>
      <c r="E1922" s="1" t="s">
        <v>845</v>
      </c>
      <c r="F1922" s="1" t="s">
        <v>23</v>
      </c>
      <c r="G1922" s="2" t="s">
        <v>3</v>
      </c>
      <c r="H1922" s="3" t="s">
        <v>88</v>
      </c>
      <c r="I1922" s="3" t="s">
        <v>85</v>
      </c>
      <c r="J1922" s="3" t="s">
        <v>65</v>
      </c>
      <c r="K1922" s="4">
        <v>107.73</v>
      </c>
      <c r="L1922" s="6">
        <v>3.15</v>
      </c>
    </row>
    <row r="1923" spans="1:12" x14ac:dyDescent="0.25">
      <c r="A1923" s="1">
        <v>1922</v>
      </c>
      <c r="B1923" s="4">
        <v>13764</v>
      </c>
      <c r="C1923" s="5">
        <v>40737</v>
      </c>
      <c r="D1923" s="3" t="s">
        <v>4</v>
      </c>
      <c r="E1923" s="1" t="s">
        <v>271</v>
      </c>
      <c r="F1923" s="1" t="s">
        <v>35</v>
      </c>
      <c r="G1923" s="2" t="s">
        <v>1</v>
      </c>
      <c r="H1923" s="3" t="s">
        <v>97</v>
      </c>
      <c r="I1923" s="3" t="s">
        <v>85</v>
      </c>
      <c r="J1923" s="3" t="s">
        <v>63</v>
      </c>
      <c r="K1923" s="4">
        <v>123.93</v>
      </c>
      <c r="L1923" s="6">
        <v>4.28</v>
      </c>
    </row>
    <row r="1924" spans="1:12" x14ac:dyDescent="0.25">
      <c r="A1924" s="1">
        <v>1923</v>
      </c>
      <c r="B1924" s="4">
        <v>13765</v>
      </c>
      <c r="C1924" s="5">
        <v>39908</v>
      </c>
      <c r="D1924" s="3" t="s">
        <v>86</v>
      </c>
      <c r="E1924" s="1" t="s">
        <v>158</v>
      </c>
      <c r="F1924" s="1" t="s">
        <v>16</v>
      </c>
      <c r="G1924" s="2" t="s">
        <v>3</v>
      </c>
      <c r="H1924" s="3" t="s">
        <v>88</v>
      </c>
      <c r="I1924" s="3" t="s">
        <v>85</v>
      </c>
      <c r="J1924" s="3" t="s">
        <v>63</v>
      </c>
      <c r="K1924" s="4">
        <v>1553.38</v>
      </c>
      <c r="L1924" s="6">
        <v>36.549999999999997</v>
      </c>
    </row>
    <row r="1925" spans="1:12" x14ac:dyDescent="0.25">
      <c r="A1925" s="1">
        <v>1924</v>
      </c>
      <c r="B1925" s="4">
        <v>13767</v>
      </c>
      <c r="C1925" s="5">
        <v>40416</v>
      </c>
      <c r="D1925" s="3" t="s">
        <v>89</v>
      </c>
      <c r="E1925" s="1" t="s">
        <v>544</v>
      </c>
      <c r="F1925" s="1" t="s">
        <v>45</v>
      </c>
      <c r="G1925" s="2" t="s">
        <v>3</v>
      </c>
      <c r="H1925" s="3" t="s">
        <v>88</v>
      </c>
      <c r="I1925" s="3" t="s">
        <v>85</v>
      </c>
      <c r="J1925" s="3" t="s">
        <v>70</v>
      </c>
      <c r="K1925" s="4">
        <v>597.66</v>
      </c>
      <c r="L1925" s="6">
        <v>21.66</v>
      </c>
    </row>
    <row r="1926" spans="1:12" x14ac:dyDescent="0.25">
      <c r="A1926" s="1">
        <v>1925</v>
      </c>
      <c r="B1926" s="4">
        <v>13767</v>
      </c>
      <c r="C1926" s="5">
        <v>40416</v>
      </c>
      <c r="D1926" s="3" t="s">
        <v>89</v>
      </c>
      <c r="E1926" s="1" t="s">
        <v>544</v>
      </c>
      <c r="F1926" s="1" t="s">
        <v>45</v>
      </c>
      <c r="G1926" s="2" t="s">
        <v>3</v>
      </c>
      <c r="H1926" s="3" t="s">
        <v>88</v>
      </c>
      <c r="I1926" s="3" t="s">
        <v>92</v>
      </c>
      <c r="J1926" s="3" t="s">
        <v>61</v>
      </c>
      <c r="K1926" s="4">
        <v>1403.741</v>
      </c>
      <c r="L1926" s="6">
        <v>35.99</v>
      </c>
    </row>
    <row r="1927" spans="1:12" x14ac:dyDescent="0.25">
      <c r="A1927" s="1">
        <v>1926</v>
      </c>
      <c r="B1927" s="4">
        <v>13767</v>
      </c>
      <c r="C1927" s="5">
        <v>40416</v>
      </c>
      <c r="D1927" s="3" t="s">
        <v>89</v>
      </c>
      <c r="E1927" s="1" t="s">
        <v>544</v>
      </c>
      <c r="F1927" s="1" t="s">
        <v>45</v>
      </c>
      <c r="G1927" s="2" t="s">
        <v>3</v>
      </c>
      <c r="H1927" s="3" t="s">
        <v>88</v>
      </c>
      <c r="I1927" s="3" t="s">
        <v>92</v>
      </c>
      <c r="J1927" s="3" t="s">
        <v>61</v>
      </c>
      <c r="K1927" s="4">
        <v>1246.3634999999999</v>
      </c>
      <c r="L1927" s="6">
        <v>155.99</v>
      </c>
    </row>
    <row r="1928" spans="1:12" x14ac:dyDescent="0.25">
      <c r="A1928" s="1">
        <v>1927</v>
      </c>
      <c r="B1928" s="4">
        <v>13767</v>
      </c>
      <c r="C1928" s="5">
        <v>40416</v>
      </c>
      <c r="D1928" s="3" t="s">
        <v>89</v>
      </c>
      <c r="E1928" s="1" t="s">
        <v>846</v>
      </c>
      <c r="F1928" s="1" t="s">
        <v>44</v>
      </c>
      <c r="G1928" s="2" t="s">
        <v>3</v>
      </c>
      <c r="H1928" s="3" t="s">
        <v>88</v>
      </c>
      <c r="I1928" s="3" t="s">
        <v>91</v>
      </c>
      <c r="J1928" s="3" t="s">
        <v>60</v>
      </c>
      <c r="K1928" s="4">
        <v>2050.712</v>
      </c>
      <c r="L1928" s="6">
        <v>218.75</v>
      </c>
    </row>
    <row r="1929" spans="1:12" x14ac:dyDescent="0.25">
      <c r="A1929" s="1">
        <v>1928</v>
      </c>
      <c r="B1929" s="4">
        <v>13795</v>
      </c>
      <c r="C1929" s="5">
        <v>40643</v>
      </c>
      <c r="D1929" s="3" t="s">
        <v>86</v>
      </c>
      <c r="E1929" s="1" t="s">
        <v>83</v>
      </c>
      <c r="F1929" s="1" t="s">
        <v>8</v>
      </c>
      <c r="G1929" s="2" t="s">
        <v>6</v>
      </c>
      <c r="H1929" s="3" t="s">
        <v>84</v>
      </c>
      <c r="I1929" s="3" t="s">
        <v>85</v>
      </c>
      <c r="J1929" s="3" t="s">
        <v>69</v>
      </c>
      <c r="K1929" s="4">
        <v>501.32</v>
      </c>
      <c r="L1929" s="6">
        <v>15.99</v>
      </c>
    </row>
    <row r="1930" spans="1:12" x14ac:dyDescent="0.25">
      <c r="A1930" s="1">
        <v>1929</v>
      </c>
      <c r="B1930" s="4">
        <v>13795</v>
      </c>
      <c r="C1930" s="5">
        <v>40643</v>
      </c>
      <c r="D1930" s="3" t="s">
        <v>86</v>
      </c>
      <c r="E1930" s="1" t="s">
        <v>83</v>
      </c>
      <c r="F1930" s="1" t="s">
        <v>8</v>
      </c>
      <c r="G1930" s="2" t="s">
        <v>6</v>
      </c>
      <c r="H1930" s="3" t="s">
        <v>84</v>
      </c>
      <c r="I1930" s="3" t="s">
        <v>85</v>
      </c>
      <c r="J1930" s="3" t="s">
        <v>66</v>
      </c>
      <c r="K1930" s="4">
        <v>275.16000000000003</v>
      </c>
      <c r="L1930" s="6">
        <v>11.34</v>
      </c>
    </row>
    <row r="1931" spans="1:12" x14ac:dyDescent="0.25">
      <c r="A1931" s="1">
        <v>1930</v>
      </c>
      <c r="B1931" s="4">
        <v>13795</v>
      </c>
      <c r="C1931" s="5">
        <v>40643</v>
      </c>
      <c r="D1931" s="3" t="s">
        <v>86</v>
      </c>
      <c r="E1931" s="1" t="s">
        <v>83</v>
      </c>
      <c r="F1931" s="1" t="s">
        <v>8</v>
      </c>
      <c r="G1931" s="2" t="s">
        <v>6</v>
      </c>
      <c r="H1931" s="3" t="s">
        <v>84</v>
      </c>
      <c r="I1931" s="3" t="s">
        <v>85</v>
      </c>
      <c r="J1931" s="3" t="s">
        <v>66</v>
      </c>
      <c r="K1931" s="4">
        <v>1302.99</v>
      </c>
      <c r="L1931" s="6">
        <v>35.44</v>
      </c>
    </row>
    <row r="1932" spans="1:12" x14ac:dyDescent="0.25">
      <c r="A1932" s="1">
        <v>1931</v>
      </c>
      <c r="B1932" s="4">
        <v>13799</v>
      </c>
      <c r="C1932" s="5">
        <v>40513</v>
      </c>
      <c r="D1932" s="3" t="s">
        <v>95</v>
      </c>
      <c r="E1932" s="1" t="s">
        <v>523</v>
      </c>
      <c r="F1932" s="1" t="s">
        <v>12</v>
      </c>
      <c r="G1932" s="2" t="s">
        <v>2</v>
      </c>
      <c r="H1932" s="3" t="s">
        <v>84</v>
      </c>
      <c r="I1932" s="3" t="s">
        <v>91</v>
      </c>
      <c r="J1932" s="3" t="s">
        <v>59</v>
      </c>
      <c r="K1932" s="4">
        <v>118.06</v>
      </c>
      <c r="L1932" s="6">
        <v>22.23</v>
      </c>
    </row>
    <row r="1933" spans="1:12" x14ac:dyDescent="0.25">
      <c r="A1933" s="1">
        <v>1932</v>
      </c>
      <c r="B1933" s="4">
        <v>13824</v>
      </c>
      <c r="C1933" s="5">
        <v>40174</v>
      </c>
      <c r="D1933" s="3" t="s">
        <v>82</v>
      </c>
      <c r="E1933" s="1" t="s">
        <v>847</v>
      </c>
      <c r="F1933" s="1" t="s">
        <v>27</v>
      </c>
      <c r="G1933" s="2" t="s">
        <v>1</v>
      </c>
      <c r="H1933" s="3" t="s">
        <v>97</v>
      </c>
      <c r="I1933" s="3" t="s">
        <v>85</v>
      </c>
      <c r="J1933" s="3" t="s">
        <v>65</v>
      </c>
      <c r="K1933" s="4">
        <v>55.27</v>
      </c>
      <c r="L1933" s="6">
        <v>2.89</v>
      </c>
    </row>
    <row r="1934" spans="1:12" x14ac:dyDescent="0.25">
      <c r="A1934" s="1">
        <v>1933</v>
      </c>
      <c r="B1934" s="4">
        <v>13825</v>
      </c>
      <c r="C1934" s="5">
        <v>39893</v>
      </c>
      <c r="D1934" s="3" t="s">
        <v>89</v>
      </c>
      <c r="E1934" s="1" t="s">
        <v>687</v>
      </c>
      <c r="F1934" s="1" t="s">
        <v>9</v>
      </c>
      <c r="G1934" s="2" t="s">
        <v>2</v>
      </c>
      <c r="H1934" s="3" t="s">
        <v>97</v>
      </c>
      <c r="I1934" s="3" t="s">
        <v>85</v>
      </c>
      <c r="J1934" s="3" t="s">
        <v>66</v>
      </c>
      <c r="K1934" s="4">
        <v>186.79</v>
      </c>
      <c r="L1934" s="6">
        <v>6.48</v>
      </c>
    </row>
    <row r="1935" spans="1:12" x14ac:dyDescent="0.25">
      <c r="A1935" s="1">
        <v>1934</v>
      </c>
      <c r="B1935" s="4">
        <v>13830</v>
      </c>
      <c r="C1935" s="5">
        <v>40168</v>
      </c>
      <c r="D1935" s="3" t="s">
        <v>89</v>
      </c>
      <c r="E1935" s="1" t="s">
        <v>174</v>
      </c>
      <c r="F1935" s="1" t="s">
        <v>53</v>
      </c>
      <c r="G1935" s="2" t="s">
        <v>6</v>
      </c>
      <c r="H1935" s="3" t="s">
        <v>84</v>
      </c>
      <c r="I1935" s="3" t="s">
        <v>85</v>
      </c>
      <c r="J1935" s="3" t="s">
        <v>71</v>
      </c>
      <c r="K1935" s="4">
        <v>2609.5300000000002</v>
      </c>
      <c r="L1935" s="6">
        <v>90.48</v>
      </c>
    </row>
    <row r="1936" spans="1:12" x14ac:dyDescent="0.25">
      <c r="A1936" s="1">
        <v>1935</v>
      </c>
      <c r="B1936" s="4">
        <v>13861</v>
      </c>
      <c r="C1936" s="5">
        <v>40401</v>
      </c>
      <c r="D1936" s="3" t="s">
        <v>89</v>
      </c>
      <c r="E1936" s="1" t="s">
        <v>848</v>
      </c>
      <c r="F1936" s="1" t="s">
        <v>13</v>
      </c>
      <c r="G1936" s="2" t="s">
        <v>6</v>
      </c>
      <c r="H1936" s="3" t="s">
        <v>88</v>
      </c>
      <c r="I1936" s="3" t="s">
        <v>85</v>
      </c>
      <c r="J1936" s="3" t="s">
        <v>63</v>
      </c>
      <c r="K1936" s="4">
        <v>37.299999999999997</v>
      </c>
      <c r="L1936" s="6">
        <v>4.84</v>
      </c>
    </row>
    <row r="1937" spans="1:12" x14ac:dyDescent="0.25">
      <c r="A1937" s="1">
        <v>1936</v>
      </c>
      <c r="B1937" s="4">
        <v>13889</v>
      </c>
      <c r="C1937" s="5">
        <v>40790</v>
      </c>
      <c r="D1937" s="3" t="s">
        <v>4</v>
      </c>
      <c r="E1937" s="1" t="s">
        <v>849</v>
      </c>
      <c r="F1937" s="1" t="s">
        <v>30</v>
      </c>
      <c r="G1937" s="2" t="s">
        <v>6</v>
      </c>
      <c r="H1937" s="3" t="s">
        <v>84</v>
      </c>
      <c r="I1937" s="3" t="s">
        <v>91</v>
      </c>
      <c r="J1937" s="3" t="s">
        <v>72</v>
      </c>
      <c r="K1937" s="4">
        <v>12979.1</v>
      </c>
      <c r="L1937" s="6">
        <v>258.98</v>
      </c>
    </row>
    <row r="1938" spans="1:12" x14ac:dyDescent="0.25">
      <c r="A1938" s="1">
        <v>1937</v>
      </c>
      <c r="B1938" s="4">
        <v>13892</v>
      </c>
      <c r="C1938" s="5">
        <v>41026</v>
      </c>
      <c r="D1938" s="3" t="s">
        <v>89</v>
      </c>
      <c r="E1938" s="1" t="s">
        <v>850</v>
      </c>
      <c r="F1938" s="1" t="s">
        <v>13</v>
      </c>
      <c r="G1938" s="2" t="s">
        <v>6</v>
      </c>
      <c r="H1938" s="3" t="s">
        <v>97</v>
      </c>
      <c r="I1938" s="3" t="s">
        <v>92</v>
      </c>
      <c r="J1938" s="3" t="s">
        <v>62</v>
      </c>
      <c r="K1938" s="4">
        <v>1446.97</v>
      </c>
      <c r="L1938" s="6">
        <v>29.89</v>
      </c>
    </row>
    <row r="1939" spans="1:12" x14ac:dyDescent="0.25">
      <c r="A1939" s="1">
        <v>1938</v>
      </c>
      <c r="B1939" s="4">
        <v>13894</v>
      </c>
      <c r="C1939" s="5">
        <v>41009</v>
      </c>
      <c r="D1939" s="3" t="s">
        <v>4</v>
      </c>
      <c r="E1939" s="1" t="s">
        <v>662</v>
      </c>
      <c r="F1939" s="1" t="s">
        <v>18</v>
      </c>
      <c r="G1939" s="2" t="s">
        <v>6</v>
      </c>
      <c r="H1939" s="3" t="s">
        <v>97</v>
      </c>
      <c r="I1939" s="3" t="s">
        <v>85</v>
      </c>
      <c r="J1939" s="3" t="s">
        <v>63</v>
      </c>
      <c r="K1939" s="4">
        <v>89.18</v>
      </c>
      <c r="L1939" s="6">
        <v>2.94</v>
      </c>
    </row>
    <row r="1940" spans="1:12" x14ac:dyDescent="0.25">
      <c r="A1940" s="1">
        <v>1939</v>
      </c>
      <c r="B1940" s="4">
        <v>13894</v>
      </c>
      <c r="C1940" s="5">
        <v>41009</v>
      </c>
      <c r="D1940" s="3" t="s">
        <v>4</v>
      </c>
      <c r="E1940" s="1" t="s">
        <v>662</v>
      </c>
      <c r="F1940" s="1" t="s">
        <v>18</v>
      </c>
      <c r="G1940" s="2" t="s">
        <v>6</v>
      </c>
      <c r="H1940" s="3" t="s">
        <v>97</v>
      </c>
      <c r="I1940" s="3" t="s">
        <v>92</v>
      </c>
      <c r="J1940" s="3" t="s">
        <v>61</v>
      </c>
      <c r="K1940" s="4">
        <v>1540.2850000000001</v>
      </c>
      <c r="L1940" s="6">
        <v>35.99</v>
      </c>
    </row>
    <row r="1941" spans="1:12" x14ac:dyDescent="0.25">
      <c r="A1941" s="1">
        <v>1940</v>
      </c>
      <c r="B1941" s="4">
        <v>13895</v>
      </c>
      <c r="C1941" s="5">
        <v>40502</v>
      </c>
      <c r="D1941" s="3" t="s">
        <v>89</v>
      </c>
      <c r="E1941" s="1" t="s">
        <v>736</v>
      </c>
      <c r="F1941" s="1" t="s">
        <v>22</v>
      </c>
      <c r="G1941" s="2" t="s">
        <v>6</v>
      </c>
      <c r="H1941" s="3" t="s">
        <v>84</v>
      </c>
      <c r="I1941" s="3" t="s">
        <v>85</v>
      </c>
      <c r="J1941" s="3" t="s">
        <v>57</v>
      </c>
      <c r="K1941" s="4">
        <v>614.34</v>
      </c>
      <c r="L1941" s="6">
        <v>14.03</v>
      </c>
    </row>
    <row r="1942" spans="1:12" x14ac:dyDescent="0.25">
      <c r="A1942" s="1">
        <v>1941</v>
      </c>
      <c r="B1942" s="4">
        <v>13920</v>
      </c>
      <c r="C1942" s="5">
        <v>40095</v>
      </c>
      <c r="D1942" s="3" t="s">
        <v>95</v>
      </c>
      <c r="E1942" s="1" t="s">
        <v>851</v>
      </c>
      <c r="F1942" s="1" t="s">
        <v>42</v>
      </c>
      <c r="G1942" s="2" t="s">
        <v>3</v>
      </c>
      <c r="H1942" s="3" t="s">
        <v>97</v>
      </c>
      <c r="I1942" s="3" t="s">
        <v>85</v>
      </c>
      <c r="J1942" s="3" t="s">
        <v>66</v>
      </c>
      <c r="K1942" s="4">
        <v>901.32</v>
      </c>
      <c r="L1942" s="6">
        <v>37.94</v>
      </c>
    </row>
    <row r="1943" spans="1:12" x14ac:dyDescent="0.25">
      <c r="A1943" s="1">
        <v>1942</v>
      </c>
      <c r="B1943" s="4">
        <v>13920</v>
      </c>
      <c r="C1943" s="5">
        <v>40095</v>
      </c>
      <c r="D1943" s="3" t="s">
        <v>95</v>
      </c>
      <c r="E1943" s="1" t="s">
        <v>851</v>
      </c>
      <c r="F1943" s="1" t="s">
        <v>42</v>
      </c>
      <c r="G1943" s="2" t="s">
        <v>3</v>
      </c>
      <c r="H1943" s="3" t="s">
        <v>97</v>
      </c>
      <c r="I1943" s="3" t="s">
        <v>85</v>
      </c>
      <c r="J1943" s="3" t="s">
        <v>58</v>
      </c>
      <c r="K1943" s="4">
        <v>207.21</v>
      </c>
      <c r="L1943" s="6">
        <v>8.57</v>
      </c>
    </row>
    <row r="1944" spans="1:12" x14ac:dyDescent="0.25">
      <c r="A1944" s="1">
        <v>1943</v>
      </c>
      <c r="B1944" s="4">
        <v>13923</v>
      </c>
      <c r="C1944" s="5">
        <v>41098</v>
      </c>
      <c r="D1944" s="3" t="s">
        <v>89</v>
      </c>
      <c r="E1944" s="1" t="s">
        <v>852</v>
      </c>
      <c r="F1944" s="1" t="s">
        <v>24</v>
      </c>
      <c r="G1944" s="2" t="s">
        <v>2</v>
      </c>
      <c r="H1944" s="3" t="s">
        <v>97</v>
      </c>
      <c r="I1944" s="3" t="s">
        <v>92</v>
      </c>
      <c r="J1944" s="3" t="s">
        <v>67</v>
      </c>
      <c r="K1944" s="4">
        <v>4332.3</v>
      </c>
      <c r="L1944" s="6">
        <v>200.97</v>
      </c>
    </row>
    <row r="1945" spans="1:12" x14ac:dyDescent="0.25">
      <c r="A1945" s="1">
        <v>1944</v>
      </c>
      <c r="B1945" s="4">
        <v>13923</v>
      </c>
      <c r="C1945" s="5">
        <v>41098</v>
      </c>
      <c r="D1945" s="3" t="s">
        <v>89</v>
      </c>
      <c r="E1945" s="1" t="s">
        <v>438</v>
      </c>
      <c r="F1945" s="1" t="s">
        <v>17</v>
      </c>
      <c r="G1945" s="2" t="s">
        <v>2</v>
      </c>
      <c r="H1945" s="3" t="s">
        <v>97</v>
      </c>
      <c r="I1945" s="3" t="s">
        <v>85</v>
      </c>
      <c r="J1945" s="3" t="s">
        <v>70</v>
      </c>
      <c r="K1945" s="4">
        <v>220.09</v>
      </c>
      <c r="L1945" s="6">
        <v>4.4800000000000004</v>
      </c>
    </row>
    <row r="1946" spans="1:12" x14ac:dyDescent="0.25">
      <c r="A1946" s="1">
        <v>1945</v>
      </c>
      <c r="B1946" s="4">
        <v>13923</v>
      </c>
      <c r="C1946" s="5">
        <v>41098</v>
      </c>
      <c r="D1946" s="3" t="s">
        <v>89</v>
      </c>
      <c r="E1946" s="1" t="s">
        <v>438</v>
      </c>
      <c r="F1946" s="1" t="s">
        <v>17</v>
      </c>
      <c r="G1946" s="2" t="s">
        <v>2</v>
      </c>
      <c r="H1946" s="3" t="s">
        <v>97</v>
      </c>
      <c r="I1946" s="3" t="s">
        <v>85</v>
      </c>
      <c r="J1946" s="3" t="s">
        <v>66</v>
      </c>
      <c r="K1946" s="4">
        <v>1220.23</v>
      </c>
      <c r="L1946" s="6">
        <v>22.84</v>
      </c>
    </row>
    <row r="1947" spans="1:12" x14ac:dyDescent="0.25">
      <c r="A1947" s="1">
        <v>1946</v>
      </c>
      <c r="B1947" s="4">
        <v>13923</v>
      </c>
      <c r="C1947" s="5">
        <v>41098</v>
      </c>
      <c r="D1947" s="3" t="s">
        <v>89</v>
      </c>
      <c r="E1947" s="1" t="s">
        <v>438</v>
      </c>
      <c r="F1947" s="1" t="s">
        <v>17</v>
      </c>
      <c r="G1947" s="2" t="s">
        <v>2</v>
      </c>
      <c r="H1947" s="3" t="s">
        <v>97</v>
      </c>
      <c r="I1947" s="3" t="s">
        <v>85</v>
      </c>
      <c r="J1947" s="3" t="s">
        <v>57</v>
      </c>
      <c r="K1947" s="4">
        <v>6152.8</v>
      </c>
      <c r="L1947" s="6">
        <v>225.02</v>
      </c>
    </row>
    <row r="1948" spans="1:12" x14ac:dyDescent="0.25">
      <c r="A1948" s="1">
        <v>1947</v>
      </c>
      <c r="B1948" s="4">
        <v>13927</v>
      </c>
      <c r="C1948" s="5">
        <v>40051</v>
      </c>
      <c r="D1948" s="3" t="s">
        <v>82</v>
      </c>
      <c r="E1948" s="1" t="s">
        <v>853</v>
      </c>
      <c r="F1948" s="1" t="s">
        <v>38</v>
      </c>
      <c r="G1948" s="2" t="s">
        <v>6</v>
      </c>
      <c r="H1948" s="3" t="s">
        <v>88</v>
      </c>
      <c r="I1948" s="3" t="s">
        <v>85</v>
      </c>
      <c r="J1948" s="3" t="s">
        <v>66</v>
      </c>
      <c r="K1948" s="4">
        <v>188.05</v>
      </c>
      <c r="L1948" s="6">
        <v>6.48</v>
      </c>
    </row>
    <row r="1949" spans="1:12" x14ac:dyDescent="0.25">
      <c r="A1949" s="1">
        <v>1948</v>
      </c>
      <c r="B1949" s="4">
        <v>13953</v>
      </c>
      <c r="C1949" s="5">
        <v>40694</v>
      </c>
      <c r="D1949" s="3" t="s">
        <v>95</v>
      </c>
      <c r="E1949" s="1" t="s">
        <v>183</v>
      </c>
      <c r="F1949" s="1" t="s">
        <v>35</v>
      </c>
      <c r="G1949" s="2" t="s">
        <v>1</v>
      </c>
      <c r="H1949" s="3" t="s">
        <v>100</v>
      </c>
      <c r="I1949" s="3" t="s">
        <v>85</v>
      </c>
      <c r="J1949" s="3" t="s">
        <v>66</v>
      </c>
      <c r="K1949" s="4">
        <v>381.24</v>
      </c>
      <c r="L1949" s="6">
        <v>11.34</v>
      </c>
    </row>
    <row r="1950" spans="1:12" x14ac:dyDescent="0.25">
      <c r="A1950" s="1">
        <v>1949</v>
      </c>
      <c r="B1950" s="4">
        <v>13958</v>
      </c>
      <c r="C1950" s="5">
        <v>40201</v>
      </c>
      <c r="D1950" s="3" t="s">
        <v>82</v>
      </c>
      <c r="E1950" s="1" t="s">
        <v>320</v>
      </c>
      <c r="F1950" s="1" t="s">
        <v>24</v>
      </c>
      <c r="G1950" s="2" t="s">
        <v>2</v>
      </c>
      <c r="H1950" s="3" t="s">
        <v>100</v>
      </c>
      <c r="I1950" s="3" t="s">
        <v>92</v>
      </c>
      <c r="J1950" s="3" t="s">
        <v>61</v>
      </c>
      <c r="K1950" s="4">
        <v>808.673</v>
      </c>
      <c r="L1950" s="6">
        <v>85.99</v>
      </c>
    </row>
    <row r="1951" spans="1:12" x14ac:dyDescent="0.25">
      <c r="A1951" s="1">
        <v>1950</v>
      </c>
      <c r="B1951" s="4">
        <v>13959</v>
      </c>
      <c r="C1951" s="5">
        <v>39907</v>
      </c>
      <c r="D1951" s="3" t="s">
        <v>4</v>
      </c>
      <c r="E1951" s="1" t="s">
        <v>614</v>
      </c>
      <c r="F1951" s="1" t="s">
        <v>12</v>
      </c>
      <c r="G1951" s="2" t="s">
        <v>2</v>
      </c>
      <c r="H1951" s="3" t="s">
        <v>97</v>
      </c>
      <c r="I1951" s="3" t="s">
        <v>85</v>
      </c>
      <c r="J1951" s="3" t="s">
        <v>65</v>
      </c>
      <c r="K1951" s="4">
        <v>228.46</v>
      </c>
      <c r="L1951" s="6">
        <v>4.91</v>
      </c>
    </row>
    <row r="1952" spans="1:12" x14ac:dyDescent="0.25">
      <c r="A1952" s="1">
        <v>1951</v>
      </c>
      <c r="B1952" s="4">
        <v>13959</v>
      </c>
      <c r="C1952" s="5">
        <v>39907</v>
      </c>
      <c r="D1952" s="3" t="s">
        <v>4</v>
      </c>
      <c r="E1952" s="1" t="s">
        <v>614</v>
      </c>
      <c r="F1952" s="1" t="s">
        <v>12</v>
      </c>
      <c r="G1952" s="2" t="s">
        <v>2</v>
      </c>
      <c r="H1952" s="3" t="s">
        <v>97</v>
      </c>
      <c r="I1952" s="3" t="s">
        <v>85</v>
      </c>
      <c r="J1952" s="3" t="s">
        <v>66</v>
      </c>
      <c r="K1952" s="4">
        <v>77.61</v>
      </c>
      <c r="L1952" s="6">
        <v>4</v>
      </c>
    </row>
    <row r="1953" spans="1:12" x14ac:dyDescent="0.25">
      <c r="A1953" s="1">
        <v>1952</v>
      </c>
      <c r="B1953" s="4">
        <v>13984</v>
      </c>
      <c r="C1953" s="5">
        <v>41176</v>
      </c>
      <c r="D1953" s="3" t="s">
        <v>95</v>
      </c>
      <c r="E1953" s="1" t="s">
        <v>492</v>
      </c>
      <c r="F1953" s="1" t="s">
        <v>30</v>
      </c>
      <c r="G1953" s="2" t="s">
        <v>6</v>
      </c>
      <c r="H1953" s="3" t="s">
        <v>97</v>
      </c>
      <c r="I1953" s="3" t="s">
        <v>91</v>
      </c>
      <c r="J1953" s="3" t="s">
        <v>59</v>
      </c>
      <c r="K1953" s="4">
        <v>2052.8200000000002</v>
      </c>
      <c r="L1953" s="6">
        <v>70.709999999999994</v>
      </c>
    </row>
    <row r="1954" spans="1:12" x14ac:dyDescent="0.25">
      <c r="A1954" s="1">
        <v>1953</v>
      </c>
      <c r="B1954" s="4">
        <v>13986</v>
      </c>
      <c r="C1954" s="5">
        <v>40827</v>
      </c>
      <c r="D1954" s="3" t="s">
        <v>89</v>
      </c>
      <c r="E1954" s="1" t="s">
        <v>515</v>
      </c>
      <c r="F1954" s="1" t="s">
        <v>30</v>
      </c>
      <c r="G1954" s="2" t="s">
        <v>6</v>
      </c>
      <c r="H1954" s="3" t="s">
        <v>100</v>
      </c>
      <c r="I1954" s="3" t="s">
        <v>92</v>
      </c>
      <c r="J1954" s="3" t="s">
        <v>62</v>
      </c>
      <c r="K1954" s="4">
        <v>1905.79</v>
      </c>
      <c r="L1954" s="6">
        <v>39.479999999999997</v>
      </c>
    </row>
    <row r="1955" spans="1:12" x14ac:dyDescent="0.25">
      <c r="A1955" s="1">
        <v>1954</v>
      </c>
      <c r="B1955" s="4">
        <v>13988</v>
      </c>
      <c r="C1955" s="5">
        <v>41122</v>
      </c>
      <c r="D1955" s="3" t="s">
        <v>86</v>
      </c>
      <c r="E1955" s="1" t="s">
        <v>216</v>
      </c>
      <c r="F1955" s="1" t="s">
        <v>10</v>
      </c>
      <c r="G1955" s="2" t="s">
        <v>3</v>
      </c>
      <c r="H1955" s="3" t="s">
        <v>97</v>
      </c>
      <c r="I1955" s="3" t="s">
        <v>91</v>
      </c>
      <c r="J1955" s="3" t="s">
        <v>59</v>
      </c>
      <c r="K1955" s="4">
        <v>180.27</v>
      </c>
      <c r="L1955" s="6">
        <v>4.95</v>
      </c>
    </row>
    <row r="1956" spans="1:12" x14ac:dyDescent="0.25">
      <c r="A1956" s="1">
        <v>1955</v>
      </c>
      <c r="B1956" s="4">
        <v>13988</v>
      </c>
      <c r="C1956" s="5">
        <v>41122</v>
      </c>
      <c r="D1956" s="3" t="s">
        <v>86</v>
      </c>
      <c r="E1956" s="1" t="s">
        <v>216</v>
      </c>
      <c r="F1956" s="1" t="s">
        <v>10</v>
      </c>
      <c r="G1956" s="2" t="s">
        <v>3</v>
      </c>
      <c r="H1956" s="3" t="s">
        <v>97</v>
      </c>
      <c r="I1956" s="3" t="s">
        <v>85</v>
      </c>
      <c r="J1956" s="3" t="s">
        <v>57</v>
      </c>
      <c r="K1956" s="4">
        <v>626.96</v>
      </c>
      <c r="L1956" s="6">
        <v>14.98</v>
      </c>
    </row>
    <row r="1957" spans="1:12" x14ac:dyDescent="0.25">
      <c r="A1957" s="1">
        <v>1956</v>
      </c>
      <c r="B1957" s="4">
        <v>13988</v>
      </c>
      <c r="C1957" s="5">
        <v>41122</v>
      </c>
      <c r="D1957" s="3" t="s">
        <v>86</v>
      </c>
      <c r="E1957" s="1" t="s">
        <v>854</v>
      </c>
      <c r="F1957" s="1" t="s">
        <v>10</v>
      </c>
      <c r="G1957" s="2" t="s">
        <v>3</v>
      </c>
      <c r="H1957" s="3" t="s">
        <v>97</v>
      </c>
      <c r="I1957" s="3" t="s">
        <v>85</v>
      </c>
      <c r="J1957" s="3" t="s">
        <v>70</v>
      </c>
      <c r="K1957" s="4">
        <v>236.31</v>
      </c>
      <c r="L1957" s="6">
        <v>11.97</v>
      </c>
    </row>
    <row r="1958" spans="1:12" x14ac:dyDescent="0.25">
      <c r="A1958" s="1">
        <v>1957</v>
      </c>
      <c r="B1958" s="4">
        <v>13991</v>
      </c>
      <c r="C1958" s="5">
        <v>40974</v>
      </c>
      <c r="D1958" s="3" t="s">
        <v>89</v>
      </c>
      <c r="E1958" s="1" t="s">
        <v>656</v>
      </c>
      <c r="F1958" s="1" t="s">
        <v>24</v>
      </c>
      <c r="G1958" s="2" t="s">
        <v>2</v>
      </c>
      <c r="H1958" s="3" t="s">
        <v>88</v>
      </c>
      <c r="I1958" s="3" t="s">
        <v>92</v>
      </c>
      <c r="J1958" s="3" t="s">
        <v>62</v>
      </c>
      <c r="K1958" s="4">
        <v>170.7</v>
      </c>
      <c r="L1958" s="6">
        <v>6.48</v>
      </c>
    </row>
    <row r="1959" spans="1:12" x14ac:dyDescent="0.25">
      <c r="A1959" s="1">
        <v>1958</v>
      </c>
      <c r="B1959" s="4">
        <v>13991</v>
      </c>
      <c r="C1959" s="5">
        <v>40974</v>
      </c>
      <c r="D1959" s="3" t="s">
        <v>89</v>
      </c>
      <c r="E1959" s="1" t="s">
        <v>656</v>
      </c>
      <c r="F1959" s="1" t="s">
        <v>24</v>
      </c>
      <c r="G1959" s="2" t="s">
        <v>2</v>
      </c>
      <c r="H1959" s="3" t="s">
        <v>88</v>
      </c>
      <c r="I1959" s="3" t="s">
        <v>91</v>
      </c>
      <c r="J1959" s="3" t="s">
        <v>60</v>
      </c>
      <c r="K1959" s="4">
        <v>1839.4480000000001</v>
      </c>
      <c r="L1959" s="6">
        <v>111.96</v>
      </c>
    </row>
    <row r="1960" spans="1:12" x14ac:dyDescent="0.25">
      <c r="A1960" s="1">
        <v>1959</v>
      </c>
      <c r="B1960" s="4">
        <v>14016</v>
      </c>
      <c r="C1960" s="5">
        <v>41101</v>
      </c>
      <c r="D1960" s="3" t="s">
        <v>82</v>
      </c>
      <c r="E1960" s="1" t="s">
        <v>547</v>
      </c>
      <c r="F1960" s="1" t="s">
        <v>12</v>
      </c>
      <c r="G1960" s="2" t="s">
        <v>2</v>
      </c>
      <c r="H1960" s="3" t="s">
        <v>88</v>
      </c>
      <c r="I1960" s="3" t="s">
        <v>91</v>
      </c>
      <c r="J1960" s="3" t="s">
        <v>60</v>
      </c>
      <c r="K1960" s="4">
        <v>1137.6199999999999</v>
      </c>
      <c r="L1960" s="6">
        <v>124.49</v>
      </c>
    </row>
    <row r="1961" spans="1:12" x14ac:dyDescent="0.25">
      <c r="A1961" s="1">
        <v>1960</v>
      </c>
      <c r="B1961" s="4">
        <v>14018</v>
      </c>
      <c r="C1961" s="5">
        <v>40335</v>
      </c>
      <c r="D1961" s="3" t="s">
        <v>89</v>
      </c>
      <c r="E1961" s="1" t="s">
        <v>812</v>
      </c>
      <c r="F1961" s="1" t="s">
        <v>33</v>
      </c>
      <c r="G1961" s="2" t="s">
        <v>2</v>
      </c>
      <c r="H1961" s="3" t="s">
        <v>100</v>
      </c>
      <c r="I1961" s="3" t="s">
        <v>85</v>
      </c>
      <c r="J1961" s="3" t="s">
        <v>65</v>
      </c>
      <c r="K1961" s="4">
        <v>160.68</v>
      </c>
      <c r="L1961" s="6">
        <v>4.9800000000000004</v>
      </c>
    </row>
    <row r="1962" spans="1:12" x14ac:dyDescent="0.25">
      <c r="A1962" s="1">
        <v>1961</v>
      </c>
      <c r="B1962" s="4">
        <v>14021</v>
      </c>
      <c r="C1962" s="5">
        <v>40609</v>
      </c>
      <c r="D1962" s="3" t="s">
        <v>89</v>
      </c>
      <c r="E1962" s="1" t="s">
        <v>620</v>
      </c>
      <c r="F1962" s="1" t="s">
        <v>25</v>
      </c>
      <c r="G1962" s="2" t="s">
        <v>6</v>
      </c>
      <c r="H1962" s="3" t="s">
        <v>88</v>
      </c>
      <c r="I1962" s="3" t="s">
        <v>85</v>
      </c>
      <c r="J1962" s="3" t="s">
        <v>63</v>
      </c>
      <c r="K1962" s="4">
        <v>27.05</v>
      </c>
      <c r="L1962" s="6">
        <v>1.82</v>
      </c>
    </row>
    <row r="1963" spans="1:12" x14ac:dyDescent="0.25">
      <c r="A1963" s="1">
        <v>1962</v>
      </c>
      <c r="B1963" s="4">
        <v>14023</v>
      </c>
      <c r="C1963" s="5">
        <v>40229</v>
      </c>
      <c r="D1963" s="3" t="s">
        <v>86</v>
      </c>
      <c r="E1963" s="1" t="s">
        <v>727</v>
      </c>
      <c r="F1963" s="1" t="s">
        <v>13</v>
      </c>
      <c r="G1963" s="2" t="s">
        <v>6</v>
      </c>
      <c r="H1963" s="3" t="s">
        <v>88</v>
      </c>
      <c r="I1963" s="3" t="s">
        <v>85</v>
      </c>
      <c r="J1963" s="3" t="s">
        <v>69</v>
      </c>
      <c r="K1963" s="4">
        <v>711.1</v>
      </c>
      <c r="L1963" s="6">
        <v>21.38</v>
      </c>
    </row>
    <row r="1964" spans="1:12" x14ac:dyDescent="0.25">
      <c r="A1964" s="1">
        <v>1963</v>
      </c>
      <c r="B1964" s="4">
        <v>14023</v>
      </c>
      <c r="C1964" s="5">
        <v>40229</v>
      </c>
      <c r="D1964" s="3" t="s">
        <v>86</v>
      </c>
      <c r="E1964" s="1" t="s">
        <v>727</v>
      </c>
      <c r="F1964" s="1" t="s">
        <v>13</v>
      </c>
      <c r="G1964" s="2" t="s">
        <v>6</v>
      </c>
      <c r="H1964" s="3" t="s">
        <v>88</v>
      </c>
      <c r="I1964" s="3" t="s">
        <v>85</v>
      </c>
      <c r="J1964" s="3" t="s">
        <v>66</v>
      </c>
      <c r="K1964" s="4">
        <v>498.16</v>
      </c>
      <c r="L1964" s="6">
        <v>9.99</v>
      </c>
    </row>
    <row r="1965" spans="1:12" x14ac:dyDescent="0.25">
      <c r="A1965" s="1">
        <v>1964</v>
      </c>
      <c r="B1965" s="4">
        <v>14048</v>
      </c>
      <c r="C1965" s="5">
        <v>40315</v>
      </c>
      <c r="D1965" s="3" t="s">
        <v>86</v>
      </c>
      <c r="E1965" s="1" t="s">
        <v>855</v>
      </c>
      <c r="F1965" s="1" t="s">
        <v>24</v>
      </c>
      <c r="G1965" s="2" t="s">
        <v>2</v>
      </c>
      <c r="H1965" s="3" t="s">
        <v>84</v>
      </c>
      <c r="I1965" s="3" t="s">
        <v>85</v>
      </c>
      <c r="J1965" s="3" t="s">
        <v>63</v>
      </c>
      <c r="K1965" s="4">
        <v>1837.15</v>
      </c>
      <c r="L1965" s="6">
        <v>40.97</v>
      </c>
    </row>
    <row r="1966" spans="1:12" x14ac:dyDescent="0.25">
      <c r="A1966" s="1">
        <v>1965</v>
      </c>
      <c r="B1966" s="4">
        <v>14048</v>
      </c>
      <c r="C1966" s="5">
        <v>40315</v>
      </c>
      <c r="D1966" s="3" t="s">
        <v>86</v>
      </c>
      <c r="E1966" s="1" t="s">
        <v>855</v>
      </c>
      <c r="F1966" s="1" t="s">
        <v>24</v>
      </c>
      <c r="G1966" s="2" t="s">
        <v>2</v>
      </c>
      <c r="H1966" s="3" t="s">
        <v>84</v>
      </c>
      <c r="I1966" s="3" t="s">
        <v>85</v>
      </c>
      <c r="J1966" s="3" t="s">
        <v>57</v>
      </c>
      <c r="K1966" s="4">
        <v>540.22</v>
      </c>
      <c r="L1966" s="6">
        <v>101.41</v>
      </c>
    </row>
    <row r="1967" spans="1:12" x14ac:dyDescent="0.25">
      <c r="A1967" s="1">
        <v>1966</v>
      </c>
      <c r="B1967" s="4">
        <v>14048</v>
      </c>
      <c r="C1967" s="5">
        <v>40315</v>
      </c>
      <c r="D1967" s="3" t="s">
        <v>86</v>
      </c>
      <c r="E1967" s="1" t="s">
        <v>855</v>
      </c>
      <c r="F1967" s="1" t="s">
        <v>24</v>
      </c>
      <c r="G1967" s="2" t="s">
        <v>2</v>
      </c>
      <c r="H1967" s="3" t="s">
        <v>84</v>
      </c>
      <c r="I1967" s="3" t="s">
        <v>92</v>
      </c>
      <c r="J1967" s="3" t="s">
        <v>61</v>
      </c>
      <c r="K1967" s="4">
        <v>2035.3929999999998</v>
      </c>
      <c r="L1967" s="6">
        <v>55.99</v>
      </c>
    </row>
    <row r="1968" spans="1:12" x14ac:dyDescent="0.25">
      <c r="A1968" s="1">
        <v>1967</v>
      </c>
      <c r="B1968" s="4">
        <v>14055</v>
      </c>
      <c r="C1968" s="5">
        <v>40057</v>
      </c>
      <c r="D1968" s="3" t="s">
        <v>89</v>
      </c>
      <c r="E1968" s="1" t="s">
        <v>781</v>
      </c>
      <c r="F1968" s="1" t="s">
        <v>16</v>
      </c>
      <c r="G1968" s="2" t="s">
        <v>3</v>
      </c>
      <c r="H1968" s="3" t="s">
        <v>97</v>
      </c>
      <c r="I1968" s="3" t="s">
        <v>91</v>
      </c>
      <c r="J1968" s="3" t="s">
        <v>59</v>
      </c>
      <c r="K1968" s="4">
        <v>441.7</v>
      </c>
      <c r="L1968" s="6">
        <v>22.23</v>
      </c>
    </row>
    <row r="1969" spans="1:12" x14ac:dyDescent="0.25">
      <c r="A1969" s="1">
        <v>1968</v>
      </c>
      <c r="B1969" s="4">
        <v>14081</v>
      </c>
      <c r="C1969" s="5">
        <v>40457</v>
      </c>
      <c r="D1969" s="3" t="s">
        <v>89</v>
      </c>
      <c r="E1969" s="1" t="s">
        <v>375</v>
      </c>
      <c r="F1969" s="1" t="s">
        <v>15</v>
      </c>
      <c r="G1969" s="2" t="s">
        <v>1</v>
      </c>
      <c r="H1969" s="3" t="s">
        <v>97</v>
      </c>
      <c r="I1969" s="3" t="s">
        <v>91</v>
      </c>
      <c r="J1969" s="3" t="s">
        <v>60</v>
      </c>
      <c r="K1969" s="4">
        <v>1476.12</v>
      </c>
      <c r="L1969" s="6">
        <v>44.43</v>
      </c>
    </row>
    <row r="1970" spans="1:12" x14ac:dyDescent="0.25">
      <c r="A1970" s="1">
        <v>1969</v>
      </c>
      <c r="B1970" s="4">
        <v>14086</v>
      </c>
      <c r="C1970" s="5">
        <v>40471</v>
      </c>
      <c r="D1970" s="3" t="s">
        <v>82</v>
      </c>
      <c r="E1970" s="1" t="s">
        <v>375</v>
      </c>
      <c r="F1970" s="1" t="s">
        <v>15</v>
      </c>
      <c r="G1970" s="2" t="s">
        <v>1</v>
      </c>
      <c r="H1970" s="3" t="s">
        <v>100</v>
      </c>
      <c r="I1970" s="3" t="s">
        <v>91</v>
      </c>
      <c r="J1970" s="3" t="s">
        <v>68</v>
      </c>
      <c r="K1970" s="4">
        <v>1764.97</v>
      </c>
      <c r="L1970" s="6">
        <v>130.97999999999999</v>
      </c>
    </row>
    <row r="1971" spans="1:12" x14ac:dyDescent="0.25">
      <c r="A1971" s="1">
        <v>1970</v>
      </c>
      <c r="B1971" s="4">
        <v>14086</v>
      </c>
      <c r="C1971" s="5">
        <v>40471</v>
      </c>
      <c r="D1971" s="3" t="s">
        <v>82</v>
      </c>
      <c r="E1971" s="1" t="s">
        <v>856</v>
      </c>
      <c r="F1971" s="1" t="s">
        <v>15</v>
      </c>
      <c r="G1971" s="2" t="s">
        <v>1</v>
      </c>
      <c r="H1971" s="3" t="s">
        <v>100</v>
      </c>
      <c r="I1971" s="3" t="s">
        <v>85</v>
      </c>
      <c r="J1971" s="3" t="s">
        <v>66</v>
      </c>
      <c r="K1971" s="4">
        <v>238.34</v>
      </c>
      <c r="L1971" s="6">
        <v>4.76</v>
      </c>
    </row>
    <row r="1972" spans="1:12" x14ac:dyDescent="0.25">
      <c r="A1972" s="1">
        <v>1971</v>
      </c>
      <c r="B1972" s="4">
        <v>14112</v>
      </c>
      <c r="C1972" s="5">
        <v>40018</v>
      </c>
      <c r="D1972" s="3" t="s">
        <v>82</v>
      </c>
      <c r="E1972" s="1" t="s">
        <v>857</v>
      </c>
      <c r="F1972" s="1" t="s">
        <v>20</v>
      </c>
      <c r="G1972" s="2" t="s">
        <v>1</v>
      </c>
      <c r="H1972" s="3" t="s">
        <v>88</v>
      </c>
      <c r="I1972" s="3" t="s">
        <v>85</v>
      </c>
      <c r="J1972" s="3" t="s">
        <v>70</v>
      </c>
      <c r="K1972" s="4">
        <v>68.45</v>
      </c>
      <c r="L1972" s="6">
        <v>50.98</v>
      </c>
    </row>
    <row r="1973" spans="1:12" x14ac:dyDescent="0.25">
      <c r="A1973" s="1">
        <v>1972</v>
      </c>
      <c r="B1973" s="4">
        <v>14113</v>
      </c>
      <c r="C1973" s="5">
        <v>40759</v>
      </c>
      <c r="D1973" s="3" t="s">
        <v>89</v>
      </c>
      <c r="E1973" s="1" t="s">
        <v>720</v>
      </c>
      <c r="F1973" s="1" t="s">
        <v>31</v>
      </c>
      <c r="G1973" s="2" t="s">
        <v>1</v>
      </c>
      <c r="H1973" s="3" t="s">
        <v>97</v>
      </c>
      <c r="I1973" s="3" t="s">
        <v>91</v>
      </c>
      <c r="J1973" s="3" t="s">
        <v>60</v>
      </c>
      <c r="K1973" s="4">
        <v>8218.16</v>
      </c>
      <c r="L1973" s="6">
        <v>376.13</v>
      </c>
    </row>
    <row r="1974" spans="1:12" x14ac:dyDescent="0.25">
      <c r="A1974" s="1">
        <v>1973</v>
      </c>
      <c r="B1974" s="4">
        <v>14114</v>
      </c>
      <c r="C1974" s="5">
        <v>39909</v>
      </c>
      <c r="D1974" s="3" t="s">
        <v>95</v>
      </c>
      <c r="E1974" s="1" t="s">
        <v>858</v>
      </c>
      <c r="F1974" s="1" t="s">
        <v>21</v>
      </c>
      <c r="G1974" s="2" t="s">
        <v>1</v>
      </c>
      <c r="H1974" s="3" t="s">
        <v>84</v>
      </c>
      <c r="I1974" s="3" t="s">
        <v>85</v>
      </c>
      <c r="J1974" s="3" t="s">
        <v>64</v>
      </c>
      <c r="K1974" s="4">
        <v>65.16</v>
      </c>
      <c r="L1974" s="6">
        <v>2.1800000000000002</v>
      </c>
    </row>
    <row r="1975" spans="1:12" x14ac:dyDescent="0.25">
      <c r="A1975" s="1">
        <v>1974</v>
      </c>
      <c r="B1975" s="4">
        <v>14114</v>
      </c>
      <c r="C1975" s="5">
        <v>39909</v>
      </c>
      <c r="D1975" s="3" t="s">
        <v>95</v>
      </c>
      <c r="E1975" s="1" t="s">
        <v>859</v>
      </c>
      <c r="F1975" s="1" t="s">
        <v>20</v>
      </c>
      <c r="G1975" s="2" t="s">
        <v>1</v>
      </c>
      <c r="H1975" s="3" t="s">
        <v>84</v>
      </c>
      <c r="I1975" s="3" t="s">
        <v>91</v>
      </c>
      <c r="J1975" s="3" t="s">
        <v>68</v>
      </c>
      <c r="K1975" s="4">
        <v>6532.48</v>
      </c>
      <c r="L1975" s="6">
        <v>170.98</v>
      </c>
    </row>
    <row r="1976" spans="1:12" x14ac:dyDescent="0.25">
      <c r="A1976" s="1">
        <v>1975</v>
      </c>
      <c r="B1976" s="4">
        <v>14114</v>
      </c>
      <c r="C1976" s="5">
        <v>39909</v>
      </c>
      <c r="D1976" s="3" t="s">
        <v>95</v>
      </c>
      <c r="E1976" s="1" t="s">
        <v>860</v>
      </c>
      <c r="F1976" s="1" t="s">
        <v>20</v>
      </c>
      <c r="G1976" s="2" t="s">
        <v>1</v>
      </c>
      <c r="H1976" s="3" t="s">
        <v>84</v>
      </c>
      <c r="I1976" s="3" t="s">
        <v>91</v>
      </c>
      <c r="J1976" s="3" t="s">
        <v>59</v>
      </c>
      <c r="K1976" s="4">
        <v>241.9</v>
      </c>
      <c r="L1976" s="6">
        <v>5.77</v>
      </c>
    </row>
    <row r="1977" spans="1:12" x14ac:dyDescent="0.25">
      <c r="A1977" s="1">
        <v>1976</v>
      </c>
      <c r="B1977" s="4">
        <v>14115</v>
      </c>
      <c r="C1977" s="5">
        <v>40039</v>
      </c>
      <c r="D1977" s="3" t="s">
        <v>86</v>
      </c>
      <c r="E1977" s="1" t="s">
        <v>840</v>
      </c>
      <c r="F1977" s="1" t="s">
        <v>13</v>
      </c>
      <c r="G1977" s="2" t="s">
        <v>6</v>
      </c>
      <c r="H1977" s="3" t="s">
        <v>100</v>
      </c>
      <c r="I1977" s="3" t="s">
        <v>91</v>
      </c>
      <c r="J1977" s="3" t="s">
        <v>59</v>
      </c>
      <c r="K1977" s="4">
        <v>158.78</v>
      </c>
      <c r="L1977" s="6">
        <v>6.28</v>
      </c>
    </row>
    <row r="1978" spans="1:12" x14ac:dyDescent="0.25">
      <c r="A1978" s="1">
        <v>1977</v>
      </c>
      <c r="B1978" s="4">
        <v>14115</v>
      </c>
      <c r="C1978" s="5">
        <v>40039</v>
      </c>
      <c r="D1978" s="3" t="s">
        <v>86</v>
      </c>
      <c r="E1978" s="1" t="s">
        <v>840</v>
      </c>
      <c r="F1978" s="1" t="s">
        <v>13</v>
      </c>
      <c r="G1978" s="2" t="s">
        <v>6</v>
      </c>
      <c r="H1978" s="3" t="s">
        <v>100</v>
      </c>
      <c r="I1978" s="3" t="s">
        <v>92</v>
      </c>
      <c r="J1978" s="3" t="s">
        <v>61</v>
      </c>
      <c r="K1978" s="4">
        <v>3296.0619999999999</v>
      </c>
      <c r="L1978" s="6">
        <v>85.99</v>
      </c>
    </row>
    <row r="1979" spans="1:12" x14ac:dyDescent="0.25">
      <c r="A1979" s="1">
        <v>1978</v>
      </c>
      <c r="B1979" s="4">
        <v>14116</v>
      </c>
      <c r="C1979" s="5">
        <v>40825</v>
      </c>
      <c r="D1979" s="3" t="s">
        <v>89</v>
      </c>
      <c r="E1979" s="1" t="s">
        <v>165</v>
      </c>
      <c r="F1979" s="1" t="s">
        <v>8</v>
      </c>
      <c r="G1979" s="2" t="s">
        <v>6</v>
      </c>
      <c r="H1979" s="3" t="s">
        <v>84</v>
      </c>
      <c r="I1979" s="3" t="s">
        <v>85</v>
      </c>
      <c r="J1979" s="3" t="s">
        <v>69</v>
      </c>
      <c r="K1979" s="4">
        <v>40.1</v>
      </c>
      <c r="L1979" s="6">
        <v>30.98</v>
      </c>
    </row>
    <row r="1980" spans="1:12" x14ac:dyDescent="0.25">
      <c r="A1980" s="1">
        <v>1979</v>
      </c>
      <c r="B1980" s="4">
        <v>14116</v>
      </c>
      <c r="C1980" s="5">
        <v>40825</v>
      </c>
      <c r="D1980" s="3" t="s">
        <v>89</v>
      </c>
      <c r="E1980" s="1" t="s">
        <v>428</v>
      </c>
      <c r="F1980" s="1" t="s">
        <v>8</v>
      </c>
      <c r="G1980" s="2" t="s">
        <v>6</v>
      </c>
      <c r="H1980" s="3" t="s">
        <v>84</v>
      </c>
      <c r="I1980" s="3" t="s">
        <v>85</v>
      </c>
      <c r="J1980" s="3" t="s">
        <v>69</v>
      </c>
      <c r="K1980" s="4">
        <v>1414.05</v>
      </c>
      <c r="L1980" s="6">
        <v>34.54</v>
      </c>
    </row>
    <row r="1981" spans="1:12" x14ac:dyDescent="0.25">
      <c r="A1981" s="1">
        <v>1980</v>
      </c>
      <c r="B1981" s="4">
        <v>14117</v>
      </c>
      <c r="C1981" s="5">
        <v>40415</v>
      </c>
      <c r="D1981" s="3" t="s">
        <v>86</v>
      </c>
      <c r="E1981" s="1" t="s">
        <v>552</v>
      </c>
      <c r="F1981" s="1" t="s">
        <v>44</v>
      </c>
      <c r="G1981" s="2" t="s">
        <v>3</v>
      </c>
      <c r="H1981" s="3" t="s">
        <v>88</v>
      </c>
      <c r="I1981" s="3" t="s">
        <v>85</v>
      </c>
      <c r="J1981" s="3" t="s">
        <v>64</v>
      </c>
      <c r="K1981" s="4">
        <v>5.31</v>
      </c>
      <c r="L1981" s="6">
        <v>1.1399999999999999</v>
      </c>
    </row>
    <row r="1982" spans="1:12" x14ac:dyDescent="0.25">
      <c r="A1982" s="1">
        <v>1981</v>
      </c>
      <c r="B1982" s="4">
        <v>14119</v>
      </c>
      <c r="C1982" s="5">
        <v>40329</v>
      </c>
      <c r="D1982" s="3" t="s">
        <v>82</v>
      </c>
      <c r="E1982" s="1" t="s">
        <v>861</v>
      </c>
      <c r="F1982" s="1" t="s">
        <v>35</v>
      </c>
      <c r="G1982" s="2" t="s">
        <v>1</v>
      </c>
      <c r="H1982" s="3" t="s">
        <v>97</v>
      </c>
      <c r="I1982" s="3" t="s">
        <v>91</v>
      </c>
      <c r="J1982" s="3" t="s">
        <v>59</v>
      </c>
      <c r="K1982" s="4">
        <v>103.11</v>
      </c>
      <c r="L1982" s="6">
        <v>4.18</v>
      </c>
    </row>
    <row r="1983" spans="1:12" x14ac:dyDescent="0.25">
      <c r="A1983" s="1">
        <v>1982</v>
      </c>
      <c r="B1983" s="4">
        <v>14119</v>
      </c>
      <c r="C1983" s="5">
        <v>40329</v>
      </c>
      <c r="D1983" s="3" t="s">
        <v>82</v>
      </c>
      <c r="E1983" s="1" t="s">
        <v>861</v>
      </c>
      <c r="F1983" s="1" t="s">
        <v>35</v>
      </c>
      <c r="G1983" s="2" t="s">
        <v>1</v>
      </c>
      <c r="H1983" s="3" t="s">
        <v>97</v>
      </c>
      <c r="I1983" s="3" t="s">
        <v>92</v>
      </c>
      <c r="J1983" s="3" t="s">
        <v>61</v>
      </c>
      <c r="K1983" s="4">
        <v>1599.0709999999999</v>
      </c>
      <c r="L1983" s="6">
        <v>55.99</v>
      </c>
    </row>
    <row r="1984" spans="1:12" x14ac:dyDescent="0.25">
      <c r="A1984" s="1">
        <v>1983</v>
      </c>
      <c r="B1984" s="4">
        <v>14119</v>
      </c>
      <c r="C1984" s="5">
        <v>40329</v>
      </c>
      <c r="D1984" s="3" t="s">
        <v>82</v>
      </c>
      <c r="E1984" s="1" t="s">
        <v>861</v>
      </c>
      <c r="F1984" s="1" t="s">
        <v>35</v>
      </c>
      <c r="G1984" s="2" t="s">
        <v>1</v>
      </c>
      <c r="H1984" s="3" t="s">
        <v>97</v>
      </c>
      <c r="I1984" s="3" t="s">
        <v>92</v>
      </c>
      <c r="J1984" s="3" t="s">
        <v>61</v>
      </c>
      <c r="K1984" s="4">
        <v>968.23500000000001</v>
      </c>
      <c r="L1984" s="6">
        <v>35.99</v>
      </c>
    </row>
    <row r="1985" spans="1:12" x14ac:dyDescent="0.25">
      <c r="A1985" s="1">
        <v>1984</v>
      </c>
      <c r="B1985" s="4">
        <v>14147</v>
      </c>
      <c r="C1985" s="5">
        <v>40244</v>
      </c>
      <c r="D1985" s="3" t="s">
        <v>86</v>
      </c>
      <c r="E1985" s="1" t="s">
        <v>862</v>
      </c>
      <c r="F1985" s="1" t="s">
        <v>13</v>
      </c>
      <c r="G1985" s="2" t="s">
        <v>6</v>
      </c>
      <c r="H1985" s="3" t="s">
        <v>97</v>
      </c>
      <c r="I1985" s="3" t="s">
        <v>85</v>
      </c>
      <c r="J1985" s="3" t="s">
        <v>69</v>
      </c>
      <c r="K1985" s="4">
        <v>351.49</v>
      </c>
      <c r="L1985" s="6">
        <v>41.94</v>
      </c>
    </row>
    <row r="1986" spans="1:12" x14ac:dyDescent="0.25">
      <c r="A1986" s="1">
        <v>1985</v>
      </c>
      <c r="B1986" s="4">
        <v>14147</v>
      </c>
      <c r="C1986" s="5">
        <v>40244</v>
      </c>
      <c r="D1986" s="3" t="s">
        <v>86</v>
      </c>
      <c r="E1986" s="1" t="s">
        <v>862</v>
      </c>
      <c r="F1986" s="1" t="s">
        <v>13</v>
      </c>
      <c r="G1986" s="2" t="s">
        <v>6</v>
      </c>
      <c r="H1986" s="3" t="s">
        <v>97</v>
      </c>
      <c r="I1986" s="3" t="s">
        <v>85</v>
      </c>
      <c r="J1986" s="3" t="s">
        <v>66</v>
      </c>
      <c r="K1986" s="4">
        <v>74.13</v>
      </c>
      <c r="L1986" s="6">
        <v>4.28</v>
      </c>
    </row>
    <row r="1987" spans="1:12" x14ac:dyDescent="0.25">
      <c r="A1987" s="1">
        <v>1986</v>
      </c>
      <c r="B1987" s="4">
        <v>14147</v>
      </c>
      <c r="C1987" s="5">
        <v>40244</v>
      </c>
      <c r="D1987" s="3" t="s">
        <v>86</v>
      </c>
      <c r="E1987" s="1" t="s">
        <v>862</v>
      </c>
      <c r="F1987" s="1" t="s">
        <v>13</v>
      </c>
      <c r="G1987" s="2" t="s">
        <v>6</v>
      </c>
      <c r="H1987" s="3" t="s">
        <v>97</v>
      </c>
      <c r="I1987" s="3" t="s">
        <v>85</v>
      </c>
      <c r="J1987" s="3" t="s">
        <v>66</v>
      </c>
      <c r="K1987" s="4">
        <v>195.03</v>
      </c>
      <c r="L1987" s="6">
        <v>4.28</v>
      </c>
    </row>
    <row r="1988" spans="1:12" x14ac:dyDescent="0.25">
      <c r="A1988" s="1">
        <v>1987</v>
      </c>
      <c r="B1988" s="4">
        <v>14176</v>
      </c>
      <c r="C1988" s="5">
        <v>39884</v>
      </c>
      <c r="D1988" s="3" t="s">
        <v>82</v>
      </c>
      <c r="E1988" s="1" t="s">
        <v>863</v>
      </c>
      <c r="F1988" s="1" t="s">
        <v>32</v>
      </c>
      <c r="G1988" s="2" t="s">
        <v>2</v>
      </c>
      <c r="H1988" s="3" t="s">
        <v>84</v>
      </c>
      <c r="I1988" s="3" t="s">
        <v>92</v>
      </c>
      <c r="J1988" s="3" t="s">
        <v>61</v>
      </c>
      <c r="K1988" s="4">
        <v>1233.4775</v>
      </c>
      <c r="L1988" s="6">
        <v>35.99</v>
      </c>
    </row>
    <row r="1989" spans="1:12" x14ac:dyDescent="0.25">
      <c r="A1989" s="1">
        <v>1988</v>
      </c>
      <c r="B1989" s="4">
        <v>14182</v>
      </c>
      <c r="C1989" s="5">
        <v>39986</v>
      </c>
      <c r="D1989" s="3" t="s">
        <v>82</v>
      </c>
      <c r="E1989" s="1" t="s">
        <v>864</v>
      </c>
      <c r="F1989" s="1" t="s">
        <v>39</v>
      </c>
      <c r="G1989" s="2" t="s">
        <v>1</v>
      </c>
      <c r="H1989" s="3" t="s">
        <v>84</v>
      </c>
      <c r="I1989" s="3" t="s">
        <v>92</v>
      </c>
      <c r="J1989" s="3" t="s">
        <v>61</v>
      </c>
      <c r="K1989" s="4">
        <v>2433.5500000000002</v>
      </c>
      <c r="L1989" s="6">
        <v>125.99</v>
      </c>
    </row>
    <row r="1990" spans="1:12" x14ac:dyDescent="0.25">
      <c r="A1990" s="1">
        <v>1989</v>
      </c>
      <c r="B1990" s="4">
        <v>14210</v>
      </c>
      <c r="C1990" s="5">
        <v>41086</v>
      </c>
      <c r="D1990" s="3" t="s">
        <v>86</v>
      </c>
      <c r="E1990" s="1" t="s">
        <v>720</v>
      </c>
      <c r="F1990" s="1" t="s">
        <v>31</v>
      </c>
      <c r="G1990" s="2" t="s">
        <v>1</v>
      </c>
      <c r="H1990" s="3" t="s">
        <v>97</v>
      </c>
      <c r="I1990" s="3" t="s">
        <v>92</v>
      </c>
      <c r="J1990" s="3" t="s">
        <v>62</v>
      </c>
      <c r="K1990" s="4">
        <v>676.79</v>
      </c>
      <c r="L1990" s="6">
        <v>33.29</v>
      </c>
    </row>
    <row r="1991" spans="1:12" x14ac:dyDescent="0.25">
      <c r="A1991" s="1">
        <v>1990</v>
      </c>
      <c r="B1991" s="4">
        <v>14211</v>
      </c>
      <c r="C1991" s="5">
        <v>39856</v>
      </c>
      <c r="D1991" s="3" t="s">
        <v>86</v>
      </c>
      <c r="E1991" s="1" t="s">
        <v>850</v>
      </c>
      <c r="F1991" s="1" t="s">
        <v>13</v>
      </c>
      <c r="G1991" s="2" t="s">
        <v>6</v>
      </c>
      <c r="H1991" s="3" t="s">
        <v>97</v>
      </c>
      <c r="I1991" s="3" t="s">
        <v>92</v>
      </c>
      <c r="J1991" s="3" t="s">
        <v>67</v>
      </c>
      <c r="K1991" s="4">
        <v>3220.58</v>
      </c>
      <c r="L1991" s="6">
        <v>150.97999999999999</v>
      </c>
    </row>
    <row r="1992" spans="1:12" x14ac:dyDescent="0.25">
      <c r="A1992" s="1">
        <v>1991</v>
      </c>
      <c r="B1992" s="4">
        <v>14211</v>
      </c>
      <c r="C1992" s="5">
        <v>39856</v>
      </c>
      <c r="D1992" s="3" t="s">
        <v>86</v>
      </c>
      <c r="E1992" s="1" t="s">
        <v>850</v>
      </c>
      <c r="F1992" s="1" t="s">
        <v>13</v>
      </c>
      <c r="G1992" s="2" t="s">
        <v>6</v>
      </c>
      <c r="H1992" s="3" t="s">
        <v>97</v>
      </c>
      <c r="I1992" s="3" t="s">
        <v>85</v>
      </c>
      <c r="J1992" s="3" t="s">
        <v>57</v>
      </c>
      <c r="K1992" s="4">
        <v>2367.9899999999998</v>
      </c>
      <c r="L1992" s="6">
        <v>176.19</v>
      </c>
    </row>
    <row r="1993" spans="1:12" x14ac:dyDescent="0.25">
      <c r="A1993" s="1">
        <v>1992</v>
      </c>
      <c r="B1993" s="4">
        <v>14212</v>
      </c>
      <c r="C1993" s="5">
        <v>40955</v>
      </c>
      <c r="D1993" s="3" t="s">
        <v>95</v>
      </c>
      <c r="E1993" s="1" t="s">
        <v>306</v>
      </c>
      <c r="F1993" s="1" t="s">
        <v>9</v>
      </c>
      <c r="G1993" s="2" t="s">
        <v>2</v>
      </c>
      <c r="H1993" s="3" t="s">
        <v>84</v>
      </c>
      <c r="I1993" s="3" t="s">
        <v>91</v>
      </c>
      <c r="J1993" s="3" t="s">
        <v>59</v>
      </c>
      <c r="K1993" s="4">
        <v>31.18</v>
      </c>
      <c r="L1993" s="6">
        <v>6.24</v>
      </c>
    </row>
    <row r="1994" spans="1:12" x14ac:dyDescent="0.25">
      <c r="A1994" s="1">
        <v>1993</v>
      </c>
      <c r="B1994" s="4">
        <v>14212</v>
      </c>
      <c r="C1994" s="5">
        <v>40955</v>
      </c>
      <c r="D1994" s="3" t="s">
        <v>95</v>
      </c>
      <c r="E1994" s="1" t="s">
        <v>780</v>
      </c>
      <c r="F1994" s="1" t="s">
        <v>9</v>
      </c>
      <c r="G1994" s="2" t="s">
        <v>2</v>
      </c>
      <c r="H1994" s="3" t="s">
        <v>84</v>
      </c>
      <c r="I1994" s="3" t="s">
        <v>85</v>
      </c>
      <c r="J1994" s="3" t="s">
        <v>65</v>
      </c>
      <c r="K1994" s="4">
        <v>21.99</v>
      </c>
      <c r="L1994" s="6">
        <v>2.61</v>
      </c>
    </row>
    <row r="1995" spans="1:12" x14ac:dyDescent="0.25">
      <c r="A1995" s="1">
        <v>1994</v>
      </c>
      <c r="B1995" s="4">
        <v>14215</v>
      </c>
      <c r="C1995" s="5">
        <v>41103</v>
      </c>
      <c r="D1995" s="3" t="s">
        <v>4</v>
      </c>
      <c r="E1995" s="1" t="s">
        <v>651</v>
      </c>
      <c r="F1995" s="1" t="s">
        <v>43</v>
      </c>
      <c r="G1995" s="2" t="s">
        <v>1</v>
      </c>
      <c r="H1995" s="3" t="s">
        <v>97</v>
      </c>
      <c r="I1995" s="3" t="s">
        <v>85</v>
      </c>
      <c r="J1995" s="3" t="s">
        <v>66</v>
      </c>
      <c r="K1995" s="4">
        <v>2277.0300000000002</v>
      </c>
      <c r="L1995" s="6">
        <v>55.48</v>
      </c>
    </row>
    <row r="1996" spans="1:12" x14ac:dyDescent="0.25">
      <c r="A1996" s="1">
        <v>1995</v>
      </c>
      <c r="B1996" s="4">
        <v>14240</v>
      </c>
      <c r="C1996" s="5">
        <v>40956</v>
      </c>
      <c r="D1996" s="3" t="s">
        <v>89</v>
      </c>
      <c r="E1996" s="1" t="s">
        <v>540</v>
      </c>
      <c r="F1996" s="1" t="s">
        <v>30</v>
      </c>
      <c r="G1996" s="2" t="s">
        <v>6</v>
      </c>
      <c r="H1996" s="3" t="s">
        <v>88</v>
      </c>
      <c r="I1996" s="3" t="s">
        <v>85</v>
      </c>
      <c r="J1996" s="3" t="s">
        <v>69</v>
      </c>
      <c r="K1996" s="4">
        <v>68.88</v>
      </c>
      <c r="L1996" s="6">
        <v>2.78</v>
      </c>
    </row>
    <row r="1997" spans="1:12" x14ac:dyDescent="0.25">
      <c r="A1997" s="1">
        <v>1996</v>
      </c>
      <c r="B1997" s="4">
        <v>14241</v>
      </c>
      <c r="C1997" s="5">
        <v>41074</v>
      </c>
      <c r="D1997" s="3" t="s">
        <v>95</v>
      </c>
      <c r="E1997" s="1" t="s">
        <v>854</v>
      </c>
      <c r="F1997" s="1" t="s">
        <v>10</v>
      </c>
      <c r="G1997" s="2" t="s">
        <v>3</v>
      </c>
      <c r="H1997" s="3" t="s">
        <v>97</v>
      </c>
      <c r="I1997" s="3" t="s">
        <v>85</v>
      </c>
      <c r="J1997" s="3" t="s">
        <v>63</v>
      </c>
      <c r="K1997" s="4">
        <v>263.63</v>
      </c>
      <c r="L1997" s="6">
        <v>11.55</v>
      </c>
    </row>
    <row r="1998" spans="1:12" x14ac:dyDescent="0.25">
      <c r="A1998" s="1">
        <v>1997</v>
      </c>
      <c r="B1998" s="4">
        <v>14242</v>
      </c>
      <c r="C1998" s="5">
        <v>40671</v>
      </c>
      <c r="D1998" s="3" t="s">
        <v>89</v>
      </c>
      <c r="E1998" s="1" t="s">
        <v>865</v>
      </c>
      <c r="F1998" s="1" t="s">
        <v>10</v>
      </c>
      <c r="G1998" s="2" t="s">
        <v>3</v>
      </c>
      <c r="H1998" s="3" t="s">
        <v>88</v>
      </c>
      <c r="I1998" s="3" t="s">
        <v>92</v>
      </c>
      <c r="J1998" s="3" t="s">
        <v>62</v>
      </c>
      <c r="K1998" s="4">
        <v>1078.58</v>
      </c>
      <c r="L1998" s="6">
        <v>30.73</v>
      </c>
    </row>
    <row r="1999" spans="1:12" x14ac:dyDescent="0.25">
      <c r="A1999" s="1">
        <v>1998</v>
      </c>
      <c r="B1999" s="4">
        <v>14245</v>
      </c>
      <c r="C1999" s="5">
        <v>40220</v>
      </c>
      <c r="D1999" s="3" t="s">
        <v>95</v>
      </c>
      <c r="E1999" s="1" t="s">
        <v>818</v>
      </c>
      <c r="F1999" s="1" t="s">
        <v>19</v>
      </c>
      <c r="G1999" s="2" t="s">
        <v>3</v>
      </c>
      <c r="H1999" s="3" t="s">
        <v>84</v>
      </c>
      <c r="I1999" s="3" t="s">
        <v>85</v>
      </c>
      <c r="J1999" s="3" t="s">
        <v>63</v>
      </c>
      <c r="K1999" s="4">
        <v>454.09</v>
      </c>
      <c r="L1999" s="6">
        <v>28.15</v>
      </c>
    </row>
    <row r="2000" spans="1:12" x14ac:dyDescent="0.25">
      <c r="A2000" s="1">
        <v>1999</v>
      </c>
      <c r="B2000" s="4">
        <v>14247</v>
      </c>
      <c r="C2000" s="5">
        <v>40771</v>
      </c>
      <c r="D2000" s="3" t="s">
        <v>95</v>
      </c>
      <c r="E2000" s="1" t="s">
        <v>50</v>
      </c>
      <c r="F2000" s="1" t="s">
        <v>34</v>
      </c>
      <c r="G2000" s="2" t="s">
        <v>1</v>
      </c>
      <c r="H2000" s="3" t="s">
        <v>97</v>
      </c>
      <c r="I2000" s="3" t="s">
        <v>85</v>
      </c>
      <c r="J2000" s="3" t="s">
        <v>64</v>
      </c>
      <c r="K2000" s="4">
        <v>14.75</v>
      </c>
      <c r="L2000" s="6">
        <v>3.29</v>
      </c>
    </row>
    <row r="2001" spans="1:12" x14ac:dyDescent="0.25">
      <c r="A2001" s="1">
        <v>2000</v>
      </c>
      <c r="B2001" s="4">
        <v>14272</v>
      </c>
      <c r="C2001" s="5">
        <v>40951</v>
      </c>
      <c r="D2001" s="3" t="s">
        <v>4</v>
      </c>
      <c r="E2001" s="1" t="s">
        <v>753</v>
      </c>
      <c r="F2001" s="1" t="s">
        <v>31</v>
      </c>
      <c r="G2001" s="2" t="s">
        <v>1</v>
      </c>
      <c r="H2001" s="3" t="s">
        <v>97</v>
      </c>
      <c r="I2001" s="3" t="s">
        <v>85</v>
      </c>
      <c r="J2001" s="3" t="s">
        <v>70</v>
      </c>
      <c r="K2001" s="4">
        <v>2409.96</v>
      </c>
      <c r="L2001" s="6">
        <v>80.98</v>
      </c>
    </row>
    <row r="2002" spans="1:12" x14ac:dyDescent="0.25">
      <c r="A2002" s="1">
        <v>2001</v>
      </c>
      <c r="B2002" s="4">
        <v>14274</v>
      </c>
      <c r="C2002" s="5">
        <v>39819</v>
      </c>
      <c r="D2002" s="3" t="s">
        <v>86</v>
      </c>
      <c r="E2002" s="1" t="s">
        <v>347</v>
      </c>
      <c r="F2002" s="1" t="s">
        <v>29</v>
      </c>
      <c r="G2002" s="2" t="s">
        <v>3</v>
      </c>
      <c r="H2002" s="3" t="s">
        <v>100</v>
      </c>
      <c r="I2002" s="3" t="s">
        <v>91</v>
      </c>
      <c r="J2002" s="3" t="s">
        <v>72</v>
      </c>
      <c r="K2002" s="4">
        <v>3674.08</v>
      </c>
      <c r="L2002" s="6">
        <v>150.97999999999999</v>
      </c>
    </row>
    <row r="2003" spans="1:12" x14ac:dyDescent="0.25">
      <c r="A2003" s="1">
        <v>2002</v>
      </c>
      <c r="B2003" s="4">
        <v>14274</v>
      </c>
      <c r="C2003" s="5">
        <v>39819</v>
      </c>
      <c r="D2003" s="3" t="s">
        <v>86</v>
      </c>
      <c r="E2003" s="1" t="s">
        <v>347</v>
      </c>
      <c r="F2003" s="1" t="s">
        <v>29</v>
      </c>
      <c r="G2003" s="2" t="s">
        <v>3</v>
      </c>
      <c r="H2003" s="3" t="s">
        <v>100</v>
      </c>
      <c r="I2003" s="3" t="s">
        <v>85</v>
      </c>
      <c r="J2003" s="3" t="s">
        <v>57</v>
      </c>
      <c r="K2003" s="4">
        <v>1413.89</v>
      </c>
      <c r="L2003" s="6">
        <v>28.28</v>
      </c>
    </row>
    <row r="2004" spans="1:12" x14ac:dyDescent="0.25">
      <c r="A2004" s="1">
        <v>2003</v>
      </c>
      <c r="B2004" s="4">
        <v>14274</v>
      </c>
      <c r="C2004" s="5">
        <v>39819</v>
      </c>
      <c r="D2004" s="3" t="s">
        <v>86</v>
      </c>
      <c r="E2004" s="1" t="s">
        <v>347</v>
      </c>
      <c r="F2004" s="1" t="s">
        <v>29</v>
      </c>
      <c r="G2004" s="2" t="s">
        <v>3</v>
      </c>
      <c r="H2004" s="3" t="s">
        <v>100</v>
      </c>
      <c r="I2004" s="3" t="s">
        <v>92</v>
      </c>
      <c r="J2004" s="3" t="s">
        <v>61</v>
      </c>
      <c r="K2004" s="4">
        <v>61.718499999999999</v>
      </c>
      <c r="L2004" s="6">
        <v>35.99</v>
      </c>
    </row>
    <row r="2005" spans="1:12" x14ac:dyDescent="0.25">
      <c r="A2005" s="1">
        <v>2004</v>
      </c>
      <c r="B2005" s="4">
        <v>14275</v>
      </c>
      <c r="C2005" s="5">
        <v>40342</v>
      </c>
      <c r="D2005" s="3" t="s">
        <v>82</v>
      </c>
      <c r="E2005" s="1" t="s">
        <v>618</v>
      </c>
      <c r="F2005" s="1" t="s">
        <v>11</v>
      </c>
      <c r="G2005" s="2" t="s">
        <v>6</v>
      </c>
      <c r="H2005" s="3" t="s">
        <v>100</v>
      </c>
      <c r="I2005" s="3" t="s">
        <v>85</v>
      </c>
      <c r="J2005" s="3" t="s">
        <v>69</v>
      </c>
      <c r="K2005" s="4">
        <v>42.22</v>
      </c>
      <c r="L2005" s="6">
        <v>2.08</v>
      </c>
    </row>
    <row r="2006" spans="1:12" x14ac:dyDescent="0.25">
      <c r="A2006" s="1">
        <v>2005</v>
      </c>
      <c r="B2006" s="4">
        <v>14275</v>
      </c>
      <c r="C2006" s="5">
        <v>40342</v>
      </c>
      <c r="D2006" s="3" t="s">
        <v>82</v>
      </c>
      <c r="E2006" s="1" t="s">
        <v>618</v>
      </c>
      <c r="F2006" s="1" t="s">
        <v>11</v>
      </c>
      <c r="G2006" s="2" t="s">
        <v>6</v>
      </c>
      <c r="H2006" s="3" t="s">
        <v>100</v>
      </c>
      <c r="I2006" s="3" t="s">
        <v>91</v>
      </c>
      <c r="J2006" s="3" t="s">
        <v>72</v>
      </c>
      <c r="K2006" s="4">
        <v>653.44000000000005</v>
      </c>
      <c r="L2006" s="6">
        <v>160.97999999999999</v>
      </c>
    </row>
    <row r="2007" spans="1:12" x14ac:dyDescent="0.25">
      <c r="A2007" s="1">
        <v>2006</v>
      </c>
      <c r="B2007" s="4">
        <v>14276</v>
      </c>
      <c r="C2007" s="5">
        <v>39982</v>
      </c>
      <c r="D2007" s="3" t="s">
        <v>4</v>
      </c>
      <c r="E2007" s="1" t="s">
        <v>339</v>
      </c>
      <c r="F2007" s="1" t="s">
        <v>30</v>
      </c>
      <c r="G2007" s="2" t="s">
        <v>6</v>
      </c>
      <c r="H2007" s="3" t="s">
        <v>88</v>
      </c>
      <c r="I2007" s="3" t="s">
        <v>85</v>
      </c>
      <c r="J2007" s="3" t="s">
        <v>63</v>
      </c>
      <c r="K2007" s="4">
        <v>110.79</v>
      </c>
      <c r="L2007" s="6">
        <v>10.48</v>
      </c>
    </row>
    <row r="2008" spans="1:12" x14ac:dyDescent="0.25">
      <c r="A2008" s="1">
        <v>2007</v>
      </c>
      <c r="B2008" s="4">
        <v>14311</v>
      </c>
      <c r="C2008" s="5">
        <v>40026</v>
      </c>
      <c r="D2008" s="3" t="s">
        <v>95</v>
      </c>
      <c r="E2008" s="1" t="s">
        <v>723</v>
      </c>
      <c r="F2008" s="1" t="s">
        <v>24</v>
      </c>
      <c r="G2008" s="2" t="s">
        <v>2</v>
      </c>
      <c r="H2008" s="3" t="s">
        <v>88</v>
      </c>
      <c r="I2008" s="3" t="s">
        <v>85</v>
      </c>
      <c r="J2008" s="3" t="s">
        <v>69</v>
      </c>
      <c r="K2008" s="4">
        <v>192.41</v>
      </c>
      <c r="L2008" s="6">
        <v>6.37</v>
      </c>
    </row>
    <row r="2009" spans="1:12" x14ac:dyDescent="0.25">
      <c r="A2009" s="1">
        <v>2008</v>
      </c>
      <c r="B2009" s="4">
        <v>14336</v>
      </c>
      <c r="C2009" s="5">
        <v>40135</v>
      </c>
      <c r="D2009" s="3" t="s">
        <v>89</v>
      </c>
      <c r="E2009" s="1" t="s">
        <v>408</v>
      </c>
      <c r="F2009" s="1" t="s">
        <v>23</v>
      </c>
      <c r="G2009" s="2" t="s">
        <v>3</v>
      </c>
      <c r="H2009" s="3" t="s">
        <v>100</v>
      </c>
      <c r="I2009" s="3" t="s">
        <v>92</v>
      </c>
      <c r="J2009" s="3" t="s">
        <v>62</v>
      </c>
      <c r="K2009" s="4">
        <v>174.55</v>
      </c>
      <c r="L2009" s="6">
        <v>39.99</v>
      </c>
    </row>
    <row r="2010" spans="1:12" x14ac:dyDescent="0.25">
      <c r="A2010" s="1">
        <v>2009</v>
      </c>
      <c r="B2010" s="4">
        <v>14338</v>
      </c>
      <c r="C2010" s="5">
        <v>40209</v>
      </c>
      <c r="D2010" s="3" t="s">
        <v>82</v>
      </c>
      <c r="E2010" s="1" t="s">
        <v>866</v>
      </c>
      <c r="F2010" s="1" t="s">
        <v>25</v>
      </c>
      <c r="G2010" s="2" t="s">
        <v>6</v>
      </c>
      <c r="H2010" s="3" t="s">
        <v>84</v>
      </c>
      <c r="I2010" s="3" t="s">
        <v>92</v>
      </c>
      <c r="J2010" s="3" t="s">
        <v>67</v>
      </c>
      <c r="K2010" s="4">
        <v>6580.16</v>
      </c>
      <c r="L2010" s="6">
        <v>200.97</v>
      </c>
    </row>
    <row r="2011" spans="1:12" x14ac:dyDescent="0.25">
      <c r="A2011" s="1">
        <v>2010</v>
      </c>
      <c r="B2011" s="4">
        <v>14342</v>
      </c>
      <c r="C2011" s="5">
        <v>39930</v>
      </c>
      <c r="D2011" s="3" t="s">
        <v>82</v>
      </c>
      <c r="E2011" s="1" t="s">
        <v>751</v>
      </c>
      <c r="F2011" s="1" t="s">
        <v>16</v>
      </c>
      <c r="G2011" s="2" t="s">
        <v>3</v>
      </c>
      <c r="H2011" s="3" t="s">
        <v>88</v>
      </c>
      <c r="I2011" s="3" t="s">
        <v>92</v>
      </c>
      <c r="J2011" s="3" t="s">
        <v>62</v>
      </c>
      <c r="K2011" s="4">
        <v>10823.84</v>
      </c>
      <c r="L2011" s="6">
        <v>300.97000000000003</v>
      </c>
    </row>
    <row r="2012" spans="1:12" x14ac:dyDescent="0.25">
      <c r="A2012" s="1">
        <v>2011</v>
      </c>
      <c r="B2012" s="4">
        <v>14368</v>
      </c>
      <c r="C2012" s="5">
        <v>40796</v>
      </c>
      <c r="D2012" s="3" t="s">
        <v>89</v>
      </c>
      <c r="E2012" s="1" t="s">
        <v>867</v>
      </c>
      <c r="F2012" s="1" t="s">
        <v>13</v>
      </c>
      <c r="G2012" s="2" t="s">
        <v>6</v>
      </c>
      <c r="H2012" s="3" t="s">
        <v>100</v>
      </c>
      <c r="I2012" s="3" t="s">
        <v>91</v>
      </c>
      <c r="J2012" s="3" t="s">
        <v>59</v>
      </c>
      <c r="K2012" s="4">
        <v>522.05999999999995</v>
      </c>
      <c r="L2012" s="6">
        <v>105.98</v>
      </c>
    </row>
    <row r="2013" spans="1:12" x14ac:dyDescent="0.25">
      <c r="A2013" s="1">
        <v>2012</v>
      </c>
      <c r="B2013" s="4">
        <v>14368</v>
      </c>
      <c r="C2013" s="5">
        <v>40796</v>
      </c>
      <c r="D2013" s="3" t="s">
        <v>89</v>
      </c>
      <c r="E2013" s="1" t="s">
        <v>867</v>
      </c>
      <c r="F2013" s="1" t="s">
        <v>13</v>
      </c>
      <c r="G2013" s="2" t="s">
        <v>6</v>
      </c>
      <c r="H2013" s="3" t="s">
        <v>100</v>
      </c>
      <c r="I2013" s="3" t="s">
        <v>85</v>
      </c>
      <c r="J2013" s="3" t="s">
        <v>63</v>
      </c>
      <c r="K2013" s="4">
        <v>1218.08</v>
      </c>
      <c r="L2013" s="6">
        <v>34.58</v>
      </c>
    </row>
    <row r="2014" spans="1:12" x14ac:dyDescent="0.25">
      <c r="A2014" s="1">
        <v>2013</v>
      </c>
      <c r="B2014" s="4">
        <v>14372</v>
      </c>
      <c r="C2014" s="5">
        <v>41205</v>
      </c>
      <c r="D2014" s="3" t="s">
        <v>95</v>
      </c>
      <c r="E2014" s="1" t="s">
        <v>501</v>
      </c>
      <c r="F2014" s="1" t="s">
        <v>8</v>
      </c>
      <c r="G2014" s="2" t="s">
        <v>6</v>
      </c>
      <c r="H2014" s="3" t="s">
        <v>88</v>
      </c>
      <c r="I2014" s="3" t="s">
        <v>91</v>
      </c>
      <c r="J2014" s="3" t="s">
        <v>68</v>
      </c>
      <c r="K2014" s="4">
        <v>5350.61</v>
      </c>
      <c r="L2014" s="6">
        <v>170.98</v>
      </c>
    </row>
    <row r="2015" spans="1:12" x14ac:dyDescent="0.25">
      <c r="A2015" s="1">
        <v>2014</v>
      </c>
      <c r="B2015" s="4">
        <v>14375</v>
      </c>
      <c r="C2015" s="5">
        <v>40209</v>
      </c>
      <c r="D2015" s="3" t="s">
        <v>4</v>
      </c>
      <c r="E2015" s="1" t="s">
        <v>868</v>
      </c>
      <c r="F2015" s="1" t="s">
        <v>28</v>
      </c>
      <c r="G2015" s="2" t="s">
        <v>6</v>
      </c>
      <c r="H2015" s="3" t="s">
        <v>88</v>
      </c>
      <c r="I2015" s="3" t="s">
        <v>85</v>
      </c>
      <c r="J2015" s="3" t="s">
        <v>66</v>
      </c>
      <c r="K2015" s="4">
        <v>44.05</v>
      </c>
      <c r="L2015" s="6">
        <v>5.78</v>
      </c>
    </row>
    <row r="2016" spans="1:12" x14ac:dyDescent="0.25">
      <c r="A2016" s="1">
        <v>2015</v>
      </c>
      <c r="B2016" s="4">
        <v>14375</v>
      </c>
      <c r="C2016" s="5">
        <v>40209</v>
      </c>
      <c r="D2016" s="3" t="s">
        <v>4</v>
      </c>
      <c r="E2016" s="1" t="s">
        <v>869</v>
      </c>
      <c r="F2016" s="1" t="s">
        <v>39</v>
      </c>
      <c r="G2016" s="2" t="s">
        <v>1</v>
      </c>
      <c r="H2016" s="3" t="s">
        <v>88</v>
      </c>
      <c r="I2016" s="3" t="s">
        <v>85</v>
      </c>
      <c r="J2016" s="3" t="s">
        <v>71</v>
      </c>
      <c r="K2016" s="4">
        <v>3872.38</v>
      </c>
      <c r="L2016" s="6">
        <v>83.93</v>
      </c>
    </row>
    <row r="2017" spans="1:12" x14ac:dyDescent="0.25">
      <c r="A2017" s="1">
        <v>2016</v>
      </c>
      <c r="B2017" s="4">
        <v>14400</v>
      </c>
      <c r="C2017" s="5">
        <v>39848</v>
      </c>
      <c r="D2017" s="3" t="s">
        <v>4</v>
      </c>
      <c r="E2017" s="1" t="s">
        <v>870</v>
      </c>
      <c r="F2017" s="1" t="s">
        <v>23</v>
      </c>
      <c r="G2017" s="2" t="s">
        <v>3</v>
      </c>
      <c r="H2017" s="3" t="s">
        <v>97</v>
      </c>
      <c r="I2017" s="3" t="s">
        <v>85</v>
      </c>
      <c r="J2017" s="3" t="s">
        <v>69</v>
      </c>
      <c r="K2017" s="4">
        <v>74.34</v>
      </c>
      <c r="L2017" s="6">
        <v>2.16</v>
      </c>
    </row>
    <row r="2018" spans="1:12" x14ac:dyDescent="0.25">
      <c r="A2018" s="1">
        <v>2017</v>
      </c>
      <c r="B2018" s="4">
        <v>14400</v>
      </c>
      <c r="C2018" s="5">
        <v>39848</v>
      </c>
      <c r="D2018" s="3" t="s">
        <v>4</v>
      </c>
      <c r="E2018" s="1" t="s">
        <v>870</v>
      </c>
      <c r="F2018" s="1" t="s">
        <v>23</v>
      </c>
      <c r="G2018" s="2" t="s">
        <v>3</v>
      </c>
      <c r="H2018" s="3" t="s">
        <v>97</v>
      </c>
      <c r="I2018" s="3" t="s">
        <v>85</v>
      </c>
      <c r="J2018" s="3" t="s">
        <v>66</v>
      </c>
      <c r="K2018" s="4">
        <v>228.8</v>
      </c>
      <c r="L2018" s="6">
        <v>6.48</v>
      </c>
    </row>
    <row r="2019" spans="1:12" x14ac:dyDescent="0.25">
      <c r="A2019" s="1">
        <v>2018</v>
      </c>
      <c r="B2019" s="4">
        <v>14400</v>
      </c>
      <c r="C2019" s="5">
        <v>39848</v>
      </c>
      <c r="D2019" s="3" t="s">
        <v>4</v>
      </c>
      <c r="E2019" s="1" t="s">
        <v>870</v>
      </c>
      <c r="F2019" s="1" t="s">
        <v>23</v>
      </c>
      <c r="G2019" s="2" t="s">
        <v>3</v>
      </c>
      <c r="H2019" s="3" t="s">
        <v>97</v>
      </c>
      <c r="I2019" s="3" t="s">
        <v>91</v>
      </c>
      <c r="J2019" s="3" t="s">
        <v>60</v>
      </c>
      <c r="K2019" s="4">
        <v>6089.05</v>
      </c>
      <c r="L2019" s="6">
        <v>146.05000000000001</v>
      </c>
    </row>
    <row r="2020" spans="1:12" x14ac:dyDescent="0.25">
      <c r="A2020" s="1">
        <v>2019</v>
      </c>
      <c r="B2020" s="4">
        <v>14401</v>
      </c>
      <c r="C2020" s="5">
        <v>40759</v>
      </c>
      <c r="D2020" s="3" t="s">
        <v>86</v>
      </c>
      <c r="E2020" s="1" t="s">
        <v>639</v>
      </c>
      <c r="F2020" s="1" t="s">
        <v>31</v>
      </c>
      <c r="G2020" s="2" t="s">
        <v>1</v>
      </c>
      <c r="H2020" s="3" t="s">
        <v>84</v>
      </c>
      <c r="I2020" s="3" t="s">
        <v>92</v>
      </c>
      <c r="J2020" s="3" t="s">
        <v>61</v>
      </c>
      <c r="K2020" s="4">
        <v>931.14949999999999</v>
      </c>
      <c r="L2020" s="6">
        <v>110.99</v>
      </c>
    </row>
    <row r="2021" spans="1:12" x14ac:dyDescent="0.25">
      <c r="A2021" s="1">
        <v>2020</v>
      </c>
      <c r="B2021" s="4">
        <v>14402</v>
      </c>
      <c r="C2021" s="5">
        <v>40465</v>
      </c>
      <c r="D2021" s="3" t="s">
        <v>4</v>
      </c>
      <c r="E2021" s="1" t="s">
        <v>671</v>
      </c>
      <c r="F2021" s="1" t="s">
        <v>35</v>
      </c>
      <c r="G2021" s="2" t="s">
        <v>1</v>
      </c>
      <c r="H2021" s="3" t="s">
        <v>84</v>
      </c>
      <c r="I2021" s="3" t="s">
        <v>91</v>
      </c>
      <c r="J2021" s="3" t="s">
        <v>72</v>
      </c>
      <c r="K2021" s="4">
        <v>184.46</v>
      </c>
      <c r="L2021" s="6">
        <v>160.97999999999999</v>
      </c>
    </row>
    <row r="2022" spans="1:12" x14ac:dyDescent="0.25">
      <c r="A2022" s="1">
        <v>2021</v>
      </c>
      <c r="B2022" s="4">
        <v>14406</v>
      </c>
      <c r="C2022" s="5">
        <v>40245</v>
      </c>
      <c r="D2022" s="3" t="s">
        <v>4</v>
      </c>
      <c r="E2022" s="1" t="s">
        <v>871</v>
      </c>
      <c r="F2022" s="1" t="s">
        <v>25</v>
      </c>
      <c r="G2022" s="2" t="s">
        <v>6</v>
      </c>
      <c r="H2022" s="3" t="s">
        <v>88</v>
      </c>
      <c r="I2022" s="3" t="s">
        <v>92</v>
      </c>
      <c r="J2022" s="3" t="s">
        <v>67</v>
      </c>
      <c r="K2022" s="4">
        <v>5610.84</v>
      </c>
      <c r="L2022" s="6">
        <v>150.97999999999999</v>
      </c>
    </row>
    <row r="2023" spans="1:12" x14ac:dyDescent="0.25">
      <c r="A2023" s="1">
        <v>2022</v>
      </c>
      <c r="B2023" s="4">
        <v>14406</v>
      </c>
      <c r="C2023" s="5">
        <v>40245</v>
      </c>
      <c r="D2023" s="3" t="s">
        <v>4</v>
      </c>
      <c r="E2023" s="1" t="s">
        <v>871</v>
      </c>
      <c r="F2023" s="1" t="s">
        <v>25</v>
      </c>
      <c r="G2023" s="2" t="s">
        <v>6</v>
      </c>
      <c r="H2023" s="3" t="s">
        <v>88</v>
      </c>
      <c r="I2023" s="3" t="s">
        <v>85</v>
      </c>
      <c r="J2023" s="3" t="s">
        <v>57</v>
      </c>
      <c r="K2023" s="4">
        <v>455.34</v>
      </c>
      <c r="L2023" s="6">
        <v>20.98</v>
      </c>
    </row>
    <row r="2024" spans="1:12" x14ac:dyDescent="0.25">
      <c r="A2024" s="1">
        <v>2023</v>
      </c>
      <c r="B2024" s="4">
        <v>14406</v>
      </c>
      <c r="C2024" s="5">
        <v>40245</v>
      </c>
      <c r="D2024" s="3" t="s">
        <v>4</v>
      </c>
      <c r="E2024" s="1" t="s">
        <v>871</v>
      </c>
      <c r="F2024" s="1" t="s">
        <v>25</v>
      </c>
      <c r="G2024" s="2" t="s">
        <v>6</v>
      </c>
      <c r="H2024" s="3" t="s">
        <v>88</v>
      </c>
      <c r="I2024" s="3" t="s">
        <v>92</v>
      </c>
      <c r="J2024" s="3" t="s">
        <v>61</v>
      </c>
      <c r="K2024" s="4">
        <v>2329.6460000000002</v>
      </c>
      <c r="L2024" s="6">
        <v>85.99</v>
      </c>
    </row>
    <row r="2025" spans="1:12" x14ac:dyDescent="0.25">
      <c r="A2025" s="1">
        <v>2024</v>
      </c>
      <c r="B2025" s="4">
        <v>14434</v>
      </c>
      <c r="C2025" s="5">
        <v>40589</v>
      </c>
      <c r="D2025" s="3" t="s">
        <v>86</v>
      </c>
      <c r="E2025" s="1" t="s">
        <v>872</v>
      </c>
      <c r="F2025" s="1" t="s">
        <v>24</v>
      </c>
      <c r="G2025" s="2" t="s">
        <v>2</v>
      </c>
      <c r="H2025" s="3" t="s">
        <v>88</v>
      </c>
      <c r="I2025" s="3" t="s">
        <v>92</v>
      </c>
      <c r="J2025" s="3" t="s">
        <v>67</v>
      </c>
      <c r="K2025" s="4">
        <v>4733.88</v>
      </c>
      <c r="L2025" s="6">
        <v>119.99</v>
      </c>
    </row>
    <row r="2026" spans="1:12" x14ac:dyDescent="0.25">
      <c r="A2026" s="1">
        <v>2025</v>
      </c>
      <c r="B2026" s="4">
        <v>14435</v>
      </c>
      <c r="C2026" s="5">
        <v>41244</v>
      </c>
      <c r="D2026" s="3" t="s">
        <v>86</v>
      </c>
      <c r="E2026" s="1" t="s">
        <v>511</v>
      </c>
      <c r="F2026" s="1" t="s">
        <v>15</v>
      </c>
      <c r="G2026" s="2" t="s">
        <v>1</v>
      </c>
      <c r="H2026" s="3" t="s">
        <v>84</v>
      </c>
      <c r="I2026" s="3" t="s">
        <v>91</v>
      </c>
      <c r="J2026" s="3" t="s">
        <v>72</v>
      </c>
      <c r="K2026" s="4">
        <v>3731.59</v>
      </c>
      <c r="L2026" s="6">
        <v>89.99</v>
      </c>
    </row>
    <row r="2027" spans="1:12" x14ac:dyDescent="0.25">
      <c r="A2027" s="1">
        <v>2026</v>
      </c>
      <c r="B2027" s="4">
        <v>14435</v>
      </c>
      <c r="C2027" s="5">
        <v>41244</v>
      </c>
      <c r="D2027" s="3" t="s">
        <v>86</v>
      </c>
      <c r="E2027" s="1" t="s">
        <v>511</v>
      </c>
      <c r="F2027" s="1" t="s">
        <v>15</v>
      </c>
      <c r="G2027" s="2" t="s">
        <v>1</v>
      </c>
      <c r="H2027" s="3" t="s">
        <v>84</v>
      </c>
      <c r="I2027" s="3" t="s">
        <v>92</v>
      </c>
      <c r="J2027" s="3" t="s">
        <v>73</v>
      </c>
      <c r="K2027" s="4">
        <v>33367.85</v>
      </c>
      <c r="L2027" s="6">
        <v>3499.99</v>
      </c>
    </row>
    <row r="2028" spans="1:12" x14ac:dyDescent="0.25">
      <c r="A2028" s="1">
        <v>2027</v>
      </c>
      <c r="B2028" s="4">
        <v>14435</v>
      </c>
      <c r="C2028" s="5">
        <v>41244</v>
      </c>
      <c r="D2028" s="3" t="s">
        <v>86</v>
      </c>
      <c r="E2028" s="1" t="s">
        <v>511</v>
      </c>
      <c r="F2028" s="1" t="s">
        <v>15</v>
      </c>
      <c r="G2028" s="2" t="s">
        <v>1</v>
      </c>
      <c r="H2028" s="3" t="s">
        <v>84</v>
      </c>
      <c r="I2028" s="3" t="s">
        <v>85</v>
      </c>
      <c r="J2028" s="3" t="s">
        <v>66</v>
      </c>
      <c r="K2028" s="4">
        <v>1299.9100000000001</v>
      </c>
      <c r="L2028" s="6">
        <v>30.98</v>
      </c>
    </row>
    <row r="2029" spans="1:12" x14ac:dyDescent="0.25">
      <c r="A2029" s="1">
        <v>2028</v>
      </c>
      <c r="B2029" s="4">
        <v>14439</v>
      </c>
      <c r="C2029" s="5">
        <v>41151</v>
      </c>
      <c r="D2029" s="3" t="s">
        <v>89</v>
      </c>
      <c r="E2029" s="1" t="s">
        <v>797</v>
      </c>
      <c r="F2029" s="1" t="s">
        <v>17</v>
      </c>
      <c r="G2029" s="2" t="s">
        <v>2</v>
      </c>
      <c r="H2029" s="3" t="s">
        <v>88</v>
      </c>
      <c r="I2029" s="3" t="s">
        <v>85</v>
      </c>
      <c r="J2029" s="3" t="s">
        <v>66</v>
      </c>
      <c r="K2029" s="4">
        <v>1428.64</v>
      </c>
      <c r="L2029" s="6">
        <v>54.96</v>
      </c>
    </row>
    <row r="2030" spans="1:12" x14ac:dyDescent="0.25">
      <c r="A2030" s="1">
        <v>2029</v>
      </c>
      <c r="B2030" s="4">
        <v>14471</v>
      </c>
      <c r="C2030" s="5">
        <v>40689</v>
      </c>
      <c r="D2030" s="3" t="s">
        <v>86</v>
      </c>
      <c r="E2030" s="1" t="s">
        <v>540</v>
      </c>
      <c r="F2030" s="1" t="s">
        <v>30</v>
      </c>
      <c r="G2030" s="2" t="s">
        <v>6</v>
      </c>
      <c r="H2030" s="3" t="s">
        <v>88</v>
      </c>
      <c r="I2030" s="3" t="s">
        <v>91</v>
      </c>
      <c r="J2030" s="3" t="s">
        <v>59</v>
      </c>
      <c r="K2030" s="4">
        <v>823.63</v>
      </c>
      <c r="L2030" s="6">
        <v>18.649999999999999</v>
      </c>
    </row>
    <row r="2031" spans="1:12" x14ac:dyDescent="0.25">
      <c r="A2031" s="1">
        <v>2030</v>
      </c>
      <c r="B2031" s="4">
        <v>14471</v>
      </c>
      <c r="C2031" s="5">
        <v>40689</v>
      </c>
      <c r="D2031" s="3" t="s">
        <v>86</v>
      </c>
      <c r="E2031" s="1" t="s">
        <v>540</v>
      </c>
      <c r="F2031" s="1" t="s">
        <v>30</v>
      </c>
      <c r="G2031" s="2" t="s">
        <v>6</v>
      </c>
      <c r="H2031" s="3" t="s">
        <v>88</v>
      </c>
      <c r="I2031" s="3" t="s">
        <v>85</v>
      </c>
      <c r="J2031" s="3" t="s">
        <v>66</v>
      </c>
      <c r="K2031" s="4">
        <v>286.73</v>
      </c>
      <c r="L2031" s="6">
        <v>6.48</v>
      </c>
    </row>
    <row r="2032" spans="1:12" x14ac:dyDescent="0.25">
      <c r="A2032" s="1">
        <v>2031</v>
      </c>
      <c r="B2032" s="4">
        <v>14497</v>
      </c>
      <c r="C2032" s="5">
        <v>41049</v>
      </c>
      <c r="D2032" s="3" t="s">
        <v>4</v>
      </c>
      <c r="E2032" s="1" t="s">
        <v>873</v>
      </c>
      <c r="F2032" s="1" t="s">
        <v>32</v>
      </c>
      <c r="G2032" s="2" t="s">
        <v>2</v>
      </c>
      <c r="H2032" s="3" t="s">
        <v>84</v>
      </c>
      <c r="I2032" s="3" t="s">
        <v>85</v>
      </c>
      <c r="J2032" s="3" t="s">
        <v>66</v>
      </c>
      <c r="K2032" s="4">
        <v>214.03</v>
      </c>
      <c r="L2032" s="6">
        <v>5.78</v>
      </c>
    </row>
    <row r="2033" spans="1:12" x14ac:dyDescent="0.25">
      <c r="A2033" s="1">
        <v>2032</v>
      </c>
      <c r="B2033" s="4">
        <v>14499</v>
      </c>
      <c r="C2033" s="5">
        <v>40496</v>
      </c>
      <c r="D2033" s="3" t="s">
        <v>82</v>
      </c>
      <c r="E2033" s="1" t="s">
        <v>874</v>
      </c>
      <c r="F2033" s="1" t="s">
        <v>35</v>
      </c>
      <c r="G2033" s="2" t="s">
        <v>1</v>
      </c>
      <c r="H2033" s="3" t="s">
        <v>100</v>
      </c>
      <c r="I2033" s="3" t="s">
        <v>92</v>
      </c>
      <c r="J2033" s="3" t="s">
        <v>62</v>
      </c>
      <c r="K2033" s="4">
        <v>574.99</v>
      </c>
      <c r="L2033" s="6">
        <v>20.97</v>
      </c>
    </row>
    <row r="2034" spans="1:12" x14ac:dyDescent="0.25">
      <c r="A2034" s="1">
        <v>2033</v>
      </c>
      <c r="B2034" s="4">
        <v>14500</v>
      </c>
      <c r="C2034" s="5">
        <v>40718</v>
      </c>
      <c r="D2034" s="3" t="s">
        <v>86</v>
      </c>
      <c r="E2034" s="1" t="s">
        <v>875</v>
      </c>
      <c r="F2034" s="1" t="s">
        <v>23</v>
      </c>
      <c r="G2034" s="2" t="s">
        <v>3</v>
      </c>
      <c r="H2034" s="3" t="s">
        <v>100</v>
      </c>
      <c r="I2034" s="3" t="s">
        <v>85</v>
      </c>
      <c r="J2034" s="3" t="s">
        <v>66</v>
      </c>
      <c r="K2034" s="4">
        <v>839.7</v>
      </c>
      <c r="L2034" s="6">
        <v>19.98</v>
      </c>
    </row>
    <row r="2035" spans="1:12" x14ac:dyDescent="0.25">
      <c r="A2035" s="1">
        <v>2034</v>
      </c>
      <c r="B2035" s="4">
        <v>14500</v>
      </c>
      <c r="C2035" s="5">
        <v>40718</v>
      </c>
      <c r="D2035" s="3" t="s">
        <v>86</v>
      </c>
      <c r="E2035" s="1" t="s">
        <v>875</v>
      </c>
      <c r="F2035" s="1" t="s">
        <v>23</v>
      </c>
      <c r="G2035" s="2" t="s">
        <v>3</v>
      </c>
      <c r="H2035" s="3" t="s">
        <v>100</v>
      </c>
      <c r="I2035" s="3" t="s">
        <v>85</v>
      </c>
      <c r="J2035" s="3" t="s">
        <v>63</v>
      </c>
      <c r="K2035" s="4">
        <v>1662.5</v>
      </c>
      <c r="L2035" s="6">
        <v>34.58</v>
      </c>
    </row>
    <row r="2036" spans="1:12" x14ac:dyDescent="0.25">
      <c r="A2036" s="1">
        <v>2035</v>
      </c>
      <c r="B2036" s="4">
        <v>14503</v>
      </c>
      <c r="C2036" s="5">
        <v>40579</v>
      </c>
      <c r="D2036" s="3" t="s">
        <v>86</v>
      </c>
      <c r="E2036" s="1" t="s">
        <v>437</v>
      </c>
      <c r="F2036" s="1" t="s">
        <v>41</v>
      </c>
      <c r="G2036" s="2" t="s">
        <v>6</v>
      </c>
      <c r="H2036" s="3" t="s">
        <v>88</v>
      </c>
      <c r="I2036" s="3" t="s">
        <v>85</v>
      </c>
      <c r="J2036" s="3" t="s">
        <v>69</v>
      </c>
      <c r="K2036" s="4">
        <v>438.47</v>
      </c>
      <c r="L2036" s="6">
        <v>30.56</v>
      </c>
    </row>
    <row r="2037" spans="1:12" x14ac:dyDescent="0.25">
      <c r="A2037" s="1">
        <v>2036</v>
      </c>
      <c r="B2037" s="4">
        <v>14528</v>
      </c>
      <c r="C2037" s="5">
        <v>39979</v>
      </c>
      <c r="D2037" s="3" t="s">
        <v>95</v>
      </c>
      <c r="E2037" s="1" t="s">
        <v>876</v>
      </c>
      <c r="F2037" s="1" t="s">
        <v>39</v>
      </c>
      <c r="G2037" s="2" t="s">
        <v>1</v>
      </c>
      <c r="H2037" s="3" t="s">
        <v>97</v>
      </c>
      <c r="I2037" s="3" t="s">
        <v>85</v>
      </c>
      <c r="J2037" s="3" t="s">
        <v>69</v>
      </c>
      <c r="K2037" s="4">
        <v>78.44</v>
      </c>
      <c r="L2037" s="6">
        <v>5.98</v>
      </c>
    </row>
    <row r="2038" spans="1:12" x14ac:dyDescent="0.25">
      <c r="A2038" s="1">
        <v>2037</v>
      </c>
      <c r="B2038" s="4">
        <v>14529</v>
      </c>
      <c r="C2038" s="5">
        <v>40441</v>
      </c>
      <c r="D2038" s="3" t="s">
        <v>82</v>
      </c>
      <c r="E2038" s="1" t="s">
        <v>447</v>
      </c>
      <c r="F2038" s="1" t="s">
        <v>30</v>
      </c>
      <c r="G2038" s="2" t="s">
        <v>6</v>
      </c>
      <c r="H2038" s="3" t="s">
        <v>97</v>
      </c>
      <c r="I2038" s="3" t="s">
        <v>91</v>
      </c>
      <c r="J2038" s="3" t="s">
        <v>72</v>
      </c>
      <c r="K2038" s="4">
        <v>3819.42</v>
      </c>
      <c r="L2038" s="6">
        <v>89.99</v>
      </c>
    </row>
    <row r="2039" spans="1:12" x14ac:dyDescent="0.25">
      <c r="A2039" s="1">
        <v>2038</v>
      </c>
      <c r="B2039" s="4">
        <v>14529</v>
      </c>
      <c r="C2039" s="5">
        <v>40441</v>
      </c>
      <c r="D2039" s="3" t="s">
        <v>82</v>
      </c>
      <c r="E2039" s="1" t="s">
        <v>447</v>
      </c>
      <c r="F2039" s="1" t="s">
        <v>30</v>
      </c>
      <c r="G2039" s="2" t="s">
        <v>6</v>
      </c>
      <c r="H2039" s="3" t="s">
        <v>97</v>
      </c>
      <c r="I2039" s="3" t="s">
        <v>91</v>
      </c>
      <c r="J2039" s="3" t="s">
        <v>59</v>
      </c>
      <c r="K2039" s="4">
        <v>208.78</v>
      </c>
      <c r="L2039" s="6">
        <v>5.08</v>
      </c>
    </row>
    <row r="2040" spans="1:12" x14ac:dyDescent="0.25">
      <c r="A2040" s="1">
        <v>2039</v>
      </c>
      <c r="B2040" s="4">
        <v>14530</v>
      </c>
      <c r="C2040" s="5">
        <v>39909</v>
      </c>
      <c r="D2040" s="3" t="s">
        <v>89</v>
      </c>
      <c r="E2040" s="1" t="s">
        <v>135</v>
      </c>
      <c r="F2040" s="1" t="s">
        <v>29</v>
      </c>
      <c r="G2040" s="2" t="s">
        <v>3</v>
      </c>
      <c r="H2040" s="3" t="s">
        <v>97</v>
      </c>
      <c r="I2040" s="3" t="s">
        <v>85</v>
      </c>
      <c r="J2040" s="3" t="s">
        <v>57</v>
      </c>
      <c r="K2040" s="4">
        <v>1556.61</v>
      </c>
      <c r="L2040" s="6">
        <v>89.83</v>
      </c>
    </row>
    <row r="2041" spans="1:12" x14ac:dyDescent="0.25">
      <c r="A2041" s="1">
        <v>2040</v>
      </c>
      <c r="B2041" s="4">
        <v>14530</v>
      </c>
      <c r="C2041" s="5">
        <v>39909</v>
      </c>
      <c r="D2041" s="3" t="s">
        <v>89</v>
      </c>
      <c r="E2041" s="1" t="s">
        <v>135</v>
      </c>
      <c r="F2041" s="1" t="s">
        <v>29</v>
      </c>
      <c r="G2041" s="2" t="s">
        <v>3</v>
      </c>
      <c r="H2041" s="3" t="s">
        <v>97</v>
      </c>
      <c r="I2041" s="3" t="s">
        <v>85</v>
      </c>
      <c r="J2041" s="3" t="s">
        <v>57</v>
      </c>
      <c r="K2041" s="4">
        <v>645.14</v>
      </c>
      <c r="L2041" s="6">
        <v>13.43</v>
      </c>
    </row>
    <row r="2042" spans="1:12" x14ac:dyDescent="0.25">
      <c r="A2042" s="1">
        <v>2041</v>
      </c>
      <c r="B2042" s="4">
        <v>14530</v>
      </c>
      <c r="C2042" s="5">
        <v>39909</v>
      </c>
      <c r="D2042" s="3" t="s">
        <v>89</v>
      </c>
      <c r="E2042" s="1" t="s">
        <v>135</v>
      </c>
      <c r="F2042" s="1" t="s">
        <v>29</v>
      </c>
      <c r="G2042" s="2" t="s">
        <v>3</v>
      </c>
      <c r="H2042" s="3" t="s">
        <v>97</v>
      </c>
      <c r="I2042" s="3" t="s">
        <v>92</v>
      </c>
      <c r="J2042" s="3" t="s">
        <v>61</v>
      </c>
      <c r="K2042" s="4">
        <v>4851.5024999999996</v>
      </c>
      <c r="L2042" s="6">
        <v>125.99</v>
      </c>
    </row>
    <row r="2043" spans="1:12" x14ac:dyDescent="0.25">
      <c r="A2043" s="1">
        <v>2042</v>
      </c>
      <c r="B2043" s="4">
        <v>14534</v>
      </c>
      <c r="C2043" s="5">
        <v>40377</v>
      </c>
      <c r="D2043" s="3" t="s">
        <v>4</v>
      </c>
      <c r="E2043" s="1" t="s">
        <v>250</v>
      </c>
      <c r="F2043" s="1" t="s">
        <v>23</v>
      </c>
      <c r="G2043" s="2" t="s">
        <v>3</v>
      </c>
      <c r="H2043" s="3" t="s">
        <v>88</v>
      </c>
      <c r="I2043" s="3" t="s">
        <v>92</v>
      </c>
      <c r="J2043" s="3" t="s">
        <v>62</v>
      </c>
      <c r="K2043" s="4">
        <v>745.99</v>
      </c>
      <c r="L2043" s="6">
        <v>15.98</v>
      </c>
    </row>
    <row r="2044" spans="1:12" x14ac:dyDescent="0.25">
      <c r="A2044" s="1">
        <v>2043</v>
      </c>
      <c r="B2044" s="4">
        <v>14535</v>
      </c>
      <c r="C2044" s="5">
        <v>40452</v>
      </c>
      <c r="D2044" s="3" t="s">
        <v>86</v>
      </c>
      <c r="E2044" s="1" t="s">
        <v>618</v>
      </c>
      <c r="F2044" s="1" t="s">
        <v>11</v>
      </c>
      <c r="G2044" s="2" t="s">
        <v>6</v>
      </c>
      <c r="H2044" s="3" t="s">
        <v>100</v>
      </c>
      <c r="I2044" s="3" t="s">
        <v>85</v>
      </c>
      <c r="J2044" s="3" t="s">
        <v>57</v>
      </c>
      <c r="K2044" s="4">
        <v>245.96</v>
      </c>
      <c r="L2044" s="6">
        <v>11.29</v>
      </c>
    </row>
    <row r="2045" spans="1:12" x14ac:dyDescent="0.25">
      <c r="A2045" s="1">
        <v>2044</v>
      </c>
      <c r="B2045" s="4">
        <v>14563</v>
      </c>
      <c r="C2045" s="5">
        <v>40879</v>
      </c>
      <c r="D2045" s="3" t="s">
        <v>95</v>
      </c>
      <c r="E2045" s="1" t="s">
        <v>701</v>
      </c>
      <c r="F2045" s="1" t="s">
        <v>12</v>
      </c>
      <c r="G2045" s="2" t="s">
        <v>2</v>
      </c>
      <c r="H2045" s="3" t="s">
        <v>88</v>
      </c>
      <c r="I2045" s="3" t="s">
        <v>92</v>
      </c>
      <c r="J2045" s="3" t="s">
        <v>61</v>
      </c>
      <c r="K2045" s="4">
        <v>953.04549999999995</v>
      </c>
      <c r="L2045" s="6">
        <v>35.99</v>
      </c>
    </row>
    <row r="2046" spans="1:12" x14ac:dyDescent="0.25">
      <c r="A2046" s="1">
        <v>2045</v>
      </c>
      <c r="B2046" s="4">
        <v>14596</v>
      </c>
      <c r="C2046" s="5">
        <v>39823</v>
      </c>
      <c r="D2046" s="3" t="s">
        <v>95</v>
      </c>
      <c r="E2046" s="1" t="s">
        <v>744</v>
      </c>
      <c r="F2046" s="1" t="s">
        <v>13</v>
      </c>
      <c r="G2046" s="2" t="s">
        <v>6</v>
      </c>
      <c r="H2046" s="3" t="s">
        <v>88</v>
      </c>
      <c r="I2046" s="3" t="s">
        <v>91</v>
      </c>
      <c r="J2046" s="3" t="s">
        <v>59</v>
      </c>
      <c r="K2046" s="4">
        <v>199.12</v>
      </c>
      <c r="L2046" s="6">
        <v>8.34</v>
      </c>
    </row>
    <row r="2047" spans="1:12" x14ac:dyDescent="0.25">
      <c r="A2047" s="1">
        <v>2046</v>
      </c>
      <c r="B2047" s="4">
        <v>14596</v>
      </c>
      <c r="C2047" s="5">
        <v>39823</v>
      </c>
      <c r="D2047" s="3" t="s">
        <v>95</v>
      </c>
      <c r="E2047" s="1" t="s">
        <v>744</v>
      </c>
      <c r="F2047" s="1" t="s">
        <v>13</v>
      </c>
      <c r="G2047" s="2" t="s">
        <v>6</v>
      </c>
      <c r="H2047" s="3" t="s">
        <v>88</v>
      </c>
      <c r="I2047" s="3" t="s">
        <v>85</v>
      </c>
      <c r="J2047" s="3" t="s">
        <v>63</v>
      </c>
      <c r="K2047" s="4">
        <v>63.14</v>
      </c>
      <c r="L2047" s="6">
        <v>3.28</v>
      </c>
    </row>
    <row r="2048" spans="1:12" x14ac:dyDescent="0.25">
      <c r="A2048" s="1">
        <v>2047</v>
      </c>
      <c r="B2048" s="4">
        <v>14597</v>
      </c>
      <c r="C2048" s="5">
        <v>40420</v>
      </c>
      <c r="D2048" s="3" t="s">
        <v>95</v>
      </c>
      <c r="E2048" s="1" t="s">
        <v>263</v>
      </c>
      <c r="F2048" s="1" t="s">
        <v>14</v>
      </c>
      <c r="G2048" s="2" t="s">
        <v>2</v>
      </c>
      <c r="H2048" s="3" t="s">
        <v>88</v>
      </c>
      <c r="I2048" s="3" t="s">
        <v>85</v>
      </c>
      <c r="J2048" s="3" t="s">
        <v>69</v>
      </c>
      <c r="K2048" s="4">
        <v>320.42</v>
      </c>
      <c r="L2048" s="6">
        <v>7.68</v>
      </c>
    </row>
    <row r="2049" spans="1:12" x14ac:dyDescent="0.25">
      <c r="A2049" s="1">
        <v>2048</v>
      </c>
      <c r="B2049" s="4">
        <v>14597</v>
      </c>
      <c r="C2049" s="5">
        <v>40420</v>
      </c>
      <c r="D2049" s="3" t="s">
        <v>95</v>
      </c>
      <c r="E2049" s="1" t="s">
        <v>263</v>
      </c>
      <c r="F2049" s="1" t="s">
        <v>14</v>
      </c>
      <c r="G2049" s="2" t="s">
        <v>2</v>
      </c>
      <c r="H2049" s="3" t="s">
        <v>88</v>
      </c>
      <c r="I2049" s="3" t="s">
        <v>91</v>
      </c>
      <c r="J2049" s="3" t="s">
        <v>59</v>
      </c>
      <c r="K2049" s="4">
        <v>266.64</v>
      </c>
      <c r="L2049" s="6">
        <v>7.96</v>
      </c>
    </row>
    <row r="2050" spans="1:12" x14ac:dyDescent="0.25">
      <c r="A2050" s="1">
        <v>2049</v>
      </c>
      <c r="B2050" s="4">
        <v>14627</v>
      </c>
      <c r="C2050" s="5">
        <v>39848</v>
      </c>
      <c r="D2050" s="3" t="s">
        <v>4</v>
      </c>
      <c r="E2050" s="1" t="s">
        <v>724</v>
      </c>
      <c r="F2050" s="1" t="s">
        <v>28</v>
      </c>
      <c r="G2050" s="2" t="s">
        <v>6</v>
      </c>
      <c r="H2050" s="3" t="s">
        <v>84</v>
      </c>
      <c r="I2050" s="3" t="s">
        <v>85</v>
      </c>
      <c r="J2050" s="3" t="s">
        <v>69</v>
      </c>
      <c r="K2050" s="4">
        <v>671.03</v>
      </c>
      <c r="L2050" s="6">
        <v>14.48</v>
      </c>
    </row>
    <row r="2051" spans="1:12" x14ac:dyDescent="0.25">
      <c r="A2051" s="1">
        <v>2050</v>
      </c>
      <c r="B2051" s="4">
        <v>14630</v>
      </c>
      <c r="C2051" s="5">
        <v>41198</v>
      </c>
      <c r="D2051" s="3" t="s">
        <v>82</v>
      </c>
      <c r="E2051" s="1" t="s">
        <v>877</v>
      </c>
      <c r="F2051" s="1" t="s">
        <v>24</v>
      </c>
      <c r="G2051" s="2" t="s">
        <v>2</v>
      </c>
      <c r="H2051" s="3" t="s">
        <v>88</v>
      </c>
      <c r="I2051" s="3" t="s">
        <v>85</v>
      </c>
      <c r="J2051" s="3" t="s">
        <v>63</v>
      </c>
      <c r="K2051" s="4">
        <v>363.54</v>
      </c>
      <c r="L2051" s="6">
        <v>22.01</v>
      </c>
    </row>
    <row r="2052" spans="1:12" x14ac:dyDescent="0.25">
      <c r="A2052" s="1">
        <v>2051</v>
      </c>
      <c r="B2052" s="4">
        <v>14661</v>
      </c>
      <c r="C2052" s="5">
        <v>40202</v>
      </c>
      <c r="D2052" s="3" t="s">
        <v>86</v>
      </c>
      <c r="E2052" s="1" t="s">
        <v>310</v>
      </c>
      <c r="F2052" s="1" t="s">
        <v>36</v>
      </c>
      <c r="G2052" s="2" t="s">
        <v>2</v>
      </c>
      <c r="H2052" s="3" t="s">
        <v>97</v>
      </c>
      <c r="I2052" s="3" t="s">
        <v>92</v>
      </c>
      <c r="J2052" s="3" t="s">
        <v>62</v>
      </c>
      <c r="K2052" s="4">
        <v>1325.06</v>
      </c>
      <c r="L2052" s="6">
        <v>35.770000000000003</v>
      </c>
    </row>
    <row r="2053" spans="1:12" x14ac:dyDescent="0.25">
      <c r="A2053" s="1">
        <v>2052</v>
      </c>
      <c r="B2053" s="4">
        <v>14662</v>
      </c>
      <c r="C2053" s="5">
        <v>40863</v>
      </c>
      <c r="D2053" s="3" t="s">
        <v>89</v>
      </c>
      <c r="E2053" s="1" t="s">
        <v>878</v>
      </c>
      <c r="F2053" s="1" t="s">
        <v>39</v>
      </c>
      <c r="G2053" s="2" t="s">
        <v>1</v>
      </c>
      <c r="H2053" s="3" t="s">
        <v>88</v>
      </c>
      <c r="I2053" s="3" t="s">
        <v>85</v>
      </c>
      <c r="J2053" s="3" t="s">
        <v>66</v>
      </c>
      <c r="K2053" s="4">
        <v>257.75</v>
      </c>
      <c r="L2053" s="6">
        <v>4.9800000000000004</v>
      </c>
    </row>
    <row r="2054" spans="1:12" x14ac:dyDescent="0.25">
      <c r="A2054" s="1">
        <v>2053</v>
      </c>
      <c r="B2054" s="4">
        <v>14662</v>
      </c>
      <c r="C2054" s="5">
        <v>40863</v>
      </c>
      <c r="D2054" s="3" t="s">
        <v>89</v>
      </c>
      <c r="E2054" s="1" t="s">
        <v>463</v>
      </c>
      <c r="F2054" s="1" t="s">
        <v>43</v>
      </c>
      <c r="G2054" s="2" t="s">
        <v>1</v>
      </c>
      <c r="H2054" s="3" t="s">
        <v>88</v>
      </c>
      <c r="I2054" s="3" t="s">
        <v>85</v>
      </c>
      <c r="J2054" s="3" t="s">
        <v>63</v>
      </c>
      <c r="K2054" s="4">
        <v>39.69</v>
      </c>
      <c r="L2054" s="6">
        <v>1.68</v>
      </c>
    </row>
    <row r="2055" spans="1:12" x14ac:dyDescent="0.25">
      <c r="A2055" s="1">
        <v>2054</v>
      </c>
      <c r="B2055" s="4">
        <v>14662</v>
      </c>
      <c r="C2055" s="5">
        <v>40863</v>
      </c>
      <c r="D2055" s="3" t="s">
        <v>89</v>
      </c>
      <c r="E2055" s="1" t="s">
        <v>879</v>
      </c>
      <c r="F2055" s="1" t="s">
        <v>39</v>
      </c>
      <c r="G2055" s="2" t="s">
        <v>1</v>
      </c>
      <c r="H2055" s="3" t="s">
        <v>88</v>
      </c>
      <c r="I2055" s="3" t="s">
        <v>92</v>
      </c>
      <c r="J2055" s="3" t="s">
        <v>61</v>
      </c>
      <c r="K2055" s="4">
        <v>5139.8819999999996</v>
      </c>
      <c r="L2055" s="6">
        <v>125.99</v>
      </c>
    </row>
    <row r="2056" spans="1:12" x14ac:dyDescent="0.25">
      <c r="A2056" s="1">
        <v>2055</v>
      </c>
      <c r="B2056" s="4">
        <v>14693</v>
      </c>
      <c r="C2056" s="5">
        <v>40552</v>
      </c>
      <c r="D2056" s="3" t="s">
        <v>95</v>
      </c>
      <c r="E2056" s="1" t="s">
        <v>744</v>
      </c>
      <c r="F2056" s="1" t="s">
        <v>13</v>
      </c>
      <c r="G2056" s="2" t="s">
        <v>6</v>
      </c>
      <c r="H2056" s="3" t="s">
        <v>88</v>
      </c>
      <c r="I2056" s="3" t="s">
        <v>85</v>
      </c>
      <c r="J2056" s="3" t="s">
        <v>66</v>
      </c>
      <c r="K2056" s="4">
        <v>268.94</v>
      </c>
      <c r="L2056" s="6">
        <v>6.48</v>
      </c>
    </row>
    <row r="2057" spans="1:12" x14ac:dyDescent="0.25">
      <c r="A2057" s="1">
        <v>2056</v>
      </c>
      <c r="B2057" s="4">
        <v>14693</v>
      </c>
      <c r="C2057" s="5">
        <v>40552</v>
      </c>
      <c r="D2057" s="3" t="s">
        <v>95</v>
      </c>
      <c r="E2057" s="1" t="s">
        <v>744</v>
      </c>
      <c r="F2057" s="1" t="s">
        <v>13</v>
      </c>
      <c r="G2057" s="2" t="s">
        <v>6</v>
      </c>
      <c r="H2057" s="3" t="s">
        <v>88</v>
      </c>
      <c r="I2057" s="3" t="s">
        <v>85</v>
      </c>
      <c r="J2057" s="3" t="s">
        <v>57</v>
      </c>
      <c r="K2057" s="4">
        <v>847.82</v>
      </c>
      <c r="L2057" s="6">
        <v>20.98</v>
      </c>
    </row>
    <row r="2058" spans="1:12" x14ac:dyDescent="0.25">
      <c r="A2058" s="1">
        <v>2057</v>
      </c>
      <c r="B2058" s="4">
        <v>14695</v>
      </c>
      <c r="C2058" s="5">
        <v>41157</v>
      </c>
      <c r="D2058" s="3" t="s">
        <v>89</v>
      </c>
      <c r="E2058" s="1" t="s">
        <v>127</v>
      </c>
      <c r="F2058" s="1" t="s">
        <v>13</v>
      </c>
      <c r="G2058" s="2" t="s">
        <v>6</v>
      </c>
      <c r="H2058" s="3" t="s">
        <v>88</v>
      </c>
      <c r="I2058" s="3" t="s">
        <v>91</v>
      </c>
      <c r="J2058" s="3" t="s">
        <v>68</v>
      </c>
      <c r="K2058" s="4">
        <v>1992.45</v>
      </c>
      <c r="L2058" s="6">
        <v>48.58</v>
      </c>
    </row>
    <row r="2059" spans="1:12" x14ac:dyDescent="0.25">
      <c r="A2059" s="1">
        <v>2058</v>
      </c>
      <c r="B2059" s="4">
        <v>14726</v>
      </c>
      <c r="C2059" s="5">
        <v>40916</v>
      </c>
      <c r="D2059" s="3" t="s">
        <v>82</v>
      </c>
      <c r="E2059" s="1" t="s">
        <v>533</v>
      </c>
      <c r="F2059" s="1" t="s">
        <v>8</v>
      </c>
      <c r="G2059" s="2" t="s">
        <v>6</v>
      </c>
      <c r="H2059" s="3" t="s">
        <v>100</v>
      </c>
      <c r="I2059" s="3" t="s">
        <v>92</v>
      </c>
      <c r="J2059" s="3" t="s">
        <v>62</v>
      </c>
      <c r="K2059" s="4">
        <v>310.87</v>
      </c>
      <c r="L2059" s="6">
        <v>20.95</v>
      </c>
    </row>
    <row r="2060" spans="1:12" x14ac:dyDescent="0.25">
      <c r="A2060" s="1">
        <v>2059</v>
      </c>
      <c r="B2060" s="4">
        <v>14727</v>
      </c>
      <c r="C2060" s="5">
        <v>41109</v>
      </c>
      <c r="D2060" s="3" t="s">
        <v>4</v>
      </c>
      <c r="E2060" s="1" t="s">
        <v>880</v>
      </c>
      <c r="F2060" s="1" t="s">
        <v>43</v>
      </c>
      <c r="G2060" s="2" t="s">
        <v>1</v>
      </c>
      <c r="H2060" s="3" t="s">
        <v>84</v>
      </c>
      <c r="I2060" s="3" t="s">
        <v>91</v>
      </c>
      <c r="J2060" s="3" t="s">
        <v>60</v>
      </c>
      <c r="K2060" s="4">
        <v>8532.152</v>
      </c>
      <c r="L2060" s="6">
        <v>212.6</v>
      </c>
    </row>
    <row r="2061" spans="1:12" x14ac:dyDescent="0.25">
      <c r="A2061" s="1">
        <v>2060</v>
      </c>
      <c r="B2061" s="4">
        <v>14727</v>
      </c>
      <c r="C2061" s="5">
        <v>41109</v>
      </c>
      <c r="D2061" s="3" t="s">
        <v>4</v>
      </c>
      <c r="E2061" s="1" t="s">
        <v>134</v>
      </c>
      <c r="F2061" s="1" t="s">
        <v>21</v>
      </c>
      <c r="G2061" s="2" t="s">
        <v>1</v>
      </c>
      <c r="H2061" s="3" t="s">
        <v>84</v>
      </c>
      <c r="I2061" s="3" t="s">
        <v>85</v>
      </c>
      <c r="J2061" s="3" t="s">
        <v>70</v>
      </c>
      <c r="K2061" s="4">
        <v>2269.41</v>
      </c>
      <c r="L2061" s="6">
        <v>70.97</v>
      </c>
    </row>
    <row r="2062" spans="1:12" x14ac:dyDescent="0.25">
      <c r="A2062" s="1">
        <v>2061</v>
      </c>
      <c r="B2062" s="4">
        <v>14755</v>
      </c>
      <c r="C2062" s="5">
        <v>40183</v>
      </c>
      <c r="D2062" s="3" t="s">
        <v>89</v>
      </c>
      <c r="E2062" s="1" t="s">
        <v>393</v>
      </c>
      <c r="F2062" s="1" t="s">
        <v>34</v>
      </c>
      <c r="G2062" s="2" t="s">
        <v>1</v>
      </c>
      <c r="H2062" s="3" t="s">
        <v>100</v>
      </c>
      <c r="I2062" s="3" t="s">
        <v>85</v>
      </c>
      <c r="J2062" s="3" t="s">
        <v>63</v>
      </c>
      <c r="K2062" s="4">
        <v>111.48</v>
      </c>
      <c r="L2062" s="6">
        <v>3.85</v>
      </c>
    </row>
    <row r="2063" spans="1:12" x14ac:dyDescent="0.25">
      <c r="A2063" s="1">
        <v>2062</v>
      </c>
      <c r="B2063" s="4">
        <v>14755</v>
      </c>
      <c r="C2063" s="5">
        <v>40183</v>
      </c>
      <c r="D2063" s="3" t="s">
        <v>89</v>
      </c>
      <c r="E2063" s="1" t="s">
        <v>393</v>
      </c>
      <c r="F2063" s="1" t="s">
        <v>34</v>
      </c>
      <c r="G2063" s="2" t="s">
        <v>1</v>
      </c>
      <c r="H2063" s="3" t="s">
        <v>100</v>
      </c>
      <c r="I2063" s="3" t="s">
        <v>92</v>
      </c>
      <c r="J2063" s="3" t="s">
        <v>61</v>
      </c>
      <c r="K2063" s="4">
        <v>2322.8119999999999</v>
      </c>
      <c r="L2063" s="6">
        <v>65.989999999999995</v>
      </c>
    </row>
    <row r="2064" spans="1:12" x14ac:dyDescent="0.25">
      <c r="A2064" s="1">
        <v>2063</v>
      </c>
      <c r="B2064" s="4">
        <v>14756</v>
      </c>
      <c r="C2064" s="5">
        <v>40056</v>
      </c>
      <c r="D2064" s="3" t="s">
        <v>82</v>
      </c>
      <c r="E2064" s="1" t="s">
        <v>589</v>
      </c>
      <c r="F2064" s="1" t="s">
        <v>16</v>
      </c>
      <c r="G2064" s="2" t="s">
        <v>3</v>
      </c>
      <c r="H2064" s="3" t="s">
        <v>88</v>
      </c>
      <c r="I2064" s="3" t="s">
        <v>91</v>
      </c>
      <c r="J2064" s="3" t="s">
        <v>59</v>
      </c>
      <c r="K2064" s="4">
        <v>42.3</v>
      </c>
      <c r="L2064" s="6">
        <v>19.23</v>
      </c>
    </row>
    <row r="2065" spans="1:12" x14ac:dyDescent="0.25">
      <c r="A2065" s="1">
        <v>2064</v>
      </c>
      <c r="B2065" s="4">
        <v>14784</v>
      </c>
      <c r="C2065" s="5">
        <v>40982</v>
      </c>
      <c r="D2065" s="3" t="s">
        <v>4</v>
      </c>
      <c r="E2065" s="1" t="s">
        <v>587</v>
      </c>
      <c r="F2065" s="1" t="s">
        <v>15</v>
      </c>
      <c r="G2065" s="2" t="s">
        <v>1</v>
      </c>
      <c r="H2065" s="3" t="s">
        <v>84</v>
      </c>
      <c r="I2065" s="3" t="s">
        <v>91</v>
      </c>
      <c r="J2065" s="3" t="s">
        <v>60</v>
      </c>
      <c r="K2065" s="4">
        <v>2009.05</v>
      </c>
      <c r="L2065" s="6">
        <v>44.43</v>
      </c>
    </row>
    <row r="2066" spans="1:12" x14ac:dyDescent="0.25">
      <c r="A2066" s="1">
        <v>2065</v>
      </c>
      <c r="B2066" s="4">
        <v>14785</v>
      </c>
      <c r="C2066" s="5">
        <v>40095</v>
      </c>
      <c r="D2066" s="3" t="s">
        <v>89</v>
      </c>
      <c r="E2066" s="1" t="s">
        <v>881</v>
      </c>
      <c r="F2066" s="1" t="s">
        <v>16</v>
      </c>
      <c r="G2066" s="2" t="s">
        <v>3</v>
      </c>
      <c r="H2066" s="3" t="s">
        <v>100</v>
      </c>
      <c r="I2066" s="3" t="s">
        <v>85</v>
      </c>
      <c r="J2066" s="3" t="s">
        <v>65</v>
      </c>
      <c r="K2066" s="4">
        <v>94.86</v>
      </c>
      <c r="L2066" s="6">
        <v>4.91</v>
      </c>
    </row>
    <row r="2067" spans="1:12" x14ac:dyDescent="0.25">
      <c r="A2067" s="1">
        <v>2066</v>
      </c>
      <c r="B2067" s="4">
        <v>14785</v>
      </c>
      <c r="C2067" s="5">
        <v>40095</v>
      </c>
      <c r="D2067" s="3" t="s">
        <v>89</v>
      </c>
      <c r="E2067" s="1" t="s">
        <v>881</v>
      </c>
      <c r="F2067" s="1" t="s">
        <v>16</v>
      </c>
      <c r="G2067" s="2" t="s">
        <v>3</v>
      </c>
      <c r="H2067" s="3" t="s">
        <v>100</v>
      </c>
      <c r="I2067" s="3" t="s">
        <v>85</v>
      </c>
      <c r="J2067" s="3" t="s">
        <v>63</v>
      </c>
      <c r="K2067" s="4">
        <v>744.12</v>
      </c>
      <c r="L2067" s="6">
        <v>28.15</v>
      </c>
    </row>
    <row r="2068" spans="1:12" x14ac:dyDescent="0.25">
      <c r="A2068" s="1">
        <v>2067</v>
      </c>
      <c r="B2068" s="4">
        <v>14789</v>
      </c>
      <c r="C2068" s="5">
        <v>40511</v>
      </c>
      <c r="D2068" s="3" t="s">
        <v>86</v>
      </c>
      <c r="E2068" s="1" t="s">
        <v>296</v>
      </c>
      <c r="F2068" s="1" t="s">
        <v>9</v>
      </c>
      <c r="G2068" s="2" t="s">
        <v>2</v>
      </c>
      <c r="H2068" s="3" t="s">
        <v>100</v>
      </c>
      <c r="I2068" s="3" t="s">
        <v>85</v>
      </c>
      <c r="J2068" s="3" t="s">
        <v>70</v>
      </c>
      <c r="K2068" s="4">
        <v>438.07</v>
      </c>
      <c r="L2068" s="6">
        <v>10.89</v>
      </c>
    </row>
    <row r="2069" spans="1:12" x14ac:dyDescent="0.25">
      <c r="A2069" s="1">
        <v>2068</v>
      </c>
      <c r="B2069" s="4">
        <v>14789</v>
      </c>
      <c r="C2069" s="5">
        <v>40511</v>
      </c>
      <c r="D2069" s="3" t="s">
        <v>86</v>
      </c>
      <c r="E2069" s="1" t="s">
        <v>296</v>
      </c>
      <c r="F2069" s="1" t="s">
        <v>9</v>
      </c>
      <c r="G2069" s="2" t="s">
        <v>2</v>
      </c>
      <c r="H2069" s="3" t="s">
        <v>100</v>
      </c>
      <c r="I2069" s="3" t="s">
        <v>85</v>
      </c>
      <c r="J2069" s="3" t="s">
        <v>71</v>
      </c>
      <c r="K2069" s="4">
        <v>116.37</v>
      </c>
      <c r="L2069" s="6">
        <v>5.58</v>
      </c>
    </row>
    <row r="2070" spans="1:12" x14ac:dyDescent="0.25">
      <c r="A2070" s="1">
        <v>2069</v>
      </c>
      <c r="B2070" s="4">
        <v>14791</v>
      </c>
      <c r="C2070" s="5">
        <v>40223</v>
      </c>
      <c r="D2070" s="3" t="s">
        <v>4</v>
      </c>
      <c r="E2070" s="1" t="s">
        <v>801</v>
      </c>
      <c r="F2070" s="1" t="s">
        <v>53</v>
      </c>
      <c r="G2070" s="2" t="s">
        <v>6</v>
      </c>
      <c r="H2070" s="3" t="s">
        <v>100</v>
      </c>
      <c r="I2070" s="3" t="s">
        <v>92</v>
      </c>
      <c r="J2070" s="3" t="s">
        <v>61</v>
      </c>
      <c r="K2070" s="4">
        <v>1576.223</v>
      </c>
      <c r="L2070" s="6">
        <v>65.989999999999995</v>
      </c>
    </row>
    <row r="2071" spans="1:12" x14ac:dyDescent="0.25">
      <c r="A2071" s="1">
        <v>2070</v>
      </c>
      <c r="B2071" s="4">
        <v>14819</v>
      </c>
      <c r="C2071" s="5">
        <v>40203</v>
      </c>
      <c r="D2071" s="3" t="s">
        <v>86</v>
      </c>
      <c r="E2071" s="1" t="s">
        <v>882</v>
      </c>
      <c r="F2071" s="1" t="s">
        <v>8</v>
      </c>
      <c r="G2071" s="2" t="s">
        <v>6</v>
      </c>
      <c r="H2071" s="3" t="s">
        <v>97</v>
      </c>
      <c r="I2071" s="3" t="s">
        <v>85</v>
      </c>
      <c r="J2071" s="3" t="s">
        <v>70</v>
      </c>
      <c r="K2071" s="4">
        <v>9062.73</v>
      </c>
      <c r="L2071" s="6">
        <v>207.48</v>
      </c>
    </row>
    <row r="2072" spans="1:12" x14ac:dyDescent="0.25">
      <c r="A2072" s="1">
        <v>2071</v>
      </c>
      <c r="B2072" s="4">
        <v>14819</v>
      </c>
      <c r="C2072" s="5">
        <v>40203</v>
      </c>
      <c r="D2072" s="3" t="s">
        <v>86</v>
      </c>
      <c r="E2072" s="1" t="s">
        <v>882</v>
      </c>
      <c r="F2072" s="1" t="s">
        <v>8</v>
      </c>
      <c r="G2072" s="2" t="s">
        <v>6</v>
      </c>
      <c r="H2072" s="3" t="s">
        <v>97</v>
      </c>
      <c r="I2072" s="3" t="s">
        <v>91</v>
      </c>
      <c r="J2072" s="3" t="s">
        <v>68</v>
      </c>
      <c r="K2072" s="4">
        <v>1584.1</v>
      </c>
      <c r="L2072" s="6">
        <v>58.14</v>
      </c>
    </row>
    <row r="2073" spans="1:12" x14ac:dyDescent="0.25">
      <c r="A2073" s="1">
        <v>2072</v>
      </c>
      <c r="B2073" s="4">
        <v>14820</v>
      </c>
      <c r="C2073" s="5">
        <v>40917</v>
      </c>
      <c r="D2073" s="3" t="s">
        <v>89</v>
      </c>
      <c r="E2073" s="1" t="s">
        <v>499</v>
      </c>
      <c r="F2073" s="1" t="s">
        <v>22</v>
      </c>
      <c r="G2073" s="2" t="s">
        <v>6</v>
      </c>
      <c r="H2073" s="3" t="s">
        <v>97</v>
      </c>
      <c r="I2073" s="3" t="s">
        <v>92</v>
      </c>
      <c r="J2073" s="3" t="s">
        <v>61</v>
      </c>
      <c r="K2073" s="4">
        <v>278.90199999999999</v>
      </c>
      <c r="L2073" s="6">
        <v>7.99</v>
      </c>
    </row>
    <row r="2074" spans="1:12" x14ac:dyDescent="0.25">
      <c r="A2074" s="1">
        <v>2073</v>
      </c>
      <c r="B2074" s="4">
        <v>14823</v>
      </c>
      <c r="C2074" s="5">
        <v>39856</v>
      </c>
      <c r="D2074" s="3" t="s">
        <v>82</v>
      </c>
      <c r="E2074" s="1" t="s">
        <v>883</v>
      </c>
      <c r="F2074" s="1" t="s">
        <v>13</v>
      </c>
      <c r="G2074" s="2" t="s">
        <v>6</v>
      </c>
      <c r="H2074" s="3" t="s">
        <v>84</v>
      </c>
      <c r="I2074" s="3" t="s">
        <v>85</v>
      </c>
      <c r="J2074" s="3" t="s">
        <v>65</v>
      </c>
      <c r="K2074" s="4">
        <v>103.62</v>
      </c>
      <c r="L2074" s="6">
        <v>7.31</v>
      </c>
    </row>
    <row r="2075" spans="1:12" x14ac:dyDescent="0.25">
      <c r="A2075" s="1">
        <v>2074</v>
      </c>
      <c r="B2075" s="4">
        <v>14823</v>
      </c>
      <c r="C2075" s="5">
        <v>39856</v>
      </c>
      <c r="D2075" s="3" t="s">
        <v>82</v>
      </c>
      <c r="E2075" s="1" t="s">
        <v>883</v>
      </c>
      <c r="F2075" s="1" t="s">
        <v>13</v>
      </c>
      <c r="G2075" s="2" t="s">
        <v>6</v>
      </c>
      <c r="H2075" s="3" t="s">
        <v>84</v>
      </c>
      <c r="I2075" s="3" t="s">
        <v>85</v>
      </c>
      <c r="J2075" s="3" t="s">
        <v>63</v>
      </c>
      <c r="K2075" s="4">
        <v>124.84</v>
      </c>
      <c r="L2075" s="6">
        <v>6.7</v>
      </c>
    </row>
    <row r="2076" spans="1:12" x14ac:dyDescent="0.25">
      <c r="A2076" s="1">
        <v>2075</v>
      </c>
      <c r="B2076" s="4">
        <v>14851</v>
      </c>
      <c r="C2076" s="5">
        <v>41040</v>
      </c>
      <c r="D2076" s="3" t="s">
        <v>86</v>
      </c>
      <c r="E2076" s="1" t="s">
        <v>601</v>
      </c>
      <c r="F2076" s="1" t="s">
        <v>24</v>
      </c>
      <c r="G2076" s="2" t="s">
        <v>2</v>
      </c>
      <c r="H2076" s="3" t="s">
        <v>88</v>
      </c>
      <c r="I2076" s="3" t="s">
        <v>92</v>
      </c>
      <c r="J2076" s="3" t="s">
        <v>73</v>
      </c>
      <c r="K2076" s="4">
        <v>3378.18</v>
      </c>
      <c r="L2076" s="6">
        <v>599.99</v>
      </c>
    </row>
    <row r="2077" spans="1:12" x14ac:dyDescent="0.25">
      <c r="A2077" s="1">
        <v>2076</v>
      </c>
      <c r="B2077" s="4">
        <v>14851</v>
      </c>
      <c r="C2077" s="5">
        <v>41040</v>
      </c>
      <c r="D2077" s="3" t="s">
        <v>86</v>
      </c>
      <c r="E2077" s="1" t="s">
        <v>601</v>
      </c>
      <c r="F2077" s="1" t="s">
        <v>24</v>
      </c>
      <c r="G2077" s="2" t="s">
        <v>2</v>
      </c>
      <c r="H2077" s="3" t="s">
        <v>88</v>
      </c>
      <c r="I2077" s="3" t="s">
        <v>92</v>
      </c>
      <c r="J2077" s="3" t="s">
        <v>61</v>
      </c>
      <c r="K2077" s="4">
        <v>1443.2660000000001</v>
      </c>
      <c r="L2077" s="6">
        <v>65.989999999999995</v>
      </c>
    </row>
    <row r="2078" spans="1:12" x14ac:dyDescent="0.25">
      <c r="A2078" s="1">
        <v>2077</v>
      </c>
      <c r="B2078" s="4">
        <v>14852</v>
      </c>
      <c r="C2078" s="5">
        <v>40901</v>
      </c>
      <c r="D2078" s="3" t="s">
        <v>4</v>
      </c>
      <c r="E2078" s="1" t="s">
        <v>500</v>
      </c>
      <c r="F2078" s="1" t="s">
        <v>28</v>
      </c>
      <c r="G2078" s="2" t="s">
        <v>6</v>
      </c>
      <c r="H2078" s="3" t="s">
        <v>100</v>
      </c>
      <c r="I2078" s="3" t="s">
        <v>85</v>
      </c>
      <c r="J2078" s="3" t="s">
        <v>69</v>
      </c>
      <c r="K2078" s="4">
        <v>3800.4</v>
      </c>
      <c r="L2078" s="6">
        <v>420.98</v>
      </c>
    </row>
    <row r="2079" spans="1:12" x14ac:dyDescent="0.25">
      <c r="A2079" s="1">
        <v>2078</v>
      </c>
      <c r="B2079" s="4">
        <v>14854</v>
      </c>
      <c r="C2079" s="5">
        <v>40296</v>
      </c>
      <c r="D2079" s="3" t="s">
        <v>82</v>
      </c>
      <c r="E2079" s="1" t="s">
        <v>884</v>
      </c>
      <c r="F2079" s="1" t="s">
        <v>34</v>
      </c>
      <c r="G2079" s="2" t="s">
        <v>1</v>
      </c>
      <c r="H2079" s="3" t="s">
        <v>88</v>
      </c>
      <c r="I2079" s="3" t="s">
        <v>85</v>
      </c>
      <c r="J2079" s="3" t="s">
        <v>57</v>
      </c>
      <c r="K2079" s="4">
        <v>391.23</v>
      </c>
      <c r="L2079" s="6">
        <v>16.91</v>
      </c>
    </row>
    <row r="2080" spans="1:12" x14ac:dyDescent="0.25">
      <c r="A2080" s="1">
        <v>2079</v>
      </c>
      <c r="B2080" s="4">
        <v>14855</v>
      </c>
      <c r="C2080" s="5">
        <v>40298</v>
      </c>
      <c r="D2080" s="3" t="s">
        <v>86</v>
      </c>
      <c r="E2080" s="1" t="s">
        <v>885</v>
      </c>
      <c r="F2080" s="1" t="s">
        <v>16</v>
      </c>
      <c r="G2080" s="2" t="s">
        <v>3</v>
      </c>
      <c r="H2080" s="3" t="s">
        <v>88</v>
      </c>
      <c r="I2080" s="3" t="s">
        <v>85</v>
      </c>
      <c r="J2080" s="3" t="s">
        <v>69</v>
      </c>
      <c r="K2080" s="4">
        <v>174.9</v>
      </c>
      <c r="L2080" s="6">
        <v>3.58</v>
      </c>
    </row>
    <row r="2081" spans="1:12" x14ac:dyDescent="0.25">
      <c r="A2081" s="1">
        <v>2080</v>
      </c>
      <c r="B2081" s="4">
        <v>14855</v>
      </c>
      <c r="C2081" s="5">
        <v>40298</v>
      </c>
      <c r="D2081" s="3" t="s">
        <v>86</v>
      </c>
      <c r="E2081" s="1" t="s">
        <v>885</v>
      </c>
      <c r="F2081" s="1" t="s">
        <v>16</v>
      </c>
      <c r="G2081" s="2" t="s">
        <v>3</v>
      </c>
      <c r="H2081" s="3" t="s">
        <v>88</v>
      </c>
      <c r="I2081" s="3" t="s">
        <v>91</v>
      </c>
      <c r="J2081" s="3" t="s">
        <v>59</v>
      </c>
      <c r="K2081" s="4">
        <v>103.8</v>
      </c>
      <c r="L2081" s="6">
        <v>2.23</v>
      </c>
    </row>
    <row r="2082" spans="1:12" x14ac:dyDescent="0.25">
      <c r="A2082" s="1">
        <v>2081</v>
      </c>
      <c r="B2082" s="4">
        <v>14855</v>
      </c>
      <c r="C2082" s="5">
        <v>40298</v>
      </c>
      <c r="D2082" s="3" t="s">
        <v>86</v>
      </c>
      <c r="E2082" s="1" t="s">
        <v>885</v>
      </c>
      <c r="F2082" s="1" t="s">
        <v>16</v>
      </c>
      <c r="G2082" s="2" t="s">
        <v>3</v>
      </c>
      <c r="H2082" s="3" t="s">
        <v>88</v>
      </c>
      <c r="I2082" s="3" t="s">
        <v>91</v>
      </c>
      <c r="J2082" s="3" t="s">
        <v>60</v>
      </c>
      <c r="K2082" s="4">
        <v>2557.5100000000002</v>
      </c>
      <c r="L2082" s="6">
        <v>124.49</v>
      </c>
    </row>
    <row r="2083" spans="1:12" x14ac:dyDescent="0.25">
      <c r="A2083" s="1">
        <v>2082</v>
      </c>
      <c r="B2083" s="4">
        <v>14883</v>
      </c>
      <c r="C2083" s="5">
        <v>40669</v>
      </c>
      <c r="D2083" s="3" t="s">
        <v>82</v>
      </c>
      <c r="E2083" s="1" t="s">
        <v>886</v>
      </c>
      <c r="F2083" s="1" t="s">
        <v>47</v>
      </c>
      <c r="G2083" s="2" t="s">
        <v>2</v>
      </c>
      <c r="H2083" s="3" t="s">
        <v>88</v>
      </c>
      <c r="I2083" s="3" t="s">
        <v>91</v>
      </c>
      <c r="J2083" s="3" t="s">
        <v>72</v>
      </c>
      <c r="K2083" s="4">
        <v>978.4</v>
      </c>
      <c r="L2083" s="6">
        <v>25.98</v>
      </c>
    </row>
    <row r="2084" spans="1:12" x14ac:dyDescent="0.25">
      <c r="A2084" s="1">
        <v>2083</v>
      </c>
      <c r="B2084" s="4">
        <v>14883</v>
      </c>
      <c r="C2084" s="5">
        <v>40669</v>
      </c>
      <c r="D2084" s="3" t="s">
        <v>82</v>
      </c>
      <c r="E2084" s="1" t="s">
        <v>886</v>
      </c>
      <c r="F2084" s="1" t="s">
        <v>47</v>
      </c>
      <c r="G2084" s="2" t="s">
        <v>2</v>
      </c>
      <c r="H2084" s="3" t="s">
        <v>88</v>
      </c>
      <c r="I2084" s="3" t="s">
        <v>92</v>
      </c>
      <c r="J2084" s="3" t="s">
        <v>61</v>
      </c>
      <c r="K2084" s="4">
        <v>5126.4179999999997</v>
      </c>
      <c r="L2084" s="6">
        <v>125.99</v>
      </c>
    </row>
    <row r="2085" spans="1:12" x14ac:dyDescent="0.25">
      <c r="A2085" s="1">
        <v>2084</v>
      </c>
      <c r="B2085" s="4">
        <v>14884</v>
      </c>
      <c r="C2085" s="5">
        <v>40813</v>
      </c>
      <c r="D2085" s="3" t="s">
        <v>89</v>
      </c>
      <c r="E2085" s="1" t="s">
        <v>323</v>
      </c>
      <c r="F2085" s="1" t="s">
        <v>23</v>
      </c>
      <c r="G2085" s="2" t="s">
        <v>3</v>
      </c>
      <c r="H2085" s="3" t="s">
        <v>88</v>
      </c>
      <c r="I2085" s="3" t="s">
        <v>92</v>
      </c>
      <c r="J2085" s="3" t="s">
        <v>61</v>
      </c>
      <c r="K2085" s="4">
        <v>473.9855</v>
      </c>
      <c r="L2085" s="6">
        <v>95.99</v>
      </c>
    </row>
    <row r="2086" spans="1:12" x14ac:dyDescent="0.25">
      <c r="A2086" s="1">
        <v>2085</v>
      </c>
      <c r="B2086" s="4">
        <v>14913</v>
      </c>
      <c r="C2086" s="5">
        <v>39858</v>
      </c>
      <c r="D2086" s="3" t="s">
        <v>89</v>
      </c>
      <c r="E2086" s="1" t="s">
        <v>157</v>
      </c>
      <c r="F2086" s="1" t="s">
        <v>10</v>
      </c>
      <c r="G2086" s="2" t="s">
        <v>3</v>
      </c>
      <c r="H2086" s="3" t="s">
        <v>100</v>
      </c>
      <c r="I2086" s="3" t="s">
        <v>85</v>
      </c>
      <c r="J2086" s="3" t="s">
        <v>66</v>
      </c>
      <c r="K2086" s="4">
        <v>1003.43</v>
      </c>
      <c r="L2086" s="6">
        <v>19.98</v>
      </c>
    </row>
    <row r="2087" spans="1:12" x14ac:dyDescent="0.25">
      <c r="A2087" s="1">
        <v>2086</v>
      </c>
      <c r="B2087" s="4">
        <v>14916</v>
      </c>
      <c r="C2087" s="5">
        <v>39871</v>
      </c>
      <c r="D2087" s="3" t="s">
        <v>82</v>
      </c>
      <c r="E2087" s="1" t="s">
        <v>139</v>
      </c>
      <c r="F2087" s="1" t="s">
        <v>33</v>
      </c>
      <c r="G2087" s="2" t="s">
        <v>2</v>
      </c>
      <c r="H2087" s="3" t="s">
        <v>88</v>
      </c>
      <c r="I2087" s="3" t="s">
        <v>92</v>
      </c>
      <c r="J2087" s="3" t="s">
        <v>61</v>
      </c>
      <c r="K2087" s="4">
        <v>1685.941</v>
      </c>
      <c r="L2087" s="6">
        <v>125.99</v>
      </c>
    </row>
    <row r="2088" spans="1:12" x14ac:dyDescent="0.25">
      <c r="A2088" s="1">
        <v>2087</v>
      </c>
      <c r="B2088" s="4">
        <v>14948</v>
      </c>
      <c r="C2088" s="5">
        <v>40691</v>
      </c>
      <c r="D2088" s="3" t="s">
        <v>4</v>
      </c>
      <c r="E2088" s="1" t="s">
        <v>887</v>
      </c>
      <c r="F2088" s="1" t="s">
        <v>30</v>
      </c>
      <c r="G2088" s="2" t="s">
        <v>6</v>
      </c>
      <c r="H2088" s="3" t="s">
        <v>84</v>
      </c>
      <c r="I2088" s="3" t="s">
        <v>91</v>
      </c>
      <c r="J2088" s="3" t="s">
        <v>68</v>
      </c>
      <c r="K2088" s="4">
        <v>647.78</v>
      </c>
      <c r="L2088" s="6">
        <v>100.98</v>
      </c>
    </row>
    <row r="2089" spans="1:12" x14ac:dyDescent="0.25">
      <c r="A2089" s="1">
        <v>2088</v>
      </c>
      <c r="B2089" s="4">
        <v>14950</v>
      </c>
      <c r="C2089" s="5">
        <v>40447</v>
      </c>
      <c r="D2089" s="3" t="s">
        <v>82</v>
      </c>
      <c r="E2089" s="1" t="s">
        <v>888</v>
      </c>
      <c r="F2089" s="1" t="s">
        <v>24</v>
      </c>
      <c r="G2089" s="2" t="s">
        <v>2</v>
      </c>
      <c r="H2089" s="3" t="s">
        <v>84</v>
      </c>
      <c r="I2089" s="3" t="s">
        <v>85</v>
      </c>
      <c r="J2089" s="3" t="s">
        <v>63</v>
      </c>
      <c r="K2089" s="4">
        <v>525</v>
      </c>
      <c r="L2089" s="6">
        <v>10.48</v>
      </c>
    </row>
    <row r="2090" spans="1:12" x14ac:dyDescent="0.25">
      <c r="A2090" s="1">
        <v>2089</v>
      </c>
      <c r="B2090" s="4">
        <v>14951</v>
      </c>
      <c r="C2090" s="5">
        <v>40680</v>
      </c>
      <c r="D2090" s="3" t="s">
        <v>4</v>
      </c>
      <c r="E2090" s="1" t="s">
        <v>411</v>
      </c>
      <c r="F2090" s="1" t="s">
        <v>10</v>
      </c>
      <c r="G2090" s="2" t="s">
        <v>3</v>
      </c>
      <c r="H2090" s="3" t="s">
        <v>97</v>
      </c>
      <c r="I2090" s="3" t="s">
        <v>92</v>
      </c>
      <c r="J2090" s="3" t="s">
        <v>62</v>
      </c>
      <c r="K2090" s="4">
        <v>2779.2</v>
      </c>
      <c r="L2090" s="6">
        <v>80.98</v>
      </c>
    </row>
    <row r="2091" spans="1:12" x14ac:dyDescent="0.25">
      <c r="A2091" s="1">
        <v>2090</v>
      </c>
      <c r="B2091" s="4">
        <v>14951</v>
      </c>
      <c r="C2091" s="5">
        <v>40680</v>
      </c>
      <c r="D2091" s="3" t="s">
        <v>4</v>
      </c>
      <c r="E2091" s="1" t="s">
        <v>411</v>
      </c>
      <c r="F2091" s="1" t="s">
        <v>10</v>
      </c>
      <c r="G2091" s="2" t="s">
        <v>3</v>
      </c>
      <c r="H2091" s="3" t="s">
        <v>97</v>
      </c>
      <c r="I2091" s="3" t="s">
        <v>85</v>
      </c>
      <c r="J2091" s="3" t="s">
        <v>63</v>
      </c>
      <c r="K2091" s="4">
        <v>65.209999999999994</v>
      </c>
      <c r="L2091" s="6">
        <v>2.6</v>
      </c>
    </row>
    <row r="2092" spans="1:12" x14ac:dyDescent="0.25">
      <c r="A2092" s="1">
        <v>2091</v>
      </c>
      <c r="B2092" s="4">
        <v>14976</v>
      </c>
      <c r="C2092" s="5">
        <v>40746</v>
      </c>
      <c r="D2092" s="3" t="s">
        <v>89</v>
      </c>
      <c r="E2092" s="1" t="s">
        <v>661</v>
      </c>
      <c r="F2092" s="1" t="s">
        <v>44</v>
      </c>
      <c r="G2092" s="2" t="s">
        <v>3</v>
      </c>
      <c r="H2092" s="3" t="s">
        <v>88</v>
      </c>
      <c r="I2092" s="3" t="s">
        <v>85</v>
      </c>
      <c r="J2092" s="3" t="s">
        <v>66</v>
      </c>
      <c r="K2092" s="4">
        <v>231.35</v>
      </c>
      <c r="L2092" s="6">
        <v>4.9800000000000004</v>
      </c>
    </row>
    <row r="2093" spans="1:12" x14ac:dyDescent="0.25">
      <c r="A2093" s="1">
        <v>2092</v>
      </c>
      <c r="B2093" s="4">
        <v>14978</v>
      </c>
      <c r="C2093" s="5">
        <v>40325</v>
      </c>
      <c r="D2093" s="3" t="s">
        <v>95</v>
      </c>
      <c r="E2093" s="1" t="s">
        <v>484</v>
      </c>
      <c r="F2093" s="1" t="s">
        <v>26</v>
      </c>
      <c r="G2093" s="2" t="s">
        <v>3</v>
      </c>
      <c r="H2093" s="3" t="s">
        <v>88</v>
      </c>
      <c r="I2093" s="3" t="s">
        <v>91</v>
      </c>
      <c r="J2093" s="3" t="s">
        <v>68</v>
      </c>
      <c r="K2093" s="4">
        <v>12043.88</v>
      </c>
      <c r="L2093" s="6">
        <v>880.98</v>
      </c>
    </row>
    <row r="2094" spans="1:12" x14ac:dyDescent="0.25">
      <c r="A2094" s="1">
        <v>2093</v>
      </c>
      <c r="B2094" s="4">
        <v>14978</v>
      </c>
      <c r="C2094" s="5">
        <v>40325</v>
      </c>
      <c r="D2094" s="3" t="s">
        <v>95</v>
      </c>
      <c r="E2094" s="1" t="s">
        <v>484</v>
      </c>
      <c r="F2094" s="1" t="s">
        <v>26</v>
      </c>
      <c r="G2094" s="2" t="s">
        <v>3</v>
      </c>
      <c r="H2094" s="3" t="s">
        <v>88</v>
      </c>
      <c r="I2094" s="3" t="s">
        <v>85</v>
      </c>
      <c r="J2094" s="3" t="s">
        <v>57</v>
      </c>
      <c r="K2094" s="4">
        <v>195.12</v>
      </c>
      <c r="L2094" s="6">
        <v>13.48</v>
      </c>
    </row>
    <row r="2095" spans="1:12" x14ac:dyDescent="0.25">
      <c r="A2095" s="1">
        <v>2094</v>
      </c>
      <c r="B2095" s="4">
        <v>14980</v>
      </c>
      <c r="C2095" s="5">
        <v>41104</v>
      </c>
      <c r="D2095" s="3" t="s">
        <v>95</v>
      </c>
      <c r="E2095" s="1" t="s">
        <v>300</v>
      </c>
      <c r="F2095" s="1" t="s">
        <v>44</v>
      </c>
      <c r="G2095" s="2" t="s">
        <v>3</v>
      </c>
      <c r="H2095" s="3" t="s">
        <v>100</v>
      </c>
      <c r="I2095" s="3" t="s">
        <v>92</v>
      </c>
      <c r="J2095" s="3" t="s">
        <v>62</v>
      </c>
      <c r="K2095" s="4">
        <v>898.9</v>
      </c>
      <c r="L2095" s="6">
        <v>31.78</v>
      </c>
    </row>
    <row r="2096" spans="1:12" x14ac:dyDescent="0.25">
      <c r="A2096" s="1">
        <v>2095</v>
      </c>
      <c r="B2096" s="4">
        <v>14981</v>
      </c>
      <c r="C2096" s="5">
        <v>40477</v>
      </c>
      <c r="D2096" s="3" t="s">
        <v>4</v>
      </c>
      <c r="E2096" s="1" t="s">
        <v>852</v>
      </c>
      <c r="F2096" s="1" t="s">
        <v>24</v>
      </c>
      <c r="G2096" s="2" t="s">
        <v>2</v>
      </c>
      <c r="H2096" s="3" t="s">
        <v>97</v>
      </c>
      <c r="I2096" s="3" t="s">
        <v>85</v>
      </c>
      <c r="J2096" s="3" t="s">
        <v>57</v>
      </c>
      <c r="K2096" s="4">
        <v>279.77</v>
      </c>
      <c r="L2096" s="6">
        <v>34.76</v>
      </c>
    </row>
    <row r="2097" spans="1:12" x14ac:dyDescent="0.25">
      <c r="A2097" s="1">
        <v>2096</v>
      </c>
      <c r="B2097" s="4">
        <v>14981</v>
      </c>
      <c r="C2097" s="5">
        <v>40477</v>
      </c>
      <c r="D2097" s="3" t="s">
        <v>4</v>
      </c>
      <c r="E2097" s="1" t="s">
        <v>852</v>
      </c>
      <c r="F2097" s="1" t="s">
        <v>24</v>
      </c>
      <c r="G2097" s="2" t="s">
        <v>2</v>
      </c>
      <c r="H2097" s="3" t="s">
        <v>97</v>
      </c>
      <c r="I2097" s="3" t="s">
        <v>91</v>
      </c>
      <c r="J2097" s="3" t="s">
        <v>60</v>
      </c>
      <c r="K2097" s="4">
        <v>154.21</v>
      </c>
      <c r="L2097" s="6">
        <v>15.23</v>
      </c>
    </row>
    <row r="2098" spans="1:12" x14ac:dyDescent="0.25">
      <c r="A2098" s="1">
        <v>2097</v>
      </c>
      <c r="B2098" s="4">
        <v>14983</v>
      </c>
      <c r="C2098" s="5">
        <v>39855</v>
      </c>
      <c r="D2098" s="3" t="s">
        <v>89</v>
      </c>
      <c r="E2098" s="1" t="s">
        <v>255</v>
      </c>
      <c r="F2098" s="1" t="s">
        <v>10</v>
      </c>
      <c r="G2098" s="2" t="s">
        <v>3</v>
      </c>
      <c r="H2098" s="3" t="s">
        <v>100</v>
      </c>
      <c r="I2098" s="3" t="s">
        <v>92</v>
      </c>
      <c r="J2098" s="3" t="s">
        <v>61</v>
      </c>
      <c r="K2098" s="4">
        <v>8475.9619999999995</v>
      </c>
      <c r="L2098" s="6">
        <v>205.99</v>
      </c>
    </row>
    <row r="2099" spans="1:12" x14ac:dyDescent="0.25">
      <c r="A2099" s="1">
        <v>2098</v>
      </c>
      <c r="B2099" s="4">
        <v>14983</v>
      </c>
      <c r="C2099" s="5">
        <v>39855</v>
      </c>
      <c r="D2099" s="3" t="s">
        <v>89</v>
      </c>
      <c r="E2099" s="1" t="s">
        <v>255</v>
      </c>
      <c r="F2099" s="1" t="s">
        <v>10</v>
      </c>
      <c r="G2099" s="2" t="s">
        <v>3</v>
      </c>
      <c r="H2099" s="3" t="s">
        <v>100</v>
      </c>
      <c r="I2099" s="3" t="s">
        <v>92</v>
      </c>
      <c r="J2099" s="3" t="s">
        <v>61</v>
      </c>
      <c r="K2099" s="4">
        <v>3015.4939999999997</v>
      </c>
      <c r="L2099" s="6">
        <v>205.99</v>
      </c>
    </row>
    <row r="2100" spans="1:12" x14ac:dyDescent="0.25">
      <c r="A2100" s="1">
        <v>2099</v>
      </c>
      <c r="B2100" s="4">
        <v>15009</v>
      </c>
      <c r="C2100" s="5">
        <v>40898</v>
      </c>
      <c r="D2100" s="3" t="s">
        <v>86</v>
      </c>
      <c r="E2100" s="1" t="s">
        <v>859</v>
      </c>
      <c r="F2100" s="1" t="s">
        <v>20</v>
      </c>
      <c r="G2100" s="2" t="s">
        <v>1</v>
      </c>
      <c r="H2100" s="3" t="s">
        <v>84</v>
      </c>
      <c r="I2100" s="3" t="s">
        <v>85</v>
      </c>
      <c r="J2100" s="3" t="s">
        <v>63</v>
      </c>
      <c r="K2100" s="4">
        <v>1200.1300000000001</v>
      </c>
      <c r="L2100" s="6">
        <v>28.15</v>
      </c>
    </row>
    <row r="2101" spans="1:12" x14ac:dyDescent="0.25">
      <c r="A2101" s="1">
        <v>2100</v>
      </c>
      <c r="B2101" s="4">
        <v>15009</v>
      </c>
      <c r="C2101" s="5">
        <v>40898</v>
      </c>
      <c r="D2101" s="3" t="s">
        <v>86</v>
      </c>
      <c r="E2101" s="1" t="s">
        <v>889</v>
      </c>
      <c r="F2101" s="1" t="s">
        <v>39</v>
      </c>
      <c r="G2101" s="2" t="s">
        <v>1</v>
      </c>
      <c r="H2101" s="3" t="s">
        <v>84</v>
      </c>
      <c r="I2101" s="3" t="s">
        <v>85</v>
      </c>
      <c r="J2101" s="3" t="s">
        <v>71</v>
      </c>
      <c r="K2101" s="4">
        <v>229.43</v>
      </c>
      <c r="L2101" s="6">
        <v>7.78</v>
      </c>
    </row>
    <row r="2102" spans="1:12" x14ac:dyDescent="0.25">
      <c r="A2102" s="1">
        <v>2101</v>
      </c>
      <c r="B2102" s="4">
        <v>15014</v>
      </c>
      <c r="C2102" s="5">
        <v>40219</v>
      </c>
      <c r="D2102" s="3" t="s">
        <v>4</v>
      </c>
      <c r="E2102" s="1" t="s">
        <v>862</v>
      </c>
      <c r="F2102" s="1" t="s">
        <v>13</v>
      </c>
      <c r="G2102" s="2" t="s">
        <v>6</v>
      </c>
      <c r="H2102" s="3" t="s">
        <v>88</v>
      </c>
      <c r="I2102" s="3" t="s">
        <v>91</v>
      </c>
      <c r="J2102" s="3" t="s">
        <v>68</v>
      </c>
      <c r="K2102" s="4">
        <v>633.13</v>
      </c>
      <c r="L2102" s="6">
        <v>58.14</v>
      </c>
    </row>
    <row r="2103" spans="1:12" x14ac:dyDescent="0.25">
      <c r="A2103" s="1">
        <v>2102</v>
      </c>
      <c r="B2103" s="4">
        <v>15015</v>
      </c>
      <c r="C2103" s="5">
        <v>40507</v>
      </c>
      <c r="D2103" s="3" t="s">
        <v>89</v>
      </c>
      <c r="E2103" s="1" t="s">
        <v>702</v>
      </c>
      <c r="F2103" s="1" t="s">
        <v>14</v>
      </c>
      <c r="G2103" s="2" t="s">
        <v>2</v>
      </c>
      <c r="H2103" s="3" t="s">
        <v>84</v>
      </c>
      <c r="I2103" s="3" t="s">
        <v>91</v>
      </c>
      <c r="J2103" s="3" t="s">
        <v>59</v>
      </c>
      <c r="K2103" s="4">
        <v>306.77</v>
      </c>
      <c r="L2103" s="6">
        <v>6.24</v>
      </c>
    </row>
    <row r="2104" spans="1:12" x14ac:dyDescent="0.25">
      <c r="A2104" s="1">
        <v>2103</v>
      </c>
      <c r="B2104" s="4">
        <v>15040</v>
      </c>
      <c r="C2104" s="5">
        <v>40151</v>
      </c>
      <c r="D2104" s="3" t="s">
        <v>82</v>
      </c>
      <c r="E2104" s="1" t="s">
        <v>495</v>
      </c>
      <c r="F2104" s="1" t="s">
        <v>52</v>
      </c>
      <c r="G2104" s="2" t="s">
        <v>3</v>
      </c>
      <c r="H2104" s="3" t="s">
        <v>100</v>
      </c>
      <c r="I2104" s="3" t="s">
        <v>85</v>
      </c>
      <c r="J2104" s="3" t="s">
        <v>66</v>
      </c>
      <c r="K2104" s="4">
        <v>410.35</v>
      </c>
      <c r="L2104" s="6">
        <v>9.11</v>
      </c>
    </row>
    <row r="2105" spans="1:12" x14ac:dyDescent="0.25">
      <c r="A2105" s="1">
        <v>2104</v>
      </c>
      <c r="B2105" s="4">
        <v>15044</v>
      </c>
      <c r="C2105" s="5">
        <v>40974</v>
      </c>
      <c r="D2105" s="3" t="s">
        <v>82</v>
      </c>
      <c r="E2105" s="1" t="s">
        <v>452</v>
      </c>
      <c r="F2105" s="1" t="s">
        <v>38</v>
      </c>
      <c r="G2105" s="2" t="s">
        <v>6</v>
      </c>
      <c r="H2105" s="3" t="s">
        <v>88</v>
      </c>
      <c r="I2105" s="3" t="s">
        <v>92</v>
      </c>
      <c r="J2105" s="3" t="s">
        <v>62</v>
      </c>
      <c r="K2105" s="4">
        <v>1681.6</v>
      </c>
      <c r="L2105" s="6">
        <v>39.99</v>
      </c>
    </row>
    <row r="2106" spans="1:12" x14ac:dyDescent="0.25">
      <c r="A2106" s="1">
        <v>2105</v>
      </c>
      <c r="B2106" s="4">
        <v>15045</v>
      </c>
      <c r="C2106" s="5">
        <v>40410</v>
      </c>
      <c r="D2106" s="3" t="s">
        <v>86</v>
      </c>
      <c r="E2106" s="1" t="s">
        <v>636</v>
      </c>
      <c r="F2106" s="1" t="s">
        <v>16</v>
      </c>
      <c r="G2106" s="2" t="s">
        <v>3</v>
      </c>
      <c r="H2106" s="3" t="s">
        <v>84</v>
      </c>
      <c r="I2106" s="3" t="s">
        <v>91</v>
      </c>
      <c r="J2106" s="3" t="s">
        <v>72</v>
      </c>
      <c r="K2106" s="4">
        <v>1378.72</v>
      </c>
      <c r="L2106" s="6">
        <v>122.99</v>
      </c>
    </row>
    <row r="2107" spans="1:12" x14ac:dyDescent="0.25">
      <c r="A2107" s="1">
        <v>2106</v>
      </c>
      <c r="B2107" s="4">
        <v>15074</v>
      </c>
      <c r="C2107" s="5">
        <v>40145</v>
      </c>
      <c r="D2107" s="3" t="s">
        <v>86</v>
      </c>
      <c r="E2107" s="1" t="s">
        <v>354</v>
      </c>
      <c r="F2107" s="1" t="s">
        <v>32</v>
      </c>
      <c r="G2107" s="2" t="s">
        <v>2</v>
      </c>
      <c r="H2107" s="3" t="s">
        <v>100</v>
      </c>
      <c r="I2107" s="3" t="s">
        <v>85</v>
      </c>
      <c r="J2107" s="3" t="s">
        <v>66</v>
      </c>
      <c r="K2107" s="4">
        <v>941.4</v>
      </c>
      <c r="L2107" s="6">
        <v>35.44</v>
      </c>
    </row>
    <row r="2108" spans="1:12" x14ac:dyDescent="0.25">
      <c r="A2108" s="1">
        <v>2107</v>
      </c>
      <c r="B2108" s="4">
        <v>15075</v>
      </c>
      <c r="C2108" s="5">
        <v>40090</v>
      </c>
      <c r="D2108" s="3" t="s">
        <v>4</v>
      </c>
      <c r="E2108" s="1" t="s">
        <v>890</v>
      </c>
      <c r="F2108" s="1" t="s">
        <v>23</v>
      </c>
      <c r="G2108" s="2" t="s">
        <v>3</v>
      </c>
      <c r="H2108" s="3" t="s">
        <v>100</v>
      </c>
      <c r="I2108" s="3" t="s">
        <v>91</v>
      </c>
      <c r="J2108" s="3" t="s">
        <v>59</v>
      </c>
      <c r="K2108" s="4">
        <v>1548.43</v>
      </c>
      <c r="L2108" s="6">
        <v>63.94</v>
      </c>
    </row>
    <row r="2109" spans="1:12" x14ac:dyDescent="0.25">
      <c r="A2109" s="1">
        <v>2108</v>
      </c>
      <c r="B2109" s="4">
        <v>15075</v>
      </c>
      <c r="C2109" s="5">
        <v>40090</v>
      </c>
      <c r="D2109" s="3" t="s">
        <v>4</v>
      </c>
      <c r="E2109" s="1" t="s">
        <v>891</v>
      </c>
      <c r="F2109" s="1" t="s">
        <v>23</v>
      </c>
      <c r="G2109" s="2" t="s">
        <v>3</v>
      </c>
      <c r="H2109" s="3" t="s">
        <v>100</v>
      </c>
      <c r="I2109" s="3" t="s">
        <v>92</v>
      </c>
      <c r="J2109" s="3" t="s">
        <v>62</v>
      </c>
      <c r="K2109" s="4">
        <v>54.84</v>
      </c>
      <c r="L2109" s="6">
        <v>5.0199999999999996</v>
      </c>
    </row>
    <row r="2110" spans="1:12" x14ac:dyDescent="0.25">
      <c r="A2110" s="1">
        <v>2109</v>
      </c>
      <c r="B2110" s="4">
        <v>15078</v>
      </c>
      <c r="C2110" s="5">
        <v>40491</v>
      </c>
      <c r="D2110" s="3" t="s">
        <v>89</v>
      </c>
      <c r="E2110" s="1" t="s">
        <v>844</v>
      </c>
      <c r="F2110" s="1" t="s">
        <v>34</v>
      </c>
      <c r="G2110" s="2" t="s">
        <v>1</v>
      </c>
      <c r="H2110" s="3" t="s">
        <v>88</v>
      </c>
      <c r="I2110" s="3" t="s">
        <v>85</v>
      </c>
      <c r="J2110" s="3" t="s">
        <v>66</v>
      </c>
      <c r="K2110" s="4">
        <v>207.01</v>
      </c>
      <c r="L2110" s="6">
        <v>5.78</v>
      </c>
    </row>
    <row r="2111" spans="1:12" x14ac:dyDescent="0.25">
      <c r="A2111" s="1">
        <v>2110</v>
      </c>
      <c r="B2111" s="4">
        <v>15079</v>
      </c>
      <c r="C2111" s="5">
        <v>40193</v>
      </c>
      <c r="D2111" s="3" t="s">
        <v>4</v>
      </c>
      <c r="E2111" s="1" t="s">
        <v>615</v>
      </c>
      <c r="F2111" s="1" t="s">
        <v>35</v>
      </c>
      <c r="G2111" s="2" t="s">
        <v>1</v>
      </c>
      <c r="H2111" s="3" t="s">
        <v>84</v>
      </c>
      <c r="I2111" s="3" t="s">
        <v>92</v>
      </c>
      <c r="J2111" s="3" t="s">
        <v>62</v>
      </c>
      <c r="K2111" s="4">
        <v>3753.42</v>
      </c>
      <c r="L2111" s="6">
        <v>80.98</v>
      </c>
    </row>
    <row r="2112" spans="1:12" x14ac:dyDescent="0.25">
      <c r="A2112" s="1">
        <v>2111</v>
      </c>
      <c r="B2112" s="4">
        <v>15079</v>
      </c>
      <c r="C2112" s="5">
        <v>40193</v>
      </c>
      <c r="D2112" s="3" t="s">
        <v>4</v>
      </c>
      <c r="E2112" s="1" t="s">
        <v>615</v>
      </c>
      <c r="F2112" s="1" t="s">
        <v>35</v>
      </c>
      <c r="G2112" s="2" t="s">
        <v>1</v>
      </c>
      <c r="H2112" s="3" t="s">
        <v>84</v>
      </c>
      <c r="I2112" s="3" t="s">
        <v>85</v>
      </c>
      <c r="J2112" s="3" t="s">
        <v>66</v>
      </c>
      <c r="K2112" s="4">
        <v>1130.79</v>
      </c>
      <c r="L2112" s="6">
        <v>48.91</v>
      </c>
    </row>
    <row r="2113" spans="1:12" x14ac:dyDescent="0.25">
      <c r="A2113" s="1">
        <v>2112</v>
      </c>
      <c r="B2113" s="4">
        <v>15104</v>
      </c>
      <c r="C2113" s="5">
        <v>40997</v>
      </c>
      <c r="D2113" s="3" t="s">
        <v>4</v>
      </c>
      <c r="E2113" s="1" t="s">
        <v>863</v>
      </c>
      <c r="F2113" s="1" t="s">
        <v>32</v>
      </c>
      <c r="G2113" s="2" t="s">
        <v>2</v>
      </c>
      <c r="H2113" s="3" t="s">
        <v>84</v>
      </c>
      <c r="I2113" s="3" t="s">
        <v>85</v>
      </c>
      <c r="J2113" s="3" t="s">
        <v>69</v>
      </c>
      <c r="K2113" s="4">
        <v>109.43</v>
      </c>
      <c r="L2113" s="6">
        <v>4.82</v>
      </c>
    </row>
    <row r="2114" spans="1:12" x14ac:dyDescent="0.25">
      <c r="A2114" s="1">
        <v>2113</v>
      </c>
      <c r="B2114" s="4">
        <v>15105</v>
      </c>
      <c r="C2114" s="5">
        <v>40120</v>
      </c>
      <c r="D2114" s="3" t="s">
        <v>82</v>
      </c>
      <c r="E2114" s="1" t="s">
        <v>888</v>
      </c>
      <c r="F2114" s="1" t="s">
        <v>24</v>
      </c>
      <c r="G2114" s="2" t="s">
        <v>2</v>
      </c>
      <c r="H2114" s="3" t="s">
        <v>84</v>
      </c>
      <c r="I2114" s="3" t="s">
        <v>85</v>
      </c>
      <c r="J2114" s="3" t="s">
        <v>57</v>
      </c>
      <c r="K2114" s="4">
        <v>460.43</v>
      </c>
      <c r="L2114" s="6">
        <v>12.28</v>
      </c>
    </row>
    <row r="2115" spans="1:12" x14ac:dyDescent="0.25">
      <c r="A2115" s="1">
        <v>2114</v>
      </c>
      <c r="B2115" s="4">
        <v>15106</v>
      </c>
      <c r="C2115" s="5">
        <v>40570</v>
      </c>
      <c r="D2115" s="3" t="s">
        <v>86</v>
      </c>
      <c r="E2115" s="1" t="s">
        <v>165</v>
      </c>
      <c r="F2115" s="1" t="s">
        <v>8</v>
      </c>
      <c r="G2115" s="2" t="s">
        <v>6</v>
      </c>
      <c r="H2115" s="3" t="s">
        <v>97</v>
      </c>
      <c r="I2115" s="3" t="s">
        <v>91</v>
      </c>
      <c r="J2115" s="3" t="s">
        <v>59</v>
      </c>
      <c r="K2115" s="4">
        <v>283.58</v>
      </c>
      <c r="L2115" s="6">
        <v>6.64</v>
      </c>
    </row>
    <row r="2116" spans="1:12" x14ac:dyDescent="0.25">
      <c r="A2116" s="1">
        <v>2115</v>
      </c>
      <c r="B2116" s="4">
        <v>15106</v>
      </c>
      <c r="C2116" s="5">
        <v>40570</v>
      </c>
      <c r="D2116" s="3" t="s">
        <v>86</v>
      </c>
      <c r="E2116" s="1" t="s">
        <v>165</v>
      </c>
      <c r="F2116" s="1" t="s">
        <v>8</v>
      </c>
      <c r="G2116" s="2" t="s">
        <v>6</v>
      </c>
      <c r="H2116" s="3" t="s">
        <v>97</v>
      </c>
      <c r="I2116" s="3" t="s">
        <v>92</v>
      </c>
      <c r="J2116" s="3" t="s">
        <v>67</v>
      </c>
      <c r="K2116" s="4">
        <v>5403.37</v>
      </c>
      <c r="L2116" s="6">
        <v>145.44999999999999</v>
      </c>
    </row>
    <row r="2117" spans="1:12" x14ac:dyDescent="0.25">
      <c r="A2117" s="1">
        <v>2116</v>
      </c>
      <c r="B2117" s="4">
        <v>15106</v>
      </c>
      <c r="C2117" s="5">
        <v>40570</v>
      </c>
      <c r="D2117" s="3" t="s">
        <v>86</v>
      </c>
      <c r="E2117" s="1" t="s">
        <v>165</v>
      </c>
      <c r="F2117" s="1" t="s">
        <v>8</v>
      </c>
      <c r="G2117" s="2" t="s">
        <v>6</v>
      </c>
      <c r="H2117" s="3" t="s">
        <v>97</v>
      </c>
      <c r="I2117" s="3" t="s">
        <v>85</v>
      </c>
      <c r="J2117" s="3" t="s">
        <v>63</v>
      </c>
      <c r="K2117" s="4">
        <v>82.15</v>
      </c>
      <c r="L2117" s="6">
        <v>2.21</v>
      </c>
    </row>
    <row r="2118" spans="1:12" x14ac:dyDescent="0.25">
      <c r="A2118" s="1">
        <v>2117</v>
      </c>
      <c r="B2118" s="4">
        <v>15108</v>
      </c>
      <c r="C2118" s="5">
        <v>40052</v>
      </c>
      <c r="D2118" s="3" t="s">
        <v>89</v>
      </c>
      <c r="E2118" s="1" t="s">
        <v>718</v>
      </c>
      <c r="F2118" s="1" t="s">
        <v>8</v>
      </c>
      <c r="G2118" s="2" t="s">
        <v>6</v>
      </c>
      <c r="H2118" s="3" t="s">
        <v>84</v>
      </c>
      <c r="I2118" s="3" t="s">
        <v>85</v>
      </c>
      <c r="J2118" s="3" t="s">
        <v>66</v>
      </c>
      <c r="K2118" s="4">
        <v>2066.16</v>
      </c>
      <c r="L2118" s="6">
        <v>40.99</v>
      </c>
    </row>
    <row r="2119" spans="1:12" x14ac:dyDescent="0.25">
      <c r="A2119" s="1">
        <v>2118</v>
      </c>
      <c r="B2119" s="4">
        <v>15109</v>
      </c>
      <c r="C2119" s="5">
        <v>40526</v>
      </c>
      <c r="D2119" s="3" t="s">
        <v>86</v>
      </c>
      <c r="E2119" s="1" t="s">
        <v>892</v>
      </c>
      <c r="F2119" s="1" t="s">
        <v>41</v>
      </c>
      <c r="G2119" s="2" t="s">
        <v>6</v>
      </c>
      <c r="H2119" s="3" t="s">
        <v>97</v>
      </c>
      <c r="I2119" s="3" t="s">
        <v>92</v>
      </c>
      <c r="J2119" s="3" t="s">
        <v>62</v>
      </c>
      <c r="K2119" s="4">
        <v>230.72</v>
      </c>
      <c r="L2119" s="6">
        <v>20.95</v>
      </c>
    </row>
    <row r="2120" spans="1:12" x14ac:dyDescent="0.25">
      <c r="A2120" s="1">
        <v>2119</v>
      </c>
      <c r="B2120" s="4">
        <v>15109</v>
      </c>
      <c r="C2120" s="5">
        <v>40526</v>
      </c>
      <c r="D2120" s="3" t="s">
        <v>86</v>
      </c>
      <c r="E2120" s="1" t="s">
        <v>892</v>
      </c>
      <c r="F2120" s="1" t="s">
        <v>41</v>
      </c>
      <c r="G2120" s="2" t="s">
        <v>6</v>
      </c>
      <c r="H2120" s="3" t="s">
        <v>97</v>
      </c>
      <c r="I2120" s="3" t="s">
        <v>85</v>
      </c>
      <c r="J2120" s="3" t="s">
        <v>66</v>
      </c>
      <c r="K2120" s="4">
        <v>293.47000000000003</v>
      </c>
      <c r="L2120" s="6">
        <v>6.48</v>
      </c>
    </row>
    <row r="2121" spans="1:12" x14ac:dyDescent="0.25">
      <c r="A2121" s="1">
        <v>2120</v>
      </c>
      <c r="B2121" s="4">
        <v>15109</v>
      </c>
      <c r="C2121" s="5">
        <v>40526</v>
      </c>
      <c r="D2121" s="3" t="s">
        <v>86</v>
      </c>
      <c r="E2121" s="1" t="s">
        <v>892</v>
      </c>
      <c r="F2121" s="1" t="s">
        <v>41</v>
      </c>
      <c r="G2121" s="2" t="s">
        <v>6</v>
      </c>
      <c r="H2121" s="3" t="s">
        <v>97</v>
      </c>
      <c r="I2121" s="3" t="s">
        <v>85</v>
      </c>
      <c r="J2121" s="3" t="s">
        <v>63</v>
      </c>
      <c r="K2121" s="4">
        <v>88.7</v>
      </c>
      <c r="L2121" s="6">
        <v>2.52</v>
      </c>
    </row>
    <row r="2122" spans="1:12" x14ac:dyDescent="0.25">
      <c r="A2122" s="1">
        <v>2121</v>
      </c>
      <c r="B2122" s="4">
        <v>15109</v>
      </c>
      <c r="C2122" s="5">
        <v>40526</v>
      </c>
      <c r="D2122" s="3" t="s">
        <v>86</v>
      </c>
      <c r="E2122" s="1" t="s">
        <v>892</v>
      </c>
      <c r="F2122" s="1" t="s">
        <v>41</v>
      </c>
      <c r="G2122" s="2" t="s">
        <v>6</v>
      </c>
      <c r="H2122" s="3" t="s">
        <v>97</v>
      </c>
      <c r="I2122" s="3" t="s">
        <v>85</v>
      </c>
      <c r="J2122" s="3" t="s">
        <v>58</v>
      </c>
      <c r="K2122" s="4">
        <v>262.77999999999997</v>
      </c>
      <c r="L2122" s="6">
        <v>10.98</v>
      </c>
    </row>
    <row r="2123" spans="1:12" x14ac:dyDescent="0.25">
      <c r="A2123" s="1">
        <v>2122</v>
      </c>
      <c r="B2123" s="4">
        <v>15109</v>
      </c>
      <c r="C2123" s="5">
        <v>40526</v>
      </c>
      <c r="D2123" s="3" t="s">
        <v>86</v>
      </c>
      <c r="E2123" s="1" t="s">
        <v>892</v>
      </c>
      <c r="F2123" s="1" t="s">
        <v>41</v>
      </c>
      <c r="G2123" s="2" t="s">
        <v>6</v>
      </c>
      <c r="H2123" s="3" t="s">
        <v>97</v>
      </c>
      <c r="I2123" s="3" t="s">
        <v>85</v>
      </c>
      <c r="J2123" s="3" t="s">
        <v>57</v>
      </c>
      <c r="K2123" s="4">
        <v>142.15</v>
      </c>
      <c r="L2123" s="6">
        <v>14.03</v>
      </c>
    </row>
    <row r="2124" spans="1:12" x14ac:dyDescent="0.25">
      <c r="A2124" s="1">
        <v>2123</v>
      </c>
      <c r="B2124" s="4">
        <v>15111</v>
      </c>
      <c r="C2124" s="5">
        <v>40164</v>
      </c>
      <c r="D2124" s="3" t="s">
        <v>86</v>
      </c>
      <c r="E2124" s="1" t="s">
        <v>601</v>
      </c>
      <c r="F2124" s="1" t="s">
        <v>24</v>
      </c>
      <c r="G2124" s="2" t="s">
        <v>2</v>
      </c>
      <c r="H2124" s="3" t="s">
        <v>88</v>
      </c>
      <c r="I2124" s="3" t="s">
        <v>85</v>
      </c>
      <c r="J2124" s="3" t="s">
        <v>70</v>
      </c>
      <c r="K2124" s="4">
        <v>970.47</v>
      </c>
      <c r="L2124" s="6">
        <v>81.319999999999993</v>
      </c>
    </row>
    <row r="2125" spans="1:12" x14ac:dyDescent="0.25">
      <c r="A2125" s="1">
        <v>2124</v>
      </c>
      <c r="B2125" s="4">
        <v>15139</v>
      </c>
      <c r="C2125" s="5">
        <v>40136</v>
      </c>
      <c r="D2125" s="3" t="s">
        <v>89</v>
      </c>
      <c r="E2125" s="1" t="s">
        <v>816</v>
      </c>
      <c r="F2125" s="1" t="s">
        <v>38</v>
      </c>
      <c r="G2125" s="2" t="s">
        <v>6</v>
      </c>
      <c r="H2125" s="3" t="s">
        <v>88</v>
      </c>
      <c r="I2125" s="3" t="s">
        <v>91</v>
      </c>
      <c r="J2125" s="3" t="s">
        <v>72</v>
      </c>
      <c r="K2125" s="4">
        <v>5203.8999999999996</v>
      </c>
      <c r="L2125" s="6">
        <v>300.98</v>
      </c>
    </row>
    <row r="2126" spans="1:12" x14ac:dyDescent="0.25">
      <c r="A2126" s="1">
        <v>2125</v>
      </c>
      <c r="B2126" s="4">
        <v>15139</v>
      </c>
      <c r="C2126" s="5">
        <v>40136</v>
      </c>
      <c r="D2126" s="3" t="s">
        <v>89</v>
      </c>
      <c r="E2126" s="1" t="s">
        <v>816</v>
      </c>
      <c r="F2126" s="1" t="s">
        <v>38</v>
      </c>
      <c r="G2126" s="2" t="s">
        <v>6</v>
      </c>
      <c r="H2126" s="3" t="s">
        <v>88</v>
      </c>
      <c r="I2126" s="3" t="s">
        <v>85</v>
      </c>
      <c r="J2126" s="3" t="s">
        <v>57</v>
      </c>
      <c r="K2126" s="4">
        <v>744.12</v>
      </c>
      <c r="L2126" s="6">
        <v>20.98</v>
      </c>
    </row>
    <row r="2127" spans="1:12" x14ac:dyDescent="0.25">
      <c r="A2127" s="1">
        <v>2126</v>
      </c>
      <c r="B2127" s="4">
        <v>15142</v>
      </c>
      <c r="C2127" s="5">
        <v>41003</v>
      </c>
      <c r="D2127" s="3" t="s">
        <v>86</v>
      </c>
      <c r="E2127" s="1" t="s">
        <v>655</v>
      </c>
      <c r="F2127" s="1" t="s">
        <v>41</v>
      </c>
      <c r="G2127" s="2" t="s">
        <v>6</v>
      </c>
      <c r="H2127" s="3" t="s">
        <v>88</v>
      </c>
      <c r="I2127" s="3" t="s">
        <v>85</v>
      </c>
      <c r="J2127" s="3" t="s">
        <v>69</v>
      </c>
      <c r="K2127" s="4">
        <v>330.22</v>
      </c>
      <c r="L2127" s="6">
        <v>15.28</v>
      </c>
    </row>
    <row r="2128" spans="1:12" x14ac:dyDescent="0.25">
      <c r="A2128" s="1">
        <v>2127</v>
      </c>
      <c r="B2128" s="4">
        <v>15170</v>
      </c>
      <c r="C2128" s="5">
        <v>39890</v>
      </c>
      <c r="D2128" s="3" t="s">
        <v>95</v>
      </c>
      <c r="E2128" s="1" t="s">
        <v>893</v>
      </c>
      <c r="F2128" s="1" t="s">
        <v>22</v>
      </c>
      <c r="G2128" s="2" t="s">
        <v>6</v>
      </c>
      <c r="H2128" s="3" t="s">
        <v>88</v>
      </c>
      <c r="I2128" s="3" t="s">
        <v>92</v>
      </c>
      <c r="J2128" s="3" t="s">
        <v>61</v>
      </c>
      <c r="K2128" s="4">
        <v>356.46449999999999</v>
      </c>
      <c r="L2128" s="6">
        <v>20.99</v>
      </c>
    </row>
    <row r="2129" spans="1:12" x14ac:dyDescent="0.25">
      <c r="A2129" s="1">
        <v>2128</v>
      </c>
      <c r="B2129" s="4">
        <v>15202</v>
      </c>
      <c r="C2129" s="5">
        <v>40368</v>
      </c>
      <c r="D2129" s="3" t="s">
        <v>89</v>
      </c>
      <c r="E2129" s="1" t="s">
        <v>894</v>
      </c>
      <c r="F2129" s="1" t="s">
        <v>24</v>
      </c>
      <c r="G2129" s="2" t="s">
        <v>2</v>
      </c>
      <c r="H2129" s="3" t="s">
        <v>100</v>
      </c>
      <c r="I2129" s="3" t="s">
        <v>91</v>
      </c>
      <c r="J2129" s="3" t="s">
        <v>59</v>
      </c>
      <c r="K2129" s="4">
        <v>1340.93</v>
      </c>
      <c r="L2129" s="6">
        <v>39.979999999999997</v>
      </c>
    </row>
    <row r="2130" spans="1:12" x14ac:dyDescent="0.25">
      <c r="A2130" s="1">
        <v>2129</v>
      </c>
      <c r="B2130" s="4">
        <v>15205</v>
      </c>
      <c r="C2130" s="5">
        <v>40619</v>
      </c>
      <c r="D2130" s="3" t="s">
        <v>95</v>
      </c>
      <c r="E2130" s="1" t="s">
        <v>343</v>
      </c>
      <c r="F2130" s="1" t="s">
        <v>8</v>
      </c>
      <c r="G2130" s="2" t="s">
        <v>6</v>
      </c>
      <c r="H2130" s="3" t="s">
        <v>88</v>
      </c>
      <c r="I2130" s="3" t="s">
        <v>91</v>
      </c>
      <c r="J2130" s="3" t="s">
        <v>72</v>
      </c>
      <c r="K2130" s="4">
        <v>4605.3599999999997</v>
      </c>
      <c r="L2130" s="6">
        <v>243.98</v>
      </c>
    </row>
    <row r="2131" spans="1:12" x14ac:dyDescent="0.25">
      <c r="A2131" s="1">
        <v>2130</v>
      </c>
      <c r="B2131" s="4">
        <v>15205</v>
      </c>
      <c r="C2131" s="5">
        <v>40619</v>
      </c>
      <c r="D2131" s="3" t="s">
        <v>95</v>
      </c>
      <c r="E2131" s="1" t="s">
        <v>343</v>
      </c>
      <c r="F2131" s="1" t="s">
        <v>8</v>
      </c>
      <c r="G2131" s="2" t="s">
        <v>6</v>
      </c>
      <c r="H2131" s="3" t="s">
        <v>88</v>
      </c>
      <c r="I2131" s="3" t="s">
        <v>91</v>
      </c>
      <c r="J2131" s="3" t="s">
        <v>59</v>
      </c>
      <c r="K2131" s="4">
        <v>1753.51</v>
      </c>
      <c r="L2131" s="6">
        <v>39.979999999999997</v>
      </c>
    </row>
    <row r="2132" spans="1:12" x14ac:dyDescent="0.25">
      <c r="A2132" s="1">
        <v>2131</v>
      </c>
      <c r="B2132" s="4">
        <v>15206</v>
      </c>
      <c r="C2132" s="5">
        <v>40486</v>
      </c>
      <c r="D2132" s="3" t="s">
        <v>82</v>
      </c>
      <c r="E2132" s="1" t="s">
        <v>144</v>
      </c>
      <c r="F2132" s="1" t="s">
        <v>24</v>
      </c>
      <c r="G2132" s="2" t="s">
        <v>2</v>
      </c>
      <c r="H2132" s="3" t="s">
        <v>84</v>
      </c>
      <c r="I2132" s="3" t="s">
        <v>91</v>
      </c>
      <c r="J2132" s="3" t="s">
        <v>68</v>
      </c>
      <c r="K2132" s="4">
        <v>5287.16</v>
      </c>
      <c r="L2132" s="6">
        <v>150.97999999999999</v>
      </c>
    </row>
    <row r="2133" spans="1:12" x14ac:dyDescent="0.25">
      <c r="A2133" s="1">
        <v>2132</v>
      </c>
      <c r="B2133" s="4">
        <v>15234</v>
      </c>
      <c r="C2133" s="5">
        <v>40249</v>
      </c>
      <c r="D2133" s="3" t="s">
        <v>86</v>
      </c>
      <c r="E2133" s="1" t="s">
        <v>895</v>
      </c>
      <c r="F2133" s="1" t="s">
        <v>23</v>
      </c>
      <c r="G2133" s="2" t="s">
        <v>3</v>
      </c>
      <c r="H2133" s="3" t="s">
        <v>100</v>
      </c>
      <c r="I2133" s="3" t="s">
        <v>92</v>
      </c>
      <c r="J2133" s="3" t="s">
        <v>61</v>
      </c>
      <c r="K2133" s="4">
        <v>2185.9535000000001</v>
      </c>
      <c r="L2133" s="6">
        <v>125.99</v>
      </c>
    </row>
    <row r="2134" spans="1:12" x14ac:dyDescent="0.25">
      <c r="A2134" s="1">
        <v>2133</v>
      </c>
      <c r="B2134" s="4">
        <v>15234</v>
      </c>
      <c r="C2134" s="5">
        <v>40249</v>
      </c>
      <c r="D2134" s="3" t="s">
        <v>86</v>
      </c>
      <c r="E2134" s="1" t="s">
        <v>896</v>
      </c>
      <c r="F2134" s="1" t="s">
        <v>23</v>
      </c>
      <c r="G2134" s="2" t="s">
        <v>3</v>
      </c>
      <c r="H2134" s="3" t="s">
        <v>100</v>
      </c>
      <c r="I2134" s="3" t="s">
        <v>92</v>
      </c>
      <c r="J2134" s="3" t="s">
        <v>61</v>
      </c>
      <c r="K2134" s="4">
        <v>1323.5434999999998</v>
      </c>
      <c r="L2134" s="6">
        <v>125.99</v>
      </c>
    </row>
    <row r="2135" spans="1:12" x14ac:dyDescent="0.25">
      <c r="A2135" s="1">
        <v>2134</v>
      </c>
      <c r="B2135" s="4">
        <v>15236</v>
      </c>
      <c r="C2135" s="5">
        <v>41008</v>
      </c>
      <c r="D2135" s="3" t="s">
        <v>86</v>
      </c>
      <c r="E2135" s="1" t="s">
        <v>224</v>
      </c>
      <c r="F2135" s="1" t="s">
        <v>35</v>
      </c>
      <c r="G2135" s="2" t="s">
        <v>1</v>
      </c>
      <c r="H2135" s="3" t="s">
        <v>97</v>
      </c>
      <c r="I2135" s="3" t="s">
        <v>85</v>
      </c>
      <c r="J2135" s="3" t="s">
        <v>69</v>
      </c>
      <c r="K2135" s="4">
        <v>341.42</v>
      </c>
      <c r="L2135" s="6">
        <v>10.91</v>
      </c>
    </row>
    <row r="2136" spans="1:12" x14ac:dyDescent="0.25">
      <c r="A2136" s="1">
        <v>2135</v>
      </c>
      <c r="B2136" s="4">
        <v>15236</v>
      </c>
      <c r="C2136" s="5">
        <v>41008</v>
      </c>
      <c r="D2136" s="3" t="s">
        <v>86</v>
      </c>
      <c r="E2136" s="1" t="s">
        <v>897</v>
      </c>
      <c r="F2136" s="1" t="s">
        <v>35</v>
      </c>
      <c r="G2136" s="2" t="s">
        <v>1</v>
      </c>
      <c r="H2136" s="3" t="s">
        <v>97</v>
      </c>
      <c r="I2136" s="3" t="s">
        <v>91</v>
      </c>
      <c r="J2136" s="3" t="s">
        <v>59</v>
      </c>
      <c r="K2136" s="4">
        <v>381.39</v>
      </c>
      <c r="L2136" s="6">
        <v>12.07</v>
      </c>
    </row>
    <row r="2137" spans="1:12" x14ac:dyDescent="0.25">
      <c r="A2137" s="1">
        <v>2136</v>
      </c>
      <c r="B2137" s="4">
        <v>15264</v>
      </c>
      <c r="C2137" s="5">
        <v>40864</v>
      </c>
      <c r="D2137" s="3" t="s">
        <v>4</v>
      </c>
      <c r="E2137" s="1" t="s">
        <v>174</v>
      </c>
      <c r="F2137" s="1" t="s">
        <v>15</v>
      </c>
      <c r="G2137" s="2" t="s">
        <v>1</v>
      </c>
      <c r="H2137" s="3" t="s">
        <v>97</v>
      </c>
      <c r="I2137" s="3" t="s">
        <v>85</v>
      </c>
      <c r="J2137" s="3" t="s">
        <v>69</v>
      </c>
      <c r="K2137" s="4">
        <v>3581.52</v>
      </c>
      <c r="L2137" s="6">
        <v>1270.99</v>
      </c>
    </row>
    <row r="2138" spans="1:12" x14ac:dyDescent="0.25">
      <c r="A2138" s="1">
        <v>2137</v>
      </c>
      <c r="B2138" s="4">
        <v>15264</v>
      </c>
      <c r="C2138" s="5">
        <v>40864</v>
      </c>
      <c r="D2138" s="3" t="s">
        <v>4</v>
      </c>
      <c r="E2138" s="1" t="s">
        <v>174</v>
      </c>
      <c r="F2138" s="1" t="s">
        <v>15</v>
      </c>
      <c r="G2138" s="2" t="s">
        <v>1</v>
      </c>
      <c r="H2138" s="3" t="s">
        <v>97</v>
      </c>
      <c r="I2138" s="3" t="s">
        <v>85</v>
      </c>
      <c r="J2138" s="3" t="s">
        <v>65</v>
      </c>
      <c r="K2138" s="4">
        <v>90.15</v>
      </c>
      <c r="L2138" s="6">
        <v>7.31</v>
      </c>
    </row>
    <row r="2139" spans="1:12" x14ac:dyDescent="0.25">
      <c r="A2139" s="1">
        <v>2138</v>
      </c>
      <c r="B2139" s="4">
        <v>15270</v>
      </c>
      <c r="C2139" s="5">
        <v>39844</v>
      </c>
      <c r="D2139" s="3" t="s">
        <v>86</v>
      </c>
      <c r="E2139" s="1" t="s">
        <v>898</v>
      </c>
      <c r="F2139" s="1" t="s">
        <v>23</v>
      </c>
      <c r="G2139" s="2" t="s">
        <v>3</v>
      </c>
      <c r="H2139" s="3" t="s">
        <v>88</v>
      </c>
      <c r="I2139" s="3" t="s">
        <v>85</v>
      </c>
      <c r="J2139" s="3" t="s">
        <v>66</v>
      </c>
      <c r="K2139" s="4">
        <v>257.91000000000003</v>
      </c>
      <c r="L2139" s="6">
        <v>6.98</v>
      </c>
    </row>
    <row r="2140" spans="1:12" x14ac:dyDescent="0.25">
      <c r="A2140" s="1">
        <v>2139</v>
      </c>
      <c r="B2140" s="4">
        <v>15271</v>
      </c>
      <c r="C2140" s="5">
        <v>40384</v>
      </c>
      <c r="D2140" s="3" t="s">
        <v>95</v>
      </c>
      <c r="E2140" s="1" t="s">
        <v>255</v>
      </c>
      <c r="F2140" s="1" t="s">
        <v>50</v>
      </c>
      <c r="G2140" s="2" t="s">
        <v>1</v>
      </c>
      <c r="H2140" s="3" t="s">
        <v>100</v>
      </c>
      <c r="I2140" s="3" t="s">
        <v>91</v>
      </c>
      <c r="J2140" s="3" t="s">
        <v>72</v>
      </c>
      <c r="K2140" s="4">
        <v>2389.3000000000002</v>
      </c>
      <c r="L2140" s="6">
        <v>128.24</v>
      </c>
    </row>
    <row r="2141" spans="1:12" x14ac:dyDescent="0.25">
      <c r="A2141" s="1">
        <v>2140</v>
      </c>
      <c r="B2141" s="4">
        <v>15271</v>
      </c>
      <c r="C2141" s="5">
        <v>40384</v>
      </c>
      <c r="D2141" s="3" t="s">
        <v>95</v>
      </c>
      <c r="E2141" s="1" t="s">
        <v>255</v>
      </c>
      <c r="F2141" s="1" t="s">
        <v>50</v>
      </c>
      <c r="G2141" s="2" t="s">
        <v>1</v>
      </c>
      <c r="H2141" s="3" t="s">
        <v>100</v>
      </c>
      <c r="I2141" s="3" t="s">
        <v>92</v>
      </c>
      <c r="J2141" s="3" t="s">
        <v>61</v>
      </c>
      <c r="K2141" s="4">
        <v>222.25800000000001</v>
      </c>
      <c r="L2141" s="6">
        <v>35.99</v>
      </c>
    </row>
    <row r="2142" spans="1:12" x14ac:dyDescent="0.25">
      <c r="A2142" s="1">
        <v>2141</v>
      </c>
      <c r="B2142" s="4">
        <v>15296</v>
      </c>
      <c r="C2142" s="5">
        <v>41128</v>
      </c>
      <c r="D2142" s="3" t="s">
        <v>86</v>
      </c>
      <c r="E2142" s="1" t="s">
        <v>899</v>
      </c>
      <c r="F2142" s="1" t="s">
        <v>23</v>
      </c>
      <c r="G2142" s="2" t="s">
        <v>3</v>
      </c>
      <c r="H2142" s="3" t="s">
        <v>88</v>
      </c>
      <c r="I2142" s="3" t="s">
        <v>85</v>
      </c>
      <c r="J2142" s="3" t="s">
        <v>57</v>
      </c>
      <c r="K2142" s="4">
        <v>6216.6</v>
      </c>
      <c r="L2142" s="6">
        <v>161.55000000000001</v>
      </c>
    </row>
    <row r="2143" spans="1:12" x14ac:dyDescent="0.25">
      <c r="A2143" s="1">
        <v>2142</v>
      </c>
      <c r="B2143" s="4">
        <v>15300</v>
      </c>
      <c r="C2143" s="5">
        <v>40582</v>
      </c>
      <c r="D2143" s="3" t="s">
        <v>89</v>
      </c>
      <c r="E2143" s="1" t="s">
        <v>900</v>
      </c>
      <c r="F2143" s="1" t="s">
        <v>33</v>
      </c>
      <c r="G2143" s="2" t="s">
        <v>2</v>
      </c>
      <c r="H2143" s="3" t="s">
        <v>97</v>
      </c>
      <c r="I2143" s="3" t="s">
        <v>85</v>
      </c>
      <c r="J2143" s="3" t="s">
        <v>66</v>
      </c>
      <c r="K2143" s="4">
        <v>229.88</v>
      </c>
      <c r="L2143" s="6">
        <v>5.28</v>
      </c>
    </row>
    <row r="2144" spans="1:12" x14ac:dyDescent="0.25">
      <c r="A2144" s="1">
        <v>2143</v>
      </c>
      <c r="B2144" s="4">
        <v>15303</v>
      </c>
      <c r="C2144" s="5">
        <v>40434</v>
      </c>
      <c r="D2144" s="3" t="s">
        <v>95</v>
      </c>
      <c r="E2144" s="1" t="s">
        <v>314</v>
      </c>
      <c r="F2144" s="1" t="s">
        <v>36</v>
      </c>
      <c r="G2144" s="2" t="s">
        <v>2</v>
      </c>
      <c r="H2144" s="3" t="s">
        <v>97</v>
      </c>
      <c r="I2144" s="3" t="s">
        <v>85</v>
      </c>
      <c r="J2144" s="3" t="s">
        <v>69</v>
      </c>
      <c r="K2144" s="4">
        <v>101.13</v>
      </c>
      <c r="L2144" s="6">
        <v>4.54</v>
      </c>
    </row>
    <row r="2145" spans="1:12" x14ac:dyDescent="0.25">
      <c r="A2145" s="1">
        <v>2144</v>
      </c>
      <c r="B2145" s="4">
        <v>15303</v>
      </c>
      <c r="C2145" s="5">
        <v>40434</v>
      </c>
      <c r="D2145" s="3" t="s">
        <v>95</v>
      </c>
      <c r="E2145" s="1" t="s">
        <v>314</v>
      </c>
      <c r="F2145" s="1" t="s">
        <v>36</v>
      </c>
      <c r="G2145" s="2" t="s">
        <v>2</v>
      </c>
      <c r="H2145" s="3" t="s">
        <v>97</v>
      </c>
      <c r="I2145" s="3" t="s">
        <v>92</v>
      </c>
      <c r="J2145" s="3" t="s">
        <v>62</v>
      </c>
      <c r="K2145" s="4">
        <v>526.45000000000005</v>
      </c>
      <c r="L2145" s="6">
        <v>28.48</v>
      </c>
    </row>
    <row r="2146" spans="1:12" x14ac:dyDescent="0.25">
      <c r="A2146" s="1">
        <v>2145</v>
      </c>
      <c r="B2146" s="4">
        <v>15329</v>
      </c>
      <c r="C2146" s="5">
        <v>41026</v>
      </c>
      <c r="D2146" s="3" t="s">
        <v>89</v>
      </c>
      <c r="E2146" s="1" t="s">
        <v>750</v>
      </c>
      <c r="F2146" s="1" t="s">
        <v>11</v>
      </c>
      <c r="G2146" s="2" t="s">
        <v>6</v>
      </c>
      <c r="H2146" s="3" t="s">
        <v>100</v>
      </c>
      <c r="I2146" s="3" t="s">
        <v>92</v>
      </c>
      <c r="J2146" s="3" t="s">
        <v>62</v>
      </c>
      <c r="K2146" s="4">
        <v>1014.87</v>
      </c>
      <c r="L2146" s="6">
        <v>29.89</v>
      </c>
    </row>
    <row r="2147" spans="1:12" x14ac:dyDescent="0.25">
      <c r="A2147" s="1">
        <v>2146</v>
      </c>
      <c r="B2147" s="4">
        <v>15332</v>
      </c>
      <c r="C2147" s="5">
        <v>40328</v>
      </c>
      <c r="D2147" s="3" t="s">
        <v>86</v>
      </c>
      <c r="E2147" s="1" t="s">
        <v>901</v>
      </c>
      <c r="F2147" s="1" t="s">
        <v>41</v>
      </c>
      <c r="G2147" s="2" t="s">
        <v>6</v>
      </c>
      <c r="H2147" s="3" t="s">
        <v>97</v>
      </c>
      <c r="I2147" s="3" t="s">
        <v>85</v>
      </c>
      <c r="J2147" s="3" t="s">
        <v>69</v>
      </c>
      <c r="K2147" s="4">
        <v>321.70999999999998</v>
      </c>
      <c r="L2147" s="6">
        <v>52.4</v>
      </c>
    </row>
    <row r="2148" spans="1:12" x14ac:dyDescent="0.25">
      <c r="A2148" s="1">
        <v>2147</v>
      </c>
      <c r="B2148" s="4">
        <v>15335</v>
      </c>
      <c r="C2148" s="5">
        <v>40438</v>
      </c>
      <c r="D2148" s="3" t="s">
        <v>4</v>
      </c>
      <c r="E2148" s="1" t="s">
        <v>488</v>
      </c>
      <c r="F2148" s="1" t="s">
        <v>23</v>
      </c>
      <c r="G2148" s="2" t="s">
        <v>3</v>
      </c>
      <c r="H2148" s="3" t="s">
        <v>100</v>
      </c>
      <c r="I2148" s="3" t="s">
        <v>92</v>
      </c>
      <c r="J2148" s="3" t="s">
        <v>62</v>
      </c>
      <c r="K2148" s="4">
        <v>765.96</v>
      </c>
      <c r="L2148" s="6">
        <v>31.78</v>
      </c>
    </row>
    <row r="2149" spans="1:12" x14ac:dyDescent="0.25">
      <c r="A2149" s="1">
        <v>2148</v>
      </c>
      <c r="B2149" s="4">
        <v>15397</v>
      </c>
      <c r="C2149" s="5">
        <v>40215</v>
      </c>
      <c r="D2149" s="3" t="s">
        <v>95</v>
      </c>
      <c r="E2149" s="1" t="s">
        <v>861</v>
      </c>
      <c r="F2149" s="1" t="s">
        <v>35</v>
      </c>
      <c r="G2149" s="2" t="s">
        <v>1</v>
      </c>
      <c r="H2149" s="3" t="s">
        <v>97</v>
      </c>
      <c r="I2149" s="3" t="s">
        <v>92</v>
      </c>
      <c r="J2149" s="3" t="s">
        <v>62</v>
      </c>
      <c r="K2149" s="4">
        <v>223.33</v>
      </c>
      <c r="L2149" s="6">
        <v>4.9800000000000004</v>
      </c>
    </row>
    <row r="2150" spans="1:12" x14ac:dyDescent="0.25">
      <c r="A2150" s="1">
        <v>2149</v>
      </c>
      <c r="B2150" s="4">
        <v>15397</v>
      </c>
      <c r="C2150" s="5">
        <v>40215</v>
      </c>
      <c r="D2150" s="3" t="s">
        <v>95</v>
      </c>
      <c r="E2150" s="1" t="s">
        <v>861</v>
      </c>
      <c r="F2150" s="1" t="s">
        <v>35</v>
      </c>
      <c r="G2150" s="2" t="s">
        <v>1</v>
      </c>
      <c r="H2150" s="3" t="s">
        <v>97</v>
      </c>
      <c r="I2150" s="3" t="s">
        <v>92</v>
      </c>
      <c r="J2150" s="3" t="s">
        <v>62</v>
      </c>
      <c r="K2150" s="4">
        <v>1178.04</v>
      </c>
      <c r="L2150" s="6">
        <v>40.98</v>
      </c>
    </row>
    <row r="2151" spans="1:12" x14ac:dyDescent="0.25">
      <c r="A2151" s="1">
        <v>2150</v>
      </c>
      <c r="B2151" s="4">
        <v>15397</v>
      </c>
      <c r="C2151" s="5">
        <v>40215</v>
      </c>
      <c r="D2151" s="3" t="s">
        <v>95</v>
      </c>
      <c r="E2151" s="1" t="s">
        <v>861</v>
      </c>
      <c r="F2151" s="1" t="s">
        <v>35</v>
      </c>
      <c r="G2151" s="2" t="s">
        <v>1</v>
      </c>
      <c r="H2151" s="3" t="s">
        <v>97</v>
      </c>
      <c r="I2151" s="3" t="s">
        <v>85</v>
      </c>
      <c r="J2151" s="3" t="s">
        <v>63</v>
      </c>
      <c r="K2151" s="4">
        <v>121.94</v>
      </c>
      <c r="L2151" s="6">
        <v>2.6</v>
      </c>
    </row>
    <row r="2152" spans="1:12" x14ac:dyDescent="0.25">
      <c r="A2152" s="1">
        <v>2151</v>
      </c>
      <c r="B2152" s="4">
        <v>15399</v>
      </c>
      <c r="C2152" s="5">
        <v>41042</v>
      </c>
      <c r="D2152" s="3" t="s">
        <v>95</v>
      </c>
      <c r="E2152" s="1" t="s">
        <v>902</v>
      </c>
      <c r="F2152" s="1" t="s">
        <v>49</v>
      </c>
      <c r="G2152" s="2" t="s">
        <v>1</v>
      </c>
      <c r="H2152" s="3" t="s">
        <v>84</v>
      </c>
      <c r="I2152" s="3" t="s">
        <v>92</v>
      </c>
      <c r="J2152" s="3" t="s">
        <v>61</v>
      </c>
      <c r="K2152" s="4">
        <v>3988.0894999999996</v>
      </c>
      <c r="L2152" s="6">
        <v>125.99</v>
      </c>
    </row>
    <row r="2153" spans="1:12" x14ac:dyDescent="0.25">
      <c r="A2153" s="1">
        <v>2152</v>
      </c>
      <c r="B2153" s="4">
        <v>15399</v>
      </c>
      <c r="C2153" s="5">
        <v>41042</v>
      </c>
      <c r="D2153" s="3" t="s">
        <v>95</v>
      </c>
      <c r="E2153" s="1" t="s">
        <v>903</v>
      </c>
      <c r="F2153" s="1" t="s">
        <v>20</v>
      </c>
      <c r="G2153" s="2" t="s">
        <v>1</v>
      </c>
      <c r="H2153" s="3" t="s">
        <v>84</v>
      </c>
      <c r="I2153" s="3" t="s">
        <v>91</v>
      </c>
      <c r="J2153" s="3" t="s">
        <v>72</v>
      </c>
      <c r="K2153" s="4">
        <v>2202.4499999999998</v>
      </c>
      <c r="L2153" s="6">
        <v>284.98</v>
      </c>
    </row>
    <row r="2154" spans="1:12" x14ac:dyDescent="0.25">
      <c r="A2154" s="1">
        <v>2153</v>
      </c>
      <c r="B2154" s="4">
        <v>15399</v>
      </c>
      <c r="C2154" s="5">
        <v>41042</v>
      </c>
      <c r="D2154" s="3" t="s">
        <v>95</v>
      </c>
      <c r="E2154" s="1" t="s">
        <v>404</v>
      </c>
      <c r="F2154" s="1" t="s">
        <v>21</v>
      </c>
      <c r="G2154" s="2" t="s">
        <v>1</v>
      </c>
      <c r="H2154" s="3" t="s">
        <v>84</v>
      </c>
      <c r="I2154" s="3" t="s">
        <v>92</v>
      </c>
      <c r="J2154" s="3" t="s">
        <v>61</v>
      </c>
      <c r="K2154" s="4">
        <v>2514.5124999999998</v>
      </c>
      <c r="L2154" s="6">
        <v>65.989999999999995</v>
      </c>
    </row>
    <row r="2155" spans="1:12" x14ac:dyDescent="0.25">
      <c r="A2155" s="1">
        <v>2154</v>
      </c>
      <c r="B2155" s="4">
        <v>15425</v>
      </c>
      <c r="C2155" s="5">
        <v>40749</v>
      </c>
      <c r="D2155" s="3" t="s">
        <v>82</v>
      </c>
      <c r="E2155" s="1" t="s">
        <v>706</v>
      </c>
      <c r="F2155" s="1" t="s">
        <v>33</v>
      </c>
      <c r="G2155" s="2" t="s">
        <v>2</v>
      </c>
      <c r="H2155" s="3" t="s">
        <v>97</v>
      </c>
      <c r="I2155" s="3" t="s">
        <v>92</v>
      </c>
      <c r="J2155" s="3" t="s">
        <v>62</v>
      </c>
      <c r="K2155" s="4">
        <v>2896.14</v>
      </c>
      <c r="L2155" s="6">
        <v>99.99</v>
      </c>
    </row>
    <row r="2156" spans="1:12" x14ac:dyDescent="0.25">
      <c r="A2156" s="1">
        <v>2155</v>
      </c>
      <c r="B2156" s="4">
        <v>15428</v>
      </c>
      <c r="C2156" s="5">
        <v>40583</v>
      </c>
      <c r="D2156" s="3" t="s">
        <v>95</v>
      </c>
      <c r="E2156" s="1" t="s">
        <v>523</v>
      </c>
      <c r="F2156" s="1" t="s">
        <v>12</v>
      </c>
      <c r="G2156" s="2" t="s">
        <v>2</v>
      </c>
      <c r="H2156" s="3" t="s">
        <v>84</v>
      </c>
      <c r="I2156" s="3" t="s">
        <v>92</v>
      </c>
      <c r="J2156" s="3" t="s">
        <v>62</v>
      </c>
      <c r="K2156" s="4">
        <v>1444.96</v>
      </c>
      <c r="L2156" s="6">
        <v>29.1</v>
      </c>
    </row>
    <row r="2157" spans="1:12" x14ac:dyDescent="0.25">
      <c r="A2157" s="1">
        <v>2156</v>
      </c>
      <c r="B2157" s="4">
        <v>15428</v>
      </c>
      <c r="C2157" s="5">
        <v>40583</v>
      </c>
      <c r="D2157" s="3" t="s">
        <v>95</v>
      </c>
      <c r="E2157" s="1" t="s">
        <v>523</v>
      </c>
      <c r="F2157" s="1" t="s">
        <v>12</v>
      </c>
      <c r="G2157" s="2" t="s">
        <v>2</v>
      </c>
      <c r="H2157" s="3" t="s">
        <v>84</v>
      </c>
      <c r="I2157" s="3" t="s">
        <v>92</v>
      </c>
      <c r="J2157" s="3" t="s">
        <v>61</v>
      </c>
      <c r="K2157" s="4">
        <v>941.62149999999997</v>
      </c>
      <c r="L2157" s="6">
        <v>110.99</v>
      </c>
    </row>
    <row r="2158" spans="1:12" x14ac:dyDescent="0.25">
      <c r="A2158" s="1">
        <v>2157</v>
      </c>
      <c r="B2158" s="4">
        <v>15462</v>
      </c>
      <c r="C2158" s="5">
        <v>40600</v>
      </c>
      <c r="D2158" s="3" t="s">
        <v>95</v>
      </c>
      <c r="E2158" s="1" t="s">
        <v>350</v>
      </c>
      <c r="F2158" s="1" t="s">
        <v>29</v>
      </c>
      <c r="G2158" s="2" t="s">
        <v>3</v>
      </c>
      <c r="H2158" s="3" t="s">
        <v>97</v>
      </c>
      <c r="I2158" s="3" t="s">
        <v>85</v>
      </c>
      <c r="J2158" s="3" t="s">
        <v>69</v>
      </c>
      <c r="K2158" s="4">
        <v>862.64</v>
      </c>
      <c r="L2158" s="6">
        <v>43.41</v>
      </c>
    </row>
    <row r="2159" spans="1:12" x14ac:dyDescent="0.25">
      <c r="A2159" s="1">
        <v>2158</v>
      </c>
      <c r="B2159" s="4">
        <v>15463</v>
      </c>
      <c r="C2159" s="5">
        <v>40383</v>
      </c>
      <c r="D2159" s="3" t="s">
        <v>82</v>
      </c>
      <c r="E2159" s="1" t="s">
        <v>904</v>
      </c>
      <c r="F2159" s="1" t="s">
        <v>38</v>
      </c>
      <c r="G2159" s="2" t="s">
        <v>6</v>
      </c>
      <c r="H2159" s="3" t="s">
        <v>88</v>
      </c>
      <c r="I2159" s="3" t="s">
        <v>85</v>
      </c>
      <c r="J2159" s="3" t="s">
        <v>66</v>
      </c>
      <c r="K2159" s="4">
        <v>293.3</v>
      </c>
      <c r="L2159" s="6">
        <v>5.98</v>
      </c>
    </row>
    <row r="2160" spans="1:12" x14ac:dyDescent="0.25">
      <c r="A2160" s="1">
        <v>2159</v>
      </c>
      <c r="B2160" s="4">
        <v>15491</v>
      </c>
      <c r="C2160" s="5">
        <v>40926</v>
      </c>
      <c r="D2160" s="3" t="s">
        <v>4</v>
      </c>
      <c r="E2160" s="1" t="s">
        <v>114</v>
      </c>
      <c r="F2160" s="1" t="s">
        <v>52</v>
      </c>
      <c r="G2160" s="2" t="s">
        <v>3</v>
      </c>
      <c r="H2160" s="3" t="s">
        <v>84</v>
      </c>
      <c r="I2160" s="3" t="s">
        <v>92</v>
      </c>
      <c r="J2160" s="3" t="s">
        <v>61</v>
      </c>
      <c r="K2160" s="4">
        <v>901.37400000000002</v>
      </c>
      <c r="L2160" s="6">
        <v>205.99</v>
      </c>
    </row>
    <row r="2161" spans="1:12" x14ac:dyDescent="0.25">
      <c r="A2161" s="1">
        <v>2160</v>
      </c>
      <c r="B2161" s="4">
        <v>15524</v>
      </c>
      <c r="C2161" s="5">
        <v>41040</v>
      </c>
      <c r="D2161" s="3" t="s">
        <v>4</v>
      </c>
      <c r="E2161" s="1" t="s">
        <v>101</v>
      </c>
      <c r="F2161" s="1" t="s">
        <v>10</v>
      </c>
      <c r="G2161" s="2" t="s">
        <v>3</v>
      </c>
      <c r="H2161" s="3" t="s">
        <v>100</v>
      </c>
      <c r="I2161" s="3" t="s">
        <v>85</v>
      </c>
      <c r="J2161" s="3" t="s">
        <v>58</v>
      </c>
      <c r="K2161" s="4">
        <v>156.82</v>
      </c>
      <c r="L2161" s="6">
        <v>5.68</v>
      </c>
    </row>
    <row r="2162" spans="1:12" x14ac:dyDescent="0.25">
      <c r="A2162" s="1">
        <v>2161</v>
      </c>
      <c r="B2162" s="4">
        <v>15591</v>
      </c>
      <c r="C2162" s="5">
        <v>41066</v>
      </c>
      <c r="D2162" s="3" t="s">
        <v>95</v>
      </c>
      <c r="E2162" s="1" t="s">
        <v>129</v>
      </c>
      <c r="F2162" s="1" t="s">
        <v>8</v>
      </c>
      <c r="G2162" s="2" t="s">
        <v>6</v>
      </c>
      <c r="H2162" s="3" t="s">
        <v>84</v>
      </c>
      <c r="I2162" s="3" t="s">
        <v>91</v>
      </c>
      <c r="J2162" s="3" t="s">
        <v>59</v>
      </c>
      <c r="K2162" s="4">
        <v>426.34</v>
      </c>
      <c r="L2162" s="6">
        <v>12.58</v>
      </c>
    </row>
    <row r="2163" spans="1:12" x14ac:dyDescent="0.25">
      <c r="A2163" s="1">
        <v>2162</v>
      </c>
      <c r="B2163" s="4">
        <v>15616</v>
      </c>
      <c r="C2163" s="5">
        <v>40991</v>
      </c>
      <c r="D2163" s="3" t="s">
        <v>95</v>
      </c>
      <c r="E2163" s="1" t="s">
        <v>617</v>
      </c>
      <c r="F2163" s="1" t="s">
        <v>24</v>
      </c>
      <c r="G2163" s="2" t="s">
        <v>2</v>
      </c>
      <c r="H2163" s="3" t="s">
        <v>88</v>
      </c>
      <c r="I2163" s="3" t="s">
        <v>92</v>
      </c>
      <c r="J2163" s="3" t="s">
        <v>62</v>
      </c>
      <c r="K2163" s="4">
        <v>386.71</v>
      </c>
      <c r="L2163" s="6">
        <v>30.98</v>
      </c>
    </row>
    <row r="2164" spans="1:12" x14ac:dyDescent="0.25">
      <c r="A2164" s="1">
        <v>2163</v>
      </c>
      <c r="B2164" s="4">
        <v>15616</v>
      </c>
      <c r="C2164" s="5">
        <v>40991</v>
      </c>
      <c r="D2164" s="3" t="s">
        <v>95</v>
      </c>
      <c r="E2164" s="1" t="s">
        <v>617</v>
      </c>
      <c r="F2164" s="1" t="s">
        <v>24</v>
      </c>
      <c r="G2164" s="2" t="s">
        <v>2</v>
      </c>
      <c r="H2164" s="3" t="s">
        <v>88</v>
      </c>
      <c r="I2164" s="3" t="s">
        <v>85</v>
      </c>
      <c r="J2164" s="3" t="s">
        <v>63</v>
      </c>
      <c r="K2164" s="4">
        <v>134.06</v>
      </c>
      <c r="L2164" s="6">
        <v>4.13</v>
      </c>
    </row>
    <row r="2165" spans="1:12" x14ac:dyDescent="0.25">
      <c r="A2165" s="1">
        <v>2164</v>
      </c>
      <c r="B2165" s="4">
        <v>15618</v>
      </c>
      <c r="C2165" s="5">
        <v>40394</v>
      </c>
      <c r="D2165" s="3" t="s">
        <v>4</v>
      </c>
      <c r="E2165" s="1" t="s">
        <v>905</v>
      </c>
      <c r="F2165" s="1" t="s">
        <v>38</v>
      </c>
      <c r="G2165" s="2" t="s">
        <v>6</v>
      </c>
      <c r="H2165" s="3" t="s">
        <v>100</v>
      </c>
      <c r="I2165" s="3" t="s">
        <v>85</v>
      </c>
      <c r="J2165" s="3" t="s">
        <v>66</v>
      </c>
      <c r="K2165" s="4">
        <v>50.93</v>
      </c>
      <c r="L2165" s="6">
        <v>5.28</v>
      </c>
    </row>
    <row r="2166" spans="1:12" x14ac:dyDescent="0.25">
      <c r="A2166" s="1">
        <v>2165</v>
      </c>
      <c r="B2166" s="4">
        <v>15618</v>
      </c>
      <c r="C2166" s="5">
        <v>40394</v>
      </c>
      <c r="D2166" s="3" t="s">
        <v>4</v>
      </c>
      <c r="E2166" s="1" t="s">
        <v>905</v>
      </c>
      <c r="F2166" s="1" t="s">
        <v>38</v>
      </c>
      <c r="G2166" s="2" t="s">
        <v>6</v>
      </c>
      <c r="H2166" s="3" t="s">
        <v>100</v>
      </c>
      <c r="I2166" s="3" t="s">
        <v>85</v>
      </c>
      <c r="J2166" s="3" t="s">
        <v>66</v>
      </c>
      <c r="K2166" s="4">
        <v>792.8</v>
      </c>
      <c r="L2166" s="6">
        <v>18.97</v>
      </c>
    </row>
    <row r="2167" spans="1:12" x14ac:dyDescent="0.25">
      <c r="A2167" s="1">
        <v>2166</v>
      </c>
      <c r="B2167" s="4">
        <v>15618</v>
      </c>
      <c r="C2167" s="5">
        <v>40394</v>
      </c>
      <c r="D2167" s="3" t="s">
        <v>4</v>
      </c>
      <c r="E2167" s="1" t="s">
        <v>905</v>
      </c>
      <c r="F2167" s="1" t="s">
        <v>38</v>
      </c>
      <c r="G2167" s="2" t="s">
        <v>6</v>
      </c>
      <c r="H2167" s="3" t="s">
        <v>100</v>
      </c>
      <c r="I2167" s="3" t="s">
        <v>92</v>
      </c>
      <c r="J2167" s="3" t="s">
        <v>61</v>
      </c>
      <c r="K2167" s="4">
        <v>782.45049999999992</v>
      </c>
      <c r="L2167" s="6">
        <v>65.989999999999995</v>
      </c>
    </row>
    <row r="2168" spans="1:12" x14ac:dyDescent="0.25">
      <c r="A2168" s="1">
        <v>2167</v>
      </c>
      <c r="B2168" s="4">
        <v>15619</v>
      </c>
      <c r="C2168" s="5">
        <v>40722</v>
      </c>
      <c r="D2168" s="3" t="s">
        <v>82</v>
      </c>
      <c r="E2168" s="1" t="s">
        <v>906</v>
      </c>
      <c r="F2168" s="1" t="s">
        <v>39</v>
      </c>
      <c r="G2168" s="2" t="s">
        <v>1</v>
      </c>
      <c r="H2168" s="3" t="s">
        <v>88</v>
      </c>
      <c r="I2168" s="3" t="s">
        <v>85</v>
      </c>
      <c r="J2168" s="3" t="s">
        <v>64</v>
      </c>
      <c r="K2168" s="4">
        <v>123.13</v>
      </c>
      <c r="L2168" s="6">
        <v>3.29</v>
      </c>
    </row>
    <row r="2169" spans="1:12" x14ac:dyDescent="0.25">
      <c r="A2169" s="1">
        <v>2168</v>
      </c>
      <c r="B2169" s="4">
        <v>15619</v>
      </c>
      <c r="C2169" s="5">
        <v>40722</v>
      </c>
      <c r="D2169" s="3" t="s">
        <v>82</v>
      </c>
      <c r="E2169" s="1" t="s">
        <v>907</v>
      </c>
      <c r="F2169" s="1" t="s">
        <v>21</v>
      </c>
      <c r="G2169" s="2" t="s">
        <v>1</v>
      </c>
      <c r="H2169" s="3" t="s">
        <v>88</v>
      </c>
      <c r="I2169" s="3" t="s">
        <v>91</v>
      </c>
      <c r="J2169" s="3" t="s">
        <v>72</v>
      </c>
      <c r="K2169" s="4">
        <v>1425.21</v>
      </c>
      <c r="L2169" s="6">
        <v>160.97999999999999</v>
      </c>
    </row>
    <row r="2170" spans="1:12" x14ac:dyDescent="0.25">
      <c r="A2170" s="1">
        <v>2169</v>
      </c>
      <c r="B2170" s="4">
        <v>15621</v>
      </c>
      <c r="C2170" s="5">
        <v>40810</v>
      </c>
      <c r="D2170" s="3" t="s">
        <v>95</v>
      </c>
      <c r="E2170" s="1" t="s">
        <v>618</v>
      </c>
      <c r="F2170" s="1" t="s">
        <v>11</v>
      </c>
      <c r="G2170" s="2" t="s">
        <v>6</v>
      </c>
      <c r="H2170" s="3" t="s">
        <v>100</v>
      </c>
      <c r="I2170" s="3" t="s">
        <v>85</v>
      </c>
      <c r="J2170" s="3" t="s">
        <v>63</v>
      </c>
      <c r="K2170" s="4">
        <v>35.51</v>
      </c>
      <c r="L2170" s="6">
        <v>1.68</v>
      </c>
    </row>
    <row r="2171" spans="1:12" x14ac:dyDescent="0.25">
      <c r="A2171" s="1">
        <v>2170</v>
      </c>
      <c r="B2171" s="4">
        <v>15621</v>
      </c>
      <c r="C2171" s="5">
        <v>40810</v>
      </c>
      <c r="D2171" s="3" t="s">
        <v>95</v>
      </c>
      <c r="E2171" s="1" t="s">
        <v>618</v>
      </c>
      <c r="F2171" s="1" t="s">
        <v>11</v>
      </c>
      <c r="G2171" s="2" t="s">
        <v>6</v>
      </c>
      <c r="H2171" s="3" t="s">
        <v>100</v>
      </c>
      <c r="I2171" s="3" t="s">
        <v>85</v>
      </c>
      <c r="J2171" s="3" t="s">
        <v>57</v>
      </c>
      <c r="K2171" s="4">
        <v>1105.6600000000001</v>
      </c>
      <c r="L2171" s="6">
        <v>28.28</v>
      </c>
    </row>
    <row r="2172" spans="1:12" x14ac:dyDescent="0.25">
      <c r="A2172" s="1">
        <v>2171</v>
      </c>
      <c r="B2172" s="4">
        <v>15622</v>
      </c>
      <c r="C2172" s="5">
        <v>40780</v>
      </c>
      <c r="D2172" s="3" t="s">
        <v>89</v>
      </c>
      <c r="E2172" s="1" t="s">
        <v>387</v>
      </c>
      <c r="F2172" s="1" t="s">
        <v>36</v>
      </c>
      <c r="G2172" s="2" t="s">
        <v>2</v>
      </c>
      <c r="H2172" s="3" t="s">
        <v>100</v>
      </c>
      <c r="I2172" s="3" t="s">
        <v>91</v>
      </c>
      <c r="J2172" s="3" t="s">
        <v>68</v>
      </c>
      <c r="K2172" s="4">
        <v>8581.25</v>
      </c>
      <c r="L2172" s="6">
        <v>240.98</v>
      </c>
    </row>
    <row r="2173" spans="1:12" x14ac:dyDescent="0.25">
      <c r="A2173" s="1">
        <v>2172</v>
      </c>
      <c r="B2173" s="4">
        <v>15622</v>
      </c>
      <c r="C2173" s="5">
        <v>40780</v>
      </c>
      <c r="D2173" s="3" t="s">
        <v>89</v>
      </c>
      <c r="E2173" s="1" t="s">
        <v>387</v>
      </c>
      <c r="F2173" s="1" t="s">
        <v>36</v>
      </c>
      <c r="G2173" s="2" t="s">
        <v>2</v>
      </c>
      <c r="H2173" s="3" t="s">
        <v>100</v>
      </c>
      <c r="I2173" s="3" t="s">
        <v>85</v>
      </c>
      <c r="J2173" s="3" t="s">
        <v>66</v>
      </c>
      <c r="K2173" s="4">
        <v>135.99</v>
      </c>
      <c r="L2173" s="6">
        <v>6.48</v>
      </c>
    </row>
    <row r="2174" spans="1:12" x14ac:dyDescent="0.25">
      <c r="A2174" s="1">
        <v>2173</v>
      </c>
      <c r="B2174" s="4">
        <v>15651</v>
      </c>
      <c r="C2174" s="5">
        <v>41186</v>
      </c>
      <c r="D2174" s="3" t="s">
        <v>95</v>
      </c>
      <c r="E2174" s="1" t="s">
        <v>908</v>
      </c>
      <c r="F2174" s="1" t="s">
        <v>42</v>
      </c>
      <c r="G2174" s="2" t="s">
        <v>3</v>
      </c>
      <c r="H2174" s="3" t="s">
        <v>84</v>
      </c>
      <c r="I2174" s="3" t="s">
        <v>85</v>
      </c>
      <c r="J2174" s="3" t="s">
        <v>70</v>
      </c>
      <c r="K2174" s="4">
        <v>2182.91</v>
      </c>
      <c r="L2174" s="6">
        <v>60.22</v>
      </c>
    </row>
    <row r="2175" spans="1:12" x14ac:dyDescent="0.25">
      <c r="A2175" s="1">
        <v>2174</v>
      </c>
      <c r="B2175" s="4">
        <v>15651</v>
      </c>
      <c r="C2175" s="5">
        <v>41186</v>
      </c>
      <c r="D2175" s="3" t="s">
        <v>95</v>
      </c>
      <c r="E2175" s="1" t="s">
        <v>908</v>
      </c>
      <c r="F2175" s="1" t="s">
        <v>42</v>
      </c>
      <c r="G2175" s="2" t="s">
        <v>3</v>
      </c>
      <c r="H2175" s="3" t="s">
        <v>84</v>
      </c>
      <c r="I2175" s="3" t="s">
        <v>85</v>
      </c>
      <c r="J2175" s="3" t="s">
        <v>57</v>
      </c>
      <c r="K2175" s="4">
        <v>1144.3499999999999</v>
      </c>
      <c r="L2175" s="6">
        <v>80.98</v>
      </c>
    </row>
    <row r="2176" spans="1:12" x14ac:dyDescent="0.25">
      <c r="A2176" s="1">
        <v>2175</v>
      </c>
      <c r="B2176" s="4">
        <v>15651</v>
      </c>
      <c r="C2176" s="5">
        <v>41186</v>
      </c>
      <c r="D2176" s="3" t="s">
        <v>95</v>
      </c>
      <c r="E2176" s="1" t="s">
        <v>908</v>
      </c>
      <c r="F2176" s="1" t="s">
        <v>42</v>
      </c>
      <c r="G2176" s="2" t="s">
        <v>3</v>
      </c>
      <c r="H2176" s="3" t="s">
        <v>84</v>
      </c>
      <c r="I2176" s="3" t="s">
        <v>91</v>
      </c>
      <c r="J2176" s="3" t="s">
        <v>60</v>
      </c>
      <c r="K2176" s="4">
        <v>1496.83</v>
      </c>
      <c r="L2176" s="6">
        <v>179.29</v>
      </c>
    </row>
    <row r="2177" spans="1:12" x14ac:dyDescent="0.25">
      <c r="A2177" s="1">
        <v>2176</v>
      </c>
      <c r="B2177" s="4">
        <v>15654</v>
      </c>
      <c r="C2177" s="5">
        <v>40088</v>
      </c>
      <c r="D2177" s="3" t="s">
        <v>86</v>
      </c>
      <c r="E2177" s="1" t="s">
        <v>909</v>
      </c>
      <c r="F2177" s="1" t="s">
        <v>24</v>
      </c>
      <c r="G2177" s="2" t="s">
        <v>2</v>
      </c>
      <c r="H2177" s="3" t="s">
        <v>88</v>
      </c>
      <c r="I2177" s="3" t="s">
        <v>91</v>
      </c>
      <c r="J2177" s="3" t="s">
        <v>68</v>
      </c>
      <c r="K2177" s="4">
        <v>7937.59</v>
      </c>
      <c r="L2177" s="6">
        <v>300.98</v>
      </c>
    </row>
    <row r="2178" spans="1:12" x14ac:dyDescent="0.25">
      <c r="A2178" s="1">
        <v>2177</v>
      </c>
      <c r="B2178" s="4">
        <v>15654</v>
      </c>
      <c r="C2178" s="5">
        <v>40088</v>
      </c>
      <c r="D2178" s="3" t="s">
        <v>86</v>
      </c>
      <c r="E2178" s="1" t="s">
        <v>909</v>
      </c>
      <c r="F2178" s="1" t="s">
        <v>24</v>
      </c>
      <c r="G2178" s="2" t="s">
        <v>2</v>
      </c>
      <c r="H2178" s="3" t="s">
        <v>88</v>
      </c>
      <c r="I2178" s="3" t="s">
        <v>92</v>
      </c>
      <c r="J2178" s="3" t="s">
        <v>67</v>
      </c>
      <c r="K2178" s="4">
        <v>9396.41</v>
      </c>
      <c r="L2178" s="6">
        <v>2550.14</v>
      </c>
    </row>
    <row r="2179" spans="1:12" x14ac:dyDescent="0.25">
      <c r="A2179" s="1">
        <v>2178</v>
      </c>
      <c r="B2179" s="4">
        <v>15687</v>
      </c>
      <c r="C2179" s="5">
        <v>41008</v>
      </c>
      <c r="D2179" s="3" t="s">
        <v>95</v>
      </c>
      <c r="E2179" s="1" t="s">
        <v>910</v>
      </c>
      <c r="F2179" s="1" t="s">
        <v>49</v>
      </c>
      <c r="G2179" s="2" t="s">
        <v>1</v>
      </c>
      <c r="H2179" s="3" t="s">
        <v>84</v>
      </c>
      <c r="I2179" s="3" t="s">
        <v>91</v>
      </c>
      <c r="J2179" s="3" t="s">
        <v>68</v>
      </c>
      <c r="K2179" s="4">
        <v>3400.63</v>
      </c>
      <c r="L2179" s="6">
        <v>70.98</v>
      </c>
    </row>
    <row r="2180" spans="1:12" x14ac:dyDescent="0.25">
      <c r="A2180" s="1">
        <v>2179</v>
      </c>
      <c r="B2180" s="4">
        <v>15712</v>
      </c>
      <c r="C2180" s="5">
        <v>41247</v>
      </c>
      <c r="D2180" s="3" t="s">
        <v>89</v>
      </c>
      <c r="E2180" s="1" t="s">
        <v>891</v>
      </c>
      <c r="F2180" s="1" t="s">
        <v>23</v>
      </c>
      <c r="G2180" s="2" t="s">
        <v>3</v>
      </c>
      <c r="H2180" s="3" t="s">
        <v>88</v>
      </c>
      <c r="I2180" s="3" t="s">
        <v>91</v>
      </c>
      <c r="J2180" s="3" t="s">
        <v>68</v>
      </c>
      <c r="K2180" s="4">
        <v>102.9</v>
      </c>
      <c r="L2180" s="6">
        <v>48.58</v>
      </c>
    </row>
    <row r="2181" spans="1:12" x14ac:dyDescent="0.25">
      <c r="A2181" s="1">
        <v>2180</v>
      </c>
      <c r="B2181" s="4">
        <v>15714</v>
      </c>
      <c r="C2181" s="5">
        <v>40729</v>
      </c>
      <c r="D2181" s="3" t="s">
        <v>89</v>
      </c>
      <c r="E2181" s="1" t="s">
        <v>854</v>
      </c>
      <c r="F2181" s="1" t="s">
        <v>10</v>
      </c>
      <c r="G2181" s="2" t="s">
        <v>3</v>
      </c>
      <c r="H2181" s="3" t="s">
        <v>97</v>
      </c>
      <c r="I2181" s="3" t="s">
        <v>85</v>
      </c>
      <c r="J2181" s="3" t="s">
        <v>70</v>
      </c>
      <c r="K2181" s="4">
        <v>2510.71</v>
      </c>
      <c r="L2181" s="6">
        <v>49.43</v>
      </c>
    </row>
    <row r="2182" spans="1:12" x14ac:dyDescent="0.25">
      <c r="A2182" s="1">
        <v>2181</v>
      </c>
      <c r="B2182" s="4">
        <v>15715</v>
      </c>
      <c r="C2182" s="5">
        <v>41197</v>
      </c>
      <c r="D2182" s="3" t="s">
        <v>95</v>
      </c>
      <c r="E2182" s="1" t="s">
        <v>450</v>
      </c>
      <c r="F2182" s="1" t="s">
        <v>29</v>
      </c>
      <c r="G2182" s="2" t="s">
        <v>3</v>
      </c>
      <c r="H2182" s="3" t="s">
        <v>97</v>
      </c>
      <c r="I2182" s="3" t="s">
        <v>85</v>
      </c>
      <c r="J2182" s="3" t="s">
        <v>66</v>
      </c>
      <c r="K2182" s="4">
        <v>2123.64</v>
      </c>
      <c r="L2182" s="6">
        <v>47.9</v>
      </c>
    </row>
    <row r="2183" spans="1:12" x14ac:dyDescent="0.25">
      <c r="A2183" s="1">
        <v>2182</v>
      </c>
      <c r="B2183" s="4">
        <v>15718</v>
      </c>
      <c r="C2183" s="5">
        <v>39840</v>
      </c>
      <c r="D2183" s="3" t="s">
        <v>95</v>
      </c>
      <c r="E2183" s="1" t="s">
        <v>184</v>
      </c>
      <c r="F2183" s="1" t="s">
        <v>40</v>
      </c>
      <c r="G2183" s="2" t="s">
        <v>6</v>
      </c>
      <c r="H2183" s="3" t="s">
        <v>88</v>
      </c>
      <c r="I2183" s="3" t="s">
        <v>85</v>
      </c>
      <c r="J2183" s="3" t="s">
        <v>63</v>
      </c>
      <c r="K2183" s="4">
        <v>100.87</v>
      </c>
      <c r="L2183" s="6">
        <v>2.94</v>
      </c>
    </row>
    <row r="2184" spans="1:12" x14ac:dyDescent="0.25">
      <c r="A2184" s="1">
        <v>2183</v>
      </c>
      <c r="B2184" s="4">
        <v>15718</v>
      </c>
      <c r="C2184" s="5">
        <v>39840</v>
      </c>
      <c r="D2184" s="3" t="s">
        <v>95</v>
      </c>
      <c r="E2184" s="1" t="s">
        <v>911</v>
      </c>
      <c r="F2184" s="1" t="s">
        <v>34</v>
      </c>
      <c r="G2184" s="2" t="s">
        <v>1</v>
      </c>
      <c r="H2184" s="3" t="s">
        <v>88</v>
      </c>
      <c r="I2184" s="3" t="s">
        <v>85</v>
      </c>
      <c r="J2184" s="3" t="s">
        <v>63</v>
      </c>
      <c r="K2184" s="4">
        <v>1863.02</v>
      </c>
      <c r="L2184" s="6">
        <v>43.98</v>
      </c>
    </row>
    <row r="2185" spans="1:12" x14ac:dyDescent="0.25">
      <c r="A2185" s="1">
        <v>2184</v>
      </c>
      <c r="B2185" s="4">
        <v>15718</v>
      </c>
      <c r="C2185" s="5">
        <v>39840</v>
      </c>
      <c r="D2185" s="3" t="s">
        <v>95</v>
      </c>
      <c r="E2185" s="1" t="s">
        <v>911</v>
      </c>
      <c r="F2185" s="1" t="s">
        <v>34</v>
      </c>
      <c r="G2185" s="2" t="s">
        <v>1</v>
      </c>
      <c r="H2185" s="3" t="s">
        <v>88</v>
      </c>
      <c r="I2185" s="3" t="s">
        <v>85</v>
      </c>
      <c r="J2185" s="3" t="s">
        <v>64</v>
      </c>
      <c r="K2185" s="4">
        <v>55.89</v>
      </c>
      <c r="L2185" s="6">
        <v>1.1399999999999999</v>
      </c>
    </row>
    <row r="2186" spans="1:12" x14ac:dyDescent="0.25">
      <c r="A2186" s="1">
        <v>2185</v>
      </c>
      <c r="B2186" s="4">
        <v>15719</v>
      </c>
      <c r="C2186" s="5">
        <v>40561</v>
      </c>
      <c r="D2186" s="3" t="s">
        <v>95</v>
      </c>
      <c r="E2186" s="1" t="s">
        <v>861</v>
      </c>
      <c r="F2186" s="1" t="s">
        <v>35</v>
      </c>
      <c r="G2186" s="2" t="s">
        <v>1</v>
      </c>
      <c r="H2186" s="3" t="s">
        <v>97</v>
      </c>
      <c r="I2186" s="3" t="s">
        <v>91</v>
      </c>
      <c r="J2186" s="3" t="s">
        <v>72</v>
      </c>
      <c r="K2186" s="4">
        <v>5405.44</v>
      </c>
      <c r="L2186" s="6">
        <v>300.98</v>
      </c>
    </row>
    <row r="2187" spans="1:12" x14ac:dyDescent="0.25">
      <c r="A2187" s="1">
        <v>2186</v>
      </c>
      <c r="B2187" s="4">
        <v>15744</v>
      </c>
      <c r="C2187" s="5">
        <v>40258</v>
      </c>
      <c r="D2187" s="3" t="s">
        <v>95</v>
      </c>
      <c r="E2187" s="1" t="s">
        <v>642</v>
      </c>
      <c r="F2187" s="1" t="s">
        <v>34</v>
      </c>
      <c r="G2187" s="2" t="s">
        <v>1</v>
      </c>
      <c r="H2187" s="3" t="s">
        <v>88</v>
      </c>
      <c r="I2187" s="3" t="s">
        <v>85</v>
      </c>
      <c r="J2187" s="3" t="s">
        <v>66</v>
      </c>
      <c r="K2187" s="4">
        <v>838.81</v>
      </c>
      <c r="L2187" s="6">
        <v>55.48</v>
      </c>
    </row>
    <row r="2188" spans="1:12" x14ac:dyDescent="0.25">
      <c r="A2188" s="1">
        <v>2187</v>
      </c>
      <c r="B2188" s="4">
        <v>15751</v>
      </c>
      <c r="C2188" s="5">
        <v>40040</v>
      </c>
      <c r="D2188" s="3" t="s">
        <v>95</v>
      </c>
      <c r="E2188" s="1" t="s">
        <v>621</v>
      </c>
      <c r="F2188" s="1" t="s">
        <v>26</v>
      </c>
      <c r="G2188" s="2" t="s">
        <v>3</v>
      </c>
      <c r="H2188" s="3" t="s">
        <v>88</v>
      </c>
      <c r="I2188" s="3" t="s">
        <v>85</v>
      </c>
      <c r="J2188" s="3" t="s">
        <v>65</v>
      </c>
      <c r="K2188" s="4">
        <v>189.6</v>
      </c>
      <c r="L2188" s="6">
        <v>4.9800000000000004</v>
      </c>
    </row>
    <row r="2189" spans="1:12" x14ac:dyDescent="0.25">
      <c r="A2189" s="1">
        <v>2188</v>
      </c>
      <c r="B2189" s="4">
        <v>15751</v>
      </c>
      <c r="C2189" s="5">
        <v>40040</v>
      </c>
      <c r="D2189" s="3" t="s">
        <v>95</v>
      </c>
      <c r="E2189" s="1" t="s">
        <v>621</v>
      </c>
      <c r="F2189" s="1" t="s">
        <v>26</v>
      </c>
      <c r="G2189" s="2" t="s">
        <v>3</v>
      </c>
      <c r="H2189" s="3" t="s">
        <v>88</v>
      </c>
      <c r="I2189" s="3" t="s">
        <v>92</v>
      </c>
      <c r="J2189" s="3" t="s">
        <v>61</v>
      </c>
      <c r="K2189" s="4">
        <v>397.73200000000003</v>
      </c>
      <c r="L2189" s="6">
        <v>20.99</v>
      </c>
    </row>
    <row r="2190" spans="1:12" x14ac:dyDescent="0.25">
      <c r="A2190" s="1">
        <v>2189</v>
      </c>
      <c r="B2190" s="4">
        <v>15778</v>
      </c>
      <c r="C2190" s="5">
        <v>40304</v>
      </c>
      <c r="D2190" s="3" t="s">
        <v>89</v>
      </c>
      <c r="E2190" s="1" t="s">
        <v>912</v>
      </c>
      <c r="F2190" s="1" t="s">
        <v>36</v>
      </c>
      <c r="G2190" s="2" t="s">
        <v>2</v>
      </c>
      <c r="H2190" s="3" t="s">
        <v>84</v>
      </c>
      <c r="I2190" s="3" t="s">
        <v>85</v>
      </c>
      <c r="J2190" s="3" t="s">
        <v>69</v>
      </c>
      <c r="K2190" s="4">
        <v>43.23</v>
      </c>
      <c r="L2190" s="6">
        <v>3.98</v>
      </c>
    </row>
    <row r="2191" spans="1:12" x14ac:dyDescent="0.25">
      <c r="A2191" s="1">
        <v>2190</v>
      </c>
      <c r="B2191" s="4">
        <v>15780</v>
      </c>
      <c r="C2191" s="5">
        <v>40646</v>
      </c>
      <c r="D2191" s="3" t="s">
        <v>95</v>
      </c>
      <c r="E2191" s="1" t="s">
        <v>893</v>
      </c>
      <c r="F2191" s="1" t="s">
        <v>22</v>
      </c>
      <c r="G2191" s="2" t="s">
        <v>6</v>
      </c>
      <c r="H2191" s="3" t="s">
        <v>88</v>
      </c>
      <c r="I2191" s="3" t="s">
        <v>85</v>
      </c>
      <c r="J2191" s="3" t="s">
        <v>64</v>
      </c>
      <c r="K2191" s="4">
        <v>71.77</v>
      </c>
      <c r="L2191" s="6">
        <v>3.78</v>
      </c>
    </row>
    <row r="2192" spans="1:12" x14ac:dyDescent="0.25">
      <c r="A2192" s="1">
        <v>2191</v>
      </c>
      <c r="B2192" s="4">
        <v>15781</v>
      </c>
      <c r="C2192" s="5">
        <v>41155</v>
      </c>
      <c r="D2192" s="3" t="s">
        <v>89</v>
      </c>
      <c r="E2192" s="1" t="s">
        <v>505</v>
      </c>
      <c r="F2192" s="1" t="s">
        <v>43</v>
      </c>
      <c r="G2192" s="2" t="s">
        <v>1</v>
      </c>
      <c r="H2192" s="3" t="s">
        <v>97</v>
      </c>
      <c r="I2192" s="3" t="s">
        <v>92</v>
      </c>
      <c r="J2192" s="3" t="s">
        <v>62</v>
      </c>
      <c r="K2192" s="4">
        <v>824.51</v>
      </c>
      <c r="L2192" s="6">
        <v>27.48</v>
      </c>
    </row>
    <row r="2193" spans="1:12" x14ac:dyDescent="0.25">
      <c r="A2193" s="1">
        <v>2192</v>
      </c>
      <c r="B2193" s="4">
        <v>15782</v>
      </c>
      <c r="C2193" s="5">
        <v>40998</v>
      </c>
      <c r="D2193" s="3" t="s">
        <v>89</v>
      </c>
      <c r="E2193" s="1" t="s">
        <v>606</v>
      </c>
      <c r="F2193" s="1" t="s">
        <v>9</v>
      </c>
      <c r="G2193" s="2" t="s">
        <v>2</v>
      </c>
      <c r="H2193" s="3" t="s">
        <v>84</v>
      </c>
      <c r="I2193" s="3" t="s">
        <v>91</v>
      </c>
      <c r="J2193" s="3" t="s">
        <v>60</v>
      </c>
      <c r="K2193" s="4">
        <v>2339.64</v>
      </c>
      <c r="L2193" s="6">
        <v>71.37</v>
      </c>
    </row>
    <row r="2194" spans="1:12" x14ac:dyDescent="0.25">
      <c r="A2194" s="1">
        <v>2193</v>
      </c>
      <c r="B2194" s="4">
        <v>15808</v>
      </c>
      <c r="C2194" s="5">
        <v>40526</v>
      </c>
      <c r="D2194" s="3" t="s">
        <v>95</v>
      </c>
      <c r="E2194" s="1" t="s">
        <v>805</v>
      </c>
      <c r="F2194" s="1" t="s">
        <v>46</v>
      </c>
      <c r="G2194" s="2" t="s">
        <v>6</v>
      </c>
      <c r="H2194" s="3" t="s">
        <v>88</v>
      </c>
      <c r="I2194" s="3" t="s">
        <v>91</v>
      </c>
      <c r="J2194" s="3" t="s">
        <v>59</v>
      </c>
      <c r="K2194" s="4">
        <v>126.88</v>
      </c>
      <c r="L2194" s="6">
        <v>3.7</v>
      </c>
    </row>
    <row r="2195" spans="1:12" x14ac:dyDescent="0.25">
      <c r="A2195" s="1">
        <v>2194</v>
      </c>
      <c r="B2195" s="4">
        <v>15808</v>
      </c>
      <c r="C2195" s="5">
        <v>40526</v>
      </c>
      <c r="D2195" s="3" t="s">
        <v>95</v>
      </c>
      <c r="E2195" s="1" t="s">
        <v>913</v>
      </c>
      <c r="F2195" s="1" t="s">
        <v>46</v>
      </c>
      <c r="G2195" s="2" t="s">
        <v>6</v>
      </c>
      <c r="H2195" s="3" t="s">
        <v>88</v>
      </c>
      <c r="I2195" s="3" t="s">
        <v>85</v>
      </c>
      <c r="J2195" s="3" t="s">
        <v>69</v>
      </c>
      <c r="K2195" s="4">
        <v>906.64</v>
      </c>
      <c r="L2195" s="6">
        <v>22.38</v>
      </c>
    </row>
    <row r="2196" spans="1:12" x14ac:dyDescent="0.25">
      <c r="A2196" s="1">
        <v>2195</v>
      </c>
      <c r="B2196" s="4">
        <v>15808</v>
      </c>
      <c r="C2196" s="5">
        <v>40526</v>
      </c>
      <c r="D2196" s="3" t="s">
        <v>95</v>
      </c>
      <c r="E2196" s="1" t="s">
        <v>913</v>
      </c>
      <c r="F2196" s="1" t="s">
        <v>46</v>
      </c>
      <c r="G2196" s="2" t="s">
        <v>6</v>
      </c>
      <c r="H2196" s="3" t="s">
        <v>88</v>
      </c>
      <c r="I2196" s="3" t="s">
        <v>92</v>
      </c>
      <c r="J2196" s="3" t="s">
        <v>62</v>
      </c>
      <c r="K2196" s="4">
        <v>882.96</v>
      </c>
      <c r="L2196" s="6">
        <v>19.98</v>
      </c>
    </row>
    <row r="2197" spans="1:12" x14ac:dyDescent="0.25">
      <c r="A2197" s="1">
        <v>2196</v>
      </c>
      <c r="B2197" s="4">
        <v>15808</v>
      </c>
      <c r="C2197" s="5">
        <v>40526</v>
      </c>
      <c r="D2197" s="3" t="s">
        <v>95</v>
      </c>
      <c r="E2197" s="1" t="s">
        <v>913</v>
      </c>
      <c r="F2197" s="1" t="s">
        <v>46</v>
      </c>
      <c r="G2197" s="2" t="s">
        <v>6</v>
      </c>
      <c r="H2197" s="3" t="s">
        <v>88</v>
      </c>
      <c r="I2197" s="3" t="s">
        <v>92</v>
      </c>
      <c r="J2197" s="3" t="s">
        <v>61</v>
      </c>
      <c r="K2197" s="4">
        <v>58.14</v>
      </c>
      <c r="L2197" s="6">
        <v>20.99</v>
      </c>
    </row>
    <row r="2198" spans="1:12" x14ac:dyDescent="0.25">
      <c r="A2198" s="1">
        <v>2197</v>
      </c>
      <c r="B2198" s="4">
        <v>15815</v>
      </c>
      <c r="C2198" s="5">
        <v>39934</v>
      </c>
      <c r="D2198" s="3" t="s">
        <v>95</v>
      </c>
      <c r="E2198" s="1" t="s">
        <v>914</v>
      </c>
      <c r="F2198" s="1" t="s">
        <v>26</v>
      </c>
      <c r="G2198" s="2" t="s">
        <v>3</v>
      </c>
      <c r="H2198" s="3" t="s">
        <v>88</v>
      </c>
      <c r="I2198" s="3" t="s">
        <v>85</v>
      </c>
      <c r="J2198" s="3" t="s">
        <v>69</v>
      </c>
      <c r="K2198" s="4">
        <v>528.6</v>
      </c>
      <c r="L2198" s="6">
        <v>11.7</v>
      </c>
    </row>
    <row r="2199" spans="1:12" x14ac:dyDescent="0.25">
      <c r="A2199" s="1">
        <v>2198</v>
      </c>
      <c r="B2199" s="4">
        <v>15815</v>
      </c>
      <c r="C2199" s="5">
        <v>39934</v>
      </c>
      <c r="D2199" s="3" t="s">
        <v>95</v>
      </c>
      <c r="E2199" s="1" t="s">
        <v>914</v>
      </c>
      <c r="F2199" s="1" t="s">
        <v>26</v>
      </c>
      <c r="G2199" s="2" t="s">
        <v>3</v>
      </c>
      <c r="H2199" s="3" t="s">
        <v>88</v>
      </c>
      <c r="I2199" s="3" t="s">
        <v>85</v>
      </c>
      <c r="J2199" s="3" t="s">
        <v>69</v>
      </c>
      <c r="K2199" s="4">
        <v>107.41</v>
      </c>
      <c r="L2199" s="6">
        <v>4.55</v>
      </c>
    </row>
    <row r="2200" spans="1:12" x14ac:dyDescent="0.25">
      <c r="A2200" s="1">
        <v>2199</v>
      </c>
      <c r="B2200" s="4">
        <v>15872</v>
      </c>
      <c r="C2200" s="5">
        <v>41212</v>
      </c>
      <c r="D2200" s="3" t="s">
        <v>86</v>
      </c>
      <c r="E2200" s="1" t="s">
        <v>368</v>
      </c>
      <c r="F2200" s="1" t="s">
        <v>41</v>
      </c>
      <c r="G2200" s="2" t="s">
        <v>6</v>
      </c>
      <c r="H2200" s="3" t="s">
        <v>88</v>
      </c>
      <c r="I2200" s="3" t="s">
        <v>85</v>
      </c>
      <c r="J2200" s="3" t="s">
        <v>70</v>
      </c>
      <c r="K2200" s="4">
        <v>5198.12</v>
      </c>
      <c r="L2200" s="6">
        <v>100.98</v>
      </c>
    </row>
    <row r="2201" spans="1:12" x14ac:dyDescent="0.25">
      <c r="A2201" s="1">
        <v>2200</v>
      </c>
      <c r="B2201" s="4">
        <v>15872</v>
      </c>
      <c r="C2201" s="5">
        <v>41212</v>
      </c>
      <c r="D2201" s="3" t="s">
        <v>86</v>
      </c>
      <c r="E2201" s="1" t="s">
        <v>368</v>
      </c>
      <c r="F2201" s="1" t="s">
        <v>41</v>
      </c>
      <c r="G2201" s="2" t="s">
        <v>6</v>
      </c>
      <c r="H2201" s="3" t="s">
        <v>88</v>
      </c>
      <c r="I2201" s="3" t="s">
        <v>85</v>
      </c>
      <c r="J2201" s="3" t="s">
        <v>66</v>
      </c>
      <c r="K2201" s="4">
        <v>188.53</v>
      </c>
      <c r="L2201" s="6">
        <v>7.35</v>
      </c>
    </row>
    <row r="2202" spans="1:12" x14ac:dyDescent="0.25">
      <c r="A2202" s="1">
        <v>2201</v>
      </c>
      <c r="B2202" s="4">
        <v>15872</v>
      </c>
      <c r="C2202" s="5">
        <v>41212</v>
      </c>
      <c r="D2202" s="3" t="s">
        <v>86</v>
      </c>
      <c r="E2202" s="1" t="s">
        <v>368</v>
      </c>
      <c r="F2202" s="1" t="s">
        <v>41</v>
      </c>
      <c r="G2202" s="2" t="s">
        <v>6</v>
      </c>
      <c r="H2202" s="3" t="s">
        <v>88</v>
      </c>
      <c r="I2202" s="3" t="s">
        <v>85</v>
      </c>
      <c r="J2202" s="3" t="s">
        <v>66</v>
      </c>
      <c r="K2202" s="4">
        <v>718.41</v>
      </c>
      <c r="L2202" s="6">
        <v>40.99</v>
      </c>
    </row>
    <row r="2203" spans="1:12" x14ac:dyDescent="0.25">
      <c r="A2203" s="1">
        <v>2202</v>
      </c>
      <c r="B2203" s="4">
        <v>15878</v>
      </c>
      <c r="C2203" s="5">
        <v>40486</v>
      </c>
      <c r="D2203" s="3" t="s">
        <v>89</v>
      </c>
      <c r="E2203" s="1" t="s">
        <v>866</v>
      </c>
      <c r="F2203" s="1" t="s">
        <v>25</v>
      </c>
      <c r="G2203" s="2" t="s">
        <v>6</v>
      </c>
      <c r="H2203" s="3" t="s">
        <v>88</v>
      </c>
      <c r="I2203" s="3" t="s">
        <v>85</v>
      </c>
      <c r="J2203" s="3" t="s">
        <v>66</v>
      </c>
      <c r="K2203" s="4">
        <v>275.06</v>
      </c>
      <c r="L2203" s="6">
        <v>7.28</v>
      </c>
    </row>
    <row r="2204" spans="1:12" x14ac:dyDescent="0.25">
      <c r="A2204" s="1">
        <v>2203</v>
      </c>
      <c r="B2204" s="4">
        <v>15904</v>
      </c>
      <c r="C2204" s="5">
        <v>40113</v>
      </c>
      <c r="D2204" s="3" t="s">
        <v>86</v>
      </c>
      <c r="E2204" s="1" t="s">
        <v>473</v>
      </c>
      <c r="F2204" s="1" t="s">
        <v>19</v>
      </c>
      <c r="G2204" s="2" t="s">
        <v>3</v>
      </c>
      <c r="H2204" s="3" t="s">
        <v>84</v>
      </c>
      <c r="I2204" s="3" t="s">
        <v>85</v>
      </c>
      <c r="J2204" s="3" t="s">
        <v>63</v>
      </c>
      <c r="K2204" s="4">
        <v>124.01</v>
      </c>
      <c r="L2204" s="6">
        <v>3.28</v>
      </c>
    </row>
    <row r="2205" spans="1:12" x14ac:dyDescent="0.25">
      <c r="A2205" s="1">
        <v>2204</v>
      </c>
      <c r="B2205" s="4">
        <v>15904</v>
      </c>
      <c r="C2205" s="5">
        <v>40113</v>
      </c>
      <c r="D2205" s="3" t="s">
        <v>86</v>
      </c>
      <c r="E2205" s="1" t="s">
        <v>473</v>
      </c>
      <c r="F2205" s="1" t="s">
        <v>19</v>
      </c>
      <c r="G2205" s="2" t="s">
        <v>3</v>
      </c>
      <c r="H2205" s="3" t="s">
        <v>84</v>
      </c>
      <c r="I2205" s="3" t="s">
        <v>85</v>
      </c>
      <c r="J2205" s="3" t="s">
        <v>63</v>
      </c>
      <c r="K2205" s="4">
        <v>1836.84</v>
      </c>
      <c r="L2205" s="6">
        <v>40.97</v>
      </c>
    </row>
    <row r="2206" spans="1:12" x14ac:dyDescent="0.25">
      <c r="A2206" s="1">
        <v>2205</v>
      </c>
      <c r="B2206" s="4">
        <v>15906</v>
      </c>
      <c r="C2206" s="5">
        <v>40448</v>
      </c>
      <c r="D2206" s="3" t="s">
        <v>82</v>
      </c>
      <c r="E2206" s="1" t="s">
        <v>456</v>
      </c>
      <c r="F2206" s="1" t="s">
        <v>23</v>
      </c>
      <c r="G2206" s="2" t="s">
        <v>3</v>
      </c>
      <c r="H2206" s="3" t="s">
        <v>88</v>
      </c>
      <c r="I2206" s="3" t="s">
        <v>92</v>
      </c>
      <c r="J2206" s="3" t="s">
        <v>67</v>
      </c>
      <c r="K2206" s="4">
        <v>2174.96</v>
      </c>
      <c r="L2206" s="6">
        <v>264.98</v>
      </c>
    </row>
    <row r="2207" spans="1:12" x14ac:dyDescent="0.25">
      <c r="A2207" s="1">
        <v>2206</v>
      </c>
      <c r="B2207" s="4">
        <v>15907</v>
      </c>
      <c r="C2207" s="5">
        <v>40644</v>
      </c>
      <c r="D2207" s="3" t="s">
        <v>89</v>
      </c>
      <c r="E2207" s="1" t="s">
        <v>915</v>
      </c>
      <c r="F2207" s="1" t="s">
        <v>8</v>
      </c>
      <c r="G2207" s="2" t="s">
        <v>6</v>
      </c>
      <c r="H2207" s="3" t="s">
        <v>97</v>
      </c>
      <c r="I2207" s="3" t="s">
        <v>91</v>
      </c>
      <c r="J2207" s="3" t="s">
        <v>68</v>
      </c>
      <c r="K2207" s="4">
        <v>1837.44</v>
      </c>
      <c r="L2207" s="6">
        <v>48.58</v>
      </c>
    </row>
    <row r="2208" spans="1:12" x14ac:dyDescent="0.25">
      <c r="A2208" s="1">
        <v>2207</v>
      </c>
      <c r="B2208" s="4">
        <v>15907</v>
      </c>
      <c r="C2208" s="5">
        <v>40644</v>
      </c>
      <c r="D2208" s="3" t="s">
        <v>89</v>
      </c>
      <c r="E2208" s="1" t="s">
        <v>915</v>
      </c>
      <c r="F2208" s="1" t="s">
        <v>8</v>
      </c>
      <c r="G2208" s="2" t="s">
        <v>6</v>
      </c>
      <c r="H2208" s="3" t="s">
        <v>97</v>
      </c>
      <c r="I2208" s="3" t="s">
        <v>91</v>
      </c>
      <c r="J2208" s="3" t="s">
        <v>59</v>
      </c>
      <c r="K2208" s="4">
        <v>3722.29</v>
      </c>
      <c r="L2208" s="6">
        <v>105.98</v>
      </c>
    </row>
    <row r="2209" spans="1:12" x14ac:dyDescent="0.25">
      <c r="A2209" s="1">
        <v>2208</v>
      </c>
      <c r="B2209" s="4">
        <v>15907</v>
      </c>
      <c r="C2209" s="5">
        <v>40644</v>
      </c>
      <c r="D2209" s="3" t="s">
        <v>89</v>
      </c>
      <c r="E2209" s="1" t="s">
        <v>915</v>
      </c>
      <c r="F2209" s="1" t="s">
        <v>8</v>
      </c>
      <c r="G2209" s="2" t="s">
        <v>6</v>
      </c>
      <c r="H2209" s="3" t="s">
        <v>97</v>
      </c>
      <c r="I2209" s="3" t="s">
        <v>85</v>
      </c>
      <c r="J2209" s="3" t="s">
        <v>66</v>
      </c>
      <c r="K2209" s="4">
        <v>28.05</v>
      </c>
      <c r="L2209" s="6">
        <v>7.04</v>
      </c>
    </row>
    <row r="2210" spans="1:12" x14ac:dyDescent="0.25">
      <c r="A2210" s="1">
        <v>2209</v>
      </c>
      <c r="B2210" s="4">
        <v>15937</v>
      </c>
      <c r="C2210" s="5">
        <v>41219</v>
      </c>
      <c r="D2210" s="3" t="s">
        <v>82</v>
      </c>
      <c r="E2210" s="1" t="s">
        <v>162</v>
      </c>
      <c r="F2210" s="1" t="s">
        <v>8</v>
      </c>
      <c r="G2210" s="2" t="s">
        <v>6</v>
      </c>
      <c r="H2210" s="3" t="s">
        <v>88</v>
      </c>
      <c r="I2210" s="3" t="s">
        <v>92</v>
      </c>
      <c r="J2210" s="3" t="s">
        <v>62</v>
      </c>
      <c r="K2210" s="4">
        <v>311.44</v>
      </c>
      <c r="L2210" s="6">
        <v>9.7799999999999994</v>
      </c>
    </row>
    <row r="2211" spans="1:12" x14ac:dyDescent="0.25">
      <c r="A2211" s="1">
        <v>2210</v>
      </c>
      <c r="B2211" s="4">
        <v>15937</v>
      </c>
      <c r="C2211" s="5">
        <v>41219</v>
      </c>
      <c r="D2211" s="3" t="s">
        <v>82</v>
      </c>
      <c r="E2211" s="1" t="s">
        <v>916</v>
      </c>
      <c r="F2211" s="1" t="s">
        <v>8</v>
      </c>
      <c r="G2211" s="2" t="s">
        <v>6</v>
      </c>
      <c r="H2211" s="3" t="s">
        <v>88</v>
      </c>
      <c r="I2211" s="3" t="s">
        <v>91</v>
      </c>
      <c r="J2211" s="3" t="s">
        <v>59</v>
      </c>
      <c r="K2211" s="4">
        <v>215.65</v>
      </c>
      <c r="L2211" s="6">
        <v>12.22</v>
      </c>
    </row>
    <row r="2212" spans="1:12" x14ac:dyDescent="0.25">
      <c r="A2212" s="1">
        <v>2211</v>
      </c>
      <c r="B2212" s="4">
        <v>15941</v>
      </c>
      <c r="C2212" s="5">
        <v>40887</v>
      </c>
      <c r="D2212" s="3" t="s">
        <v>86</v>
      </c>
      <c r="E2212" s="1" t="s">
        <v>688</v>
      </c>
      <c r="F2212" s="1" t="s">
        <v>31</v>
      </c>
      <c r="G2212" s="2" t="s">
        <v>1</v>
      </c>
      <c r="H2212" s="3" t="s">
        <v>100</v>
      </c>
      <c r="I2212" s="3" t="s">
        <v>91</v>
      </c>
      <c r="J2212" s="3" t="s">
        <v>68</v>
      </c>
      <c r="K2212" s="4">
        <v>951.09</v>
      </c>
      <c r="L2212" s="6">
        <v>58.14</v>
      </c>
    </row>
    <row r="2213" spans="1:12" x14ac:dyDescent="0.25">
      <c r="A2213" s="1">
        <v>2212</v>
      </c>
      <c r="B2213" s="4">
        <v>15971</v>
      </c>
      <c r="C2213" s="5">
        <v>40039</v>
      </c>
      <c r="D2213" s="3" t="s">
        <v>89</v>
      </c>
      <c r="E2213" s="1" t="s">
        <v>917</v>
      </c>
      <c r="F2213" s="1" t="s">
        <v>39</v>
      </c>
      <c r="G2213" s="2" t="s">
        <v>1</v>
      </c>
      <c r="H2213" s="3" t="s">
        <v>100</v>
      </c>
      <c r="I2213" s="3" t="s">
        <v>92</v>
      </c>
      <c r="J2213" s="3" t="s">
        <v>61</v>
      </c>
      <c r="K2213" s="4">
        <v>2172.5149999999999</v>
      </c>
      <c r="L2213" s="6">
        <v>175.99</v>
      </c>
    </row>
    <row r="2214" spans="1:12" x14ac:dyDescent="0.25">
      <c r="A2214" s="1">
        <v>2213</v>
      </c>
      <c r="B2214" s="4">
        <v>15972</v>
      </c>
      <c r="C2214" s="5">
        <v>40764</v>
      </c>
      <c r="D2214" s="3" t="s">
        <v>86</v>
      </c>
      <c r="E2214" s="1" t="s">
        <v>918</v>
      </c>
      <c r="F2214" s="1" t="s">
        <v>13</v>
      </c>
      <c r="G2214" s="2" t="s">
        <v>6</v>
      </c>
      <c r="H2214" s="3" t="s">
        <v>84</v>
      </c>
      <c r="I2214" s="3" t="s">
        <v>85</v>
      </c>
      <c r="J2214" s="3" t="s">
        <v>64</v>
      </c>
      <c r="K2214" s="4">
        <v>10.33</v>
      </c>
      <c r="L2214" s="6">
        <v>2.98</v>
      </c>
    </row>
    <row r="2215" spans="1:12" x14ac:dyDescent="0.25">
      <c r="A2215" s="1">
        <v>2214</v>
      </c>
      <c r="B2215" s="4">
        <v>15972</v>
      </c>
      <c r="C2215" s="5">
        <v>40764</v>
      </c>
      <c r="D2215" s="3" t="s">
        <v>86</v>
      </c>
      <c r="E2215" s="1" t="s">
        <v>919</v>
      </c>
      <c r="F2215" s="1" t="s">
        <v>13</v>
      </c>
      <c r="G2215" s="2" t="s">
        <v>6</v>
      </c>
      <c r="H2215" s="3" t="s">
        <v>84</v>
      </c>
      <c r="I2215" s="3" t="s">
        <v>85</v>
      </c>
      <c r="J2215" s="3" t="s">
        <v>64</v>
      </c>
      <c r="K2215" s="4">
        <v>14.39</v>
      </c>
      <c r="L2215" s="6">
        <v>5.81</v>
      </c>
    </row>
    <row r="2216" spans="1:12" x14ac:dyDescent="0.25">
      <c r="A2216" s="1">
        <v>2215</v>
      </c>
      <c r="B2216" s="4">
        <v>16005</v>
      </c>
      <c r="C2216" s="5">
        <v>41267</v>
      </c>
      <c r="D2216" s="3" t="s">
        <v>86</v>
      </c>
      <c r="E2216" s="1" t="s">
        <v>527</v>
      </c>
      <c r="F2216" s="1" t="s">
        <v>23</v>
      </c>
      <c r="G2216" s="2" t="s">
        <v>3</v>
      </c>
      <c r="H2216" s="3" t="s">
        <v>88</v>
      </c>
      <c r="I2216" s="3" t="s">
        <v>85</v>
      </c>
      <c r="J2216" s="3" t="s">
        <v>69</v>
      </c>
      <c r="K2216" s="4">
        <v>51.03</v>
      </c>
      <c r="L2216" s="6">
        <v>6.81</v>
      </c>
    </row>
    <row r="2217" spans="1:12" x14ac:dyDescent="0.25">
      <c r="A2217" s="1">
        <v>2216</v>
      </c>
      <c r="B2217" s="4">
        <v>16032</v>
      </c>
      <c r="C2217" s="5">
        <v>40152</v>
      </c>
      <c r="D2217" s="3" t="s">
        <v>82</v>
      </c>
      <c r="E2217" s="1" t="s">
        <v>920</v>
      </c>
      <c r="F2217" s="1" t="s">
        <v>41</v>
      </c>
      <c r="G2217" s="2" t="s">
        <v>6</v>
      </c>
      <c r="H2217" s="3" t="s">
        <v>97</v>
      </c>
      <c r="I2217" s="3" t="s">
        <v>91</v>
      </c>
      <c r="J2217" s="3" t="s">
        <v>59</v>
      </c>
      <c r="K2217" s="4">
        <v>436.98</v>
      </c>
      <c r="L2217" s="6">
        <v>12.64</v>
      </c>
    </row>
    <row r="2218" spans="1:12" x14ac:dyDescent="0.25">
      <c r="A2218" s="1">
        <v>2217</v>
      </c>
      <c r="B2218" s="4">
        <v>16036</v>
      </c>
      <c r="C2218" s="5">
        <v>40913</v>
      </c>
      <c r="D2218" s="3" t="s">
        <v>4</v>
      </c>
      <c r="E2218" s="1" t="s">
        <v>921</v>
      </c>
      <c r="F2218" s="1" t="s">
        <v>39</v>
      </c>
      <c r="G2218" s="2" t="s">
        <v>1</v>
      </c>
      <c r="H2218" s="3" t="s">
        <v>88</v>
      </c>
      <c r="I2218" s="3" t="s">
        <v>85</v>
      </c>
      <c r="J2218" s="3" t="s">
        <v>57</v>
      </c>
      <c r="K2218" s="4">
        <v>2160.27</v>
      </c>
      <c r="L2218" s="6">
        <v>80.98</v>
      </c>
    </row>
    <row r="2219" spans="1:12" x14ac:dyDescent="0.25">
      <c r="A2219" s="1">
        <v>2218</v>
      </c>
      <c r="B2219" s="4">
        <v>16036</v>
      </c>
      <c r="C2219" s="5">
        <v>40913</v>
      </c>
      <c r="D2219" s="3" t="s">
        <v>4</v>
      </c>
      <c r="E2219" s="1" t="s">
        <v>922</v>
      </c>
      <c r="F2219" s="1" t="s">
        <v>20</v>
      </c>
      <c r="G2219" s="2" t="s">
        <v>1</v>
      </c>
      <c r="H2219" s="3" t="s">
        <v>88</v>
      </c>
      <c r="I2219" s="3" t="s">
        <v>85</v>
      </c>
      <c r="J2219" s="3" t="s">
        <v>69</v>
      </c>
      <c r="K2219" s="4">
        <v>169.22</v>
      </c>
      <c r="L2219" s="6">
        <v>5.81</v>
      </c>
    </row>
    <row r="2220" spans="1:12" x14ac:dyDescent="0.25">
      <c r="A2220" s="1">
        <v>2219</v>
      </c>
      <c r="B2220" s="4">
        <v>16036</v>
      </c>
      <c r="C2220" s="5">
        <v>40913</v>
      </c>
      <c r="D2220" s="3" t="s">
        <v>4</v>
      </c>
      <c r="E2220" s="1" t="s">
        <v>426</v>
      </c>
      <c r="F2220" s="1" t="s">
        <v>20</v>
      </c>
      <c r="G2220" s="2" t="s">
        <v>1</v>
      </c>
      <c r="H2220" s="3" t="s">
        <v>88</v>
      </c>
      <c r="I2220" s="3" t="s">
        <v>92</v>
      </c>
      <c r="J2220" s="3" t="s">
        <v>61</v>
      </c>
      <c r="K2220" s="4">
        <v>1319.421</v>
      </c>
      <c r="L2220" s="6">
        <v>155.99</v>
      </c>
    </row>
    <row r="2221" spans="1:12" x14ac:dyDescent="0.25">
      <c r="A2221" s="1">
        <v>2220</v>
      </c>
      <c r="B2221" s="4">
        <v>16036</v>
      </c>
      <c r="C2221" s="5">
        <v>40913</v>
      </c>
      <c r="D2221" s="3" t="s">
        <v>4</v>
      </c>
      <c r="E2221" s="1" t="s">
        <v>923</v>
      </c>
      <c r="F2221" s="1" t="s">
        <v>20</v>
      </c>
      <c r="G2221" s="2" t="s">
        <v>1</v>
      </c>
      <c r="H2221" s="3" t="s">
        <v>88</v>
      </c>
      <c r="I2221" s="3" t="s">
        <v>85</v>
      </c>
      <c r="J2221" s="3" t="s">
        <v>57</v>
      </c>
      <c r="K2221" s="4">
        <v>550.92999999999995</v>
      </c>
      <c r="L2221" s="6">
        <v>17.7</v>
      </c>
    </row>
    <row r="2222" spans="1:12" x14ac:dyDescent="0.25">
      <c r="A2222" s="1">
        <v>2221</v>
      </c>
      <c r="B2222" s="4">
        <v>16039</v>
      </c>
      <c r="C2222" s="5">
        <v>41045</v>
      </c>
      <c r="D2222" s="3" t="s">
        <v>89</v>
      </c>
      <c r="E2222" s="1" t="s">
        <v>796</v>
      </c>
      <c r="F2222" s="1" t="s">
        <v>8</v>
      </c>
      <c r="G2222" s="2" t="s">
        <v>6</v>
      </c>
      <c r="H2222" s="3" t="s">
        <v>97</v>
      </c>
      <c r="I2222" s="3" t="s">
        <v>92</v>
      </c>
      <c r="J2222" s="3" t="s">
        <v>62</v>
      </c>
      <c r="K2222" s="4">
        <v>121.12</v>
      </c>
      <c r="L2222" s="6">
        <v>43.98</v>
      </c>
    </row>
    <row r="2223" spans="1:12" x14ac:dyDescent="0.25">
      <c r="A2223" s="1">
        <v>2222</v>
      </c>
      <c r="B2223" s="4">
        <v>16065</v>
      </c>
      <c r="C2223" s="5">
        <v>40379</v>
      </c>
      <c r="D2223" s="3" t="s">
        <v>89</v>
      </c>
      <c r="E2223" s="1" t="s">
        <v>924</v>
      </c>
      <c r="F2223" s="1" t="s">
        <v>13</v>
      </c>
      <c r="G2223" s="2" t="s">
        <v>6</v>
      </c>
      <c r="H2223" s="3" t="s">
        <v>88</v>
      </c>
      <c r="I2223" s="3" t="s">
        <v>92</v>
      </c>
      <c r="J2223" s="3" t="s">
        <v>73</v>
      </c>
      <c r="K2223" s="4">
        <v>6933.45</v>
      </c>
      <c r="L2223" s="6">
        <v>449.99</v>
      </c>
    </row>
    <row r="2224" spans="1:12" x14ac:dyDescent="0.25">
      <c r="A2224" s="1">
        <v>2223</v>
      </c>
      <c r="B2224" s="4">
        <v>16065</v>
      </c>
      <c r="C2224" s="5">
        <v>40379</v>
      </c>
      <c r="D2224" s="3" t="s">
        <v>89</v>
      </c>
      <c r="E2224" s="1" t="s">
        <v>925</v>
      </c>
      <c r="F2224" s="1" t="s">
        <v>13</v>
      </c>
      <c r="G2224" s="2" t="s">
        <v>6</v>
      </c>
      <c r="H2224" s="3" t="s">
        <v>88</v>
      </c>
      <c r="I2224" s="3" t="s">
        <v>85</v>
      </c>
      <c r="J2224" s="3" t="s">
        <v>66</v>
      </c>
      <c r="K2224" s="4">
        <v>54.99</v>
      </c>
      <c r="L2224" s="6">
        <v>4</v>
      </c>
    </row>
    <row r="2225" spans="1:12" x14ac:dyDescent="0.25">
      <c r="A2225" s="1">
        <v>2224</v>
      </c>
      <c r="B2225" s="4">
        <v>16096</v>
      </c>
      <c r="C2225" s="5">
        <v>40562</v>
      </c>
      <c r="D2225" s="3" t="s">
        <v>89</v>
      </c>
      <c r="E2225" s="1" t="s">
        <v>924</v>
      </c>
      <c r="F2225" s="1" t="s">
        <v>13</v>
      </c>
      <c r="G2225" s="2" t="s">
        <v>6</v>
      </c>
      <c r="H2225" s="3" t="s">
        <v>100</v>
      </c>
      <c r="I2225" s="3" t="s">
        <v>85</v>
      </c>
      <c r="J2225" s="3" t="s">
        <v>65</v>
      </c>
      <c r="K2225" s="4">
        <v>42.21</v>
      </c>
      <c r="L2225" s="6">
        <v>2.88</v>
      </c>
    </row>
    <row r="2226" spans="1:12" x14ac:dyDescent="0.25">
      <c r="A2226" s="1">
        <v>2225</v>
      </c>
      <c r="B2226" s="4">
        <v>16098</v>
      </c>
      <c r="C2226" s="5">
        <v>41111</v>
      </c>
      <c r="D2226" s="3" t="s">
        <v>82</v>
      </c>
      <c r="E2226" s="1" t="s">
        <v>580</v>
      </c>
      <c r="F2226" s="1" t="s">
        <v>22</v>
      </c>
      <c r="G2226" s="2" t="s">
        <v>6</v>
      </c>
      <c r="H2226" s="3" t="s">
        <v>97</v>
      </c>
      <c r="I2226" s="3" t="s">
        <v>91</v>
      </c>
      <c r="J2226" s="3" t="s">
        <v>59</v>
      </c>
      <c r="K2226" s="4">
        <v>480.43</v>
      </c>
      <c r="L2226" s="6">
        <v>14.98</v>
      </c>
    </row>
    <row r="2227" spans="1:12" x14ac:dyDescent="0.25">
      <c r="A2227" s="1">
        <v>2226</v>
      </c>
      <c r="B2227" s="4">
        <v>16098</v>
      </c>
      <c r="C2227" s="5">
        <v>41111</v>
      </c>
      <c r="D2227" s="3" t="s">
        <v>82</v>
      </c>
      <c r="E2227" s="1" t="s">
        <v>926</v>
      </c>
      <c r="F2227" s="1" t="s">
        <v>35</v>
      </c>
      <c r="G2227" s="2" t="s">
        <v>1</v>
      </c>
      <c r="H2227" s="3" t="s">
        <v>97</v>
      </c>
      <c r="I2227" s="3" t="s">
        <v>85</v>
      </c>
      <c r="J2227" s="3" t="s">
        <v>69</v>
      </c>
      <c r="K2227" s="4">
        <v>1001.99</v>
      </c>
      <c r="L2227" s="6">
        <v>24.95</v>
      </c>
    </row>
    <row r="2228" spans="1:12" x14ac:dyDescent="0.25">
      <c r="A2228" s="1">
        <v>2227</v>
      </c>
      <c r="B2228" s="4">
        <v>16100</v>
      </c>
      <c r="C2228" s="5">
        <v>40609</v>
      </c>
      <c r="D2228" s="3" t="s">
        <v>4</v>
      </c>
      <c r="E2228" s="1" t="s">
        <v>170</v>
      </c>
      <c r="F2228" s="1" t="s">
        <v>38</v>
      </c>
      <c r="G2228" s="2" t="s">
        <v>6</v>
      </c>
      <c r="H2228" s="3" t="s">
        <v>88</v>
      </c>
      <c r="I2228" s="3" t="s">
        <v>91</v>
      </c>
      <c r="J2228" s="3" t="s">
        <v>59</v>
      </c>
      <c r="K2228" s="4">
        <v>226.18</v>
      </c>
      <c r="L2228" s="6">
        <v>4.82</v>
      </c>
    </row>
    <row r="2229" spans="1:12" x14ac:dyDescent="0.25">
      <c r="A2229" s="1">
        <v>2228</v>
      </c>
      <c r="B2229" s="4">
        <v>16102</v>
      </c>
      <c r="C2229" s="5">
        <v>40160</v>
      </c>
      <c r="D2229" s="3" t="s">
        <v>86</v>
      </c>
      <c r="E2229" s="1" t="s">
        <v>749</v>
      </c>
      <c r="F2229" s="1" t="s">
        <v>24</v>
      </c>
      <c r="G2229" s="2" t="s">
        <v>2</v>
      </c>
      <c r="H2229" s="3" t="s">
        <v>97</v>
      </c>
      <c r="I2229" s="3" t="s">
        <v>91</v>
      </c>
      <c r="J2229" s="3" t="s">
        <v>72</v>
      </c>
      <c r="K2229" s="4">
        <v>13255.93</v>
      </c>
      <c r="L2229" s="6">
        <v>500.98</v>
      </c>
    </row>
    <row r="2230" spans="1:12" x14ac:dyDescent="0.25">
      <c r="A2230" s="1">
        <v>2229</v>
      </c>
      <c r="B2230" s="4">
        <v>16103</v>
      </c>
      <c r="C2230" s="5">
        <v>41105</v>
      </c>
      <c r="D2230" s="3" t="s">
        <v>86</v>
      </c>
      <c r="E2230" s="1" t="s">
        <v>174</v>
      </c>
      <c r="F2230" s="1" t="s">
        <v>22</v>
      </c>
      <c r="G2230" s="2" t="s">
        <v>6</v>
      </c>
      <c r="H2230" s="3" t="s">
        <v>88</v>
      </c>
      <c r="I2230" s="3" t="s">
        <v>85</v>
      </c>
      <c r="J2230" s="3" t="s">
        <v>66</v>
      </c>
      <c r="K2230" s="4">
        <v>217.14</v>
      </c>
      <c r="L2230" s="6">
        <v>6.48</v>
      </c>
    </row>
    <row r="2231" spans="1:12" x14ac:dyDescent="0.25">
      <c r="A2231" s="1">
        <v>2230</v>
      </c>
      <c r="B2231" s="4">
        <v>16103</v>
      </c>
      <c r="C2231" s="5">
        <v>41105</v>
      </c>
      <c r="D2231" s="3" t="s">
        <v>86</v>
      </c>
      <c r="E2231" s="1" t="s">
        <v>898</v>
      </c>
      <c r="F2231" s="1" t="s">
        <v>23</v>
      </c>
      <c r="G2231" s="2" t="s">
        <v>3</v>
      </c>
      <c r="H2231" s="3" t="s">
        <v>88</v>
      </c>
      <c r="I2231" s="3" t="s">
        <v>85</v>
      </c>
      <c r="J2231" s="3" t="s">
        <v>63</v>
      </c>
      <c r="K2231" s="4">
        <v>426.7</v>
      </c>
      <c r="L2231" s="6">
        <v>19.84</v>
      </c>
    </row>
    <row r="2232" spans="1:12" x14ac:dyDescent="0.25">
      <c r="A2232" s="1">
        <v>2231</v>
      </c>
      <c r="B2232" s="4">
        <v>16128</v>
      </c>
      <c r="C2232" s="5">
        <v>40671</v>
      </c>
      <c r="D2232" s="3" t="s">
        <v>89</v>
      </c>
      <c r="E2232" s="1" t="s">
        <v>741</v>
      </c>
      <c r="F2232" s="1" t="s">
        <v>29</v>
      </c>
      <c r="G2232" s="2" t="s">
        <v>3</v>
      </c>
      <c r="H2232" s="3" t="s">
        <v>88</v>
      </c>
      <c r="I2232" s="3" t="s">
        <v>91</v>
      </c>
      <c r="J2232" s="3" t="s">
        <v>59</v>
      </c>
      <c r="K2232" s="4">
        <v>2968.66</v>
      </c>
      <c r="L2232" s="6">
        <v>63.94</v>
      </c>
    </row>
    <row r="2233" spans="1:12" x14ac:dyDescent="0.25">
      <c r="A2233" s="1">
        <v>2232</v>
      </c>
      <c r="B2233" s="4">
        <v>16132</v>
      </c>
      <c r="C2233" s="5">
        <v>41209</v>
      </c>
      <c r="D2233" s="3" t="s">
        <v>4</v>
      </c>
      <c r="E2233" s="1" t="s">
        <v>306</v>
      </c>
      <c r="F2233" s="1" t="s">
        <v>9</v>
      </c>
      <c r="G2233" s="2" t="s">
        <v>2</v>
      </c>
      <c r="H2233" s="3" t="s">
        <v>84</v>
      </c>
      <c r="I2233" s="3" t="s">
        <v>85</v>
      </c>
      <c r="J2233" s="3" t="s">
        <v>69</v>
      </c>
      <c r="K2233" s="4">
        <v>519.96</v>
      </c>
      <c r="L2233" s="6">
        <v>21.38</v>
      </c>
    </row>
    <row r="2234" spans="1:12" x14ac:dyDescent="0.25">
      <c r="A2234" s="1">
        <v>2233</v>
      </c>
      <c r="B2234" s="4">
        <v>16133</v>
      </c>
      <c r="C2234" s="5">
        <v>40081</v>
      </c>
      <c r="D2234" s="3" t="s">
        <v>95</v>
      </c>
      <c r="E2234" s="1" t="s">
        <v>122</v>
      </c>
      <c r="F2234" s="1" t="s">
        <v>44</v>
      </c>
      <c r="G2234" s="2" t="s">
        <v>3</v>
      </c>
      <c r="H2234" s="3" t="s">
        <v>84</v>
      </c>
      <c r="I2234" s="3" t="s">
        <v>92</v>
      </c>
      <c r="J2234" s="3" t="s">
        <v>67</v>
      </c>
      <c r="K2234" s="4">
        <v>3083.04</v>
      </c>
      <c r="L2234" s="6">
        <v>200.97</v>
      </c>
    </row>
    <row r="2235" spans="1:12" x14ac:dyDescent="0.25">
      <c r="A2235" s="1">
        <v>2234</v>
      </c>
      <c r="B2235" s="4">
        <v>16133</v>
      </c>
      <c r="C2235" s="5">
        <v>40081</v>
      </c>
      <c r="D2235" s="3" t="s">
        <v>95</v>
      </c>
      <c r="E2235" s="1" t="s">
        <v>927</v>
      </c>
      <c r="F2235" s="1" t="s">
        <v>25</v>
      </c>
      <c r="G2235" s="2" t="s">
        <v>6</v>
      </c>
      <c r="H2235" s="3" t="s">
        <v>84</v>
      </c>
      <c r="I2235" s="3" t="s">
        <v>91</v>
      </c>
      <c r="J2235" s="3" t="s">
        <v>59</v>
      </c>
      <c r="K2235" s="4">
        <v>27.96</v>
      </c>
      <c r="L2235" s="6">
        <v>14.89</v>
      </c>
    </row>
    <row r="2236" spans="1:12" x14ac:dyDescent="0.25">
      <c r="A2236" s="1">
        <v>2235</v>
      </c>
      <c r="B2236" s="4">
        <v>16134</v>
      </c>
      <c r="C2236" s="5">
        <v>41232</v>
      </c>
      <c r="D2236" s="3" t="s">
        <v>89</v>
      </c>
      <c r="E2236" s="1" t="s">
        <v>552</v>
      </c>
      <c r="F2236" s="1" t="s">
        <v>44</v>
      </c>
      <c r="G2236" s="2" t="s">
        <v>3</v>
      </c>
      <c r="H2236" s="3" t="s">
        <v>97</v>
      </c>
      <c r="I2236" s="3" t="s">
        <v>92</v>
      </c>
      <c r="J2236" s="3" t="s">
        <v>67</v>
      </c>
      <c r="K2236" s="4">
        <v>21921.279999999999</v>
      </c>
      <c r="L2236" s="6">
        <v>500.98</v>
      </c>
    </row>
    <row r="2237" spans="1:12" x14ac:dyDescent="0.25">
      <c r="A2237" s="1">
        <v>2236</v>
      </c>
      <c r="B2237" s="4">
        <v>16160</v>
      </c>
      <c r="C2237" s="5">
        <v>40747</v>
      </c>
      <c r="D2237" s="3" t="s">
        <v>95</v>
      </c>
      <c r="E2237" s="1" t="s">
        <v>772</v>
      </c>
      <c r="F2237" s="1" t="s">
        <v>13</v>
      </c>
      <c r="G2237" s="2" t="s">
        <v>6</v>
      </c>
      <c r="H2237" s="3" t="s">
        <v>97</v>
      </c>
      <c r="I2237" s="3" t="s">
        <v>85</v>
      </c>
      <c r="J2237" s="3" t="s">
        <v>70</v>
      </c>
      <c r="K2237" s="4">
        <v>514.86</v>
      </c>
      <c r="L2237" s="6">
        <v>10.89</v>
      </c>
    </row>
    <row r="2238" spans="1:12" x14ac:dyDescent="0.25">
      <c r="A2238" s="1">
        <v>2237</v>
      </c>
      <c r="B2238" s="4">
        <v>16161</v>
      </c>
      <c r="C2238" s="5">
        <v>41118</v>
      </c>
      <c r="D2238" s="3" t="s">
        <v>4</v>
      </c>
      <c r="E2238" s="1" t="s">
        <v>515</v>
      </c>
      <c r="F2238" s="1" t="s">
        <v>30</v>
      </c>
      <c r="G2238" s="2" t="s">
        <v>6</v>
      </c>
      <c r="H2238" s="3" t="s">
        <v>100</v>
      </c>
      <c r="I2238" s="3" t="s">
        <v>92</v>
      </c>
      <c r="J2238" s="3" t="s">
        <v>61</v>
      </c>
      <c r="K2238" s="4">
        <v>2692.6895</v>
      </c>
      <c r="L2238" s="6">
        <v>65.989999999999995</v>
      </c>
    </row>
    <row r="2239" spans="1:12" x14ac:dyDescent="0.25">
      <c r="A2239" s="1">
        <v>2238</v>
      </c>
      <c r="B2239" s="4">
        <v>16161</v>
      </c>
      <c r="C2239" s="5">
        <v>41118</v>
      </c>
      <c r="D2239" s="3" t="s">
        <v>4</v>
      </c>
      <c r="E2239" s="1" t="s">
        <v>928</v>
      </c>
      <c r="F2239" s="1" t="s">
        <v>30</v>
      </c>
      <c r="G2239" s="2" t="s">
        <v>6</v>
      </c>
      <c r="H2239" s="3" t="s">
        <v>100</v>
      </c>
      <c r="I2239" s="3" t="s">
        <v>85</v>
      </c>
      <c r="J2239" s="3" t="s">
        <v>64</v>
      </c>
      <c r="K2239" s="4">
        <v>151.19</v>
      </c>
      <c r="L2239" s="6">
        <v>3.78</v>
      </c>
    </row>
    <row r="2240" spans="1:12" x14ac:dyDescent="0.25">
      <c r="A2240" s="1">
        <v>2239</v>
      </c>
      <c r="B2240" s="4">
        <v>16164</v>
      </c>
      <c r="C2240" s="5">
        <v>40911</v>
      </c>
      <c r="D2240" s="3" t="s">
        <v>82</v>
      </c>
      <c r="E2240" s="1" t="s">
        <v>929</v>
      </c>
      <c r="F2240" s="1" t="s">
        <v>36</v>
      </c>
      <c r="G2240" s="2" t="s">
        <v>2</v>
      </c>
      <c r="H2240" s="3" t="s">
        <v>97</v>
      </c>
      <c r="I2240" s="3" t="s">
        <v>85</v>
      </c>
      <c r="J2240" s="3" t="s">
        <v>71</v>
      </c>
      <c r="K2240" s="4">
        <v>3353.54</v>
      </c>
      <c r="L2240" s="6">
        <v>162.93</v>
      </c>
    </row>
    <row r="2241" spans="1:12" x14ac:dyDescent="0.25">
      <c r="A2241" s="1">
        <v>2240</v>
      </c>
      <c r="B2241" s="4">
        <v>16164</v>
      </c>
      <c r="C2241" s="5">
        <v>40911</v>
      </c>
      <c r="D2241" s="3" t="s">
        <v>82</v>
      </c>
      <c r="E2241" s="1" t="s">
        <v>929</v>
      </c>
      <c r="F2241" s="1" t="s">
        <v>36</v>
      </c>
      <c r="G2241" s="2" t="s">
        <v>2</v>
      </c>
      <c r="H2241" s="3" t="s">
        <v>97</v>
      </c>
      <c r="I2241" s="3" t="s">
        <v>85</v>
      </c>
      <c r="J2241" s="3" t="s">
        <v>63</v>
      </c>
      <c r="K2241" s="4">
        <v>69.38</v>
      </c>
      <c r="L2241" s="6">
        <v>2.52</v>
      </c>
    </row>
    <row r="2242" spans="1:12" x14ac:dyDescent="0.25">
      <c r="A2242" s="1">
        <v>2241</v>
      </c>
      <c r="B2242" s="4">
        <v>16164</v>
      </c>
      <c r="C2242" s="5">
        <v>40911</v>
      </c>
      <c r="D2242" s="3" t="s">
        <v>82</v>
      </c>
      <c r="E2242" s="1" t="s">
        <v>648</v>
      </c>
      <c r="F2242" s="1" t="s">
        <v>37</v>
      </c>
      <c r="G2242" s="2" t="s">
        <v>3</v>
      </c>
      <c r="H2242" s="3" t="s">
        <v>97</v>
      </c>
      <c r="I2242" s="3" t="s">
        <v>92</v>
      </c>
      <c r="J2242" s="3" t="s">
        <v>67</v>
      </c>
      <c r="K2242" s="4">
        <v>2354.15</v>
      </c>
      <c r="L2242" s="6">
        <v>90.97</v>
      </c>
    </row>
    <row r="2243" spans="1:12" x14ac:dyDescent="0.25">
      <c r="A2243" s="1">
        <v>2242</v>
      </c>
      <c r="B2243" s="4">
        <v>16165</v>
      </c>
      <c r="C2243" s="5">
        <v>40381</v>
      </c>
      <c r="D2243" s="3" t="s">
        <v>86</v>
      </c>
      <c r="E2243" s="1" t="s">
        <v>299</v>
      </c>
      <c r="F2243" s="1" t="s">
        <v>41</v>
      </c>
      <c r="G2243" s="2" t="s">
        <v>6</v>
      </c>
      <c r="H2243" s="3" t="s">
        <v>84</v>
      </c>
      <c r="I2243" s="3" t="s">
        <v>92</v>
      </c>
      <c r="J2243" s="3" t="s">
        <v>62</v>
      </c>
      <c r="K2243" s="4">
        <v>136.68</v>
      </c>
      <c r="L2243" s="6">
        <v>30.73</v>
      </c>
    </row>
    <row r="2244" spans="1:12" x14ac:dyDescent="0.25">
      <c r="A2244" s="1">
        <v>2243</v>
      </c>
      <c r="B2244" s="4">
        <v>16165</v>
      </c>
      <c r="C2244" s="5">
        <v>40381</v>
      </c>
      <c r="D2244" s="3" t="s">
        <v>86</v>
      </c>
      <c r="E2244" s="1" t="s">
        <v>299</v>
      </c>
      <c r="F2244" s="1" t="s">
        <v>41</v>
      </c>
      <c r="G2244" s="2" t="s">
        <v>6</v>
      </c>
      <c r="H2244" s="3" t="s">
        <v>84</v>
      </c>
      <c r="I2244" s="3" t="s">
        <v>91</v>
      </c>
      <c r="J2244" s="3" t="s">
        <v>59</v>
      </c>
      <c r="K2244" s="4">
        <v>1452.48</v>
      </c>
      <c r="L2244" s="6">
        <v>62.18</v>
      </c>
    </row>
    <row r="2245" spans="1:12" x14ac:dyDescent="0.25">
      <c r="A2245" s="1">
        <v>2244</v>
      </c>
      <c r="B2245" s="4">
        <v>16165</v>
      </c>
      <c r="C2245" s="5">
        <v>40381</v>
      </c>
      <c r="D2245" s="3" t="s">
        <v>86</v>
      </c>
      <c r="E2245" s="1" t="s">
        <v>299</v>
      </c>
      <c r="F2245" s="1" t="s">
        <v>41</v>
      </c>
      <c r="G2245" s="2" t="s">
        <v>6</v>
      </c>
      <c r="H2245" s="3" t="s">
        <v>84</v>
      </c>
      <c r="I2245" s="3" t="s">
        <v>85</v>
      </c>
      <c r="J2245" s="3" t="s">
        <v>57</v>
      </c>
      <c r="K2245" s="4">
        <v>3555.29</v>
      </c>
      <c r="L2245" s="6">
        <v>193.17</v>
      </c>
    </row>
    <row r="2246" spans="1:12" x14ac:dyDescent="0.25">
      <c r="A2246" s="1">
        <v>2245</v>
      </c>
      <c r="B2246" s="4">
        <v>16166</v>
      </c>
      <c r="C2246" s="5">
        <v>40209</v>
      </c>
      <c r="D2246" s="3" t="s">
        <v>95</v>
      </c>
      <c r="E2246" s="1" t="s">
        <v>804</v>
      </c>
      <c r="F2246" s="1" t="s">
        <v>36</v>
      </c>
      <c r="G2246" s="2" t="s">
        <v>2</v>
      </c>
      <c r="H2246" s="3" t="s">
        <v>84</v>
      </c>
      <c r="I2246" s="3" t="s">
        <v>85</v>
      </c>
      <c r="J2246" s="3" t="s">
        <v>64</v>
      </c>
      <c r="K2246" s="4">
        <v>78.510000000000005</v>
      </c>
      <c r="L2246" s="6">
        <v>2.1800000000000002</v>
      </c>
    </row>
    <row r="2247" spans="1:12" x14ac:dyDescent="0.25">
      <c r="A2247" s="1">
        <v>2246</v>
      </c>
      <c r="B2247" s="4">
        <v>16193</v>
      </c>
      <c r="C2247" s="5">
        <v>41008</v>
      </c>
      <c r="D2247" s="3" t="s">
        <v>86</v>
      </c>
      <c r="E2247" s="1" t="s">
        <v>930</v>
      </c>
      <c r="F2247" s="1" t="s">
        <v>8</v>
      </c>
      <c r="G2247" s="2" t="s">
        <v>6</v>
      </c>
      <c r="H2247" s="3" t="s">
        <v>88</v>
      </c>
      <c r="I2247" s="3" t="s">
        <v>85</v>
      </c>
      <c r="J2247" s="3" t="s">
        <v>57</v>
      </c>
      <c r="K2247" s="4">
        <v>300.2</v>
      </c>
      <c r="L2247" s="6">
        <v>34.76</v>
      </c>
    </row>
    <row r="2248" spans="1:12" x14ac:dyDescent="0.25">
      <c r="A2248" s="1">
        <v>2247</v>
      </c>
      <c r="B2248" s="4">
        <v>16193</v>
      </c>
      <c r="C2248" s="5">
        <v>41008</v>
      </c>
      <c r="D2248" s="3" t="s">
        <v>86</v>
      </c>
      <c r="E2248" s="1" t="s">
        <v>930</v>
      </c>
      <c r="F2248" s="1" t="s">
        <v>8</v>
      </c>
      <c r="G2248" s="2" t="s">
        <v>6</v>
      </c>
      <c r="H2248" s="3" t="s">
        <v>88</v>
      </c>
      <c r="I2248" s="3" t="s">
        <v>92</v>
      </c>
      <c r="J2248" s="3" t="s">
        <v>61</v>
      </c>
      <c r="K2248" s="4">
        <v>1364.8025</v>
      </c>
      <c r="L2248" s="6">
        <v>55.99</v>
      </c>
    </row>
    <row r="2249" spans="1:12" x14ac:dyDescent="0.25">
      <c r="A2249" s="1">
        <v>2248</v>
      </c>
      <c r="B2249" s="4">
        <v>16194</v>
      </c>
      <c r="C2249" s="5">
        <v>40458</v>
      </c>
      <c r="D2249" s="3" t="s">
        <v>86</v>
      </c>
      <c r="E2249" s="1" t="s">
        <v>237</v>
      </c>
      <c r="F2249" s="1" t="s">
        <v>21</v>
      </c>
      <c r="G2249" s="2" t="s">
        <v>1</v>
      </c>
      <c r="H2249" s="3" t="s">
        <v>84</v>
      </c>
      <c r="I2249" s="3" t="s">
        <v>92</v>
      </c>
      <c r="J2249" s="3" t="s">
        <v>61</v>
      </c>
      <c r="K2249" s="4">
        <v>2435.5135</v>
      </c>
      <c r="L2249" s="6">
        <v>125.99</v>
      </c>
    </row>
    <row r="2250" spans="1:12" x14ac:dyDescent="0.25">
      <c r="A2250" s="1">
        <v>2249</v>
      </c>
      <c r="B2250" s="4">
        <v>16196</v>
      </c>
      <c r="C2250" s="5">
        <v>40106</v>
      </c>
      <c r="D2250" s="3" t="s">
        <v>89</v>
      </c>
      <c r="E2250" s="1" t="s">
        <v>450</v>
      </c>
      <c r="F2250" s="1" t="s">
        <v>13</v>
      </c>
      <c r="G2250" s="2" t="s">
        <v>6</v>
      </c>
      <c r="H2250" s="3" t="s">
        <v>97</v>
      </c>
      <c r="I2250" s="3" t="s">
        <v>91</v>
      </c>
      <c r="J2250" s="3" t="s">
        <v>72</v>
      </c>
      <c r="K2250" s="4">
        <v>14521.39</v>
      </c>
      <c r="L2250" s="6">
        <v>320.98</v>
      </c>
    </row>
    <row r="2251" spans="1:12" x14ac:dyDescent="0.25">
      <c r="A2251" s="1">
        <v>2250</v>
      </c>
      <c r="B2251" s="4">
        <v>16196</v>
      </c>
      <c r="C2251" s="5">
        <v>40106</v>
      </c>
      <c r="D2251" s="3" t="s">
        <v>89</v>
      </c>
      <c r="E2251" s="1" t="s">
        <v>450</v>
      </c>
      <c r="F2251" s="1" t="s">
        <v>13</v>
      </c>
      <c r="G2251" s="2" t="s">
        <v>6</v>
      </c>
      <c r="H2251" s="3" t="s">
        <v>97</v>
      </c>
      <c r="I2251" s="3" t="s">
        <v>92</v>
      </c>
      <c r="J2251" s="3" t="s">
        <v>61</v>
      </c>
      <c r="K2251" s="4">
        <v>3925.9714999999997</v>
      </c>
      <c r="L2251" s="6">
        <v>125.99</v>
      </c>
    </row>
    <row r="2252" spans="1:12" x14ac:dyDescent="0.25">
      <c r="A2252" s="1">
        <v>2251</v>
      </c>
      <c r="B2252" s="4">
        <v>16197</v>
      </c>
      <c r="C2252" s="5">
        <v>41208</v>
      </c>
      <c r="D2252" s="3" t="s">
        <v>95</v>
      </c>
      <c r="E2252" s="1" t="s">
        <v>931</v>
      </c>
      <c r="F2252" s="1" t="s">
        <v>42</v>
      </c>
      <c r="G2252" s="2" t="s">
        <v>3</v>
      </c>
      <c r="H2252" s="3" t="s">
        <v>100</v>
      </c>
      <c r="I2252" s="3" t="s">
        <v>85</v>
      </c>
      <c r="J2252" s="3" t="s">
        <v>66</v>
      </c>
      <c r="K2252" s="4">
        <v>218.71</v>
      </c>
      <c r="L2252" s="6">
        <v>9.11</v>
      </c>
    </row>
    <row r="2253" spans="1:12" x14ac:dyDescent="0.25">
      <c r="A2253" s="1">
        <v>2252</v>
      </c>
      <c r="B2253" s="4">
        <v>16197</v>
      </c>
      <c r="C2253" s="5">
        <v>41208</v>
      </c>
      <c r="D2253" s="3" t="s">
        <v>95</v>
      </c>
      <c r="E2253" s="1" t="s">
        <v>931</v>
      </c>
      <c r="F2253" s="1" t="s">
        <v>42</v>
      </c>
      <c r="G2253" s="2" t="s">
        <v>3</v>
      </c>
      <c r="H2253" s="3" t="s">
        <v>100</v>
      </c>
      <c r="I2253" s="3" t="s">
        <v>85</v>
      </c>
      <c r="J2253" s="3" t="s">
        <v>66</v>
      </c>
      <c r="K2253" s="4">
        <v>103.68</v>
      </c>
      <c r="L2253" s="6">
        <v>5.28</v>
      </c>
    </row>
    <row r="2254" spans="1:12" x14ac:dyDescent="0.25">
      <c r="A2254" s="1">
        <v>2253</v>
      </c>
      <c r="B2254" s="4">
        <v>16225</v>
      </c>
      <c r="C2254" s="5">
        <v>39961</v>
      </c>
      <c r="D2254" s="3" t="s">
        <v>95</v>
      </c>
      <c r="E2254" s="1" t="s">
        <v>454</v>
      </c>
      <c r="F2254" s="1" t="s">
        <v>23</v>
      </c>
      <c r="G2254" s="2" t="s">
        <v>3</v>
      </c>
      <c r="H2254" s="3" t="s">
        <v>100</v>
      </c>
      <c r="I2254" s="3" t="s">
        <v>85</v>
      </c>
      <c r="J2254" s="3" t="s">
        <v>57</v>
      </c>
      <c r="K2254" s="4">
        <v>550.29</v>
      </c>
      <c r="L2254" s="6">
        <v>17.7</v>
      </c>
    </row>
    <row r="2255" spans="1:12" x14ac:dyDescent="0.25">
      <c r="A2255" s="1">
        <v>2254</v>
      </c>
      <c r="B2255" s="4">
        <v>16229</v>
      </c>
      <c r="C2255" s="5">
        <v>39901</v>
      </c>
      <c r="D2255" s="3" t="s">
        <v>89</v>
      </c>
      <c r="E2255" s="1" t="s">
        <v>855</v>
      </c>
      <c r="F2255" s="1" t="s">
        <v>24</v>
      </c>
      <c r="G2255" s="2" t="s">
        <v>2</v>
      </c>
      <c r="H2255" s="3" t="s">
        <v>84</v>
      </c>
      <c r="I2255" s="3" t="s">
        <v>92</v>
      </c>
      <c r="J2255" s="3" t="s">
        <v>62</v>
      </c>
      <c r="K2255" s="4">
        <v>1068.7</v>
      </c>
      <c r="L2255" s="6">
        <v>40.98</v>
      </c>
    </row>
    <row r="2256" spans="1:12" x14ac:dyDescent="0.25">
      <c r="A2256" s="1">
        <v>2255</v>
      </c>
      <c r="B2256" s="4">
        <v>16229</v>
      </c>
      <c r="C2256" s="5">
        <v>39901</v>
      </c>
      <c r="D2256" s="3" t="s">
        <v>89</v>
      </c>
      <c r="E2256" s="1" t="s">
        <v>237</v>
      </c>
      <c r="F2256" s="1" t="s">
        <v>21</v>
      </c>
      <c r="G2256" s="2" t="s">
        <v>1</v>
      </c>
      <c r="H2256" s="3" t="s">
        <v>84</v>
      </c>
      <c r="I2256" s="3" t="s">
        <v>92</v>
      </c>
      <c r="J2256" s="3" t="s">
        <v>61</v>
      </c>
      <c r="K2256" s="4">
        <v>568.74350000000004</v>
      </c>
      <c r="L2256" s="6">
        <v>35.99</v>
      </c>
    </row>
    <row r="2257" spans="1:12" x14ac:dyDescent="0.25">
      <c r="A2257" s="1">
        <v>2256</v>
      </c>
      <c r="B2257" s="4">
        <v>16230</v>
      </c>
      <c r="C2257" s="5">
        <v>40236</v>
      </c>
      <c r="D2257" s="3" t="s">
        <v>82</v>
      </c>
      <c r="E2257" s="1" t="s">
        <v>724</v>
      </c>
      <c r="F2257" s="1" t="s">
        <v>28</v>
      </c>
      <c r="G2257" s="2" t="s">
        <v>6</v>
      </c>
      <c r="H2257" s="3" t="s">
        <v>88</v>
      </c>
      <c r="I2257" s="3" t="s">
        <v>85</v>
      </c>
      <c r="J2257" s="3" t="s">
        <v>65</v>
      </c>
      <c r="K2257" s="4">
        <v>13.3</v>
      </c>
      <c r="L2257" s="6">
        <v>7.31</v>
      </c>
    </row>
    <row r="2258" spans="1:12" x14ac:dyDescent="0.25">
      <c r="A2258" s="1">
        <v>2257</v>
      </c>
      <c r="B2258" s="4">
        <v>16230</v>
      </c>
      <c r="C2258" s="5">
        <v>40236</v>
      </c>
      <c r="D2258" s="3" t="s">
        <v>82</v>
      </c>
      <c r="E2258" s="1" t="s">
        <v>655</v>
      </c>
      <c r="F2258" s="1" t="s">
        <v>28</v>
      </c>
      <c r="G2258" s="2" t="s">
        <v>6</v>
      </c>
      <c r="H2258" s="3" t="s">
        <v>88</v>
      </c>
      <c r="I2258" s="3" t="s">
        <v>91</v>
      </c>
      <c r="J2258" s="3" t="s">
        <v>68</v>
      </c>
      <c r="K2258" s="4">
        <v>3379.01</v>
      </c>
      <c r="L2258" s="6">
        <v>130.97999999999999</v>
      </c>
    </row>
    <row r="2259" spans="1:12" x14ac:dyDescent="0.25">
      <c r="A2259" s="1">
        <v>2258</v>
      </c>
      <c r="B2259" s="4">
        <v>16230</v>
      </c>
      <c r="C2259" s="5">
        <v>40236</v>
      </c>
      <c r="D2259" s="3" t="s">
        <v>82</v>
      </c>
      <c r="E2259" s="1" t="s">
        <v>655</v>
      </c>
      <c r="F2259" s="1" t="s">
        <v>28</v>
      </c>
      <c r="G2259" s="2" t="s">
        <v>6</v>
      </c>
      <c r="H2259" s="3" t="s">
        <v>88</v>
      </c>
      <c r="I2259" s="3" t="s">
        <v>85</v>
      </c>
      <c r="J2259" s="3" t="s">
        <v>66</v>
      </c>
      <c r="K2259" s="4">
        <v>687.52</v>
      </c>
      <c r="L2259" s="6">
        <v>48.91</v>
      </c>
    </row>
    <row r="2260" spans="1:12" x14ac:dyDescent="0.25">
      <c r="A2260" s="1">
        <v>2259</v>
      </c>
      <c r="B2260" s="4">
        <v>16230</v>
      </c>
      <c r="C2260" s="5">
        <v>40236</v>
      </c>
      <c r="D2260" s="3" t="s">
        <v>82</v>
      </c>
      <c r="E2260" s="1" t="s">
        <v>655</v>
      </c>
      <c r="F2260" s="1" t="s">
        <v>28</v>
      </c>
      <c r="G2260" s="2" t="s">
        <v>6</v>
      </c>
      <c r="H2260" s="3" t="s">
        <v>88</v>
      </c>
      <c r="I2260" s="3" t="s">
        <v>85</v>
      </c>
      <c r="J2260" s="3" t="s">
        <v>57</v>
      </c>
      <c r="K2260" s="4">
        <v>4538.66</v>
      </c>
      <c r="L2260" s="6">
        <v>111.03</v>
      </c>
    </row>
    <row r="2261" spans="1:12" x14ac:dyDescent="0.25">
      <c r="A2261" s="1">
        <v>2260</v>
      </c>
      <c r="B2261" s="4">
        <v>16231</v>
      </c>
      <c r="C2261" s="5">
        <v>41156</v>
      </c>
      <c r="D2261" s="3" t="s">
        <v>82</v>
      </c>
      <c r="E2261" s="1" t="s">
        <v>237</v>
      </c>
      <c r="F2261" s="1" t="s">
        <v>21</v>
      </c>
      <c r="G2261" s="2" t="s">
        <v>1</v>
      </c>
      <c r="H2261" s="3" t="s">
        <v>100</v>
      </c>
      <c r="I2261" s="3" t="s">
        <v>91</v>
      </c>
      <c r="J2261" s="3" t="s">
        <v>60</v>
      </c>
      <c r="K2261" s="4">
        <v>2506.38</v>
      </c>
      <c r="L2261" s="6">
        <v>124.49</v>
      </c>
    </row>
    <row r="2262" spans="1:12" x14ac:dyDescent="0.25">
      <c r="A2262" s="1">
        <v>2261</v>
      </c>
      <c r="B2262" s="4">
        <v>16257</v>
      </c>
      <c r="C2262" s="5">
        <v>41034</v>
      </c>
      <c r="D2262" s="3" t="s">
        <v>86</v>
      </c>
      <c r="E2262" s="1" t="s">
        <v>932</v>
      </c>
      <c r="F2262" s="1" t="s">
        <v>30</v>
      </c>
      <c r="G2262" s="2" t="s">
        <v>6</v>
      </c>
      <c r="H2262" s="3" t="s">
        <v>97</v>
      </c>
      <c r="I2262" s="3" t="s">
        <v>85</v>
      </c>
      <c r="J2262" s="3" t="s">
        <v>71</v>
      </c>
      <c r="K2262" s="4">
        <v>102.73</v>
      </c>
      <c r="L2262" s="6">
        <v>5.98</v>
      </c>
    </row>
    <row r="2263" spans="1:12" x14ac:dyDescent="0.25">
      <c r="A2263" s="1">
        <v>2262</v>
      </c>
      <c r="B2263" s="4">
        <v>16258</v>
      </c>
      <c r="C2263" s="5">
        <v>40730</v>
      </c>
      <c r="D2263" s="3" t="s">
        <v>4</v>
      </c>
      <c r="E2263" s="1" t="s">
        <v>846</v>
      </c>
      <c r="F2263" s="1" t="s">
        <v>44</v>
      </c>
      <c r="G2263" s="2" t="s">
        <v>3</v>
      </c>
      <c r="H2263" s="3" t="s">
        <v>88</v>
      </c>
      <c r="I2263" s="3" t="s">
        <v>85</v>
      </c>
      <c r="J2263" s="3" t="s">
        <v>66</v>
      </c>
      <c r="K2263" s="4">
        <v>9.69</v>
      </c>
      <c r="L2263" s="6">
        <v>4.9800000000000004</v>
      </c>
    </row>
    <row r="2264" spans="1:12" x14ac:dyDescent="0.25">
      <c r="A2264" s="1">
        <v>2263</v>
      </c>
      <c r="B2264" s="4">
        <v>16258</v>
      </c>
      <c r="C2264" s="5">
        <v>40730</v>
      </c>
      <c r="D2264" s="3" t="s">
        <v>4</v>
      </c>
      <c r="E2264" s="1" t="s">
        <v>846</v>
      </c>
      <c r="F2264" s="1" t="s">
        <v>44</v>
      </c>
      <c r="G2264" s="2" t="s">
        <v>3</v>
      </c>
      <c r="H2264" s="3" t="s">
        <v>88</v>
      </c>
      <c r="I2264" s="3" t="s">
        <v>85</v>
      </c>
      <c r="J2264" s="3" t="s">
        <v>63</v>
      </c>
      <c r="K2264" s="4">
        <v>331.99</v>
      </c>
      <c r="L2264" s="6">
        <v>7.08</v>
      </c>
    </row>
    <row r="2265" spans="1:12" x14ac:dyDescent="0.25">
      <c r="A2265" s="1">
        <v>2264</v>
      </c>
      <c r="B2265" s="4">
        <v>16260</v>
      </c>
      <c r="C2265" s="5">
        <v>40860</v>
      </c>
      <c r="D2265" s="3" t="s">
        <v>89</v>
      </c>
      <c r="E2265" s="1" t="s">
        <v>933</v>
      </c>
      <c r="F2265" s="1" t="s">
        <v>51</v>
      </c>
      <c r="G2265" s="2" t="s">
        <v>1</v>
      </c>
      <c r="H2265" s="3" t="s">
        <v>88</v>
      </c>
      <c r="I2265" s="3" t="s">
        <v>91</v>
      </c>
      <c r="J2265" s="3" t="s">
        <v>60</v>
      </c>
      <c r="K2265" s="4">
        <v>14960.096</v>
      </c>
      <c r="L2265" s="6">
        <v>400.98</v>
      </c>
    </row>
    <row r="2266" spans="1:12" x14ac:dyDescent="0.25">
      <c r="A2266" s="1">
        <v>2265</v>
      </c>
      <c r="B2266" s="4">
        <v>16262</v>
      </c>
      <c r="C2266" s="5">
        <v>40544</v>
      </c>
      <c r="D2266" s="3" t="s">
        <v>82</v>
      </c>
      <c r="E2266" s="1" t="s">
        <v>251</v>
      </c>
      <c r="F2266" s="1" t="s">
        <v>23</v>
      </c>
      <c r="G2266" s="2" t="s">
        <v>3</v>
      </c>
      <c r="H2266" s="3" t="s">
        <v>100</v>
      </c>
      <c r="I2266" s="3" t="s">
        <v>85</v>
      </c>
      <c r="J2266" s="3" t="s">
        <v>66</v>
      </c>
      <c r="K2266" s="4">
        <v>62.84</v>
      </c>
      <c r="L2266" s="6">
        <v>5.18</v>
      </c>
    </row>
    <row r="2267" spans="1:12" x14ac:dyDescent="0.25">
      <c r="A2267" s="1">
        <v>2266</v>
      </c>
      <c r="B2267" s="4">
        <v>16289</v>
      </c>
      <c r="C2267" s="5">
        <v>40376</v>
      </c>
      <c r="D2267" s="3" t="s">
        <v>89</v>
      </c>
      <c r="E2267" s="1" t="s">
        <v>885</v>
      </c>
      <c r="F2267" s="1" t="s">
        <v>16</v>
      </c>
      <c r="G2267" s="2" t="s">
        <v>3</v>
      </c>
      <c r="H2267" s="3" t="s">
        <v>88</v>
      </c>
      <c r="I2267" s="3" t="s">
        <v>92</v>
      </c>
      <c r="J2267" s="3" t="s">
        <v>61</v>
      </c>
      <c r="K2267" s="4">
        <v>5610.6120000000001</v>
      </c>
      <c r="L2267" s="6">
        <v>125.99</v>
      </c>
    </row>
    <row r="2268" spans="1:12" x14ac:dyDescent="0.25">
      <c r="A2268" s="1">
        <v>2267</v>
      </c>
      <c r="B2268" s="4">
        <v>16289</v>
      </c>
      <c r="C2268" s="5">
        <v>40376</v>
      </c>
      <c r="D2268" s="3" t="s">
        <v>89</v>
      </c>
      <c r="E2268" s="1" t="s">
        <v>934</v>
      </c>
      <c r="F2268" s="1" t="s">
        <v>44</v>
      </c>
      <c r="G2268" s="2" t="s">
        <v>3</v>
      </c>
      <c r="H2268" s="3" t="s">
        <v>88</v>
      </c>
      <c r="I2268" s="3" t="s">
        <v>91</v>
      </c>
      <c r="J2268" s="3" t="s">
        <v>59</v>
      </c>
      <c r="K2268" s="4">
        <v>426.64</v>
      </c>
      <c r="L2268" s="6">
        <v>12.22</v>
      </c>
    </row>
    <row r="2269" spans="1:12" x14ac:dyDescent="0.25">
      <c r="A2269" s="1">
        <v>2268</v>
      </c>
      <c r="B2269" s="4">
        <v>16291</v>
      </c>
      <c r="C2269" s="5">
        <v>40641</v>
      </c>
      <c r="D2269" s="3" t="s">
        <v>86</v>
      </c>
      <c r="E2269" s="1" t="s">
        <v>508</v>
      </c>
      <c r="F2269" s="1" t="s">
        <v>13</v>
      </c>
      <c r="G2269" s="2" t="s">
        <v>6</v>
      </c>
      <c r="H2269" s="3" t="s">
        <v>100</v>
      </c>
      <c r="I2269" s="3" t="s">
        <v>91</v>
      </c>
      <c r="J2269" s="3" t="s">
        <v>59</v>
      </c>
      <c r="K2269" s="4">
        <v>894.64</v>
      </c>
      <c r="L2269" s="6">
        <v>27.42</v>
      </c>
    </row>
    <row r="2270" spans="1:12" x14ac:dyDescent="0.25">
      <c r="A2270" s="1">
        <v>2269</v>
      </c>
      <c r="B2270" s="4">
        <v>16320</v>
      </c>
      <c r="C2270" s="5">
        <v>40836</v>
      </c>
      <c r="D2270" s="3" t="s">
        <v>86</v>
      </c>
      <c r="E2270" s="1" t="s">
        <v>935</v>
      </c>
      <c r="F2270" s="1" t="s">
        <v>38</v>
      </c>
      <c r="G2270" s="2" t="s">
        <v>6</v>
      </c>
      <c r="H2270" s="3" t="s">
        <v>84</v>
      </c>
      <c r="I2270" s="3" t="s">
        <v>92</v>
      </c>
      <c r="J2270" s="3" t="s">
        <v>61</v>
      </c>
      <c r="K2270" s="4">
        <v>1856.9694999999999</v>
      </c>
      <c r="L2270" s="6">
        <v>125.99</v>
      </c>
    </row>
    <row r="2271" spans="1:12" x14ac:dyDescent="0.25">
      <c r="A2271" s="1">
        <v>2270</v>
      </c>
      <c r="B2271" s="4">
        <v>16321</v>
      </c>
      <c r="C2271" s="5">
        <v>40087</v>
      </c>
      <c r="D2271" s="3" t="s">
        <v>86</v>
      </c>
      <c r="E2271" s="1" t="s">
        <v>394</v>
      </c>
      <c r="F2271" s="1" t="s">
        <v>23</v>
      </c>
      <c r="G2271" s="2" t="s">
        <v>3</v>
      </c>
      <c r="H2271" s="3" t="s">
        <v>88</v>
      </c>
      <c r="I2271" s="3" t="s">
        <v>85</v>
      </c>
      <c r="J2271" s="3" t="s">
        <v>57</v>
      </c>
      <c r="K2271" s="4">
        <v>7156.56</v>
      </c>
      <c r="L2271" s="6">
        <v>142.86000000000001</v>
      </c>
    </row>
    <row r="2272" spans="1:12" x14ac:dyDescent="0.25">
      <c r="A2272" s="1">
        <v>2271</v>
      </c>
      <c r="B2272" s="4">
        <v>16326</v>
      </c>
      <c r="C2272" s="5">
        <v>40308</v>
      </c>
      <c r="D2272" s="3" t="s">
        <v>89</v>
      </c>
      <c r="E2272" s="1" t="s">
        <v>913</v>
      </c>
      <c r="F2272" s="1" t="s">
        <v>46</v>
      </c>
      <c r="G2272" s="2" t="s">
        <v>6</v>
      </c>
      <c r="H2272" s="3" t="s">
        <v>88</v>
      </c>
      <c r="I2272" s="3" t="s">
        <v>92</v>
      </c>
      <c r="J2272" s="3" t="s">
        <v>62</v>
      </c>
      <c r="K2272" s="4">
        <v>1538.33</v>
      </c>
      <c r="L2272" s="6">
        <v>39.479999999999997</v>
      </c>
    </row>
    <row r="2273" spans="1:12" x14ac:dyDescent="0.25">
      <c r="A2273" s="1">
        <v>2272</v>
      </c>
      <c r="B2273" s="4">
        <v>16326</v>
      </c>
      <c r="C2273" s="5">
        <v>40308</v>
      </c>
      <c r="D2273" s="3" t="s">
        <v>89</v>
      </c>
      <c r="E2273" s="1" t="s">
        <v>913</v>
      </c>
      <c r="F2273" s="1" t="s">
        <v>46</v>
      </c>
      <c r="G2273" s="2" t="s">
        <v>6</v>
      </c>
      <c r="H2273" s="3" t="s">
        <v>88</v>
      </c>
      <c r="I2273" s="3" t="s">
        <v>85</v>
      </c>
      <c r="J2273" s="3" t="s">
        <v>66</v>
      </c>
      <c r="K2273" s="4">
        <v>147.46</v>
      </c>
      <c r="L2273" s="6">
        <v>3.71</v>
      </c>
    </row>
    <row r="2274" spans="1:12" x14ac:dyDescent="0.25">
      <c r="A2274" s="1">
        <v>2273</v>
      </c>
      <c r="B2274" s="4">
        <v>16352</v>
      </c>
      <c r="C2274" s="5">
        <v>41120</v>
      </c>
      <c r="D2274" s="3" t="s">
        <v>4</v>
      </c>
      <c r="E2274" s="1" t="s">
        <v>141</v>
      </c>
      <c r="F2274" s="1" t="s">
        <v>15</v>
      </c>
      <c r="G2274" s="2" t="s">
        <v>1</v>
      </c>
      <c r="H2274" s="3" t="s">
        <v>88</v>
      </c>
      <c r="I2274" s="3" t="s">
        <v>85</v>
      </c>
      <c r="J2274" s="3" t="s">
        <v>66</v>
      </c>
      <c r="K2274" s="4">
        <v>113.25</v>
      </c>
      <c r="L2274" s="6">
        <v>6.48</v>
      </c>
    </row>
    <row r="2275" spans="1:12" x14ac:dyDescent="0.25">
      <c r="A2275" s="1">
        <v>2274</v>
      </c>
      <c r="B2275" s="4">
        <v>16356</v>
      </c>
      <c r="C2275" s="5">
        <v>40757</v>
      </c>
      <c r="D2275" s="3" t="s">
        <v>95</v>
      </c>
      <c r="E2275" s="1" t="s">
        <v>758</v>
      </c>
      <c r="F2275" s="1" t="s">
        <v>24</v>
      </c>
      <c r="G2275" s="2" t="s">
        <v>2</v>
      </c>
      <c r="H2275" s="3" t="s">
        <v>88</v>
      </c>
      <c r="I2275" s="3" t="s">
        <v>85</v>
      </c>
      <c r="J2275" s="3" t="s">
        <v>70</v>
      </c>
      <c r="K2275" s="4">
        <v>157.94</v>
      </c>
      <c r="L2275" s="6">
        <v>22.98</v>
      </c>
    </row>
    <row r="2276" spans="1:12" x14ac:dyDescent="0.25">
      <c r="A2276" s="1">
        <v>2275</v>
      </c>
      <c r="B2276" s="4">
        <v>16359</v>
      </c>
      <c r="C2276" s="5">
        <v>41043</v>
      </c>
      <c r="D2276" s="3" t="s">
        <v>95</v>
      </c>
      <c r="E2276" s="1" t="s">
        <v>307</v>
      </c>
      <c r="F2276" s="1" t="s">
        <v>51</v>
      </c>
      <c r="G2276" s="2" t="s">
        <v>1</v>
      </c>
      <c r="H2276" s="3" t="s">
        <v>100</v>
      </c>
      <c r="I2276" s="3" t="s">
        <v>85</v>
      </c>
      <c r="J2276" s="3" t="s">
        <v>71</v>
      </c>
      <c r="K2276" s="4">
        <v>1343.6</v>
      </c>
      <c r="L2276" s="6">
        <v>35.89</v>
      </c>
    </row>
    <row r="2277" spans="1:12" x14ac:dyDescent="0.25">
      <c r="A2277" s="1">
        <v>2276</v>
      </c>
      <c r="B2277" s="4">
        <v>16359</v>
      </c>
      <c r="C2277" s="5">
        <v>41043</v>
      </c>
      <c r="D2277" s="3" t="s">
        <v>95</v>
      </c>
      <c r="E2277" s="1" t="s">
        <v>307</v>
      </c>
      <c r="F2277" s="1" t="s">
        <v>51</v>
      </c>
      <c r="G2277" s="2" t="s">
        <v>1</v>
      </c>
      <c r="H2277" s="3" t="s">
        <v>100</v>
      </c>
      <c r="I2277" s="3" t="s">
        <v>85</v>
      </c>
      <c r="J2277" s="3" t="s">
        <v>63</v>
      </c>
      <c r="K2277" s="4">
        <v>35.28</v>
      </c>
      <c r="L2277" s="6">
        <v>3.34</v>
      </c>
    </row>
    <row r="2278" spans="1:12" x14ac:dyDescent="0.25">
      <c r="A2278" s="1">
        <v>2277</v>
      </c>
      <c r="B2278" s="4">
        <v>16390</v>
      </c>
      <c r="C2278" s="5">
        <v>40992</v>
      </c>
      <c r="D2278" s="3" t="s">
        <v>4</v>
      </c>
      <c r="E2278" s="1" t="s">
        <v>233</v>
      </c>
      <c r="F2278" s="1" t="s">
        <v>33</v>
      </c>
      <c r="G2278" s="2" t="s">
        <v>2</v>
      </c>
      <c r="H2278" s="3" t="s">
        <v>100</v>
      </c>
      <c r="I2278" s="3" t="s">
        <v>85</v>
      </c>
      <c r="J2278" s="3" t="s">
        <v>58</v>
      </c>
      <c r="K2278" s="4">
        <v>86.38</v>
      </c>
      <c r="L2278" s="6">
        <v>10.98</v>
      </c>
    </row>
    <row r="2279" spans="1:12" x14ac:dyDescent="0.25">
      <c r="A2279" s="1">
        <v>2278</v>
      </c>
      <c r="B2279" s="4">
        <v>16419</v>
      </c>
      <c r="C2279" s="5">
        <v>40029</v>
      </c>
      <c r="D2279" s="3" t="s">
        <v>86</v>
      </c>
      <c r="E2279" s="1" t="s">
        <v>905</v>
      </c>
      <c r="F2279" s="1" t="s">
        <v>38</v>
      </c>
      <c r="G2279" s="2" t="s">
        <v>6</v>
      </c>
      <c r="H2279" s="3" t="s">
        <v>100</v>
      </c>
      <c r="I2279" s="3" t="s">
        <v>85</v>
      </c>
      <c r="J2279" s="3" t="s">
        <v>66</v>
      </c>
      <c r="K2279" s="4">
        <v>241.19</v>
      </c>
      <c r="L2279" s="6">
        <v>5.78</v>
      </c>
    </row>
    <row r="2280" spans="1:12" x14ac:dyDescent="0.25">
      <c r="A2280" s="1">
        <v>2279</v>
      </c>
      <c r="B2280" s="4">
        <v>16422</v>
      </c>
      <c r="C2280" s="5">
        <v>40825</v>
      </c>
      <c r="D2280" s="3" t="s">
        <v>95</v>
      </c>
      <c r="E2280" s="1" t="s">
        <v>556</v>
      </c>
      <c r="F2280" s="1" t="s">
        <v>19</v>
      </c>
      <c r="G2280" s="2" t="s">
        <v>3</v>
      </c>
      <c r="H2280" s="3" t="s">
        <v>84</v>
      </c>
      <c r="I2280" s="3" t="s">
        <v>85</v>
      </c>
      <c r="J2280" s="3" t="s">
        <v>66</v>
      </c>
      <c r="K2280" s="4">
        <v>272.01</v>
      </c>
      <c r="L2280" s="6">
        <v>6.48</v>
      </c>
    </row>
    <row r="2281" spans="1:12" x14ac:dyDescent="0.25">
      <c r="A2281" s="1">
        <v>2280</v>
      </c>
      <c r="B2281" s="4">
        <v>16422</v>
      </c>
      <c r="C2281" s="5">
        <v>40825</v>
      </c>
      <c r="D2281" s="3" t="s">
        <v>95</v>
      </c>
      <c r="E2281" s="1" t="s">
        <v>556</v>
      </c>
      <c r="F2281" s="1" t="s">
        <v>19</v>
      </c>
      <c r="G2281" s="2" t="s">
        <v>3</v>
      </c>
      <c r="H2281" s="3" t="s">
        <v>84</v>
      </c>
      <c r="I2281" s="3" t="s">
        <v>85</v>
      </c>
      <c r="J2281" s="3" t="s">
        <v>58</v>
      </c>
      <c r="K2281" s="4">
        <v>171.5</v>
      </c>
      <c r="L2281" s="6">
        <v>10.23</v>
      </c>
    </row>
    <row r="2282" spans="1:12" x14ac:dyDescent="0.25">
      <c r="A2282" s="1">
        <v>2281</v>
      </c>
      <c r="B2282" s="4">
        <v>16423</v>
      </c>
      <c r="C2282" s="5">
        <v>41126</v>
      </c>
      <c r="D2282" s="3" t="s">
        <v>4</v>
      </c>
      <c r="E2282" s="1" t="s">
        <v>686</v>
      </c>
      <c r="F2282" s="1" t="s">
        <v>8</v>
      </c>
      <c r="G2282" s="2" t="s">
        <v>6</v>
      </c>
      <c r="H2282" s="3" t="s">
        <v>88</v>
      </c>
      <c r="I2282" s="3" t="s">
        <v>85</v>
      </c>
      <c r="J2282" s="3" t="s">
        <v>66</v>
      </c>
      <c r="K2282" s="4">
        <v>128.21</v>
      </c>
      <c r="L2282" s="6">
        <v>6.48</v>
      </c>
    </row>
    <row r="2283" spans="1:12" x14ac:dyDescent="0.25">
      <c r="A2283" s="1">
        <v>2282</v>
      </c>
      <c r="B2283" s="4">
        <v>16450</v>
      </c>
      <c r="C2283" s="5">
        <v>40678</v>
      </c>
      <c r="D2283" s="3" t="s">
        <v>4</v>
      </c>
      <c r="E2283" s="1" t="s">
        <v>564</v>
      </c>
      <c r="F2283" s="1" t="s">
        <v>35</v>
      </c>
      <c r="G2283" s="2" t="s">
        <v>1</v>
      </c>
      <c r="H2283" s="3" t="s">
        <v>84</v>
      </c>
      <c r="I2283" s="3" t="s">
        <v>85</v>
      </c>
      <c r="J2283" s="3" t="s">
        <v>71</v>
      </c>
      <c r="K2283" s="4">
        <v>73.5</v>
      </c>
      <c r="L2283" s="6">
        <v>5.98</v>
      </c>
    </row>
    <row r="2284" spans="1:12" x14ac:dyDescent="0.25">
      <c r="A2284" s="1">
        <v>2283</v>
      </c>
      <c r="B2284" s="4">
        <v>16451</v>
      </c>
      <c r="C2284" s="5">
        <v>40016</v>
      </c>
      <c r="D2284" s="3" t="s">
        <v>86</v>
      </c>
      <c r="E2284" s="1" t="s">
        <v>496</v>
      </c>
      <c r="F2284" s="1" t="s">
        <v>8</v>
      </c>
      <c r="G2284" s="2" t="s">
        <v>6</v>
      </c>
      <c r="H2284" s="3" t="s">
        <v>88</v>
      </c>
      <c r="I2284" s="3" t="s">
        <v>85</v>
      </c>
      <c r="J2284" s="3" t="s">
        <v>69</v>
      </c>
      <c r="K2284" s="4">
        <v>252.79</v>
      </c>
      <c r="L2284" s="6">
        <v>30.56</v>
      </c>
    </row>
    <row r="2285" spans="1:12" x14ac:dyDescent="0.25">
      <c r="A2285" s="1">
        <v>2284</v>
      </c>
      <c r="B2285" s="4">
        <v>16452</v>
      </c>
      <c r="C2285" s="5">
        <v>41144</v>
      </c>
      <c r="D2285" s="3" t="s">
        <v>4</v>
      </c>
      <c r="E2285" s="1" t="s">
        <v>833</v>
      </c>
      <c r="F2285" s="1" t="s">
        <v>39</v>
      </c>
      <c r="G2285" s="2" t="s">
        <v>1</v>
      </c>
      <c r="H2285" s="3" t="s">
        <v>97</v>
      </c>
      <c r="I2285" s="3" t="s">
        <v>85</v>
      </c>
      <c r="J2285" s="3" t="s">
        <v>63</v>
      </c>
      <c r="K2285" s="4">
        <v>134.41999999999999</v>
      </c>
      <c r="L2285" s="6">
        <v>2.88</v>
      </c>
    </row>
    <row r="2286" spans="1:12" x14ac:dyDescent="0.25">
      <c r="A2286" s="1">
        <v>2285</v>
      </c>
      <c r="B2286" s="4">
        <v>16454</v>
      </c>
      <c r="C2286" s="5">
        <v>41040</v>
      </c>
      <c r="D2286" s="3" t="s">
        <v>4</v>
      </c>
      <c r="E2286" s="1" t="s">
        <v>936</v>
      </c>
      <c r="F2286" s="1" t="s">
        <v>34</v>
      </c>
      <c r="G2286" s="2" t="s">
        <v>1</v>
      </c>
      <c r="H2286" s="3" t="s">
        <v>97</v>
      </c>
      <c r="I2286" s="3" t="s">
        <v>85</v>
      </c>
      <c r="J2286" s="3" t="s">
        <v>69</v>
      </c>
      <c r="K2286" s="4">
        <v>94.39</v>
      </c>
      <c r="L2286" s="6">
        <v>7.1</v>
      </c>
    </row>
    <row r="2287" spans="1:12" x14ac:dyDescent="0.25">
      <c r="A2287" s="1">
        <v>2286</v>
      </c>
      <c r="B2287" s="4">
        <v>16480</v>
      </c>
      <c r="C2287" s="5">
        <v>40153</v>
      </c>
      <c r="D2287" s="3" t="s">
        <v>86</v>
      </c>
      <c r="E2287" s="1" t="s">
        <v>526</v>
      </c>
      <c r="F2287" s="1" t="s">
        <v>18</v>
      </c>
      <c r="G2287" s="2" t="s">
        <v>6</v>
      </c>
      <c r="H2287" s="3" t="s">
        <v>100</v>
      </c>
      <c r="I2287" s="3" t="s">
        <v>85</v>
      </c>
      <c r="J2287" s="3" t="s">
        <v>69</v>
      </c>
      <c r="K2287" s="4">
        <v>87.23</v>
      </c>
      <c r="L2287" s="6">
        <v>5.4</v>
      </c>
    </row>
    <row r="2288" spans="1:12" x14ac:dyDescent="0.25">
      <c r="A2288" s="1">
        <v>2287</v>
      </c>
      <c r="B2288" s="4">
        <v>16481</v>
      </c>
      <c r="C2288" s="5">
        <v>40592</v>
      </c>
      <c r="D2288" s="3" t="s">
        <v>82</v>
      </c>
      <c r="E2288" s="1" t="s">
        <v>530</v>
      </c>
      <c r="F2288" s="1" t="s">
        <v>24</v>
      </c>
      <c r="G2288" s="2" t="s">
        <v>2</v>
      </c>
      <c r="H2288" s="3" t="s">
        <v>88</v>
      </c>
      <c r="I2288" s="3" t="s">
        <v>85</v>
      </c>
      <c r="J2288" s="3" t="s">
        <v>70</v>
      </c>
      <c r="K2288" s="4">
        <v>3089.06</v>
      </c>
      <c r="L2288" s="6">
        <v>56.96</v>
      </c>
    </row>
    <row r="2289" spans="1:12" x14ac:dyDescent="0.25">
      <c r="A2289" s="1">
        <v>2288</v>
      </c>
      <c r="B2289" s="4">
        <v>16481</v>
      </c>
      <c r="C2289" s="5">
        <v>40592</v>
      </c>
      <c r="D2289" s="3" t="s">
        <v>82</v>
      </c>
      <c r="E2289" s="1" t="s">
        <v>530</v>
      </c>
      <c r="F2289" s="1" t="s">
        <v>24</v>
      </c>
      <c r="G2289" s="2" t="s">
        <v>2</v>
      </c>
      <c r="H2289" s="3" t="s">
        <v>88</v>
      </c>
      <c r="I2289" s="3" t="s">
        <v>92</v>
      </c>
      <c r="J2289" s="3" t="s">
        <v>67</v>
      </c>
      <c r="K2289" s="4">
        <v>20265.22</v>
      </c>
      <c r="L2289" s="6">
        <v>442.14</v>
      </c>
    </row>
    <row r="2290" spans="1:12" x14ac:dyDescent="0.25">
      <c r="A2290" s="1">
        <v>2289</v>
      </c>
      <c r="B2290" s="4">
        <v>16513</v>
      </c>
      <c r="C2290" s="5">
        <v>40424</v>
      </c>
      <c r="D2290" s="3" t="s">
        <v>95</v>
      </c>
      <c r="E2290" s="1" t="s">
        <v>511</v>
      </c>
      <c r="F2290" s="1" t="s">
        <v>15</v>
      </c>
      <c r="G2290" s="2" t="s">
        <v>1</v>
      </c>
      <c r="H2290" s="3" t="s">
        <v>84</v>
      </c>
      <c r="I2290" s="3" t="s">
        <v>91</v>
      </c>
      <c r="J2290" s="3" t="s">
        <v>72</v>
      </c>
      <c r="K2290" s="4">
        <v>1642.43</v>
      </c>
      <c r="L2290" s="6">
        <v>150.88999999999999</v>
      </c>
    </row>
    <row r="2291" spans="1:12" x14ac:dyDescent="0.25">
      <c r="A2291" s="1">
        <v>2290</v>
      </c>
      <c r="B2291" s="4">
        <v>16518</v>
      </c>
      <c r="C2291" s="5">
        <v>41181</v>
      </c>
      <c r="D2291" s="3" t="s">
        <v>95</v>
      </c>
      <c r="E2291" s="1" t="s">
        <v>569</v>
      </c>
      <c r="F2291" s="1" t="s">
        <v>55</v>
      </c>
      <c r="G2291" s="2" t="s">
        <v>2</v>
      </c>
      <c r="H2291" s="3" t="s">
        <v>88</v>
      </c>
      <c r="I2291" s="3" t="s">
        <v>85</v>
      </c>
      <c r="J2291" s="3" t="s">
        <v>66</v>
      </c>
      <c r="K2291" s="4">
        <v>80.290000000000006</v>
      </c>
      <c r="L2291" s="6">
        <v>18.97</v>
      </c>
    </row>
    <row r="2292" spans="1:12" x14ac:dyDescent="0.25">
      <c r="A2292" s="1">
        <v>2291</v>
      </c>
      <c r="B2292" s="4">
        <v>16518</v>
      </c>
      <c r="C2292" s="5">
        <v>41181</v>
      </c>
      <c r="D2292" s="3" t="s">
        <v>95</v>
      </c>
      <c r="E2292" s="1" t="s">
        <v>569</v>
      </c>
      <c r="F2292" s="1" t="s">
        <v>55</v>
      </c>
      <c r="G2292" s="2" t="s">
        <v>2</v>
      </c>
      <c r="H2292" s="3" t="s">
        <v>88</v>
      </c>
      <c r="I2292" s="3" t="s">
        <v>92</v>
      </c>
      <c r="J2292" s="3" t="s">
        <v>61</v>
      </c>
      <c r="K2292" s="4">
        <v>2628.9224999999997</v>
      </c>
      <c r="L2292" s="6">
        <v>85.99</v>
      </c>
    </row>
    <row r="2293" spans="1:12" x14ac:dyDescent="0.25">
      <c r="A2293" s="1">
        <v>2292</v>
      </c>
      <c r="B2293" s="4">
        <v>16519</v>
      </c>
      <c r="C2293" s="5">
        <v>40704</v>
      </c>
      <c r="D2293" s="3" t="s">
        <v>4</v>
      </c>
      <c r="E2293" s="1" t="s">
        <v>937</v>
      </c>
      <c r="F2293" s="1" t="s">
        <v>13</v>
      </c>
      <c r="G2293" s="2" t="s">
        <v>6</v>
      </c>
      <c r="H2293" s="3" t="s">
        <v>84</v>
      </c>
      <c r="I2293" s="3" t="s">
        <v>85</v>
      </c>
      <c r="J2293" s="3" t="s">
        <v>69</v>
      </c>
      <c r="K2293" s="4">
        <v>158.97</v>
      </c>
      <c r="L2293" s="6">
        <v>4.18</v>
      </c>
    </row>
    <row r="2294" spans="1:12" x14ac:dyDescent="0.25">
      <c r="A2294" s="1">
        <v>2293</v>
      </c>
      <c r="B2294" s="4">
        <v>16519</v>
      </c>
      <c r="C2294" s="5">
        <v>40704</v>
      </c>
      <c r="D2294" s="3" t="s">
        <v>4</v>
      </c>
      <c r="E2294" s="1" t="s">
        <v>937</v>
      </c>
      <c r="F2294" s="1" t="s">
        <v>13</v>
      </c>
      <c r="G2294" s="2" t="s">
        <v>6</v>
      </c>
      <c r="H2294" s="3" t="s">
        <v>84</v>
      </c>
      <c r="I2294" s="3" t="s">
        <v>85</v>
      </c>
      <c r="J2294" s="3" t="s">
        <v>63</v>
      </c>
      <c r="K2294" s="4">
        <v>138.96</v>
      </c>
      <c r="L2294" s="6">
        <v>2.88</v>
      </c>
    </row>
    <row r="2295" spans="1:12" x14ac:dyDescent="0.25">
      <c r="A2295" s="1">
        <v>2294</v>
      </c>
      <c r="B2295" s="4">
        <v>16545</v>
      </c>
      <c r="C2295" s="5">
        <v>40307</v>
      </c>
      <c r="D2295" s="3" t="s">
        <v>86</v>
      </c>
      <c r="E2295" s="1" t="s">
        <v>815</v>
      </c>
      <c r="F2295" s="1" t="s">
        <v>8</v>
      </c>
      <c r="G2295" s="2" t="s">
        <v>6</v>
      </c>
      <c r="H2295" s="3" t="s">
        <v>84</v>
      </c>
      <c r="I2295" s="3" t="s">
        <v>85</v>
      </c>
      <c r="J2295" s="3" t="s">
        <v>63</v>
      </c>
      <c r="K2295" s="4">
        <v>50.97</v>
      </c>
      <c r="L2295" s="6">
        <v>5.16</v>
      </c>
    </row>
    <row r="2296" spans="1:12" x14ac:dyDescent="0.25">
      <c r="A2296" s="1">
        <v>2295</v>
      </c>
      <c r="B2296" s="4">
        <v>16545</v>
      </c>
      <c r="C2296" s="5">
        <v>40307</v>
      </c>
      <c r="D2296" s="3" t="s">
        <v>86</v>
      </c>
      <c r="E2296" s="1" t="s">
        <v>815</v>
      </c>
      <c r="F2296" s="1" t="s">
        <v>8</v>
      </c>
      <c r="G2296" s="2" t="s">
        <v>6</v>
      </c>
      <c r="H2296" s="3" t="s">
        <v>84</v>
      </c>
      <c r="I2296" s="3" t="s">
        <v>85</v>
      </c>
      <c r="J2296" s="3" t="s">
        <v>58</v>
      </c>
      <c r="K2296" s="4">
        <v>4.99</v>
      </c>
      <c r="L2296" s="6">
        <v>3.68</v>
      </c>
    </row>
    <row r="2297" spans="1:12" x14ac:dyDescent="0.25">
      <c r="A2297" s="1">
        <v>2296</v>
      </c>
      <c r="B2297" s="4">
        <v>16547</v>
      </c>
      <c r="C2297" s="5">
        <v>39862</v>
      </c>
      <c r="D2297" s="3" t="s">
        <v>86</v>
      </c>
      <c r="E2297" s="1" t="s">
        <v>401</v>
      </c>
      <c r="F2297" s="1" t="s">
        <v>8</v>
      </c>
      <c r="G2297" s="2" t="s">
        <v>6</v>
      </c>
      <c r="H2297" s="3" t="s">
        <v>88</v>
      </c>
      <c r="I2297" s="3" t="s">
        <v>91</v>
      </c>
      <c r="J2297" s="3" t="s">
        <v>72</v>
      </c>
      <c r="K2297" s="4">
        <v>10554.63</v>
      </c>
      <c r="L2297" s="6">
        <v>355.98</v>
      </c>
    </row>
    <row r="2298" spans="1:12" x14ac:dyDescent="0.25">
      <c r="A2298" s="1">
        <v>2297</v>
      </c>
      <c r="B2298" s="4">
        <v>16547</v>
      </c>
      <c r="C2298" s="5">
        <v>39862</v>
      </c>
      <c r="D2298" s="3" t="s">
        <v>86</v>
      </c>
      <c r="E2298" s="1" t="s">
        <v>401</v>
      </c>
      <c r="F2298" s="1" t="s">
        <v>8</v>
      </c>
      <c r="G2298" s="2" t="s">
        <v>6</v>
      </c>
      <c r="H2298" s="3" t="s">
        <v>88</v>
      </c>
      <c r="I2298" s="3" t="s">
        <v>91</v>
      </c>
      <c r="J2298" s="3" t="s">
        <v>60</v>
      </c>
      <c r="K2298" s="4">
        <v>1749.64</v>
      </c>
      <c r="L2298" s="6">
        <v>218.75</v>
      </c>
    </row>
    <row r="2299" spans="1:12" x14ac:dyDescent="0.25">
      <c r="A2299" s="1">
        <v>2298</v>
      </c>
      <c r="B2299" s="4">
        <v>16548</v>
      </c>
      <c r="C2299" s="5">
        <v>40944</v>
      </c>
      <c r="D2299" s="3" t="s">
        <v>86</v>
      </c>
      <c r="E2299" s="1" t="s">
        <v>776</v>
      </c>
      <c r="F2299" s="1" t="s">
        <v>13</v>
      </c>
      <c r="G2299" s="2" t="s">
        <v>6</v>
      </c>
      <c r="H2299" s="3" t="s">
        <v>100</v>
      </c>
      <c r="I2299" s="3" t="s">
        <v>91</v>
      </c>
      <c r="J2299" s="3" t="s">
        <v>59</v>
      </c>
      <c r="K2299" s="4">
        <v>75.19</v>
      </c>
      <c r="L2299" s="6">
        <v>3.28</v>
      </c>
    </row>
    <row r="2300" spans="1:12" x14ac:dyDescent="0.25">
      <c r="A2300" s="1">
        <v>2299</v>
      </c>
      <c r="B2300" s="4">
        <v>16548</v>
      </c>
      <c r="C2300" s="5">
        <v>40944</v>
      </c>
      <c r="D2300" s="3" t="s">
        <v>86</v>
      </c>
      <c r="E2300" s="1" t="s">
        <v>833</v>
      </c>
      <c r="F2300" s="1" t="s">
        <v>39</v>
      </c>
      <c r="G2300" s="2" t="s">
        <v>1</v>
      </c>
      <c r="H2300" s="3" t="s">
        <v>100</v>
      </c>
      <c r="I2300" s="3" t="s">
        <v>91</v>
      </c>
      <c r="J2300" s="3" t="s">
        <v>60</v>
      </c>
      <c r="K2300" s="4">
        <v>3028.86</v>
      </c>
      <c r="L2300" s="6">
        <v>71.37</v>
      </c>
    </row>
    <row r="2301" spans="1:12" x14ac:dyDescent="0.25">
      <c r="A2301" s="1">
        <v>2300</v>
      </c>
      <c r="B2301" s="4">
        <v>16579</v>
      </c>
      <c r="C2301" s="5">
        <v>40524</v>
      </c>
      <c r="D2301" s="3" t="s">
        <v>86</v>
      </c>
      <c r="E2301" s="1" t="s">
        <v>752</v>
      </c>
      <c r="F2301" s="1" t="s">
        <v>29</v>
      </c>
      <c r="G2301" s="2" t="s">
        <v>3</v>
      </c>
      <c r="H2301" s="3" t="s">
        <v>100</v>
      </c>
      <c r="I2301" s="3" t="s">
        <v>85</v>
      </c>
      <c r="J2301" s="3" t="s">
        <v>69</v>
      </c>
      <c r="K2301" s="4">
        <v>63.96</v>
      </c>
      <c r="L2301" s="6">
        <v>1.88</v>
      </c>
    </row>
    <row r="2302" spans="1:12" x14ac:dyDescent="0.25">
      <c r="A2302" s="1">
        <v>2301</v>
      </c>
      <c r="B2302" s="4">
        <v>16579</v>
      </c>
      <c r="C2302" s="5">
        <v>40524</v>
      </c>
      <c r="D2302" s="3" t="s">
        <v>86</v>
      </c>
      <c r="E2302" s="1" t="s">
        <v>752</v>
      </c>
      <c r="F2302" s="1" t="s">
        <v>29</v>
      </c>
      <c r="G2302" s="2" t="s">
        <v>3</v>
      </c>
      <c r="H2302" s="3" t="s">
        <v>100</v>
      </c>
      <c r="I2302" s="3" t="s">
        <v>85</v>
      </c>
      <c r="J2302" s="3" t="s">
        <v>63</v>
      </c>
      <c r="K2302" s="4">
        <v>177.23</v>
      </c>
      <c r="L2302" s="6">
        <v>8.14</v>
      </c>
    </row>
    <row r="2303" spans="1:12" x14ac:dyDescent="0.25">
      <c r="A2303" s="1">
        <v>2302</v>
      </c>
      <c r="B2303" s="4">
        <v>16582</v>
      </c>
      <c r="C2303" s="5">
        <v>40817</v>
      </c>
      <c r="D2303" s="3" t="s">
        <v>95</v>
      </c>
      <c r="E2303" s="1" t="s">
        <v>938</v>
      </c>
      <c r="F2303" s="1" t="s">
        <v>15</v>
      </c>
      <c r="G2303" s="2" t="s">
        <v>1</v>
      </c>
      <c r="H2303" s="3" t="s">
        <v>97</v>
      </c>
      <c r="I2303" s="3" t="s">
        <v>91</v>
      </c>
      <c r="J2303" s="3" t="s">
        <v>60</v>
      </c>
      <c r="K2303" s="4">
        <v>6766.8559999999998</v>
      </c>
      <c r="L2303" s="6">
        <v>320.64</v>
      </c>
    </row>
    <row r="2304" spans="1:12" x14ac:dyDescent="0.25">
      <c r="A2304" s="1">
        <v>2303</v>
      </c>
      <c r="B2304" s="4">
        <v>16610</v>
      </c>
      <c r="C2304" s="5">
        <v>40096</v>
      </c>
      <c r="D2304" s="3" t="s">
        <v>89</v>
      </c>
      <c r="E2304" s="1" t="s">
        <v>893</v>
      </c>
      <c r="F2304" s="1" t="s">
        <v>22</v>
      </c>
      <c r="G2304" s="2" t="s">
        <v>6</v>
      </c>
      <c r="H2304" s="3" t="s">
        <v>88</v>
      </c>
      <c r="I2304" s="3" t="s">
        <v>85</v>
      </c>
      <c r="J2304" s="3" t="s">
        <v>71</v>
      </c>
      <c r="K2304" s="4">
        <v>659.13</v>
      </c>
      <c r="L2304" s="6">
        <v>35.94</v>
      </c>
    </row>
    <row r="2305" spans="1:12" x14ac:dyDescent="0.25">
      <c r="A2305" s="1">
        <v>2304</v>
      </c>
      <c r="B2305" s="4">
        <v>16612</v>
      </c>
      <c r="C2305" s="5">
        <v>39857</v>
      </c>
      <c r="D2305" s="3" t="s">
        <v>89</v>
      </c>
      <c r="E2305" s="1" t="s">
        <v>939</v>
      </c>
      <c r="F2305" s="1" t="s">
        <v>25</v>
      </c>
      <c r="G2305" s="2" t="s">
        <v>6</v>
      </c>
      <c r="H2305" s="3" t="s">
        <v>97</v>
      </c>
      <c r="I2305" s="3" t="s">
        <v>92</v>
      </c>
      <c r="J2305" s="3" t="s">
        <v>67</v>
      </c>
      <c r="K2305" s="4">
        <v>3699.22</v>
      </c>
      <c r="L2305" s="6">
        <v>80.97</v>
      </c>
    </row>
    <row r="2306" spans="1:12" x14ac:dyDescent="0.25">
      <c r="A2306" s="1">
        <v>2305</v>
      </c>
      <c r="B2306" s="4">
        <v>16612</v>
      </c>
      <c r="C2306" s="5">
        <v>39857</v>
      </c>
      <c r="D2306" s="3" t="s">
        <v>89</v>
      </c>
      <c r="E2306" s="1" t="s">
        <v>939</v>
      </c>
      <c r="F2306" s="1" t="s">
        <v>25</v>
      </c>
      <c r="G2306" s="2" t="s">
        <v>6</v>
      </c>
      <c r="H2306" s="3" t="s">
        <v>97</v>
      </c>
      <c r="I2306" s="3" t="s">
        <v>85</v>
      </c>
      <c r="J2306" s="3" t="s">
        <v>66</v>
      </c>
      <c r="K2306" s="4">
        <v>48.93</v>
      </c>
      <c r="L2306" s="6">
        <v>6.48</v>
      </c>
    </row>
    <row r="2307" spans="1:12" x14ac:dyDescent="0.25">
      <c r="A2307" s="1">
        <v>2306</v>
      </c>
      <c r="B2307" s="4">
        <v>16613</v>
      </c>
      <c r="C2307" s="5">
        <v>40536</v>
      </c>
      <c r="D2307" s="3" t="s">
        <v>89</v>
      </c>
      <c r="E2307" s="1" t="s">
        <v>918</v>
      </c>
      <c r="F2307" s="1" t="s">
        <v>13</v>
      </c>
      <c r="G2307" s="2" t="s">
        <v>6</v>
      </c>
      <c r="H2307" s="3" t="s">
        <v>97</v>
      </c>
      <c r="I2307" s="3" t="s">
        <v>91</v>
      </c>
      <c r="J2307" s="3" t="s">
        <v>59</v>
      </c>
      <c r="K2307" s="4">
        <v>51.14</v>
      </c>
      <c r="L2307" s="6">
        <v>1.74</v>
      </c>
    </row>
    <row r="2308" spans="1:12" x14ac:dyDescent="0.25">
      <c r="A2308" s="1">
        <v>2307</v>
      </c>
      <c r="B2308" s="4">
        <v>16640</v>
      </c>
      <c r="C2308" s="5">
        <v>40386</v>
      </c>
      <c r="D2308" s="3" t="s">
        <v>82</v>
      </c>
      <c r="E2308" s="1" t="s">
        <v>940</v>
      </c>
      <c r="F2308" s="1" t="s">
        <v>15</v>
      </c>
      <c r="G2308" s="2" t="s">
        <v>1</v>
      </c>
      <c r="H2308" s="3" t="s">
        <v>88</v>
      </c>
      <c r="I2308" s="3" t="s">
        <v>91</v>
      </c>
      <c r="J2308" s="3" t="s">
        <v>72</v>
      </c>
      <c r="K2308" s="4">
        <v>652.33000000000004</v>
      </c>
      <c r="L2308" s="6">
        <v>113.98</v>
      </c>
    </row>
    <row r="2309" spans="1:12" x14ac:dyDescent="0.25">
      <c r="A2309" s="1">
        <v>2308</v>
      </c>
      <c r="B2309" s="4">
        <v>16641</v>
      </c>
      <c r="C2309" s="5">
        <v>40308</v>
      </c>
      <c r="D2309" s="3" t="s">
        <v>89</v>
      </c>
      <c r="E2309" s="1" t="s">
        <v>379</v>
      </c>
      <c r="F2309" s="1" t="s">
        <v>24</v>
      </c>
      <c r="G2309" s="2" t="s">
        <v>2</v>
      </c>
      <c r="H2309" s="3" t="s">
        <v>97</v>
      </c>
      <c r="I2309" s="3" t="s">
        <v>91</v>
      </c>
      <c r="J2309" s="3" t="s">
        <v>60</v>
      </c>
      <c r="K2309" s="4">
        <v>1209.1680000000001</v>
      </c>
      <c r="L2309" s="6">
        <v>44.43</v>
      </c>
    </row>
    <row r="2310" spans="1:12" x14ac:dyDescent="0.25">
      <c r="A2310" s="1">
        <v>2309</v>
      </c>
      <c r="B2310" s="4">
        <v>16642</v>
      </c>
      <c r="C2310" s="5">
        <v>40604</v>
      </c>
      <c r="D2310" s="3" t="s">
        <v>86</v>
      </c>
      <c r="E2310" s="1" t="s">
        <v>941</v>
      </c>
      <c r="F2310" s="1" t="s">
        <v>24</v>
      </c>
      <c r="G2310" s="2" t="s">
        <v>2</v>
      </c>
      <c r="H2310" s="3" t="s">
        <v>88</v>
      </c>
      <c r="I2310" s="3" t="s">
        <v>92</v>
      </c>
      <c r="J2310" s="3" t="s">
        <v>61</v>
      </c>
      <c r="K2310" s="4">
        <v>7640.2249999999995</v>
      </c>
      <c r="L2310" s="6">
        <v>205.99</v>
      </c>
    </row>
    <row r="2311" spans="1:12" x14ac:dyDescent="0.25">
      <c r="A2311" s="1">
        <v>2310</v>
      </c>
      <c r="B2311" s="4">
        <v>16643</v>
      </c>
      <c r="C2311" s="5">
        <v>40279</v>
      </c>
      <c r="D2311" s="3" t="s">
        <v>82</v>
      </c>
      <c r="E2311" s="1" t="s">
        <v>942</v>
      </c>
      <c r="F2311" s="1" t="s">
        <v>17</v>
      </c>
      <c r="G2311" s="2" t="s">
        <v>2</v>
      </c>
      <c r="H2311" s="3" t="s">
        <v>97</v>
      </c>
      <c r="I2311" s="3" t="s">
        <v>85</v>
      </c>
      <c r="J2311" s="3" t="s">
        <v>65</v>
      </c>
      <c r="K2311" s="4">
        <v>312.63</v>
      </c>
      <c r="L2311" s="6">
        <v>7.31</v>
      </c>
    </row>
    <row r="2312" spans="1:12" x14ac:dyDescent="0.25">
      <c r="A2312" s="1">
        <v>2311</v>
      </c>
      <c r="B2312" s="4">
        <v>16643</v>
      </c>
      <c r="C2312" s="5">
        <v>40279</v>
      </c>
      <c r="D2312" s="3" t="s">
        <v>82</v>
      </c>
      <c r="E2312" s="1" t="s">
        <v>942</v>
      </c>
      <c r="F2312" s="1" t="s">
        <v>17</v>
      </c>
      <c r="G2312" s="2" t="s">
        <v>2</v>
      </c>
      <c r="H2312" s="3" t="s">
        <v>97</v>
      </c>
      <c r="I2312" s="3" t="s">
        <v>85</v>
      </c>
      <c r="J2312" s="3" t="s">
        <v>66</v>
      </c>
      <c r="K2312" s="4">
        <v>441.4</v>
      </c>
      <c r="L2312" s="6">
        <v>10.06</v>
      </c>
    </row>
    <row r="2313" spans="1:12" x14ac:dyDescent="0.25">
      <c r="A2313" s="1">
        <v>2312</v>
      </c>
      <c r="B2313" s="4">
        <v>16674</v>
      </c>
      <c r="C2313" s="5">
        <v>40662</v>
      </c>
      <c r="D2313" s="3" t="s">
        <v>82</v>
      </c>
      <c r="E2313" s="1" t="s">
        <v>470</v>
      </c>
      <c r="F2313" s="1" t="s">
        <v>21</v>
      </c>
      <c r="G2313" s="2" t="s">
        <v>1</v>
      </c>
      <c r="H2313" s="3" t="s">
        <v>84</v>
      </c>
      <c r="I2313" s="3" t="s">
        <v>85</v>
      </c>
      <c r="J2313" s="3" t="s">
        <v>70</v>
      </c>
      <c r="K2313" s="4">
        <v>1959.43</v>
      </c>
      <c r="L2313" s="6">
        <v>42.98</v>
      </c>
    </row>
    <row r="2314" spans="1:12" x14ac:dyDescent="0.25">
      <c r="A2314" s="1">
        <v>2313</v>
      </c>
      <c r="B2314" s="4">
        <v>16674</v>
      </c>
      <c r="C2314" s="5">
        <v>40662</v>
      </c>
      <c r="D2314" s="3" t="s">
        <v>82</v>
      </c>
      <c r="E2314" s="1" t="s">
        <v>295</v>
      </c>
      <c r="F2314" s="1" t="s">
        <v>21</v>
      </c>
      <c r="G2314" s="2" t="s">
        <v>1</v>
      </c>
      <c r="H2314" s="3" t="s">
        <v>84</v>
      </c>
      <c r="I2314" s="3" t="s">
        <v>91</v>
      </c>
      <c r="J2314" s="3" t="s">
        <v>72</v>
      </c>
      <c r="K2314" s="4">
        <v>14072.64</v>
      </c>
      <c r="L2314" s="6">
        <v>355.98</v>
      </c>
    </row>
    <row r="2315" spans="1:12" x14ac:dyDescent="0.25">
      <c r="A2315" s="1">
        <v>2314</v>
      </c>
      <c r="B2315" s="4">
        <v>16676</v>
      </c>
      <c r="C2315" s="5">
        <v>39891</v>
      </c>
      <c r="D2315" s="3" t="s">
        <v>89</v>
      </c>
      <c r="E2315" s="1" t="s">
        <v>735</v>
      </c>
      <c r="F2315" s="1" t="s">
        <v>34</v>
      </c>
      <c r="G2315" s="2" t="s">
        <v>1</v>
      </c>
      <c r="H2315" s="3" t="s">
        <v>100</v>
      </c>
      <c r="I2315" s="3" t="s">
        <v>92</v>
      </c>
      <c r="J2315" s="3" t="s">
        <v>61</v>
      </c>
      <c r="K2315" s="4">
        <v>936.80199999999991</v>
      </c>
      <c r="L2315" s="6">
        <v>28.99</v>
      </c>
    </row>
    <row r="2316" spans="1:12" x14ac:dyDescent="0.25">
      <c r="A2316" s="1">
        <v>2315</v>
      </c>
      <c r="B2316" s="4">
        <v>16679</v>
      </c>
      <c r="C2316" s="5">
        <v>40125</v>
      </c>
      <c r="D2316" s="3" t="s">
        <v>82</v>
      </c>
      <c r="E2316" s="1" t="s">
        <v>456</v>
      </c>
      <c r="F2316" s="1" t="s">
        <v>23</v>
      </c>
      <c r="G2316" s="2" t="s">
        <v>3</v>
      </c>
      <c r="H2316" s="3" t="s">
        <v>84</v>
      </c>
      <c r="I2316" s="3" t="s">
        <v>91</v>
      </c>
      <c r="J2316" s="3" t="s">
        <v>72</v>
      </c>
      <c r="K2316" s="4">
        <v>6481.95</v>
      </c>
      <c r="L2316" s="6">
        <v>243.98</v>
      </c>
    </row>
    <row r="2317" spans="1:12" x14ac:dyDescent="0.25">
      <c r="A2317" s="1">
        <v>2316</v>
      </c>
      <c r="B2317" s="4">
        <v>16706</v>
      </c>
      <c r="C2317" s="5">
        <v>41087</v>
      </c>
      <c r="D2317" s="3" t="s">
        <v>89</v>
      </c>
      <c r="E2317" s="1" t="s">
        <v>501</v>
      </c>
      <c r="F2317" s="1" t="s">
        <v>8</v>
      </c>
      <c r="G2317" s="2" t="s">
        <v>6</v>
      </c>
      <c r="H2317" s="3" t="s">
        <v>88</v>
      </c>
      <c r="I2317" s="3" t="s">
        <v>91</v>
      </c>
      <c r="J2317" s="3" t="s">
        <v>59</v>
      </c>
      <c r="K2317" s="4">
        <v>1943.72</v>
      </c>
      <c r="L2317" s="6">
        <v>41.47</v>
      </c>
    </row>
    <row r="2318" spans="1:12" x14ac:dyDescent="0.25">
      <c r="A2318" s="1">
        <v>2317</v>
      </c>
      <c r="B2318" s="4">
        <v>16706</v>
      </c>
      <c r="C2318" s="5">
        <v>41087</v>
      </c>
      <c r="D2318" s="3" t="s">
        <v>89</v>
      </c>
      <c r="E2318" s="1" t="s">
        <v>501</v>
      </c>
      <c r="F2318" s="1" t="s">
        <v>8</v>
      </c>
      <c r="G2318" s="2" t="s">
        <v>6</v>
      </c>
      <c r="H2318" s="3" t="s">
        <v>88</v>
      </c>
      <c r="I2318" s="3" t="s">
        <v>85</v>
      </c>
      <c r="J2318" s="3" t="s">
        <v>63</v>
      </c>
      <c r="K2318" s="4">
        <v>18.37</v>
      </c>
      <c r="L2318" s="6">
        <v>2.78</v>
      </c>
    </row>
    <row r="2319" spans="1:12" x14ac:dyDescent="0.25">
      <c r="A2319" s="1">
        <v>2318</v>
      </c>
      <c r="B2319" s="4">
        <v>16706</v>
      </c>
      <c r="C2319" s="5">
        <v>41087</v>
      </c>
      <c r="D2319" s="3" t="s">
        <v>89</v>
      </c>
      <c r="E2319" s="1" t="s">
        <v>501</v>
      </c>
      <c r="F2319" s="1" t="s">
        <v>8</v>
      </c>
      <c r="G2319" s="2" t="s">
        <v>6</v>
      </c>
      <c r="H2319" s="3" t="s">
        <v>88</v>
      </c>
      <c r="I2319" s="3" t="s">
        <v>92</v>
      </c>
      <c r="J2319" s="3" t="s">
        <v>61</v>
      </c>
      <c r="K2319" s="4">
        <v>6175.777</v>
      </c>
      <c r="L2319" s="6">
        <v>155.99</v>
      </c>
    </row>
    <row r="2320" spans="1:12" x14ac:dyDescent="0.25">
      <c r="A2320" s="1">
        <v>2319</v>
      </c>
      <c r="B2320" s="4">
        <v>16709</v>
      </c>
      <c r="C2320" s="5">
        <v>41188</v>
      </c>
      <c r="D2320" s="3" t="s">
        <v>89</v>
      </c>
      <c r="E2320" s="1" t="s">
        <v>888</v>
      </c>
      <c r="F2320" s="1" t="s">
        <v>24</v>
      </c>
      <c r="G2320" s="2" t="s">
        <v>2</v>
      </c>
      <c r="H2320" s="3" t="s">
        <v>84</v>
      </c>
      <c r="I2320" s="3" t="s">
        <v>85</v>
      </c>
      <c r="J2320" s="3" t="s">
        <v>66</v>
      </c>
      <c r="K2320" s="4">
        <v>24.36</v>
      </c>
      <c r="L2320" s="6">
        <v>6.48</v>
      </c>
    </row>
    <row r="2321" spans="1:12" x14ac:dyDescent="0.25">
      <c r="A2321" s="1">
        <v>2320</v>
      </c>
      <c r="B2321" s="4">
        <v>16710</v>
      </c>
      <c r="C2321" s="5">
        <v>40657</v>
      </c>
      <c r="D2321" s="3" t="s">
        <v>89</v>
      </c>
      <c r="E2321" s="1" t="s">
        <v>389</v>
      </c>
      <c r="F2321" s="1" t="s">
        <v>21</v>
      </c>
      <c r="G2321" s="2" t="s">
        <v>1</v>
      </c>
      <c r="H2321" s="3" t="s">
        <v>100</v>
      </c>
      <c r="I2321" s="3" t="s">
        <v>92</v>
      </c>
      <c r="J2321" s="3" t="s">
        <v>67</v>
      </c>
      <c r="K2321" s="4">
        <v>5549.79</v>
      </c>
      <c r="L2321" s="6">
        <v>145.44999999999999</v>
      </c>
    </row>
    <row r="2322" spans="1:12" x14ac:dyDescent="0.25">
      <c r="A2322" s="1">
        <v>2321</v>
      </c>
      <c r="B2322" s="4">
        <v>16711</v>
      </c>
      <c r="C2322" s="5">
        <v>41024</v>
      </c>
      <c r="D2322" s="3" t="s">
        <v>86</v>
      </c>
      <c r="E2322" s="1" t="s">
        <v>112</v>
      </c>
      <c r="F2322" s="1" t="s">
        <v>15</v>
      </c>
      <c r="G2322" s="2" t="s">
        <v>1</v>
      </c>
      <c r="H2322" s="3" t="s">
        <v>84</v>
      </c>
      <c r="I2322" s="3" t="s">
        <v>85</v>
      </c>
      <c r="J2322" s="3" t="s">
        <v>64</v>
      </c>
      <c r="K2322" s="4">
        <v>3.96</v>
      </c>
      <c r="L2322" s="6">
        <v>1.1399999999999999</v>
      </c>
    </row>
    <row r="2323" spans="1:12" x14ac:dyDescent="0.25">
      <c r="A2323" s="1">
        <v>2322</v>
      </c>
      <c r="B2323" s="4">
        <v>16737</v>
      </c>
      <c r="C2323" s="5">
        <v>40714</v>
      </c>
      <c r="D2323" s="3" t="s">
        <v>86</v>
      </c>
      <c r="E2323" s="1" t="s">
        <v>491</v>
      </c>
      <c r="F2323" s="1" t="s">
        <v>26</v>
      </c>
      <c r="G2323" s="2" t="s">
        <v>3</v>
      </c>
      <c r="H2323" s="3" t="s">
        <v>97</v>
      </c>
      <c r="I2323" s="3" t="s">
        <v>85</v>
      </c>
      <c r="J2323" s="3" t="s">
        <v>71</v>
      </c>
      <c r="K2323" s="4">
        <v>1390.49</v>
      </c>
      <c r="L2323" s="6">
        <v>90.48</v>
      </c>
    </row>
    <row r="2324" spans="1:12" x14ac:dyDescent="0.25">
      <c r="A2324" s="1">
        <v>2323</v>
      </c>
      <c r="B2324" s="4">
        <v>16741</v>
      </c>
      <c r="C2324" s="5">
        <v>40451</v>
      </c>
      <c r="D2324" s="3" t="s">
        <v>4</v>
      </c>
      <c r="E2324" s="1" t="s">
        <v>401</v>
      </c>
      <c r="F2324" s="1" t="s">
        <v>8</v>
      </c>
      <c r="G2324" s="2" t="s">
        <v>6</v>
      </c>
      <c r="H2324" s="3" t="s">
        <v>84</v>
      </c>
      <c r="I2324" s="3" t="s">
        <v>85</v>
      </c>
      <c r="J2324" s="3" t="s">
        <v>66</v>
      </c>
      <c r="K2324" s="4">
        <v>157.97</v>
      </c>
      <c r="L2324" s="6">
        <v>22.84</v>
      </c>
    </row>
    <row r="2325" spans="1:12" x14ac:dyDescent="0.25">
      <c r="A2325" s="1">
        <v>2324</v>
      </c>
      <c r="B2325" s="4">
        <v>16768</v>
      </c>
      <c r="C2325" s="5">
        <v>40019</v>
      </c>
      <c r="D2325" s="3" t="s">
        <v>89</v>
      </c>
      <c r="E2325" s="1" t="s">
        <v>321</v>
      </c>
      <c r="F2325" s="1" t="s">
        <v>36</v>
      </c>
      <c r="G2325" s="2" t="s">
        <v>2</v>
      </c>
      <c r="H2325" s="3" t="s">
        <v>88</v>
      </c>
      <c r="I2325" s="3" t="s">
        <v>85</v>
      </c>
      <c r="J2325" s="3" t="s">
        <v>70</v>
      </c>
      <c r="K2325" s="4">
        <v>101.47</v>
      </c>
      <c r="L2325" s="6">
        <v>10.89</v>
      </c>
    </row>
    <row r="2326" spans="1:12" x14ac:dyDescent="0.25">
      <c r="A2326" s="1">
        <v>2325</v>
      </c>
      <c r="B2326" s="4">
        <v>16770</v>
      </c>
      <c r="C2326" s="5">
        <v>39819</v>
      </c>
      <c r="D2326" s="3" t="s">
        <v>95</v>
      </c>
      <c r="E2326" s="1" t="s">
        <v>800</v>
      </c>
      <c r="F2326" s="1" t="s">
        <v>42</v>
      </c>
      <c r="G2326" s="2" t="s">
        <v>3</v>
      </c>
      <c r="H2326" s="3" t="s">
        <v>100</v>
      </c>
      <c r="I2326" s="3" t="s">
        <v>85</v>
      </c>
      <c r="J2326" s="3" t="s">
        <v>63</v>
      </c>
      <c r="K2326" s="4">
        <v>37.06</v>
      </c>
      <c r="L2326" s="6">
        <v>2.1</v>
      </c>
    </row>
    <row r="2327" spans="1:12" x14ac:dyDescent="0.25">
      <c r="A2327" s="1">
        <v>2326</v>
      </c>
      <c r="B2327" s="4">
        <v>16771</v>
      </c>
      <c r="C2327" s="5">
        <v>40084</v>
      </c>
      <c r="D2327" s="3" t="s">
        <v>89</v>
      </c>
      <c r="E2327" s="1" t="s">
        <v>748</v>
      </c>
      <c r="F2327" s="1" t="s">
        <v>13</v>
      </c>
      <c r="G2327" s="2" t="s">
        <v>6</v>
      </c>
      <c r="H2327" s="3" t="s">
        <v>88</v>
      </c>
      <c r="I2327" s="3" t="s">
        <v>91</v>
      </c>
      <c r="J2327" s="3" t="s">
        <v>59</v>
      </c>
      <c r="K2327" s="4">
        <v>1737.06</v>
      </c>
      <c r="L2327" s="6">
        <v>39.979999999999997</v>
      </c>
    </row>
    <row r="2328" spans="1:12" x14ac:dyDescent="0.25">
      <c r="A2328" s="1">
        <v>2327</v>
      </c>
      <c r="B2328" s="4">
        <v>16772</v>
      </c>
      <c r="C2328" s="5">
        <v>41269</v>
      </c>
      <c r="D2328" s="3" t="s">
        <v>89</v>
      </c>
      <c r="E2328" s="1" t="s">
        <v>614</v>
      </c>
      <c r="F2328" s="1" t="s">
        <v>12</v>
      </c>
      <c r="G2328" s="2" t="s">
        <v>2</v>
      </c>
      <c r="H2328" s="3" t="s">
        <v>97</v>
      </c>
      <c r="I2328" s="3" t="s">
        <v>85</v>
      </c>
      <c r="J2328" s="3" t="s">
        <v>65</v>
      </c>
      <c r="K2328" s="4">
        <v>95.71</v>
      </c>
      <c r="L2328" s="6">
        <v>2.61</v>
      </c>
    </row>
    <row r="2329" spans="1:12" x14ac:dyDescent="0.25">
      <c r="A2329" s="1">
        <v>2328</v>
      </c>
      <c r="B2329" s="4">
        <v>16775</v>
      </c>
      <c r="C2329" s="5">
        <v>41235</v>
      </c>
      <c r="D2329" s="3" t="s">
        <v>82</v>
      </c>
      <c r="E2329" s="1" t="s">
        <v>891</v>
      </c>
      <c r="F2329" s="1" t="s">
        <v>23</v>
      </c>
      <c r="G2329" s="2" t="s">
        <v>3</v>
      </c>
      <c r="H2329" s="3" t="s">
        <v>88</v>
      </c>
      <c r="I2329" s="3" t="s">
        <v>85</v>
      </c>
      <c r="J2329" s="3" t="s">
        <v>66</v>
      </c>
      <c r="K2329" s="4">
        <v>2469.15</v>
      </c>
      <c r="L2329" s="6">
        <v>48.94</v>
      </c>
    </row>
    <row r="2330" spans="1:12" x14ac:dyDescent="0.25">
      <c r="A2330" s="1">
        <v>2329</v>
      </c>
      <c r="B2330" s="4">
        <v>16802</v>
      </c>
      <c r="C2330" s="5">
        <v>40653</v>
      </c>
      <c r="D2330" s="3" t="s">
        <v>4</v>
      </c>
      <c r="E2330" s="1" t="s">
        <v>325</v>
      </c>
      <c r="F2330" s="1" t="s">
        <v>42</v>
      </c>
      <c r="G2330" s="2" t="s">
        <v>3</v>
      </c>
      <c r="H2330" s="3" t="s">
        <v>97</v>
      </c>
      <c r="I2330" s="3" t="s">
        <v>85</v>
      </c>
      <c r="J2330" s="3" t="s">
        <v>66</v>
      </c>
      <c r="K2330" s="4">
        <v>302.58999999999997</v>
      </c>
      <c r="L2330" s="6">
        <v>6.68</v>
      </c>
    </row>
    <row r="2331" spans="1:12" x14ac:dyDescent="0.25">
      <c r="A2331" s="1">
        <v>2330</v>
      </c>
      <c r="B2331" s="4">
        <v>16802</v>
      </c>
      <c r="C2331" s="5">
        <v>40653</v>
      </c>
      <c r="D2331" s="3" t="s">
        <v>4</v>
      </c>
      <c r="E2331" s="1" t="s">
        <v>325</v>
      </c>
      <c r="F2331" s="1" t="s">
        <v>42</v>
      </c>
      <c r="G2331" s="2" t="s">
        <v>3</v>
      </c>
      <c r="H2331" s="3" t="s">
        <v>97</v>
      </c>
      <c r="I2331" s="3" t="s">
        <v>85</v>
      </c>
      <c r="J2331" s="3" t="s">
        <v>57</v>
      </c>
      <c r="K2331" s="4">
        <v>2703.45</v>
      </c>
      <c r="L2331" s="6">
        <v>95.99</v>
      </c>
    </row>
    <row r="2332" spans="1:12" x14ac:dyDescent="0.25">
      <c r="A2332" s="1">
        <v>2331</v>
      </c>
      <c r="B2332" s="4">
        <v>16804</v>
      </c>
      <c r="C2332" s="5">
        <v>40978</v>
      </c>
      <c r="D2332" s="3" t="s">
        <v>89</v>
      </c>
      <c r="E2332" s="1" t="s">
        <v>261</v>
      </c>
      <c r="F2332" s="1" t="s">
        <v>13</v>
      </c>
      <c r="G2332" s="2" t="s">
        <v>6</v>
      </c>
      <c r="H2332" s="3" t="s">
        <v>100</v>
      </c>
      <c r="I2332" s="3" t="s">
        <v>85</v>
      </c>
      <c r="J2332" s="3" t="s">
        <v>66</v>
      </c>
      <c r="K2332" s="4">
        <v>2430.34</v>
      </c>
      <c r="L2332" s="6">
        <v>55.98</v>
      </c>
    </row>
    <row r="2333" spans="1:12" x14ac:dyDescent="0.25">
      <c r="A2333" s="1">
        <v>2332</v>
      </c>
      <c r="B2333" s="4">
        <v>16804</v>
      </c>
      <c r="C2333" s="5">
        <v>40978</v>
      </c>
      <c r="D2333" s="3" t="s">
        <v>89</v>
      </c>
      <c r="E2333" s="1" t="s">
        <v>261</v>
      </c>
      <c r="F2333" s="1" t="s">
        <v>13</v>
      </c>
      <c r="G2333" s="2" t="s">
        <v>6</v>
      </c>
      <c r="H2333" s="3" t="s">
        <v>100</v>
      </c>
      <c r="I2333" s="3" t="s">
        <v>85</v>
      </c>
      <c r="J2333" s="3" t="s">
        <v>66</v>
      </c>
      <c r="K2333" s="4">
        <v>218.6</v>
      </c>
      <c r="L2333" s="6">
        <v>5.78</v>
      </c>
    </row>
    <row r="2334" spans="1:12" x14ac:dyDescent="0.25">
      <c r="A2334" s="1">
        <v>2333</v>
      </c>
      <c r="B2334" s="4">
        <v>16805</v>
      </c>
      <c r="C2334" s="5">
        <v>40907</v>
      </c>
      <c r="D2334" s="3" t="s">
        <v>82</v>
      </c>
      <c r="E2334" s="1" t="s">
        <v>180</v>
      </c>
      <c r="F2334" s="1" t="s">
        <v>33</v>
      </c>
      <c r="G2334" s="2" t="s">
        <v>2</v>
      </c>
      <c r="H2334" s="3" t="s">
        <v>88</v>
      </c>
      <c r="I2334" s="3" t="s">
        <v>85</v>
      </c>
      <c r="J2334" s="3" t="s">
        <v>69</v>
      </c>
      <c r="K2334" s="4">
        <v>852.75</v>
      </c>
      <c r="L2334" s="6">
        <v>30.44</v>
      </c>
    </row>
    <row r="2335" spans="1:12" x14ac:dyDescent="0.25">
      <c r="A2335" s="1">
        <v>2334</v>
      </c>
      <c r="B2335" s="4">
        <v>16805</v>
      </c>
      <c r="C2335" s="5">
        <v>40907</v>
      </c>
      <c r="D2335" s="3" t="s">
        <v>82</v>
      </c>
      <c r="E2335" s="1" t="s">
        <v>180</v>
      </c>
      <c r="F2335" s="1" t="s">
        <v>33</v>
      </c>
      <c r="G2335" s="2" t="s">
        <v>2</v>
      </c>
      <c r="H2335" s="3" t="s">
        <v>88</v>
      </c>
      <c r="I2335" s="3" t="s">
        <v>85</v>
      </c>
      <c r="J2335" s="3" t="s">
        <v>66</v>
      </c>
      <c r="K2335" s="4">
        <v>172.33</v>
      </c>
      <c r="L2335" s="6">
        <v>6.48</v>
      </c>
    </row>
    <row r="2336" spans="1:12" x14ac:dyDescent="0.25">
      <c r="A2336" s="1">
        <v>2335</v>
      </c>
      <c r="B2336" s="4">
        <v>16806</v>
      </c>
      <c r="C2336" s="5">
        <v>40346</v>
      </c>
      <c r="D2336" s="3" t="s">
        <v>89</v>
      </c>
      <c r="E2336" s="1" t="s">
        <v>943</v>
      </c>
      <c r="F2336" s="1" t="s">
        <v>30</v>
      </c>
      <c r="G2336" s="2" t="s">
        <v>6</v>
      </c>
      <c r="H2336" s="3" t="s">
        <v>97</v>
      </c>
      <c r="I2336" s="3" t="s">
        <v>92</v>
      </c>
      <c r="J2336" s="3" t="s">
        <v>62</v>
      </c>
      <c r="K2336" s="4">
        <v>167.37</v>
      </c>
      <c r="L2336" s="6">
        <v>43.22</v>
      </c>
    </row>
    <row r="2337" spans="1:12" x14ac:dyDescent="0.25">
      <c r="A2337" s="1">
        <v>2336</v>
      </c>
      <c r="B2337" s="4">
        <v>16806</v>
      </c>
      <c r="C2337" s="5">
        <v>40346</v>
      </c>
      <c r="D2337" s="3" t="s">
        <v>89</v>
      </c>
      <c r="E2337" s="1" t="s">
        <v>943</v>
      </c>
      <c r="F2337" s="1" t="s">
        <v>30</v>
      </c>
      <c r="G2337" s="2" t="s">
        <v>6</v>
      </c>
      <c r="H2337" s="3" t="s">
        <v>97</v>
      </c>
      <c r="I2337" s="3" t="s">
        <v>92</v>
      </c>
      <c r="J2337" s="3" t="s">
        <v>61</v>
      </c>
      <c r="K2337" s="4">
        <v>1026.6385</v>
      </c>
      <c r="L2337" s="6">
        <v>65.989999999999995</v>
      </c>
    </row>
    <row r="2338" spans="1:12" x14ac:dyDescent="0.25">
      <c r="A2338" s="1">
        <v>2337</v>
      </c>
      <c r="B2338" s="4">
        <v>16807</v>
      </c>
      <c r="C2338" s="5">
        <v>40923</v>
      </c>
      <c r="D2338" s="3" t="s">
        <v>4</v>
      </c>
      <c r="E2338" s="1" t="s">
        <v>942</v>
      </c>
      <c r="F2338" s="1" t="s">
        <v>17</v>
      </c>
      <c r="G2338" s="2" t="s">
        <v>2</v>
      </c>
      <c r="H2338" s="3" t="s">
        <v>84</v>
      </c>
      <c r="I2338" s="3" t="s">
        <v>85</v>
      </c>
      <c r="J2338" s="3" t="s">
        <v>66</v>
      </c>
      <c r="K2338" s="4">
        <v>1585.6</v>
      </c>
      <c r="L2338" s="6">
        <v>35.44</v>
      </c>
    </row>
    <row r="2339" spans="1:12" x14ac:dyDescent="0.25">
      <c r="A2339" s="1">
        <v>2338</v>
      </c>
      <c r="B2339" s="4">
        <v>16807</v>
      </c>
      <c r="C2339" s="5">
        <v>40923</v>
      </c>
      <c r="D2339" s="3" t="s">
        <v>4</v>
      </c>
      <c r="E2339" s="1" t="s">
        <v>944</v>
      </c>
      <c r="F2339" s="1" t="s">
        <v>17</v>
      </c>
      <c r="G2339" s="2" t="s">
        <v>2</v>
      </c>
      <c r="H2339" s="3" t="s">
        <v>84</v>
      </c>
      <c r="I2339" s="3" t="s">
        <v>85</v>
      </c>
      <c r="J2339" s="3" t="s">
        <v>66</v>
      </c>
      <c r="K2339" s="4">
        <v>215.85</v>
      </c>
      <c r="L2339" s="6">
        <v>7.4</v>
      </c>
    </row>
    <row r="2340" spans="1:12" x14ac:dyDescent="0.25">
      <c r="A2340" s="1">
        <v>2339</v>
      </c>
      <c r="B2340" s="4">
        <v>16834</v>
      </c>
      <c r="C2340" s="5">
        <v>40474</v>
      </c>
      <c r="D2340" s="3" t="s">
        <v>82</v>
      </c>
      <c r="E2340" s="1" t="s">
        <v>863</v>
      </c>
      <c r="F2340" s="1" t="s">
        <v>32</v>
      </c>
      <c r="G2340" s="2" t="s">
        <v>2</v>
      </c>
      <c r="H2340" s="3" t="s">
        <v>100</v>
      </c>
      <c r="I2340" s="3" t="s">
        <v>85</v>
      </c>
      <c r="J2340" s="3" t="s">
        <v>66</v>
      </c>
      <c r="K2340" s="4">
        <v>158.78</v>
      </c>
      <c r="L2340" s="6">
        <v>7.04</v>
      </c>
    </row>
    <row r="2341" spans="1:12" x14ac:dyDescent="0.25">
      <c r="A2341" s="1">
        <v>2340</v>
      </c>
      <c r="B2341" s="4">
        <v>16834</v>
      </c>
      <c r="C2341" s="5">
        <v>40474</v>
      </c>
      <c r="D2341" s="3" t="s">
        <v>82</v>
      </c>
      <c r="E2341" s="1" t="s">
        <v>704</v>
      </c>
      <c r="F2341" s="1" t="s">
        <v>23</v>
      </c>
      <c r="G2341" s="2" t="s">
        <v>3</v>
      </c>
      <c r="H2341" s="3" t="s">
        <v>100</v>
      </c>
      <c r="I2341" s="3" t="s">
        <v>85</v>
      </c>
      <c r="J2341" s="3" t="s">
        <v>69</v>
      </c>
      <c r="K2341" s="4">
        <v>463.42</v>
      </c>
      <c r="L2341" s="6">
        <v>14.45</v>
      </c>
    </row>
    <row r="2342" spans="1:12" x14ac:dyDescent="0.25">
      <c r="A2342" s="1">
        <v>2341</v>
      </c>
      <c r="B2342" s="4">
        <v>16837</v>
      </c>
      <c r="C2342" s="5">
        <v>40564</v>
      </c>
      <c r="D2342" s="3" t="s">
        <v>86</v>
      </c>
      <c r="E2342" s="1" t="s">
        <v>605</v>
      </c>
      <c r="F2342" s="1" t="s">
        <v>23</v>
      </c>
      <c r="G2342" s="2" t="s">
        <v>3</v>
      </c>
      <c r="H2342" s="3" t="s">
        <v>100</v>
      </c>
      <c r="I2342" s="3" t="s">
        <v>91</v>
      </c>
      <c r="J2342" s="3" t="s">
        <v>72</v>
      </c>
      <c r="K2342" s="4">
        <v>997</v>
      </c>
      <c r="L2342" s="6">
        <v>258.98</v>
      </c>
    </row>
    <row r="2343" spans="1:12" x14ac:dyDescent="0.25">
      <c r="A2343" s="1">
        <v>2342</v>
      </c>
      <c r="B2343" s="4">
        <v>16864</v>
      </c>
      <c r="C2343" s="5">
        <v>41211</v>
      </c>
      <c r="D2343" s="3" t="s">
        <v>86</v>
      </c>
      <c r="E2343" s="1" t="s">
        <v>788</v>
      </c>
      <c r="F2343" s="1" t="s">
        <v>17</v>
      </c>
      <c r="G2343" s="2" t="s">
        <v>2</v>
      </c>
      <c r="H2343" s="3" t="s">
        <v>100</v>
      </c>
      <c r="I2343" s="3" t="s">
        <v>91</v>
      </c>
      <c r="J2343" s="3" t="s">
        <v>60</v>
      </c>
      <c r="K2343" s="4">
        <v>12837.11</v>
      </c>
      <c r="L2343" s="6">
        <v>320.64</v>
      </c>
    </row>
    <row r="2344" spans="1:12" x14ac:dyDescent="0.25">
      <c r="A2344" s="1">
        <v>2343</v>
      </c>
      <c r="B2344" s="4">
        <v>16866</v>
      </c>
      <c r="C2344" s="5">
        <v>40945</v>
      </c>
      <c r="D2344" s="3" t="s">
        <v>86</v>
      </c>
      <c r="E2344" s="1" t="s">
        <v>115</v>
      </c>
      <c r="F2344" s="1" t="s">
        <v>23</v>
      </c>
      <c r="G2344" s="2" t="s">
        <v>3</v>
      </c>
      <c r="H2344" s="3" t="s">
        <v>97</v>
      </c>
      <c r="I2344" s="3" t="s">
        <v>92</v>
      </c>
      <c r="J2344" s="3" t="s">
        <v>61</v>
      </c>
      <c r="K2344" s="4">
        <v>2357.9085</v>
      </c>
      <c r="L2344" s="6">
        <v>65.989999999999995</v>
      </c>
    </row>
    <row r="2345" spans="1:12" x14ac:dyDescent="0.25">
      <c r="A2345" s="1">
        <v>2344</v>
      </c>
      <c r="B2345" s="4">
        <v>16897</v>
      </c>
      <c r="C2345" s="5">
        <v>41075</v>
      </c>
      <c r="D2345" s="3" t="s">
        <v>86</v>
      </c>
      <c r="E2345" s="1" t="s">
        <v>735</v>
      </c>
      <c r="F2345" s="1" t="s">
        <v>34</v>
      </c>
      <c r="G2345" s="2" t="s">
        <v>1</v>
      </c>
      <c r="H2345" s="3" t="s">
        <v>100</v>
      </c>
      <c r="I2345" s="3" t="s">
        <v>91</v>
      </c>
      <c r="J2345" s="3" t="s">
        <v>72</v>
      </c>
      <c r="K2345" s="4">
        <v>379.8</v>
      </c>
      <c r="L2345" s="6">
        <v>320.98</v>
      </c>
    </row>
    <row r="2346" spans="1:12" x14ac:dyDescent="0.25">
      <c r="A2346" s="1">
        <v>2345</v>
      </c>
      <c r="B2346" s="4">
        <v>16897</v>
      </c>
      <c r="C2346" s="5">
        <v>41075</v>
      </c>
      <c r="D2346" s="3" t="s">
        <v>86</v>
      </c>
      <c r="E2346" s="1" t="s">
        <v>735</v>
      </c>
      <c r="F2346" s="1" t="s">
        <v>34</v>
      </c>
      <c r="G2346" s="2" t="s">
        <v>1</v>
      </c>
      <c r="H2346" s="3" t="s">
        <v>100</v>
      </c>
      <c r="I2346" s="3" t="s">
        <v>85</v>
      </c>
      <c r="J2346" s="3" t="s">
        <v>63</v>
      </c>
      <c r="K2346" s="4">
        <v>107.7</v>
      </c>
      <c r="L2346" s="6">
        <v>2.21</v>
      </c>
    </row>
    <row r="2347" spans="1:12" x14ac:dyDescent="0.25">
      <c r="A2347" s="1">
        <v>2346</v>
      </c>
      <c r="B2347" s="4">
        <v>16932</v>
      </c>
      <c r="C2347" s="5">
        <v>40283</v>
      </c>
      <c r="D2347" s="3" t="s">
        <v>95</v>
      </c>
      <c r="E2347" s="1" t="s">
        <v>815</v>
      </c>
      <c r="F2347" s="1" t="s">
        <v>8</v>
      </c>
      <c r="G2347" s="2" t="s">
        <v>6</v>
      </c>
      <c r="H2347" s="3" t="s">
        <v>100</v>
      </c>
      <c r="I2347" s="3" t="s">
        <v>85</v>
      </c>
      <c r="J2347" s="3" t="s">
        <v>66</v>
      </c>
      <c r="K2347" s="4">
        <v>144.84</v>
      </c>
      <c r="L2347" s="6">
        <v>5.78</v>
      </c>
    </row>
    <row r="2348" spans="1:12" x14ac:dyDescent="0.25">
      <c r="A2348" s="1">
        <v>2347</v>
      </c>
      <c r="B2348" s="4">
        <v>16932</v>
      </c>
      <c r="C2348" s="5">
        <v>40283</v>
      </c>
      <c r="D2348" s="3" t="s">
        <v>95</v>
      </c>
      <c r="E2348" s="1" t="s">
        <v>815</v>
      </c>
      <c r="F2348" s="1" t="s">
        <v>8</v>
      </c>
      <c r="G2348" s="2" t="s">
        <v>6</v>
      </c>
      <c r="H2348" s="3" t="s">
        <v>100</v>
      </c>
      <c r="I2348" s="3" t="s">
        <v>85</v>
      </c>
      <c r="J2348" s="3" t="s">
        <v>63</v>
      </c>
      <c r="K2348" s="4">
        <v>127.16</v>
      </c>
      <c r="L2348" s="6">
        <v>6.7</v>
      </c>
    </row>
    <row r="2349" spans="1:12" x14ac:dyDescent="0.25">
      <c r="A2349" s="1">
        <v>2348</v>
      </c>
      <c r="B2349" s="4">
        <v>16935</v>
      </c>
      <c r="C2349" s="5">
        <v>41258</v>
      </c>
      <c r="D2349" s="3" t="s">
        <v>86</v>
      </c>
      <c r="E2349" s="1" t="s">
        <v>945</v>
      </c>
      <c r="F2349" s="1" t="s">
        <v>29</v>
      </c>
      <c r="G2349" s="2" t="s">
        <v>3</v>
      </c>
      <c r="H2349" s="3" t="s">
        <v>88</v>
      </c>
      <c r="I2349" s="3" t="s">
        <v>85</v>
      </c>
      <c r="J2349" s="3" t="s">
        <v>66</v>
      </c>
      <c r="K2349" s="4">
        <v>14.74</v>
      </c>
      <c r="L2349" s="6">
        <v>4.4800000000000004</v>
      </c>
    </row>
    <row r="2350" spans="1:12" x14ac:dyDescent="0.25">
      <c r="A2350" s="1">
        <v>2349</v>
      </c>
      <c r="B2350" s="4">
        <v>16935</v>
      </c>
      <c r="C2350" s="5">
        <v>41258</v>
      </c>
      <c r="D2350" s="3" t="s">
        <v>86</v>
      </c>
      <c r="E2350" s="1" t="s">
        <v>945</v>
      </c>
      <c r="F2350" s="1" t="s">
        <v>29</v>
      </c>
      <c r="G2350" s="2" t="s">
        <v>3</v>
      </c>
      <c r="H2350" s="3" t="s">
        <v>88</v>
      </c>
      <c r="I2350" s="3" t="s">
        <v>85</v>
      </c>
      <c r="J2350" s="3" t="s">
        <v>63</v>
      </c>
      <c r="K2350" s="4">
        <v>117.68</v>
      </c>
      <c r="L2350" s="6">
        <v>2.88</v>
      </c>
    </row>
    <row r="2351" spans="1:12" x14ac:dyDescent="0.25">
      <c r="A2351" s="1">
        <v>2350</v>
      </c>
      <c r="B2351" s="4">
        <v>16961</v>
      </c>
      <c r="C2351" s="5">
        <v>39819</v>
      </c>
      <c r="D2351" s="3" t="s">
        <v>86</v>
      </c>
      <c r="E2351" s="1" t="s">
        <v>946</v>
      </c>
      <c r="F2351" s="1" t="s">
        <v>42</v>
      </c>
      <c r="G2351" s="2" t="s">
        <v>3</v>
      </c>
      <c r="H2351" s="3" t="s">
        <v>100</v>
      </c>
      <c r="I2351" s="3" t="s">
        <v>92</v>
      </c>
      <c r="J2351" s="3" t="s">
        <v>62</v>
      </c>
      <c r="K2351" s="4">
        <v>46.86</v>
      </c>
      <c r="L2351" s="6">
        <v>1.7</v>
      </c>
    </row>
    <row r="2352" spans="1:12" x14ac:dyDescent="0.25">
      <c r="A2352" s="1">
        <v>2351</v>
      </c>
      <c r="B2352" s="4">
        <v>16961</v>
      </c>
      <c r="C2352" s="5">
        <v>39819</v>
      </c>
      <c r="D2352" s="3" t="s">
        <v>86</v>
      </c>
      <c r="E2352" s="1" t="s">
        <v>946</v>
      </c>
      <c r="F2352" s="1" t="s">
        <v>42</v>
      </c>
      <c r="G2352" s="2" t="s">
        <v>3</v>
      </c>
      <c r="H2352" s="3" t="s">
        <v>100</v>
      </c>
      <c r="I2352" s="3" t="s">
        <v>85</v>
      </c>
      <c r="J2352" s="3" t="s">
        <v>66</v>
      </c>
      <c r="K2352" s="4">
        <v>1089.5899999999999</v>
      </c>
      <c r="L2352" s="6">
        <v>30.98</v>
      </c>
    </row>
    <row r="2353" spans="1:12" x14ac:dyDescent="0.25">
      <c r="A2353" s="1">
        <v>2352</v>
      </c>
      <c r="B2353" s="4">
        <v>16967</v>
      </c>
      <c r="C2353" s="5">
        <v>40774</v>
      </c>
      <c r="D2353" s="3" t="s">
        <v>82</v>
      </c>
      <c r="E2353" s="1" t="s">
        <v>221</v>
      </c>
      <c r="F2353" s="1" t="s">
        <v>25</v>
      </c>
      <c r="G2353" s="2" t="s">
        <v>6</v>
      </c>
      <c r="H2353" s="3" t="s">
        <v>88</v>
      </c>
      <c r="I2353" s="3" t="s">
        <v>92</v>
      </c>
      <c r="J2353" s="3" t="s">
        <v>62</v>
      </c>
      <c r="K2353" s="4">
        <v>397.55</v>
      </c>
      <c r="L2353" s="6">
        <v>83.1</v>
      </c>
    </row>
    <row r="2354" spans="1:12" x14ac:dyDescent="0.25">
      <c r="A2354" s="1">
        <v>2353</v>
      </c>
      <c r="B2354" s="4">
        <v>16967</v>
      </c>
      <c r="C2354" s="5">
        <v>40774</v>
      </c>
      <c r="D2354" s="3" t="s">
        <v>82</v>
      </c>
      <c r="E2354" s="1" t="s">
        <v>221</v>
      </c>
      <c r="F2354" s="1" t="s">
        <v>25</v>
      </c>
      <c r="G2354" s="2" t="s">
        <v>6</v>
      </c>
      <c r="H2354" s="3" t="s">
        <v>88</v>
      </c>
      <c r="I2354" s="3" t="s">
        <v>85</v>
      </c>
      <c r="J2354" s="3" t="s">
        <v>66</v>
      </c>
      <c r="K2354" s="4">
        <v>676.26</v>
      </c>
      <c r="L2354" s="6">
        <v>19.98</v>
      </c>
    </row>
    <row r="2355" spans="1:12" x14ac:dyDescent="0.25">
      <c r="A2355" s="1">
        <v>2354</v>
      </c>
      <c r="B2355" s="4">
        <v>16992</v>
      </c>
      <c r="C2355" s="5">
        <v>40524</v>
      </c>
      <c r="D2355" s="3" t="s">
        <v>89</v>
      </c>
      <c r="E2355" s="1" t="s">
        <v>234</v>
      </c>
      <c r="F2355" s="1" t="s">
        <v>24</v>
      </c>
      <c r="G2355" s="2" t="s">
        <v>2</v>
      </c>
      <c r="H2355" s="3" t="s">
        <v>84</v>
      </c>
      <c r="I2355" s="3" t="s">
        <v>85</v>
      </c>
      <c r="J2355" s="3" t="s">
        <v>70</v>
      </c>
      <c r="K2355" s="4">
        <v>126.74</v>
      </c>
      <c r="L2355" s="6">
        <v>8.67</v>
      </c>
    </row>
    <row r="2356" spans="1:12" x14ac:dyDescent="0.25">
      <c r="A2356" s="1">
        <v>2355</v>
      </c>
      <c r="B2356" s="4">
        <v>16993</v>
      </c>
      <c r="C2356" s="5">
        <v>40863</v>
      </c>
      <c r="D2356" s="3" t="s">
        <v>4</v>
      </c>
      <c r="E2356" s="1" t="s">
        <v>122</v>
      </c>
      <c r="F2356" s="1" t="s">
        <v>44</v>
      </c>
      <c r="G2356" s="2" t="s">
        <v>3</v>
      </c>
      <c r="H2356" s="3" t="s">
        <v>84</v>
      </c>
      <c r="I2356" s="3" t="s">
        <v>92</v>
      </c>
      <c r="J2356" s="3" t="s">
        <v>61</v>
      </c>
      <c r="K2356" s="4">
        <v>1383.9190000000001</v>
      </c>
      <c r="L2356" s="6">
        <v>205.99</v>
      </c>
    </row>
    <row r="2357" spans="1:12" x14ac:dyDescent="0.25">
      <c r="A2357" s="1">
        <v>2356</v>
      </c>
      <c r="B2357" s="4">
        <v>16995</v>
      </c>
      <c r="C2357" s="5">
        <v>40530</v>
      </c>
      <c r="D2357" s="3" t="s">
        <v>86</v>
      </c>
      <c r="E2357" s="1" t="s">
        <v>894</v>
      </c>
      <c r="F2357" s="1" t="s">
        <v>24</v>
      </c>
      <c r="G2357" s="2" t="s">
        <v>2</v>
      </c>
      <c r="H2357" s="3" t="s">
        <v>100</v>
      </c>
      <c r="I2357" s="3" t="s">
        <v>85</v>
      </c>
      <c r="J2357" s="3" t="s">
        <v>64</v>
      </c>
      <c r="K2357" s="4">
        <v>48.41</v>
      </c>
      <c r="L2357" s="6">
        <v>1.1399999999999999</v>
      </c>
    </row>
    <row r="2358" spans="1:12" x14ac:dyDescent="0.25">
      <c r="A2358" s="1">
        <v>2357</v>
      </c>
      <c r="B2358" s="4">
        <v>16999</v>
      </c>
      <c r="C2358" s="5">
        <v>39832</v>
      </c>
      <c r="D2358" s="3" t="s">
        <v>95</v>
      </c>
      <c r="E2358" s="1" t="s">
        <v>619</v>
      </c>
      <c r="F2358" s="1" t="s">
        <v>34</v>
      </c>
      <c r="G2358" s="2" t="s">
        <v>1</v>
      </c>
      <c r="H2358" s="3" t="s">
        <v>100</v>
      </c>
      <c r="I2358" s="3" t="s">
        <v>85</v>
      </c>
      <c r="J2358" s="3" t="s">
        <v>70</v>
      </c>
      <c r="K2358" s="4">
        <v>3568.45</v>
      </c>
      <c r="L2358" s="6">
        <v>207.48</v>
      </c>
    </row>
    <row r="2359" spans="1:12" x14ac:dyDescent="0.25">
      <c r="A2359" s="1">
        <v>2358</v>
      </c>
      <c r="B2359" s="4">
        <v>17024</v>
      </c>
      <c r="C2359" s="5">
        <v>40099</v>
      </c>
      <c r="D2359" s="3" t="s">
        <v>4</v>
      </c>
      <c r="E2359" s="1" t="s">
        <v>247</v>
      </c>
      <c r="F2359" s="1" t="s">
        <v>13</v>
      </c>
      <c r="G2359" s="2" t="s">
        <v>6</v>
      </c>
      <c r="H2359" s="3" t="s">
        <v>88</v>
      </c>
      <c r="I2359" s="3" t="s">
        <v>85</v>
      </c>
      <c r="J2359" s="3" t="s">
        <v>70</v>
      </c>
      <c r="K2359" s="4">
        <v>1401.75</v>
      </c>
      <c r="L2359" s="6">
        <v>42.98</v>
      </c>
    </row>
    <row r="2360" spans="1:12" x14ac:dyDescent="0.25">
      <c r="A2360" s="1">
        <v>2359</v>
      </c>
      <c r="B2360" s="4">
        <v>17028</v>
      </c>
      <c r="C2360" s="5">
        <v>40101</v>
      </c>
      <c r="D2360" s="3" t="s">
        <v>89</v>
      </c>
      <c r="E2360" s="1" t="s">
        <v>813</v>
      </c>
      <c r="F2360" s="1" t="s">
        <v>52</v>
      </c>
      <c r="G2360" s="2" t="s">
        <v>3</v>
      </c>
      <c r="H2360" s="3" t="s">
        <v>97</v>
      </c>
      <c r="I2360" s="3" t="s">
        <v>85</v>
      </c>
      <c r="J2360" s="3" t="s">
        <v>63</v>
      </c>
      <c r="K2360" s="4">
        <v>513.5</v>
      </c>
      <c r="L2360" s="6">
        <v>25.99</v>
      </c>
    </row>
    <row r="2361" spans="1:12" x14ac:dyDescent="0.25">
      <c r="A2361" s="1">
        <v>2360</v>
      </c>
      <c r="B2361" s="4">
        <v>17058</v>
      </c>
      <c r="C2361" s="5">
        <v>40544</v>
      </c>
      <c r="D2361" s="3" t="s">
        <v>89</v>
      </c>
      <c r="E2361" s="1" t="s">
        <v>640</v>
      </c>
      <c r="F2361" s="1" t="s">
        <v>23</v>
      </c>
      <c r="G2361" s="2" t="s">
        <v>3</v>
      </c>
      <c r="H2361" s="3" t="s">
        <v>97</v>
      </c>
      <c r="I2361" s="3" t="s">
        <v>85</v>
      </c>
      <c r="J2361" s="3" t="s">
        <v>66</v>
      </c>
      <c r="K2361" s="4">
        <v>72.67</v>
      </c>
      <c r="L2361" s="6">
        <v>4.28</v>
      </c>
    </row>
    <row r="2362" spans="1:12" x14ac:dyDescent="0.25">
      <c r="A2362" s="1">
        <v>2361</v>
      </c>
      <c r="B2362" s="4">
        <v>17061</v>
      </c>
      <c r="C2362" s="5">
        <v>41212</v>
      </c>
      <c r="D2362" s="3" t="s">
        <v>95</v>
      </c>
      <c r="E2362" s="1" t="s">
        <v>867</v>
      </c>
      <c r="F2362" s="1" t="s">
        <v>13</v>
      </c>
      <c r="G2362" s="2" t="s">
        <v>6</v>
      </c>
      <c r="H2362" s="3" t="s">
        <v>100</v>
      </c>
      <c r="I2362" s="3" t="s">
        <v>85</v>
      </c>
      <c r="J2362" s="3" t="s">
        <v>63</v>
      </c>
      <c r="K2362" s="4">
        <v>80.53</v>
      </c>
      <c r="L2362" s="6">
        <v>2.88</v>
      </c>
    </row>
    <row r="2363" spans="1:12" x14ac:dyDescent="0.25">
      <c r="A2363" s="1">
        <v>2362</v>
      </c>
      <c r="B2363" s="4">
        <v>17090</v>
      </c>
      <c r="C2363" s="5">
        <v>40296</v>
      </c>
      <c r="D2363" s="3" t="s">
        <v>82</v>
      </c>
      <c r="E2363" s="1" t="s">
        <v>816</v>
      </c>
      <c r="F2363" s="1" t="s">
        <v>38</v>
      </c>
      <c r="G2363" s="2" t="s">
        <v>6</v>
      </c>
      <c r="H2363" s="3" t="s">
        <v>88</v>
      </c>
      <c r="I2363" s="3" t="s">
        <v>91</v>
      </c>
      <c r="J2363" s="3" t="s">
        <v>68</v>
      </c>
      <c r="K2363" s="4">
        <v>4177.5200000000004</v>
      </c>
      <c r="L2363" s="6">
        <v>140.97999999999999</v>
      </c>
    </row>
    <row r="2364" spans="1:12" x14ac:dyDescent="0.25">
      <c r="A2364" s="1">
        <v>2363</v>
      </c>
      <c r="B2364" s="4">
        <v>17090</v>
      </c>
      <c r="C2364" s="5">
        <v>40296</v>
      </c>
      <c r="D2364" s="3" t="s">
        <v>82</v>
      </c>
      <c r="E2364" s="1" t="s">
        <v>816</v>
      </c>
      <c r="F2364" s="1" t="s">
        <v>38</v>
      </c>
      <c r="G2364" s="2" t="s">
        <v>6</v>
      </c>
      <c r="H2364" s="3" t="s">
        <v>88</v>
      </c>
      <c r="I2364" s="3" t="s">
        <v>91</v>
      </c>
      <c r="J2364" s="3" t="s">
        <v>72</v>
      </c>
      <c r="K2364" s="4">
        <v>3351.08</v>
      </c>
      <c r="L2364" s="6">
        <v>122.99</v>
      </c>
    </row>
    <row r="2365" spans="1:12" x14ac:dyDescent="0.25">
      <c r="A2365" s="1">
        <v>2364</v>
      </c>
      <c r="B2365" s="4">
        <v>17091</v>
      </c>
      <c r="C2365" s="5">
        <v>41111</v>
      </c>
      <c r="D2365" s="3" t="s">
        <v>4</v>
      </c>
      <c r="E2365" s="1" t="s">
        <v>607</v>
      </c>
      <c r="F2365" s="1" t="s">
        <v>34</v>
      </c>
      <c r="G2365" s="2" t="s">
        <v>1</v>
      </c>
      <c r="H2365" s="3" t="s">
        <v>84</v>
      </c>
      <c r="I2365" s="3" t="s">
        <v>92</v>
      </c>
      <c r="J2365" s="3" t="s">
        <v>61</v>
      </c>
      <c r="K2365" s="4">
        <v>2604.3150000000001</v>
      </c>
      <c r="L2365" s="6">
        <v>65.989999999999995</v>
      </c>
    </row>
    <row r="2366" spans="1:12" x14ac:dyDescent="0.25">
      <c r="A2366" s="1">
        <v>2365</v>
      </c>
      <c r="B2366" s="4">
        <v>17093</v>
      </c>
      <c r="C2366" s="5">
        <v>40950</v>
      </c>
      <c r="D2366" s="3" t="s">
        <v>86</v>
      </c>
      <c r="E2366" s="1" t="s">
        <v>947</v>
      </c>
      <c r="F2366" s="1" t="s">
        <v>24</v>
      </c>
      <c r="G2366" s="2" t="s">
        <v>2</v>
      </c>
      <c r="H2366" s="3" t="s">
        <v>88</v>
      </c>
      <c r="I2366" s="3" t="s">
        <v>91</v>
      </c>
      <c r="J2366" s="3" t="s">
        <v>72</v>
      </c>
      <c r="K2366" s="4">
        <v>4550.0600000000004</v>
      </c>
      <c r="L2366" s="6">
        <v>95.98</v>
      </c>
    </row>
    <row r="2367" spans="1:12" x14ac:dyDescent="0.25">
      <c r="A2367" s="1">
        <v>2366</v>
      </c>
      <c r="B2367" s="4">
        <v>17124</v>
      </c>
      <c r="C2367" s="5">
        <v>40111</v>
      </c>
      <c r="D2367" s="3" t="s">
        <v>95</v>
      </c>
      <c r="E2367" s="1" t="s">
        <v>665</v>
      </c>
      <c r="F2367" s="1" t="s">
        <v>26</v>
      </c>
      <c r="G2367" s="2" t="s">
        <v>3</v>
      </c>
      <c r="H2367" s="3" t="s">
        <v>97</v>
      </c>
      <c r="I2367" s="3" t="s">
        <v>85</v>
      </c>
      <c r="J2367" s="3" t="s">
        <v>58</v>
      </c>
      <c r="K2367" s="4">
        <v>128.31</v>
      </c>
      <c r="L2367" s="6">
        <v>3.14</v>
      </c>
    </row>
    <row r="2368" spans="1:12" x14ac:dyDescent="0.25">
      <c r="A2368" s="1">
        <v>2367</v>
      </c>
      <c r="B2368" s="4">
        <v>17152</v>
      </c>
      <c r="C2368" s="5">
        <v>40980</v>
      </c>
      <c r="D2368" s="3" t="s">
        <v>89</v>
      </c>
      <c r="E2368" s="1" t="s">
        <v>817</v>
      </c>
      <c r="F2368" s="1" t="s">
        <v>13</v>
      </c>
      <c r="G2368" s="2" t="s">
        <v>6</v>
      </c>
      <c r="H2368" s="3" t="s">
        <v>97</v>
      </c>
      <c r="I2368" s="3" t="s">
        <v>85</v>
      </c>
      <c r="J2368" s="3" t="s">
        <v>57</v>
      </c>
      <c r="K2368" s="4">
        <v>236.45</v>
      </c>
      <c r="L2368" s="6">
        <v>6.98</v>
      </c>
    </row>
    <row r="2369" spans="1:12" x14ac:dyDescent="0.25">
      <c r="A2369" s="1">
        <v>2368</v>
      </c>
      <c r="B2369" s="4">
        <v>17155</v>
      </c>
      <c r="C2369" s="5">
        <v>39841</v>
      </c>
      <c r="D2369" s="3" t="s">
        <v>4</v>
      </c>
      <c r="E2369" s="1" t="s">
        <v>900</v>
      </c>
      <c r="F2369" s="1" t="s">
        <v>33</v>
      </c>
      <c r="G2369" s="2" t="s">
        <v>2</v>
      </c>
      <c r="H2369" s="3" t="s">
        <v>97</v>
      </c>
      <c r="I2369" s="3" t="s">
        <v>85</v>
      </c>
      <c r="J2369" s="3" t="s">
        <v>66</v>
      </c>
      <c r="K2369" s="4">
        <v>267.52999999999997</v>
      </c>
      <c r="L2369" s="6">
        <v>6.88</v>
      </c>
    </row>
    <row r="2370" spans="1:12" x14ac:dyDescent="0.25">
      <c r="A2370" s="1">
        <v>2369</v>
      </c>
      <c r="B2370" s="4">
        <v>17155</v>
      </c>
      <c r="C2370" s="5">
        <v>39841</v>
      </c>
      <c r="D2370" s="3" t="s">
        <v>4</v>
      </c>
      <c r="E2370" s="1" t="s">
        <v>900</v>
      </c>
      <c r="F2370" s="1" t="s">
        <v>33</v>
      </c>
      <c r="G2370" s="2" t="s">
        <v>2</v>
      </c>
      <c r="H2370" s="3" t="s">
        <v>97</v>
      </c>
      <c r="I2370" s="3" t="s">
        <v>85</v>
      </c>
      <c r="J2370" s="3" t="s">
        <v>57</v>
      </c>
      <c r="K2370" s="4">
        <v>1065.26</v>
      </c>
      <c r="L2370" s="6">
        <v>32.479999999999997</v>
      </c>
    </row>
    <row r="2371" spans="1:12" x14ac:dyDescent="0.25">
      <c r="A2371" s="1">
        <v>2370</v>
      </c>
      <c r="B2371" s="4">
        <v>17157</v>
      </c>
      <c r="C2371" s="5">
        <v>41171</v>
      </c>
      <c r="D2371" s="3" t="s">
        <v>82</v>
      </c>
      <c r="E2371" s="1" t="s">
        <v>880</v>
      </c>
      <c r="F2371" s="1" t="s">
        <v>43</v>
      </c>
      <c r="G2371" s="2" t="s">
        <v>1</v>
      </c>
      <c r="H2371" s="3" t="s">
        <v>88</v>
      </c>
      <c r="I2371" s="3" t="s">
        <v>92</v>
      </c>
      <c r="J2371" s="3" t="s">
        <v>61</v>
      </c>
      <c r="K2371" s="4">
        <v>3081.471</v>
      </c>
      <c r="L2371" s="6">
        <v>125.99</v>
      </c>
    </row>
    <row r="2372" spans="1:12" x14ac:dyDescent="0.25">
      <c r="A2372" s="1">
        <v>2371</v>
      </c>
      <c r="B2372" s="4">
        <v>17186</v>
      </c>
      <c r="C2372" s="5">
        <v>39839</v>
      </c>
      <c r="D2372" s="3" t="s">
        <v>4</v>
      </c>
      <c r="E2372" s="1" t="s">
        <v>271</v>
      </c>
      <c r="F2372" s="1" t="s">
        <v>35</v>
      </c>
      <c r="G2372" s="2" t="s">
        <v>1</v>
      </c>
      <c r="H2372" s="3" t="s">
        <v>100</v>
      </c>
      <c r="I2372" s="3" t="s">
        <v>91</v>
      </c>
      <c r="J2372" s="3" t="s">
        <v>59</v>
      </c>
      <c r="K2372" s="4">
        <v>4321.63</v>
      </c>
      <c r="L2372" s="6">
        <v>90.98</v>
      </c>
    </row>
    <row r="2373" spans="1:12" x14ac:dyDescent="0.25">
      <c r="A2373" s="1">
        <v>2372</v>
      </c>
      <c r="B2373" s="4">
        <v>17186</v>
      </c>
      <c r="C2373" s="5">
        <v>39839</v>
      </c>
      <c r="D2373" s="3" t="s">
        <v>4</v>
      </c>
      <c r="E2373" s="1" t="s">
        <v>271</v>
      </c>
      <c r="F2373" s="1" t="s">
        <v>35</v>
      </c>
      <c r="G2373" s="2" t="s">
        <v>1</v>
      </c>
      <c r="H2373" s="3" t="s">
        <v>100</v>
      </c>
      <c r="I2373" s="3" t="s">
        <v>85</v>
      </c>
      <c r="J2373" s="3" t="s">
        <v>66</v>
      </c>
      <c r="K2373" s="4">
        <v>67.14</v>
      </c>
      <c r="L2373" s="6">
        <v>5.98</v>
      </c>
    </row>
    <row r="2374" spans="1:12" x14ac:dyDescent="0.25">
      <c r="A2374" s="1">
        <v>2373</v>
      </c>
      <c r="B2374" s="4">
        <v>17187</v>
      </c>
      <c r="C2374" s="5">
        <v>41175</v>
      </c>
      <c r="D2374" s="3" t="s">
        <v>89</v>
      </c>
      <c r="E2374" s="1" t="s">
        <v>628</v>
      </c>
      <c r="F2374" s="1" t="s">
        <v>13</v>
      </c>
      <c r="G2374" s="2" t="s">
        <v>6</v>
      </c>
      <c r="H2374" s="3" t="s">
        <v>88</v>
      </c>
      <c r="I2374" s="3" t="s">
        <v>92</v>
      </c>
      <c r="J2374" s="3" t="s">
        <v>67</v>
      </c>
      <c r="K2374" s="4">
        <v>2951.97</v>
      </c>
      <c r="L2374" s="6">
        <v>810.98</v>
      </c>
    </row>
    <row r="2375" spans="1:12" x14ac:dyDescent="0.25">
      <c r="A2375" s="1">
        <v>2374</v>
      </c>
      <c r="B2375" s="4">
        <v>17216</v>
      </c>
      <c r="C2375" s="5">
        <v>41056</v>
      </c>
      <c r="D2375" s="3" t="s">
        <v>4</v>
      </c>
      <c r="E2375" s="1" t="s">
        <v>808</v>
      </c>
      <c r="F2375" s="1" t="s">
        <v>20</v>
      </c>
      <c r="G2375" s="2" t="s">
        <v>1</v>
      </c>
      <c r="H2375" s="3" t="s">
        <v>84</v>
      </c>
      <c r="I2375" s="3" t="s">
        <v>91</v>
      </c>
      <c r="J2375" s="3" t="s">
        <v>72</v>
      </c>
      <c r="K2375" s="4">
        <v>2236.16</v>
      </c>
      <c r="L2375" s="6">
        <v>320.98</v>
      </c>
    </row>
    <row r="2376" spans="1:12" x14ac:dyDescent="0.25">
      <c r="A2376" s="1">
        <v>2375</v>
      </c>
      <c r="B2376" s="4">
        <v>17218</v>
      </c>
      <c r="C2376" s="5">
        <v>41113</v>
      </c>
      <c r="D2376" s="3" t="s">
        <v>95</v>
      </c>
      <c r="E2376" s="1" t="s">
        <v>948</v>
      </c>
      <c r="F2376" s="1" t="s">
        <v>15</v>
      </c>
      <c r="G2376" s="2" t="s">
        <v>1</v>
      </c>
      <c r="H2376" s="3" t="s">
        <v>100</v>
      </c>
      <c r="I2376" s="3" t="s">
        <v>85</v>
      </c>
      <c r="J2376" s="3" t="s">
        <v>66</v>
      </c>
      <c r="K2376" s="4">
        <v>157.85</v>
      </c>
      <c r="L2376" s="6">
        <v>5.18</v>
      </c>
    </row>
    <row r="2377" spans="1:12" x14ac:dyDescent="0.25">
      <c r="A2377" s="1">
        <v>2376</v>
      </c>
      <c r="B2377" s="4">
        <v>17249</v>
      </c>
      <c r="C2377" s="5">
        <v>40446</v>
      </c>
      <c r="D2377" s="3" t="s">
        <v>82</v>
      </c>
      <c r="E2377" s="1" t="s">
        <v>773</v>
      </c>
      <c r="F2377" s="1" t="s">
        <v>34</v>
      </c>
      <c r="G2377" s="2" t="s">
        <v>1</v>
      </c>
      <c r="H2377" s="3" t="s">
        <v>88</v>
      </c>
      <c r="I2377" s="3" t="s">
        <v>92</v>
      </c>
      <c r="J2377" s="3" t="s">
        <v>62</v>
      </c>
      <c r="K2377" s="4">
        <v>2911.64</v>
      </c>
      <c r="L2377" s="6">
        <v>73.98</v>
      </c>
    </row>
    <row r="2378" spans="1:12" x14ac:dyDescent="0.25">
      <c r="A2378" s="1">
        <v>2377</v>
      </c>
      <c r="B2378" s="4">
        <v>17251</v>
      </c>
      <c r="C2378" s="5">
        <v>40113</v>
      </c>
      <c r="D2378" s="3" t="s">
        <v>86</v>
      </c>
      <c r="E2378" s="1" t="s">
        <v>306</v>
      </c>
      <c r="F2378" s="1" t="s">
        <v>9</v>
      </c>
      <c r="G2378" s="2" t="s">
        <v>2</v>
      </c>
      <c r="H2378" s="3" t="s">
        <v>84</v>
      </c>
      <c r="I2378" s="3" t="s">
        <v>92</v>
      </c>
      <c r="J2378" s="3" t="s">
        <v>61</v>
      </c>
      <c r="K2378" s="4">
        <v>2951.4380000000001</v>
      </c>
      <c r="L2378" s="6">
        <v>125.99</v>
      </c>
    </row>
    <row r="2379" spans="1:12" x14ac:dyDescent="0.25">
      <c r="A2379" s="1">
        <v>2378</v>
      </c>
      <c r="B2379" s="4">
        <v>17252</v>
      </c>
      <c r="C2379" s="5">
        <v>40662</v>
      </c>
      <c r="D2379" s="3" t="s">
        <v>86</v>
      </c>
      <c r="E2379" s="1" t="s">
        <v>867</v>
      </c>
      <c r="F2379" s="1" t="s">
        <v>13</v>
      </c>
      <c r="G2379" s="2" t="s">
        <v>6</v>
      </c>
      <c r="H2379" s="3" t="s">
        <v>100</v>
      </c>
      <c r="I2379" s="3" t="s">
        <v>85</v>
      </c>
      <c r="J2379" s="3" t="s">
        <v>66</v>
      </c>
      <c r="K2379" s="4">
        <v>2283.2199999999998</v>
      </c>
      <c r="L2379" s="6">
        <v>48.91</v>
      </c>
    </row>
    <row r="2380" spans="1:12" x14ac:dyDescent="0.25">
      <c r="A2380" s="1">
        <v>2379</v>
      </c>
      <c r="B2380" s="4">
        <v>17252</v>
      </c>
      <c r="C2380" s="5">
        <v>40662</v>
      </c>
      <c r="D2380" s="3" t="s">
        <v>86</v>
      </c>
      <c r="E2380" s="1" t="s">
        <v>867</v>
      </c>
      <c r="F2380" s="1" t="s">
        <v>13</v>
      </c>
      <c r="G2380" s="2" t="s">
        <v>6</v>
      </c>
      <c r="H2380" s="3" t="s">
        <v>100</v>
      </c>
      <c r="I2380" s="3" t="s">
        <v>91</v>
      </c>
      <c r="J2380" s="3" t="s">
        <v>60</v>
      </c>
      <c r="K2380" s="4">
        <v>11365.616000000002</v>
      </c>
      <c r="L2380" s="6">
        <v>296.18</v>
      </c>
    </row>
    <row r="2381" spans="1:12" x14ac:dyDescent="0.25">
      <c r="A2381" s="1">
        <v>2380</v>
      </c>
      <c r="B2381" s="4">
        <v>17253</v>
      </c>
      <c r="C2381" s="5">
        <v>40772</v>
      </c>
      <c r="D2381" s="3" t="s">
        <v>95</v>
      </c>
      <c r="E2381" s="1" t="s">
        <v>832</v>
      </c>
      <c r="F2381" s="1" t="s">
        <v>9</v>
      </c>
      <c r="G2381" s="2" t="s">
        <v>2</v>
      </c>
      <c r="H2381" s="3" t="s">
        <v>88</v>
      </c>
      <c r="I2381" s="3" t="s">
        <v>85</v>
      </c>
      <c r="J2381" s="3" t="s">
        <v>69</v>
      </c>
      <c r="K2381" s="4">
        <v>50.19</v>
      </c>
      <c r="L2381" s="6">
        <v>3.52</v>
      </c>
    </row>
    <row r="2382" spans="1:12" x14ac:dyDescent="0.25">
      <c r="A2382" s="1">
        <v>2381</v>
      </c>
      <c r="B2382" s="4">
        <v>17255</v>
      </c>
      <c r="C2382" s="5">
        <v>40373</v>
      </c>
      <c r="D2382" s="3" t="s">
        <v>86</v>
      </c>
      <c r="E2382" s="1" t="s">
        <v>127</v>
      </c>
      <c r="F2382" s="1" t="s">
        <v>15</v>
      </c>
      <c r="G2382" s="2" t="s">
        <v>1</v>
      </c>
      <c r="H2382" s="3" t="s">
        <v>97</v>
      </c>
      <c r="I2382" s="3" t="s">
        <v>85</v>
      </c>
      <c r="J2382" s="3" t="s">
        <v>57</v>
      </c>
      <c r="K2382" s="4">
        <v>158.19</v>
      </c>
      <c r="L2382" s="6">
        <v>9.3800000000000008</v>
      </c>
    </row>
    <row r="2383" spans="1:12" x14ac:dyDescent="0.25">
      <c r="A2383" s="1">
        <v>2382</v>
      </c>
      <c r="B2383" s="4">
        <v>17282</v>
      </c>
      <c r="C2383" s="5">
        <v>40135</v>
      </c>
      <c r="D2383" s="3" t="s">
        <v>82</v>
      </c>
      <c r="E2383" s="1" t="s">
        <v>411</v>
      </c>
      <c r="F2383" s="1" t="s">
        <v>10</v>
      </c>
      <c r="G2383" s="2" t="s">
        <v>3</v>
      </c>
      <c r="H2383" s="3" t="s">
        <v>97</v>
      </c>
      <c r="I2383" s="3" t="s">
        <v>85</v>
      </c>
      <c r="J2383" s="3" t="s">
        <v>69</v>
      </c>
      <c r="K2383" s="4">
        <v>988.42</v>
      </c>
      <c r="L2383" s="6">
        <v>29.17</v>
      </c>
    </row>
    <row r="2384" spans="1:12" x14ac:dyDescent="0.25">
      <c r="A2384" s="1">
        <v>2383</v>
      </c>
      <c r="B2384" s="4">
        <v>17283</v>
      </c>
      <c r="C2384" s="5">
        <v>40800</v>
      </c>
      <c r="D2384" s="3" t="s">
        <v>86</v>
      </c>
      <c r="E2384" s="1" t="s">
        <v>165</v>
      </c>
      <c r="F2384" s="1" t="s">
        <v>8</v>
      </c>
      <c r="G2384" s="2" t="s">
        <v>6</v>
      </c>
      <c r="H2384" s="3" t="s">
        <v>97</v>
      </c>
      <c r="I2384" s="3" t="s">
        <v>92</v>
      </c>
      <c r="J2384" s="3" t="s">
        <v>67</v>
      </c>
      <c r="K2384" s="4">
        <v>5472.12</v>
      </c>
      <c r="L2384" s="6">
        <v>1360.14</v>
      </c>
    </row>
    <row r="2385" spans="1:12" x14ac:dyDescent="0.25">
      <c r="A2385" s="1">
        <v>2384</v>
      </c>
      <c r="B2385" s="4">
        <v>17286</v>
      </c>
      <c r="C2385" s="5">
        <v>40442</v>
      </c>
      <c r="D2385" s="3" t="s">
        <v>89</v>
      </c>
      <c r="E2385" s="1" t="s">
        <v>83</v>
      </c>
      <c r="F2385" s="1" t="s">
        <v>8</v>
      </c>
      <c r="G2385" s="2" t="s">
        <v>6</v>
      </c>
      <c r="H2385" s="3" t="s">
        <v>84</v>
      </c>
      <c r="I2385" s="3" t="s">
        <v>91</v>
      </c>
      <c r="J2385" s="3" t="s">
        <v>72</v>
      </c>
      <c r="K2385" s="4">
        <v>1810.67</v>
      </c>
      <c r="L2385" s="6">
        <v>270.98</v>
      </c>
    </row>
    <row r="2386" spans="1:12" x14ac:dyDescent="0.25">
      <c r="A2386" s="1">
        <v>2385</v>
      </c>
      <c r="B2386" s="4">
        <v>17287</v>
      </c>
      <c r="C2386" s="5">
        <v>40638</v>
      </c>
      <c r="D2386" s="3" t="s">
        <v>89</v>
      </c>
      <c r="E2386" s="1" t="s">
        <v>949</v>
      </c>
      <c r="F2386" s="1" t="s">
        <v>9</v>
      </c>
      <c r="G2386" s="2" t="s">
        <v>2</v>
      </c>
      <c r="H2386" s="3" t="s">
        <v>97</v>
      </c>
      <c r="I2386" s="3" t="s">
        <v>92</v>
      </c>
      <c r="J2386" s="3" t="s">
        <v>67</v>
      </c>
      <c r="K2386" s="4">
        <v>5793.46</v>
      </c>
      <c r="L2386" s="6">
        <v>150.97999999999999</v>
      </c>
    </row>
    <row r="2387" spans="1:12" x14ac:dyDescent="0.25">
      <c r="A2387" s="1">
        <v>2386</v>
      </c>
      <c r="B2387" s="4">
        <v>17287</v>
      </c>
      <c r="C2387" s="5">
        <v>40638</v>
      </c>
      <c r="D2387" s="3" t="s">
        <v>89</v>
      </c>
      <c r="E2387" s="1" t="s">
        <v>949</v>
      </c>
      <c r="F2387" s="1" t="s">
        <v>9</v>
      </c>
      <c r="G2387" s="2" t="s">
        <v>2</v>
      </c>
      <c r="H2387" s="3" t="s">
        <v>97</v>
      </c>
      <c r="I2387" s="3" t="s">
        <v>85</v>
      </c>
      <c r="J2387" s="3" t="s">
        <v>57</v>
      </c>
      <c r="K2387" s="4">
        <v>4558.21</v>
      </c>
      <c r="L2387" s="6">
        <v>415.88</v>
      </c>
    </row>
    <row r="2388" spans="1:12" x14ac:dyDescent="0.25">
      <c r="A2388" s="1">
        <v>2387</v>
      </c>
      <c r="B2388" s="4">
        <v>17287</v>
      </c>
      <c r="C2388" s="5">
        <v>40638</v>
      </c>
      <c r="D2388" s="3" t="s">
        <v>89</v>
      </c>
      <c r="E2388" s="1" t="s">
        <v>950</v>
      </c>
      <c r="F2388" s="1" t="s">
        <v>9</v>
      </c>
      <c r="G2388" s="2" t="s">
        <v>2</v>
      </c>
      <c r="H2388" s="3" t="s">
        <v>97</v>
      </c>
      <c r="I2388" s="3" t="s">
        <v>92</v>
      </c>
      <c r="J2388" s="3" t="s">
        <v>61</v>
      </c>
      <c r="K2388" s="4">
        <v>4361.6984999999995</v>
      </c>
      <c r="L2388" s="6">
        <v>195.99</v>
      </c>
    </row>
    <row r="2389" spans="1:12" x14ac:dyDescent="0.25">
      <c r="A2389" s="1">
        <v>2388</v>
      </c>
      <c r="B2389" s="4">
        <v>17312</v>
      </c>
      <c r="C2389" s="5">
        <v>40683</v>
      </c>
      <c r="D2389" s="3" t="s">
        <v>86</v>
      </c>
      <c r="E2389" s="1" t="s">
        <v>918</v>
      </c>
      <c r="F2389" s="1" t="s">
        <v>13</v>
      </c>
      <c r="G2389" s="2" t="s">
        <v>6</v>
      </c>
      <c r="H2389" s="3" t="s">
        <v>97</v>
      </c>
      <c r="I2389" s="3" t="s">
        <v>85</v>
      </c>
      <c r="J2389" s="3" t="s">
        <v>66</v>
      </c>
      <c r="K2389" s="4">
        <v>258.54000000000002</v>
      </c>
      <c r="L2389" s="6">
        <v>6.68</v>
      </c>
    </row>
    <row r="2390" spans="1:12" x14ac:dyDescent="0.25">
      <c r="A2390" s="1">
        <v>2389</v>
      </c>
      <c r="B2390" s="4">
        <v>17312</v>
      </c>
      <c r="C2390" s="5">
        <v>40683</v>
      </c>
      <c r="D2390" s="3" t="s">
        <v>86</v>
      </c>
      <c r="E2390" s="1" t="s">
        <v>918</v>
      </c>
      <c r="F2390" s="1" t="s">
        <v>13</v>
      </c>
      <c r="G2390" s="2" t="s">
        <v>6</v>
      </c>
      <c r="H2390" s="3" t="s">
        <v>97</v>
      </c>
      <c r="I2390" s="3" t="s">
        <v>92</v>
      </c>
      <c r="J2390" s="3" t="s">
        <v>61</v>
      </c>
      <c r="K2390" s="4">
        <v>4610.2894999999999</v>
      </c>
      <c r="L2390" s="6">
        <v>125.99</v>
      </c>
    </row>
    <row r="2391" spans="1:12" x14ac:dyDescent="0.25">
      <c r="A2391" s="1">
        <v>2390</v>
      </c>
      <c r="B2391" s="4">
        <v>17313</v>
      </c>
      <c r="C2391" s="5">
        <v>39940</v>
      </c>
      <c r="D2391" s="3" t="s">
        <v>89</v>
      </c>
      <c r="E2391" s="1" t="s">
        <v>453</v>
      </c>
      <c r="F2391" s="1" t="s">
        <v>36</v>
      </c>
      <c r="G2391" s="2" t="s">
        <v>2</v>
      </c>
      <c r="H2391" s="3" t="s">
        <v>100</v>
      </c>
      <c r="I2391" s="3" t="s">
        <v>85</v>
      </c>
      <c r="J2391" s="3" t="s">
        <v>66</v>
      </c>
      <c r="K2391" s="4">
        <v>130.49</v>
      </c>
      <c r="L2391" s="6">
        <v>4.76</v>
      </c>
    </row>
    <row r="2392" spans="1:12" x14ac:dyDescent="0.25">
      <c r="A2392" s="1">
        <v>2391</v>
      </c>
      <c r="B2392" s="4">
        <v>17315</v>
      </c>
      <c r="C2392" s="5">
        <v>39925</v>
      </c>
      <c r="D2392" s="3" t="s">
        <v>82</v>
      </c>
      <c r="E2392" s="1" t="s">
        <v>951</v>
      </c>
      <c r="F2392" s="1" t="s">
        <v>38</v>
      </c>
      <c r="G2392" s="2" t="s">
        <v>6</v>
      </c>
      <c r="H2392" s="3" t="s">
        <v>100</v>
      </c>
      <c r="I2392" s="3" t="s">
        <v>85</v>
      </c>
      <c r="J2392" s="3" t="s">
        <v>66</v>
      </c>
      <c r="K2392" s="4">
        <v>159.11000000000001</v>
      </c>
      <c r="L2392" s="6">
        <v>5.43</v>
      </c>
    </row>
    <row r="2393" spans="1:12" x14ac:dyDescent="0.25">
      <c r="A2393" s="1">
        <v>2392</v>
      </c>
      <c r="B2393" s="4">
        <v>17317</v>
      </c>
      <c r="C2393" s="5">
        <v>40150</v>
      </c>
      <c r="D2393" s="3" t="s">
        <v>86</v>
      </c>
      <c r="E2393" s="1" t="s">
        <v>952</v>
      </c>
      <c r="F2393" s="1" t="s">
        <v>15</v>
      </c>
      <c r="G2393" s="2" t="s">
        <v>1</v>
      </c>
      <c r="H2393" s="3" t="s">
        <v>88</v>
      </c>
      <c r="I2393" s="3" t="s">
        <v>85</v>
      </c>
      <c r="J2393" s="3" t="s">
        <v>71</v>
      </c>
      <c r="K2393" s="4">
        <v>34.659999999999997</v>
      </c>
      <c r="L2393" s="6">
        <v>4.42</v>
      </c>
    </row>
    <row r="2394" spans="1:12" x14ac:dyDescent="0.25">
      <c r="A2394" s="1">
        <v>2393</v>
      </c>
      <c r="B2394" s="4">
        <v>17344</v>
      </c>
      <c r="C2394" s="5">
        <v>40378</v>
      </c>
      <c r="D2394" s="3" t="s">
        <v>95</v>
      </c>
      <c r="E2394" s="1" t="s">
        <v>837</v>
      </c>
      <c r="F2394" s="1" t="s">
        <v>30</v>
      </c>
      <c r="G2394" s="2" t="s">
        <v>6</v>
      </c>
      <c r="H2394" s="3" t="s">
        <v>88</v>
      </c>
      <c r="I2394" s="3" t="s">
        <v>92</v>
      </c>
      <c r="J2394" s="3" t="s">
        <v>61</v>
      </c>
      <c r="K2394" s="4">
        <v>2405.4575</v>
      </c>
      <c r="L2394" s="6">
        <v>65.989999999999995</v>
      </c>
    </row>
    <row r="2395" spans="1:12" x14ac:dyDescent="0.25">
      <c r="A2395" s="1">
        <v>2394</v>
      </c>
      <c r="B2395" s="4">
        <v>17345</v>
      </c>
      <c r="C2395" s="5">
        <v>40757</v>
      </c>
      <c r="D2395" s="3" t="s">
        <v>95</v>
      </c>
      <c r="E2395" s="1" t="s">
        <v>761</v>
      </c>
      <c r="F2395" s="1" t="s">
        <v>19</v>
      </c>
      <c r="G2395" s="2" t="s">
        <v>3</v>
      </c>
      <c r="H2395" s="3" t="s">
        <v>84</v>
      </c>
      <c r="I2395" s="3" t="s">
        <v>85</v>
      </c>
      <c r="J2395" s="3" t="s">
        <v>66</v>
      </c>
      <c r="K2395" s="4">
        <v>195.61</v>
      </c>
      <c r="L2395" s="6">
        <v>7.64</v>
      </c>
    </row>
    <row r="2396" spans="1:12" x14ac:dyDescent="0.25">
      <c r="A2396" s="1">
        <v>2395</v>
      </c>
      <c r="B2396" s="4">
        <v>17376</v>
      </c>
      <c r="C2396" s="5">
        <v>40881</v>
      </c>
      <c r="D2396" s="3" t="s">
        <v>89</v>
      </c>
      <c r="E2396" s="1" t="s">
        <v>951</v>
      </c>
      <c r="F2396" s="1" t="s">
        <v>38</v>
      </c>
      <c r="G2396" s="2" t="s">
        <v>6</v>
      </c>
      <c r="H2396" s="3" t="s">
        <v>88</v>
      </c>
      <c r="I2396" s="3" t="s">
        <v>92</v>
      </c>
      <c r="J2396" s="3" t="s">
        <v>62</v>
      </c>
      <c r="K2396" s="4">
        <v>1127.81</v>
      </c>
      <c r="L2396" s="6">
        <v>28.48</v>
      </c>
    </row>
    <row r="2397" spans="1:12" x14ac:dyDescent="0.25">
      <c r="A2397" s="1">
        <v>2396</v>
      </c>
      <c r="B2397" s="4">
        <v>17377</v>
      </c>
      <c r="C2397" s="5">
        <v>40844</v>
      </c>
      <c r="D2397" s="3" t="s">
        <v>82</v>
      </c>
      <c r="E2397" s="1" t="s">
        <v>449</v>
      </c>
      <c r="F2397" s="1" t="s">
        <v>13</v>
      </c>
      <c r="G2397" s="2" t="s">
        <v>6</v>
      </c>
      <c r="H2397" s="3" t="s">
        <v>88</v>
      </c>
      <c r="I2397" s="3" t="s">
        <v>85</v>
      </c>
      <c r="J2397" s="3" t="s">
        <v>63</v>
      </c>
      <c r="K2397" s="4">
        <v>110.38</v>
      </c>
      <c r="L2397" s="6">
        <v>2.78</v>
      </c>
    </row>
    <row r="2398" spans="1:12" x14ac:dyDescent="0.25">
      <c r="A2398" s="1">
        <v>2397</v>
      </c>
      <c r="B2398" s="4">
        <v>17379</v>
      </c>
      <c r="C2398" s="5">
        <v>40769</v>
      </c>
      <c r="D2398" s="3" t="s">
        <v>95</v>
      </c>
      <c r="E2398" s="1" t="s">
        <v>874</v>
      </c>
      <c r="F2398" s="1" t="s">
        <v>35</v>
      </c>
      <c r="G2398" s="2" t="s">
        <v>1</v>
      </c>
      <c r="H2398" s="3" t="s">
        <v>100</v>
      </c>
      <c r="I2398" s="3" t="s">
        <v>91</v>
      </c>
      <c r="J2398" s="3" t="s">
        <v>68</v>
      </c>
      <c r="K2398" s="4">
        <v>3218.42</v>
      </c>
      <c r="L2398" s="6">
        <v>114.98</v>
      </c>
    </row>
    <row r="2399" spans="1:12" x14ac:dyDescent="0.25">
      <c r="A2399" s="1">
        <v>2398</v>
      </c>
      <c r="B2399" s="4">
        <v>17381</v>
      </c>
      <c r="C2399" s="5">
        <v>40404</v>
      </c>
      <c r="D2399" s="3" t="s">
        <v>89</v>
      </c>
      <c r="E2399" s="1" t="s">
        <v>953</v>
      </c>
      <c r="F2399" s="1" t="s">
        <v>10</v>
      </c>
      <c r="G2399" s="2" t="s">
        <v>3</v>
      </c>
      <c r="H2399" s="3" t="s">
        <v>88</v>
      </c>
      <c r="I2399" s="3" t="s">
        <v>85</v>
      </c>
      <c r="J2399" s="3" t="s">
        <v>65</v>
      </c>
      <c r="K2399" s="4">
        <v>101.25</v>
      </c>
      <c r="L2399" s="6">
        <v>3.75</v>
      </c>
    </row>
    <row r="2400" spans="1:12" x14ac:dyDescent="0.25">
      <c r="A2400" s="1">
        <v>2399</v>
      </c>
      <c r="B2400" s="4">
        <v>17382</v>
      </c>
      <c r="C2400" s="5">
        <v>40728</v>
      </c>
      <c r="D2400" s="3" t="s">
        <v>86</v>
      </c>
      <c r="E2400" s="1" t="s">
        <v>447</v>
      </c>
      <c r="F2400" s="1" t="s">
        <v>30</v>
      </c>
      <c r="G2400" s="2" t="s">
        <v>6</v>
      </c>
      <c r="H2400" s="3" t="s">
        <v>97</v>
      </c>
      <c r="I2400" s="3" t="s">
        <v>92</v>
      </c>
      <c r="J2400" s="3" t="s">
        <v>61</v>
      </c>
      <c r="K2400" s="4">
        <v>2162.8164999999999</v>
      </c>
      <c r="L2400" s="6">
        <v>125.99</v>
      </c>
    </row>
    <row r="2401" spans="1:12" x14ac:dyDescent="0.25">
      <c r="A2401" s="1">
        <v>2400</v>
      </c>
      <c r="B2401" s="4">
        <v>17408</v>
      </c>
      <c r="C2401" s="5">
        <v>39960</v>
      </c>
      <c r="D2401" s="3" t="s">
        <v>86</v>
      </c>
      <c r="E2401" s="1" t="s">
        <v>954</v>
      </c>
      <c r="F2401" s="1" t="s">
        <v>39</v>
      </c>
      <c r="G2401" s="2" t="s">
        <v>1</v>
      </c>
      <c r="H2401" s="3" t="s">
        <v>88</v>
      </c>
      <c r="I2401" s="3" t="s">
        <v>85</v>
      </c>
      <c r="J2401" s="3" t="s">
        <v>69</v>
      </c>
      <c r="K2401" s="4">
        <v>149.69999999999999</v>
      </c>
      <c r="L2401" s="6">
        <v>5.4</v>
      </c>
    </row>
    <row r="2402" spans="1:12" x14ac:dyDescent="0.25">
      <c r="A2402" s="1">
        <v>2401</v>
      </c>
      <c r="B2402" s="4">
        <v>17408</v>
      </c>
      <c r="C2402" s="5">
        <v>39960</v>
      </c>
      <c r="D2402" s="3" t="s">
        <v>86</v>
      </c>
      <c r="E2402" s="1" t="s">
        <v>108</v>
      </c>
      <c r="F2402" s="1" t="s">
        <v>21</v>
      </c>
      <c r="G2402" s="2" t="s">
        <v>1</v>
      </c>
      <c r="H2402" s="3" t="s">
        <v>88</v>
      </c>
      <c r="I2402" s="3" t="s">
        <v>92</v>
      </c>
      <c r="J2402" s="3" t="s">
        <v>61</v>
      </c>
      <c r="K2402" s="4">
        <v>728.12699999999995</v>
      </c>
      <c r="L2402" s="6">
        <v>20.99</v>
      </c>
    </row>
    <row r="2403" spans="1:12" x14ac:dyDescent="0.25">
      <c r="A2403" s="1">
        <v>2402</v>
      </c>
      <c r="B2403" s="4">
        <v>17409</v>
      </c>
      <c r="C2403" s="5">
        <v>40407</v>
      </c>
      <c r="D2403" s="3" t="s">
        <v>86</v>
      </c>
      <c r="E2403" s="1" t="s">
        <v>83</v>
      </c>
      <c r="F2403" s="1" t="s">
        <v>8</v>
      </c>
      <c r="G2403" s="2" t="s">
        <v>6</v>
      </c>
      <c r="H2403" s="3" t="s">
        <v>84</v>
      </c>
      <c r="I2403" s="3" t="s">
        <v>92</v>
      </c>
      <c r="J2403" s="3" t="s">
        <v>62</v>
      </c>
      <c r="K2403" s="4">
        <v>633.55999999999995</v>
      </c>
      <c r="L2403" s="6">
        <v>20.97</v>
      </c>
    </row>
    <row r="2404" spans="1:12" x14ac:dyDescent="0.25">
      <c r="A2404" s="1">
        <v>2403</v>
      </c>
      <c r="B2404" s="4">
        <v>17410</v>
      </c>
      <c r="C2404" s="5">
        <v>40422</v>
      </c>
      <c r="D2404" s="3" t="s">
        <v>82</v>
      </c>
      <c r="E2404" s="1" t="s">
        <v>795</v>
      </c>
      <c r="F2404" s="1" t="s">
        <v>39</v>
      </c>
      <c r="G2404" s="2" t="s">
        <v>1</v>
      </c>
      <c r="H2404" s="3" t="s">
        <v>97</v>
      </c>
      <c r="I2404" s="3" t="s">
        <v>92</v>
      </c>
      <c r="J2404" s="3" t="s">
        <v>61</v>
      </c>
      <c r="K2404" s="4">
        <v>284.67349999999999</v>
      </c>
      <c r="L2404" s="6">
        <v>65.989999999999995</v>
      </c>
    </row>
    <row r="2405" spans="1:12" x14ac:dyDescent="0.25">
      <c r="A2405" s="1">
        <v>2404</v>
      </c>
      <c r="B2405" s="4">
        <v>17410</v>
      </c>
      <c r="C2405" s="5">
        <v>40422</v>
      </c>
      <c r="D2405" s="3" t="s">
        <v>82</v>
      </c>
      <c r="E2405" s="1" t="s">
        <v>616</v>
      </c>
      <c r="F2405" s="1" t="s">
        <v>48</v>
      </c>
      <c r="G2405" s="2" t="s">
        <v>1</v>
      </c>
      <c r="H2405" s="3" t="s">
        <v>97</v>
      </c>
      <c r="I2405" s="3" t="s">
        <v>85</v>
      </c>
      <c r="J2405" s="3" t="s">
        <v>58</v>
      </c>
      <c r="K2405" s="4">
        <v>372.01</v>
      </c>
      <c r="L2405" s="6">
        <v>8.4499999999999993</v>
      </c>
    </row>
    <row r="2406" spans="1:12" x14ac:dyDescent="0.25">
      <c r="A2406" s="1">
        <v>2405</v>
      </c>
      <c r="B2406" s="4">
        <v>17414</v>
      </c>
      <c r="C2406" s="5">
        <v>41089</v>
      </c>
      <c r="D2406" s="3" t="s">
        <v>89</v>
      </c>
      <c r="E2406" s="1" t="s">
        <v>938</v>
      </c>
      <c r="F2406" s="1" t="s">
        <v>15</v>
      </c>
      <c r="G2406" s="2" t="s">
        <v>1</v>
      </c>
      <c r="H2406" s="3" t="s">
        <v>88</v>
      </c>
      <c r="I2406" s="3" t="s">
        <v>92</v>
      </c>
      <c r="J2406" s="3" t="s">
        <v>62</v>
      </c>
      <c r="K2406" s="4">
        <v>3755.43</v>
      </c>
      <c r="L2406" s="6">
        <v>99.99</v>
      </c>
    </row>
    <row r="2407" spans="1:12" x14ac:dyDescent="0.25">
      <c r="A2407" s="1">
        <v>2406</v>
      </c>
      <c r="B2407" s="4">
        <v>17414</v>
      </c>
      <c r="C2407" s="5">
        <v>41089</v>
      </c>
      <c r="D2407" s="3" t="s">
        <v>89</v>
      </c>
      <c r="E2407" s="1" t="s">
        <v>938</v>
      </c>
      <c r="F2407" s="1" t="s">
        <v>15</v>
      </c>
      <c r="G2407" s="2" t="s">
        <v>1</v>
      </c>
      <c r="H2407" s="3" t="s">
        <v>88</v>
      </c>
      <c r="I2407" s="3" t="s">
        <v>85</v>
      </c>
      <c r="J2407" s="3" t="s">
        <v>66</v>
      </c>
      <c r="K2407" s="4">
        <v>347.93</v>
      </c>
      <c r="L2407" s="6">
        <v>11.34</v>
      </c>
    </row>
    <row r="2408" spans="1:12" x14ac:dyDescent="0.25">
      <c r="A2408" s="1">
        <v>2407</v>
      </c>
      <c r="B2408" s="4">
        <v>17445</v>
      </c>
      <c r="C2408" s="5">
        <v>40776</v>
      </c>
      <c r="D2408" s="3" t="s">
        <v>86</v>
      </c>
      <c r="E2408" s="1" t="s">
        <v>863</v>
      </c>
      <c r="F2408" s="1" t="s">
        <v>32</v>
      </c>
      <c r="G2408" s="2" t="s">
        <v>2</v>
      </c>
      <c r="H2408" s="3" t="s">
        <v>84</v>
      </c>
      <c r="I2408" s="3" t="s">
        <v>92</v>
      </c>
      <c r="J2408" s="3" t="s">
        <v>62</v>
      </c>
      <c r="K2408" s="4">
        <v>249.48</v>
      </c>
      <c r="L2408" s="6">
        <v>8.32</v>
      </c>
    </row>
    <row r="2409" spans="1:12" x14ac:dyDescent="0.25">
      <c r="A2409" s="1">
        <v>2408</v>
      </c>
      <c r="B2409" s="4">
        <v>17446</v>
      </c>
      <c r="C2409" s="5">
        <v>39973</v>
      </c>
      <c r="D2409" s="3" t="s">
        <v>95</v>
      </c>
      <c r="E2409" s="1" t="s">
        <v>174</v>
      </c>
      <c r="F2409" s="1" t="s">
        <v>15</v>
      </c>
      <c r="G2409" s="2" t="s">
        <v>1</v>
      </c>
      <c r="H2409" s="3" t="s">
        <v>97</v>
      </c>
      <c r="I2409" s="3" t="s">
        <v>85</v>
      </c>
      <c r="J2409" s="3" t="s">
        <v>58</v>
      </c>
      <c r="K2409" s="4">
        <v>138.84</v>
      </c>
      <c r="L2409" s="6">
        <v>8.34</v>
      </c>
    </row>
    <row r="2410" spans="1:12" x14ac:dyDescent="0.25">
      <c r="A2410" s="1">
        <v>2409</v>
      </c>
      <c r="B2410" s="4">
        <v>17447</v>
      </c>
      <c r="C2410" s="5">
        <v>41047</v>
      </c>
      <c r="D2410" s="3" t="s">
        <v>82</v>
      </c>
      <c r="E2410" s="1" t="s">
        <v>235</v>
      </c>
      <c r="F2410" s="1" t="s">
        <v>36</v>
      </c>
      <c r="G2410" s="2" t="s">
        <v>2</v>
      </c>
      <c r="H2410" s="3" t="s">
        <v>97</v>
      </c>
      <c r="I2410" s="3" t="s">
        <v>85</v>
      </c>
      <c r="J2410" s="3" t="s">
        <v>66</v>
      </c>
      <c r="K2410" s="4">
        <v>861.41</v>
      </c>
      <c r="L2410" s="6">
        <v>18.97</v>
      </c>
    </row>
    <row r="2411" spans="1:12" x14ac:dyDescent="0.25">
      <c r="A2411" s="1">
        <v>2410</v>
      </c>
      <c r="B2411" s="4">
        <v>17506</v>
      </c>
      <c r="C2411" s="5">
        <v>40237</v>
      </c>
      <c r="D2411" s="3" t="s">
        <v>82</v>
      </c>
      <c r="E2411" s="1" t="s">
        <v>269</v>
      </c>
      <c r="F2411" s="1" t="s">
        <v>40</v>
      </c>
      <c r="G2411" s="2" t="s">
        <v>6</v>
      </c>
      <c r="H2411" s="3" t="s">
        <v>97</v>
      </c>
      <c r="I2411" s="3" t="s">
        <v>85</v>
      </c>
      <c r="J2411" s="3" t="s">
        <v>70</v>
      </c>
      <c r="K2411" s="4">
        <v>9473.31</v>
      </c>
      <c r="L2411" s="6">
        <v>294.62</v>
      </c>
    </row>
    <row r="2412" spans="1:12" x14ac:dyDescent="0.25">
      <c r="A2412" s="1">
        <v>2411</v>
      </c>
      <c r="B2412" s="4">
        <v>17507</v>
      </c>
      <c r="C2412" s="5">
        <v>41072</v>
      </c>
      <c r="D2412" s="3" t="s">
        <v>4</v>
      </c>
      <c r="E2412" s="1" t="s">
        <v>339</v>
      </c>
      <c r="F2412" s="1" t="s">
        <v>30</v>
      </c>
      <c r="G2412" s="2" t="s">
        <v>6</v>
      </c>
      <c r="H2412" s="3" t="s">
        <v>88</v>
      </c>
      <c r="I2412" s="3" t="s">
        <v>85</v>
      </c>
      <c r="J2412" s="3" t="s">
        <v>70</v>
      </c>
      <c r="K2412" s="4">
        <v>399.76</v>
      </c>
      <c r="L2412" s="6">
        <v>14.56</v>
      </c>
    </row>
    <row r="2413" spans="1:12" x14ac:dyDescent="0.25">
      <c r="A2413" s="1">
        <v>2412</v>
      </c>
      <c r="B2413" s="4">
        <v>17507</v>
      </c>
      <c r="C2413" s="5">
        <v>41072</v>
      </c>
      <c r="D2413" s="3" t="s">
        <v>4</v>
      </c>
      <c r="E2413" s="1" t="s">
        <v>417</v>
      </c>
      <c r="F2413" s="1" t="s">
        <v>30</v>
      </c>
      <c r="G2413" s="2" t="s">
        <v>6</v>
      </c>
      <c r="H2413" s="3" t="s">
        <v>88</v>
      </c>
      <c r="I2413" s="3" t="s">
        <v>92</v>
      </c>
      <c r="J2413" s="3" t="s">
        <v>67</v>
      </c>
      <c r="K2413" s="4">
        <v>5393.27</v>
      </c>
      <c r="L2413" s="6">
        <v>270.97000000000003</v>
      </c>
    </row>
    <row r="2414" spans="1:12" x14ac:dyDescent="0.25">
      <c r="A2414" s="1">
        <v>2413</v>
      </c>
      <c r="B2414" s="4">
        <v>17508</v>
      </c>
      <c r="C2414" s="5">
        <v>41087</v>
      </c>
      <c r="D2414" s="3" t="s">
        <v>82</v>
      </c>
      <c r="E2414" s="1" t="s">
        <v>394</v>
      </c>
      <c r="F2414" s="1" t="s">
        <v>23</v>
      </c>
      <c r="G2414" s="2" t="s">
        <v>3</v>
      </c>
      <c r="H2414" s="3" t="s">
        <v>88</v>
      </c>
      <c r="I2414" s="3" t="s">
        <v>85</v>
      </c>
      <c r="J2414" s="3" t="s">
        <v>63</v>
      </c>
      <c r="K2414" s="4">
        <v>99.08</v>
      </c>
      <c r="L2414" s="6">
        <v>1.76</v>
      </c>
    </row>
    <row r="2415" spans="1:12" x14ac:dyDescent="0.25">
      <c r="A2415" s="1">
        <v>2414</v>
      </c>
      <c r="B2415" s="4">
        <v>17510</v>
      </c>
      <c r="C2415" s="5">
        <v>41212</v>
      </c>
      <c r="D2415" s="3" t="s">
        <v>95</v>
      </c>
      <c r="E2415" s="1" t="s">
        <v>342</v>
      </c>
      <c r="F2415" s="1" t="s">
        <v>24</v>
      </c>
      <c r="G2415" s="2" t="s">
        <v>2</v>
      </c>
      <c r="H2415" s="3" t="s">
        <v>84</v>
      </c>
      <c r="I2415" s="3" t="s">
        <v>85</v>
      </c>
      <c r="J2415" s="3" t="s">
        <v>71</v>
      </c>
      <c r="K2415" s="4">
        <v>462.12</v>
      </c>
      <c r="L2415" s="6">
        <v>15.57</v>
      </c>
    </row>
    <row r="2416" spans="1:12" x14ac:dyDescent="0.25">
      <c r="A2416" s="1">
        <v>2415</v>
      </c>
      <c r="B2416" s="4">
        <v>17539</v>
      </c>
      <c r="C2416" s="5">
        <v>40801</v>
      </c>
      <c r="D2416" s="3" t="s">
        <v>86</v>
      </c>
      <c r="E2416" s="1" t="s">
        <v>225</v>
      </c>
      <c r="F2416" s="1" t="s">
        <v>14</v>
      </c>
      <c r="G2416" s="2" t="s">
        <v>2</v>
      </c>
      <c r="H2416" s="3" t="s">
        <v>100</v>
      </c>
      <c r="I2416" s="3" t="s">
        <v>91</v>
      </c>
      <c r="J2416" s="3" t="s">
        <v>59</v>
      </c>
      <c r="K2416" s="4">
        <v>381.79</v>
      </c>
      <c r="L2416" s="6">
        <v>14.34</v>
      </c>
    </row>
    <row r="2417" spans="1:12" x14ac:dyDescent="0.25">
      <c r="A2417" s="1">
        <v>2416</v>
      </c>
      <c r="B2417" s="4">
        <v>17539</v>
      </c>
      <c r="C2417" s="5">
        <v>40801</v>
      </c>
      <c r="D2417" s="3" t="s">
        <v>86</v>
      </c>
      <c r="E2417" s="1" t="s">
        <v>225</v>
      </c>
      <c r="F2417" s="1" t="s">
        <v>14</v>
      </c>
      <c r="G2417" s="2" t="s">
        <v>2</v>
      </c>
      <c r="H2417" s="3" t="s">
        <v>100</v>
      </c>
      <c r="I2417" s="3" t="s">
        <v>92</v>
      </c>
      <c r="J2417" s="3" t="s">
        <v>61</v>
      </c>
      <c r="K2417" s="4">
        <v>1529.3115</v>
      </c>
      <c r="L2417" s="6">
        <v>195.99</v>
      </c>
    </row>
    <row r="2418" spans="1:12" x14ac:dyDescent="0.25">
      <c r="A2418" s="1">
        <v>2417</v>
      </c>
      <c r="B2418" s="4">
        <v>17542</v>
      </c>
      <c r="C2418" s="5">
        <v>40421</v>
      </c>
      <c r="D2418" s="3" t="s">
        <v>82</v>
      </c>
      <c r="E2418" s="1" t="s">
        <v>359</v>
      </c>
      <c r="F2418" s="1" t="s">
        <v>24</v>
      </c>
      <c r="G2418" s="2" t="s">
        <v>2</v>
      </c>
      <c r="H2418" s="3" t="s">
        <v>100</v>
      </c>
      <c r="I2418" s="3" t="s">
        <v>85</v>
      </c>
      <c r="J2418" s="3" t="s">
        <v>65</v>
      </c>
      <c r="K2418" s="4">
        <v>105.99</v>
      </c>
      <c r="L2418" s="6">
        <v>2.88</v>
      </c>
    </row>
    <row r="2419" spans="1:12" x14ac:dyDescent="0.25">
      <c r="A2419" s="1">
        <v>2418</v>
      </c>
      <c r="B2419" s="4">
        <v>17543</v>
      </c>
      <c r="C2419" s="5">
        <v>41054</v>
      </c>
      <c r="D2419" s="3" t="s">
        <v>95</v>
      </c>
      <c r="E2419" s="1" t="s">
        <v>946</v>
      </c>
      <c r="F2419" s="1" t="s">
        <v>42</v>
      </c>
      <c r="G2419" s="2" t="s">
        <v>3</v>
      </c>
      <c r="H2419" s="3" t="s">
        <v>100</v>
      </c>
      <c r="I2419" s="3" t="s">
        <v>85</v>
      </c>
      <c r="J2419" s="3" t="s">
        <v>66</v>
      </c>
      <c r="K2419" s="4">
        <v>15.73</v>
      </c>
      <c r="L2419" s="6">
        <v>6.48</v>
      </c>
    </row>
    <row r="2420" spans="1:12" x14ac:dyDescent="0.25">
      <c r="A2420" s="1">
        <v>2419</v>
      </c>
      <c r="B2420" s="4">
        <v>17543</v>
      </c>
      <c r="C2420" s="5">
        <v>41054</v>
      </c>
      <c r="D2420" s="3" t="s">
        <v>95</v>
      </c>
      <c r="E2420" s="1" t="s">
        <v>946</v>
      </c>
      <c r="F2420" s="1" t="s">
        <v>42</v>
      </c>
      <c r="G2420" s="2" t="s">
        <v>3</v>
      </c>
      <c r="H2420" s="3" t="s">
        <v>100</v>
      </c>
      <c r="I2420" s="3" t="s">
        <v>85</v>
      </c>
      <c r="J2420" s="3" t="s">
        <v>66</v>
      </c>
      <c r="K2420" s="4">
        <v>1041.74</v>
      </c>
      <c r="L2420" s="6">
        <v>30.98</v>
      </c>
    </row>
    <row r="2421" spans="1:12" x14ac:dyDescent="0.25">
      <c r="A2421" s="1">
        <v>2420</v>
      </c>
      <c r="B2421" s="4">
        <v>17543</v>
      </c>
      <c r="C2421" s="5">
        <v>41054</v>
      </c>
      <c r="D2421" s="3" t="s">
        <v>95</v>
      </c>
      <c r="E2421" s="1" t="s">
        <v>946</v>
      </c>
      <c r="F2421" s="1" t="s">
        <v>42</v>
      </c>
      <c r="G2421" s="2" t="s">
        <v>3</v>
      </c>
      <c r="H2421" s="3" t="s">
        <v>100</v>
      </c>
      <c r="I2421" s="3" t="s">
        <v>92</v>
      </c>
      <c r="J2421" s="3" t="s">
        <v>61</v>
      </c>
      <c r="K2421" s="4">
        <v>4300.6260000000002</v>
      </c>
      <c r="L2421" s="6">
        <v>200.99</v>
      </c>
    </row>
    <row r="2422" spans="1:12" x14ac:dyDescent="0.25">
      <c r="A2422" s="1">
        <v>2421</v>
      </c>
      <c r="B2422" s="4">
        <v>17568</v>
      </c>
      <c r="C2422" s="5">
        <v>40459</v>
      </c>
      <c r="D2422" s="3" t="s">
        <v>86</v>
      </c>
      <c r="E2422" s="1" t="s">
        <v>410</v>
      </c>
      <c r="F2422" s="1" t="s">
        <v>24</v>
      </c>
      <c r="G2422" s="2" t="s">
        <v>2</v>
      </c>
      <c r="H2422" s="3" t="s">
        <v>97</v>
      </c>
      <c r="I2422" s="3" t="s">
        <v>92</v>
      </c>
      <c r="J2422" s="3" t="s">
        <v>62</v>
      </c>
      <c r="K2422" s="4">
        <v>512.87</v>
      </c>
      <c r="L2422" s="6">
        <v>16.48</v>
      </c>
    </row>
    <row r="2423" spans="1:12" x14ac:dyDescent="0.25">
      <c r="A2423" s="1">
        <v>2422</v>
      </c>
      <c r="B2423" s="4">
        <v>17571</v>
      </c>
      <c r="C2423" s="5">
        <v>40983</v>
      </c>
      <c r="D2423" s="3" t="s">
        <v>86</v>
      </c>
      <c r="E2423" s="1" t="s">
        <v>423</v>
      </c>
      <c r="F2423" s="1" t="s">
        <v>24</v>
      </c>
      <c r="G2423" s="2" t="s">
        <v>2</v>
      </c>
      <c r="H2423" s="3" t="s">
        <v>100</v>
      </c>
      <c r="I2423" s="3" t="s">
        <v>85</v>
      </c>
      <c r="J2423" s="3" t="s">
        <v>64</v>
      </c>
      <c r="K2423" s="4">
        <v>102.59</v>
      </c>
      <c r="L2423" s="6">
        <v>2.98</v>
      </c>
    </row>
    <row r="2424" spans="1:12" x14ac:dyDescent="0.25">
      <c r="A2424" s="1">
        <v>2423</v>
      </c>
      <c r="B2424" s="4">
        <v>17571</v>
      </c>
      <c r="C2424" s="5">
        <v>40983</v>
      </c>
      <c r="D2424" s="3" t="s">
        <v>86</v>
      </c>
      <c r="E2424" s="1" t="s">
        <v>670</v>
      </c>
      <c r="F2424" s="1" t="s">
        <v>24</v>
      </c>
      <c r="G2424" s="2" t="s">
        <v>2</v>
      </c>
      <c r="H2424" s="3" t="s">
        <v>100</v>
      </c>
      <c r="I2424" s="3" t="s">
        <v>92</v>
      </c>
      <c r="J2424" s="3" t="s">
        <v>62</v>
      </c>
      <c r="K2424" s="4">
        <v>1695.65</v>
      </c>
      <c r="L2424" s="6">
        <v>32.979999999999997</v>
      </c>
    </row>
    <row r="2425" spans="1:12" x14ac:dyDescent="0.25">
      <c r="A2425" s="1">
        <v>2424</v>
      </c>
      <c r="B2425" s="4">
        <v>17573</v>
      </c>
      <c r="C2425" s="5">
        <v>40790</v>
      </c>
      <c r="D2425" s="3" t="s">
        <v>82</v>
      </c>
      <c r="E2425" s="1" t="s">
        <v>955</v>
      </c>
      <c r="F2425" s="1" t="s">
        <v>35</v>
      </c>
      <c r="G2425" s="2" t="s">
        <v>1</v>
      </c>
      <c r="H2425" s="3" t="s">
        <v>84</v>
      </c>
      <c r="I2425" s="3" t="s">
        <v>91</v>
      </c>
      <c r="J2425" s="3" t="s">
        <v>59</v>
      </c>
      <c r="K2425" s="4">
        <v>220.97</v>
      </c>
      <c r="L2425" s="6">
        <v>9.48</v>
      </c>
    </row>
    <row r="2426" spans="1:12" x14ac:dyDescent="0.25">
      <c r="A2426" s="1">
        <v>2425</v>
      </c>
      <c r="B2426" s="4">
        <v>17573</v>
      </c>
      <c r="C2426" s="5">
        <v>40790</v>
      </c>
      <c r="D2426" s="3" t="s">
        <v>82</v>
      </c>
      <c r="E2426" s="1" t="s">
        <v>113</v>
      </c>
      <c r="F2426" s="1" t="s">
        <v>12</v>
      </c>
      <c r="G2426" s="2" t="s">
        <v>2</v>
      </c>
      <c r="H2426" s="3" t="s">
        <v>84</v>
      </c>
      <c r="I2426" s="3" t="s">
        <v>92</v>
      </c>
      <c r="J2426" s="3" t="s">
        <v>73</v>
      </c>
      <c r="K2426" s="4">
        <v>21555.599999999999</v>
      </c>
      <c r="L2426" s="6">
        <v>449.99</v>
      </c>
    </row>
    <row r="2427" spans="1:12" x14ac:dyDescent="0.25">
      <c r="A2427" s="1">
        <v>2426</v>
      </c>
      <c r="B2427" s="4">
        <v>17632</v>
      </c>
      <c r="C2427" s="5">
        <v>40230</v>
      </c>
      <c r="D2427" s="3" t="s">
        <v>4</v>
      </c>
      <c r="E2427" s="1" t="s">
        <v>135</v>
      </c>
      <c r="F2427" s="1" t="s">
        <v>41</v>
      </c>
      <c r="G2427" s="2" t="s">
        <v>6</v>
      </c>
      <c r="H2427" s="3" t="s">
        <v>88</v>
      </c>
      <c r="I2427" s="3" t="s">
        <v>85</v>
      </c>
      <c r="J2427" s="3" t="s">
        <v>64</v>
      </c>
      <c r="K2427" s="4">
        <v>71.12</v>
      </c>
      <c r="L2427" s="6">
        <v>1.98</v>
      </c>
    </row>
    <row r="2428" spans="1:12" x14ac:dyDescent="0.25">
      <c r="A2428" s="1">
        <v>2427</v>
      </c>
      <c r="B2428" s="4">
        <v>17634</v>
      </c>
      <c r="C2428" s="5">
        <v>41111</v>
      </c>
      <c r="D2428" s="3" t="s">
        <v>89</v>
      </c>
      <c r="E2428" s="1" t="s">
        <v>937</v>
      </c>
      <c r="F2428" s="1" t="s">
        <v>13</v>
      </c>
      <c r="G2428" s="2" t="s">
        <v>6</v>
      </c>
      <c r="H2428" s="3" t="s">
        <v>88</v>
      </c>
      <c r="I2428" s="3" t="s">
        <v>91</v>
      </c>
      <c r="J2428" s="3" t="s">
        <v>72</v>
      </c>
      <c r="K2428" s="4">
        <v>489.07</v>
      </c>
      <c r="L2428" s="6">
        <v>89.99</v>
      </c>
    </row>
    <row r="2429" spans="1:12" x14ac:dyDescent="0.25">
      <c r="A2429" s="1">
        <v>2428</v>
      </c>
      <c r="B2429" s="4">
        <v>17636</v>
      </c>
      <c r="C2429" s="5">
        <v>39848</v>
      </c>
      <c r="D2429" s="3" t="s">
        <v>82</v>
      </c>
      <c r="E2429" s="1" t="s">
        <v>584</v>
      </c>
      <c r="F2429" s="1" t="s">
        <v>24</v>
      </c>
      <c r="G2429" s="2" t="s">
        <v>2</v>
      </c>
      <c r="H2429" s="3" t="s">
        <v>97</v>
      </c>
      <c r="I2429" s="3" t="s">
        <v>85</v>
      </c>
      <c r="J2429" s="3" t="s">
        <v>63</v>
      </c>
      <c r="K2429" s="4">
        <v>7.01</v>
      </c>
      <c r="L2429" s="6">
        <v>2.94</v>
      </c>
    </row>
    <row r="2430" spans="1:12" x14ac:dyDescent="0.25">
      <c r="A2430" s="1">
        <v>2429</v>
      </c>
      <c r="B2430" s="4">
        <v>17666</v>
      </c>
      <c r="C2430" s="5">
        <v>40429</v>
      </c>
      <c r="D2430" s="3" t="s">
        <v>4</v>
      </c>
      <c r="E2430" s="1" t="s">
        <v>290</v>
      </c>
      <c r="F2430" s="1" t="s">
        <v>26</v>
      </c>
      <c r="G2430" s="2" t="s">
        <v>3</v>
      </c>
      <c r="H2430" s="3" t="s">
        <v>97</v>
      </c>
      <c r="I2430" s="3" t="s">
        <v>85</v>
      </c>
      <c r="J2430" s="3" t="s">
        <v>66</v>
      </c>
      <c r="K2430" s="4">
        <v>82.56</v>
      </c>
      <c r="L2430" s="6">
        <v>4</v>
      </c>
    </row>
    <row r="2431" spans="1:12" x14ac:dyDescent="0.25">
      <c r="A2431" s="1">
        <v>2430</v>
      </c>
      <c r="B2431" s="4">
        <v>17666</v>
      </c>
      <c r="C2431" s="5">
        <v>40429</v>
      </c>
      <c r="D2431" s="3" t="s">
        <v>4</v>
      </c>
      <c r="E2431" s="1" t="s">
        <v>290</v>
      </c>
      <c r="F2431" s="1" t="s">
        <v>26</v>
      </c>
      <c r="G2431" s="2" t="s">
        <v>3</v>
      </c>
      <c r="H2431" s="3" t="s">
        <v>97</v>
      </c>
      <c r="I2431" s="3" t="s">
        <v>85</v>
      </c>
      <c r="J2431" s="3" t="s">
        <v>58</v>
      </c>
      <c r="K2431" s="4">
        <v>141.07</v>
      </c>
      <c r="L2431" s="6">
        <v>12.98</v>
      </c>
    </row>
    <row r="2432" spans="1:12" x14ac:dyDescent="0.25">
      <c r="A2432" s="1">
        <v>2431</v>
      </c>
      <c r="B2432" s="4">
        <v>17668</v>
      </c>
      <c r="C2432" s="5">
        <v>40142</v>
      </c>
      <c r="D2432" s="3" t="s">
        <v>4</v>
      </c>
      <c r="E2432" s="1" t="s">
        <v>449</v>
      </c>
      <c r="F2432" s="1" t="s">
        <v>13</v>
      </c>
      <c r="G2432" s="2" t="s">
        <v>6</v>
      </c>
      <c r="H2432" s="3" t="s">
        <v>88</v>
      </c>
      <c r="I2432" s="3" t="s">
        <v>92</v>
      </c>
      <c r="J2432" s="3" t="s">
        <v>62</v>
      </c>
      <c r="K2432" s="4">
        <v>848.92</v>
      </c>
      <c r="L2432" s="6">
        <v>17.48</v>
      </c>
    </row>
    <row r="2433" spans="1:12" x14ac:dyDescent="0.25">
      <c r="A2433" s="1">
        <v>2432</v>
      </c>
      <c r="B2433" s="4">
        <v>17668</v>
      </c>
      <c r="C2433" s="5">
        <v>40142</v>
      </c>
      <c r="D2433" s="3" t="s">
        <v>4</v>
      </c>
      <c r="E2433" s="1" t="s">
        <v>449</v>
      </c>
      <c r="F2433" s="1" t="s">
        <v>13</v>
      </c>
      <c r="G2433" s="2" t="s">
        <v>6</v>
      </c>
      <c r="H2433" s="3" t="s">
        <v>88</v>
      </c>
      <c r="I2433" s="3" t="s">
        <v>92</v>
      </c>
      <c r="J2433" s="3" t="s">
        <v>67</v>
      </c>
      <c r="K2433" s="4">
        <v>6930.97</v>
      </c>
      <c r="L2433" s="6">
        <v>300.98</v>
      </c>
    </row>
    <row r="2434" spans="1:12" x14ac:dyDescent="0.25">
      <c r="A2434" s="1">
        <v>2433</v>
      </c>
      <c r="B2434" s="4">
        <v>17668</v>
      </c>
      <c r="C2434" s="5">
        <v>40142</v>
      </c>
      <c r="D2434" s="3" t="s">
        <v>4</v>
      </c>
      <c r="E2434" s="1" t="s">
        <v>449</v>
      </c>
      <c r="F2434" s="1" t="s">
        <v>13</v>
      </c>
      <c r="G2434" s="2" t="s">
        <v>6</v>
      </c>
      <c r="H2434" s="3" t="s">
        <v>88</v>
      </c>
      <c r="I2434" s="3" t="s">
        <v>92</v>
      </c>
      <c r="J2434" s="3" t="s">
        <v>61</v>
      </c>
      <c r="K2434" s="4">
        <v>2219.7324999999996</v>
      </c>
      <c r="L2434" s="6">
        <v>205.99</v>
      </c>
    </row>
    <row r="2435" spans="1:12" x14ac:dyDescent="0.25">
      <c r="A2435" s="1">
        <v>2434</v>
      </c>
      <c r="B2435" s="4">
        <v>17669</v>
      </c>
      <c r="C2435" s="5">
        <v>39932</v>
      </c>
      <c r="D2435" s="3" t="s">
        <v>89</v>
      </c>
      <c r="E2435" s="1" t="s">
        <v>956</v>
      </c>
      <c r="F2435" s="1" t="s">
        <v>24</v>
      </c>
      <c r="G2435" s="2" t="s">
        <v>2</v>
      </c>
      <c r="H2435" s="3" t="s">
        <v>84</v>
      </c>
      <c r="I2435" s="3" t="s">
        <v>85</v>
      </c>
      <c r="J2435" s="3" t="s">
        <v>57</v>
      </c>
      <c r="K2435" s="4">
        <v>1116.03</v>
      </c>
      <c r="L2435" s="6">
        <v>34.76</v>
      </c>
    </row>
    <row r="2436" spans="1:12" x14ac:dyDescent="0.25">
      <c r="A2436" s="1">
        <v>2435</v>
      </c>
      <c r="B2436" s="4">
        <v>17670</v>
      </c>
      <c r="C2436" s="5">
        <v>40050</v>
      </c>
      <c r="D2436" s="3" t="s">
        <v>4</v>
      </c>
      <c r="E2436" s="1" t="s">
        <v>911</v>
      </c>
      <c r="F2436" s="1" t="s">
        <v>34</v>
      </c>
      <c r="G2436" s="2" t="s">
        <v>1</v>
      </c>
      <c r="H2436" s="3" t="s">
        <v>88</v>
      </c>
      <c r="I2436" s="3" t="s">
        <v>85</v>
      </c>
      <c r="J2436" s="3" t="s">
        <v>65</v>
      </c>
      <c r="K2436" s="4">
        <v>36.520000000000003</v>
      </c>
      <c r="L2436" s="6">
        <v>2.61</v>
      </c>
    </row>
    <row r="2437" spans="1:12" x14ac:dyDescent="0.25">
      <c r="A2437" s="1">
        <v>2436</v>
      </c>
      <c r="B2437" s="4">
        <v>17698</v>
      </c>
      <c r="C2437" s="5">
        <v>41042</v>
      </c>
      <c r="D2437" s="3" t="s">
        <v>89</v>
      </c>
      <c r="E2437" s="1" t="s">
        <v>166</v>
      </c>
      <c r="F2437" s="1" t="s">
        <v>20</v>
      </c>
      <c r="G2437" s="2" t="s">
        <v>1</v>
      </c>
      <c r="H2437" s="3" t="s">
        <v>88</v>
      </c>
      <c r="I2437" s="3" t="s">
        <v>85</v>
      </c>
      <c r="J2437" s="3" t="s">
        <v>70</v>
      </c>
      <c r="K2437" s="4">
        <v>1883.82</v>
      </c>
      <c r="L2437" s="6">
        <v>44.01</v>
      </c>
    </row>
    <row r="2438" spans="1:12" x14ac:dyDescent="0.25">
      <c r="A2438" s="1">
        <v>2437</v>
      </c>
      <c r="B2438" s="4">
        <v>17698</v>
      </c>
      <c r="C2438" s="5">
        <v>41042</v>
      </c>
      <c r="D2438" s="3" t="s">
        <v>89</v>
      </c>
      <c r="E2438" s="1" t="s">
        <v>381</v>
      </c>
      <c r="F2438" s="1" t="s">
        <v>21</v>
      </c>
      <c r="G2438" s="2" t="s">
        <v>1</v>
      </c>
      <c r="H2438" s="3" t="s">
        <v>88</v>
      </c>
      <c r="I2438" s="3" t="s">
        <v>92</v>
      </c>
      <c r="J2438" s="3" t="s">
        <v>61</v>
      </c>
      <c r="K2438" s="4">
        <v>1118.2514999999999</v>
      </c>
      <c r="L2438" s="6">
        <v>65.989999999999995</v>
      </c>
    </row>
    <row r="2439" spans="1:12" x14ac:dyDescent="0.25">
      <c r="A2439" s="1">
        <v>2438</v>
      </c>
      <c r="B2439" s="4">
        <v>17698</v>
      </c>
      <c r="C2439" s="5">
        <v>41042</v>
      </c>
      <c r="D2439" s="3" t="s">
        <v>89</v>
      </c>
      <c r="E2439" s="1" t="s">
        <v>907</v>
      </c>
      <c r="F2439" s="1" t="s">
        <v>21</v>
      </c>
      <c r="G2439" s="2" t="s">
        <v>1</v>
      </c>
      <c r="H2439" s="3" t="s">
        <v>88</v>
      </c>
      <c r="I2439" s="3" t="s">
        <v>85</v>
      </c>
      <c r="J2439" s="3" t="s">
        <v>69</v>
      </c>
      <c r="K2439" s="4">
        <v>609.4</v>
      </c>
      <c r="L2439" s="6">
        <v>15.28</v>
      </c>
    </row>
    <row r="2440" spans="1:12" x14ac:dyDescent="0.25">
      <c r="A2440" s="1">
        <v>2439</v>
      </c>
      <c r="B2440" s="4">
        <v>17700</v>
      </c>
      <c r="C2440" s="5">
        <v>41209</v>
      </c>
      <c r="D2440" s="3" t="s">
        <v>95</v>
      </c>
      <c r="E2440" s="1" t="s">
        <v>957</v>
      </c>
      <c r="F2440" s="1" t="s">
        <v>24</v>
      </c>
      <c r="G2440" s="2" t="s">
        <v>2</v>
      </c>
      <c r="H2440" s="3" t="s">
        <v>97</v>
      </c>
      <c r="I2440" s="3" t="s">
        <v>91</v>
      </c>
      <c r="J2440" s="3" t="s">
        <v>59</v>
      </c>
      <c r="K2440" s="4">
        <v>2305.75</v>
      </c>
      <c r="L2440" s="6">
        <v>113.64</v>
      </c>
    </row>
    <row r="2441" spans="1:12" x14ac:dyDescent="0.25">
      <c r="A2441" s="1">
        <v>2440</v>
      </c>
      <c r="B2441" s="4">
        <v>17701</v>
      </c>
      <c r="C2441" s="5">
        <v>41050</v>
      </c>
      <c r="D2441" s="3" t="s">
        <v>95</v>
      </c>
      <c r="E2441" s="1" t="s">
        <v>410</v>
      </c>
      <c r="F2441" s="1" t="s">
        <v>24</v>
      </c>
      <c r="G2441" s="2" t="s">
        <v>2</v>
      </c>
      <c r="H2441" s="3" t="s">
        <v>97</v>
      </c>
      <c r="I2441" s="3" t="s">
        <v>85</v>
      </c>
      <c r="J2441" s="3" t="s">
        <v>69</v>
      </c>
      <c r="K2441" s="4">
        <v>80.45</v>
      </c>
      <c r="L2441" s="6">
        <v>3.74</v>
      </c>
    </row>
    <row r="2442" spans="1:12" x14ac:dyDescent="0.25">
      <c r="A2442" s="1">
        <v>2441</v>
      </c>
      <c r="B2442" s="4">
        <v>17702</v>
      </c>
      <c r="C2442" s="5">
        <v>41012</v>
      </c>
      <c r="D2442" s="3" t="s">
        <v>89</v>
      </c>
      <c r="E2442" s="1" t="s">
        <v>958</v>
      </c>
      <c r="F2442" s="1" t="s">
        <v>35</v>
      </c>
      <c r="G2442" s="2" t="s">
        <v>1</v>
      </c>
      <c r="H2442" s="3" t="s">
        <v>97</v>
      </c>
      <c r="I2442" s="3" t="s">
        <v>85</v>
      </c>
      <c r="J2442" s="3" t="s">
        <v>70</v>
      </c>
      <c r="K2442" s="4">
        <v>368.99</v>
      </c>
      <c r="L2442" s="6">
        <v>7.77</v>
      </c>
    </row>
    <row r="2443" spans="1:12" x14ac:dyDescent="0.25">
      <c r="A2443" s="1">
        <v>2442</v>
      </c>
      <c r="B2443" s="4">
        <v>17702</v>
      </c>
      <c r="C2443" s="5">
        <v>41012</v>
      </c>
      <c r="D2443" s="3" t="s">
        <v>89</v>
      </c>
      <c r="E2443" s="1" t="s">
        <v>110</v>
      </c>
      <c r="F2443" s="1" t="s">
        <v>30</v>
      </c>
      <c r="G2443" s="2" t="s">
        <v>6</v>
      </c>
      <c r="H2443" s="3" t="s">
        <v>97</v>
      </c>
      <c r="I2443" s="3" t="s">
        <v>92</v>
      </c>
      <c r="J2443" s="3" t="s">
        <v>62</v>
      </c>
      <c r="K2443" s="4">
        <v>264.63</v>
      </c>
      <c r="L2443" s="6">
        <v>27.48</v>
      </c>
    </row>
    <row r="2444" spans="1:12" x14ac:dyDescent="0.25">
      <c r="A2444" s="1">
        <v>2443</v>
      </c>
      <c r="B2444" s="4">
        <v>17735</v>
      </c>
      <c r="C2444" s="5">
        <v>41102</v>
      </c>
      <c r="D2444" s="3" t="s">
        <v>82</v>
      </c>
      <c r="E2444" s="1" t="s">
        <v>261</v>
      </c>
      <c r="F2444" s="1" t="s">
        <v>13</v>
      </c>
      <c r="G2444" s="2" t="s">
        <v>6</v>
      </c>
      <c r="H2444" s="3" t="s">
        <v>100</v>
      </c>
      <c r="I2444" s="3" t="s">
        <v>85</v>
      </c>
      <c r="J2444" s="3" t="s">
        <v>69</v>
      </c>
      <c r="K2444" s="4">
        <v>311.64999999999998</v>
      </c>
      <c r="L2444" s="6">
        <v>6.81</v>
      </c>
    </row>
    <row r="2445" spans="1:12" x14ac:dyDescent="0.25">
      <c r="A2445" s="1">
        <v>2444</v>
      </c>
      <c r="B2445" s="4">
        <v>17735</v>
      </c>
      <c r="C2445" s="5">
        <v>41102</v>
      </c>
      <c r="D2445" s="3" t="s">
        <v>82</v>
      </c>
      <c r="E2445" s="1" t="s">
        <v>261</v>
      </c>
      <c r="F2445" s="1" t="s">
        <v>13</v>
      </c>
      <c r="G2445" s="2" t="s">
        <v>6</v>
      </c>
      <c r="H2445" s="3" t="s">
        <v>100</v>
      </c>
      <c r="I2445" s="3" t="s">
        <v>85</v>
      </c>
      <c r="J2445" s="3" t="s">
        <v>64</v>
      </c>
      <c r="K2445" s="4">
        <v>101.19</v>
      </c>
      <c r="L2445" s="6">
        <v>3.78</v>
      </c>
    </row>
    <row r="2446" spans="1:12" x14ac:dyDescent="0.25">
      <c r="A2446" s="1">
        <v>2445</v>
      </c>
      <c r="B2446" s="4">
        <v>17764</v>
      </c>
      <c r="C2446" s="5">
        <v>40072</v>
      </c>
      <c r="D2446" s="3" t="s">
        <v>82</v>
      </c>
      <c r="E2446" s="1" t="s">
        <v>249</v>
      </c>
      <c r="F2446" s="1" t="s">
        <v>8</v>
      </c>
      <c r="G2446" s="2" t="s">
        <v>6</v>
      </c>
      <c r="H2446" s="3" t="s">
        <v>97</v>
      </c>
      <c r="I2446" s="3" t="s">
        <v>85</v>
      </c>
      <c r="J2446" s="3" t="s">
        <v>66</v>
      </c>
      <c r="K2446" s="4">
        <v>644.4</v>
      </c>
      <c r="L2446" s="6">
        <v>22.84</v>
      </c>
    </row>
    <row r="2447" spans="1:12" x14ac:dyDescent="0.25">
      <c r="A2447" s="1">
        <v>2446</v>
      </c>
      <c r="B2447" s="4">
        <v>17765</v>
      </c>
      <c r="C2447" s="5">
        <v>40801</v>
      </c>
      <c r="D2447" s="3" t="s">
        <v>86</v>
      </c>
      <c r="E2447" s="1" t="s">
        <v>959</v>
      </c>
      <c r="F2447" s="1" t="s">
        <v>15</v>
      </c>
      <c r="G2447" s="2" t="s">
        <v>1</v>
      </c>
      <c r="H2447" s="3" t="s">
        <v>84</v>
      </c>
      <c r="I2447" s="3" t="s">
        <v>85</v>
      </c>
      <c r="J2447" s="3" t="s">
        <v>69</v>
      </c>
      <c r="K2447" s="4">
        <v>79.02</v>
      </c>
      <c r="L2447" s="6">
        <v>2.16</v>
      </c>
    </row>
    <row r="2448" spans="1:12" x14ac:dyDescent="0.25">
      <c r="A2448" s="1">
        <v>2447</v>
      </c>
      <c r="B2448" s="4">
        <v>17795</v>
      </c>
      <c r="C2448" s="5">
        <v>39904</v>
      </c>
      <c r="D2448" s="3" t="s">
        <v>4</v>
      </c>
      <c r="E2448" s="1" t="s">
        <v>960</v>
      </c>
      <c r="F2448" s="1" t="s">
        <v>43</v>
      </c>
      <c r="G2448" s="2" t="s">
        <v>1</v>
      </c>
      <c r="H2448" s="3" t="s">
        <v>84</v>
      </c>
      <c r="I2448" s="3" t="s">
        <v>85</v>
      </c>
      <c r="J2448" s="3" t="s">
        <v>70</v>
      </c>
      <c r="K2448" s="4">
        <v>17.62</v>
      </c>
      <c r="L2448" s="6">
        <v>11.33</v>
      </c>
    </row>
    <row r="2449" spans="1:12" x14ac:dyDescent="0.25">
      <c r="A2449" s="1">
        <v>2448</v>
      </c>
      <c r="B2449" s="4">
        <v>17797</v>
      </c>
      <c r="C2449" s="5">
        <v>41100</v>
      </c>
      <c r="D2449" s="3" t="s">
        <v>82</v>
      </c>
      <c r="E2449" s="1" t="s">
        <v>110</v>
      </c>
      <c r="F2449" s="1" t="s">
        <v>34</v>
      </c>
      <c r="G2449" s="2" t="s">
        <v>1</v>
      </c>
      <c r="H2449" s="3" t="s">
        <v>97</v>
      </c>
      <c r="I2449" s="3" t="s">
        <v>91</v>
      </c>
      <c r="J2449" s="3" t="s">
        <v>68</v>
      </c>
      <c r="K2449" s="4">
        <v>1077.28</v>
      </c>
      <c r="L2449" s="6">
        <v>100.98</v>
      </c>
    </row>
    <row r="2450" spans="1:12" x14ac:dyDescent="0.25">
      <c r="A2450" s="1">
        <v>2449</v>
      </c>
      <c r="B2450" s="4">
        <v>17797</v>
      </c>
      <c r="C2450" s="5">
        <v>41100</v>
      </c>
      <c r="D2450" s="3" t="s">
        <v>82</v>
      </c>
      <c r="E2450" s="1" t="s">
        <v>110</v>
      </c>
      <c r="F2450" s="1" t="s">
        <v>34</v>
      </c>
      <c r="G2450" s="2" t="s">
        <v>1</v>
      </c>
      <c r="H2450" s="3" t="s">
        <v>97</v>
      </c>
      <c r="I2450" s="3" t="s">
        <v>85</v>
      </c>
      <c r="J2450" s="3" t="s">
        <v>71</v>
      </c>
      <c r="K2450" s="4">
        <v>61.52</v>
      </c>
      <c r="L2450" s="6">
        <v>3.69</v>
      </c>
    </row>
    <row r="2451" spans="1:12" x14ac:dyDescent="0.25">
      <c r="A2451" s="1">
        <v>2450</v>
      </c>
      <c r="B2451" s="4">
        <v>17799</v>
      </c>
      <c r="C2451" s="5">
        <v>41172</v>
      </c>
      <c r="D2451" s="3" t="s">
        <v>4</v>
      </c>
      <c r="E2451" s="1" t="s">
        <v>957</v>
      </c>
      <c r="F2451" s="1" t="s">
        <v>24</v>
      </c>
      <c r="G2451" s="2" t="s">
        <v>2</v>
      </c>
      <c r="H2451" s="3" t="s">
        <v>100</v>
      </c>
      <c r="I2451" s="3" t="s">
        <v>91</v>
      </c>
      <c r="J2451" s="3" t="s">
        <v>59</v>
      </c>
      <c r="K2451" s="4">
        <v>149.51</v>
      </c>
      <c r="L2451" s="6">
        <v>16.98</v>
      </c>
    </row>
    <row r="2452" spans="1:12" x14ac:dyDescent="0.25">
      <c r="A2452" s="1">
        <v>2451</v>
      </c>
      <c r="B2452" s="4">
        <v>17825</v>
      </c>
      <c r="C2452" s="5">
        <v>40191</v>
      </c>
      <c r="D2452" s="3" t="s">
        <v>86</v>
      </c>
      <c r="E2452" s="1" t="s">
        <v>772</v>
      </c>
      <c r="F2452" s="1" t="s">
        <v>13</v>
      </c>
      <c r="G2452" s="2" t="s">
        <v>6</v>
      </c>
      <c r="H2452" s="3" t="s">
        <v>97</v>
      </c>
      <c r="I2452" s="3" t="s">
        <v>85</v>
      </c>
      <c r="J2452" s="3" t="s">
        <v>57</v>
      </c>
      <c r="K2452" s="4">
        <v>981.9</v>
      </c>
      <c r="L2452" s="6">
        <v>37.76</v>
      </c>
    </row>
    <row r="2453" spans="1:12" x14ac:dyDescent="0.25">
      <c r="A2453" s="1">
        <v>2452</v>
      </c>
      <c r="B2453" s="4">
        <v>17826</v>
      </c>
      <c r="C2453" s="5">
        <v>41090</v>
      </c>
      <c r="D2453" s="3" t="s">
        <v>89</v>
      </c>
      <c r="E2453" s="1" t="s">
        <v>685</v>
      </c>
      <c r="F2453" s="1" t="s">
        <v>11</v>
      </c>
      <c r="G2453" s="2" t="s">
        <v>6</v>
      </c>
      <c r="H2453" s="3" t="s">
        <v>97</v>
      </c>
      <c r="I2453" s="3" t="s">
        <v>85</v>
      </c>
      <c r="J2453" s="3" t="s">
        <v>69</v>
      </c>
      <c r="K2453" s="4">
        <v>78.930000000000007</v>
      </c>
      <c r="L2453" s="6">
        <v>3.89</v>
      </c>
    </row>
    <row r="2454" spans="1:12" x14ac:dyDescent="0.25">
      <c r="A2454" s="1">
        <v>2453</v>
      </c>
      <c r="B2454" s="4">
        <v>17831</v>
      </c>
      <c r="C2454" s="5">
        <v>41207</v>
      </c>
      <c r="D2454" s="3" t="s">
        <v>95</v>
      </c>
      <c r="E2454" s="1" t="s">
        <v>551</v>
      </c>
      <c r="F2454" s="1" t="s">
        <v>30</v>
      </c>
      <c r="G2454" s="2" t="s">
        <v>6</v>
      </c>
      <c r="H2454" s="3" t="s">
        <v>88</v>
      </c>
      <c r="I2454" s="3" t="s">
        <v>91</v>
      </c>
      <c r="J2454" s="3" t="s">
        <v>59</v>
      </c>
      <c r="K2454" s="4">
        <v>239.3</v>
      </c>
      <c r="L2454" s="6">
        <v>6.98</v>
      </c>
    </row>
    <row r="2455" spans="1:12" x14ac:dyDescent="0.25">
      <c r="A2455" s="1">
        <v>2454</v>
      </c>
      <c r="B2455" s="4">
        <v>17831</v>
      </c>
      <c r="C2455" s="5">
        <v>41207</v>
      </c>
      <c r="D2455" s="3" t="s">
        <v>95</v>
      </c>
      <c r="E2455" s="1" t="s">
        <v>551</v>
      </c>
      <c r="F2455" s="1" t="s">
        <v>30</v>
      </c>
      <c r="G2455" s="2" t="s">
        <v>6</v>
      </c>
      <c r="H2455" s="3" t="s">
        <v>88</v>
      </c>
      <c r="I2455" s="3" t="s">
        <v>85</v>
      </c>
      <c r="J2455" s="3" t="s">
        <v>66</v>
      </c>
      <c r="K2455" s="4">
        <v>260.41000000000003</v>
      </c>
      <c r="L2455" s="6">
        <v>5.98</v>
      </c>
    </row>
    <row r="2456" spans="1:12" x14ac:dyDescent="0.25">
      <c r="A2456" s="1">
        <v>2455</v>
      </c>
      <c r="B2456" s="4">
        <v>17858</v>
      </c>
      <c r="C2456" s="5">
        <v>40446</v>
      </c>
      <c r="D2456" s="3" t="s">
        <v>4</v>
      </c>
      <c r="E2456" s="1" t="s">
        <v>142</v>
      </c>
      <c r="F2456" s="1" t="s">
        <v>18</v>
      </c>
      <c r="G2456" s="2" t="s">
        <v>6</v>
      </c>
      <c r="H2456" s="3" t="s">
        <v>100</v>
      </c>
      <c r="I2456" s="3" t="s">
        <v>92</v>
      </c>
      <c r="J2456" s="3" t="s">
        <v>62</v>
      </c>
      <c r="K2456" s="4">
        <v>187.14</v>
      </c>
      <c r="L2456" s="6">
        <v>8.33</v>
      </c>
    </row>
    <row r="2457" spans="1:12" x14ac:dyDescent="0.25">
      <c r="A2457" s="1">
        <v>2456</v>
      </c>
      <c r="B2457" s="4">
        <v>17858</v>
      </c>
      <c r="C2457" s="5">
        <v>40446</v>
      </c>
      <c r="D2457" s="3" t="s">
        <v>4</v>
      </c>
      <c r="E2457" s="1" t="s">
        <v>142</v>
      </c>
      <c r="F2457" s="1" t="s">
        <v>18</v>
      </c>
      <c r="G2457" s="2" t="s">
        <v>6</v>
      </c>
      <c r="H2457" s="3" t="s">
        <v>100</v>
      </c>
      <c r="I2457" s="3" t="s">
        <v>92</v>
      </c>
      <c r="J2457" s="3" t="s">
        <v>62</v>
      </c>
      <c r="K2457" s="4">
        <v>385.7</v>
      </c>
      <c r="L2457" s="6">
        <v>30.98</v>
      </c>
    </row>
    <row r="2458" spans="1:12" x14ac:dyDescent="0.25">
      <c r="A2458" s="1">
        <v>2457</v>
      </c>
      <c r="B2458" s="4">
        <v>17858</v>
      </c>
      <c r="C2458" s="5">
        <v>40446</v>
      </c>
      <c r="D2458" s="3" t="s">
        <v>4</v>
      </c>
      <c r="E2458" s="1" t="s">
        <v>142</v>
      </c>
      <c r="F2458" s="1" t="s">
        <v>18</v>
      </c>
      <c r="G2458" s="2" t="s">
        <v>6</v>
      </c>
      <c r="H2458" s="3" t="s">
        <v>100</v>
      </c>
      <c r="I2458" s="3" t="s">
        <v>91</v>
      </c>
      <c r="J2458" s="3" t="s">
        <v>59</v>
      </c>
      <c r="K2458" s="4">
        <v>1048.3900000000001</v>
      </c>
      <c r="L2458" s="6">
        <v>22.98</v>
      </c>
    </row>
    <row r="2459" spans="1:12" x14ac:dyDescent="0.25">
      <c r="A2459" s="1">
        <v>2458</v>
      </c>
      <c r="B2459" s="4">
        <v>17859</v>
      </c>
      <c r="C2459" s="5">
        <v>40324</v>
      </c>
      <c r="D2459" s="3" t="s">
        <v>95</v>
      </c>
      <c r="E2459" s="1" t="s">
        <v>714</v>
      </c>
      <c r="F2459" s="1" t="s">
        <v>52</v>
      </c>
      <c r="G2459" s="2" t="s">
        <v>3</v>
      </c>
      <c r="H2459" s="3" t="s">
        <v>100</v>
      </c>
      <c r="I2459" s="3" t="s">
        <v>92</v>
      </c>
      <c r="J2459" s="3" t="s">
        <v>62</v>
      </c>
      <c r="K2459" s="4">
        <v>182.89</v>
      </c>
      <c r="L2459" s="6">
        <v>27.48</v>
      </c>
    </row>
    <row r="2460" spans="1:12" x14ac:dyDescent="0.25">
      <c r="A2460" s="1">
        <v>2459</v>
      </c>
      <c r="B2460" s="4">
        <v>17860</v>
      </c>
      <c r="C2460" s="5">
        <v>40639</v>
      </c>
      <c r="D2460" s="3" t="s">
        <v>95</v>
      </c>
      <c r="E2460" s="1" t="s">
        <v>713</v>
      </c>
      <c r="F2460" s="1" t="s">
        <v>55</v>
      </c>
      <c r="G2460" s="2" t="s">
        <v>2</v>
      </c>
      <c r="H2460" s="3" t="s">
        <v>84</v>
      </c>
      <c r="I2460" s="3" t="s">
        <v>85</v>
      </c>
      <c r="J2460" s="3" t="s">
        <v>70</v>
      </c>
      <c r="K2460" s="4">
        <v>139</v>
      </c>
      <c r="L2460" s="6">
        <v>7.77</v>
      </c>
    </row>
    <row r="2461" spans="1:12" x14ac:dyDescent="0.25">
      <c r="A2461" s="1">
        <v>2460</v>
      </c>
      <c r="B2461" s="4">
        <v>17862</v>
      </c>
      <c r="C2461" s="5">
        <v>41036</v>
      </c>
      <c r="D2461" s="3" t="s">
        <v>86</v>
      </c>
      <c r="E2461" s="1" t="s">
        <v>469</v>
      </c>
      <c r="F2461" s="1" t="s">
        <v>10</v>
      </c>
      <c r="G2461" s="2" t="s">
        <v>3</v>
      </c>
      <c r="H2461" s="3" t="s">
        <v>88</v>
      </c>
      <c r="I2461" s="3" t="s">
        <v>92</v>
      </c>
      <c r="J2461" s="3" t="s">
        <v>62</v>
      </c>
      <c r="K2461" s="4">
        <v>28.73</v>
      </c>
      <c r="L2461" s="6">
        <v>20.97</v>
      </c>
    </row>
    <row r="2462" spans="1:12" x14ac:dyDescent="0.25">
      <c r="A2462" s="1">
        <v>2461</v>
      </c>
      <c r="B2462" s="4">
        <v>17862</v>
      </c>
      <c r="C2462" s="5">
        <v>41036</v>
      </c>
      <c r="D2462" s="3" t="s">
        <v>86</v>
      </c>
      <c r="E2462" s="1" t="s">
        <v>469</v>
      </c>
      <c r="F2462" s="1" t="s">
        <v>10</v>
      </c>
      <c r="G2462" s="2" t="s">
        <v>3</v>
      </c>
      <c r="H2462" s="3" t="s">
        <v>88</v>
      </c>
      <c r="I2462" s="3" t="s">
        <v>85</v>
      </c>
      <c r="J2462" s="3" t="s">
        <v>63</v>
      </c>
      <c r="K2462" s="4">
        <v>67.88</v>
      </c>
      <c r="L2462" s="6">
        <v>2.1</v>
      </c>
    </row>
    <row r="2463" spans="1:12" x14ac:dyDescent="0.25">
      <c r="A2463" s="1">
        <v>2462</v>
      </c>
      <c r="B2463" s="4">
        <v>17924</v>
      </c>
      <c r="C2463" s="5">
        <v>40781</v>
      </c>
      <c r="D2463" s="3" t="s">
        <v>95</v>
      </c>
      <c r="E2463" s="1" t="s">
        <v>374</v>
      </c>
      <c r="F2463" s="1" t="s">
        <v>45</v>
      </c>
      <c r="G2463" s="2" t="s">
        <v>3</v>
      </c>
      <c r="H2463" s="3" t="s">
        <v>100</v>
      </c>
      <c r="I2463" s="3" t="s">
        <v>85</v>
      </c>
      <c r="J2463" s="3" t="s">
        <v>70</v>
      </c>
      <c r="K2463" s="4">
        <v>2507.48</v>
      </c>
      <c r="L2463" s="6">
        <v>60.97</v>
      </c>
    </row>
    <row r="2464" spans="1:12" x14ac:dyDescent="0.25">
      <c r="A2464" s="1">
        <v>2463</v>
      </c>
      <c r="B2464" s="4">
        <v>17926</v>
      </c>
      <c r="C2464" s="5">
        <v>40857</v>
      </c>
      <c r="D2464" s="3" t="s">
        <v>95</v>
      </c>
      <c r="E2464" s="1" t="s">
        <v>750</v>
      </c>
      <c r="F2464" s="1" t="s">
        <v>11</v>
      </c>
      <c r="G2464" s="2" t="s">
        <v>6</v>
      </c>
      <c r="H2464" s="3" t="s">
        <v>100</v>
      </c>
      <c r="I2464" s="3" t="s">
        <v>85</v>
      </c>
      <c r="J2464" s="3" t="s">
        <v>57</v>
      </c>
      <c r="K2464" s="4">
        <v>608.33000000000004</v>
      </c>
      <c r="L2464" s="6">
        <v>15.31</v>
      </c>
    </row>
    <row r="2465" spans="1:12" x14ac:dyDescent="0.25">
      <c r="A2465" s="1">
        <v>2464</v>
      </c>
      <c r="B2465" s="4">
        <v>17927</v>
      </c>
      <c r="C2465" s="5">
        <v>40034</v>
      </c>
      <c r="D2465" s="3" t="s">
        <v>4</v>
      </c>
      <c r="E2465" s="1" t="s">
        <v>157</v>
      </c>
      <c r="F2465" s="1" t="s">
        <v>10</v>
      </c>
      <c r="G2465" s="2" t="s">
        <v>3</v>
      </c>
      <c r="H2465" s="3" t="s">
        <v>100</v>
      </c>
      <c r="I2465" s="3" t="s">
        <v>92</v>
      </c>
      <c r="J2465" s="3" t="s">
        <v>62</v>
      </c>
      <c r="K2465" s="4">
        <v>865.21</v>
      </c>
      <c r="L2465" s="6">
        <v>20.95</v>
      </c>
    </row>
    <row r="2466" spans="1:12" x14ac:dyDescent="0.25">
      <c r="A2466" s="1">
        <v>2465</v>
      </c>
      <c r="B2466" s="4">
        <v>17952</v>
      </c>
      <c r="C2466" s="5">
        <v>40462</v>
      </c>
      <c r="D2466" s="3" t="s">
        <v>4</v>
      </c>
      <c r="E2466" s="1" t="s">
        <v>569</v>
      </c>
      <c r="F2466" s="1" t="s">
        <v>55</v>
      </c>
      <c r="G2466" s="2" t="s">
        <v>2</v>
      </c>
      <c r="H2466" s="3" t="s">
        <v>84</v>
      </c>
      <c r="I2466" s="3" t="s">
        <v>85</v>
      </c>
      <c r="J2466" s="3" t="s">
        <v>70</v>
      </c>
      <c r="K2466" s="4">
        <v>430.13</v>
      </c>
      <c r="L2466" s="6">
        <v>14.42</v>
      </c>
    </row>
    <row r="2467" spans="1:12" x14ac:dyDescent="0.25">
      <c r="A2467" s="1">
        <v>2466</v>
      </c>
      <c r="B2467" s="4">
        <v>17953</v>
      </c>
      <c r="C2467" s="5">
        <v>41141</v>
      </c>
      <c r="D2467" s="3" t="s">
        <v>89</v>
      </c>
      <c r="E2467" s="1" t="s">
        <v>616</v>
      </c>
      <c r="F2467" s="1" t="s">
        <v>48</v>
      </c>
      <c r="G2467" s="2" t="s">
        <v>1</v>
      </c>
      <c r="H2467" s="3" t="s">
        <v>84</v>
      </c>
      <c r="I2467" s="3" t="s">
        <v>85</v>
      </c>
      <c r="J2467" s="3" t="s">
        <v>71</v>
      </c>
      <c r="K2467" s="4">
        <v>975.12</v>
      </c>
      <c r="L2467" s="6">
        <v>30.98</v>
      </c>
    </row>
    <row r="2468" spans="1:12" x14ac:dyDescent="0.25">
      <c r="A2468" s="1">
        <v>2467</v>
      </c>
      <c r="B2468" s="4">
        <v>17953</v>
      </c>
      <c r="C2468" s="5">
        <v>41141</v>
      </c>
      <c r="D2468" s="3" t="s">
        <v>89</v>
      </c>
      <c r="E2468" s="1" t="s">
        <v>240</v>
      </c>
      <c r="F2468" s="1" t="s">
        <v>20</v>
      </c>
      <c r="G2468" s="2" t="s">
        <v>1</v>
      </c>
      <c r="H2468" s="3" t="s">
        <v>84</v>
      </c>
      <c r="I2468" s="3" t="s">
        <v>85</v>
      </c>
      <c r="J2468" s="3" t="s">
        <v>70</v>
      </c>
      <c r="K2468" s="4">
        <v>1490.56</v>
      </c>
      <c r="L2468" s="6">
        <v>68.81</v>
      </c>
    </row>
    <row r="2469" spans="1:12" x14ac:dyDescent="0.25">
      <c r="A2469" s="1">
        <v>2468</v>
      </c>
      <c r="B2469" s="4">
        <v>17953</v>
      </c>
      <c r="C2469" s="5">
        <v>41141</v>
      </c>
      <c r="D2469" s="3" t="s">
        <v>89</v>
      </c>
      <c r="E2469" s="1" t="s">
        <v>961</v>
      </c>
      <c r="F2469" s="1" t="s">
        <v>20</v>
      </c>
      <c r="G2469" s="2" t="s">
        <v>1</v>
      </c>
      <c r="H2469" s="3" t="s">
        <v>84</v>
      </c>
      <c r="I2469" s="3" t="s">
        <v>85</v>
      </c>
      <c r="J2469" s="3" t="s">
        <v>63</v>
      </c>
      <c r="K2469" s="4">
        <v>105.44</v>
      </c>
      <c r="L2469" s="6">
        <v>5.84</v>
      </c>
    </row>
    <row r="2470" spans="1:12" x14ac:dyDescent="0.25">
      <c r="A2470" s="1">
        <v>2469</v>
      </c>
      <c r="B2470" s="4">
        <v>17956</v>
      </c>
      <c r="C2470" s="5">
        <v>40395</v>
      </c>
      <c r="D2470" s="3" t="s">
        <v>95</v>
      </c>
      <c r="E2470" s="1" t="s">
        <v>799</v>
      </c>
      <c r="F2470" s="1" t="s">
        <v>13</v>
      </c>
      <c r="G2470" s="2" t="s">
        <v>6</v>
      </c>
      <c r="H2470" s="3" t="s">
        <v>88</v>
      </c>
      <c r="I2470" s="3" t="s">
        <v>85</v>
      </c>
      <c r="J2470" s="3" t="s">
        <v>66</v>
      </c>
      <c r="K2470" s="4">
        <v>1567.51</v>
      </c>
      <c r="L2470" s="6">
        <v>37.94</v>
      </c>
    </row>
    <row r="2471" spans="1:12" x14ac:dyDescent="0.25">
      <c r="A2471" s="1">
        <v>2470</v>
      </c>
      <c r="B2471" s="4">
        <v>17956</v>
      </c>
      <c r="C2471" s="5">
        <v>40395</v>
      </c>
      <c r="D2471" s="3" t="s">
        <v>95</v>
      </c>
      <c r="E2471" s="1" t="s">
        <v>799</v>
      </c>
      <c r="F2471" s="1" t="s">
        <v>13</v>
      </c>
      <c r="G2471" s="2" t="s">
        <v>6</v>
      </c>
      <c r="H2471" s="3" t="s">
        <v>88</v>
      </c>
      <c r="I2471" s="3" t="s">
        <v>85</v>
      </c>
      <c r="J2471" s="3" t="s">
        <v>57</v>
      </c>
      <c r="K2471" s="4">
        <v>1914.65</v>
      </c>
      <c r="L2471" s="6">
        <v>111.03</v>
      </c>
    </row>
    <row r="2472" spans="1:12" x14ac:dyDescent="0.25">
      <c r="A2472" s="1">
        <v>2471</v>
      </c>
      <c r="B2472" s="4">
        <v>17958</v>
      </c>
      <c r="C2472" s="5">
        <v>40766</v>
      </c>
      <c r="D2472" s="3" t="s">
        <v>82</v>
      </c>
      <c r="E2472" s="1" t="s">
        <v>364</v>
      </c>
      <c r="F2472" s="1" t="s">
        <v>15</v>
      </c>
      <c r="G2472" s="2" t="s">
        <v>1</v>
      </c>
      <c r="H2472" s="3" t="s">
        <v>97</v>
      </c>
      <c r="I2472" s="3" t="s">
        <v>91</v>
      </c>
      <c r="J2472" s="3" t="s">
        <v>59</v>
      </c>
      <c r="K2472" s="4">
        <v>1053.74</v>
      </c>
      <c r="L2472" s="6">
        <v>32.479999999999997</v>
      </c>
    </row>
    <row r="2473" spans="1:12" x14ac:dyDescent="0.25">
      <c r="A2473" s="1">
        <v>2472</v>
      </c>
      <c r="B2473" s="4">
        <v>17959</v>
      </c>
      <c r="C2473" s="5">
        <v>41161</v>
      </c>
      <c r="D2473" s="3" t="s">
        <v>4</v>
      </c>
      <c r="E2473" s="1" t="s">
        <v>962</v>
      </c>
      <c r="F2473" s="1" t="s">
        <v>20</v>
      </c>
      <c r="G2473" s="2" t="s">
        <v>1</v>
      </c>
      <c r="H2473" s="3" t="s">
        <v>97</v>
      </c>
      <c r="I2473" s="3" t="s">
        <v>85</v>
      </c>
      <c r="J2473" s="3" t="s">
        <v>66</v>
      </c>
      <c r="K2473" s="4">
        <v>1201.68</v>
      </c>
      <c r="L2473" s="6">
        <v>40.99</v>
      </c>
    </row>
    <row r="2474" spans="1:12" x14ac:dyDescent="0.25">
      <c r="A2474" s="1">
        <v>2473</v>
      </c>
      <c r="B2474" s="4">
        <v>17959</v>
      </c>
      <c r="C2474" s="5">
        <v>41161</v>
      </c>
      <c r="D2474" s="3" t="s">
        <v>4</v>
      </c>
      <c r="E2474" s="1" t="s">
        <v>963</v>
      </c>
      <c r="F2474" s="1" t="s">
        <v>20</v>
      </c>
      <c r="G2474" s="2" t="s">
        <v>1</v>
      </c>
      <c r="H2474" s="3" t="s">
        <v>97</v>
      </c>
      <c r="I2474" s="3" t="s">
        <v>91</v>
      </c>
      <c r="J2474" s="3" t="s">
        <v>59</v>
      </c>
      <c r="K2474" s="4">
        <v>2784.57</v>
      </c>
      <c r="L2474" s="6">
        <v>136.97999999999999</v>
      </c>
    </row>
    <row r="2475" spans="1:12" x14ac:dyDescent="0.25">
      <c r="A2475" s="1">
        <v>2474</v>
      </c>
      <c r="B2475" s="4">
        <v>17985</v>
      </c>
      <c r="C2475" s="5">
        <v>40645</v>
      </c>
      <c r="D2475" s="3" t="s">
        <v>4</v>
      </c>
      <c r="E2475" s="1" t="s">
        <v>478</v>
      </c>
      <c r="F2475" s="1" t="s">
        <v>46</v>
      </c>
      <c r="G2475" s="2" t="s">
        <v>6</v>
      </c>
      <c r="H2475" s="3" t="s">
        <v>97</v>
      </c>
      <c r="I2475" s="3" t="s">
        <v>91</v>
      </c>
      <c r="J2475" s="3" t="s">
        <v>72</v>
      </c>
      <c r="K2475" s="4">
        <v>473.88</v>
      </c>
      <c r="L2475" s="6">
        <v>110.98</v>
      </c>
    </row>
    <row r="2476" spans="1:12" x14ac:dyDescent="0.25">
      <c r="A2476" s="1">
        <v>2475</v>
      </c>
      <c r="B2476" s="4">
        <v>17985</v>
      </c>
      <c r="C2476" s="5">
        <v>40645</v>
      </c>
      <c r="D2476" s="3" t="s">
        <v>4</v>
      </c>
      <c r="E2476" s="1" t="s">
        <v>478</v>
      </c>
      <c r="F2476" s="1" t="s">
        <v>46</v>
      </c>
      <c r="G2476" s="2" t="s">
        <v>6</v>
      </c>
      <c r="H2476" s="3" t="s">
        <v>97</v>
      </c>
      <c r="I2476" s="3" t="s">
        <v>92</v>
      </c>
      <c r="J2476" s="3" t="s">
        <v>61</v>
      </c>
      <c r="K2476" s="4">
        <v>849.03099999999995</v>
      </c>
      <c r="L2476" s="6">
        <v>20.99</v>
      </c>
    </row>
    <row r="2477" spans="1:12" x14ac:dyDescent="0.25">
      <c r="A2477" s="1">
        <v>2476</v>
      </c>
      <c r="B2477" s="4">
        <v>17986</v>
      </c>
      <c r="C2477" s="5">
        <v>41004</v>
      </c>
      <c r="D2477" s="3" t="s">
        <v>86</v>
      </c>
      <c r="E2477" s="1" t="s">
        <v>809</v>
      </c>
      <c r="F2477" s="1" t="s">
        <v>13</v>
      </c>
      <c r="G2477" s="2" t="s">
        <v>6</v>
      </c>
      <c r="H2477" s="3" t="s">
        <v>84</v>
      </c>
      <c r="I2477" s="3" t="s">
        <v>85</v>
      </c>
      <c r="J2477" s="3" t="s">
        <v>69</v>
      </c>
      <c r="K2477" s="4">
        <v>87.31</v>
      </c>
      <c r="L2477" s="6">
        <v>2.08</v>
      </c>
    </row>
    <row r="2478" spans="1:12" x14ac:dyDescent="0.25">
      <c r="A2478" s="1">
        <v>2477</v>
      </c>
      <c r="B2478" s="4">
        <v>17988</v>
      </c>
      <c r="C2478" s="5">
        <v>40443</v>
      </c>
      <c r="D2478" s="3" t="s">
        <v>82</v>
      </c>
      <c r="E2478" s="1" t="s">
        <v>964</v>
      </c>
      <c r="F2478" s="1" t="s">
        <v>10</v>
      </c>
      <c r="G2478" s="2" t="s">
        <v>3</v>
      </c>
      <c r="H2478" s="3" t="s">
        <v>84</v>
      </c>
      <c r="I2478" s="3" t="s">
        <v>92</v>
      </c>
      <c r="J2478" s="3" t="s">
        <v>61</v>
      </c>
      <c r="K2478" s="4">
        <v>2660.6105000000002</v>
      </c>
      <c r="L2478" s="6">
        <v>65.989999999999995</v>
      </c>
    </row>
    <row r="2479" spans="1:12" x14ac:dyDescent="0.25">
      <c r="A2479" s="1">
        <v>2478</v>
      </c>
      <c r="B2479" s="4">
        <v>18017</v>
      </c>
      <c r="C2479" s="5">
        <v>40262</v>
      </c>
      <c r="D2479" s="3" t="s">
        <v>95</v>
      </c>
      <c r="E2479" s="1" t="s">
        <v>779</v>
      </c>
      <c r="F2479" s="1" t="s">
        <v>20</v>
      </c>
      <c r="G2479" s="2" t="s">
        <v>1</v>
      </c>
      <c r="H2479" s="3" t="s">
        <v>84</v>
      </c>
      <c r="I2479" s="3" t="s">
        <v>91</v>
      </c>
      <c r="J2479" s="3" t="s">
        <v>60</v>
      </c>
      <c r="K2479" s="4">
        <v>5202.8960000000006</v>
      </c>
      <c r="L2479" s="6">
        <v>296.18</v>
      </c>
    </row>
    <row r="2480" spans="1:12" x14ac:dyDescent="0.25">
      <c r="A2480" s="1">
        <v>2479</v>
      </c>
      <c r="B2480" s="4">
        <v>18023</v>
      </c>
      <c r="C2480" s="5">
        <v>40598</v>
      </c>
      <c r="D2480" s="3" t="s">
        <v>4</v>
      </c>
      <c r="E2480" s="1" t="s">
        <v>720</v>
      </c>
      <c r="F2480" s="1" t="s">
        <v>31</v>
      </c>
      <c r="G2480" s="2" t="s">
        <v>1</v>
      </c>
      <c r="H2480" s="3" t="s">
        <v>97</v>
      </c>
      <c r="I2480" s="3" t="s">
        <v>92</v>
      </c>
      <c r="J2480" s="3" t="s">
        <v>67</v>
      </c>
      <c r="K2480" s="4">
        <v>4502.26</v>
      </c>
      <c r="L2480" s="6">
        <v>120.97</v>
      </c>
    </row>
    <row r="2481" spans="1:12" x14ac:dyDescent="0.25">
      <c r="A2481" s="1">
        <v>2480</v>
      </c>
      <c r="B2481" s="4">
        <v>18023</v>
      </c>
      <c r="C2481" s="5">
        <v>40598</v>
      </c>
      <c r="D2481" s="3" t="s">
        <v>4</v>
      </c>
      <c r="E2481" s="1" t="s">
        <v>720</v>
      </c>
      <c r="F2481" s="1" t="s">
        <v>31</v>
      </c>
      <c r="G2481" s="2" t="s">
        <v>1</v>
      </c>
      <c r="H2481" s="3" t="s">
        <v>97</v>
      </c>
      <c r="I2481" s="3" t="s">
        <v>85</v>
      </c>
      <c r="J2481" s="3" t="s">
        <v>66</v>
      </c>
      <c r="K2481" s="4">
        <v>192.23</v>
      </c>
      <c r="L2481" s="6">
        <v>5.78</v>
      </c>
    </row>
    <row r="2482" spans="1:12" x14ac:dyDescent="0.25">
      <c r="A2482" s="1">
        <v>2481</v>
      </c>
      <c r="B2482" s="4">
        <v>18049</v>
      </c>
      <c r="C2482" s="5">
        <v>40038</v>
      </c>
      <c r="D2482" s="3" t="s">
        <v>4</v>
      </c>
      <c r="E2482" s="1" t="s">
        <v>371</v>
      </c>
      <c r="F2482" s="1" t="s">
        <v>10</v>
      </c>
      <c r="G2482" s="2" t="s">
        <v>3</v>
      </c>
      <c r="H2482" s="3" t="s">
        <v>88</v>
      </c>
      <c r="I2482" s="3" t="s">
        <v>85</v>
      </c>
      <c r="J2482" s="3" t="s">
        <v>66</v>
      </c>
      <c r="K2482" s="4">
        <v>65.52</v>
      </c>
      <c r="L2482" s="6">
        <v>5.98</v>
      </c>
    </row>
    <row r="2483" spans="1:12" x14ac:dyDescent="0.25">
      <c r="A2483" s="1">
        <v>2482</v>
      </c>
      <c r="B2483" s="4">
        <v>18055</v>
      </c>
      <c r="C2483" s="5">
        <v>40213</v>
      </c>
      <c r="D2483" s="3" t="s">
        <v>95</v>
      </c>
      <c r="E2483" s="1" t="s">
        <v>244</v>
      </c>
      <c r="F2483" s="1" t="s">
        <v>42</v>
      </c>
      <c r="G2483" s="2" t="s">
        <v>3</v>
      </c>
      <c r="H2483" s="3" t="s">
        <v>88</v>
      </c>
      <c r="I2483" s="3" t="s">
        <v>85</v>
      </c>
      <c r="J2483" s="3" t="s">
        <v>66</v>
      </c>
      <c r="K2483" s="4">
        <v>19.98</v>
      </c>
      <c r="L2483" s="6">
        <v>4.9800000000000004</v>
      </c>
    </row>
    <row r="2484" spans="1:12" x14ac:dyDescent="0.25">
      <c r="A2484" s="1">
        <v>2483</v>
      </c>
      <c r="B2484" s="4">
        <v>18080</v>
      </c>
      <c r="C2484" s="5">
        <v>39986</v>
      </c>
      <c r="D2484" s="3" t="s">
        <v>89</v>
      </c>
      <c r="E2484" s="1" t="s">
        <v>646</v>
      </c>
      <c r="F2484" s="1" t="s">
        <v>8</v>
      </c>
      <c r="G2484" s="2" t="s">
        <v>6</v>
      </c>
      <c r="H2484" s="3" t="s">
        <v>88</v>
      </c>
      <c r="I2484" s="3" t="s">
        <v>91</v>
      </c>
      <c r="J2484" s="3" t="s">
        <v>72</v>
      </c>
      <c r="K2484" s="4">
        <v>1211.98</v>
      </c>
      <c r="L2484" s="6">
        <v>180.98</v>
      </c>
    </row>
    <row r="2485" spans="1:12" x14ac:dyDescent="0.25">
      <c r="A2485" s="1">
        <v>2484</v>
      </c>
      <c r="B2485" s="4">
        <v>18085</v>
      </c>
      <c r="C2485" s="5">
        <v>40811</v>
      </c>
      <c r="D2485" s="3" t="s">
        <v>89</v>
      </c>
      <c r="E2485" s="1" t="s">
        <v>801</v>
      </c>
      <c r="F2485" s="1" t="s">
        <v>53</v>
      </c>
      <c r="G2485" s="2" t="s">
        <v>6</v>
      </c>
      <c r="H2485" s="3" t="s">
        <v>88</v>
      </c>
      <c r="I2485" s="3" t="s">
        <v>91</v>
      </c>
      <c r="J2485" s="3" t="s">
        <v>60</v>
      </c>
      <c r="K2485" s="4">
        <v>8127.51</v>
      </c>
      <c r="L2485" s="6">
        <v>348.21</v>
      </c>
    </row>
    <row r="2486" spans="1:12" x14ac:dyDescent="0.25">
      <c r="A2486" s="1">
        <v>2485</v>
      </c>
      <c r="B2486" s="4">
        <v>18085</v>
      </c>
      <c r="C2486" s="5">
        <v>40811</v>
      </c>
      <c r="D2486" s="3" t="s">
        <v>89</v>
      </c>
      <c r="E2486" s="1" t="s">
        <v>801</v>
      </c>
      <c r="F2486" s="1" t="s">
        <v>53</v>
      </c>
      <c r="G2486" s="2" t="s">
        <v>6</v>
      </c>
      <c r="H2486" s="3" t="s">
        <v>88</v>
      </c>
      <c r="I2486" s="3" t="s">
        <v>92</v>
      </c>
      <c r="J2486" s="3" t="s">
        <v>61</v>
      </c>
      <c r="K2486" s="4">
        <v>5352.9344999999994</v>
      </c>
      <c r="L2486" s="6">
        <v>195.99</v>
      </c>
    </row>
    <row r="2487" spans="1:12" x14ac:dyDescent="0.25">
      <c r="A2487" s="1">
        <v>2486</v>
      </c>
      <c r="B2487" s="4">
        <v>18112</v>
      </c>
      <c r="C2487" s="5">
        <v>40984</v>
      </c>
      <c r="D2487" s="3" t="s">
        <v>86</v>
      </c>
      <c r="E2487" s="1" t="s">
        <v>138</v>
      </c>
      <c r="F2487" s="1" t="s">
        <v>13</v>
      </c>
      <c r="G2487" s="2" t="s">
        <v>6</v>
      </c>
      <c r="H2487" s="3" t="s">
        <v>84</v>
      </c>
      <c r="I2487" s="3" t="s">
        <v>85</v>
      </c>
      <c r="J2487" s="3" t="s">
        <v>66</v>
      </c>
      <c r="K2487" s="4">
        <v>83.31</v>
      </c>
      <c r="L2487" s="6">
        <v>6.45</v>
      </c>
    </row>
    <row r="2488" spans="1:12" x14ac:dyDescent="0.25">
      <c r="A2488" s="1">
        <v>2487</v>
      </c>
      <c r="B2488" s="4">
        <v>18113</v>
      </c>
      <c r="C2488" s="5">
        <v>41149</v>
      </c>
      <c r="D2488" s="3" t="s">
        <v>86</v>
      </c>
      <c r="E2488" s="1" t="s">
        <v>613</v>
      </c>
      <c r="F2488" s="1" t="s">
        <v>8</v>
      </c>
      <c r="G2488" s="2" t="s">
        <v>6</v>
      </c>
      <c r="H2488" s="3" t="s">
        <v>100</v>
      </c>
      <c r="I2488" s="3" t="s">
        <v>91</v>
      </c>
      <c r="J2488" s="3" t="s">
        <v>72</v>
      </c>
      <c r="K2488" s="4">
        <v>3316.08</v>
      </c>
      <c r="L2488" s="6">
        <v>130.97999999999999</v>
      </c>
    </row>
    <row r="2489" spans="1:12" x14ac:dyDescent="0.25">
      <c r="A2489" s="1">
        <v>2488</v>
      </c>
      <c r="B2489" s="4">
        <v>18119</v>
      </c>
      <c r="C2489" s="5">
        <v>39988</v>
      </c>
      <c r="D2489" s="3" t="s">
        <v>82</v>
      </c>
      <c r="E2489" s="1" t="s">
        <v>204</v>
      </c>
      <c r="F2489" s="1" t="s">
        <v>12</v>
      </c>
      <c r="G2489" s="2" t="s">
        <v>2</v>
      </c>
      <c r="H2489" s="3" t="s">
        <v>100</v>
      </c>
      <c r="I2489" s="3" t="s">
        <v>85</v>
      </c>
      <c r="J2489" s="3" t="s">
        <v>71</v>
      </c>
      <c r="K2489" s="4">
        <v>347.84</v>
      </c>
      <c r="L2489" s="6">
        <v>8.74</v>
      </c>
    </row>
    <row r="2490" spans="1:12" x14ac:dyDescent="0.25">
      <c r="A2490" s="1">
        <v>2489</v>
      </c>
      <c r="B2490" s="4">
        <v>18144</v>
      </c>
      <c r="C2490" s="5">
        <v>40701</v>
      </c>
      <c r="D2490" s="3" t="s">
        <v>95</v>
      </c>
      <c r="E2490" s="1" t="s">
        <v>583</v>
      </c>
      <c r="F2490" s="1" t="s">
        <v>8</v>
      </c>
      <c r="G2490" s="2" t="s">
        <v>6</v>
      </c>
      <c r="H2490" s="3" t="s">
        <v>88</v>
      </c>
      <c r="I2490" s="3" t="s">
        <v>85</v>
      </c>
      <c r="J2490" s="3" t="s">
        <v>66</v>
      </c>
      <c r="K2490" s="4">
        <v>207.08</v>
      </c>
      <c r="L2490" s="6">
        <v>4.28</v>
      </c>
    </row>
    <row r="2491" spans="1:12" x14ac:dyDescent="0.25">
      <c r="A2491" s="1">
        <v>2490</v>
      </c>
      <c r="B2491" s="4">
        <v>18144</v>
      </c>
      <c r="C2491" s="5">
        <v>40701</v>
      </c>
      <c r="D2491" s="3" t="s">
        <v>95</v>
      </c>
      <c r="E2491" s="1" t="s">
        <v>583</v>
      </c>
      <c r="F2491" s="1" t="s">
        <v>8</v>
      </c>
      <c r="G2491" s="2" t="s">
        <v>6</v>
      </c>
      <c r="H2491" s="3" t="s">
        <v>88</v>
      </c>
      <c r="I2491" s="3" t="s">
        <v>85</v>
      </c>
      <c r="J2491" s="3" t="s">
        <v>57</v>
      </c>
      <c r="K2491" s="4">
        <v>234.28</v>
      </c>
      <c r="L2491" s="6">
        <v>28.28</v>
      </c>
    </row>
    <row r="2492" spans="1:12" x14ac:dyDescent="0.25">
      <c r="A2492" s="1">
        <v>2491</v>
      </c>
      <c r="B2492" s="4">
        <v>18144</v>
      </c>
      <c r="C2492" s="5">
        <v>40701</v>
      </c>
      <c r="D2492" s="3" t="s">
        <v>95</v>
      </c>
      <c r="E2492" s="1" t="s">
        <v>583</v>
      </c>
      <c r="F2492" s="1" t="s">
        <v>8</v>
      </c>
      <c r="G2492" s="2" t="s">
        <v>6</v>
      </c>
      <c r="H2492" s="3" t="s">
        <v>88</v>
      </c>
      <c r="I2492" s="3" t="s">
        <v>92</v>
      </c>
      <c r="J2492" s="3" t="s">
        <v>61</v>
      </c>
      <c r="K2492" s="4">
        <v>1779.8914999999997</v>
      </c>
      <c r="L2492" s="6">
        <v>55.99</v>
      </c>
    </row>
    <row r="2493" spans="1:12" x14ac:dyDescent="0.25">
      <c r="A2493" s="1">
        <v>2492</v>
      </c>
      <c r="B2493" s="4">
        <v>18145</v>
      </c>
      <c r="C2493" s="5">
        <v>40425</v>
      </c>
      <c r="D2493" s="3" t="s">
        <v>4</v>
      </c>
      <c r="E2493" s="1" t="s">
        <v>263</v>
      </c>
      <c r="F2493" s="1" t="s">
        <v>14</v>
      </c>
      <c r="G2493" s="2" t="s">
        <v>2</v>
      </c>
      <c r="H2493" s="3" t="s">
        <v>88</v>
      </c>
      <c r="I2493" s="3" t="s">
        <v>85</v>
      </c>
      <c r="J2493" s="3" t="s">
        <v>64</v>
      </c>
      <c r="K2493" s="4">
        <v>270.32</v>
      </c>
      <c r="L2493" s="6">
        <v>5.81</v>
      </c>
    </row>
    <row r="2494" spans="1:12" x14ac:dyDescent="0.25">
      <c r="A2494" s="1">
        <v>2493</v>
      </c>
      <c r="B2494" s="4">
        <v>18145</v>
      </c>
      <c r="C2494" s="5">
        <v>40425</v>
      </c>
      <c r="D2494" s="3" t="s">
        <v>4</v>
      </c>
      <c r="E2494" s="1" t="s">
        <v>310</v>
      </c>
      <c r="F2494" s="1" t="s">
        <v>36</v>
      </c>
      <c r="G2494" s="2" t="s">
        <v>2</v>
      </c>
      <c r="H2494" s="3" t="s">
        <v>88</v>
      </c>
      <c r="I2494" s="3" t="s">
        <v>92</v>
      </c>
      <c r="J2494" s="3" t="s">
        <v>67</v>
      </c>
      <c r="K2494" s="4">
        <v>361.98</v>
      </c>
      <c r="L2494" s="6">
        <v>15.99</v>
      </c>
    </row>
    <row r="2495" spans="1:12" x14ac:dyDescent="0.25">
      <c r="A2495" s="1">
        <v>2494</v>
      </c>
      <c r="B2495" s="4">
        <v>18147</v>
      </c>
      <c r="C2495" s="5">
        <v>40011</v>
      </c>
      <c r="D2495" s="3" t="s">
        <v>86</v>
      </c>
      <c r="E2495" s="1" t="s">
        <v>709</v>
      </c>
      <c r="F2495" s="1" t="s">
        <v>17</v>
      </c>
      <c r="G2495" s="2" t="s">
        <v>2</v>
      </c>
      <c r="H2495" s="3" t="s">
        <v>97</v>
      </c>
      <c r="I2495" s="3" t="s">
        <v>85</v>
      </c>
      <c r="J2495" s="3" t="s">
        <v>69</v>
      </c>
      <c r="K2495" s="4">
        <v>82.03</v>
      </c>
      <c r="L2495" s="6">
        <v>1.88</v>
      </c>
    </row>
    <row r="2496" spans="1:12" x14ac:dyDescent="0.25">
      <c r="A2496" s="1">
        <v>2495</v>
      </c>
      <c r="B2496" s="4">
        <v>18147</v>
      </c>
      <c r="C2496" s="5">
        <v>40011</v>
      </c>
      <c r="D2496" s="3" t="s">
        <v>86</v>
      </c>
      <c r="E2496" s="1" t="s">
        <v>709</v>
      </c>
      <c r="F2496" s="1" t="s">
        <v>17</v>
      </c>
      <c r="G2496" s="2" t="s">
        <v>2</v>
      </c>
      <c r="H2496" s="3" t="s">
        <v>97</v>
      </c>
      <c r="I2496" s="3" t="s">
        <v>85</v>
      </c>
      <c r="J2496" s="3" t="s">
        <v>66</v>
      </c>
      <c r="K2496" s="4">
        <v>290.91000000000003</v>
      </c>
      <c r="L2496" s="6">
        <v>5.78</v>
      </c>
    </row>
    <row r="2497" spans="1:12" x14ac:dyDescent="0.25">
      <c r="A2497" s="1">
        <v>2496</v>
      </c>
      <c r="B2497" s="4">
        <v>18178</v>
      </c>
      <c r="C2497" s="5">
        <v>40119</v>
      </c>
      <c r="D2497" s="3" t="s">
        <v>82</v>
      </c>
      <c r="E2497" s="1" t="s">
        <v>919</v>
      </c>
      <c r="F2497" s="1" t="s">
        <v>13</v>
      </c>
      <c r="G2497" s="2" t="s">
        <v>6</v>
      </c>
      <c r="H2497" s="3" t="s">
        <v>84</v>
      </c>
      <c r="I2497" s="3" t="s">
        <v>85</v>
      </c>
      <c r="J2497" s="3" t="s">
        <v>70</v>
      </c>
      <c r="K2497" s="4">
        <v>235.09</v>
      </c>
      <c r="L2497" s="6">
        <v>4.4800000000000004</v>
      </c>
    </row>
    <row r="2498" spans="1:12" x14ac:dyDescent="0.25">
      <c r="A2498" s="1">
        <v>2497</v>
      </c>
      <c r="B2498" s="4">
        <v>18178</v>
      </c>
      <c r="C2498" s="5">
        <v>40119</v>
      </c>
      <c r="D2498" s="3" t="s">
        <v>82</v>
      </c>
      <c r="E2498" s="1" t="s">
        <v>919</v>
      </c>
      <c r="F2498" s="1" t="s">
        <v>13</v>
      </c>
      <c r="G2498" s="2" t="s">
        <v>6</v>
      </c>
      <c r="H2498" s="3" t="s">
        <v>84</v>
      </c>
      <c r="I2498" s="3" t="s">
        <v>91</v>
      </c>
      <c r="J2498" s="3" t="s">
        <v>59</v>
      </c>
      <c r="K2498" s="4">
        <v>187.46</v>
      </c>
      <c r="L2498" s="6">
        <v>17.670000000000002</v>
      </c>
    </row>
    <row r="2499" spans="1:12" x14ac:dyDescent="0.25">
      <c r="A2499" s="1">
        <v>2498</v>
      </c>
      <c r="B2499" s="4">
        <v>18179</v>
      </c>
      <c r="C2499" s="5">
        <v>40026</v>
      </c>
      <c r="D2499" s="3" t="s">
        <v>86</v>
      </c>
      <c r="E2499" s="1" t="s">
        <v>770</v>
      </c>
      <c r="F2499" s="1" t="s">
        <v>30</v>
      </c>
      <c r="G2499" s="2" t="s">
        <v>6</v>
      </c>
      <c r="H2499" s="3" t="s">
        <v>88</v>
      </c>
      <c r="I2499" s="3" t="s">
        <v>92</v>
      </c>
      <c r="J2499" s="3" t="s">
        <v>62</v>
      </c>
      <c r="K2499" s="4">
        <v>3075.83</v>
      </c>
      <c r="L2499" s="6">
        <v>60.98</v>
      </c>
    </row>
    <row r="2500" spans="1:12" x14ac:dyDescent="0.25">
      <c r="A2500" s="1">
        <v>2499</v>
      </c>
      <c r="B2500" s="4">
        <v>18179</v>
      </c>
      <c r="C2500" s="5">
        <v>40026</v>
      </c>
      <c r="D2500" s="3" t="s">
        <v>86</v>
      </c>
      <c r="E2500" s="1" t="s">
        <v>770</v>
      </c>
      <c r="F2500" s="1" t="s">
        <v>30</v>
      </c>
      <c r="G2500" s="2" t="s">
        <v>6</v>
      </c>
      <c r="H2500" s="3" t="s">
        <v>88</v>
      </c>
      <c r="I2500" s="3" t="s">
        <v>85</v>
      </c>
      <c r="J2500" s="3" t="s">
        <v>65</v>
      </c>
      <c r="K2500" s="4">
        <v>73.37</v>
      </c>
      <c r="L2500" s="6">
        <v>3.08</v>
      </c>
    </row>
    <row r="2501" spans="1:12" x14ac:dyDescent="0.25">
      <c r="A2501" s="1">
        <v>2500</v>
      </c>
      <c r="B2501" s="4">
        <v>18179</v>
      </c>
      <c r="C2501" s="5">
        <v>40026</v>
      </c>
      <c r="D2501" s="3" t="s">
        <v>86</v>
      </c>
      <c r="E2501" s="1" t="s">
        <v>965</v>
      </c>
      <c r="F2501" s="1" t="s">
        <v>30</v>
      </c>
      <c r="G2501" s="2" t="s">
        <v>6</v>
      </c>
      <c r="H2501" s="3" t="s">
        <v>88</v>
      </c>
      <c r="I2501" s="3" t="s">
        <v>85</v>
      </c>
      <c r="J2501" s="3" t="s">
        <v>66</v>
      </c>
      <c r="K2501" s="4">
        <v>527.6</v>
      </c>
      <c r="L2501" s="6">
        <v>10.31</v>
      </c>
    </row>
    <row r="2502" spans="1:12" x14ac:dyDescent="0.25">
      <c r="A2502" s="1">
        <v>2501</v>
      </c>
      <c r="B2502" s="4">
        <v>18182</v>
      </c>
      <c r="C2502" s="5">
        <v>40643</v>
      </c>
      <c r="D2502" s="3" t="s">
        <v>4</v>
      </c>
      <c r="E2502" s="1" t="s">
        <v>553</v>
      </c>
      <c r="F2502" s="1" t="s">
        <v>13</v>
      </c>
      <c r="G2502" s="2" t="s">
        <v>6</v>
      </c>
      <c r="H2502" s="3" t="s">
        <v>88</v>
      </c>
      <c r="I2502" s="3" t="s">
        <v>92</v>
      </c>
      <c r="J2502" s="3" t="s">
        <v>62</v>
      </c>
      <c r="K2502" s="4">
        <v>4598.7299999999996</v>
      </c>
      <c r="L2502" s="6">
        <v>99.99</v>
      </c>
    </row>
    <row r="2503" spans="1:12" x14ac:dyDescent="0.25">
      <c r="A2503" s="1">
        <v>2502</v>
      </c>
      <c r="B2503" s="4">
        <v>18182</v>
      </c>
      <c r="C2503" s="5">
        <v>40643</v>
      </c>
      <c r="D2503" s="3" t="s">
        <v>4</v>
      </c>
      <c r="E2503" s="1" t="s">
        <v>553</v>
      </c>
      <c r="F2503" s="1" t="s">
        <v>13</v>
      </c>
      <c r="G2503" s="2" t="s">
        <v>6</v>
      </c>
      <c r="H2503" s="3" t="s">
        <v>88</v>
      </c>
      <c r="I2503" s="3" t="s">
        <v>91</v>
      </c>
      <c r="J2503" s="3" t="s">
        <v>59</v>
      </c>
      <c r="K2503" s="4">
        <v>2673.08</v>
      </c>
      <c r="L2503" s="6">
        <v>55.5</v>
      </c>
    </row>
    <row r="2504" spans="1:12" x14ac:dyDescent="0.25">
      <c r="A2504" s="1">
        <v>2503</v>
      </c>
      <c r="B2504" s="4">
        <v>18182</v>
      </c>
      <c r="C2504" s="5">
        <v>40643</v>
      </c>
      <c r="D2504" s="3" t="s">
        <v>4</v>
      </c>
      <c r="E2504" s="1" t="s">
        <v>553</v>
      </c>
      <c r="F2504" s="1" t="s">
        <v>13</v>
      </c>
      <c r="G2504" s="2" t="s">
        <v>6</v>
      </c>
      <c r="H2504" s="3" t="s">
        <v>88</v>
      </c>
      <c r="I2504" s="3" t="s">
        <v>85</v>
      </c>
      <c r="J2504" s="3" t="s">
        <v>57</v>
      </c>
      <c r="K2504" s="4">
        <v>396.69</v>
      </c>
      <c r="L2504" s="6">
        <v>33.29</v>
      </c>
    </row>
    <row r="2505" spans="1:12" x14ac:dyDescent="0.25">
      <c r="A2505" s="1">
        <v>2504</v>
      </c>
      <c r="B2505" s="4">
        <v>18208</v>
      </c>
      <c r="C2505" s="5">
        <v>41000</v>
      </c>
      <c r="D2505" s="3" t="s">
        <v>86</v>
      </c>
      <c r="E2505" s="1" t="s">
        <v>966</v>
      </c>
      <c r="F2505" s="1" t="s">
        <v>19</v>
      </c>
      <c r="G2505" s="2" t="s">
        <v>3</v>
      </c>
      <c r="H2505" s="3" t="s">
        <v>88</v>
      </c>
      <c r="I2505" s="3" t="s">
        <v>85</v>
      </c>
      <c r="J2505" s="3" t="s">
        <v>71</v>
      </c>
      <c r="K2505" s="4">
        <v>197.45</v>
      </c>
      <c r="L2505" s="6">
        <v>5.68</v>
      </c>
    </row>
    <row r="2506" spans="1:12" x14ac:dyDescent="0.25">
      <c r="A2506" s="1">
        <v>2505</v>
      </c>
      <c r="B2506" s="4">
        <v>18208</v>
      </c>
      <c r="C2506" s="5">
        <v>41000</v>
      </c>
      <c r="D2506" s="3" t="s">
        <v>86</v>
      </c>
      <c r="E2506" s="1" t="s">
        <v>966</v>
      </c>
      <c r="F2506" s="1" t="s">
        <v>19</v>
      </c>
      <c r="G2506" s="2" t="s">
        <v>3</v>
      </c>
      <c r="H2506" s="3" t="s">
        <v>88</v>
      </c>
      <c r="I2506" s="3" t="s">
        <v>85</v>
      </c>
      <c r="J2506" s="3" t="s">
        <v>63</v>
      </c>
      <c r="K2506" s="4">
        <v>82.98</v>
      </c>
      <c r="L2506" s="6">
        <v>2.2799999999999998</v>
      </c>
    </row>
    <row r="2507" spans="1:12" x14ac:dyDescent="0.25">
      <c r="A2507" s="1">
        <v>2506</v>
      </c>
      <c r="B2507" s="4">
        <v>18210</v>
      </c>
      <c r="C2507" s="5">
        <v>40396</v>
      </c>
      <c r="D2507" s="3" t="s">
        <v>86</v>
      </c>
      <c r="E2507" s="1" t="s">
        <v>816</v>
      </c>
      <c r="F2507" s="1" t="s">
        <v>38</v>
      </c>
      <c r="G2507" s="2" t="s">
        <v>6</v>
      </c>
      <c r="H2507" s="3" t="s">
        <v>84</v>
      </c>
      <c r="I2507" s="3" t="s">
        <v>85</v>
      </c>
      <c r="J2507" s="3" t="s">
        <v>70</v>
      </c>
      <c r="K2507" s="4">
        <v>9293.82</v>
      </c>
      <c r="L2507" s="6">
        <v>363.25</v>
      </c>
    </row>
    <row r="2508" spans="1:12" x14ac:dyDescent="0.25">
      <c r="A2508" s="1">
        <v>2507</v>
      </c>
      <c r="B2508" s="4">
        <v>18210</v>
      </c>
      <c r="C2508" s="5">
        <v>40396</v>
      </c>
      <c r="D2508" s="3" t="s">
        <v>86</v>
      </c>
      <c r="E2508" s="1" t="s">
        <v>967</v>
      </c>
      <c r="F2508" s="1" t="s">
        <v>38</v>
      </c>
      <c r="G2508" s="2" t="s">
        <v>6</v>
      </c>
      <c r="H2508" s="3" t="s">
        <v>84</v>
      </c>
      <c r="I2508" s="3" t="s">
        <v>85</v>
      </c>
      <c r="J2508" s="3" t="s">
        <v>63</v>
      </c>
      <c r="K2508" s="4">
        <v>80.790000000000006</v>
      </c>
      <c r="L2508" s="6">
        <v>2.88</v>
      </c>
    </row>
    <row r="2509" spans="1:12" x14ac:dyDescent="0.25">
      <c r="A2509" s="1">
        <v>2508</v>
      </c>
      <c r="B2509" s="4">
        <v>18213</v>
      </c>
      <c r="C2509" s="5">
        <v>40431</v>
      </c>
      <c r="D2509" s="3" t="s">
        <v>4</v>
      </c>
      <c r="E2509" s="1" t="s">
        <v>762</v>
      </c>
      <c r="F2509" s="1" t="s">
        <v>34</v>
      </c>
      <c r="G2509" s="2" t="s">
        <v>1</v>
      </c>
      <c r="H2509" s="3" t="s">
        <v>88</v>
      </c>
      <c r="I2509" s="3" t="s">
        <v>85</v>
      </c>
      <c r="J2509" s="3" t="s">
        <v>66</v>
      </c>
      <c r="K2509" s="4">
        <v>1111.23</v>
      </c>
      <c r="L2509" s="6">
        <v>40.99</v>
      </c>
    </row>
    <row r="2510" spans="1:12" x14ac:dyDescent="0.25">
      <c r="A2510" s="1">
        <v>2509</v>
      </c>
      <c r="B2510" s="4">
        <v>18215</v>
      </c>
      <c r="C2510" s="5">
        <v>40440</v>
      </c>
      <c r="D2510" s="3" t="s">
        <v>4</v>
      </c>
      <c r="E2510" s="1" t="s">
        <v>182</v>
      </c>
      <c r="F2510" s="1" t="s">
        <v>36</v>
      </c>
      <c r="G2510" s="2" t="s">
        <v>2</v>
      </c>
      <c r="H2510" s="3" t="s">
        <v>97</v>
      </c>
      <c r="I2510" s="3" t="s">
        <v>92</v>
      </c>
      <c r="J2510" s="3" t="s">
        <v>62</v>
      </c>
      <c r="K2510" s="4">
        <v>965.82</v>
      </c>
      <c r="L2510" s="6">
        <v>34.99</v>
      </c>
    </row>
    <row r="2511" spans="1:12" x14ac:dyDescent="0.25">
      <c r="A2511" s="1">
        <v>2510</v>
      </c>
      <c r="B2511" s="4">
        <v>18241</v>
      </c>
      <c r="C2511" s="5">
        <v>40386</v>
      </c>
      <c r="D2511" s="3" t="s">
        <v>82</v>
      </c>
      <c r="E2511" s="1" t="s">
        <v>50</v>
      </c>
      <c r="F2511" s="1" t="s">
        <v>34</v>
      </c>
      <c r="G2511" s="2" t="s">
        <v>1</v>
      </c>
      <c r="H2511" s="3" t="s">
        <v>97</v>
      </c>
      <c r="I2511" s="3" t="s">
        <v>92</v>
      </c>
      <c r="J2511" s="3" t="s">
        <v>62</v>
      </c>
      <c r="K2511" s="4">
        <v>64.5</v>
      </c>
      <c r="L2511" s="6">
        <v>20.89</v>
      </c>
    </row>
    <row r="2512" spans="1:12" x14ac:dyDescent="0.25">
      <c r="A2512" s="1">
        <v>2511</v>
      </c>
      <c r="B2512" s="4">
        <v>18241</v>
      </c>
      <c r="C2512" s="5">
        <v>40386</v>
      </c>
      <c r="D2512" s="3" t="s">
        <v>82</v>
      </c>
      <c r="E2512" s="1" t="s">
        <v>50</v>
      </c>
      <c r="F2512" s="1" t="s">
        <v>34</v>
      </c>
      <c r="G2512" s="2" t="s">
        <v>1</v>
      </c>
      <c r="H2512" s="3" t="s">
        <v>97</v>
      </c>
      <c r="I2512" s="3" t="s">
        <v>91</v>
      </c>
      <c r="J2512" s="3" t="s">
        <v>60</v>
      </c>
      <c r="K2512" s="4">
        <v>9944.49</v>
      </c>
      <c r="L2512" s="6">
        <v>400.98</v>
      </c>
    </row>
    <row r="2513" spans="1:12" x14ac:dyDescent="0.25">
      <c r="A2513" s="1">
        <v>2512</v>
      </c>
      <c r="B2513" s="4">
        <v>18244</v>
      </c>
      <c r="C2513" s="5">
        <v>40585</v>
      </c>
      <c r="D2513" s="3" t="s">
        <v>95</v>
      </c>
      <c r="E2513" s="1" t="s">
        <v>936</v>
      </c>
      <c r="F2513" s="1" t="s">
        <v>34</v>
      </c>
      <c r="G2513" s="2" t="s">
        <v>1</v>
      </c>
      <c r="H2513" s="3" t="s">
        <v>97</v>
      </c>
      <c r="I2513" s="3" t="s">
        <v>91</v>
      </c>
      <c r="J2513" s="3" t="s">
        <v>72</v>
      </c>
      <c r="K2513" s="4">
        <v>172.34</v>
      </c>
      <c r="L2513" s="6">
        <v>140.81</v>
      </c>
    </row>
    <row r="2514" spans="1:12" x14ac:dyDescent="0.25">
      <c r="A2514" s="1">
        <v>2513</v>
      </c>
      <c r="B2514" s="4">
        <v>18247</v>
      </c>
      <c r="C2514" s="5">
        <v>40122</v>
      </c>
      <c r="D2514" s="3" t="s">
        <v>86</v>
      </c>
      <c r="E2514" s="1" t="s">
        <v>750</v>
      </c>
      <c r="F2514" s="1" t="s">
        <v>11</v>
      </c>
      <c r="G2514" s="2" t="s">
        <v>6</v>
      </c>
      <c r="H2514" s="3" t="s">
        <v>88</v>
      </c>
      <c r="I2514" s="3" t="s">
        <v>91</v>
      </c>
      <c r="J2514" s="3" t="s">
        <v>59</v>
      </c>
      <c r="K2514" s="4">
        <v>155.80000000000001</v>
      </c>
      <c r="L2514" s="6">
        <v>7.59</v>
      </c>
    </row>
    <row r="2515" spans="1:12" x14ac:dyDescent="0.25">
      <c r="A2515" s="1">
        <v>2514</v>
      </c>
      <c r="B2515" s="4">
        <v>18273</v>
      </c>
      <c r="C2515" s="5">
        <v>40801</v>
      </c>
      <c r="D2515" s="3" t="s">
        <v>82</v>
      </c>
      <c r="E2515" s="1" t="s">
        <v>434</v>
      </c>
      <c r="F2515" s="1" t="s">
        <v>38</v>
      </c>
      <c r="G2515" s="2" t="s">
        <v>6</v>
      </c>
      <c r="H2515" s="3" t="s">
        <v>88</v>
      </c>
      <c r="I2515" s="3" t="s">
        <v>92</v>
      </c>
      <c r="J2515" s="3" t="s">
        <v>62</v>
      </c>
      <c r="K2515" s="4">
        <v>925.03</v>
      </c>
      <c r="L2515" s="6">
        <v>49.99</v>
      </c>
    </row>
    <row r="2516" spans="1:12" x14ac:dyDescent="0.25">
      <c r="A2516" s="1">
        <v>2515</v>
      </c>
      <c r="B2516" s="4">
        <v>18275</v>
      </c>
      <c r="C2516" s="5">
        <v>40918</v>
      </c>
      <c r="D2516" s="3" t="s">
        <v>82</v>
      </c>
      <c r="E2516" s="1" t="s">
        <v>968</v>
      </c>
      <c r="F2516" s="1" t="s">
        <v>24</v>
      </c>
      <c r="G2516" s="2" t="s">
        <v>2</v>
      </c>
      <c r="H2516" s="3" t="s">
        <v>88</v>
      </c>
      <c r="I2516" s="3" t="s">
        <v>91</v>
      </c>
      <c r="J2516" s="3" t="s">
        <v>59</v>
      </c>
      <c r="K2516" s="4">
        <v>322.73</v>
      </c>
      <c r="L2516" s="6">
        <v>13.4</v>
      </c>
    </row>
    <row r="2517" spans="1:12" x14ac:dyDescent="0.25">
      <c r="A2517" s="1">
        <v>2516</v>
      </c>
      <c r="B2517" s="4">
        <v>18279</v>
      </c>
      <c r="C2517" s="5">
        <v>39870</v>
      </c>
      <c r="D2517" s="3" t="s">
        <v>4</v>
      </c>
      <c r="E2517" s="1" t="s">
        <v>790</v>
      </c>
      <c r="F2517" s="1" t="s">
        <v>9</v>
      </c>
      <c r="G2517" s="2" t="s">
        <v>2</v>
      </c>
      <c r="H2517" s="3" t="s">
        <v>100</v>
      </c>
      <c r="I2517" s="3" t="s">
        <v>92</v>
      </c>
      <c r="J2517" s="3" t="s">
        <v>62</v>
      </c>
      <c r="K2517" s="4">
        <v>184.35</v>
      </c>
      <c r="L2517" s="6">
        <v>8.33</v>
      </c>
    </row>
    <row r="2518" spans="1:12" x14ac:dyDescent="0.25">
      <c r="A2518" s="1">
        <v>2517</v>
      </c>
      <c r="B2518" s="4">
        <v>18279</v>
      </c>
      <c r="C2518" s="5">
        <v>39870</v>
      </c>
      <c r="D2518" s="3" t="s">
        <v>4</v>
      </c>
      <c r="E2518" s="1" t="s">
        <v>790</v>
      </c>
      <c r="F2518" s="1" t="s">
        <v>9</v>
      </c>
      <c r="G2518" s="2" t="s">
        <v>2</v>
      </c>
      <c r="H2518" s="3" t="s">
        <v>100</v>
      </c>
      <c r="I2518" s="3" t="s">
        <v>92</v>
      </c>
      <c r="J2518" s="3" t="s">
        <v>73</v>
      </c>
      <c r="K2518" s="4">
        <v>10281.790000000001</v>
      </c>
      <c r="L2518" s="6">
        <v>499.99</v>
      </c>
    </row>
    <row r="2519" spans="1:12" x14ac:dyDescent="0.25">
      <c r="A2519" s="1">
        <v>2518</v>
      </c>
      <c r="B2519" s="4">
        <v>18307</v>
      </c>
      <c r="C2519" s="5">
        <v>40211</v>
      </c>
      <c r="D2519" s="3" t="s">
        <v>82</v>
      </c>
      <c r="E2519" s="1" t="s">
        <v>865</v>
      </c>
      <c r="F2519" s="1" t="s">
        <v>10</v>
      </c>
      <c r="G2519" s="2" t="s">
        <v>3</v>
      </c>
      <c r="H2519" s="3" t="s">
        <v>88</v>
      </c>
      <c r="I2519" s="3" t="s">
        <v>85</v>
      </c>
      <c r="J2519" s="3" t="s">
        <v>66</v>
      </c>
      <c r="K2519" s="4">
        <v>441.99</v>
      </c>
      <c r="L2519" s="6">
        <v>19.98</v>
      </c>
    </row>
    <row r="2520" spans="1:12" x14ac:dyDescent="0.25">
      <c r="A2520" s="1">
        <v>2519</v>
      </c>
      <c r="B2520" s="4">
        <v>18307</v>
      </c>
      <c r="C2520" s="5">
        <v>40211</v>
      </c>
      <c r="D2520" s="3" t="s">
        <v>82</v>
      </c>
      <c r="E2520" s="1" t="s">
        <v>865</v>
      </c>
      <c r="F2520" s="1" t="s">
        <v>10</v>
      </c>
      <c r="G2520" s="2" t="s">
        <v>3</v>
      </c>
      <c r="H2520" s="3" t="s">
        <v>88</v>
      </c>
      <c r="I2520" s="3" t="s">
        <v>85</v>
      </c>
      <c r="J2520" s="3" t="s">
        <v>63</v>
      </c>
      <c r="K2520" s="4">
        <v>245.19</v>
      </c>
      <c r="L2520" s="6">
        <v>7.08</v>
      </c>
    </row>
    <row r="2521" spans="1:12" x14ac:dyDescent="0.25">
      <c r="A2521" s="1">
        <v>2520</v>
      </c>
      <c r="B2521" s="4">
        <v>18308</v>
      </c>
      <c r="C2521" s="5">
        <v>40095</v>
      </c>
      <c r="D2521" s="3" t="s">
        <v>86</v>
      </c>
      <c r="E2521" s="1" t="s">
        <v>182</v>
      </c>
      <c r="F2521" s="1" t="s">
        <v>8</v>
      </c>
      <c r="G2521" s="2" t="s">
        <v>6</v>
      </c>
      <c r="H2521" s="3" t="s">
        <v>88</v>
      </c>
      <c r="I2521" s="3" t="s">
        <v>85</v>
      </c>
      <c r="J2521" s="3" t="s">
        <v>69</v>
      </c>
      <c r="K2521" s="4">
        <v>114.12</v>
      </c>
      <c r="L2521" s="6">
        <v>3.8</v>
      </c>
    </row>
    <row r="2522" spans="1:12" x14ac:dyDescent="0.25">
      <c r="A2522" s="1">
        <v>2521</v>
      </c>
      <c r="B2522" s="4">
        <v>18308</v>
      </c>
      <c r="C2522" s="5">
        <v>40095</v>
      </c>
      <c r="D2522" s="3" t="s">
        <v>86</v>
      </c>
      <c r="E2522" s="1" t="s">
        <v>182</v>
      </c>
      <c r="F2522" s="1" t="s">
        <v>8</v>
      </c>
      <c r="G2522" s="2" t="s">
        <v>6</v>
      </c>
      <c r="H2522" s="3" t="s">
        <v>88</v>
      </c>
      <c r="I2522" s="3" t="s">
        <v>92</v>
      </c>
      <c r="J2522" s="3" t="s">
        <v>62</v>
      </c>
      <c r="K2522" s="4">
        <v>436.05</v>
      </c>
      <c r="L2522" s="6">
        <v>30.73</v>
      </c>
    </row>
    <row r="2523" spans="1:12" x14ac:dyDescent="0.25">
      <c r="A2523" s="1">
        <v>2522</v>
      </c>
      <c r="B2523" s="4">
        <v>18308</v>
      </c>
      <c r="C2523" s="5">
        <v>40095</v>
      </c>
      <c r="D2523" s="3" t="s">
        <v>86</v>
      </c>
      <c r="E2523" s="1" t="s">
        <v>182</v>
      </c>
      <c r="F2523" s="1" t="s">
        <v>8</v>
      </c>
      <c r="G2523" s="2" t="s">
        <v>6</v>
      </c>
      <c r="H2523" s="3" t="s">
        <v>88</v>
      </c>
      <c r="I2523" s="3" t="s">
        <v>92</v>
      </c>
      <c r="J2523" s="3" t="s">
        <v>61</v>
      </c>
      <c r="K2523" s="4">
        <v>5247.4835000000003</v>
      </c>
      <c r="L2523" s="6">
        <v>125.99</v>
      </c>
    </row>
    <row r="2524" spans="1:12" x14ac:dyDescent="0.25">
      <c r="A2524" s="1">
        <v>2523</v>
      </c>
      <c r="B2524" s="4">
        <v>18336</v>
      </c>
      <c r="C2524" s="5">
        <v>39927</v>
      </c>
      <c r="D2524" s="3" t="s">
        <v>86</v>
      </c>
      <c r="E2524" s="1" t="s">
        <v>888</v>
      </c>
      <c r="F2524" s="1" t="s">
        <v>24</v>
      </c>
      <c r="G2524" s="2" t="s">
        <v>2</v>
      </c>
      <c r="H2524" s="3" t="s">
        <v>100</v>
      </c>
      <c r="I2524" s="3" t="s">
        <v>85</v>
      </c>
      <c r="J2524" s="3" t="s">
        <v>63</v>
      </c>
      <c r="K2524" s="4">
        <v>7.96</v>
      </c>
      <c r="L2524" s="6">
        <v>2.88</v>
      </c>
    </row>
    <row r="2525" spans="1:12" x14ac:dyDescent="0.25">
      <c r="A2525" s="1">
        <v>2524</v>
      </c>
      <c r="B2525" s="4">
        <v>18340</v>
      </c>
      <c r="C2525" s="5">
        <v>40711</v>
      </c>
      <c r="D2525" s="3" t="s">
        <v>4</v>
      </c>
      <c r="E2525" s="1" t="s">
        <v>714</v>
      </c>
      <c r="F2525" s="1" t="s">
        <v>52</v>
      </c>
      <c r="G2525" s="2" t="s">
        <v>3</v>
      </c>
      <c r="H2525" s="3" t="s">
        <v>100</v>
      </c>
      <c r="I2525" s="3" t="s">
        <v>85</v>
      </c>
      <c r="J2525" s="3" t="s">
        <v>66</v>
      </c>
      <c r="K2525" s="4">
        <v>148.65</v>
      </c>
      <c r="L2525" s="6">
        <v>7.28</v>
      </c>
    </row>
    <row r="2526" spans="1:12" x14ac:dyDescent="0.25">
      <c r="A2526" s="1">
        <v>2525</v>
      </c>
      <c r="B2526" s="4">
        <v>18340</v>
      </c>
      <c r="C2526" s="5">
        <v>40711</v>
      </c>
      <c r="D2526" s="3" t="s">
        <v>4</v>
      </c>
      <c r="E2526" s="1" t="s">
        <v>733</v>
      </c>
      <c r="F2526" s="1" t="s">
        <v>52</v>
      </c>
      <c r="G2526" s="2" t="s">
        <v>3</v>
      </c>
      <c r="H2526" s="3" t="s">
        <v>100</v>
      </c>
      <c r="I2526" s="3" t="s">
        <v>85</v>
      </c>
      <c r="J2526" s="3" t="s">
        <v>66</v>
      </c>
      <c r="K2526" s="4">
        <v>198.21</v>
      </c>
      <c r="L2526" s="6">
        <v>6.48</v>
      </c>
    </row>
    <row r="2527" spans="1:12" x14ac:dyDescent="0.25">
      <c r="A2527" s="1">
        <v>2526</v>
      </c>
      <c r="B2527" s="4">
        <v>18341</v>
      </c>
      <c r="C2527" s="5">
        <v>40377</v>
      </c>
      <c r="D2527" s="3" t="s">
        <v>95</v>
      </c>
      <c r="E2527" s="1" t="s">
        <v>312</v>
      </c>
      <c r="F2527" s="1" t="s">
        <v>31</v>
      </c>
      <c r="G2527" s="2" t="s">
        <v>1</v>
      </c>
      <c r="H2527" s="3" t="s">
        <v>100</v>
      </c>
      <c r="I2527" s="3" t="s">
        <v>85</v>
      </c>
      <c r="J2527" s="3" t="s">
        <v>66</v>
      </c>
      <c r="K2527" s="4">
        <v>237.89</v>
      </c>
      <c r="L2527" s="6">
        <v>5.78</v>
      </c>
    </row>
    <row r="2528" spans="1:12" x14ac:dyDescent="0.25">
      <c r="A2528" s="1">
        <v>2527</v>
      </c>
      <c r="B2528" s="4">
        <v>18368</v>
      </c>
      <c r="C2528" s="5">
        <v>41243</v>
      </c>
      <c r="D2528" s="3" t="s">
        <v>86</v>
      </c>
      <c r="E2528" s="1" t="s">
        <v>614</v>
      </c>
      <c r="F2528" s="1" t="s">
        <v>12</v>
      </c>
      <c r="G2528" s="2" t="s">
        <v>2</v>
      </c>
      <c r="H2528" s="3" t="s">
        <v>88</v>
      </c>
      <c r="I2528" s="3" t="s">
        <v>85</v>
      </c>
      <c r="J2528" s="3" t="s">
        <v>70</v>
      </c>
      <c r="K2528" s="4">
        <v>212.91</v>
      </c>
      <c r="L2528" s="6">
        <v>70.97</v>
      </c>
    </row>
    <row r="2529" spans="1:12" x14ac:dyDescent="0.25">
      <c r="A2529" s="1">
        <v>2528</v>
      </c>
      <c r="B2529" s="4">
        <v>18368</v>
      </c>
      <c r="C2529" s="5">
        <v>41243</v>
      </c>
      <c r="D2529" s="3" t="s">
        <v>86</v>
      </c>
      <c r="E2529" s="1" t="s">
        <v>614</v>
      </c>
      <c r="F2529" s="1" t="s">
        <v>12</v>
      </c>
      <c r="G2529" s="2" t="s">
        <v>2</v>
      </c>
      <c r="H2529" s="3" t="s">
        <v>88</v>
      </c>
      <c r="I2529" s="3" t="s">
        <v>85</v>
      </c>
      <c r="J2529" s="3" t="s">
        <v>66</v>
      </c>
      <c r="K2529" s="4">
        <v>1275.6099999999999</v>
      </c>
      <c r="L2529" s="6">
        <v>37.94</v>
      </c>
    </row>
    <row r="2530" spans="1:12" x14ac:dyDescent="0.25">
      <c r="A2530" s="1">
        <v>2529</v>
      </c>
      <c r="B2530" s="4">
        <v>18368</v>
      </c>
      <c r="C2530" s="5">
        <v>41243</v>
      </c>
      <c r="D2530" s="3" t="s">
        <v>86</v>
      </c>
      <c r="E2530" s="1" t="s">
        <v>268</v>
      </c>
      <c r="F2530" s="1" t="s">
        <v>12</v>
      </c>
      <c r="G2530" s="2" t="s">
        <v>2</v>
      </c>
      <c r="H2530" s="3" t="s">
        <v>88</v>
      </c>
      <c r="I2530" s="3" t="s">
        <v>92</v>
      </c>
      <c r="J2530" s="3" t="s">
        <v>67</v>
      </c>
      <c r="K2530" s="4">
        <v>5972.59</v>
      </c>
      <c r="L2530" s="6">
        <v>2036.48</v>
      </c>
    </row>
    <row r="2531" spans="1:12" x14ac:dyDescent="0.25">
      <c r="A2531" s="1">
        <v>2530</v>
      </c>
      <c r="B2531" s="4">
        <v>18370</v>
      </c>
      <c r="C2531" s="5">
        <v>40556</v>
      </c>
      <c r="D2531" s="3" t="s">
        <v>82</v>
      </c>
      <c r="E2531" s="1" t="s">
        <v>953</v>
      </c>
      <c r="F2531" s="1" t="s">
        <v>10</v>
      </c>
      <c r="G2531" s="2" t="s">
        <v>3</v>
      </c>
      <c r="H2531" s="3" t="s">
        <v>100</v>
      </c>
      <c r="I2531" s="3" t="s">
        <v>92</v>
      </c>
      <c r="J2531" s="3" t="s">
        <v>61</v>
      </c>
      <c r="K2531" s="4">
        <v>1271.0474999999999</v>
      </c>
      <c r="L2531" s="6">
        <v>35.99</v>
      </c>
    </row>
    <row r="2532" spans="1:12" x14ac:dyDescent="0.25">
      <c r="A2532" s="1">
        <v>2531</v>
      </c>
      <c r="B2532" s="4">
        <v>18371</v>
      </c>
      <c r="C2532" s="5">
        <v>40074</v>
      </c>
      <c r="D2532" s="3" t="s">
        <v>4</v>
      </c>
      <c r="E2532" s="1" t="s">
        <v>411</v>
      </c>
      <c r="F2532" s="1" t="s">
        <v>10</v>
      </c>
      <c r="G2532" s="2" t="s">
        <v>3</v>
      </c>
      <c r="H2532" s="3" t="s">
        <v>97</v>
      </c>
      <c r="I2532" s="3" t="s">
        <v>85</v>
      </c>
      <c r="J2532" s="3" t="s">
        <v>63</v>
      </c>
      <c r="K2532" s="4">
        <v>1394.36</v>
      </c>
      <c r="L2532" s="6">
        <v>43.98</v>
      </c>
    </row>
    <row r="2533" spans="1:12" x14ac:dyDescent="0.25">
      <c r="A2533" s="1">
        <v>2532</v>
      </c>
      <c r="B2533" s="4">
        <v>18373</v>
      </c>
      <c r="C2533" s="5">
        <v>41011</v>
      </c>
      <c r="D2533" s="3" t="s">
        <v>95</v>
      </c>
      <c r="E2533" s="1" t="s">
        <v>969</v>
      </c>
      <c r="F2533" s="1" t="s">
        <v>20</v>
      </c>
      <c r="G2533" s="2" t="s">
        <v>1</v>
      </c>
      <c r="H2533" s="3" t="s">
        <v>88</v>
      </c>
      <c r="I2533" s="3" t="s">
        <v>85</v>
      </c>
      <c r="J2533" s="3" t="s">
        <v>70</v>
      </c>
      <c r="K2533" s="4">
        <v>6608.24</v>
      </c>
      <c r="L2533" s="6">
        <v>207.48</v>
      </c>
    </row>
    <row r="2534" spans="1:12" x14ac:dyDescent="0.25">
      <c r="A2534" s="1">
        <v>2533</v>
      </c>
      <c r="B2534" s="4">
        <v>18374</v>
      </c>
      <c r="C2534" s="5">
        <v>41182</v>
      </c>
      <c r="D2534" s="3" t="s">
        <v>82</v>
      </c>
      <c r="E2534" s="1" t="s">
        <v>970</v>
      </c>
      <c r="F2534" s="1" t="s">
        <v>45</v>
      </c>
      <c r="G2534" s="2" t="s">
        <v>3</v>
      </c>
      <c r="H2534" s="3" t="s">
        <v>88</v>
      </c>
      <c r="I2534" s="3" t="s">
        <v>85</v>
      </c>
      <c r="J2534" s="3" t="s">
        <v>66</v>
      </c>
      <c r="K2534" s="4">
        <v>150.16</v>
      </c>
      <c r="L2534" s="6">
        <v>7.28</v>
      </c>
    </row>
    <row r="2535" spans="1:12" x14ac:dyDescent="0.25">
      <c r="A2535" s="1">
        <v>2534</v>
      </c>
      <c r="B2535" s="4">
        <v>18375</v>
      </c>
      <c r="C2535" s="5">
        <v>40808</v>
      </c>
      <c r="D2535" s="3" t="s">
        <v>82</v>
      </c>
      <c r="E2535" s="1" t="s">
        <v>842</v>
      </c>
      <c r="F2535" s="1" t="s">
        <v>15</v>
      </c>
      <c r="G2535" s="2" t="s">
        <v>1</v>
      </c>
      <c r="H2535" s="3" t="s">
        <v>84</v>
      </c>
      <c r="I2535" s="3" t="s">
        <v>85</v>
      </c>
      <c r="J2535" s="3" t="s">
        <v>65</v>
      </c>
      <c r="K2535" s="4">
        <v>76.89</v>
      </c>
      <c r="L2535" s="6">
        <v>3.75</v>
      </c>
    </row>
    <row r="2536" spans="1:12" x14ac:dyDescent="0.25">
      <c r="A2536" s="1">
        <v>2535</v>
      </c>
      <c r="B2536" s="4">
        <v>18400</v>
      </c>
      <c r="C2536" s="5">
        <v>40883</v>
      </c>
      <c r="D2536" s="3" t="s">
        <v>86</v>
      </c>
      <c r="E2536" s="1" t="s">
        <v>632</v>
      </c>
      <c r="F2536" s="1" t="s">
        <v>31</v>
      </c>
      <c r="G2536" s="2" t="s">
        <v>1</v>
      </c>
      <c r="H2536" s="3" t="s">
        <v>100</v>
      </c>
      <c r="I2536" s="3" t="s">
        <v>92</v>
      </c>
      <c r="J2536" s="3" t="s">
        <v>62</v>
      </c>
      <c r="K2536" s="4">
        <v>598.49</v>
      </c>
      <c r="L2536" s="6">
        <v>20.95</v>
      </c>
    </row>
    <row r="2537" spans="1:12" x14ac:dyDescent="0.25">
      <c r="A2537" s="1">
        <v>2536</v>
      </c>
      <c r="B2537" s="4">
        <v>18402</v>
      </c>
      <c r="C2537" s="5">
        <v>40054</v>
      </c>
      <c r="D2537" s="3" t="s">
        <v>82</v>
      </c>
      <c r="E2537" s="1" t="s">
        <v>831</v>
      </c>
      <c r="F2537" s="1" t="s">
        <v>24</v>
      </c>
      <c r="G2537" s="2" t="s">
        <v>2</v>
      </c>
      <c r="H2537" s="3" t="s">
        <v>88</v>
      </c>
      <c r="I2537" s="3" t="s">
        <v>91</v>
      </c>
      <c r="J2537" s="3" t="s">
        <v>72</v>
      </c>
      <c r="K2537" s="4">
        <v>1548.45</v>
      </c>
      <c r="L2537" s="6">
        <v>284.98</v>
      </c>
    </row>
    <row r="2538" spans="1:12" x14ac:dyDescent="0.25">
      <c r="A2538" s="1">
        <v>2537</v>
      </c>
      <c r="B2538" s="4">
        <v>18402</v>
      </c>
      <c r="C2538" s="5">
        <v>40054</v>
      </c>
      <c r="D2538" s="3" t="s">
        <v>82</v>
      </c>
      <c r="E2538" s="1" t="s">
        <v>831</v>
      </c>
      <c r="F2538" s="1" t="s">
        <v>24</v>
      </c>
      <c r="G2538" s="2" t="s">
        <v>2</v>
      </c>
      <c r="H2538" s="3" t="s">
        <v>88</v>
      </c>
      <c r="I2538" s="3" t="s">
        <v>91</v>
      </c>
      <c r="J2538" s="3" t="s">
        <v>59</v>
      </c>
      <c r="K2538" s="4">
        <v>56.07</v>
      </c>
      <c r="L2538" s="6">
        <v>12.99</v>
      </c>
    </row>
    <row r="2539" spans="1:12" x14ac:dyDescent="0.25">
      <c r="A2539" s="1">
        <v>2538</v>
      </c>
      <c r="B2539" s="4">
        <v>18405</v>
      </c>
      <c r="C2539" s="5">
        <v>39820</v>
      </c>
      <c r="D2539" s="3" t="s">
        <v>4</v>
      </c>
      <c r="E2539" s="1" t="s">
        <v>809</v>
      </c>
      <c r="F2539" s="1" t="s">
        <v>13</v>
      </c>
      <c r="G2539" s="2" t="s">
        <v>6</v>
      </c>
      <c r="H2539" s="3" t="s">
        <v>100</v>
      </c>
      <c r="I2539" s="3" t="s">
        <v>85</v>
      </c>
      <c r="J2539" s="3" t="s">
        <v>69</v>
      </c>
      <c r="K2539" s="4">
        <v>610.65</v>
      </c>
      <c r="L2539" s="6">
        <v>20.98</v>
      </c>
    </row>
    <row r="2540" spans="1:12" x14ac:dyDescent="0.25">
      <c r="A2540" s="1">
        <v>2539</v>
      </c>
      <c r="B2540" s="4">
        <v>18405</v>
      </c>
      <c r="C2540" s="5">
        <v>39820</v>
      </c>
      <c r="D2540" s="3" t="s">
        <v>4</v>
      </c>
      <c r="E2540" s="1" t="s">
        <v>809</v>
      </c>
      <c r="F2540" s="1" t="s">
        <v>13</v>
      </c>
      <c r="G2540" s="2" t="s">
        <v>6</v>
      </c>
      <c r="H2540" s="3" t="s">
        <v>100</v>
      </c>
      <c r="I2540" s="3" t="s">
        <v>92</v>
      </c>
      <c r="J2540" s="3" t="s">
        <v>62</v>
      </c>
      <c r="K2540" s="4">
        <v>158.04</v>
      </c>
      <c r="L2540" s="6">
        <v>73.98</v>
      </c>
    </row>
    <row r="2541" spans="1:12" x14ac:dyDescent="0.25">
      <c r="A2541" s="1">
        <v>2540</v>
      </c>
      <c r="B2541" s="4">
        <v>18432</v>
      </c>
      <c r="C2541" s="5">
        <v>40614</v>
      </c>
      <c r="D2541" s="3" t="s">
        <v>89</v>
      </c>
      <c r="E2541" s="1" t="s">
        <v>260</v>
      </c>
      <c r="F2541" s="1" t="s">
        <v>25</v>
      </c>
      <c r="G2541" s="2" t="s">
        <v>6</v>
      </c>
      <c r="H2541" s="3" t="s">
        <v>88</v>
      </c>
      <c r="I2541" s="3" t="s">
        <v>91</v>
      </c>
      <c r="J2541" s="3" t="s">
        <v>59</v>
      </c>
      <c r="K2541" s="4">
        <v>451.32</v>
      </c>
      <c r="L2541" s="6">
        <v>10.64</v>
      </c>
    </row>
    <row r="2542" spans="1:12" x14ac:dyDescent="0.25">
      <c r="A2542" s="1">
        <v>2541</v>
      </c>
      <c r="B2542" s="4">
        <v>18432</v>
      </c>
      <c r="C2542" s="5">
        <v>40614</v>
      </c>
      <c r="D2542" s="3" t="s">
        <v>89</v>
      </c>
      <c r="E2542" s="1" t="s">
        <v>433</v>
      </c>
      <c r="F2542" s="1" t="s">
        <v>25</v>
      </c>
      <c r="G2542" s="2" t="s">
        <v>6</v>
      </c>
      <c r="H2542" s="3" t="s">
        <v>88</v>
      </c>
      <c r="I2542" s="3" t="s">
        <v>85</v>
      </c>
      <c r="J2542" s="3" t="s">
        <v>70</v>
      </c>
      <c r="K2542" s="4">
        <v>217.66</v>
      </c>
      <c r="L2542" s="6">
        <v>14.42</v>
      </c>
    </row>
    <row r="2543" spans="1:12" x14ac:dyDescent="0.25">
      <c r="A2543" s="1">
        <v>2542</v>
      </c>
      <c r="B2543" s="4">
        <v>18432</v>
      </c>
      <c r="C2543" s="5">
        <v>40614</v>
      </c>
      <c r="D2543" s="3" t="s">
        <v>89</v>
      </c>
      <c r="E2543" s="1" t="s">
        <v>433</v>
      </c>
      <c r="F2543" s="1" t="s">
        <v>25</v>
      </c>
      <c r="G2543" s="2" t="s">
        <v>6</v>
      </c>
      <c r="H2543" s="3" t="s">
        <v>88</v>
      </c>
      <c r="I2543" s="3" t="s">
        <v>85</v>
      </c>
      <c r="J2543" s="3" t="s">
        <v>70</v>
      </c>
      <c r="K2543" s="4">
        <v>1374.67</v>
      </c>
      <c r="L2543" s="6">
        <v>279.81</v>
      </c>
    </row>
    <row r="2544" spans="1:12" x14ac:dyDescent="0.25">
      <c r="A2544" s="1">
        <v>2543</v>
      </c>
      <c r="B2544" s="4">
        <v>18432</v>
      </c>
      <c r="C2544" s="5">
        <v>40614</v>
      </c>
      <c r="D2544" s="3" t="s">
        <v>89</v>
      </c>
      <c r="E2544" s="1" t="s">
        <v>433</v>
      </c>
      <c r="F2544" s="1" t="s">
        <v>25</v>
      </c>
      <c r="G2544" s="2" t="s">
        <v>6</v>
      </c>
      <c r="H2544" s="3" t="s">
        <v>88</v>
      </c>
      <c r="I2544" s="3" t="s">
        <v>85</v>
      </c>
      <c r="J2544" s="3" t="s">
        <v>63</v>
      </c>
      <c r="K2544" s="4">
        <v>76.42</v>
      </c>
      <c r="L2544" s="6">
        <v>5.84</v>
      </c>
    </row>
    <row r="2545" spans="1:12" x14ac:dyDescent="0.25">
      <c r="A2545" s="1">
        <v>2544</v>
      </c>
      <c r="B2545" s="4">
        <v>18464</v>
      </c>
      <c r="C2545" s="5">
        <v>40996</v>
      </c>
      <c r="D2545" s="3" t="s">
        <v>89</v>
      </c>
      <c r="E2545" s="1" t="s">
        <v>971</v>
      </c>
      <c r="F2545" s="1" t="s">
        <v>25</v>
      </c>
      <c r="G2545" s="2" t="s">
        <v>6</v>
      </c>
      <c r="H2545" s="3" t="s">
        <v>84</v>
      </c>
      <c r="I2545" s="3" t="s">
        <v>85</v>
      </c>
      <c r="J2545" s="3" t="s">
        <v>70</v>
      </c>
      <c r="K2545" s="4">
        <v>4891.8599999999997</v>
      </c>
      <c r="L2545" s="6">
        <v>180.98</v>
      </c>
    </row>
    <row r="2546" spans="1:12" x14ac:dyDescent="0.25">
      <c r="A2546" s="1">
        <v>2545</v>
      </c>
      <c r="B2546" s="4">
        <v>18464</v>
      </c>
      <c r="C2546" s="5">
        <v>40996</v>
      </c>
      <c r="D2546" s="3" t="s">
        <v>89</v>
      </c>
      <c r="E2546" s="1" t="s">
        <v>971</v>
      </c>
      <c r="F2546" s="1" t="s">
        <v>25</v>
      </c>
      <c r="G2546" s="2" t="s">
        <v>6</v>
      </c>
      <c r="H2546" s="3" t="s">
        <v>84</v>
      </c>
      <c r="I2546" s="3" t="s">
        <v>91</v>
      </c>
      <c r="J2546" s="3" t="s">
        <v>68</v>
      </c>
      <c r="K2546" s="4">
        <v>6039.1</v>
      </c>
      <c r="L2546" s="6">
        <v>150.97999999999999</v>
      </c>
    </row>
    <row r="2547" spans="1:12" x14ac:dyDescent="0.25">
      <c r="A2547" s="1">
        <v>2546</v>
      </c>
      <c r="B2547" s="4">
        <v>18464</v>
      </c>
      <c r="C2547" s="5">
        <v>40996</v>
      </c>
      <c r="D2547" s="3" t="s">
        <v>89</v>
      </c>
      <c r="E2547" s="1" t="s">
        <v>971</v>
      </c>
      <c r="F2547" s="1" t="s">
        <v>25</v>
      </c>
      <c r="G2547" s="2" t="s">
        <v>6</v>
      </c>
      <c r="H2547" s="3" t="s">
        <v>84</v>
      </c>
      <c r="I2547" s="3" t="s">
        <v>85</v>
      </c>
      <c r="J2547" s="3" t="s">
        <v>66</v>
      </c>
      <c r="K2547" s="4">
        <v>206.49</v>
      </c>
      <c r="L2547" s="6">
        <v>6.45</v>
      </c>
    </row>
    <row r="2548" spans="1:12" x14ac:dyDescent="0.25">
      <c r="A2548" s="1">
        <v>2547</v>
      </c>
      <c r="B2548" s="4">
        <v>18464</v>
      </c>
      <c r="C2548" s="5">
        <v>40996</v>
      </c>
      <c r="D2548" s="3" t="s">
        <v>89</v>
      </c>
      <c r="E2548" s="1" t="s">
        <v>971</v>
      </c>
      <c r="F2548" s="1" t="s">
        <v>25</v>
      </c>
      <c r="G2548" s="2" t="s">
        <v>6</v>
      </c>
      <c r="H2548" s="3" t="s">
        <v>84</v>
      </c>
      <c r="I2548" s="3" t="s">
        <v>85</v>
      </c>
      <c r="J2548" s="3" t="s">
        <v>64</v>
      </c>
      <c r="K2548" s="4">
        <v>80.540000000000006</v>
      </c>
      <c r="L2548" s="6">
        <v>1.89</v>
      </c>
    </row>
    <row r="2549" spans="1:12" x14ac:dyDescent="0.25">
      <c r="A2549" s="1">
        <v>2548</v>
      </c>
      <c r="B2549" s="4">
        <v>18465</v>
      </c>
      <c r="C2549" s="5">
        <v>40283</v>
      </c>
      <c r="D2549" s="3" t="s">
        <v>89</v>
      </c>
      <c r="E2549" s="1" t="s">
        <v>376</v>
      </c>
      <c r="F2549" s="1" t="s">
        <v>34</v>
      </c>
      <c r="G2549" s="2" t="s">
        <v>1</v>
      </c>
      <c r="H2549" s="3" t="s">
        <v>84</v>
      </c>
      <c r="I2549" s="3" t="s">
        <v>85</v>
      </c>
      <c r="J2549" s="3" t="s">
        <v>57</v>
      </c>
      <c r="K2549" s="4">
        <v>816.23</v>
      </c>
      <c r="L2549" s="6">
        <v>64.650000000000006</v>
      </c>
    </row>
    <row r="2550" spans="1:12" x14ac:dyDescent="0.25">
      <c r="A2550" s="1">
        <v>2549</v>
      </c>
      <c r="B2550" s="4">
        <v>18466</v>
      </c>
      <c r="C2550" s="5">
        <v>41050</v>
      </c>
      <c r="D2550" s="3" t="s">
        <v>82</v>
      </c>
      <c r="E2550" s="1" t="s">
        <v>831</v>
      </c>
      <c r="F2550" s="1" t="s">
        <v>24</v>
      </c>
      <c r="G2550" s="2" t="s">
        <v>2</v>
      </c>
      <c r="H2550" s="3" t="s">
        <v>88</v>
      </c>
      <c r="I2550" s="3" t="s">
        <v>85</v>
      </c>
      <c r="J2550" s="3" t="s">
        <v>71</v>
      </c>
      <c r="K2550" s="4">
        <v>270.16000000000003</v>
      </c>
      <c r="L2550" s="6">
        <v>11.09</v>
      </c>
    </row>
    <row r="2551" spans="1:12" x14ac:dyDescent="0.25">
      <c r="A2551" s="1">
        <v>2550</v>
      </c>
      <c r="B2551" s="4">
        <v>18466</v>
      </c>
      <c r="C2551" s="5">
        <v>41050</v>
      </c>
      <c r="D2551" s="3" t="s">
        <v>82</v>
      </c>
      <c r="E2551" s="1" t="s">
        <v>831</v>
      </c>
      <c r="F2551" s="1" t="s">
        <v>24</v>
      </c>
      <c r="G2551" s="2" t="s">
        <v>2</v>
      </c>
      <c r="H2551" s="3" t="s">
        <v>88</v>
      </c>
      <c r="I2551" s="3" t="s">
        <v>92</v>
      </c>
      <c r="J2551" s="3" t="s">
        <v>67</v>
      </c>
      <c r="K2551" s="4">
        <v>2694.01</v>
      </c>
      <c r="L2551" s="6">
        <v>120.97</v>
      </c>
    </row>
    <row r="2552" spans="1:12" x14ac:dyDescent="0.25">
      <c r="A2552" s="1">
        <v>2551</v>
      </c>
      <c r="B2552" s="4">
        <v>18471</v>
      </c>
      <c r="C2552" s="5">
        <v>39863</v>
      </c>
      <c r="D2552" s="3" t="s">
        <v>86</v>
      </c>
      <c r="E2552" s="1" t="s">
        <v>238</v>
      </c>
      <c r="F2552" s="1" t="s">
        <v>11</v>
      </c>
      <c r="G2552" s="2" t="s">
        <v>6</v>
      </c>
      <c r="H2552" s="3" t="s">
        <v>88</v>
      </c>
      <c r="I2552" s="3" t="s">
        <v>85</v>
      </c>
      <c r="J2552" s="3" t="s">
        <v>63</v>
      </c>
      <c r="K2552" s="4">
        <v>226.65</v>
      </c>
      <c r="L2552" s="6">
        <v>5.98</v>
      </c>
    </row>
    <row r="2553" spans="1:12" x14ac:dyDescent="0.25">
      <c r="A2553" s="1">
        <v>2552</v>
      </c>
      <c r="B2553" s="4">
        <v>18471</v>
      </c>
      <c r="C2553" s="5">
        <v>39863</v>
      </c>
      <c r="D2553" s="3" t="s">
        <v>86</v>
      </c>
      <c r="E2553" s="1" t="s">
        <v>238</v>
      </c>
      <c r="F2553" s="1" t="s">
        <v>11</v>
      </c>
      <c r="G2553" s="2" t="s">
        <v>6</v>
      </c>
      <c r="H2553" s="3" t="s">
        <v>88</v>
      </c>
      <c r="I2553" s="3" t="s">
        <v>85</v>
      </c>
      <c r="J2553" s="3" t="s">
        <v>58</v>
      </c>
      <c r="K2553" s="4">
        <v>10.96</v>
      </c>
      <c r="L2553" s="6">
        <v>2.08</v>
      </c>
    </row>
    <row r="2554" spans="1:12" x14ac:dyDescent="0.25">
      <c r="A2554" s="1">
        <v>2553</v>
      </c>
      <c r="B2554" s="4">
        <v>18471</v>
      </c>
      <c r="C2554" s="5">
        <v>39863</v>
      </c>
      <c r="D2554" s="3" t="s">
        <v>86</v>
      </c>
      <c r="E2554" s="1" t="s">
        <v>972</v>
      </c>
      <c r="F2554" s="1" t="s">
        <v>11</v>
      </c>
      <c r="G2554" s="2" t="s">
        <v>6</v>
      </c>
      <c r="H2554" s="3" t="s">
        <v>88</v>
      </c>
      <c r="I2554" s="3" t="s">
        <v>85</v>
      </c>
      <c r="J2554" s="3" t="s">
        <v>66</v>
      </c>
      <c r="K2554" s="4">
        <v>185.61</v>
      </c>
      <c r="L2554" s="6">
        <v>5.98</v>
      </c>
    </row>
    <row r="2555" spans="1:12" x14ac:dyDescent="0.25">
      <c r="A2555" s="1">
        <v>2554</v>
      </c>
      <c r="B2555" s="4">
        <v>18496</v>
      </c>
      <c r="C2555" s="5">
        <v>39948</v>
      </c>
      <c r="D2555" s="3" t="s">
        <v>89</v>
      </c>
      <c r="E2555" s="1" t="s">
        <v>973</v>
      </c>
      <c r="F2555" s="1" t="s">
        <v>33</v>
      </c>
      <c r="G2555" s="2" t="s">
        <v>2</v>
      </c>
      <c r="H2555" s="3" t="s">
        <v>88</v>
      </c>
      <c r="I2555" s="3" t="s">
        <v>92</v>
      </c>
      <c r="J2555" s="3" t="s">
        <v>62</v>
      </c>
      <c r="K2555" s="4">
        <v>991.01</v>
      </c>
      <c r="L2555" s="6">
        <v>30.98</v>
      </c>
    </row>
    <row r="2556" spans="1:12" x14ac:dyDescent="0.25">
      <c r="A2556" s="1">
        <v>2555</v>
      </c>
      <c r="B2556" s="4">
        <v>18496</v>
      </c>
      <c r="C2556" s="5">
        <v>39948</v>
      </c>
      <c r="D2556" s="3" t="s">
        <v>89</v>
      </c>
      <c r="E2556" s="1" t="s">
        <v>973</v>
      </c>
      <c r="F2556" s="1" t="s">
        <v>33</v>
      </c>
      <c r="G2556" s="2" t="s">
        <v>2</v>
      </c>
      <c r="H2556" s="3" t="s">
        <v>88</v>
      </c>
      <c r="I2556" s="3" t="s">
        <v>85</v>
      </c>
      <c r="J2556" s="3" t="s">
        <v>66</v>
      </c>
      <c r="K2556" s="4">
        <v>1267.42</v>
      </c>
      <c r="L2556" s="6">
        <v>40.99</v>
      </c>
    </row>
    <row r="2557" spans="1:12" x14ac:dyDescent="0.25">
      <c r="A2557" s="1">
        <v>2556</v>
      </c>
      <c r="B2557" s="4">
        <v>18500</v>
      </c>
      <c r="C2557" s="5">
        <v>40950</v>
      </c>
      <c r="D2557" s="3" t="s">
        <v>4</v>
      </c>
      <c r="E2557" s="1" t="s">
        <v>974</v>
      </c>
      <c r="F2557" s="1" t="s">
        <v>19</v>
      </c>
      <c r="G2557" s="2" t="s">
        <v>3</v>
      </c>
      <c r="H2557" s="3" t="s">
        <v>84</v>
      </c>
      <c r="I2557" s="3" t="s">
        <v>91</v>
      </c>
      <c r="J2557" s="3" t="s">
        <v>68</v>
      </c>
      <c r="K2557" s="4">
        <v>2507.79</v>
      </c>
      <c r="L2557" s="6">
        <v>58.14</v>
      </c>
    </row>
    <row r="2558" spans="1:12" x14ac:dyDescent="0.25">
      <c r="A2558" s="1">
        <v>2557</v>
      </c>
      <c r="B2558" s="4">
        <v>18500</v>
      </c>
      <c r="C2558" s="5">
        <v>40950</v>
      </c>
      <c r="D2558" s="3" t="s">
        <v>4</v>
      </c>
      <c r="E2558" s="1" t="s">
        <v>974</v>
      </c>
      <c r="F2558" s="1" t="s">
        <v>19</v>
      </c>
      <c r="G2558" s="2" t="s">
        <v>3</v>
      </c>
      <c r="H2558" s="3" t="s">
        <v>84</v>
      </c>
      <c r="I2558" s="3" t="s">
        <v>92</v>
      </c>
      <c r="J2558" s="3" t="s">
        <v>62</v>
      </c>
      <c r="K2558" s="4">
        <v>1052.68</v>
      </c>
      <c r="L2558" s="6">
        <v>32.979999999999997</v>
      </c>
    </row>
    <row r="2559" spans="1:12" x14ac:dyDescent="0.25">
      <c r="A2559" s="1">
        <v>2558</v>
      </c>
      <c r="B2559" s="4">
        <v>18500</v>
      </c>
      <c r="C2559" s="5">
        <v>40950</v>
      </c>
      <c r="D2559" s="3" t="s">
        <v>4</v>
      </c>
      <c r="E2559" s="1" t="s">
        <v>974</v>
      </c>
      <c r="F2559" s="1" t="s">
        <v>19</v>
      </c>
      <c r="G2559" s="2" t="s">
        <v>3</v>
      </c>
      <c r="H2559" s="3" t="s">
        <v>84</v>
      </c>
      <c r="I2559" s="3" t="s">
        <v>85</v>
      </c>
      <c r="J2559" s="3" t="s">
        <v>57</v>
      </c>
      <c r="K2559" s="4">
        <v>2536.31</v>
      </c>
      <c r="L2559" s="6">
        <v>80.98</v>
      </c>
    </row>
    <row r="2560" spans="1:12" x14ac:dyDescent="0.25">
      <c r="A2560" s="1">
        <v>2559</v>
      </c>
      <c r="B2560" s="4">
        <v>18503</v>
      </c>
      <c r="C2560" s="5">
        <v>40668</v>
      </c>
      <c r="D2560" s="3" t="s">
        <v>86</v>
      </c>
      <c r="E2560" s="1" t="s">
        <v>296</v>
      </c>
      <c r="F2560" s="1" t="s">
        <v>9</v>
      </c>
      <c r="G2560" s="2" t="s">
        <v>2</v>
      </c>
      <c r="H2560" s="3" t="s">
        <v>100</v>
      </c>
      <c r="I2560" s="3" t="s">
        <v>92</v>
      </c>
      <c r="J2560" s="3" t="s">
        <v>67</v>
      </c>
      <c r="K2560" s="4">
        <v>6637.63</v>
      </c>
      <c r="L2560" s="6">
        <v>145.44999999999999</v>
      </c>
    </row>
    <row r="2561" spans="1:12" x14ac:dyDescent="0.25">
      <c r="A2561" s="1">
        <v>2560</v>
      </c>
      <c r="B2561" s="4">
        <v>18503</v>
      </c>
      <c r="C2561" s="5">
        <v>40668</v>
      </c>
      <c r="D2561" s="3" t="s">
        <v>86</v>
      </c>
      <c r="E2561" s="1" t="s">
        <v>296</v>
      </c>
      <c r="F2561" s="1" t="s">
        <v>9</v>
      </c>
      <c r="G2561" s="2" t="s">
        <v>2</v>
      </c>
      <c r="H2561" s="3" t="s">
        <v>100</v>
      </c>
      <c r="I2561" s="3" t="s">
        <v>92</v>
      </c>
      <c r="J2561" s="3" t="s">
        <v>61</v>
      </c>
      <c r="K2561" s="4">
        <v>928.90549999999996</v>
      </c>
      <c r="L2561" s="6">
        <v>85.99</v>
      </c>
    </row>
    <row r="2562" spans="1:12" x14ac:dyDescent="0.25">
      <c r="A2562" s="1">
        <v>2561</v>
      </c>
      <c r="B2562" s="4">
        <v>18528</v>
      </c>
      <c r="C2562" s="5">
        <v>40663</v>
      </c>
      <c r="D2562" s="3" t="s">
        <v>95</v>
      </c>
      <c r="E2562" s="1" t="s">
        <v>642</v>
      </c>
      <c r="F2562" s="1" t="s">
        <v>34</v>
      </c>
      <c r="G2562" s="2" t="s">
        <v>1</v>
      </c>
      <c r="H2562" s="3" t="s">
        <v>88</v>
      </c>
      <c r="I2562" s="3" t="s">
        <v>85</v>
      </c>
      <c r="J2562" s="3" t="s">
        <v>70</v>
      </c>
      <c r="K2562" s="4">
        <v>340.97</v>
      </c>
      <c r="L2562" s="6">
        <v>10.98</v>
      </c>
    </row>
    <row r="2563" spans="1:12" x14ac:dyDescent="0.25">
      <c r="A2563" s="1">
        <v>2562</v>
      </c>
      <c r="B2563" s="4">
        <v>18528</v>
      </c>
      <c r="C2563" s="5">
        <v>40663</v>
      </c>
      <c r="D2563" s="3" t="s">
        <v>95</v>
      </c>
      <c r="E2563" s="1" t="s">
        <v>642</v>
      </c>
      <c r="F2563" s="1" t="s">
        <v>34</v>
      </c>
      <c r="G2563" s="2" t="s">
        <v>1</v>
      </c>
      <c r="H2563" s="3" t="s">
        <v>88</v>
      </c>
      <c r="I2563" s="3" t="s">
        <v>85</v>
      </c>
      <c r="J2563" s="3" t="s">
        <v>66</v>
      </c>
      <c r="K2563" s="4">
        <v>136.24</v>
      </c>
      <c r="L2563" s="6">
        <v>5.78</v>
      </c>
    </row>
    <row r="2564" spans="1:12" x14ac:dyDescent="0.25">
      <c r="A2564" s="1">
        <v>2563</v>
      </c>
      <c r="B2564" s="4">
        <v>18530</v>
      </c>
      <c r="C2564" s="5">
        <v>40543</v>
      </c>
      <c r="D2564" s="3" t="s">
        <v>86</v>
      </c>
      <c r="E2564" s="1" t="s">
        <v>517</v>
      </c>
      <c r="F2564" s="1" t="s">
        <v>24</v>
      </c>
      <c r="G2564" s="2" t="s">
        <v>2</v>
      </c>
      <c r="H2564" s="3" t="s">
        <v>88</v>
      </c>
      <c r="I2564" s="3" t="s">
        <v>91</v>
      </c>
      <c r="J2564" s="3" t="s">
        <v>59</v>
      </c>
      <c r="K2564" s="4">
        <v>56.13</v>
      </c>
      <c r="L2564" s="6">
        <v>20.28</v>
      </c>
    </row>
    <row r="2565" spans="1:12" x14ac:dyDescent="0.25">
      <c r="A2565" s="1">
        <v>2564</v>
      </c>
      <c r="B2565" s="4">
        <v>18530</v>
      </c>
      <c r="C2565" s="5">
        <v>40543</v>
      </c>
      <c r="D2565" s="3" t="s">
        <v>86</v>
      </c>
      <c r="E2565" s="1" t="s">
        <v>975</v>
      </c>
      <c r="F2565" s="1" t="s">
        <v>24</v>
      </c>
      <c r="G2565" s="2" t="s">
        <v>2</v>
      </c>
      <c r="H2565" s="3" t="s">
        <v>88</v>
      </c>
      <c r="I2565" s="3" t="s">
        <v>92</v>
      </c>
      <c r="J2565" s="3" t="s">
        <v>61</v>
      </c>
      <c r="K2565" s="4">
        <v>1491.5205000000001</v>
      </c>
      <c r="L2565" s="6">
        <v>65.989999999999995</v>
      </c>
    </row>
    <row r="2566" spans="1:12" x14ac:dyDescent="0.25">
      <c r="A2566" s="1">
        <v>2565</v>
      </c>
      <c r="B2566" s="4">
        <v>18531</v>
      </c>
      <c r="C2566" s="5">
        <v>41211</v>
      </c>
      <c r="D2566" s="3" t="s">
        <v>95</v>
      </c>
      <c r="E2566" s="1" t="s">
        <v>277</v>
      </c>
      <c r="F2566" s="1" t="s">
        <v>13</v>
      </c>
      <c r="G2566" s="2" t="s">
        <v>6</v>
      </c>
      <c r="H2566" s="3" t="s">
        <v>84</v>
      </c>
      <c r="I2566" s="3" t="s">
        <v>91</v>
      </c>
      <c r="J2566" s="3" t="s">
        <v>72</v>
      </c>
      <c r="K2566" s="4">
        <v>1298.81</v>
      </c>
      <c r="L2566" s="6">
        <v>25.98</v>
      </c>
    </row>
    <row r="2567" spans="1:12" x14ac:dyDescent="0.25">
      <c r="A2567" s="1">
        <v>2566</v>
      </c>
      <c r="B2567" s="4">
        <v>18532</v>
      </c>
      <c r="C2567" s="5">
        <v>40836</v>
      </c>
      <c r="D2567" s="3" t="s">
        <v>86</v>
      </c>
      <c r="E2567" s="1" t="s">
        <v>364</v>
      </c>
      <c r="F2567" s="1" t="s">
        <v>15</v>
      </c>
      <c r="G2567" s="2" t="s">
        <v>1</v>
      </c>
      <c r="H2567" s="3" t="s">
        <v>97</v>
      </c>
      <c r="I2567" s="3" t="s">
        <v>85</v>
      </c>
      <c r="J2567" s="3" t="s">
        <v>58</v>
      </c>
      <c r="K2567" s="4">
        <v>230.77</v>
      </c>
      <c r="L2567" s="6">
        <v>8.4499999999999993</v>
      </c>
    </row>
    <row r="2568" spans="1:12" x14ac:dyDescent="0.25">
      <c r="A2568" s="1">
        <v>2567</v>
      </c>
      <c r="B2568" s="4">
        <v>18532</v>
      </c>
      <c r="C2568" s="5">
        <v>40836</v>
      </c>
      <c r="D2568" s="3" t="s">
        <v>86</v>
      </c>
      <c r="E2568" s="1" t="s">
        <v>364</v>
      </c>
      <c r="F2568" s="1" t="s">
        <v>15</v>
      </c>
      <c r="G2568" s="2" t="s">
        <v>1</v>
      </c>
      <c r="H2568" s="3" t="s">
        <v>97</v>
      </c>
      <c r="I2568" s="3" t="s">
        <v>85</v>
      </c>
      <c r="J2568" s="3" t="s">
        <v>57</v>
      </c>
      <c r="K2568" s="4">
        <v>507.58</v>
      </c>
      <c r="L2568" s="6">
        <v>15.42</v>
      </c>
    </row>
    <row r="2569" spans="1:12" x14ac:dyDescent="0.25">
      <c r="A2569" s="1">
        <v>2568</v>
      </c>
      <c r="B2569" s="4">
        <v>18533</v>
      </c>
      <c r="C2569" s="5">
        <v>40123</v>
      </c>
      <c r="D2569" s="3" t="s">
        <v>86</v>
      </c>
      <c r="E2569" s="1" t="s">
        <v>772</v>
      </c>
      <c r="F2569" s="1" t="s">
        <v>13</v>
      </c>
      <c r="G2569" s="2" t="s">
        <v>6</v>
      </c>
      <c r="H2569" s="3" t="s">
        <v>97</v>
      </c>
      <c r="I2569" s="3" t="s">
        <v>85</v>
      </c>
      <c r="J2569" s="3" t="s">
        <v>57</v>
      </c>
      <c r="K2569" s="4">
        <v>442.57</v>
      </c>
      <c r="L2569" s="6">
        <v>15.31</v>
      </c>
    </row>
    <row r="2570" spans="1:12" x14ac:dyDescent="0.25">
      <c r="A2570" s="1">
        <v>2569</v>
      </c>
      <c r="B2570" s="4">
        <v>18533</v>
      </c>
      <c r="C2570" s="5">
        <v>40123</v>
      </c>
      <c r="D2570" s="3" t="s">
        <v>86</v>
      </c>
      <c r="E2570" s="1" t="s">
        <v>772</v>
      </c>
      <c r="F2570" s="1" t="s">
        <v>13</v>
      </c>
      <c r="G2570" s="2" t="s">
        <v>6</v>
      </c>
      <c r="H2570" s="3" t="s">
        <v>97</v>
      </c>
      <c r="I2570" s="3" t="s">
        <v>92</v>
      </c>
      <c r="J2570" s="3" t="s">
        <v>61</v>
      </c>
      <c r="K2570" s="4">
        <v>53.736999999999995</v>
      </c>
      <c r="L2570" s="6">
        <v>7.99</v>
      </c>
    </row>
    <row r="2571" spans="1:12" x14ac:dyDescent="0.25">
      <c r="A2571" s="1">
        <v>2570</v>
      </c>
      <c r="B2571" s="4">
        <v>18534</v>
      </c>
      <c r="C2571" s="5">
        <v>40907</v>
      </c>
      <c r="D2571" s="3" t="s">
        <v>82</v>
      </c>
      <c r="E2571" s="1" t="s">
        <v>406</v>
      </c>
      <c r="F2571" s="1" t="s">
        <v>21</v>
      </c>
      <c r="G2571" s="2" t="s">
        <v>1</v>
      </c>
      <c r="H2571" s="3" t="s">
        <v>88</v>
      </c>
      <c r="I2571" s="3" t="s">
        <v>92</v>
      </c>
      <c r="J2571" s="3" t="s">
        <v>62</v>
      </c>
      <c r="K2571" s="4">
        <v>282.58</v>
      </c>
      <c r="L2571" s="6">
        <v>8.33</v>
      </c>
    </row>
    <row r="2572" spans="1:12" x14ac:dyDescent="0.25">
      <c r="A2572" s="1">
        <v>2571</v>
      </c>
      <c r="B2572" s="4">
        <v>18561</v>
      </c>
      <c r="C2572" s="5">
        <v>39822</v>
      </c>
      <c r="D2572" s="3" t="s">
        <v>86</v>
      </c>
      <c r="E2572" s="1" t="s">
        <v>838</v>
      </c>
      <c r="F2572" s="1" t="s">
        <v>18</v>
      </c>
      <c r="G2572" s="2" t="s">
        <v>6</v>
      </c>
      <c r="H2572" s="3" t="s">
        <v>97</v>
      </c>
      <c r="I2572" s="3" t="s">
        <v>85</v>
      </c>
      <c r="J2572" s="3" t="s">
        <v>65</v>
      </c>
      <c r="K2572" s="4">
        <v>45.87</v>
      </c>
      <c r="L2572" s="6">
        <v>4.13</v>
      </c>
    </row>
    <row r="2573" spans="1:12" x14ac:dyDescent="0.25">
      <c r="A2573" s="1">
        <v>2572</v>
      </c>
      <c r="B2573" s="4">
        <v>18562</v>
      </c>
      <c r="C2573" s="5">
        <v>40897</v>
      </c>
      <c r="D2573" s="3" t="s">
        <v>95</v>
      </c>
      <c r="E2573" s="1" t="s">
        <v>976</v>
      </c>
      <c r="F2573" s="1" t="s">
        <v>27</v>
      </c>
      <c r="G2573" s="2" t="s">
        <v>1</v>
      </c>
      <c r="H2573" s="3" t="s">
        <v>97</v>
      </c>
      <c r="I2573" s="3" t="s">
        <v>85</v>
      </c>
      <c r="J2573" s="3" t="s">
        <v>66</v>
      </c>
      <c r="K2573" s="4">
        <v>160.11000000000001</v>
      </c>
      <c r="L2573" s="6">
        <v>3.98</v>
      </c>
    </row>
    <row r="2574" spans="1:12" x14ac:dyDescent="0.25">
      <c r="A2574" s="1">
        <v>2573</v>
      </c>
      <c r="B2574" s="4">
        <v>18592</v>
      </c>
      <c r="C2574" s="5">
        <v>41182</v>
      </c>
      <c r="D2574" s="3" t="s">
        <v>95</v>
      </c>
      <c r="E2574" s="1" t="s">
        <v>899</v>
      </c>
      <c r="F2574" s="1" t="s">
        <v>23</v>
      </c>
      <c r="G2574" s="2" t="s">
        <v>3</v>
      </c>
      <c r="H2574" s="3" t="s">
        <v>88</v>
      </c>
      <c r="I2574" s="3" t="s">
        <v>85</v>
      </c>
      <c r="J2574" s="3" t="s">
        <v>58</v>
      </c>
      <c r="K2574" s="4">
        <v>25.72</v>
      </c>
      <c r="L2574" s="6">
        <v>10.98</v>
      </c>
    </row>
    <row r="2575" spans="1:12" x14ac:dyDescent="0.25">
      <c r="A2575" s="1">
        <v>2574</v>
      </c>
      <c r="B2575" s="4">
        <v>18593</v>
      </c>
      <c r="C2575" s="5">
        <v>40808</v>
      </c>
      <c r="D2575" s="3" t="s">
        <v>89</v>
      </c>
      <c r="E2575" s="1" t="s">
        <v>644</v>
      </c>
      <c r="F2575" s="1" t="s">
        <v>32</v>
      </c>
      <c r="G2575" s="2" t="s">
        <v>2</v>
      </c>
      <c r="H2575" s="3" t="s">
        <v>88</v>
      </c>
      <c r="I2575" s="3" t="s">
        <v>92</v>
      </c>
      <c r="J2575" s="3" t="s">
        <v>62</v>
      </c>
      <c r="K2575" s="4">
        <v>6572.04</v>
      </c>
      <c r="L2575" s="6">
        <v>300.97000000000003</v>
      </c>
    </row>
    <row r="2576" spans="1:12" x14ac:dyDescent="0.25">
      <c r="A2576" s="1">
        <v>2575</v>
      </c>
      <c r="B2576" s="4">
        <v>18593</v>
      </c>
      <c r="C2576" s="5">
        <v>40808</v>
      </c>
      <c r="D2576" s="3" t="s">
        <v>89</v>
      </c>
      <c r="E2576" s="1" t="s">
        <v>644</v>
      </c>
      <c r="F2576" s="1" t="s">
        <v>32</v>
      </c>
      <c r="G2576" s="2" t="s">
        <v>2</v>
      </c>
      <c r="H2576" s="3" t="s">
        <v>88</v>
      </c>
      <c r="I2576" s="3" t="s">
        <v>91</v>
      </c>
      <c r="J2576" s="3" t="s">
        <v>60</v>
      </c>
      <c r="K2576" s="4">
        <v>1051.992</v>
      </c>
      <c r="L2576" s="6">
        <v>70.89</v>
      </c>
    </row>
    <row r="2577" spans="1:12" x14ac:dyDescent="0.25">
      <c r="A2577" s="1">
        <v>2576</v>
      </c>
      <c r="B2577" s="4">
        <v>18595</v>
      </c>
      <c r="C2577" s="5">
        <v>39844</v>
      </c>
      <c r="D2577" s="3" t="s">
        <v>95</v>
      </c>
      <c r="E2577" s="1" t="s">
        <v>597</v>
      </c>
      <c r="F2577" s="1" t="s">
        <v>35</v>
      </c>
      <c r="G2577" s="2" t="s">
        <v>1</v>
      </c>
      <c r="H2577" s="3" t="s">
        <v>97</v>
      </c>
      <c r="I2577" s="3" t="s">
        <v>85</v>
      </c>
      <c r="J2577" s="3" t="s">
        <v>70</v>
      </c>
      <c r="K2577" s="4">
        <v>451.44</v>
      </c>
      <c r="L2577" s="6">
        <v>78.650000000000006</v>
      </c>
    </row>
    <row r="2578" spans="1:12" x14ac:dyDescent="0.25">
      <c r="A2578" s="1">
        <v>2577</v>
      </c>
      <c r="B2578" s="4">
        <v>18595</v>
      </c>
      <c r="C2578" s="5">
        <v>39844</v>
      </c>
      <c r="D2578" s="3" t="s">
        <v>95</v>
      </c>
      <c r="E2578" s="1" t="s">
        <v>597</v>
      </c>
      <c r="F2578" s="1" t="s">
        <v>35</v>
      </c>
      <c r="G2578" s="2" t="s">
        <v>1</v>
      </c>
      <c r="H2578" s="3" t="s">
        <v>97</v>
      </c>
      <c r="I2578" s="3" t="s">
        <v>85</v>
      </c>
      <c r="J2578" s="3" t="s">
        <v>58</v>
      </c>
      <c r="K2578" s="4">
        <v>138.55000000000001</v>
      </c>
      <c r="L2578" s="6">
        <v>8.34</v>
      </c>
    </row>
    <row r="2579" spans="1:12" x14ac:dyDescent="0.25">
      <c r="A2579" s="1">
        <v>2578</v>
      </c>
      <c r="B2579" s="4">
        <v>18596</v>
      </c>
      <c r="C2579" s="5">
        <v>41184</v>
      </c>
      <c r="D2579" s="3" t="s">
        <v>82</v>
      </c>
      <c r="E2579" s="1" t="s">
        <v>977</v>
      </c>
      <c r="F2579" s="1" t="s">
        <v>55</v>
      </c>
      <c r="G2579" s="2" t="s">
        <v>2</v>
      </c>
      <c r="H2579" s="3" t="s">
        <v>84</v>
      </c>
      <c r="I2579" s="3" t="s">
        <v>91</v>
      </c>
      <c r="J2579" s="3" t="s">
        <v>72</v>
      </c>
      <c r="K2579" s="4">
        <v>4917.6899999999996</v>
      </c>
      <c r="L2579" s="6">
        <v>110.98</v>
      </c>
    </row>
    <row r="2580" spans="1:12" x14ac:dyDescent="0.25">
      <c r="A2580" s="1">
        <v>2579</v>
      </c>
      <c r="B2580" s="4">
        <v>18596</v>
      </c>
      <c r="C2580" s="5">
        <v>41184</v>
      </c>
      <c r="D2580" s="3" t="s">
        <v>82</v>
      </c>
      <c r="E2580" s="1" t="s">
        <v>977</v>
      </c>
      <c r="F2580" s="1" t="s">
        <v>55</v>
      </c>
      <c r="G2580" s="2" t="s">
        <v>2</v>
      </c>
      <c r="H2580" s="3" t="s">
        <v>84</v>
      </c>
      <c r="I2580" s="3" t="s">
        <v>85</v>
      </c>
      <c r="J2580" s="3" t="s">
        <v>65</v>
      </c>
      <c r="K2580" s="4">
        <v>416.8</v>
      </c>
      <c r="L2580" s="6">
        <v>12.53</v>
      </c>
    </row>
    <row r="2581" spans="1:12" x14ac:dyDescent="0.25">
      <c r="A2581" s="1">
        <v>2580</v>
      </c>
      <c r="B2581" s="4">
        <v>18597</v>
      </c>
      <c r="C2581" s="5">
        <v>40447</v>
      </c>
      <c r="D2581" s="3" t="s">
        <v>4</v>
      </c>
      <c r="E2581" s="1" t="s">
        <v>591</v>
      </c>
      <c r="F2581" s="1" t="s">
        <v>19</v>
      </c>
      <c r="G2581" s="2" t="s">
        <v>3</v>
      </c>
      <c r="H2581" s="3" t="s">
        <v>100</v>
      </c>
      <c r="I2581" s="3" t="s">
        <v>85</v>
      </c>
      <c r="J2581" s="3" t="s">
        <v>65</v>
      </c>
      <c r="K2581" s="4">
        <v>101.2</v>
      </c>
      <c r="L2581" s="6">
        <v>2.88</v>
      </c>
    </row>
    <row r="2582" spans="1:12" x14ac:dyDescent="0.25">
      <c r="A2582" s="1">
        <v>2581</v>
      </c>
      <c r="B2582" s="4">
        <v>18598</v>
      </c>
      <c r="C2582" s="5">
        <v>40396</v>
      </c>
      <c r="D2582" s="3" t="s">
        <v>95</v>
      </c>
      <c r="E2582" s="1" t="s">
        <v>314</v>
      </c>
      <c r="F2582" s="1" t="s">
        <v>36</v>
      </c>
      <c r="G2582" s="2" t="s">
        <v>2</v>
      </c>
      <c r="H2582" s="3" t="s">
        <v>97</v>
      </c>
      <c r="I2582" s="3" t="s">
        <v>85</v>
      </c>
      <c r="J2582" s="3" t="s">
        <v>69</v>
      </c>
      <c r="K2582" s="4">
        <v>349.65</v>
      </c>
      <c r="L2582" s="6">
        <v>14.48</v>
      </c>
    </row>
    <row r="2583" spans="1:12" x14ac:dyDescent="0.25">
      <c r="A2583" s="1">
        <v>2582</v>
      </c>
      <c r="B2583" s="4">
        <v>18598</v>
      </c>
      <c r="C2583" s="5">
        <v>40396</v>
      </c>
      <c r="D2583" s="3" t="s">
        <v>95</v>
      </c>
      <c r="E2583" s="1" t="s">
        <v>314</v>
      </c>
      <c r="F2583" s="1" t="s">
        <v>36</v>
      </c>
      <c r="G2583" s="2" t="s">
        <v>2</v>
      </c>
      <c r="H2583" s="3" t="s">
        <v>97</v>
      </c>
      <c r="I2583" s="3" t="s">
        <v>91</v>
      </c>
      <c r="J2583" s="3" t="s">
        <v>59</v>
      </c>
      <c r="K2583" s="4">
        <v>4814.12</v>
      </c>
      <c r="L2583" s="6">
        <v>102.3</v>
      </c>
    </row>
    <row r="2584" spans="1:12" x14ac:dyDescent="0.25">
      <c r="A2584" s="1">
        <v>2583</v>
      </c>
      <c r="B2584" s="4">
        <v>18627</v>
      </c>
      <c r="C2584" s="5">
        <v>40532</v>
      </c>
      <c r="D2584" s="3" t="s">
        <v>4</v>
      </c>
      <c r="E2584" s="1" t="s">
        <v>535</v>
      </c>
      <c r="F2584" s="1" t="s">
        <v>15</v>
      </c>
      <c r="G2584" s="2" t="s">
        <v>1</v>
      </c>
      <c r="H2584" s="3" t="s">
        <v>84</v>
      </c>
      <c r="I2584" s="3" t="s">
        <v>85</v>
      </c>
      <c r="J2584" s="3" t="s">
        <v>65</v>
      </c>
      <c r="K2584" s="4">
        <v>15.7</v>
      </c>
      <c r="L2584" s="6">
        <v>3.69</v>
      </c>
    </row>
    <row r="2585" spans="1:12" x14ac:dyDescent="0.25">
      <c r="A2585" s="1">
        <v>2584</v>
      </c>
      <c r="B2585" s="4">
        <v>18661</v>
      </c>
      <c r="C2585" s="5">
        <v>41160</v>
      </c>
      <c r="D2585" s="3" t="s">
        <v>82</v>
      </c>
      <c r="E2585" s="1" t="s">
        <v>978</v>
      </c>
      <c r="F2585" s="1" t="s">
        <v>13</v>
      </c>
      <c r="G2585" s="2" t="s">
        <v>6</v>
      </c>
      <c r="H2585" s="3" t="s">
        <v>88</v>
      </c>
      <c r="I2585" s="3" t="s">
        <v>91</v>
      </c>
      <c r="J2585" s="3" t="s">
        <v>72</v>
      </c>
      <c r="K2585" s="4">
        <v>1207.08</v>
      </c>
      <c r="L2585" s="6">
        <v>95.98</v>
      </c>
    </row>
    <row r="2586" spans="1:12" x14ac:dyDescent="0.25">
      <c r="A2586" s="1">
        <v>2585</v>
      </c>
      <c r="B2586" s="4">
        <v>18661</v>
      </c>
      <c r="C2586" s="5">
        <v>41160</v>
      </c>
      <c r="D2586" s="3" t="s">
        <v>82</v>
      </c>
      <c r="E2586" s="1" t="s">
        <v>978</v>
      </c>
      <c r="F2586" s="1" t="s">
        <v>13</v>
      </c>
      <c r="G2586" s="2" t="s">
        <v>6</v>
      </c>
      <c r="H2586" s="3" t="s">
        <v>88</v>
      </c>
      <c r="I2586" s="3" t="s">
        <v>91</v>
      </c>
      <c r="J2586" s="3" t="s">
        <v>60</v>
      </c>
      <c r="K2586" s="4">
        <v>2618.1120000000001</v>
      </c>
      <c r="L2586" s="6">
        <v>286.85000000000002</v>
      </c>
    </row>
    <row r="2587" spans="1:12" x14ac:dyDescent="0.25">
      <c r="A2587" s="1">
        <v>2586</v>
      </c>
      <c r="B2587" s="4">
        <v>18688</v>
      </c>
      <c r="C2587" s="5">
        <v>40607</v>
      </c>
      <c r="D2587" s="3" t="s">
        <v>86</v>
      </c>
      <c r="E2587" s="1" t="s">
        <v>694</v>
      </c>
      <c r="F2587" s="1" t="s">
        <v>33</v>
      </c>
      <c r="G2587" s="2" t="s">
        <v>2</v>
      </c>
      <c r="H2587" s="3" t="s">
        <v>97</v>
      </c>
      <c r="I2587" s="3" t="s">
        <v>85</v>
      </c>
      <c r="J2587" s="3" t="s">
        <v>69</v>
      </c>
      <c r="K2587" s="4">
        <v>14346.73</v>
      </c>
      <c r="L2587" s="6">
        <v>304.99</v>
      </c>
    </row>
    <row r="2588" spans="1:12" x14ac:dyDescent="0.25">
      <c r="A2588" s="1">
        <v>2587</v>
      </c>
      <c r="B2588" s="4">
        <v>18688</v>
      </c>
      <c r="C2588" s="5">
        <v>40607</v>
      </c>
      <c r="D2588" s="3" t="s">
        <v>86</v>
      </c>
      <c r="E2588" s="1" t="s">
        <v>694</v>
      </c>
      <c r="F2588" s="1" t="s">
        <v>33</v>
      </c>
      <c r="G2588" s="2" t="s">
        <v>2</v>
      </c>
      <c r="H2588" s="3" t="s">
        <v>97</v>
      </c>
      <c r="I2588" s="3" t="s">
        <v>85</v>
      </c>
      <c r="J2588" s="3" t="s">
        <v>65</v>
      </c>
      <c r="K2588" s="4">
        <v>40.340000000000003</v>
      </c>
      <c r="L2588" s="6">
        <v>2.89</v>
      </c>
    </row>
    <row r="2589" spans="1:12" x14ac:dyDescent="0.25">
      <c r="A2589" s="1">
        <v>2588</v>
      </c>
      <c r="B2589" s="4">
        <v>18688</v>
      </c>
      <c r="C2589" s="5">
        <v>40607</v>
      </c>
      <c r="D2589" s="3" t="s">
        <v>86</v>
      </c>
      <c r="E2589" s="1" t="s">
        <v>694</v>
      </c>
      <c r="F2589" s="1" t="s">
        <v>33</v>
      </c>
      <c r="G2589" s="2" t="s">
        <v>2</v>
      </c>
      <c r="H2589" s="3" t="s">
        <v>97</v>
      </c>
      <c r="I2589" s="3" t="s">
        <v>92</v>
      </c>
      <c r="J2589" s="3" t="s">
        <v>61</v>
      </c>
      <c r="K2589" s="4">
        <v>3951.6754999999998</v>
      </c>
      <c r="L2589" s="6">
        <v>125.99</v>
      </c>
    </row>
    <row r="2590" spans="1:12" x14ac:dyDescent="0.25">
      <c r="A2590" s="1">
        <v>2589</v>
      </c>
      <c r="B2590" s="4">
        <v>18689</v>
      </c>
      <c r="C2590" s="5">
        <v>40171</v>
      </c>
      <c r="D2590" s="3" t="s">
        <v>86</v>
      </c>
      <c r="E2590" s="1" t="s">
        <v>681</v>
      </c>
      <c r="F2590" s="1" t="s">
        <v>9</v>
      </c>
      <c r="G2590" s="2" t="s">
        <v>2</v>
      </c>
      <c r="H2590" s="3" t="s">
        <v>84</v>
      </c>
      <c r="I2590" s="3" t="s">
        <v>85</v>
      </c>
      <c r="J2590" s="3" t="s">
        <v>69</v>
      </c>
      <c r="K2590" s="4">
        <v>281.17</v>
      </c>
      <c r="L2590" s="6">
        <v>7.1</v>
      </c>
    </row>
    <row r="2591" spans="1:12" x14ac:dyDescent="0.25">
      <c r="A2591" s="1">
        <v>2590</v>
      </c>
      <c r="B2591" s="4">
        <v>18689</v>
      </c>
      <c r="C2591" s="5">
        <v>40171</v>
      </c>
      <c r="D2591" s="3" t="s">
        <v>86</v>
      </c>
      <c r="E2591" s="1" t="s">
        <v>681</v>
      </c>
      <c r="F2591" s="1" t="s">
        <v>9</v>
      </c>
      <c r="G2591" s="2" t="s">
        <v>2</v>
      </c>
      <c r="H2591" s="3" t="s">
        <v>84</v>
      </c>
      <c r="I2591" s="3" t="s">
        <v>85</v>
      </c>
      <c r="J2591" s="3" t="s">
        <v>66</v>
      </c>
      <c r="K2591" s="4">
        <v>194.65</v>
      </c>
      <c r="L2591" s="6">
        <v>18.97</v>
      </c>
    </row>
    <row r="2592" spans="1:12" x14ac:dyDescent="0.25">
      <c r="A2592" s="1">
        <v>2591</v>
      </c>
      <c r="B2592" s="4">
        <v>18723</v>
      </c>
      <c r="C2592" s="5">
        <v>40037</v>
      </c>
      <c r="D2592" s="3" t="s">
        <v>4</v>
      </c>
      <c r="E2592" s="1" t="s">
        <v>277</v>
      </c>
      <c r="F2592" s="1" t="s">
        <v>13</v>
      </c>
      <c r="G2592" s="2" t="s">
        <v>6</v>
      </c>
      <c r="H2592" s="3" t="s">
        <v>100</v>
      </c>
      <c r="I2592" s="3" t="s">
        <v>92</v>
      </c>
      <c r="J2592" s="3" t="s">
        <v>61</v>
      </c>
      <c r="K2592" s="4">
        <v>52.096499999999999</v>
      </c>
      <c r="L2592" s="6">
        <v>55.99</v>
      </c>
    </row>
    <row r="2593" spans="1:12" x14ac:dyDescent="0.25">
      <c r="A2593" s="1">
        <v>2592</v>
      </c>
      <c r="B2593" s="4">
        <v>18753</v>
      </c>
      <c r="C2593" s="5">
        <v>40025</v>
      </c>
      <c r="D2593" s="3" t="s">
        <v>4</v>
      </c>
      <c r="E2593" s="1" t="s">
        <v>449</v>
      </c>
      <c r="F2593" s="1" t="s">
        <v>13</v>
      </c>
      <c r="G2593" s="2" t="s">
        <v>6</v>
      </c>
      <c r="H2593" s="3" t="s">
        <v>88</v>
      </c>
      <c r="I2593" s="3" t="s">
        <v>91</v>
      </c>
      <c r="J2593" s="3" t="s">
        <v>72</v>
      </c>
      <c r="K2593" s="4">
        <v>3945.95</v>
      </c>
      <c r="L2593" s="6">
        <v>128.24</v>
      </c>
    </row>
    <row r="2594" spans="1:12" x14ac:dyDescent="0.25">
      <c r="A2594" s="1">
        <v>2593</v>
      </c>
      <c r="B2594" s="4">
        <v>18753</v>
      </c>
      <c r="C2594" s="5">
        <v>40025</v>
      </c>
      <c r="D2594" s="3" t="s">
        <v>4</v>
      </c>
      <c r="E2594" s="1" t="s">
        <v>978</v>
      </c>
      <c r="F2594" s="1" t="s">
        <v>13</v>
      </c>
      <c r="G2594" s="2" t="s">
        <v>6</v>
      </c>
      <c r="H2594" s="3" t="s">
        <v>88</v>
      </c>
      <c r="I2594" s="3" t="s">
        <v>91</v>
      </c>
      <c r="J2594" s="3" t="s">
        <v>72</v>
      </c>
      <c r="K2594" s="4">
        <v>5394.4</v>
      </c>
      <c r="L2594" s="6">
        <v>160.97999999999999</v>
      </c>
    </row>
    <row r="2595" spans="1:12" x14ac:dyDescent="0.25">
      <c r="A2595" s="1">
        <v>2594</v>
      </c>
      <c r="B2595" s="4">
        <v>18754</v>
      </c>
      <c r="C2595" s="5">
        <v>40081</v>
      </c>
      <c r="D2595" s="3" t="s">
        <v>86</v>
      </c>
      <c r="E2595" s="1" t="s">
        <v>979</v>
      </c>
      <c r="F2595" s="1" t="s">
        <v>25</v>
      </c>
      <c r="G2595" s="2" t="s">
        <v>6</v>
      </c>
      <c r="H2595" s="3" t="s">
        <v>84</v>
      </c>
      <c r="I2595" s="3" t="s">
        <v>91</v>
      </c>
      <c r="J2595" s="3" t="s">
        <v>68</v>
      </c>
      <c r="K2595" s="4">
        <v>1217.6199999999999</v>
      </c>
      <c r="L2595" s="6">
        <v>140.97999999999999</v>
      </c>
    </row>
    <row r="2596" spans="1:12" x14ac:dyDescent="0.25">
      <c r="A2596" s="1">
        <v>2595</v>
      </c>
      <c r="B2596" s="4">
        <v>18754</v>
      </c>
      <c r="C2596" s="5">
        <v>40081</v>
      </c>
      <c r="D2596" s="3" t="s">
        <v>86</v>
      </c>
      <c r="E2596" s="1" t="s">
        <v>979</v>
      </c>
      <c r="F2596" s="1" t="s">
        <v>25</v>
      </c>
      <c r="G2596" s="2" t="s">
        <v>6</v>
      </c>
      <c r="H2596" s="3" t="s">
        <v>84</v>
      </c>
      <c r="I2596" s="3" t="s">
        <v>92</v>
      </c>
      <c r="J2596" s="3" t="s">
        <v>61</v>
      </c>
      <c r="K2596" s="4">
        <v>1725.0325</v>
      </c>
      <c r="L2596" s="6">
        <v>65.989999999999995</v>
      </c>
    </row>
    <row r="2597" spans="1:12" x14ac:dyDescent="0.25">
      <c r="A2597" s="1">
        <v>2596</v>
      </c>
      <c r="B2597" s="4">
        <v>18757</v>
      </c>
      <c r="C2597" s="5">
        <v>41051</v>
      </c>
      <c r="D2597" s="3" t="s">
        <v>82</v>
      </c>
      <c r="E2597" s="1" t="s">
        <v>174</v>
      </c>
      <c r="F2597" s="1" t="s">
        <v>22</v>
      </c>
      <c r="G2597" s="2" t="s">
        <v>6</v>
      </c>
      <c r="H2597" s="3" t="s">
        <v>100</v>
      </c>
      <c r="I2597" s="3" t="s">
        <v>85</v>
      </c>
      <c r="J2597" s="3" t="s">
        <v>69</v>
      </c>
      <c r="K2597" s="4">
        <v>222.2</v>
      </c>
      <c r="L2597" s="6">
        <v>22.38</v>
      </c>
    </row>
    <row r="2598" spans="1:12" x14ac:dyDescent="0.25">
      <c r="A2598" s="1">
        <v>2597</v>
      </c>
      <c r="B2598" s="4">
        <v>18757</v>
      </c>
      <c r="C2598" s="5">
        <v>41051</v>
      </c>
      <c r="D2598" s="3" t="s">
        <v>82</v>
      </c>
      <c r="E2598" s="1" t="s">
        <v>174</v>
      </c>
      <c r="F2598" s="1" t="s">
        <v>22</v>
      </c>
      <c r="G2598" s="2" t="s">
        <v>6</v>
      </c>
      <c r="H2598" s="3" t="s">
        <v>100</v>
      </c>
      <c r="I2598" s="3" t="s">
        <v>85</v>
      </c>
      <c r="J2598" s="3" t="s">
        <v>69</v>
      </c>
      <c r="K2598" s="4">
        <v>39.9</v>
      </c>
      <c r="L2598" s="6">
        <v>5.94</v>
      </c>
    </row>
    <row r="2599" spans="1:12" x14ac:dyDescent="0.25">
      <c r="A2599" s="1">
        <v>2598</v>
      </c>
      <c r="B2599" s="4">
        <v>18757</v>
      </c>
      <c r="C2599" s="5">
        <v>41051</v>
      </c>
      <c r="D2599" s="3" t="s">
        <v>82</v>
      </c>
      <c r="E2599" s="1" t="s">
        <v>510</v>
      </c>
      <c r="F2599" s="1" t="s">
        <v>23</v>
      </c>
      <c r="G2599" s="2" t="s">
        <v>3</v>
      </c>
      <c r="H2599" s="3" t="s">
        <v>100</v>
      </c>
      <c r="I2599" s="3" t="s">
        <v>85</v>
      </c>
      <c r="J2599" s="3" t="s">
        <v>66</v>
      </c>
      <c r="K2599" s="4">
        <v>319.95999999999998</v>
      </c>
      <c r="L2599" s="6">
        <v>6.98</v>
      </c>
    </row>
    <row r="2600" spans="1:12" x14ac:dyDescent="0.25">
      <c r="A2600" s="1">
        <v>2599</v>
      </c>
      <c r="B2600" s="4">
        <v>18758</v>
      </c>
      <c r="C2600" s="5">
        <v>40288</v>
      </c>
      <c r="D2600" s="3" t="s">
        <v>86</v>
      </c>
      <c r="E2600" s="1" t="s">
        <v>90</v>
      </c>
      <c r="F2600" s="1" t="s">
        <v>9</v>
      </c>
      <c r="G2600" s="2" t="s">
        <v>2</v>
      </c>
      <c r="H2600" s="3" t="s">
        <v>88</v>
      </c>
      <c r="I2600" s="3" t="s">
        <v>91</v>
      </c>
      <c r="J2600" s="3" t="s">
        <v>59</v>
      </c>
      <c r="K2600" s="4">
        <v>2022.18</v>
      </c>
      <c r="L2600" s="6">
        <v>102.3</v>
      </c>
    </row>
    <row r="2601" spans="1:12" x14ac:dyDescent="0.25">
      <c r="A2601" s="1">
        <v>2600</v>
      </c>
      <c r="B2601" s="4">
        <v>18788</v>
      </c>
      <c r="C2601" s="5">
        <v>40088</v>
      </c>
      <c r="D2601" s="3" t="s">
        <v>86</v>
      </c>
      <c r="E2601" s="1" t="s">
        <v>951</v>
      </c>
      <c r="F2601" s="1" t="s">
        <v>38</v>
      </c>
      <c r="G2601" s="2" t="s">
        <v>6</v>
      </c>
      <c r="H2601" s="3" t="s">
        <v>88</v>
      </c>
      <c r="I2601" s="3" t="s">
        <v>91</v>
      </c>
      <c r="J2601" s="3" t="s">
        <v>59</v>
      </c>
      <c r="K2601" s="4">
        <v>566.12</v>
      </c>
      <c r="L2601" s="6">
        <v>19.989999999999998</v>
      </c>
    </row>
    <row r="2602" spans="1:12" x14ac:dyDescent="0.25">
      <c r="A2602" s="1">
        <v>2601</v>
      </c>
      <c r="B2602" s="4">
        <v>18789</v>
      </c>
      <c r="C2602" s="5">
        <v>40618</v>
      </c>
      <c r="D2602" s="3" t="s">
        <v>89</v>
      </c>
      <c r="E2602" s="1" t="s">
        <v>302</v>
      </c>
      <c r="F2602" s="1" t="s">
        <v>37</v>
      </c>
      <c r="G2602" s="2" t="s">
        <v>3</v>
      </c>
      <c r="H2602" s="3" t="s">
        <v>84</v>
      </c>
      <c r="I2602" s="3" t="s">
        <v>85</v>
      </c>
      <c r="J2602" s="3" t="s">
        <v>66</v>
      </c>
      <c r="K2602" s="4">
        <v>1558.18</v>
      </c>
      <c r="L2602" s="6">
        <v>30.98</v>
      </c>
    </row>
    <row r="2603" spans="1:12" x14ac:dyDescent="0.25">
      <c r="A2603" s="1">
        <v>2602</v>
      </c>
      <c r="B2603" s="4">
        <v>18790</v>
      </c>
      <c r="C2603" s="5">
        <v>39855</v>
      </c>
      <c r="D2603" s="3" t="s">
        <v>89</v>
      </c>
      <c r="E2603" s="1" t="s">
        <v>197</v>
      </c>
      <c r="F2603" s="1" t="s">
        <v>24</v>
      </c>
      <c r="G2603" s="2" t="s">
        <v>2</v>
      </c>
      <c r="H2603" s="3" t="s">
        <v>100</v>
      </c>
      <c r="I2603" s="3" t="s">
        <v>92</v>
      </c>
      <c r="J2603" s="3" t="s">
        <v>67</v>
      </c>
      <c r="K2603" s="4">
        <v>13253.93</v>
      </c>
      <c r="L2603" s="6">
        <v>2036.48</v>
      </c>
    </row>
    <row r="2604" spans="1:12" x14ac:dyDescent="0.25">
      <c r="A2604" s="1">
        <v>2603</v>
      </c>
      <c r="B2604" s="4">
        <v>18816</v>
      </c>
      <c r="C2604" s="5">
        <v>39868</v>
      </c>
      <c r="D2604" s="3" t="s">
        <v>95</v>
      </c>
      <c r="E2604" s="1" t="s">
        <v>980</v>
      </c>
      <c r="F2604" s="1" t="s">
        <v>15</v>
      </c>
      <c r="G2604" s="2" t="s">
        <v>1</v>
      </c>
      <c r="H2604" s="3" t="s">
        <v>88</v>
      </c>
      <c r="I2604" s="3" t="s">
        <v>85</v>
      </c>
      <c r="J2604" s="3" t="s">
        <v>70</v>
      </c>
      <c r="K2604" s="4">
        <v>580.46</v>
      </c>
      <c r="L2604" s="6">
        <v>48.58</v>
      </c>
    </row>
    <row r="2605" spans="1:12" x14ac:dyDescent="0.25">
      <c r="A2605" s="1">
        <v>2604</v>
      </c>
      <c r="B2605" s="4">
        <v>18819</v>
      </c>
      <c r="C2605" s="5">
        <v>39869</v>
      </c>
      <c r="D2605" s="3" t="s">
        <v>82</v>
      </c>
      <c r="E2605" s="1" t="s">
        <v>683</v>
      </c>
      <c r="F2605" s="1" t="s">
        <v>24</v>
      </c>
      <c r="G2605" s="2" t="s">
        <v>2</v>
      </c>
      <c r="H2605" s="3" t="s">
        <v>88</v>
      </c>
      <c r="I2605" s="3" t="s">
        <v>91</v>
      </c>
      <c r="J2605" s="3" t="s">
        <v>59</v>
      </c>
      <c r="K2605" s="4">
        <v>1102.3</v>
      </c>
      <c r="L2605" s="6">
        <v>50.98</v>
      </c>
    </row>
    <row r="2606" spans="1:12" x14ac:dyDescent="0.25">
      <c r="A2606" s="1">
        <v>2605</v>
      </c>
      <c r="B2606" s="4">
        <v>18822</v>
      </c>
      <c r="C2606" s="5">
        <v>40533</v>
      </c>
      <c r="D2606" s="3" t="s">
        <v>82</v>
      </c>
      <c r="E2606" s="1" t="s">
        <v>761</v>
      </c>
      <c r="F2606" s="1" t="s">
        <v>19</v>
      </c>
      <c r="G2606" s="2" t="s">
        <v>3</v>
      </c>
      <c r="H2606" s="3" t="s">
        <v>84</v>
      </c>
      <c r="I2606" s="3" t="s">
        <v>92</v>
      </c>
      <c r="J2606" s="3" t="s">
        <v>61</v>
      </c>
      <c r="K2606" s="4">
        <v>1950.0359999999998</v>
      </c>
      <c r="L2606" s="6">
        <v>65.989999999999995</v>
      </c>
    </row>
    <row r="2607" spans="1:12" x14ac:dyDescent="0.25">
      <c r="A2607" s="1">
        <v>2606</v>
      </c>
      <c r="B2607" s="4">
        <v>18849</v>
      </c>
      <c r="C2607" s="5">
        <v>41126</v>
      </c>
      <c r="D2607" s="3" t="s">
        <v>89</v>
      </c>
      <c r="E2607" s="1" t="s">
        <v>768</v>
      </c>
      <c r="F2607" s="1" t="s">
        <v>39</v>
      </c>
      <c r="G2607" s="2" t="s">
        <v>1</v>
      </c>
      <c r="H2607" s="3" t="s">
        <v>88</v>
      </c>
      <c r="I2607" s="3" t="s">
        <v>85</v>
      </c>
      <c r="J2607" s="3" t="s">
        <v>70</v>
      </c>
      <c r="K2607" s="4">
        <v>751.71</v>
      </c>
      <c r="L2607" s="6">
        <v>131.12</v>
      </c>
    </row>
    <row r="2608" spans="1:12" x14ac:dyDescent="0.25">
      <c r="A2608" s="1">
        <v>2607</v>
      </c>
      <c r="B2608" s="4">
        <v>18849</v>
      </c>
      <c r="C2608" s="5">
        <v>41126</v>
      </c>
      <c r="D2608" s="3" t="s">
        <v>89</v>
      </c>
      <c r="E2608" s="1" t="s">
        <v>831</v>
      </c>
      <c r="F2608" s="1" t="s">
        <v>24</v>
      </c>
      <c r="G2608" s="2" t="s">
        <v>2</v>
      </c>
      <c r="H2608" s="3" t="s">
        <v>88</v>
      </c>
      <c r="I2608" s="3" t="s">
        <v>85</v>
      </c>
      <c r="J2608" s="3" t="s">
        <v>71</v>
      </c>
      <c r="K2608" s="4">
        <v>471.87</v>
      </c>
      <c r="L2608" s="6">
        <v>11.09</v>
      </c>
    </row>
    <row r="2609" spans="1:12" x14ac:dyDescent="0.25">
      <c r="A2609" s="1">
        <v>2608</v>
      </c>
      <c r="B2609" s="4">
        <v>18849</v>
      </c>
      <c r="C2609" s="5">
        <v>41126</v>
      </c>
      <c r="D2609" s="3" t="s">
        <v>89</v>
      </c>
      <c r="E2609" s="1" t="s">
        <v>981</v>
      </c>
      <c r="F2609" s="1" t="s">
        <v>24</v>
      </c>
      <c r="G2609" s="2" t="s">
        <v>2</v>
      </c>
      <c r="H2609" s="3" t="s">
        <v>88</v>
      </c>
      <c r="I2609" s="3" t="s">
        <v>91</v>
      </c>
      <c r="J2609" s="3" t="s">
        <v>59</v>
      </c>
      <c r="K2609" s="4">
        <v>539.6</v>
      </c>
      <c r="L2609" s="6">
        <v>13.79</v>
      </c>
    </row>
    <row r="2610" spans="1:12" x14ac:dyDescent="0.25">
      <c r="A2610" s="1">
        <v>2609</v>
      </c>
      <c r="B2610" s="4">
        <v>18851</v>
      </c>
      <c r="C2610" s="5">
        <v>41259</v>
      </c>
      <c r="D2610" s="3" t="s">
        <v>95</v>
      </c>
      <c r="E2610" s="1" t="s">
        <v>488</v>
      </c>
      <c r="F2610" s="1" t="s">
        <v>23</v>
      </c>
      <c r="G2610" s="2" t="s">
        <v>3</v>
      </c>
      <c r="H2610" s="3" t="s">
        <v>100</v>
      </c>
      <c r="I2610" s="3" t="s">
        <v>85</v>
      </c>
      <c r="J2610" s="3" t="s">
        <v>66</v>
      </c>
      <c r="K2610" s="4">
        <v>204.21</v>
      </c>
      <c r="L2610" s="6">
        <v>5.98</v>
      </c>
    </row>
    <row r="2611" spans="1:12" x14ac:dyDescent="0.25">
      <c r="A2611" s="1">
        <v>2610</v>
      </c>
      <c r="B2611" s="4">
        <v>18852</v>
      </c>
      <c r="C2611" s="5">
        <v>40805</v>
      </c>
      <c r="D2611" s="3" t="s">
        <v>89</v>
      </c>
      <c r="E2611" s="1" t="s">
        <v>842</v>
      </c>
      <c r="F2611" s="1" t="s">
        <v>15</v>
      </c>
      <c r="G2611" s="2" t="s">
        <v>1</v>
      </c>
      <c r="H2611" s="3" t="s">
        <v>84</v>
      </c>
      <c r="I2611" s="3" t="s">
        <v>85</v>
      </c>
      <c r="J2611" s="3" t="s">
        <v>66</v>
      </c>
      <c r="K2611" s="4">
        <v>351.25</v>
      </c>
      <c r="L2611" s="6">
        <v>19.98</v>
      </c>
    </row>
    <row r="2612" spans="1:12" x14ac:dyDescent="0.25">
      <c r="A2612" s="1">
        <v>2611</v>
      </c>
      <c r="B2612" s="4">
        <v>18853</v>
      </c>
      <c r="C2612" s="5">
        <v>40195</v>
      </c>
      <c r="D2612" s="3" t="s">
        <v>95</v>
      </c>
      <c r="E2612" s="1" t="s">
        <v>640</v>
      </c>
      <c r="F2612" s="1" t="s">
        <v>23</v>
      </c>
      <c r="G2612" s="2" t="s">
        <v>3</v>
      </c>
      <c r="H2612" s="3" t="s">
        <v>97</v>
      </c>
      <c r="I2612" s="3" t="s">
        <v>85</v>
      </c>
      <c r="J2612" s="3" t="s">
        <v>63</v>
      </c>
      <c r="K2612" s="4">
        <v>223.88</v>
      </c>
      <c r="L2612" s="6">
        <v>6.68</v>
      </c>
    </row>
    <row r="2613" spans="1:12" x14ac:dyDescent="0.25">
      <c r="A2613" s="1">
        <v>2612</v>
      </c>
      <c r="B2613" s="4">
        <v>18855</v>
      </c>
      <c r="C2613" s="5">
        <v>40071</v>
      </c>
      <c r="D2613" s="3" t="s">
        <v>89</v>
      </c>
      <c r="E2613" s="1" t="s">
        <v>234</v>
      </c>
      <c r="F2613" s="1" t="s">
        <v>24</v>
      </c>
      <c r="G2613" s="2" t="s">
        <v>2</v>
      </c>
      <c r="H2613" s="3" t="s">
        <v>84</v>
      </c>
      <c r="I2613" s="3" t="s">
        <v>85</v>
      </c>
      <c r="J2613" s="3" t="s">
        <v>69</v>
      </c>
      <c r="K2613" s="4">
        <v>229.43</v>
      </c>
      <c r="L2613" s="6">
        <v>7.3</v>
      </c>
    </row>
    <row r="2614" spans="1:12" x14ac:dyDescent="0.25">
      <c r="A2614" s="1">
        <v>2613</v>
      </c>
      <c r="B2614" s="4">
        <v>18884</v>
      </c>
      <c r="C2614" s="5">
        <v>40718</v>
      </c>
      <c r="D2614" s="3" t="s">
        <v>86</v>
      </c>
      <c r="E2614" s="1" t="s">
        <v>982</v>
      </c>
      <c r="F2614" s="1" t="s">
        <v>23</v>
      </c>
      <c r="G2614" s="2" t="s">
        <v>3</v>
      </c>
      <c r="H2614" s="3" t="s">
        <v>97</v>
      </c>
      <c r="I2614" s="3" t="s">
        <v>91</v>
      </c>
      <c r="J2614" s="3" t="s">
        <v>72</v>
      </c>
      <c r="K2614" s="4">
        <v>131.27000000000001</v>
      </c>
      <c r="L2614" s="6">
        <v>25.98</v>
      </c>
    </row>
    <row r="2615" spans="1:12" x14ac:dyDescent="0.25">
      <c r="A2615" s="1">
        <v>2614</v>
      </c>
      <c r="B2615" s="4">
        <v>18884</v>
      </c>
      <c r="C2615" s="5">
        <v>40718</v>
      </c>
      <c r="D2615" s="3" t="s">
        <v>86</v>
      </c>
      <c r="E2615" s="1" t="s">
        <v>982</v>
      </c>
      <c r="F2615" s="1" t="s">
        <v>23</v>
      </c>
      <c r="G2615" s="2" t="s">
        <v>3</v>
      </c>
      <c r="H2615" s="3" t="s">
        <v>97</v>
      </c>
      <c r="I2615" s="3" t="s">
        <v>92</v>
      </c>
      <c r="J2615" s="3" t="s">
        <v>73</v>
      </c>
      <c r="K2615" s="4">
        <v>13571.7</v>
      </c>
      <c r="L2615" s="6">
        <v>449.99</v>
      </c>
    </row>
    <row r="2616" spans="1:12" x14ac:dyDescent="0.25">
      <c r="A2616" s="1">
        <v>2615</v>
      </c>
      <c r="B2616" s="4">
        <v>18887</v>
      </c>
      <c r="C2616" s="5">
        <v>40517</v>
      </c>
      <c r="D2616" s="3" t="s">
        <v>86</v>
      </c>
      <c r="E2616" s="1" t="s">
        <v>150</v>
      </c>
      <c r="F2616" s="1" t="s">
        <v>8</v>
      </c>
      <c r="G2616" s="2" t="s">
        <v>6</v>
      </c>
      <c r="H2616" s="3" t="s">
        <v>88</v>
      </c>
      <c r="I2616" s="3" t="s">
        <v>92</v>
      </c>
      <c r="J2616" s="3" t="s">
        <v>61</v>
      </c>
      <c r="K2616" s="4">
        <v>173.417</v>
      </c>
      <c r="L2616" s="6">
        <v>20.99</v>
      </c>
    </row>
    <row r="2617" spans="1:12" x14ac:dyDescent="0.25">
      <c r="A2617" s="1">
        <v>2616</v>
      </c>
      <c r="B2617" s="4">
        <v>18917</v>
      </c>
      <c r="C2617" s="5">
        <v>41032</v>
      </c>
      <c r="D2617" s="3" t="s">
        <v>95</v>
      </c>
      <c r="E2617" s="1" t="s">
        <v>393</v>
      </c>
      <c r="F2617" s="1" t="s">
        <v>34</v>
      </c>
      <c r="G2617" s="2" t="s">
        <v>1</v>
      </c>
      <c r="H2617" s="3" t="s">
        <v>84</v>
      </c>
      <c r="I2617" s="3" t="s">
        <v>85</v>
      </c>
      <c r="J2617" s="3" t="s">
        <v>69</v>
      </c>
      <c r="K2617" s="4">
        <v>28.82</v>
      </c>
      <c r="L2617" s="6">
        <v>2.08</v>
      </c>
    </row>
    <row r="2618" spans="1:12" x14ac:dyDescent="0.25">
      <c r="A2618" s="1">
        <v>2617</v>
      </c>
      <c r="B2618" s="4">
        <v>18918</v>
      </c>
      <c r="C2618" s="5">
        <v>41209</v>
      </c>
      <c r="D2618" s="3" t="s">
        <v>86</v>
      </c>
      <c r="E2618" s="1" t="s">
        <v>944</v>
      </c>
      <c r="F2618" s="1" t="s">
        <v>17</v>
      </c>
      <c r="G2618" s="2" t="s">
        <v>2</v>
      </c>
      <c r="H2618" s="3" t="s">
        <v>88</v>
      </c>
      <c r="I2618" s="3" t="s">
        <v>92</v>
      </c>
      <c r="J2618" s="3" t="s">
        <v>67</v>
      </c>
      <c r="K2618" s="4">
        <v>6362.94</v>
      </c>
      <c r="L2618" s="6">
        <v>999.99</v>
      </c>
    </row>
    <row r="2619" spans="1:12" x14ac:dyDescent="0.25">
      <c r="A2619" s="1">
        <v>2618</v>
      </c>
      <c r="B2619" s="4">
        <v>18919</v>
      </c>
      <c r="C2619" s="5">
        <v>39992</v>
      </c>
      <c r="D2619" s="3" t="s">
        <v>82</v>
      </c>
      <c r="E2619" s="1" t="s">
        <v>983</v>
      </c>
      <c r="F2619" s="1" t="s">
        <v>17</v>
      </c>
      <c r="G2619" s="2" t="s">
        <v>2</v>
      </c>
      <c r="H2619" s="3" t="s">
        <v>97</v>
      </c>
      <c r="I2619" s="3" t="s">
        <v>85</v>
      </c>
      <c r="J2619" s="3" t="s">
        <v>70</v>
      </c>
      <c r="K2619" s="4">
        <v>739.28</v>
      </c>
      <c r="L2619" s="6">
        <v>17.52</v>
      </c>
    </row>
    <row r="2620" spans="1:12" x14ac:dyDescent="0.25">
      <c r="A2620" s="1">
        <v>2619</v>
      </c>
      <c r="B2620" s="4">
        <v>18945</v>
      </c>
      <c r="C2620" s="5">
        <v>39830</v>
      </c>
      <c r="D2620" s="3" t="s">
        <v>4</v>
      </c>
      <c r="E2620" s="1" t="s">
        <v>934</v>
      </c>
      <c r="F2620" s="1" t="s">
        <v>44</v>
      </c>
      <c r="G2620" s="2" t="s">
        <v>3</v>
      </c>
      <c r="H2620" s="3" t="s">
        <v>88</v>
      </c>
      <c r="I2620" s="3" t="s">
        <v>92</v>
      </c>
      <c r="J2620" s="3" t="s">
        <v>62</v>
      </c>
      <c r="K2620" s="4">
        <v>528.54</v>
      </c>
      <c r="L2620" s="6">
        <v>16.48</v>
      </c>
    </row>
    <row r="2621" spans="1:12" x14ac:dyDescent="0.25">
      <c r="A2621" s="1">
        <v>2620</v>
      </c>
      <c r="B2621" s="4">
        <v>18946</v>
      </c>
      <c r="C2621" s="5">
        <v>40302</v>
      </c>
      <c r="D2621" s="3" t="s">
        <v>95</v>
      </c>
      <c r="E2621" s="1" t="s">
        <v>450</v>
      </c>
      <c r="F2621" s="1" t="s">
        <v>29</v>
      </c>
      <c r="G2621" s="2" t="s">
        <v>3</v>
      </c>
      <c r="H2621" s="3" t="s">
        <v>97</v>
      </c>
      <c r="I2621" s="3" t="s">
        <v>85</v>
      </c>
      <c r="J2621" s="3" t="s">
        <v>66</v>
      </c>
      <c r="K2621" s="4">
        <v>202.89</v>
      </c>
      <c r="L2621" s="6">
        <v>6.48</v>
      </c>
    </row>
    <row r="2622" spans="1:12" x14ac:dyDescent="0.25">
      <c r="A2622" s="1">
        <v>2621</v>
      </c>
      <c r="B2622" s="4">
        <v>18950</v>
      </c>
      <c r="C2622" s="5">
        <v>40966</v>
      </c>
      <c r="D2622" s="3" t="s">
        <v>82</v>
      </c>
      <c r="E2622" s="1" t="s">
        <v>243</v>
      </c>
      <c r="F2622" s="1" t="s">
        <v>31</v>
      </c>
      <c r="G2622" s="2" t="s">
        <v>1</v>
      </c>
      <c r="H2622" s="3" t="s">
        <v>84</v>
      </c>
      <c r="I2622" s="3" t="s">
        <v>92</v>
      </c>
      <c r="J2622" s="3" t="s">
        <v>67</v>
      </c>
      <c r="K2622" s="4">
        <v>3008.5</v>
      </c>
      <c r="L2622" s="6">
        <v>90.97</v>
      </c>
    </row>
    <row r="2623" spans="1:12" x14ac:dyDescent="0.25">
      <c r="A2623" s="1">
        <v>2622</v>
      </c>
      <c r="B2623" s="4">
        <v>18951</v>
      </c>
      <c r="C2623" s="5">
        <v>40723</v>
      </c>
      <c r="D2623" s="3" t="s">
        <v>95</v>
      </c>
      <c r="E2623" s="1" t="s">
        <v>237</v>
      </c>
      <c r="F2623" s="1" t="s">
        <v>21</v>
      </c>
      <c r="G2623" s="2" t="s">
        <v>1</v>
      </c>
      <c r="H2623" s="3" t="s">
        <v>88</v>
      </c>
      <c r="I2623" s="3" t="s">
        <v>85</v>
      </c>
      <c r="J2623" s="3" t="s">
        <v>66</v>
      </c>
      <c r="K2623" s="4">
        <v>61.5</v>
      </c>
      <c r="L2623" s="6">
        <v>3.98</v>
      </c>
    </row>
    <row r="2624" spans="1:12" x14ac:dyDescent="0.25">
      <c r="A2624" s="1">
        <v>2623</v>
      </c>
      <c r="B2624" s="4">
        <v>18951</v>
      </c>
      <c r="C2624" s="5">
        <v>40723</v>
      </c>
      <c r="D2624" s="3" t="s">
        <v>95</v>
      </c>
      <c r="E2624" s="1" t="s">
        <v>389</v>
      </c>
      <c r="F2624" s="1" t="s">
        <v>21</v>
      </c>
      <c r="G2624" s="2" t="s">
        <v>1</v>
      </c>
      <c r="H2624" s="3" t="s">
        <v>88</v>
      </c>
      <c r="I2624" s="3" t="s">
        <v>92</v>
      </c>
      <c r="J2624" s="3" t="s">
        <v>61</v>
      </c>
      <c r="K2624" s="4">
        <v>324.3175</v>
      </c>
      <c r="L2624" s="6">
        <v>35.99</v>
      </c>
    </row>
    <row r="2625" spans="1:12" x14ac:dyDescent="0.25">
      <c r="A2625" s="1">
        <v>2624</v>
      </c>
      <c r="B2625" s="4">
        <v>19010</v>
      </c>
      <c r="C2625" s="5">
        <v>39971</v>
      </c>
      <c r="D2625" s="3" t="s">
        <v>82</v>
      </c>
      <c r="E2625" s="1" t="s">
        <v>648</v>
      </c>
      <c r="F2625" s="1" t="s">
        <v>8</v>
      </c>
      <c r="G2625" s="2" t="s">
        <v>6</v>
      </c>
      <c r="H2625" s="3" t="s">
        <v>84</v>
      </c>
      <c r="I2625" s="3" t="s">
        <v>85</v>
      </c>
      <c r="J2625" s="3" t="s">
        <v>69</v>
      </c>
      <c r="K2625" s="4">
        <v>23792.93</v>
      </c>
      <c r="L2625" s="6">
        <v>1270.99</v>
      </c>
    </row>
    <row r="2626" spans="1:12" x14ac:dyDescent="0.25">
      <c r="A2626" s="1">
        <v>2625</v>
      </c>
      <c r="B2626" s="4">
        <v>19040</v>
      </c>
      <c r="C2626" s="5">
        <v>40896</v>
      </c>
      <c r="D2626" s="3" t="s">
        <v>89</v>
      </c>
      <c r="E2626" s="1" t="s">
        <v>941</v>
      </c>
      <c r="F2626" s="1" t="s">
        <v>24</v>
      </c>
      <c r="G2626" s="2" t="s">
        <v>2</v>
      </c>
      <c r="H2626" s="3" t="s">
        <v>88</v>
      </c>
      <c r="I2626" s="3" t="s">
        <v>85</v>
      </c>
      <c r="J2626" s="3" t="s">
        <v>63</v>
      </c>
      <c r="K2626" s="4">
        <v>211.97</v>
      </c>
      <c r="L2626" s="6">
        <v>21.38</v>
      </c>
    </row>
    <row r="2627" spans="1:12" x14ac:dyDescent="0.25">
      <c r="A2627" s="1">
        <v>2626</v>
      </c>
      <c r="B2627" s="4">
        <v>19041</v>
      </c>
      <c r="C2627" s="5">
        <v>40750</v>
      </c>
      <c r="D2627" s="3" t="s">
        <v>82</v>
      </c>
      <c r="E2627" s="1" t="s">
        <v>975</v>
      </c>
      <c r="F2627" s="1" t="s">
        <v>24</v>
      </c>
      <c r="G2627" s="2" t="s">
        <v>2</v>
      </c>
      <c r="H2627" s="3" t="s">
        <v>88</v>
      </c>
      <c r="I2627" s="3" t="s">
        <v>85</v>
      </c>
      <c r="J2627" s="3" t="s">
        <v>70</v>
      </c>
      <c r="K2627" s="4">
        <v>36.06</v>
      </c>
      <c r="L2627" s="6">
        <v>10.89</v>
      </c>
    </row>
    <row r="2628" spans="1:12" x14ac:dyDescent="0.25">
      <c r="A2628" s="1">
        <v>2627</v>
      </c>
      <c r="B2628" s="4">
        <v>19041</v>
      </c>
      <c r="C2628" s="5">
        <v>40750</v>
      </c>
      <c r="D2628" s="3" t="s">
        <v>82</v>
      </c>
      <c r="E2628" s="1" t="s">
        <v>975</v>
      </c>
      <c r="F2628" s="1" t="s">
        <v>24</v>
      </c>
      <c r="G2628" s="2" t="s">
        <v>2</v>
      </c>
      <c r="H2628" s="3" t="s">
        <v>88</v>
      </c>
      <c r="I2628" s="3" t="s">
        <v>85</v>
      </c>
      <c r="J2628" s="3" t="s">
        <v>70</v>
      </c>
      <c r="K2628" s="4">
        <v>1849.8</v>
      </c>
      <c r="L2628" s="6">
        <v>42.98</v>
      </c>
    </row>
    <row r="2629" spans="1:12" x14ac:dyDescent="0.25">
      <c r="A2629" s="1">
        <v>2628</v>
      </c>
      <c r="B2629" s="4">
        <v>19042</v>
      </c>
      <c r="C2629" s="5">
        <v>39873</v>
      </c>
      <c r="D2629" s="3" t="s">
        <v>95</v>
      </c>
      <c r="E2629" s="1" t="s">
        <v>904</v>
      </c>
      <c r="F2629" s="1" t="s">
        <v>38</v>
      </c>
      <c r="G2629" s="2" t="s">
        <v>6</v>
      </c>
      <c r="H2629" s="3" t="s">
        <v>88</v>
      </c>
      <c r="I2629" s="3" t="s">
        <v>85</v>
      </c>
      <c r="J2629" s="3" t="s">
        <v>69</v>
      </c>
      <c r="K2629" s="4">
        <v>327.61</v>
      </c>
      <c r="L2629" s="6">
        <v>40.98</v>
      </c>
    </row>
    <row r="2630" spans="1:12" x14ac:dyDescent="0.25">
      <c r="A2630" s="1">
        <v>2629</v>
      </c>
      <c r="B2630" s="4">
        <v>19044</v>
      </c>
      <c r="C2630" s="5">
        <v>41010</v>
      </c>
      <c r="D2630" s="3" t="s">
        <v>82</v>
      </c>
      <c r="E2630" s="1" t="s">
        <v>837</v>
      </c>
      <c r="F2630" s="1" t="s">
        <v>30</v>
      </c>
      <c r="G2630" s="2" t="s">
        <v>6</v>
      </c>
      <c r="H2630" s="3" t="s">
        <v>88</v>
      </c>
      <c r="I2630" s="3" t="s">
        <v>92</v>
      </c>
      <c r="J2630" s="3" t="s">
        <v>67</v>
      </c>
      <c r="K2630" s="4">
        <v>4800.4399999999996</v>
      </c>
      <c r="L2630" s="6">
        <v>150.97999999999999</v>
      </c>
    </row>
    <row r="2631" spans="1:12" x14ac:dyDescent="0.25">
      <c r="A2631" s="1">
        <v>2630</v>
      </c>
      <c r="B2631" s="4">
        <v>19044</v>
      </c>
      <c r="C2631" s="5">
        <v>41010</v>
      </c>
      <c r="D2631" s="3" t="s">
        <v>82</v>
      </c>
      <c r="E2631" s="1" t="s">
        <v>837</v>
      </c>
      <c r="F2631" s="1" t="s">
        <v>30</v>
      </c>
      <c r="G2631" s="2" t="s">
        <v>6</v>
      </c>
      <c r="H2631" s="3" t="s">
        <v>88</v>
      </c>
      <c r="I2631" s="3" t="s">
        <v>85</v>
      </c>
      <c r="J2631" s="3" t="s">
        <v>57</v>
      </c>
      <c r="K2631" s="4">
        <v>271.33</v>
      </c>
      <c r="L2631" s="6">
        <v>9.7100000000000009</v>
      </c>
    </row>
    <row r="2632" spans="1:12" x14ac:dyDescent="0.25">
      <c r="A2632" s="1">
        <v>2631</v>
      </c>
      <c r="B2632" s="4">
        <v>19047</v>
      </c>
      <c r="C2632" s="5">
        <v>39841</v>
      </c>
      <c r="D2632" s="3" t="s">
        <v>89</v>
      </c>
      <c r="E2632" s="1" t="s">
        <v>941</v>
      </c>
      <c r="F2632" s="1" t="s">
        <v>24</v>
      </c>
      <c r="G2632" s="2" t="s">
        <v>2</v>
      </c>
      <c r="H2632" s="3" t="s">
        <v>88</v>
      </c>
      <c r="I2632" s="3" t="s">
        <v>85</v>
      </c>
      <c r="J2632" s="3" t="s">
        <v>66</v>
      </c>
      <c r="K2632" s="4">
        <v>67.489999999999995</v>
      </c>
      <c r="L2632" s="6">
        <v>55.48</v>
      </c>
    </row>
    <row r="2633" spans="1:12" x14ac:dyDescent="0.25">
      <c r="A2633" s="1">
        <v>2632</v>
      </c>
      <c r="B2633" s="4">
        <v>19047</v>
      </c>
      <c r="C2633" s="5">
        <v>39841</v>
      </c>
      <c r="D2633" s="3" t="s">
        <v>89</v>
      </c>
      <c r="E2633" s="1" t="s">
        <v>941</v>
      </c>
      <c r="F2633" s="1" t="s">
        <v>24</v>
      </c>
      <c r="G2633" s="2" t="s">
        <v>2</v>
      </c>
      <c r="H2633" s="3" t="s">
        <v>88</v>
      </c>
      <c r="I2633" s="3" t="s">
        <v>85</v>
      </c>
      <c r="J2633" s="3" t="s">
        <v>63</v>
      </c>
      <c r="K2633" s="4">
        <v>6.76</v>
      </c>
      <c r="L2633" s="6">
        <v>1.68</v>
      </c>
    </row>
    <row r="2634" spans="1:12" x14ac:dyDescent="0.25">
      <c r="A2634" s="1">
        <v>2633</v>
      </c>
      <c r="B2634" s="4">
        <v>19073</v>
      </c>
      <c r="C2634" s="5">
        <v>39988</v>
      </c>
      <c r="D2634" s="3" t="s">
        <v>86</v>
      </c>
      <c r="E2634" s="1" t="s">
        <v>984</v>
      </c>
      <c r="F2634" s="1" t="s">
        <v>38</v>
      </c>
      <c r="G2634" s="2" t="s">
        <v>6</v>
      </c>
      <c r="H2634" s="3" t="s">
        <v>88</v>
      </c>
      <c r="I2634" s="3" t="s">
        <v>91</v>
      </c>
      <c r="J2634" s="3" t="s">
        <v>59</v>
      </c>
      <c r="K2634" s="4">
        <v>178.4</v>
      </c>
      <c r="L2634" s="6">
        <v>10.64</v>
      </c>
    </row>
    <row r="2635" spans="1:12" x14ac:dyDescent="0.25">
      <c r="A2635" s="1">
        <v>2634</v>
      </c>
      <c r="B2635" s="4">
        <v>19073</v>
      </c>
      <c r="C2635" s="5">
        <v>39988</v>
      </c>
      <c r="D2635" s="3" t="s">
        <v>86</v>
      </c>
      <c r="E2635" s="1" t="s">
        <v>984</v>
      </c>
      <c r="F2635" s="1" t="s">
        <v>38</v>
      </c>
      <c r="G2635" s="2" t="s">
        <v>6</v>
      </c>
      <c r="H2635" s="3" t="s">
        <v>88</v>
      </c>
      <c r="I2635" s="3" t="s">
        <v>85</v>
      </c>
      <c r="J2635" s="3" t="s">
        <v>63</v>
      </c>
      <c r="K2635" s="4">
        <v>115.01</v>
      </c>
      <c r="L2635" s="6">
        <v>2.78</v>
      </c>
    </row>
    <row r="2636" spans="1:12" x14ac:dyDescent="0.25">
      <c r="A2636" s="1">
        <v>2635</v>
      </c>
      <c r="B2636" s="4">
        <v>19074</v>
      </c>
      <c r="C2636" s="5">
        <v>41085</v>
      </c>
      <c r="D2636" s="3" t="s">
        <v>95</v>
      </c>
      <c r="E2636" s="1" t="s">
        <v>655</v>
      </c>
      <c r="F2636" s="1" t="s">
        <v>28</v>
      </c>
      <c r="G2636" s="2" t="s">
        <v>6</v>
      </c>
      <c r="H2636" s="3" t="s">
        <v>88</v>
      </c>
      <c r="I2636" s="3" t="s">
        <v>85</v>
      </c>
      <c r="J2636" s="3" t="s">
        <v>70</v>
      </c>
      <c r="K2636" s="4">
        <v>3816.59</v>
      </c>
      <c r="L2636" s="6">
        <v>208.16</v>
      </c>
    </row>
    <row r="2637" spans="1:12" x14ac:dyDescent="0.25">
      <c r="A2637" s="1">
        <v>2636</v>
      </c>
      <c r="B2637" s="4">
        <v>19075</v>
      </c>
      <c r="C2637" s="5">
        <v>40082</v>
      </c>
      <c r="D2637" s="3" t="s">
        <v>95</v>
      </c>
      <c r="E2637" s="1" t="s">
        <v>549</v>
      </c>
      <c r="F2637" s="1" t="s">
        <v>26</v>
      </c>
      <c r="G2637" s="2" t="s">
        <v>3</v>
      </c>
      <c r="H2637" s="3" t="s">
        <v>97</v>
      </c>
      <c r="I2637" s="3" t="s">
        <v>92</v>
      </c>
      <c r="J2637" s="3" t="s">
        <v>62</v>
      </c>
      <c r="K2637" s="4">
        <v>1841.6</v>
      </c>
      <c r="L2637" s="6">
        <v>50.98</v>
      </c>
    </row>
    <row r="2638" spans="1:12" x14ac:dyDescent="0.25">
      <c r="A2638" s="1">
        <v>2637</v>
      </c>
      <c r="B2638" s="4">
        <v>19078</v>
      </c>
      <c r="C2638" s="5">
        <v>40021</v>
      </c>
      <c r="D2638" s="3" t="s">
        <v>95</v>
      </c>
      <c r="E2638" s="1" t="s">
        <v>985</v>
      </c>
      <c r="F2638" s="1" t="s">
        <v>8</v>
      </c>
      <c r="G2638" s="2" t="s">
        <v>6</v>
      </c>
      <c r="H2638" s="3" t="s">
        <v>88</v>
      </c>
      <c r="I2638" s="3" t="s">
        <v>85</v>
      </c>
      <c r="J2638" s="3" t="s">
        <v>70</v>
      </c>
      <c r="K2638" s="4">
        <v>256.12</v>
      </c>
      <c r="L2638" s="6">
        <v>11.97</v>
      </c>
    </row>
    <row r="2639" spans="1:12" x14ac:dyDescent="0.25">
      <c r="A2639" s="1">
        <v>2638</v>
      </c>
      <c r="B2639" s="4">
        <v>19104</v>
      </c>
      <c r="C2639" s="5">
        <v>40400</v>
      </c>
      <c r="D2639" s="3" t="s">
        <v>89</v>
      </c>
      <c r="E2639" s="1" t="s">
        <v>944</v>
      </c>
      <c r="F2639" s="1" t="s">
        <v>17</v>
      </c>
      <c r="G2639" s="2" t="s">
        <v>2</v>
      </c>
      <c r="H2639" s="3" t="s">
        <v>84</v>
      </c>
      <c r="I2639" s="3" t="s">
        <v>92</v>
      </c>
      <c r="J2639" s="3" t="s">
        <v>61</v>
      </c>
      <c r="K2639" s="4">
        <v>5085.9070000000002</v>
      </c>
      <c r="L2639" s="6">
        <v>125.99</v>
      </c>
    </row>
    <row r="2640" spans="1:12" x14ac:dyDescent="0.25">
      <c r="A2640" s="1">
        <v>2639</v>
      </c>
      <c r="B2640" s="4">
        <v>19105</v>
      </c>
      <c r="C2640" s="5">
        <v>40114</v>
      </c>
      <c r="D2640" s="3" t="s">
        <v>89</v>
      </c>
      <c r="E2640" s="1" t="s">
        <v>560</v>
      </c>
      <c r="F2640" s="1" t="s">
        <v>37</v>
      </c>
      <c r="G2640" s="2" t="s">
        <v>3</v>
      </c>
      <c r="H2640" s="3" t="s">
        <v>88</v>
      </c>
      <c r="I2640" s="3" t="s">
        <v>85</v>
      </c>
      <c r="J2640" s="3" t="s">
        <v>66</v>
      </c>
      <c r="K2640" s="4">
        <v>1370.56</v>
      </c>
      <c r="L2640" s="6">
        <v>48.91</v>
      </c>
    </row>
    <row r="2641" spans="1:12" x14ac:dyDescent="0.25">
      <c r="A2641" s="1">
        <v>2640</v>
      </c>
      <c r="B2641" s="4">
        <v>19105</v>
      </c>
      <c r="C2641" s="5">
        <v>40114</v>
      </c>
      <c r="D2641" s="3" t="s">
        <v>89</v>
      </c>
      <c r="E2641" s="1" t="s">
        <v>560</v>
      </c>
      <c r="F2641" s="1" t="s">
        <v>37</v>
      </c>
      <c r="G2641" s="2" t="s">
        <v>3</v>
      </c>
      <c r="H2641" s="3" t="s">
        <v>88</v>
      </c>
      <c r="I2641" s="3" t="s">
        <v>85</v>
      </c>
      <c r="J2641" s="3" t="s">
        <v>66</v>
      </c>
      <c r="K2641" s="4">
        <v>172.98</v>
      </c>
      <c r="L2641" s="6">
        <v>5.98</v>
      </c>
    </row>
    <row r="2642" spans="1:12" x14ac:dyDescent="0.25">
      <c r="A2642" s="1">
        <v>2641</v>
      </c>
      <c r="B2642" s="4">
        <v>19111</v>
      </c>
      <c r="C2642" s="5">
        <v>40090</v>
      </c>
      <c r="D2642" s="3" t="s">
        <v>82</v>
      </c>
      <c r="E2642" s="1" t="s">
        <v>986</v>
      </c>
      <c r="F2642" s="1" t="s">
        <v>31</v>
      </c>
      <c r="G2642" s="2" t="s">
        <v>1</v>
      </c>
      <c r="H2642" s="3" t="s">
        <v>100</v>
      </c>
      <c r="I2642" s="3" t="s">
        <v>92</v>
      </c>
      <c r="J2642" s="3" t="s">
        <v>62</v>
      </c>
      <c r="K2642" s="4">
        <v>195.83</v>
      </c>
      <c r="L2642" s="6">
        <v>8.33</v>
      </c>
    </row>
    <row r="2643" spans="1:12" x14ac:dyDescent="0.25">
      <c r="A2643" s="1">
        <v>2642</v>
      </c>
      <c r="B2643" s="4">
        <v>19136</v>
      </c>
      <c r="C2643" s="5">
        <v>40394</v>
      </c>
      <c r="D2643" s="3" t="s">
        <v>86</v>
      </c>
      <c r="E2643" s="1" t="s">
        <v>987</v>
      </c>
      <c r="F2643" s="1" t="s">
        <v>37</v>
      </c>
      <c r="G2643" s="2" t="s">
        <v>3</v>
      </c>
      <c r="H2643" s="3" t="s">
        <v>88</v>
      </c>
      <c r="I2643" s="3" t="s">
        <v>92</v>
      </c>
      <c r="J2643" s="3" t="s">
        <v>61</v>
      </c>
      <c r="K2643" s="4">
        <v>1372.9455</v>
      </c>
      <c r="L2643" s="6">
        <v>35.99</v>
      </c>
    </row>
    <row r="2644" spans="1:12" x14ac:dyDescent="0.25">
      <c r="A2644" s="1">
        <v>2643</v>
      </c>
      <c r="B2644" s="4">
        <v>19138</v>
      </c>
      <c r="C2644" s="5">
        <v>40791</v>
      </c>
      <c r="D2644" s="3" t="s">
        <v>82</v>
      </c>
      <c r="E2644" s="1" t="s">
        <v>185</v>
      </c>
      <c r="F2644" s="1" t="s">
        <v>8</v>
      </c>
      <c r="G2644" s="2" t="s">
        <v>6</v>
      </c>
      <c r="H2644" s="3" t="s">
        <v>97</v>
      </c>
      <c r="I2644" s="3" t="s">
        <v>85</v>
      </c>
      <c r="J2644" s="3" t="s">
        <v>57</v>
      </c>
      <c r="K2644" s="4">
        <v>387</v>
      </c>
      <c r="L2644" s="6">
        <v>12.28</v>
      </c>
    </row>
    <row r="2645" spans="1:12" x14ac:dyDescent="0.25">
      <c r="A2645" s="1">
        <v>2644</v>
      </c>
      <c r="B2645" s="4">
        <v>19139</v>
      </c>
      <c r="C2645" s="5">
        <v>40515</v>
      </c>
      <c r="D2645" s="3" t="s">
        <v>86</v>
      </c>
      <c r="E2645" s="1" t="s">
        <v>720</v>
      </c>
      <c r="F2645" s="1" t="s">
        <v>31</v>
      </c>
      <c r="G2645" s="2" t="s">
        <v>1</v>
      </c>
      <c r="H2645" s="3" t="s">
        <v>88</v>
      </c>
      <c r="I2645" s="3" t="s">
        <v>85</v>
      </c>
      <c r="J2645" s="3" t="s">
        <v>66</v>
      </c>
      <c r="K2645" s="4">
        <v>94.84</v>
      </c>
      <c r="L2645" s="6">
        <v>5.98</v>
      </c>
    </row>
    <row r="2646" spans="1:12" x14ac:dyDescent="0.25">
      <c r="A2646" s="1">
        <v>2645</v>
      </c>
      <c r="B2646" s="4">
        <v>19140</v>
      </c>
      <c r="C2646" s="5">
        <v>40086</v>
      </c>
      <c r="D2646" s="3" t="s">
        <v>4</v>
      </c>
      <c r="E2646" s="1" t="s">
        <v>793</v>
      </c>
      <c r="F2646" s="1" t="s">
        <v>33</v>
      </c>
      <c r="G2646" s="2" t="s">
        <v>2</v>
      </c>
      <c r="H2646" s="3" t="s">
        <v>88</v>
      </c>
      <c r="I2646" s="3" t="s">
        <v>85</v>
      </c>
      <c r="J2646" s="3" t="s">
        <v>69</v>
      </c>
      <c r="K2646" s="4">
        <v>314</v>
      </c>
      <c r="L2646" s="6">
        <v>6.54</v>
      </c>
    </row>
    <row r="2647" spans="1:12" x14ac:dyDescent="0.25">
      <c r="A2647" s="1">
        <v>2646</v>
      </c>
      <c r="B2647" s="4">
        <v>19140</v>
      </c>
      <c r="C2647" s="5">
        <v>40086</v>
      </c>
      <c r="D2647" s="3" t="s">
        <v>4</v>
      </c>
      <c r="E2647" s="1" t="s">
        <v>988</v>
      </c>
      <c r="F2647" s="1" t="s">
        <v>33</v>
      </c>
      <c r="G2647" s="2" t="s">
        <v>2</v>
      </c>
      <c r="H2647" s="3" t="s">
        <v>88</v>
      </c>
      <c r="I2647" s="3" t="s">
        <v>85</v>
      </c>
      <c r="J2647" s="3" t="s">
        <v>64</v>
      </c>
      <c r="K2647" s="4">
        <v>155.54</v>
      </c>
      <c r="L2647" s="6">
        <v>3.29</v>
      </c>
    </row>
    <row r="2648" spans="1:12" x14ac:dyDescent="0.25">
      <c r="A2648" s="1">
        <v>2647</v>
      </c>
      <c r="B2648" s="4">
        <v>19143</v>
      </c>
      <c r="C2648" s="5">
        <v>41217</v>
      </c>
      <c r="D2648" s="3" t="s">
        <v>89</v>
      </c>
      <c r="E2648" s="1" t="s">
        <v>852</v>
      </c>
      <c r="F2648" s="1" t="s">
        <v>24</v>
      </c>
      <c r="G2648" s="2" t="s">
        <v>2</v>
      </c>
      <c r="H2648" s="3" t="s">
        <v>97</v>
      </c>
      <c r="I2648" s="3" t="s">
        <v>92</v>
      </c>
      <c r="J2648" s="3" t="s">
        <v>67</v>
      </c>
      <c r="K2648" s="4">
        <v>2421.02</v>
      </c>
      <c r="L2648" s="6">
        <v>810.98</v>
      </c>
    </row>
    <row r="2649" spans="1:12" x14ac:dyDescent="0.25">
      <c r="A2649" s="1">
        <v>2648</v>
      </c>
      <c r="B2649" s="4">
        <v>19174</v>
      </c>
      <c r="C2649" s="5">
        <v>40375</v>
      </c>
      <c r="D2649" s="3" t="s">
        <v>4</v>
      </c>
      <c r="E2649" s="1" t="s">
        <v>122</v>
      </c>
      <c r="F2649" s="1" t="s">
        <v>21</v>
      </c>
      <c r="G2649" s="2" t="s">
        <v>1</v>
      </c>
      <c r="H2649" s="3" t="s">
        <v>84</v>
      </c>
      <c r="I2649" s="3" t="s">
        <v>85</v>
      </c>
      <c r="J2649" s="3" t="s">
        <v>69</v>
      </c>
      <c r="K2649" s="4">
        <v>214.62</v>
      </c>
      <c r="L2649" s="6">
        <v>4.24</v>
      </c>
    </row>
    <row r="2650" spans="1:12" x14ac:dyDescent="0.25">
      <c r="A2650" s="1">
        <v>2649</v>
      </c>
      <c r="B2650" s="4">
        <v>19174</v>
      </c>
      <c r="C2650" s="5">
        <v>40375</v>
      </c>
      <c r="D2650" s="3" t="s">
        <v>4</v>
      </c>
      <c r="E2650" s="1" t="s">
        <v>989</v>
      </c>
      <c r="F2650" s="1" t="s">
        <v>39</v>
      </c>
      <c r="G2650" s="2" t="s">
        <v>1</v>
      </c>
      <c r="H2650" s="3" t="s">
        <v>84</v>
      </c>
      <c r="I2650" s="3" t="s">
        <v>92</v>
      </c>
      <c r="J2650" s="3" t="s">
        <v>61</v>
      </c>
      <c r="K2650" s="4">
        <v>5311.973</v>
      </c>
      <c r="L2650" s="6">
        <v>179.99</v>
      </c>
    </row>
    <row r="2651" spans="1:12" x14ac:dyDescent="0.25">
      <c r="A2651" s="1">
        <v>2650</v>
      </c>
      <c r="B2651" s="4">
        <v>19174</v>
      </c>
      <c r="C2651" s="5">
        <v>40375</v>
      </c>
      <c r="D2651" s="3" t="s">
        <v>4</v>
      </c>
      <c r="E2651" s="1" t="s">
        <v>990</v>
      </c>
      <c r="F2651" s="1" t="s">
        <v>39</v>
      </c>
      <c r="G2651" s="2" t="s">
        <v>1</v>
      </c>
      <c r="H2651" s="3" t="s">
        <v>84</v>
      </c>
      <c r="I2651" s="3" t="s">
        <v>92</v>
      </c>
      <c r="J2651" s="3" t="s">
        <v>61</v>
      </c>
      <c r="K2651" s="4">
        <v>1061.905</v>
      </c>
      <c r="L2651" s="6">
        <v>65.989999999999995</v>
      </c>
    </row>
    <row r="2652" spans="1:12" x14ac:dyDescent="0.25">
      <c r="A2652" s="1">
        <v>2651</v>
      </c>
      <c r="B2652" s="4">
        <v>19174</v>
      </c>
      <c r="C2652" s="5">
        <v>40375</v>
      </c>
      <c r="D2652" s="3" t="s">
        <v>4</v>
      </c>
      <c r="E2652" s="1" t="s">
        <v>175</v>
      </c>
      <c r="F2652" s="1" t="s">
        <v>39</v>
      </c>
      <c r="G2652" s="2" t="s">
        <v>1</v>
      </c>
      <c r="H2652" s="3" t="s">
        <v>84</v>
      </c>
      <c r="I2652" s="3" t="s">
        <v>92</v>
      </c>
      <c r="J2652" s="3" t="s">
        <v>62</v>
      </c>
      <c r="K2652" s="4">
        <v>1631.04</v>
      </c>
      <c r="L2652" s="6">
        <v>33.979999999999997</v>
      </c>
    </row>
    <row r="2653" spans="1:12" x14ac:dyDescent="0.25">
      <c r="A2653" s="1">
        <v>2652</v>
      </c>
      <c r="B2653" s="4">
        <v>19175</v>
      </c>
      <c r="C2653" s="5">
        <v>40044</v>
      </c>
      <c r="D2653" s="3" t="s">
        <v>82</v>
      </c>
      <c r="E2653" s="1" t="s">
        <v>233</v>
      </c>
      <c r="F2653" s="1" t="s">
        <v>33</v>
      </c>
      <c r="G2653" s="2" t="s">
        <v>2</v>
      </c>
      <c r="H2653" s="3" t="s">
        <v>100</v>
      </c>
      <c r="I2653" s="3" t="s">
        <v>92</v>
      </c>
      <c r="J2653" s="3" t="s">
        <v>61</v>
      </c>
      <c r="K2653" s="4">
        <v>1133.4494999999999</v>
      </c>
      <c r="L2653" s="6">
        <v>65.989999999999995</v>
      </c>
    </row>
    <row r="2654" spans="1:12" x14ac:dyDescent="0.25">
      <c r="A2654" s="1">
        <v>2653</v>
      </c>
      <c r="B2654" s="4">
        <v>19204</v>
      </c>
      <c r="C2654" s="5">
        <v>40074</v>
      </c>
      <c r="D2654" s="3" t="s">
        <v>4</v>
      </c>
      <c r="E2654" s="1" t="s">
        <v>991</v>
      </c>
      <c r="F2654" s="1" t="s">
        <v>13</v>
      </c>
      <c r="G2654" s="2" t="s">
        <v>6</v>
      </c>
      <c r="H2654" s="3" t="s">
        <v>88</v>
      </c>
      <c r="I2654" s="3" t="s">
        <v>91</v>
      </c>
      <c r="J2654" s="3" t="s">
        <v>59</v>
      </c>
      <c r="K2654" s="4">
        <v>233.92</v>
      </c>
      <c r="L2654" s="6">
        <v>8.75</v>
      </c>
    </row>
    <row r="2655" spans="1:12" x14ac:dyDescent="0.25">
      <c r="A2655" s="1">
        <v>2654</v>
      </c>
      <c r="B2655" s="4">
        <v>19204</v>
      </c>
      <c r="C2655" s="5">
        <v>40074</v>
      </c>
      <c r="D2655" s="3" t="s">
        <v>4</v>
      </c>
      <c r="E2655" s="1" t="s">
        <v>450</v>
      </c>
      <c r="F2655" s="1" t="s">
        <v>13</v>
      </c>
      <c r="G2655" s="2" t="s">
        <v>6</v>
      </c>
      <c r="H2655" s="3" t="s">
        <v>88</v>
      </c>
      <c r="I2655" s="3" t="s">
        <v>85</v>
      </c>
      <c r="J2655" s="3" t="s">
        <v>66</v>
      </c>
      <c r="K2655" s="4">
        <v>1642.05</v>
      </c>
      <c r="L2655" s="6">
        <v>55.98</v>
      </c>
    </row>
    <row r="2656" spans="1:12" x14ac:dyDescent="0.25">
      <c r="A2656" s="1">
        <v>2655</v>
      </c>
      <c r="B2656" s="4">
        <v>19205</v>
      </c>
      <c r="C2656" s="5">
        <v>40385</v>
      </c>
      <c r="D2656" s="3" t="s">
        <v>4</v>
      </c>
      <c r="E2656" s="1" t="s">
        <v>459</v>
      </c>
      <c r="F2656" s="1" t="s">
        <v>35</v>
      </c>
      <c r="G2656" s="2" t="s">
        <v>1</v>
      </c>
      <c r="H2656" s="3" t="s">
        <v>84</v>
      </c>
      <c r="I2656" s="3" t="s">
        <v>85</v>
      </c>
      <c r="J2656" s="3" t="s">
        <v>66</v>
      </c>
      <c r="K2656" s="4">
        <v>1291.3499999999999</v>
      </c>
      <c r="L2656" s="6">
        <v>26.38</v>
      </c>
    </row>
    <row r="2657" spans="1:12" x14ac:dyDescent="0.25">
      <c r="A2657" s="1">
        <v>2656</v>
      </c>
      <c r="B2657" s="4">
        <v>19205</v>
      </c>
      <c r="C2657" s="5">
        <v>40385</v>
      </c>
      <c r="D2657" s="3" t="s">
        <v>4</v>
      </c>
      <c r="E2657" s="1" t="s">
        <v>459</v>
      </c>
      <c r="F2657" s="1" t="s">
        <v>35</v>
      </c>
      <c r="G2657" s="2" t="s">
        <v>1</v>
      </c>
      <c r="H2657" s="3" t="s">
        <v>84</v>
      </c>
      <c r="I2657" s="3" t="s">
        <v>85</v>
      </c>
      <c r="J2657" s="3" t="s">
        <v>63</v>
      </c>
      <c r="K2657" s="4">
        <v>107.97</v>
      </c>
      <c r="L2657" s="6">
        <v>3.26</v>
      </c>
    </row>
    <row r="2658" spans="1:12" x14ac:dyDescent="0.25">
      <c r="A2658" s="1">
        <v>2657</v>
      </c>
      <c r="B2658" s="4">
        <v>19206</v>
      </c>
      <c r="C2658" s="5">
        <v>40267</v>
      </c>
      <c r="D2658" s="3" t="s">
        <v>82</v>
      </c>
      <c r="E2658" s="1" t="s">
        <v>987</v>
      </c>
      <c r="F2658" s="1" t="s">
        <v>37</v>
      </c>
      <c r="G2658" s="2" t="s">
        <v>3</v>
      </c>
      <c r="H2658" s="3" t="s">
        <v>88</v>
      </c>
      <c r="I2658" s="3" t="s">
        <v>85</v>
      </c>
      <c r="J2658" s="3" t="s">
        <v>69</v>
      </c>
      <c r="K2658" s="4">
        <v>88.02</v>
      </c>
      <c r="L2658" s="6">
        <v>2.08</v>
      </c>
    </row>
    <row r="2659" spans="1:12" x14ac:dyDescent="0.25">
      <c r="A2659" s="1">
        <v>2658</v>
      </c>
      <c r="B2659" s="4">
        <v>19206</v>
      </c>
      <c r="C2659" s="5">
        <v>40267</v>
      </c>
      <c r="D2659" s="3" t="s">
        <v>82</v>
      </c>
      <c r="E2659" s="1" t="s">
        <v>987</v>
      </c>
      <c r="F2659" s="1" t="s">
        <v>37</v>
      </c>
      <c r="G2659" s="2" t="s">
        <v>3</v>
      </c>
      <c r="H2659" s="3" t="s">
        <v>88</v>
      </c>
      <c r="I2659" s="3" t="s">
        <v>91</v>
      </c>
      <c r="J2659" s="3" t="s">
        <v>72</v>
      </c>
      <c r="K2659" s="4">
        <v>800</v>
      </c>
      <c r="L2659" s="6">
        <v>25.98</v>
      </c>
    </row>
    <row r="2660" spans="1:12" x14ac:dyDescent="0.25">
      <c r="A2660" s="1">
        <v>2659</v>
      </c>
      <c r="B2660" s="4">
        <v>19207</v>
      </c>
      <c r="C2660" s="5">
        <v>40983</v>
      </c>
      <c r="D2660" s="3" t="s">
        <v>86</v>
      </c>
      <c r="E2660" s="1" t="s">
        <v>788</v>
      </c>
      <c r="F2660" s="1" t="s">
        <v>17</v>
      </c>
      <c r="G2660" s="2" t="s">
        <v>2</v>
      </c>
      <c r="H2660" s="3" t="s">
        <v>88</v>
      </c>
      <c r="I2660" s="3" t="s">
        <v>85</v>
      </c>
      <c r="J2660" s="3" t="s">
        <v>65</v>
      </c>
      <c r="K2660" s="4">
        <v>66.02</v>
      </c>
      <c r="L2660" s="6">
        <v>3.08</v>
      </c>
    </row>
    <row r="2661" spans="1:12" x14ac:dyDescent="0.25">
      <c r="A2661" s="1">
        <v>2660</v>
      </c>
      <c r="B2661" s="4">
        <v>19207</v>
      </c>
      <c r="C2661" s="5">
        <v>40983</v>
      </c>
      <c r="D2661" s="3" t="s">
        <v>86</v>
      </c>
      <c r="E2661" s="1" t="s">
        <v>788</v>
      </c>
      <c r="F2661" s="1" t="s">
        <v>17</v>
      </c>
      <c r="G2661" s="2" t="s">
        <v>2</v>
      </c>
      <c r="H2661" s="3" t="s">
        <v>88</v>
      </c>
      <c r="I2661" s="3" t="s">
        <v>85</v>
      </c>
      <c r="J2661" s="3" t="s">
        <v>64</v>
      </c>
      <c r="K2661" s="4">
        <v>15.53</v>
      </c>
      <c r="L2661" s="6">
        <v>1.26</v>
      </c>
    </row>
    <row r="2662" spans="1:12" x14ac:dyDescent="0.25">
      <c r="A2662" s="1">
        <v>2661</v>
      </c>
      <c r="B2662" s="4">
        <v>19232</v>
      </c>
      <c r="C2662" s="5">
        <v>40006</v>
      </c>
      <c r="D2662" s="3" t="s">
        <v>82</v>
      </c>
      <c r="E2662" s="1" t="s">
        <v>761</v>
      </c>
      <c r="F2662" s="1" t="s">
        <v>19</v>
      </c>
      <c r="G2662" s="2" t="s">
        <v>3</v>
      </c>
      <c r="H2662" s="3" t="s">
        <v>84</v>
      </c>
      <c r="I2662" s="3" t="s">
        <v>91</v>
      </c>
      <c r="J2662" s="3" t="s">
        <v>59</v>
      </c>
      <c r="K2662" s="4">
        <v>265.38</v>
      </c>
      <c r="L2662" s="6">
        <v>6.24</v>
      </c>
    </row>
    <row r="2663" spans="1:12" x14ac:dyDescent="0.25">
      <c r="A2663" s="1">
        <v>2662</v>
      </c>
      <c r="B2663" s="4">
        <v>19232</v>
      </c>
      <c r="C2663" s="5">
        <v>40006</v>
      </c>
      <c r="D2663" s="3" t="s">
        <v>82</v>
      </c>
      <c r="E2663" s="1" t="s">
        <v>761</v>
      </c>
      <c r="F2663" s="1" t="s">
        <v>19</v>
      </c>
      <c r="G2663" s="2" t="s">
        <v>3</v>
      </c>
      <c r="H2663" s="3" t="s">
        <v>84</v>
      </c>
      <c r="I2663" s="3" t="s">
        <v>85</v>
      </c>
      <c r="J2663" s="3" t="s">
        <v>63</v>
      </c>
      <c r="K2663" s="4">
        <v>33.409999999999997</v>
      </c>
      <c r="L2663" s="6">
        <v>6.68</v>
      </c>
    </row>
    <row r="2664" spans="1:12" x14ac:dyDescent="0.25">
      <c r="A2664" s="1">
        <v>2663</v>
      </c>
      <c r="B2664" s="4">
        <v>19232</v>
      </c>
      <c r="C2664" s="5">
        <v>40006</v>
      </c>
      <c r="D2664" s="3" t="s">
        <v>82</v>
      </c>
      <c r="E2664" s="1" t="s">
        <v>895</v>
      </c>
      <c r="F2664" s="1" t="s">
        <v>19</v>
      </c>
      <c r="G2664" s="2" t="s">
        <v>3</v>
      </c>
      <c r="H2664" s="3" t="s">
        <v>84</v>
      </c>
      <c r="I2664" s="3" t="s">
        <v>91</v>
      </c>
      <c r="J2664" s="3" t="s">
        <v>68</v>
      </c>
      <c r="K2664" s="4">
        <v>7157.16</v>
      </c>
      <c r="L2664" s="6">
        <v>260.98</v>
      </c>
    </row>
    <row r="2665" spans="1:12" x14ac:dyDescent="0.25">
      <c r="A2665" s="1">
        <v>2664</v>
      </c>
      <c r="B2665" s="4">
        <v>19234</v>
      </c>
      <c r="C2665" s="5">
        <v>39837</v>
      </c>
      <c r="D2665" s="3" t="s">
        <v>89</v>
      </c>
      <c r="E2665" s="1" t="s">
        <v>760</v>
      </c>
      <c r="F2665" s="1" t="s">
        <v>36</v>
      </c>
      <c r="G2665" s="2" t="s">
        <v>2</v>
      </c>
      <c r="H2665" s="3" t="s">
        <v>88</v>
      </c>
      <c r="I2665" s="3" t="s">
        <v>85</v>
      </c>
      <c r="J2665" s="3" t="s">
        <v>70</v>
      </c>
      <c r="K2665" s="4">
        <v>359.65</v>
      </c>
      <c r="L2665" s="6">
        <v>14.42</v>
      </c>
    </row>
    <row r="2666" spans="1:12" x14ac:dyDescent="0.25">
      <c r="A2666" s="1">
        <v>2665</v>
      </c>
      <c r="B2666" s="4">
        <v>19264</v>
      </c>
      <c r="C2666" s="5">
        <v>40815</v>
      </c>
      <c r="D2666" s="3" t="s">
        <v>89</v>
      </c>
      <c r="E2666" s="1" t="s">
        <v>947</v>
      </c>
      <c r="F2666" s="1" t="s">
        <v>24</v>
      </c>
      <c r="G2666" s="2" t="s">
        <v>2</v>
      </c>
      <c r="H2666" s="3" t="s">
        <v>100</v>
      </c>
      <c r="I2666" s="3" t="s">
        <v>85</v>
      </c>
      <c r="J2666" s="3" t="s">
        <v>69</v>
      </c>
      <c r="K2666" s="4">
        <v>161.72</v>
      </c>
      <c r="L2666" s="6">
        <v>3.98</v>
      </c>
    </row>
    <row r="2667" spans="1:12" x14ac:dyDescent="0.25">
      <c r="A2667" s="1">
        <v>2666</v>
      </c>
      <c r="B2667" s="4">
        <v>19264</v>
      </c>
      <c r="C2667" s="5">
        <v>40815</v>
      </c>
      <c r="D2667" s="3" t="s">
        <v>89</v>
      </c>
      <c r="E2667" s="1" t="s">
        <v>947</v>
      </c>
      <c r="F2667" s="1" t="s">
        <v>24</v>
      </c>
      <c r="G2667" s="2" t="s">
        <v>2</v>
      </c>
      <c r="H2667" s="3" t="s">
        <v>100</v>
      </c>
      <c r="I2667" s="3" t="s">
        <v>85</v>
      </c>
      <c r="J2667" s="3" t="s">
        <v>66</v>
      </c>
      <c r="K2667" s="4">
        <v>107.75</v>
      </c>
      <c r="L2667" s="6">
        <v>4.7300000000000004</v>
      </c>
    </row>
    <row r="2668" spans="1:12" x14ac:dyDescent="0.25">
      <c r="A2668" s="1">
        <v>2667</v>
      </c>
      <c r="B2668" s="4">
        <v>19296</v>
      </c>
      <c r="C2668" s="5">
        <v>40278</v>
      </c>
      <c r="D2668" s="3" t="s">
        <v>89</v>
      </c>
      <c r="E2668" s="1" t="s">
        <v>532</v>
      </c>
      <c r="F2668" s="1" t="s">
        <v>24</v>
      </c>
      <c r="G2668" s="2" t="s">
        <v>2</v>
      </c>
      <c r="H2668" s="3" t="s">
        <v>97</v>
      </c>
      <c r="I2668" s="3" t="s">
        <v>85</v>
      </c>
      <c r="J2668" s="3" t="s">
        <v>63</v>
      </c>
      <c r="K2668" s="4">
        <v>75.73</v>
      </c>
      <c r="L2668" s="6">
        <v>1.68</v>
      </c>
    </row>
    <row r="2669" spans="1:12" x14ac:dyDescent="0.25">
      <c r="A2669" s="1">
        <v>2668</v>
      </c>
      <c r="B2669" s="4">
        <v>19299</v>
      </c>
      <c r="C2669" s="5">
        <v>39890</v>
      </c>
      <c r="D2669" s="3" t="s">
        <v>86</v>
      </c>
      <c r="E2669" s="1" t="s">
        <v>992</v>
      </c>
      <c r="F2669" s="1" t="s">
        <v>24</v>
      </c>
      <c r="G2669" s="2" t="s">
        <v>2</v>
      </c>
      <c r="H2669" s="3" t="s">
        <v>88</v>
      </c>
      <c r="I2669" s="3" t="s">
        <v>85</v>
      </c>
      <c r="J2669" s="3" t="s">
        <v>65</v>
      </c>
      <c r="K2669" s="4">
        <v>29.23</v>
      </c>
      <c r="L2669" s="6">
        <v>2.88</v>
      </c>
    </row>
    <row r="2670" spans="1:12" x14ac:dyDescent="0.25">
      <c r="A2670" s="1">
        <v>2669</v>
      </c>
      <c r="B2670" s="4">
        <v>19300</v>
      </c>
      <c r="C2670" s="5">
        <v>40163</v>
      </c>
      <c r="D2670" s="3" t="s">
        <v>95</v>
      </c>
      <c r="E2670" s="1" t="s">
        <v>845</v>
      </c>
      <c r="F2670" s="1" t="s">
        <v>23</v>
      </c>
      <c r="G2670" s="2" t="s">
        <v>3</v>
      </c>
      <c r="H2670" s="3" t="s">
        <v>88</v>
      </c>
      <c r="I2670" s="3" t="s">
        <v>85</v>
      </c>
      <c r="J2670" s="3" t="s">
        <v>66</v>
      </c>
      <c r="K2670" s="4">
        <v>78.72</v>
      </c>
      <c r="L2670" s="6">
        <v>7.64</v>
      </c>
    </row>
    <row r="2671" spans="1:12" x14ac:dyDescent="0.25">
      <c r="A2671" s="1">
        <v>2670</v>
      </c>
      <c r="B2671" s="4">
        <v>19329</v>
      </c>
      <c r="C2671" s="5">
        <v>40244</v>
      </c>
      <c r="D2671" s="3" t="s">
        <v>86</v>
      </c>
      <c r="E2671" s="1" t="s">
        <v>114</v>
      </c>
      <c r="F2671" s="1" t="s">
        <v>15</v>
      </c>
      <c r="G2671" s="2" t="s">
        <v>1</v>
      </c>
      <c r="H2671" s="3" t="s">
        <v>88</v>
      </c>
      <c r="I2671" s="3" t="s">
        <v>91</v>
      </c>
      <c r="J2671" s="3" t="s">
        <v>59</v>
      </c>
      <c r="K2671" s="4">
        <v>281.58999999999997</v>
      </c>
      <c r="L2671" s="6">
        <v>7.96</v>
      </c>
    </row>
    <row r="2672" spans="1:12" x14ac:dyDescent="0.25">
      <c r="A2672" s="1">
        <v>2671</v>
      </c>
      <c r="B2672" s="4">
        <v>19329</v>
      </c>
      <c r="C2672" s="5">
        <v>40244</v>
      </c>
      <c r="D2672" s="3" t="s">
        <v>86</v>
      </c>
      <c r="E2672" s="1" t="s">
        <v>114</v>
      </c>
      <c r="F2672" s="1" t="s">
        <v>15</v>
      </c>
      <c r="G2672" s="2" t="s">
        <v>1</v>
      </c>
      <c r="H2672" s="3" t="s">
        <v>88</v>
      </c>
      <c r="I2672" s="3" t="s">
        <v>92</v>
      </c>
      <c r="J2672" s="3" t="s">
        <v>61</v>
      </c>
      <c r="K2672" s="4">
        <v>231.7525</v>
      </c>
      <c r="L2672" s="6">
        <v>45.99</v>
      </c>
    </row>
    <row r="2673" spans="1:12" x14ac:dyDescent="0.25">
      <c r="A2673" s="1">
        <v>2672</v>
      </c>
      <c r="B2673" s="4">
        <v>19332</v>
      </c>
      <c r="C2673" s="5">
        <v>40966</v>
      </c>
      <c r="D2673" s="3" t="s">
        <v>89</v>
      </c>
      <c r="E2673" s="1" t="s">
        <v>243</v>
      </c>
      <c r="F2673" s="1" t="s">
        <v>31</v>
      </c>
      <c r="G2673" s="2" t="s">
        <v>1</v>
      </c>
      <c r="H2673" s="3" t="s">
        <v>100</v>
      </c>
      <c r="I2673" s="3" t="s">
        <v>91</v>
      </c>
      <c r="J2673" s="3" t="s">
        <v>60</v>
      </c>
      <c r="K2673" s="4">
        <v>8246.86</v>
      </c>
      <c r="L2673" s="6">
        <v>179.29</v>
      </c>
    </row>
    <row r="2674" spans="1:12" x14ac:dyDescent="0.25">
      <c r="A2674" s="1">
        <v>2673</v>
      </c>
      <c r="B2674" s="4">
        <v>19361</v>
      </c>
      <c r="C2674" s="5">
        <v>41175</v>
      </c>
      <c r="D2674" s="3" t="s">
        <v>82</v>
      </c>
      <c r="E2674" s="1" t="s">
        <v>993</v>
      </c>
      <c r="F2674" s="1" t="s">
        <v>23</v>
      </c>
      <c r="G2674" s="2" t="s">
        <v>3</v>
      </c>
      <c r="H2674" s="3" t="s">
        <v>100</v>
      </c>
      <c r="I2674" s="3" t="s">
        <v>85</v>
      </c>
      <c r="J2674" s="3" t="s">
        <v>69</v>
      </c>
      <c r="K2674" s="4">
        <v>788.85</v>
      </c>
      <c r="L2674" s="6">
        <v>37.700000000000003</v>
      </c>
    </row>
    <row r="2675" spans="1:12" x14ac:dyDescent="0.25">
      <c r="A2675" s="1">
        <v>2674</v>
      </c>
      <c r="B2675" s="4">
        <v>19361</v>
      </c>
      <c r="C2675" s="5">
        <v>41175</v>
      </c>
      <c r="D2675" s="3" t="s">
        <v>82</v>
      </c>
      <c r="E2675" s="1" t="s">
        <v>993</v>
      </c>
      <c r="F2675" s="1" t="s">
        <v>23</v>
      </c>
      <c r="G2675" s="2" t="s">
        <v>3</v>
      </c>
      <c r="H2675" s="3" t="s">
        <v>100</v>
      </c>
      <c r="I2675" s="3" t="s">
        <v>85</v>
      </c>
      <c r="J2675" s="3" t="s">
        <v>66</v>
      </c>
      <c r="K2675" s="4">
        <v>364.59</v>
      </c>
      <c r="L2675" s="6">
        <v>8.56</v>
      </c>
    </row>
    <row r="2676" spans="1:12" x14ac:dyDescent="0.25">
      <c r="A2676" s="1">
        <v>2675</v>
      </c>
      <c r="B2676" s="4">
        <v>19361</v>
      </c>
      <c r="C2676" s="5">
        <v>41175</v>
      </c>
      <c r="D2676" s="3" t="s">
        <v>82</v>
      </c>
      <c r="E2676" s="1" t="s">
        <v>128</v>
      </c>
      <c r="F2676" s="1" t="s">
        <v>29</v>
      </c>
      <c r="G2676" s="2" t="s">
        <v>3</v>
      </c>
      <c r="H2676" s="3" t="s">
        <v>100</v>
      </c>
      <c r="I2676" s="3" t="s">
        <v>91</v>
      </c>
      <c r="J2676" s="3" t="s">
        <v>59</v>
      </c>
      <c r="K2676" s="4">
        <v>535.57000000000005</v>
      </c>
      <c r="L2676" s="6">
        <v>25.38</v>
      </c>
    </row>
    <row r="2677" spans="1:12" x14ac:dyDescent="0.25">
      <c r="A2677" s="1">
        <v>2676</v>
      </c>
      <c r="B2677" s="4">
        <v>19363</v>
      </c>
      <c r="C2677" s="5">
        <v>40729</v>
      </c>
      <c r="D2677" s="3" t="s">
        <v>89</v>
      </c>
      <c r="E2677" s="1" t="s">
        <v>546</v>
      </c>
      <c r="F2677" s="1" t="s">
        <v>19</v>
      </c>
      <c r="G2677" s="2" t="s">
        <v>3</v>
      </c>
      <c r="H2677" s="3" t="s">
        <v>97</v>
      </c>
      <c r="I2677" s="3" t="s">
        <v>85</v>
      </c>
      <c r="J2677" s="3" t="s">
        <v>66</v>
      </c>
      <c r="K2677" s="4">
        <v>286.06</v>
      </c>
      <c r="L2677" s="6">
        <v>6.68</v>
      </c>
    </row>
    <row r="2678" spans="1:12" x14ac:dyDescent="0.25">
      <c r="A2678" s="1">
        <v>2677</v>
      </c>
      <c r="B2678" s="4">
        <v>19363</v>
      </c>
      <c r="C2678" s="5">
        <v>40729</v>
      </c>
      <c r="D2678" s="3" t="s">
        <v>89</v>
      </c>
      <c r="E2678" s="1" t="s">
        <v>546</v>
      </c>
      <c r="F2678" s="1" t="s">
        <v>19</v>
      </c>
      <c r="G2678" s="2" t="s">
        <v>3</v>
      </c>
      <c r="H2678" s="3" t="s">
        <v>97</v>
      </c>
      <c r="I2678" s="3" t="s">
        <v>85</v>
      </c>
      <c r="J2678" s="3" t="s">
        <v>63</v>
      </c>
      <c r="K2678" s="4">
        <v>248.1</v>
      </c>
      <c r="L2678" s="6">
        <v>5.98</v>
      </c>
    </row>
    <row r="2679" spans="1:12" x14ac:dyDescent="0.25">
      <c r="A2679" s="1">
        <v>2678</v>
      </c>
      <c r="B2679" s="4">
        <v>19365</v>
      </c>
      <c r="C2679" s="5">
        <v>40559</v>
      </c>
      <c r="D2679" s="3" t="s">
        <v>4</v>
      </c>
      <c r="E2679" s="1" t="s">
        <v>935</v>
      </c>
      <c r="F2679" s="1" t="s">
        <v>38</v>
      </c>
      <c r="G2679" s="2" t="s">
        <v>6</v>
      </c>
      <c r="H2679" s="3" t="s">
        <v>84</v>
      </c>
      <c r="I2679" s="3" t="s">
        <v>85</v>
      </c>
      <c r="J2679" s="3" t="s">
        <v>66</v>
      </c>
      <c r="K2679" s="4">
        <v>181.83</v>
      </c>
      <c r="L2679" s="6">
        <v>5.98</v>
      </c>
    </row>
    <row r="2680" spans="1:12" x14ac:dyDescent="0.25">
      <c r="A2680" s="1">
        <v>2679</v>
      </c>
      <c r="B2680" s="4">
        <v>19367</v>
      </c>
      <c r="C2680" s="5">
        <v>39923</v>
      </c>
      <c r="D2680" s="3" t="s">
        <v>89</v>
      </c>
      <c r="E2680" s="1" t="s">
        <v>609</v>
      </c>
      <c r="F2680" s="1" t="s">
        <v>19</v>
      </c>
      <c r="G2680" s="2" t="s">
        <v>3</v>
      </c>
      <c r="H2680" s="3" t="s">
        <v>97</v>
      </c>
      <c r="I2680" s="3" t="s">
        <v>85</v>
      </c>
      <c r="J2680" s="3" t="s">
        <v>71</v>
      </c>
      <c r="K2680" s="4">
        <v>112.42</v>
      </c>
      <c r="L2680" s="6">
        <v>5.98</v>
      </c>
    </row>
    <row r="2681" spans="1:12" x14ac:dyDescent="0.25">
      <c r="A2681" s="1">
        <v>2680</v>
      </c>
      <c r="B2681" s="4">
        <v>19394</v>
      </c>
      <c r="C2681" s="5">
        <v>41268</v>
      </c>
      <c r="D2681" s="3" t="s">
        <v>4</v>
      </c>
      <c r="E2681" s="1" t="s">
        <v>744</v>
      </c>
      <c r="F2681" s="1" t="s">
        <v>13</v>
      </c>
      <c r="G2681" s="2" t="s">
        <v>6</v>
      </c>
      <c r="H2681" s="3" t="s">
        <v>88</v>
      </c>
      <c r="I2681" s="3" t="s">
        <v>92</v>
      </c>
      <c r="J2681" s="3" t="s">
        <v>61</v>
      </c>
      <c r="K2681" s="4">
        <v>279.327</v>
      </c>
      <c r="L2681" s="6">
        <v>20.99</v>
      </c>
    </row>
    <row r="2682" spans="1:12" x14ac:dyDescent="0.25">
      <c r="A2682" s="1">
        <v>2681</v>
      </c>
      <c r="B2682" s="4">
        <v>19394</v>
      </c>
      <c r="C2682" s="5">
        <v>41268</v>
      </c>
      <c r="D2682" s="3" t="s">
        <v>4</v>
      </c>
      <c r="E2682" s="1" t="s">
        <v>744</v>
      </c>
      <c r="F2682" s="1" t="s">
        <v>13</v>
      </c>
      <c r="G2682" s="2" t="s">
        <v>6</v>
      </c>
      <c r="H2682" s="3" t="s">
        <v>88</v>
      </c>
      <c r="I2682" s="3" t="s">
        <v>92</v>
      </c>
      <c r="J2682" s="3" t="s">
        <v>61</v>
      </c>
      <c r="K2682" s="4">
        <v>539.20600000000002</v>
      </c>
      <c r="L2682" s="6">
        <v>125.99</v>
      </c>
    </row>
    <row r="2683" spans="1:12" x14ac:dyDescent="0.25">
      <c r="A2683" s="1">
        <v>2682</v>
      </c>
      <c r="B2683" s="4">
        <v>19424</v>
      </c>
      <c r="C2683" s="5">
        <v>40642</v>
      </c>
      <c r="D2683" s="3" t="s">
        <v>86</v>
      </c>
      <c r="E2683" s="1" t="s">
        <v>523</v>
      </c>
      <c r="F2683" s="1" t="s">
        <v>12</v>
      </c>
      <c r="G2683" s="2" t="s">
        <v>2</v>
      </c>
      <c r="H2683" s="3" t="s">
        <v>84</v>
      </c>
      <c r="I2683" s="3" t="s">
        <v>85</v>
      </c>
      <c r="J2683" s="3" t="s">
        <v>69</v>
      </c>
      <c r="K2683" s="4">
        <v>60.68</v>
      </c>
      <c r="L2683" s="6">
        <v>1.98</v>
      </c>
    </row>
    <row r="2684" spans="1:12" x14ac:dyDescent="0.25">
      <c r="A2684" s="1">
        <v>2683</v>
      </c>
      <c r="B2684" s="4">
        <v>19424</v>
      </c>
      <c r="C2684" s="5">
        <v>40642</v>
      </c>
      <c r="D2684" s="3" t="s">
        <v>86</v>
      </c>
      <c r="E2684" s="1" t="s">
        <v>523</v>
      </c>
      <c r="F2684" s="1" t="s">
        <v>12</v>
      </c>
      <c r="G2684" s="2" t="s">
        <v>2</v>
      </c>
      <c r="H2684" s="3" t="s">
        <v>84</v>
      </c>
      <c r="I2684" s="3" t="s">
        <v>92</v>
      </c>
      <c r="J2684" s="3" t="s">
        <v>61</v>
      </c>
      <c r="K2684" s="4">
        <v>1129.0550000000001</v>
      </c>
      <c r="L2684" s="6">
        <v>35.99</v>
      </c>
    </row>
    <row r="2685" spans="1:12" x14ac:dyDescent="0.25">
      <c r="A2685" s="1">
        <v>2684</v>
      </c>
      <c r="B2685" s="4">
        <v>19425</v>
      </c>
      <c r="C2685" s="5">
        <v>41176</v>
      </c>
      <c r="D2685" s="3" t="s">
        <v>86</v>
      </c>
      <c r="E2685" s="1" t="s">
        <v>766</v>
      </c>
      <c r="F2685" s="1" t="s">
        <v>12</v>
      </c>
      <c r="G2685" s="2" t="s">
        <v>2</v>
      </c>
      <c r="H2685" s="3" t="s">
        <v>97</v>
      </c>
      <c r="I2685" s="3" t="s">
        <v>85</v>
      </c>
      <c r="J2685" s="3" t="s">
        <v>58</v>
      </c>
      <c r="K2685" s="4">
        <v>210.24</v>
      </c>
      <c r="L2685" s="6">
        <v>5.68</v>
      </c>
    </row>
    <row r="2686" spans="1:12" x14ac:dyDescent="0.25">
      <c r="A2686" s="1">
        <v>2685</v>
      </c>
      <c r="B2686" s="4">
        <v>19429</v>
      </c>
      <c r="C2686" s="5">
        <v>40049</v>
      </c>
      <c r="D2686" s="3" t="s">
        <v>86</v>
      </c>
      <c r="E2686" s="1" t="s">
        <v>137</v>
      </c>
      <c r="F2686" s="1" t="s">
        <v>24</v>
      </c>
      <c r="G2686" s="2" t="s">
        <v>2</v>
      </c>
      <c r="H2686" s="3" t="s">
        <v>97</v>
      </c>
      <c r="I2686" s="3" t="s">
        <v>91</v>
      </c>
      <c r="J2686" s="3" t="s">
        <v>60</v>
      </c>
      <c r="K2686" s="4">
        <v>240.24</v>
      </c>
      <c r="L2686" s="6">
        <v>124.49</v>
      </c>
    </row>
    <row r="2687" spans="1:12" x14ac:dyDescent="0.25">
      <c r="A2687" s="1">
        <v>2686</v>
      </c>
      <c r="B2687" s="4">
        <v>19430</v>
      </c>
      <c r="C2687" s="5">
        <v>40495</v>
      </c>
      <c r="D2687" s="3" t="s">
        <v>95</v>
      </c>
      <c r="E2687" s="1" t="s">
        <v>968</v>
      </c>
      <c r="F2687" s="1" t="s">
        <v>24</v>
      </c>
      <c r="G2687" s="2" t="s">
        <v>2</v>
      </c>
      <c r="H2687" s="3" t="s">
        <v>88</v>
      </c>
      <c r="I2687" s="3" t="s">
        <v>85</v>
      </c>
      <c r="J2687" s="3" t="s">
        <v>57</v>
      </c>
      <c r="K2687" s="4">
        <v>6742.49</v>
      </c>
      <c r="L2687" s="6">
        <v>167.27</v>
      </c>
    </row>
    <row r="2688" spans="1:12" x14ac:dyDescent="0.25">
      <c r="A2688" s="1">
        <v>2687</v>
      </c>
      <c r="B2688" s="4">
        <v>19431</v>
      </c>
      <c r="C2688" s="5">
        <v>39956</v>
      </c>
      <c r="D2688" s="3" t="s">
        <v>86</v>
      </c>
      <c r="E2688" s="1" t="s">
        <v>774</v>
      </c>
      <c r="F2688" s="1" t="s">
        <v>22</v>
      </c>
      <c r="G2688" s="2" t="s">
        <v>6</v>
      </c>
      <c r="H2688" s="3" t="s">
        <v>97</v>
      </c>
      <c r="I2688" s="3" t="s">
        <v>85</v>
      </c>
      <c r="J2688" s="3" t="s">
        <v>63</v>
      </c>
      <c r="K2688" s="4">
        <v>16.82</v>
      </c>
      <c r="L2688" s="6">
        <v>4.13</v>
      </c>
    </row>
    <row r="2689" spans="1:12" x14ac:dyDescent="0.25">
      <c r="A2689" s="1">
        <v>2688</v>
      </c>
      <c r="B2689" s="4">
        <v>19457</v>
      </c>
      <c r="C2689" s="5">
        <v>40006</v>
      </c>
      <c r="D2689" s="3" t="s">
        <v>89</v>
      </c>
      <c r="E2689" s="1" t="s">
        <v>793</v>
      </c>
      <c r="F2689" s="1" t="s">
        <v>33</v>
      </c>
      <c r="G2689" s="2" t="s">
        <v>2</v>
      </c>
      <c r="H2689" s="3" t="s">
        <v>88</v>
      </c>
      <c r="I2689" s="3" t="s">
        <v>85</v>
      </c>
      <c r="J2689" s="3" t="s">
        <v>65</v>
      </c>
      <c r="K2689" s="4">
        <v>203.49</v>
      </c>
      <c r="L2689" s="6">
        <v>6.3</v>
      </c>
    </row>
    <row r="2690" spans="1:12" x14ac:dyDescent="0.25">
      <c r="A2690" s="1">
        <v>2689</v>
      </c>
      <c r="B2690" s="4">
        <v>19457</v>
      </c>
      <c r="C2690" s="5">
        <v>40006</v>
      </c>
      <c r="D2690" s="3" t="s">
        <v>89</v>
      </c>
      <c r="E2690" s="1" t="s">
        <v>793</v>
      </c>
      <c r="F2690" s="1" t="s">
        <v>33</v>
      </c>
      <c r="G2690" s="2" t="s">
        <v>2</v>
      </c>
      <c r="H2690" s="3" t="s">
        <v>88</v>
      </c>
      <c r="I2690" s="3" t="s">
        <v>92</v>
      </c>
      <c r="J2690" s="3" t="s">
        <v>61</v>
      </c>
      <c r="K2690" s="4">
        <v>5638.7979999999998</v>
      </c>
      <c r="L2690" s="6">
        <v>205.99</v>
      </c>
    </row>
    <row r="2691" spans="1:12" x14ac:dyDescent="0.25">
      <c r="A2691" s="1">
        <v>2690</v>
      </c>
      <c r="B2691" s="4">
        <v>19462</v>
      </c>
      <c r="C2691" s="5">
        <v>40806</v>
      </c>
      <c r="D2691" s="3" t="s">
        <v>4</v>
      </c>
      <c r="E2691" s="1" t="s">
        <v>47</v>
      </c>
      <c r="F2691" s="1" t="s">
        <v>30</v>
      </c>
      <c r="G2691" s="2" t="s">
        <v>6</v>
      </c>
      <c r="H2691" s="3" t="s">
        <v>97</v>
      </c>
      <c r="I2691" s="3" t="s">
        <v>85</v>
      </c>
      <c r="J2691" s="3" t="s">
        <v>57</v>
      </c>
      <c r="K2691" s="4">
        <v>206.68</v>
      </c>
      <c r="L2691" s="6">
        <v>80.98</v>
      </c>
    </row>
    <row r="2692" spans="1:12" x14ac:dyDescent="0.25">
      <c r="A2692" s="1">
        <v>2691</v>
      </c>
      <c r="B2692" s="4">
        <v>19492</v>
      </c>
      <c r="C2692" s="5">
        <v>40524</v>
      </c>
      <c r="D2692" s="3" t="s">
        <v>89</v>
      </c>
      <c r="E2692" s="1" t="s">
        <v>824</v>
      </c>
      <c r="F2692" s="1" t="s">
        <v>41</v>
      </c>
      <c r="G2692" s="2" t="s">
        <v>6</v>
      </c>
      <c r="H2692" s="3" t="s">
        <v>84</v>
      </c>
      <c r="I2692" s="3" t="s">
        <v>91</v>
      </c>
      <c r="J2692" s="3" t="s">
        <v>59</v>
      </c>
      <c r="K2692" s="4">
        <v>691.09</v>
      </c>
      <c r="L2692" s="6">
        <v>78.69</v>
      </c>
    </row>
    <row r="2693" spans="1:12" x14ac:dyDescent="0.25">
      <c r="A2693" s="1">
        <v>2692</v>
      </c>
      <c r="B2693" s="4">
        <v>19492</v>
      </c>
      <c r="C2693" s="5">
        <v>40524</v>
      </c>
      <c r="D2693" s="3" t="s">
        <v>89</v>
      </c>
      <c r="E2693" s="1" t="s">
        <v>824</v>
      </c>
      <c r="F2693" s="1" t="s">
        <v>41</v>
      </c>
      <c r="G2693" s="2" t="s">
        <v>6</v>
      </c>
      <c r="H2693" s="3" t="s">
        <v>84</v>
      </c>
      <c r="I2693" s="3" t="s">
        <v>85</v>
      </c>
      <c r="J2693" s="3" t="s">
        <v>63</v>
      </c>
      <c r="K2693" s="4">
        <v>713.7</v>
      </c>
      <c r="L2693" s="6">
        <v>21.98</v>
      </c>
    </row>
    <row r="2694" spans="1:12" x14ac:dyDescent="0.25">
      <c r="A2694" s="1">
        <v>2693</v>
      </c>
      <c r="B2694" s="4">
        <v>19493</v>
      </c>
      <c r="C2694" s="5">
        <v>39846</v>
      </c>
      <c r="D2694" s="3" t="s">
        <v>95</v>
      </c>
      <c r="E2694" s="1" t="s">
        <v>568</v>
      </c>
      <c r="F2694" s="1" t="s">
        <v>34</v>
      </c>
      <c r="G2694" s="2" t="s">
        <v>1</v>
      </c>
      <c r="H2694" s="3" t="s">
        <v>88</v>
      </c>
      <c r="I2694" s="3" t="s">
        <v>91</v>
      </c>
      <c r="J2694" s="3" t="s">
        <v>60</v>
      </c>
      <c r="K2694" s="4">
        <v>4713.25</v>
      </c>
      <c r="L2694" s="6">
        <v>154.13</v>
      </c>
    </row>
    <row r="2695" spans="1:12" x14ac:dyDescent="0.25">
      <c r="A2695" s="1">
        <v>2694</v>
      </c>
      <c r="B2695" s="4">
        <v>19494</v>
      </c>
      <c r="C2695" s="5">
        <v>40190</v>
      </c>
      <c r="D2695" s="3" t="s">
        <v>89</v>
      </c>
      <c r="E2695" s="1" t="s">
        <v>955</v>
      </c>
      <c r="F2695" s="1" t="s">
        <v>35</v>
      </c>
      <c r="G2695" s="2" t="s">
        <v>1</v>
      </c>
      <c r="H2695" s="3" t="s">
        <v>84</v>
      </c>
      <c r="I2695" s="3" t="s">
        <v>91</v>
      </c>
      <c r="J2695" s="3" t="s">
        <v>59</v>
      </c>
      <c r="K2695" s="4">
        <v>857.32</v>
      </c>
      <c r="L2695" s="6">
        <v>22.23</v>
      </c>
    </row>
    <row r="2696" spans="1:12" x14ac:dyDescent="0.25">
      <c r="A2696" s="1">
        <v>2695</v>
      </c>
      <c r="B2696" s="4">
        <v>19494</v>
      </c>
      <c r="C2696" s="5">
        <v>40190</v>
      </c>
      <c r="D2696" s="3" t="s">
        <v>89</v>
      </c>
      <c r="E2696" s="1" t="s">
        <v>955</v>
      </c>
      <c r="F2696" s="1" t="s">
        <v>35</v>
      </c>
      <c r="G2696" s="2" t="s">
        <v>1</v>
      </c>
      <c r="H2696" s="3" t="s">
        <v>84</v>
      </c>
      <c r="I2696" s="3" t="s">
        <v>85</v>
      </c>
      <c r="J2696" s="3" t="s">
        <v>63</v>
      </c>
      <c r="K2696" s="4">
        <v>8.8699999999999992</v>
      </c>
      <c r="L2696" s="6">
        <v>2.74</v>
      </c>
    </row>
    <row r="2697" spans="1:12" x14ac:dyDescent="0.25">
      <c r="A2697" s="1">
        <v>2696</v>
      </c>
      <c r="B2697" s="4">
        <v>19521</v>
      </c>
      <c r="C2697" s="5">
        <v>40140</v>
      </c>
      <c r="D2697" s="3" t="s">
        <v>86</v>
      </c>
      <c r="E2697" s="1" t="s">
        <v>994</v>
      </c>
      <c r="F2697" s="1" t="s">
        <v>9</v>
      </c>
      <c r="G2697" s="2" t="s">
        <v>2</v>
      </c>
      <c r="H2697" s="3" t="s">
        <v>97</v>
      </c>
      <c r="I2697" s="3" t="s">
        <v>85</v>
      </c>
      <c r="J2697" s="3" t="s">
        <v>57</v>
      </c>
      <c r="K2697" s="4">
        <v>351.06</v>
      </c>
      <c r="L2697" s="6">
        <v>35.479999999999997</v>
      </c>
    </row>
    <row r="2698" spans="1:12" x14ac:dyDescent="0.25">
      <c r="A2698" s="1">
        <v>2697</v>
      </c>
      <c r="B2698" s="4">
        <v>19522</v>
      </c>
      <c r="C2698" s="5">
        <v>40106</v>
      </c>
      <c r="D2698" s="3" t="s">
        <v>4</v>
      </c>
      <c r="E2698" s="1" t="s">
        <v>856</v>
      </c>
      <c r="F2698" s="1" t="s">
        <v>15</v>
      </c>
      <c r="G2698" s="2" t="s">
        <v>1</v>
      </c>
      <c r="H2698" s="3" t="s">
        <v>100</v>
      </c>
      <c r="I2698" s="3" t="s">
        <v>85</v>
      </c>
      <c r="J2698" s="3" t="s">
        <v>69</v>
      </c>
      <c r="K2698" s="4">
        <v>161.80000000000001</v>
      </c>
      <c r="L2698" s="6">
        <v>3.8</v>
      </c>
    </row>
    <row r="2699" spans="1:12" x14ac:dyDescent="0.25">
      <c r="A2699" s="1">
        <v>2698</v>
      </c>
      <c r="B2699" s="4">
        <v>19522</v>
      </c>
      <c r="C2699" s="5">
        <v>40106</v>
      </c>
      <c r="D2699" s="3" t="s">
        <v>4</v>
      </c>
      <c r="E2699" s="1" t="s">
        <v>856</v>
      </c>
      <c r="F2699" s="1" t="s">
        <v>15</v>
      </c>
      <c r="G2699" s="2" t="s">
        <v>1</v>
      </c>
      <c r="H2699" s="3" t="s">
        <v>100</v>
      </c>
      <c r="I2699" s="3" t="s">
        <v>85</v>
      </c>
      <c r="J2699" s="3" t="s">
        <v>63</v>
      </c>
      <c r="K2699" s="4">
        <v>64.36</v>
      </c>
      <c r="L2699" s="6">
        <v>1.76</v>
      </c>
    </row>
    <row r="2700" spans="1:12" x14ac:dyDescent="0.25">
      <c r="A2700" s="1">
        <v>2699</v>
      </c>
      <c r="B2700" s="4">
        <v>19523</v>
      </c>
      <c r="C2700" s="5">
        <v>40877</v>
      </c>
      <c r="D2700" s="3" t="s">
        <v>89</v>
      </c>
      <c r="E2700" s="1" t="s">
        <v>995</v>
      </c>
      <c r="F2700" s="1" t="s">
        <v>35</v>
      </c>
      <c r="G2700" s="2" t="s">
        <v>1</v>
      </c>
      <c r="H2700" s="3" t="s">
        <v>88</v>
      </c>
      <c r="I2700" s="3" t="s">
        <v>85</v>
      </c>
      <c r="J2700" s="3" t="s">
        <v>66</v>
      </c>
      <c r="K2700" s="4">
        <v>155.78</v>
      </c>
      <c r="L2700" s="6">
        <v>3.6</v>
      </c>
    </row>
    <row r="2701" spans="1:12" x14ac:dyDescent="0.25">
      <c r="A2701" s="1">
        <v>2700</v>
      </c>
      <c r="B2701" s="4">
        <v>19524</v>
      </c>
      <c r="C2701" s="5">
        <v>40192</v>
      </c>
      <c r="D2701" s="3" t="s">
        <v>95</v>
      </c>
      <c r="E2701" s="1" t="s">
        <v>996</v>
      </c>
      <c r="F2701" s="1" t="s">
        <v>24</v>
      </c>
      <c r="G2701" s="2" t="s">
        <v>2</v>
      </c>
      <c r="H2701" s="3" t="s">
        <v>88</v>
      </c>
      <c r="I2701" s="3" t="s">
        <v>85</v>
      </c>
      <c r="J2701" s="3" t="s">
        <v>58</v>
      </c>
      <c r="K2701" s="4">
        <v>92.02</v>
      </c>
      <c r="L2701" s="6">
        <v>10.23</v>
      </c>
    </row>
    <row r="2702" spans="1:12" x14ac:dyDescent="0.25">
      <c r="A2702" s="1">
        <v>2701</v>
      </c>
      <c r="B2702" s="4">
        <v>19555</v>
      </c>
      <c r="C2702" s="5">
        <v>40220</v>
      </c>
      <c r="D2702" s="3" t="s">
        <v>82</v>
      </c>
      <c r="E2702" s="1" t="s">
        <v>235</v>
      </c>
      <c r="F2702" s="1" t="s">
        <v>36</v>
      </c>
      <c r="G2702" s="2" t="s">
        <v>2</v>
      </c>
      <c r="H2702" s="3" t="s">
        <v>84</v>
      </c>
      <c r="I2702" s="3" t="s">
        <v>85</v>
      </c>
      <c r="J2702" s="3" t="s">
        <v>66</v>
      </c>
      <c r="K2702" s="4">
        <v>246.24</v>
      </c>
      <c r="L2702" s="6">
        <v>6.68</v>
      </c>
    </row>
    <row r="2703" spans="1:12" x14ac:dyDescent="0.25">
      <c r="A2703" s="1">
        <v>2702</v>
      </c>
      <c r="B2703" s="4">
        <v>19555</v>
      </c>
      <c r="C2703" s="5">
        <v>40220</v>
      </c>
      <c r="D2703" s="3" t="s">
        <v>82</v>
      </c>
      <c r="E2703" s="1" t="s">
        <v>388</v>
      </c>
      <c r="F2703" s="1" t="s">
        <v>36</v>
      </c>
      <c r="G2703" s="2" t="s">
        <v>2</v>
      </c>
      <c r="H2703" s="3" t="s">
        <v>84</v>
      </c>
      <c r="I2703" s="3" t="s">
        <v>85</v>
      </c>
      <c r="J2703" s="3" t="s">
        <v>66</v>
      </c>
      <c r="K2703" s="4">
        <v>78.67</v>
      </c>
      <c r="L2703" s="6">
        <v>9.11</v>
      </c>
    </row>
    <row r="2704" spans="1:12" x14ac:dyDescent="0.25">
      <c r="A2704" s="1">
        <v>2703</v>
      </c>
      <c r="B2704" s="4">
        <v>19556</v>
      </c>
      <c r="C2704" s="5">
        <v>40542</v>
      </c>
      <c r="D2704" s="3" t="s">
        <v>86</v>
      </c>
      <c r="E2704" s="1" t="s">
        <v>359</v>
      </c>
      <c r="F2704" s="1" t="s">
        <v>24</v>
      </c>
      <c r="G2704" s="2" t="s">
        <v>2</v>
      </c>
      <c r="H2704" s="3" t="s">
        <v>100</v>
      </c>
      <c r="I2704" s="3" t="s">
        <v>91</v>
      </c>
      <c r="J2704" s="3" t="s">
        <v>72</v>
      </c>
      <c r="K2704" s="4">
        <v>5785.59</v>
      </c>
      <c r="L2704" s="6">
        <v>130.97999999999999</v>
      </c>
    </row>
    <row r="2705" spans="1:12" x14ac:dyDescent="0.25">
      <c r="A2705" s="1">
        <v>2704</v>
      </c>
      <c r="B2705" s="4">
        <v>19556</v>
      </c>
      <c r="C2705" s="5">
        <v>40542</v>
      </c>
      <c r="D2705" s="3" t="s">
        <v>86</v>
      </c>
      <c r="E2705" s="1" t="s">
        <v>359</v>
      </c>
      <c r="F2705" s="1" t="s">
        <v>24</v>
      </c>
      <c r="G2705" s="2" t="s">
        <v>2</v>
      </c>
      <c r="H2705" s="3" t="s">
        <v>100</v>
      </c>
      <c r="I2705" s="3" t="s">
        <v>85</v>
      </c>
      <c r="J2705" s="3" t="s">
        <v>66</v>
      </c>
      <c r="K2705" s="4">
        <v>1131.93</v>
      </c>
      <c r="L2705" s="6">
        <v>55.98</v>
      </c>
    </row>
    <row r="2706" spans="1:12" x14ac:dyDescent="0.25">
      <c r="A2706" s="1">
        <v>2705</v>
      </c>
      <c r="B2706" s="4">
        <v>19556</v>
      </c>
      <c r="C2706" s="5">
        <v>40542</v>
      </c>
      <c r="D2706" s="3" t="s">
        <v>86</v>
      </c>
      <c r="E2706" s="1" t="s">
        <v>359</v>
      </c>
      <c r="F2706" s="1" t="s">
        <v>24</v>
      </c>
      <c r="G2706" s="2" t="s">
        <v>2</v>
      </c>
      <c r="H2706" s="3" t="s">
        <v>100</v>
      </c>
      <c r="I2706" s="3" t="s">
        <v>92</v>
      </c>
      <c r="J2706" s="3" t="s">
        <v>61</v>
      </c>
      <c r="K2706" s="4">
        <v>3238.143</v>
      </c>
      <c r="L2706" s="6">
        <v>115.99</v>
      </c>
    </row>
    <row r="2707" spans="1:12" x14ac:dyDescent="0.25">
      <c r="A2707" s="1">
        <v>2706</v>
      </c>
      <c r="B2707" s="4">
        <v>19557</v>
      </c>
      <c r="C2707" s="5">
        <v>40846</v>
      </c>
      <c r="D2707" s="3" t="s">
        <v>82</v>
      </c>
      <c r="E2707" s="1" t="s">
        <v>250</v>
      </c>
      <c r="F2707" s="1" t="s">
        <v>23</v>
      </c>
      <c r="G2707" s="2" t="s">
        <v>3</v>
      </c>
      <c r="H2707" s="3" t="s">
        <v>88</v>
      </c>
      <c r="I2707" s="3" t="s">
        <v>85</v>
      </c>
      <c r="J2707" s="3" t="s">
        <v>64</v>
      </c>
      <c r="K2707" s="4">
        <v>66.599999999999994</v>
      </c>
      <c r="L2707" s="6">
        <v>2.62</v>
      </c>
    </row>
    <row r="2708" spans="1:12" x14ac:dyDescent="0.25">
      <c r="A2708" s="1">
        <v>2707</v>
      </c>
      <c r="B2708" s="4">
        <v>19557</v>
      </c>
      <c r="C2708" s="5">
        <v>40846</v>
      </c>
      <c r="D2708" s="3" t="s">
        <v>82</v>
      </c>
      <c r="E2708" s="1" t="s">
        <v>250</v>
      </c>
      <c r="F2708" s="1" t="s">
        <v>23</v>
      </c>
      <c r="G2708" s="2" t="s">
        <v>3</v>
      </c>
      <c r="H2708" s="3" t="s">
        <v>88</v>
      </c>
      <c r="I2708" s="3" t="s">
        <v>85</v>
      </c>
      <c r="J2708" s="3" t="s">
        <v>57</v>
      </c>
      <c r="K2708" s="4">
        <v>312.25</v>
      </c>
      <c r="L2708" s="6">
        <v>33.89</v>
      </c>
    </row>
    <row r="2709" spans="1:12" x14ac:dyDescent="0.25">
      <c r="A2709" s="1">
        <v>2708</v>
      </c>
      <c r="B2709" s="4">
        <v>19558</v>
      </c>
      <c r="C2709" s="5">
        <v>40599</v>
      </c>
      <c r="D2709" s="3" t="s">
        <v>82</v>
      </c>
      <c r="E2709" s="1" t="s">
        <v>997</v>
      </c>
      <c r="F2709" s="1" t="s">
        <v>20</v>
      </c>
      <c r="G2709" s="2" t="s">
        <v>1</v>
      </c>
      <c r="H2709" s="3" t="s">
        <v>88</v>
      </c>
      <c r="I2709" s="3" t="s">
        <v>85</v>
      </c>
      <c r="J2709" s="3" t="s">
        <v>64</v>
      </c>
      <c r="K2709" s="4">
        <v>7.98</v>
      </c>
      <c r="L2709" s="6">
        <v>3.29</v>
      </c>
    </row>
    <row r="2710" spans="1:12" x14ac:dyDescent="0.25">
      <c r="A2710" s="1">
        <v>2709</v>
      </c>
      <c r="B2710" s="4">
        <v>19559</v>
      </c>
      <c r="C2710" s="5">
        <v>40283</v>
      </c>
      <c r="D2710" s="3" t="s">
        <v>89</v>
      </c>
      <c r="E2710" s="1" t="s">
        <v>702</v>
      </c>
      <c r="F2710" s="1" t="s">
        <v>14</v>
      </c>
      <c r="G2710" s="2" t="s">
        <v>2</v>
      </c>
      <c r="H2710" s="3" t="s">
        <v>84</v>
      </c>
      <c r="I2710" s="3" t="s">
        <v>85</v>
      </c>
      <c r="J2710" s="3" t="s">
        <v>66</v>
      </c>
      <c r="K2710" s="4">
        <v>260.77</v>
      </c>
      <c r="L2710" s="6">
        <v>8.34</v>
      </c>
    </row>
    <row r="2711" spans="1:12" x14ac:dyDescent="0.25">
      <c r="A2711" s="1">
        <v>2710</v>
      </c>
      <c r="B2711" s="4">
        <v>19559</v>
      </c>
      <c r="C2711" s="5">
        <v>40283</v>
      </c>
      <c r="D2711" s="3" t="s">
        <v>89</v>
      </c>
      <c r="E2711" s="1" t="s">
        <v>702</v>
      </c>
      <c r="F2711" s="1" t="s">
        <v>14</v>
      </c>
      <c r="G2711" s="2" t="s">
        <v>2</v>
      </c>
      <c r="H2711" s="3" t="s">
        <v>84</v>
      </c>
      <c r="I2711" s="3" t="s">
        <v>92</v>
      </c>
      <c r="J2711" s="3" t="s">
        <v>61</v>
      </c>
      <c r="K2711" s="4">
        <v>2445.212</v>
      </c>
      <c r="L2711" s="6">
        <v>155.99</v>
      </c>
    </row>
    <row r="2712" spans="1:12" x14ac:dyDescent="0.25">
      <c r="A2712" s="1">
        <v>2711</v>
      </c>
      <c r="B2712" s="4">
        <v>19559</v>
      </c>
      <c r="C2712" s="5">
        <v>40283</v>
      </c>
      <c r="D2712" s="3" t="s">
        <v>89</v>
      </c>
      <c r="E2712" s="1" t="s">
        <v>430</v>
      </c>
      <c r="F2712" s="1" t="s">
        <v>14</v>
      </c>
      <c r="G2712" s="2" t="s">
        <v>2</v>
      </c>
      <c r="H2712" s="3" t="s">
        <v>84</v>
      </c>
      <c r="I2712" s="3" t="s">
        <v>92</v>
      </c>
      <c r="J2712" s="3" t="s">
        <v>61</v>
      </c>
      <c r="K2712" s="4">
        <v>1032.0274999999999</v>
      </c>
      <c r="L2712" s="6">
        <v>85.99</v>
      </c>
    </row>
    <row r="2713" spans="1:12" x14ac:dyDescent="0.25">
      <c r="A2713" s="1">
        <v>2712</v>
      </c>
      <c r="B2713" s="4">
        <v>19584</v>
      </c>
      <c r="C2713" s="5">
        <v>39919</v>
      </c>
      <c r="D2713" s="3" t="s">
        <v>95</v>
      </c>
      <c r="E2713" s="1" t="s">
        <v>174</v>
      </c>
      <c r="F2713" s="1" t="s">
        <v>22</v>
      </c>
      <c r="G2713" s="2" t="s">
        <v>6</v>
      </c>
      <c r="H2713" s="3" t="s">
        <v>88</v>
      </c>
      <c r="I2713" s="3" t="s">
        <v>92</v>
      </c>
      <c r="J2713" s="3" t="s">
        <v>67</v>
      </c>
      <c r="K2713" s="4">
        <v>14535.8</v>
      </c>
      <c r="L2713" s="6">
        <v>2550.14</v>
      </c>
    </row>
    <row r="2714" spans="1:12" x14ac:dyDescent="0.25">
      <c r="A2714" s="1">
        <v>2713</v>
      </c>
      <c r="B2714" s="4">
        <v>19586</v>
      </c>
      <c r="C2714" s="5">
        <v>41214</v>
      </c>
      <c r="D2714" s="3" t="s">
        <v>86</v>
      </c>
      <c r="E2714" s="1" t="s">
        <v>640</v>
      </c>
      <c r="F2714" s="1" t="s">
        <v>23</v>
      </c>
      <c r="G2714" s="2" t="s">
        <v>3</v>
      </c>
      <c r="H2714" s="3" t="s">
        <v>97</v>
      </c>
      <c r="I2714" s="3" t="s">
        <v>85</v>
      </c>
      <c r="J2714" s="3" t="s">
        <v>58</v>
      </c>
      <c r="K2714" s="4">
        <v>70.63</v>
      </c>
      <c r="L2714" s="6">
        <v>2.08</v>
      </c>
    </row>
    <row r="2715" spans="1:12" x14ac:dyDescent="0.25">
      <c r="A2715" s="1">
        <v>2714</v>
      </c>
      <c r="B2715" s="4">
        <v>19616</v>
      </c>
      <c r="C2715" s="5">
        <v>40899</v>
      </c>
      <c r="D2715" s="3" t="s">
        <v>89</v>
      </c>
      <c r="E2715" s="1" t="s">
        <v>183</v>
      </c>
      <c r="F2715" s="1" t="s">
        <v>34</v>
      </c>
      <c r="G2715" s="2" t="s">
        <v>1</v>
      </c>
      <c r="H2715" s="3" t="s">
        <v>88</v>
      </c>
      <c r="I2715" s="3" t="s">
        <v>85</v>
      </c>
      <c r="J2715" s="3" t="s">
        <v>63</v>
      </c>
      <c r="K2715" s="4">
        <v>92.31</v>
      </c>
      <c r="L2715" s="6">
        <v>28.15</v>
      </c>
    </row>
    <row r="2716" spans="1:12" x14ac:dyDescent="0.25">
      <c r="A2716" s="1">
        <v>2715</v>
      </c>
      <c r="B2716" s="4">
        <v>19616</v>
      </c>
      <c r="C2716" s="5">
        <v>40899</v>
      </c>
      <c r="D2716" s="3" t="s">
        <v>89</v>
      </c>
      <c r="E2716" s="1" t="s">
        <v>183</v>
      </c>
      <c r="F2716" s="1" t="s">
        <v>34</v>
      </c>
      <c r="G2716" s="2" t="s">
        <v>1</v>
      </c>
      <c r="H2716" s="3" t="s">
        <v>88</v>
      </c>
      <c r="I2716" s="3" t="s">
        <v>85</v>
      </c>
      <c r="J2716" s="3" t="s">
        <v>63</v>
      </c>
      <c r="K2716" s="4">
        <v>116.94</v>
      </c>
      <c r="L2716" s="6">
        <v>2.78</v>
      </c>
    </row>
    <row r="2717" spans="1:12" x14ac:dyDescent="0.25">
      <c r="A2717" s="1">
        <v>2716</v>
      </c>
      <c r="B2717" s="4">
        <v>19617</v>
      </c>
      <c r="C2717" s="5">
        <v>40928</v>
      </c>
      <c r="D2717" s="3" t="s">
        <v>82</v>
      </c>
      <c r="E2717" s="1" t="s">
        <v>434</v>
      </c>
      <c r="F2717" s="1" t="s">
        <v>38</v>
      </c>
      <c r="G2717" s="2" t="s">
        <v>6</v>
      </c>
      <c r="H2717" s="3" t="s">
        <v>88</v>
      </c>
      <c r="I2717" s="3" t="s">
        <v>92</v>
      </c>
      <c r="J2717" s="3" t="s">
        <v>67</v>
      </c>
      <c r="K2717" s="4">
        <v>952.47</v>
      </c>
      <c r="L2717" s="6">
        <v>23.99</v>
      </c>
    </row>
    <row r="2718" spans="1:12" x14ac:dyDescent="0.25">
      <c r="A2718" s="1">
        <v>2717</v>
      </c>
      <c r="B2718" s="4">
        <v>19617</v>
      </c>
      <c r="C2718" s="5">
        <v>40928</v>
      </c>
      <c r="D2718" s="3" t="s">
        <v>82</v>
      </c>
      <c r="E2718" s="1" t="s">
        <v>434</v>
      </c>
      <c r="F2718" s="1" t="s">
        <v>38</v>
      </c>
      <c r="G2718" s="2" t="s">
        <v>6</v>
      </c>
      <c r="H2718" s="3" t="s">
        <v>88</v>
      </c>
      <c r="I2718" s="3" t="s">
        <v>92</v>
      </c>
      <c r="J2718" s="3" t="s">
        <v>61</v>
      </c>
      <c r="K2718" s="4">
        <v>171.96350000000001</v>
      </c>
      <c r="L2718" s="6">
        <v>65.989999999999995</v>
      </c>
    </row>
    <row r="2719" spans="1:12" x14ac:dyDescent="0.25">
      <c r="A2719" s="1">
        <v>2718</v>
      </c>
      <c r="B2719" s="4">
        <v>19621</v>
      </c>
      <c r="C2719" s="5">
        <v>40793</v>
      </c>
      <c r="D2719" s="3" t="s">
        <v>95</v>
      </c>
      <c r="E2719" s="1" t="s">
        <v>998</v>
      </c>
      <c r="F2719" s="1" t="s">
        <v>16</v>
      </c>
      <c r="G2719" s="2" t="s">
        <v>3</v>
      </c>
      <c r="H2719" s="3" t="s">
        <v>88</v>
      </c>
      <c r="I2719" s="3" t="s">
        <v>85</v>
      </c>
      <c r="J2719" s="3" t="s">
        <v>58</v>
      </c>
      <c r="K2719" s="4">
        <v>67.03</v>
      </c>
      <c r="L2719" s="6">
        <v>3.14</v>
      </c>
    </row>
    <row r="2720" spans="1:12" x14ac:dyDescent="0.25">
      <c r="A2720" s="1">
        <v>2719</v>
      </c>
      <c r="B2720" s="4">
        <v>19621</v>
      </c>
      <c r="C2720" s="5">
        <v>40793</v>
      </c>
      <c r="D2720" s="3" t="s">
        <v>95</v>
      </c>
      <c r="E2720" s="1" t="s">
        <v>998</v>
      </c>
      <c r="F2720" s="1" t="s">
        <v>16</v>
      </c>
      <c r="G2720" s="2" t="s">
        <v>3</v>
      </c>
      <c r="H2720" s="3" t="s">
        <v>88</v>
      </c>
      <c r="I2720" s="3" t="s">
        <v>85</v>
      </c>
      <c r="J2720" s="3" t="s">
        <v>57</v>
      </c>
      <c r="K2720" s="4">
        <v>140.82</v>
      </c>
      <c r="L2720" s="6">
        <v>7.98</v>
      </c>
    </row>
    <row r="2721" spans="1:12" x14ac:dyDescent="0.25">
      <c r="A2721" s="1">
        <v>2720</v>
      </c>
      <c r="B2721" s="4">
        <v>19649</v>
      </c>
      <c r="C2721" s="5">
        <v>40667</v>
      </c>
      <c r="D2721" s="3" t="s">
        <v>89</v>
      </c>
      <c r="E2721" s="1" t="s">
        <v>157</v>
      </c>
      <c r="F2721" s="1" t="s">
        <v>10</v>
      </c>
      <c r="G2721" s="2" t="s">
        <v>3</v>
      </c>
      <c r="H2721" s="3" t="s">
        <v>100</v>
      </c>
      <c r="I2721" s="3" t="s">
        <v>85</v>
      </c>
      <c r="J2721" s="3" t="s">
        <v>70</v>
      </c>
      <c r="K2721" s="4">
        <v>375.74</v>
      </c>
      <c r="L2721" s="6">
        <v>14.42</v>
      </c>
    </row>
    <row r="2722" spans="1:12" x14ac:dyDescent="0.25">
      <c r="A2722" s="1">
        <v>2721</v>
      </c>
      <c r="B2722" s="4">
        <v>19649</v>
      </c>
      <c r="C2722" s="5">
        <v>40667</v>
      </c>
      <c r="D2722" s="3" t="s">
        <v>89</v>
      </c>
      <c r="E2722" s="1" t="s">
        <v>157</v>
      </c>
      <c r="F2722" s="1" t="s">
        <v>10</v>
      </c>
      <c r="G2722" s="2" t="s">
        <v>3</v>
      </c>
      <c r="H2722" s="3" t="s">
        <v>100</v>
      </c>
      <c r="I2722" s="3" t="s">
        <v>91</v>
      </c>
      <c r="J2722" s="3" t="s">
        <v>60</v>
      </c>
      <c r="K2722" s="4">
        <v>1095.1099999999999</v>
      </c>
      <c r="L2722" s="6">
        <v>31.76</v>
      </c>
    </row>
    <row r="2723" spans="1:12" x14ac:dyDescent="0.25">
      <c r="A2723" s="1">
        <v>2722</v>
      </c>
      <c r="B2723" s="4">
        <v>19652</v>
      </c>
      <c r="C2723" s="5">
        <v>41062</v>
      </c>
      <c r="D2723" s="3" t="s">
        <v>95</v>
      </c>
      <c r="E2723" s="1" t="s">
        <v>644</v>
      </c>
      <c r="F2723" s="1" t="s">
        <v>32</v>
      </c>
      <c r="G2723" s="2" t="s">
        <v>2</v>
      </c>
      <c r="H2723" s="3" t="s">
        <v>88</v>
      </c>
      <c r="I2723" s="3" t="s">
        <v>91</v>
      </c>
      <c r="J2723" s="3" t="s">
        <v>72</v>
      </c>
      <c r="K2723" s="4">
        <v>2711.14</v>
      </c>
      <c r="L2723" s="6">
        <v>89.99</v>
      </c>
    </row>
    <row r="2724" spans="1:12" x14ac:dyDescent="0.25">
      <c r="A2724" s="1">
        <v>2723</v>
      </c>
      <c r="B2724" s="4">
        <v>19652</v>
      </c>
      <c r="C2724" s="5">
        <v>41062</v>
      </c>
      <c r="D2724" s="3" t="s">
        <v>95</v>
      </c>
      <c r="E2724" s="1" t="s">
        <v>644</v>
      </c>
      <c r="F2724" s="1" t="s">
        <v>32</v>
      </c>
      <c r="G2724" s="2" t="s">
        <v>2</v>
      </c>
      <c r="H2724" s="3" t="s">
        <v>88</v>
      </c>
      <c r="I2724" s="3" t="s">
        <v>92</v>
      </c>
      <c r="J2724" s="3" t="s">
        <v>61</v>
      </c>
      <c r="K2724" s="4">
        <v>1829.8715</v>
      </c>
      <c r="L2724" s="6">
        <v>65.989999999999995</v>
      </c>
    </row>
    <row r="2725" spans="1:12" x14ac:dyDescent="0.25">
      <c r="A2725" s="1">
        <v>2724</v>
      </c>
      <c r="B2725" s="4">
        <v>19653</v>
      </c>
      <c r="C2725" s="5">
        <v>41163</v>
      </c>
      <c r="D2725" s="3" t="s">
        <v>86</v>
      </c>
      <c r="E2725" s="1" t="s">
        <v>999</v>
      </c>
      <c r="F2725" s="1" t="s">
        <v>13</v>
      </c>
      <c r="G2725" s="2" t="s">
        <v>6</v>
      </c>
      <c r="H2725" s="3" t="s">
        <v>97</v>
      </c>
      <c r="I2725" s="3" t="s">
        <v>85</v>
      </c>
      <c r="J2725" s="3" t="s">
        <v>69</v>
      </c>
      <c r="K2725" s="4">
        <v>125.46</v>
      </c>
      <c r="L2725" s="6">
        <v>3.58</v>
      </c>
    </row>
    <row r="2726" spans="1:12" x14ac:dyDescent="0.25">
      <c r="A2726" s="1">
        <v>2725</v>
      </c>
      <c r="B2726" s="4">
        <v>19654</v>
      </c>
      <c r="C2726" s="5">
        <v>40552</v>
      </c>
      <c r="D2726" s="3" t="s">
        <v>89</v>
      </c>
      <c r="E2726" s="1" t="s">
        <v>453</v>
      </c>
      <c r="F2726" s="1" t="s">
        <v>37</v>
      </c>
      <c r="G2726" s="2" t="s">
        <v>3</v>
      </c>
      <c r="H2726" s="3" t="s">
        <v>97</v>
      </c>
      <c r="I2726" s="3" t="s">
        <v>91</v>
      </c>
      <c r="J2726" s="3" t="s">
        <v>59</v>
      </c>
      <c r="K2726" s="4">
        <v>381.69</v>
      </c>
      <c r="L2726" s="6">
        <v>46.94</v>
      </c>
    </row>
    <row r="2727" spans="1:12" x14ac:dyDescent="0.25">
      <c r="A2727" s="1">
        <v>2726</v>
      </c>
      <c r="B2727" s="4">
        <v>19655</v>
      </c>
      <c r="C2727" s="5">
        <v>39824</v>
      </c>
      <c r="D2727" s="3" t="s">
        <v>89</v>
      </c>
      <c r="E2727" s="1" t="s">
        <v>325</v>
      </c>
      <c r="F2727" s="1" t="s">
        <v>8</v>
      </c>
      <c r="G2727" s="2" t="s">
        <v>6</v>
      </c>
      <c r="H2727" s="3" t="s">
        <v>88</v>
      </c>
      <c r="I2727" s="3" t="s">
        <v>92</v>
      </c>
      <c r="J2727" s="3" t="s">
        <v>62</v>
      </c>
      <c r="K2727" s="4">
        <v>1143.45</v>
      </c>
      <c r="L2727" s="6">
        <v>39.24</v>
      </c>
    </row>
    <row r="2728" spans="1:12" x14ac:dyDescent="0.25">
      <c r="A2728" s="1">
        <v>2727</v>
      </c>
      <c r="B2728" s="4">
        <v>19686</v>
      </c>
      <c r="C2728" s="5">
        <v>40405</v>
      </c>
      <c r="D2728" s="3" t="s">
        <v>4</v>
      </c>
      <c r="E2728" s="1" t="s">
        <v>325</v>
      </c>
      <c r="F2728" s="1" t="s">
        <v>8</v>
      </c>
      <c r="G2728" s="2" t="s">
        <v>6</v>
      </c>
      <c r="H2728" s="3" t="s">
        <v>88</v>
      </c>
      <c r="I2728" s="3" t="s">
        <v>92</v>
      </c>
      <c r="J2728" s="3" t="s">
        <v>67</v>
      </c>
      <c r="K2728" s="4">
        <v>42.31</v>
      </c>
      <c r="L2728" s="6">
        <v>17.98</v>
      </c>
    </row>
    <row r="2729" spans="1:12" x14ac:dyDescent="0.25">
      <c r="A2729" s="1">
        <v>2728</v>
      </c>
      <c r="B2729" s="4">
        <v>19686</v>
      </c>
      <c r="C2729" s="5">
        <v>40405</v>
      </c>
      <c r="D2729" s="3" t="s">
        <v>4</v>
      </c>
      <c r="E2729" s="1" t="s">
        <v>1000</v>
      </c>
      <c r="F2729" s="1" t="s">
        <v>8</v>
      </c>
      <c r="G2729" s="2" t="s">
        <v>6</v>
      </c>
      <c r="H2729" s="3" t="s">
        <v>88</v>
      </c>
      <c r="I2729" s="3" t="s">
        <v>85</v>
      </c>
      <c r="J2729" s="3" t="s">
        <v>69</v>
      </c>
      <c r="K2729" s="4">
        <v>152.66999999999999</v>
      </c>
      <c r="L2729" s="6">
        <v>12.95</v>
      </c>
    </row>
    <row r="2730" spans="1:12" x14ac:dyDescent="0.25">
      <c r="A2730" s="1">
        <v>2729</v>
      </c>
      <c r="B2730" s="4">
        <v>19687</v>
      </c>
      <c r="C2730" s="5">
        <v>40403</v>
      </c>
      <c r="D2730" s="3" t="s">
        <v>4</v>
      </c>
      <c r="E2730" s="1" t="s">
        <v>809</v>
      </c>
      <c r="F2730" s="1" t="s">
        <v>13</v>
      </c>
      <c r="G2730" s="2" t="s">
        <v>6</v>
      </c>
      <c r="H2730" s="3" t="s">
        <v>100</v>
      </c>
      <c r="I2730" s="3" t="s">
        <v>85</v>
      </c>
      <c r="J2730" s="3" t="s">
        <v>64</v>
      </c>
      <c r="K2730" s="4">
        <v>47.99</v>
      </c>
      <c r="L2730" s="6">
        <v>1.48</v>
      </c>
    </row>
    <row r="2731" spans="1:12" x14ac:dyDescent="0.25">
      <c r="A2731" s="1">
        <v>2730</v>
      </c>
      <c r="B2731" s="4">
        <v>19687</v>
      </c>
      <c r="C2731" s="5">
        <v>40403</v>
      </c>
      <c r="D2731" s="3" t="s">
        <v>4</v>
      </c>
      <c r="E2731" s="1" t="s">
        <v>809</v>
      </c>
      <c r="F2731" s="1" t="s">
        <v>13</v>
      </c>
      <c r="G2731" s="2" t="s">
        <v>6</v>
      </c>
      <c r="H2731" s="3" t="s">
        <v>100</v>
      </c>
      <c r="I2731" s="3" t="s">
        <v>92</v>
      </c>
      <c r="J2731" s="3" t="s">
        <v>61</v>
      </c>
      <c r="K2731" s="4">
        <v>829.61699999999996</v>
      </c>
      <c r="L2731" s="6">
        <v>45.99</v>
      </c>
    </row>
    <row r="2732" spans="1:12" x14ac:dyDescent="0.25">
      <c r="A2732" s="1">
        <v>2731</v>
      </c>
      <c r="B2732" s="4">
        <v>19716</v>
      </c>
      <c r="C2732" s="5">
        <v>40085</v>
      </c>
      <c r="D2732" s="3" t="s">
        <v>82</v>
      </c>
      <c r="E2732" s="1" t="s">
        <v>1001</v>
      </c>
      <c r="F2732" s="1" t="s">
        <v>13</v>
      </c>
      <c r="G2732" s="2" t="s">
        <v>6</v>
      </c>
      <c r="H2732" s="3" t="s">
        <v>97</v>
      </c>
      <c r="I2732" s="3" t="s">
        <v>92</v>
      </c>
      <c r="J2732" s="3" t="s">
        <v>61</v>
      </c>
      <c r="K2732" s="4">
        <v>616.10550000000001</v>
      </c>
      <c r="L2732" s="6">
        <v>140.99</v>
      </c>
    </row>
    <row r="2733" spans="1:12" x14ac:dyDescent="0.25">
      <c r="A2733" s="1">
        <v>2732</v>
      </c>
      <c r="B2733" s="4">
        <v>19718</v>
      </c>
      <c r="C2733" s="5">
        <v>41084</v>
      </c>
      <c r="D2733" s="3" t="s">
        <v>82</v>
      </c>
      <c r="E2733" s="1" t="s">
        <v>573</v>
      </c>
      <c r="F2733" s="1" t="s">
        <v>23</v>
      </c>
      <c r="G2733" s="2" t="s">
        <v>3</v>
      </c>
      <c r="H2733" s="3" t="s">
        <v>100</v>
      </c>
      <c r="I2733" s="3" t="s">
        <v>92</v>
      </c>
      <c r="J2733" s="3" t="s">
        <v>67</v>
      </c>
      <c r="K2733" s="4">
        <v>89.75</v>
      </c>
      <c r="L2733" s="6">
        <v>13.99</v>
      </c>
    </row>
    <row r="2734" spans="1:12" x14ac:dyDescent="0.25">
      <c r="A2734" s="1">
        <v>2733</v>
      </c>
      <c r="B2734" s="4">
        <v>19744</v>
      </c>
      <c r="C2734" s="5">
        <v>40251</v>
      </c>
      <c r="D2734" s="3" t="s">
        <v>4</v>
      </c>
      <c r="E2734" s="1" t="s">
        <v>891</v>
      </c>
      <c r="F2734" s="1" t="s">
        <v>23</v>
      </c>
      <c r="G2734" s="2" t="s">
        <v>3</v>
      </c>
      <c r="H2734" s="3" t="s">
        <v>100</v>
      </c>
      <c r="I2734" s="3" t="s">
        <v>85</v>
      </c>
      <c r="J2734" s="3" t="s">
        <v>70</v>
      </c>
      <c r="K2734" s="4">
        <v>478.38</v>
      </c>
      <c r="L2734" s="6">
        <v>11.97</v>
      </c>
    </row>
    <row r="2735" spans="1:12" x14ac:dyDescent="0.25">
      <c r="A2735" s="1">
        <v>2734</v>
      </c>
      <c r="B2735" s="4">
        <v>19745</v>
      </c>
      <c r="C2735" s="5">
        <v>41261</v>
      </c>
      <c r="D2735" s="3" t="s">
        <v>89</v>
      </c>
      <c r="E2735" s="1" t="s">
        <v>1002</v>
      </c>
      <c r="F2735" s="2" t="s">
        <v>33</v>
      </c>
      <c r="G2735" s="2" t="s">
        <v>2</v>
      </c>
      <c r="H2735" s="3" t="s">
        <v>84</v>
      </c>
      <c r="I2735" s="3" t="s">
        <v>91</v>
      </c>
      <c r="J2735" s="3" t="s">
        <v>59</v>
      </c>
      <c r="K2735" s="4">
        <v>1071.77</v>
      </c>
      <c r="L2735" s="6">
        <v>45.98</v>
      </c>
    </row>
    <row r="2736" spans="1:12" x14ac:dyDescent="0.25">
      <c r="A2736" s="1">
        <v>2735</v>
      </c>
      <c r="B2736" s="4">
        <v>19745</v>
      </c>
      <c r="C2736" s="5">
        <v>41261</v>
      </c>
      <c r="D2736" s="3" t="s">
        <v>89</v>
      </c>
      <c r="E2736" s="1" t="s">
        <v>1003</v>
      </c>
      <c r="F2736" s="1" t="s">
        <v>33</v>
      </c>
      <c r="G2736" s="2" t="s">
        <v>2</v>
      </c>
      <c r="H2736" s="3" t="s">
        <v>84</v>
      </c>
      <c r="I2736" s="3" t="s">
        <v>92</v>
      </c>
      <c r="J2736" s="3" t="s">
        <v>62</v>
      </c>
      <c r="K2736" s="4">
        <v>8635.61</v>
      </c>
      <c r="L2736" s="6">
        <v>300.97000000000003</v>
      </c>
    </row>
    <row r="2737" spans="1:12" x14ac:dyDescent="0.25">
      <c r="A2737" s="1">
        <v>2736</v>
      </c>
      <c r="B2737" s="4">
        <v>19745</v>
      </c>
      <c r="C2737" s="5">
        <v>41261</v>
      </c>
      <c r="D2737" s="3" t="s">
        <v>89</v>
      </c>
      <c r="E2737" s="1" t="s">
        <v>1003</v>
      </c>
      <c r="F2737" s="1" t="s">
        <v>33</v>
      </c>
      <c r="G2737" s="2" t="s">
        <v>2</v>
      </c>
      <c r="H2737" s="3" t="s">
        <v>84</v>
      </c>
      <c r="I2737" s="3" t="s">
        <v>92</v>
      </c>
      <c r="J2737" s="3" t="s">
        <v>62</v>
      </c>
      <c r="K2737" s="4">
        <v>63.96</v>
      </c>
      <c r="L2737" s="6">
        <v>29.89</v>
      </c>
    </row>
    <row r="2738" spans="1:12" x14ac:dyDescent="0.25">
      <c r="A2738" s="1">
        <v>2737</v>
      </c>
      <c r="B2738" s="4">
        <v>19745</v>
      </c>
      <c r="C2738" s="5">
        <v>41261</v>
      </c>
      <c r="D2738" s="3" t="s">
        <v>89</v>
      </c>
      <c r="E2738" s="1" t="s">
        <v>1003</v>
      </c>
      <c r="F2738" s="1" t="s">
        <v>33</v>
      </c>
      <c r="G2738" s="2" t="s">
        <v>2</v>
      </c>
      <c r="H2738" s="3" t="s">
        <v>84</v>
      </c>
      <c r="I2738" s="3" t="s">
        <v>85</v>
      </c>
      <c r="J2738" s="3" t="s">
        <v>71</v>
      </c>
      <c r="K2738" s="4">
        <v>833</v>
      </c>
      <c r="L2738" s="6">
        <v>15.57</v>
      </c>
    </row>
    <row r="2739" spans="1:12" x14ac:dyDescent="0.25">
      <c r="A2739" s="1">
        <v>2738</v>
      </c>
      <c r="B2739" s="4">
        <v>19748</v>
      </c>
      <c r="C2739" s="5">
        <v>40394</v>
      </c>
      <c r="D2739" s="3" t="s">
        <v>86</v>
      </c>
      <c r="E2739" s="1" t="s">
        <v>360</v>
      </c>
      <c r="F2739" s="1" t="s">
        <v>10</v>
      </c>
      <c r="G2739" s="2" t="s">
        <v>3</v>
      </c>
      <c r="H2739" s="3" t="s">
        <v>88</v>
      </c>
      <c r="I2739" s="3" t="s">
        <v>85</v>
      </c>
      <c r="J2739" s="3" t="s">
        <v>66</v>
      </c>
      <c r="K2739" s="4">
        <v>124.65</v>
      </c>
      <c r="L2739" s="6">
        <v>18.97</v>
      </c>
    </row>
    <row r="2740" spans="1:12" x14ac:dyDescent="0.25">
      <c r="A2740" s="1">
        <v>2739</v>
      </c>
      <c r="B2740" s="4">
        <v>19777</v>
      </c>
      <c r="C2740" s="5">
        <v>41201</v>
      </c>
      <c r="D2740" s="3" t="s">
        <v>86</v>
      </c>
      <c r="E2740" s="1" t="s">
        <v>457</v>
      </c>
      <c r="F2740" s="1" t="s">
        <v>18</v>
      </c>
      <c r="G2740" s="2" t="s">
        <v>6</v>
      </c>
      <c r="H2740" s="3" t="s">
        <v>88</v>
      </c>
      <c r="I2740" s="3" t="s">
        <v>85</v>
      </c>
      <c r="J2740" s="3" t="s">
        <v>69</v>
      </c>
      <c r="K2740" s="4">
        <v>321.91000000000003</v>
      </c>
      <c r="L2740" s="6">
        <v>15.01</v>
      </c>
    </row>
    <row r="2741" spans="1:12" x14ac:dyDescent="0.25">
      <c r="A2741" s="1">
        <v>2740</v>
      </c>
      <c r="B2741" s="4">
        <v>19777</v>
      </c>
      <c r="C2741" s="5">
        <v>41201</v>
      </c>
      <c r="D2741" s="3" t="s">
        <v>86</v>
      </c>
      <c r="E2741" s="1" t="s">
        <v>457</v>
      </c>
      <c r="F2741" s="1" t="s">
        <v>18</v>
      </c>
      <c r="G2741" s="2" t="s">
        <v>6</v>
      </c>
      <c r="H2741" s="3" t="s">
        <v>88</v>
      </c>
      <c r="I2741" s="3" t="s">
        <v>85</v>
      </c>
      <c r="J2741" s="3" t="s">
        <v>69</v>
      </c>
      <c r="K2741" s="4">
        <v>132.96</v>
      </c>
      <c r="L2741" s="6">
        <v>59.78</v>
      </c>
    </row>
    <row r="2742" spans="1:12" x14ac:dyDescent="0.25">
      <c r="A2742" s="1">
        <v>2741</v>
      </c>
      <c r="B2742" s="4">
        <v>19777</v>
      </c>
      <c r="C2742" s="5">
        <v>41201</v>
      </c>
      <c r="D2742" s="3" t="s">
        <v>86</v>
      </c>
      <c r="E2742" s="1" t="s">
        <v>1004</v>
      </c>
      <c r="F2742" s="1" t="s">
        <v>18</v>
      </c>
      <c r="G2742" s="2" t="s">
        <v>6</v>
      </c>
      <c r="H2742" s="3" t="s">
        <v>88</v>
      </c>
      <c r="I2742" s="3" t="s">
        <v>92</v>
      </c>
      <c r="J2742" s="3" t="s">
        <v>61</v>
      </c>
      <c r="K2742" s="4">
        <v>3268.7514999999999</v>
      </c>
      <c r="L2742" s="6">
        <v>155.99</v>
      </c>
    </row>
    <row r="2743" spans="1:12" x14ac:dyDescent="0.25">
      <c r="A2743" s="1">
        <v>2742</v>
      </c>
      <c r="B2743" s="4">
        <v>19782</v>
      </c>
      <c r="C2743" s="5">
        <v>41200</v>
      </c>
      <c r="D2743" s="3" t="s">
        <v>82</v>
      </c>
      <c r="E2743" s="1" t="s">
        <v>579</v>
      </c>
      <c r="F2743" s="1" t="s">
        <v>13</v>
      </c>
      <c r="G2743" s="2" t="s">
        <v>6</v>
      </c>
      <c r="H2743" s="3" t="s">
        <v>100</v>
      </c>
      <c r="I2743" s="3" t="s">
        <v>85</v>
      </c>
      <c r="J2743" s="3" t="s">
        <v>64</v>
      </c>
      <c r="K2743" s="4">
        <v>33.21</v>
      </c>
      <c r="L2743" s="6">
        <v>1.81</v>
      </c>
    </row>
    <row r="2744" spans="1:12" x14ac:dyDescent="0.25">
      <c r="A2744" s="1">
        <v>2743</v>
      </c>
      <c r="B2744" s="4">
        <v>19811</v>
      </c>
      <c r="C2744" s="5">
        <v>40763</v>
      </c>
      <c r="D2744" s="3" t="s">
        <v>82</v>
      </c>
      <c r="E2744" s="1" t="s">
        <v>1005</v>
      </c>
      <c r="F2744" s="1" t="s">
        <v>15</v>
      </c>
      <c r="G2744" s="2" t="s">
        <v>1</v>
      </c>
      <c r="H2744" s="3" t="s">
        <v>88</v>
      </c>
      <c r="I2744" s="3" t="s">
        <v>85</v>
      </c>
      <c r="J2744" s="3" t="s">
        <v>58</v>
      </c>
      <c r="K2744" s="4">
        <v>450.66</v>
      </c>
      <c r="L2744" s="6">
        <v>8.57</v>
      </c>
    </row>
    <row r="2745" spans="1:12" x14ac:dyDescent="0.25">
      <c r="A2745" s="1">
        <v>2744</v>
      </c>
      <c r="B2745" s="4">
        <v>19812</v>
      </c>
      <c r="C2745" s="5">
        <v>40270</v>
      </c>
      <c r="D2745" s="3" t="s">
        <v>82</v>
      </c>
      <c r="E2745" s="1" t="s">
        <v>1006</v>
      </c>
      <c r="F2745" s="1" t="s">
        <v>12</v>
      </c>
      <c r="G2745" s="2" t="s">
        <v>2</v>
      </c>
      <c r="H2745" s="3" t="s">
        <v>97</v>
      </c>
      <c r="I2745" s="3" t="s">
        <v>91</v>
      </c>
      <c r="J2745" s="3" t="s">
        <v>60</v>
      </c>
      <c r="K2745" s="4">
        <v>1358.7760000000001</v>
      </c>
      <c r="L2745" s="6">
        <v>550.98</v>
      </c>
    </row>
    <row r="2746" spans="1:12" x14ac:dyDescent="0.25">
      <c r="A2746" s="1">
        <v>2745</v>
      </c>
      <c r="B2746" s="4">
        <v>19813</v>
      </c>
      <c r="C2746" s="5">
        <v>40239</v>
      </c>
      <c r="D2746" s="3" t="s">
        <v>95</v>
      </c>
      <c r="E2746" s="1" t="s">
        <v>590</v>
      </c>
      <c r="F2746" s="1" t="s">
        <v>11</v>
      </c>
      <c r="G2746" s="2" t="s">
        <v>6</v>
      </c>
      <c r="H2746" s="3" t="s">
        <v>97</v>
      </c>
      <c r="I2746" s="3" t="s">
        <v>92</v>
      </c>
      <c r="J2746" s="3" t="s">
        <v>61</v>
      </c>
      <c r="K2746" s="4">
        <v>1098.5059999999999</v>
      </c>
      <c r="L2746" s="6">
        <v>45.99</v>
      </c>
    </row>
    <row r="2747" spans="1:12" x14ac:dyDescent="0.25">
      <c r="A2747" s="1">
        <v>2746</v>
      </c>
      <c r="B2747" s="4">
        <v>19815</v>
      </c>
      <c r="C2747" s="5">
        <v>40262</v>
      </c>
      <c r="D2747" s="3" t="s">
        <v>86</v>
      </c>
      <c r="E2747" s="1" t="s">
        <v>601</v>
      </c>
      <c r="F2747" s="1" t="s">
        <v>24</v>
      </c>
      <c r="G2747" s="2" t="s">
        <v>2</v>
      </c>
      <c r="H2747" s="3" t="s">
        <v>97</v>
      </c>
      <c r="I2747" s="3" t="s">
        <v>85</v>
      </c>
      <c r="J2747" s="3" t="s">
        <v>66</v>
      </c>
      <c r="K2747" s="4">
        <v>167.07</v>
      </c>
      <c r="L2747" s="6">
        <v>4.9800000000000004</v>
      </c>
    </row>
    <row r="2748" spans="1:12" x14ac:dyDescent="0.25">
      <c r="A2748" s="1">
        <v>2747</v>
      </c>
      <c r="B2748" s="4">
        <v>19840</v>
      </c>
      <c r="C2748" s="5">
        <v>40322</v>
      </c>
      <c r="D2748" s="3" t="s">
        <v>95</v>
      </c>
      <c r="E2748" s="1" t="s">
        <v>1007</v>
      </c>
      <c r="F2748" s="1" t="s">
        <v>17</v>
      </c>
      <c r="G2748" s="2" t="s">
        <v>2</v>
      </c>
      <c r="H2748" s="3" t="s">
        <v>88</v>
      </c>
      <c r="I2748" s="3" t="s">
        <v>92</v>
      </c>
      <c r="J2748" s="3" t="s">
        <v>67</v>
      </c>
      <c r="K2748" s="4">
        <v>8270.57</v>
      </c>
      <c r="L2748" s="6">
        <v>400.97</v>
      </c>
    </row>
    <row r="2749" spans="1:12" x14ac:dyDescent="0.25">
      <c r="A2749" s="1">
        <v>2748</v>
      </c>
      <c r="B2749" s="4">
        <v>19841</v>
      </c>
      <c r="C2749" s="5">
        <v>40538</v>
      </c>
      <c r="D2749" s="3" t="s">
        <v>82</v>
      </c>
      <c r="E2749" s="1" t="s">
        <v>1008</v>
      </c>
      <c r="F2749" s="1" t="s">
        <v>15</v>
      </c>
      <c r="G2749" s="2" t="s">
        <v>1</v>
      </c>
      <c r="H2749" s="3" t="s">
        <v>88</v>
      </c>
      <c r="I2749" s="3" t="s">
        <v>85</v>
      </c>
      <c r="J2749" s="3" t="s">
        <v>63</v>
      </c>
      <c r="K2749" s="4">
        <v>213.06</v>
      </c>
      <c r="L2749" s="6">
        <v>11.97</v>
      </c>
    </row>
    <row r="2750" spans="1:12" x14ac:dyDescent="0.25">
      <c r="A2750" s="1">
        <v>2749</v>
      </c>
      <c r="B2750" s="4">
        <v>19841</v>
      </c>
      <c r="C2750" s="5">
        <v>40538</v>
      </c>
      <c r="D2750" s="3" t="s">
        <v>82</v>
      </c>
      <c r="E2750" s="1" t="s">
        <v>1008</v>
      </c>
      <c r="F2750" s="1" t="s">
        <v>15</v>
      </c>
      <c r="G2750" s="2" t="s">
        <v>1</v>
      </c>
      <c r="H2750" s="3" t="s">
        <v>88</v>
      </c>
      <c r="I2750" s="3" t="s">
        <v>92</v>
      </c>
      <c r="J2750" s="3" t="s">
        <v>61</v>
      </c>
      <c r="K2750" s="4">
        <v>1126.4880000000001</v>
      </c>
      <c r="L2750" s="6">
        <v>195.99</v>
      </c>
    </row>
    <row r="2751" spans="1:12" x14ac:dyDescent="0.25">
      <c r="A2751" s="1">
        <v>2750</v>
      </c>
      <c r="B2751" s="4">
        <v>19841</v>
      </c>
      <c r="C2751" s="5">
        <v>40538</v>
      </c>
      <c r="D2751" s="3" t="s">
        <v>82</v>
      </c>
      <c r="E2751" s="1" t="s">
        <v>270</v>
      </c>
      <c r="F2751" s="1" t="s">
        <v>45</v>
      </c>
      <c r="G2751" s="2" t="s">
        <v>3</v>
      </c>
      <c r="H2751" s="3" t="s">
        <v>88</v>
      </c>
      <c r="I2751" s="3" t="s">
        <v>92</v>
      </c>
      <c r="J2751" s="3" t="s">
        <v>61</v>
      </c>
      <c r="K2751" s="4">
        <v>4687.6734999999999</v>
      </c>
      <c r="L2751" s="6">
        <v>125.99</v>
      </c>
    </row>
    <row r="2752" spans="1:12" x14ac:dyDescent="0.25">
      <c r="A2752" s="1">
        <v>2751</v>
      </c>
      <c r="B2752" s="4">
        <v>19843</v>
      </c>
      <c r="C2752" s="5">
        <v>40388</v>
      </c>
      <c r="D2752" s="3" t="s">
        <v>4</v>
      </c>
      <c r="E2752" s="1" t="s">
        <v>1009</v>
      </c>
      <c r="F2752" s="1" t="s">
        <v>36</v>
      </c>
      <c r="G2752" s="2" t="s">
        <v>2</v>
      </c>
      <c r="H2752" s="3" t="s">
        <v>97</v>
      </c>
      <c r="I2752" s="3" t="s">
        <v>92</v>
      </c>
      <c r="J2752" s="3" t="s">
        <v>61</v>
      </c>
      <c r="K2752" s="4">
        <v>4416.6509999999998</v>
      </c>
      <c r="L2752" s="6">
        <v>155.99</v>
      </c>
    </row>
    <row r="2753" spans="1:12" x14ac:dyDescent="0.25">
      <c r="A2753" s="1">
        <v>2752</v>
      </c>
      <c r="B2753" s="4">
        <v>19874</v>
      </c>
      <c r="C2753" s="5">
        <v>41068</v>
      </c>
      <c r="D2753" s="3" t="s">
        <v>89</v>
      </c>
      <c r="E2753" s="1" t="s">
        <v>631</v>
      </c>
      <c r="F2753" s="1" t="s">
        <v>15</v>
      </c>
      <c r="G2753" s="2" t="s">
        <v>1</v>
      </c>
      <c r="H2753" s="3" t="s">
        <v>84</v>
      </c>
      <c r="I2753" s="3" t="s">
        <v>85</v>
      </c>
      <c r="J2753" s="3" t="s">
        <v>57</v>
      </c>
      <c r="K2753" s="4">
        <v>310.45999999999998</v>
      </c>
      <c r="L2753" s="6">
        <v>9.7100000000000009</v>
      </c>
    </row>
    <row r="2754" spans="1:12" x14ac:dyDescent="0.25">
      <c r="A2754" s="1">
        <v>2753</v>
      </c>
      <c r="B2754" s="4">
        <v>19905</v>
      </c>
      <c r="C2754" s="5">
        <v>41133</v>
      </c>
      <c r="D2754" s="3" t="s">
        <v>95</v>
      </c>
      <c r="E2754" s="1" t="s">
        <v>1010</v>
      </c>
      <c r="F2754" s="1" t="s">
        <v>25</v>
      </c>
      <c r="G2754" s="2" t="s">
        <v>6</v>
      </c>
      <c r="H2754" s="3" t="s">
        <v>97</v>
      </c>
      <c r="I2754" s="3" t="s">
        <v>85</v>
      </c>
      <c r="J2754" s="3" t="s">
        <v>65</v>
      </c>
      <c r="K2754" s="4">
        <v>82.97</v>
      </c>
      <c r="L2754" s="6">
        <v>4.13</v>
      </c>
    </row>
    <row r="2755" spans="1:12" x14ac:dyDescent="0.25">
      <c r="A2755" s="1">
        <v>2754</v>
      </c>
      <c r="B2755" s="4">
        <v>19905</v>
      </c>
      <c r="C2755" s="5">
        <v>41133</v>
      </c>
      <c r="D2755" s="3" t="s">
        <v>95</v>
      </c>
      <c r="E2755" s="1" t="s">
        <v>1010</v>
      </c>
      <c r="F2755" s="1" t="s">
        <v>25</v>
      </c>
      <c r="G2755" s="2" t="s">
        <v>6</v>
      </c>
      <c r="H2755" s="3" t="s">
        <v>97</v>
      </c>
      <c r="I2755" s="3" t="s">
        <v>91</v>
      </c>
      <c r="J2755" s="3" t="s">
        <v>60</v>
      </c>
      <c r="K2755" s="4">
        <v>13701.35</v>
      </c>
      <c r="L2755" s="6">
        <v>550.98</v>
      </c>
    </row>
    <row r="2756" spans="1:12" x14ac:dyDescent="0.25">
      <c r="A2756" s="1">
        <v>2755</v>
      </c>
      <c r="B2756" s="4">
        <v>19911</v>
      </c>
      <c r="C2756" s="5">
        <v>40822</v>
      </c>
      <c r="D2756" s="3" t="s">
        <v>89</v>
      </c>
      <c r="E2756" s="1" t="s">
        <v>1011</v>
      </c>
      <c r="F2756" s="1" t="s">
        <v>19</v>
      </c>
      <c r="G2756" s="2" t="s">
        <v>3</v>
      </c>
      <c r="H2756" s="3" t="s">
        <v>100</v>
      </c>
      <c r="I2756" s="3" t="s">
        <v>85</v>
      </c>
      <c r="J2756" s="3" t="s">
        <v>70</v>
      </c>
      <c r="K2756" s="4">
        <v>1054.7</v>
      </c>
      <c r="L2756" s="6">
        <v>25.98</v>
      </c>
    </row>
    <row r="2757" spans="1:12" x14ac:dyDescent="0.25">
      <c r="A2757" s="1">
        <v>2756</v>
      </c>
      <c r="B2757" s="4">
        <v>19911</v>
      </c>
      <c r="C2757" s="5">
        <v>40822</v>
      </c>
      <c r="D2757" s="3" t="s">
        <v>89</v>
      </c>
      <c r="E2757" s="1" t="s">
        <v>1011</v>
      </c>
      <c r="F2757" s="1" t="s">
        <v>19</v>
      </c>
      <c r="G2757" s="2" t="s">
        <v>3</v>
      </c>
      <c r="H2757" s="3" t="s">
        <v>100</v>
      </c>
      <c r="I2757" s="3" t="s">
        <v>91</v>
      </c>
      <c r="J2757" s="3" t="s">
        <v>72</v>
      </c>
      <c r="K2757" s="4">
        <v>5349.21</v>
      </c>
      <c r="L2757" s="6">
        <v>135.99</v>
      </c>
    </row>
    <row r="2758" spans="1:12" x14ac:dyDescent="0.25">
      <c r="A2758" s="1">
        <v>2757</v>
      </c>
      <c r="B2758" s="4">
        <v>19911</v>
      </c>
      <c r="C2758" s="5">
        <v>40822</v>
      </c>
      <c r="D2758" s="3" t="s">
        <v>89</v>
      </c>
      <c r="E2758" s="1" t="s">
        <v>1011</v>
      </c>
      <c r="F2758" s="1" t="s">
        <v>19</v>
      </c>
      <c r="G2758" s="2" t="s">
        <v>3</v>
      </c>
      <c r="H2758" s="3" t="s">
        <v>100</v>
      </c>
      <c r="I2758" s="3" t="s">
        <v>92</v>
      </c>
      <c r="J2758" s="3" t="s">
        <v>67</v>
      </c>
      <c r="K2758" s="4">
        <v>4859.37</v>
      </c>
      <c r="L2758" s="6">
        <v>150.97999999999999</v>
      </c>
    </row>
    <row r="2759" spans="1:12" x14ac:dyDescent="0.25">
      <c r="A2759" s="1">
        <v>2758</v>
      </c>
      <c r="B2759" s="4">
        <v>19936</v>
      </c>
      <c r="C2759" s="5">
        <v>41226</v>
      </c>
      <c r="D2759" s="3" t="s">
        <v>95</v>
      </c>
      <c r="E2759" s="1" t="s">
        <v>132</v>
      </c>
      <c r="F2759" s="1" t="s">
        <v>30</v>
      </c>
      <c r="G2759" s="2" t="s">
        <v>6</v>
      </c>
      <c r="H2759" s="3" t="s">
        <v>97</v>
      </c>
      <c r="I2759" s="3" t="s">
        <v>85</v>
      </c>
      <c r="J2759" s="3" t="s">
        <v>69</v>
      </c>
      <c r="K2759" s="4">
        <v>36.75</v>
      </c>
      <c r="L2759" s="6">
        <v>1.88</v>
      </c>
    </row>
    <row r="2760" spans="1:12" x14ac:dyDescent="0.25">
      <c r="A2760" s="1">
        <v>2759</v>
      </c>
      <c r="B2760" s="4">
        <v>19936</v>
      </c>
      <c r="C2760" s="5">
        <v>41226</v>
      </c>
      <c r="D2760" s="3" t="s">
        <v>95</v>
      </c>
      <c r="E2760" s="1" t="s">
        <v>132</v>
      </c>
      <c r="F2760" s="1" t="s">
        <v>30</v>
      </c>
      <c r="G2760" s="2" t="s">
        <v>6</v>
      </c>
      <c r="H2760" s="3" t="s">
        <v>97</v>
      </c>
      <c r="I2760" s="3" t="s">
        <v>92</v>
      </c>
      <c r="J2760" s="3" t="s">
        <v>62</v>
      </c>
      <c r="K2760" s="4">
        <v>1115.2</v>
      </c>
      <c r="L2760" s="6">
        <v>29.89</v>
      </c>
    </row>
    <row r="2761" spans="1:12" x14ac:dyDescent="0.25">
      <c r="A2761" s="1">
        <v>2760</v>
      </c>
      <c r="B2761" s="4">
        <v>19943</v>
      </c>
      <c r="C2761" s="5">
        <v>40141</v>
      </c>
      <c r="D2761" s="3" t="s">
        <v>95</v>
      </c>
      <c r="E2761" s="1" t="s">
        <v>1012</v>
      </c>
      <c r="F2761" s="1" t="s">
        <v>17</v>
      </c>
      <c r="G2761" s="2" t="s">
        <v>2</v>
      </c>
      <c r="H2761" s="3" t="s">
        <v>88</v>
      </c>
      <c r="I2761" s="3" t="s">
        <v>91</v>
      </c>
      <c r="J2761" s="3" t="s">
        <v>60</v>
      </c>
      <c r="K2761" s="4">
        <v>1959.92</v>
      </c>
      <c r="L2761" s="6">
        <v>124.49</v>
      </c>
    </row>
    <row r="2762" spans="1:12" x14ac:dyDescent="0.25">
      <c r="A2762" s="1">
        <v>2761</v>
      </c>
      <c r="B2762" s="4">
        <v>19972</v>
      </c>
      <c r="C2762" s="5">
        <v>41076</v>
      </c>
      <c r="D2762" s="3" t="s">
        <v>95</v>
      </c>
      <c r="E2762" s="1" t="s">
        <v>965</v>
      </c>
      <c r="F2762" s="1" t="s">
        <v>30</v>
      </c>
      <c r="G2762" s="2" t="s">
        <v>6</v>
      </c>
      <c r="H2762" s="3" t="s">
        <v>88</v>
      </c>
      <c r="I2762" s="3" t="s">
        <v>91</v>
      </c>
      <c r="J2762" s="3" t="s">
        <v>59</v>
      </c>
      <c r="K2762" s="4">
        <v>97.86</v>
      </c>
      <c r="L2762" s="6">
        <v>14.98</v>
      </c>
    </row>
    <row r="2763" spans="1:12" x14ac:dyDescent="0.25">
      <c r="A2763" s="1">
        <v>2762</v>
      </c>
      <c r="B2763" s="4">
        <v>19974</v>
      </c>
      <c r="C2763" s="5">
        <v>40485</v>
      </c>
      <c r="D2763" s="3" t="s">
        <v>89</v>
      </c>
      <c r="E2763" s="1" t="s">
        <v>953</v>
      </c>
      <c r="F2763" s="1" t="s">
        <v>10</v>
      </c>
      <c r="G2763" s="2" t="s">
        <v>3</v>
      </c>
      <c r="H2763" s="3" t="s">
        <v>88</v>
      </c>
      <c r="I2763" s="3" t="s">
        <v>85</v>
      </c>
      <c r="J2763" s="3" t="s">
        <v>70</v>
      </c>
      <c r="K2763" s="4">
        <v>3830.84</v>
      </c>
      <c r="L2763" s="6">
        <v>279.81</v>
      </c>
    </row>
    <row r="2764" spans="1:12" x14ac:dyDescent="0.25">
      <c r="A2764" s="1">
        <v>2763</v>
      </c>
      <c r="B2764" s="4">
        <v>19974</v>
      </c>
      <c r="C2764" s="5">
        <v>40485</v>
      </c>
      <c r="D2764" s="3" t="s">
        <v>89</v>
      </c>
      <c r="E2764" s="1" t="s">
        <v>953</v>
      </c>
      <c r="F2764" s="1" t="s">
        <v>10</v>
      </c>
      <c r="G2764" s="2" t="s">
        <v>3</v>
      </c>
      <c r="H2764" s="3" t="s">
        <v>88</v>
      </c>
      <c r="I2764" s="3" t="s">
        <v>85</v>
      </c>
      <c r="J2764" s="3" t="s">
        <v>57</v>
      </c>
      <c r="K2764" s="4">
        <v>267.43</v>
      </c>
      <c r="L2764" s="6">
        <v>12.28</v>
      </c>
    </row>
    <row r="2765" spans="1:12" x14ac:dyDescent="0.25">
      <c r="A2765" s="1">
        <v>2764</v>
      </c>
      <c r="B2765" s="4">
        <v>19975</v>
      </c>
      <c r="C2765" s="5">
        <v>39913</v>
      </c>
      <c r="D2765" s="3" t="s">
        <v>86</v>
      </c>
      <c r="E2765" s="1" t="s">
        <v>651</v>
      </c>
      <c r="F2765" s="1" t="s">
        <v>44</v>
      </c>
      <c r="G2765" s="2" t="s">
        <v>3</v>
      </c>
      <c r="H2765" s="3" t="s">
        <v>100</v>
      </c>
      <c r="I2765" s="3" t="s">
        <v>85</v>
      </c>
      <c r="J2765" s="3" t="s">
        <v>70</v>
      </c>
      <c r="K2765" s="4">
        <v>362.17</v>
      </c>
      <c r="L2765" s="6">
        <v>11.7</v>
      </c>
    </row>
    <row r="2766" spans="1:12" x14ac:dyDescent="0.25">
      <c r="A2766" s="1">
        <v>2765</v>
      </c>
      <c r="B2766" s="4">
        <v>20002</v>
      </c>
      <c r="C2766" s="5">
        <v>41133</v>
      </c>
      <c r="D2766" s="3" t="s">
        <v>4</v>
      </c>
      <c r="E2766" s="1" t="s">
        <v>1007</v>
      </c>
      <c r="F2766" s="1" t="s">
        <v>17</v>
      </c>
      <c r="G2766" s="2" t="s">
        <v>2</v>
      </c>
      <c r="H2766" s="3" t="s">
        <v>88</v>
      </c>
      <c r="I2766" s="3" t="s">
        <v>92</v>
      </c>
      <c r="J2766" s="3" t="s">
        <v>62</v>
      </c>
      <c r="K2766" s="4">
        <v>41.03</v>
      </c>
      <c r="L2766" s="6">
        <v>4.7699999999999996</v>
      </c>
    </row>
    <row r="2767" spans="1:12" x14ac:dyDescent="0.25">
      <c r="A2767" s="1">
        <v>2766</v>
      </c>
      <c r="B2767" s="4">
        <v>20003</v>
      </c>
      <c r="C2767" s="5">
        <v>40938</v>
      </c>
      <c r="D2767" s="3" t="s">
        <v>4</v>
      </c>
      <c r="E2767" s="1" t="s">
        <v>1013</v>
      </c>
      <c r="F2767" s="1" t="s">
        <v>40</v>
      </c>
      <c r="G2767" s="2" t="s">
        <v>6</v>
      </c>
      <c r="H2767" s="3" t="s">
        <v>88</v>
      </c>
      <c r="I2767" s="3" t="s">
        <v>92</v>
      </c>
      <c r="J2767" s="3" t="s">
        <v>62</v>
      </c>
      <c r="K2767" s="4">
        <v>796.08</v>
      </c>
      <c r="L2767" s="6">
        <v>19.98</v>
      </c>
    </row>
    <row r="2768" spans="1:12" x14ac:dyDescent="0.25">
      <c r="A2768" s="1">
        <v>2767</v>
      </c>
      <c r="B2768" s="4">
        <v>20003</v>
      </c>
      <c r="C2768" s="5">
        <v>40938</v>
      </c>
      <c r="D2768" s="3" t="s">
        <v>4</v>
      </c>
      <c r="E2768" s="1" t="s">
        <v>1014</v>
      </c>
      <c r="F2768" s="1" t="s">
        <v>15</v>
      </c>
      <c r="G2768" s="2" t="s">
        <v>1</v>
      </c>
      <c r="H2768" s="3" t="s">
        <v>88</v>
      </c>
      <c r="I2768" s="3" t="s">
        <v>92</v>
      </c>
      <c r="J2768" s="3" t="s">
        <v>61</v>
      </c>
      <c r="K2768" s="4">
        <v>141.97550000000001</v>
      </c>
      <c r="L2768" s="6">
        <v>35.99</v>
      </c>
    </row>
    <row r="2769" spans="1:12" x14ac:dyDescent="0.25">
      <c r="A2769" s="1">
        <v>2768</v>
      </c>
      <c r="B2769" s="4">
        <v>20007</v>
      </c>
      <c r="C2769" s="5">
        <v>40030</v>
      </c>
      <c r="D2769" s="3" t="s">
        <v>86</v>
      </c>
      <c r="E2769" s="1" t="s">
        <v>582</v>
      </c>
      <c r="F2769" s="1" t="s">
        <v>8</v>
      </c>
      <c r="G2769" s="2" t="s">
        <v>6</v>
      </c>
      <c r="H2769" s="3" t="s">
        <v>84</v>
      </c>
      <c r="I2769" s="3" t="s">
        <v>85</v>
      </c>
      <c r="J2769" s="3" t="s">
        <v>63</v>
      </c>
      <c r="K2769" s="4">
        <v>82.61</v>
      </c>
      <c r="L2769" s="6">
        <v>1.68</v>
      </c>
    </row>
    <row r="2770" spans="1:12" x14ac:dyDescent="0.25">
      <c r="A2770" s="1">
        <v>2769</v>
      </c>
      <c r="B2770" s="4">
        <v>20032</v>
      </c>
      <c r="C2770" s="5">
        <v>41218</v>
      </c>
      <c r="D2770" s="3" t="s">
        <v>4</v>
      </c>
      <c r="E2770" s="1" t="s">
        <v>371</v>
      </c>
      <c r="F2770" s="1" t="s">
        <v>10</v>
      </c>
      <c r="G2770" s="2" t="s">
        <v>3</v>
      </c>
      <c r="H2770" s="3" t="s">
        <v>88</v>
      </c>
      <c r="I2770" s="3" t="s">
        <v>92</v>
      </c>
      <c r="J2770" s="3" t="s">
        <v>62</v>
      </c>
      <c r="K2770" s="4">
        <v>137.38</v>
      </c>
      <c r="L2770" s="6">
        <v>17.48</v>
      </c>
    </row>
    <row r="2771" spans="1:12" x14ac:dyDescent="0.25">
      <c r="A2771" s="1">
        <v>2770</v>
      </c>
      <c r="B2771" s="4">
        <v>20033</v>
      </c>
      <c r="C2771" s="5">
        <v>40319</v>
      </c>
      <c r="D2771" s="3" t="s">
        <v>95</v>
      </c>
      <c r="E2771" s="1" t="s">
        <v>434</v>
      </c>
      <c r="F2771" s="1" t="s">
        <v>38</v>
      </c>
      <c r="G2771" s="2" t="s">
        <v>6</v>
      </c>
      <c r="H2771" s="3" t="s">
        <v>88</v>
      </c>
      <c r="I2771" s="3" t="s">
        <v>92</v>
      </c>
      <c r="J2771" s="3" t="s">
        <v>73</v>
      </c>
      <c r="K2771" s="4">
        <v>2543.9499999999998</v>
      </c>
      <c r="L2771" s="6">
        <v>499.99</v>
      </c>
    </row>
    <row r="2772" spans="1:12" x14ac:dyDescent="0.25">
      <c r="A2772" s="1">
        <v>2771</v>
      </c>
      <c r="B2772" s="4">
        <v>20036</v>
      </c>
      <c r="C2772" s="5">
        <v>40517</v>
      </c>
      <c r="D2772" s="3" t="s">
        <v>86</v>
      </c>
      <c r="E2772" s="1" t="s">
        <v>1015</v>
      </c>
      <c r="F2772" s="1" t="s">
        <v>16</v>
      </c>
      <c r="G2772" s="2" t="s">
        <v>3</v>
      </c>
      <c r="H2772" s="3" t="s">
        <v>88</v>
      </c>
      <c r="I2772" s="3" t="s">
        <v>91</v>
      </c>
      <c r="J2772" s="3" t="s">
        <v>68</v>
      </c>
      <c r="K2772" s="4">
        <v>4371.92</v>
      </c>
      <c r="L2772" s="6">
        <v>150.97999999999999</v>
      </c>
    </row>
    <row r="2773" spans="1:12" x14ac:dyDescent="0.25">
      <c r="A2773" s="1">
        <v>2772</v>
      </c>
      <c r="B2773" s="4">
        <v>20036</v>
      </c>
      <c r="C2773" s="5">
        <v>40517</v>
      </c>
      <c r="D2773" s="3" t="s">
        <v>86</v>
      </c>
      <c r="E2773" s="1" t="s">
        <v>1015</v>
      </c>
      <c r="F2773" s="1" t="s">
        <v>16</v>
      </c>
      <c r="G2773" s="2" t="s">
        <v>3</v>
      </c>
      <c r="H2773" s="3" t="s">
        <v>88</v>
      </c>
      <c r="I2773" s="3" t="s">
        <v>92</v>
      </c>
      <c r="J2773" s="3" t="s">
        <v>61</v>
      </c>
      <c r="K2773" s="4">
        <v>1745.1179999999999</v>
      </c>
      <c r="L2773" s="6">
        <v>95.99</v>
      </c>
    </row>
    <row r="2774" spans="1:12" x14ac:dyDescent="0.25">
      <c r="A2774" s="1">
        <v>2773</v>
      </c>
      <c r="B2774" s="4">
        <v>20036</v>
      </c>
      <c r="C2774" s="5">
        <v>40517</v>
      </c>
      <c r="D2774" s="3" t="s">
        <v>86</v>
      </c>
      <c r="E2774" s="1" t="s">
        <v>934</v>
      </c>
      <c r="F2774" s="1" t="s">
        <v>44</v>
      </c>
      <c r="G2774" s="2" t="s">
        <v>3</v>
      </c>
      <c r="H2774" s="3" t="s">
        <v>88</v>
      </c>
      <c r="I2774" s="3" t="s">
        <v>85</v>
      </c>
      <c r="J2774" s="3" t="s">
        <v>70</v>
      </c>
      <c r="K2774" s="4">
        <v>290.45999999999998</v>
      </c>
      <c r="L2774" s="6">
        <v>11.97</v>
      </c>
    </row>
    <row r="2775" spans="1:12" x14ac:dyDescent="0.25">
      <c r="A2775" s="1">
        <v>2774</v>
      </c>
      <c r="B2775" s="4">
        <v>20036</v>
      </c>
      <c r="C2775" s="5">
        <v>40517</v>
      </c>
      <c r="D2775" s="3" t="s">
        <v>86</v>
      </c>
      <c r="E2775" s="1" t="s">
        <v>934</v>
      </c>
      <c r="F2775" s="1" t="s">
        <v>44</v>
      </c>
      <c r="G2775" s="2" t="s">
        <v>3</v>
      </c>
      <c r="H2775" s="3" t="s">
        <v>88</v>
      </c>
      <c r="I2775" s="3" t="s">
        <v>92</v>
      </c>
      <c r="J2775" s="3" t="s">
        <v>62</v>
      </c>
      <c r="K2775" s="4">
        <v>1207.4000000000001</v>
      </c>
      <c r="L2775" s="6">
        <v>26.31</v>
      </c>
    </row>
    <row r="2776" spans="1:12" x14ac:dyDescent="0.25">
      <c r="A2776" s="1">
        <v>2775</v>
      </c>
      <c r="B2776" s="4">
        <v>20037</v>
      </c>
      <c r="C2776" s="5">
        <v>39823</v>
      </c>
      <c r="D2776" s="3" t="s">
        <v>82</v>
      </c>
      <c r="E2776" s="1" t="s">
        <v>987</v>
      </c>
      <c r="F2776" s="1" t="s">
        <v>37</v>
      </c>
      <c r="G2776" s="2" t="s">
        <v>3</v>
      </c>
      <c r="H2776" s="3" t="s">
        <v>88</v>
      </c>
      <c r="I2776" s="3" t="s">
        <v>91</v>
      </c>
      <c r="J2776" s="3" t="s">
        <v>59</v>
      </c>
      <c r="K2776" s="4">
        <v>1009.42</v>
      </c>
      <c r="L2776" s="6">
        <v>29.18</v>
      </c>
    </row>
    <row r="2777" spans="1:12" x14ac:dyDescent="0.25">
      <c r="A2777" s="1">
        <v>2776</v>
      </c>
      <c r="B2777" s="4">
        <v>20037</v>
      </c>
      <c r="C2777" s="5">
        <v>39823</v>
      </c>
      <c r="D2777" s="3" t="s">
        <v>82</v>
      </c>
      <c r="E2777" s="1" t="s">
        <v>987</v>
      </c>
      <c r="F2777" s="1" t="s">
        <v>37</v>
      </c>
      <c r="G2777" s="2" t="s">
        <v>3</v>
      </c>
      <c r="H2777" s="3" t="s">
        <v>88</v>
      </c>
      <c r="I2777" s="3" t="s">
        <v>92</v>
      </c>
      <c r="J2777" s="3" t="s">
        <v>67</v>
      </c>
      <c r="K2777" s="4">
        <v>15137.11</v>
      </c>
      <c r="L2777" s="6">
        <v>297.64</v>
      </c>
    </row>
    <row r="2778" spans="1:12" x14ac:dyDescent="0.25">
      <c r="A2778" s="1">
        <v>2777</v>
      </c>
      <c r="B2778" s="4">
        <v>20038</v>
      </c>
      <c r="C2778" s="5">
        <v>40235</v>
      </c>
      <c r="D2778" s="3" t="s">
        <v>82</v>
      </c>
      <c r="E2778" s="1" t="s">
        <v>772</v>
      </c>
      <c r="F2778" s="1" t="s">
        <v>30</v>
      </c>
      <c r="G2778" s="2" t="s">
        <v>6</v>
      </c>
      <c r="H2778" s="3" t="s">
        <v>100</v>
      </c>
      <c r="I2778" s="3" t="s">
        <v>91</v>
      </c>
      <c r="J2778" s="3" t="s">
        <v>59</v>
      </c>
      <c r="K2778" s="4">
        <v>173.44</v>
      </c>
      <c r="L2778" s="6">
        <v>4.1399999999999997</v>
      </c>
    </row>
    <row r="2779" spans="1:12" x14ac:dyDescent="0.25">
      <c r="A2779" s="1">
        <v>2778</v>
      </c>
      <c r="B2779" s="4">
        <v>20066</v>
      </c>
      <c r="C2779" s="5">
        <v>41154</v>
      </c>
      <c r="D2779" s="3" t="s">
        <v>95</v>
      </c>
      <c r="E2779" s="1" t="s">
        <v>1016</v>
      </c>
      <c r="F2779" s="1" t="s">
        <v>17</v>
      </c>
      <c r="G2779" s="2" t="s">
        <v>2</v>
      </c>
      <c r="H2779" s="3" t="s">
        <v>97</v>
      </c>
      <c r="I2779" s="3" t="s">
        <v>85</v>
      </c>
      <c r="J2779" s="3" t="s">
        <v>71</v>
      </c>
      <c r="K2779" s="4">
        <v>40.79</v>
      </c>
      <c r="L2779" s="6">
        <v>11.58</v>
      </c>
    </row>
    <row r="2780" spans="1:12" x14ac:dyDescent="0.25">
      <c r="A2780" s="1">
        <v>2779</v>
      </c>
      <c r="B2780" s="4">
        <v>20066</v>
      </c>
      <c r="C2780" s="5">
        <v>41154</v>
      </c>
      <c r="D2780" s="3" t="s">
        <v>95</v>
      </c>
      <c r="E2780" s="1" t="s">
        <v>1016</v>
      </c>
      <c r="F2780" s="1" t="s">
        <v>17</v>
      </c>
      <c r="G2780" s="2" t="s">
        <v>2</v>
      </c>
      <c r="H2780" s="3" t="s">
        <v>97</v>
      </c>
      <c r="I2780" s="3" t="s">
        <v>85</v>
      </c>
      <c r="J2780" s="3" t="s">
        <v>66</v>
      </c>
      <c r="K2780" s="4">
        <v>524.25</v>
      </c>
      <c r="L2780" s="6">
        <v>30.98</v>
      </c>
    </row>
    <row r="2781" spans="1:12" x14ac:dyDescent="0.25">
      <c r="A2781" s="1">
        <v>2780</v>
      </c>
      <c r="B2781" s="4">
        <v>20068</v>
      </c>
      <c r="C2781" s="5">
        <v>40602</v>
      </c>
      <c r="D2781" s="3" t="s">
        <v>95</v>
      </c>
      <c r="E2781" s="1" t="s">
        <v>1017</v>
      </c>
      <c r="F2781" s="1" t="s">
        <v>15</v>
      </c>
      <c r="G2781" s="2" t="s">
        <v>1</v>
      </c>
      <c r="H2781" s="3" t="s">
        <v>97</v>
      </c>
      <c r="I2781" s="3" t="s">
        <v>85</v>
      </c>
      <c r="J2781" s="3" t="s">
        <v>69</v>
      </c>
      <c r="K2781" s="4">
        <v>53.18</v>
      </c>
      <c r="L2781" s="6">
        <v>5.53</v>
      </c>
    </row>
    <row r="2782" spans="1:12" x14ac:dyDescent="0.25">
      <c r="A2782" s="1">
        <v>2781</v>
      </c>
      <c r="B2782" s="4">
        <v>20069</v>
      </c>
      <c r="C2782" s="5">
        <v>40082</v>
      </c>
      <c r="D2782" s="3" t="s">
        <v>95</v>
      </c>
      <c r="E2782" s="1" t="s">
        <v>367</v>
      </c>
      <c r="F2782" s="1" t="s">
        <v>23</v>
      </c>
      <c r="G2782" s="2" t="s">
        <v>3</v>
      </c>
      <c r="H2782" s="3" t="s">
        <v>88</v>
      </c>
      <c r="I2782" s="3" t="s">
        <v>91</v>
      </c>
      <c r="J2782" s="3" t="s">
        <v>59</v>
      </c>
      <c r="K2782" s="4">
        <v>247.15</v>
      </c>
      <c r="L2782" s="6">
        <v>40.89</v>
      </c>
    </row>
    <row r="2783" spans="1:12" x14ac:dyDescent="0.25">
      <c r="A2783" s="1">
        <v>2782</v>
      </c>
      <c r="B2783" s="4">
        <v>20071</v>
      </c>
      <c r="C2783" s="5">
        <v>40803</v>
      </c>
      <c r="D2783" s="3" t="s">
        <v>4</v>
      </c>
      <c r="E2783" s="1" t="s">
        <v>985</v>
      </c>
      <c r="F2783" s="1" t="s">
        <v>8</v>
      </c>
      <c r="G2783" s="2" t="s">
        <v>6</v>
      </c>
      <c r="H2783" s="3" t="s">
        <v>97</v>
      </c>
      <c r="I2783" s="3" t="s">
        <v>91</v>
      </c>
      <c r="J2783" s="3" t="s">
        <v>72</v>
      </c>
      <c r="K2783" s="4">
        <v>789.94</v>
      </c>
      <c r="L2783" s="6">
        <v>25.98</v>
      </c>
    </row>
    <row r="2784" spans="1:12" x14ac:dyDescent="0.25">
      <c r="A2784" s="1">
        <v>2783</v>
      </c>
      <c r="B2784" s="4">
        <v>20096</v>
      </c>
      <c r="C2784" s="5">
        <v>41140</v>
      </c>
      <c r="D2784" s="3" t="s">
        <v>82</v>
      </c>
      <c r="E2784" s="1" t="s">
        <v>574</v>
      </c>
      <c r="F2784" s="1" t="s">
        <v>24</v>
      </c>
      <c r="G2784" s="2" t="s">
        <v>2</v>
      </c>
      <c r="H2784" s="3" t="s">
        <v>100</v>
      </c>
      <c r="I2784" s="3" t="s">
        <v>91</v>
      </c>
      <c r="J2784" s="3" t="s">
        <v>60</v>
      </c>
      <c r="K2784" s="4">
        <v>6116.11</v>
      </c>
      <c r="L2784" s="6">
        <v>179.29</v>
      </c>
    </row>
    <row r="2785" spans="1:12" x14ac:dyDescent="0.25">
      <c r="A2785" s="1">
        <v>2784</v>
      </c>
      <c r="B2785" s="4">
        <v>20098</v>
      </c>
      <c r="C2785" s="5">
        <v>40885</v>
      </c>
      <c r="D2785" s="3" t="s">
        <v>4</v>
      </c>
      <c r="E2785" s="1" t="s">
        <v>1018</v>
      </c>
      <c r="F2785" s="1" t="s">
        <v>39</v>
      </c>
      <c r="G2785" s="2" t="s">
        <v>1</v>
      </c>
      <c r="H2785" s="3" t="s">
        <v>100</v>
      </c>
      <c r="I2785" s="3" t="s">
        <v>92</v>
      </c>
      <c r="J2785" s="3" t="s">
        <v>67</v>
      </c>
      <c r="K2785" s="4">
        <v>183.32</v>
      </c>
      <c r="L2785" s="6">
        <v>15.99</v>
      </c>
    </row>
    <row r="2786" spans="1:12" x14ac:dyDescent="0.25">
      <c r="A2786" s="1">
        <v>2785</v>
      </c>
      <c r="B2786" s="4">
        <v>20098</v>
      </c>
      <c r="C2786" s="5">
        <v>40885</v>
      </c>
      <c r="D2786" s="3" t="s">
        <v>4</v>
      </c>
      <c r="E2786" s="1" t="s">
        <v>503</v>
      </c>
      <c r="F2786" s="1" t="s">
        <v>21</v>
      </c>
      <c r="G2786" s="2" t="s">
        <v>1</v>
      </c>
      <c r="H2786" s="3" t="s">
        <v>100</v>
      </c>
      <c r="I2786" s="3" t="s">
        <v>91</v>
      </c>
      <c r="J2786" s="3" t="s">
        <v>59</v>
      </c>
      <c r="K2786" s="4">
        <v>194.11</v>
      </c>
      <c r="L2786" s="6">
        <v>22.72</v>
      </c>
    </row>
    <row r="2787" spans="1:12" x14ac:dyDescent="0.25">
      <c r="A2787" s="1">
        <v>2786</v>
      </c>
      <c r="B2787" s="4">
        <v>20102</v>
      </c>
      <c r="C2787" s="5">
        <v>40699</v>
      </c>
      <c r="D2787" s="3" t="s">
        <v>89</v>
      </c>
      <c r="E2787" s="1" t="s">
        <v>436</v>
      </c>
      <c r="F2787" s="1" t="s">
        <v>41</v>
      </c>
      <c r="G2787" s="2" t="s">
        <v>6</v>
      </c>
      <c r="H2787" s="3" t="s">
        <v>84</v>
      </c>
      <c r="I2787" s="3" t="s">
        <v>92</v>
      </c>
      <c r="J2787" s="3" t="s">
        <v>62</v>
      </c>
      <c r="K2787" s="4">
        <v>333.3</v>
      </c>
      <c r="L2787" s="6">
        <v>22.24</v>
      </c>
    </row>
    <row r="2788" spans="1:12" x14ac:dyDescent="0.25">
      <c r="A2788" s="1">
        <v>2787</v>
      </c>
      <c r="B2788" s="4">
        <v>20103</v>
      </c>
      <c r="C2788" s="5">
        <v>40220</v>
      </c>
      <c r="D2788" s="3" t="s">
        <v>4</v>
      </c>
      <c r="E2788" s="1" t="s">
        <v>716</v>
      </c>
      <c r="F2788" s="1" t="s">
        <v>23</v>
      </c>
      <c r="G2788" s="2" t="s">
        <v>3</v>
      </c>
      <c r="H2788" s="3" t="s">
        <v>84</v>
      </c>
      <c r="I2788" s="3" t="s">
        <v>92</v>
      </c>
      <c r="J2788" s="3" t="s">
        <v>67</v>
      </c>
      <c r="K2788" s="4">
        <v>314.93</v>
      </c>
      <c r="L2788" s="6">
        <v>9.99</v>
      </c>
    </row>
    <row r="2789" spans="1:12" x14ac:dyDescent="0.25">
      <c r="A2789" s="1">
        <v>2788</v>
      </c>
      <c r="B2789" s="4">
        <v>20103</v>
      </c>
      <c r="C2789" s="5">
        <v>40220</v>
      </c>
      <c r="D2789" s="3" t="s">
        <v>4</v>
      </c>
      <c r="E2789" s="1" t="s">
        <v>1019</v>
      </c>
      <c r="F2789" s="1" t="s">
        <v>23</v>
      </c>
      <c r="G2789" s="2" t="s">
        <v>3</v>
      </c>
      <c r="H2789" s="3" t="s">
        <v>84</v>
      </c>
      <c r="I2789" s="3" t="s">
        <v>92</v>
      </c>
      <c r="J2789" s="3" t="s">
        <v>62</v>
      </c>
      <c r="K2789" s="4">
        <v>726.82</v>
      </c>
      <c r="L2789" s="6">
        <v>30.42</v>
      </c>
    </row>
    <row r="2790" spans="1:12" x14ac:dyDescent="0.25">
      <c r="A2790" s="1">
        <v>2789</v>
      </c>
      <c r="B2790" s="4">
        <v>20128</v>
      </c>
      <c r="C2790" s="5">
        <v>40056</v>
      </c>
      <c r="D2790" s="3" t="s">
        <v>86</v>
      </c>
      <c r="E2790" s="1" t="s">
        <v>1020</v>
      </c>
      <c r="F2790" s="1" t="s">
        <v>54</v>
      </c>
      <c r="G2790" s="2" t="s">
        <v>2</v>
      </c>
      <c r="H2790" s="3" t="s">
        <v>88</v>
      </c>
      <c r="I2790" s="3" t="s">
        <v>92</v>
      </c>
      <c r="J2790" s="3" t="s">
        <v>62</v>
      </c>
      <c r="K2790" s="4">
        <v>279.43</v>
      </c>
      <c r="L2790" s="6">
        <v>8.5</v>
      </c>
    </row>
    <row r="2791" spans="1:12" x14ac:dyDescent="0.25">
      <c r="A2791" s="1">
        <v>2790</v>
      </c>
      <c r="B2791" s="4">
        <v>20128</v>
      </c>
      <c r="C2791" s="5">
        <v>40056</v>
      </c>
      <c r="D2791" s="3" t="s">
        <v>86</v>
      </c>
      <c r="E2791" s="1" t="s">
        <v>1020</v>
      </c>
      <c r="F2791" s="1" t="s">
        <v>54</v>
      </c>
      <c r="G2791" s="2" t="s">
        <v>2</v>
      </c>
      <c r="H2791" s="3" t="s">
        <v>88</v>
      </c>
      <c r="I2791" s="3" t="s">
        <v>85</v>
      </c>
      <c r="J2791" s="3" t="s">
        <v>57</v>
      </c>
      <c r="K2791" s="4">
        <v>515.22</v>
      </c>
      <c r="L2791" s="6">
        <v>95.43</v>
      </c>
    </row>
    <row r="2792" spans="1:12" x14ac:dyDescent="0.25">
      <c r="A2792" s="1">
        <v>2791</v>
      </c>
      <c r="B2792" s="4">
        <v>20132</v>
      </c>
      <c r="C2792" s="5">
        <v>40315</v>
      </c>
      <c r="D2792" s="3" t="s">
        <v>82</v>
      </c>
      <c r="E2792" s="1" t="s">
        <v>894</v>
      </c>
      <c r="F2792" s="1" t="s">
        <v>24</v>
      </c>
      <c r="G2792" s="2" t="s">
        <v>2</v>
      </c>
      <c r="H2792" s="3" t="s">
        <v>100</v>
      </c>
      <c r="I2792" s="3" t="s">
        <v>92</v>
      </c>
      <c r="J2792" s="3" t="s">
        <v>67</v>
      </c>
      <c r="K2792" s="4">
        <v>8719.69</v>
      </c>
      <c r="L2792" s="6">
        <v>270.97000000000003</v>
      </c>
    </row>
    <row r="2793" spans="1:12" x14ac:dyDescent="0.25">
      <c r="A2793" s="1">
        <v>2792</v>
      </c>
      <c r="B2793" s="4">
        <v>20134</v>
      </c>
      <c r="C2793" s="5">
        <v>40614</v>
      </c>
      <c r="D2793" s="3" t="s">
        <v>82</v>
      </c>
      <c r="E2793" s="1" t="s">
        <v>1021</v>
      </c>
      <c r="F2793" s="1" t="s">
        <v>13</v>
      </c>
      <c r="G2793" s="2" t="s">
        <v>6</v>
      </c>
      <c r="H2793" s="3" t="s">
        <v>88</v>
      </c>
      <c r="I2793" s="3" t="s">
        <v>92</v>
      </c>
      <c r="J2793" s="3" t="s">
        <v>62</v>
      </c>
      <c r="K2793" s="4">
        <v>583.55999999999995</v>
      </c>
      <c r="L2793" s="6">
        <v>20.97</v>
      </c>
    </row>
    <row r="2794" spans="1:12" x14ac:dyDescent="0.25">
      <c r="A2794" s="1">
        <v>2793</v>
      </c>
      <c r="B2794" s="4">
        <v>20134</v>
      </c>
      <c r="C2794" s="5">
        <v>40614</v>
      </c>
      <c r="D2794" s="3" t="s">
        <v>82</v>
      </c>
      <c r="E2794" s="1" t="s">
        <v>1021</v>
      </c>
      <c r="F2794" s="1" t="s">
        <v>13</v>
      </c>
      <c r="G2794" s="2" t="s">
        <v>6</v>
      </c>
      <c r="H2794" s="3" t="s">
        <v>88</v>
      </c>
      <c r="I2794" s="3" t="s">
        <v>85</v>
      </c>
      <c r="J2794" s="3" t="s">
        <v>66</v>
      </c>
      <c r="K2794" s="4">
        <v>281.47000000000003</v>
      </c>
      <c r="L2794" s="6">
        <v>6.48</v>
      </c>
    </row>
    <row r="2795" spans="1:12" x14ac:dyDescent="0.25">
      <c r="A2795" s="1">
        <v>2794</v>
      </c>
      <c r="B2795" s="4">
        <v>20135</v>
      </c>
      <c r="C2795" s="5">
        <v>39994</v>
      </c>
      <c r="D2795" s="3" t="s">
        <v>95</v>
      </c>
      <c r="E2795" s="1" t="s">
        <v>167</v>
      </c>
      <c r="F2795" s="1" t="s">
        <v>23</v>
      </c>
      <c r="G2795" s="2" t="s">
        <v>3</v>
      </c>
      <c r="H2795" s="3" t="s">
        <v>88</v>
      </c>
      <c r="I2795" s="3" t="s">
        <v>85</v>
      </c>
      <c r="J2795" s="3" t="s">
        <v>65</v>
      </c>
      <c r="K2795" s="4">
        <v>115.24</v>
      </c>
      <c r="L2795" s="6">
        <v>2.61</v>
      </c>
    </row>
    <row r="2796" spans="1:12" x14ac:dyDescent="0.25">
      <c r="A2796" s="1">
        <v>2795</v>
      </c>
      <c r="B2796" s="4">
        <v>20135</v>
      </c>
      <c r="C2796" s="5">
        <v>39994</v>
      </c>
      <c r="D2796" s="3" t="s">
        <v>95</v>
      </c>
      <c r="E2796" s="1" t="s">
        <v>151</v>
      </c>
      <c r="F2796" s="1" t="s">
        <v>23</v>
      </c>
      <c r="G2796" s="2" t="s">
        <v>3</v>
      </c>
      <c r="H2796" s="3" t="s">
        <v>88</v>
      </c>
      <c r="I2796" s="3" t="s">
        <v>91</v>
      </c>
      <c r="J2796" s="3" t="s">
        <v>60</v>
      </c>
      <c r="K2796" s="4">
        <v>9601.94</v>
      </c>
      <c r="L2796" s="6">
        <v>349.45</v>
      </c>
    </row>
    <row r="2797" spans="1:12" x14ac:dyDescent="0.25">
      <c r="A2797" s="1">
        <v>2796</v>
      </c>
      <c r="B2797" s="4">
        <v>20160</v>
      </c>
      <c r="C2797" s="5">
        <v>40838</v>
      </c>
      <c r="D2797" s="3" t="s">
        <v>82</v>
      </c>
      <c r="E2797" s="1" t="s">
        <v>788</v>
      </c>
      <c r="F2797" s="1" t="s">
        <v>8</v>
      </c>
      <c r="G2797" s="2" t="s">
        <v>6</v>
      </c>
      <c r="H2797" s="3" t="s">
        <v>84</v>
      </c>
      <c r="I2797" s="3" t="s">
        <v>85</v>
      </c>
      <c r="J2797" s="3" t="s">
        <v>66</v>
      </c>
      <c r="K2797" s="4">
        <v>435.24</v>
      </c>
      <c r="L2797" s="6">
        <v>10.31</v>
      </c>
    </row>
    <row r="2798" spans="1:12" x14ac:dyDescent="0.25">
      <c r="A2798" s="1">
        <v>2797</v>
      </c>
      <c r="B2798" s="4">
        <v>20162</v>
      </c>
      <c r="C2798" s="5">
        <v>39852</v>
      </c>
      <c r="D2798" s="3" t="s">
        <v>4</v>
      </c>
      <c r="E2798" s="1" t="s">
        <v>1022</v>
      </c>
      <c r="F2798" s="1" t="s">
        <v>15</v>
      </c>
      <c r="G2798" s="2" t="s">
        <v>1</v>
      </c>
      <c r="H2798" s="3" t="s">
        <v>97</v>
      </c>
      <c r="I2798" s="3" t="s">
        <v>85</v>
      </c>
      <c r="J2798" s="3" t="s">
        <v>69</v>
      </c>
      <c r="K2798" s="4">
        <v>607.41999999999996</v>
      </c>
      <c r="L2798" s="6">
        <v>15.16</v>
      </c>
    </row>
    <row r="2799" spans="1:12" x14ac:dyDescent="0.25">
      <c r="A2799" s="1">
        <v>2798</v>
      </c>
      <c r="B2799" s="4">
        <v>20166</v>
      </c>
      <c r="C2799" s="5">
        <v>39876</v>
      </c>
      <c r="D2799" s="3" t="s">
        <v>82</v>
      </c>
      <c r="E2799" s="1" t="s">
        <v>396</v>
      </c>
      <c r="F2799" s="1" t="s">
        <v>23</v>
      </c>
      <c r="G2799" s="2" t="s">
        <v>3</v>
      </c>
      <c r="H2799" s="3" t="s">
        <v>88</v>
      </c>
      <c r="I2799" s="3" t="s">
        <v>92</v>
      </c>
      <c r="J2799" s="3" t="s">
        <v>61</v>
      </c>
      <c r="K2799" s="4">
        <v>973.86199999999997</v>
      </c>
      <c r="L2799" s="6">
        <v>205.99</v>
      </c>
    </row>
    <row r="2800" spans="1:12" x14ac:dyDescent="0.25">
      <c r="A2800" s="1">
        <v>2799</v>
      </c>
      <c r="B2800" s="4">
        <v>20192</v>
      </c>
      <c r="C2800" s="5">
        <v>40457</v>
      </c>
      <c r="D2800" s="3" t="s">
        <v>82</v>
      </c>
      <c r="E2800" s="1" t="s">
        <v>870</v>
      </c>
      <c r="F2800" s="1" t="s">
        <v>23</v>
      </c>
      <c r="G2800" s="2" t="s">
        <v>3</v>
      </c>
      <c r="H2800" s="3" t="s">
        <v>97</v>
      </c>
      <c r="I2800" s="3" t="s">
        <v>92</v>
      </c>
      <c r="J2800" s="3" t="s">
        <v>62</v>
      </c>
      <c r="K2800" s="4">
        <v>1624.67</v>
      </c>
      <c r="L2800" s="6">
        <v>45.19</v>
      </c>
    </row>
    <row r="2801" spans="1:12" x14ac:dyDescent="0.25">
      <c r="A2801" s="1">
        <v>2800</v>
      </c>
      <c r="B2801" s="4">
        <v>20193</v>
      </c>
      <c r="C2801" s="5">
        <v>40489</v>
      </c>
      <c r="D2801" s="3" t="s">
        <v>4</v>
      </c>
      <c r="E2801" s="1" t="s">
        <v>1023</v>
      </c>
      <c r="F2801" s="1" t="s">
        <v>47</v>
      </c>
      <c r="G2801" s="2" t="s">
        <v>2</v>
      </c>
      <c r="H2801" s="3" t="s">
        <v>88</v>
      </c>
      <c r="I2801" s="3" t="s">
        <v>85</v>
      </c>
      <c r="J2801" s="3" t="s">
        <v>69</v>
      </c>
      <c r="K2801" s="4">
        <v>82.12</v>
      </c>
      <c r="L2801" s="6">
        <v>3.52</v>
      </c>
    </row>
    <row r="2802" spans="1:12" x14ac:dyDescent="0.25">
      <c r="A2802" s="1">
        <v>2801</v>
      </c>
      <c r="B2802" s="4">
        <v>20194</v>
      </c>
      <c r="C2802" s="5">
        <v>40981</v>
      </c>
      <c r="D2802" s="3" t="s">
        <v>89</v>
      </c>
      <c r="E2802" s="1" t="s">
        <v>1024</v>
      </c>
      <c r="F2802" s="1" t="s">
        <v>28</v>
      </c>
      <c r="G2802" s="2" t="s">
        <v>6</v>
      </c>
      <c r="H2802" s="3" t="s">
        <v>100</v>
      </c>
      <c r="I2802" s="3" t="s">
        <v>91</v>
      </c>
      <c r="J2802" s="3" t="s">
        <v>59</v>
      </c>
      <c r="K2802" s="4">
        <v>194.29</v>
      </c>
      <c r="L2802" s="6">
        <v>20.239999999999998</v>
      </c>
    </row>
    <row r="2803" spans="1:12" x14ac:dyDescent="0.25">
      <c r="A2803" s="1">
        <v>2802</v>
      </c>
      <c r="B2803" s="4">
        <v>20225</v>
      </c>
      <c r="C2803" s="5">
        <v>40385</v>
      </c>
      <c r="D2803" s="3" t="s">
        <v>82</v>
      </c>
      <c r="E2803" s="1" t="s">
        <v>276</v>
      </c>
      <c r="F2803" s="1" t="s">
        <v>24</v>
      </c>
      <c r="G2803" s="2" t="s">
        <v>2</v>
      </c>
      <c r="H2803" s="3" t="s">
        <v>88</v>
      </c>
      <c r="I2803" s="3" t="s">
        <v>85</v>
      </c>
      <c r="J2803" s="3" t="s">
        <v>69</v>
      </c>
      <c r="K2803" s="4">
        <v>124.78</v>
      </c>
      <c r="L2803" s="6">
        <v>3.98</v>
      </c>
    </row>
    <row r="2804" spans="1:12" x14ac:dyDescent="0.25">
      <c r="A2804" s="1">
        <v>2803</v>
      </c>
      <c r="B2804" s="4">
        <v>20225</v>
      </c>
      <c r="C2804" s="5">
        <v>40385</v>
      </c>
      <c r="D2804" s="3" t="s">
        <v>82</v>
      </c>
      <c r="E2804" s="1" t="s">
        <v>276</v>
      </c>
      <c r="F2804" s="1" t="s">
        <v>24</v>
      </c>
      <c r="G2804" s="2" t="s">
        <v>2</v>
      </c>
      <c r="H2804" s="3" t="s">
        <v>88</v>
      </c>
      <c r="I2804" s="3" t="s">
        <v>85</v>
      </c>
      <c r="J2804" s="3" t="s">
        <v>63</v>
      </c>
      <c r="K2804" s="4">
        <v>123.4</v>
      </c>
      <c r="L2804" s="6">
        <v>5.84</v>
      </c>
    </row>
    <row r="2805" spans="1:12" x14ac:dyDescent="0.25">
      <c r="A2805" s="1">
        <v>2804</v>
      </c>
      <c r="B2805" s="4">
        <v>20229</v>
      </c>
      <c r="C2805" s="5">
        <v>40116</v>
      </c>
      <c r="D2805" s="3" t="s">
        <v>82</v>
      </c>
      <c r="E2805" s="1" t="s">
        <v>1025</v>
      </c>
      <c r="F2805" s="1" t="s">
        <v>23</v>
      </c>
      <c r="G2805" s="2" t="s">
        <v>3</v>
      </c>
      <c r="H2805" s="3" t="s">
        <v>97</v>
      </c>
      <c r="I2805" s="3" t="s">
        <v>85</v>
      </c>
      <c r="J2805" s="3" t="s">
        <v>64</v>
      </c>
      <c r="K2805" s="4">
        <v>116.06</v>
      </c>
      <c r="L2805" s="6">
        <v>2.62</v>
      </c>
    </row>
    <row r="2806" spans="1:12" x14ac:dyDescent="0.25">
      <c r="A2806" s="1">
        <v>2805</v>
      </c>
      <c r="B2806" s="4">
        <v>20256</v>
      </c>
      <c r="C2806" s="5">
        <v>40939</v>
      </c>
      <c r="D2806" s="3" t="s">
        <v>82</v>
      </c>
      <c r="E2806" s="1" t="s">
        <v>1026</v>
      </c>
      <c r="F2806" s="1" t="s">
        <v>25</v>
      </c>
      <c r="G2806" s="2" t="s">
        <v>6</v>
      </c>
      <c r="H2806" s="3" t="s">
        <v>84</v>
      </c>
      <c r="I2806" s="3" t="s">
        <v>85</v>
      </c>
      <c r="J2806" s="3" t="s">
        <v>57</v>
      </c>
      <c r="K2806" s="4">
        <v>512.83000000000004</v>
      </c>
      <c r="L2806" s="6">
        <v>20.89</v>
      </c>
    </row>
    <row r="2807" spans="1:12" x14ac:dyDescent="0.25">
      <c r="A2807" s="1">
        <v>2806</v>
      </c>
      <c r="B2807" s="4">
        <v>20259</v>
      </c>
      <c r="C2807" s="5">
        <v>40687</v>
      </c>
      <c r="D2807" s="3" t="s">
        <v>95</v>
      </c>
      <c r="E2807" s="1" t="s">
        <v>553</v>
      </c>
      <c r="F2807" s="1" t="s">
        <v>13</v>
      </c>
      <c r="G2807" s="2" t="s">
        <v>6</v>
      </c>
      <c r="H2807" s="3" t="s">
        <v>88</v>
      </c>
      <c r="I2807" s="3" t="s">
        <v>85</v>
      </c>
      <c r="J2807" s="3" t="s">
        <v>58</v>
      </c>
      <c r="K2807" s="4">
        <v>539.05999999999995</v>
      </c>
      <c r="L2807" s="6">
        <v>12.88</v>
      </c>
    </row>
    <row r="2808" spans="1:12" x14ac:dyDescent="0.25">
      <c r="A2808" s="1">
        <v>2807</v>
      </c>
      <c r="B2808" s="4">
        <v>20261</v>
      </c>
      <c r="C2808" s="5">
        <v>39953</v>
      </c>
      <c r="D2808" s="3" t="s">
        <v>4</v>
      </c>
      <c r="E2808" s="1" t="s">
        <v>183</v>
      </c>
      <c r="F2808" s="1" t="s">
        <v>13</v>
      </c>
      <c r="G2808" s="2" t="s">
        <v>6</v>
      </c>
      <c r="H2808" s="3" t="s">
        <v>84</v>
      </c>
      <c r="I2808" s="3" t="s">
        <v>85</v>
      </c>
      <c r="J2808" s="3" t="s">
        <v>69</v>
      </c>
      <c r="K2808" s="4">
        <v>751.52</v>
      </c>
      <c r="L2808" s="6">
        <v>31.74</v>
      </c>
    </row>
    <row r="2809" spans="1:12" x14ac:dyDescent="0.25">
      <c r="A2809" s="1">
        <v>2808</v>
      </c>
      <c r="B2809" s="4">
        <v>20261</v>
      </c>
      <c r="C2809" s="5">
        <v>39953</v>
      </c>
      <c r="D2809" s="3" t="s">
        <v>4</v>
      </c>
      <c r="E2809" s="1" t="s">
        <v>183</v>
      </c>
      <c r="F2809" s="1" t="s">
        <v>13</v>
      </c>
      <c r="G2809" s="2" t="s">
        <v>6</v>
      </c>
      <c r="H2809" s="3" t="s">
        <v>84</v>
      </c>
      <c r="I2809" s="3" t="s">
        <v>85</v>
      </c>
      <c r="J2809" s="3" t="s">
        <v>66</v>
      </c>
      <c r="K2809" s="4">
        <v>220.48</v>
      </c>
      <c r="L2809" s="6">
        <v>6.35</v>
      </c>
    </row>
    <row r="2810" spans="1:12" x14ac:dyDescent="0.25">
      <c r="A2810" s="1">
        <v>2809</v>
      </c>
      <c r="B2810" s="4">
        <v>20261</v>
      </c>
      <c r="C2810" s="5">
        <v>39953</v>
      </c>
      <c r="D2810" s="3" t="s">
        <v>4</v>
      </c>
      <c r="E2810" s="1" t="s">
        <v>183</v>
      </c>
      <c r="F2810" s="1" t="s">
        <v>13</v>
      </c>
      <c r="G2810" s="2" t="s">
        <v>6</v>
      </c>
      <c r="H2810" s="3" t="s">
        <v>84</v>
      </c>
      <c r="I2810" s="3" t="s">
        <v>92</v>
      </c>
      <c r="J2810" s="3" t="s">
        <v>61</v>
      </c>
      <c r="K2810" s="4">
        <v>1259.4535000000001</v>
      </c>
      <c r="L2810" s="6">
        <v>65.989999999999995</v>
      </c>
    </row>
    <row r="2811" spans="1:12" x14ac:dyDescent="0.25">
      <c r="A2811" s="1">
        <v>2810</v>
      </c>
      <c r="B2811" s="4">
        <v>20262</v>
      </c>
      <c r="C2811" s="5">
        <v>40173</v>
      </c>
      <c r="D2811" s="3" t="s">
        <v>86</v>
      </c>
      <c r="E2811" s="1" t="s">
        <v>1027</v>
      </c>
      <c r="F2811" s="1" t="s">
        <v>22</v>
      </c>
      <c r="G2811" s="2" t="s">
        <v>6</v>
      </c>
      <c r="H2811" s="3" t="s">
        <v>97</v>
      </c>
      <c r="I2811" s="3" t="s">
        <v>91</v>
      </c>
      <c r="J2811" s="3" t="s">
        <v>59</v>
      </c>
      <c r="K2811" s="4">
        <v>652.24</v>
      </c>
      <c r="L2811" s="6">
        <v>22.72</v>
      </c>
    </row>
    <row r="2812" spans="1:12" x14ac:dyDescent="0.25">
      <c r="A2812" s="1">
        <v>2811</v>
      </c>
      <c r="B2812" s="4">
        <v>20263</v>
      </c>
      <c r="C2812" s="5">
        <v>40131</v>
      </c>
      <c r="D2812" s="3" t="s">
        <v>4</v>
      </c>
      <c r="E2812" s="1" t="s">
        <v>686</v>
      </c>
      <c r="F2812" s="1" t="s">
        <v>8</v>
      </c>
      <c r="G2812" s="2" t="s">
        <v>6</v>
      </c>
      <c r="H2812" s="3" t="s">
        <v>84</v>
      </c>
      <c r="I2812" s="3" t="s">
        <v>85</v>
      </c>
      <c r="J2812" s="3" t="s">
        <v>69</v>
      </c>
      <c r="K2812" s="4">
        <v>473.7</v>
      </c>
      <c r="L2812" s="6">
        <v>59.78</v>
      </c>
    </row>
    <row r="2813" spans="1:12" x14ac:dyDescent="0.25">
      <c r="A2813" s="1">
        <v>2812</v>
      </c>
      <c r="B2813" s="4">
        <v>20263</v>
      </c>
      <c r="C2813" s="5">
        <v>40131</v>
      </c>
      <c r="D2813" s="3" t="s">
        <v>4</v>
      </c>
      <c r="E2813" s="1" t="s">
        <v>1028</v>
      </c>
      <c r="F2813" s="1" t="s">
        <v>8</v>
      </c>
      <c r="G2813" s="2" t="s">
        <v>6</v>
      </c>
      <c r="H2813" s="3" t="s">
        <v>84</v>
      </c>
      <c r="I2813" s="3" t="s">
        <v>92</v>
      </c>
      <c r="J2813" s="3" t="s">
        <v>61</v>
      </c>
      <c r="K2813" s="4">
        <v>553.5625</v>
      </c>
      <c r="L2813" s="6">
        <v>20.99</v>
      </c>
    </row>
    <row r="2814" spans="1:12" x14ac:dyDescent="0.25">
      <c r="A2814" s="1">
        <v>2813</v>
      </c>
      <c r="B2814" s="4">
        <v>20292</v>
      </c>
      <c r="C2814" s="5">
        <v>41221</v>
      </c>
      <c r="D2814" s="3" t="s">
        <v>4</v>
      </c>
      <c r="E2814" s="1" t="s">
        <v>945</v>
      </c>
      <c r="F2814" s="1" t="s">
        <v>29</v>
      </c>
      <c r="G2814" s="2" t="s">
        <v>3</v>
      </c>
      <c r="H2814" s="3" t="s">
        <v>88</v>
      </c>
      <c r="I2814" s="3" t="s">
        <v>85</v>
      </c>
      <c r="J2814" s="3" t="s">
        <v>70</v>
      </c>
      <c r="K2814" s="4">
        <v>452.39</v>
      </c>
      <c r="L2814" s="6">
        <v>17.52</v>
      </c>
    </row>
    <row r="2815" spans="1:12" x14ac:dyDescent="0.25">
      <c r="A2815" s="1">
        <v>2814</v>
      </c>
      <c r="B2815" s="4">
        <v>20292</v>
      </c>
      <c r="C2815" s="5">
        <v>41221</v>
      </c>
      <c r="D2815" s="3" t="s">
        <v>4</v>
      </c>
      <c r="E2815" s="1" t="s">
        <v>945</v>
      </c>
      <c r="F2815" s="1" t="s">
        <v>29</v>
      </c>
      <c r="G2815" s="2" t="s">
        <v>3</v>
      </c>
      <c r="H2815" s="3" t="s">
        <v>88</v>
      </c>
      <c r="I2815" s="3" t="s">
        <v>92</v>
      </c>
      <c r="J2815" s="3" t="s">
        <v>62</v>
      </c>
      <c r="K2815" s="4">
        <v>117.13</v>
      </c>
      <c r="L2815" s="6">
        <v>20.95</v>
      </c>
    </row>
    <row r="2816" spans="1:12" x14ac:dyDescent="0.25">
      <c r="A2816" s="1">
        <v>2815</v>
      </c>
      <c r="B2816" s="4">
        <v>20322</v>
      </c>
      <c r="C2816" s="5">
        <v>39992</v>
      </c>
      <c r="D2816" s="3" t="s">
        <v>95</v>
      </c>
      <c r="E2816" s="1" t="s">
        <v>1029</v>
      </c>
      <c r="F2816" s="1" t="s">
        <v>11</v>
      </c>
      <c r="G2816" s="2" t="s">
        <v>6</v>
      </c>
      <c r="H2816" s="3" t="s">
        <v>97</v>
      </c>
      <c r="I2816" s="3" t="s">
        <v>85</v>
      </c>
      <c r="J2816" s="3" t="s">
        <v>69</v>
      </c>
      <c r="K2816" s="4">
        <v>160.27000000000001</v>
      </c>
      <c r="L2816" s="6">
        <v>3.58</v>
      </c>
    </row>
    <row r="2817" spans="1:12" x14ac:dyDescent="0.25">
      <c r="A2817" s="1">
        <v>2816</v>
      </c>
      <c r="B2817" s="4">
        <v>20322</v>
      </c>
      <c r="C2817" s="5">
        <v>39992</v>
      </c>
      <c r="D2817" s="3" t="s">
        <v>95</v>
      </c>
      <c r="E2817" s="1" t="s">
        <v>1029</v>
      </c>
      <c r="F2817" s="1" t="s">
        <v>11</v>
      </c>
      <c r="G2817" s="2" t="s">
        <v>6</v>
      </c>
      <c r="H2817" s="3" t="s">
        <v>97</v>
      </c>
      <c r="I2817" s="3" t="s">
        <v>91</v>
      </c>
      <c r="J2817" s="3" t="s">
        <v>68</v>
      </c>
      <c r="K2817" s="4">
        <v>4601.0200000000004</v>
      </c>
      <c r="L2817" s="6">
        <v>100.98</v>
      </c>
    </row>
    <row r="2818" spans="1:12" x14ac:dyDescent="0.25">
      <c r="A2818" s="1">
        <v>2817</v>
      </c>
      <c r="B2818" s="4">
        <v>20322</v>
      </c>
      <c r="C2818" s="5">
        <v>39992</v>
      </c>
      <c r="D2818" s="3" t="s">
        <v>95</v>
      </c>
      <c r="E2818" s="1" t="s">
        <v>1029</v>
      </c>
      <c r="F2818" s="1" t="s">
        <v>11</v>
      </c>
      <c r="G2818" s="2" t="s">
        <v>6</v>
      </c>
      <c r="H2818" s="3" t="s">
        <v>97</v>
      </c>
      <c r="I2818" s="3" t="s">
        <v>85</v>
      </c>
      <c r="J2818" s="3" t="s">
        <v>66</v>
      </c>
      <c r="K2818" s="4">
        <v>89.89</v>
      </c>
      <c r="L2818" s="6">
        <v>5.78</v>
      </c>
    </row>
    <row r="2819" spans="1:12" x14ac:dyDescent="0.25">
      <c r="A2819" s="1">
        <v>2818</v>
      </c>
      <c r="B2819" s="4">
        <v>20325</v>
      </c>
      <c r="C2819" s="5">
        <v>40362</v>
      </c>
      <c r="D2819" s="3" t="s">
        <v>95</v>
      </c>
      <c r="E2819" s="1" t="s">
        <v>1030</v>
      </c>
      <c r="F2819" s="1" t="s">
        <v>24</v>
      </c>
      <c r="G2819" s="2" t="s">
        <v>2</v>
      </c>
      <c r="H2819" s="3" t="s">
        <v>84</v>
      </c>
      <c r="I2819" s="3" t="s">
        <v>92</v>
      </c>
      <c r="J2819" s="3" t="s">
        <v>67</v>
      </c>
      <c r="K2819" s="4">
        <v>4043.29</v>
      </c>
      <c r="L2819" s="6">
        <v>119.99</v>
      </c>
    </row>
    <row r="2820" spans="1:12" x14ac:dyDescent="0.25">
      <c r="A2820" s="1">
        <v>2819</v>
      </c>
      <c r="B2820" s="4">
        <v>20325</v>
      </c>
      <c r="C2820" s="5">
        <v>40362</v>
      </c>
      <c r="D2820" s="3" t="s">
        <v>95</v>
      </c>
      <c r="E2820" s="1" t="s">
        <v>1030</v>
      </c>
      <c r="F2820" s="1" t="s">
        <v>24</v>
      </c>
      <c r="G2820" s="2" t="s">
        <v>2</v>
      </c>
      <c r="H2820" s="3" t="s">
        <v>84</v>
      </c>
      <c r="I2820" s="3" t="s">
        <v>85</v>
      </c>
      <c r="J2820" s="3" t="s">
        <v>63</v>
      </c>
      <c r="K2820" s="4">
        <v>870.48</v>
      </c>
      <c r="L2820" s="6">
        <v>36.549999999999997</v>
      </c>
    </row>
    <row r="2821" spans="1:12" x14ac:dyDescent="0.25">
      <c r="A2821" s="1">
        <v>2820</v>
      </c>
      <c r="B2821" s="4">
        <v>20354</v>
      </c>
      <c r="C2821" s="5">
        <v>41171</v>
      </c>
      <c r="D2821" s="3" t="s">
        <v>95</v>
      </c>
      <c r="E2821" s="1" t="s">
        <v>1031</v>
      </c>
      <c r="F2821" s="1" t="s">
        <v>15</v>
      </c>
      <c r="G2821" s="2" t="s">
        <v>1</v>
      </c>
      <c r="H2821" s="3" t="s">
        <v>88</v>
      </c>
      <c r="I2821" s="3" t="s">
        <v>85</v>
      </c>
      <c r="J2821" s="3" t="s">
        <v>65</v>
      </c>
      <c r="K2821" s="4">
        <v>76.06</v>
      </c>
      <c r="L2821" s="6">
        <v>3.15</v>
      </c>
    </row>
    <row r="2822" spans="1:12" x14ac:dyDescent="0.25">
      <c r="A2822" s="1">
        <v>2821</v>
      </c>
      <c r="B2822" s="4">
        <v>20384</v>
      </c>
      <c r="C2822" s="5">
        <v>40841</v>
      </c>
      <c r="D2822" s="3" t="s">
        <v>82</v>
      </c>
      <c r="E2822" s="1" t="s">
        <v>1005</v>
      </c>
      <c r="F2822" s="1" t="s">
        <v>15</v>
      </c>
      <c r="G2822" s="2" t="s">
        <v>1</v>
      </c>
      <c r="H2822" s="3" t="s">
        <v>88</v>
      </c>
      <c r="I2822" s="3" t="s">
        <v>85</v>
      </c>
      <c r="J2822" s="3" t="s">
        <v>57</v>
      </c>
      <c r="K2822" s="4">
        <v>396.6</v>
      </c>
      <c r="L2822" s="6">
        <v>14.03</v>
      </c>
    </row>
    <row r="2823" spans="1:12" x14ac:dyDescent="0.25">
      <c r="A2823" s="1">
        <v>2822</v>
      </c>
      <c r="B2823" s="4">
        <v>20384</v>
      </c>
      <c r="C2823" s="5">
        <v>40841</v>
      </c>
      <c r="D2823" s="3" t="s">
        <v>82</v>
      </c>
      <c r="E2823" s="1" t="s">
        <v>1005</v>
      </c>
      <c r="F2823" s="1" t="s">
        <v>15</v>
      </c>
      <c r="G2823" s="2" t="s">
        <v>1</v>
      </c>
      <c r="H2823" s="3" t="s">
        <v>88</v>
      </c>
      <c r="I2823" s="3" t="s">
        <v>91</v>
      </c>
      <c r="J2823" s="3" t="s">
        <v>60</v>
      </c>
      <c r="K2823" s="4">
        <v>6902.51</v>
      </c>
      <c r="L2823" s="6">
        <v>212.6</v>
      </c>
    </row>
    <row r="2824" spans="1:12" x14ac:dyDescent="0.25">
      <c r="A2824" s="1">
        <v>2823</v>
      </c>
      <c r="B2824" s="4">
        <v>20386</v>
      </c>
      <c r="C2824" s="5">
        <v>40236</v>
      </c>
      <c r="D2824" s="3" t="s">
        <v>95</v>
      </c>
      <c r="E2824" s="1" t="s">
        <v>1032</v>
      </c>
      <c r="F2824" s="1" t="s">
        <v>25</v>
      </c>
      <c r="G2824" s="2" t="s">
        <v>6</v>
      </c>
      <c r="H2824" s="3" t="s">
        <v>88</v>
      </c>
      <c r="I2824" s="3" t="s">
        <v>85</v>
      </c>
      <c r="J2824" s="3" t="s">
        <v>64</v>
      </c>
      <c r="K2824" s="4">
        <v>41.23</v>
      </c>
      <c r="L2824" s="6">
        <v>1.26</v>
      </c>
    </row>
    <row r="2825" spans="1:12" x14ac:dyDescent="0.25">
      <c r="A2825" s="1">
        <v>2824</v>
      </c>
      <c r="B2825" s="4">
        <v>20389</v>
      </c>
      <c r="C2825" s="5">
        <v>40036</v>
      </c>
      <c r="D2825" s="3" t="s">
        <v>89</v>
      </c>
      <c r="E2825" s="1" t="s">
        <v>965</v>
      </c>
      <c r="F2825" s="1" t="s">
        <v>30</v>
      </c>
      <c r="G2825" s="2" t="s">
        <v>6</v>
      </c>
      <c r="H2825" s="3" t="s">
        <v>88</v>
      </c>
      <c r="I2825" s="3" t="s">
        <v>91</v>
      </c>
      <c r="J2825" s="3" t="s">
        <v>68</v>
      </c>
      <c r="K2825" s="4">
        <v>7477.78</v>
      </c>
      <c r="L2825" s="6">
        <v>260.98</v>
      </c>
    </row>
    <row r="2826" spans="1:12" x14ac:dyDescent="0.25">
      <c r="A2826" s="1">
        <v>2825</v>
      </c>
      <c r="B2826" s="4">
        <v>20389</v>
      </c>
      <c r="C2826" s="5">
        <v>40036</v>
      </c>
      <c r="D2826" s="3" t="s">
        <v>89</v>
      </c>
      <c r="E2826" s="1" t="s">
        <v>965</v>
      </c>
      <c r="F2826" s="1" t="s">
        <v>30</v>
      </c>
      <c r="G2826" s="2" t="s">
        <v>6</v>
      </c>
      <c r="H2826" s="3" t="s">
        <v>88</v>
      </c>
      <c r="I2826" s="3" t="s">
        <v>91</v>
      </c>
      <c r="J2826" s="3" t="s">
        <v>59</v>
      </c>
      <c r="K2826" s="4">
        <v>270.39</v>
      </c>
      <c r="L2826" s="6">
        <v>10.52</v>
      </c>
    </row>
    <row r="2827" spans="1:12" x14ac:dyDescent="0.25">
      <c r="A2827" s="1">
        <v>2826</v>
      </c>
      <c r="B2827" s="4">
        <v>20389</v>
      </c>
      <c r="C2827" s="5">
        <v>40036</v>
      </c>
      <c r="D2827" s="3" t="s">
        <v>89</v>
      </c>
      <c r="E2827" s="1" t="s">
        <v>965</v>
      </c>
      <c r="F2827" s="1" t="s">
        <v>30</v>
      </c>
      <c r="G2827" s="2" t="s">
        <v>6</v>
      </c>
      <c r="H2827" s="3" t="s">
        <v>88</v>
      </c>
      <c r="I2827" s="3" t="s">
        <v>85</v>
      </c>
      <c r="J2827" s="3" t="s">
        <v>66</v>
      </c>
      <c r="K2827" s="4">
        <v>201.35</v>
      </c>
      <c r="L2827" s="6">
        <v>5.98</v>
      </c>
    </row>
    <row r="2828" spans="1:12" x14ac:dyDescent="0.25">
      <c r="A2828" s="1">
        <v>2827</v>
      </c>
      <c r="B2828" s="4">
        <v>20390</v>
      </c>
      <c r="C2828" s="5">
        <v>40056</v>
      </c>
      <c r="D2828" s="3" t="s">
        <v>86</v>
      </c>
      <c r="E2828" s="1" t="s">
        <v>444</v>
      </c>
      <c r="F2828" s="1" t="s">
        <v>34</v>
      </c>
      <c r="G2828" s="2" t="s">
        <v>1</v>
      </c>
      <c r="H2828" s="3" t="s">
        <v>97</v>
      </c>
      <c r="I2828" s="3" t="s">
        <v>92</v>
      </c>
      <c r="J2828" s="3" t="s">
        <v>62</v>
      </c>
      <c r="K2828" s="4">
        <v>1271.1199999999999</v>
      </c>
      <c r="L2828" s="6">
        <v>34.979999999999997</v>
      </c>
    </row>
    <row r="2829" spans="1:12" x14ac:dyDescent="0.25">
      <c r="A2829" s="1">
        <v>2828</v>
      </c>
      <c r="B2829" s="4">
        <v>20390</v>
      </c>
      <c r="C2829" s="5">
        <v>40056</v>
      </c>
      <c r="D2829" s="3" t="s">
        <v>86</v>
      </c>
      <c r="E2829" s="1" t="s">
        <v>444</v>
      </c>
      <c r="F2829" s="1" t="s">
        <v>34</v>
      </c>
      <c r="G2829" s="2" t="s">
        <v>1</v>
      </c>
      <c r="H2829" s="3" t="s">
        <v>97</v>
      </c>
      <c r="I2829" s="3" t="s">
        <v>85</v>
      </c>
      <c r="J2829" s="3" t="s">
        <v>58</v>
      </c>
      <c r="K2829" s="4">
        <v>58.5</v>
      </c>
      <c r="L2829" s="6">
        <v>3.14</v>
      </c>
    </row>
    <row r="2830" spans="1:12" x14ac:dyDescent="0.25">
      <c r="A2830" s="1">
        <v>2829</v>
      </c>
      <c r="B2830" s="4">
        <v>20422</v>
      </c>
      <c r="C2830" s="5">
        <v>39839</v>
      </c>
      <c r="D2830" s="3" t="s">
        <v>89</v>
      </c>
      <c r="E2830" s="1" t="s">
        <v>131</v>
      </c>
      <c r="F2830" s="1" t="s">
        <v>30</v>
      </c>
      <c r="G2830" s="2" t="s">
        <v>6</v>
      </c>
      <c r="H2830" s="3" t="s">
        <v>100</v>
      </c>
      <c r="I2830" s="3" t="s">
        <v>85</v>
      </c>
      <c r="J2830" s="3" t="s">
        <v>65</v>
      </c>
      <c r="K2830" s="4">
        <v>15.38</v>
      </c>
      <c r="L2830" s="6">
        <v>2.89</v>
      </c>
    </row>
    <row r="2831" spans="1:12" x14ac:dyDescent="0.25">
      <c r="A2831" s="1">
        <v>2830</v>
      </c>
      <c r="B2831" s="4">
        <v>20422</v>
      </c>
      <c r="C2831" s="5">
        <v>39839</v>
      </c>
      <c r="D2831" s="3" t="s">
        <v>89</v>
      </c>
      <c r="E2831" s="1" t="s">
        <v>618</v>
      </c>
      <c r="F2831" s="1" t="s">
        <v>11</v>
      </c>
      <c r="G2831" s="2" t="s">
        <v>6</v>
      </c>
      <c r="H2831" s="3" t="s">
        <v>100</v>
      </c>
      <c r="I2831" s="3" t="s">
        <v>91</v>
      </c>
      <c r="J2831" s="3" t="s">
        <v>59</v>
      </c>
      <c r="K2831" s="4">
        <v>447.33</v>
      </c>
      <c r="L2831" s="6">
        <v>14.34</v>
      </c>
    </row>
    <row r="2832" spans="1:12" x14ac:dyDescent="0.25">
      <c r="A2832" s="1">
        <v>2831</v>
      </c>
      <c r="B2832" s="4">
        <v>20448</v>
      </c>
      <c r="C2832" s="5">
        <v>40757</v>
      </c>
      <c r="D2832" s="3" t="s">
        <v>95</v>
      </c>
      <c r="E2832" s="1" t="s">
        <v>590</v>
      </c>
      <c r="F2832" s="1" t="s">
        <v>11</v>
      </c>
      <c r="G2832" s="2" t="s">
        <v>6</v>
      </c>
      <c r="H2832" s="3" t="s">
        <v>88</v>
      </c>
      <c r="I2832" s="3" t="s">
        <v>85</v>
      </c>
      <c r="J2832" s="3" t="s">
        <v>71</v>
      </c>
      <c r="K2832" s="4">
        <v>104.82</v>
      </c>
      <c r="L2832" s="6">
        <v>3.69</v>
      </c>
    </row>
    <row r="2833" spans="1:12" x14ac:dyDescent="0.25">
      <c r="A2833" s="1">
        <v>2832</v>
      </c>
      <c r="B2833" s="4">
        <v>20449</v>
      </c>
      <c r="C2833" s="5">
        <v>40181</v>
      </c>
      <c r="D2833" s="3" t="s">
        <v>4</v>
      </c>
      <c r="E2833" s="1" t="s">
        <v>616</v>
      </c>
      <c r="F2833" s="1" t="s">
        <v>43</v>
      </c>
      <c r="G2833" s="2" t="s">
        <v>1</v>
      </c>
      <c r="H2833" s="3" t="s">
        <v>84</v>
      </c>
      <c r="I2833" s="3" t="s">
        <v>85</v>
      </c>
      <c r="J2833" s="3" t="s">
        <v>69</v>
      </c>
      <c r="K2833" s="4">
        <v>1216.5</v>
      </c>
      <c r="L2833" s="6">
        <v>67.28</v>
      </c>
    </row>
    <row r="2834" spans="1:12" x14ac:dyDescent="0.25">
      <c r="A2834" s="1">
        <v>2833</v>
      </c>
      <c r="B2834" s="4">
        <v>20450</v>
      </c>
      <c r="C2834" s="5">
        <v>41250</v>
      </c>
      <c r="D2834" s="3" t="s">
        <v>95</v>
      </c>
      <c r="E2834" s="1" t="s">
        <v>852</v>
      </c>
      <c r="F2834" s="1" t="s">
        <v>24</v>
      </c>
      <c r="G2834" s="2" t="s">
        <v>2</v>
      </c>
      <c r="H2834" s="3" t="s">
        <v>97</v>
      </c>
      <c r="I2834" s="3" t="s">
        <v>91</v>
      </c>
      <c r="J2834" s="3" t="s">
        <v>60</v>
      </c>
      <c r="K2834" s="4">
        <v>6878.55</v>
      </c>
      <c r="L2834" s="6">
        <v>259.70999999999998</v>
      </c>
    </row>
    <row r="2835" spans="1:12" x14ac:dyDescent="0.25">
      <c r="A2835" s="1">
        <v>2834</v>
      </c>
      <c r="B2835" s="4">
        <v>20451</v>
      </c>
      <c r="C2835" s="5">
        <v>41054</v>
      </c>
      <c r="D2835" s="3" t="s">
        <v>95</v>
      </c>
      <c r="E2835" s="1" t="s">
        <v>568</v>
      </c>
      <c r="F2835" s="1" t="s">
        <v>34</v>
      </c>
      <c r="G2835" s="2" t="s">
        <v>1</v>
      </c>
      <c r="H2835" s="3" t="s">
        <v>88</v>
      </c>
      <c r="I2835" s="3" t="s">
        <v>85</v>
      </c>
      <c r="J2835" s="3" t="s">
        <v>66</v>
      </c>
      <c r="K2835" s="4">
        <v>53.72</v>
      </c>
      <c r="L2835" s="6">
        <v>8.9499999999999993</v>
      </c>
    </row>
    <row r="2836" spans="1:12" x14ac:dyDescent="0.25">
      <c r="A2836" s="1">
        <v>2835</v>
      </c>
      <c r="B2836" s="4">
        <v>20451</v>
      </c>
      <c r="C2836" s="5">
        <v>41054</v>
      </c>
      <c r="D2836" s="3" t="s">
        <v>95</v>
      </c>
      <c r="E2836" s="1" t="s">
        <v>1033</v>
      </c>
      <c r="F2836" s="1" t="s">
        <v>34</v>
      </c>
      <c r="G2836" s="2" t="s">
        <v>1</v>
      </c>
      <c r="H2836" s="3" t="s">
        <v>88</v>
      </c>
      <c r="I2836" s="3" t="s">
        <v>85</v>
      </c>
      <c r="J2836" s="3" t="s">
        <v>57</v>
      </c>
      <c r="K2836" s="4">
        <v>1809.21</v>
      </c>
      <c r="L2836" s="6">
        <v>55.29</v>
      </c>
    </row>
    <row r="2837" spans="1:12" x14ac:dyDescent="0.25">
      <c r="A2837" s="1">
        <v>2836</v>
      </c>
      <c r="B2837" s="4">
        <v>20451</v>
      </c>
      <c r="C2837" s="5">
        <v>41054</v>
      </c>
      <c r="D2837" s="3" t="s">
        <v>95</v>
      </c>
      <c r="E2837" s="1" t="s">
        <v>1033</v>
      </c>
      <c r="F2837" s="1" t="s">
        <v>34</v>
      </c>
      <c r="G2837" s="2" t="s">
        <v>1</v>
      </c>
      <c r="H2837" s="3" t="s">
        <v>88</v>
      </c>
      <c r="I2837" s="3" t="s">
        <v>91</v>
      </c>
      <c r="J2837" s="3" t="s">
        <v>60</v>
      </c>
      <c r="K2837" s="4">
        <v>9150.09</v>
      </c>
      <c r="L2837" s="6">
        <v>550.98</v>
      </c>
    </row>
    <row r="2838" spans="1:12" x14ac:dyDescent="0.25">
      <c r="A2838" s="1">
        <v>2837</v>
      </c>
      <c r="B2838" s="4">
        <v>20453</v>
      </c>
      <c r="C2838" s="5">
        <v>40612</v>
      </c>
      <c r="D2838" s="3" t="s">
        <v>4</v>
      </c>
      <c r="E2838" s="1" t="s">
        <v>1034</v>
      </c>
      <c r="F2838" s="1" t="s">
        <v>13</v>
      </c>
      <c r="G2838" s="2" t="s">
        <v>6</v>
      </c>
      <c r="H2838" s="3" t="s">
        <v>97</v>
      </c>
      <c r="I2838" s="3" t="s">
        <v>91</v>
      </c>
      <c r="J2838" s="3" t="s">
        <v>59</v>
      </c>
      <c r="K2838" s="4">
        <v>450.39</v>
      </c>
      <c r="L2838" s="6">
        <v>19.23</v>
      </c>
    </row>
    <row r="2839" spans="1:12" x14ac:dyDescent="0.25">
      <c r="A2839" s="1">
        <v>2838</v>
      </c>
      <c r="B2839" s="4">
        <v>20453</v>
      </c>
      <c r="C2839" s="5">
        <v>40612</v>
      </c>
      <c r="D2839" s="3" t="s">
        <v>4</v>
      </c>
      <c r="E2839" s="1" t="s">
        <v>1034</v>
      </c>
      <c r="F2839" s="1" t="s">
        <v>13</v>
      </c>
      <c r="G2839" s="2" t="s">
        <v>6</v>
      </c>
      <c r="H2839" s="3" t="s">
        <v>97</v>
      </c>
      <c r="I2839" s="3" t="s">
        <v>92</v>
      </c>
      <c r="J2839" s="3" t="s">
        <v>61</v>
      </c>
      <c r="K2839" s="4">
        <v>1193.1195</v>
      </c>
      <c r="L2839" s="6">
        <v>85.99</v>
      </c>
    </row>
    <row r="2840" spans="1:12" x14ac:dyDescent="0.25">
      <c r="A2840" s="1">
        <v>2839</v>
      </c>
      <c r="B2840" s="4">
        <v>20455</v>
      </c>
      <c r="C2840" s="5">
        <v>40357</v>
      </c>
      <c r="D2840" s="3" t="s">
        <v>95</v>
      </c>
      <c r="E2840" s="1" t="s">
        <v>458</v>
      </c>
      <c r="F2840" s="2" t="s">
        <v>25</v>
      </c>
      <c r="G2840" s="2" t="s">
        <v>6</v>
      </c>
      <c r="H2840" s="3" t="s">
        <v>88</v>
      </c>
      <c r="I2840" s="3" t="s">
        <v>92</v>
      </c>
      <c r="J2840" s="3" t="s">
        <v>61</v>
      </c>
      <c r="K2840" s="4">
        <v>381.1995</v>
      </c>
      <c r="L2840" s="6">
        <v>65.989999999999995</v>
      </c>
    </row>
    <row r="2841" spans="1:12" x14ac:dyDescent="0.25">
      <c r="A2841" s="1">
        <v>2840</v>
      </c>
      <c r="B2841" s="4">
        <v>20480</v>
      </c>
      <c r="C2841" s="5">
        <v>39842</v>
      </c>
      <c r="D2841" s="3" t="s">
        <v>4</v>
      </c>
      <c r="E2841" s="1" t="s">
        <v>1035</v>
      </c>
      <c r="F2841" s="1" t="s">
        <v>42</v>
      </c>
      <c r="G2841" s="2" t="s">
        <v>3</v>
      </c>
      <c r="H2841" s="3" t="s">
        <v>88</v>
      </c>
      <c r="I2841" s="3" t="s">
        <v>85</v>
      </c>
      <c r="J2841" s="3" t="s">
        <v>69</v>
      </c>
      <c r="K2841" s="4">
        <v>16147.61</v>
      </c>
      <c r="L2841" s="6">
        <v>420.98</v>
      </c>
    </row>
    <row r="2842" spans="1:12" x14ac:dyDescent="0.25">
      <c r="A2842" s="1">
        <v>2841</v>
      </c>
      <c r="B2842" s="4">
        <v>20480</v>
      </c>
      <c r="C2842" s="5">
        <v>39842</v>
      </c>
      <c r="D2842" s="3" t="s">
        <v>4</v>
      </c>
      <c r="E2842" s="1" t="s">
        <v>254</v>
      </c>
      <c r="F2842" s="1" t="s">
        <v>46</v>
      </c>
      <c r="G2842" s="2" t="s">
        <v>6</v>
      </c>
      <c r="H2842" s="3" t="s">
        <v>88</v>
      </c>
      <c r="I2842" s="3" t="s">
        <v>91</v>
      </c>
      <c r="J2842" s="3" t="s">
        <v>68</v>
      </c>
      <c r="K2842" s="4">
        <v>1042.6300000000001</v>
      </c>
      <c r="L2842" s="6">
        <v>240.98</v>
      </c>
    </row>
    <row r="2843" spans="1:12" x14ac:dyDescent="0.25">
      <c r="A2843" s="1">
        <v>2842</v>
      </c>
      <c r="B2843" s="4">
        <v>20482</v>
      </c>
      <c r="C2843" s="5">
        <v>40742</v>
      </c>
      <c r="D2843" s="3" t="s">
        <v>4</v>
      </c>
      <c r="E2843" s="1" t="s">
        <v>1036</v>
      </c>
      <c r="F2843" s="1" t="s">
        <v>35</v>
      </c>
      <c r="G2843" s="2" t="s">
        <v>1</v>
      </c>
      <c r="H2843" s="3" t="s">
        <v>84</v>
      </c>
      <c r="I2843" s="3" t="s">
        <v>91</v>
      </c>
      <c r="J2843" s="3" t="s">
        <v>68</v>
      </c>
      <c r="K2843" s="4">
        <v>4650.07</v>
      </c>
      <c r="L2843" s="6">
        <v>120.98</v>
      </c>
    </row>
    <row r="2844" spans="1:12" x14ac:dyDescent="0.25">
      <c r="A2844" s="1">
        <v>2843</v>
      </c>
      <c r="B2844" s="4">
        <v>20482</v>
      </c>
      <c r="C2844" s="5">
        <v>40742</v>
      </c>
      <c r="D2844" s="3" t="s">
        <v>4</v>
      </c>
      <c r="E2844" s="1" t="s">
        <v>1036</v>
      </c>
      <c r="F2844" s="1" t="s">
        <v>35</v>
      </c>
      <c r="G2844" s="2" t="s">
        <v>1</v>
      </c>
      <c r="H2844" s="3" t="s">
        <v>84</v>
      </c>
      <c r="I2844" s="3" t="s">
        <v>85</v>
      </c>
      <c r="J2844" s="3" t="s">
        <v>66</v>
      </c>
      <c r="K2844" s="4">
        <v>497.52</v>
      </c>
      <c r="L2844" s="6">
        <v>12.28</v>
      </c>
    </row>
    <row r="2845" spans="1:12" x14ac:dyDescent="0.25">
      <c r="A2845" s="1">
        <v>2844</v>
      </c>
      <c r="B2845" s="4">
        <v>20484</v>
      </c>
      <c r="C2845" s="5">
        <v>39842</v>
      </c>
      <c r="D2845" s="3" t="s">
        <v>95</v>
      </c>
      <c r="E2845" s="1" t="s">
        <v>931</v>
      </c>
      <c r="F2845" s="1" t="s">
        <v>42</v>
      </c>
      <c r="G2845" s="2" t="s">
        <v>3</v>
      </c>
      <c r="H2845" s="3" t="s">
        <v>100</v>
      </c>
      <c r="I2845" s="3" t="s">
        <v>92</v>
      </c>
      <c r="J2845" s="3" t="s">
        <v>61</v>
      </c>
      <c r="K2845" s="4">
        <v>1122.6375</v>
      </c>
      <c r="L2845" s="6">
        <v>95.99</v>
      </c>
    </row>
    <row r="2846" spans="1:12" x14ac:dyDescent="0.25">
      <c r="A2846" s="1">
        <v>2845</v>
      </c>
      <c r="B2846" s="4">
        <v>20486</v>
      </c>
      <c r="C2846" s="5">
        <v>40607</v>
      </c>
      <c r="D2846" s="3" t="s">
        <v>89</v>
      </c>
      <c r="E2846" s="1" t="s">
        <v>282</v>
      </c>
      <c r="F2846" s="1" t="s">
        <v>34</v>
      </c>
      <c r="G2846" s="2" t="s">
        <v>1</v>
      </c>
      <c r="H2846" s="3" t="s">
        <v>88</v>
      </c>
      <c r="I2846" s="3" t="s">
        <v>85</v>
      </c>
      <c r="J2846" s="3" t="s">
        <v>66</v>
      </c>
      <c r="K2846" s="4">
        <v>306.3</v>
      </c>
      <c r="L2846" s="6">
        <v>9.27</v>
      </c>
    </row>
    <row r="2847" spans="1:12" x14ac:dyDescent="0.25">
      <c r="A2847" s="1">
        <v>2846</v>
      </c>
      <c r="B2847" s="4">
        <v>20486</v>
      </c>
      <c r="C2847" s="5">
        <v>40607</v>
      </c>
      <c r="D2847" s="3" t="s">
        <v>89</v>
      </c>
      <c r="E2847" s="1" t="s">
        <v>282</v>
      </c>
      <c r="F2847" s="1" t="s">
        <v>34</v>
      </c>
      <c r="G2847" s="2" t="s">
        <v>1</v>
      </c>
      <c r="H2847" s="3" t="s">
        <v>88</v>
      </c>
      <c r="I2847" s="3" t="s">
        <v>85</v>
      </c>
      <c r="J2847" s="3" t="s">
        <v>63</v>
      </c>
      <c r="K2847" s="4">
        <v>163.98</v>
      </c>
      <c r="L2847" s="6">
        <v>3.85</v>
      </c>
    </row>
    <row r="2848" spans="1:12" x14ac:dyDescent="0.25">
      <c r="A2848" s="1">
        <v>2847</v>
      </c>
      <c r="B2848" s="4">
        <v>20513</v>
      </c>
      <c r="C2848" s="5">
        <v>40001</v>
      </c>
      <c r="D2848" s="3" t="s">
        <v>89</v>
      </c>
      <c r="E2848" s="1" t="s">
        <v>466</v>
      </c>
      <c r="F2848" s="1" t="s">
        <v>9</v>
      </c>
      <c r="G2848" s="2" t="s">
        <v>2</v>
      </c>
      <c r="H2848" s="3" t="s">
        <v>88</v>
      </c>
      <c r="I2848" s="3" t="s">
        <v>85</v>
      </c>
      <c r="J2848" s="3" t="s">
        <v>63</v>
      </c>
      <c r="K2848" s="4">
        <v>42.27</v>
      </c>
      <c r="L2848" s="6">
        <v>2.84</v>
      </c>
    </row>
    <row r="2849" spans="1:12" x14ac:dyDescent="0.25">
      <c r="A2849" s="1">
        <v>2848</v>
      </c>
      <c r="B2849" s="4">
        <v>20517</v>
      </c>
      <c r="C2849" s="5">
        <v>40436</v>
      </c>
      <c r="D2849" s="3" t="s">
        <v>82</v>
      </c>
      <c r="E2849" s="1" t="s">
        <v>473</v>
      </c>
      <c r="F2849" s="1" t="s">
        <v>19</v>
      </c>
      <c r="G2849" s="2" t="s">
        <v>3</v>
      </c>
      <c r="H2849" s="3" t="s">
        <v>84</v>
      </c>
      <c r="I2849" s="3" t="s">
        <v>85</v>
      </c>
      <c r="J2849" s="3" t="s">
        <v>63</v>
      </c>
      <c r="K2849" s="4">
        <v>116.63</v>
      </c>
      <c r="L2849" s="6">
        <v>2.94</v>
      </c>
    </row>
    <row r="2850" spans="1:12" x14ac:dyDescent="0.25">
      <c r="A2850" s="1">
        <v>2849</v>
      </c>
      <c r="B2850" s="4">
        <v>20518</v>
      </c>
      <c r="C2850" s="5">
        <v>40091</v>
      </c>
      <c r="D2850" s="3" t="s">
        <v>95</v>
      </c>
      <c r="E2850" s="1" t="s">
        <v>626</v>
      </c>
      <c r="F2850" s="1" t="s">
        <v>20</v>
      </c>
      <c r="G2850" s="2" t="s">
        <v>1</v>
      </c>
      <c r="H2850" s="3" t="s">
        <v>88</v>
      </c>
      <c r="I2850" s="3" t="s">
        <v>92</v>
      </c>
      <c r="J2850" s="3" t="s">
        <v>61</v>
      </c>
      <c r="K2850" s="4">
        <v>8252.360999999999</v>
      </c>
      <c r="L2850" s="6">
        <v>200.99</v>
      </c>
    </row>
    <row r="2851" spans="1:12" x14ac:dyDescent="0.25">
      <c r="A2851" s="1">
        <v>2850</v>
      </c>
      <c r="B2851" s="4">
        <v>20518</v>
      </c>
      <c r="C2851" s="5">
        <v>40091</v>
      </c>
      <c r="D2851" s="3" t="s">
        <v>95</v>
      </c>
      <c r="E2851" s="1" t="s">
        <v>578</v>
      </c>
      <c r="F2851" s="1" t="s">
        <v>20</v>
      </c>
      <c r="G2851" s="2" t="s">
        <v>1</v>
      </c>
      <c r="H2851" s="3" t="s">
        <v>88</v>
      </c>
      <c r="I2851" s="3" t="s">
        <v>92</v>
      </c>
      <c r="J2851" s="3" t="s">
        <v>67</v>
      </c>
      <c r="K2851" s="4">
        <v>2205.84</v>
      </c>
      <c r="L2851" s="6">
        <v>297.48</v>
      </c>
    </row>
    <row r="2852" spans="1:12" x14ac:dyDescent="0.25">
      <c r="A2852" s="1">
        <v>2851</v>
      </c>
      <c r="B2852" s="4">
        <v>20519</v>
      </c>
      <c r="C2852" s="5">
        <v>39913</v>
      </c>
      <c r="D2852" s="3" t="s">
        <v>89</v>
      </c>
      <c r="E2852" s="1" t="s">
        <v>410</v>
      </c>
      <c r="F2852" s="1" t="s">
        <v>24</v>
      </c>
      <c r="G2852" s="2" t="s">
        <v>2</v>
      </c>
      <c r="H2852" s="3" t="s">
        <v>97</v>
      </c>
      <c r="I2852" s="3" t="s">
        <v>92</v>
      </c>
      <c r="J2852" s="3" t="s">
        <v>67</v>
      </c>
      <c r="K2852" s="4">
        <v>124.19</v>
      </c>
      <c r="L2852" s="6">
        <v>15.99</v>
      </c>
    </row>
    <row r="2853" spans="1:12" x14ac:dyDescent="0.25">
      <c r="A2853" s="1">
        <v>2852</v>
      </c>
      <c r="B2853" s="4">
        <v>20545</v>
      </c>
      <c r="C2853" s="5">
        <v>40460</v>
      </c>
      <c r="D2853" s="3" t="s">
        <v>86</v>
      </c>
      <c r="E2853" s="1" t="s">
        <v>1037</v>
      </c>
      <c r="F2853" s="1" t="s">
        <v>22</v>
      </c>
      <c r="G2853" s="2" t="s">
        <v>6</v>
      </c>
      <c r="H2853" s="3" t="s">
        <v>84</v>
      </c>
      <c r="I2853" s="3" t="s">
        <v>91</v>
      </c>
      <c r="J2853" s="3" t="s">
        <v>72</v>
      </c>
      <c r="K2853" s="4">
        <v>361.94</v>
      </c>
      <c r="L2853" s="6">
        <v>284.98</v>
      </c>
    </row>
    <row r="2854" spans="1:12" x14ac:dyDescent="0.25">
      <c r="A2854" s="1">
        <v>2853</v>
      </c>
      <c r="B2854" s="4">
        <v>20545</v>
      </c>
      <c r="C2854" s="5">
        <v>40460</v>
      </c>
      <c r="D2854" s="3" t="s">
        <v>86</v>
      </c>
      <c r="E2854" s="1" t="s">
        <v>1037</v>
      </c>
      <c r="F2854" s="1" t="s">
        <v>22</v>
      </c>
      <c r="G2854" s="2" t="s">
        <v>6</v>
      </c>
      <c r="H2854" s="3" t="s">
        <v>84</v>
      </c>
      <c r="I2854" s="3" t="s">
        <v>85</v>
      </c>
      <c r="J2854" s="3" t="s">
        <v>66</v>
      </c>
      <c r="K2854" s="4">
        <v>1276.04</v>
      </c>
      <c r="L2854" s="6">
        <v>40.99</v>
      </c>
    </row>
    <row r="2855" spans="1:12" x14ac:dyDescent="0.25">
      <c r="A2855" s="1">
        <v>2854</v>
      </c>
      <c r="B2855" s="4">
        <v>20545</v>
      </c>
      <c r="C2855" s="5">
        <v>40460</v>
      </c>
      <c r="D2855" s="3" t="s">
        <v>86</v>
      </c>
      <c r="E2855" s="1" t="s">
        <v>1037</v>
      </c>
      <c r="F2855" s="1" t="s">
        <v>22</v>
      </c>
      <c r="G2855" s="2" t="s">
        <v>6</v>
      </c>
      <c r="H2855" s="3" t="s">
        <v>84</v>
      </c>
      <c r="I2855" s="3" t="s">
        <v>91</v>
      </c>
      <c r="J2855" s="3" t="s">
        <v>60</v>
      </c>
      <c r="K2855" s="4">
        <v>2894.68</v>
      </c>
      <c r="L2855" s="6">
        <v>71.37</v>
      </c>
    </row>
    <row r="2856" spans="1:12" x14ac:dyDescent="0.25">
      <c r="A2856" s="1">
        <v>2855</v>
      </c>
      <c r="B2856" s="4">
        <v>20549</v>
      </c>
      <c r="C2856" s="5">
        <v>39825</v>
      </c>
      <c r="D2856" s="3" t="s">
        <v>86</v>
      </c>
      <c r="E2856" s="1" t="s">
        <v>684</v>
      </c>
      <c r="F2856" s="1" t="s">
        <v>37</v>
      </c>
      <c r="G2856" s="2" t="s">
        <v>3</v>
      </c>
      <c r="H2856" s="3" t="s">
        <v>88</v>
      </c>
      <c r="I2856" s="3" t="s">
        <v>85</v>
      </c>
      <c r="J2856" s="3" t="s">
        <v>57</v>
      </c>
      <c r="K2856" s="4">
        <v>1030.0899999999999</v>
      </c>
      <c r="L2856" s="6">
        <v>27.75</v>
      </c>
    </row>
    <row r="2857" spans="1:12" x14ac:dyDescent="0.25">
      <c r="A2857" s="1">
        <v>2856</v>
      </c>
      <c r="B2857" s="4">
        <v>20577</v>
      </c>
      <c r="C2857" s="5">
        <v>40218</v>
      </c>
      <c r="D2857" s="3" t="s">
        <v>95</v>
      </c>
      <c r="E2857" s="1" t="s">
        <v>1027</v>
      </c>
      <c r="F2857" s="1" t="s">
        <v>22</v>
      </c>
      <c r="G2857" s="2" t="s">
        <v>6</v>
      </c>
      <c r="H2857" s="3" t="s">
        <v>97</v>
      </c>
      <c r="I2857" s="3" t="s">
        <v>85</v>
      </c>
      <c r="J2857" s="3" t="s">
        <v>69</v>
      </c>
      <c r="K2857" s="4">
        <v>611.67999999999995</v>
      </c>
      <c r="L2857" s="6">
        <v>39.06</v>
      </c>
    </row>
    <row r="2858" spans="1:12" x14ac:dyDescent="0.25">
      <c r="A2858" s="1">
        <v>2857</v>
      </c>
      <c r="B2858" s="4">
        <v>20579</v>
      </c>
      <c r="C2858" s="5">
        <v>41183</v>
      </c>
      <c r="D2858" s="3" t="s">
        <v>4</v>
      </c>
      <c r="E2858" s="1" t="s">
        <v>205</v>
      </c>
      <c r="F2858" s="1" t="s">
        <v>42</v>
      </c>
      <c r="G2858" s="2" t="s">
        <v>3</v>
      </c>
      <c r="H2858" s="3" t="s">
        <v>84</v>
      </c>
      <c r="I2858" s="3" t="s">
        <v>92</v>
      </c>
      <c r="J2858" s="3" t="s">
        <v>61</v>
      </c>
      <c r="K2858" s="4">
        <v>1434.086</v>
      </c>
      <c r="L2858" s="6">
        <v>110.99</v>
      </c>
    </row>
    <row r="2859" spans="1:12" x14ac:dyDescent="0.25">
      <c r="A2859" s="1">
        <v>2858</v>
      </c>
      <c r="B2859" s="4">
        <v>20614</v>
      </c>
      <c r="C2859" s="5">
        <v>39951</v>
      </c>
      <c r="D2859" s="3" t="s">
        <v>86</v>
      </c>
      <c r="E2859" s="1" t="s">
        <v>826</v>
      </c>
      <c r="F2859" s="1" t="s">
        <v>13</v>
      </c>
      <c r="G2859" s="2" t="s">
        <v>6</v>
      </c>
      <c r="H2859" s="3" t="s">
        <v>88</v>
      </c>
      <c r="I2859" s="3" t="s">
        <v>92</v>
      </c>
      <c r="J2859" s="3" t="s">
        <v>62</v>
      </c>
      <c r="K2859" s="4">
        <v>3596.36</v>
      </c>
      <c r="L2859" s="6">
        <v>73.98</v>
      </c>
    </row>
    <row r="2860" spans="1:12" x14ac:dyDescent="0.25">
      <c r="A2860" s="1">
        <v>2859</v>
      </c>
      <c r="B2860" s="4">
        <v>20615</v>
      </c>
      <c r="C2860" s="5">
        <v>41014</v>
      </c>
      <c r="D2860" s="3" t="s">
        <v>4</v>
      </c>
      <c r="E2860" s="1" t="s">
        <v>1038</v>
      </c>
      <c r="F2860" s="1" t="s">
        <v>17</v>
      </c>
      <c r="G2860" s="2" t="s">
        <v>2</v>
      </c>
      <c r="H2860" s="3" t="s">
        <v>97</v>
      </c>
      <c r="I2860" s="3" t="s">
        <v>85</v>
      </c>
      <c r="J2860" s="3" t="s">
        <v>66</v>
      </c>
      <c r="K2860" s="4">
        <v>151.09</v>
      </c>
      <c r="L2860" s="6">
        <v>4.76</v>
      </c>
    </row>
    <row r="2861" spans="1:12" x14ac:dyDescent="0.25">
      <c r="A2861" s="1">
        <v>2860</v>
      </c>
      <c r="B2861" s="4">
        <v>20642</v>
      </c>
      <c r="C2861" s="5">
        <v>41048</v>
      </c>
      <c r="D2861" s="3" t="s">
        <v>89</v>
      </c>
      <c r="E2861" s="1" t="s">
        <v>485</v>
      </c>
      <c r="F2861" s="1" t="s">
        <v>25</v>
      </c>
      <c r="G2861" s="2" t="s">
        <v>6</v>
      </c>
      <c r="H2861" s="3" t="s">
        <v>100</v>
      </c>
      <c r="I2861" s="3" t="s">
        <v>85</v>
      </c>
      <c r="J2861" s="3" t="s">
        <v>65</v>
      </c>
      <c r="K2861" s="4">
        <v>135.19999999999999</v>
      </c>
      <c r="L2861" s="6">
        <v>4.13</v>
      </c>
    </row>
    <row r="2862" spans="1:12" x14ac:dyDescent="0.25">
      <c r="A2862" s="1">
        <v>2861</v>
      </c>
      <c r="B2862" s="4">
        <v>20642</v>
      </c>
      <c r="C2862" s="5">
        <v>41048</v>
      </c>
      <c r="D2862" s="3" t="s">
        <v>89</v>
      </c>
      <c r="E2862" s="1" t="s">
        <v>604</v>
      </c>
      <c r="F2862" s="1" t="s">
        <v>54</v>
      </c>
      <c r="G2862" s="2" t="s">
        <v>2</v>
      </c>
      <c r="H2862" s="3" t="s">
        <v>100</v>
      </c>
      <c r="I2862" s="3" t="s">
        <v>85</v>
      </c>
      <c r="J2862" s="3" t="s">
        <v>57</v>
      </c>
      <c r="K2862" s="4">
        <v>1078.98</v>
      </c>
      <c r="L2862" s="6">
        <v>20.98</v>
      </c>
    </row>
    <row r="2863" spans="1:12" x14ac:dyDescent="0.25">
      <c r="A2863" s="1">
        <v>2862</v>
      </c>
      <c r="B2863" s="4">
        <v>20646</v>
      </c>
      <c r="C2863" s="5">
        <v>40632</v>
      </c>
      <c r="D2863" s="3" t="s">
        <v>4</v>
      </c>
      <c r="E2863" s="1" t="s">
        <v>310</v>
      </c>
      <c r="F2863" s="1" t="s">
        <v>36</v>
      </c>
      <c r="G2863" s="2" t="s">
        <v>2</v>
      </c>
      <c r="H2863" s="3" t="s">
        <v>88</v>
      </c>
      <c r="I2863" s="3" t="s">
        <v>92</v>
      </c>
      <c r="J2863" s="3" t="s">
        <v>61</v>
      </c>
      <c r="K2863" s="4">
        <v>1204.0844999999999</v>
      </c>
      <c r="L2863" s="6">
        <v>35.99</v>
      </c>
    </row>
    <row r="2864" spans="1:12" x14ac:dyDescent="0.25">
      <c r="A2864" s="1">
        <v>2863</v>
      </c>
      <c r="B2864" s="4">
        <v>20674</v>
      </c>
      <c r="C2864" s="5">
        <v>40520</v>
      </c>
      <c r="D2864" s="3" t="s">
        <v>89</v>
      </c>
      <c r="E2864" s="1" t="s">
        <v>409</v>
      </c>
      <c r="F2864" s="1" t="s">
        <v>53</v>
      </c>
      <c r="G2864" s="2" t="s">
        <v>6</v>
      </c>
      <c r="H2864" s="3" t="s">
        <v>88</v>
      </c>
      <c r="I2864" s="3" t="s">
        <v>92</v>
      </c>
      <c r="J2864" s="3" t="s">
        <v>67</v>
      </c>
      <c r="K2864" s="4">
        <v>17717.34</v>
      </c>
      <c r="L2864" s="6">
        <v>500.97</v>
      </c>
    </row>
    <row r="2865" spans="1:12" x14ac:dyDescent="0.25">
      <c r="A2865" s="1">
        <v>2864</v>
      </c>
      <c r="B2865" s="4">
        <v>20676</v>
      </c>
      <c r="C2865" s="5">
        <v>41235</v>
      </c>
      <c r="D2865" s="3" t="s">
        <v>82</v>
      </c>
      <c r="E2865" s="1" t="s">
        <v>460</v>
      </c>
      <c r="F2865" s="1" t="s">
        <v>30</v>
      </c>
      <c r="G2865" s="2" t="s">
        <v>6</v>
      </c>
      <c r="H2865" s="3" t="s">
        <v>88</v>
      </c>
      <c r="I2865" s="3" t="s">
        <v>85</v>
      </c>
      <c r="J2865" s="3" t="s">
        <v>69</v>
      </c>
      <c r="K2865" s="4">
        <v>43.97</v>
      </c>
      <c r="L2865" s="6">
        <v>1.88</v>
      </c>
    </row>
    <row r="2866" spans="1:12" x14ac:dyDescent="0.25">
      <c r="A2866" s="1">
        <v>2865</v>
      </c>
      <c r="B2866" s="4">
        <v>20679</v>
      </c>
      <c r="C2866" s="5">
        <v>40404</v>
      </c>
      <c r="D2866" s="3" t="s">
        <v>4</v>
      </c>
      <c r="E2866" s="1" t="s">
        <v>1039</v>
      </c>
      <c r="F2866" s="1" t="s">
        <v>24</v>
      </c>
      <c r="G2866" s="2" t="s">
        <v>2</v>
      </c>
      <c r="H2866" s="3" t="s">
        <v>84</v>
      </c>
      <c r="I2866" s="3" t="s">
        <v>85</v>
      </c>
      <c r="J2866" s="3" t="s">
        <v>57</v>
      </c>
      <c r="K2866" s="4">
        <v>4976.6000000000004</v>
      </c>
      <c r="L2866" s="6">
        <v>161.55000000000001</v>
      </c>
    </row>
    <row r="2867" spans="1:12" x14ac:dyDescent="0.25">
      <c r="A2867" s="1">
        <v>2866</v>
      </c>
      <c r="B2867" s="4">
        <v>20704</v>
      </c>
      <c r="C2867" s="5">
        <v>40219</v>
      </c>
      <c r="D2867" s="3" t="s">
        <v>82</v>
      </c>
      <c r="E2867" s="1" t="s">
        <v>543</v>
      </c>
      <c r="F2867" s="1" t="s">
        <v>52</v>
      </c>
      <c r="G2867" s="2" t="s">
        <v>3</v>
      </c>
      <c r="H2867" s="3" t="s">
        <v>97</v>
      </c>
      <c r="I2867" s="3" t="s">
        <v>85</v>
      </c>
      <c r="J2867" s="3" t="s">
        <v>64</v>
      </c>
      <c r="K2867" s="4">
        <v>5.63</v>
      </c>
      <c r="L2867" s="6">
        <v>4.71</v>
      </c>
    </row>
    <row r="2868" spans="1:12" x14ac:dyDescent="0.25">
      <c r="A2868" s="1">
        <v>2867</v>
      </c>
      <c r="B2868" s="4">
        <v>20704</v>
      </c>
      <c r="C2868" s="5">
        <v>40219</v>
      </c>
      <c r="D2868" s="3" t="s">
        <v>82</v>
      </c>
      <c r="E2868" s="1" t="s">
        <v>1040</v>
      </c>
      <c r="F2868" s="1" t="s">
        <v>52</v>
      </c>
      <c r="G2868" s="2" t="s">
        <v>3</v>
      </c>
      <c r="H2868" s="3" t="s">
        <v>97</v>
      </c>
      <c r="I2868" s="3" t="s">
        <v>85</v>
      </c>
      <c r="J2868" s="3" t="s">
        <v>65</v>
      </c>
      <c r="K2868" s="4">
        <v>16.48</v>
      </c>
      <c r="L2868" s="6">
        <v>3.08</v>
      </c>
    </row>
    <row r="2869" spans="1:12" x14ac:dyDescent="0.25">
      <c r="A2869" s="1">
        <v>2868</v>
      </c>
      <c r="B2869" s="4">
        <v>20704</v>
      </c>
      <c r="C2869" s="5">
        <v>40219</v>
      </c>
      <c r="D2869" s="3" t="s">
        <v>82</v>
      </c>
      <c r="E2869" s="1" t="s">
        <v>1040</v>
      </c>
      <c r="F2869" s="1" t="s">
        <v>52</v>
      </c>
      <c r="G2869" s="2" t="s">
        <v>3</v>
      </c>
      <c r="H2869" s="3" t="s">
        <v>97</v>
      </c>
      <c r="I2869" s="3" t="s">
        <v>85</v>
      </c>
      <c r="J2869" s="3" t="s">
        <v>57</v>
      </c>
      <c r="K2869" s="4">
        <v>15655.24</v>
      </c>
      <c r="L2869" s="6">
        <v>419.19</v>
      </c>
    </row>
    <row r="2870" spans="1:12" x14ac:dyDescent="0.25">
      <c r="A2870" s="1">
        <v>2869</v>
      </c>
      <c r="B2870" s="4">
        <v>20706</v>
      </c>
      <c r="C2870" s="5">
        <v>40006</v>
      </c>
      <c r="D2870" s="3" t="s">
        <v>89</v>
      </c>
      <c r="E2870" s="1" t="s">
        <v>643</v>
      </c>
      <c r="F2870" s="1" t="s">
        <v>24</v>
      </c>
      <c r="G2870" s="2" t="s">
        <v>2</v>
      </c>
      <c r="H2870" s="3" t="s">
        <v>97</v>
      </c>
      <c r="I2870" s="3" t="s">
        <v>91</v>
      </c>
      <c r="J2870" s="3" t="s">
        <v>59</v>
      </c>
      <c r="K2870" s="4">
        <v>5583.27</v>
      </c>
      <c r="L2870" s="6">
        <v>136.97999999999999</v>
      </c>
    </row>
    <row r="2871" spans="1:12" x14ac:dyDescent="0.25">
      <c r="A2871" s="1">
        <v>2870</v>
      </c>
      <c r="B2871" s="4">
        <v>20709</v>
      </c>
      <c r="C2871" s="5">
        <v>40036</v>
      </c>
      <c r="D2871" s="3" t="s">
        <v>89</v>
      </c>
      <c r="E2871" s="1" t="s">
        <v>1041</v>
      </c>
      <c r="F2871" s="1" t="s">
        <v>13</v>
      </c>
      <c r="G2871" s="2" t="s">
        <v>6</v>
      </c>
      <c r="H2871" s="3" t="s">
        <v>100</v>
      </c>
      <c r="I2871" s="3" t="s">
        <v>85</v>
      </c>
      <c r="J2871" s="3" t="s">
        <v>65</v>
      </c>
      <c r="K2871" s="4">
        <v>16.600000000000001</v>
      </c>
      <c r="L2871" s="6">
        <v>4.13</v>
      </c>
    </row>
    <row r="2872" spans="1:12" x14ac:dyDescent="0.25">
      <c r="A2872" s="1">
        <v>2871</v>
      </c>
      <c r="B2872" s="4">
        <v>20709</v>
      </c>
      <c r="C2872" s="5">
        <v>40036</v>
      </c>
      <c r="D2872" s="3" t="s">
        <v>89</v>
      </c>
      <c r="E2872" s="1" t="s">
        <v>1041</v>
      </c>
      <c r="F2872" s="1" t="s">
        <v>13</v>
      </c>
      <c r="G2872" s="2" t="s">
        <v>6</v>
      </c>
      <c r="H2872" s="3" t="s">
        <v>100</v>
      </c>
      <c r="I2872" s="3" t="s">
        <v>85</v>
      </c>
      <c r="J2872" s="3" t="s">
        <v>65</v>
      </c>
      <c r="K2872" s="4">
        <v>25.1</v>
      </c>
      <c r="L2872" s="6">
        <v>4.9800000000000004</v>
      </c>
    </row>
    <row r="2873" spans="1:12" x14ac:dyDescent="0.25">
      <c r="A2873" s="1">
        <v>2872</v>
      </c>
      <c r="B2873" s="4">
        <v>20710</v>
      </c>
      <c r="C2873" s="5">
        <v>40146</v>
      </c>
      <c r="D2873" s="3" t="s">
        <v>89</v>
      </c>
      <c r="E2873" s="1" t="s">
        <v>959</v>
      </c>
      <c r="F2873" s="1" t="s">
        <v>15</v>
      </c>
      <c r="G2873" s="2" t="s">
        <v>1</v>
      </c>
      <c r="H2873" s="3" t="s">
        <v>84</v>
      </c>
      <c r="I2873" s="3" t="s">
        <v>92</v>
      </c>
      <c r="J2873" s="3" t="s">
        <v>62</v>
      </c>
      <c r="K2873" s="4">
        <v>180.7</v>
      </c>
      <c r="L2873" s="6">
        <v>5.98</v>
      </c>
    </row>
    <row r="2874" spans="1:12" x14ac:dyDescent="0.25">
      <c r="A2874" s="1">
        <v>2873</v>
      </c>
      <c r="B2874" s="4">
        <v>20710</v>
      </c>
      <c r="C2874" s="5">
        <v>40146</v>
      </c>
      <c r="D2874" s="3" t="s">
        <v>89</v>
      </c>
      <c r="E2874" s="1" t="s">
        <v>959</v>
      </c>
      <c r="F2874" s="1" t="s">
        <v>15</v>
      </c>
      <c r="G2874" s="2" t="s">
        <v>1</v>
      </c>
      <c r="H2874" s="3" t="s">
        <v>84</v>
      </c>
      <c r="I2874" s="3" t="s">
        <v>85</v>
      </c>
      <c r="J2874" s="3" t="s">
        <v>65</v>
      </c>
      <c r="K2874" s="4">
        <v>67.400000000000006</v>
      </c>
      <c r="L2874" s="6">
        <v>2.61</v>
      </c>
    </row>
    <row r="2875" spans="1:12" x14ac:dyDescent="0.25">
      <c r="A2875" s="1">
        <v>2874</v>
      </c>
      <c r="B2875" s="4">
        <v>20711</v>
      </c>
      <c r="C2875" s="5">
        <v>39832</v>
      </c>
      <c r="D2875" s="3" t="s">
        <v>95</v>
      </c>
      <c r="E2875" s="1" t="s">
        <v>846</v>
      </c>
      <c r="F2875" s="1" t="s">
        <v>39</v>
      </c>
      <c r="G2875" s="2" t="s">
        <v>1</v>
      </c>
      <c r="H2875" s="3" t="s">
        <v>100</v>
      </c>
      <c r="I2875" s="3" t="s">
        <v>85</v>
      </c>
      <c r="J2875" s="3" t="s">
        <v>66</v>
      </c>
      <c r="K2875" s="4">
        <v>98.66</v>
      </c>
      <c r="L2875" s="6">
        <v>18.97</v>
      </c>
    </row>
    <row r="2876" spans="1:12" x14ac:dyDescent="0.25">
      <c r="A2876" s="1">
        <v>2875</v>
      </c>
      <c r="B2876" s="4">
        <v>20711</v>
      </c>
      <c r="C2876" s="5">
        <v>39832</v>
      </c>
      <c r="D2876" s="3" t="s">
        <v>95</v>
      </c>
      <c r="E2876" s="1" t="s">
        <v>482</v>
      </c>
      <c r="F2876" s="1" t="s">
        <v>48</v>
      </c>
      <c r="G2876" s="2" t="s">
        <v>1</v>
      </c>
      <c r="H2876" s="3" t="s">
        <v>100</v>
      </c>
      <c r="I2876" s="3" t="s">
        <v>92</v>
      </c>
      <c r="J2876" s="3" t="s">
        <v>67</v>
      </c>
      <c r="K2876" s="4">
        <v>2215.96</v>
      </c>
      <c r="L2876" s="6">
        <v>119.99</v>
      </c>
    </row>
    <row r="2877" spans="1:12" x14ac:dyDescent="0.25">
      <c r="A2877" s="1">
        <v>2876</v>
      </c>
      <c r="B2877" s="4">
        <v>20737</v>
      </c>
      <c r="C2877" s="5">
        <v>40902</v>
      </c>
      <c r="D2877" s="3" t="s">
        <v>4</v>
      </c>
      <c r="E2877" s="1" t="s">
        <v>676</v>
      </c>
      <c r="F2877" s="1" t="s">
        <v>27</v>
      </c>
      <c r="G2877" s="2" t="s">
        <v>1</v>
      </c>
      <c r="H2877" s="3" t="s">
        <v>97</v>
      </c>
      <c r="I2877" s="3" t="s">
        <v>91</v>
      </c>
      <c r="J2877" s="3" t="s">
        <v>68</v>
      </c>
      <c r="K2877" s="4">
        <v>1410.93</v>
      </c>
      <c r="L2877" s="6">
        <v>140.97999999999999</v>
      </c>
    </row>
    <row r="2878" spans="1:12" x14ac:dyDescent="0.25">
      <c r="A2878" s="1">
        <v>2877</v>
      </c>
      <c r="B2878" s="4">
        <v>20737</v>
      </c>
      <c r="C2878" s="5">
        <v>40902</v>
      </c>
      <c r="D2878" s="3" t="s">
        <v>4</v>
      </c>
      <c r="E2878" s="1" t="s">
        <v>638</v>
      </c>
      <c r="F2878" s="1" t="s">
        <v>20</v>
      </c>
      <c r="G2878" s="2" t="s">
        <v>1</v>
      </c>
      <c r="H2878" s="3" t="s">
        <v>97</v>
      </c>
      <c r="I2878" s="3" t="s">
        <v>91</v>
      </c>
      <c r="J2878" s="3" t="s">
        <v>60</v>
      </c>
      <c r="K2878" s="4">
        <v>3364.2480000000005</v>
      </c>
      <c r="L2878" s="6">
        <v>286.85000000000002</v>
      </c>
    </row>
    <row r="2879" spans="1:12" x14ac:dyDescent="0.25">
      <c r="A2879" s="1">
        <v>2878</v>
      </c>
      <c r="B2879" s="4">
        <v>20741</v>
      </c>
      <c r="C2879" s="5">
        <v>40481</v>
      </c>
      <c r="D2879" s="3" t="s">
        <v>82</v>
      </c>
      <c r="E2879" s="1" t="s">
        <v>233</v>
      </c>
      <c r="F2879" s="1" t="s">
        <v>33</v>
      </c>
      <c r="G2879" s="2" t="s">
        <v>2</v>
      </c>
      <c r="H2879" s="3" t="s">
        <v>88</v>
      </c>
      <c r="I2879" s="3" t="s">
        <v>85</v>
      </c>
      <c r="J2879" s="3" t="s">
        <v>63</v>
      </c>
      <c r="K2879" s="4">
        <v>1711.02</v>
      </c>
      <c r="L2879" s="6">
        <v>43.98</v>
      </c>
    </row>
    <row r="2880" spans="1:12" x14ac:dyDescent="0.25">
      <c r="A2880" s="1">
        <v>2879</v>
      </c>
      <c r="B2880" s="4">
        <v>20743</v>
      </c>
      <c r="C2880" s="5">
        <v>40892</v>
      </c>
      <c r="D2880" s="3" t="s">
        <v>89</v>
      </c>
      <c r="E2880" s="1" t="s">
        <v>264</v>
      </c>
      <c r="F2880" s="1" t="s">
        <v>32</v>
      </c>
      <c r="G2880" s="2" t="s">
        <v>2</v>
      </c>
      <c r="H2880" s="3" t="s">
        <v>100</v>
      </c>
      <c r="I2880" s="3" t="s">
        <v>85</v>
      </c>
      <c r="J2880" s="3" t="s">
        <v>66</v>
      </c>
      <c r="K2880" s="4">
        <v>231.21</v>
      </c>
      <c r="L2880" s="6">
        <v>5.28</v>
      </c>
    </row>
    <row r="2881" spans="1:12" x14ac:dyDescent="0.25">
      <c r="A2881" s="1">
        <v>2880</v>
      </c>
      <c r="B2881" s="4">
        <v>20773</v>
      </c>
      <c r="C2881" s="5">
        <v>39877</v>
      </c>
      <c r="D2881" s="3" t="s">
        <v>86</v>
      </c>
      <c r="E2881" s="1" t="s">
        <v>1042</v>
      </c>
      <c r="F2881" s="1" t="s">
        <v>16</v>
      </c>
      <c r="G2881" s="2" t="s">
        <v>3</v>
      </c>
      <c r="H2881" s="3" t="s">
        <v>97</v>
      </c>
      <c r="I2881" s="3" t="s">
        <v>85</v>
      </c>
      <c r="J2881" s="3" t="s">
        <v>69</v>
      </c>
      <c r="K2881" s="4">
        <v>479.96</v>
      </c>
      <c r="L2881" s="6">
        <v>10.91</v>
      </c>
    </row>
    <row r="2882" spans="1:12" x14ac:dyDescent="0.25">
      <c r="A2882" s="1">
        <v>2881</v>
      </c>
      <c r="B2882" s="4">
        <v>20804</v>
      </c>
      <c r="C2882" s="5">
        <v>40873</v>
      </c>
      <c r="D2882" s="3" t="s">
        <v>82</v>
      </c>
      <c r="E2882" s="1" t="s">
        <v>1037</v>
      </c>
      <c r="F2882" s="1" t="s">
        <v>22</v>
      </c>
      <c r="G2882" s="2" t="s">
        <v>6</v>
      </c>
      <c r="H2882" s="3" t="s">
        <v>84</v>
      </c>
      <c r="I2882" s="3" t="s">
        <v>92</v>
      </c>
      <c r="J2882" s="3" t="s">
        <v>67</v>
      </c>
      <c r="K2882" s="4">
        <v>4393.75</v>
      </c>
      <c r="L2882" s="6">
        <v>442.14</v>
      </c>
    </row>
    <row r="2883" spans="1:12" x14ac:dyDescent="0.25">
      <c r="A2883" s="1">
        <v>2882</v>
      </c>
      <c r="B2883" s="4">
        <v>20805</v>
      </c>
      <c r="C2883" s="5">
        <v>40553</v>
      </c>
      <c r="D2883" s="3" t="s">
        <v>89</v>
      </c>
      <c r="E2883" s="1" t="s">
        <v>732</v>
      </c>
      <c r="F2883" s="1" t="s">
        <v>40</v>
      </c>
      <c r="G2883" s="2" t="s">
        <v>6</v>
      </c>
      <c r="H2883" s="3" t="s">
        <v>97</v>
      </c>
      <c r="I2883" s="3" t="s">
        <v>85</v>
      </c>
      <c r="J2883" s="3" t="s">
        <v>69</v>
      </c>
      <c r="K2883" s="4">
        <v>69.98</v>
      </c>
      <c r="L2883" s="6">
        <v>5.53</v>
      </c>
    </row>
    <row r="2884" spans="1:12" x14ac:dyDescent="0.25">
      <c r="A2884" s="1">
        <v>2883</v>
      </c>
      <c r="B2884" s="4">
        <v>20805</v>
      </c>
      <c r="C2884" s="5">
        <v>40553</v>
      </c>
      <c r="D2884" s="3" t="s">
        <v>89</v>
      </c>
      <c r="E2884" s="1" t="s">
        <v>732</v>
      </c>
      <c r="F2884" s="1" t="s">
        <v>40</v>
      </c>
      <c r="G2884" s="2" t="s">
        <v>6</v>
      </c>
      <c r="H2884" s="3" t="s">
        <v>97</v>
      </c>
      <c r="I2884" s="3" t="s">
        <v>91</v>
      </c>
      <c r="J2884" s="3" t="s">
        <v>59</v>
      </c>
      <c r="K2884" s="4">
        <v>418.34</v>
      </c>
      <c r="L2884" s="6">
        <v>12.58</v>
      </c>
    </row>
    <row r="2885" spans="1:12" x14ac:dyDescent="0.25">
      <c r="A2885" s="1">
        <v>2884</v>
      </c>
      <c r="B2885" s="4">
        <v>20805</v>
      </c>
      <c r="C2885" s="5">
        <v>40553</v>
      </c>
      <c r="D2885" s="3" t="s">
        <v>89</v>
      </c>
      <c r="E2885" s="1" t="s">
        <v>732</v>
      </c>
      <c r="F2885" s="1" t="s">
        <v>40</v>
      </c>
      <c r="G2885" s="2" t="s">
        <v>6</v>
      </c>
      <c r="H2885" s="3" t="s">
        <v>97</v>
      </c>
      <c r="I2885" s="3" t="s">
        <v>85</v>
      </c>
      <c r="J2885" s="3" t="s">
        <v>66</v>
      </c>
      <c r="K2885" s="4">
        <v>17.7</v>
      </c>
      <c r="L2885" s="6">
        <v>4.28</v>
      </c>
    </row>
    <row r="2886" spans="1:12" x14ac:dyDescent="0.25">
      <c r="A2886" s="1">
        <v>2885</v>
      </c>
      <c r="B2886" s="4">
        <v>20805</v>
      </c>
      <c r="C2886" s="5">
        <v>40553</v>
      </c>
      <c r="D2886" s="3" t="s">
        <v>89</v>
      </c>
      <c r="E2886" s="1" t="s">
        <v>732</v>
      </c>
      <c r="F2886" s="1" t="s">
        <v>40</v>
      </c>
      <c r="G2886" s="2" t="s">
        <v>6</v>
      </c>
      <c r="H2886" s="3" t="s">
        <v>97</v>
      </c>
      <c r="I2886" s="3" t="s">
        <v>85</v>
      </c>
      <c r="J2886" s="3" t="s">
        <v>63</v>
      </c>
      <c r="K2886" s="4">
        <v>45.61</v>
      </c>
      <c r="L2886" s="6">
        <v>3.85</v>
      </c>
    </row>
    <row r="2887" spans="1:12" x14ac:dyDescent="0.25">
      <c r="A2887" s="1">
        <v>2886</v>
      </c>
      <c r="B2887" s="4">
        <v>20807</v>
      </c>
      <c r="C2887" s="5">
        <v>41111</v>
      </c>
      <c r="D2887" s="3" t="s">
        <v>86</v>
      </c>
      <c r="E2887" s="1" t="s">
        <v>112</v>
      </c>
      <c r="F2887" s="1" t="s">
        <v>15</v>
      </c>
      <c r="G2887" s="2" t="s">
        <v>1</v>
      </c>
      <c r="H2887" s="3" t="s">
        <v>100</v>
      </c>
      <c r="I2887" s="3" t="s">
        <v>92</v>
      </c>
      <c r="J2887" s="3" t="s">
        <v>61</v>
      </c>
      <c r="K2887" s="4">
        <v>466.94749999999999</v>
      </c>
      <c r="L2887" s="6">
        <v>35.99</v>
      </c>
    </row>
    <row r="2888" spans="1:12" x14ac:dyDescent="0.25">
      <c r="A2888" s="1">
        <v>2887</v>
      </c>
      <c r="B2888" s="4">
        <v>20807</v>
      </c>
      <c r="C2888" s="5">
        <v>41111</v>
      </c>
      <c r="D2888" s="3" t="s">
        <v>86</v>
      </c>
      <c r="E2888" s="1" t="s">
        <v>282</v>
      </c>
      <c r="F2888" s="1" t="s">
        <v>30</v>
      </c>
      <c r="G2888" s="2" t="s">
        <v>6</v>
      </c>
      <c r="H2888" s="3" t="s">
        <v>100</v>
      </c>
      <c r="I2888" s="3" t="s">
        <v>91</v>
      </c>
      <c r="J2888" s="3" t="s">
        <v>72</v>
      </c>
      <c r="K2888" s="4">
        <v>6152.52</v>
      </c>
      <c r="L2888" s="6">
        <v>160.97999999999999</v>
      </c>
    </row>
    <row r="2889" spans="1:12" x14ac:dyDescent="0.25">
      <c r="A2889" s="1">
        <v>2888</v>
      </c>
      <c r="B2889" s="4">
        <v>20832</v>
      </c>
      <c r="C2889" s="5">
        <v>40389</v>
      </c>
      <c r="D2889" s="3" t="s">
        <v>86</v>
      </c>
      <c r="E2889" s="1" t="s">
        <v>648</v>
      </c>
      <c r="F2889" s="1" t="s">
        <v>37</v>
      </c>
      <c r="G2889" s="2" t="s">
        <v>3</v>
      </c>
      <c r="H2889" s="3" t="s">
        <v>97</v>
      </c>
      <c r="I2889" s="3" t="s">
        <v>85</v>
      </c>
      <c r="J2889" s="3" t="s">
        <v>69</v>
      </c>
      <c r="K2889" s="4">
        <v>88.7</v>
      </c>
      <c r="L2889" s="6">
        <v>1.88</v>
      </c>
    </row>
    <row r="2890" spans="1:12" x14ac:dyDescent="0.25">
      <c r="A2890" s="1">
        <v>2889</v>
      </c>
      <c r="B2890" s="4">
        <v>20832</v>
      </c>
      <c r="C2890" s="5">
        <v>40389</v>
      </c>
      <c r="D2890" s="3" t="s">
        <v>86</v>
      </c>
      <c r="E2890" s="1" t="s">
        <v>648</v>
      </c>
      <c r="F2890" s="1" t="s">
        <v>37</v>
      </c>
      <c r="G2890" s="2" t="s">
        <v>3</v>
      </c>
      <c r="H2890" s="3" t="s">
        <v>97</v>
      </c>
      <c r="I2890" s="3" t="s">
        <v>85</v>
      </c>
      <c r="J2890" s="3" t="s">
        <v>63</v>
      </c>
      <c r="K2890" s="4">
        <v>105.89</v>
      </c>
      <c r="L2890" s="6">
        <v>2.84</v>
      </c>
    </row>
    <row r="2891" spans="1:12" x14ac:dyDescent="0.25">
      <c r="A2891" s="1">
        <v>2890</v>
      </c>
      <c r="B2891" s="4">
        <v>20838</v>
      </c>
      <c r="C2891" s="5">
        <v>39913</v>
      </c>
      <c r="D2891" s="3" t="s">
        <v>86</v>
      </c>
      <c r="E2891" s="1" t="s">
        <v>460</v>
      </c>
      <c r="F2891" s="1" t="s">
        <v>30</v>
      </c>
      <c r="G2891" s="2" t="s">
        <v>6</v>
      </c>
      <c r="H2891" s="3" t="s">
        <v>100</v>
      </c>
      <c r="I2891" s="3" t="s">
        <v>85</v>
      </c>
      <c r="J2891" s="3" t="s">
        <v>63</v>
      </c>
      <c r="K2891" s="4">
        <v>20.170000000000002</v>
      </c>
      <c r="L2891" s="6">
        <v>3.28</v>
      </c>
    </row>
    <row r="2892" spans="1:12" x14ac:dyDescent="0.25">
      <c r="A2892" s="1">
        <v>2891</v>
      </c>
      <c r="B2892" s="4">
        <v>20838</v>
      </c>
      <c r="C2892" s="5">
        <v>39913</v>
      </c>
      <c r="D2892" s="3" t="s">
        <v>86</v>
      </c>
      <c r="E2892" s="1" t="s">
        <v>460</v>
      </c>
      <c r="F2892" s="1" t="s">
        <v>30</v>
      </c>
      <c r="G2892" s="2" t="s">
        <v>6</v>
      </c>
      <c r="H2892" s="3" t="s">
        <v>100</v>
      </c>
      <c r="I2892" s="3" t="s">
        <v>85</v>
      </c>
      <c r="J2892" s="3" t="s">
        <v>58</v>
      </c>
      <c r="K2892" s="4">
        <v>235.98</v>
      </c>
      <c r="L2892" s="6">
        <v>10.98</v>
      </c>
    </row>
    <row r="2893" spans="1:12" x14ac:dyDescent="0.25">
      <c r="A2893" s="1">
        <v>2892</v>
      </c>
      <c r="B2893" s="4">
        <v>20864</v>
      </c>
      <c r="C2893" s="5">
        <v>40883</v>
      </c>
      <c r="D2893" s="3" t="s">
        <v>89</v>
      </c>
      <c r="E2893" s="1" t="s">
        <v>1007</v>
      </c>
      <c r="F2893" s="1" t="s">
        <v>17</v>
      </c>
      <c r="G2893" s="2" t="s">
        <v>2</v>
      </c>
      <c r="H2893" s="3" t="s">
        <v>88</v>
      </c>
      <c r="I2893" s="3" t="s">
        <v>91</v>
      </c>
      <c r="J2893" s="3" t="s">
        <v>59</v>
      </c>
      <c r="K2893" s="4">
        <v>251.45</v>
      </c>
      <c r="L2893" s="6">
        <v>13.4</v>
      </c>
    </row>
    <row r="2894" spans="1:12" x14ac:dyDescent="0.25">
      <c r="A2894" s="1">
        <v>2893</v>
      </c>
      <c r="B2894" s="4">
        <v>20868</v>
      </c>
      <c r="C2894" s="5">
        <v>40460</v>
      </c>
      <c r="D2894" s="3" t="s">
        <v>82</v>
      </c>
      <c r="E2894" s="1" t="s">
        <v>983</v>
      </c>
      <c r="F2894" s="1" t="s">
        <v>17</v>
      </c>
      <c r="G2894" s="2" t="s">
        <v>2</v>
      </c>
      <c r="H2894" s="3" t="s">
        <v>97</v>
      </c>
      <c r="I2894" s="3" t="s">
        <v>85</v>
      </c>
      <c r="J2894" s="3" t="s">
        <v>57</v>
      </c>
      <c r="K2894" s="4">
        <v>1609.19</v>
      </c>
      <c r="L2894" s="6">
        <v>178.47</v>
      </c>
    </row>
    <row r="2895" spans="1:12" x14ac:dyDescent="0.25">
      <c r="A2895" s="1">
        <v>2894</v>
      </c>
      <c r="B2895" s="4">
        <v>20898</v>
      </c>
      <c r="C2895" s="5">
        <v>40846</v>
      </c>
      <c r="D2895" s="3" t="s">
        <v>4</v>
      </c>
      <c r="E2895" s="1" t="s">
        <v>807</v>
      </c>
      <c r="F2895" s="1" t="s">
        <v>24</v>
      </c>
      <c r="G2895" s="2" t="s">
        <v>2</v>
      </c>
      <c r="H2895" s="3" t="s">
        <v>100</v>
      </c>
      <c r="I2895" s="3" t="s">
        <v>92</v>
      </c>
      <c r="J2895" s="3" t="s">
        <v>61</v>
      </c>
      <c r="K2895" s="4">
        <v>1756.5929999999998</v>
      </c>
      <c r="L2895" s="6">
        <v>65.989999999999995</v>
      </c>
    </row>
    <row r="2896" spans="1:12" x14ac:dyDescent="0.25">
      <c r="A2896" s="1">
        <v>2895</v>
      </c>
      <c r="B2896" s="4">
        <v>20899</v>
      </c>
      <c r="C2896" s="5">
        <v>40280</v>
      </c>
      <c r="D2896" s="3" t="s">
        <v>82</v>
      </c>
      <c r="E2896" s="1" t="s">
        <v>106</v>
      </c>
      <c r="F2896" s="1" t="s">
        <v>34</v>
      </c>
      <c r="G2896" s="2" t="s">
        <v>1</v>
      </c>
      <c r="H2896" s="3" t="s">
        <v>97</v>
      </c>
      <c r="I2896" s="3" t="s">
        <v>85</v>
      </c>
      <c r="J2896" s="3" t="s">
        <v>66</v>
      </c>
      <c r="K2896" s="4">
        <v>495.1</v>
      </c>
      <c r="L2896" s="6">
        <v>54.96</v>
      </c>
    </row>
    <row r="2897" spans="1:12" x14ac:dyDescent="0.25">
      <c r="A2897" s="1">
        <v>2896</v>
      </c>
      <c r="B2897" s="4">
        <v>20900</v>
      </c>
      <c r="C2897" s="5">
        <v>40506</v>
      </c>
      <c r="D2897" s="3" t="s">
        <v>82</v>
      </c>
      <c r="E2897" s="1" t="s">
        <v>847</v>
      </c>
      <c r="F2897" s="1" t="s">
        <v>27</v>
      </c>
      <c r="G2897" s="2" t="s">
        <v>1</v>
      </c>
      <c r="H2897" s="3" t="s">
        <v>88</v>
      </c>
      <c r="I2897" s="3" t="s">
        <v>92</v>
      </c>
      <c r="J2897" s="3" t="s">
        <v>61</v>
      </c>
      <c r="K2897" s="4">
        <v>1978.3664999999999</v>
      </c>
      <c r="L2897" s="6">
        <v>45.99</v>
      </c>
    </row>
    <row r="2898" spans="1:12" x14ac:dyDescent="0.25">
      <c r="A2898" s="1">
        <v>2897</v>
      </c>
      <c r="B2898" s="4">
        <v>20903</v>
      </c>
      <c r="C2898" s="5">
        <v>39953</v>
      </c>
      <c r="D2898" s="3" t="s">
        <v>89</v>
      </c>
      <c r="E2898" s="1" t="s">
        <v>1043</v>
      </c>
      <c r="F2898" s="1" t="s">
        <v>20</v>
      </c>
      <c r="G2898" s="2" t="s">
        <v>1</v>
      </c>
      <c r="H2898" s="3" t="s">
        <v>100</v>
      </c>
      <c r="I2898" s="3" t="s">
        <v>91</v>
      </c>
      <c r="J2898" s="3" t="s">
        <v>68</v>
      </c>
      <c r="K2898" s="4">
        <v>442.99</v>
      </c>
      <c r="L2898" s="6">
        <v>100.98</v>
      </c>
    </row>
    <row r="2899" spans="1:12" x14ac:dyDescent="0.25">
      <c r="A2899" s="1">
        <v>2898</v>
      </c>
      <c r="B2899" s="4">
        <v>20932</v>
      </c>
      <c r="C2899" s="5">
        <v>41119</v>
      </c>
      <c r="D2899" s="3" t="s">
        <v>89</v>
      </c>
      <c r="E2899" s="1" t="s">
        <v>1044</v>
      </c>
      <c r="F2899" s="1" t="s">
        <v>39</v>
      </c>
      <c r="G2899" s="2" t="s">
        <v>1</v>
      </c>
      <c r="H2899" s="3" t="s">
        <v>84</v>
      </c>
      <c r="I2899" s="3" t="s">
        <v>85</v>
      </c>
      <c r="J2899" s="3" t="s">
        <v>63</v>
      </c>
      <c r="K2899" s="4">
        <v>123.26</v>
      </c>
      <c r="L2899" s="6">
        <v>3.26</v>
      </c>
    </row>
    <row r="2900" spans="1:12" x14ac:dyDescent="0.25">
      <c r="A2900" s="1">
        <v>2899</v>
      </c>
      <c r="B2900" s="4">
        <v>20933</v>
      </c>
      <c r="C2900" s="5">
        <v>41147</v>
      </c>
      <c r="D2900" s="3" t="s">
        <v>89</v>
      </c>
      <c r="E2900" s="1" t="s">
        <v>766</v>
      </c>
      <c r="F2900" s="1" t="s">
        <v>42</v>
      </c>
      <c r="G2900" s="2" t="s">
        <v>3</v>
      </c>
      <c r="H2900" s="3" t="s">
        <v>88</v>
      </c>
      <c r="I2900" s="3" t="s">
        <v>92</v>
      </c>
      <c r="J2900" s="3" t="s">
        <v>61</v>
      </c>
      <c r="K2900" s="4">
        <v>2079.4740000000002</v>
      </c>
      <c r="L2900" s="6">
        <v>55.99</v>
      </c>
    </row>
    <row r="2901" spans="1:12" x14ac:dyDescent="0.25">
      <c r="A2901" s="1">
        <v>2900</v>
      </c>
      <c r="B2901" s="4">
        <v>20934</v>
      </c>
      <c r="C2901" s="5">
        <v>40198</v>
      </c>
      <c r="D2901" s="3" t="s">
        <v>95</v>
      </c>
      <c r="E2901" s="1" t="s">
        <v>122</v>
      </c>
      <c r="F2901" s="1" t="s">
        <v>15</v>
      </c>
      <c r="G2901" s="2" t="s">
        <v>1</v>
      </c>
      <c r="H2901" s="3" t="s">
        <v>88</v>
      </c>
      <c r="I2901" s="3" t="s">
        <v>92</v>
      </c>
      <c r="J2901" s="3" t="s">
        <v>67</v>
      </c>
      <c r="K2901" s="4">
        <v>1253.8900000000001</v>
      </c>
      <c r="L2901" s="6">
        <v>264.98</v>
      </c>
    </row>
    <row r="2902" spans="1:12" x14ac:dyDescent="0.25">
      <c r="A2902" s="1">
        <v>2901</v>
      </c>
      <c r="B2902" s="4">
        <v>20960</v>
      </c>
      <c r="C2902" s="5">
        <v>40865</v>
      </c>
      <c r="D2902" s="3" t="s">
        <v>82</v>
      </c>
      <c r="E2902" s="1" t="s">
        <v>132</v>
      </c>
      <c r="F2902" s="1" t="s">
        <v>30</v>
      </c>
      <c r="G2902" s="2" t="s">
        <v>6</v>
      </c>
      <c r="H2902" s="3" t="s">
        <v>88</v>
      </c>
      <c r="I2902" s="3" t="s">
        <v>92</v>
      </c>
      <c r="J2902" s="3" t="s">
        <v>62</v>
      </c>
      <c r="K2902" s="4">
        <v>195.96</v>
      </c>
      <c r="L2902" s="6">
        <v>10.97</v>
      </c>
    </row>
    <row r="2903" spans="1:12" x14ac:dyDescent="0.25">
      <c r="A2903" s="1">
        <v>2902</v>
      </c>
      <c r="B2903" s="4">
        <v>20961</v>
      </c>
      <c r="C2903" s="5">
        <v>40192</v>
      </c>
      <c r="D2903" s="3" t="s">
        <v>86</v>
      </c>
      <c r="E2903" s="1" t="s">
        <v>417</v>
      </c>
      <c r="F2903" s="1" t="s">
        <v>30</v>
      </c>
      <c r="G2903" s="2" t="s">
        <v>6</v>
      </c>
      <c r="H2903" s="3" t="s">
        <v>88</v>
      </c>
      <c r="I2903" s="3" t="s">
        <v>92</v>
      </c>
      <c r="J2903" s="3" t="s">
        <v>73</v>
      </c>
      <c r="K2903" s="4">
        <v>6607.92</v>
      </c>
      <c r="L2903" s="6">
        <v>199.99</v>
      </c>
    </row>
    <row r="2904" spans="1:12" x14ac:dyDescent="0.25">
      <c r="A2904" s="1">
        <v>2903</v>
      </c>
      <c r="B2904" s="4">
        <v>20964</v>
      </c>
      <c r="C2904" s="5">
        <v>40998</v>
      </c>
      <c r="D2904" s="3" t="s">
        <v>95</v>
      </c>
      <c r="E2904" s="1" t="s">
        <v>726</v>
      </c>
      <c r="F2904" s="1" t="s">
        <v>44</v>
      </c>
      <c r="G2904" s="2" t="s">
        <v>3</v>
      </c>
      <c r="H2904" s="3" t="s">
        <v>100</v>
      </c>
      <c r="I2904" s="3" t="s">
        <v>92</v>
      </c>
      <c r="J2904" s="3" t="s">
        <v>61</v>
      </c>
      <c r="K2904" s="4">
        <v>629.5865</v>
      </c>
      <c r="L2904" s="6">
        <v>65.989999999999995</v>
      </c>
    </row>
    <row r="2905" spans="1:12" x14ac:dyDescent="0.25">
      <c r="A2905" s="1">
        <v>2904</v>
      </c>
      <c r="B2905" s="4">
        <v>20965</v>
      </c>
      <c r="C2905" s="5">
        <v>40167</v>
      </c>
      <c r="D2905" s="3" t="s">
        <v>95</v>
      </c>
      <c r="E2905" s="1" t="s">
        <v>688</v>
      </c>
      <c r="F2905" s="1" t="s">
        <v>31</v>
      </c>
      <c r="G2905" s="2" t="s">
        <v>1</v>
      </c>
      <c r="H2905" s="3" t="s">
        <v>100</v>
      </c>
      <c r="I2905" s="3" t="s">
        <v>85</v>
      </c>
      <c r="J2905" s="3" t="s">
        <v>57</v>
      </c>
      <c r="K2905" s="4">
        <v>2315.11</v>
      </c>
      <c r="L2905" s="6">
        <v>59.76</v>
      </c>
    </row>
    <row r="2906" spans="1:12" x14ac:dyDescent="0.25">
      <c r="A2906" s="1">
        <v>2905</v>
      </c>
      <c r="B2906" s="4">
        <v>20965</v>
      </c>
      <c r="C2906" s="5">
        <v>40167</v>
      </c>
      <c r="D2906" s="3" t="s">
        <v>95</v>
      </c>
      <c r="E2906" s="1" t="s">
        <v>688</v>
      </c>
      <c r="F2906" s="1" t="s">
        <v>31</v>
      </c>
      <c r="G2906" s="2" t="s">
        <v>1</v>
      </c>
      <c r="H2906" s="3" t="s">
        <v>100</v>
      </c>
      <c r="I2906" s="3" t="s">
        <v>92</v>
      </c>
      <c r="J2906" s="3" t="s">
        <v>61</v>
      </c>
      <c r="K2906" s="4">
        <v>1264.2304999999999</v>
      </c>
      <c r="L2906" s="6">
        <v>195.99</v>
      </c>
    </row>
    <row r="2907" spans="1:12" x14ac:dyDescent="0.25">
      <c r="A2907" s="1">
        <v>2906</v>
      </c>
      <c r="B2907" s="4">
        <v>20966</v>
      </c>
      <c r="C2907" s="5">
        <v>40439</v>
      </c>
      <c r="D2907" s="3" t="s">
        <v>82</v>
      </c>
      <c r="E2907" s="1" t="s">
        <v>786</v>
      </c>
      <c r="F2907" s="1" t="s">
        <v>23</v>
      </c>
      <c r="G2907" s="2" t="s">
        <v>3</v>
      </c>
      <c r="H2907" s="3" t="s">
        <v>100</v>
      </c>
      <c r="I2907" s="3" t="s">
        <v>85</v>
      </c>
      <c r="J2907" s="3" t="s">
        <v>63</v>
      </c>
      <c r="K2907" s="4">
        <v>39.42</v>
      </c>
      <c r="L2907" s="6">
        <v>3.85</v>
      </c>
    </row>
    <row r="2908" spans="1:12" x14ac:dyDescent="0.25">
      <c r="A2908" s="1">
        <v>2907</v>
      </c>
      <c r="B2908" s="4">
        <v>20966</v>
      </c>
      <c r="C2908" s="5">
        <v>40439</v>
      </c>
      <c r="D2908" s="3" t="s">
        <v>82</v>
      </c>
      <c r="E2908" s="1" t="s">
        <v>1045</v>
      </c>
      <c r="F2908" s="1" t="s">
        <v>23</v>
      </c>
      <c r="G2908" s="2" t="s">
        <v>3</v>
      </c>
      <c r="H2908" s="3" t="s">
        <v>100</v>
      </c>
      <c r="I2908" s="3" t="s">
        <v>92</v>
      </c>
      <c r="J2908" s="3" t="s">
        <v>62</v>
      </c>
      <c r="K2908" s="4">
        <v>801.44</v>
      </c>
      <c r="L2908" s="6">
        <v>22.24</v>
      </c>
    </row>
    <row r="2909" spans="1:12" x14ac:dyDescent="0.25">
      <c r="A2909" s="1">
        <v>2908</v>
      </c>
      <c r="B2909" s="4">
        <v>20966</v>
      </c>
      <c r="C2909" s="5">
        <v>40439</v>
      </c>
      <c r="D2909" s="3" t="s">
        <v>82</v>
      </c>
      <c r="E2909" s="1" t="s">
        <v>1045</v>
      </c>
      <c r="F2909" s="1" t="s">
        <v>23</v>
      </c>
      <c r="G2909" s="2" t="s">
        <v>3</v>
      </c>
      <c r="H2909" s="3" t="s">
        <v>100</v>
      </c>
      <c r="I2909" s="3" t="s">
        <v>91</v>
      </c>
      <c r="J2909" s="3" t="s">
        <v>59</v>
      </c>
      <c r="K2909" s="4">
        <v>1194.06</v>
      </c>
      <c r="L2909" s="6">
        <v>54.74</v>
      </c>
    </row>
    <row r="2910" spans="1:12" x14ac:dyDescent="0.25">
      <c r="A2910" s="1">
        <v>2909</v>
      </c>
      <c r="B2910" s="4">
        <v>20967</v>
      </c>
      <c r="C2910" s="5">
        <v>40617</v>
      </c>
      <c r="D2910" s="3" t="s">
        <v>89</v>
      </c>
      <c r="E2910" s="1" t="s">
        <v>751</v>
      </c>
      <c r="F2910" s="1" t="s">
        <v>16</v>
      </c>
      <c r="G2910" s="2" t="s">
        <v>3</v>
      </c>
      <c r="H2910" s="3" t="s">
        <v>84</v>
      </c>
      <c r="I2910" s="3" t="s">
        <v>92</v>
      </c>
      <c r="J2910" s="3" t="s">
        <v>73</v>
      </c>
      <c r="K2910" s="4">
        <v>28664.52</v>
      </c>
      <c r="L2910" s="6">
        <v>599.99</v>
      </c>
    </row>
    <row r="2911" spans="1:12" x14ac:dyDescent="0.25">
      <c r="A2911" s="1">
        <v>2910</v>
      </c>
      <c r="B2911" s="4">
        <v>20967</v>
      </c>
      <c r="C2911" s="5">
        <v>40617</v>
      </c>
      <c r="D2911" s="3" t="s">
        <v>89</v>
      </c>
      <c r="E2911" s="1" t="s">
        <v>751</v>
      </c>
      <c r="F2911" s="1" t="s">
        <v>16</v>
      </c>
      <c r="G2911" s="2" t="s">
        <v>3</v>
      </c>
      <c r="H2911" s="3" t="s">
        <v>84</v>
      </c>
      <c r="I2911" s="3" t="s">
        <v>92</v>
      </c>
      <c r="J2911" s="3" t="s">
        <v>61</v>
      </c>
      <c r="K2911" s="4">
        <v>635.7405</v>
      </c>
      <c r="L2911" s="6">
        <v>125.99</v>
      </c>
    </row>
    <row r="2912" spans="1:12" x14ac:dyDescent="0.25">
      <c r="A2912" s="1">
        <v>2911</v>
      </c>
      <c r="B2912" s="4">
        <v>20995</v>
      </c>
      <c r="C2912" s="5">
        <v>40995</v>
      </c>
      <c r="D2912" s="3" t="s">
        <v>4</v>
      </c>
      <c r="E2912" s="1" t="s">
        <v>320</v>
      </c>
      <c r="F2912" s="1" t="s">
        <v>24</v>
      </c>
      <c r="G2912" s="2" t="s">
        <v>2</v>
      </c>
      <c r="H2912" s="3" t="s">
        <v>100</v>
      </c>
      <c r="I2912" s="3" t="s">
        <v>91</v>
      </c>
      <c r="J2912" s="3" t="s">
        <v>68</v>
      </c>
      <c r="K2912" s="4">
        <v>5817.88</v>
      </c>
      <c r="L2912" s="6">
        <v>150.97999999999999</v>
      </c>
    </row>
    <row r="2913" spans="1:12" x14ac:dyDescent="0.25">
      <c r="A2913" s="1">
        <v>2912</v>
      </c>
      <c r="B2913" s="4">
        <v>21024</v>
      </c>
      <c r="C2913" s="5">
        <v>40540</v>
      </c>
      <c r="D2913" s="3" t="s">
        <v>4</v>
      </c>
      <c r="E2913" s="1" t="s">
        <v>272</v>
      </c>
      <c r="F2913" s="1" t="s">
        <v>28</v>
      </c>
      <c r="G2913" s="2" t="s">
        <v>6</v>
      </c>
      <c r="H2913" s="3" t="s">
        <v>88</v>
      </c>
      <c r="I2913" s="3" t="s">
        <v>85</v>
      </c>
      <c r="J2913" s="3" t="s">
        <v>63</v>
      </c>
      <c r="K2913" s="4">
        <v>195.49</v>
      </c>
      <c r="L2913" s="6">
        <v>5.84</v>
      </c>
    </row>
    <row r="2914" spans="1:12" x14ac:dyDescent="0.25">
      <c r="A2914" s="1">
        <v>2913</v>
      </c>
      <c r="B2914" s="4">
        <v>21025</v>
      </c>
      <c r="C2914" s="5">
        <v>40432</v>
      </c>
      <c r="D2914" s="3" t="s">
        <v>86</v>
      </c>
      <c r="E2914" s="1" t="s">
        <v>809</v>
      </c>
      <c r="F2914" s="1" t="s">
        <v>13</v>
      </c>
      <c r="G2914" s="2" t="s">
        <v>6</v>
      </c>
      <c r="H2914" s="3" t="s">
        <v>84</v>
      </c>
      <c r="I2914" s="3" t="s">
        <v>92</v>
      </c>
      <c r="J2914" s="3" t="s">
        <v>62</v>
      </c>
      <c r="K2914" s="4">
        <v>553.02</v>
      </c>
      <c r="L2914" s="6">
        <v>15.98</v>
      </c>
    </row>
    <row r="2915" spans="1:12" x14ac:dyDescent="0.25">
      <c r="A2915" s="1">
        <v>2914</v>
      </c>
      <c r="B2915" s="4">
        <v>21028</v>
      </c>
      <c r="C2915" s="5">
        <v>41067</v>
      </c>
      <c r="D2915" s="3" t="s">
        <v>95</v>
      </c>
      <c r="E2915" s="1" t="s">
        <v>1041</v>
      </c>
      <c r="F2915" s="1" t="s">
        <v>13</v>
      </c>
      <c r="G2915" s="2" t="s">
        <v>6</v>
      </c>
      <c r="H2915" s="3" t="s">
        <v>100</v>
      </c>
      <c r="I2915" s="3" t="s">
        <v>85</v>
      </c>
      <c r="J2915" s="3" t="s">
        <v>71</v>
      </c>
      <c r="K2915" s="4">
        <v>437.86</v>
      </c>
      <c r="L2915" s="6">
        <v>11.58</v>
      </c>
    </row>
    <row r="2916" spans="1:12" x14ac:dyDescent="0.25">
      <c r="A2916" s="1">
        <v>2915</v>
      </c>
      <c r="B2916" s="4">
        <v>21057</v>
      </c>
      <c r="C2916" s="5">
        <v>40577</v>
      </c>
      <c r="D2916" s="3" t="s">
        <v>82</v>
      </c>
      <c r="E2916" s="1" t="s">
        <v>1046</v>
      </c>
      <c r="F2916" s="1" t="s">
        <v>15</v>
      </c>
      <c r="G2916" s="2" t="s">
        <v>1</v>
      </c>
      <c r="H2916" s="3" t="s">
        <v>88</v>
      </c>
      <c r="I2916" s="3" t="s">
        <v>92</v>
      </c>
      <c r="J2916" s="3" t="s">
        <v>62</v>
      </c>
      <c r="K2916" s="4">
        <v>1103.67</v>
      </c>
      <c r="L2916" s="6">
        <v>39.479999999999997</v>
      </c>
    </row>
    <row r="2917" spans="1:12" x14ac:dyDescent="0.25">
      <c r="A2917" s="1">
        <v>2916</v>
      </c>
      <c r="B2917" s="4">
        <v>21063</v>
      </c>
      <c r="C2917" s="5">
        <v>40648</v>
      </c>
      <c r="D2917" s="3" t="s">
        <v>82</v>
      </c>
      <c r="E2917" s="1" t="s">
        <v>1045</v>
      </c>
      <c r="F2917" s="1" t="s">
        <v>23</v>
      </c>
      <c r="G2917" s="2" t="s">
        <v>3</v>
      </c>
      <c r="H2917" s="3" t="s">
        <v>100</v>
      </c>
      <c r="I2917" s="3" t="s">
        <v>85</v>
      </c>
      <c r="J2917" s="3" t="s">
        <v>63</v>
      </c>
      <c r="K2917" s="4">
        <v>377.02</v>
      </c>
      <c r="L2917" s="6">
        <v>7.08</v>
      </c>
    </row>
    <row r="2918" spans="1:12" x14ac:dyDescent="0.25">
      <c r="A2918" s="1">
        <v>2917</v>
      </c>
      <c r="B2918" s="4">
        <v>21063</v>
      </c>
      <c r="C2918" s="5">
        <v>40648</v>
      </c>
      <c r="D2918" s="3" t="s">
        <v>82</v>
      </c>
      <c r="E2918" s="1" t="s">
        <v>1045</v>
      </c>
      <c r="F2918" s="1" t="s">
        <v>23</v>
      </c>
      <c r="G2918" s="2" t="s">
        <v>3</v>
      </c>
      <c r="H2918" s="3" t="s">
        <v>100</v>
      </c>
      <c r="I2918" s="3" t="s">
        <v>91</v>
      </c>
      <c r="J2918" s="3" t="s">
        <v>60</v>
      </c>
      <c r="K2918" s="4">
        <v>7339.24</v>
      </c>
      <c r="L2918" s="6">
        <v>145.97999999999999</v>
      </c>
    </row>
    <row r="2919" spans="1:12" x14ac:dyDescent="0.25">
      <c r="A2919" s="1">
        <v>2918</v>
      </c>
      <c r="B2919" s="4">
        <v>21089</v>
      </c>
      <c r="C2919" s="5">
        <v>40752</v>
      </c>
      <c r="D2919" s="3" t="s">
        <v>4</v>
      </c>
      <c r="E2919" s="1" t="s">
        <v>110</v>
      </c>
      <c r="F2919" s="1" t="s">
        <v>34</v>
      </c>
      <c r="G2919" s="2" t="s">
        <v>1</v>
      </c>
      <c r="H2919" s="3" t="s">
        <v>88</v>
      </c>
      <c r="I2919" s="3" t="s">
        <v>91</v>
      </c>
      <c r="J2919" s="3" t="s">
        <v>72</v>
      </c>
      <c r="K2919" s="4">
        <v>559.75</v>
      </c>
      <c r="L2919" s="6">
        <v>122.99</v>
      </c>
    </row>
    <row r="2920" spans="1:12" x14ac:dyDescent="0.25">
      <c r="A2920" s="1">
        <v>2919</v>
      </c>
      <c r="B2920" s="4">
        <v>21091</v>
      </c>
      <c r="C2920" s="5">
        <v>40159</v>
      </c>
      <c r="D2920" s="3" t="s">
        <v>89</v>
      </c>
      <c r="E2920" s="1" t="s">
        <v>913</v>
      </c>
      <c r="F2920" s="1" t="s">
        <v>46</v>
      </c>
      <c r="G2920" s="2" t="s">
        <v>6</v>
      </c>
      <c r="H2920" s="3" t="s">
        <v>88</v>
      </c>
      <c r="I2920" s="3" t="s">
        <v>85</v>
      </c>
      <c r="J2920" s="3" t="s">
        <v>69</v>
      </c>
      <c r="K2920" s="4">
        <v>270.73</v>
      </c>
      <c r="L2920" s="6">
        <v>8.8800000000000008</v>
      </c>
    </row>
    <row r="2921" spans="1:12" x14ac:dyDescent="0.25">
      <c r="A2921" s="1">
        <v>2920</v>
      </c>
      <c r="B2921" s="4">
        <v>21121</v>
      </c>
      <c r="C2921" s="5">
        <v>40072</v>
      </c>
      <c r="D2921" s="3" t="s">
        <v>86</v>
      </c>
      <c r="E2921" s="1" t="s">
        <v>122</v>
      </c>
      <c r="F2921" s="1" t="s">
        <v>44</v>
      </c>
      <c r="G2921" s="2" t="s">
        <v>3</v>
      </c>
      <c r="H2921" s="3" t="s">
        <v>88</v>
      </c>
      <c r="I2921" s="3" t="s">
        <v>85</v>
      </c>
      <c r="J2921" s="3" t="s">
        <v>69</v>
      </c>
      <c r="K2921" s="4">
        <v>20175.48</v>
      </c>
      <c r="L2921" s="6">
        <v>387.99</v>
      </c>
    </row>
    <row r="2922" spans="1:12" x14ac:dyDescent="0.25">
      <c r="A2922" s="1">
        <v>2921</v>
      </c>
      <c r="B2922" s="4">
        <v>21125</v>
      </c>
      <c r="C2922" s="5">
        <v>40600</v>
      </c>
      <c r="D2922" s="3" t="s">
        <v>86</v>
      </c>
      <c r="E2922" s="1" t="s">
        <v>734</v>
      </c>
      <c r="F2922" s="1" t="s">
        <v>13</v>
      </c>
      <c r="G2922" s="2" t="s">
        <v>6</v>
      </c>
      <c r="H2922" s="3" t="s">
        <v>97</v>
      </c>
      <c r="I2922" s="3" t="s">
        <v>85</v>
      </c>
      <c r="J2922" s="3" t="s">
        <v>66</v>
      </c>
      <c r="K2922" s="4">
        <v>155.16999999999999</v>
      </c>
      <c r="L2922" s="6">
        <v>9.27</v>
      </c>
    </row>
    <row r="2923" spans="1:12" x14ac:dyDescent="0.25">
      <c r="A2923" s="1">
        <v>2922</v>
      </c>
      <c r="B2923" s="4">
        <v>21155</v>
      </c>
      <c r="C2923" s="5">
        <v>40579</v>
      </c>
      <c r="D2923" s="3" t="s">
        <v>89</v>
      </c>
      <c r="E2923" s="1" t="s">
        <v>800</v>
      </c>
      <c r="F2923" s="1" t="s">
        <v>42</v>
      </c>
      <c r="G2923" s="2" t="s">
        <v>3</v>
      </c>
      <c r="H2923" s="3" t="s">
        <v>100</v>
      </c>
      <c r="I2923" s="3" t="s">
        <v>85</v>
      </c>
      <c r="J2923" s="3" t="s">
        <v>66</v>
      </c>
      <c r="K2923" s="4">
        <v>81.78</v>
      </c>
      <c r="L2923" s="6">
        <v>19.98</v>
      </c>
    </row>
    <row r="2924" spans="1:12" x14ac:dyDescent="0.25">
      <c r="A2924" s="1">
        <v>2923</v>
      </c>
      <c r="B2924" s="4">
        <v>21159</v>
      </c>
      <c r="C2924" s="5">
        <v>40701</v>
      </c>
      <c r="D2924" s="3" t="s">
        <v>82</v>
      </c>
      <c r="E2924" s="1" t="s">
        <v>1047</v>
      </c>
      <c r="F2924" s="1" t="s">
        <v>24</v>
      </c>
      <c r="G2924" s="2" t="s">
        <v>2</v>
      </c>
      <c r="H2924" s="3" t="s">
        <v>100</v>
      </c>
      <c r="I2924" s="3" t="s">
        <v>85</v>
      </c>
      <c r="J2924" s="3" t="s">
        <v>63</v>
      </c>
      <c r="K2924" s="4">
        <v>20.28</v>
      </c>
      <c r="L2924" s="6">
        <v>2.98</v>
      </c>
    </row>
    <row r="2925" spans="1:12" x14ac:dyDescent="0.25">
      <c r="A2925" s="1">
        <v>2924</v>
      </c>
      <c r="B2925" s="4">
        <v>21188</v>
      </c>
      <c r="C2925" s="5">
        <v>40807</v>
      </c>
      <c r="D2925" s="3" t="s">
        <v>95</v>
      </c>
      <c r="E2925" s="1" t="s">
        <v>430</v>
      </c>
      <c r="F2925" s="1" t="s">
        <v>14</v>
      </c>
      <c r="G2925" s="2" t="s">
        <v>2</v>
      </c>
      <c r="H2925" s="3" t="s">
        <v>84</v>
      </c>
      <c r="I2925" s="3" t="s">
        <v>92</v>
      </c>
      <c r="J2925" s="3" t="s">
        <v>73</v>
      </c>
      <c r="K2925" s="4">
        <v>21046.74</v>
      </c>
      <c r="L2925" s="6">
        <v>699.99</v>
      </c>
    </row>
    <row r="2926" spans="1:12" x14ac:dyDescent="0.25">
      <c r="A2926" s="1">
        <v>2925</v>
      </c>
      <c r="B2926" s="4">
        <v>21190</v>
      </c>
      <c r="C2926" s="5">
        <v>39961</v>
      </c>
      <c r="D2926" s="3" t="s">
        <v>4</v>
      </c>
      <c r="E2926" s="1" t="s">
        <v>214</v>
      </c>
      <c r="F2926" s="1" t="s">
        <v>15</v>
      </c>
      <c r="G2926" s="2" t="s">
        <v>1</v>
      </c>
      <c r="H2926" s="3" t="s">
        <v>84</v>
      </c>
      <c r="I2926" s="3" t="s">
        <v>85</v>
      </c>
      <c r="J2926" s="3" t="s">
        <v>71</v>
      </c>
      <c r="K2926" s="4">
        <v>1062.69</v>
      </c>
      <c r="L2926" s="6">
        <v>35.94</v>
      </c>
    </row>
    <row r="2927" spans="1:12" x14ac:dyDescent="0.25">
      <c r="A2927" s="1">
        <v>2926</v>
      </c>
      <c r="B2927" s="4">
        <v>21191</v>
      </c>
      <c r="C2927" s="5">
        <v>41227</v>
      </c>
      <c r="D2927" s="3" t="s">
        <v>89</v>
      </c>
      <c r="E2927" s="1" t="s">
        <v>957</v>
      </c>
      <c r="F2927" s="1" t="s">
        <v>24</v>
      </c>
      <c r="G2927" s="2" t="s">
        <v>2</v>
      </c>
      <c r="H2927" s="3" t="s">
        <v>97</v>
      </c>
      <c r="I2927" s="3" t="s">
        <v>92</v>
      </c>
      <c r="J2927" s="3" t="s">
        <v>67</v>
      </c>
      <c r="K2927" s="4">
        <v>7235.83</v>
      </c>
      <c r="L2927" s="6">
        <v>140.99</v>
      </c>
    </row>
    <row r="2928" spans="1:12" x14ac:dyDescent="0.25">
      <c r="A2928" s="1">
        <v>2927</v>
      </c>
      <c r="B2928" s="4">
        <v>21220</v>
      </c>
      <c r="C2928" s="5">
        <v>41265</v>
      </c>
      <c r="D2928" s="3" t="s">
        <v>86</v>
      </c>
      <c r="E2928" s="1" t="s">
        <v>507</v>
      </c>
      <c r="F2928" s="1" t="s">
        <v>26</v>
      </c>
      <c r="G2928" s="2" t="s">
        <v>3</v>
      </c>
      <c r="H2928" s="3" t="s">
        <v>97</v>
      </c>
      <c r="I2928" s="3" t="s">
        <v>92</v>
      </c>
      <c r="J2928" s="3" t="s">
        <v>67</v>
      </c>
      <c r="K2928" s="4">
        <v>476.31</v>
      </c>
      <c r="L2928" s="6">
        <v>120.97</v>
      </c>
    </row>
    <row r="2929" spans="1:12" x14ac:dyDescent="0.25">
      <c r="A2929" s="1">
        <v>2928</v>
      </c>
      <c r="B2929" s="4">
        <v>21222</v>
      </c>
      <c r="C2929" s="5">
        <v>39847</v>
      </c>
      <c r="D2929" s="3" t="s">
        <v>86</v>
      </c>
      <c r="E2929" s="1" t="s">
        <v>388</v>
      </c>
      <c r="F2929" s="1" t="s">
        <v>36</v>
      </c>
      <c r="G2929" s="2" t="s">
        <v>2</v>
      </c>
      <c r="H2929" s="3" t="s">
        <v>97</v>
      </c>
      <c r="I2929" s="3" t="s">
        <v>91</v>
      </c>
      <c r="J2929" s="3" t="s">
        <v>59</v>
      </c>
      <c r="K2929" s="4">
        <v>181.39</v>
      </c>
      <c r="L2929" s="6">
        <v>5.08</v>
      </c>
    </row>
    <row r="2930" spans="1:12" x14ac:dyDescent="0.25">
      <c r="A2930" s="1">
        <v>2929</v>
      </c>
      <c r="B2930" s="4">
        <v>21222</v>
      </c>
      <c r="C2930" s="5">
        <v>39847</v>
      </c>
      <c r="D2930" s="3" t="s">
        <v>86</v>
      </c>
      <c r="E2930" s="1" t="s">
        <v>388</v>
      </c>
      <c r="F2930" s="1" t="s">
        <v>36</v>
      </c>
      <c r="G2930" s="2" t="s">
        <v>2</v>
      </c>
      <c r="H2930" s="3" t="s">
        <v>97</v>
      </c>
      <c r="I2930" s="3" t="s">
        <v>92</v>
      </c>
      <c r="J2930" s="3" t="s">
        <v>61</v>
      </c>
      <c r="K2930" s="4">
        <v>846.08150000000001</v>
      </c>
      <c r="L2930" s="6">
        <v>35.99</v>
      </c>
    </row>
    <row r="2931" spans="1:12" x14ac:dyDescent="0.25">
      <c r="A2931" s="1">
        <v>2930</v>
      </c>
      <c r="B2931" s="4">
        <v>21223</v>
      </c>
      <c r="C2931" s="5">
        <v>40983</v>
      </c>
      <c r="D2931" s="3" t="s">
        <v>86</v>
      </c>
      <c r="E2931" s="1" t="s">
        <v>768</v>
      </c>
      <c r="F2931" s="1" t="s">
        <v>38</v>
      </c>
      <c r="G2931" s="2" t="s">
        <v>6</v>
      </c>
      <c r="H2931" s="3" t="s">
        <v>100</v>
      </c>
      <c r="I2931" s="3" t="s">
        <v>91</v>
      </c>
      <c r="J2931" s="3" t="s">
        <v>68</v>
      </c>
      <c r="K2931" s="4">
        <v>317.95</v>
      </c>
      <c r="L2931" s="6">
        <v>100.98</v>
      </c>
    </row>
    <row r="2932" spans="1:12" x14ac:dyDescent="0.25">
      <c r="A2932" s="1">
        <v>2931</v>
      </c>
      <c r="B2932" s="4">
        <v>21223</v>
      </c>
      <c r="C2932" s="5">
        <v>40983</v>
      </c>
      <c r="D2932" s="3" t="s">
        <v>86</v>
      </c>
      <c r="E2932" s="1" t="s">
        <v>768</v>
      </c>
      <c r="F2932" s="1" t="s">
        <v>38</v>
      </c>
      <c r="G2932" s="2" t="s">
        <v>6</v>
      </c>
      <c r="H2932" s="3" t="s">
        <v>100</v>
      </c>
      <c r="I2932" s="3" t="s">
        <v>91</v>
      </c>
      <c r="J2932" s="3" t="s">
        <v>59</v>
      </c>
      <c r="K2932" s="4">
        <v>435.29</v>
      </c>
      <c r="L2932" s="6">
        <v>51.65</v>
      </c>
    </row>
    <row r="2933" spans="1:12" x14ac:dyDescent="0.25">
      <c r="A2933" s="1">
        <v>2932</v>
      </c>
      <c r="B2933" s="4">
        <v>21249</v>
      </c>
      <c r="C2933" s="5">
        <v>40440</v>
      </c>
      <c r="D2933" s="3" t="s">
        <v>82</v>
      </c>
      <c r="E2933" s="1" t="s">
        <v>1048</v>
      </c>
      <c r="F2933" s="1" t="s">
        <v>31</v>
      </c>
      <c r="G2933" s="2" t="s">
        <v>1</v>
      </c>
      <c r="H2933" s="3" t="s">
        <v>84</v>
      </c>
      <c r="I2933" s="3" t="s">
        <v>85</v>
      </c>
      <c r="J2933" s="3" t="s">
        <v>70</v>
      </c>
      <c r="K2933" s="4">
        <v>1082.8</v>
      </c>
      <c r="L2933" s="6">
        <v>48.58</v>
      </c>
    </row>
    <row r="2934" spans="1:12" x14ac:dyDescent="0.25">
      <c r="A2934" s="1">
        <v>2933</v>
      </c>
      <c r="B2934" s="4">
        <v>21249</v>
      </c>
      <c r="C2934" s="5">
        <v>40440</v>
      </c>
      <c r="D2934" s="3" t="s">
        <v>82</v>
      </c>
      <c r="E2934" s="1" t="s">
        <v>1048</v>
      </c>
      <c r="F2934" s="1" t="s">
        <v>31</v>
      </c>
      <c r="G2934" s="2" t="s">
        <v>1</v>
      </c>
      <c r="H2934" s="3" t="s">
        <v>84</v>
      </c>
      <c r="I2934" s="3" t="s">
        <v>92</v>
      </c>
      <c r="J2934" s="3" t="s">
        <v>61</v>
      </c>
      <c r="K2934" s="4">
        <v>1260.2014999999999</v>
      </c>
      <c r="L2934" s="6">
        <v>205.99</v>
      </c>
    </row>
    <row r="2935" spans="1:12" x14ac:dyDescent="0.25">
      <c r="A2935" s="1">
        <v>2934</v>
      </c>
      <c r="B2935" s="4">
        <v>21253</v>
      </c>
      <c r="C2935" s="5">
        <v>41016</v>
      </c>
      <c r="D2935" s="3" t="s">
        <v>4</v>
      </c>
      <c r="E2935" s="1" t="s">
        <v>606</v>
      </c>
      <c r="F2935" s="1" t="s">
        <v>9</v>
      </c>
      <c r="G2935" s="2" t="s">
        <v>2</v>
      </c>
      <c r="H2935" s="3" t="s">
        <v>84</v>
      </c>
      <c r="I2935" s="3" t="s">
        <v>85</v>
      </c>
      <c r="J2935" s="3" t="s">
        <v>71</v>
      </c>
      <c r="K2935" s="4">
        <v>455.08</v>
      </c>
      <c r="L2935" s="6">
        <v>83.93</v>
      </c>
    </row>
    <row r="2936" spans="1:12" x14ac:dyDescent="0.25">
      <c r="A2936" s="1">
        <v>2935</v>
      </c>
      <c r="B2936" s="4">
        <v>21285</v>
      </c>
      <c r="C2936" s="5">
        <v>40362</v>
      </c>
      <c r="D2936" s="3" t="s">
        <v>4</v>
      </c>
      <c r="E2936" s="1" t="s">
        <v>202</v>
      </c>
      <c r="F2936" s="1" t="s">
        <v>8</v>
      </c>
      <c r="G2936" s="2" t="s">
        <v>6</v>
      </c>
      <c r="H2936" s="3" t="s">
        <v>88</v>
      </c>
      <c r="I2936" s="3" t="s">
        <v>85</v>
      </c>
      <c r="J2936" s="3" t="s">
        <v>63</v>
      </c>
      <c r="K2936" s="4">
        <v>54.78</v>
      </c>
      <c r="L2936" s="6">
        <v>1.68</v>
      </c>
    </row>
    <row r="2937" spans="1:12" x14ac:dyDescent="0.25">
      <c r="A2937" s="1">
        <v>2936</v>
      </c>
      <c r="B2937" s="4">
        <v>21285</v>
      </c>
      <c r="C2937" s="5">
        <v>40362</v>
      </c>
      <c r="D2937" s="3" t="s">
        <v>4</v>
      </c>
      <c r="E2937" s="1" t="s">
        <v>202</v>
      </c>
      <c r="F2937" s="1" t="s">
        <v>8</v>
      </c>
      <c r="G2937" s="2" t="s">
        <v>6</v>
      </c>
      <c r="H2937" s="3" t="s">
        <v>88</v>
      </c>
      <c r="I2937" s="3" t="s">
        <v>85</v>
      </c>
      <c r="J2937" s="3" t="s">
        <v>63</v>
      </c>
      <c r="K2937" s="4">
        <v>304.83</v>
      </c>
      <c r="L2937" s="6">
        <v>7.08</v>
      </c>
    </row>
    <row r="2938" spans="1:12" x14ac:dyDescent="0.25">
      <c r="A2938" s="1">
        <v>2937</v>
      </c>
      <c r="B2938" s="4">
        <v>21286</v>
      </c>
      <c r="C2938" s="5">
        <v>39949</v>
      </c>
      <c r="D2938" s="3" t="s">
        <v>95</v>
      </c>
      <c r="E2938" s="1" t="s">
        <v>1049</v>
      </c>
      <c r="F2938" s="1" t="s">
        <v>24</v>
      </c>
      <c r="G2938" s="2" t="s">
        <v>2</v>
      </c>
      <c r="H2938" s="3" t="s">
        <v>84</v>
      </c>
      <c r="I2938" s="3" t="s">
        <v>85</v>
      </c>
      <c r="J2938" s="3" t="s">
        <v>70</v>
      </c>
      <c r="K2938" s="4">
        <v>280.39</v>
      </c>
      <c r="L2938" s="6">
        <v>14.42</v>
      </c>
    </row>
    <row r="2939" spans="1:12" x14ac:dyDescent="0.25">
      <c r="A2939" s="1">
        <v>2938</v>
      </c>
      <c r="B2939" s="4">
        <v>21314</v>
      </c>
      <c r="C2939" s="5">
        <v>40119</v>
      </c>
      <c r="D2939" s="3" t="s">
        <v>82</v>
      </c>
      <c r="E2939" s="1" t="s">
        <v>566</v>
      </c>
      <c r="F2939" s="1" t="s">
        <v>44</v>
      </c>
      <c r="G2939" s="2" t="s">
        <v>3</v>
      </c>
      <c r="H2939" s="3" t="s">
        <v>97</v>
      </c>
      <c r="I2939" s="3" t="s">
        <v>85</v>
      </c>
      <c r="J2939" s="3" t="s">
        <v>69</v>
      </c>
      <c r="K2939" s="4">
        <v>56.22</v>
      </c>
      <c r="L2939" s="6">
        <v>8.6</v>
      </c>
    </row>
    <row r="2940" spans="1:12" x14ac:dyDescent="0.25">
      <c r="A2940" s="1">
        <v>2939</v>
      </c>
      <c r="B2940" s="4">
        <v>21314</v>
      </c>
      <c r="C2940" s="5">
        <v>40119</v>
      </c>
      <c r="D2940" s="3" t="s">
        <v>82</v>
      </c>
      <c r="E2940" s="1" t="s">
        <v>566</v>
      </c>
      <c r="F2940" s="1" t="s">
        <v>44</v>
      </c>
      <c r="G2940" s="2" t="s">
        <v>3</v>
      </c>
      <c r="H2940" s="3" t="s">
        <v>97</v>
      </c>
      <c r="I2940" s="3" t="s">
        <v>85</v>
      </c>
      <c r="J2940" s="3" t="s">
        <v>64</v>
      </c>
      <c r="K2940" s="4">
        <v>107.96</v>
      </c>
      <c r="L2940" s="6">
        <v>3.58</v>
      </c>
    </row>
    <row r="2941" spans="1:12" x14ac:dyDescent="0.25">
      <c r="A2941" s="1">
        <v>2940</v>
      </c>
      <c r="B2941" s="4">
        <v>21314</v>
      </c>
      <c r="C2941" s="5">
        <v>40119</v>
      </c>
      <c r="D2941" s="3" t="s">
        <v>82</v>
      </c>
      <c r="E2941" s="1" t="s">
        <v>566</v>
      </c>
      <c r="F2941" s="1" t="s">
        <v>44</v>
      </c>
      <c r="G2941" s="2" t="s">
        <v>3</v>
      </c>
      <c r="H2941" s="3" t="s">
        <v>97</v>
      </c>
      <c r="I2941" s="3" t="s">
        <v>91</v>
      </c>
      <c r="J2941" s="3" t="s">
        <v>60</v>
      </c>
      <c r="K2941" s="4">
        <v>3169.9920000000002</v>
      </c>
      <c r="L2941" s="6">
        <v>105.49</v>
      </c>
    </row>
    <row r="2942" spans="1:12" x14ac:dyDescent="0.25">
      <c r="A2942" s="1">
        <v>2941</v>
      </c>
      <c r="B2942" s="4">
        <v>21318</v>
      </c>
      <c r="C2942" s="5">
        <v>40363</v>
      </c>
      <c r="D2942" s="3" t="s">
        <v>89</v>
      </c>
      <c r="E2942" s="1" t="s">
        <v>263</v>
      </c>
      <c r="F2942" s="1" t="s">
        <v>14</v>
      </c>
      <c r="G2942" s="2" t="s">
        <v>2</v>
      </c>
      <c r="H2942" s="3" t="s">
        <v>97</v>
      </c>
      <c r="I2942" s="3" t="s">
        <v>85</v>
      </c>
      <c r="J2942" s="3" t="s">
        <v>69</v>
      </c>
      <c r="K2942" s="4">
        <v>1384.34</v>
      </c>
      <c r="L2942" s="6">
        <v>37.700000000000003</v>
      </c>
    </row>
    <row r="2943" spans="1:12" x14ac:dyDescent="0.25">
      <c r="A2943" s="1">
        <v>2942</v>
      </c>
      <c r="B2943" s="4">
        <v>21319</v>
      </c>
      <c r="C2943" s="5">
        <v>40297</v>
      </c>
      <c r="D2943" s="3" t="s">
        <v>4</v>
      </c>
      <c r="E2943" s="1" t="s">
        <v>123</v>
      </c>
      <c r="F2943" s="1" t="s">
        <v>21</v>
      </c>
      <c r="G2943" s="2" t="s">
        <v>1</v>
      </c>
      <c r="H2943" s="3" t="s">
        <v>100</v>
      </c>
      <c r="I2943" s="3" t="s">
        <v>85</v>
      </c>
      <c r="J2943" s="3" t="s">
        <v>57</v>
      </c>
      <c r="K2943" s="4">
        <v>167.53</v>
      </c>
      <c r="L2943" s="6">
        <v>14.98</v>
      </c>
    </row>
    <row r="2944" spans="1:12" x14ac:dyDescent="0.25">
      <c r="A2944" s="1">
        <v>2943</v>
      </c>
      <c r="B2944" s="4">
        <v>21319</v>
      </c>
      <c r="C2944" s="5">
        <v>40297</v>
      </c>
      <c r="D2944" s="3" t="s">
        <v>4</v>
      </c>
      <c r="E2944" s="1" t="s">
        <v>1050</v>
      </c>
      <c r="F2944" s="1" t="s">
        <v>39</v>
      </c>
      <c r="G2944" s="2" t="s">
        <v>1</v>
      </c>
      <c r="H2944" s="3" t="s">
        <v>100</v>
      </c>
      <c r="I2944" s="3" t="s">
        <v>92</v>
      </c>
      <c r="J2944" s="3" t="s">
        <v>73</v>
      </c>
      <c r="K2944" s="4">
        <v>2361.1</v>
      </c>
      <c r="L2944" s="6">
        <v>449.99</v>
      </c>
    </row>
    <row r="2945" spans="1:12" x14ac:dyDescent="0.25">
      <c r="A2945" s="1">
        <v>2944</v>
      </c>
      <c r="B2945" s="4">
        <v>21319</v>
      </c>
      <c r="C2945" s="5">
        <v>40297</v>
      </c>
      <c r="D2945" s="3" t="s">
        <v>4</v>
      </c>
      <c r="E2945" s="1" t="s">
        <v>295</v>
      </c>
      <c r="F2945" s="1" t="s">
        <v>21</v>
      </c>
      <c r="G2945" s="2" t="s">
        <v>1</v>
      </c>
      <c r="H2945" s="3" t="s">
        <v>100</v>
      </c>
      <c r="I2945" s="3" t="s">
        <v>91</v>
      </c>
      <c r="J2945" s="3" t="s">
        <v>59</v>
      </c>
      <c r="K2945" s="4">
        <v>1060.3399999999999</v>
      </c>
      <c r="L2945" s="6">
        <v>23.99</v>
      </c>
    </row>
    <row r="2946" spans="1:12" x14ac:dyDescent="0.25">
      <c r="A2946" s="1">
        <v>2945</v>
      </c>
      <c r="B2946" s="4">
        <v>21344</v>
      </c>
      <c r="C2946" s="5">
        <v>41252</v>
      </c>
      <c r="D2946" s="3" t="s">
        <v>82</v>
      </c>
      <c r="E2946" s="1" t="s">
        <v>674</v>
      </c>
      <c r="F2946" s="1" t="s">
        <v>20</v>
      </c>
      <c r="G2946" s="2" t="s">
        <v>1</v>
      </c>
      <c r="H2946" s="3" t="s">
        <v>88</v>
      </c>
      <c r="I2946" s="3" t="s">
        <v>92</v>
      </c>
      <c r="J2946" s="3" t="s">
        <v>62</v>
      </c>
      <c r="K2946" s="4">
        <v>587.20000000000005</v>
      </c>
      <c r="L2946" s="6">
        <v>20.89</v>
      </c>
    </row>
    <row r="2947" spans="1:12" x14ac:dyDescent="0.25">
      <c r="A2947" s="1">
        <v>2946</v>
      </c>
      <c r="B2947" s="4">
        <v>21344</v>
      </c>
      <c r="C2947" s="5">
        <v>41252</v>
      </c>
      <c r="D2947" s="3" t="s">
        <v>82</v>
      </c>
      <c r="E2947" s="1" t="s">
        <v>1051</v>
      </c>
      <c r="F2947" s="1" t="s">
        <v>20</v>
      </c>
      <c r="G2947" s="2" t="s">
        <v>1</v>
      </c>
      <c r="H2947" s="3" t="s">
        <v>88</v>
      </c>
      <c r="I2947" s="3" t="s">
        <v>85</v>
      </c>
      <c r="J2947" s="3" t="s">
        <v>65</v>
      </c>
      <c r="K2947" s="4">
        <v>110.79</v>
      </c>
      <c r="L2947" s="6">
        <v>2.89</v>
      </c>
    </row>
    <row r="2948" spans="1:12" x14ac:dyDescent="0.25">
      <c r="A2948" s="1">
        <v>2947</v>
      </c>
      <c r="B2948" s="4">
        <v>21344</v>
      </c>
      <c r="C2948" s="5">
        <v>41252</v>
      </c>
      <c r="D2948" s="3" t="s">
        <v>82</v>
      </c>
      <c r="E2948" s="1" t="s">
        <v>1052</v>
      </c>
      <c r="F2948" s="1" t="s">
        <v>39</v>
      </c>
      <c r="G2948" s="2" t="s">
        <v>1</v>
      </c>
      <c r="H2948" s="3" t="s">
        <v>88</v>
      </c>
      <c r="I2948" s="3" t="s">
        <v>91</v>
      </c>
      <c r="J2948" s="3" t="s">
        <v>59</v>
      </c>
      <c r="K2948" s="4">
        <v>2011.46</v>
      </c>
      <c r="L2948" s="6">
        <v>41.32</v>
      </c>
    </row>
    <row r="2949" spans="1:12" x14ac:dyDescent="0.25">
      <c r="A2949" s="1">
        <v>2948</v>
      </c>
      <c r="B2949" s="4">
        <v>21346</v>
      </c>
      <c r="C2949" s="5">
        <v>40701</v>
      </c>
      <c r="D2949" s="3" t="s">
        <v>89</v>
      </c>
      <c r="E2949" s="1" t="s">
        <v>1047</v>
      </c>
      <c r="F2949" s="1" t="s">
        <v>24</v>
      </c>
      <c r="G2949" s="2" t="s">
        <v>2</v>
      </c>
      <c r="H2949" s="3" t="s">
        <v>100</v>
      </c>
      <c r="I2949" s="3" t="s">
        <v>85</v>
      </c>
      <c r="J2949" s="3" t="s">
        <v>66</v>
      </c>
      <c r="K2949" s="4">
        <v>400.49</v>
      </c>
      <c r="L2949" s="6">
        <v>9.06</v>
      </c>
    </row>
    <row r="2950" spans="1:12" x14ac:dyDescent="0.25">
      <c r="A2950" s="1">
        <v>2949</v>
      </c>
      <c r="B2950" s="4">
        <v>21350</v>
      </c>
      <c r="C2950" s="5">
        <v>40598</v>
      </c>
      <c r="D2950" s="3" t="s">
        <v>4</v>
      </c>
      <c r="E2950" s="1" t="s">
        <v>1053</v>
      </c>
      <c r="F2950" s="1" t="s">
        <v>30</v>
      </c>
      <c r="G2950" s="2" t="s">
        <v>6</v>
      </c>
      <c r="H2950" s="3" t="s">
        <v>88</v>
      </c>
      <c r="I2950" s="3" t="s">
        <v>85</v>
      </c>
      <c r="J2950" s="3" t="s">
        <v>66</v>
      </c>
      <c r="K2950" s="4">
        <v>278.94</v>
      </c>
      <c r="L2950" s="6">
        <v>9.06</v>
      </c>
    </row>
    <row r="2951" spans="1:12" x14ac:dyDescent="0.25">
      <c r="A2951" s="1">
        <v>2950</v>
      </c>
      <c r="B2951" s="4">
        <v>21378</v>
      </c>
      <c r="C2951" s="5">
        <v>40762</v>
      </c>
      <c r="D2951" s="3" t="s">
        <v>4</v>
      </c>
      <c r="E2951" s="1" t="s">
        <v>1054</v>
      </c>
      <c r="F2951" s="1" t="s">
        <v>38</v>
      </c>
      <c r="G2951" s="2" t="s">
        <v>6</v>
      </c>
      <c r="H2951" s="3" t="s">
        <v>88</v>
      </c>
      <c r="I2951" s="3" t="s">
        <v>85</v>
      </c>
      <c r="J2951" s="3" t="s">
        <v>69</v>
      </c>
      <c r="K2951" s="4">
        <v>937.04</v>
      </c>
      <c r="L2951" s="6">
        <v>28.53</v>
      </c>
    </row>
    <row r="2952" spans="1:12" x14ac:dyDescent="0.25">
      <c r="A2952" s="1">
        <v>2951</v>
      </c>
      <c r="B2952" s="4">
        <v>21378</v>
      </c>
      <c r="C2952" s="5">
        <v>40762</v>
      </c>
      <c r="D2952" s="3" t="s">
        <v>4</v>
      </c>
      <c r="E2952" s="1" t="s">
        <v>1054</v>
      </c>
      <c r="F2952" s="1" t="s">
        <v>38</v>
      </c>
      <c r="G2952" s="2" t="s">
        <v>6</v>
      </c>
      <c r="H2952" s="3" t="s">
        <v>88</v>
      </c>
      <c r="I2952" s="3" t="s">
        <v>92</v>
      </c>
      <c r="J2952" s="3" t="s">
        <v>62</v>
      </c>
      <c r="K2952" s="4">
        <v>1616.64</v>
      </c>
      <c r="L2952" s="6">
        <v>99.99</v>
      </c>
    </row>
    <row r="2953" spans="1:12" x14ac:dyDescent="0.25">
      <c r="A2953" s="1">
        <v>2952</v>
      </c>
      <c r="B2953" s="4">
        <v>21379</v>
      </c>
      <c r="C2953" s="5">
        <v>40557</v>
      </c>
      <c r="D2953" s="3" t="s">
        <v>89</v>
      </c>
      <c r="E2953" s="1" t="s">
        <v>1055</v>
      </c>
      <c r="F2953" s="1" t="s">
        <v>25</v>
      </c>
      <c r="G2953" s="2" t="s">
        <v>6</v>
      </c>
      <c r="H2953" s="3" t="s">
        <v>88</v>
      </c>
      <c r="I2953" s="3" t="s">
        <v>91</v>
      </c>
      <c r="J2953" s="3" t="s">
        <v>72</v>
      </c>
      <c r="K2953" s="4">
        <v>5428.49</v>
      </c>
      <c r="L2953" s="6">
        <v>150.88999999999999</v>
      </c>
    </row>
    <row r="2954" spans="1:12" x14ac:dyDescent="0.25">
      <c r="A2954" s="1">
        <v>2953</v>
      </c>
      <c r="B2954" s="4">
        <v>21382</v>
      </c>
      <c r="C2954" s="5">
        <v>40920</v>
      </c>
      <c r="D2954" s="3" t="s">
        <v>95</v>
      </c>
      <c r="E2954" s="1" t="s">
        <v>700</v>
      </c>
      <c r="F2954" s="1" t="s">
        <v>45</v>
      </c>
      <c r="G2954" s="2" t="s">
        <v>3</v>
      </c>
      <c r="H2954" s="3" t="s">
        <v>88</v>
      </c>
      <c r="I2954" s="3" t="s">
        <v>91</v>
      </c>
      <c r="J2954" s="3" t="s">
        <v>72</v>
      </c>
      <c r="K2954" s="4">
        <v>6435.87</v>
      </c>
      <c r="L2954" s="6">
        <v>300.98</v>
      </c>
    </row>
    <row r="2955" spans="1:12" x14ac:dyDescent="0.25">
      <c r="A2955" s="1">
        <v>2954</v>
      </c>
      <c r="B2955" s="4">
        <v>21382</v>
      </c>
      <c r="C2955" s="5">
        <v>40920</v>
      </c>
      <c r="D2955" s="3" t="s">
        <v>95</v>
      </c>
      <c r="E2955" s="1" t="s">
        <v>700</v>
      </c>
      <c r="F2955" s="1" t="s">
        <v>45</v>
      </c>
      <c r="G2955" s="2" t="s">
        <v>3</v>
      </c>
      <c r="H2955" s="3" t="s">
        <v>88</v>
      </c>
      <c r="I2955" s="3" t="s">
        <v>92</v>
      </c>
      <c r="J2955" s="3" t="s">
        <v>62</v>
      </c>
      <c r="K2955" s="4">
        <v>312.02999999999997</v>
      </c>
      <c r="L2955" s="6">
        <v>29.99</v>
      </c>
    </row>
    <row r="2956" spans="1:12" x14ac:dyDescent="0.25">
      <c r="A2956" s="1">
        <v>2955</v>
      </c>
      <c r="B2956" s="4">
        <v>21382</v>
      </c>
      <c r="C2956" s="5">
        <v>40920</v>
      </c>
      <c r="D2956" s="3" t="s">
        <v>95</v>
      </c>
      <c r="E2956" s="1" t="s">
        <v>394</v>
      </c>
      <c r="F2956" s="1" t="s">
        <v>13</v>
      </c>
      <c r="G2956" s="2" t="s">
        <v>6</v>
      </c>
      <c r="H2956" s="3" t="s">
        <v>88</v>
      </c>
      <c r="I2956" s="3" t="s">
        <v>85</v>
      </c>
      <c r="J2956" s="3" t="s">
        <v>66</v>
      </c>
      <c r="K2956" s="4">
        <v>145.93</v>
      </c>
      <c r="L2956" s="6">
        <v>4.9800000000000004</v>
      </c>
    </row>
    <row r="2957" spans="1:12" x14ac:dyDescent="0.25">
      <c r="A2957" s="1">
        <v>2956</v>
      </c>
      <c r="B2957" s="4">
        <v>21383</v>
      </c>
      <c r="C2957" s="5">
        <v>39843</v>
      </c>
      <c r="D2957" s="3" t="s">
        <v>82</v>
      </c>
      <c r="E2957" s="1" t="s">
        <v>1056</v>
      </c>
      <c r="F2957" s="1" t="s">
        <v>8</v>
      </c>
      <c r="G2957" s="2" t="s">
        <v>6</v>
      </c>
      <c r="H2957" s="3" t="s">
        <v>100</v>
      </c>
      <c r="I2957" s="3" t="s">
        <v>92</v>
      </c>
      <c r="J2957" s="3" t="s">
        <v>67</v>
      </c>
      <c r="K2957" s="4">
        <v>16066.85</v>
      </c>
      <c r="L2957" s="6">
        <v>574.74</v>
      </c>
    </row>
    <row r="2958" spans="1:12" x14ac:dyDescent="0.25">
      <c r="A2958" s="1">
        <v>2957</v>
      </c>
      <c r="B2958" s="4">
        <v>21410</v>
      </c>
      <c r="C2958" s="5">
        <v>41030</v>
      </c>
      <c r="D2958" s="3" t="s">
        <v>95</v>
      </c>
      <c r="E2958" s="1" t="s">
        <v>569</v>
      </c>
      <c r="F2958" s="1" t="s">
        <v>55</v>
      </c>
      <c r="G2958" s="2" t="s">
        <v>2</v>
      </c>
      <c r="H2958" s="3" t="s">
        <v>88</v>
      </c>
      <c r="I2958" s="3" t="s">
        <v>85</v>
      </c>
      <c r="J2958" s="3" t="s">
        <v>70</v>
      </c>
      <c r="K2958" s="4">
        <v>2101.59</v>
      </c>
      <c r="L2958" s="6">
        <v>123.38</v>
      </c>
    </row>
    <row r="2959" spans="1:12" x14ac:dyDescent="0.25">
      <c r="A2959" s="1">
        <v>2958</v>
      </c>
      <c r="B2959" s="4">
        <v>21412</v>
      </c>
      <c r="C2959" s="5">
        <v>40737</v>
      </c>
      <c r="D2959" s="3" t="s">
        <v>86</v>
      </c>
      <c r="E2959" s="1" t="s">
        <v>982</v>
      </c>
      <c r="F2959" s="1" t="s">
        <v>23</v>
      </c>
      <c r="G2959" s="2" t="s">
        <v>3</v>
      </c>
      <c r="H2959" s="3" t="s">
        <v>97</v>
      </c>
      <c r="I2959" s="3" t="s">
        <v>85</v>
      </c>
      <c r="J2959" s="3" t="s">
        <v>69</v>
      </c>
      <c r="K2959" s="4">
        <v>137.07</v>
      </c>
      <c r="L2959" s="6">
        <v>3.52</v>
      </c>
    </row>
    <row r="2960" spans="1:12" x14ac:dyDescent="0.25">
      <c r="A2960" s="1">
        <v>2959</v>
      </c>
      <c r="B2960" s="4">
        <v>21412</v>
      </c>
      <c r="C2960" s="5">
        <v>40737</v>
      </c>
      <c r="D2960" s="3" t="s">
        <v>86</v>
      </c>
      <c r="E2960" s="1" t="s">
        <v>982</v>
      </c>
      <c r="F2960" s="1" t="s">
        <v>23</v>
      </c>
      <c r="G2960" s="2" t="s">
        <v>3</v>
      </c>
      <c r="H2960" s="3" t="s">
        <v>97</v>
      </c>
      <c r="I2960" s="3" t="s">
        <v>85</v>
      </c>
      <c r="J2960" s="3" t="s">
        <v>66</v>
      </c>
      <c r="K2960" s="4">
        <v>203.99</v>
      </c>
      <c r="L2960" s="6">
        <v>7.28</v>
      </c>
    </row>
    <row r="2961" spans="1:12" x14ac:dyDescent="0.25">
      <c r="A2961" s="1">
        <v>2960</v>
      </c>
      <c r="B2961" s="4">
        <v>21414</v>
      </c>
      <c r="C2961" s="5">
        <v>40667</v>
      </c>
      <c r="D2961" s="3" t="s">
        <v>95</v>
      </c>
      <c r="E2961" s="1" t="s">
        <v>1057</v>
      </c>
      <c r="F2961" s="1" t="s">
        <v>22</v>
      </c>
      <c r="G2961" s="2" t="s">
        <v>6</v>
      </c>
      <c r="H2961" s="3" t="s">
        <v>100</v>
      </c>
      <c r="I2961" s="3" t="s">
        <v>85</v>
      </c>
      <c r="J2961" s="3" t="s">
        <v>66</v>
      </c>
      <c r="K2961" s="4">
        <v>117.91</v>
      </c>
      <c r="L2961" s="6">
        <v>3.38</v>
      </c>
    </row>
    <row r="2962" spans="1:12" x14ac:dyDescent="0.25">
      <c r="A2962" s="1">
        <v>2961</v>
      </c>
      <c r="B2962" s="4">
        <v>21414</v>
      </c>
      <c r="C2962" s="5">
        <v>40667</v>
      </c>
      <c r="D2962" s="3" t="s">
        <v>95</v>
      </c>
      <c r="E2962" s="1" t="s">
        <v>1057</v>
      </c>
      <c r="F2962" s="1" t="s">
        <v>22</v>
      </c>
      <c r="G2962" s="2" t="s">
        <v>6</v>
      </c>
      <c r="H2962" s="3" t="s">
        <v>100</v>
      </c>
      <c r="I2962" s="3" t="s">
        <v>85</v>
      </c>
      <c r="J2962" s="3" t="s">
        <v>57</v>
      </c>
      <c r="K2962" s="4">
        <v>3644.6</v>
      </c>
      <c r="L2962" s="6">
        <v>80.98</v>
      </c>
    </row>
    <row r="2963" spans="1:12" x14ac:dyDescent="0.25">
      <c r="A2963" s="1">
        <v>2962</v>
      </c>
      <c r="B2963" s="4">
        <v>21414</v>
      </c>
      <c r="C2963" s="5">
        <v>40667</v>
      </c>
      <c r="D2963" s="3" t="s">
        <v>95</v>
      </c>
      <c r="E2963" s="1" t="s">
        <v>1057</v>
      </c>
      <c r="F2963" s="1" t="s">
        <v>22</v>
      </c>
      <c r="G2963" s="2" t="s">
        <v>6</v>
      </c>
      <c r="H2963" s="3" t="s">
        <v>100</v>
      </c>
      <c r="I2963" s="3" t="s">
        <v>92</v>
      </c>
      <c r="J2963" s="3" t="s">
        <v>61</v>
      </c>
      <c r="K2963" s="4">
        <v>3491.6129999999998</v>
      </c>
      <c r="L2963" s="6">
        <v>125.99</v>
      </c>
    </row>
    <row r="2964" spans="1:12" x14ac:dyDescent="0.25">
      <c r="A2964" s="1">
        <v>2963</v>
      </c>
      <c r="B2964" s="4">
        <v>21414</v>
      </c>
      <c r="C2964" s="5">
        <v>40667</v>
      </c>
      <c r="D2964" s="3" t="s">
        <v>95</v>
      </c>
      <c r="E2964" s="1" t="s">
        <v>874</v>
      </c>
      <c r="F2964" s="1" t="s">
        <v>35</v>
      </c>
      <c r="G2964" s="2" t="s">
        <v>1</v>
      </c>
      <c r="H2964" s="3" t="s">
        <v>100</v>
      </c>
      <c r="I2964" s="3" t="s">
        <v>85</v>
      </c>
      <c r="J2964" s="3" t="s">
        <v>58</v>
      </c>
      <c r="K2964" s="4">
        <v>103.6</v>
      </c>
      <c r="L2964" s="6">
        <v>2.52</v>
      </c>
    </row>
    <row r="2965" spans="1:12" x14ac:dyDescent="0.25">
      <c r="A2965" s="1">
        <v>2964</v>
      </c>
      <c r="B2965" s="4">
        <v>21442</v>
      </c>
      <c r="C2965" s="5">
        <v>40172</v>
      </c>
      <c r="D2965" s="3" t="s">
        <v>82</v>
      </c>
      <c r="E2965" s="1" t="s">
        <v>488</v>
      </c>
      <c r="F2965" s="1" t="s">
        <v>23</v>
      </c>
      <c r="G2965" s="2" t="s">
        <v>3</v>
      </c>
      <c r="H2965" s="3" t="s">
        <v>100</v>
      </c>
      <c r="I2965" s="3" t="s">
        <v>91</v>
      </c>
      <c r="J2965" s="3" t="s">
        <v>68</v>
      </c>
      <c r="K2965" s="4">
        <v>2962.96</v>
      </c>
      <c r="L2965" s="6">
        <v>58.14</v>
      </c>
    </row>
    <row r="2966" spans="1:12" x14ac:dyDescent="0.25">
      <c r="A2966" s="1">
        <v>2965</v>
      </c>
      <c r="B2966" s="4">
        <v>21442</v>
      </c>
      <c r="C2966" s="5">
        <v>40172</v>
      </c>
      <c r="D2966" s="3" t="s">
        <v>82</v>
      </c>
      <c r="E2966" s="1" t="s">
        <v>488</v>
      </c>
      <c r="F2966" s="1" t="s">
        <v>23</v>
      </c>
      <c r="G2966" s="2" t="s">
        <v>3</v>
      </c>
      <c r="H2966" s="3" t="s">
        <v>100</v>
      </c>
      <c r="I2966" s="3" t="s">
        <v>85</v>
      </c>
      <c r="J2966" s="3" t="s">
        <v>71</v>
      </c>
      <c r="K2966" s="4">
        <v>782.93</v>
      </c>
      <c r="L2966" s="6">
        <v>15.57</v>
      </c>
    </row>
    <row r="2967" spans="1:12" x14ac:dyDescent="0.25">
      <c r="A2967" s="1">
        <v>2966</v>
      </c>
      <c r="B2967" s="4">
        <v>21444</v>
      </c>
      <c r="C2967" s="5">
        <v>40648</v>
      </c>
      <c r="D2967" s="3" t="s">
        <v>4</v>
      </c>
      <c r="E2967" s="1" t="s">
        <v>612</v>
      </c>
      <c r="F2967" s="1" t="s">
        <v>23</v>
      </c>
      <c r="G2967" s="2" t="s">
        <v>3</v>
      </c>
      <c r="H2967" s="3" t="s">
        <v>88</v>
      </c>
      <c r="I2967" s="3" t="s">
        <v>85</v>
      </c>
      <c r="J2967" s="3" t="s">
        <v>63</v>
      </c>
      <c r="K2967" s="4">
        <v>34.159999999999997</v>
      </c>
      <c r="L2967" s="6">
        <v>2.1</v>
      </c>
    </row>
    <row r="2968" spans="1:12" x14ac:dyDescent="0.25">
      <c r="A2968" s="1">
        <v>2967</v>
      </c>
      <c r="B2968" s="4">
        <v>21445</v>
      </c>
      <c r="C2968" s="5">
        <v>40134</v>
      </c>
      <c r="D2968" s="3" t="s">
        <v>82</v>
      </c>
      <c r="E2968" s="1" t="s">
        <v>955</v>
      </c>
      <c r="F2968" s="1" t="s">
        <v>35</v>
      </c>
      <c r="G2968" s="2" t="s">
        <v>1</v>
      </c>
      <c r="H2968" s="3" t="s">
        <v>84</v>
      </c>
      <c r="I2968" s="3" t="s">
        <v>85</v>
      </c>
      <c r="J2968" s="3" t="s">
        <v>70</v>
      </c>
      <c r="K2968" s="4">
        <v>75.150000000000006</v>
      </c>
      <c r="L2968" s="6">
        <v>4.0599999999999996</v>
      </c>
    </row>
    <row r="2969" spans="1:12" x14ac:dyDescent="0.25">
      <c r="A2969" s="1">
        <v>2968</v>
      </c>
      <c r="B2969" s="4">
        <v>21445</v>
      </c>
      <c r="C2969" s="5">
        <v>40134</v>
      </c>
      <c r="D2969" s="3" t="s">
        <v>82</v>
      </c>
      <c r="E2969" s="1" t="s">
        <v>955</v>
      </c>
      <c r="F2969" s="1" t="s">
        <v>35</v>
      </c>
      <c r="G2969" s="2" t="s">
        <v>1</v>
      </c>
      <c r="H2969" s="3" t="s">
        <v>84</v>
      </c>
      <c r="I2969" s="3" t="s">
        <v>92</v>
      </c>
      <c r="J2969" s="3" t="s">
        <v>67</v>
      </c>
      <c r="K2969" s="4">
        <v>400.45</v>
      </c>
      <c r="L2969" s="6">
        <v>9.49</v>
      </c>
    </row>
    <row r="2970" spans="1:12" x14ac:dyDescent="0.25">
      <c r="A2970" s="1">
        <v>2969</v>
      </c>
      <c r="B2970" s="4">
        <v>21447</v>
      </c>
      <c r="C2970" s="5">
        <v>40332</v>
      </c>
      <c r="D2970" s="3" t="s">
        <v>86</v>
      </c>
      <c r="E2970" s="1" t="s">
        <v>1058</v>
      </c>
      <c r="F2970" s="1" t="s">
        <v>22</v>
      </c>
      <c r="G2970" s="2" t="s">
        <v>6</v>
      </c>
      <c r="H2970" s="3" t="s">
        <v>97</v>
      </c>
      <c r="I2970" s="3" t="s">
        <v>85</v>
      </c>
      <c r="J2970" s="3" t="s">
        <v>58</v>
      </c>
      <c r="K2970" s="4">
        <v>176.24</v>
      </c>
      <c r="L2970" s="6">
        <v>10.98</v>
      </c>
    </row>
    <row r="2971" spans="1:12" x14ac:dyDescent="0.25">
      <c r="A2971" s="1">
        <v>2970</v>
      </c>
      <c r="B2971" s="4">
        <v>21475</v>
      </c>
      <c r="C2971" s="5">
        <v>40594</v>
      </c>
      <c r="D2971" s="3" t="s">
        <v>95</v>
      </c>
      <c r="E2971" s="1" t="s">
        <v>888</v>
      </c>
      <c r="F2971" s="1" t="s">
        <v>24</v>
      </c>
      <c r="G2971" s="2" t="s">
        <v>2</v>
      </c>
      <c r="H2971" s="3" t="s">
        <v>100</v>
      </c>
      <c r="I2971" s="3" t="s">
        <v>92</v>
      </c>
      <c r="J2971" s="3" t="s">
        <v>62</v>
      </c>
      <c r="K2971" s="4">
        <v>538.14</v>
      </c>
      <c r="L2971" s="6">
        <v>14.48</v>
      </c>
    </row>
    <row r="2972" spans="1:12" x14ac:dyDescent="0.25">
      <c r="A2972" s="1">
        <v>2971</v>
      </c>
      <c r="B2972" s="4">
        <v>21475</v>
      </c>
      <c r="C2972" s="5">
        <v>40594</v>
      </c>
      <c r="D2972" s="3" t="s">
        <v>95</v>
      </c>
      <c r="E2972" s="1" t="s">
        <v>888</v>
      </c>
      <c r="F2972" s="1" t="s">
        <v>24</v>
      </c>
      <c r="G2972" s="2" t="s">
        <v>2</v>
      </c>
      <c r="H2972" s="3" t="s">
        <v>100</v>
      </c>
      <c r="I2972" s="3" t="s">
        <v>91</v>
      </c>
      <c r="J2972" s="3" t="s">
        <v>60</v>
      </c>
      <c r="K2972" s="4">
        <v>4956.7839999999997</v>
      </c>
      <c r="L2972" s="6">
        <v>417.4</v>
      </c>
    </row>
    <row r="2973" spans="1:12" x14ac:dyDescent="0.25">
      <c r="A2973" s="1">
        <v>2972</v>
      </c>
      <c r="B2973" s="4">
        <v>21477</v>
      </c>
      <c r="C2973" s="5">
        <v>40684</v>
      </c>
      <c r="D2973" s="3" t="s">
        <v>82</v>
      </c>
      <c r="E2973" s="1" t="s">
        <v>813</v>
      </c>
      <c r="F2973" s="1" t="s">
        <v>52</v>
      </c>
      <c r="G2973" s="2" t="s">
        <v>3</v>
      </c>
      <c r="H2973" s="3" t="s">
        <v>97</v>
      </c>
      <c r="I2973" s="3" t="s">
        <v>85</v>
      </c>
      <c r="J2973" s="3" t="s">
        <v>69</v>
      </c>
      <c r="K2973" s="4">
        <v>189.73</v>
      </c>
      <c r="L2973" s="6">
        <v>24.95</v>
      </c>
    </row>
    <row r="2974" spans="1:12" x14ac:dyDescent="0.25">
      <c r="A2974" s="1">
        <v>2973</v>
      </c>
      <c r="B2974" s="4">
        <v>21477</v>
      </c>
      <c r="C2974" s="5">
        <v>40684</v>
      </c>
      <c r="D2974" s="3" t="s">
        <v>82</v>
      </c>
      <c r="E2974" s="1" t="s">
        <v>1059</v>
      </c>
      <c r="F2974" s="1" t="s">
        <v>52</v>
      </c>
      <c r="G2974" s="2" t="s">
        <v>3</v>
      </c>
      <c r="H2974" s="3" t="s">
        <v>97</v>
      </c>
      <c r="I2974" s="3" t="s">
        <v>85</v>
      </c>
      <c r="J2974" s="3" t="s">
        <v>66</v>
      </c>
      <c r="K2974" s="4">
        <v>278.8</v>
      </c>
      <c r="L2974" s="6">
        <v>6.88</v>
      </c>
    </row>
    <row r="2975" spans="1:12" x14ac:dyDescent="0.25">
      <c r="A2975" s="1">
        <v>2974</v>
      </c>
      <c r="B2975" s="4">
        <v>21478</v>
      </c>
      <c r="C2975" s="5">
        <v>40970</v>
      </c>
      <c r="D2975" s="3" t="s">
        <v>82</v>
      </c>
      <c r="E2975" s="1" t="s">
        <v>781</v>
      </c>
      <c r="F2975" s="1" t="s">
        <v>16</v>
      </c>
      <c r="G2975" s="2" t="s">
        <v>3</v>
      </c>
      <c r="H2975" s="3" t="s">
        <v>97</v>
      </c>
      <c r="I2975" s="3" t="s">
        <v>91</v>
      </c>
      <c r="J2975" s="3" t="s">
        <v>59</v>
      </c>
      <c r="K2975" s="4">
        <v>423.07</v>
      </c>
      <c r="L2975" s="6">
        <v>25.38</v>
      </c>
    </row>
    <row r="2976" spans="1:12" x14ac:dyDescent="0.25">
      <c r="A2976" s="1">
        <v>2975</v>
      </c>
      <c r="B2976" s="4">
        <v>21478</v>
      </c>
      <c r="C2976" s="5">
        <v>40970</v>
      </c>
      <c r="D2976" s="3" t="s">
        <v>82</v>
      </c>
      <c r="E2976" s="1" t="s">
        <v>781</v>
      </c>
      <c r="F2976" s="1" t="s">
        <v>16</v>
      </c>
      <c r="G2976" s="2" t="s">
        <v>3</v>
      </c>
      <c r="H2976" s="3" t="s">
        <v>97</v>
      </c>
      <c r="I2976" s="3" t="s">
        <v>85</v>
      </c>
      <c r="J2976" s="3" t="s">
        <v>66</v>
      </c>
      <c r="K2976" s="4">
        <v>1602.21</v>
      </c>
      <c r="L2976" s="6">
        <v>48.04</v>
      </c>
    </row>
    <row r="2977" spans="1:12" x14ac:dyDescent="0.25">
      <c r="A2977" s="1">
        <v>2976</v>
      </c>
      <c r="B2977" s="4">
        <v>21479</v>
      </c>
      <c r="C2977" s="5">
        <v>40053</v>
      </c>
      <c r="D2977" s="3" t="s">
        <v>4</v>
      </c>
      <c r="E2977" s="1" t="s">
        <v>1027</v>
      </c>
      <c r="F2977" s="1" t="s">
        <v>22</v>
      </c>
      <c r="G2977" s="2" t="s">
        <v>6</v>
      </c>
      <c r="H2977" s="3" t="s">
        <v>97</v>
      </c>
      <c r="I2977" s="3" t="s">
        <v>85</v>
      </c>
      <c r="J2977" s="3" t="s">
        <v>66</v>
      </c>
      <c r="K2977" s="4">
        <v>291.16000000000003</v>
      </c>
      <c r="L2977" s="6">
        <v>6.48</v>
      </c>
    </row>
    <row r="2978" spans="1:12" x14ac:dyDescent="0.25">
      <c r="A2978" s="1">
        <v>2977</v>
      </c>
      <c r="B2978" s="4">
        <v>21505</v>
      </c>
      <c r="C2978" s="5">
        <v>41246</v>
      </c>
      <c r="D2978" s="3" t="s">
        <v>82</v>
      </c>
      <c r="E2978" s="1" t="s">
        <v>830</v>
      </c>
      <c r="F2978" s="1" t="s">
        <v>15</v>
      </c>
      <c r="G2978" s="2" t="s">
        <v>1</v>
      </c>
      <c r="H2978" s="3" t="s">
        <v>97</v>
      </c>
      <c r="I2978" s="3" t="s">
        <v>91</v>
      </c>
      <c r="J2978" s="3" t="s">
        <v>72</v>
      </c>
      <c r="K2978" s="4">
        <v>912.35</v>
      </c>
      <c r="L2978" s="6">
        <v>284.98</v>
      </c>
    </row>
    <row r="2979" spans="1:12" x14ac:dyDescent="0.25">
      <c r="A2979" s="1">
        <v>2978</v>
      </c>
      <c r="B2979" s="4">
        <v>21509</v>
      </c>
      <c r="C2979" s="5">
        <v>41093</v>
      </c>
      <c r="D2979" s="3" t="s">
        <v>89</v>
      </c>
      <c r="E2979" s="1" t="s">
        <v>1024</v>
      </c>
      <c r="F2979" s="1" t="s">
        <v>28</v>
      </c>
      <c r="G2979" s="2" t="s">
        <v>6</v>
      </c>
      <c r="H2979" s="3" t="s">
        <v>100</v>
      </c>
      <c r="I2979" s="3" t="s">
        <v>85</v>
      </c>
      <c r="J2979" s="3" t="s">
        <v>65</v>
      </c>
      <c r="K2979" s="4">
        <v>47.93</v>
      </c>
      <c r="L2979" s="6">
        <v>3.69</v>
      </c>
    </row>
    <row r="2980" spans="1:12" x14ac:dyDescent="0.25">
      <c r="A2980" s="1">
        <v>2979</v>
      </c>
      <c r="B2980" s="4">
        <v>21510</v>
      </c>
      <c r="C2980" s="5">
        <v>41037</v>
      </c>
      <c r="D2980" s="3" t="s">
        <v>89</v>
      </c>
      <c r="E2980" s="1" t="s">
        <v>1006</v>
      </c>
      <c r="F2980" s="1" t="s">
        <v>12</v>
      </c>
      <c r="G2980" s="2" t="s">
        <v>2</v>
      </c>
      <c r="H2980" s="3" t="s">
        <v>88</v>
      </c>
      <c r="I2980" s="3" t="s">
        <v>92</v>
      </c>
      <c r="J2980" s="3" t="s">
        <v>62</v>
      </c>
      <c r="K2980" s="4">
        <v>372.09</v>
      </c>
      <c r="L2980" s="6">
        <v>22.24</v>
      </c>
    </row>
    <row r="2981" spans="1:12" x14ac:dyDescent="0.25">
      <c r="A2981" s="1">
        <v>2980</v>
      </c>
      <c r="B2981" s="4">
        <v>21538</v>
      </c>
      <c r="C2981" s="5">
        <v>40021</v>
      </c>
      <c r="D2981" s="3" t="s">
        <v>4</v>
      </c>
      <c r="E2981" s="1" t="s">
        <v>1060</v>
      </c>
      <c r="F2981" s="1" t="s">
        <v>39</v>
      </c>
      <c r="G2981" s="2" t="s">
        <v>1</v>
      </c>
      <c r="H2981" s="3" t="s">
        <v>84</v>
      </c>
      <c r="I2981" s="3" t="s">
        <v>85</v>
      </c>
      <c r="J2981" s="3" t="s">
        <v>63</v>
      </c>
      <c r="K2981" s="4">
        <v>87.32</v>
      </c>
      <c r="L2981" s="6">
        <v>2.94</v>
      </c>
    </row>
    <row r="2982" spans="1:12" x14ac:dyDescent="0.25">
      <c r="A2982" s="1">
        <v>2981</v>
      </c>
      <c r="B2982" s="4">
        <v>21539</v>
      </c>
      <c r="C2982" s="5">
        <v>40368</v>
      </c>
      <c r="D2982" s="3" t="s">
        <v>4</v>
      </c>
      <c r="E2982" s="1" t="s">
        <v>468</v>
      </c>
      <c r="F2982" s="1" t="s">
        <v>24</v>
      </c>
      <c r="G2982" s="2" t="s">
        <v>2</v>
      </c>
      <c r="H2982" s="3" t="s">
        <v>100</v>
      </c>
      <c r="I2982" s="3" t="s">
        <v>85</v>
      </c>
      <c r="J2982" s="3" t="s">
        <v>66</v>
      </c>
      <c r="K2982" s="4">
        <v>388.13</v>
      </c>
      <c r="L2982" s="6">
        <v>21.98</v>
      </c>
    </row>
    <row r="2983" spans="1:12" x14ac:dyDescent="0.25">
      <c r="A2983" s="1">
        <v>2982</v>
      </c>
      <c r="B2983" s="4">
        <v>21539</v>
      </c>
      <c r="C2983" s="5">
        <v>40368</v>
      </c>
      <c r="D2983" s="3" t="s">
        <v>4</v>
      </c>
      <c r="E2983" s="1" t="s">
        <v>468</v>
      </c>
      <c r="F2983" s="1" t="s">
        <v>24</v>
      </c>
      <c r="G2983" s="2" t="s">
        <v>2</v>
      </c>
      <c r="H2983" s="3" t="s">
        <v>100</v>
      </c>
      <c r="I2983" s="3" t="s">
        <v>91</v>
      </c>
      <c r="J2983" s="3" t="s">
        <v>60</v>
      </c>
      <c r="K2983" s="4">
        <v>2339.84</v>
      </c>
      <c r="L2983" s="6">
        <v>71.37</v>
      </c>
    </row>
    <row r="2984" spans="1:12" x14ac:dyDescent="0.25">
      <c r="A2984" s="1">
        <v>2983</v>
      </c>
      <c r="B2984" s="4">
        <v>21541</v>
      </c>
      <c r="C2984" s="5">
        <v>40094</v>
      </c>
      <c r="D2984" s="3" t="s">
        <v>86</v>
      </c>
      <c r="E2984" s="1" t="s">
        <v>944</v>
      </c>
      <c r="F2984" s="1" t="s">
        <v>17</v>
      </c>
      <c r="G2984" s="2" t="s">
        <v>2</v>
      </c>
      <c r="H2984" s="3" t="s">
        <v>88</v>
      </c>
      <c r="I2984" s="3" t="s">
        <v>91</v>
      </c>
      <c r="J2984" s="3" t="s">
        <v>68</v>
      </c>
      <c r="K2984" s="4">
        <v>3044.7</v>
      </c>
      <c r="L2984" s="6">
        <v>70.98</v>
      </c>
    </row>
    <row r="2985" spans="1:12" x14ac:dyDescent="0.25">
      <c r="A2985" s="1">
        <v>2984</v>
      </c>
      <c r="B2985" s="4">
        <v>21542</v>
      </c>
      <c r="C2985" s="5">
        <v>40684</v>
      </c>
      <c r="D2985" s="3" t="s">
        <v>89</v>
      </c>
      <c r="E2985" s="1" t="s">
        <v>463</v>
      </c>
      <c r="F2985" s="1" t="s">
        <v>38</v>
      </c>
      <c r="G2985" s="2" t="s">
        <v>6</v>
      </c>
      <c r="H2985" s="3" t="s">
        <v>88</v>
      </c>
      <c r="I2985" s="3" t="s">
        <v>85</v>
      </c>
      <c r="J2985" s="3" t="s">
        <v>63</v>
      </c>
      <c r="K2985" s="4">
        <v>404.3</v>
      </c>
      <c r="L2985" s="6">
        <v>21.38</v>
      </c>
    </row>
    <row r="2986" spans="1:12" x14ac:dyDescent="0.25">
      <c r="A2986" s="1">
        <v>2985</v>
      </c>
      <c r="B2986" s="4">
        <v>21542</v>
      </c>
      <c r="C2986" s="5">
        <v>40684</v>
      </c>
      <c r="D2986" s="3" t="s">
        <v>89</v>
      </c>
      <c r="E2986" s="1" t="s">
        <v>463</v>
      </c>
      <c r="F2986" s="1" t="s">
        <v>38</v>
      </c>
      <c r="G2986" s="2" t="s">
        <v>6</v>
      </c>
      <c r="H2986" s="3" t="s">
        <v>88</v>
      </c>
      <c r="I2986" s="3" t="s">
        <v>91</v>
      </c>
      <c r="J2986" s="3" t="s">
        <v>60</v>
      </c>
      <c r="K2986" s="4">
        <v>11674.968000000001</v>
      </c>
      <c r="L2986" s="6">
        <v>348.21</v>
      </c>
    </row>
    <row r="2987" spans="1:12" x14ac:dyDescent="0.25">
      <c r="A2987" s="1">
        <v>2986</v>
      </c>
      <c r="B2987" s="4">
        <v>21572</v>
      </c>
      <c r="C2987" s="5">
        <v>39857</v>
      </c>
      <c r="D2987" s="3" t="s">
        <v>95</v>
      </c>
      <c r="E2987" s="1" t="s">
        <v>943</v>
      </c>
      <c r="F2987" s="1" t="s">
        <v>30</v>
      </c>
      <c r="G2987" s="2" t="s">
        <v>6</v>
      </c>
      <c r="H2987" s="3" t="s">
        <v>97</v>
      </c>
      <c r="I2987" s="3" t="s">
        <v>91</v>
      </c>
      <c r="J2987" s="3" t="s">
        <v>59</v>
      </c>
      <c r="K2987" s="4">
        <v>8549.0400000000009</v>
      </c>
      <c r="L2987" s="6">
        <v>194.3</v>
      </c>
    </row>
    <row r="2988" spans="1:12" x14ac:dyDescent="0.25">
      <c r="A2988" s="1">
        <v>2987</v>
      </c>
      <c r="B2988" s="4">
        <v>21573</v>
      </c>
      <c r="C2988" s="5">
        <v>41024</v>
      </c>
      <c r="D2988" s="3" t="s">
        <v>95</v>
      </c>
      <c r="E2988" s="1" t="s">
        <v>624</v>
      </c>
      <c r="F2988" s="1" t="s">
        <v>35</v>
      </c>
      <c r="G2988" s="2" t="s">
        <v>1</v>
      </c>
      <c r="H2988" s="3" t="s">
        <v>88</v>
      </c>
      <c r="I2988" s="3" t="s">
        <v>85</v>
      </c>
      <c r="J2988" s="3" t="s">
        <v>65</v>
      </c>
      <c r="K2988" s="4">
        <v>96.23</v>
      </c>
      <c r="L2988" s="6">
        <v>3.08</v>
      </c>
    </row>
    <row r="2989" spans="1:12" x14ac:dyDescent="0.25">
      <c r="A2989" s="1">
        <v>2988</v>
      </c>
      <c r="B2989" s="4">
        <v>21573</v>
      </c>
      <c r="C2989" s="5">
        <v>41024</v>
      </c>
      <c r="D2989" s="3" t="s">
        <v>95</v>
      </c>
      <c r="E2989" s="1" t="s">
        <v>624</v>
      </c>
      <c r="F2989" s="1" t="s">
        <v>35</v>
      </c>
      <c r="G2989" s="2" t="s">
        <v>1</v>
      </c>
      <c r="H2989" s="3" t="s">
        <v>88</v>
      </c>
      <c r="I2989" s="3" t="s">
        <v>91</v>
      </c>
      <c r="J2989" s="3" t="s">
        <v>59</v>
      </c>
      <c r="K2989" s="4">
        <v>70.08</v>
      </c>
      <c r="L2989" s="6">
        <v>9.48</v>
      </c>
    </row>
    <row r="2990" spans="1:12" x14ac:dyDescent="0.25">
      <c r="A2990" s="1">
        <v>2989</v>
      </c>
      <c r="B2990" s="4">
        <v>21573</v>
      </c>
      <c r="C2990" s="5">
        <v>41024</v>
      </c>
      <c r="D2990" s="3" t="s">
        <v>95</v>
      </c>
      <c r="E2990" s="1" t="s">
        <v>624</v>
      </c>
      <c r="F2990" s="1" t="s">
        <v>35</v>
      </c>
      <c r="G2990" s="2" t="s">
        <v>1</v>
      </c>
      <c r="H2990" s="3" t="s">
        <v>88</v>
      </c>
      <c r="I2990" s="3" t="s">
        <v>91</v>
      </c>
      <c r="J2990" s="3" t="s">
        <v>60</v>
      </c>
      <c r="K2990" s="4">
        <v>234.768</v>
      </c>
      <c r="L2990" s="6">
        <v>70.89</v>
      </c>
    </row>
    <row r="2991" spans="1:12" x14ac:dyDescent="0.25">
      <c r="A2991" s="1">
        <v>2990</v>
      </c>
      <c r="B2991" s="4">
        <v>21574</v>
      </c>
      <c r="C2991" s="5">
        <v>40193</v>
      </c>
      <c r="D2991" s="3" t="s">
        <v>95</v>
      </c>
      <c r="E2991" s="1" t="s">
        <v>325</v>
      </c>
      <c r="F2991" s="1" t="s">
        <v>39</v>
      </c>
      <c r="G2991" s="2" t="s">
        <v>1</v>
      </c>
      <c r="H2991" s="3" t="s">
        <v>84</v>
      </c>
      <c r="I2991" s="3" t="s">
        <v>92</v>
      </c>
      <c r="J2991" s="3" t="s">
        <v>62</v>
      </c>
      <c r="K2991" s="4">
        <v>77.55</v>
      </c>
      <c r="L2991" s="6">
        <v>2.12</v>
      </c>
    </row>
    <row r="2992" spans="1:12" x14ac:dyDescent="0.25">
      <c r="A2992" s="1">
        <v>2991</v>
      </c>
      <c r="B2992" s="4">
        <v>21600</v>
      </c>
      <c r="C2992" s="5">
        <v>40272</v>
      </c>
      <c r="D2992" s="3" t="s">
        <v>82</v>
      </c>
      <c r="E2992" s="1" t="s">
        <v>539</v>
      </c>
      <c r="F2992" s="1" t="s">
        <v>26</v>
      </c>
      <c r="G2992" s="2" t="s">
        <v>3</v>
      </c>
      <c r="H2992" s="3" t="s">
        <v>97</v>
      </c>
      <c r="I2992" s="3" t="s">
        <v>85</v>
      </c>
      <c r="J2992" s="3" t="s">
        <v>66</v>
      </c>
      <c r="K2992" s="4">
        <v>169.48</v>
      </c>
      <c r="L2992" s="6">
        <v>10.14</v>
      </c>
    </row>
    <row r="2993" spans="1:12" x14ac:dyDescent="0.25">
      <c r="A2993" s="1">
        <v>2992</v>
      </c>
      <c r="B2993" s="4">
        <v>21601</v>
      </c>
      <c r="C2993" s="5">
        <v>40639</v>
      </c>
      <c r="D2993" s="3" t="s">
        <v>82</v>
      </c>
      <c r="E2993" s="1" t="s">
        <v>526</v>
      </c>
      <c r="F2993" s="1" t="s">
        <v>18</v>
      </c>
      <c r="G2993" s="2" t="s">
        <v>6</v>
      </c>
      <c r="H2993" s="3" t="s">
        <v>100</v>
      </c>
      <c r="I2993" s="3" t="s">
        <v>85</v>
      </c>
      <c r="J2993" s="3" t="s">
        <v>57</v>
      </c>
      <c r="K2993" s="4">
        <v>2227.34</v>
      </c>
      <c r="L2993" s="6">
        <v>113.64</v>
      </c>
    </row>
    <row r="2994" spans="1:12" x14ac:dyDescent="0.25">
      <c r="A2994" s="1">
        <v>2993</v>
      </c>
      <c r="B2994" s="4">
        <v>21602</v>
      </c>
      <c r="C2994" s="5">
        <v>39995</v>
      </c>
      <c r="D2994" s="3" t="s">
        <v>95</v>
      </c>
      <c r="E2994" s="1" t="s">
        <v>733</v>
      </c>
      <c r="F2994" s="1" t="s">
        <v>52</v>
      </c>
      <c r="G2994" s="2" t="s">
        <v>3</v>
      </c>
      <c r="H2994" s="3" t="s">
        <v>84</v>
      </c>
      <c r="I2994" s="3" t="s">
        <v>91</v>
      </c>
      <c r="J2994" s="3" t="s">
        <v>60</v>
      </c>
      <c r="K2994" s="4">
        <v>2170.61</v>
      </c>
      <c r="L2994" s="6">
        <v>348.21</v>
      </c>
    </row>
    <row r="2995" spans="1:12" x14ac:dyDescent="0.25">
      <c r="A2995" s="1">
        <v>2994</v>
      </c>
      <c r="B2995" s="4">
        <v>21604</v>
      </c>
      <c r="C2995" s="5">
        <v>41000</v>
      </c>
      <c r="D2995" s="3" t="s">
        <v>4</v>
      </c>
      <c r="E2995" s="1" t="s">
        <v>1034</v>
      </c>
      <c r="F2995" s="1" t="s">
        <v>13</v>
      </c>
      <c r="G2995" s="2" t="s">
        <v>6</v>
      </c>
      <c r="H2995" s="3" t="s">
        <v>97</v>
      </c>
      <c r="I2995" s="3" t="s">
        <v>85</v>
      </c>
      <c r="J2995" s="3" t="s">
        <v>69</v>
      </c>
      <c r="K2995" s="4">
        <v>2478.88</v>
      </c>
      <c r="L2995" s="6">
        <v>387.99</v>
      </c>
    </row>
    <row r="2996" spans="1:12" x14ac:dyDescent="0.25">
      <c r="A2996" s="1">
        <v>2995</v>
      </c>
      <c r="B2996" s="4">
        <v>21605</v>
      </c>
      <c r="C2996" s="5">
        <v>41007</v>
      </c>
      <c r="D2996" s="3" t="s">
        <v>89</v>
      </c>
      <c r="E2996" s="1" t="s">
        <v>818</v>
      </c>
      <c r="F2996" s="1" t="s">
        <v>19</v>
      </c>
      <c r="G2996" s="2" t="s">
        <v>3</v>
      </c>
      <c r="H2996" s="3" t="s">
        <v>84</v>
      </c>
      <c r="I2996" s="3" t="s">
        <v>91</v>
      </c>
      <c r="J2996" s="3" t="s">
        <v>72</v>
      </c>
      <c r="K2996" s="4">
        <v>1932.97</v>
      </c>
      <c r="L2996" s="6">
        <v>60.98</v>
      </c>
    </row>
    <row r="2997" spans="1:12" x14ac:dyDescent="0.25">
      <c r="A2997" s="1">
        <v>2996</v>
      </c>
      <c r="B2997" s="4">
        <v>21605</v>
      </c>
      <c r="C2997" s="5">
        <v>41007</v>
      </c>
      <c r="D2997" s="3" t="s">
        <v>89</v>
      </c>
      <c r="E2997" s="1" t="s">
        <v>464</v>
      </c>
      <c r="F2997" s="1" t="s">
        <v>19</v>
      </c>
      <c r="G2997" s="2" t="s">
        <v>3</v>
      </c>
      <c r="H2997" s="3" t="s">
        <v>84</v>
      </c>
      <c r="I2997" s="3" t="s">
        <v>91</v>
      </c>
      <c r="J2997" s="3" t="s">
        <v>59</v>
      </c>
      <c r="K2997" s="4">
        <v>476.49</v>
      </c>
      <c r="L2997" s="6">
        <v>10.64</v>
      </c>
    </row>
    <row r="2998" spans="1:12" x14ac:dyDescent="0.25">
      <c r="A2998" s="1">
        <v>2997</v>
      </c>
      <c r="B2998" s="4">
        <v>21606</v>
      </c>
      <c r="C2998" s="5">
        <v>40565</v>
      </c>
      <c r="D2998" s="3" t="s">
        <v>86</v>
      </c>
      <c r="E2998" s="1" t="s">
        <v>238</v>
      </c>
      <c r="F2998" s="1" t="s">
        <v>48</v>
      </c>
      <c r="G2998" s="2" t="s">
        <v>1</v>
      </c>
      <c r="H2998" s="3" t="s">
        <v>84</v>
      </c>
      <c r="I2998" s="3" t="s">
        <v>92</v>
      </c>
      <c r="J2998" s="3" t="s">
        <v>62</v>
      </c>
      <c r="K2998" s="4">
        <v>1374.7</v>
      </c>
      <c r="L2998" s="6">
        <v>32.979999999999997</v>
      </c>
    </row>
    <row r="2999" spans="1:12" x14ac:dyDescent="0.25">
      <c r="A2999" s="1">
        <v>2998</v>
      </c>
      <c r="B2999" s="4">
        <v>21606</v>
      </c>
      <c r="C2999" s="5">
        <v>40565</v>
      </c>
      <c r="D2999" s="3" t="s">
        <v>86</v>
      </c>
      <c r="E2999" s="1" t="s">
        <v>810</v>
      </c>
      <c r="F2999" s="1" t="s">
        <v>20</v>
      </c>
      <c r="G2999" s="2" t="s">
        <v>1</v>
      </c>
      <c r="H2999" s="3" t="s">
        <v>84</v>
      </c>
      <c r="I2999" s="3" t="s">
        <v>92</v>
      </c>
      <c r="J2999" s="3" t="s">
        <v>62</v>
      </c>
      <c r="K2999" s="4">
        <v>516.62</v>
      </c>
      <c r="L2999" s="6">
        <v>17.48</v>
      </c>
    </row>
    <row r="3000" spans="1:12" x14ac:dyDescent="0.25">
      <c r="A3000" s="1">
        <v>2999</v>
      </c>
      <c r="B3000" s="4">
        <v>21607</v>
      </c>
      <c r="C3000" s="5">
        <v>40983</v>
      </c>
      <c r="D3000" s="3" t="s">
        <v>86</v>
      </c>
      <c r="E3000" s="1" t="s">
        <v>1061</v>
      </c>
      <c r="F3000" s="1" t="s">
        <v>8</v>
      </c>
      <c r="G3000" s="2" t="s">
        <v>6</v>
      </c>
      <c r="H3000" s="3" t="s">
        <v>97</v>
      </c>
      <c r="I3000" s="3" t="s">
        <v>85</v>
      </c>
      <c r="J3000" s="3" t="s">
        <v>63</v>
      </c>
      <c r="K3000" s="4">
        <v>618.9</v>
      </c>
      <c r="L3000" s="6">
        <v>36.549999999999997</v>
      </c>
    </row>
    <row r="3001" spans="1:12" x14ac:dyDescent="0.25">
      <c r="A3001" s="1">
        <v>3000</v>
      </c>
      <c r="B3001" s="4">
        <v>21633</v>
      </c>
      <c r="C3001" s="5">
        <v>39899</v>
      </c>
      <c r="D3001" s="3" t="s">
        <v>4</v>
      </c>
      <c r="E3001" s="1" t="s">
        <v>781</v>
      </c>
      <c r="F3001" s="1" t="s">
        <v>16</v>
      </c>
      <c r="G3001" s="2" t="s">
        <v>3</v>
      </c>
      <c r="H3001" s="3" t="s">
        <v>97</v>
      </c>
      <c r="I3001" s="3" t="s">
        <v>91</v>
      </c>
      <c r="J3001" s="3" t="s">
        <v>59</v>
      </c>
      <c r="K3001" s="4">
        <v>547.82000000000005</v>
      </c>
      <c r="L3001" s="6">
        <v>18.7</v>
      </c>
    </row>
    <row r="3002" spans="1:12" x14ac:dyDescent="0.25">
      <c r="A3002" s="1">
        <v>3001</v>
      </c>
      <c r="B3002" s="4">
        <v>21634</v>
      </c>
      <c r="C3002" s="5">
        <v>41210</v>
      </c>
      <c r="D3002" s="3" t="s">
        <v>86</v>
      </c>
      <c r="E3002" s="1" t="s">
        <v>1062</v>
      </c>
      <c r="F3002" s="1" t="s">
        <v>34</v>
      </c>
      <c r="G3002" s="2" t="s">
        <v>1</v>
      </c>
      <c r="H3002" s="3" t="s">
        <v>97</v>
      </c>
      <c r="I3002" s="3" t="s">
        <v>85</v>
      </c>
      <c r="J3002" s="3" t="s">
        <v>70</v>
      </c>
      <c r="K3002" s="4">
        <v>1611.73</v>
      </c>
      <c r="L3002" s="6">
        <v>208.16</v>
      </c>
    </row>
    <row r="3003" spans="1:12" x14ac:dyDescent="0.25">
      <c r="A3003" s="1">
        <v>3002</v>
      </c>
      <c r="B3003" s="4">
        <v>21634</v>
      </c>
      <c r="C3003" s="5">
        <v>41210</v>
      </c>
      <c r="D3003" s="3" t="s">
        <v>86</v>
      </c>
      <c r="E3003" s="1" t="s">
        <v>1062</v>
      </c>
      <c r="F3003" s="1" t="s">
        <v>34</v>
      </c>
      <c r="G3003" s="2" t="s">
        <v>1</v>
      </c>
      <c r="H3003" s="3" t="s">
        <v>97</v>
      </c>
      <c r="I3003" s="3" t="s">
        <v>92</v>
      </c>
      <c r="J3003" s="3" t="s">
        <v>67</v>
      </c>
      <c r="K3003" s="4">
        <v>1946.55</v>
      </c>
      <c r="L3003" s="6">
        <v>1938.02</v>
      </c>
    </row>
    <row r="3004" spans="1:12" x14ac:dyDescent="0.25">
      <c r="A3004" s="1">
        <v>3003</v>
      </c>
      <c r="B3004" s="4">
        <v>21635</v>
      </c>
      <c r="C3004" s="5">
        <v>40149</v>
      </c>
      <c r="D3004" s="3" t="s">
        <v>82</v>
      </c>
      <c r="E3004" s="1" t="s">
        <v>347</v>
      </c>
      <c r="F3004" s="1" t="s">
        <v>29</v>
      </c>
      <c r="G3004" s="2" t="s">
        <v>3</v>
      </c>
      <c r="H3004" s="3" t="s">
        <v>100</v>
      </c>
      <c r="I3004" s="3" t="s">
        <v>85</v>
      </c>
      <c r="J3004" s="3" t="s">
        <v>69</v>
      </c>
      <c r="K3004" s="4">
        <v>65.31</v>
      </c>
      <c r="L3004" s="6">
        <v>24.92</v>
      </c>
    </row>
    <row r="3005" spans="1:12" x14ac:dyDescent="0.25">
      <c r="A3005" s="1">
        <v>3004</v>
      </c>
      <c r="B3005" s="4">
        <v>21636</v>
      </c>
      <c r="C3005" s="5">
        <v>40035</v>
      </c>
      <c r="D3005" s="3" t="s">
        <v>82</v>
      </c>
      <c r="E3005" s="1" t="s">
        <v>1063</v>
      </c>
      <c r="F3005" s="1" t="s">
        <v>35</v>
      </c>
      <c r="G3005" s="2" t="s">
        <v>1</v>
      </c>
      <c r="H3005" s="3" t="s">
        <v>97</v>
      </c>
      <c r="I3005" s="3" t="s">
        <v>85</v>
      </c>
      <c r="J3005" s="3" t="s">
        <v>69</v>
      </c>
      <c r="K3005" s="4">
        <v>376.65</v>
      </c>
      <c r="L3005" s="6">
        <v>22.38</v>
      </c>
    </row>
    <row r="3006" spans="1:12" x14ac:dyDescent="0.25">
      <c r="A3006" s="1">
        <v>3005</v>
      </c>
      <c r="B3006" s="4">
        <v>21636</v>
      </c>
      <c r="C3006" s="5">
        <v>40035</v>
      </c>
      <c r="D3006" s="3" t="s">
        <v>82</v>
      </c>
      <c r="E3006" s="1" t="s">
        <v>1063</v>
      </c>
      <c r="F3006" s="1" t="s">
        <v>35</v>
      </c>
      <c r="G3006" s="2" t="s">
        <v>1</v>
      </c>
      <c r="H3006" s="3" t="s">
        <v>97</v>
      </c>
      <c r="I3006" s="3" t="s">
        <v>85</v>
      </c>
      <c r="J3006" s="3" t="s">
        <v>57</v>
      </c>
      <c r="K3006" s="4">
        <v>40.06</v>
      </c>
      <c r="L3006" s="6">
        <v>5.98</v>
      </c>
    </row>
    <row r="3007" spans="1:12" x14ac:dyDescent="0.25">
      <c r="A3007" s="1">
        <v>3006</v>
      </c>
      <c r="B3007" s="4">
        <v>21636</v>
      </c>
      <c r="C3007" s="5">
        <v>40035</v>
      </c>
      <c r="D3007" s="3" t="s">
        <v>82</v>
      </c>
      <c r="E3007" s="1" t="s">
        <v>930</v>
      </c>
      <c r="F3007" s="1" t="s">
        <v>8</v>
      </c>
      <c r="G3007" s="2" t="s">
        <v>6</v>
      </c>
      <c r="H3007" s="3" t="s">
        <v>97</v>
      </c>
      <c r="I3007" s="3" t="s">
        <v>92</v>
      </c>
      <c r="J3007" s="3" t="s">
        <v>61</v>
      </c>
      <c r="K3007" s="4">
        <v>1665.0394999999999</v>
      </c>
      <c r="L3007" s="6">
        <v>55.99</v>
      </c>
    </row>
    <row r="3008" spans="1:12" x14ac:dyDescent="0.25">
      <c r="A3008" s="1">
        <v>3007</v>
      </c>
      <c r="B3008" s="4">
        <v>21638</v>
      </c>
      <c r="C3008" s="5">
        <v>41015</v>
      </c>
      <c r="D3008" s="3" t="s">
        <v>89</v>
      </c>
      <c r="E3008" s="1" t="s">
        <v>664</v>
      </c>
      <c r="F3008" s="1" t="s">
        <v>45</v>
      </c>
      <c r="G3008" s="2" t="s">
        <v>3</v>
      </c>
      <c r="H3008" s="3" t="s">
        <v>84</v>
      </c>
      <c r="I3008" s="3" t="s">
        <v>85</v>
      </c>
      <c r="J3008" s="3" t="s">
        <v>66</v>
      </c>
      <c r="K3008" s="4">
        <v>418.93</v>
      </c>
      <c r="L3008" s="6">
        <v>30.98</v>
      </c>
    </row>
    <row r="3009" spans="1:12" x14ac:dyDescent="0.25">
      <c r="A3009" s="1">
        <v>3008</v>
      </c>
      <c r="B3009" s="4">
        <v>21639</v>
      </c>
      <c r="C3009" s="5">
        <v>40576</v>
      </c>
      <c r="D3009" s="3" t="s">
        <v>86</v>
      </c>
      <c r="E3009" s="1" t="s">
        <v>1064</v>
      </c>
      <c r="F3009" s="1" t="s">
        <v>24</v>
      </c>
      <c r="G3009" s="2" t="s">
        <v>2</v>
      </c>
      <c r="H3009" s="3" t="s">
        <v>97</v>
      </c>
      <c r="I3009" s="3" t="s">
        <v>85</v>
      </c>
      <c r="J3009" s="3" t="s">
        <v>69</v>
      </c>
      <c r="K3009" s="4">
        <v>145.15</v>
      </c>
      <c r="L3009" s="6">
        <v>5.94</v>
      </c>
    </row>
    <row r="3010" spans="1:12" x14ac:dyDescent="0.25">
      <c r="A3010" s="1">
        <v>3009</v>
      </c>
      <c r="B3010" s="4">
        <v>21639</v>
      </c>
      <c r="C3010" s="5">
        <v>40576</v>
      </c>
      <c r="D3010" s="3" t="s">
        <v>86</v>
      </c>
      <c r="E3010" s="1" t="s">
        <v>1064</v>
      </c>
      <c r="F3010" s="1" t="s">
        <v>24</v>
      </c>
      <c r="G3010" s="2" t="s">
        <v>2</v>
      </c>
      <c r="H3010" s="3" t="s">
        <v>97</v>
      </c>
      <c r="I3010" s="3" t="s">
        <v>91</v>
      </c>
      <c r="J3010" s="3" t="s">
        <v>59</v>
      </c>
      <c r="K3010" s="4">
        <v>131.5</v>
      </c>
      <c r="L3010" s="6">
        <v>39.979999999999997</v>
      </c>
    </row>
    <row r="3011" spans="1:12" x14ac:dyDescent="0.25">
      <c r="A3011" s="1">
        <v>3010</v>
      </c>
      <c r="B3011" s="4">
        <v>21639</v>
      </c>
      <c r="C3011" s="5">
        <v>40576</v>
      </c>
      <c r="D3011" s="3" t="s">
        <v>86</v>
      </c>
      <c r="E3011" s="1" t="s">
        <v>1064</v>
      </c>
      <c r="F3011" s="1" t="s">
        <v>24</v>
      </c>
      <c r="G3011" s="2" t="s">
        <v>2</v>
      </c>
      <c r="H3011" s="3" t="s">
        <v>97</v>
      </c>
      <c r="I3011" s="3" t="s">
        <v>91</v>
      </c>
      <c r="J3011" s="3" t="s">
        <v>59</v>
      </c>
      <c r="K3011" s="4">
        <v>7814.59</v>
      </c>
      <c r="L3011" s="6">
        <v>194.3</v>
      </c>
    </row>
    <row r="3012" spans="1:12" x14ac:dyDescent="0.25">
      <c r="A3012" s="1">
        <v>3011</v>
      </c>
      <c r="B3012" s="4">
        <v>21639</v>
      </c>
      <c r="C3012" s="5">
        <v>40576</v>
      </c>
      <c r="D3012" s="3" t="s">
        <v>86</v>
      </c>
      <c r="E3012" s="1" t="s">
        <v>1064</v>
      </c>
      <c r="F3012" s="1" t="s">
        <v>24</v>
      </c>
      <c r="G3012" s="2" t="s">
        <v>2</v>
      </c>
      <c r="H3012" s="3" t="s">
        <v>97</v>
      </c>
      <c r="I3012" s="3" t="s">
        <v>85</v>
      </c>
      <c r="J3012" s="3" t="s">
        <v>57</v>
      </c>
      <c r="K3012" s="4">
        <v>158.99</v>
      </c>
      <c r="L3012" s="6">
        <v>6.98</v>
      </c>
    </row>
    <row r="3013" spans="1:12" x14ac:dyDescent="0.25">
      <c r="A3013" s="1">
        <v>3012</v>
      </c>
      <c r="B3013" s="4">
        <v>21665</v>
      </c>
      <c r="C3013" s="5">
        <v>41197</v>
      </c>
      <c r="D3013" s="3" t="s">
        <v>89</v>
      </c>
      <c r="E3013" s="1" t="s">
        <v>106</v>
      </c>
      <c r="F3013" s="1" t="s">
        <v>34</v>
      </c>
      <c r="G3013" s="2" t="s">
        <v>1</v>
      </c>
      <c r="H3013" s="3" t="s">
        <v>97</v>
      </c>
      <c r="I3013" s="3" t="s">
        <v>92</v>
      </c>
      <c r="J3013" s="3" t="s">
        <v>61</v>
      </c>
      <c r="K3013" s="4">
        <v>474.79300000000001</v>
      </c>
      <c r="L3013" s="6">
        <v>115.99</v>
      </c>
    </row>
    <row r="3014" spans="1:12" x14ac:dyDescent="0.25">
      <c r="A3014" s="1">
        <v>3013</v>
      </c>
      <c r="B3014" s="4">
        <v>21670</v>
      </c>
      <c r="C3014" s="5">
        <v>40554</v>
      </c>
      <c r="D3014" s="3" t="s">
        <v>89</v>
      </c>
      <c r="E3014" s="1" t="s">
        <v>526</v>
      </c>
      <c r="F3014" s="1" t="s">
        <v>18</v>
      </c>
      <c r="G3014" s="2" t="s">
        <v>6</v>
      </c>
      <c r="H3014" s="3" t="s">
        <v>97</v>
      </c>
      <c r="I3014" s="3" t="s">
        <v>91</v>
      </c>
      <c r="J3014" s="3" t="s">
        <v>59</v>
      </c>
      <c r="K3014" s="4">
        <v>1965.21</v>
      </c>
      <c r="L3014" s="6">
        <v>78.69</v>
      </c>
    </row>
    <row r="3015" spans="1:12" x14ac:dyDescent="0.25">
      <c r="A3015" s="1">
        <v>3014</v>
      </c>
      <c r="B3015" s="4">
        <v>21671</v>
      </c>
      <c r="C3015" s="5">
        <v>40344</v>
      </c>
      <c r="D3015" s="3" t="s">
        <v>89</v>
      </c>
      <c r="E3015" s="1" t="s">
        <v>663</v>
      </c>
      <c r="F3015" s="1" t="s">
        <v>30</v>
      </c>
      <c r="G3015" s="2" t="s">
        <v>6</v>
      </c>
      <c r="H3015" s="3" t="s">
        <v>100</v>
      </c>
      <c r="I3015" s="3" t="s">
        <v>92</v>
      </c>
      <c r="J3015" s="3" t="s">
        <v>62</v>
      </c>
      <c r="K3015" s="4">
        <v>670.94</v>
      </c>
      <c r="L3015" s="6">
        <v>45.19</v>
      </c>
    </row>
    <row r="3016" spans="1:12" x14ac:dyDescent="0.25">
      <c r="A3016" s="1">
        <v>3015</v>
      </c>
      <c r="B3016" s="4">
        <v>21696</v>
      </c>
      <c r="C3016" s="5">
        <v>40472</v>
      </c>
      <c r="D3016" s="3" t="s">
        <v>4</v>
      </c>
      <c r="E3016" s="1" t="s">
        <v>998</v>
      </c>
      <c r="F3016" s="1" t="s">
        <v>16</v>
      </c>
      <c r="G3016" s="2" t="s">
        <v>3</v>
      </c>
      <c r="H3016" s="3" t="s">
        <v>100</v>
      </c>
      <c r="I3016" s="3" t="s">
        <v>85</v>
      </c>
      <c r="J3016" s="3" t="s">
        <v>69</v>
      </c>
      <c r="K3016" s="4">
        <v>278.27</v>
      </c>
      <c r="L3016" s="6">
        <v>19.350000000000001</v>
      </c>
    </row>
    <row r="3017" spans="1:12" x14ac:dyDescent="0.25">
      <c r="A3017" s="1">
        <v>3016</v>
      </c>
      <c r="B3017" s="4">
        <v>21702</v>
      </c>
      <c r="C3017" s="5">
        <v>40529</v>
      </c>
      <c r="D3017" s="3" t="s">
        <v>86</v>
      </c>
      <c r="E3017" s="1" t="s">
        <v>552</v>
      </c>
      <c r="F3017" s="1" t="s">
        <v>44</v>
      </c>
      <c r="G3017" s="2" t="s">
        <v>3</v>
      </c>
      <c r="H3017" s="3" t="s">
        <v>97</v>
      </c>
      <c r="I3017" s="3" t="s">
        <v>91</v>
      </c>
      <c r="J3017" s="3" t="s">
        <v>72</v>
      </c>
      <c r="K3017" s="4">
        <v>5232.83</v>
      </c>
      <c r="L3017" s="6">
        <v>122.99</v>
      </c>
    </row>
    <row r="3018" spans="1:12" x14ac:dyDescent="0.25">
      <c r="A3018" s="1">
        <v>3017</v>
      </c>
      <c r="B3018" s="4">
        <v>21703</v>
      </c>
      <c r="C3018" s="5">
        <v>39874</v>
      </c>
      <c r="D3018" s="3" t="s">
        <v>86</v>
      </c>
      <c r="E3018" s="1" t="s">
        <v>766</v>
      </c>
      <c r="F3018" s="1" t="s">
        <v>42</v>
      </c>
      <c r="G3018" s="2" t="s">
        <v>3</v>
      </c>
      <c r="H3018" s="3" t="s">
        <v>84</v>
      </c>
      <c r="I3018" s="3" t="s">
        <v>85</v>
      </c>
      <c r="J3018" s="3" t="s">
        <v>65</v>
      </c>
      <c r="K3018" s="4">
        <v>12.01</v>
      </c>
      <c r="L3018" s="6">
        <v>3.69</v>
      </c>
    </row>
    <row r="3019" spans="1:12" x14ac:dyDescent="0.25">
      <c r="A3019" s="1">
        <v>3018</v>
      </c>
      <c r="B3019" s="4">
        <v>21703</v>
      </c>
      <c r="C3019" s="5">
        <v>39874</v>
      </c>
      <c r="D3019" s="3" t="s">
        <v>86</v>
      </c>
      <c r="E3019" s="1" t="s">
        <v>766</v>
      </c>
      <c r="F3019" s="1" t="s">
        <v>42</v>
      </c>
      <c r="G3019" s="2" t="s">
        <v>3</v>
      </c>
      <c r="H3019" s="3" t="s">
        <v>84</v>
      </c>
      <c r="I3019" s="3" t="s">
        <v>91</v>
      </c>
      <c r="J3019" s="3" t="s">
        <v>59</v>
      </c>
      <c r="K3019" s="4">
        <v>1846.76</v>
      </c>
      <c r="L3019" s="6">
        <v>92.23</v>
      </c>
    </row>
    <row r="3020" spans="1:12" x14ac:dyDescent="0.25">
      <c r="A3020" s="1">
        <v>3019</v>
      </c>
      <c r="B3020" s="4">
        <v>21703</v>
      </c>
      <c r="C3020" s="5">
        <v>39874</v>
      </c>
      <c r="D3020" s="3" t="s">
        <v>86</v>
      </c>
      <c r="E3020" s="1" t="s">
        <v>766</v>
      </c>
      <c r="F3020" s="1" t="s">
        <v>42</v>
      </c>
      <c r="G3020" s="2" t="s">
        <v>3</v>
      </c>
      <c r="H3020" s="3" t="s">
        <v>84</v>
      </c>
      <c r="I3020" s="3" t="s">
        <v>92</v>
      </c>
      <c r="J3020" s="3" t="s">
        <v>61</v>
      </c>
      <c r="K3020" s="4">
        <v>2211.7339999999999</v>
      </c>
      <c r="L3020" s="6">
        <v>175.99</v>
      </c>
    </row>
    <row r="3021" spans="1:12" x14ac:dyDescent="0.25">
      <c r="A3021" s="1">
        <v>3020</v>
      </c>
      <c r="B3021" s="4">
        <v>21729</v>
      </c>
      <c r="C3021" s="5">
        <v>41249</v>
      </c>
      <c r="D3021" s="3" t="s">
        <v>82</v>
      </c>
      <c r="E3021" s="1" t="s">
        <v>827</v>
      </c>
      <c r="F3021" s="1" t="s">
        <v>34</v>
      </c>
      <c r="G3021" s="2" t="s">
        <v>1</v>
      </c>
      <c r="H3021" s="3" t="s">
        <v>88</v>
      </c>
      <c r="I3021" s="3" t="s">
        <v>85</v>
      </c>
      <c r="J3021" s="3" t="s">
        <v>69</v>
      </c>
      <c r="K3021" s="4">
        <v>120.98</v>
      </c>
      <c r="L3021" s="6">
        <v>4.13</v>
      </c>
    </row>
    <row r="3022" spans="1:12" x14ac:dyDescent="0.25">
      <c r="A3022" s="1">
        <v>3021</v>
      </c>
      <c r="B3022" s="4">
        <v>21729</v>
      </c>
      <c r="C3022" s="5">
        <v>41249</v>
      </c>
      <c r="D3022" s="3" t="s">
        <v>82</v>
      </c>
      <c r="E3022" s="1" t="s">
        <v>827</v>
      </c>
      <c r="F3022" s="1" t="s">
        <v>34</v>
      </c>
      <c r="G3022" s="2" t="s">
        <v>1</v>
      </c>
      <c r="H3022" s="3" t="s">
        <v>88</v>
      </c>
      <c r="I3022" s="3" t="s">
        <v>91</v>
      </c>
      <c r="J3022" s="3" t="s">
        <v>59</v>
      </c>
      <c r="K3022" s="4">
        <v>1082.6600000000001</v>
      </c>
      <c r="L3022" s="6">
        <v>79.52</v>
      </c>
    </row>
    <row r="3023" spans="1:12" x14ac:dyDescent="0.25">
      <c r="A3023" s="1">
        <v>3022</v>
      </c>
      <c r="B3023" s="4">
        <v>21731</v>
      </c>
      <c r="C3023" s="5">
        <v>40873</v>
      </c>
      <c r="D3023" s="3" t="s">
        <v>82</v>
      </c>
      <c r="E3023" s="1" t="s">
        <v>1035</v>
      </c>
      <c r="F3023" s="1" t="s">
        <v>42</v>
      </c>
      <c r="G3023" s="2" t="s">
        <v>3</v>
      </c>
      <c r="H3023" s="3" t="s">
        <v>88</v>
      </c>
      <c r="I3023" s="3" t="s">
        <v>85</v>
      </c>
      <c r="J3023" s="3" t="s">
        <v>70</v>
      </c>
      <c r="K3023" s="4">
        <v>1580.57</v>
      </c>
      <c r="L3023" s="6">
        <v>60.98</v>
      </c>
    </row>
    <row r="3024" spans="1:12" x14ac:dyDescent="0.25">
      <c r="A3024" s="1">
        <v>3023</v>
      </c>
      <c r="B3024" s="4">
        <v>21735</v>
      </c>
      <c r="C3024" s="5">
        <v>40246</v>
      </c>
      <c r="D3024" s="3" t="s">
        <v>86</v>
      </c>
      <c r="E3024" s="1" t="s">
        <v>90</v>
      </c>
      <c r="F3024" s="1" t="s">
        <v>9</v>
      </c>
      <c r="G3024" s="2" t="s">
        <v>2</v>
      </c>
      <c r="H3024" s="3" t="s">
        <v>88</v>
      </c>
      <c r="I3024" s="3" t="s">
        <v>91</v>
      </c>
      <c r="J3024" s="3" t="s">
        <v>59</v>
      </c>
      <c r="K3024" s="4">
        <v>239.49</v>
      </c>
      <c r="L3024" s="6">
        <v>9.98</v>
      </c>
    </row>
    <row r="3025" spans="1:12" x14ac:dyDescent="0.25">
      <c r="A3025" s="1">
        <v>3024</v>
      </c>
      <c r="B3025" s="4">
        <v>21735</v>
      </c>
      <c r="C3025" s="5">
        <v>40246</v>
      </c>
      <c r="D3025" s="3" t="s">
        <v>86</v>
      </c>
      <c r="E3025" s="1" t="s">
        <v>90</v>
      </c>
      <c r="F3025" s="1" t="s">
        <v>9</v>
      </c>
      <c r="G3025" s="2" t="s">
        <v>2</v>
      </c>
      <c r="H3025" s="3" t="s">
        <v>88</v>
      </c>
      <c r="I3025" s="3" t="s">
        <v>92</v>
      </c>
      <c r="J3025" s="3" t="s">
        <v>61</v>
      </c>
      <c r="K3025" s="4">
        <v>1819.1529999999998</v>
      </c>
      <c r="L3025" s="6">
        <v>155.99</v>
      </c>
    </row>
    <row r="3026" spans="1:12" x14ac:dyDescent="0.25">
      <c r="A3026" s="1">
        <v>3025</v>
      </c>
      <c r="B3026" s="4">
        <v>21760</v>
      </c>
      <c r="C3026" s="5">
        <v>40573</v>
      </c>
      <c r="D3026" s="3" t="s">
        <v>86</v>
      </c>
      <c r="E3026" s="1" t="s">
        <v>197</v>
      </c>
      <c r="F3026" s="1" t="s">
        <v>24</v>
      </c>
      <c r="G3026" s="2" t="s">
        <v>2</v>
      </c>
      <c r="H3026" s="3" t="s">
        <v>97</v>
      </c>
      <c r="I3026" s="3" t="s">
        <v>91</v>
      </c>
      <c r="J3026" s="3" t="s">
        <v>59</v>
      </c>
      <c r="K3026" s="4">
        <v>71.2</v>
      </c>
      <c r="L3026" s="6">
        <v>7.38</v>
      </c>
    </row>
    <row r="3027" spans="1:12" x14ac:dyDescent="0.25">
      <c r="A3027" s="1">
        <v>3026</v>
      </c>
      <c r="B3027" s="4">
        <v>21763</v>
      </c>
      <c r="C3027" s="5">
        <v>41057</v>
      </c>
      <c r="D3027" s="3" t="s">
        <v>82</v>
      </c>
      <c r="E3027" s="1" t="s">
        <v>1065</v>
      </c>
      <c r="F3027" s="1" t="s">
        <v>12</v>
      </c>
      <c r="G3027" s="2" t="s">
        <v>2</v>
      </c>
      <c r="H3027" s="3" t="s">
        <v>84</v>
      </c>
      <c r="I3027" s="3" t="s">
        <v>92</v>
      </c>
      <c r="J3027" s="3" t="s">
        <v>61</v>
      </c>
      <c r="K3027" s="4">
        <v>1239.4445000000001</v>
      </c>
      <c r="L3027" s="6">
        <v>65.989999999999995</v>
      </c>
    </row>
    <row r="3028" spans="1:12" x14ac:dyDescent="0.25">
      <c r="A3028" s="1">
        <v>3027</v>
      </c>
      <c r="B3028" s="4">
        <v>21766</v>
      </c>
      <c r="C3028" s="5">
        <v>39965</v>
      </c>
      <c r="D3028" s="3" t="s">
        <v>89</v>
      </c>
      <c r="E3028" s="1" t="s">
        <v>1066</v>
      </c>
      <c r="F3028" s="1" t="s">
        <v>25</v>
      </c>
      <c r="G3028" s="2" t="s">
        <v>6</v>
      </c>
      <c r="H3028" s="3" t="s">
        <v>100</v>
      </c>
      <c r="I3028" s="3" t="s">
        <v>91</v>
      </c>
      <c r="J3028" s="3" t="s">
        <v>72</v>
      </c>
      <c r="K3028" s="4">
        <v>5178.17</v>
      </c>
      <c r="L3028" s="6">
        <v>120.98</v>
      </c>
    </row>
    <row r="3029" spans="1:12" x14ac:dyDescent="0.25">
      <c r="A3029" s="1">
        <v>3028</v>
      </c>
      <c r="B3029" s="4">
        <v>21766</v>
      </c>
      <c r="C3029" s="5">
        <v>39965</v>
      </c>
      <c r="D3029" s="3" t="s">
        <v>89</v>
      </c>
      <c r="E3029" s="1" t="s">
        <v>1066</v>
      </c>
      <c r="F3029" s="1" t="s">
        <v>25</v>
      </c>
      <c r="G3029" s="2" t="s">
        <v>6</v>
      </c>
      <c r="H3029" s="3" t="s">
        <v>100</v>
      </c>
      <c r="I3029" s="3" t="s">
        <v>91</v>
      </c>
      <c r="J3029" s="3" t="s">
        <v>59</v>
      </c>
      <c r="K3029" s="4">
        <v>535.24</v>
      </c>
      <c r="L3029" s="6">
        <v>15.68</v>
      </c>
    </row>
    <row r="3030" spans="1:12" x14ac:dyDescent="0.25">
      <c r="A3030" s="1">
        <v>3029</v>
      </c>
      <c r="B3030" s="4">
        <v>21792</v>
      </c>
      <c r="C3030" s="5">
        <v>41177</v>
      </c>
      <c r="D3030" s="3" t="s">
        <v>86</v>
      </c>
      <c r="E3030" s="1" t="s">
        <v>225</v>
      </c>
      <c r="F3030" s="1" t="s">
        <v>14</v>
      </c>
      <c r="G3030" s="2" t="s">
        <v>2</v>
      </c>
      <c r="H3030" s="3" t="s">
        <v>100</v>
      </c>
      <c r="I3030" s="3" t="s">
        <v>85</v>
      </c>
      <c r="J3030" s="3" t="s">
        <v>69</v>
      </c>
      <c r="K3030" s="4">
        <v>362.76</v>
      </c>
      <c r="L3030" s="6">
        <v>14.48</v>
      </c>
    </row>
    <row r="3031" spans="1:12" x14ac:dyDescent="0.25">
      <c r="A3031" s="1">
        <v>3030</v>
      </c>
      <c r="B3031" s="4">
        <v>21795</v>
      </c>
      <c r="C3031" s="5">
        <v>40342</v>
      </c>
      <c r="D3031" s="3" t="s">
        <v>86</v>
      </c>
      <c r="E3031" s="1" t="s">
        <v>671</v>
      </c>
      <c r="F3031" s="1" t="s">
        <v>35</v>
      </c>
      <c r="G3031" s="2" t="s">
        <v>1</v>
      </c>
      <c r="H3031" s="3" t="s">
        <v>84</v>
      </c>
      <c r="I3031" s="3" t="s">
        <v>92</v>
      </c>
      <c r="J3031" s="3" t="s">
        <v>62</v>
      </c>
      <c r="K3031" s="4">
        <v>278.66000000000003</v>
      </c>
      <c r="L3031" s="6">
        <v>27.48</v>
      </c>
    </row>
    <row r="3032" spans="1:12" x14ac:dyDescent="0.25">
      <c r="A3032" s="1">
        <v>3031</v>
      </c>
      <c r="B3032" s="4">
        <v>21795</v>
      </c>
      <c r="C3032" s="5">
        <v>40342</v>
      </c>
      <c r="D3032" s="3" t="s">
        <v>86</v>
      </c>
      <c r="E3032" s="1" t="s">
        <v>671</v>
      </c>
      <c r="F3032" s="1" t="s">
        <v>35</v>
      </c>
      <c r="G3032" s="2" t="s">
        <v>1</v>
      </c>
      <c r="H3032" s="3" t="s">
        <v>84</v>
      </c>
      <c r="I3032" s="3" t="s">
        <v>85</v>
      </c>
      <c r="J3032" s="3" t="s">
        <v>66</v>
      </c>
      <c r="K3032" s="4">
        <v>491.85</v>
      </c>
      <c r="L3032" s="6">
        <v>18.97</v>
      </c>
    </row>
    <row r="3033" spans="1:12" x14ac:dyDescent="0.25">
      <c r="A3033" s="1">
        <v>3032</v>
      </c>
      <c r="B3033" s="4">
        <v>21796</v>
      </c>
      <c r="C3033" s="5">
        <v>41035</v>
      </c>
      <c r="D3033" s="3" t="s">
        <v>82</v>
      </c>
      <c r="E3033" s="1" t="s">
        <v>110</v>
      </c>
      <c r="F3033" s="1" t="s">
        <v>34</v>
      </c>
      <c r="G3033" s="2" t="s">
        <v>1</v>
      </c>
      <c r="H3033" s="3" t="s">
        <v>97</v>
      </c>
      <c r="I3033" s="3" t="s">
        <v>92</v>
      </c>
      <c r="J3033" s="3" t="s">
        <v>62</v>
      </c>
      <c r="K3033" s="4">
        <v>4744.6400000000003</v>
      </c>
      <c r="L3033" s="6">
        <v>99.99</v>
      </c>
    </row>
    <row r="3034" spans="1:12" x14ac:dyDescent="0.25">
      <c r="A3034" s="1">
        <v>3033</v>
      </c>
      <c r="B3034" s="4">
        <v>21796</v>
      </c>
      <c r="C3034" s="5">
        <v>41035</v>
      </c>
      <c r="D3034" s="3" t="s">
        <v>82</v>
      </c>
      <c r="E3034" s="1" t="s">
        <v>110</v>
      </c>
      <c r="F3034" s="1" t="s">
        <v>34</v>
      </c>
      <c r="G3034" s="2" t="s">
        <v>1</v>
      </c>
      <c r="H3034" s="3" t="s">
        <v>97</v>
      </c>
      <c r="I3034" s="3" t="s">
        <v>92</v>
      </c>
      <c r="J3034" s="3" t="s">
        <v>61</v>
      </c>
      <c r="K3034" s="4">
        <v>40.825499999999998</v>
      </c>
      <c r="L3034" s="6">
        <v>20.99</v>
      </c>
    </row>
    <row r="3035" spans="1:12" x14ac:dyDescent="0.25">
      <c r="A3035" s="1">
        <v>3034</v>
      </c>
      <c r="B3035" s="4">
        <v>21796</v>
      </c>
      <c r="C3035" s="5">
        <v>41035</v>
      </c>
      <c r="D3035" s="3" t="s">
        <v>82</v>
      </c>
      <c r="E3035" s="1" t="s">
        <v>1067</v>
      </c>
      <c r="F3035" s="1" t="s">
        <v>34</v>
      </c>
      <c r="G3035" s="2" t="s">
        <v>1</v>
      </c>
      <c r="H3035" s="3" t="s">
        <v>97</v>
      </c>
      <c r="I3035" s="3" t="s">
        <v>85</v>
      </c>
      <c r="J3035" s="3" t="s">
        <v>71</v>
      </c>
      <c r="K3035" s="4">
        <v>607.13</v>
      </c>
      <c r="L3035" s="6">
        <v>15.67</v>
      </c>
    </row>
    <row r="3036" spans="1:12" x14ac:dyDescent="0.25">
      <c r="A3036" s="1">
        <v>3035</v>
      </c>
      <c r="B3036" s="4">
        <v>21796</v>
      </c>
      <c r="C3036" s="5">
        <v>41035</v>
      </c>
      <c r="D3036" s="3" t="s">
        <v>82</v>
      </c>
      <c r="E3036" s="1" t="s">
        <v>1067</v>
      </c>
      <c r="F3036" s="1" t="s">
        <v>34</v>
      </c>
      <c r="G3036" s="2" t="s">
        <v>1</v>
      </c>
      <c r="H3036" s="3" t="s">
        <v>97</v>
      </c>
      <c r="I3036" s="3" t="s">
        <v>85</v>
      </c>
      <c r="J3036" s="3" t="s">
        <v>64</v>
      </c>
      <c r="K3036" s="4">
        <v>34.22</v>
      </c>
      <c r="L3036" s="6">
        <v>1.1399999999999999</v>
      </c>
    </row>
    <row r="3037" spans="1:12" x14ac:dyDescent="0.25">
      <c r="A3037" s="1">
        <v>3036</v>
      </c>
      <c r="B3037" s="4">
        <v>21799</v>
      </c>
      <c r="C3037" s="5">
        <v>40652</v>
      </c>
      <c r="D3037" s="3" t="s">
        <v>86</v>
      </c>
      <c r="E3037" s="1" t="s">
        <v>412</v>
      </c>
      <c r="F3037" s="1" t="s">
        <v>42</v>
      </c>
      <c r="G3037" s="2" t="s">
        <v>3</v>
      </c>
      <c r="H3037" s="3" t="s">
        <v>88</v>
      </c>
      <c r="I3037" s="3" t="s">
        <v>85</v>
      </c>
      <c r="J3037" s="3" t="s">
        <v>63</v>
      </c>
      <c r="K3037" s="4">
        <v>115.99</v>
      </c>
      <c r="L3037" s="6">
        <v>2.6</v>
      </c>
    </row>
    <row r="3038" spans="1:12" x14ac:dyDescent="0.25">
      <c r="A3038" s="1">
        <v>3037</v>
      </c>
      <c r="B3038" s="4">
        <v>21824</v>
      </c>
      <c r="C3038" s="5">
        <v>40581</v>
      </c>
      <c r="D3038" s="3" t="s">
        <v>82</v>
      </c>
      <c r="E3038" s="1" t="s">
        <v>817</v>
      </c>
      <c r="F3038" s="1" t="s">
        <v>13</v>
      </c>
      <c r="G3038" s="2" t="s">
        <v>6</v>
      </c>
      <c r="H3038" s="3" t="s">
        <v>97</v>
      </c>
      <c r="I3038" s="3" t="s">
        <v>91</v>
      </c>
      <c r="J3038" s="3" t="s">
        <v>59</v>
      </c>
      <c r="K3038" s="4">
        <v>3351.55</v>
      </c>
      <c r="L3038" s="6">
        <v>90.98</v>
      </c>
    </row>
    <row r="3039" spans="1:12" x14ac:dyDescent="0.25">
      <c r="A3039" s="1">
        <v>3038</v>
      </c>
      <c r="B3039" s="4">
        <v>21827</v>
      </c>
      <c r="C3039" s="5">
        <v>41222</v>
      </c>
      <c r="D3039" s="3" t="s">
        <v>86</v>
      </c>
      <c r="E3039" s="1" t="s">
        <v>981</v>
      </c>
      <c r="F3039" s="1" t="s">
        <v>24</v>
      </c>
      <c r="G3039" s="2" t="s">
        <v>2</v>
      </c>
      <c r="H3039" s="3" t="s">
        <v>88</v>
      </c>
      <c r="I3039" s="3" t="s">
        <v>85</v>
      </c>
      <c r="J3039" s="3" t="s">
        <v>70</v>
      </c>
      <c r="K3039" s="4">
        <v>1351.78</v>
      </c>
      <c r="L3039" s="6">
        <v>56.96</v>
      </c>
    </row>
    <row r="3040" spans="1:12" x14ac:dyDescent="0.25">
      <c r="A3040" s="1">
        <v>3039</v>
      </c>
      <c r="B3040" s="4">
        <v>21827</v>
      </c>
      <c r="C3040" s="5">
        <v>41222</v>
      </c>
      <c r="D3040" s="3" t="s">
        <v>86</v>
      </c>
      <c r="E3040" s="1" t="s">
        <v>981</v>
      </c>
      <c r="F3040" s="1" t="s">
        <v>24</v>
      </c>
      <c r="G3040" s="2" t="s">
        <v>2</v>
      </c>
      <c r="H3040" s="3" t="s">
        <v>88</v>
      </c>
      <c r="I3040" s="3" t="s">
        <v>92</v>
      </c>
      <c r="J3040" s="3" t="s">
        <v>62</v>
      </c>
      <c r="K3040" s="4">
        <v>1560.96</v>
      </c>
      <c r="L3040" s="6">
        <v>73.98</v>
      </c>
    </row>
    <row r="3041" spans="1:12" x14ac:dyDescent="0.25">
      <c r="A3041" s="1">
        <v>3040</v>
      </c>
      <c r="B3041" s="4">
        <v>21830</v>
      </c>
      <c r="C3041" s="5">
        <v>39824</v>
      </c>
      <c r="D3041" s="3" t="s">
        <v>82</v>
      </c>
      <c r="E3041" s="1" t="s">
        <v>591</v>
      </c>
      <c r="F3041" s="1" t="s">
        <v>19</v>
      </c>
      <c r="G3041" s="2" t="s">
        <v>3</v>
      </c>
      <c r="H3041" s="3" t="s">
        <v>100</v>
      </c>
      <c r="I3041" s="3" t="s">
        <v>92</v>
      </c>
      <c r="J3041" s="3" t="s">
        <v>67</v>
      </c>
      <c r="K3041" s="4">
        <v>6991.65</v>
      </c>
      <c r="L3041" s="6">
        <v>399.98</v>
      </c>
    </row>
    <row r="3042" spans="1:12" x14ac:dyDescent="0.25">
      <c r="A3042" s="1">
        <v>3041</v>
      </c>
      <c r="B3042" s="4">
        <v>21831</v>
      </c>
      <c r="C3042" s="5">
        <v>40075</v>
      </c>
      <c r="D3042" s="3" t="s">
        <v>86</v>
      </c>
      <c r="E3042" s="1" t="s">
        <v>225</v>
      </c>
      <c r="F3042" s="1" t="s">
        <v>14</v>
      </c>
      <c r="G3042" s="2" t="s">
        <v>2</v>
      </c>
      <c r="H3042" s="3" t="s">
        <v>100</v>
      </c>
      <c r="I3042" s="3" t="s">
        <v>85</v>
      </c>
      <c r="J3042" s="3" t="s">
        <v>65</v>
      </c>
      <c r="K3042" s="4">
        <v>28.39</v>
      </c>
      <c r="L3042" s="6">
        <v>4.9800000000000004</v>
      </c>
    </row>
    <row r="3043" spans="1:12" x14ac:dyDescent="0.25">
      <c r="A3043" s="1">
        <v>3042</v>
      </c>
      <c r="B3043" s="4">
        <v>21856</v>
      </c>
      <c r="C3043" s="5">
        <v>41004</v>
      </c>
      <c r="D3043" s="3" t="s">
        <v>86</v>
      </c>
      <c r="E3043" s="1" t="s">
        <v>655</v>
      </c>
      <c r="F3043" s="1" t="s">
        <v>28</v>
      </c>
      <c r="G3043" s="2" t="s">
        <v>6</v>
      </c>
      <c r="H3043" s="3" t="s">
        <v>88</v>
      </c>
      <c r="I3043" s="3" t="s">
        <v>85</v>
      </c>
      <c r="J3043" s="3" t="s">
        <v>65</v>
      </c>
      <c r="K3043" s="4">
        <v>168.55</v>
      </c>
      <c r="L3043" s="6">
        <v>3.69</v>
      </c>
    </row>
    <row r="3044" spans="1:12" x14ac:dyDescent="0.25">
      <c r="A3044" s="1">
        <v>3043</v>
      </c>
      <c r="B3044" s="4">
        <v>21856</v>
      </c>
      <c r="C3044" s="5">
        <v>41004</v>
      </c>
      <c r="D3044" s="3" t="s">
        <v>86</v>
      </c>
      <c r="E3044" s="1" t="s">
        <v>655</v>
      </c>
      <c r="F3044" s="1" t="s">
        <v>28</v>
      </c>
      <c r="G3044" s="2" t="s">
        <v>6</v>
      </c>
      <c r="H3044" s="3" t="s">
        <v>88</v>
      </c>
      <c r="I3044" s="3" t="s">
        <v>85</v>
      </c>
      <c r="J3044" s="3" t="s">
        <v>58</v>
      </c>
      <c r="K3044" s="4">
        <v>77.03</v>
      </c>
      <c r="L3044" s="6">
        <v>3.14</v>
      </c>
    </row>
    <row r="3045" spans="1:12" x14ac:dyDescent="0.25">
      <c r="A3045" s="1">
        <v>3044</v>
      </c>
      <c r="B3045" s="4">
        <v>21859</v>
      </c>
      <c r="C3045" s="5">
        <v>40865</v>
      </c>
      <c r="D3045" s="3" t="s">
        <v>89</v>
      </c>
      <c r="E3045" s="1" t="s">
        <v>156</v>
      </c>
      <c r="F3045" s="1" t="s">
        <v>35</v>
      </c>
      <c r="G3045" s="2" t="s">
        <v>1</v>
      </c>
      <c r="H3045" s="3" t="s">
        <v>88</v>
      </c>
      <c r="I3045" s="3" t="s">
        <v>91</v>
      </c>
      <c r="J3045" s="3" t="s">
        <v>59</v>
      </c>
      <c r="K3045" s="4">
        <v>401.37</v>
      </c>
      <c r="L3045" s="6">
        <v>9.74</v>
      </c>
    </row>
    <row r="3046" spans="1:12" x14ac:dyDescent="0.25">
      <c r="A3046" s="1">
        <v>3045</v>
      </c>
      <c r="B3046" s="4">
        <v>21860</v>
      </c>
      <c r="C3046" s="5">
        <v>41027</v>
      </c>
      <c r="D3046" s="3" t="s">
        <v>95</v>
      </c>
      <c r="E3046" s="1" t="s">
        <v>1068</v>
      </c>
      <c r="F3046" s="1" t="s">
        <v>29</v>
      </c>
      <c r="G3046" s="2" t="s">
        <v>3</v>
      </c>
      <c r="H3046" s="3" t="s">
        <v>100</v>
      </c>
      <c r="I3046" s="3" t="s">
        <v>91</v>
      </c>
      <c r="J3046" s="3" t="s">
        <v>59</v>
      </c>
      <c r="K3046" s="4">
        <v>73.7</v>
      </c>
      <c r="L3046" s="6">
        <v>7.59</v>
      </c>
    </row>
    <row r="3047" spans="1:12" x14ac:dyDescent="0.25">
      <c r="A3047" s="1">
        <v>3046</v>
      </c>
      <c r="B3047" s="4">
        <v>21861</v>
      </c>
      <c r="C3047" s="5">
        <v>40043</v>
      </c>
      <c r="D3047" s="3" t="s">
        <v>95</v>
      </c>
      <c r="E3047" s="1" t="s">
        <v>111</v>
      </c>
      <c r="F3047" s="1" t="s">
        <v>23</v>
      </c>
      <c r="G3047" s="2" t="s">
        <v>3</v>
      </c>
      <c r="H3047" s="3" t="s">
        <v>97</v>
      </c>
      <c r="I3047" s="3" t="s">
        <v>92</v>
      </c>
      <c r="J3047" s="3" t="s">
        <v>62</v>
      </c>
      <c r="K3047" s="4">
        <v>244.9</v>
      </c>
      <c r="L3047" s="6">
        <v>47.98</v>
      </c>
    </row>
    <row r="3048" spans="1:12" x14ac:dyDescent="0.25">
      <c r="A3048" s="1">
        <v>3047</v>
      </c>
      <c r="B3048" s="4">
        <v>21862</v>
      </c>
      <c r="C3048" s="5">
        <v>40433</v>
      </c>
      <c r="D3048" s="3" t="s">
        <v>86</v>
      </c>
      <c r="E3048" s="1" t="s">
        <v>264</v>
      </c>
      <c r="F3048" s="1" t="s">
        <v>32</v>
      </c>
      <c r="G3048" s="2" t="s">
        <v>2</v>
      </c>
      <c r="H3048" s="3" t="s">
        <v>100</v>
      </c>
      <c r="I3048" s="3" t="s">
        <v>85</v>
      </c>
      <c r="J3048" s="3" t="s">
        <v>69</v>
      </c>
      <c r="K3048" s="4">
        <v>28.75</v>
      </c>
      <c r="L3048" s="6">
        <v>14.27</v>
      </c>
    </row>
    <row r="3049" spans="1:12" x14ac:dyDescent="0.25">
      <c r="A3049" s="1">
        <v>3048</v>
      </c>
      <c r="B3049" s="4">
        <v>21862</v>
      </c>
      <c r="C3049" s="5">
        <v>40433</v>
      </c>
      <c r="D3049" s="3" t="s">
        <v>86</v>
      </c>
      <c r="E3049" s="1" t="s">
        <v>264</v>
      </c>
      <c r="F3049" s="1" t="s">
        <v>32</v>
      </c>
      <c r="G3049" s="2" t="s">
        <v>2</v>
      </c>
      <c r="H3049" s="3" t="s">
        <v>100</v>
      </c>
      <c r="I3049" s="3" t="s">
        <v>92</v>
      </c>
      <c r="J3049" s="3" t="s">
        <v>67</v>
      </c>
      <c r="K3049" s="4">
        <v>19014.240000000002</v>
      </c>
      <c r="L3049" s="6">
        <v>6783.02</v>
      </c>
    </row>
    <row r="3050" spans="1:12" x14ac:dyDescent="0.25">
      <c r="A3050" s="1">
        <v>3049</v>
      </c>
      <c r="B3050" s="4">
        <v>21862</v>
      </c>
      <c r="C3050" s="5">
        <v>40433</v>
      </c>
      <c r="D3050" s="3" t="s">
        <v>86</v>
      </c>
      <c r="E3050" s="1" t="s">
        <v>264</v>
      </c>
      <c r="F3050" s="1" t="s">
        <v>32</v>
      </c>
      <c r="G3050" s="2" t="s">
        <v>2</v>
      </c>
      <c r="H3050" s="3" t="s">
        <v>100</v>
      </c>
      <c r="I3050" s="3" t="s">
        <v>85</v>
      </c>
      <c r="J3050" s="3" t="s">
        <v>63</v>
      </c>
      <c r="K3050" s="4">
        <v>385.05</v>
      </c>
      <c r="L3050" s="6">
        <v>8.14</v>
      </c>
    </row>
    <row r="3051" spans="1:12" x14ac:dyDescent="0.25">
      <c r="A3051" s="1">
        <v>3050</v>
      </c>
      <c r="B3051" s="4">
        <v>21863</v>
      </c>
      <c r="C3051" s="5">
        <v>40503</v>
      </c>
      <c r="D3051" s="3" t="s">
        <v>86</v>
      </c>
      <c r="E3051" s="1" t="s">
        <v>436</v>
      </c>
      <c r="F3051" s="1" t="s">
        <v>41</v>
      </c>
      <c r="G3051" s="2" t="s">
        <v>6</v>
      </c>
      <c r="H3051" s="3" t="s">
        <v>84</v>
      </c>
      <c r="I3051" s="3" t="s">
        <v>85</v>
      </c>
      <c r="J3051" s="3" t="s">
        <v>69</v>
      </c>
      <c r="K3051" s="4">
        <v>85.77</v>
      </c>
      <c r="L3051" s="6">
        <v>2.84</v>
      </c>
    </row>
    <row r="3052" spans="1:12" x14ac:dyDescent="0.25">
      <c r="A3052" s="1">
        <v>3051</v>
      </c>
      <c r="B3052" s="4">
        <v>21863</v>
      </c>
      <c r="C3052" s="5">
        <v>40503</v>
      </c>
      <c r="D3052" s="3" t="s">
        <v>86</v>
      </c>
      <c r="E3052" s="1" t="s">
        <v>436</v>
      </c>
      <c r="F3052" s="1" t="s">
        <v>41</v>
      </c>
      <c r="G3052" s="2" t="s">
        <v>6</v>
      </c>
      <c r="H3052" s="3" t="s">
        <v>84</v>
      </c>
      <c r="I3052" s="3" t="s">
        <v>85</v>
      </c>
      <c r="J3052" s="3" t="s">
        <v>69</v>
      </c>
      <c r="K3052" s="4">
        <v>149.31</v>
      </c>
      <c r="L3052" s="6">
        <v>10.98</v>
      </c>
    </row>
    <row r="3053" spans="1:12" x14ac:dyDescent="0.25">
      <c r="A3053" s="1">
        <v>3052</v>
      </c>
      <c r="B3053" s="4">
        <v>21889</v>
      </c>
      <c r="C3053" s="5">
        <v>40269</v>
      </c>
      <c r="D3053" s="3" t="s">
        <v>82</v>
      </c>
      <c r="E3053" s="1" t="s">
        <v>613</v>
      </c>
      <c r="F3053" s="1" t="s">
        <v>8</v>
      </c>
      <c r="G3053" s="2" t="s">
        <v>6</v>
      </c>
      <c r="H3053" s="3" t="s">
        <v>100</v>
      </c>
      <c r="I3053" s="3" t="s">
        <v>91</v>
      </c>
      <c r="J3053" s="3" t="s">
        <v>59</v>
      </c>
      <c r="K3053" s="4">
        <v>1049.79</v>
      </c>
      <c r="L3053" s="6">
        <v>51.75</v>
      </c>
    </row>
    <row r="3054" spans="1:12" x14ac:dyDescent="0.25">
      <c r="A3054" s="1">
        <v>3053</v>
      </c>
      <c r="B3054" s="4">
        <v>21889</v>
      </c>
      <c r="C3054" s="5">
        <v>40269</v>
      </c>
      <c r="D3054" s="3" t="s">
        <v>82</v>
      </c>
      <c r="E3054" s="1" t="s">
        <v>613</v>
      </c>
      <c r="F3054" s="1" t="s">
        <v>8</v>
      </c>
      <c r="G3054" s="2" t="s">
        <v>6</v>
      </c>
      <c r="H3054" s="3" t="s">
        <v>100</v>
      </c>
      <c r="I3054" s="3" t="s">
        <v>85</v>
      </c>
      <c r="J3054" s="3" t="s">
        <v>57</v>
      </c>
      <c r="K3054" s="4">
        <v>817.18</v>
      </c>
      <c r="L3054" s="6">
        <v>55.29</v>
      </c>
    </row>
    <row r="3055" spans="1:12" x14ac:dyDescent="0.25">
      <c r="A3055" s="1">
        <v>3054</v>
      </c>
      <c r="B3055" s="4">
        <v>21890</v>
      </c>
      <c r="C3055" s="5">
        <v>40567</v>
      </c>
      <c r="D3055" s="3" t="s">
        <v>86</v>
      </c>
      <c r="E3055" s="1" t="s">
        <v>231</v>
      </c>
      <c r="F3055" s="1" t="s">
        <v>43</v>
      </c>
      <c r="G3055" s="2" t="s">
        <v>1</v>
      </c>
      <c r="H3055" s="3" t="s">
        <v>84</v>
      </c>
      <c r="I3055" s="3" t="s">
        <v>85</v>
      </c>
      <c r="J3055" s="3" t="s">
        <v>63</v>
      </c>
      <c r="K3055" s="4">
        <v>81.900000000000006</v>
      </c>
      <c r="L3055" s="6">
        <v>2.94</v>
      </c>
    </row>
    <row r="3056" spans="1:12" x14ac:dyDescent="0.25">
      <c r="A3056" s="1">
        <v>3055</v>
      </c>
      <c r="B3056" s="4">
        <v>21890</v>
      </c>
      <c r="C3056" s="5">
        <v>40567</v>
      </c>
      <c r="D3056" s="3" t="s">
        <v>86</v>
      </c>
      <c r="E3056" s="1" t="s">
        <v>996</v>
      </c>
      <c r="F3056" s="1" t="s">
        <v>24</v>
      </c>
      <c r="G3056" s="2" t="s">
        <v>2</v>
      </c>
      <c r="H3056" s="3" t="s">
        <v>84</v>
      </c>
      <c r="I3056" s="3" t="s">
        <v>85</v>
      </c>
      <c r="J3056" s="3" t="s">
        <v>71</v>
      </c>
      <c r="K3056" s="4">
        <v>495.5</v>
      </c>
      <c r="L3056" s="6">
        <v>11.58</v>
      </c>
    </row>
    <row r="3057" spans="1:12" x14ac:dyDescent="0.25">
      <c r="A3057" s="1">
        <v>3056</v>
      </c>
      <c r="B3057" s="4">
        <v>21892</v>
      </c>
      <c r="C3057" s="5">
        <v>40363</v>
      </c>
      <c r="D3057" s="3" t="s">
        <v>89</v>
      </c>
      <c r="E3057" s="1" t="s">
        <v>972</v>
      </c>
      <c r="F3057" s="1" t="s">
        <v>11</v>
      </c>
      <c r="G3057" s="2" t="s">
        <v>6</v>
      </c>
      <c r="H3057" s="3" t="s">
        <v>88</v>
      </c>
      <c r="I3057" s="3" t="s">
        <v>85</v>
      </c>
      <c r="J3057" s="3" t="s">
        <v>69</v>
      </c>
      <c r="K3057" s="4">
        <v>34.880000000000003</v>
      </c>
      <c r="L3057" s="6">
        <v>4.91</v>
      </c>
    </row>
    <row r="3058" spans="1:12" x14ac:dyDescent="0.25">
      <c r="A3058" s="1">
        <v>3057</v>
      </c>
      <c r="B3058" s="4">
        <v>21893</v>
      </c>
      <c r="C3058" s="5">
        <v>40840</v>
      </c>
      <c r="D3058" s="3" t="s">
        <v>95</v>
      </c>
      <c r="E3058" s="1" t="s">
        <v>385</v>
      </c>
      <c r="F3058" s="1" t="s">
        <v>13</v>
      </c>
      <c r="G3058" s="2" t="s">
        <v>6</v>
      </c>
      <c r="H3058" s="3" t="s">
        <v>97</v>
      </c>
      <c r="I3058" s="3" t="s">
        <v>85</v>
      </c>
      <c r="J3058" s="3" t="s">
        <v>71</v>
      </c>
      <c r="K3058" s="4">
        <v>532.11</v>
      </c>
      <c r="L3058" s="6">
        <v>17.07</v>
      </c>
    </row>
    <row r="3059" spans="1:12" x14ac:dyDescent="0.25">
      <c r="A3059" s="1">
        <v>3058</v>
      </c>
      <c r="B3059" s="4">
        <v>21894</v>
      </c>
      <c r="C3059" s="5">
        <v>40895</v>
      </c>
      <c r="D3059" s="3" t="s">
        <v>95</v>
      </c>
      <c r="E3059" s="1" t="s">
        <v>1069</v>
      </c>
      <c r="F3059" s="1" t="s">
        <v>41</v>
      </c>
      <c r="G3059" s="2" t="s">
        <v>6</v>
      </c>
      <c r="H3059" s="3" t="s">
        <v>100</v>
      </c>
      <c r="I3059" s="3" t="s">
        <v>85</v>
      </c>
      <c r="J3059" s="3" t="s">
        <v>66</v>
      </c>
      <c r="K3059" s="4">
        <v>54.3</v>
      </c>
      <c r="L3059" s="6">
        <v>9.68</v>
      </c>
    </row>
    <row r="3060" spans="1:12" x14ac:dyDescent="0.25">
      <c r="A3060" s="1">
        <v>3059</v>
      </c>
      <c r="B3060" s="4">
        <v>21922</v>
      </c>
      <c r="C3060" s="5">
        <v>40128</v>
      </c>
      <c r="D3060" s="3" t="s">
        <v>89</v>
      </c>
      <c r="E3060" s="1" t="s">
        <v>1070</v>
      </c>
      <c r="F3060" s="1" t="s">
        <v>51</v>
      </c>
      <c r="G3060" s="2" t="s">
        <v>1</v>
      </c>
      <c r="H3060" s="3" t="s">
        <v>88</v>
      </c>
      <c r="I3060" s="3" t="s">
        <v>91</v>
      </c>
      <c r="J3060" s="3" t="s">
        <v>72</v>
      </c>
      <c r="K3060" s="4">
        <v>8937.3799999999992</v>
      </c>
      <c r="L3060" s="6">
        <v>500.98</v>
      </c>
    </row>
    <row r="3061" spans="1:12" x14ac:dyDescent="0.25">
      <c r="A3061" s="1">
        <v>3060</v>
      </c>
      <c r="B3061" s="4">
        <v>21922</v>
      </c>
      <c r="C3061" s="5">
        <v>40128</v>
      </c>
      <c r="D3061" s="3" t="s">
        <v>89</v>
      </c>
      <c r="E3061" s="1" t="s">
        <v>1070</v>
      </c>
      <c r="F3061" s="1" t="s">
        <v>51</v>
      </c>
      <c r="G3061" s="2" t="s">
        <v>1</v>
      </c>
      <c r="H3061" s="3" t="s">
        <v>88</v>
      </c>
      <c r="I3061" s="3" t="s">
        <v>91</v>
      </c>
      <c r="J3061" s="3" t="s">
        <v>59</v>
      </c>
      <c r="K3061" s="4">
        <v>108.85</v>
      </c>
      <c r="L3061" s="6">
        <v>9.77</v>
      </c>
    </row>
    <row r="3062" spans="1:12" x14ac:dyDescent="0.25">
      <c r="A3062" s="1">
        <v>3061</v>
      </c>
      <c r="B3062" s="4">
        <v>21922</v>
      </c>
      <c r="C3062" s="5">
        <v>40128</v>
      </c>
      <c r="D3062" s="3" t="s">
        <v>89</v>
      </c>
      <c r="E3062" s="1" t="s">
        <v>1070</v>
      </c>
      <c r="F3062" s="1" t="s">
        <v>51</v>
      </c>
      <c r="G3062" s="2" t="s">
        <v>1</v>
      </c>
      <c r="H3062" s="3" t="s">
        <v>88</v>
      </c>
      <c r="I3062" s="3" t="s">
        <v>85</v>
      </c>
      <c r="J3062" s="3" t="s">
        <v>63</v>
      </c>
      <c r="K3062" s="4">
        <v>157.47</v>
      </c>
      <c r="L3062" s="6">
        <v>3.28</v>
      </c>
    </row>
    <row r="3063" spans="1:12" x14ac:dyDescent="0.25">
      <c r="A3063" s="1">
        <v>3062</v>
      </c>
      <c r="B3063" s="4">
        <v>21925</v>
      </c>
      <c r="C3063" s="5">
        <v>41102</v>
      </c>
      <c r="D3063" s="3" t="s">
        <v>86</v>
      </c>
      <c r="E3063" s="1" t="s">
        <v>1071</v>
      </c>
      <c r="F3063" s="1" t="s">
        <v>44</v>
      </c>
      <c r="G3063" s="2" t="s">
        <v>3</v>
      </c>
      <c r="H3063" s="3" t="s">
        <v>97</v>
      </c>
      <c r="I3063" s="3" t="s">
        <v>92</v>
      </c>
      <c r="J3063" s="3" t="s">
        <v>62</v>
      </c>
      <c r="K3063" s="4">
        <v>236.32</v>
      </c>
      <c r="L3063" s="6">
        <v>77.510000000000005</v>
      </c>
    </row>
    <row r="3064" spans="1:12" x14ac:dyDescent="0.25">
      <c r="A3064" s="1">
        <v>3063</v>
      </c>
      <c r="B3064" s="4">
        <v>21927</v>
      </c>
      <c r="C3064" s="5">
        <v>40887</v>
      </c>
      <c r="D3064" s="3" t="s">
        <v>89</v>
      </c>
      <c r="E3064" s="1" t="s">
        <v>601</v>
      </c>
      <c r="F3064" s="1" t="s">
        <v>24</v>
      </c>
      <c r="G3064" s="2" t="s">
        <v>2</v>
      </c>
      <c r="H3064" s="3" t="s">
        <v>97</v>
      </c>
      <c r="I3064" s="3" t="s">
        <v>91</v>
      </c>
      <c r="J3064" s="3" t="s">
        <v>72</v>
      </c>
      <c r="K3064" s="4">
        <v>8225.24</v>
      </c>
      <c r="L3064" s="6">
        <v>350.98</v>
      </c>
    </row>
    <row r="3065" spans="1:12" x14ac:dyDescent="0.25">
      <c r="A3065" s="1">
        <v>3064</v>
      </c>
      <c r="B3065" s="4">
        <v>21956</v>
      </c>
      <c r="C3065" s="5">
        <v>40575</v>
      </c>
      <c r="D3065" s="3" t="s">
        <v>89</v>
      </c>
      <c r="E3065" s="1" t="s">
        <v>891</v>
      </c>
      <c r="F3065" s="1" t="s">
        <v>23</v>
      </c>
      <c r="G3065" s="2" t="s">
        <v>3</v>
      </c>
      <c r="H3065" s="3" t="s">
        <v>100</v>
      </c>
      <c r="I3065" s="3" t="s">
        <v>92</v>
      </c>
      <c r="J3065" s="3" t="s">
        <v>61</v>
      </c>
      <c r="K3065" s="4">
        <v>125.273</v>
      </c>
      <c r="L3065" s="6">
        <v>65.989999999999995</v>
      </c>
    </row>
    <row r="3066" spans="1:12" x14ac:dyDescent="0.25">
      <c r="A3066" s="1">
        <v>3065</v>
      </c>
      <c r="B3066" s="4">
        <v>21958</v>
      </c>
      <c r="C3066" s="5">
        <v>39969</v>
      </c>
      <c r="D3066" s="3" t="s">
        <v>89</v>
      </c>
      <c r="E3066" s="1" t="s">
        <v>735</v>
      </c>
      <c r="F3066" s="1" t="s">
        <v>34</v>
      </c>
      <c r="G3066" s="2" t="s">
        <v>1</v>
      </c>
      <c r="H3066" s="3" t="s">
        <v>100</v>
      </c>
      <c r="I3066" s="3" t="s">
        <v>85</v>
      </c>
      <c r="J3066" s="3" t="s">
        <v>70</v>
      </c>
      <c r="K3066" s="4">
        <v>4998.03</v>
      </c>
      <c r="L3066" s="6">
        <v>363.25</v>
      </c>
    </row>
    <row r="3067" spans="1:12" x14ac:dyDescent="0.25">
      <c r="A3067" s="1">
        <v>3066</v>
      </c>
      <c r="B3067" s="4">
        <v>21985</v>
      </c>
      <c r="C3067" s="5">
        <v>40051</v>
      </c>
      <c r="D3067" s="3" t="s">
        <v>95</v>
      </c>
      <c r="E3067" s="1" t="s">
        <v>412</v>
      </c>
      <c r="F3067" s="1" t="s">
        <v>42</v>
      </c>
      <c r="G3067" s="2" t="s">
        <v>3</v>
      </c>
      <c r="H3067" s="3" t="s">
        <v>88</v>
      </c>
      <c r="I3067" s="3" t="s">
        <v>91</v>
      </c>
      <c r="J3067" s="3" t="s">
        <v>72</v>
      </c>
      <c r="K3067" s="4">
        <v>255.83</v>
      </c>
      <c r="L3067" s="6">
        <v>226.67</v>
      </c>
    </row>
    <row r="3068" spans="1:12" x14ac:dyDescent="0.25">
      <c r="A3068" s="1">
        <v>3067</v>
      </c>
      <c r="B3068" s="4">
        <v>21985</v>
      </c>
      <c r="C3068" s="5">
        <v>40051</v>
      </c>
      <c r="D3068" s="3" t="s">
        <v>95</v>
      </c>
      <c r="E3068" s="1" t="s">
        <v>412</v>
      </c>
      <c r="F3068" s="1" t="s">
        <v>42</v>
      </c>
      <c r="G3068" s="2" t="s">
        <v>3</v>
      </c>
      <c r="H3068" s="3" t="s">
        <v>88</v>
      </c>
      <c r="I3068" s="3" t="s">
        <v>85</v>
      </c>
      <c r="J3068" s="3" t="s">
        <v>57</v>
      </c>
      <c r="K3068" s="4">
        <v>947.66</v>
      </c>
      <c r="L3068" s="6">
        <v>20.98</v>
      </c>
    </row>
    <row r="3069" spans="1:12" x14ac:dyDescent="0.25">
      <c r="A3069" s="1">
        <v>3068</v>
      </c>
      <c r="B3069" s="4">
        <v>21988</v>
      </c>
      <c r="C3069" s="5">
        <v>40265</v>
      </c>
      <c r="D3069" s="3" t="s">
        <v>4</v>
      </c>
      <c r="E3069" s="1" t="s">
        <v>682</v>
      </c>
      <c r="F3069" s="1" t="s">
        <v>24</v>
      </c>
      <c r="G3069" s="2" t="s">
        <v>2</v>
      </c>
      <c r="H3069" s="3" t="s">
        <v>88</v>
      </c>
      <c r="I3069" s="3" t="s">
        <v>85</v>
      </c>
      <c r="J3069" s="3" t="s">
        <v>70</v>
      </c>
      <c r="K3069" s="4">
        <v>1337.19</v>
      </c>
      <c r="L3069" s="6">
        <v>328.14</v>
      </c>
    </row>
    <row r="3070" spans="1:12" x14ac:dyDescent="0.25">
      <c r="A3070" s="1">
        <v>3069</v>
      </c>
      <c r="B3070" s="4">
        <v>21989</v>
      </c>
      <c r="C3070" s="5">
        <v>40584</v>
      </c>
      <c r="D3070" s="3" t="s">
        <v>82</v>
      </c>
      <c r="E3070" s="1" t="s">
        <v>897</v>
      </c>
      <c r="F3070" s="1" t="s">
        <v>35</v>
      </c>
      <c r="G3070" s="2" t="s">
        <v>1</v>
      </c>
      <c r="H3070" s="3" t="s">
        <v>97</v>
      </c>
      <c r="I3070" s="3" t="s">
        <v>91</v>
      </c>
      <c r="J3070" s="3" t="s">
        <v>59</v>
      </c>
      <c r="K3070" s="4">
        <v>118.95</v>
      </c>
      <c r="L3070" s="6">
        <v>12.07</v>
      </c>
    </row>
    <row r="3071" spans="1:12" x14ac:dyDescent="0.25">
      <c r="A3071" s="1">
        <v>3070</v>
      </c>
      <c r="B3071" s="4">
        <v>21989</v>
      </c>
      <c r="C3071" s="5">
        <v>40584</v>
      </c>
      <c r="D3071" s="3" t="s">
        <v>82</v>
      </c>
      <c r="E3071" s="1" t="s">
        <v>897</v>
      </c>
      <c r="F3071" s="1" t="s">
        <v>35</v>
      </c>
      <c r="G3071" s="2" t="s">
        <v>1</v>
      </c>
      <c r="H3071" s="3" t="s">
        <v>97</v>
      </c>
      <c r="I3071" s="3" t="s">
        <v>92</v>
      </c>
      <c r="J3071" s="3" t="s">
        <v>61</v>
      </c>
      <c r="K3071" s="4">
        <v>3814.1710000000003</v>
      </c>
      <c r="L3071" s="6">
        <v>125.99</v>
      </c>
    </row>
    <row r="3072" spans="1:12" x14ac:dyDescent="0.25">
      <c r="A3072" s="1">
        <v>3071</v>
      </c>
      <c r="B3072" s="4">
        <v>22020</v>
      </c>
      <c r="C3072" s="5">
        <v>40315</v>
      </c>
      <c r="D3072" s="3" t="s">
        <v>95</v>
      </c>
      <c r="E3072" s="1" t="s">
        <v>174</v>
      </c>
      <c r="F3072" s="1" t="s">
        <v>43</v>
      </c>
      <c r="G3072" s="2" t="s">
        <v>1</v>
      </c>
      <c r="H3072" s="3" t="s">
        <v>88</v>
      </c>
      <c r="I3072" s="3" t="s">
        <v>85</v>
      </c>
      <c r="J3072" s="3" t="s">
        <v>57</v>
      </c>
      <c r="K3072" s="4">
        <v>498.28</v>
      </c>
      <c r="L3072" s="6">
        <v>13.48</v>
      </c>
    </row>
    <row r="3073" spans="1:12" x14ac:dyDescent="0.25">
      <c r="A3073" s="1">
        <v>3072</v>
      </c>
      <c r="B3073" s="4">
        <v>22022</v>
      </c>
      <c r="C3073" s="5">
        <v>40271</v>
      </c>
      <c r="D3073" s="3" t="s">
        <v>95</v>
      </c>
      <c r="E3073" s="1" t="s">
        <v>299</v>
      </c>
      <c r="F3073" s="1" t="s">
        <v>41</v>
      </c>
      <c r="G3073" s="2" t="s">
        <v>6</v>
      </c>
      <c r="H3073" s="3" t="s">
        <v>84</v>
      </c>
      <c r="I3073" s="3" t="s">
        <v>92</v>
      </c>
      <c r="J3073" s="3" t="s">
        <v>67</v>
      </c>
      <c r="K3073" s="4">
        <v>1409.86</v>
      </c>
      <c r="L3073" s="6">
        <v>1500.97</v>
      </c>
    </row>
    <row r="3074" spans="1:12" x14ac:dyDescent="0.25">
      <c r="A3074" s="1">
        <v>3073</v>
      </c>
      <c r="B3074" s="4">
        <v>22051</v>
      </c>
      <c r="C3074" s="5">
        <v>40907</v>
      </c>
      <c r="D3074" s="3" t="s">
        <v>86</v>
      </c>
      <c r="E3074" s="1" t="s">
        <v>1072</v>
      </c>
      <c r="F3074" s="1" t="s">
        <v>23</v>
      </c>
      <c r="G3074" s="2" t="s">
        <v>3</v>
      </c>
      <c r="H3074" s="3" t="s">
        <v>88</v>
      </c>
      <c r="I3074" s="3" t="s">
        <v>85</v>
      </c>
      <c r="J3074" s="3" t="s">
        <v>66</v>
      </c>
      <c r="K3074" s="4">
        <v>209.33</v>
      </c>
      <c r="L3074" s="6">
        <v>4.9800000000000004</v>
      </c>
    </row>
    <row r="3075" spans="1:12" x14ac:dyDescent="0.25">
      <c r="A3075" s="1">
        <v>3074</v>
      </c>
      <c r="B3075" s="4">
        <v>22053</v>
      </c>
      <c r="C3075" s="5">
        <v>40411</v>
      </c>
      <c r="D3075" s="3" t="s">
        <v>95</v>
      </c>
      <c r="E3075" s="1" t="s">
        <v>1073</v>
      </c>
      <c r="F3075" s="1" t="s">
        <v>25</v>
      </c>
      <c r="G3075" s="2" t="s">
        <v>6</v>
      </c>
      <c r="H3075" s="3" t="s">
        <v>88</v>
      </c>
      <c r="I3075" s="3" t="s">
        <v>85</v>
      </c>
      <c r="J3075" s="3" t="s">
        <v>69</v>
      </c>
      <c r="K3075" s="4">
        <v>563.08000000000004</v>
      </c>
      <c r="L3075" s="6">
        <v>18.989999999999998</v>
      </c>
    </row>
    <row r="3076" spans="1:12" x14ac:dyDescent="0.25">
      <c r="A3076" s="1">
        <v>3075</v>
      </c>
      <c r="B3076" s="4">
        <v>22054</v>
      </c>
      <c r="C3076" s="5">
        <v>40388</v>
      </c>
      <c r="D3076" s="3" t="s">
        <v>4</v>
      </c>
      <c r="E3076" s="1" t="s">
        <v>146</v>
      </c>
      <c r="F3076" s="1" t="s">
        <v>13</v>
      </c>
      <c r="G3076" s="2" t="s">
        <v>6</v>
      </c>
      <c r="H3076" s="3" t="s">
        <v>88</v>
      </c>
      <c r="I3076" s="3" t="s">
        <v>91</v>
      </c>
      <c r="J3076" s="3" t="s">
        <v>59</v>
      </c>
      <c r="K3076" s="4">
        <v>216.79</v>
      </c>
      <c r="L3076" s="6">
        <v>6.98</v>
      </c>
    </row>
    <row r="3077" spans="1:12" x14ac:dyDescent="0.25">
      <c r="A3077" s="1">
        <v>3076</v>
      </c>
      <c r="B3077" s="4">
        <v>22055</v>
      </c>
      <c r="C3077" s="5">
        <v>41175</v>
      </c>
      <c r="D3077" s="3" t="s">
        <v>4</v>
      </c>
      <c r="E3077" s="1" t="s">
        <v>940</v>
      </c>
      <c r="F3077" s="1" t="s">
        <v>15</v>
      </c>
      <c r="G3077" s="2" t="s">
        <v>1</v>
      </c>
      <c r="H3077" s="3" t="s">
        <v>88</v>
      </c>
      <c r="I3077" s="3" t="s">
        <v>91</v>
      </c>
      <c r="J3077" s="3" t="s">
        <v>72</v>
      </c>
      <c r="K3077" s="4">
        <v>6147.24</v>
      </c>
      <c r="L3077" s="6">
        <v>160.97999999999999</v>
      </c>
    </row>
    <row r="3078" spans="1:12" x14ac:dyDescent="0.25">
      <c r="A3078" s="1">
        <v>3077</v>
      </c>
      <c r="B3078" s="4">
        <v>22083</v>
      </c>
      <c r="C3078" s="5">
        <v>39861</v>
      </c>
      <c r="D3078" s="3" t="s">
        <v>95</v>
      </c>
      <c r="E3078" s="1" t="s">
        <v>825</v>
      </c>
      <c r="F3078" s="1" t="s">
        <v>24</v>
      </c>
      <c r="G3078" s="2" t="s">
        <v>2</v>
      </c>
      <c r="H3078" s="3" t="s">
        <v>88</v>
      </c>
      <c r="I3078" s="3" t="s">
        <v>85</v>
      </c>
      <c r="J3078" s="3" t="s">
        <v>66</v>
      </c>
      <c r="K3078" s="4">
        <v>16.809999999999999</v>
      </c>
      <c r="L3078" s="6">
        <v>6.04</v>
      </c>
    </row>
    <row r="3079" spans="1:12" x14ac:dyDescent="0.25">
      <c r="A3079" s="1">
        <v>3078</v>
      </c>
      <c r="B3079" s="4">
        <v>22085</v>
      </c>
      <c r="C3079" s="5">
        <v>40977</v>
      </c>
      <c r="D3079" s="3" t="s">
        <v>82</v>
      </c>
      <c r="E3079" s="1" t="s">
        <v>1025</v>
      </c>
      <c r="F3079" s="1" t="s">
        <v>23</v>
      </c>
      <c r="G3079" s="2" t="s">
        <v>3</v>
      </c>
      <c r="H3079" s="3" t="s">
        <v>97</v>
      </c>
      <c r="I3079" s="3" t="s">
        <v>85</v>
      </c>
      <c r="J3079" s="3" t="s">
        <v>66</v>
      </c>
      <c r="K3079" s="4">
        <v>265.61</v>
      </c>
      <c r="L3079" s="6">
        <v>6.48</v>
      </c>
    </row>
    <row r="3080" spans="1:12" x14ac:dyDescent="0.25">
      <c r="A3080" s="1">
        <v>3079</v>
      </c>
      <c r="B3080" s="4">
        <v>22085</v>
      </c>
      <c r="C3080" s="5">
        <v>40977</v>
      </c>
      <c r="D3080" s="3" t="s">
        <v>82</v>
      </c>
      <c r="E3080" s="1" t="s">
        <v>1025</v>
      </c>
      <c r="F3080" s="1" t="s">
        <v>23</v>
      </c>
      <c r="G3080" s="2" t="s">
        <v>3</v>
      </c>
      <c r="H3080" s="3" t="s">
        <v>97</v>
      </c>
      <c r="I3080" s="3" t="s">
        <v>85</v>
      </c>
      <c r="J3080" s="3" t="s">
        <v>57</v>
      </c>
      <c r="K3080" s="4">
        <v>485.03</v>
      </c>
      <c r="L3080" s="6">
        <v>17.7</v>
      </c>
    </row>
    <row r="3081" spans="1:12" x14ac:dyDescent="0.25">
      <c r="A3081" s="1">
        <v>3080</v>
      </c>
      <c r="B3081" s="4">
        <v>22086</v>
      </c>
      <c r="C3081" s="5">
        <v>40892</v>
      </c>
      <c r="D3081" s="3" t="s">
        <v>4</v>
      </c>
      <c r="E3081" s="1" t="s">
        <v>1074</v>
      </c>
      <c r="F3081" s="1" t="s">
        <v>23</v>
      </c>
      <c r="G3081" s="2" t="s">
        <v>3</v>
      </c>
      <c r="H3081" s="3" t="s">
        <v>84</v>
      </c>
      <c r="I3081" s="3" t="s">
        <v>91</v>
      </c>
      <c r="J3081" s="3" t="s">
        <v>72</v>
      </c>
      <c r="K3081" s="4">
        <v>2039.33</v>
      </c>
      <c r="L3081" s="6">
        <v>95.95</v>
      </c>
    </row>
    <row r="3082" spans="1:12" x14ac:dyDescent="0.25">
      <c r="A3082" s="1">
        <v>3081</v>
      </c>
      <c r="B3082" s="4">
        <v>22115</v>
      </c>
      <c r="C3082" s="5">
        <v>40344</v>
      </c>
      <c r="D3082" s="3" t="s">
        <v>82</v>
      </c>
      <c r="E3082" s="1" t="s">
        <v>389</v>
      </c>
      <c r="F3082" s="1" t="s">
        <v>21</v>
      </c>
      <c r="G3082" s="2" t="s">
        <v>1</v>
      </c>
      <c r="H3082" s="3" t="s">
        <v>100</v>
      </c>
      <c r="I3082" s="3" t="s">
        <v>92</v>
      </c>
      <c r="J3082" s="3" t="s">
        <v>67</v>
      </c>
      <c r="K3082" s="4">
        <v>751.94</v>
      </c>
      <c r="L3082" s="6">
        <v>145.44999999999999</v>
      </c>
    </row>
    <row r="3083" spans="1:12" x14ac:dyDescent="0.25">
      <c r="A3083" s="1">
        <v>3082</v>
      </c>
      <c r="B3083" s="4">
        <v>22117</v>
      </c>
      <c r="C3083" s="5">
        <v>40402</v>
      </c>
      <c r="D3083" s="3" t="s">
        <v>95</v>
      </c>
      <c r="E3083" s="1" t="s">
        <v>1075</v>
      </c>
      <c r="F3083" s="1" t="s">
        <v>26</v>
      </c>
      <c r="G3083" s="2" t="s">
        <v>3</v>
      </c>
      <c r="H3083" s="3" t="s">
        <v>97</v>
      </c>
      <c r="I3083" s="3" t="s">
        <v>85</v>
      </c>
      <c r="J3083" s="3" t="s">
        <v>66</v>
      </c>
      <c r="K3083" s="4">
        <v>581.52</v>
      </c>
      <c r="L3083" s="6">
        <v>35.44</v>
      </c>
    </row>
    <row r="3084" spans="1:12" x14ac:dyDescent="0.25">
      <c r="A3084" s="1">
        <v>3083</v>
      </c>
      <c r="B3084" s="4">
        <v>22117</v>
      </c>
      <c r="C3084" s="5">
        <v>40402</v>
      </c>
      <c r="D3084" s="3" t="s">
        <v>95</v>
      </c>
      <c r="E3084" s="1" t="s">
        <v>1075</v>
      </c>
      <c r="F3084" s="1" t="s">
        <v>26</v>
      </c>
      <c r="G3084" s="2" t="s">
        <v>3</v>
      </c>
      <c r="H3084" s="3" t="s">
        <v>97</v>
      </c>
      <c r="I3084" s="3" t="s">
        <v>85</v>
      </c>
      <c r="J3084" s="3" t="s">
        <v>63</v>
      </c>
      <c r="K3084" s="4">
        <v>19.170000000000002</v>
      </c>
      <c r="L3084" s="6">
        <v>3.28</v>
      </c>
    </row>
    <row r="3085" spans="1:12" x14ac:dyDescent="0.25">
      <c r="A3085" s="1">
        <v>3084</v>
      </c>
      <c r="B3085" s="4">
        <v>22118</v>
      </c>
      <c r="C3085" s="5">
        <v>39831</v>
      </c>
      <c r="D3085" s="3" t="s">
        <v>89</v>
      </c>
      <c r="E3085" s="1" t="s">
        <v>1076</v>
      </c>
      <c r="F3085" s="1" t="s">
        <v>23</v>
      </c>
      <c r="G3085" s="2" t="s">
        <v>3</v>
      </c>
      <c r="H3085" s="3" t="s">
        <v>88</v>
      </c>
      <c r="I3085" s="3" t="s">
        <v>85</v>
      </c>
      <c r="J3085" s="3" t="s">
        <v>69</v>
      </c>
      <c r="K3085" s="4">
        <v>2842.54</v>
      </c>
      <c r="L3085" s="6">
        <v>58.1</v>
      </c>
    </row>
    <row r="3086" spans="1:12" x14ac:dyDescent="0.25">
      <c r="A3086" s="1">
        <v>3085</v>
      </c>
      <c r="B3086" s="4">
        <v>22119</v>
      </c>
      <c r="C3086" s="5">
        <v>40018</v>
      </c>
      <c r="D3086" s="3" t="s">
        <v>82</v>
      </c>
      <c r="E3086" s="1" t="s">
        <v>272</v>
      </c>
      <c r="F3086" s="1" t="s">
        <v>28</v>
      </c>
      <c r="G3086" s="2" t="s">
        <v>6</v>
      </c>
      <c r="H3086" s="3" t="s">
        <v>88</v>
      </c>
      <c r="I3086" s="3" t="s">
        <v>85</v>
      </c>
      <c r="J3086" s="3" t="s">
        <v>70</v>
      </c>
      <c r="K3086" s="4">
        <v>939.39</v>
      </c>
      <c r="L3086" s="6">
        <v>49.43</v>
      </c>
    </row>
    <row r="3087" spans="1:12" x14ac:dyDescent="0.25">
      <c r="A3087" s="1">
        <v>3086</v>
      </c>
      <c r="B3087" s="4">
        <v>22147</v>
      </c>
      <c r="C3087" s="5">
        <v>39829</v>
      </c>
      <c r="D3087" s="3" t="s">
        <v>82</v>
      </c>
      <c r="E3087" s="1" t="s">
        <v>464</v>
      </c>
      <c r="F3087" s="1" t="s">
        <v>19</v>
      </c>
      <c r="G3087" s="2" t="s">
        <v>3</v>
      </c>
      <c r="H3087" s="3" t="s">
        <v>88</v>
      </c>
      <c r="I3087" s="3" t="s">
        <v>91</v>
      </c>
      <c r="J3087" s="3" t="s">
        <v>59</v>
      </c>
      <c r="K3087" s="4">
        <v>832.14</v>
      </c>
      <c r="L3087" s="6">
        <v>22.72</v>
      </c>
    </row>
    <row r="3088" spans="1:12" x14ac:dyDescent="0.25">
      <c r="A3088" s="1">
        <v>3087</v>
      </c>
      <c r="B3088" s="4">
        <v>22149</v>
      </c>
      <c r="C3088" s="5">
        <v>40809</v>
      </c>
      <c r="D3088" s="3" t="s">
        <v>82</v>
      </c>
      <c r="E3088" s="1" t="s">
        <v>505</v>
      </c>
      <c r="F3088" s="1" t="s">
        <v>43</v>
      </c>
      <c r="G3088" s="2" t="s">
        <v>1</v>
      </c>
      <c r="H3088" s="3" t="s">
        <v>84</v>
      </c>
      <c r="I3088" s="3" t="s">
        <v>85</v>
      </c>
      <c r="J3088" s="3" t="s">
        <v>63</v>
      </c>
      <c r="K3088" s="4">
        <v>191.13</v>
      </c>
      <c r="L3088" s="6">
        <v>4.26</v>
      </c>
    </row>
    <row r="3089" spans="1:12" x14ac:dyDescent="0.25">
      <c r="A3089" s="1">
        <v>3088</v>
      </c>
      <c r="B3089" s="4">
        <v>22149</v>
      </c>
      <c r="C3089" s="5">
        <v>40809</v>
      </c>
      <c r="D3089" s="3" t="s">
        <v>82</v>
      </c>
      <c r="E3089" s="1" t="s">
        <v>381</v>
      </c>
      <c r="F3089" s="1" t="s">
        <v>21</v>
      </c>
      <c r="G3089" s="2" t="s">
        <v>1</v>
      </c>
      <c r="H3089" s="3" t="s">
        <v>84</v>
      </c>
      <c r="I3089" s="3" t="s">
        <v>85</v>
      </c>
      <c r="J3089" s="3" t="s">
        <v>63</v>
      </c>
      <c r="K3089" s="4">
        <v>48.24</v>
      </c>
      <c r="L3089" s="6">
        <v>2.88</v>
      </c>
    </row>
    <row r="3090" spans="1:12" x14ac:dyDescent="0.25">
      <c r="A3090" s="1">
        <v>3089</v>
      </c>
      <c r="B3090" s="4">
        <v>22151</v>
      </c>
      <c r="C3090" s="5">
        <v>40390</v>
      </c>
      <c r="D3090" s="3" t="s">
        <v>89</v>
      </c>
      <c r="E3090" s="1" t="s">
        <v>501</v>
      </c>
      <c r="F3090" s="1" t="s">
        <v>8</v>
      </c>
      <c r="G3090" s="2" t="s">
        <v>6</v>
      </c>
      <c r="H3090" s="3" t="s">
        <v>88</v>
      </c>
      <c r="I3090" s="3" t="s">
        <v>91</v>
      </c>
      <c r="J3090" s="3" t="s">
        <v>59</v>
      </c>
      <c r="K3090" s="4">
        <v>465.83</v>
      </c>
      <c r="L3090" s="6">
        <v>9.65</v>
      </c>
    </row>
    <row r="3091" spans="1:12" x14ac:dyDescent="0.25">
      <c r="A3091" s="1">
        <v>3090</v>
      </c>
      <c r="B3091" s="4">
        <v>22151</v>
      </c>
      <c r="C3091" s="5">
        <v>40390</v>
      </c>
      <c r="D3091" s="3" t="s">
        <v>89</v>
      </c>
      <c r="E3091" s="1" t="s">
        <v>874</v>
      </c>
      <c r="F3091" s="1" t="s">
        <v>35</v>
      </c>
      <c r="G3091" s="2" t="s">
        <v>1</v>
      </c>
      <c r="H3091" s="3" t="s">
        <v>88</v>
      </c>
      <c r="I3091" s="3" t="s">
        <v>85</v>
      </c>
      <c r="J3091" s="3" t="s">
        <v>69</v>
      </c>
      <c r="K3091" s="4">
        <v>515.37</v>
      </c>
      <c r="L3091" s="6">
        <v>24.92</v>
      </c>
    </row>
    <row r="3092" spans="1:12" x14ac:dyDescent="0.25">
      <c r="A3092" s="1">
        <v>3091</v>
      </c>
      <c r="B3092" s="4">
        <v>22181</v>
      </c>
      <c r="C3092" s="5">
        <v>40823</v>
      </c>
      <c r="D3092" s="3" t="s">
        <v>82</v>
      </c>
      <c r="E3092" s="1" t="s">
        <v>1077</v>
      </c>
      <c r="F3092" s="1" t="s">
        <v>13</v>
      </c>
      <c r="G3092" s="2" t="s">
        <v>6</v>
      </c>
      <c r="H3092" s="3" t="s">
        <v>88</v>
      </c>
      <c r="I3092" s="3" t="s">
        <v>85</v>
      </c>
      <c r="J3092" s="3" t="s">
        <v>64</v>
      </c>
      <c r="K3092" s="4">
        <v>258.13</v>
      </c>
      <c r="L3092" s="6">
        <v>6.08</v>
      </c>
    </row>
    <row r="3093" spans="1:12" x14ac:dyDescent="0.25">
      <c r="A3093" s="1">
        <v>3092</v>
      </c>
      <c r="B3093" s="4">
        <v>22182</v>
      </c>
      <c r="C3093" s="5">
        <v>41157</v>
      </c>
      <c r="D3093" s="3" t="s">
        <v>4</v>
      </c>
      <c r="E3093" s="1" t="s">
        <v>895</v>
      </c>
      <c r="F3093" s="1" t="s">
        <v>19</v>
      </c>
      <c r="G3093" s="2" t="s">
        <v>3</v>
      </c>
      <c r="H3093" s="3" t="s">
        <v>84</v>
      </c>
      <c r="I3093" s="3" t="s">
        <v>85</v>
      </c>
      <c r="J3093" s="3" t="s">
        <v>69</v>
      </c>
      <c r="K3093" s="4">
        <v>55.97</v>
      </c>
      <c r="L3093" s="6">
        <v>12.53</v>
      </c>
    </row>
    <row r="3094" spans="1:12" x14ac:dyDescent="0.25">
      <c r="A3094" s="1">
        <v>3093</v>
      </c>
      <c r="B3094" s="4">
        <v>22182</v>
      </c>
      <c r="C3094" s="5">
        <v>41157</v>
      </c>
      <c r="D3094" s="3" t="s">
        <v>4</v>
      </c>
      <c r="E3094" s="1" t="s">
        <v>895</v>
      </c>
      <c r="F3094" s="1" t="s">
        <v>19</v>
      </c>
      <c r="G3094" s="2" t="s">
        <v>3</v>
      </c>
      <c r="H3094" s="3" t="s">
        <v>84</v>
      </c>
      <c r="I3094" s="3" t="s">
        <v>92</v>
      </c>
      <c r="J3094" s="3" t="s">
        <v>62</v>
      </c>
      <c r="K3094" s="4">
        <v>174.72</v>
      </c>
      <c r="L3094" s="6">
        <v>19.98</v>
      </c>
    </row>
    <row r="3095" spans="1:12" x14ac:dyDescent="0.25">
      <c r="A3095" s="1">
        <v>3094</v>
      </c>
      <c r="B3095" s="4">
        <v>22182</v>
      </c>
      <c r="C3095" s="5">
        <v>41157</v>
      </c>
      <c r="D3095" s="3" t="s">
        <v>4</v>
      </c>
      <c r="E3095" s="1" t="s">
        <v>895</v>
      </c>
      <c r="F3095" s="1" t="s">
        <v>19</v>
      </c>
      <c r="G3095" s="2" t="s">
        <v>3</v>
      </c>
      <c r="H3095" s="3" t="s">
        <v>84</v>
      </c>
      <c r="I3095" s="3" t="s">
        <v>91</v>
      </c>
      <c r="J3095" s="3" t="s">
        <v>59</v>
      </c>
      <c r="K3095" s="4">
        <v>2271.37</v>
      </c>
      <c r="L3095" s="6">
        <v>49.34</v>
      </c>
    </row>
    <row r="3096" spans="1:12" x14ac:dyDescent="0.25">
      <c r="A3096" s="1">
        <v>3095</v>
      </c>
      <c r="B3096" s="4">
        <v>22183</v>
      </c>
      <c r="C3096" s="5">
        <v>41022</v>
      </c>
      <c r="D3096" s="3" t="s">
        <v>4</v>
      </c>
      <c r="E3096" s="1" t="s">
        <v>1078</v>
      </c>
      <c r="F3096" s="1" t="s">
        <v>20</v>
      </c>
      <c r="G3096" s="2" t="s">
        <v>1</v>
      </c>
      <c r="H3096" s="3" t="s">
        <v>88</v>
      </c>
      <c r="I3096" s="3" t="s">
        <v>85</v>
      </c>
      <c r="J3096" s="3" t="s">
        <v>63</v>
      </c>
      <c r="K3096" s="4">
        <v>177.22</v>
      </c>
      <c r="L3096" s="6">
        <v>5.84</v>
      </c>
    </row>
    <row r="3097" spans="1:12" x14ac:dyDescent="0.25">
      <c r="A3097" s="1">
        <v>3096</v>
      </c>
      <c r="B3097" s="4">
        <v>22208</v>
      </c>
      <c r="C3097" s="5">
        <v>40099</v>
      </c>
      <c r="D3097" s="3" t="s">
        <v>89</v>
      </c>
      <c r="E3097" s="1" t="s">
        <v>1058</v>
      </c>
      <c r="F3097" s="1" t="s">
        <v>22</v>
      </c>
      <c r="G3097" s="2" t="s">
        <v>6</v>
      </c>
      <c r="H3097" s="3" t="s">
        <v>97</v>
      </c>
      <c r="I3097" s="3" t="s">
        <v>92</v>
      </c>
      <c r="J3097" s="3" t="s">
        <v>62</v>
      </c>
      <c r="K3097" s="4">
        <v>1138.43</v>
      </c>
      <c r="L3097" s="6">
        <v>30.97</v>
      </c>
    </row>
    <row r="3098" spans="1:12" x14ac:dyDescent="0.25">
      <c r="A3098" s="1">
        <v>3097</v>
      </c>
      <c r="B3098" s="4">
        <v>22208</v>
      </c>
      <c r="C3098" s="5">
        <v>40099</v>
      </c>
      <c r="D3098" s="3" t="s">
        <v>89</v>
      </c>
      <c r="E3098" s="1" t="s">
        <v>1058</v>
      </c>
      <c r="F3098" s="1" t="s">
        <v>22</v>
      </c>
      <c r="G3098" s="2" t="s">
        <v>6</v>
      </c>
      <c r="H3098" s="3" t="s">
        <v>97</v>
      </c>
      <c r="I3098" s="3" t="s">
        <v>92</v>
      </c>
      <c r="J3098" s="3" t="s">
        <v>61</v>
      </c>
      <c r="K3098" s="4">
        <v>5271.0454999999993</v>
      </c>
      <c r="L3098" s="6">
        <v>125.99</v>
      </c>
    </row>
    <row r="3099" spans="1:12" x14ac:dyDescent="0.25">
      <c r="A3099" s="1">
        <v>3098</v>
      </c>
      <c r="B3099" s="4">
        <v>22210</v>
      </c>
      <c r="C3099" s="5">
        <v>40805</v>
      </c>
      <c r="D3099" s="3" t="s">
        <v>95</v>
      </c>
      <c r="E3099" s="1" t="s">
        <v>946</v>
      </c>
      <c r="F3099" s="1" t="s">
        <v>42</v>
      </c>
      <c r="G3099" s="2" t="s">
        <v>3</v>
      </c>
      <c r="H3099" s="3" t="s">
        <v>88</v>
      </c>
      <c r="I3099" s="3" t="s">
        <v>85</v>
      </c>
      <c r="J3099" s="3" t="s">
        <v>66</v>
      </c>
      <c r="K3099" s="4">
        <v>1033.44</v>
      </c>
      <c r="L3099" s="6">
        <v>29.14</v>
      </c>
    </row>
    <row r="3100" spans="1:12" x14ac:dyDescent="0.25">
      <c r="A3100" s="1">
        <v>3099</v>
      </c>
      <c r="B3100" s="4">
        <v>22211</v>
      </c>
      <c r="C3100" s="5">
        <v>40819</v>
      </c>
      <c r="D3100" s="3" t="s">
        <v>86</v>
      </c>
      <c r="E3100" s="1" t="s">
        <v>119</v>
      </c>
      <c r="F3100" s="1" t="s">
        <v>26</v>
      </c>
      <c r="G3100" s="2" t="s">
        <v>3</v>
      </c>
      <c r="H3100" s="3" t="s">
        <v>100</v>
      </c>
      <c r="I3100" s="3" t="s">
        <v>85</v>
      </c>
      <c r="J3100" s="3" t="s">
        <v>66</v>
      </c>
      <c r="K3100" s="4">
        <v>943.44</v>
      </c>
      <c r="L3100" s="6">
        <v>30.98</v>
      </c>
    </row>
    <row r="3101" spans="1:12" x14ac:dyDescent="0.25">
      <c r="A3101" s="1">
        <v>3100</v>
      </c>
      <c r="B3101" s="4">
        <v>22211</v>
      </c>
      <c r="C3101" s="5">
        <v>40819</v>
      </c>
      <c r="D3101" s="3" t="s">
        <v>86</v>
      </c>
      <c r="E3101" s="1" t="s">
        <v>119</v>
      </c>
      <c r="F3101" s="1" t="s">
        <v>26</v>
      </c>
      <c r="G3101" s="2" t="s">
        <v>3</v>
      </c>
      <c r="H3101" s="3" t="s">
        <v>100</v>
      </c>
      <c r="I3101" s="3" t="s">
        <v>91</v>
      </c>
      <c r="J3101" s="3" t="s">
        <v>60</v>
      </c>
      <c r="K3101" s="4">
        <v>14493.84</v>
      </c>
      <c r="L3101" s="6">
        <v>376.13</v>
      </c>
    </row>
    <row r="3102" spans="1:12" x14ac:dyDescent="0.25">
      <c r="A3102" s="1">
        <v>3101</v>
      </c>
      <c r="B3102" s="4">
        <v>22212</v>
      </c>
      <c r="C3102" s="5">
        <v>40438</v>
      </c>
      <c r="D3102" s="3" t="s">
        <v>4</v>
      </c>
      <c r="E3102" s="1" t="s">
        <v>766</v>
      </c>
      <c r="F3102" s="1" t="s">
        <v>12</v>
      </c>
      <c r="G3102" s="2" t="s">
        <v>2</v>
      </c>
      <c r="H3102" s="3" t="s">
        <v>97</v>
      </c>
      <c r="I3102" s="3" t="s">
        <v>85</v>
      </c>
      <c r="J3102" s="3" t="s">
        <v>69</v>
      </c>
      <c r="K3102" s="4">
        <v>116.22</v>
      </c>
      <c r="L3102" s="6">
        <v>5.98</v>
      </c>
    </row>
    <row r="3103" spans="1:12" x14ac:dyDescent="0.25">
      <c r="A3103" s="1">
        <v>3102</v>
      </c>
      <c r="B3103" s="4">
        <v>22242</v>
      </c>
      <c r="C3103" s="5">
        <v>39979</v>
      </c>
      <c r="D3103" s="3" t="s">
        <v>86</v>
      </c>
      <c r="E3103" s="1" t="s">
        <v>1079</v>
      </c>
      <c r="F3103" s="1" t="s">
        <v>39</v>
      </c>
      <c r="G3103" s="2" t="s">
        <v>1</v>
      </c>
      <c r="H3103" s="3" t="s">
        <v>97</v>
      </c>
      <c r="I3103" s="3" t="s">
        <v>85</v>
      </c>
      <c r="J3103" s="3" t="s">
        <v>66</v>
      </c>
      <c r="K3103" s="4">
        <v>329.91</v>
      </c>
      <c r="L3103" s="6">
        <v>6.48</v>
      </c>
    </row>
    <row r="3104" spans="1:12" x14ac:dyDescent="0.25">
      <c r="A3104" s="1">
        <v>3103</v>
      </c>
      <c r="B3104" s="4">
        <v>22243</v>
      </c>
      <c r="C3104" s="5">
        <v>39828</v>
      </c>
      <c r="D3104" s="3" t="s">
        <v>95</v>
      </c>
      <c r="E3104" s="1" t="s">
        <v>1080</v>
      </c>
      <c r="F3104" s="1" t="s">
        <v>19</v>
      </c>
      <c r="G3104" s="2" t="s">
        <v>3</v>
      </c>
      <c r="H3104" s="3" t="s">
        <v>100</v>
      </c>
      <c r="I3104" s="3" t="s">
        <v>85</v>
      </c>
      <c r="J3104" s="3" t="s">
        <v>63</v>
      </c>
      <c r="K3104" s="4">
        <v>24.76</v>
      </c>
      <c r="L3104" s="6">
        <v>2.88</v>
      </c>
    </row>
    <row r="3105" spans="1:12" x14ac:dyDescent="0.25">
      <c r="A3105" s="1">
        <v>3104</v>
      </c>
      <c r="B3105" s="4">
        <v>22272</v>
      </c>
      <c r="C3105" s="5">
        <v>41035</v>
      </c>
      <c r="D3105" s="3" t="s">
        <v>89</v>
      </c>
      <c r="E3105" s="1" t="s">
        <v>999</v>
      </c>
      <c r="F3105" s="1" t="s">
        <v>13</v>
      </c>
      <c r="G3105" s="2" t="s">
        <v>6</v>
      </c>
      <c r="H3105" s="3" t="s">
        <v>97</v>
      </c>
      <c r="I3105" s="3" t="s">
        <v>92</v>
      </c>
      <c r="J3105" s="3" t="s">
        <v>62</v>
      </c>
      <c r="K3105" s="4">
        <v>5382.24</v>
      </c>
      <c r="L3105" s="6">
        <v>152.47999999999999</v>
      </c>
    </row>
    <row r="3106" spans="1:12" x14ac:dyDescent="0.25">
      <c r="A3106" s="1">
        <v>3105</v>
      </c>
      <c r="B3106" s="4">
        <v>22272</v>
      </c>
      <c r="C3106" s="5">
        <v>41035</v>
      </c>
      <c r="D3106" s="3" t="s">
        <v>89</v>
      </c>
      <c r="E3106" s="1" t="s">
        <v>999</v>
      </c>
      <c r="F3106" s="1" t="s">
        <v>13</v>
      </c>
      <c r="G3106" s="2" t="s">
        <v>6</v>
      </c>
      <c r="H3106" s="3" t="s">
        <v>97</v>
      </c>
      <c r="I3106" s="3" t="s">
        <v>92</v>
      </c>
      <c r="J3106" s="3" t="s">
        <v>62</v>
      </c>
      <c r="K3106" s="4">
        <v>1035.95</v>
      </c>
      <c r="L3106" s="6">
        <v>35.409999999999997</v>
      </c>
    </row>
    <row r="3107" spans="1:12" x14ac:dyDescent="0.25">
      <c r="A3107" s="1">
        <v>3106</v>
      </c>
      <c r="B3107" s="4">
        <v>22279</v>
      </c>
      <c r="C3107" s="5">
        <v>40169</v>
      </c>
      <c r="D3107" s="3" t="s">
        <v>86</v>
      </c>
      <c r="E3107" s="1" t="s">
        <v>252</v>
      </c>
      <c r="F3107" s="1" t="s">
        <v>22</v>
      </c>
      <c r="G3107" s="2" t="s">
        <v>6</v>
      </c>
      <c r="H3107" s="3" t="s">
        <v>84</v>
      </c>
      <c r="I3107" s="3" t="s">
        <v>85</v>
      </c>
      <c r="J3107" s="3" t="s">
        <v>66</v>
      </c>
      <c r="K3107" s="4">
        <v>2463.6</v>
      </c>
      <c r="L3107" s="6">
        <v>54.96</v>
      </c>
    </row>
    <row r="3108" spans="1:12" x14ac:dyDescent="0.25">
      <c r="A3108" s="1">
        <v>3107</v>
      </c>
      <c r="B3108" s="4">
        <v>22304</v>
      </c>
      <c r="C3108" s="5">
        <v>40872</v>
      </c>
      <c r="D3108" s="3" t="s">
        <v>82</v>
      </c>
      <c r="E3108" s="1" t="s">
        <v>658</v>
      </c>
      <c r="F3108" s="1" t="s">
        <v>23</v>
      </c>
      <c r="G3108" s="2" t="s">
        <v>3</v>
      </c>
      <c r="H3108" s="3" t="s">
        <v>100</v>
      </c>
      <c r="I3108" s="3" t="s">
        <v>85</v>
      </c>
      <c r="J3108" s="3" t="s">
        <v>63</v>
      </c>
      <c r="K3108" s="4">
        <v>40.24</v>
      </c>
      <c r="L3108" s="6">
        <v>1.76</v>
      </c>
    </row>
    <row r="3109" spans="1:12" x14ac:dyDescent="0.25">
      <c r="A3109" s="1">
        <v>3108</v>
      </c>
      <c r="B3109" s="4">
        <v>22338</v>
      </c>
      <c r="C3109" s="5">
        <v>40312</v>
      </c>
      <c r="D3109" s="3" t="s">
        <v>4</v>
      </c>
      <c r="E3109" s="1" t="s">
        <v>237</v>
      </c>
      <c r="F3109" s="1" t="s">
        <v>21</v>
      </c>
      <c r="G3109" s="2" t="s">
        <v>1</v>
      </c>
      <c r="H3109" s="3" t="s">
        <v>100</v>
      </c>
      <c r="I3109" s="3" t="s">
        <v>85</v>
      </c>
      <c r="J3109" s="3" t="s">
        <v>66</v>
      </c>
      <c r="K3109" s="4">
        <v>200.08</v>
      </c>
      <c r="L3109" s="6">
        <v>5.28</v>
      </c>
    </row>
    <row r="3110" spans="1:12" x14ac:dyDescent="0.25">
      <c r="A3110" s="1">
        <v>3109</v>
      </c>
      <c r="B3110" s="4">
        <v>22338</v>
      </c>
      <c r="C3110" s="5">
        <v>40312</v>
      </c>
      <c r="D3110" s="3" t="s">
        <v>4</v>
      </c>
      <c r="E3110" s="1" t="s">
        <v>1081</v>
      </c>
      <c r="F3110" s="1" t="s">
        <v>20</v>
      </c>
      <c r="G3110" s="2" t="s">
        <v>1</v>
      </c>
      <c r="H3110" s="3" t="s">
        <v>100</v>
      </c>
      <c r="I3110" s="3" t="s">
        <v>92</v>
      </c>
      <c r="J3110" s="3" t="s">
        <v>62</v>
      </c>
      <c r="K3110" s="4">
        <v>790.24</v>
      </c>
      <c r="L3110" s="6">
        <v>35.770000000000003</v>
      </c>
    </row>
    <row r="3111" spans="1:12" x14ac:dyDescent="0.25">
      <c r="A3111" s="1">
        <v>3110</v>
      </c>
      <c r="B3111" s="4">
        <v>22342</v>
      </c>
      <c r="C3111" s="5">
        <v>39962</v>
      </c>
      <c r="D3111" s="3" t="s">
        <v>82</v>
      </c>
      <c r="E3111" s="1" t="s">
        <v>194</v>
      </c>
      <c r="F3111" s="1" t="s">
        <v>8</v>
      </c>
      <c r="G3111" s="2" t="s">
        <v>6</v>
      </c>
      <c r="H3111" s="3" t="s">
        <v>84</v>
      </c>
      <c r="I3111" s="3" t="s">
        <v>92</v>
      </c>
      <c r="J3111" s="3" t="s">
        <v>61</v>
      </c>
      <c r="K3111" s="4">
        <v>241.70600000000002</v>
      </c>
      <c r="L3111" s="6">
        <v>20.99</v>
      </c>
    </row>
    <row r="3112" spans="1:12" x14ac:dyDescent="0.25">
      <c r="A3112" s="1">
        <v>3111</v>
      </c>
      <c r="B3112" s="4">
        <v>22368</v>
      </c>
      <c r="C3112" s="5">
        <v>40228</v>
      </c>
      <c r="D3112" s="3" t="s">
        <v>4</v>
      </c>
      <c r="E3112" s="1" t="s">
        <v>166</v>
      </c>
      <c r="F3112" s="1" t="s">
        <v>25</v>
      </c>
      <c r="G3112" s="2" t="s">
        <v>6</v>
      </c>
      <c r="H3112" s="3" t="s">
        <v>100</v>
      </c>
      <c r="I3112" s="3" t="s">
        <v>92</v>
      </c>
      <c r="J3112" s="3" t="s">
        <v>62</v>
      </c>
      <c r="K3112" s="4">
        <v>192.12</v>
      </c>
      <c r="L3112" s="6">
        <v>39.24</v>
      </c>
    </row>
    <row r="3113" spans="1:12" x14ac:dyDescent="0.25">
      <c r="A3113" s="1">
        <v>3112</v>
      </c>
      <c r="B3113" s="4">
        <v>22368</v>
      </c>
      <c r="C3113" s="5">
        <v>40228</v>
      </c>
      <c r="D3113" s="3" t="s">
        <v>4</v>
      </c>
      <c r="E3113" s="1" t="s">
        <v>166</v>
      </c>
      <c r="F3113" s="1" t="s">
        <v>25</v>
      </c>
      <c r="G3113" s="2" t="s">
        <v>6</v>
      </c>
      <c r="H3113" s="3" t="s">
        <v>100</v>
      </c>
      <c r="I3113" s="3" t="s">
        <v>92</v>
      </c>
      <c r="J3113" s="3" t="s">
        <v>67</v>
      </c>
      <c r="K3113" s="4">
        <v>3917.61</v>
      </c>
      <c r="L3113" s="6">
        <v>119.99</v>
      </c>
    </row>
    <row r="3114" spans="1:12" x14ac:dyDescent="0.25">
      <c r="A3114" s="1">
        <v>3113</v>
      </c>
      <c r="B3114" s="4">
        <v>22368</v>
      </c>
      <c r="C3114" s="5">
        <v>40228</v>
      </c>
      <c r="D3114" s="3" t="s">
        <v>4</v>
      </c>
      <c r="E3114" s="1" t="s">
        <v>166</v>
      </c>
      <c r="F3114" s="1" t="s">
        <v>25</v>
      </c>
      <c r="G3114" s="2" t="s">
        <v>6</v>
      </c>
      <c r="H3114" s="3" t="s">
        <v>100</v>
      </c>
      <c r="I3114" s="3" t="s">
        <v>85</v>
      </c>
      <c r="J3114" s="3" t="s">
        <v>57</v>
      </c>
      <c r="K3114" s="4">
        <v>2788.04</v>
      </c>
      <c r="L3114" s="6">
        <v>80.98</v>
      </c>
    </row>
    <row r="3115" spans="1:12" x14ac:dyDescent="0.25">
      <c r="A3115" s="1">
        <v>3114</v>
      </c>
      <c r="B3115" s="4">
        <v>22371</v>
      </c>
      <c r="C3115" s="5">
        <v>39907</v>
      </c>
      <c r="D3115" s="3" t="s">
        <v>89</v>
      </c>
      <c r="E3115" s="1" t="s">
        <v>535</v>
      </c>
      <c r="F3115" s="1" t="s">
        <v>15</v>
      </c>
      <c r="G3115" s="2" t="s">
        <v>1</v>
      </c>
      <c r="H3115" s="3" t="s">
        <v>84</v>
      </c>
      <c r="I3115" s="3" t="s">
        <v>85</v>
      </c>
      <c r="J3115" s="3" t="s">
        <v>69</v>
      </c>
      <c r="K3115" s="4">
        <v>70.55</v>
      </c>
      <c r="L3115" s="6">
        <v>7.38</v>
      </c>
    </row>
    <row r="3116" spans="1:12" x14ac:dyDescent="0.25">
      <c r="A3116" s="1">
        <v>3115</v>
      </c>
      <c r="B3116" s="4">
        <v>22373</v>
      </c>
      <c r="C3116" s="5">
        <v>40996</v>
      </c>
      <c r="D3116" s="3" t="s">
        <v>89</v>
      </c>
      <c r="E3116" s="1" t="s">
        <v>146</v>
      </c>
      <c r="F3116" s="1" t="s">
        <v>13</v>
      </c>
      <c r="G3116" s="2" t="s">
        <v>6</v>
      </c>
      <c r="H3116" s="3" t="s">
        <v>88</v>
      </c>
      <c r="I3116" s="3" t="s">
        <v>85</v>
      </c>
      <c r="J3116" s="3" t="s">
        <v>71</v>
      </c>
      <c r="K3116" s="4">
        <v>233.03</v>
      </c>
      <c r="L3116" s="6">
        <v>8.74</v>
      </c>
    </row>
    <row r="3117" spans="1:12" x14ac:dyDescent="0.25">
      <c r="A3117" s="1">
        <v>3116</v>
      </c>
      <c r="B3117" s="4">
        <v>22375</v>
      </c>
      <c r="C3117" s="5">
        <v>40640</v>
      </c>
      <c r="D3117" s="3" t="s">
        <v>86</v>
      </c>
      <c r="E3117" s="1" t="s">
        <v>763</v>
      </c>
      <c r="F3117" s="1" t="s">
        <v>9</v>
      </c>
      <c r="G3117" s="2" t="s">
        <v>2</v>
      </c>
      <c r="H3117" s="3" t="s">
        <v>88</v>
      </c>
      <c r="I3117" s="3" t="s">
        <v>85</v>
      </c>
      <c r="J3117" s="3" t="s">
        <v>66</v>
      </c>
      <c r="K3117" s="4">
        <v>816.11</v>
      </c>
      <c r="L3117" s="6">
        <v>18.97</v>
      </c>
    </row>
    <row r="3118" spans="1:12" x14ac:dyDescent="0.25">
      <c r="A3118" s="1">
        <v>3117</v>
      </c>
      <c r="B3118" s="4">
        <v>22402</v>
      </c>
      <c r="C3118" s="5">
        <v>39960</v>
      </c>
      <c r="D3118" s="3" t="s">
        <v>95</v>
      </c>
      <c r="E3118" s="1" t="s">
        <v>410</v>
      </c>
      <c r="F3118" s="1" t="s">
        <v>24</v>
      </c>
      <c r="G3118" s="2" t="s">
        <v>2</v>
      </c>
      <c r="H3118" s="3" t="s">
        <v>97</v>
      </c>
      <c r="I3118" s="3" t="s">
        <v>85</v>
      </c>
      <c r="J3118" s="3" t="s">
        <v>69</v>
      </c>
      <c r="K3118" s="4">
        <v>1194.3399999999999</v>
      </c>
      <c r="L3118" s="6">
        <v>37.700000000000003</v>
      </c>
    </row>
    <row r="3119" spans="1:12" x14ac:dyDescent="0.25">
      <c r="A3119" s="1">
        <v>3118</v>
      </c>
      <c r="B3119" s="4">
        <v>22402</v>
      </c>
      <c r="C3119" s="5">
        <v>39960</v>
      </c>
      <c r="D3119" s="3" t="s">
        <v>95</v>
      </c>
      <c r="E3119" s="1" t="s">
        <v>1082</v>
      </c>
      <c r="F3119" s="1" t="s">
        <v>24</v>
      </c>
      <c r="G3119" s="2" t="s">
        <v>2</v>
      </c>
      <c r="H3119" s="3" t="s">
        <v>97</v>
      </c>
      <c r="I3119" s="3" t="s">
        <v>92</v>
      </c>
      <c r="J3119" s="3" t="s">
        <v>61</v>
      </c>
      <c r="K3119" s="4">
        <v>51.832999999999998</v>
      </c>
      <c r="L3119" s="6">
        <v>55.99</v>
      </c>
    </row>
    <row r="3120" spans="1:12" x14ac:dyDescent="0.25">
      <c r="A3120" s="1">
        <v>3119</v>
      </c>
      <c r="B3120" s="4">
        <v>22404</v>
      </c>
      <c r="C3120" s="5">
        <v>40498</v>
      </c>
      <c r="D3120" s="3" t="s">
        <v>82</v>
      </c>
      <c r="E3120" s="1" t="s">
        <v>549</v>
      </c>
      <c r="F3120" s="1" t="s">
        <v>26</v>
      </c>
      <c r="G3120" s="2" t="s">
        <v>3</v>
      </c>
      <c r="H3120" s="3" t="s">
        <v>97</v>
      </c>
      <c r="I3120" s="3" t="s">
        <v>91</v>
      </c>
      <c r="J3120" s="3" t="s">
        <v>72</v>
      </c>
      <c r="K3120" s="4">
        <v>7264.64</v>
      </c>
      <c r="L3120" s="6">
        <v>218.08</v>
      </c>
    </row>
    <row r="3121" spans="1:12" x14ac:dyDescent="0.25">
      <c r="A3121" s="1">
        <v>3120</v>
      </c>
      <c r="B3121" s="4">
        <v>22407</v>
      </c>
      <c r="C3121" s="5">
        <v>40134</v>
      </c>
      <c r="D3121" s="3" t="s">
        <v>86</v>
      </c>
      <c r="E3121" s="1" t="s">
        <v>814</v>
      </c>
      <c r="F3121" s="1" t="s">
        <v>45</v>
      </c>
      <c r="G3121" s="2" t="s">
        <v>3</v>
      </c>
      <c r="H3121" s="3" t="s">
        <v>88</v>
      </c>
      <c r="I3121" s="3" t="s">
        <v>85</v>
      </c>
      <c r="J3121" s="3" t="s">
        <v>69</v>
      </c>
      <c r="K3121" s="4">
        <v>676.44</v>
      </c>
      <c r="L3121" s="6">
        <v>34.54</v>
      </c>
    </row>
    <row r="3122" spans="1:12" x14ac:dyDescent="0.25">
      <c r="A3122" s="1">
        <v>3121</v>
      </c>
      <c r="B3122" s="4">
        <v>22407</v>
      </c>
      <c r="C3122" s="5">
        <v>40134</v>
      </c>
      <c r="D3122" s="3" t="s">
        <v>86</v>
      </c>
      <c r="E3122" s="1" t="s">
        <v>814</v>
      </c>
      <c r="F3122" s="1" t="s">
        <v>45</v>
      </c>
      <c r="G3122" s="2" t="s">
        <v>3</v>
      </c>
      <c r="H3122" s="3" t="s">
        <v>88</v>
      </c>
      <c r="I3122" s="3" t="s">
        <v>85</v>
      </c>
      <c r="J3122" s="3" t="s">
        <v>66</v>
      </c>
      <c r="K3122" s="4">
        <v>128.02000000000001</v>
      </c>
      <c r="L3122" s="6">
        <v>12.28</v>
      </c>
    </row>
    <row r="3123" spans="1:12" x14ac:dyDescent="0.25">
      <c r="A3123" s="1">
        <v>3122</v>
      </c>
      <c r="B3123" s="4">
        <v>22407</v>
      </c>
      <c r="C3123" s="5">
        <v>40134</v>
      </c>
      <c r="D3123" s="3" t="s">
        <v>86</v>
      </c>
      <c r="E3123" s="1" t="s">
        <v>814</v>
      </c>
      <c r="F3123" s="1" t="s">
        <v>45</v>
      </c>
      <c r="G3123" s="2" t="s">
        <v>3</v>
      </c>
      <c r="H3123" s="3" t="s">
        <v>88</v>
      </c>
      <c r="I3123" s="3" t="s">
        <v>85</v>
      </c>
      <c r="J3123" s="3" t="s">
        <v>63</v>
      </c>
      <c r="K3123" s="4">
        <v>526.82000000000005</v>
      </c>
      <c r="L3123" s="6">
        <v>34.58</v>
      </c>
    </row>
    <row r="3124" spans="1:12" x14ac:dyDescent="0.25">
      <c r="A3124" s="1">
        <v>3123</v>
      </c>
      <c r="B3124" s="4">
        <v>22432</v>
      </c>
      <c r="C3124" s="5">
        <v>41241</v>
      </c>
      <c r="D3124" s="3" t="s">
        <v>86</v>
      </c>
      <c r="E3124" s="1" t="s">
        <v>529</v>
      </c>
      <c r="F3124" s="1" t="s">
        <v>44</v>
      </c>
      <c r="G3124" s="2" t="s">
        <v>3</v>
      </c>
      <c r="H3124" s="3" t="s">
        <v>84</v>
      </c>
      <c r="I3124" s="3" t="s">
        <v>85</v>
      </c>
      <c r="J3124" s="3" t="s">
        <v>71</v>
      </c>
      <c r="K3124" s="4">
        <v>2728.42</v>
      </c>
      <c r="L3124" s="6">
        <v>60.98</v>
      </c>
    </row>
    <row r="3125" spans="1:12" x14ac:dyDescent="0.25">
      <c r="A3125" s="1">
        <v>3124</v>
      </c>
      <c r="B3125" s="4">
        <v>22433</v>
      </c>
      <c r="C3125" s="5">
        <v>40605</v>
      </c>
      <c r="D3125" s="3" t="s">
        <v>95</v>
      </c>
      <c r="E3125" s="1" t="s">
        <v>379</v>
      </c>
      <c r="F3125" s="1" t="s">
        <v>24</v>
      </c>
      <c r="G3125" s="2" t="s">
        <v>2</v>
      </c>
      <c r="H3125" s="3" t="s">
        <v>97</v>
      </c>
      <c r="I3125" s="3" t="s">
        <v>92</v>
      </c>
      <c r="J3125" s="3" t="s">
        <v>61</v>
      </c>
      <c r="K3125" s="4">
        <v>797.98</v>
      </c>
      <c r="L3125" s="6">
        <v>20.99</v>
      </c>
    </row>
    <row r="3126" spans="1:12" x14ac:dyDescent="0.25">
      <c r="A3126" s="1">
        <v>3125</v>
      </c>
      <c r="B3126" s="4">
        <v>22434</v>
      </c>
      <c r="C3126" s="5">
        <v>41150</v>
      </c>
      <c r="D3126" s="3" t="s">
        <v>95</v>
      </c>
      <c r="E3126" s="1" t="s">
        <v>440</v>
      </c>
      <c r="F3126" s="1" t="s">
        <v>13</v>
      </c>
      <c r="G3126" s="2" t="s">
        <v>6</v>
      </c>
      <c r="H3126" s="3" t="s">
        <v>100</v>
      </c>
      <c r="I3126" s="3" t="s">
        <v>85</v>
      </c>
      <c r="J3126" s="3" t="s">
        <v>69</v>
      </c>
      <c r="K3126" s="4">
        <v>18.7</v>
      </c>
      <c r="L3126" s="6">
        <v>4.54</v>
      </c>
    </row>
    <row r="3127" spans="1:12" x14ac:dyDescent="0.25">
      <c r="A3127" s="1">
        <v>3126</v>
      </c>
      <c r="B3127" s="4">
        <v>22434</v>
      </c>
      <c r="C3127" s="5">
        <v>41150</v>
      </c>
      <c r="D3127" s="3" t="s">
        <v>95</v>
      </c>
      <c r="E3127" s="1" t="s">
        <v>1083</v>
      </c>
      <c r="F3127" s="1" t="s">
        <v>13</v>
      </c>
      <c r="G3127" s="2" t="s">
        <v>6</v>
      </c>
      <c r="H3127" s="3" t="s">
        <v>100</v>
      </c>
      <c r="I3127" s="3" t="s">
        <v>85</v>
      </c>
      <c r="J3127" s="3" t="s">
        <v>63</v>
      </c>
      <c r="K3127" s="4">
        <v>140.74</v>
      </c>
      <c r="L3127" s="6">
        <v>3.28</v>
      </c>
    </row>
    <row r="3128" spans="1:12" x14ac:dyDescent="0.25">
      <c r="A3128" s="1">
        <v>3127</v>
      </c>
      <c r="B3128" s="4">
        <v>22465</v>
      </c>
      <c r="C3128" s="5">
        <v>41111</v>
      </c>
      <c r="D3128" s="3" t="s">
        <v>86</v>
      </c>
      <c r="E3128" s="1" t="s">
        <v>446</v>
      </c>
      <c r="F3128" s="1" t="s">
        <v>24</v>
      </c>
      <c r="G3128" s="2" t="s">
        <v>2</v>
      </c>
      <c r="H3128" s="3" t="s">
        <v>97</v>
      </c>
      <c r="I3128" s="3" t="s">
        <v>91</v>
      </c>
      <c r="J3128" s="3" t="s">
        <v>72</v>
      </c>
      <c r="K3128" s="4">
        <v>1121.78</v>
      </c>
      <c r="L3128" s="6">
        <v>270.98</v>
      </c>
    </row>
    <row r="3129" spans="1:12" x14ac:dyDescent="0.25">
      <c r="A3129" s="1">
        <v>3128</v>
      </c>
      <c r="B3129" s="4">
        <v>22466</v>
      </c>
      <c r="C3129" s="5">
        <v>40996</v>
      </c>
      <c r="D3129" s="3" t="s">
        <v>82</v>
      </c>
      <c r="E3129" s="1" t="s">
        <v>446</v>
      </c>
      <c r="F3129" s="1" t="s">
        <v>24</v>
      </c>
      <c r="G3129" s="2" t="s">
        <v>2</v>
      </c>
      <c r="H3129" s="3" t="s">
        <v>88</v>
      </c>
      <c r="I3129" s="3" t="s">
        <v>91</v>
      </c>
      <c r="J3129" s="3" t="s">
        <v>72</v>
      </c>
      <c r="K3129" s="4">
        <v>5404.18</v>
      </c>
      <c r="L3129" s="6">
        <v>180.98</v>
      </c>
    </row>
    <row r="3130" spans="1:12" x14ac:dyDescent="0.25">
      <c r="A3130" s="1">
        <v>3129</v>
      </c>
      <c r="B3130" s="4">
        <v>22466</v>
      </c>
      <c r="C3130" s="5">
        <v>40996</v>
      </c>
      <c r="D3130" s="3" t="s">
        <v>82</v>
      </c>
      <c r="E3130" s="1" t="s">
        <v>446</v>
      </c>
      <c r="F3130" s="1" t="s">
        <v>24</v>
      </c>
      <c r="G3130" s="2" t="s">
        <v>2</v>
      </c>
      <c r="H3130" s="3" t="s">
        <v>88</v>
      </c>
      <c r="I3130" s="3" t="s">
        <v>85</v>
      </c>
      <c r="J3130" s="3" t="s">
        <v>66</v>
      </c>
      <c r="K3130" s="4">
        <v>430.19</v>
      </c>
      <c r="L3130" s="6">
        <v>10.31</v>
      </c>
    </row>
    <row r="3131" spans="1:12" x14ac:dyDescent="0.25">
      <c r="A3131" s="1">
        <v>3130</v>
      </c>
      <c r="B3131" s="4">
        <v>22468</v>
      </c>
      <c r="C3131" s="5">
        <v>40339</v>
      </c>
      <c r="D3131" s="3" t="s">
        <v>86</v>
      </c>
      <c r="E3131" s="1" t="s">
        <v>393</v>
      </c>
      <c r="F3131" s="1" t="s">
        <v>34</v>
      </c>
      <c r="G3131" s="2" t="s">
        <v>1</v>
      </c>
      <c r="H3131" s="3" t="s">
        <v>84</v>
      </c>
      <c r="I3131" s="3" t="s">
        <v>85</v>
      </c>
      <c r="J3131" s="3" t="s">
        <v>69</v>
      </c>
      <c r="K3131" s="4">
        <v>323.11</v>
      </c>
      <c r="L3131" s="6">
        <v>20.98</v>
      </c>
    </row>
    <row r="3132" spans="1:12" x14ac:dyDescent="0.25">
      <c r="A3132" s="1">
        <v>3131</v>
      </c>
      <c r="B3132" s="4">
        <v>22468</v>
      </c>
      <c r="C3132" s="5">
        <v>40339</v>
      </c>
      <c r="D3132" s="3" t="s">
        <v>86</v>
      </c>
      <c r="E3132" s="1" t="s">
        <v>393</v>
      </c>
      <c r="F3132" s="1" t="s">
        <v>34</v>
      </c>
      <c r="G3132" s="2" t="s">
        <v>1</v>
      </c>
      <c r="H3132" s="3" t="s">
        <v>84</v>
      </c>
      <c r="I3132" s="3" t="s">
        <v>85</v>
      </c>
      <c r="J3132" s="3" t="s">
        <v>66</v>
      </c>
      <c r="K3132" s="4">
        <v>65.099999999999994</v>
      </c>
      <c r="L3132" s="6">
        <v>5.68</v>
      </c>
    </row>
    <row r="3133" spans="1:12" x14ac:dyDescent="0.25">
      <c r="A3133" s="1">
        <v>3132</v>
      </c>
      <c r="B3133" s="4">
        <v>22468</v>
      </c>
      <c r="C3133" s="5">
        <v>40339</v>
      </c>
      <c r="D3133" s="3" t="s">
        <v>86</v>
      </c>
      <c r="E3133" s="1" t="s">
        <v>1084</v>
      </c>
      <c r="F3133" s="1" t="s">
        <v>34</v>
      </c>
      <c r="G3133" s="2" t="s">
        <v>1</v>
      </c>
      <c r="H3133" s="3" t="s">
        <v>84</v>
      </c>
      <c r="I3133" s="3" t="s">
        <v>91</v>
      </c>
      <c r="J3133" s="3" t="s">
        <v>59</v>
      </c>
      <c r="K3133" s="4">
        <v>163.75</v>
      </c>
      <c r="L3133" s="6">
        <v>7.96</v>
      </c>
    </row>
    <row r="3134" spans="1:12" x14ac:dyDescent="0.25">
      <c r="A3134" s="1">
        <v>3133</v>
      </c>
      <c r="B3134" s="4">
        <v>22469</v>
      </c>
      <c r="C3134" s="5">
        <v>40462</v>
      </c>
      <c r="D3134" s="3" t="s">
        <v>89</v>
      </c>
      <c r="E3134" s="1" t="s">
        <v>1054</v>
      </c>
      <c r="F3134" s="1" t="s">
        <v>38</v>
      </c>
      <c r="G3134" s="2" t="s">
        <v>6</v>
      </c>
      <c r="H3134" s="3" t="s">
        <v>88</v>
      </c>
      <c r="I3134" s="3" t="s">
        <v>85</v>
      </c>
      <c r="J3134" s="3" t="s">
        <v>70</v>
      </c>
      <c r="K3134" s="4">
        <v>1482.81</v>
      </c>
      <c r="L3134" s="6">
        <v>60.98</v>
      </c>
    </row>
    <row r="3135" spans="1:12" x14ac:dyDescent="0.25">
      <c r="A3135" s="1">
        <v>3134</v>
      </c>
      <c r="B3135" s="4">
        <v>22469</v>
      </c>
      <c r="C3135" s="5">
        <v>40462</v>
      </c>
      <c r="D3135" s="3" t="s">
        <v>89</v>
      </c>
      <c r="E3135" s="1" t="s">
        <v>1054</v>
      </c>
      <c r="F3135" s="1" t="s">
        <v>38</v>
      </c>
      <c r="G3135" s="2" t="s">
        <v>6</v>
      </c>
      <c r="H3135" s="3" t="s">
        <v>88</v>
      </c>
      <c r="I3135" s="3" t="s">
        <v>91</v>
      </c>
      <c r="J3135" s="3" t="s">
        <v>60</v>
      </c>
      <c r="K3135" s="4">
        <v>6693.28</v>
      </c>
      <c r="L3135" s="6">
        <v>290.98</v>
      </c>
    </row>
    <row r="3136" spans="1:12" x14ac:dyDescent="0.25">
      <c r="A3136" s="1">
        <v>3135</v>
      </c>
      <c r="B3136" s="4">
        <v>22469</v>
      </c>
      <c r="C3136" s="5">
        <v>40462</v>
      </c>
      <c r="D3136" s="3" t="s">
        <v>89</v>
      </c>
      <c r="E3136" s="1" t="s">
        <v>1085</v>
      </c>
      <c r="F3136" s="1" t="s">
        <v>8</v>
      </c>
      <c r="G3136" s="2" t="s">
        <v>6</v>
      </c>
      <c r="H3136" s="3" t="s">
        <v>88</v>
      </c>
      <c r="I3136" s="3" t="s">
        <v>92</v>
      </c>
      <c r="J3136" s="3" t="s">
        <v>61</v>
      </c>
      <c r="K3136" s="4">
        <v>275.91000000000003</v>
      </c>
      <c r="L3136" s="6">
        <v>7.99</v>
      </c>
    </row>
    <row r="3137" spans="1:12" x14ac:dyDescent="0.25">
      <c r="A3137" s="1">
        <v>3136</v>
      </c>
      <c r="B3137" s="4">
        <v>22497</v>
      </c>
      <c r="C3137" s="5">
        <v>41027</v>
      </c>
      <c r="D3137" s="3" t="s">
        <v>4</v>
      </c>
      <c r="E3137" s="1" t="s">
        <v>992</v>
      </c>
      <c r="F3137" s="1" t="s">
        <v>24</v>
      </c>
      <c r="G3137" s="2" t="s">
        <v>2</v>
      </c>
      <c r="H3137" s="3" t="s">
        <v>88</v>
      </c>
      <c r="I3137" s="3" t="s">
        <v>92</v>
      </c>
      <c r="J3137" s="3" t="s">
        <v>67</v>
      </c>
      <c r="K3137" s="4">
        <v>3259.25</v>
      </c>
      <c r="L3137" s="6">
        <v>90.97</v>
      </c>
    </row>
    <row r="3138" spans="1:12" x14ac:dyDescent="0.25">
      <c r="A3138" s="1">
        <v>3137</v>
      </c>
      <c r="B3138" s="4">
        <v>22498</v>
      </c>
      <c r="C3138" s="5">
        <v>40491</v>
      </c>
      <c r="D3138" s="3" t="s">
        <v>95</v>
      </c>
      <c r="E3138" s="1" t="s">
        <v>1086</v>
      </c>
      <c r="F3138" s="1" t="s">
        <v>15</v>
      </c>
      <c r="G3138" s="2" t="s">
        <v>1</v>
      </c>
      <c r="H3138" s="3" t="s">
        <v>100</v>
      </c>
      <c r="I3138" s="3" t="s">
        <v>92</v>
      </c>
      <c r="J3138" s="3" t="s">
        <v>62</v>
      </c>
      <c r="K3138" s="4">
        <v>34.94</v>
      </c>
      <c r="L3138" s="6">
        <v>1.7</v>
      </c>
    </row>
    <row r="3139" spans="1:12" x14ac:dyDescent="0.25">
      <c r="A3139" s="1">
        <v>3138</v>
      </c>
      <c r="B3139" s="4">
        <v>22501</v>
      </c>
      <c r="C3139" s="5">
        <v>40316</v>
      </c>
      <c r="D3139" s="3" t="s">
        <v>89</v>
      </c>
      <c r="E3139" s="1" t="s">
        <v>1000</v>
      </c>
      <c r="F3139" s="1" t="s">
        <v>8</v>
      </c>
      <c r="G3139" s="2" t="s">
        <v>6</v>
      </c>
      <c r="H3139" s="3" t="s">
        <v>88</v>
      </c>
      <c r="I3139" s="3" t="s">
        <v>85</v>
      </c>
      <c r="J3139" s="3" t="s">
        <v>71</v>
      </c>
      <c r="K3139" s="4">
        <v>30.83</v>
      </c>
      <c r="L3139" s="6">
        <v>7.64</v>
      </c>
    </row>
    <row r="3140" spans="1:12" x14ac:dyDescent="0.25">
      <c r="A3140" s="1">
        <v>3139</v>
      </c>
      <c r="B3140" s="4">
        <v>22529</v>
      </c>
      <c r="C3140" s="5">
        <v>40305</v>
      </c>
      <c r="D3140" s="3" t="s">
        <v>4</v>
      </c>
      <c r="E3140" s="1" t="s">
        <v>753</v>
      </c>
      <c r="F3140" s="1" t="s">
        <v>31</v>
      </c>
      <c r="G3140" s="2" t="s">
        <v>1</v>
      </c>
      <c r="H3140" s="3" t="s">
        <v>97</v>
      </c>
      <c r="I3140" s="3" t="s">
        <v>85</v>
      </c>
      <c r="J3140" s="3" t="s">
        <v>70</v>
      </c>
      <c r="K3140" s="4">
        <v>1623.09</v>
      </c>
      <c r="L3140" s="6">
        <v>56.96</v>
      </c>
    </row>
    <row r="3141" spans="1:12" x14ac:dyDescent="0.25">
      <c r="A3141" s="1">
        <v>3140</v>
      </c>
      <c r="B3141" s="4">
        <v>22532</v>
      </c>
      <c r="C3141" s="5">
        <v>40582</v>
      </c>
      <c r="D3141" s="3" t="s">
        <v>95</v>
      </c>
      <c r="E3141" s="1" t="s">
        <v>815</v>
      </c>
      <c r="F3141" s="1" t="s">
        <v>8</v>
      </c>
      <c r="G3141" s="2" t="s">
        <v>6</v>
      </c>
      <c r="H3141" s="3" t="s">
        <v>100</v>
      </c>
      <c r="I3141" s="3" t="s">
        <v>85</v>
      </c>
      <c r="J3141" s="3" t="s">
        <v>69</v>
      </c>
      <c r="K3141" s="4">
        <v>121.66</v>
      </c>
      <c r="L3141" s="6">
        <v>8.85</v>
      </c>
    </row>
    <row r="3142" spans="1:12" x14ac:dyDescent="0.25">
      <c r="A3142" s="1">
        <v>3141</v>
      </c>
      <c r="B3142" s="4">
        <v>22534</v>
      </c>
      <c r="C3142" s="5">
        <v>40742</v>
      </c>
      <c r="D3142" s="3" t="s">
        <v>4</v>
      </c>
      <c r="E3142" s="1" t="s">
        <v>711</v>
      </c>
      <c r="F3142" s="1" t="s">
        <v>28</v>
      </c>
      <c r="G3142" s="2" t="s">
        <v>6</v>
      </c>
      <c r="H3142" s="3" t="s">
        <v>88</v>
      </c>
      <c r="I3142" s="3" t="s">
        <v>85</v>
      </c>
      <c r="J3142" s="3" t="s">
        <v>71</v>
      </c>
      <c r="K3142" s="4">
        <v>279.33</v>
      </c>
      <c r="L3142" s="6">
        <v>83.93</v>
      </c>
    </row>
    <row r="3143" spans="1:12" x14ac:dyDescent="0.25">
      <c r="A3143" s="1">
        <v>3142</v>
      </c>
      <c r="B3143" s="4">
        <v>22561</v>
      </c>
      <c r="C3143" s="5">
        <v>40563</v>
      </c>
      <c r="D3143" s="3" t="s">
        <v>95</v>
      </c>
      <c r="E3143" s="1" t="s">
        <v>366</v>
      </c>
      <c r="F3143" s="1" t="s">
        <v>50</v>
      </c>
      <c r="G3143" s="2" t="s">
        <v>1</v>
      </c>
      <c r="H3143" s="3" t="s">
        <v>100</v>
      </c>
      <c r="I3143" s="3" t="s">
        <v>91</v>
      </c>
      <c r="J3143" s="3" t="s">
        <v>59</v>
      </c>
      <c r="K3143" s="4">
        <v>128.62</v>
      </c>
      <c r="L3143" s="6">
        <v>17.670000000000002</v>
      </c>
    </row>
    <row r="3144" spans="1:12" x14ac:dyDescent="0.25">
      <c r="A3144" s="1">
        <v>3143</v>
      </c>
      <c r="B3144" s="4">
        <v>22561</v>
      </c>
      <c r="C3144" s="5">
        <v>40563</v>
      </c>
      <c r="D3144" s="3" t="s">
        <v>95</v>
      </c>
      <c r="E3144" s="1" t="s">
        <v>305</v>
      </c>
      <c r="F3144" s="1" t="s">
        <v>50</v>
      </c>
      <c r="G3144" s="2" t="s">
        <v>1</v>
      </c>
      <c r="H3144" s="3" t="s">
        <v>100</v>
      </c>
      <c r="I3144" s="3" t="s">
        <v>85</v>
      </c>
      <c r="J3144" s="3" t="s">
        <v>70</v>
      </c>
      <c r="K3144" s="4">
        <v>424</v>
      </c>
      <c r="L3144" s="6">
        <v>8.67</v>
      </c>
    </row>
    <row r="3145" spans="1:12" x14ac:dyDescent="0.25">
      <c r="A3145" s="1">
        <v>3144</v>
      </c>
      <c r="B3145" s="4">
        <v>22561</v>
      </c>
      <c r="C3145" s="5">
        <v>40563</v>
      </c>
      <c r="D3145" s="3" t="s">
        <v>95</v>
      </c>
      <c r="E3145" s="1" t="s">
        <v>305</v>
      </c>
      <c r="F3145" s="1" t="s">
        <v>50</v>
      </c>
      <c r="G3145" s="2" t="s">
        <v>1</v>
      </c>
      <c r="H3145" s="3" t="s">
        <v>100</v>
      </c>
      <c r="I3145" s="3" t="s">
        <v>92</v>
      </c>
      <c r="J3145" s="3" t="s">
        <v>62</v>
      </c>
      <c r="K3145" s="4">
        <v>504.79</v>
      </c>
      <c r="L3145" s="6">
        <v>99.99</v>
      </c>
    </row>
    <row r="3146" spans="1:12" x14ac:dyDescent="0.25">
      <c r="A3146" s="1">
        <v>3145</v>
      </c>
      <c r="B3146" s="4">
        <v>22562</v>
      </c>
      <c r="C3146" s="5">
        <v>39899</v>
      </c>
      <c r="D3146" s="3" t="s">
        <v>4</v>
      </c>
      <c r="E3146" s="1" t="s">
        <v>830</v>
      </c>
      <c r="F3146" s="1" t="s">
        <v>15</v>
      </c>
      <c r="G3146" s="2" t="s">
        <v>1</v>
      </c>
      <c r="H3146" s="3" t="s">
        <v>97</v>
      </c>
      <c r="I3146" s="3" t="s">
        <v>92</v>
      </c>
      <c r="J3146" s="3" t="s">
        <v>67</v>
      </c>
      <c r="K3146" s="4">
        <v>9304.2000000000007</v>
      </c>
      <c r="L3146" s="6">
        <v>213.45</v>
      </c>
    </row>
    <row r="3147" spans="1:12" x14ac:dyDescent="0.25">
      <c r="A3147" s="1">
        <v>3146</v>
      </c>
      <c r="B3147" s="4">
        <v>22562</v>
      </c>
      <c r="C3147" s="5">
        <v>39899</v>
      </c>
      <c r="D3147" s="3" t="s">
        <v>4</v>
      </c>
      <c r="E3147" s="1" t="s">
        <v>830</v>
      </c>
      <c r="F3147" s="1" t="s">
        <v>15</v>
      </c>
      <c r="G3147" s="2" t="s">
        <v>1</v>
      </c>
      <c r="H3147" s="3" t="s">
        <v>97</v>
      </c>
      <c r="I3147" s="3" t="s">
        <v>85</v>
      </c>
      <c r="J3147" s="3" t="s">
        <v>66</v>
      </c>
      <c r="K3147" s="4">
        <v>1685.05</v>
      </c>
      <c r="L3147" s="6">
        <v>55.98</v>
      </c>
    </row>
    <row r="3148" spans="1:12" x14ac:dyDescent="0.25">
      <c r="A3148" s="1">
        <v>3147</v>
      </c>
      <c r="B3148" s="4">
        <v>22562</v>
      </c>
      <c r="C3148" s="5">
        <v>39899</v>
      </c>
      <c r="D3148" s="3" t="s">
        <v>4</v>
      </c>
      <c r="E3148" s="1" t="s">
        <v>830</v>
      </c>
      <c r="F3148" s="1" t="s">
        <v>15</v>
      </c>
      <c r="G3148" s="2" t="s">
        <v>1</v>
      </c>
      <c r="H3148" s="3" t="s">
        <v>97</v>
      </c>
      <c r="I3148" s="3" t="s">
        <v>85</v>
      </c>
      <c r="J3148" s="3" t="s">
        <v>57</v>
      </c>
      <c r="K3148" s="4">
        <v>57.48</v>
      </c>
      <c r="L3148" s="6">
        <v>16.059999999999999</v>
      </c>
    </row>
    <row r="3149" spans="1:12" x14ac:dyDescent="0.25">
      <c r="A3149" s="1">
        <v>3148</v>
      </c>
      <c r="B3149" s="4">
        <v>22563</v>
      </c>
      <c r="C3149" s="5">
        <v>41049</v>
      </c>
      <c r="D3149" s="3" t="s">
        <v>95</v>
      </c>
      <c r="E3149" s="1" t="s">
        <v>569</v>
      </c>
      <c r="F3149" s="1" t="s">
        <v>55</v>
      </c>
      <c r="G3149" s="2" t="s">
        <v>2</v>
      </c>
      <c r="H3149" s="3" t="s">
        <v>97</v>
      </c>
      <c r="I3149" s="3" t="s">
        <v>91</v>
      </c>
      <c r="J3149" s="3" t="s">
        <v>59</v>
      </c>
      <c r="K3149" s="4">
        <v>251.51</v>
      </c>
      <c r="L3149" s="6">
        <v>7.7</v>
      </c>
    </row>
    <row r="3150" spans="1:12" x14ac:dyDescent="0.25">
      <c r="A3150" s="1">
        <v>3149</v>
      </c>
      <c r="B3150" s="4">
        <v>22626</v>
      </c>
      <c r="C3150" s="5">
        <v>40358</v>
      </c>
      <c r="D3150" s="3" t="s">
        <v>95</v>
      </c>
      <c r="E3150" s="1" t="s">
        <v>693</v>
      </c>
      <c r="F3150" s="1" t="s">
        <v>34</v>
      </c>
      <c r="G3150" s="2" t="s">
        <v>1</v>
      </c>
      <c r="H3150" s="3" t="s">
        <v>84</v>
      </c>
      <c r="I3150" s="3" t="s">
        <v>85</v>
      </c>
      <c r="J3150" s="3" t="s">
        <v>66</v>
      </c>
      <c r="K3150" s="4">
        <v>90.93</v>
      </c>
      <c r="L3150" s="6">
        <v>5.18</v>
      </c>
    </row>
    <row r="3151" spans="1:12" x14ac:dyDescent="0.25">
      <c r="A3151" s="1">
        <v>3150</v>
      </c>
      <c r="B3151" s="4">
        <v>22626</v>
      </c>
      <c r="C3151" s="5">
        <v>40358</v>
      </c>
      <c r="D3151" s="3" t="s">
        <v>95</v>
      </c>
      <c r="E3151" s="1" t="s">
        <v>693</v>
      </c>
      <c r="F3151" s="1" t="s">
        <v>34</v>
      </c>
      <c r="G3151" s="2" t="s">
        <v>1</v>
      </c>
      <c r="H3151" s="3" t="s">
        <v>84</v>
      </c>
      <c r="I3151" s="3" t="s">
        <v>91</v>
      </c>
      <c r="J3151" s="3" t="s">
        <v>60</v>
      </c>
      <c r="K3151" s="4">
        <v>6170.9120000000003</v>
      </c>
      <c r="L3151" s="6">
        <v>218.75</v>
      </c>
    </row>
    <row r="3152" spans="1:12" x14ac:dyDescent="0.25">
      <c r="A3152" s="1">
        <v>3151</v>
      </c>
      <c r="B3152" s="4">
        <v>22627</v>
      </c>
      <c r="C3152" s="5">
        <v>40271</v>
      </c>
      <c r="D3152" s="3" t="s">
        <v>82</v>
      </c>
      <c r="E3152" s="1" t="s">
        <v>237</v>
      </c>
      <c r="F3152" s="1" t="s">
        <v>21</v>
      </c>
      <c r="G3152" s="2" t="s">
        <v>1</v>
      </c>
      <c r="H3152" s="3" t="s">
        <v>84</v>
      </c>
      <c r="I3152" s="3" t="s">
        <v>91</v>
      </c>
      <c r="J3152" s="3" t="s">
        <v>59</v>
      </c>
      <c r="K3152" s="4">
        <v>1934.6</v>
      </c>
      <c r="L3152" s="6">
        <v>63.94</v>
      </c>
    </row>
    <row r="3153" spans="1:12" x14ac:dyDescent="0.25">
      <c r="A3153" s="1">
        <v>3152</v>
      </c>
      <c r="B3153" s="4">
        <v>22627</v>
      </c>
      <c r="C3153" s="5">
        <v>40271</v>
      </c>
      <c r="D3153" s="3" t="s">
        <v>82</v>
      </c>
      <c r="E3153" s="1" t="s">
        <v>337</v>
      </c>
      <c r="F3153" s="1" t="s">
        <v>24</v>
      </c>
      <c r="G3153" s="2" t="s">
        <v>2</v>
      </c>
      <c r="H3153" s="3" t="s">
        <v>84</v>
      </c>
      <c r="I3153" s="3" t="s">
        <v>91</v>
      </c>
      <c r="J3153" s="3" t="s">
        <v>68</v>
      </c>
      <c r="K3153" s="4">
        <v>6803</v>
      </c>
      <c r="L3153" s="6">
        <v>150.97999999999999</v>
      </c>
    </row>
    <row r="3154" spans="1:12" x14ac:dyDescent="0.25">
      <c r="A3154" s="1">
        <v>3153</v>
      </c>
      <c r="B3154" s="4">
        <v>22628</v>
      </c>
      <c r="C3154" s="5">
        <v>40115</v>
      </c>
      <c r="D3154" s="3" t="s">
        <v>4</v>
      </c>
      <c r="E3154" s="1" t="s">
        <v>207</v>
      </c>
      <c r="F3154" s="1" t="s">
        <v>42</v>
      </c>
      <c r="G3154" s="2" t="s">
        <v>3</v>
      </c>
      <c r="H3154" s="3" t="s">
        <v>88</v>
      </c>
      <c r="I3154" s="3" t="s">
        <v>91</v>
      </c>
      <c r="J3154" s="3" t="s">
        <v>72</v>
      </c>
      <c r="K3154" s="4">
        <v>2951.7</v>
      </c>
      <c r="L3154" s="6">
        <v>95.95</v>
      </c>
    </row>
    <row r="3155" spans="1:12" x14ac:dyDescent="0.25">
      <c r="A3155" s="1">
        <v>3154</v>
      </c>
      <c r="B3155" s="4">
        <v>22629</v>
      </c>
      <c r="C3155" s="5">
        <v>40283</v>
      </c>
      <c r="D3155" s="3" t="s">
        <v>82</v>
      </c>
      <c r="E3155" s="1" t="s">
        <v>655</v>
      </c>
      <c r="F3155" s="1" t="s">
        <v>28</v>
      </c>
      <c r="G3155" s="2" t="s">
        <v>6</v>
      </c>
      <c r="H3155" s="3" t="s">
        <v>84</v>
      </c>
      <c r="I3155" s="3" t="s">
        <v>92</v>
      </c>
      <c r="J3155" s="3" t="s">
        <v>62</v>
      </c>
      <c r="K3155" s="4">
        <v>365.93</v>
      </c>
      <c r="L3155" s="6">
        <v>73.98</v>
      </c>
    </row>
    <row r="3156" spans="1:12" x14ac:dyDescent="0.25">
      <c r="A3156" s="1">
        <v>3155</v>
      </c>
      <c r="B3156" s="4">
        <v>22656</v>
      </c>
      <c r="C3156" s="5">
        <v>40534</v>
      </c>
      <c r="D3156" s="3" t="s">
        <v>86</v>
      </c>
      <c r="E3156" s="1" t="s">
        <v>904</v>
      </c>
      <c r="F3156" s="1" t="s">
        <v>38</v>
      </c>
      <c r="G3156" s="2" t="s">
        <v>6</v>
      </c>
      <c r="H3156" s="3" t="s">
        <v>88</v>
      </c>
      <c r="I3156" s="3" t="s">
        <v>92</v>
      </c>
      <c r="J3156" s="3" t="s">
        <v>62</v>
      </c>
      <c r="K3156" s="4">
        <v>309.3</v>
      </c>
      <c r="L3156" s="6">
        <v>30.98</v>
      </c>
    </row>
    <row r="3157" spans="1:12" x14ac:dyDescent="0.25">
      <c r="A3157" s="1">
        <v>3156</v>
      </c>
      <c r="B3157" s="4">
        <v>22657</v>
      </c>
      <c r="C3157" s="5">
        <v>40845</v>
      </c>
      <c r="D3157" s="3" t="s">
        <v>89</v>
      </c>
      <c r="E3157" s="1" t="s">
        <v>1053</v>
      </c>
      <c r="F3157" s="1" t="s">
        <v>30</v>
      </c>
      <c r="G3157" s="2" t="s">
        <v>6</v>
      </c>
      <c r="H3157" s="3" t="s">
        <v>88</v>
      </c>
      <c r="I3157" s="3" t="s">
        <v>92</v>
      </c>
      <c r="J3157" s="3" t="s">
        <v>62</v>
      </c>
      <c r="K3157" s="4">
        <v>9544.18</v>
      </c>
      <c r="L3157" s="6">
        <v>256.99</v>
      </c>
    </row>
    <row r="3158" spans="1:12" x14ac:dyDescent="0.25">
      <c r="A3158" s="1">
        <v>3157</v>
      </c>
      <c r="B3158" s="4">
        <v>22657</v>
      </c>
      <c r="C3158" s="5">
        <v>40845</v>
      </c>
      <c r="D3158" s="3" t="s">
        <v>89</v>
      </c>
      <c r="E3158" s="1" t="s">
        <v>1053</v>
      </c>
      <c r="F3158" s="1" t="s">
        <v>30</v>
      </c>
      <c r="G3158" s="2" t="s">
        <v>6</v>
      </c>
      <c r="H3158" s="3" t="s">
        <v>88</v>
      </c>
      <c r="I3158" s="3" t="s">
        <v>85</v>
      </c>
      <c r="J3158" s="3" t="s">
        <v>64</v>
      </c>
      <c r="K3158" s="4">
        <v>32.92</v>
      </c>
      <c r="L3158" s="6">
        <v>3.95</v>
      </c>
    </row>
    <row r="3159" spans="1:12" x14ac:dyDescent="0.25">
      <c r="A3159" s="1">
        <v>3158</v>
      </c>
      <c r="B3159" s="4">
        <v>22661</v>
      </c>
      <c r="C3159" s="5">
        <v>40447</v>
      </c>
      <c r="D3159" s="3" t="s">
        <v>86</v>
      </c>
      <c r="E3159" s="1" t="s">
        <v>1007</v>
      </c>
      <c r="F3159" s="1" t="s">
        <v>17</v>
      </c>
      <c r="G3159" s="2" t="s">
        <v>2</v>
      </c>
      <c r="H3159" s="3" t="s">
        <v>88</v>
      </c>
      <c r="I3159" s="3" t="s">
        <v>85</v>
      </c>
      <c r="J3159" s="3" t="s">
        <v>63</v>
      </c>
      <c r="K3159" s="4">
        <v>18.260000000000002</v>
      </c>
      <c r="L3159" s="6">
        <v>1.68</v>
      </c>
    </row>
    <row r="3160" spans="1:12" x14ac:dyDescent="0.25">
      <c r="A3160" s="1">
        <v>3159</v>
      </c>
      <c r="B3160" s="4">
        <v>22663</v>
      </c>
      <c r="C3160" s="5">
        <v>40919</v>
      </c>
      <c r="D3160" s="3" t="s">
        <v>82</v>
      </c>
      <c r="E3160" s="1" t="s">
        <v>901</v>
      </c>
      <c r="F3160" s="1" t="s">
        <v>41</v>
      </c>
      <c r="G3160" s="2" t="s">
        <v>6</v>
      </c>
      <c r="H3160" s="3" t="s">
        <v>88</v>
      </c>
      <c r="I3160" s="3" t="s">
        <v>91</v>
      </c>
      <c r="J3160" s="3" t="s">
        <v>72</v>
      </c>
      <c r="K3160" s="4">
        <v>9843.11</v>
      </c>
      <c r="L3160" s="6">
        <v>280.98</v>
      </c>
    </row>
    <row r="3161" spans="1:12" x14ac:dyDescent="0.25">
      <c r="A3161" s="1">
        <v>3160</v>
      </c>
      <c r="B3161" s="4">
        <v>22663</v>
      </c>
      <c r="C3161" s="5">
        <v>40919</v>
      </c>
      <c r="D3161" s="3" t="s">
        <v>82</v>
      </c>
      <c r="E3161" s="1" t="s">
        <v>901</v>
      </c>
      <c r="F3161" s="1" t="s">
        <v>41</v>
      </c>
      <c r="G3161" s="2" t="s">
        <v>6</v>
      </c>
      <c r="H3161" s="3" t="s">
        <v>88</v>
      </c>
      <c r="I3161" s="3" t="s">
        <v>92</v>
      </c>
      <c r="J3161" s="3" t="s">
        <v>67</v>
      </c>
      <c r="K3161" s="4">
        <v>7190.06</v>
      </c>
      <c r="L3161" s="6">
        <v>500.98</v>
      </c>
    </row>
    <row r="3162" spans="1:12" x14ac:dyDescent="0.25">
      <c r="A3162" s="1">
        <v>3161</v>
      </c>
      <c r="B3162" s="4">
        <v>22688</v>
      </c>
      <c r="C3162" s="5">
        <v>41016</v>
      </c>
      <c r="D3162" s="3" t="s">
        <v>4</v>
      </c>
      <c r="E3162" s="1" t="s">
        <v>536</v>
      </c>
      <c r="F3162" s="1" t="s">
        <v>35</v>
      </c>
      <c r="G3162" s="2" t="s">
        <v>1</v>
      </c>
      <c r="H3162" s="3" t="s">
        <v>88</v>
      </c>
      <c r="I3162" s="3" t="s">
        <v>92</v>
      </c>
      <c r="J3162" s="3" t="s">
        <v>61</v>
      </c>
      <c r="K3162" s="4">
        <v>2044.2755000000002</v>
      </c>
      <c r="L3162" s="6">
        <v>65.989999999999995</v>
      </c>
    </row>
    <row r="3163" spans="1:12" x14ac:dyDescent="0.25">
      <c r="A3163" s="1">
        <v>3162</v>
      </c>
      <c r="B3163" s="4">
        <v>22689</v>
      </c>
      <c r="C3163" s="5">
        <v>40825</v>
      </c>
      <c r="D3163" s="3" t="s">
        <v>82</v>
      </c>
      <c r="E3163" s="1" t="s">
        <v>1038</v>
      </c>
      <c r="F3163" s="1" t="s">
        <v>17</v>
      </c>
      <c r="G3163" s="2" t="s">
        <v>2</v>
      </c>
      <c r="H3163" s="3" t="s">
        <v>97</v>
      </c>
      <c r="I3163" s="3" t="s">
        <v>85</v>
      </c>
      <c r="J3163" s="3" t="s">
        <v>70</v>
      </c>
      <c r="K3163" s="4">
        <v>2405</v>
      </c>
      <c r="L3163" s="6">
        <v>67.84</v>
      </c>
    </row>
    <row r="3164" spans="1:12" x14ac:dyDescent="0.25">
      <c r="A3164" s="1">
        <v>3163</v>
      </c>
      <c r="B3164" s="4">
        <v>22695</v>
      </c>
      <c r="C3164" s="5">
        <v>39997</v>
      </c>
      <c r="D3164" s="3" t="s">
        <v>82</v>
      </c>
      <c r="E3164" s="1" t="s">
        <v>951</v>
      </c>
      <c r="F3164" s="1" t="s">
        <v>38</v>
      </c>
      <c r="G3164" s="2" t="s">
        <v>6</v>
      </c>
      <c r="H3164" s="3" t="s">
        <v>100</v>
      </c>
      <c r="I3164" s="3" t="s">
        <v>85</v>
      </c>
      <c r="J3164" s="3" t="s">
        <v>66</v>
      </c>
      <c r="K3164" s="4">
        <v>444.52</v>
      </c>
      <c r="L3164" s="6">
        <v>10.06</v>
      </c>
    </row>
    <row r="3165" spans="1:12" x14ac:dyDescent="0.25">
      <c r="A3165" s="1">
        <v>3164</v>
      </c>
      <c r="B3165" s="4">
        <v>22727</v>
      </c>
      <c r="C3165" s="5">
        <v>40727</v>
      </c>
      <c r="D3165" s="3" t="s">
        <v>86</v>
      </c>
      <c r="E3165" s="1" t="s">
        <v>488</v>
      </c>
      <c r="F3165" s="1" t="s">
        <v>10</v>
      </c>
      <c r="G3165" s="2" t="s">
        <v>3</v>
      </c>
      <c r="H3165" s="3" t="s">
        <v>88</v>
      </c>
      <c r="I3165" s="3" t="s">
        <v>85</v>
      </c>
      <c r="J3165" s="3" t="s">
        <v>66</v>
      </c>
      <c r="K3165" s="4">
        <v>296.82</v>
      </c>
      <c r="L3165" s="6">
        <v>6.48</v>
      </c>
    </row>
    <row r="3166" spans="1:12" x14ac:dyDescent="0.25">
      <c r="A3166" s="1">
        <v>3165</v>
      </c>
      <c r="B3166" s="4">
        <v>22752</v>
      </c>
      <c r="C3166" s="5">
        <v>41250</v>
      </c>
      <c r="D3166" s="3" t="s">
        <v>82</v>
      </c>
      <c r="E3166" s="1" t="s">
        <v>1087</v>
      </c>
      <c r="F3166" s="1" t="s">
        <v>24</v>
      </c>
      <c r="G3166" s="2" t="s">
        <v>2</v>
      </c>
      <c r="H3166" s="3" t="s">
        <v>88</v>
      </c>
      <c r="I3166" s="3" t="s">
        <v>85</v>
      </c>
      <c r="J3166" s="3" t="s">
        <v>57</v>
      </c>
      <c r="K3166" s="4">
        <v>238.76</v>
      </c>
      <c r="L3166" s="6">
        <v>110.98</v>
      </c>
    </row>
    <row r="3167" spans="1:12" x14ac:dyDescent="0.25">
      <c r="A3167" s="1">
        <v>3166</v>
      </c>
      <c r="B3167" s="4">
        <v>22755</v>
      </c>
      <c r="C3167" s="5">
        <v>39902</v>
      </c>
      <c r="D3167" s="3" t="s">
        <v>4</v>
      </c>
      <c r="E3167" s="1" t="s">
        <v>314</v>
      </c>
      <c r="F3167" s="1" t="s">
        <v>36</v>
      </c>
      <c r="G3167" s="2" t="s">
        <v>2</v>
      </c>
      <c r="H3167" s="3" t="s">
        <v>97</v>
      </c>
      <c r="I3167" s="3" t="s">
        <v>85</v>
      </c>
      <c r="J3167" s="3" t="s">
        <v>69</v>
      </c>
      <c r="K3167" s="4">
        <v>187.84</v>
      </c>
      <c r="L3167" s="6">
        <v>4.91</v>
      </c>
    </row>
    <row r="3168" spans="1:12" x14ac:dyDescent="0.25">
      <c r="A3168" s="1">
        <v>3167</v>
      </c>
      <c r="B3168" s="4">
        <v>22755</v>
      </c>
      <c r="C3168" s="5">
        <v>39902</v>
      </c>
      <c r="D3168" s="3" t="s">
        <v>4</v>
      </c>
      <c r="E3168" s="1" t="s">
        <v>1088</v>
      </c>
      <c r="F3168" s="1" t="s">
        <v>36</v>
      </c>
      <c r="G3168" s="2" t="s">
        <v>2</v>
      </c>
      <c r="H3168" s="3" t="s">
        <v>97</v>
      </c>
      <c r="I3168" s="3" t="s">
        <v>85</v>
      </c>
      <c r="J3168" s="3" t="s">
        <v>69</v>
      </c>
      <c r="K3168" s="4">
        <v>240.6</v>
      </c>
      <c r="L3168" s="6">
        <v>5.34</v>
      </c>
    </row>
    <row r="3169" spans="1:12" x14ac:dyDescent="0.25">
      <c r="A3169" s="1">
        <v>3168</v>
      </c>
      <c r="B3169" s="4">
        <v>22755</v>
      </c>
      <c r="C3169" s="5">
        <v>39902</v>
      </c>
      <c r="D3169" s="3" t="s">
        <v>4</v>
      </c>
      <c r="E3169" s="1" t="s">
        <v>1088</v>
      </c>
      <c r="F3169" s="1" t="s">
        <v>36</v>
      </c>
      <c r="G3169" s="2" t="s">
        <v>2</v>
      </c>
      <c r="H3169" s="3" t="s">
        <v>97</v>
      </c>
      <c r="I3169" s="3" t="s">
        <v>92</v>
      </c>
      <c r="J3169" s="3" t="s">
        <v>61</v>
      </c>
      <c r="K3169" s="4">
        <v>236.87799999999999</v>
      </c>
      <c r="L3169" s="6">
        <v>55.99</v>
      </c>
    </row>
    <row r="3170" spans="1:12" x14ac:dyDescent="0.25">
      <c r="A3170" s="1">
        <v>3169</v>
      </c>
      <c r="B3170" s="4">
        <v>22787</v>
      </c>
      <c r="C3170" s="5">
        <v>40638</v>
      </c>
      <c r="D3170" s="3" t="s">
        <v>4</v>
      </c>
      <c r="E3170" s="1" t="s">
        <v>108</v>
      </c>
      <c r="F3170" s="1" t="s">
        <v>32</v>
      </c>
      <c r="G3170" s="2" t="s">
        <v>2</v>
      </c>
      <c r="H3170" s="3" t="s">
        <v>88</v>
      </c>
      <c r="I3170" s="3" t="s">
        <v>85</v>
      </c>
      <c r="J3170" s="3" t="s">
        <v>64</v>
      </c>
      <c r="K3170" s="4">
        <v>46.44</v>
      </c>
      <c r="L3170" s="6">
        <v>1.26</v>
      </c>
    </row>
    <row r="3171" spans="1:12" x14ac:dyDescent="0.25">
      <c r="A3171" s="1">
        <v>3170</v>
      </c>
      <c r="B3171" s="4">
        <v>22817</v>
      </c>
      <c r="C3171" s="5">
        <v>41234</v>
      </c>
      <c r="D3171" s="3" t="s">
        <v>95</v>
      </c>
      <c r="E3171" s="1" t="s">
        <v>420</v>
      </c>
      <c r="F3171" s="1" t="s">
        <v>9</v>
      </c>
      <c r="G3171" s="2" t="s">
        <v>2</v>
      </c>
      <c r="H3171" s="3" t="s">
        <v>97</v>
      </c>
      <c r="I3171" s="3" t="s">
        <v>91</v>
      </c>
      <c r="J3171" s="3" t="s">
        <v>60</v>
      </c>
      <c r="K3171" s="4">
        <v>6785.86</v>
      </c>
      <c r="L3171" s="6">
        <v>262.11</v>
      </c>
    </row>
    <row r="3172" spans="1:12" x14ac:dyDescent="0.25">
      <c r="A3172" s="1">
        <v>3171</v>
      </c>
      <c r="B3172" s="4">
        <v>22818</v>
      </c>
      <c r="C3172" s="5">
        <v>39955</v>
      </c>
      <c r="D3172" s="3" t="s">
        <v>95</v>
      </c>
      <c r="E3172" s="1" t="s">
        <v>1089</v>
      </c>
      <c r="F3172" s="1" t="s">
        <v>14</v>
      </c>
      <c r="G3172" s="2" t="s">
        <v>2</v>
      </c>
      <c r="H3172" s="3" t="s">
        <v>84</v>
      </c>
      <c r="I3172" s="3" t="s">
        <v>91</v>
      </c>
      <c r="J3172" s="3" t="s">
        <v>72</v>
      </c>
      <c r="K3172" s="4">
        <v>6277.75</v>
      </c>
      <c r="L3172" s="6">
        <v>130.97999999999999</v>
      </c>
    </row>
    <row r="3173" spans="1:12" x14ac:dyDescent="0.25">
      <c r="A3173" s="1">
        <v>3172</v>
      </c>
      <c r="B3173" s="4">
        <v>22818</v>
      </c>
      <c r="C3173" s="5">
        <v>39955</v>
      </c>
      <c r="D3173" s="3" t="s">
        <v>82</v>
      </c>
      <c r="E3173" s="1" t="s">
        <v>1089</v>
      </c>
      <c r="F3173" s="1" t="s">
        <v>14</v>
      </c>
      <c r="G3173" s="2" t="s">
        <v>2</v>
      </c>
      <c r="H3173" s="3" t="s">
        <v>84</v>
      </c>
      <c r="I3173" s="3" t="s">
        <v>92</v>
      </c>
      <c r="J3173" s="3" t="s">
        <v>62</v>
      </c>
      <c r="K3173" s="4">
        <v>360.24</v>
      </c>
      <c r="L3173" s="6">
        <v>19.98</v>
      </c>
    </row>
    <row r="3174" spans="1:12" x14ac:dyDescent="0.25">
      <c r="A3174" s="1">
        <v>3173</v>
      </c>
      <c r="B3174" s="4">
        <v>22819</v>
      </c>
      <c r="C3174" s="5">
        <v>41223</v>
      </c>
      <c r="D3174" s="3" t="s">
        <v>89</v>
      </c>
      <c r="E3174" s="1" t="s">
        <v>1071</v>
      </c>
      <c r="F3174" s="1" t="s">
        <v>44</v>
      </c>
      <c r="G3174" s="2" t="s">
        <v>3</v>
      </c>
      <c r="H3174" s="3" t="s">
        <v>97</v>
      </c>
      <c r="I3174" s="3" t="s">
        <v>85</v>
      </c>
      <c r="J3174" s="3" t="s">
        <v>63</v>
      </c>
      <c r="K3174" s="4">
        <v>6.77</v>
      </c>
      <c r="L3174" s="6">
        <v>2.52</v>
      </c>
    </row>
    <row r="3175" spans="1:12" x14ac:dyDescent="0.25">
      <c r="A3175" s="1">
        <v>3174</v>
      </c>
      <c r="B3175" s="4">
        <v>22820</v>
      </c>
      <c r="C3175" s="5">
        <v>40407</v>
      </c>
      <c r="D3175" s="3" t="s">
        <v>89</v>
      </c>
      <c r="E3175" s="1" t="s">
        <v>512</v>
      </c>
      <c r="F3175" s="1" t="s">
        <v>48</v>
      </c>
      <c r="G3175" s="2" t="s">
        <v>1</v>
      </c>
      <c r="H3175" s="3" t="s">
        <v>100</v>
      </c>
      <c r="I3175" s="3" t="s">
        <v>92</v>
      </c>
      <c r="J3175" s="3" t="s">
        <v>62</v>
      </c>
      <c r="K3175" s="4">
        <v>209.12</v>
      </c>
      <c r="L3175" s="6">
        <v>5.98</v>
      </c>
    </row>
    <row r="3176" spans="1:12" x14ac:dyDescent="0.25">
      <c r="A3176" s="1">
        <v>3175</v>
      </c>
      <c r="B3176" s="4">
        <v>22820</v>
      </c>
      <c r="C3176" s="5">
        <v>40407</v>
      </c>
      <c r="D3176" s="3" t="s">
        <v>89</v>
      </c>
      <c r="E3176" s="1" t="s">
        <v>404</v>
      </c>
      <c r="F3176" s="1" t="s">
        <v>21</v>
      </c>
      <c r="G3176" s="2" t="s">
        <v>1</v>
      </c>
      <c r="H3176" s="3" t="s">
        <v>100</v>
      </c>
      <c r="I3176" s="3" t="s">
        <v>85</v>
      </c>
      <c r="J3176" s="3" t="s">
        <v>64</v>
      </c>
      <c r="K3176" s="4">
        <v>144.84</v>
      </c>
      <c r="L3176" s="6">
        <v>7.89</v>
      </c>
    </row>
    <row r="3177" spans="1:12" x14ac:dyDescent="0.25">
      <c r="A3177" s="1">
        <v>3176</v>
      </c>
      <c r="B3177" s="4">
        <v>22848</v>
      </c>
      <c r="C3177" s="5">
        <v>40887</v>
      </c>
      <c r="D3177" s="3" t="s">
        <v>86</v>
      </c>
      <c r="E3177" s="1" t="s">
        <v>197</v>
      </c>
      <c r="F3177" s="1" t="s">
        <v>24</v>
      </c>
      <c r="G3177" s="2" t="s">
        <v>2</v>
      </c>
      <c r="H3177" s="3" t="s">
        <v>97</v>
      </c>
      <c r="I3177" s="3" t="s">
        <v>85</v>
      </c>
      <c r="J3177" s="3" t="s">
        <v>70</v>
      </c>
      <c r="K3177" s="4">
        <v>140.37</v>
      </c>
      <c r="L3177" s="6">
        <v>4.4800000000000004</v>
      </c>
    </row>
    <row r="3178" spans="1:12" x14ac:dyDescent="0.25">
      <c r="A3178" s="1">
        <v>3177</v>
      </c>
      <c r="B3178" s="4">
        <v>22848</v>
      </c>
      <c r="C3178" s="5">
        <v>40887</v>
      </c>
      <c r="D3178" s="3" t="s">
        <v>86</v>
      </c>
      <c r="E3178" s="1" t="s">
        <v>197</v>
      </c>
      <c r="F3178" s="1" t="s">
        <v>24</v>
      </c>
      <c r="G3178" s="2" t="s">
        <v>2</v>
      </c>
      <c r="H3178" s="3" t="s">
        <v>97</v>
      </c>
      <c r="I3178" s="3" t="s">
        <v>91</v>
      </c>
      <c r="J3178" s="3" t="s">
        <v>72</v>
      </c>
      <c r="K3178" s="4">
        <v>5921.74</v>
      </c>
      <c r="L3178" s="6">
        <v>130.97999999999999</v>
      </c>
    </row>
    <row r="3179" spans="1:12" x14ac:dyDescent="0.25">
      <c r="A3179" s="1">
        <v>3178</v>
      </c>
      <c r="B3179" s="4">
        <v>22848</v>
      </c>
      <c r="C3179" s="5">
        <v>40887</v>
      </c>
      <c r="D3179" s="3" t="s">
        <v>86</v>
      </c>
      <c r="E3179" s="1" t="s">
        <v>197</v>
      </c>
      <c r="F3179" s="1" t="s">
        <v>24</v>
      </c>
      <c r="G3179" s="2" t="s">
        <v>2</v>
      </c>
      <c r="H3179" s="3" t="s">
        <v>97</v>
      </c>
      <c r="I3179" s="3" t="s">
        <v>92</v>
      </c>
      <c r="J3179" s="3" t="s">
        <v>62</v>
      </c>
      <c r="K3179" s="4">
        <v>68.16</v>
      </c>
      <c r="L3179" s="6">
        <v>15.98</v>
      </c>
    </row>
    <row r="3180" spans="1:12" x14ac:dyDescent="0.25">
      <c r="A3180" s="1">
        <v>3179</v>
      </c>
      <c r="B3180" s="4">
        <v>22849</v>
      </c>
      <c r="C3180" s="5">
        <v>40588</v>
      </c>
      <c r="D3180" s="3" t="s">
        <v>86</v>
      </c>
      <c r="E3180" s="1" t="s">
        <v>978</v>
      </c>
      <c r="F3180" s="1" t="s">
        <v>13</v>
      </c>
      <c r="G3180" s="2" t="s">
        <v>6</v>
      </c>
      <c r="H3180" s="3" t="s">
        <v>88</v>
      </c>
      <c r="I3180" s="3" t="s">
        <v>85</v>
      </c>
      <c r="J3180" s="3" t="s">
        <v>69</v>
      </c>
      <c r="K3180" s="4">
        <v>304.98</v>
      </c>
      <c r="L3180" s="6">
        <v>11.7</v>
      </c>
    </row>
    <row r="3181" spans="1:12" x14ac:dyDescent="0.25">
      <c r="A3181" s="1">
        <v>3180</v>
      </c>
      <c r="B3181" s="4">
        <v>22849</v>
      </c>
      <c r="C3181" s="5">
        <v>40588</v>
      </c>
      <c r="D3181" s="3" t="s">
        <v>86</v>
      </c>
      <c r="E3181" s="1" t="s">
        <v>978</v>
      </c>
      <c r="F3181" s="1" t="s">
        <v>13</v>
      </c>
      <c r="G3181" s="2" t="s">
        <v>6</v>
      </c>
      <c r="H3181" s="3" t="s">
        <v>88</v>
      </c>
      <c r="I3181" s="3" t="s">
        <v>85</v>
      </c>
      <c r="J3181" s="3" t="s">
        <v>63</v>
      </c>
      <c r="K3181" s="4">
        <v>104.24</v>
      </c>
      <c r="L3181" s="6">
        <v>2.78</v>
      </c>
    </row>
    <row r="3182" spans="1:12" x14ac:dyDescent="0.25">
      <c r="A3182" s="1">
        <v>3181</v>
      </c>
      <c r="B3182" s="4">
        <v>22849</v>
      </c>
      <c r="C3182" s="5">
        <v>40588</v>
      </c>
      <c r="D3182" s="3" t="s">
        <v>86</v>
      </c>
      <c r="E3182" s="1" t="s">
        <v>978</v>
      </c>
      <c r="F3182" s="1" t="s">
        <v>13</v>
      </c>
      <c r="G3182" s="2" t="s">
        <v>6</v>
      </c>
      <c r="H3182" s="3" t="s">
        <v>88</v>
      </c>
      <c r="I3182" s="3" t="s">
        <v>85</v>
      </c>
      <c r="J3182" s="3" t="s">
        <v>57</v>
      </c>
      <c r="K3182" s="4">
        <v>198.13</v>
      </c>
      <c r="L3182" s="6">
        <v>6.98</v>
      </c>
    </row>
    <row r="3183" spans="1:12" x14ac:dyDescent="0.25">
      <c r="A3183" s="1">
        <v>3182</v>
      </c>
      <c r="B3183" s="4">
        <v>22849</v>
      </c>
      <c r="C3183" s="5">
        <v>40588</v>
      </c>
      <c r="D3183" s="3" t="s">
        <v>86</v>
      </c>
      <c r="E3183" s="1" t="s">
        <v>978</v>
      </c>
      <c r="F3183" s="1" t="s">
        <v>13</v>
      </c>
      <c r="G3183" s="2" t="s">
        <v>6</v>
      </c>
      <c r="H3183" s="3" t="s">
        <v>88</v>
      </c>
      <c r="I3183" s="3" t="s">
        <v>92</v>
      </c>
      <c r="J3183" s="3" t="s">
        <v>61</v>
      </c>
      <c r="K3183" s="4">
        <v>4366.348</v>
      </c>
      <c r="L3183" s="6">
        <v>205.99</v>
      </c>
    </row>
    <row r="3184" spans="1:12" x14ac:dyDescent="0.25">
      <c r="A3184" s="1">
        <v>3183</v>
      </c>
      <c r="B3184" s="4">
        <v>22850</v>
      </c>
      <c r="C3184" s="5">
        <v>40663</v>
      </c>
      <c r="D3184" s="3" t="s">
        <v>4</v>
      </c>
      <c r="E3184" s="1" t="s">
        <v>996</v>
      </c>
      <c r="F3184" s="1" t="s">
        <v>24</v>
      </c>
      <c r="G3184" s="2" t="s">
        <v>2</v>
      </c>
      <c r="H3184" s="3" t="s">
        <v>97</v>
      </c>
      <c r="I3184" s="3" t="s">
        <v>92</v>
      </c>
      <c r="J3184" s="3" t="s">
        <v>62</v>
      </c>
      <c r="K3184" s="4">
        <v>105.13</v>
      </c>
      <c r="L3184" s="6">
        <v>27.48</v>
      </c>
    </row>
    <row r="3185" spans="1:12" x14ac:dyDescent="0.25">
      <c r="A3185" s="1">
        <v>3184</v>
      </c>
      <c r="B3185" s="4">
        <v>22851</v>
      </c>
      <c r="C3185" s="5">
        <v>39873</v>
      </c>
      <c r="D3185" s="3" t="s">
        <v>95</v>
      </c>
      <c r="E3185" s="1" t="s">
        <v>1042</v>
      </c>
      <c r="F3185" s="1" t="s">
        <v>16</v>
      </c>
      <c r="G3185" s="2" t="s">
        <v>3</v>
      </c>
      <c r="H3185" s="3" t="s">
        <v>97</v>
      </c>
      <c r="I3185" s="3" t="s">
        <v>92</v>
      </c>
      <c r="J3185" s="3" t="s">
        <v>62</v>
      </c>
      <c r="K3185" s="4">
        <v>667.36</v>
      </c>
      <c r="L3185" s="6">
        <v>28.48</v>
      </c>
    </row>
    <row r="3186" spans="1:12" x14ac:dyDescent="0.25">
      <c r="A3186" s="1">
        <v>3185</v>
      </c>
      <c r="B3186" s="4">
        <v>22851</v>
      </c>
      <c r="C3186" s="5">
        <v>39873</v>
      </c>
      <c r="D3186" s="3" t="s">
        <v>95</v>
      </c>
      <c r="E3186" s="1" t="s">
        <v>1042</v>
      </c>
      <c r="F3186" s="1" t="s">
        <v>16</v>
      </c>
      <c r="G3186" s="2" t="s">
        <v>3</v>
      </c>
      <c r="H3186" s="3" t="s">
        <v>97</v>
      </c>
      <c r="I3186" s="3" t="s">
        <v>91</v>
      </c>
      <c r="J3186" s="3" t="s">
        <v>59</v>
      </c>
      <c r="K3186" s="4">
        <v>32.369999999999997</v>
      </c>
      <c r="L3186" s="6">
        <v>2.08</v>
      </c>
    </row>
    <row r="3187" spans="1:12" x14ac:dyDescent="0.25">
      <c r="A3187" s="1">
        <v>3186</v>
      </c>
      <c r="B3187" s="4">
        <v>22851</v>
      </c>
      <c r="C3187" s="5">
        <v>39873</v>
      </c>
      <c r="D3187" s="3" t="s">
        <v>95</v>
      </c>
      <c r="E3187" s="1" t="s">
        <v>1042</v>
      </c>
      <c r="F3187" s="1" t="s">
        <v>16</v>
      </c>
      <c r="G3187" s="2" t="s">
        <v>3</v>
      </c>
      <c r="H3187" s="3" t="s">
        <v>97</v>
      </c>
      <c r="I3187" s="3" t="s">
        <v>92</v>
      </c>
      <c r="J3187" s="3" t="s">
        <v>61</v>
      </c>
      <c r="K3187" s="4">
        <v>1409.0874999999999</v>
      </c>
      <c r="L3187" s="6">
        <v>45.99</v>
      </c>
    </row>
    <row r="3188" spans="1:12" x14ac:dyDescent="0.25">
      <c r="A3188" s="1">
        <v>3187</v>
      </c>
      <c r="B3188" s="4">
        <v>22880</v>
      </c>
      <c r="C3188" s="5">
        <v>40328</v>
      </c>
      <c r="D3188" s="3" t="s">
        <v>4</v>
      </c>
      <c r="E3188" s="1" t="s">
        <v>381</v>
      </c>
      <c r="F3188" s="1" t="s">
        <v>21</v>
      </c>
      <c r="G3188" s="2" t="s">
        <v>1</v>
      </c>
      <c r="H3188" s="3" t="s">
        <v>84</v>
      </c>
      <c r="I3188" s="3" t="s">
        <v>92</v>
      </c>
      <c r="J3188" s="3" t="s">
        <v>62</v>
      </c>
      <c r="K3188" s="4">
        <v>24.96</v>
      </c>
      <c r="L3188" s="6">
        <v>1.7</v>
      </c>
    </row>
    <row r="3189" spans="1:12" x14ac:dyDescent="0.25">
      <c r="A3189" s="1">
        <v>3188</v>
      </c>
      <c r="B3189" s="4">
        <v>22881</v>
      </c>
      <c r="C3189" s="5">
        <v>40274</v>
      </c>
      <c r="D3189" s="3" t="s">
        <v>4</v>
      </c>
      <c r="E3189" s="1" t="s">
        <v>787</v>
      </c>
      <c r="F3189" s="1" t="s">
        <v>13</v>
      </c>
      <c r="G3189" s="2" t="s">
        <v>6</v>
      </c>
      <c r="H3189" s="3" t="s">
        <v>88</v>
      </c>
      <c r="I3189" s="3" t="s">
        <v>85</v>
      </c>
      <c r="J3189" s="3" t="s">
        <v>57</v>
      </c>
      <c r="K3189" s="4">
        <v>476.06</v>
      </c>
      <c r="L3189" s="6">
        <v>14.03</v>
      </c>
    </row>
    <row r="3190" spans="1:12" x14ac:dyDescent="0.25">
      <c r="A3190" s="1">
        <v>3189</v>
      </c>
      <c r="B3190" s="4">
        <v>22882</v>
      </c>
      <c r="C3190" s="5">
        <v>40434</v>
      </c>
      <c r="D3190" s="3" t="s">
        <v>95</v>
      </c>
      <c r="E3190" s="1" t="s">
        <v>350</v>
      </c>
      <c r="F3190" s="1" t="s">
        <v>29</v>
      </c>
      <c r="G3190" s="2" t="s">
        <v>3</v>
      </c>
      <c r="H3190" s="3" t="s">
        <v>97</v>
      </c>
      <c r="I3190" s="3" t="s">
        <v>85</v>
      </c>
      <c r="J3190" s="3" t="s">
        <v>66</v>
      </c>
      <c r="K3190" s="4">
        <v>71.239999999999995</v>
      </c>
      <c r="L3190" s="6">
        <v>6.69</v>
      </c>
    </row>
    <row r="3191" spans="1:12" x14ac:dyDescent="0.25">
      <c r="A3191" s="1">
        <v>3190</v>
      </c>
      <c r="B3191" s="4">
        <v>22885</v>
      </c>
      <c r="C3191" s="5">
        <v>40140</v>
      </c>
      <c r="D3191" s="3" t="s">
        <v>4</v>
      </c>
      <c r="E3191" s="1" t="s">
        <v>1090</v>
      </c>
      <c r="F3191" s="1" t="s">
        <v>25</v>
      </c>
      <c r="G3191" s="2" t="s">
        <v>6</v>
      </c>
      <c r="H3191" s="3" t="s">
        <v>97</v>
      </c>
      <c r="I3191" s="3" t="s">
        <v>85</v>
      </c>
      <c r="J3191" s="3" t="s">
        <v>58</v>
      </c>
      <c r="K3191" s="4">
        <v>56.47</v>
      </c>
      <c r="L3191" s="6">
        <v>12.88</v>
      </c>
    </row>
    <row r="3192" spans="1:12" x14ac:dyDescent="0.25">
      <c r="A3192" s="1">
        <v>3191</v>
      </c>
      <c r="B3192" s="4">
        <v>22887</v>
      </c>
      <c r="C3192" s="5">
        <v>40500</v>
      </c>
      <c r="D3192" s="3" t="s">
        <v>86</v>
      </c>
      <c r="E3192" s="1" t="s">
        <v>648</v>
      </c>
      <c r="F3192" s="1" t="s">
        <v>37</v>
      </c>
      <c r="G3192" s="2" t="s">
        <v>3</v>
      </c>
      <c r="H3192" s="3" t="s">
        <v>97</v>
      </c>
      <c r="I3192" s="3" t="s">
        <v>91</v>
      </c>
      <c r="J3192" s="3" t="s">
        <v>72</v>
      </c>
      <c r="K3192" s="4">
        <v>9107.27</v>
      </c>
      <c r="L3192" s="6">
        <v>276.2</v>
      </c>
    </row>
    <row r="3193" spans="1:12" x14ac:dyDescent="0.25">
      <c r="A3193" s="1">
        <v>3192</v>
      </c>
      <c r="B3193" s="4">
        <v>22912</v>
      </c>
      <c r="C3193" s="5">
        <v>40467</v>
      </c>
      <c r="D3193" s="3" t="s">
        <v>82</v>
      </c>
      <c r="E3193" s="1" t="s">
        <v>601</v>
      </c>
      <c r="F3193" s="1" t="s">
        <v>24</v>
      </c>
      <c r="G3193" s="2" t="s">
        <v>2</v>
      </c>
      <c r="H3193" s="3" t="s">
        <v>88</v>
      </c>
      <c r="I3193" s="3" t="s">
        <v>85</v>
      </c>
      <c r="J3193" s="3" t="s">
        <v>69</v>
      </c>
      <c r="K3193" s="4">
        <v>10168.23</v>
      </c>
      <c r="L3193" s="6">
        <v>304.99</v>
      </c>
    </row>
    <row r="3194" spans="1:12" x14ac:dyDescent="0.25">
      <c r="A3194" s="1">
        <v>3193</v>
      </c>
      <c r="B3194" s="4">
        <v>22913</v>
      </c>
      <c r="C3194" s="5">
        <v>40354</v>
      </c>
      <c r="D3194" s="3" t="s">
        <v>95</v>
      </c>
      <c r="E3194" s="1" t="s">
        <v>888</v>
      </c>
      <c r="F3194" s="1" t="s">
        <v>24</v>
      </c>
      <c r="G3194" s="2" t="s">
        <v>2</v>
      </c>
      <c r="H3194" s="3" t="s">
        <v>88</v>
      </c>
      <c r="I3194" s="3" t="s">
        <v>85</v>
      </c>
      <c r="J3194" s="3" t="s">
        <v>66</v>
      </c>
      <c r="K3194" s="4">
        <v>176.77</v>
      </c>
      <c r="L3194" s="6">
        <v>4.9800000000000004</v>
      </c>
    </row>
    <row r="3195" spans="1:12" x14ac:dyDescent="0.25">
      <c r="A3195" s="1">
        <v>3194</v>
      </c>
      <c r="B3195" s="4">
        <v>22913</v>
      </c>
      <c r="C3195" s="5">
        <v>40354</v>
      </c>
      <c r="D3195" s="3" t="s">
        <v>95</v>
      </c>
      <c r="E3195" s="1" t="s">
        <v>852</v>
      </c>
      <c r="F3195" s="1" t="s">
        <v>24</v>
      </c>
      <c r="G3195" s="2" t="s">
        <v>2</v>
      </c>
      <c r="H3195" s="3" t="s">
        <v>88</v>
      </c>
      <c r="I3195" s="3" t="s">
        <v>91</v>
      </c>
      <c r="J3195" s="3" t="s">
        <v>60</v>
      </c>
      <c r="K3195" s="4">
        <v>6568.0240000000013</v>
      </c>
      <c r="L3195" s="6">
        <v>348.21</v>
      </c>
    </row>
    <row r="3196" spans="1:12" x14ac:dyDescent="0.25">
      <c r="A3196" s="1">
        <v>3195</v>
      </c>
      <c r="B3196" s="4">
        <v>22913</v>
      </c>
      <c r="C3196" s="5">
        <v>40354</v>
      </c>
      <c r="D3196" s="3" t="s">
        <v>95</v>
      </c>
      <c r="E3196" s="1" t="s">
        <v>852</v>
      </c>
      <c r="F3196" s="1" t="s">
        <v>24</v>
      </c>
      <c r="G3196" s="2" t="s">
        <v>2</v>
      </c>
      <c r="H3196" s="3" t="s">
        <v>88</v>
      </c>
      <c r="I3196" s="3" t="s">
        <v>92</v>
      </c>
      <c r="J3196" s="3" t="s">
        <v>61</v>
      </c>
      <c r="K3196" s="4">
        <v>1579.028</v>
      </c>
      <c r="L3196" s="6">
        <v>35.99</v>
      </c>
    </row>
    <row r="3197" spans="1:12" x14ac:dyDescent="0.25">
      <c r="A3197" s="1">
        <v>3196</v>
      </c>
      <c r="B3197" s="4">
        <v>22914</v>
      </c>
      <c r="C3197" s="5">
        <v>40921</v>
      </c>
      <c r="D3197" s="3" t="s">
        <v>95</v>
      </c>
      <c r="E3197" s="1" t="s">
        <v>941</v>
      </c>
      <c r="F3197" s="1" t="s">
        <v>24</v>
      </c>
      <c r="G3197" s="2" t="s">
        <v>2</v>
      </c>
      <c r="H3197" s="3" t="s">
        <v>88</v>
      </c>
      <c r="I3197" s="3" t="s">
        <v>85</v>
      </c>
      <c r="J3197" s="3" t="s">
        <v>70</v>
      </c>
      <c r="K3197" s="4">
        <v>336.65</v>
      </c>
      <c r="L3197" s="6">
        <v>11.7</v>
      </c>
    </row>
    <row r="3198" spans="1:12" x14ac:dyDescent="0.25">
      <c r="A3198" s="1">
        <v>3197</v>
      </c>
      <c r="B3198" s="4">
        <v>22916</v>
      </c>
      <c r="C3198" s="5">
        <v>40941</v>
      </c>
      <c r="D3198" s="3" t="s">
        <v>4</v>
      </c>
      <c r="E3198" s="1" t="s">
        <v>1091</v>
      </c>
      <c r="F3198" s="1" t="s">
        <v>35</v>
      </c>
      <c r="G3198" s="2" t="s">
        <v>1</v>
      </c>
      <c r="H3198" s="3" t="s">
        <v>88</v>
      </c>
      <c r="I3198" s="3" t="s">
        <v>85</v>
      </c>
      <c r="J3198" s="3" t="s">
        <v>66</v>
      </c>
      <c r="K3198" s="4">
        <v>122.02</v>
      </c>
      <c r="L3198" s="6">
        <v>6.48</v>
      </c>
    </row>
    <row r="3199" spans="1:12" x14ac:dyDescent="0.25">
      <c r="A3199" s="1">
        <v>3198</v>
      </c>
      <c r="B3199" s="4">
        <v>22917</v>
      </c>
      <c r="C3199" s="5">
        <v>39873</v>
      </c>
      <c r="D3199" s="3" t="s">
        <v>4</v>
      </c>
      <c r="E3199" s="1" t="s">
        <v>1092</v>
      </c>
      <c r="F3199" s="1" t="s">
        <v>44</v>
      </c>
      <c r="G3199" s="2" t="s">
        <v>3</v>
      </c>
      <c r="H3199" s="3" t="s">
        <v>88</v>
      </c>
      <c r="I3199" s="3" t="s">
        <v>92</v>
      </c>
      <c r="J3199" s="3" t="s">
        <v>73</v>
      </c>
      <c r="K3199" s="4">
        <v>3550.28</v>
      </c>
      <c r="L3199" s="6">
        <v>3499.99</v>
      </c>
    </row>
    <row r="3200" spans="1:12" x14ac:dyDescent="0.25">
      <c r="A3200" s="1">
        <v>3199</v>
      </c>
      <c r="B3200" s="4">
        <v>22919</v>
      </c>
      <c r="C3200" s="5">
        <v>40011</v>
      </c>
      <c r="D3200" s="3" t="s">
        <v>95</v>
      </c>
      <c r="E3200" s="1" t="s">
        <v>323</v>
      </c>
      <c r="F3200" s="1" t="s">
        <v>23</v>
      </c>
      <c r="G3200" s="2" t="s">
        <v>3</v>
      </c>
      <c r="H3200" s="3" t="s">
        <v>100</v>
      </c>
      <c r="I3200" s="3" t="s">
        <v>85</v>
      </c>
      <c r="J3200" s="3" t="s">
        <v>65</v>
      </c>
      <c r="K3200" s="4">
        <v>98.77</v>
      </c>
      <c r="L3200" s="6">
        <v>4.91</v>
      </c>
    </row>
    <row r="3201" spans="1:12" x14ac:dyDescent="0.25">
      <c r="A3201" s="1">
        <v>3200</v>
      </c>
      <c r="B3201" s="4">
        <v>22947</v>
      </c>
      <c r="C3201" s="5">
        <v>40165</v>
      </c>
      <c r="D3201" s="3" t="s">
        <v>82</v>
      </c>
      <c r="E3201" s="1" t="s">
        <v>166</v>
      </c>
      <c r="F3201" s="1" t="s">
        <v>25</v>
      </c>
      <c r="G3201" s="2" t="s">
        <v>6</v>
      </c>
      <c r="H3201" s="3" t="s">
        <v>100</v>
      </c>
      <c r="I3201" s="3" t="s">
        <v>91</v>
      </c>
      <c r="J3201" s="3" t="s">
        <v>59</v>
      </c>
      <c r="K3201" s="4">
        <v>216.25</v>
      </c>
      <c r="L3201" s="6">
        <v>12.22</v>
      </c>
    </row>
    <row r="3202" spans="1:12" x14ac:dyDescent="0.25">
      <c r="A3202" s="1">
        <v>3201</v>
      </c>
      <c r="B3202" s="4">
        <v>22950</v>
      </c>
      <c r="C3202" s="5">
        <v>40898</v>
      </c>
      <c r="D3202" s="3" t="s">
        <v>82</v>
      </c>
      <c r="E3202" s="1" t="s">
        <v>1093</v>
      </c>
      <c r="F3202" s="1" t="s">
        <v>13</v>
      </c>
      <c r="G3202" s="2" t="s">
        <v>6</v>
      </c>
      <c r="H3202" s="3" t="s">
        <v>88</v>
      </c>
      <c r="I3202" s="3" t="s">
        <v>85</v>
      </c>
      <c r="J3202" s="3" t="s">
        <v>57</v>
      </c>
      <c r="K3202" s="4">
        <v>1756.11</v>
      </c>
      <c r="L3202" s="6">
        <v>64.650000000000006</v>
      </c>
    </row>
    <row r="3203" spans="1:12" x14ac:dyDescent="0.25">
      <c r="A3203" s="1">
        <v>3202</v>
      </c>
      <c r="B3203" s="4">
        <v>22951</v>
      </c>
      <c r="C3203" s="5">
        <v>41032</v>
      </c>
      <c r="D3203" s="3" t="s">
        <v>4</v>
      </c>
      <c r="E3203" s="1" t="s">
        <v>897</v>
      </c>
      <c r="F3203" s="1" t="s">
        <v>35</v>
      </c>
      <c r="G3203" s="2" t="s">
        <v>1</v>
      </c>
      <c r="H3203" s="3" t="s">
        <v>88</v>
      </c>
      <c r="I3203" s="3" t="s">
        <v>92</v>
      </c>
      <c r="J3203" s="3" t="s">
        <v>61</v>
      </c>
      <c r="K3203" s="4">
        <v>1304.0274999999999</v>
      </c>
      <c r="L3203" s="6">
        <v>65.989999999999995</v>
      </c>
    </row>
    <row r="3204" spans="1:12" x14ac:dyDescent="0.25">
      <c r="A3204" s="1">
        <v>3203</v>
      </c>
      <c r="B3204" s="4">
        <v>22978</v>
      </c>
      <c r="C3204" s="5">
        <v>39905</v>
      </c>
      <c r="D3204" s="3" t="s">
        <v>4</v>
      </c>
      <c r="E3204" s="1" t="s">
        <v>964</v>
      </c>
      <c r="F3204" s="1" t="s">
        <v>10</v>
      </c>
      <c r="G3204" s="2" t="s">
        <v>3</v>
      </c>
      <c r="H3204" s="3" t="s">
        <v>84</v>
      </c>
      <c r="I3204" s="3" t="s">
        <v>91</v>
      </c>
      <c r="J3204" s="3" t="s">
        <v>72</v>
      </c>
      <c r="K3204" s="4">
        <v>1801.95</v>
      </c>
      <c r="L3204" s="6">
        <v>60.89</v>
      </c>
    </row>
    <row r="3205" spans="1:12" x14ac:dyDescent="0.25">
      <c r="A3205" s="1">
        <v>3204</v>
      </c>
      <c r="B3205" s="4">
        <v>22980</v>
      </c>
      <c r="C3205" s="5">
        <v>41183</v>
      </c>
      <c r="D3205" s="3" t="s">
        <v>86</v>
      </c>
      <c r="E3205" s="1" t="s">
        <v>750</v>
      </c>
      <c r="F3205" s="1" t="s">
        <v>11</v>
      </c>
      <c r="G3205" s="2" t="s">
        <v>6</v>
      </c>
      <c r="H3205" s="3" t="s">
        <v>100</v>
      </c>
      <c r="I3205" s="3" t="s">
        <v>85</v>
      </c>
      <c r="J3205" s="3" t="s">
        <v>57</v>
      </c>
      <c r="K3205" s="4">
        <v>224.09</v>
      </c>
      <c r="L3205" s="6">
        <v>12.44</v>
      </c>
    </row>
    <row r="3206" spans="1:12" x14ac:dyDescent="0.25">
      <c r="A3206" s="1">
        <v>3205</v>
      </c>
      <c r="B3206" s="4">
        <v>22980</v>
      </c>
      <c r="C3206" s="5">
        <v>41183</v>
      </c>
      <c r="D3206" s="3" t="s">
        <v>86</v>
      </c>
      <c r="E3206" s="1" t="s">
        <v>1094</v>
      </c>
      <c r="F3206" s="1" t="s">
        <v>35</v>
      </c>
      <c r="G3206" s="2" t="s">
        <v>1</v>
      </c>
      <c r="H3206" s="3" t="s">
        <v>100</v>
      </c>
      <c r="I3206" s="3" t="s">
        <v>85</v>
      </c>
      <c r="J3206" s="3" t="s">
        <v>66</v>
      </c>
      <c r="K3206" s="4">
        <v>56.05</v>
      </c>
      <c r="L3206" s="6">
        <v>4.9800000000000004</v>
      </c>
    </row>
    <row r="3207" spans="1:12" x14ac:dyDescent="0.25">
      <c r="A3207" s="1">
        <v>3206</v>
      </c>
      <c r="B3207" s="4">
        <v>23008</v>
      </c>
      <c r="C3207" s="5">
        <v>40095</v>
      </c>
      <c r="D3207" s="3" t="s">
        <v>95</v>
      </c>
      <c r="E3207" s="1" t="s">
        <v>579</v>
      </c>
      <c r="F3207" s="1" t="s">
        <v>13</v>
      </c>
      <c r="G3207" s="2" t="s">
        <v>6</v>
      </c>
      <c r="H3207" s="3" t="s">
        <v>100</v>
      </c>
      <c r="I3207" s="3" t="s">
        <v>85</v>
      </c>
      <c r="J3207" s="3" t="s">
        <v>69</v>
      </c>
      <c r="K3207" s="4">
        <v>1136.47</v>
      </c>
      <c r="L3207" s="6">
        <v>120.98</v>
      </c>
    </row>
    <row r="3208" spans="1:12" x14ac:dyDescent="0.25">
      <c r="A3208" s="1">
        <v>3207</v>
      </c>
      <c r="B3208" s="4">
        <v>23008</v>
      </c>
      <c r="C3208" s="5">
        <v>40095</v>
      </c>
      <c r="D3208" s="3" t="s">
        <v>95</v>
      </c>
      <c r="E3208" s="1" t="s">
        <v>579</v>
      </c>
      <c r="F3208" s="1" t="s">
        <v>13</v>
      </c>
      <c r="G3208" s="2" t="s">
        <v>6</v>
      </c>
      <c r="H3208" s="3" t="s">
        <v>100</v>
      </c>
      <c r="I3208" s="3" t="s">
        <v>92</v>
      </c>
      <c r="J3208" s="3" t="s">
        <v>62</v>
      </c>
      <c r="K3208" s="4">
        <v>325.81</v>
      </c>
      <c r="L3208" s="6">
        <v>152.47999999999999</v>
      </c>
    </row>
    <row r="3209" spans="1:12" x14ac:dyDescent="0.25">
      <c r="A3209" s="1">
        <v>3208</v>
      </c>
      <c r="B3209" s="4">
        <v>23011</v>
      </c>
      <c r="C3209" s="5">
        <v>40344</v>
      </c>
      <c r="D3209" s="3" t="s">
        <v>82</v>
      </c>
      <c r="E3209" s="1" t="s">
        <v>711</v>
      </c>
      <c r="F3209" s="1" t="s">
        <v>28</v>
      </c>
      <c r="G3209" s="2" t="s">
        <v>6</v>
      </c>
      <c r="H3209" s="3" t="s">
        <v>88</v>
      </c>
      <c r="I3209" s="3" t="s">
        <v>92</v>
      </c>
      <c r="J3209" s="3" t="s">
        <v>62</v>
      </c>
      <c r="K3209" s="4">
        <v>12.2</v>
      </c>
      <c r="L3209" s="6">
        <v>10.01</v>
      </c>
    </row>
    <row r="3210" spans="1:12" x14ac:dyDescent="0.25">
      <c r="A3210" s="1">
        <v>3209</v>
      </c>
      <c r="B3210" s="4">
        <v>23041</v>
      </c>
      <c r="C3210" s="5">
        <v>40379</v>
      </c>
      <c r="D3210" s="3" t="s">
        <v>82</v>
      </c>
      <c r="E3210" s="1" t="s">
        <v>362</v>
      </c>
      <c r="F3210" s="1" t="s">
        <v>23</v>
      </c>
      <c r="G3210" s="2" t="s">
        <v>3</v>
      </c>
      <c r="H3210" s="3" t="s">
        <v>100</v>
      </c>
      <c r="I3210" s="3" t="s">
        <v>85</v>
      </c>
      <c r="J3210" s="3" t="s">
        <v>69</v>
      </c>
      <c r="K3210" s="4">
        <v>173.7</v>
      </c>
      <c r="L3210" s="6">
        <v>7.68</v>
      </c>
    </row>
    <row r="3211" spans="1:12" x14ac:dyDescent="0.25">
      <c r="A3211" s="1">
        <v>3210</v>
      </c>
      <c r="B3211" s="4">
        <v>23041</v>
      </c>
      <c r="C3211" s="5">
        <v>40379</v>
      </c>
      <c r="D3211" s="3" t="s">
        <v>82</v>
      </c>
      <c r="E3211" s="1" t="s">
        <v>362</v>
      </c>
      <c r="F3211" s="1" t="s">
        <v>23</v>
      </c>
      <c r="G3211" s="2" t="s">
        <v>3</v>
      </c>
      <c r="H3211" s="3" t="s">
        <v>100</v>
      </c>
      <c r="I3211" s="3" t="s">
        <v>85</v>
      </c>
      <c r="J3211" s="3" t="s">
        <v>69</v>
      </c>
      <c r="K3211" s="4">
        <v>1811.25</v>
      </c>
      <c r="L3211" s="6">
        <v>367.99</v>
      </c>
    </row>
    <row r="3212" spans="1:12" x14ac:dyDescent="0.25">
      <c r="A3212" s="1">
        <v>3211</v>
      </c>
      <c r="B3212" s="4">
        <v>23041</v>
      </c>
      <c r="C3212" s="5">
        <v>40379</v>
      </c>
      <c r="D3212" s="3" t="s">
        <v>82</v>
      </c>
      <c r="E3212" s="1" t="s">
        <v>362</v>
      </c>
      <c r="F3212" s="1" t="s">
        <v>23</v>
      </c>
      <c r="G3212" s="2" t="s">
        <v>3</v>
      </c>
      <c r="H3212" s="3" t="s">
        <v>100</v>
      </c>
      <c r="I3212" s="3" t="s">
        <v>91</v>
      </c>
      <c r="J3212" s="3" t="s">
        <v>60</v>
      </c>
      <c r="K3212" s="4">
        <v>2642.95</v>
      </c>
      <c r="L3212" s="6">
        <v>262.11</v>
      </c>
    </row>
    <row r="3213" spans="1:12" x14ac:dyDescent="0.25">
      <c r="A3213" s="1">
        <v>3212</v>
      </c>
      <c r="B3213" s="4">
        <v>23042</v>
      </c>
      <c r="C3213" s="5">
        <v>39929</v>
      </c>
      <c r="D3213" s="3" t="s">
        <v>4</v>
      </c>
      <c r="E3213" s="1" t="s">
        <v>197</v>
      </c>
      <c r="F3213" s="1" t="s">
        <v>24</v>
      </c>
      <c r="G3213" s="2" t="s">
        <v>2</v>
      </c>
      <c r="H3213" s="3" t="s">
        <v>97</v>
      </c>
      <c r="I3213" s="3" t="s">
        <v>85</v>
      </c>
      <c r="J3213" s="3" t="s">
        <v>57</v>
      </c>
      <c r="K3213" s="4">
        <v>8048.45</v>
      </c>
      <c r="L3213" s="6">
        <v>419.19</v>
      </c>
    </row>
    <row r="3214" spans="1:12" x14ac:dyDescent="0.25">
      <c r="A3214" s="1">
        <v>3213</v>
      </c>
      <c r="B3214" s="4">
        <v>23046</v>
      </c>
      <c r="C3214" s="5">
        <v>40457</v>
      </c>
      <c r="D3214" s="3" t="s">
        <v>95</v>
      </c>
      <c r="E3214" s="1" t="s">
        <v>710</v>
      </c>
      <c r="F3214" s="1" t="s">
        <v>12</v>
      </c>
      <c r="G3214" s="2" t="s">
        <v>2</v>
      </c>
      <c r="H3214" s="3" t="s">
        <v>88</v>
      </c>
      <c r="I3214" s="3" t="s">
        <v>85</v>
      </c>
      <c r="J3214" s="3" t="s">
        <v>66</v>
      </c>
      <c r="K3214" s="4">
        <v>292.75</v>
      </c>
      <c r="L3214" s="6">
        <v>8.9499999999999993</v>
      </c>
    </row>
    <row r="3215" spans="1:12" x14ac:dyDescent="0.25">
      <c r="A3215" s="1">
        <v>3214</v>
      </c>
      <c r="B3215" s="4">
        <v>23076</v>
      </c>
      <c r="C3215" s="5">
        <v>39960</v>
      </c>
      <c r="D3215" s="3" t="s">
        <v>95</v>
      </c>
      <c r="E3215" s="1" t="s">
        <v>853</v>
      </c>
      <c r="F3215" s="1" t="s">
        <v>38</v>
      </c>
      <c r="G3215" s="2" t="s">
        <v>6</v>
      </c>
      <c r="H3215" s="3" t="s">
        <v>88</v>
      </c>
      <c r="I3215" s="3" t="s">
        <v>91</v>
      </c>
      <c r="J3215" s="3" t="s">
        <v>59</v>
      </c>
      <c r="K3215" s="4">
        <v>742.21</v>
      </c>
      <c r="L3215" s="6">
        <v>14.2</v>
      </c>
    </row>
    <row r="3216" spans="1:12" x14ac:dyDescent="0.25">
      <c r="A3216" s="1">
        <v>3215</v>
      </c>
      <c r="B3216" s="4">
        <v>23078</v>
      </c>
      <c r="C3216" s="5">
        <v>40801</v>
      </c>
      <c r="D3216" s="3" t="s">
        <v>4</v>
      </c>
      <c r="E3216" s="1" t="s">
        <v>1095</v>
      </c>
      <c r="F3216" s="1" t="s">
        <v>39</v>
      </c>
      <c r="G3216" s="2" t="s">
        <v>1</v>
      </c>
      <c r="H3216" s="3" t="s">
        <v>100</v>
      </c>
      <c r="I3216" s="3" t="s">
        <v>85</v>
      </c>
      <c r="J3216" s="3" t="s">
        <v>66</v>
      </c>
      <c r="K3216" s="4">
        <v>342.27</v>
      </c>
      <c r="L3216" s="6">
        <v>40.99</v>
      </c>
    </row>
    <row r="3217" spans="1:12" x14ac:dyDescent="0.25">
      <c r="A3217" s="1">
        <v>3216</v>
      </c>
      <c r="B3217" s="4">
        <v>23078</v>
      </c>
      <c r="C3217" s="5">
        <v>40801</v>
      </c>
      <c r="D3217" s="3" t="s">
        <v>4</v>
      </c>
      <c r="E3217" s="1" t="s">
        <v>231</v>
      </c>
      <c r="F3217" s="1" t="s">
        <v>43</v>
      </c>
      <c r="G3217" s="2" t="s">
        <v>1</v>
      </c>
      <c r="H3217" s="3" t="s">
        <v>100</v>
      </c>
      <c r="I3217" s="3" t="s">
        <v>85</v>
      </c>
      <c r="J3217" s="3" t="s">
        <v>71</v>
      </c>
      <c r="K3217" s="4">
        <v>168.95</v>
      </c>
      <c r="L3217" s="6">
        <v>9.7799999999999994</v>
      </c>
    </row>
    <row r="3218" spans="1:12" x14ac:dyDescent="0.25">
      <c r="A3218" s="1">
        <v>3217</v>
      </c>
      <c r="B3218" s="4">
        <v>23078</v>
      </c>
      <c r="C3218" s="5">
        <v>40801</v>
      </c>
      <c r="D3218" s="3" t="s">
        <v>4</v>
      </c>
      <c r="E3218" s="1" t="s">
        <v>503</v>
      </c>
      <c r="F3218" s="1" t="s">
        <v>21</v>
      </c>
      <c r="G3218" s="2" t="s">
        <v>1</v>
      </c>
      <c r="H3218" s="3" t="s">
        <v>100</v>
      </c>
      <c r="I3218" s="3" t="s">
        <v>85</v>
      </c>
      <c r="J3218" s="3" t="s">
        <v>58</v>
      </c>
      <c r="K3218" s="4">
        <v>577.95000000000005</v>
      </c>
      <c r="L3218" s="6">
        <v>15.73</v>
      </c>
    </row>
    <row r="3219" spans="1:12" x14ac:dyDescent="0.25">
      <c r="A3219" s="1">
        <v>3218</v>
      </c>
      <c r="B3219" s="4">
        <v>23104</v>
      </c>
      <c r="C3219" s="5">
        <v>40642</v>
      </c>
      <c r="D3219" s="3" t="s">
        <v>4</v>
      </c>
      <c r="E3219" s="1" t="s">
        <v>473</v>
      </c>
      <c r="F3219" s="1" t="s">
        <v>19</v>
      </c>
      <c r="G3219" s="2" t="s">
        <v>3</v>
      </c>
      <c r="H3219" s="3" t="s">
        <v>84</v>
      </c>
      <c r="I3219" s="3" t="s">
        <v>91</v>
      </c>
      <c r="J3219" s="3" t="s">
        <v>59</v>
      </c>
      <c r="K3219" s="4">
        <v>30.92</v>
      </c>
      <c r="L3219" s="6">
        <v>6.98</v>
      </c>
    </row>
    <row r="3220" spans="1:12" x14ac:dyDescent="0.25">
      <c r="A3220" s="1">
        <v>3219</v>
      </c>
      <c r="B3220" s="4">
        <v>23104</v>
      </c>
      <c r="C3220" s="5">
        <v>40642</v>
      </c>
      <c r="D3220" s="3" t="s">
        <v>4</v>
      </c>
      <c r="E3220" s="1" t="s">
        <v>1096</v>
      </c>
      <c r="F3220" s="1" t="s">
        <v>19</v>
      </c>
      <c r="G3220" s="2" t="s">
        <v>3</v>
      </c>
      <c r="H3220" s="3" t="s">
        <v>84</v>
      </c>
      <c r="I3220" s="3" t="s">
        <v>85</v>
      </c>
      <c r="J3220" s="3" t="s">
        <v>64</v>
      </c>
      <c r="K3220" s="4">
        <v>142.80000000000001</v>
      </c>
      <c r="L3220" s="6">
        <v>5.81</v>
      </c>
    </row>
    <row r="3221" spans="1:12" x14ac:dyDescent="0.25">
      <c r="A3221" s="1">
        <v>3220</v>
      </c>
      <c r="B3221" s="4">
        <v>23106</v>
      </c>
      <c r="C3221" s="5">
        <v>40471</v>
      </c>
      <c r="D3221" s="3" t="s">
        <v>4</v>
      </c>
      <c r="E3221" s="1" t="s">
        <v>1035</v>
      </c>
      <c r="F3221" s="1" t="s">
        <v>42</v>
      </c>
      <c r="G3221" s="2" t="s">
        <v>3</v>
      </c>
      <c r="H3221" s="3" t="s">
        <v>88</v>
      </c>
      <c r="I3221" s="3" t="s">
        <v>92</v>
      </c>
      <c r="J3221" s="3" t="s">
        <v>67</v>
      </c>
      <c r="K3221" s="4">
        <v>25313.34</v>
      </c>
      <c r="L3221" s="6">
        <v>810.98</v>
      </c>
    </row>
    <row r="3222" spans="1:12" x14ac:dyDescent="0.25">
      <c r="A3222" s="1">
        <v>3221</v>
      </c>
      <c r="B3222" s="4">
        <v>23107</v>
      </c>
      <c r="C3222" s="5">
        <v>40705</v>
      </c>
      <c r="D3222" s="3" t="s">
        <v>4</v>
      </c>
      <c r="E3222" s="1" t="s">
        <v>300</v>
      </c>
      <c r="F3222" s="1" t="s">
        <v>44</v>
      </c>
      <c r="G3222" s="2" t="s">
        <v>3</v>
      </c>
      <c r="H3222" s="3" t="s">
        <v>100</v>
      </c>
      <c r="I3222" s="3" t="s">
        <v>85</v>
      </c>
      <c r="J3222" s="3" t="s">
        <v>69</v>
      </c>
      <c r="K3222" s="4">
        <v>43.29</v>
      </c>
      <c r="L3222" s="6">
        <v>5.38</v>
      </c>
    </row>
    <row r="3223" spans="1:12" x14ac:dyDescent="0.25">
      <c r="A3223" s="1">
        <v>3222</v>
      </c>
      <c r="B3223" s="4">
        <v>23136</v>
      </c>
      <c r="C3223" s="5">
        <v>40081</v>
      </c>
      <c r="D3223" s="3" t="s">
        <v>86</v>
      </c>
      <c r="E3223" s="1" t="s">
        <v>912</v>
      </c>
      <c r="F3223" s="1" t="s">
        <v>36</v>
      </c>
      <c r="G3223" s="2" t="s">
        <v>2</v>
      </c>
      <c r="H3223" s="3" t="s">
        <v>84</v>
      </c>
      <c r="I3223" s="3" t="s">
        <v>91</v>
      </c>
      <c r="J3223" s="3" t="s">
        <v>72</v>
      </c>
      <c r="K3223" s="4">
        <v>9312.52</v>
      </c>
      <c r="L3223" s="6">
        <v>218.08</v>
      </c>
    </row>
    <row r="3224" spans="1:12" x14ac:dyDescent="0.25">
      <c r="A3224" s="1">
        <v>3223</v>
      </c>
      <c r="B3224" s="4">
        <v>23136</v>
      </c>
      <c r="C3224" s="5">
        <v>40081</v>
      </c>
      <c r="D3224" s="3" t="s">
        <v>86</v>
      </c>
      <c r="E3224" s="1" t="s">
        <v>912</v>
      </c>
      <c r="F3224" s="1" t="s">
        <v>36</v>
      </c>
      <c r="G3224" s="2" t="s">
        <v>2</v>
      </c>
      <c r="H3224" s="3" t="s">
        <v>84</v>
      </c>
      <c r="I3224" s="3" t="s">
        <v>92</v>
      </c>
      <c r="J3224" s="3" t="s">
        <v>62</v>
      </c>
      <c r="K3224" s="4">
        <v>220.47</v>
      </c>
      <c r="L3224" s="6">
        <v>4.9800000000000004</v>
      </c>
    </row>
    <row r="3225" spans="1:12" x14ac:dyDescent="0.25">
      <c r="A3225" s="1">
        <v>3224</v>
      </c>
      <c r="B3225" s="4">
        <v>23140</v>
      </c>
      <c r="C3225" s="5">
        <v>40947</v>
      </c>
      <c r="D3225" s="3" t="s">
        <v>89</v>
      </c>
      <c r="E3225" s="1" t="s">
        <v>854</v>
      </c>
      <c r="F3225" s="1" t="s">
        <v>10</v>
      </c>
      <c r="G3225" s="2" t="s">
        <v>3</v>
      </c>
      <c r="H3225" s="3" t="s">
        <v>97</v>
      </c>
      <c r="I3225" s="3" t="s">
        <v>91</v>
      </c>
      <c r="J3225" s="3" t="s">
        <v>59</v>
      </c>
      <c r="K3225" s="4">
        <v>1713.8</v>
      </c>
      <c r="L3225" s="6">
        <v>99.23</v>
      </c>
    </row>
    <row r="3226" spans="1:12" x14ac:dyDescent="0.25">
      <c r="A3226" s="1">
        <v>3225</v>
      </c>
      <c r="B3226" s="4">
        <v>23140</v>
      </c>
      <c r="C3226" s="5">
        <v>40947</v>
      </c>
      <c r="D3226" s="3" t="s">
        <v>89</v>
      </c>
      <c r="E3226" s="1" t="s">
        <v>854</v>
      </c>
      <c r="F3226" s="1" t="s">
        <v>10</v>
      </c>
      <c r="G3226" s="2" t="s">
        <v>3</v>
      </c>
      <c r="H3226" s="3" t="s">
        <v>97</v>
      </c>
      <c r="I3226" s="3" t="s">
        <v>85</v>
      </c>
      <c r="J3226" s="3" t="s">
        <v>63</v>
      </c>
      <c r="K3226" s="4">
        <v>116.69</v>
      </c>
      <c r="L3226" s="6">
        <v>7.08</v>
      </c>
    </row>
    <row r="3227" spans="1:12" x14ac:dyDescent="0.25">
      <c r="A3227" s="1">
        <v>3226</v>
      </c>
      <c r="B3227" s="4">
        <v>23168</v>
      </c>
      <c r="C3227" s="5">
        <v>40436</v>
      </c>
      <c r="D3227" s="3" t="s">
        <v>82</v>
      </c>
      <c r="E3227" s="1" t="s">
        <v>957</v>
      </c>
      <c r="F3227" s="1" t="s">
        <v>24</v>
      </c>
      <c r="G3227" s="2" t="s">
        <v>2</v>
      </c>
      <c r="H3227" s="3" t="s">
        <v>97</v>
      </c>
      <c r="I3227" s="3" t="s">
        <v>92</v>
      </c>
      <c r="J3227" s="3" t="s">
        <v>73</v>
      </c>
      <c r="K3227" s="4">
        <v>23949.51</v>
      </c>
      <c r="L3227" s="6">
        <v>499.99</v>
      </c>
    </row>
    <row r="3228" spans="1:12" x14ac:dyDescent="0.25">
      <c r="A3228" s="1">
        <v>3227</v>
      </c>
      <c r="B3228" s="4">
        <v>23169</v>
      </c>
      <c r="C3228" s="5">
        <v>40717</v>
      </c>
      <c r="D3228" s="3" t="s">
        <v>95</v>
      </c>
      <c r="E3228" s="1" t="s">
        <v>238</v>
      </c>
      <c r="F3228" s="1" t="s">
        <v>48</v>
      </c>
      <c r="G3228" s="2" t="s">
        <v>1</v>
      </c>
      <c r="H3228" s="3" t="s">
        <v>97</v>
      </c>
      <c r="I3228" s="3" t="s">
        <v>85</v>
      </c>
      <c r="J3228" s="3" t="s">
        <v>66</v>
      </c>
      <c r="K3228" s="4">
        <v>172.7</v>
      </c>
      <c r="L3228" s="6">
        <v>6.48</v>
      </c>
    </row>
    <row r="3229" spans="1:12" x14ac:dyDescent="0.25">
      <c r="A3229" s="1">
        <v>3228</v>
      </c>
      <c r="B3229" s="4">
        <v>23169</v>
      </c>
      <c r="C3229" s="5">
        <v>40717</v>
      </c>
      <c r="D3229" s="3" t="s">
        <v>95</v>
      </c>
      <c r="E3229" s="1" t="s">
        <v>884</v>
      </c>
      <c r="F3229" s="1" t="s">
        <v>49</v>
      </c>
      <c r="G3229" s="2" t="s">
        <v>1</v>
      </c>
      <c r="H3229" s="3" t="s">
        <v>97</v>
      </c>
      <c r="I3229" s="3" t="s">
        <v>92</v>
      </c>
      <c r="J3229" s="3" t="s">
        <v>62</v>
      </c>
      <c r="K3229" s="4">
        <v>1683.57</v>
      </c>
      <c r="L3229" s="6">
        <v>80.98</v>
      </c>
    </row>
    <row r="3230" spans="1:12" x14ac:dyDescent="0.25">
      <c r="A3230" s="1">
        <v>3229</v>
      </c>
      <c r="B3230" s="4">
        <v>23170</v>
      </c>
      <c r="C3230" s="5">
        <v>39954</v>
      </c>
      <c r="D3230" s="3" t="s">
        <v>86</v>
      </c>
      <c r="E3230" s="1" t="s">
        <v>354</v>
      </c>
      <c r="F3230" s="1" t="s">
        <v>32</v>
      </c>
      <c r="G3230" s="2" t="s">
        <v>2</v>
      </c>
      <c r="H3230" s="3" t="s">
        <v>100</v>
      </c>
      <c r="I3230" s="3" t="s">
        <v>91</v>
      </c>
      <c r="J3230" s="3" t="s">
        <v>72</v>
      </c>
      <c r="K3230" s="4">
        <v>4252.8900000000003</v>
      </c>
      <c r="L3230" s="6">
        <v>218.08</v>
      </c>
    </row>
    <row r="3231" spans="1:12" x14ac:dyDescent="0.25">
      <c r="A3231" s="1">
        <v>3230</v>
      </c>
      <c r="B3231" s="4">
        <v>23172</v>
      </c>
      <c r="C3231" s="5">
        <v>41023</v>
      </c>
      <c r="D3231" s="3" t="s">
        <v>82</v>
      </c>
      <c r="E3231" s="1" t="s">
        <v>1006</v>
      </c>
      <c r="F3231" s="1" t="s">
        <v>12</v>
      </c>
      <c r="G3231" s="2" t="s">
        <v>2</v>
      </c>
      <c r="H3231" s="3" t="s">
        <v>97</v>
      </c>
      <c r="I3231" s="3" t="s">
        <v>92</v>
      </c>
      <c r="J3231" s="3" t="s">
        <v>67</v>
      </c>
      <c r="K3231" s="4">
        <v>1191.73</v>
      </c>
      <c r="L3231" s="6">
        <v>96.45</v>
      </c>
    </row>
    <row r="3232" spans="1:12" x14ac:dyDescent="0.25">
      <c r="A3232" s="1">
        <v>3231</v>
      </c>
      <c r="B3232" s="4">
        <v>23174</v>
      </c>
      <c r="C3232" s="5">
        <v>41116</v>
      </c>
      <c r="D3232" s="3" t="s">
        <v>82</v>
      </c>
      <c r="E3232" s="1" t="s">
        <v>1057</v>
      </c>
      <c r="F3232" s="1" t="s">
        <v>22</v>
      </c>
      <c r="G3232" s="2" t="s">
        <v>6</v>
      </c>
      <c r="H3232" s="3" t="s">
        <v>100</v>
      </c>
      <c r="I3232" s="3" t="s">
        <v>91</v>
      </c>
      <c r="J3232" s="3" t="s">
        <v>72</v>
      </c>
      <c r="K3232" s="4">
        <v>3549.9</v>
      </c>
      <c r="L3232" s="6">
        <v>216.6</v>
      </c>
    </row>
    <row r="3233" spans="1:12" x14ac:dyDescent="0.25">
      <c r="A3233" s="1">
        <v>3232</v>
      </c>
      <c r="B3233" s="4">
        <v>23174</v>
      </c>
      <c r="C3233" s="5">
        <v>41116</v>
      </c>
      <c r="D3233" s="3" t="s">
        <v>82</v>
      </c>
      <c r="E3233" s="1" t="s">
        <v>1057</v>
      </c>
      <c r="F3233" s="1" t="s">
        <v>22</v>
      </c>
      <c r="G3233" s="2" t="s">
        <v>6</v>
      </c>
      <c r="H3233" s="3" t="s">
        <v>100</v>
      </c>
      <c r="I3233" s="3" t="s">
        <v>85</v>
      </c>
      <c r="J3233" s="3" t="s">
        <v>57</v>
      </c>
      <c r="K3233" s="4">
        <v>138.24</v>
      </c>
      <c r="L3233" s="6">
        <v>16.739999999999998</v>
      </c>
    </row>
    <row r="3234" spans="1:12" x14ac:dyDescent="0.25">
      <c r="A3234" s="1">
        <v>3233</v>
      </c>
      <c r="B3234" s="4">
        <v>23202</v>
      </c>
      <c r="C3234" s="5">
        <v>40754</v>
      </c>
      <c r="D3234" s="3" t="s">
        <v>89</v>
      </c>
      <c r="E3234" s="1" t="s">
        <v>919</v>
      </c>
      <c r="F3234" s="1" t="s">
        <v>13</v>
      </c>
      <c r="G3234" s="2" t="s">
        <v>6</v>
      </c>
      <c r="H3234" s="3" t="s">
        <v>84</v>
      </c>
      <c r="I3234" s="3" t="s">
        <v>85</v>
      </c>
      <c r="J3234" s="3" t="s">
        <v>66</v>
      </c>
      <c r="K3234" s="4">
        <v>307.42</v>
      </c>
      <c r="L3234" s="6">
        <v>8.17</v>
      </c>
    </row>
    <row r="3235" spans="1:12" x14ac:dyDescent="0.25">
      <c r="A3235" s="1">
        <v>3234</v>
      </c>
      <c r="B3235" s="4">
        <v>23202</v>
      </c>
      <c r="C3235" s="5">
        <v>40754</v>
      </c>
      <c r="D3235" s="3" t="s">
        <v>89</v>
      </c>
      <c r="E3235" s="1" t="s">
        <v>919</v>
      </c>
      <c r="F3235" s="1" t="s">
        <v>13</v>
      </c>
      <c r="G3235" s="2" t="s">
        <v>6</v>
      </c>
      <c r="H3235" s="3" t="s">
        <v>84</v>
      </c>
      <c r="I3235" s="3" t="s">
        <v>85</v>
      </c>
      <c r="J3235" s="3" t="s">
        <v>63</v>
      </c>
      <c r="K3235" s="4">
        <v>608.29</v>
      </c>
      <c r="L3235" s="6">
        <v>11.97</v>
      </c>
    </row>
    <row r="3236" spans="1:12" x14ac:dyDescent="0.25">
      <c r="A3236" s="1">
        <v>3235</v>
      </c>
      <c r="B3236" s="4">
        <v>23205</v>
      </c>
      <c r="C3236" s="5">
        <v>39957</v>
      </c>
      <c r="D3236" s="3" t="s">
        <v>89</v>
      </c>
      <c r="E3236" s="1" t="s">
        <v>259</v>
      </c>
      <c r="F3236" s="1" t="s">
        <v>34</v>
      </c>
      <c r="G3236" s="2" t="s">
        <v>1</v>
      </c>
      <c r="H3236" s="3" t="s">
        <v>100</v>
      </c>
      <c r="I3236" s="3" t="s">
        <v>85</v>
      </c>
      <c r="J3236" s="3" t="s">
        <v>70</v>
      </c>
      <c r="K3236" s="4">
        <v>319.62</v>
      </c>
      <c r="L3236" s="6">
        <v>40.98</v>
      </c>
    </row>
    <row r="3237" spans="1:12" x14ac:dyDescent="0.25">
      <c r="A3237" s="1">
        <v>3236</v>
      </c>
      <c r="B3237" s="4">
        <v>23205</v>
      </c>
      <c r="C3237" s="5">
        <v>39957</v>
      </c>
      <c r="D3237" s="3" t="s">
        <v>89</v>
      </c>
      <c r="E3237" s="1" t="s">
        <v>259</v>
      </c>
      <c r="F3237" s="1" t="s">
        <v>34</v>
      </c>
      <c r="G3237" s="2" t="s">
        <v>1</v>
      </c>
      <c r="H3237" s="3" t="s">
        <v>100</v>
      </c>
      <c r="I3237" s="3" t="s">
        <v>92</v>
      </c>
      <c r="J3237" s="3" t="s">
        <v>62</v>
      </c>
      <c r="K3237" s="4">
        <v>263.39</v>
      </c>
      <c r="L3237" s="6">
        <v>8.1199999999999992</v>
      </c>
    </row>
    <row r="3238" spans="1:12" x14ac:dyDescent="0.25">
      <c r="A3238" s="1">
        <v>3237</v>
      </c>
      <c r="B3238" s="4">
        <v>23205</v>
      </c>
      <c r="C3238" s="5">
        <v>39957</v>
      </c>
      <c r="D3238" s="3" t="s">
        <v>89</v>
      </c>
      <c r="E3238" s="1" t="s">
        <v>259</v>
      </c>
      <c r="F3238" s="1" t="s">
        <v>34</v>
      </c>
      <c r="G3238" s="2" t="s">
        <v>1</v>
      </c>
      <c r="H3238" s="3" t="s">
        <v>100</v>
      </c>
      <c r="I3238" s="3" t="s">
        <v>91</v>
      </c>
      <c r="J3238" s="3" t="s">
        <v>60</v>
      </c>
      <c r="K3238" s="4">
        <v>7208.8</v>
      </c>
      <c r="L3238" s="6">
        <v>262.11</v>
      </c>
    </row>
    <row r="3239" spans="1:12" x14ac:dyDescent="0.25">
      <c r="A3239" s="1">
        <v>3238</v>
      </c>
      <c r="B3239" s="4">
        <v>23207</v>
      </c>
      <c r="C3239" s="5">
        <v>40473</v>
      </c>
      <c r="D3239" s="3" t="s">
        <v>95</v>
      </c>
      <c r="E3239" s="1" t="s">
        <v>1053</v>
      </c>
      <c r="F3239" s="1" t="s">
        <v>30</v>
      </c>
      <c r="G3239" s="2" t="s">
        <v>6</v>
      </c>
      <c r="H3239" s="3" t="s">
        <v>88</v>
      </c>
      <c r="I3239" s="3" t="s">
        <v>85</v>
      </c>
      <c r="J3239" s="3" t="s">
        <v>66</v>
      </c>
      <c r="K3239" s="4">
        <v>336.91</v>
      </c>
      <c r="L3239" s="6">
        <v>30.98</v>
      </c>
    </row>
    <row r="3240" spans="1:12" x14ac:dyDescent="0.25">
      <c r="A3240" s="1">
        <v>3239</v>
      </c>
      <c r="B3240" s="4">
        <v>23232</v>
      </c>
      <c r="C3240" s="5">
        <v>40284</v>
      </c>
      <c r="D3240" s="3" t="s">
        <v>89</v>
      </c>
      <c r="E3240" s="1" t="s">
        <v>115</v>
      </c>
      <c r="F3240" s="1" t="s">
        <v>23</v>
      </c>
      <c r="G3240" s="2" t="s">
        <v>3</v>
      </c>
      <c r="H3240" s="3" t="s">
        <v>97</v>
      </c>
      <c r="I3240" s="3" t="s">
        <v>92</v>
      </c>
      <c r="J3240" s="3" t="s">
        <v>62</v>
      </c>
      <c r="K3240" s="4">
        <v>614.15</v>
      </c>
      <c r="L3240" s="6">
        <v>39.979999999999997</v>
      </c>
    </row>
    <row r="3241" spans="1:12" x14ac:dyDescent="0.25">
      <c r="A3241" s="1">
        <v>3240</v>
      </c>
      <c r="B3241" s="4">
        <v>23232</v>
      </c>
      <c r="C3241" s="5">
        <v>40284</v>
      </c>
      <c r="D3241" s="3" t="s">
        <v>89</v>
      </c>
      <c r="E3241" s="1" t="s">
        <v>115</v>
      </c>
      <c r="F3241" s="1" t="s">
        <v>23</v>
      </c>
      <c r="G3241" s="2" t="s">
        <v>3</v>
      </c>
      <c r="H3241" s="3" t="s">
        <v>97</v>
      </c>
      <c r="I3241" s="3" t="s">
        <v>85</v>
      </c>
      <c r="J3241" s="3" t="s">
        <v>65</v>
      </c>
      <c r="K3241" s="4">
        <v>154.24</v>
      </c>
      <c r="L3241" s="6">
        <v>4.9800000000000004</v>
      </c>
    </row>
    <row r="3242" spans="1:12" x14ac:dyDescent="0.25">
      <c r="A3242" s="1">
        <v>3241</v>
      </c>
      <c r="B3242" s="4">
        <v>23232</v>
      </c>
      <c r="C3242" s="5">
        <v>40284</v>
      </c>
      <c r="D3242" s="3" t="s">
        <v>89</v>
      </c>
      <c r="E3242" s="1" t="s">
        <v>115</v>
      </c>
      <c r="F3242" s="1" t="s">
        <v>23</v>
      </c>
      <c r="G3242" s="2" t="s">
        <v>3</v>
      </c>
      <c r="H3242" s="3" t="s">
        <v>97</v>
      </c>
      <c r="I3242" s="3" t="s">
        <v>85</v>
      </c>
      <c r="J3242" s="3" t="s">
        <v>66</v>
      </c>
      <c r="K3242" s="4">
        <v>140.31</v>
      </c>
      <c r="L3242" s="6">
        <v>6.48</v>
      </c>
    </row>
    <row r="3243" spans="1:12" x14ac:dyDescent="0.25">
      <c r="A3243" s="1">
        <v>3242</v>
      </c>
      <c r="B3243" s="4">
        <v>23235</v>
      </c>
      <c r="C3243" s="5">
        <v>40729</v>
      </c>
      <c r="D3243" s="3" t="s">
        <v>89</v>
      </c>
      <c r="E3243" s="1" t="s">
        <v>957</v>
      </c>
      <c r="F3243" s="1" t="s">
        <v>24</v>
      </c>
      <c r="G3243" s="2" t="s">
        <v>2</v>
      </c>
      <c r="H3243" s="3" t="s">
        <v>97</v>
      </c>
      <c r="I3243" s="3" t="s">
        <v>91</v>
      </c>
      <c r="J3243" s="3" t="s">
        <v>60</v>
      </c>
      <c r="K3243" s="4">
        <v>17.43</v>
      </c>
      <c r="L3243" s="6">
        <v>2.88</v>
      </c>
    </row>
    <row r="3244" spans="1:12" x14ac:dyDescent="0.25">
      <c r="A3244" s="1">
        <v>3243</v>
      </c>
      <c r="B3244" s="4">
        <v>23238</v>
      </c>
      <c r="C3244" s="5">
        <v>40268</v>
      </c>
      <c r="D3244" s="3" t="s">
        <v>86</v>
      </c>
      <c r="E3244" s="1" t="s">
        <v>373</v>
      </c>
      <c r="F3244" s="1" t="s">
        <v>24</v>
      </c>
      <c r="G3244" s="2" t="s">
        <v>2</v>
      </c>
      <c r="H3244" s="3" t="s">
        <v>84</v>
      </c>
      <c r="I3244" s="3" t="s">
        <v>92</v>
      </c>
      <c r="J3244" s="3" t="s">
        <v>67</v>
      </c>
      <c r="K3244" s="4">
        <v>2976.19</v>
      </c>
      <c r="L3244" s="6">
        <v>115.99</v>
      </c>
    </row>
    <row r="3245" spans="1:12" x14ac:dyDescent="0.25">
      <c r="A3245" s="1">
        <v>3244</v>
      </c>
      <c r="B3245" s="4">
        <v>23264</v>
      </c>
      <c r="C3245" s="5">
        <v>40519</v>
      </c>
      <c r="D3245" s="3" t="s">
        <v>95</v>
      </c>
      <c r="E3245" s="1" t="s">
        <v>150</v>
      </c>
      <c r="F3245" s="1" t="s">
        <v>8</v>
      </c>
      <c r="G3245" s="2" t="s">
        <v>6</v>
      </c>
      <c r="H3245" s="3" t="s">
        <v>88</v>
      </c>
      <c r="I3245" s="3" t="s">
        <v>85</v>
      </c>
      <c r="J3245" s="3" t="s">
        <v>66</v>
      </c>
      <c r="K3245" s="4">
        <v>108.42</v>
      </c>
      <c r="L3245" s="6">
        <v>6.48</v>
      </c>
    </row>
    <row r="3246" spans="1:12" x14ac:dyDescent="0.25">
      <c r="A3246" s="1">
        <v>3245</v>
      </c>
      <c r="B3246" s="4">
        <v>23264</v>
      </c>
      <c r="C3246" s="5">
        <v>40519</v>
      </c>
      <c r="D3246" s="3" t="s">
        <v>95</v>
      </c>
      <c r="E3246" s="1" t="s">
        <v>165</v>
      </c>
      <c r="F3246" s="1" t="s">
        <v>8</v>
      </c>
      <c r="G3246" s="2" t="s">
        <v>6</v>
      </c>
      <c r="H3246" s="3" t="s">
        <v>88</v>
      </c>
      <c r="I3246" s="3" t="s">
        <v>85</v>
      </c>
      <c r="J3246" s="3" t="s">
        <v>65</v>
      </c>
      <c r="K3246" s="4">
        <v>78.47</v>
      </c>
      <c r="L3246" s="6">
        <v>2.88</v>
      </c>
    </row>
    <row r="3247" spans="1:12" x14ac:dyDescent="0.25">
      <c r="A3247" s="1">
        <v>3246</v>
      </c>
      <c r="B3247" s="4">
        <v>23268</v>
      </c>
      <c r="C3247" s="5">
        <v>40924</v>
      </c>
      <c r="D3247" s="3" t="s">
        <v>89</v>
      </c>
      <c r="E3247" s="1" t="s">
        <v>389</v>
      </c>
      <c r="F3247" s="1" t="s">
        <v>21</v>
      </c>
      <c r="G3247" s="2" t="s">
        <v>1</v>
      </c>
      <c r="H3247" s="3" t="s">
        <v>97</v>
      </c>
      <c r="I3247" s="3" t="s">
        <v>85</v>
      </c>
      <c r="J3247" s="3" t="s">
        <v>66</v>
      </c>
      <c r="K3247" s="4">
        <v>255.31</v>
      </c>
      <c r="L3247" s="6">
        <v>48.04</v>
      </c>
    </row>
    <row r="3248" spans="1:12" x14ac:dyDescent="0.25">
      <c r="A3248" s="1">
        <v>3247</v>
      </c>
      <c r="B3248" s="4">
        <v>23268</v>
      </c>
      <c r="C3248" s="5">
        <v>40924</v>
      </c>
      <c r="D3248" s="3" t="s">
        <v>89</v>
      </c>
      <c r="E3248" s="1" t="s">
        <v>651</v>
      </c>
      <c r="F3248" s="1" t="s">
        <v>20</v>
      </c>
      <c r="G3248" s="2" t="s">
        <v>1</v>
      </c>
      <c r="H3248" s="3" t="s">
        <v>97</v>
      </c>
      <c r="I3248" s="3" t="s">
        <v>85</v>
      </c>
      <c r="J3248" s="3" t="s">
        <v>66</v>
      </c>
      <c r="K3248" s="4">
        <v>50.85</v>
      </c>
      <c r="L3248" s="6">
        <v>3.6</v>
      </c>
    </row>
    <row r="3249" spans="1:12" x14ac:dyDescent="0.25">
      <c r="A3249" s="1">
        <v>3248</v>
      </c>
      <c r="B3249" s="4">
        <v>23270</v>
      </c>
      <c r="C3249" s="5">
        <v>40615</v>
      </c>
      <c r="D3249" s="3" t="s">
        <v>82</v>
      </c>
      <c r="E3249" s="1" t="s">
        <v>396</v>
      </c>
      <c r="F3249" s="1" t="s">
        <v>23</v>
      </c>
      <c r="G3249" s="2" t="s">
        <v>3</v>
      </c>
      <c r="H3249" s="3" t="s">
        <v>97</v>
      </c>
      <c r="I3249" s="3" t="s">
        <v>85</v>
      </c>
      <c r="J3249" s="3" t="s">
        <v>70</v>
      </c>
      <c r="K3249" s="4">
        <v>1460.42</v>
      </c>
      <c r="L3249" s="6">
        <v>68.81</v>
      </c>
    </row>
    <row r="3250" spans="1:12" x14ac:dyDescent="0.25">
      <c r="A3250" s="1">
        <v>3249</v>
      </c>
      <c r="B3250" s="4">
        <v>23270</v>
      </c>
      <c r="C3250" s="5">
        <v>40615</v>
      </c>
      <c r="D3250" s="3" t="s">
        <v>82</v>
      </c>
      <c r="E3250" s="1" t="s">
        <v>396</v>
      </c>
      <c r="F3250" s="1" t="s">
        <v>23</v>
      </c>
      <c r="G3250" s="2" t="s">
        <v>3</v>
      </c>
      <c r="H3250" s="3" t="s">
        <v>97</v>
      </c>
      <c r="I3250" s="3" t="s">
        <v>92</v>
      </c>
      <c r="J3250" s="3" t="s">
        <v>61</v>
      </c>
      <c r="K3250" s="4">
        <v>6659.7415000000001</v>
      </c>
      <c r="L3250" s="6">
        <v>195.99</v>
      </c>
    </row>
    <row r="3251" spans="1:12" x14ac:dyDescent="0.25">
      <c r="A3251" s="1">
        <v>3250</v>
      </c>
      <c r="B3251" s="4">
        <v>23271</v>
      </c>
      <c r="C3251" s="5">
        <v>40485</v>
      </c>
      <c r="D3251" s="3" t="s">
        <v>89</v>
      </c>
      <c r="E3251" s="1" t="s">
        <v>1097</v>
      </c>
      <c r="F3251" s="1" t="s">
        <v>39</v>
      </c>
      <c r="G3251" s="2" t="s">
        <v>1</v>
      </c>
      <c r="H3251" s="3" t="s">
        <v>84</v>
      </c>
      <c r="I3251" s="3" t="s">
        <v>92</v>
      </c>
      <c r="J3251" s="3" t="s">
        <v>67</v>
      </c>
      <c r="K3251" s="4">
        <v>794.58</v>
      </c>
      <c r="L3251" s="6">
        <v>808.49</v>
      </c>
    </row>
    <row r="3252" spans="1:12" x14ac:dyDescent="0.25">
      <c r="A3252" s="1">
        <v>3251</v>
      </c>
      <c r="B3252" s="4">
        <v>23297</v>
      </c>
      <c r="C3252" s="5">
        <v>41092</v>
      </c>
      <c r="D3252" s="3" t="s">
        <v>95</v>
      </c>
      <c r="E3252" s="1" t="s">
        <v>1098</v>
      </c>
      <c r="F3252" s="1" t="s">
        <v>24</v>
      </c>
      <c r="G3252" s="2" t="s">
        <v>2</v>
      </c>
      <c r="H3252" s="3" t="s">
        <v>88</v>
      </c>
      <c r="I3252" s="3" t="s">
        <v>85</v>
      </c>
      <c r="J3252" s="3" t="s">
        <v>70</v>
      </c>
      <c r="K3252" s="4">
        <v>498.68</v>
      </c>
      <c r="L3252" s="6">
        <v>25.98</v>
      </c>
    </row>
    <row r="3253" spans="1:12" x14ac:dyDescent="0.25">
      <c r="A3253" s="1">
        <v>3252</v>
      </c>
      <c r="B3253" s="4">
        <v>23297</v>
      </c>
      <c r="C3253" s="5">
        <v>41092</v>
      </c>
      <c r="D3253" s="3" t="s">
        <v>95</v>
      </c>
      <c r="E3253" s="1" t="s">
        <v>1098</v>
      </c>
      <c r="F3253" s="1" t="s">
        <v>24</v>
      </c>
      <c r="G3253" s="2" t="s">
        <v>2</v>
      </c>
      <c r="H3253" s="3" t="s">
        <v>88</v>
      </c>
      <c r="I3253" s="3" t="s">
        <v>85</v>
      </c>
      <c r="J3253" s="3" t="s">
        <v>57</v>
      </c>
      <c r="K3253" s="4">
        <v>5208.78</v>
      </c>
      <c r="L3253" s="6">
        <v>155.06</v>
      </c>
    </row>
    <row r="3254" spans="1:12" x14ac:dyDescent="0.25">
      <c r="A3254" s="1">
        <v>3253</v>
      </c>
      <c r="B3254" s="4">
        <v>23301</v>
      </c>
      <c r="C3254" s="5">
        <v>40651</v>
      </c>
      <c r="D3254" s="3" t="s">
        <v>89</v>
      </c>
      <c r="E3254" s="1" t="s">
        <v>1098</v>
      </c>
      <c r="F3254" s="1" t="s">
        <v>24</v>
      </c>
      <c r="G3254" s="2" t="s">
        <v>2</v>
      </c>
      <c r="H3254" s="3" t="s">
        <v>88</v>
      </c>
      <c r="I3254" s="3" t="s">
        <v>92</v>
      </c>
      <c r="J3254" s="3" t="s">
        <v>62</v>
      </c>
      <c r="K3254" s="4">
        <v>28.46</v>
      </c>
      <c r="L3254" s="6">
        <v>5.98</v>
      </c>
    </row>
    <row r="3255" spans="1:12" x14ac:dyDescent="0.25">
      <c r="A3255" s="1">
        <v>3254</v>
      </c>
      <c r="B3255" s="4">
        <v>23301</v>
      </c>
      <c r="C3255" s="5">
        <v>40651</v>
      </c>
      <c r="D3255" s="3" t="s">
        <v>89</v>
      </c>
      <c r="E3255" s="1" t="s">
        <v>1098</v>
      </c>
      <c r="F3255" s="1" t="s">
        <v>24</v>
      </c>
      <c r="G3255" s="2" t="s">
        <v>2</v>
      </c>
      <c r="H3255" s="3" t="s">
        <v>88</v>
      </c>
      <c r="I3255" s="3" t="s">
        <v>85</v>
      </c>
      <c r="J3255" s="3" t="s">
        <v>66</v>
      </c>
      <c r="K3255" s="4">
        <v>23.44</v>
      </c>
      <c r="L3255" s="6">
        <v>5.98</v>
      </c>
    </row>
    <row r="3256" spans="1:12" x14ac:dyDescent="0.25">
      <c r="A3256" s="1">
        <v>3255</v>
      </c>
      <c r="B3256" s="4">
        <v>23303</v>
      </c>
      <c r="C3256" s="5">
        <v>39984</v>
      </c>
      <c r="D3256" s="3" t="s">
        <v>86</v>
      </c>
      <c r="E3256" s="1" t="s">
        <v>632</v>
      </c>
      <c r="F3256" s="1" t="s">
        <v>31</v>
      </c>
      <c r="G3256" s="2" t="s">
        <v>1</v>
      </c>
      <c r="H3256" s="3" t="s">
        <v>100</v>
      </c>
      <c r="I3256" s="3" t="s">
        <v>85</v>
      </c>
      <c r="J3256" s="3" t="s">
        <v>66</v>
      </c>
      <c r="K3256" s="4">
        <v>238.49</v>
      </c>
      <c r="L3256" s="6">
        <v>6.48</v>
      </c>
    </row>
    <row r="3257" spans="1:12" x14ac:dyDescent="0.25">
      <c r="A3257" s="1">
        <v>3256</v>
      </c>
      <c r="B3257" s="4">
        <v>23328</v>
      </c>
      <c r="C3257" s="5">
        <v>40436</v>
      </c>
      <c r="D3257" s="3" t="s">
        <v>89</v>
      </c>
      <c r="E3257" s="1" t="s">
        <v>863</v>
      </c>
      <c r="F3257" s="1" t="s">
        <v>32</v>
      </c>
      <c r="G3257" s="2" t="s">
        <v>2</v>
      </c>
      <c r="H3257" s="3" t="s">
        <v>84</v>
      </c>
      <c r="I3257" s="3" t="s">
        <v>92</v>
      </c>
      <c r="J3257" s="3" t="s">
        <v>67</v>
      </c>
      <c r="K3257" s="4">
        <v>5740.32</v>
      </c>
      <c r="L3257" s="6">
        <v>145.44999999999999</v>
      </c>
    </row>
    <row r="3258" spans="1:12" x14ac:dyDescent="0.25">
      <c r="A3258" s="1">
        <v>3257</v>
      </c>
      <c r="B3258" s="4">
        <v>23329</v>
      </c>
      <c r="C3258" s="5">
        <v>40538</v>
      </c>
      <c r="D3258" s="3" t="s">
        <v>82</v>
      </c>
      <c r="E3258" s="1" t="s">
        <v>161</v>
      </c>
      <c r="F3258" s="1" t="s">
        <v>24</v>
      </c>
      <c r="G3258" s="2" t="s">
        <v>2</v>
      </c>
      <c r="H3258" s="3" t="s">
        <v>97</v>
      </c>
      <c r="I3258" s="3" t="s">
        <v>92</v>
      </c>
      <c r="J3258" s="3" t="s">
        <v>61</v>
      </c>
      <c r="K3258" s="4">
        <v>31.118499999999997</v>
      </c>
      <c r="L3258" s="6">
        <v>7.99</v>
      </c>
    </row>
    <row r="3259" spans="1:12" x14ac:dyDescent="0.25">
      <c r="A3259" s="1">
        <v>3258</v>
      </c>
      <c r="B3259" s="4">
        <v>23329</v>
      </c>
      <c r="C3259" s="5">
        <v>40538</v>
      </c>
      <c r="D3259" s="3" t="s">
        <v>82</v>
      </c>
      <c r="E3259" s="1" t="s">
        <v>161</v>
      </c>
      <c r="F3259" s="1" t="s">
        <v>24</v>
      </c>
      <c r="G3259" s="2" t="s">
        <v>2</v>
      </c>
      <c r="H3259" s="3" t="s">
        <v>97</v>
      </c>
      <c r="I3259" s="3" t="s">
        <v>92</v>
      </c>
      <c r="J3259" s="3" t="s">
        <v>61</v>
      </c>
      <c r="K3259" s="4">
        <v>4829.4534999999996</v>
      </c>
      <c r="L3259" s="6">
        <v>125.99</v>
      </c>
    </row>
    <row r="3260" spans="1:12" x14ac:dyDescent="0.25">
      <c r="A3260" s="1">
        <v>3259</v>
      </c>
      <c r="B3260" s="4">
        <v>23333</v>
      </c>
      <c r="C3260" s="5">
        <v>40030</v>
      </c>
      <c r="D3260" s="3" t="s">
        <v>4</v>
      </c>
      <c r="E3260" s="1" t="s">
        <v>1018</v>
      </c>
      <c r="F3260" s="1" t="s">
        <v>22</v>
      </c>
      <c r="G3260" s="2" t="s">
        <v>6</v>
      </c>
      <c r="H3260" s="3" t="s">
        <v>97</v>
      </c>
      <c r="I3260" s="3" t="s">
        <v>85</v>
      </c>
      <c r="J3260" s="3" t="s">
        <v>70</v>
      </c>
      <c r="K3260" s="4">
        <v>634.12</v>
      </c>
      <c r="L3260" s="6">
        <v>14.42</v>
      </c>
    </row>
    <row r="3261" spans="1:12" x14ac:dyDescent="0.25">
      <c r="A3261" s="1">
        <v>3260</v>
      </c>
      <c r="B3261" s="4">
        <v>23333</v>
      </c>
      <c r="C3261" s="5">
        <v>40030</v>
      </c>
      <c r="D3261" s="3" t="s">
        <v>4</v>
      </c>
      <c r="E3261" s="1" t="s">
        <v>1018</v>
      </c>
      <c r="F3261" s="1" t="s">
        <v>22</v>
      </c>
      <c r="G3261" s="2" t="s">
        <v>6</v>
      </c>
      <c r="H3261" s="3" t="s">
        <v>97</v>
      </c>
      <c r="I3261" s="3" t="s">
        <v>85</v>
      </c>
      <c r="J3261" s="3" t="s">
        <v>66</v>
      </c>
      <c r="K3261" s="4">
        <v>196.84</v>
      </c>
      <c r="L3261" s="6">
        <v>5.98</v>
      </c>
    </row>
    <row r="3262" spans="1:12" x14ac:dyDescent="0.25">
      <c r="A3262" s="1">
        <v>3261</v>
      </c>
      <c r="B3262" s="4">
        <v>23333</v>
      </c>
      <c r="C3262" s="5">
        <v>40030</v>
      </c>
      <c r="D3262" s="3" t="s">
        <v>4</v>
      </c>
      <c r="E3262" s="1" t="s">
        <v>1018</v>
      </c>
      <c r="F3262" s="1" t="s">
        <v>22</v>
      </c>
      <c r="G3262" s="2" t="s">
        <v>6</v>
      </c>
      <c r="H3262" s="3" t="s">
        <v>97</v>
      </c>
      <c r="I3262" s="3" t="s">
        <v>92</v>
      </c>
      <c r="J3262" s="3" t="s">
        <v>61</v>
      </c>
      <c r="K3262" s="4">
        <v>886.89</v>
      </c>
      <c r="L3262" s="6">
        <v>65.989999999999995</v>
      </c>
    </row>
    <row r="3263" spans="1:12" x14ac:dyDescent="0.25">
      <c r="A3263" s="1">
        <v>3262</v>
      </c>
      <c r="B3263" s="4">
        <v>23360</v>
      </c>
      <c r="C3263" s="5">
        <v>39944</v>
      </c>
      <c r="D3263" s="3" t="s">
        <v>82</v>
      </c>
      <c r="E3263" s="1" t="s">
        <v>293</v>
      </c>
      <c r="F3263" s="1" t="s">
        <v>42</v>
      </c>
      <c r="G3263" s="2" t="s">
        <v>3</v>
      </c>
      <c r="H3263" s="3" t="s">
        <v>100</v>
      </c>
      <c r="I3263" s="3" t="s">
        <v>85</v>
      </c>
      <c r="J3263" s="3" t="s">
        <v>71</v>
      </c>
      <c r="K3263" s="4">
        <v>512.97</v>
      </c>
      <c r="L3263" s="6">
        <v>15.67</v>
      </c>
    </row>
    <row r="3264" spans="1:12" x14ac:dyDescent="0.25">
      <c r="A3264" s="1">
        <v>3263</v>
      </c>
      <c r="B3264" s="4">
        <v>23361</v>
      </c>
      <c r="C3264" s="5">
        <v>40362</v>
      </c>
      <c r="D3264" s="3" t="s">
        <v>95</v>
      </c>
      <c r="E3264" s="1" t="s">
        <v>1012</v>
      </c>
      <c r="F3264" s="1" t="s">
        <v>17</v>
      </c>
      <c r="G3264" s="2" t="s">
        <v>2</v>
      </c>
      <c r="H3264" s="3" t="s">
        <v>88</v>
      </c>
      <c r="I3264" s="3" t="s">
        <v>85</v>
      </c>
      <c r="J3264" s="3" t="s">
        <v>64</v>
      </c>
      <c r="K3264" s="4">
        <v>3.23</v>
      </c>
      <c r="L3264" s="6">
        <v>1.26</v>
      </c>
    </row>
    <row r="3265" spans="1:12" x14ac:dyDescent="0.25">
      <c r="A3265" s="1">
        <v>3264</v>
      </c>
      <c r="B3265" s="4">
        <v>23361</v>
      </c>
      <c r="C3265" s="5">
        <v>40362</v>
      </c>
      <c r="D3265" s="3" t="s">
        <v>95</v>
      </c>
      <c r="E3265" s="1" t="s">
        <v>1012</v>
      </c>
      <c r="F3265" s="1" t="s">
        <v>17</v>
      </c>
      <c r="G3265" s="2" t="s">
        <v>2</v>
      </c>
      <c r="H3265" s="3" t="s">
        <v>88</v>
      </c>
      <c r="I3265" s="3" t="s">
        <v>85</v>
      </c>
      <c r="J3265" s="3" t="s">
        <v>57</v>
      </c>
      <c r="K3265" s="4">
        <v>2861.66</v>
      </c>
      <c r="L3265" s="6">
        <v>80.98</v>
      </c>
    </row>
    <row r="3266" spans="1:12" x14ac:dyDescent="0.25">
      <c r="A3266" s="1">
        <v>3265</v>
      </c>
      <c r="B3266" s="4">
        <v>23361</v>
      </c>
      <c r="C3266" s="5">
        <v>40362</v>
      </c>
      <c r="D3266" s="3" t="s">
        <v>95</v>
      </c>
      <c r="E3266" s="1" t="s">
        <v>1012</v>
      </c>
      <c r="F3266" s="1" t="s">
        <v>17</v>
      </c>
      <c r="G3266" s="2" t="s">
        <v>2</v>
      </c>
      <c r="H3266" s="3" t="s">
        <v>88</v>
      </c>
      <c r="I3266" s="3" t="s">
        <v>92</v>
      </c>
      <c r="J3266" s="3" t="s">
        <v>61</v>
      </c>
      <c r="K3266" s="4">
        <v>373.27749999999997</v>
      </c>
      <c r="L3266" s="6">
        <v>65.989999999999995</v>
      </c>
    </row>
    <row r="3267" spans="1:12" x14ac:dyDescent="0.25">
      <c r="A3267" s="1">
        <v>3266</v>
      </c>
      <c r="B3267" s="4">
        <v>23362</v>
      </c>
      <c r="C3267" s="5">
        <v>40417</v>
      </c>
      <c r="D3267" s="3" t="s">
        <v>4</v>
      </c>
      <c r="E3267" s="1" t="s">
        <v>484</v>
      </c>
      <c r="F3267" s="1" t="s">
        <v>26</v>
      </c>
      <c r="G3267" s="2" t="s">
        <v>3</v>
      </c>
      <c r="H3267" s="3" t="s">
        <v>84</v>
      </c>
      <c r="I3267" s="3" t="s">
        <v>91</v>
      </c>
      <c r="J3267" s="3" t="s">
        <v>59</v>
      </c>
      <c r="K3267" s="4">
        <v>852.05</v>
      </c>
      <c r="L3267" s="6">
        <v>19.98</v>
      </c>
    </row>
    <row r="3268" spans="1:12" x14ac:dyDescent="0.25">
      <c r="A3268" s="1">
        <v>3267</v>
      </c>
      <c r="B3268" s="4">
        <v>23363</v>
      </c>
      <c r="C3268" s="5">
        <v>41058</v>
      </c>
      <c r="D3268" s="3" t="s">
        <v>82</v>
      </c>
      <c r="E3268" s="1" t="s">
        <v>489</v>
      </c>
      <c r="F3268" s="1" t="s">
        <v>19</v>
      </c>
      <c r="G3268" s="2" t="s">
        <v>3</v>
      </c>
      <c r="H3268" s="3" t="s">
        <v>88</v>
      </c>
      <c r="I3268" s="3" t="s">
        <v>85</v>
      </c>
      <c r="J3268" s="3" t="s">
        <v>69</v>
      </c>
      <c r="K3268" s="4">
        <v>241.81</v>
      </c>
      <c r="L3268" s="6">
        <v>4.91</v>
      </c>
    </row>
    <row r="3269" spans="1:12" x14ac:dyDescent="0.25">
      <c r="A3269" s="1">
        <v>3268</v>
      </c>
      <c r="B3269" s="4">
        <v>23366</v>
      </c>
      <c r="C3269" s="5">
        <v>40501</v>
      </c>
      <c r="D3269" s="3" t="s">
        <v>86</v>
      </c>
      <c r="E3269" s="1" t="s">
        <v>872</v>
      </c>
      <c r="F3269" s="1" t="s">
        <v>24</v>
      </c>
      <c r="G3269" s="2" t="s">
        <v>2</v>
      </c>
      <c r="H3269" s="3" t="s">
        <v>88</v>
      </c>
      <c r="I3269" s="3" t="s">
        <v>91</v>
      </c>
      <c r="J3269" s="3" t="s">
        <v>59</v>
      </c>
      <c r="K3269" s="4">
        <v>136.1</v>
      </c>
      <c r="L3269" s="6">
        <v>10.52</v>
      </c>
    </row>
    <row r="3270" spans="1:12" x14ac:dyDescent="0.25">
      <c r="A3270" s="1">
        <v>3269</v>
      </c>
      <c r="B3270" s="4">
        <v>23366</v>
      </c>
      <c r="C3270" s="5">
        <v>40501</v>
      </c>
      <c r="D3270" s="3" t="s">
        <v>86</v>
      </c>
      <c r="E3270" s="1" t="s">
        <v>872</v>
      </c>
      <c r="F3270" s="1" t="s">
        <v>24</v>
      </c>
      <c r="G3270" s="2" t="s">
        <v>2</v>
      </c>
      <c r="H3270" s="3" t="s">
        <v>88</v>
      </c>
      <c r="I3270" s="3" t="s">
        <v>85</v>
      </c>
      <c r="J3270" s="3" t="s">
        <v>57</v>
      </c>
      <c r="K3270" s="4">
        <v>297.85000000000002</v>
      </c>
      <c r="L3270" s="6">
        <v>54.1</v>
      </c>
    </row>
    <row r="3271" spans="1:12" x14ac:dyDescent="0.25">
      <c r="A3271" s="1">
        <v>3270</v>
      </c>
      <c r="B3271" s="4">
        <v>23392</v>
      </c>
      <c r="C3271" s="5">
        <v>40041</v>
      </c>
      <c r="D3271" s="3" t="s">
        <v>4</v>
      </c>
      <c r="E3271" s="1" t="s">
        <v>830</v>
      </c>
      <c r="F3271" s="1" t="s">
        <v>15</v>
      </c>
      <c r="G3271" s="2" t="s">
        <v>1</v>
      </c>
      <c r="H3271" s="3" t="s">
        <v>97</v>
      </c>
      <c r="I3271" s="3" t="s">
        <v>91</v>
      </c>
      <c r="J3271" s="3" t="s">
        <v>60</v>
      </c>
      <c r="K3271" s="4">
        <v>4276.0960000000005</v>
      </c>
      <c r="L3271" s="6">
        <v>209.37</v>
      </c>
    </row>
    <row r="3272" spans="1:12" x14ac:dyDescent="0.25">
      <c r="A3272" s="1">
        <v>3271</v>
      </c>
      <c r="B3272" s="4">
        <v>23394</v>
      </c>
      <c r="C3272" s="5">
        <v>40297</v>
      </c>
      <c r="D3272" s="3" t="s">
        <v>89</v>
      </c>
      <c r="E3272" s="1" t="s">
        <v>607</v>
      </c>
      <c r="F3272" s="1" t="s">
        <v>34</v>
      </c>
      <c r="G3272" s="2" t="s">
        <v>1</v>
      </c>
      <c r="H3272" s="3" t="s">
        <v>84</v>
      </c>
      <c r="I3272" s="3" t="s">
        <v>85</v>
      </c>
      <c r="J3272" s="3" t="s">
        <v>69</v>
      </c>
      <c r="K3272" s="4">
        <v>101.57</v>
      </c>
      <c r="L3272" s="6">
        <v>2.08</v>
      </c>
    </row>
    <row r="3273" spans="1:12" x14ac:dyDescent="0.25">
      <c r="A3273" s="1">
        <v>3272</v>
      </c>
      <c r="B3273" s="4">
        <v>23395</v>
      </c>
      <c r="C3273" s="5">
        <v>41209</v>
      </c>
      <c r="D3273" s="3" t="s">
        <v>4</v>
      </c>
      <c r="E3273" s="1" t="s">
        <v>947</v>
      </c>
      <c r="F3273" s="1" t="s">
        <v>24</v>
      </c>
      <c r="G3273" s="2" t="s">
        <v>2</v>
      </c>
      <c r="H3273" s="3" t="s">
        <v>88</v>
      </c>
      <c r="I3273" s="3" t="s">
        <v>92</v>
      </c>
      <c r="J3273" s="3" t="s">
        <v>62</v>
      </c>
      <c r="K3273" s="4">
        <v>1296.46</v>
      </c>
      <c r="L3273" s="6">
        <v>39.479999999999997</v>
      </c>
    </row>
    <row r="3274" spans="1:12" x14ac:dyDescent="0.25">
      <c r="A3274" s="1">
        <v>3273</v>
      </c>
      <c r="B3274" s="4">
        <v>23396</v>
      </c>
      <c r="C3274" s="5">
        <v>40347</v>
      </c>
      <c r="D3274" s="3" t="s">
        <v>82</v>
      </c>
      <c r="E3274" s="1" t="s">
        <v>944</v>
      </c>
      <c r="F3274" s="1" t="s">
        <v>17</v>
      </c>
      <c r="G3274" s="2" t="s">
        <v>2</v>
      </c>
      <c r="H3274" s="3" t="s">
        <v>97</v>
      </c>
      <c r="I3274" s="3" t="s">
        <v>92</v>
      </c>
      <c r="J3274" s="3" t="s">
        <v>67</v>
      </c>
      <c r="K3274" s="4">
        <v>11481.03</v>
      </c>
      <c r="L3274" s="6">
        <v>399.98</v>
      </c>
    </row>
    <row r="3275" spans="1:12" x14ac:dyDescent="0.25">
      <c r="A3275" s="1">
        <v>3274</v>
      </c>
      <c r="B3275" s="4">
        <v>23398</v>
      </c>
      <c r="C3275" s="5">
        <v>39885</v>
      </c>
      <c r="D3275" s="3" t="s">
        <v>4</v>
      </c>
      <c r="E3275" s="1" t="s">
        <v>1099</v>
      </c>
      <c r="F3275" s="1" t="s">
        <v>31</v>
      </c>
      <c r="G3275" s="2" t="s">
        <v>1</v>
      </c>
      <c r="H3275" s="3" t="s">
        <v>88</v>
      </c>
      <c r="I3275" s="3" t="s">
        <v>85</v>
      </c>
      <c r="J3275" s="3" t="s">
        <v>66</v>
      </c>
      <c r="K3275" s="4">
        <v>123.1</v>
      </c>
      <c r="L3275" s="6">
        <v>6.48</v>
      </c>
    </row>
    <row r="3276" spans="1:12" x14ac:dyDescent="0.25">
      <c r="A3276" s="1">
        <v>3275</v>
      </c>
      <c r="B3276" s="4">
        <v>23399</v>
      </c>
      <c r="C3276" s="5">
        <v>40541</v>
      </c>
      <c r="D3276" s="3" t="s">
        <v>89</v>
      </c>
      <c r="E3276" s="1" t="s">
        <v>484</v>
      </c>
      <c r="F3276" s="1" t="s">
        <v>26</v>
      </c>
      <c r="G3276" s="2" t="s">
        <v>3</v>
      </c>
      <c r="H3276" s="3" t="s">
        <v>84</v>
      </c>
      <c r="I3276" s="3" t="s">
        <v>85</v>
      </c>
      <c r="J3276" s="3" t="s">
        <v>57</v>
      </c>
      <c r="K3276" s="4">
        <v>209.3</v>
      </c>
      <c r="L3276" s="6">
        <v>13.48</v>
      </c>
    </row>
    <row r="3277" spans="1:12" x14ac:dyDescent="0.25">
      <c r="A3277" s="1">
        <v>3276</v>
      </c>
      <c r="B3277" s="4">
        <v>23426</v>
      </c>
      <c r="C3277" s="5">
        <v>40590</v>
      </c>
      <c r="D3277" s="3" t="s">
        <v>95</v>
      </c>
      <c r="E3277" s="1" t="s">
        <v>508</v>
      </c>
      <c r="F3277" s="1" t="s">
        <v>13</v>
      </c>
      <c r="G3277" s="2" t="s">
        <v>6</v>
      </c>
      <c r="H3277" s="3" t="s">
        <v>100</v>
      </c>
      <c r="I3277" s="3" t="s">
        <v>92</v>
      </c>
      <c r="J3277" s="3" t="s">
        <v>62</v>
      </c>
      <c r="K3277" s="4">
        <v>1009.8</v>
      </c>
      <c r="L3277" s="6">
        <v>22.98</v>
      </c>
    </row>
    <row r="3278" spans="1:12" x14ac:dyDescent="0.25">
      <c r="A3278" s="1">
        <v>3277</v>
      </c>
      <c r="B3278" s="4">
        <v>23426</v>
      </c>
      <c r="C3278" s="5">
        <v>40590</v>
      </c>
      <c r="D3278" s="3" t="s">
        <v>95</v>
      </c>
      <c r="E3278" s="1" t="s">
        <v>508</v>
      </c>
      <c r="F3278" s="1" t="s">
        <v>13</v>
      </c>
      <c r="G3278" s="2" t="s">
        <v>6</v>
      </c>
      <c r="H3278" s="3" t="s">
        <v>100</v>
      </c>
      <c r="I3278" s="3" t="s">
        <v>85</v>
      </c>
      <c r="J3278" s="3" t="s">
        <v>58</v>
      </c>
      <c r="K3278" s="4">
        <v>29.71</v>
      </c>
      <c r="L3278" s="6">
        <v>2.52</v>
      </c>
    </row>
    <row r="3279" spans="1:12" x14ac:dyDescent="0.25">
      <c r="A3279" s="1">
        <v>3278</v>
      </c>
      <c r="B3279" s="4">
        <v>23427</v>
      </c>
      <c r="C3279" s="5">
        <v>40763</v>
      </c>
      <c r="D3279" s="3" t="s">
        <v>82</v>
      </c>
      <c r="E3279" s="1" t="s">
        <v>788</v>
      </c>
      <c r="F3279" s="1" t="s">
        <v>17</v>
      </c>
      <c r="G3279" s="2" t="s">
        <v>2</v>
      </c>
      <c r="H3279" s="3" t="s">
        <v>88</v>
      </c>
      <c r="I3279" s="3" t="s">
        <v>85</v>
      </c>
      <c r="J3279" s="3" t="s">
        <v>69</v>
      </c>
      <c r="K3279" s="4">
        <v>442.76</v>
      </c>
      <c r="L3279" s="6">
        <v>15.01</v>
      </c>
    </row>
    <row r="3280" spans="1:12" x14ac:dyDescent="0.25">
      <c r="A3280" s="1">
        <v>3279</v>
      </c>
      <c r="B3280" s="4">
        <v>23427</v>
      </c>
      <c r="C3280" s="5">
        <v>40763</v>
      </c>
      <c r="D3280" s="3" t="s">
        <v>82</v>
      </c>
      <c r="E3280" s="1" t="s">
        <v>788</v>
      </c>
      <c r="F3280" s="1" t="s">
        <v>17</v>
      </c>
      <c r="G3280" s="2" t="s">
        <v>2</v>
      </c>
      <c r="H3280" s="3" t="s">
        <v>88</v>
      </c>
      <c r="I3280" s="3" t="s">
        <v>85</v>
      </c>
      <c r="J3280" s="3" t="s">
        <v>69</v>
      </c>
      <c r="K3280" s="4">
        <v>2684.98</v>
      </c>
      <c r="L3280" s="6">
        <v>120.98</v>
      </c>
    </row>
    <row r="3281" spans="1:12" x14ac:dyDescent="0.25">
      <c r="A3281" s="1">
        <v>3280</v>
      </c>
      <c r="B3281" s="4">
        <v>23428</v>
      </c>
      <c r="C3281" s="5">
        <v>41210</v>
      </c>
      <c r="D3281" s="3" t="s">
        <v>89</v>
      </c>
      <c r="E3281" s="1" t="s">
        <v>1100</v>
      </c>
      <c r="F3281" s="1" t="s">
        <v>39</v>
      </c>
      <c r="G3281" s="2" t="s">
        <v>1</v>
      </c>
      <c r="H3281" s="3" t="s">
        <v>84</v>
      </c>
      <c r="I3281" s="3" t="s">
        <v>85</v>
      </c>
      <c r="J3281" s="3" t="s">
        <v>66</v>
      </c>
      <c r="K3281" s="4">
        <v>980.95</v>
      </c>
      <c r="L3281" s="6">
        <v>22.84</v>
      </c>
    </row>
    <row r="3282" spans="1:12" x14ac:dyDescent="0.25">
      <c r="A3282" s="1">
        <v>3281</v>
      </c>
      <c r="B3282" s="4">
        <v>23429</v>
      </c>
      <c r="C3282" s="5">
        <v>39891</v>
      </c>
      <c r="D3282" s="3" t="s">
        <v>95</v>
      </c>
      <c r="E3282" s="1" t="s">
        <v>874</v>
      </c>
      <c r="F3282" s="1" t="s">
        <v>35</v>
      </c>
      <c r="G3282" s="2" t="s">
        <v>1</v>
      </c>
      <c r="H3282" s="3" t="s">
        <v>88</v>
      </c>
      <c r="I3282" s="3" t="s">
        <v>85</v>
      </c>
      <c r="J3282" s="3" t="s">
        <v>69</v>
      </c>
      <c r="K3282" s="4">
        <v>154.61000000000001</v>
      </c>
      <c r="L3282" s="6">
        <v>5.34</v>
      </c>
    </row>
    <row r="3283" spans="1:12" x14ac:dyDescent="0.25">
      <c r="A3283" s="1">
        <v>3282</v>
      </c>
      <c r="B3283" s="4">
        <v>23429</v>
      </c>
      <c r="C3283" s="5">
        <v>39891</v>
      </c>
      <c r="D3283" s="3" t="s">
        <v>95</v>
      </c>
      <c r="E3283" s="1" t="s">
        <v>874</v>
      </c>
      <c r="F3283" s="1" t="s">
        <v>35</v>
      </c>
      <c r="G3283" s="2" t="s">
        <v>1</v>
      </c>
      <c r="H3283" s="3" t="s">
        <v>88</v>
      </c>
      <c r="I3283" s="3" t="s">
        <v>92</v>
      </c>
      <c r="J3283" s="3" t="s">
        <v>61</v>
      </c>
      <c r="K3283" s="4">
        <v>1063.3499999999999</v>
      </c>
      <c r="L3283" s="6">
        <v>65.989999999999995</v>
      </c>
    </row>
    <row r="3284" spans="1:12" x14ac:dyDescent="0.25">
      <c r="A3284" s="1">
        <v>3283</v>
      </c>
      <c r="B3284" s="4">
        <v>23488</v>
      </c>
      <c r="C3284" s="5">
        <v>39819</v>
      </c>
      <c r="D3284" s="3" t="s">
        <v>89</v>
      </c>
      <c r="E3284" s="1" t="s">
        <v>811</v>
      </c>
      <c r="F3284" s="1" t="s">
        <v>24</v>
      </c>
      <c r="G3284" s="2" t="s">
        <v>2</v>
      </c>
      <c r="H3284" s="3" t="s">
        <v>97</v>
      </c>
      <c r="I3284" s="3" t="s">
        <v>85</v>
      </c>
      <c r="J3284" s="3" t="s">
        <v>63</v>
      </c>
      <c r="K3284" s="4">
        <v>101.77</v>
      </c>
      <c r="L3284" s="6">
        <v>3.28</v>
      </c>
    </row>
    <row r="3285" spans="1:12" x14ac:dyDescent="0.25">
      <c r="A3285" s="1">
        <v>3284</v>
      </c>
      <c r="B3285" s="4">
        <v>23488</v>
      </c>
      <c r="C3285" s="5">
        <v>39819</v>
      </c>
      <c r="D3285" s="3" t="s">
        <v>95</v>
      </c>
      <c r="E3285" s="1" t="s">
        <v>1101</v>
      </c>
      <c r="F3285" s="1" t="s">
        <v>8</v>
      </c>
      <c r="G3285" s="2" t="s">
        <v>6</v>
      </c>
      <c r="H3285" s="3" t="s">
        <v>97</v>
      </c>
      <c r="I3285" s="3" t="s">
        <v>91</v>
      </c>
      <c r="J3285" s="3" t="s">
        <v>68</v>
      </c>
      <c r="K3285" s="4">
        <v>26133.39</v>
      </c>
      <c r="L3285" s="6">
        <v>880.98</v>
      </c>
    </row>
    <row r="3286" spans="1:12" x14ac:dyDescent="0.25">
      <c r="A3286" s="1">
        <v>3285</v>
      </c>
      <c r="B3286" s="4">
        <v>23489</v>
      </c>
      <c r="C3286" s="5">
        <v>41149</v>
      </c>
      <c r="D3286" s="3" t="s">
        <v>89</v>
      </c>
      <c r="E3286" s="1" t="s">
        <v>653</v>
      </c>
      <c r="F3286" s="1" t="s">
        <v>18</v>
      </c>
      <c r="G3286" s="2" t="s">
        <v>6</v>
      </c>
      <c r="H3286" s="3" t="s">
        <v>88</v>
      </c>
      <c r="I3286" s="3" t="s">
        <v>92</v>
      </c>
      <c r="J3286" s="3" t="s">
        <v>62</v>
      </c>
      <c r="K3286" s="4">
        <v>2004.6</v>
      </c>
      <c r="L3286" s="6">
        <v>47.98</v>
      </c>
    </row>
    <row r="3287" spans="1:12" x14ac:dyDescent="0.25">
      <c r="A3287" s="1">
        <v>3286</v>
      </c>
      <c r="B3287" s="4">
        <v>23522</v>
      </c>
      <c r="C3287" s="5">
        <v>40644</v>
      </c>
      <c r="D3287" s="3" t="s">
        <v>95</v>
      </c>
      <c r="E3287" s="1" t="s">
        <v>592</v>
      </c>
      <c r="F3287" s="1" t="s">
        <v>48</v>
      </c>
      <c r="G3287" s="2" t="s">
        <v>1</v>
      </c>
      <c r="H3287" s="3" t="s">
        <v>84</v>
      </c>
      <c r="I3287" s="3" t="s">
        <v>91</v>
      </c>
      <c r="J3287" s="3" t="s">
        <v>59</v>
      </c>
      <c r="K3287" s="4">
        <v>180.43</v>
      </c>
      <c r="L3287" s="6">
        <v>19.989999999999998</v>
      </c>
    </row>
    <row r="3288" spans="1:12" x14ac:dyDescent="0.25">
      <c r="A3288" s="1">
        <v>3287</v>
      </c>
      <c r="B3288" s="4">
        <v>23522</v>
      </c>
      <c r="C3288" s="5">
        <v>40644</v>
      </c>
      <c r="D3288" s="3" t="s">
        <v>95</v>
      </c>
      <c r="E3288" s="1" t="s">
        <v>330</v>
      </c>
      <c r="F3288" s="1" t="s">
        <v>20</v>
      </c>
      <c r="G3288" s="2" t="s">
        <v>1</v>
      </c>
      <c r="H3288" s="3" t="s">
        <v>84</v>
      </c>
      <c r="I3288" s="3" t="s">
        <v>92</v>
      </c>
      <c r="J3288" s="3" t="s">
        <v>61</v>
      </c>
      <c r="K3288" s="4">
        <v>1077.8084999999999</v>
      </c>
      <c r="L3288" s="6">
        <v>65.989999999999995</v>
      </c>
    </row>
    <row r="3289" spans="1:12" x14ac:dyDescent="0.25">
      <c r="A3289" s="1">
        <v>3288</v>
      </c>
      <c r="B3289" s="4">
        <v>23522</v>
      </c>
      <c r="C3289" s="5">
        <v>40644</v>
      </c>
      <c r="D3289" s="3" t="s">
        <v>95</v>
      </c>
      <c r="E3289" s="1" t="s">
        <v>1102</v>
      </c>
      <c r="F3289" s="1" t="s">
        <v>20</v>
      </c>
      <c r="G3289" s="2" t="s">
        <v>1</v>
      </c>
      <c r="H3289" s="3" t="s">
        <v>84</v>
      </c>
      <c r="I3289" s="3" t="s">
        <v>92</v>
      </c>
      <c r="J3289" s="3" t="s">
        <v>62</v>
      </c>
      <c r="K3289" s="4">
        <v>2899.98</v>
      </c>
      <c r="L3289" s="6">
        <v>159.99</v>
      </c>
    </row>
    <row r="3290" spans="1:12" x14ac:dyDescent="0.25">
      <c r="A3290" s="1">
        <v>3289</v>
      </c>
      <c r="B3290" s="4">
        <v>23522</v>
      </c>
      <c r="C3290" s="5">
        <v>40644</v>
      </c>
      <c r="D3290" s="3" t="s">
        <v>95</v>
      </c>
      <c r="E3290" s="1" t="s">
        <v>1103</v>
      </c>
      <c r="F3290" s="1" t="s">
        <v>20</v>
      </c>
      <c r="G3290" s="2" t="s">
        <v>1</v>
      </c>
      <c r="H3290" s="3" t="s">
        <v>84</v>
      </c>
      <c r="I3290" s="3" t="s">
        <v>85</v>
      </c>
      <c r="J3290" s="3" t="s">
        <v>66</v>
      </c>
      <c r="K3290" s="4">
        <v>233.38</v>
      </c>
      <c r="L3290" s="6">
        <v>6.48</v>
      </c>
    </row>
    <row r="3291" spans="1:12" x14ac:dyDescent="0.25">
      <c r="A3291" s="1">
        <v>3290</v>
      </c>
      <c r="B3291" s="4">
        <v>23524</v>
      </c>
      <c r="C3291" s="5">
        <v>39931</v>
      </c>
      <c r="D3291" s="3" t="s">
        <v>89</v>
      </c>
      <c r="E3291" s="1" t="s">
        <v>1104</v>
      </c>
      <c r="F3291" s="1" t="s">
        <v>40</v>
      </c>
      <c r="G3291" s="2" t="s">
        <v>6</v>
      </c>
      <c r="H3291" s="3" t="s">
        <v>97</v>
      </c>
      <c r="I3291" s="3" t="s">
        <v>85</v>
      </c>
      <c r="J3291" s="3" t="s">
        <v>65</v>
      </c>
      <c r="K3291" s="4">
        <v>129.33000000000001</v>
      </c>
      <c r="L3291" s="6">
        <v>4.13</v>
      </c>
    </row>
    <row r="3292" spans="1:12" x14ac:dyDescent="0.25">
      <c r="A3292" s="1">
        <v>3291</v>
      </c>
      <c r="B3292" s="4">
        <v>23524</v>
      </c>
      <c r="C3292" s="5">
        <v>39931</v>
      </c>
      <c r="D3292" s="3" t="s">
        <v>89</v>
      </c>
      <c r="E3292" s="1" t="s">
        <v>1104</v>
      </c>
      <c r="F3292" s="1" t="s">
        <v>40</v>
      </c>
      <c r="G3292" s="2" t="s">
        <v>6</v>
      </c>
      <c r="H3292" s="3" t="s">
        <v>97</v>
      </c>
      <c r="I3292" s="3" t="s">
        <v>85</v>
      </c>
      <c r="J3292" s="3" t="s">
        <v>66</v>
      </c>
      <c r="K3292" s="4">
        <v>2461.23</v>
      </c>
      <c r="L3292" s="6">
        <v>55.48</v>
      </c>
    </row>
    <row r="3293" spans="1:12" x14ac:dyDescent="0.25">
      <c r="A3293" s="1">
        <v>3292</v>
      </c>
      <c r="B3293" s="4">
        <v>23555</v>
      </c>
      <c r="C3293" s="5">
        <v>41254</v>
      </c>
      <c r="D3293" s="3" t="s">
        <v>89</v>
      </c>
      <c r="E3293" s="1" t="s">
        <v>1105</v>
      </c>
      <c r="F3293" s="1" t="s">
        <v>24</v>
      </c>
      <c r="G3293" s="2" t="s">
        <v>2</v>
      </c>
      <c r="H3293" s="3" t="s">
        <v>88</v>
      </c>
      <c r="I3293" s="3" t="s">
        <v>85</v>
      </c>
      <c r="J3293" s="3" t="s">
        <v>65</v>
      </c>
      <c r="K3293" s="4">
        <v>104.7</v>
      </c>
      <c r="L3293" s="6">
        <v>3.69</v>
      </c>
    </row>
    <row r="3294" spans="1:12" x14ac:dyDescent="0.25">
      <c r="A3294" s="1">
        <v>3293</v>
      </c>
      <c r="B3294" s="4">
        <v>23555</v>
      </c>
      <c r="C3294" s="5">
        <v>41254</v>
      </c>
      <c r="D3294" s="3" t="s">
        <v>89</v>
      </c>
      <c r="E3294" s="1" t="s">
        <v>1105</v>
      </c>
      <c r="F3294" s="1" t="s">
        <v>24</v>
      </c>
      <c r="G3294" s="2" t="s">
        <v>2</v>
      </c>
      <c r="H3294" s="3" t="s">
        <v>88</v>
      </c>
      <c r="I3294" s="3" t="s">
        <v>92</v>
      </c>
      <c r="J3294" s="3" t="s">
        <v>61</v>
      </c>
      <c r="K3294" s="4">
        <v>284.45249999999999</v>
      </c>
      <c r="L3294" s="6">
        <v>65.989999999999995</v>
      </c>
    </row>
    <row r="3295" spans="1:12" x14ac:dyDescent="0.25">
      <c r="A3295" s="1">
        <v>3294</v>
      </c>
      <c r="B3295" s="4">
        <v>23556</v>
      </c>
      <c r="C3295" s="5">
        <v>40552</v>
      </c>
      <c r="D3295" s="3" t="s">
        <v>4</v>
      </c>
      <c r="E3295" s="1" t="s">
        <v>726</v>
      </c>
      <c r="F3295" s="1" t="s">
        <v>44</v>
      </c>
      <c r="G3295" s="2" t="s">
        <v>3</v>
      </c>
      <c r="H3295" s="3" t="s">
        <v>100</v>
      </c>
      <c r="I3295" s="3" t="s">
        <v>85</v>
      </c>
      <c r="J3295" s="3" t="s">
        <v>70</v>
      </c>
      <c r="K3295" s="4">
        <v>11747.97</v>
      </c>
      <c r="L3295" s="6">
        <v>363.25</v>
      </c>
    </row>
    <row r="3296" spans="1:12" x14ac:dyDescent="0.25">
      <c r="A3296" s="1">
        <v>3295</v>
      </c>
      <c r="B3296" s="4">
        <v>23557</v>
      </c>
      <c r="C3296" s="5">
        <v>40694</v>
      </c>
      <c r="D3296" s="3" t="s">
        <v>86</v>
      </c>
      <c r="E3296" s="1" t="s">
        <v>1106</v>
      </c>
      <c r="F3296" s="1" t="s">
        <v>16</v>
      </c>
      <c r="G3296" s="2" t="s">
        <v>3</v>
      </c>
      <c r="H3296" s="3" t="s">
        <v>97</v>
      </c>
      <c r="I3296" s="3" t="s">
        <v>91</v>
      </c>
      <c r="J3296" s="3" t="s">
        <v>59</v>
      </c>
      <c r="K3296" s="4">
        <v>1011.16</v>
      </c>
      <c r="L3296" s="6">
        <v>136.97999999999999</v>
      </c>
    </row>
    <row r="3297" spans="1:12" x14ac:dyDescent="0.25">
      <c r="A3297" s="1">
        <v>3296</v>
      </c>
      <c r="B3297" s="4">
        <v>23558</v>
      </c>
      <c r="C3297" s="5">
        <v>40764</v>
      </c>
      <c r="D3297" s="3" t="s">
        <v>82</v>
      </c>
      <c r="E3297" s="1" t="s">
        <v>555</v>
      </c>
      <c r="F3297" s="1" t="s">
        <v>51</v>
      </c>
      <c r="G3297" s="2" t="s">
        <v>1</v>
      </c>
      <c r="H3297" s="3" t="s">
        <v>97</v>
      </c>
      <c r="I3297" s="3" t="s">
        <v>85</v>
      </c>
      <c r="J3297" s="3" t="s">
        <v>66</v>
      </c>
      <c r="K3297" s="4">
        <v>25.82</v>
      </c>
      <c r="L3297" s="6">
        <v>4.9800000000000004</v>
      </c>
    </row>
    <row r="3298" spans="1:12" x14ac:dyDescent="0.25">
      <c r="A3298" s="1">
        <v>3297</v>
      </c>
      <c r="B3298" s="4">
        <v>23558</v>
      </c>
      <c r="C3298" s="5">
        <v>40764</v>
      </c>
      <c r="D3298" s="3" t="s">
        <v>82</v>
      </c>
      <c r="E3298" s="1" t="s">
        <v>555</v>
      </c>
      <c r="F3298" s="1" t="s">
        <v>51</v>
      </c>
      <c r="G3298" s="2" t="s">
        <v>1</v>
      </c>
      <c r="H3298" s="3" t="s">
        <v>97</v>
      </c>
      <c r="I3298" s="3" t="s">
        <v>91</v>
      </c>
      <c r="J3298" s="3" t="s">
        <v>60</v>
      </c>
      <c r="K3298" s="4">
        <v>579.71</v>
      </c>
      <c r="L3298" s="6">
        <v>31.76</v>
      </c>
    </row>
    <row r="3299" spans="1:12" x14ac:dyDescent="0.25">
      <c r="A3299" s="1">
        <v>3298</v>
      </c>
      <c r="B3299" s="4">
        <v>23559</v>
      </c>
      <c r="C3299" s="5">
        <v>40377</v>
      </c>
      <c r="D3299" s="3" t="s">
        <v>82</v>
      </c>
      <c r="E3299" s="1" t="s">
        <v>895</v>
      </c>
      <c r="F3299" s="1" t="s">
        <v>19</v>
      </c>
      <c r="G3299" s="2" t="s">
        <v>3</v>
      </c>
      <c r="H3299" s="3" t="s">
        <v>97</v>
      </c>
      <c r="I3299" s="3" t="s">
        <v>85</v>
      </c>
      <c r="J3299" s="3" t="s">
        <v>69</v>
      </c>
      <c r="K3299" s="4">
        <v>425.67</v>
      </c>
      <c r="L3299" s="6">
        <v>28.53</v>
      </c>
    </row>
    <row r="3300" spans="1:12" x14ac:dyDescent="0.25">
      <c r="A3300" s="1">
        <v>3299</v>
      </c>
      <c r="B3300" s="4">
        <v>23559</v>
      </c>
      <c r="C3300" s="5">
        <v>40377</v>
      </c>
      <c r="D3300" s="3" t="s">
        <v>82</v>
      </c>
      <c r="E3300" s="1" t="s">
        <v>895</v>
      </c>
      <c r="F3300" s="1" t="s">
        <v>19</v>
      </c>
      <c r="G3300" s="2" t="s">
        <v>3</v>
      </c>
      <c r="H3300" s="3" t="s">
        <v>97</v>
      </c>
      <c r="I3300" s="3" t="s">
        <v>92</v>
      </c>
      <c r="J3300" s="3" t="s">
        <v>67</v>
      </c>
      <c r="K3300" s="4">
        <v>173.44</v>
      </c>
      <c r="L3300" s="6">
        <v>17.98</v>
      </c>
    </row>
    <row r="3301" spans="1:12" x14ac:dyDescent="0.25">
      <c r="A3301" s="1">
        <v>3300</v>
      </c>
      <c r="B3301" s="4">
        <v>23584</v>
      </c>
      <c r="C3301" s="5">
        <v>40980</v>
      </c>
      <c r="D3301" s="3" t="s">
        <v>95</v>
      </c>
      <c r="E3301" s="1" t="s">
        <v>1000</v>
      </c>
      <c r="F3301" s="1" t="s">
        <v>8</v>
      </c>
      <c r="G3301" s="2" t="s">
        <v>6</v>
      </c>
      <c r="H3301" s="3" t="s">
        <v>88</v>
      </c>
      <c r="I3301" s="3" t="s">
        <v>92</v>
      </c>
      <c r="J3301" s="3" t="s">
        <v>67</v>
      </c>
      <c r="K3301" s="4">
        <v>2671.21</v>
      </c>
      <c r="L3301" s="6">
        <v>200.97</v>
      </c>
    </row>
    <row r="3302" spans="1:12" x14ac:dyDescent="0.25">
      <c r="A3302" s="1">
        <v>3301</v>
      </c>
      <c r="B3302" s="4">
        <v>23585</v>
      </c>
      <c r="C3302" s="5">
        <v>41213</v>
      </c>
      <c r="D3302" s="3" t="s">
        <v>95</v>
      </c>
      <c r="E3302" s="1" t="s">
        <v>766</v>
      </c>
      <c r="F3302" s="1" t="s">
        <v>12</v>
      </c>
      <c r="G3302" s="2" t="s">
        <v>2</v>
      </c>
      <c r="H3302" s="3" t="s">
        <v>97</v>
      </c>
      <c r="I3302" s="3" t="s">
        <v>85</v>
      </c>
      <c r="J3302" s="3" t="s">
        <v>63</v>
      </c>
      <c r="K3302" s="4">
        <v>192.78</v>
      </c>
      <c r="L3302" s="6">
        <v>4.28</v>
      </c>
    </row>
    <row r="3303" spans="1:12" x14ac:dyDescent="0.25">
      <c r="A3303" s="1">
        <v>3302</v>
      </c>
      <c r="B3303" s="4">
        <v>23586</v>
      </c>
      <c r="C3303" s="5">
        <v>40192</v>
      </c>
      <c r="D3303" s="3" t="s">
        <v>4</v>
      </c>
      <c r="E3303" s="1" t="s">
        <v>964</v>
      </c>
      <c r="F3303" s="1" t="s">
        <v>10</v>
      </c>
      <c r="G3303" s="2" t="s">
        <v>3</v>
      </c>
      <c r="H3303" s="3" t="s">
        <v>84</v>
      </c>
      <c r="I3303" s="3" t="s">
        <v>85</v>
      </c>
      <c r="J3303" s="3" t="s">
        <v>66</v>
      </c>
      <c r="K3303" s="4">
        <v>210.9</v>
      </c>
      <c r="L3303" s="6">
        <v>6.48</v>
      </c>
    </row>
    <row r="3304" spans="1:12" x14ac:dyDescent="0.25">
      <c r="A3304" s="1">
        <v>3303</v>
      </c>
      <c r="B3304" s="4">
        <v>23616</v>
      </c>
      <c r="C3304" s="5">
        <v>41149</v>
      </c>
      <c r="D3304" s="3" t="s">
        <v>86</v>
      </c>
      <c r="E3304" s="1" t="s">
        <v>828</v>
      </c>
      <c r="F3304" s="1" t="s">
        <v>48</v>
      </c>
      <c r="G3304" s="2" t="s">
        <v>1</v>
      </c>
      <c r="H3304" s="3" t="s">
        <v>97</v>
      </c>
      <c r="I3304" s="3" t="s">
        <v>92</v>
      </c>
      <c r="J3304" s="3" t="s">
        <v>73</v>
      </c>
      <c r="K3304" s="4">
        <v>9262.35</v>
      </c>
      <c r="L3304" s="6">
        <v>199.99</v>
      </c>
    </row>
    <row r="3305" spans="1:12" x14ac:dyDescent="0.25">
      <c r="A3305" s="1">
        <v>3304</v>
      </c>
      <c r="B3305" s="4">
        <v>23617</v>
      </c>
      <c r="C3305" s="5">
        <v>40668</v>
      </c>
      <c r="D3305" s="3" t="s">
        <v>86</v>
      </c>
      <c r="E3305" s="1" t="s">
        <v>468</v>
      </c>
      <c r="F3305" s="1" t="s">
        <v>24</v>
      </c>
      <c r="G3305" s="2" t="s">
        <v>2</v>
      </c>
      <c r="H3305" s="3" t="s">
        <v>100</v>
      </c>
      <c r="I3305" s="3" t="s">
        <v>85</v>
      </c>
      <c r="J3305" s="3" t="s">
        <v>69</v>
      </c>
      <c r="K3305" s="4">
        <v>247.34</v>
      </c>
      <c r="L3305" s="6">
        <v>37.700000000000003</v>
      </c>
    </row>
    <row r="3306" spans="1:12" x14ac:dyDescent="0.25">
      <c r="A3306" s="1">
        <v>3305</v>
      </c>
      <c r="B3306" s="4">
        <v>23618</v>
      </c>
      <c r="C3306" s="5">
        <v>41240</v>
      </c>
      <c r="D3306" s="3" t="s">
        <v>4</v>
      </c>
      <c r="E3306" s="1" t="s">
        <v>605</v>
      </c>
      <c r="F3306" s="1" t="s">
        <v>23</v>
      </c>
      <c r="G3306" s="2" t="s">
        <v>3</v>
      </c>
      <c r="H3306" s="3" t="s">
        <v>100</v>
      </c>
      <c r="I3306" s="3" t="s">
        <v>92</v>
      </c>
      <c r="J3306" s="3" t="s">
        <v>61</v>
      </c>
      <c r="K3306" s="4">
        <v>2601.7904999999996</v>
      </c>
      <c r="L3306" s="6">
        <v>65.989999999999995</v>
      </c>
    </row>
    <row r="3307" spans="1:12" x14ac:dyDescent="0.25">
      <c r="A3307" s="1">
        <v>3306</v>
      </c>
      <c r="B3307" s="4">
        <v>23619</v>
      </c>
      <c r="C3307" s="5">
        <v>41264</v>
      </c>
      <c r="D3307" s="3" t="s">
        <v>4</v>
      </c>
      <c r="E3307" s="1" t="s">
        <v>462</v>
      </c>
      <c r="F3307" s="1" t="s">
        <v>43</v>
      </c>
      <c r="G3307" s="2" t="s">
        <v>1</v>
      </c>
      <c r="H3307" s="3" t="s">
        <v>84</v>
      </c>
      <c r="I3307" s="3" t="s">
        <v>92</v>
      </c>
      <c r="J3307" s="3" t="s">
        <v>67</v>
      </c>
      <c r="K3307" s="4">
        <v>1043.1199999999999</v>
      </c>
      <c r="L3307" s="6">
        <v>150.97999999999999</v>
      </c>
    </row>
    <row r="3308" spans="1:12" x14ac:dyDescent="0.25">
      <c r="A3308" s="1">
        <v>3307</v>
      </c>
      <c r="B3308" s="4">
        <v>23619</v>
      </c>
      <c r="C3308" s="5">
        <v>41264</v>
      </c>
      <c r="D3308" s="3" t="s">
        <v>4</v>
      </c>
      <c r="E3308" s="1" t="s">
        <v>1107</v>
      </c>
      <c r="F3308" s="1" t="s">
        <v>39</v>
      </c>
      <c r="G3308" s="2" t="s">
        <v>1</v>
      </c>
      <c r="H3308" s="3" t="s">
        <v>84</v>
      </c>
      <c r="I3308" s="3" t="s">
        <v>91</v>
      </c>
      <c r="J3308" s="3" t="s">
        <v>59</v>
      </c>
      <c r="K3308" s="4">
        <v>285.91000000000003</v>
      </c>
      <c r="L3308" s="6">
        <v>6.24</v>
      </c>
    </row>
    <row r="3309" spans="1:12" x14ac:dyDescent="0.25">
      <c r="A3309" s="1">
        <v>3308</v>
      </c>
      <c r="B3309" s="4">
        <v>23619</v>
      </c>
      <c r="C3309" s="5">
        <v>41264</v>
      </c>
      <c r="D3309" s="3" t="s">
        <v>4</v>
      </c>
      <c r="E3309" s="1" t="s">
        <v>1108</v>
      </c>
      <c r="F3309" s="1" t="s">
        <v>39</v>
      </c>
      <c r="G3309" s="2" t="s">
        <v>1</v>
      </c>
      <c r="H3309" s="3" t="s">
        <v>84</v>
      </c>
      <c r="I3309" s="3" t="s">
        <v>92</v>
      </c>
      <c r="J3309" s="3" t="s">
        <v>61</v>
      </c>
      <c r="K3309" s="4">
        <v>2611.8035</v>
      </c>
      <c r="L3309" s="6">
        <v>65.989999999999995</v>
      </c>
    </row>
    <row r="3310" spans="1:12" x14ac:dyDescent="0.25">
      <c r="A3310" s="1">
        <v>3309</v>
      </c>
      <c r="B3310" s="4">
        <v>23648</v>
      </c>
      <c r="C3310" s="5">
        <v>41176</v>
      </c>
      <c r="D3310" s="3" t="s">
        <v>95</v>
      </c>
      <c r="E3310" s="1" t="s">
        <v>371</v>
      </c>
      <c r="F3310" s="1" t="s">
        <v>10</v>
      </c>
      <c r="G3310" s="2" t="s">
        <v>3</v>
      </c>
      <c r="H3310" s="3" t="s">
        <v>88</v>
      </c>
      <c r="I3310" s="3" t="s">
        <v>92</v>
      </c>
      <c r="J3310" s="3" t="s">
        <v>62</v>
      </c>
      <c r="K3310" s="4">
        <v>6768.16</v>
      </c>
      <c r="L3310" s="6">
        <v>152.47999999999999</v>
      </c>
    </row>
    <row r="3311" spans="1:12" x14ac:dyDescent="0.25">
      <c r="A3311" s="1">
        <v>3310</v>
      </c>
      <c r="B3311" s="4">
        <v>23648</v>
      </c>
      <c r="C3311" s="5">
        <v>41176</v>
      </c>
      <c r="D3311" s="3" t="s">
        <v>95</v>
      </c>
      <c r="E3311" s="1" t="s">
        <v>371</v>
      </c>
      <c r="F3311" s="1" t="s">
        <v>10</v>
      </c>
      <c r="G3311" s="2" t="s">
        <v>3</v>
      </c>
      <c r="H3311" s="3" t="s">
        <v>88</v>
      </c>
      <c r="I3311" s="3" t="s">
        <v>85</v>
      </c>
      <c r="J3311" s="3" t="s">
        <v>65</v>
      </c>
      <c r="K3311" s="4">
        <v>10.65</v>
      </c>
      <c r="L3311" s="6">
        <v>2.61</v>
      </c>
    </row>
    <row r="3312" spans="1:12" x14ac:dyDescent="0.25">
      <c r="A3312" s="1">
        <v>3311</v>
      </c>
      <c r="B3312" s="4">
        <v>23649</v>
      </c>
      <c r="C3312" s="5">
        <v>41157</v>
      </c>
      <c r="D3312" s="3" t="s">
        <v>86</v>
      </c>
      <c r="E3312" s="1" t="s">
        <v>628</v>
      </c>
      <c r="F3312" s="1" t="s">
        <v>13</v>
      </c>
      <c r="G3312" s="2" t="s">
        <v>6</v>
      </c>
      <c r="H3312" s="3" t="s">
        <v>88</v>
      </c>
      <c r="I3312" s="3" t="s">
        <v>92</v>
      </c>
      <c r="J3312" s="3" t="s">
        <v>61</v>
      </c>
      <c r="K3312" s="4">
        <v>4587.9260000000004</v>
      </c>
      <c r="L3312" s="6">
        <v>195.99</v>
      </c>
    </row>
    <row r="3313" spans="1:12" x14ac:dyDescent="0.25">
      <c r="A3313" s="1">
        <v>3312</v>
      </c>
      <c r="B3313" s="4">
        <v>23649</v>
      </c>
      <c r="C3313" s="5">
        <v>41157</v>
      </c>
      <c r="D3313" s="3" t="s">
        <v>86</v>
      </c>
      <c r="E3313" s="1" t="s">
        <v>628</v>
      </c>
      <c r="F3313" s="1" t="s">
        <v>13</v>
      </c>
      <c r="G3313" s="2" t="s">
        <v>6</v>
      </c>
      <c r="H3313" s="3" t="s">
        <v>88</v>
      </c>
      <c r="I3313" s="3" t="s">
        <v>92</v>
      </c>
      <c r="J3313" s="3" t="s">
        <v>61</v>
      </c>
      <c r="K3313" s="4">
        <v>4541.924</v>
      </c>
      <c r="L3313" s="6">
        <v>125.99</v>
      </c>
    </row>
    <row r="3314" spans="1:12" x14ac:dyDescent="0.25">
      <c r="A3314" s="1">
        <v>3313</v>
      </c>
      <c r="B3314" s="4">
        <v>23652</v>
      </c>
      <c r="C3314" s="5">
        <v>40055</v>
      </c>
      <c r="D3314" s="3" t="s">
        <v>86</v>
      </c>
      <c r="E3314" s="1" t="s">
        <v>1030</v>
      </c>
      <c r="F3314" s="1" t="s">
        <v>24</v>
      </c>
      <c r="G3314" s="2" t="s">
        <v>2</v>
      </c>
      <c r="H3314" s="3" t="s">
        <v>84</v>
      </c>
      <c r="I3314" s="3" t="s">
        <v>85</v>
      </c>
      <c r="J3314" s="3" t="s">
        <v>63</v>
      </c>
      <c r="K3314" s="4">
        <v>305.48</v>
      </c>
      <c r="L3314" s="6">
        <v>11.55</v>
      </c>
    </row>
    <row r="3315" spans="1:12" x14ac:dyDescent="0.25">
      <c r="A3315" s="1">
        <v>3314</v>
      </c>
      <c r="B3315" s="4">
        <v>23680</v>
      </c>
      <c r="C3315" s="5">
        <v>40488</v>
      </c>
      <c r="D3315" s="3" t="s">
        <v>86</v>
      </c>
      <c r="E3315" s="1" t="s">
        <v>947</v>
      </c>
      <c r="F3315" s="1" t="s">
        <v>24</v>
      </c>
      <c r="G3315" s="2" t="s">
        <v>2</v>
      </c>
      <c r="H3315" s="3" t="s">
        <v>100</v>
      </c>
      <c r="I3315" s="3" t="s">
        <v>91</v>
      </c>
      <c r="J3315" s="3" t="s">
        <v>60</v>
      </c>
      <c r="K3315" s="4">
        <v>2029.4960000000001</v>
      </c>
      <c r="L3315" s="6">
        <v>320.64</v>
      </c>
    </row>
    <row r="3316" spans="1:12" x14ac:dyDescent="0.25">
      <c r="A3316" s="1">
        <v>3315</v>
      </c>
      <c r="B3316" s="4">
        <v>23681</v>
      </c>
      <c r="C3316" s="5">
        <v>41048</v>
      </c>
      <c r="D3316" s="3" t="s">
        <v>89</v>
      </c>
      <c r="E3316" s="1" t="s">
        <v>183</v>
      </c>
      <c r="F3316" s="1" t="s">
        <v>35</v>
      </c>
      <c r="G3316" s="2" t="s">
        <v>1</v>
      </c>
      <c r="H3316" s="3" t="s">
        <v>100</v>
      </c>
      <c r="I3316" s="3" t="s">
        <v>85</v>
      </c>
      <c r="J3316" s="3" t="s">
        <v>57</v>
      </c>
      <c r="K3316" s="4">
        <v>4182.5200000000004</v>
      </c>
      <c r="L3316" s="6">
        <v>95.99</v>
      </c>
    </row>
    <row r="3317" spans="1:12" x14ac:dyDescent="0.25">
      <c r="A3317" s="1">
        <v>3316</v>
      </c>
      <c r="B3317" s="4">
        <v>23685</v>
      </c>
      <c r="C3317" s="5">
        <v>41089</v>
      </c>
      <c r="D3317" s="3" t="s">
        <v>86</v>
      </c>
      <c r="E3317" s="1" t="s">
        <v>760</v>
      </c>
      <c r="F3317" s="1" t="s">
        <v>36</v>
      </c>
      <c r="G3317" s="2" t="s">
        <v>2</v>
      </c>
      <c r="H3317" s="3" t="s">
        <v>88</v>
      </c>
      <c r="I3317" s="3" t="s">
        <v>92</v>
      </c>
      <c r="J3317" s="3" t="s">
        <v>61</v>
      </c>
      <c r="K3317" s="4">
        <v>7928.561999999999</v>
      </c>
      <c r="L3317" s="6">
        <v>205.99</v>
      </c>
    </row>
    <row r="3318" spans="1:12" x14ac:dyDescent="0.25">
      <c r="A3318" s="1">
        <v>3317</v>
      </c>
      <c r="B3318" s="4">
        <v>23713</v>
      </c>
      <c r="C3318" s="5">
        <v>41241</v>
      </c>
      <c r="D3318" s="3" t="s">
        <v>86</v>
      </c>
      <c r="E3318" s="1" t="s">
        <v>1069</v>
      </c>
      <c r="F3318" s="1" t="s">
        <v>41</v>
      </c>
      <c r="G3318" s="2" t="s">
        <v>6</v>
      </c>
      <c r="H3318" s="3" t="s">
        <v>100</v>
      </c>
      <c r="I3318" s="3" t="s">
        <v>92</v>
      </c>
      <c r="J3318" s="3" t="s">
        <v>61</v>
      </c>
      <c r="K3318" s="4">
        <v>3701.5204999999996</v>
      </c>
      <c r="L3318" s="6">
        <v>115.99</v>
      </c>
    </row>
    <row r="3319" spans="1:12" x14ac:dyDescent="0.25">
      <c r="A3319" s="1">
        <v>3318</v>
      </c>
      <c r="B3319" s="4">
        <v>23719</v>
      </c>
      <c r="C3319" s="5">
        <v>40384</v>
      </c>
      <c r="D3319" s="3" t="s">
        <v>95</v>
      </c>
      <c r="E3319" s="1" t="s">
        <v>723</v>
      </c>
      <c r="F3319" s="1" t="s">
        <v>24</v>
      </c>
      <c r="G3319" s="2" t="s">
        <v>2</v>
      </c>
      <c r="H3319" s="3" t="s">
        <v>100</v>
      </c>
      <c r="I3319" s="3" t="s">
        <v>85</v>
      </c>
      <c r="J3319" s="3" t="s">
        <v>66</v>
      </c>
      <c r="K3319" s="4">
        <v>122.74</v>
      </c>
      <c r="L3319" s="6">
        <v>7.28</v>
      </c>
    </row>
    <row r="3320" spans="1:12" x14ac:dyDescent="0.25">
      <c r="A3320" s="1">
        <v>3319</v>
      </c>
      <c r="B3320" s="4">
        <v>23745</v>
      </c>
      <c r="C3320" s="5">
        <v>41248</v>
      </c>
      <c r="D3320" s="3" t="s">
        <v>82</v>
      </c>
      <c r="E3320" s="1" t="s">
        <v>1109</v>
      </c>
      <c r="F3320" s="1" t="s">
        <v>36</v>
      </c>
      <c r="G3320" s="2" t="s">
        <v>2</v>
      </c>
      <c r="H3320" s="3" t="s">
        <v>88</v>
      </c>
      <c r="I3320" s="3" t="s">
        <v>91</v>
      </c>
      <c r="J3320" s="3" t="s">
        <v>59</v>
      </c>
      <c r="K3320" s="4">
        <v>715.8</v>
      </c>
      <c r="L3320" s="6">
        <v>55.5</v>
      </c>
    </row>
    <row r="3321" spans="1:12" x14ac:dyDescent="0.25">
      <c r="A3321" s="1">
        <v>3320</v>
      </c>
      <c r="B3321" s="4">
        <v>23745</v>
      </c>
      <c r="C3321" s="5">
        <v>41248</v>
      </c>
      <c r="D3321" s="3" t="s">
        <v>82</v>
      </c>
      <c r="E3321" s="1" t="s">
        <v>1109</v>
      </c>
      <c r="F3321" s="1" t="s">
        <v>36</v>
      </c>
      <c r="G3321" s="2" t="s">
        <v>2</v>
      </c>
      <c r="H3321" s="3" t="s">
        <v>88</v>
      </c>
      <c r="I3321" s="3" t="s">
        <v>91</v>
      </c>
      <c r="J3321" s="3" t="s">
        <v>60</v>
      </c>
      <c r="K3321" s="4">
        <v>10941.23</v>
      </c>
      <c r="L3321" s="6">
        <v>227.55</v>
      </c>
    </row>
    <row r="3322" spans="1:12" x14ac:dyDescent="0.25">
      <c r="A3322" s="1">
        <v>3321</v>
      </c>
      <c r="B3322" s="4">
        <v>23746</v>
      </c>
      <c r="C3322" s="5">
        <v>40527</v>
      </c>
      <c r="D3322" s="3" t="s">
        <v>89</v>
      </c>
      <c r="E3322" s="1" t="s">
        <v>1110</v>
      </c>
      <c r="F3322" s="1" t="s">
        <v>33</v>
      </c>
      <c r="G3322" s="2" t="s">
        <v>2</v>
      </c>
      <c r="H3322" s="3" t="s">
        <v>97</v>
      </c>
      <c r="I3322" s="3" t="s">
        <v>92</v>
      </c>
      <c r="J3322" s="3" t="s">
        <v>62</v>
      </c>
      <c r="K3322" s="4">
        <v>408.23</v>
      </c>
      <c r="L3322" s="6">
        <v>40.97</v>
      </c>
    </row>
    <row r="3323" spans="1:12" x14ac:dyDescent="0.25">
      <c r="A3323" s="1">
        <v>3322</v>
      </c>
      <c r="B3323" s="4">
        <v>23748</v>
      </c>
      <c r="C3323" s="5">
        <v>41131</v>
      </c>
      <c r="D3323" s="3" t="s">
        <v>89</v>
      </c>
      <c r="E3323" s="1" t="s">
        <v>919</v>
      </c>
      <c r="F3323" s="1" t="s">
        <v>13</v>
      </c>
      <c r="G3323" s="2" t="s">
        <v>6</v>
      </c>
      <c r="H3323" s="3" t="s">
        <v>84</v>
      </c>
      <c r="I3323" s="3" t="s">
        <v>85</v>
      </c>
      <c r="J3323" s="3" t="s">
        <v>57</v>
      </c>
      <c r="K3323" s="4">
        <v>6163.52</v>
      </c>
      <c r="L3323" s="6">
        <v>225.02</v>
      </c>
    </row>
    <row r="3324" spans="1:12" x14ac:dyDescent="0.25">
      <c r="A3324" s="1">
        <v>3323</v>
      </c>
      <c r="B3324" s="4">
        <v>23751</v>
      </c>
      <c r="C3324" s="5">
        <v>39890</v>
      </c>
      <c r="D3324" s="3" t="s">
        <v>4</v>
      </c>
      <c r="E3324" s="1" t="s">
        <v>983</v>
      </c>
      <c r="F3324" s="1" t="s">
        <v>17</v>
      </c>
      <c r="G3324" s="2" t="s">
        <v>2</v>
      </c>
      <c r="H3324" s="3" t="s">
        <v>88</v>
      </c>
      <c r="I3324" s="3" t="s">
        <v>91</v>
      </c>
      <c r="J3324" s="3" t="s">
        <v>68</v>
      </c>
      <c r="K3324" s="4">
        <v>10364.36</v>
      </c>
      <c r="L3324" s="6">
        <v>220.98</v>
      </c>
    </row>
    <row r="3325" spans="1:12" x14ac:dyDescent="0.25">
      <c r="A3325" s="1">
        <v>3324</v>
      </c>
      <c r="B3325" s="4">
        <v>23777</v>
      </c>
      <c r="C3325" s="5">
        <v>41239</v>
      </c>
      <c r="D3325" s="3" t="s">
        <v>86</v>
      </c>
      <c r="E3325" s="1" t="s">
        <v>651</v>
      </c>
      <c r="F3325" s="1" t="s">
        <v>44</v>
      </c>
      <c r="G3325" s="2" t="s">
        <v>3</v>
      </c>
      <c r="H3325" s="3" t="s">
        <v>100</v>
      </c>
      <c r="I3325" s="3" t="s">
        <v>85</v>
      </c>
      <c r="J3325" s="3" t="s">
        <v>57</v>
      </c>
      <c r="K3325" s="4">
        <v>487.7</v>
      </c>
      <c r="L3325" s="6">
        <v>31.98</v>
      </c>
    </row>
    <row r="3326" spans="1:12" x14ac:dyDescent="0.25">
      <c r="A3326" s="1">
        <v>3325</v>
      </c>
      <c r="B3326" s="4">
        <v>23778</v>
      </c>
      <c r="C3326" s="5">
        <v>40007</v>
      </c>
      <c r="D3326" s="3" t="s">
        <v>82</v>
      </c>
      <c r="E3326" s="1" t="s">
        <v>617</v>
      </c>
      <c r="F3326" s="1" t="s">
        <v>24</v>
      </c>
      <c r="G3326" s="2" t="s">
        <v>2</v>
      </c>
      <c r="H3326" s="3" t="s">
        <v>88</v>
      </c>
      <c r="I3326" s="3" t="s">
        <v>85</v>
      </c>
      <c r="J3326" s="3" t="s">
        <v>70</v>
      </c>
      <c r="K3326" s="4">
        <v>105.94</v>
      </c>
      <c r="L3326" s="6">
        <v>4.4800000000000004</v>
      </c>
    </row>
    <row r="3327" spans="1:12" x14ac:dyDescent="0.25">
      <c r="A3327" s="1">
        <v>3326</v>
      </c>
      <c r="B3327" s="4">
        <v>23781</v>
      </c>
      <c r="C3327" s="5">
        <v>40847</v>
      </c>
      <c r="D3327" s="3" t="s">
        <v>95</v>
      </c>
      <c r="E3327" s="1" t="s">
        <v>539</v>
      </c>
      <c r="F3327" s="1" t="s">
        <v>26</v>
      </c>
      <c r="G3327" s="2" t="s">
        <v>3</v>
      </c>
      <c r="H3327" s="3" t="s">
        <v>97</v>
      </c>
      <c r="I3327" s="3" t="s">
        <v>85</v>
      </c>
      <c r="J3327" s="3" t="s">
        <v>66</v>
      </c>
      <c r="K3327" s="4">
        <v>200.24</v>
      </c>
      <c r="L3327" s="6">
        <v>6.48</v>
      </c>
    </row>
    <row r="3328" spans="1:12" x14ac:dyDescent="0.25">
      <c r="A3328" s="1">
        <v>3327</v>
      </c>
      <c r="B3328" s="4">
        <v>23782</v>
      </c>
      <c r="C3328" s="5">
        <v>40188</v>
      </c>
      <c r="D3328" s="3" t="s">
        <v>82</v>
      </c>
      <c r="E3328" s="1" t="s">
        <v>1111</v>
      </c>
      <c r="F3328" s="1" t="s">
        <v>15</v>
      </c>
      <c r="G3328" s="2" t="s">
        <v>1</v>
      </c>
      <c r="H3328" s="3" t="s">
        <v>88</v>
      </c>
      <c r="I3328" s="3" t="s">
        <v>91</v>
      </c>
      <c r="J3328" s="3" t="s">
        <v>72</v>
      </c>
      <c r="K3328" s="4">
        <v>21390.44</v>
      </c>
      <c r="L3328" s="6">
        <v>500.98</v>
      </c>
    </row>
    <row r="3329" spans="1:12" x14ac:dyDescent="0.25">
      <c r="A3329" s="1">
        <v>3328</v>
      </c>
      <c r="B3329" s="4">
        <v>23782</v>
      </c>
      <c r="C3329" s="5">
        <v>40188</v>
      </c>
      <c r="D3329" s="3" t="s">
        <v>82</v>
      </c>
      <c r="E3329" s="1" t="s">
        <v>1111</v>
      </c>
      <c r="F3329" s="1" t="s">
        <v>15</v>
      </c>
      <c r="G3329" s="2" t="s">
        <v>1</v>
      </c>
      <c r="H3329" s="3" t="s">
        <v>88</v>
      </c>
      <c r="I3329" s="3" t="s">
        <v>85</v>
      </c>
      <c r="J3329" s="3" t="s">
        <v>57</v>
      </c>
      <c r="K3329" s="4">
        <v>169.75</v>
      </c>
      <c r="L3329" s="6">
        <v>20.34</v>
      </c>
    </row>
    <row r="3330" spans="1:12" x14ac:dyDescent="0.25">
      <c r="A3330" s="1">
        <v>3329</v>
      </c>
      <c r="B3330" s="4">
        <v>23808</v>
      </c>
      <c r="C3330" s="5">
        <v>39851</v>
      </c>
      <c r="D3330" s="3" t="s">
        <v>82</v>
      </c>
      <c r="E3330" s="1" t="s">
        <v>852</v>
      </c>
      <c r="F3330" s="1" t="s">
        <v>24</v>
      </c>
      <c r="G3330" s="2" t="s">
        <v>2</v>
      </c>
      <c r="H3330" s="3" t="s">
        <v>100</v>
      </c>
      <c r="I3330" s="3" t="s">
        <v>85</v>
      </c>
      <c r="J3330" s="3" t="s">
        <v>66</v>
      </c>
      <c r="K3330" s="4">
        <v>630.14</v>
      </c>
      <c r="L3330" s="6">
        <v>19.98</v>
      </c>
    </row>
    <row r="3331" spans="1:12" x14ac:dyDescent="0.25">
      <c r="A3331" s="1">
        <v>3330</v>
      </c>
      <c r="B3331" s="4">
        <v>23808</v>
      </c>
      <c r="C3331" s="5">
        <v>39851</v>
      </c>
      <c r="D3331" s="3" t="s">
        <v>82</v>
      </c>
      <c r="E3331" s="1" t="s">
        <v>852</v>
      </c>
      <c r="F3331" s="1" t="s">
        <v>24</v>
      </c>
      <c r="G3331" s="2" t="s">
        <v>2</v>
      </c>
      <c r="H3331" s="3" t="s">
        <v>100</v>
      </c>
      <c r="I3331" s="3" t="s">
        <v>92</v>
      </c>
      <c r="J3331" s="3" t="s">
        <v>61</v>
      </c>
      <c r="K3331" s="4">
        <v>2813.8484999999996</v>
      </c>
      <c r="L3331" s="6">
        <v>125.99</v>
      </c>
    </row>
    <row r="3332" spans="1:12" x14ac:dyDescent="0.25">
      <c r="A3332" s="1">
        <v>3331</v>
      </c>
      <c r="B3332" s="4">
        <v>23809</v>
      </c>
      <c r="C3332" s="5">
        <v>41064</v>
      </c>
      <c r="D3332" s="3" t="s">
        <v>86</v>
      </c>
      <c r="E3332" s="1" t="s">
        <v>325</v>
      </c>
      <c r="F3332" s="1" t="s">
        <v>42</v>
      </c>
      <c r="G3332" s="2" t="s">
        <v>3</v>
      </c>
      <c r="H3332" s="3" t="s">
        <v>97</v>
      </c>
      <c r="I3332" s="3" t="s">
        <v>85</v>
      </c>
      <c r="J3332" s="3" t="s">
        <v>69</v>
      </c>
      <c r="K3332" s="4">
        <v>86.61</v>
      </c>
      <c r="L3332" s="6">
        <v>12.97</v>
      </c>
    </row>
    <row r="3333" spans="1:12" x14ac:dyDescent="0.25">
      <c r="A3333" s="1">
        <v>3332</v>
      </c>
      <c r="B3333" s="4">
        <v>23812</v>
      </c>
      <c r="C3333" s="5">
        <v>41117</v>
      </c>
      <c r="D3333" s="3" t="s">
        <v>95</v>
      </c>
      <c r="E3333" s="1" t="s">
        <v>491</v>
      </c>
      <c r="F3333" s="1" t="s">
        <v>26</v>
      </c>
      <c r="G3333" s="2" t="s">
        <v>3</v>
      </c>
      <c r="H3333" s="3" t="s">
        <v>97</v>
      </c>
      <c r="I3333" s="3" t="s">
        <v>92</v>
      </c>
      <c r="J3333" s="3" t="s">
        <v>67</v>
      </c>
      <c r="K3333" s="4">
        <v>5845.82</v>
      </c>
      <c r="L3333" s="6">
        <v>200.97</v>
      </c>
    </row>
    <row r="3334" spans="1:12" x14ac:dyDescent="0.25">
      <c r="A3334" s="1">
        <v>3333</v>
      </c>
      <c r="B3334" s="4">
        <v>23842</v>
      </c>
      <c r="C3334" s="5">
        <v>40438</v>
      </c>
      <c r="D3334" s="3" t="s">
        <v>82</v>
      </c>
      <c r="E3334" s="1" t="s">
        <v>419</v>
      </c>
      <c r="F3334" s="1" t="s">
        <v>9</v>
      </c>
      <c r="G3334" s="2" t="s">
        <v>2</v>
      </c>
      <c r="H3334" s="3" t="s">
        <v>100</v>
      </c>
      <c r="I3334" s="3" t="s">
        <v>85</v>
      </c>
      <c r="J3334" s="3" t="s">
        <v>66</v>
      </c>
      <c r="K3334" s="4">
        <v>127.16</v>
      </c>
      <c r="L3334" s="6">
        <v>6.68</v>
      </c>
    </row>
    <row r="3335" spans="1:12" x14ac:dyDescent="0.25">
      <c r="A3335" s="1">
        <v>3334</v>
      </c>
      <c r="B3335" s="4">
        <v>23844</v>
      </c>
      <c r="C3335" s="5">
        <v>40000</v>
      </c>
      <c r="D3335" s="3" t="s">
        <v>86</v>
      </c>
      <c r="E3335" s="1" t="s">
        <v>803</v>
      </c>
      <c r="F3335" s="1" t="s">
        <v>25</v>
      </c>
      <c r="G3335" s="2" t="s">
        <v>6</v>
      </c>
      <c r="H3335" s="3" t="s">
        <v>97</v>
      </c>
      <c r="I3335" s="3" t="s">
        <v>85</v>
      </c>
      <c r="J3335" s="3" t="s">
        <v>70</v>
      </c>
      <c r="K3335" s="4">
        <v>1861.36</v>
      </c>
      <c r="L3335" s="6">
        <v>42.98</v>
      </c>
    </row>
    <row r="3336" spans="1:12" x14ac:dyDescent="0.25">
      <c r="A3336" s="1">
        <v>3335</v>
      </c>
      <c r="B3336" s="4">
        <v>23844</v>
      </c>
      <c r="C3336" s="5">
        <v>40000</v>
      </c>
      <c r="D3336" s="3" t="s">
        <v>86</v>
      </c>
      <c r="E3336" s="1" t="s">
        <v>803</v>
      </c>
      <c r="F3336" s="1" t="s">
        <v>25</v>
      </c>
      <c r="G3336" s="2" t="s">
        <v>6</v>
      </c>
      <c r="H3336" s="3" t="s">
        <v>97</v>
      </c>
      <c r="I3336" s="3" t="s">
        <v>85</v>
      </c>
      <c r="J3336" s="3" t="s">
        <v>70</v>
      </c>
      <c r="K3336" s="4">
        <v>937.62</v>
      </c>
      <c r="L3336" s="6">
        <v>21.78</v>
      </c>
    </row>
    <row r="3337" spans="1:12" x14ac:dyDescent="0.25">
      <c r="A3337" s="1">
        <v>3336</v>
      </c>
      <c r="B3337" s="4">
        <v>23844</v>
      </c>
      <c r="C3337" s="5">
        <v>40000</v>
      </c>
      <c r="D3337" s="3" t="s">
        <v>86</v>
      </c>
      <c r="E3337" s="1" t="s">
        <v>803</v>
      </c>
      <c r="F3337" s="1" t="s">
        <v>25</v>
      </c>
      <c r="G3337" s="2" t="s">
        <v>6</v>
      </c>
      <c r="H3337" s="3" t="s">
        <v>97</v>
      </c>
      <c r="I3337" s="3" t="s">
        <v>85</v>
      </c>
      <c r="J3337" s="3" t="s">
        <v>65</v>
      </c>
      <c r="K3337" s="4">
        <v>33.020000000000003</v>
      </c>
      <c r="L3337" s="6">
        <v>3.15</v>
      </c>
    </row>
    <row r="3338" spans="1:12" x14ac:dyDescent="0.25">
      <c r="A3338" s="1">
        <v>3337</v>
      </c>
      <c r="B3338" s="4">
        <v>23847</v>
      </c>
      <c r="C3338" s="5">
        <v>41222</v>
      </c>
      <c r="D3338" s="3" t="s">
        <v>86</v>
      </c>
      <c r="E3338" s="1" t="s">
        <v>1112</v>
      </c>
      <c r="F3338" s="1" t="s">
        <v>13</v>
      </c>
      <c r="G3338" s="2" t="s">
        <v>6</v>
      </c>
      <c r="H3338" s="3" t="s">
        <v>97</v>
      </c>
      <c r="I3338" s="3" t="s">
        <v>92</v>
      </c>
      <c r="J3338" s="3" t="s">
        <v>61</v>
      </c>
      <c r="K3338" s="4">
        <v>1278.6464999999998</v>
      </c>
      <c r="L3338" s="6">
        <v>200.99</v>
      </c>
    </row>
    <row r="3339" spans="1:12" x14ac:dyDescent="0.25">
      <c r="A3339" s="1">
        <v>3338</v>
      </c>
      <c r="B3339" s="4">
        <v>23877</v>
      </c>
      <c r="C3339" s="5">
        <v>40006</v>
      </c>
      <c r="D3339" s="3" t="s">
        <v>86</v>
      </c>
      <c r="E3339" s="1" t="s">
        <v>197</v>
      </c>
      <c r="F3339" s="1" t="s">
        <v>24</v>
      </c>
      <c r="G3339" s="2" t="s">
        <v>2</v>
      </c>
      <c r="H3339" s="3" t="s">
        <v>97</v>
      </c>
      <c r="I3339" s="3" t="s">
        <v>92</v>
      </c>
      <c r="J3339" s="3" t="s">
        <v>61</v>
      </c>
      <c r="K3339" s="4">
        <v>1624.5964999999999</v>
      </c>
      <c r="L3339" s="6">
        <v>65.989999999999995</v>
      </c>
    </row>
    <row r="3340" spans="1:12" x14ac:dyDescent="0.25">
      <c r="A3340" s="1">
        <v>3339</v>
      </c>
      <c r="B3340" s="4">
        <v>23877</v>
      </c>
      <c r="C3340" s="5">
        <v>40006</v>
      </c>
      <c r="D3340" s="3" t="s">
        <v>86</v>
      </c>
      <c r="E3340" s="1" t="s">
        <v>1113</v>
      </c>
      <c r="F3340" s="1" t="s">
        <v>24</v>
      </c>
      <c r="G3340" s="2" t="s">
        <v>2</v>
      </c>
      <c r="H3340" s="3" t="s">
        <v>97</v>
      </c>
      <c r="I3340" s="3" t="s">
        <v>92</v>
      </c>
      <c r="J3340" s="3" t="s">
        <v>62</v>
      </c>
      <c r="K3340" s="4">
        <v>381.36</v>
      </c>
      <c r="L3340" s="6">
        <v>10.01</v>
      </c>
    </row>
    <row r="3341" spans="1:12" x14ac:dyDescent="0.25">
      <c r="A3341" s="1">
        <v>3340</v>
      </c>
      <c r="B3341" s="4">
        <v>23906</v>
      </c>
      <c r="C3341" s="5">
        <v>40441</v>
      </c>
      <c r="D3341" s="3" t="s">
        <v>95</v>
      </c>
      <c r="E3341" s="1" t="s">
        <v>614</v>
      </c>
      <c r="F3341" s="1" t="s">
        <v>12</v>
      </c>
      <c r="G3341" s="2" t="s">
        <v>2</v>
      </c>
      <c r="H3341" s="3" t="s">
        <v>88</v>
      </c>
      <c r="I3341" s="3" t="s">
        <v>85</v>
      </c>
      <c r="J3341" s="3" t="s">
        <v>70</v>
      </c>
      <c r="K3341" s="4">
        <v>321.02</v>
      </c>
      <c r="L3341" s="6">
        <v>8.67</v>
      </c>
    </row>
    <row r="3342" spans="1:12" x14ac:dyDescent="0.25">
      <c r="A3342" s="1">
        <v>3341</v>
      </c>
      <c r="B3342" s="4">
        <v>23907</v>
      </c>
      <c r="C3342" s="5">
        <v>40738</v>
      </c>
      <c r="D3342" s="3" t="s">
        <v>86</v>
      </c>
      <c r="E3342" s="1" t="s">
        <v>1114</v>
      </c>
      <c r="F3342" s="1" t="s">
        <v>11</v>
      </c>
      <c r="G3342" s="2" t="s">
        <v>6</v>
      </c>
      <c r="H3342" s="3" t="s">
        <v>88</v>
      </c>
      <c r="I3342" s="3" t="s">
        <v>92</v>
      </c>
      <c r="J3342" s="3" t="s">
        <v>61</v>
      </c>
      <c r="K3342" s="4">
        <v>384.2</v>
      </c>
      <c r="L3342" s="6">
        <v>65.989999999999995</v>
      </c>
    </row>
    <row r="3343" spans="1:12" x14ac:dyDescent="0.25">
      <c r="A3343" s="1">
        <v>3342</v>
      </c>
      <c r="B3343" s="4">
        <v>23911</v>
      </c>
      <c r="C3343" s="5">
        <v>41061</v>
      </c>
      <c r="D3343" s="3" t="s">
        <v>95</v>
      </c>
      <c r="E3343" s="1" t="s">
        <v>687</v>
      </c>
      <c r="F3343" s="1" t="s">
        <v>9</v>
      </c>
      <c r="G3343" s="2" t="s">
        <v>2</v>
      </c>
      <c r="H3343" s="3" t="s">
        <v>97</v>
      </c>
      <c r="I3343" s="3" t="s">
        <v>91</v>
      </c>
      <c r="J3343" s="3" t="s">
        <v>72</v>
      </c>
      <c r="K3343" s="4">
        <v>2580.67</v>
      </c>
      <c r="L3343" s="6">
        <v>122.99</v>
      </c>
    </row>
    <row r="3344" spans="1:12" x14ac:dyDescent="0.25">
      <c r="A3344" s="1">
        <v>3343</v>
      </c>
      <c r="B3344" s="4">
        <v>23911</v>
      </c>
      <c r="C3344" s="5">
        <v>41061</v>
      </c>
      <c r="D3344" s="3" t="s">
        <v>95</v>
      </c>
      <c r="E3344" s="1" t="s">
        <v>687</v>
      </c>
      <c r="F3344" s="1" t="s">
        <v>9</v>
      </c>
      <c r="G3344" s="2" t="s">
        <v>2</v>
      </c>
      <c r="H3344" s="3" t="s">
        <v>97</v>
      </c>
      <c r="I3344" s="3" t="s">
        <v>92</v>
      </c>
      <c r="J3344" s="3" t="s">
        <v>62</v>
      </c>
      <c r="K3344" s="4">
        <v>955.46</v>
      </c>
      <c r="L3344" s="6">
        <v>50.98</v>
      </c>
    </row>
    <row r="3345" spans="1:12" x14ac:dyDescent="0.25">
      <c r="A3345" s="1">
        <v>3344</v>
      </c>
      <c r="B3345" s="4">
        <v>23911</v>
      </c>
      <c r="C3345" s="5">
        <v>41061</v>
      </c>
      <c r="D3345" s="3" t="s">
        <v>95</v>
      </c>
      <c r="E3345" s="1" t="s">
        <v>687</v>
      </c>
      <c r="F3345" s="1" t="s">
        <v>9</v>
      </c>
      <c r="G3345" s="2" t="s">
        <v>2</v>
      </c>
      <c r="H3345" s="3" t="s">
        <v>97</v>
      </c>
      <c r="I3345" s="3" t="s">
        <v>85</v>
      </c>
      <c r="J3345" s="3" t="s">
        <v>66</v>
      </c>
      <c r="K3345" s="4">
        <v>121.26</v>
      </c>
      <c r="L3345" s="6">
        <v>35.44</v>
      </c>
    </row>
    <row r="3346" spans="1:12" x14ac:dyDescent="0.25">
      <c r="A3346" s="1">
        <v>3345</v>
      </c>
      <c r="B3346" s="4">
        <v>23936</v>
      </c>
      <c r="C3346" s="5">
        <v>40164</v>
      </c>
      <c r="D3346" s="3" t="s">
        <v>4</v>
      </c>
      <c r="E3346" s="1" t="s">
        <v>171</v>
      </c>
      <c r="F3346" s="1" t="s">
        <v>37</v>
      </c>
      <c r="G3346" s="2" t="s">
        <v>3</v>
      </c>
      <c r="H3346" s="3" t="s">
        <v>97</v>
      </c>
      <c r="I3346" s="3" t="s">
        <v>85</v>
      </c>
      <c r="J3346" s="3" t="s">
        <v>63</v>
      </c>
      <c r="K3346" s="4">
        <v>71.39</v>
      </c>
      <c r="L3346" s="6">
        <v>2.6</v>
      </c>
    </row>
    <row r="3347" spans="1:12" x14ac:dyDescent="0.25">
      <c r="A3347" s="1">
        <v>3346</v>
      </c>
      <c r="B3347" s="4">
        <v>23940</v>
      </c>
      <c r="C3347" s="5">
        <v>40641</v>
      </c>
      <c r="D3347" s="3" t="s">
        <v>4</v>
      </c>
      <c r="E3347" s="1" t="s">
        <v>492</v>
      </c>
      <c r="F3347" s="1" t="s">
        <v>30</v>
      </c>
      <c r="G3347" s="2" t="s">
        <v>6</v>
      </c>
      <c r="H3347" s="3" t="s">
        <v>97</v>
      </c>
      <c r="I3347" s="3" t="s">
        <v>85</v>
      </c>
      <c r="J3347" s="3" t="s">
        <v>70</v>
      </c>
      <c r="K3347" s="4">
        <v>138.52000000000001</v>
      </c>
      <c r="L3347" s="6">
        <v>4.4800000000000004</v>
      </c>
    </row>
    <row r="3348" spans="1:12" x14ac:dyDescent="0.25">
      <c r="A3348" s="1">
        <v>3347</v>
      </c>
      <c r="B3348" s="4">
        <v>23940</v>
      </c>
      <c r="C3348" s="5">
        <v>40641</v>
      </c>
      <c r="D3348" s="3" t="s">
        <v>4</v>
      </c>
      <c r="E3348" s="1" t="s">
        <v>492</v>
      </c>
      <c r="F3348" s="1" t="s">
        <v>30</v>
      </c>
      <c r="G3348" s="2" t="s">
        <v>6</v>
      </c>
      <c r="H3348" s="3" t="s">
        <v>97</v>
      </c>
      <c r="I3348" s="3" t="s">
        <v>91</v>
      </c>
      <c r="J3348" s="3" t="s">
        <v>72</v>
      </c>
      <c r="K3348" s="4">
        <v>1735.59</v>
      </c>
      <c r="L3348" s="6">
        <v>150.88999999999999</v>
      </c>
    </row>
    <row r="3349" spans="1:12" x14ac:dyDescent="0.25">
      <c r="A3349" s="1">
        <v>3348</v>
      </c>
      <c r="B3349" s="4">
        <v>23943</v>
      </c>
      <c r="C3349" s="5">
        <v>40717</v>
      </c>
      <c r="D3349" s="3" t="s">
        <v>95</v>
      </c>
      <c r="E3349" s="1" t="s">
        <v>797</v>
      </c>
      <c r="F3349" s="1" t="s">
        <v>17</v>
      </c>
      <c r="G3349" s="2" t="s">
        <v>2</v>
      </c>
      <c r="H3349" s="3" t="s">
        <v>88</v>
      </c>
      <c r="I3349" s="3" t="s">
        <v>85</v>
      </c>
      <c r="J3349" s="3" t="s">
        <v>63</v>
      </c>
      <c r="K3349" s="4">
        <v>376.53</v>
      </c>
      <c r="L3349" s="6">
        <v>15.94</v>
      </c>
    </row>
    <row r="3350" spans="1:12" x14ac:dyDescent="0.25">
      <c r="A3350" s="1">
        <v>3349</v>
      </c>
      <c r="B3350" s="4">
        <v>23968</v>
      </c>
      <c r="C3350" s="5">
        <v>40606</v>
      </c>
      <c r="D3350" s="3" t="s">
        <v>95</v>
      </c>
      <c r="E3350" s="1" t="s">
        <v>1115</v>
      </c>
      <c r="F3350" s="1" t="s">
        <v>20</v>
      </c>
      <c r="G3350" s="2" t="s">
        <v>1</v>
      </c>
      <c r="H3350" s="3" t="s">
        <v>88</v>
      </c>
      <c r="I3350" s="3" t="s">
        <v>85</v>
      </c>
      <c r="J3350" s="3" t="s">
        <v>66</v>
      </c>
      <c r="K3350" s="4">
        <v>127.48</v>
      </c>
      <c r="L3350" s="6">
        <v>6.48</v>
      </c>
    </row>
    <row r="3351" spans="1:12" x14ac:dyDescent="0.25">
      <c r="A3351" s="1">
        <v>3350</v>
      </c>
      <c r="B3351" s="4">
        <v>23971</v>
      </c>
      <c r="C3351" s="5">
        <v>40138</v>
      </c>
      <c r="D3351" s="3" t="s">
        <v>95</v>
      </c>
      <c r="E3351" s="1" t="s">
        <v>1116</v>
      </c>
      <c r="F3351" s="1" t="s">
        <v>13</v>
      </c>
      <c r="G3351" s="2" t="s">
        <v>6</v>
      </c>
      <c r="H3351" s="3" t="s">
        <v>97</v>
      </c>
      <c r="I3351" s="3" t="s">
        <v>85</v>
      </c>
      <c r="J3351" s="3" t="s">
        <v>70</v>
      </c>
      <c r="K3351" s="4">
        <v>66.63</v>
      </c>
      <c r="L3351" s="6">
        <v>11.97</v>
      </c>
    </row>
    <row r="3352" spans="1:12" x14ac:dyDescent="0.25">
      <c r="A3352" s="1">
        <v>3351</v>
      </c>
      <c r="B3352" s="4">
        <v>24003</v>
      </c>
      <c r="C3352" s="5">
        <v>40117</v>
      </c>
      <c r="D3352" s="3" t="s">
        <v>95</v>
      </c>
      <c r="E3352" s="1" t="s">
        <v>1117</v>
      </c>
      <c r="F3352" s="1" t="s">
        <v>43</v>
      </c>
      <c r="G3352" s="2" t="s">
        <v>1</v>
      </c>
      <c r="H3352" s="3" t="s">
        <v>88</v>
      </c>
      <c r="I3352" s="3" t="s">
        <v>85</v>
      </c>
      <c r="J3352" s="3" t="s">
        <v>63</v>
      </c>
      <c r="K3352" s="4">
        <v>87.44</v>
      </c>
      <c r="L3352" s="6">
        <v>1.76</v>
      </c>
    </row>
    <row r="3353" spans="1:12" x14ac:dyDescent="0.25">
      <c r="A3353" s="1">
        <v>3352</v>
      </c>
      <c r="B3353" s="4">
        <v>24003</v>
      </c>
      <c r="C3353" s="5">
        <v>40117</v>
      </c>
      <c r="D3353" s="3" t="s">
        <v>95</v>
      </c>
      <c r="E3353" s="1" t="s">
        <v>1118</v>
      </c>
      <c r="F3353" s="1" t="s">
        <v>43</v>
      </c>
      <c r="G3353" s="2" t="s">
        <v>1</v>
      </c>
      <c r="H3353" s="3" t="s">
        <v>88</v>
      </c>
      <c r="I3353" s="3" t="s">
        <v>85</v>
      </c>
      <c r="J3353" s="3" t="s">
        <v>57</v>
      </c>
      <c r="K3353" s="4">
        <v>1318.49</v>
      </c>
      <c r="L3353" s="6">
        <v>24.98</v>
      </c>
    </row>
    <row r="3354" spans="1:12" x14ac:dyDescent="0.25">
      <c r="A3354" s="1">
        <v>3353</v>
      </c>
      <c r="B3354" s="4">
        <v>24003</v>
      </c>
      <c r="C3354" s="5">
        <v>40117</v>
      </c>
      <c r="D3354" s="3" t="s">
        <v>95</v>
      </c>
      <c r="E3354" s="1" t="s">
        <v>683</v>
      </c>
      <c r="F3354" s="1" t="s">
        <v>24</v>
      </c>
      <c r="G3354" s="2" t="s">
        <v>2</v>
      </c>
      <c r="H3354" s="3" t="s">
        <v>88</v>
      </c>
      <c r="I3354" s="3" t="s">
        <v>85</v>
      </c>
      <c r="J3354" s="3" t="s">
        <v>64</v>
      </c>
      <c r="K3354" s="4">
        <v>11.89</v>
      </c>
      <c r="L3354" s="6">
        <v>1.26</v>
      </c>
    </row>
    <row r="3355" spans="1:12" x14ac:dyDescent="0.25">
      <c r="A3355" s="1">
        <v>3354</v>
      </c>
      <c r="B3355" s="4">
        <v>24003</v>
      </c>
      <c r="C3355" s="5">
        <v>40117</v>
      </c>
      <c r="D3355" s="3" t="s">
        <v>95</v>
      </c>
      <c r="E3355" s="1" t="s">
        <v>108</v>
      </c>
      <c r="F3355" s="1" t="s">
        <v>21</v>
      </c>
      <c r="G3355" s="2" t="s">
        <v>1</v>
      </c>
      <c r="H3355" s="3" t="s">
        <v>88</v>
      </c>
      <c r="I3355" s="3" t="s">
        <v>92</v>
      </c>
      <c r="J3355" s="3" t="s">
        <v>61</v>
      </c>
      <c r="K3355" s="4">
        <v>129.78649999999999</v>
      </c>
      <c r="L3355" s="6">
        <v>35.99</v>
      </c>
    </row>
    <row r="3356" spans="1:12" x14ac:dyDescent="0.25">
      <c r="A3356" s="1">
        <v>3355</v>
      </c>
      <c r="B3356" s="4">
        <v>24007</v>
      </c>
      <c r="C3356" s="5">
        <v>40416</v>
      </c>
      <c r="D3356" s="3" t="s">
        <v>82</v>
      </c>
      <c r="E3356" s="1" t="s">
        <v>1119</v>
      </c>
      <c r="F3356" s="1" t="s">
        <v>8</v>
      </c>
      <c r="G3356" s="2" t="s">
        <v>6</v>
      </c>
      <c r="H3356" s="3" t="s">
        <v>97</v>
      </c>
      <c r="I3356" s="3" t="s">
        <v>92</v>
      </c>
      <c r="J3356" s="3" t="s">
        <v>62</v>
      </c>
      <c r="K3356" s="4">
        <v>531.66</v>
      </c>
      <c r="L3356" s="6">
        <v>20.89</v>
      </c>
    </row>
    <row r="3357" spans="1:12" x14ac:dyDescent="0.25">
      <c r="A3357" s="1">
        <v>3356</v>
      </c>
      <c r="B3357" s="4">
        <v>24007</v>
      </c>
      <c r="C3357" s="5">
        <v>40416</v>
      </c>
      <c r="D3357" s="3" t="s">
        <v>82</v>
      </c>
      <c r="E3357" s="1" t="s">
        <v>1119</v>
      </c>
      <c r="F3357" s="1" t="s">
        <v>8</v>
      </c>
      <c r="G3357" s="2" t="s">
        <v>6</v>
      </c>
      <c r="H3357" s="3" t="s">
        <v>97</v>
      </c>
      <c r="I3357" s="3" t="s">
        <v>85</v>
      </c>
      <c r="J3357" s="3" t="s">
        <v>71</v>
      </c>
      <c r="K3357" s="4">
        <v>317.85000000000002</v>
      </c>
      <c r="L3357" s="6">
        <v>11.58</v>
      </c>
    </row>
    <row r="3358" spans="1:12" x14ac:dyDescent="0.25">
      <c r="A3358" s="1">
        <v>3357</v>
      </c>
      <c r="B3358" s="4">
        <v>24007</v>
      </c>
      <c r="C3358" s="5">
        <v>40416</v>
      </c>
      <c r="D3358" s="3" t="s">
        <v>82</v>
      </c>
      <c r="E3358" s="1" t="s">
        <v>1119</v>
      </c>
      <c r="F3358" s="1" t="s">
        <v>8</v>
      </c>
      <c r="G3358" s="2" t="s">
        <v>6</v>
      </c>
      <c r="H3358" s="3" t="s">
        <v>97</v>
      </c>
      <c r="I3358" s="3" t="s">
        <v>85</v>
      </c>
      <c r="J3358" s="3" t="s">
        <v>65</v>
      </c>
      <c r="K3358" s="4">
        <v>163.08000000000001</v>
      </c>
      <c r="L3358" s="6">
        <v>4.13</v>
      </c>
    </row>
    <row r="3359" spans="1:12" x14ac:dyDescent="0.25">
      <c r="A3359" s="1">
        <v>3358</v>
      </c>
      <c r="B3359" s="4">
        <v>24033</v>
      </c>
      <c r="C3359" s="5">
        <v>40545</v>
      </c>
      <c r="D3359" s="3" t="s">
        <v>89</v>
      </c>
      <c r="E3359" s="1" t="s">
        <v>704</v>
      </c>
      <c r="F3359" s="1" t="s">
        <v>23</v>
      </c>
      <c r="G3359" s="2" t="s">
        <v>3</v>
      </c>
      <c r="H3359" s="3" t="s">
        <v>100</v>
      </c>
      <c r="I3359" s="3" t="s">
        <v>91</v>
      </c>
      <c r="J3359" s="3" t="s">
        <v>59</v>
      </c>
      <c r="K3359" s="4">
        <v>1227.18</v>
      </c>
      <c r="L3359" s="6">
        <v>23.99</v>
      </c>
    </row>
    <row r="3360" spans="1:12" x14ac:dyDescent="0.25">
      <c r="A3360" s="1">
        <v>3359</v>
      </c>
      <c r="B3360" s="4">
        <v>24038</v>
      </c>
      <c r="C3360" s="5">
        <v>40714</v>
      </c>
      <c r="D3360" s="3" t="s">
        <v>89</v>
      </c>
      <c r="E3360" s="1" t="s">
        <v>1085</v>
      </c>
      <c r="F3360" s="1" t="s">
        <v>8</v>
      </c>
      <c r="G3360" s="2" t="s">
        <v>6</v>
      </c>
      <c r="H3360" s="3" t="s">
        <v>88</v>
      </c>
      <c r="I3360" s="3" t="s">
        <v>85</v>
      </c>
      <c r="J3360" s="3" t="s">
        <v>63</v>
      </c>
      <c r="K3360" s="4">
        <v>103.07</v>
      </c>
      <c r="L3360" s="6">
        <v>2.78</v>
      </c>
    </row>
    <row r="3361" spans="1:12" x14ac:dyDescent="0.25">
      <c r="A3361" s="1">
        <v>3360</v>
      </c>
      <c r="B3361" s="4">
        <v>24038</v>
      </c>
      <c r="C3361" s="5">
        <v>40714</v>
      </c>
      <c r="D3361" s="3" t="s">
        <v>89</v>
      </c>
      <c r="E3361" s="1" t="s">
        <v>1120</v>
      </c>
      <c r="F3361" s="1" t="s">
        <v>38</v>
      </c>
      <c r="G3361" s="2" t="s">
        <v>6</v>
      </c>
      <c r="H3361" s="3" t="s">
        <v>88</v>
      </c>
      <c r="I3361" s="3" t="s">
        <v>92</v>
      </c>
      <c r="J3361" s="3" t="s">
        <v>61</v>
      </c>
      <c r="K3361" s="4">
        <v>896.18049999999994</v>
      </c>
      <c r="L3361" s="6">
        <v>65.989999999999995</v>
      </c>
    </row>
    <row r="3362" spans="1:12" x14ac:dyDescent="0.25">
      <c r="A3362" s="1">
        <v>3361</v>
      </c>
      <c r="B3362" s="4">
        <v>24039</v>
      </c>
      <c r="C3362" s="5">
        <v>41107</v>
      </c>
      <c r="D3362" s="3" t="s">
        <v>86</v>
      </c>
      <c r="E3362" s="1" t="s">
        <v>1073</v>
      </c>
      <c r="F3362" s="1" t="s">
        <v>25</v>
      </c>
      <c r="G3362" s="2" t="s">
        <v>6</v>
      </c>
      <c r="H3362" s="3" t="s">
        <v>88</v>
      </c>
      <c r="I3362" s="3" t="s">
        <v>92</v>
      </c>
      <c r="J3362" s="3" t="s">
        <v>62</v>
      </c>
      <c r="K3362" s="4">
        <v>199.16</v>
      </c>
      <c r="L3362" s="6">
        <v>40.98</v>
      </c>
    </row>
    <row r="3363" spans="1:12" x14ac:dyDescent="0.25">
      <c r="A3363" s="1">
        <v>3362</v>
      </c>
      <c r="B3363" s="4">
        <v>24064</v>
      </c>
      <c r="C3363" s="5">
        <v>40384</v>
      </c>
      <c r="D3363" s="3" t="s">
        <v>4</v>
      </c>
      <c r="E3363" s="1" t="s">
        <v>130</v>
      </c>
      <c r="F3363" s="1" t="s">
        <v>11</v>
      </c>
      <c r="G3363" s="2" t="s">
        <v>6</v>
      </c>
      <c r="H3363" s="3" t="s">
        <v>97</v>
      </c>
      <c r="I3363" s="3" t="s">
        <v>92</v>
      </c>
      <c r="J3363" s="3" t="s">
        <v>67</v>
      </c>
      <c r="K3363" s="4">
        <v>6366.52</v>
      </c>
      <c r="L3363" s="6">
        <v>297.64</v>
      </c>
    </row>
    <row r="3364" spans="1:12" x14ac:dyDescent="0.25">
      <c r="A3364" s="1">
        <v>3363</v>
      </c>
      <c r="B3364" s="4">
        <v>24066</v>
      </c>
      <c r="C3364" s="5">
        <v>41012</v>
      </c>
      <c r="D3364" s="3" t="s">
        <v>89</v>
      </c>
      <c r="E3364" s="1" t="s">
        <v>1025</v>
      </c>
      <c r="F3364" s="1" t="s">
        <v>23</v>
      </c>
      <c r="G3364" s="2" t="s">
        <v>3</v>
      </c>
      <c r="H3364" s="3" t="s">
        <v>97</v>
      </c>
      <c r="I3364" s="3" t="s">
        <v>91</v>
      </c>
      <c r="J3364" s="3" t="s">
        <v>68</v>
      </c>
      <c r="K3364" s="4">
        <v>4278.6099999999997</v>
      </c>
      <c r="L3364" s="6">
        <v>150.97999999999999</v>
      </c>
    </row>
    <row r="3365" spans="1:12" x14ac:dyDescent="0.25">
      <c r="A3365" s="1">
        <v>3364</v>
      </c>
      <c r="B3365" s="4">
        <v>24067</v>
      </c>
      <c r="C3365" s="5">
        <v>41143</v>
      </c>
      <c r="D3365" s="3" t="s">
        <v>89</v>
      </c>
      <c r="E3365" s="1" t="s">
        <v>124</v>
      </c>
      <c r="F3365" s="1" t="s">
        <v>39</v>
      </c>
      <c r="G3365" s="2" t="s">
        <v>1</v>
      </c>
      <c r="H3365" s="3" t="s">
        <v>88</v>
      </c>
      <c r="I3365" s="3" t="s">
        <v>85</v>
      </c>
      <c r="J3365" s="3" t="s">
        <v>69</v>
      </c>
      <c r="K3365" s="4">
        <v>128.25</v>
      </c>
      <c r="L3365" s="6">
        <v>3.98</v>
      </c>
    </row>
    <row r="3366" spans="1:12" x14ac:dyDescent="0.25">
      <c r="A3366" s="1">
        <v>3365</v>
      </c>
      <c r="B3366" s="4">
        <v>24067</v>
      </c>
      <c r="C3366" s="5">
        <v>41143</v>
      </c>
      <c r="D3366" s="3" t="s">
        <v>89</v>
      </c>
      <c r="E3366" s="1" t="s">
        <v>463</v>
      </c>
      <c r="F3366" s="1" t="s">
        <v>38</v>
      </c>
      <c r="G3366" s="2" t="s">
        <v>6</v>
      </c>
      <c r="H3366" s="3" t="s">
        <v>88</v>
      </c>
      <c r="I3366" s="3" t="s">
        <v>85</v>
      </c>
      <c r="J3366" s="3" t="s">
        <v>66</v>
      </c>
      <c r="K3366" s="4">
        <v>120.56</v>
      </c>
      <c r="L3366" s="6">
        <v>5.98</v>
      </c>
    </row>
    <row r="3367" spans="1:12" x14ac:dyDescent="0.25">
      <c r="A3367" s="1">
        <v>3366</v>
      </c>
      <c r="B3367" s="4">
        <v>24067</v>
      </c>
      <c r="C3367" s="5">
        <v>41143</v>
      </c>
      <c r="D3367" s="3" t="s">
        <v>89</v>
      </c>
      <c r="E3367" s="1" t="s">
        <v>463</v>
      </c>
      <c r="F3367" s="1" t="s">
        <v>38</v>
      </c>
      <c r="G3367" s="2" t="s">
        <v>6</v>
      </c>
      <c r="H3367" s="3" t="s">
        <v>88</v>
      </c>
      <c r="I3367" s="3" t="s">
        <v>92</v>
      </c>
      <c r="J3367" s="3" t="s">
        <v>61</v>
      </c>
      <c r="K3367" s="4">
        <v>2640.6864999999998</v>
      </c>
      <c r="L3367" s="6">
        <v>65.989999999999995</v>
      </c>
    </row>
    <row r="3368" spans="1:12" x14ac:dyDescent="0.25">
      <c r="A3368" s="1">
        <v>3367</v>
      </c>
      <c r="B3368" s="4">
        <v>24069</v>
      </c>
      <c r="C3368" s="5">
        <v>40375</v>
      </c>
      <c r="D3368" s="3" t="s">
        <v>82</v>
      </c>
      <c r="E3368" s="1" t="s">
        <v>110</v>
      </c>
      <c r="F3368" s="1" t="s">
        <v>15</v>
      </c>
      <c r="G3368" s="2" t="s">
        <v>1</v>
      </c>
      <c r="H3368" s="3" t="s">
        <v>97</v>
      </c>
      <c r="I3368" s="3" t="s">
        <v>91</v>
      </c>
      <c r="J3368" s="3" t="s">
        <v>60</v>
      </c>
      <c r="K3368" s="4">
        <v>7981.2</v>
      </c>
      <c r="L3368" s="6">
        <v>376.13</v>
      </c>
    </row>
    <row r="3369" spans="1:12" x14ac:dyDescent="0.25">
      <c r="A3369" s="1">
        <v>3368</v>
      </c>
      <c r="B3369" s="4">
        <v>24070</v>
      </c>
      <c r="C3369" s="5">
        <v>40617</v>
      </c>
      <c r="D3369" s="3" t="s">
        <v>89</v>
      </c>
      <c r="E3369" s="1" t="s">
        <v>768</v>
      </c>
      <c r="F3369" s="1" t="s">
        <v>28</v>
      </c>
      <c r="G3369" s="2" t="s">
        <v>6</v>
      </c>
      <c r="H3369" s="3" t="s">
        <v>88</v>
      </c>
      <c r="I3369" s="3" t="s">
        <v>85</v>
      </c>
      <c r="J3369" s="3" t="s">
        <v>69</v>
      </c>
      <c r="K3369" s="4">
        <v>170.42</v>
      </c>
      <c r="L3369" s="6">
        <v>4.91</v>
      </c>
    </row>
    <row r="3370" spans="1:12" x14ac:dyDescent="0.25">
      <c r="A3370" s="1">
        <v>3369</v>
      </c>
      <c r="B3370" s="4">
        <v>24070</v>
      </c>
      <c r="C3370" s="5">
        <v>40617</v>
      </c>
      <c r="D3370" s="3" t="s">
        <v>89</v>
      </c>
      <c r="E3370" s="1" t="s">
        <v>768</v>
      </c>
      <c r="F3370" s="1" t="s">
        <v>28</v>
      </c>
      <c r="G3370" s="2" t="s">
        <v>6</v>
      </c>
      <c r="H3370" s="3" t="s">
        <v>88</v>
      </c>
      <c r="I3370" s="3" t="s">
        <v>91</v>
      </c>
      <c r="J3370" s="3" t="s">
        <v>72</v>
      </c>
      <c r="K3370" s="4">
        <v>431.29</v>
      </c>
      <c r="L3370" s="6">
        <v>140.81</v>
      </c>
    </row>
    <row r="3371" spans="1:12" x14ac:dyDescent="0.25">
      <c r="A3371" s="1">
        <v>3370</v>
      </c>
      <c r="B3371" s="4">
        <v>24070</v>
      </c>
      <c r="C3371" s="5">
        <v>40617</v>
      </c>
      <c r="D3371" s="3" t="s">
        <v>89</v>
      </c>
      <c r="E3371" s="1" t="s">
        <v>1121</v>
      </c>
      <c r="F3371" s="1" t="s">
        <v>28</v>
      </c>
      <c r="G3371" s="2" t="s">
        <v>6</v>
      </c>
      <c r="H3371" s="3" t="s">
        <v>88</v>
      </c>
      <c r="I3371" s="3" t="s">
        <v>85</v>
      </c>
      <c r="J3371" s="3" t="s">
        <v>63</v>
      </c>
      <c r="K3371" s="4">
        <v>294.26</v>
      </c>
      <c r="L3371" s="6">
        <v>5.58</v>
      </c>
    </row>
    <row r="3372" spans="1:12" x14ac:dyDescent="0.25">
      <c r="A3372" s="1">
        <v>3371</v>
      </c>
      <c r="B3372" s="4">
        <v>24097</v>
      </c>
      <c r="C3372" s="5">
        <v>40394</v>
      </c>
      <c r="D3372" s="3" t="s">
        <v>89</v>
      </c>
      <c r="E3372" s="1" t="s">
        <v>460</v>
      </c>
      <c r="F3372" s="1" t="s">
        <v>8</v>
      </c>
      <c r="G3372" s="2" t="s">
        <v>6</v>
      </c>
      <c r="H3372" s="3" t="s">
        <v>84</v>
      </c>
      <c r="I3372" s="3" t="s">
        <v>92</v>
      </c>
      <c r="J3372" s="3" t="s">
        <v>62</v>
      </c>
      <c r="K3372" s="4">
        <v>17.190000000000001</v>
      </c>
      <c r="L3372" s="6">
        <v>14.48</v>
      </c>
    </row>
    <row r="3373" spans="1:12" x14ac:dyDescent="0.25">
      <c r="A3373" s="1">
        <v>3372</v>
      </c>
      <c r="B3373" s="4">
        <v>24097</v>
      </c>
      <c r="C3373" s="5">
        <v>40394</v>
      </c>
      <c r="D3373" s="3" t="s">
        <v>89</v>
      </c>
      <c r="E3373" s="1" t="s">
        <v>460</v>
      </c>
      <c r="F3373" s="1" t="s">
        <v>8</v>
      </c>
      <c r="G3373" s="2" t="s">
        <v>6</v>
      </c>
      <c r="H3373" s="3" t="s">
        <v>84</v>
      </c>
      <c r="I3373" s="3" t="s">
        <v>92</v>
      </c>
      <c r="J3373" s="3" t="s">
        <v>62</v>
      </c>
      <c r="K3373" s="4">
        <v>2689.48</v>
      </c>
      <c r="L3373" s="6">
        <v>99.99</v>
      </c>
    </row>
    <row r="3374" spans="1:12" x14ac:dyDescent="0.25">
      <c r="A3374" s="1">
        <v>3373</v>
      </c>
      <c r="B3374" s="4">
        <v>24097</v>
      </c>
      <c r="C3374" s="5">
        <v>40394</v>
      </c>
      <c r="D3374" s="3" t="s">
        <v>89</v>
      </c>
      <c r="E3374" s="1" t="s">
        <v>460</v>
      </c>
      <c r="F3374" s="1" t="s">
        <v>8</v>
      </c>
      <c r="G3374" s="2" t="s">
        <v>6</v>
      </c>
      <c r="H3374" s="3" t="s">
        <v>84</v>
      </c>
      <c r="I3374" s="3" t="s">
        <v>85</v>
      </c>
      <c r="J3374" s="3" t="s">
        <v>66</v>
      </c>
      <c r="K3374" s="4">
        <v>15.31</v>
      </c>
      <c r="L3374" s="6">
        <v>4.9800000000000004</v>
      </c>
    </row>
    <row r="3375" spans="1:12" x14ac:dyDescent="0.25">
      <c r="A3375" s="1">
        <v>3374</v>
      </c>
      <c r="B3375" s="4">
        <v>24098</v>
      </c>
      <c r="C3375" s="5">
        <v>41016</v>
      </c>
      <c r="D3375" s="3" t="s">
        <v>95</v>
      </c>
      <c r="E3375" s="1" t="s">
        <v>122</v>
      </c>
      <c r="F3375" s="1" t="s">
        <v>44</v>
      </c>
      <c r="G3375" s="2" t="s">
        <v>3</v>
      </c>
      <c r="H3375" s="3" t="s">
        <v>84</v>
      </c>
      <c r="I3375" s="3" t="s">
        <v>85</v>
      </c>
      <c r="J3375" s="3" t="s">
        <v>69</v>
      </c>
      <c r="K3375" s="4">
        <v>199.58</v>
      </c>
      <c r="L3375" s="6">
        <v>4.82</v>
      </c>
    </row>
    <row r="3376" spans="1:12" x14ac:dyDescent="0.25">
      <c r="A3376" s="1">
        <v>3375</v>
      </c>
      <c r="B3376" s="4">
        <v>24098</v>
      </c>
      <c r="C3376" s="5">
        <v>41016</v>
      </c>
      <c r="D3376" s="3" t="s">
        <v>95</v>
      </c>
      <c r="E3376" s="1" t="s">
        <v>122</v>
      </c>
      <c r="F3376" s="1" t="s">
        <v>44</v>
      </c>
      <c r="G3376" s="2" t="s">
        <v>3</v>
      </c>
      <c r="H3376" s="3" t="s">
        <v>84</v>
      </c>
      <c r="I3376" s="3" t="s">
        <v>85</v>
      </c>
      <c r="J3376" s="3" t="s">
        <v>66</v>
      </c>
      <c r="K3376" s="4">
        <v>80.59</v>
      </c>
      <c r="L3376" s="6">
        <v>7.64</v>
      </c>
    </row>
    <row r="3377" spans="1:12" x14ac:dyDescent="0.25">
      <c r="A3377" s="1">
        <v>3376</v>
      </c>
      <c r="B3377" s="4">
        <v>24098</v>
      </c>
      <c r="C3377" s="5">
        <v>41016</v>
      </c>
      <c r="D3377" s="3" t="s">
        <v>95</v>
      </c>
      <c r="E3377" s="1" t="s">
        <v>122</v>
      </c>
      <c r="F3377" s="1" t="s">
        <v>44</v>
      </c>
      <c r="G3377" s="2" t="s">
        <v>3</v>
      </c>
      <c r="H3377" s="3" t="s">
        <v>84</v>
      </c>
      <c r="I3377" s="3" t="s">
        <v>92</v>
      </c>
      <c r="J3377" s="3" t="s">
        <v>61</v>
      </c>
      <c r="K3377" s="4">
        <v>4158.0725000000002</v>
      </c>
      <c r="L3377" s="6">
        <v>155.99</v>
      </c>
    </row>
    <row r="3378" spans="1:12" x14ac:dyDescent="0.25">
      <c r="A3378" s="1">
        <v>3377</v>
      </c>
      <c r="B3378" s="4">
        <v>24099</v>
      </c>
      <c r="C3378" s="5">
        <v>40683</v>
      </c>
      <c r="D3378" s="3" t="s">
        <v>86</v>
      </c>
      <c r="E3378" s="1" t="s">
        <v>114</v>
      </c>
      <c r="F3378" s="1" t="s">
        <v>15</v>
      </c>
      <c r="G3378" s="2" t="s">
        <v>1</v>
      </c>
      <c r="H3378" s="3" t="s">
        <v>88</v>
      </c>
      <c r="I3378" s="3" t="s">
        <v>92</v>
      </c>
      <c r="J3378" s="3" t="s">
        <v>62</v>
      </c>
      <c r="K3378" s="4">
        <v>205.24</v>
      </c>
      <c r="L3378" s="6">
        <v>30.98</v>
      </c>
    </row>
    <row r="3379" spans="1:12" x14ac:dyDescent="0.25">
      <c r="A3379" s="1">
        <v>3378</v>
      </c>
      <c r="B3379" s="4">
        <v>24099</v>
      </c>
      <c r="C3379" s="5">
        <v>40683</v>
      </c>
      <c r="D3379" s="3" t="s">
        <v>86</v>
      </c>
      <c r="E3379" s="1" t="s">
        <v>114</v>
      </c>
      <c r="F3379" s="1" t="s">
        <v>15</v>
      </c>
      <c r="G3379" s="2" t="s">
        <v>1</v>
      </c>
      <c r="H3379" s="3" t="s">
        <v>88</v>
      </c>
      <c r="I3379" s="3" t="s">
        <v>85</v>
      </c>
      <c r="J3379" s="3" t="s">
        <v>57</v>
      </c>
      <c r="K3379" s="4">
        <v>825.82</v>
      </c>
      <c r="L3379" s="6">
        <v>20.34</v>
      </c>
    </row>
    <row r="3380" spans="1:12" x14ac:dyDescent="0.25">
      <c r="A3380" s="1">
        <v>3379</v>
      </c>
      <c r="B3380" s="4">
        <v>24102</v>
      </c>
      <c r="C3380" s="5">
        <v>40512</v>
      </c>
      <c r="D3380" s="3" t="s">
        <v>95</v>
      </c>
      <c r="E3380" s="1" t="s">
        <v>237</v>
      </c>
      <c r="F3380" s="1" t="s">
        <v>21</v>
      </c>
      <c r="G3380" s="2" t="s">
        <v>1</v>
      </c>
      <c r="H3380" s="3" t="s">
        <v>84</v>
      </c>
      <c r="I3380" s="3" t="s">
        <v>85</v>
      </c>
      <c r="J3380" s="3" t="s">
        <v>57</v>
      </c>
      <c r="K3380" s="4">
        <v>1844.26</v>
      </c>
      <c r="L3380" s="6">
        <v>37.76</v>
      </c>
    </row>
    <row r="3381" spans="1:12" x14ac:dyDescent="0.25">
      <c r="A3381" s="1">
        <v>3380</v>
      </c>
      <c r="B3381" s="4">
        <v>24128</v>
      </c>
      <c r="C3381" s="5">
        <v>40505</v>
      </c>
      <c r="D3381" s="3" t="s">
        <v>89</v>
      </c>
      <c r="E3381" s="1" t="s">
        <v>345</v>
      </c>
      <c r="F3381" s="1" t="s">
        <v>8</v>
      </c>
      <c r="G3381" s="2" t="s">
        <v>6</v>
      </c>
      <c r="H3381" s="3" t="s">
        <v>88</v>
      </c>
      <c r="I3381" s="3" t="s">
        <v>85</v>
      </c>
      <c r="J3381" s="3" t="s">
        <v>66</v>
      </c>
      <c r="K3381" s="4">
        <v>270.63</v>
      </c>
      <c r="L3381" s="6">
        <v>21.98</v>
      </c>
    </row>
    <row r="3382" spans="1:12" x14ac:dyDescent="0.25">
      <c r="A3382" s="1">
        <v>3381</v>
      </c>
      <c r="B3382" s="4">
        <v>24128</v>
      </c>
      <c r="C3382" s="5">
        <v>40505</v>
      </c>
      <c r="D3382" s="3" t="s">
        <v>89</v>
      </c>
      <c r="E3382" s="1" t="s">
        <v>345</v>
      </c>
      <c r="F3382" s="1" t="s">
        <v>8</v>
      </c>
      <c r="G3382" s="2" t="s">
        <v>6</v>
      </c>
      <c r="H3382" s="3" t="s">
        <v>88</v>
      </c>
      <c r="I3382" s="3" t="s">
        <v>92</v>
      </c>
      <c r="J3382" s="3" t="s">
        <v>61</v>
      </c>
      <c r="K3382" s="4">
        <v>6583.9129999999996</v>
      </c>
      <c r="L3382" s="6">
        <v>195.99</v>
      </c>
    </row>
    <row r="3383" spans="1:12" x14ac:dyDescent="0.25">
      <c r="A3383" s="1">
        <v>3382</v>
      </c>
      <c r="B3383" s="4">
        <v>24132</v>
      </c>
      <c r="C3383" s="5">
        <v>40000</v>
      </c>
      <c r="D3383" s="3" t="s">
        <v>82</v>
      </c>
      <c r="E3383" s="1" t="s">
        <v>972</v>
      </c>
      <c r="F3383" s="1" t="s">
        <v>11</v>
      </c>
      <c r="G3383" s="2" t="s">
        <v>6</v>
      </c>
      <c r="H3383" s="3" t="s">
        <v>88</v>
      </c>
      <c r="I3383" s="3" t="s">
        <v>85</v>
      </c>
      <c r="J3383" s="3" t="s">
        <v>69</v>
      </c>
      <c r="K3383" s="4">
        <v>31.01</v>
      </c>
      <c r="L3383" s="6">
        <v>6.75</v>
      </c>
    </row>
    <row r="3384" spans="1:12" x14ac:dyDescent="0.25">
      <c r="A3384" s="1">
        <v>3383</v>
      </c>
      <c r="B3384" s="4">
        <v>24132</v>
      </c>
      <c r="C3384" s="5">
        <v>40000</v>
      </c>
      <c r="D3384" s="3" t="s">
        <v>82</v>
      </c>
      <c r="E3384" s="1" t="s">
        <v>972</v>
      </c>
      <c r="F3384" s="1" t="s">
        <v>11</v>
      </c>
      <c r="G3384" s="2" t="s">
        <v>6</v>
      </c>
      <c r="H3384" s="3" t="s">
        <v>88</v>
      </c>
      <c r="I3384" s="3" t="s">
        <v>85</v>
      </c>
      <c r="J3384" s="3" t="s">
        <v>69</v>
      </c>
      <c r="K3384" s="4">
        <v>331.83</v>
      </c>
      <c r="L3384" s="6">
        <v>7.1</v>
      </c>
    </row>
    <row r="3385" spans="1:12" x14ac:dyDescent="0.25">
      <c r="A3385" s="1">
        <v>3384</v>
      </c>
      <c r="B3385" s="4">
        <v>24132</v>
      </c>
      <c r="C3385" s="5">
        <v>40000</v>
      </c>
      <c r="D3385" s="3" t="s">
        <v>82</v>
      </c>
      <c r="E3385" s="1" t="s">
        <v>972</v>
      </c>
      <c r="F3385" s="1" t="s">
        <v>11</v>
      </c>
      <c r="G3385" s="2" t="s">
        <v>6</v>
      </c>
      <c r="H3385" s="3" t="s">
        <v>88</v>
      </c>
      <c r="I3385" s="3" t="s">
        <v>92</v>
      </c>
      <c r="J3385" s="3" t="s">
        <v>62</v>
      </c>
      <c r="K3385" s="4">
        <v>446.46</v>
      </c>
      <c r="L3385" s="6">
        <v>20.95</v>
      </c>
    </row>
    <row r="3386" spans="1:12" x14ac:dyDescent="0.25">
      <c r="A3386" s="1">
        <v>3385</v>
      </c>
      <c r="B3386" s="4">
        <v>24132</v>
      </c>
      <c r="C3386" s="5">
        <v>40000</v>
      </c>
      <c r="D3386" s="3" t="s">
        <v>82</v>
      </c>
      <c r="E3386" s="1" t="s">
        <v>602</v>
      </c>
      <c r="F3386" s="1" t="s">
        <v>11</v>
      </c>
      <c r="G3386" s="2" t="s">
        <v>6</v>
      </c>
      <c r="H3386" s="3" t="s">
        <v>88</v>
      </c>
      <c r="I3386" s="3" t="s">
        <v>85</v>
      </c>
      <c r="J3386" s="3" t="s">
        <v>69</v>
      </c>
      <c r="K3386" s="4">
        <v>1252.8900000000001</v>
      </c>
      <c r="L3386" s="6">
        <v>39.06</v>
      </c>
    </row>
    <row r="3387" spans="1:12" x14ac:dyDescent="0.25">
      <c r="A3387" s="1">
        <v>3386</v>
      </c>
      <c r="B3387" s="4">
        <v>24132</v>
      </c>
      <c r="C3387" s="5">
        <v>40000</v>
      </c>
      <c r="D3387" s="3" t="s">
        <v>82</v>
      </c>
      <c r="E3387" s="1" t="s">
        <v>602</v>
      </c>
      <c r="F3387" s="1" t="s">
        <v>11</v>
      </c>
      <c r="G3387" s="2" t="s">
        <v>6</v>
      </c>
      <c r="H3387" s="3" t="s">
        <v>88</v>
      </c>
      <c r="I3387" s="3" t="s">
        <v>85</v>
      </c>
      <c r="J3387" s="3" t="s">
        <v>69</v>
      </c>
      <c r="K3387" s="4">
        <v>47.79</v>
      </c>
      <c r="L3387" s="6">
        <v>3.52</v>
      </c>
    </row>
    <row r="3388" spans="1:12" x14ac:dyDescent="0.25">
      <c r="A3388" s="1">
        <v>3387</v>
      </c>
      <c r="B3388" s="4">
        <v>24132</v>
      </c>
      <c r="C3388" s="5">
        <v>40000</v>
      </c>
      <c r="D3388" s="3" t="s">
        <v>82</v>
      </c>
      <c r="E3388" s="1" t="s">
        <v>602</v>
      </c>
      <c r="F3388" s="1" t="s">
        <v>11</v>
      </c>
      <c r="G3388" s="2" t="s">
        <v>6</v>
      </c>
      <c r="H3388" s="3" t="s">
        <v>88</v>
      </c>
      <c r="I3388" s="3" t="s">
        <v>85</v>
      </c>
      <c r="J3388" s="3" t="s">
        <v>57</v>
      </c>
      <c r="K3388" s="4">
        <v>63.84</v>
      </c>
      <c r="L3388" s="6">
        <v>15.51</v>
      </c>
    </row>
    <row r="3389" spans="1:12" x14ac:dyDescent="0.25">
      <c r="A3389" s="1">
        <v>3388</v>
      </c>
      <c r="B3389" s="4">
        <v>24135</v>
      </c>
      <c r="C3389" s="5">
        <v>40200</v>
      </c>
      <c r="D3389" s="3" t="s">
        <v>82</v>
      </c>
      <c r="E3389" s="1" t="s">
        <v>261</v>
      </c>
      <c r="F3389" s="1" t="s">
        <v>13</v>
      </c>
      <c r="G3389" s="2" t="s">
        <v>6</v>
      </c>
      <c r="H3389" s="3" t="s">
        <v>100</v>
      </c>
      <c r="I3389" s="3" t="s">
        <v>85</v>
      </c>
      <c r="J3389" s="3" t="s">
        <v>69</v>
      </c>
      <c r="K3389" s="4">
        <v>345.19</v>
      </c>
      <c r="L3389" s="6">
        <v>30.44</v>
      </c>
    </row>
    <row r="3390" spans="1:12" x14ac:dyDescent="0.25">
      <c r="A3390" s="1">
        <v>3389</v>
      </c>
      <c r="B3390" s="4">
        <v>24160</v>
      </c>
      <c r="C3390" s="5">
        <v>40575</v>
      </c>
      <c r="D3390" s="3" t="s">
        <v>4</v>
      </c>
      <c r="E3390" s="1" t="s">
        <v>1080</v>
      </c>
      <c r="F3390" s="1" t="s">
        <v>19</v>
      </c>
      <c r="G3390" s="2" t="s">
        <v>3</v>
      </c>
      <c r="H3390" s="3" t="s">
        <v>97</v>
      </c>
      <c r="I3390" s="3" t="s">
        <v>92</v>
      </c>
      <c r="J3390" s="3" t="s">
        <v>61</v>
      </c>
      <c r="K3390" s="4">
        <v>3644.596</v>
      </c>
      <c r="L3390" s="6">
        <v>95.99</v>
      </c>
    </row>
    <row r="3391" spans="1:12" x14ac:dyDescent="0.25">
      <c r="A3391" s="1">
        <v>3390</v>
      </c>
      <c r="B3391" s="4">
        <v>24162</v>
      </c>
      <c r="C3391" s="5">
        <v>40047</v>
      </c>
      <c r="D3391" s="3" t="s">
        <v>86</v>
      </c>
      <c r="E3391" s="1" t="s">
        <v>121</v>
      </c>
      <c r="F3391" s="1" t="s">
        <v>23</v>
      </c>
      <c r="G3391" s="2" t="s">
        <v>3</v>
      </c>
      <c r="H3391" s="3" t="s">
        <v>84</v>
      </c>
      <c r="I3391" s="3" t="s">
        <v>85</v>
      </c>
      <c r="J3391" s="3" t="s">
        <v>66</v>
      </c>
      <c r="K3391" s="4">
        <v>10.94</v>
      </c>
      <c r="L3391" s="6">
        <v>9.68</v>
      </c>
    </row>
    <row r="3392" spans="1:12" x14ac:dyDescent="0.25">
      <c r="A3392" s="1">
        <v>3391</v>
      </c>
      <c r="B3392" s="4">
        <v>24162</v>
      </c>
      <c r="C3392" s="5">
        <v>40047</v>
      </c>
      <c r="D3392" s="3" t="s">
        <v>86</v>
      </c>
      <c r="E3392" s="1" t="s">
        <v>121</v>
      </c>
      <c r="F3392" s="1" t="s">
        <v>23</v>
      </c>
      <c r="G3392" s="2" t="s">
        <v>3</v>
      </c>
      <c r="H3392" s="3" t="s">
        <v>84</v>
      </c>
      <c r="I3392" s="3" t="s">
        <v>91</v>
      </c>
      <c r="J3392" s="3" t="s">
        <v>60</v>
      </c>
      <c r="K3392" s="4">
        <v>1755.3</v>
      </c>
      <c r="L3392" s="6">
        <v>150.97999999999999</v>
      </c>
    </row>
    <row r="3393" spans="1:12" x14ac:dyDescent="0.25">
      <c r="A3393" s="1">
        <v>3392</v>
      </c>
      <c r="B3393" s="4">
        <v>24193</v>
      </c>
      <c r="C3393" s="5">
        <v>39886</v>
      </c>
      <c r="D3393" s="3" t="s">
        <v>86</v>
      </c>
      <c r="E3393" s="1" t="s">
        <v>818</v>
      </c>
      <c r="F3393" s="1" t="s">
        <v>19</v>
      </c>
      <c r="G3393" s="2" t="s">
        <v>3</v>
      </c>
      <c r="H3393" s="3" t="s">
        <v>84</v>
      </c>
      <c r="I3393" s="3" t="s">
        <v>91</v>
      </c>
      <c r="J3393" s="3" t="s">
        <v>68</v>
      </c>
      <c r="K3393" s="4">
        <v>9539.6</v>
      </c>
      <c r="L3393" s="6">
        <v>200.98</v>
      </c>
    </row>
    <row r="3394" spans="1:12" x14ac:dyDescent="0.25">
      <c r="A3394" s="1">
        <v>3393</v>
      </c>
      <c r="B3394" s="4">
        <v>24193</v>
      </c>
      <c r="C3394" s="5">
        <v>39886</v>
      </c>
      <c r="D3394" s="3" t="s">
        <v>86</v>
      </c>
      <c r="E3394" s="1" t="s">
        <v>818</v>
      </c>
      <c r="F3394" s="1" t="s">
        <v>19</v>
      </c>
      <c r="G3394" s="2" t="s">
        <v>3</v>
      </c>
      <c r="H3394" s="3" t="s">
        <v>84</v>
      </c>
      <c r="I3394" s="3" t="s">
        <v>85</v>
      </c>
      <c r="J3394" s="3" t="s">
        <v>66</v>
      </c>
      <c r="K3394" s="4">
        <v>109.86</v>
      </c>
      <c r="L3394" s="6">
        <v>4.28</v>
      </c>
    </row>
    <row r="3395" spans="1:12" x14ac:dyDescent="0.25">
      <c r="A3395" s="1">
        <v>3394</v>
      </c>
      <c r="B3395" s="4">
        <v>24193</v>
      </c>
      <c r="C3395" s="5">
        <v>39886</v>
      </c>
      <c r="D3395" s="3" t="s">
        <v>86</v>
      </c>
      <c r="E3395" s="1" t="s">
        <v>818</v>
      </c>
      <c r="F3395" s="1" t="s">
        <v>19</v>
      </c>
      <c r="G3395" s="2" t="s">
        <v>3</v>
      </c>
      <c r="H3395" s="3" t="s">
        <v>84</v>
      </c>
      <c r="I3395" s="3" t="s">
        <v>92</v>
      </c>
      <c r="J3395" s="3" t="s">
        <v>61</v>
      </c>
      <c r="K3395" s="4">
        <v>1426.5125</v>
      </c>
      <c r="L3395" s="6">
        <v>85.99</v>
      </c>
    </row>
    <row r="3396" spans="1:12" x14ac:dyDescent="0.25">
      <c r="A3396" s="1">
        <v>3395</v>
      </c>
      <c r="B3396" s="4">
        <v>24196</v>
      </c>
      <c r="C3396" s="5">
        <v>40389</v>
      </c>
      <c r="D3396" s="3" t="s">
        <v>89</v>
      </c>
      <c r="E3396" s="1" t="s">
        <v>1001</v>
      </c>
      <c r="F3396" s="1" t="s">
        <v>13</v>
      </c>
      <c r="G3396" s="2" t="s">
        <v>6</v>
      </c>
      <c r="H3396" s="3" t="s">
        <v>97</v>
      </c>
      <c r="I3396" s="3" t="s">
        <v>85</v>
      </c>
      <c r="J3396" s="3" t="s">
        <v>66</v>
      </c>
      <c r="K3396" s="4">
        <v>13.44</v>
      </c>
      <c r="L3396" s="6">
        <v>4.28</v>
      </c>
    </row>
    <row r="3397" spans="1:12" x14ac:dyDescent="0.25">
      <c r="A3397" s="1">
        <v>3396</v>
      </c>
      <c r="B3397" s="4">
        <v>24196</v>
      </c>
      <c r="C3397" s="5">
        <v>40389</v>
      </c>
      <c r="D3397" s="3" t="s">
        <v>89</v>
      </c>
      <c r="E3397" s="1" t="s">
        <v>1001</v>
      </c>
      <c r="F3397" s="1" t="s">
        <v>13</v>
      </c>
      <c r="G3397" s="2" t="s">
        <v>6</v>
      </c>
      <c r="H3397" s="3" t="s">
        <v>97</v>
      </c>
      <c r="I3397" s="3" t="s">
        <v>85</v>
      </c>
      <c r="J3397" s="3" t="s">
        <v>57</v>
      </c>
      <c r="K3397" s="4">
        <v>1049.49</v>
      </c>
      <c r="L3397" s="6">
        <v>43.57</v>
      </c>
    </row>
    <row r="3398" spans="1:12" x14ac:dyDescent="0.25">
      <c r="A3398" s="1">
        <v>3397</v>
      </c>
      <c r="B3398" s="4">
        <v>24197</v>
      </c>
      <c r="C3398" s="5">
        <v>40212</v>
      </c>
      <c r="D3398" s="3" t="s">
        <v>82</v>
      </c>
      <c r="E3398" s="1" t="s">
        <v>883</v>
      </c>
      <c r="F3398" s="1" t="s">
        <v>13</v>
      </c>
      <c r="G3398" s="2" t="s">
        <v>6</v>
      </c>
      <c r="H3398" s="3" t="s">
        <v>84</v>
      </c>
      <c r="I3398" s="3" t="s">
        <v>92</v>
      </c>
      <c r="J3398" s="3" t="s">
        <v>62</v>
      </c>
      <c r="K3398" s="4">
        <v>2354.4</v>
      </c>
      <c r="L3398" s="6">
        <v>55.94</v>
      </c>
    </row>
    <row r="3399" spans="1:12" x14ac:dyDescent="0.25">
      <c r="A3399" s="1">
        <v>3398</v>
      </c>
      <c r="B3399" s="4">
        <v>24197</v>
      </c>
      <c r="C3399" s="5">
        <v>40212</v>
      </c>
      <c r="D3399" s="3" t="s">
        <v>82</v>
      </c>
      <c r="E3399" s="1" t="s">
        <v>883</v>
      </c>
      <c r="F3399" s="1" t="s">
        <v>13</v>
      </c>
      <c r="G3399" s="2" t="s">
        <v>6</v>
      </c>
      <c r="H3399" s="3" t="s">
        <v>84</v>
      </c>
      <c r="I3399" s="3" t="s">
        <v>92</v>
      </c>
      <c r="J3399" s="3" t="s">
        <v>61</v>
      </c>
      <c r="K3399" s="4">
        <v>35.640499999999996</v>
      </c>
      <c r="L3399" s="6">
        <v>20.99</v>
      </c>
    </row>
    <row r="3400" spans="1:12" x14ac:dyDescent="0.25">
      <c r="A3400" s="1">
        <v>3399</v>
      </c>
      <c r="B3400" s="4">
        <v>24199</v>
      </c>
      <c r="C3400" s="5">
        <v>39980</v>
      </c>
      <c r="D3400" s="3" t="s">
        <v>95</v>
      </c>
      <c r="E3400" s="1" t="s">
        <v>484</v>
      </c>
      <c r="F3400" s="1" t="s">
        <v>26</v>
      </c>
      <c r="G3400" s="2" t="s">
        <v>3</v>
      </c>
      <c r="H3400" s="3" t="s">
        <v>84</v>
      </c>
      <c r="I3400" s="3" t="s">
        <v>92</v>
      </c>
      <c r="J3400" s="3" t="s">
        <v>62</v>
      </c>
      <c r="K3400" s="4">
        <v>706.53</v>
      </c>
      <c r="L3400" s="6">
        <v>40.479999999999997</v>
      </c>
    </row>
    <row r="3401" spans="1:12" x14ac:dyDescent="0.25">
      <c r="A3401" s="1">
        <v>3400</v>
      </c>
      <c r="B3401" s="4">
        <v>24227</v>
      </c>
      <c r="C3401" s="5">
        <v>40406</v>
      </c>
      <c r="D3401" s="3" t="s">
        <v>4</v>
      </c>
      <c r="E3401" s="1" t="s">
        <v>684</v>
      </c>
      <c r="F3401" s="1" t="s">
        <v>44</v>
      </c>
      <c r="G3401" s="2" t="s">
        <v>3</v>
      </c>
      <c r="H3401" s="3" t="s">
        <v>100</v>
      </c>
      <c r="I3401" s="3" t="s">
        <v>92</v>
      </c>
      <c r="J3401" s="3" t="s">
        <v>61</v>
      </c>
      <c r="K3401" s="4">
        <v>1840.8534999999999</v>
      </c>
      <c r="L3401" s="6">
        <v>85.99</v>
      </c>
    </row>
    <row r="3402" spans="1:12" x14ac:dyDescent="0.25">
      <c r="A3402" s="1">
        <v>3401</v>
      </c>
      <c r="B3402" s="4">
        <v>24228</v>
      </c>
      <c r="C3402" s="5">
        <v>40011</v>
      </c>
      <c r="D3402" s="3" t="s">
        <v>82</v>
      </c>
      <c r="E3402" s="1" t="s">
        <v>110</v>
      </c>
      <c r="F3402" s="1" t="s">
        <v>15</v>
      </c>
      <c r="G3402" s="2" t="s">
        <v>1</v>
      </c>
      <c r="H3402" s="3" t="s">
        <v>97</v>
      </c>
      <c r="I3402" s="3" t="s">
        <v>85</v>
      </c>
      <c r="J3402" s="3" t="s">
        <v>64</v>
      </c>
      <c r="K3402" s="4">
        <v>60.64</v>
      </c>
      <c r="L3402" s="6">
        <v>1.86</v>
      </c>
    </row>
    <row r="3403" spans="1:12" x14ac:dyDescent="0.25">
      <c r="A3403" s="1">
        <v>3402</v>
      </c>
      <c r="B3403" s="4">
        <v>24231</v>
      </c>
      <c r="C3403" s="5">
        <v>40032</v>
      </c>
      <c r="D3403" s="3" t="s">
        <v>86</v>
      </c>
      <c r="E3403" s="1" t="s">
        <v>959</v>
      </c>
      <c r="F3403" s="1" t="s">
        <v>15</v>
      </c>
      <c r="G3403" s="2" t="s">
        <v>1</v>
      </c>
      <c r="H3403" s="3" t="s">
        <v>84</v>
      </c>
      <c r="I3403" s="3" t="s">
        <v>92</v>
      </c>
      <c r="J3403" s="3" t="s">
        <v>61</v>
      </c>
      <c r="K3403" s="4">
        <v>2482.0340000000001</v>
      </c>
      <c r="L3403" s="6">
        <v>65.989999999999995</v>
      </c>
    </row>
    <row r="3404" spans="1:12" x14ac:dyDescent="0.25">
      <c r="A3404" s="1">
        <v>3403</v>
      </c>
      <c r="B3404" s="4">
        <v>24260</v>
      </c>
      <c r="C3404" s="5">
        <v>40454</v>
      </c>
      <c r="D3404" s="3" t="s">
        <v>86</v>
      </c>
      <c r="E3404" s="1" t="s">
        <v>264</v>
      </c>
      <c r="F3404" s="1" t="s">
        <v>32</v>
      </c>
      <c r="G3404" s="2" t="s">
        <v>2</v>
      </c>
      <c r="H3404" s="3" t="s">
        <v>88</v>
      </c>
      <c r="I3404" s="3" t="s">
        <v>85</v>
      </c>
      <c r="J3404" s="3" t="s">
        <v>70</v>
      </c>
      <c r="K3404" s="4">
        <v>548.29999999999995</v>
      </c>
      <c r="L3404" s="6">
        <v>11.97</v>
      </c>
    </row>
    <row r="3405" spans="1:12" x14ac:dyDescent="0.25">
      <c r="A3405" s="1">
        <v>3404</v>
      </c>
      <c r="B3405" s="4">
        <v>24261</v>
      </c>
      <c r="C3405" s="5">
        <v>41169</v>
      </c>
      <c r="D3405" s="3" t="s">
        <v>95</v>
      </c>
      <c r="E3405" s="1" t="s">
        <v>873</v>
      </c>
      <c r="F3405" s="1" t="s">
        <v>32</v>
      </c>
      <c r="G3405" s="2" t="s">
        <v>2</v>
      </c>
      <c r="H3405" s="3" t="s">
        <v>84</v>
      </c>
      <c r="I3405" s="3" t="s">
        <v>85</v>
      </c>
      <c r="J3405" s="3" t="s">
        <v>57</v>
      </c>
      <c r="K3405" s="4">
        <v>946.27</v>
      </c>
      <c r="L3405" s="6">
        <v>33.29</v>
      </c>
    </row>
    <row r="3406" spans="1:12" x14ac:dyDescent="0.25">
      <c r="A3406" s="1">
        <v>3405</v>
      </c>
      <c r="B3406" s="4">
        <v>24263</v>
      </c>
      <c r="C3406" s="5">
        <v>41167</v>
      </c>
      <c r="D3406" s="3" t="s">
        <v>82</v>
      </c>
      <c r="E3406" s="1" t="s">
        <v>1094</v>
      </c>
      <c r="F3406" s="1" t="s">
        <v>35</v>
      </c>
      <c r="G3406" s="2" t="s">
        <v>1</v>
      </c>
      <c r="H3406" s="3" t="s">
        <v>100</v>
      </c>
      <c r="I3406" s="3" t="s">
        <v>91</v>
      </c>
      <c r="J3406" s="3" t="s">
        <v>72</v>
      </c>
      <c r="K3406" s="4">
        <v>512.80999999999995</v>
      </c>
      <c r="L3406" s="6">
        <v>33.94</v>
      </c>
    </row>
    <row r="3407" spans="1:12" x14ac:dyDescent="0.25">
      <c r="A3407" s="1">
        <v>3406</v>
      </c>
      <c r="B3407" s="4">
        <v>24294</v>
      </c>
      <c r="C3407" s="5">
        <v>40027</v>
      </c>
      <c r="D3407" s="3" t="s">
        <v>86</v>
      </c>
      <c r="E3407" s="1" t="s">
        <v>915</v>
      </c>
      <c r="F3407" s="1" t="s">
        <v>8</v>
      </c>
      <c r="G3407" s="2" t="s">
        <v>6</v>
      </c>
      <c r="H3407" s="3" t="s">
        <v>97</v>
      </c>
      <c r="I3407" s="3" t="s">
        <v>92</v>
      </c>
      <c r="J3407" s="3" t="s">
        <v>67</v>
      </c>
      <c r="K3407" s="4">
        <v>4865.72</v>
      </c>
      <c r="L3407" s="6">
        <v>200.97</v>
      </c>
    </row>
    <row r="3408" spans="1:12" x14ac:dyDescent="0.25">
      <c r="A3408" s="1">
        <v>3407</v>
      </c>
      <c r="B3408" s="4">
        <v>24326</v>
      </c>
      <c r="C3408" s="5">
        <v>40815</v>
      </c>
      <c r="D3408" s="3" t="s">
        <v>95</v>
      </c>
      <c r="E3408" s="1" t="s">
        <v>684</v>
      </c>
      <c r="F3408" s="1" t="s">
        <v>37</v>
      </c>
      <c r="G3408" s="2" t="s">
        <v>3</v>
      </c>
      <c r="H3408" s="3" t="s">
        <v>88</v>
      </c>
      <c r="I3408" s="3" t="s">
        <v>85</v>
      </c>
      <c r="J3408" s="3" t="s">
        <v>70</v>
      </c>
      <c r="K3408" s="4">
        <v>1596.86</v>
      </c>
      <c r="L3408" s="6">
        <v>44.01</v>
      </c>
    </row>
    <row r="3409" spans="1:12" x14ac:dyDescent="0.25">
      <c r="A3409" s="1">
        <v>3408</v>
      </c>
      <c r="B3409" s="4">
        <v>24326</v>
      </c>
      <c r="C3409" s="5">
        <v>40815</v>
      </c>
      <c r="D3409" s="3" t="s">
        <v>95</v>
      </c>
      <c r="E3409" s="1" t="s">
        <v>684</v>
      </c>
      <c r="F3409" s="1" t="s">
        <v>37</v>
      </c>
      <c r="G3409" s="2" t="s">
        <v>3</v>
      </c>
      <c r="H3409" s="3" t="s">
        <v>88</v>
      </c>
      <c r="I3409" s="3" t="s">
        <v>85</v>
      </c>
      <c r="J3409" s="3" t="s">
        <v>63</v>
      </c>
      <c r="K3409" s="4">
        <v>78.36</v>
      </c>
      <c r="L3409" s="6">
        <v>6.68</v>
      </c>
    </row>
    <row r="3410" spans="1:12" x14ac:dyDescent="0.25">
      <c r="A3410" s="1">
        <v>3409</v>
      </c>
      <c r="B3410" s="4">
        <v>24352</v>
      </c>
      <c r="C3410" s="5">
        <v>40308</v>
      </c>
      <c r="D3410" s="3" t="s">
        <v>95</v>
      </c>
      <c r="E3410" s="1" t="s">
        <v>974</v>
      </c>
      <c r="F3410" s="1" t="s">
        <v>19</v>
      </c>
      <c r="G3410" s="2" t="s">
        <v>3</v>
      </c>
      <c r="H3410" s="3" t="s">
        <v>84</v>
      </c>
      <c r="I3410" s="3" t="s">
        <v>85</v>
      </c>
      <c r="J3410" s="3" t="s">
        <v>66</v>
      </c>
      <c r="K3410" s="4">
        <v>103.48</v>
      </c>
      <c r="L3410" s="6">
        <v>3.14</v>
      </c>
    </row>
    <row r="3411" spans="1:12" x14ac:dyDescent="0.25">
      <c r="A3411" s="1">
        <v>3410</v>
      </c>
      <c r="B3411" s="4">
        <v>24356</v>
      </c>
      <c r="C3411" s="5">
        <v>40309</v>
      </c>
      <c r="D3411" s="3" t="s">
        <v>4</v>
      </c>
      <c r="E3411" s="1" t="s">
        <v>1048</v>
      </c>
      <c r="F3411" s="1" t="s">
        <v>31</v>
      </c>
      <c r="G3411" s="2" t="s">
        <v>1</v>
      </c>
      <c r="H3411" s="3" t="s">
        <v>100</v>
      </c>
      <c r="I3411" s="3" t="s">
        <v>91</v>
      </c>
      <c r="J3411" s="3" t="s">
        <v>72</v>
      </c>
      <c r="K3411" s="4">
        <v>12612.66</v>
      </c>
      <c r="L3411" s="6">
        <v>350.99</v>
      </c>
    </row>
    <row r="3412" spans="1:12" x14ac:dyDescent="0.25">
      <c r="A3412" s="1">
        <v>3411</v>
      </c>
      <c r="B3412" s="4">
        <v>24358</v>
      </c>
      <c r="C3412" s="5">
        <v>39949</v>
      </c>
      <c r="D3412" s="3" t="s">
        <v>95</v>
      </c>
      <c r="E3412" s="1" t="s">
        <v>436</v>
      </c>
      <c r="F3412" s="1" t="s">
        <v>41</v>
      </c>
      <c r="G3412" s="2" t="s">
        <v>6</v>
      </c>
      <c r="H3412" s="3" t="s">
        <v>84</v>
      </c>
      <c r="I3412" s="3" t="s">
        <v>85</v>
      </c>
      <c r="J3412" s="3" t="s">
        <v>57</v>
      </c>
      <c r="K3412" s="4">
        <v>7333.45</v>
      </c>
      <c r="L3412" s="6">
        <v>279.48</v>
      </c>
    </row>
    <row r="3413" spans="1:12" x14ac:dyDescent="0.25">
      <c r="A3413" s="1">
        <v>3412</v>
      </c>
      <c r="B3413" s="4">
        <v>24384</v>
      </c>
      <c r="C3413" s="5">
        <v>40628</v>
      </c>
      <c r="D3413" s="3" t="s">
        <v>4</v>
      </c>
      <c r="E3413" s="1" t="s">
        <v>251</v>
      </c>
      <c r="F3413" s="1" t="s">
        <v>23</v>
      </c>
      <c r="G3413" s="2" t="s">
        <v>3</v>
      </c>
      <c r="H3413" s="3" t="s">
        <v>100</v>
      </c>
      <c r="I3413" s="3" t="s">
        <v>85</v>
      </c>
      <c r="J3413" s="3" t="s">
        <v>65</v>
      </c>
      <c r="K3413" s="4">
        <v>205.11</v>
      </c>
      <c r="L3413" s="6">
        <v>4.91</v>
      </c>
    </row>
    <row r="3414" spans="1:12" x14ac:dyDescent="0.25">
      <c r="A3414" s="1">
        <v>3413</v>
      </c>
      <c r="B3414" s="4">
        <v>24384</v>
      </c>
      <c r="C3414" s="5">
        <v>40628</v>
      </c>
      <c r="D3414" s="3" t="s">
        <v>4</v>
      </c>
      <c r="E3414" s="1" t="s">
        <v>251</v>
      </c>
      <c r="F3414" s="1" t="s">
        <v>23</v>
      </c>
      <c r="G3414" s="2" t="s">
        <v>3</v>
      </c>
      <c r="H3414" s="3" t="s">
        <v>100</v>
      </c>
      <c r="I3414" s="3" t="s">
        <v>85</v>
      </c>
      <c r="J3414" s="3" t="s">
        <v>57</v>
      </c>
      <c r="K3414" s="4">
        <v>3981.23</v>
      </c>
      <c r="L3414" s="6">
        <v>193.17</v>
      </c>
    </row>
    <row r="3415" spans="1:12" x14ac:dyDescent="0.25">
      <c r="A3415" s="1">
        <v>3414</v>
      </c>
      <c r="B3415" s="4">
        <v>24384</v>
      </c>
      <c r="C3415" s="5">
        <v>40628</v>
      </c>
      <c r="D3415" s="3" t="s">
        <v>4</v>
      </c>
      <c r="E3415" s="1" t="s">
        <v>251</v>
      </c>
      <c r="F3415" s="1" t="s">
        <v>23</v>
      </c>
      <c r="G3415" s="2" t="s">
        <v>3</v>
      </c>
      <c r="H3415" s="3" t="s">
        <v>100</v>
      </c>
      <c r="I3415" s="3" t="s">
        <v>92</v>
      </c>
      <c r="J3415" s="3" t="s">
        <v>61</v>
      </c>
      <c r="K3415" s="4">
        <v>2458.2425000000003</v>
      </c>
      <c r="L3415" s="6">
        <v>155.99</v>
      </c>
    </row>
    <row r="3416" spans="1:12" x14ac:dyDescent="0.25">
      <c r="A3416" s="1">
        <v>3415</v>
      </c>
      <c r="B3416" s="4">
        <v>24386</v>
      </c>
      <c r="C3416" s="5">
        <v>41086</v>
      </c>
      <c r="D3416" s="3" t="s">
        <v>89</v>
      </c>
      <c r="E3416" s="1" t="s">
        <v>1122</v>
      </c>
      <c r="F3416" s="1" t="s">
        <v>41</v>
      </c>
      <c r="G3416" s="2" t="s">
        <v>6</v>
      </c>
      <c r="H3416" s="3" t="s">
        <v>88</v>
      </c>
      <c r="I3416" s="3" t="s">
        <v>92</v>
      </c>
      <c r="J3416" s="3" t="s">
        <v>62</v>
      </c>
      <c r="K3416" s="4">
        <v>4256.51</v>
      </c>
      <c r="L3416" s="6">
        <v>100.97</v>
      </c>
    </row>
    <row r="3417" spans="1:12" x14ac:dyDescent="0.25">
      <c r="A3417" s="1">
        <v>3416</v>
      </c>
      <c r="B3417" s="4">
        <v>24386</v>
      </c>
      <c r="C3417" s="5">
        <v>41086</v>
      </c>
      <c r="D3417" s="3" t="s">
        <v>89</v>
      </c>
      <c r="E3417" s="1" t="s">
        <v>1122</v>
      </c>
      <c r="F3417" s="1" t="s">
        <v>41</v>
      </c>
      <c r="G3417" s="2" t="s">
        <v>6</v>
      </c>
      <c r="H3417" s="3" t="s">
        <v>88</v>
      </c>
      <c r="I3417" s="3" t="s">
        <v>92</v>
      </c>
      <c r="J3417" s="3" t="s">
        <v>62</v>
      </c>
      <c r="K3417" s="4">
        <v>503.08</v>
      </c>
      <c r="L3417" s="6">
        <v>40.98</v>
      </c>
    </row>
    <row r="3418" spans="1:12" x14ac:dyDescent="0.25">
      <c r="A3418" s="1">
        <v>3417</v>
      </c>
      <c r="B3418" s="4">
        <v>24386</v>
      </c>
      <c r="C3418" s="5">
        <v>41086</v>
      </c>
      <c r="D3418" s="3" t="s">
        <v>89</v>
      </c>
      <c r="E3418" s="1" t="s">
        <v>1122</v>
      </c>
      <c r="F3418" s="1" t="s">
        <v>41</v>
      </c>
      <c r="G3418" s="2" t="s">
        <v>6</v>
      </c>
      <c r="H3418" s="3" t="s">
        <v>88</v>
      </c>
      <c r="I3418" s="3" t="s">
        <v>85</v>
      </c>
      <c r="J3418" s="3" t="s">
        <v>65</v>
      </c>
      <c r="K3418" s="4">
        <v>76.94</v>
      </c>
      <c r="L3418" s="6">
        <v>4.13</v>
      </c>
    </row>
    <row r="3419" spans="1:12" x14ac:dyDescent="0.25">
      <c r="A3419" s="1">
        <v>3418</v>
      </c>
      <c r="B3419" s="4">
        <v>24387</v>
      </c>
      <c r="C3419" s="5">
        <v>40765</v>
      </c>
      <c r="D3419" s="3" t="s">
        <v>95</v>
      </c>
      <c r="E3419" s="1" t="s">
        <v>1028</v>
      </c>
      <c r="F3419" s="1" t="s">
        <v>8</v>
      </c>
      <c r="G3419" s="2" t="s">
        <v>6</v>
      </c>
      <c r="H3419" s="3" t="s">
        <v>84</v>
      </c>
      <c r="I3419" s="3" t="s">
        <v>91</v>
      </c>
      <c r="J3419" s="3" t="s">
        <v>59</v>
      </c>
      <c r="K3419" s="4">
        <v>1003.31</v>
      </c>
      <c r="L3419" s="6">
        <v>40.97</v>
      </c>
    </row>
    <row r="3420" spans="1:12" x14ac:dyDescent="0.25">
      <c r="A3420" s="1">
        <v>3419</v>
      </c>
      <c r="B3420" s="4">
        <v>24387</v>
      </c>
      <c r="C3420" s="5">
        <v>40765</v>
      </c>
      <c r="D3420" s="3" t="s">
        <v>95</v>
      </c>
      <c r="E3420" s="1" t="s">
        <v>1028</v>
      </c>
      <c r="F3420" s="1" t="s">
        <v>8</v>
      </c>
      <c r="G3420" s="2" t="s">
        <v>6</v>
      </c>
      <c r="H3420" s="3" t="s">
        <v>84</v>
      </c>
      <c r="I3420" s="3" t="s">
        <v>91</v>
      </c>
      <c r="J3420" s="3" t="s">
        <v>60</v>
      </c>
      <c r="K3420" s="4">
        <v>6048.18</v>
      </c>
      <c r="L3420" s="6">
        <v>349.45</v>
      </c>
    </row>
    <row r="3421" spans="1:12" x14ac:dyDescent="0.25">
      <c r="A3421" s="1">
        <v>3420</v>
      </c>
      <c r="B3421" s="4">
        <v>24388</v>
      </c>
      <c r="C3421" s="5">
        <v>40569</v>
      </c>
      <c r="D3421" s="3" t="s">
        <v>95</v>
      </c>
      <c r="E3421" s="1" t="s">
        <v>452</v>
      </c>
      <c r="F3421" s="1" t="s">
        <v>38</v>
      </c>
      <c r="G3421" s="2" t="s">
        <v>6</v>
      </c>
      <c r="H3421" s="3" t="s">
        <v>88</v>
      </c>
      <c r="I3421" s="3" t="s">
        <v>92</v>
      </c>
      <c r="J3421" s="3" t="s">
        <v>73</v>
      </c>
      <c r="K3421" s="4">
        <v>8662.34</v>
      </c>
      <c r="L3421" s="6">
        <v>549.99</v>
      </c>
    </row>
    <row r="3422" spans="1:12" x14ac:dyDescent="0.25">
      <c r="A3422" s="1">
        <v>3421</v>
      </c>
      <c r="B3422" s="4">
        <v>24390</v>
      </c>
      <c r="C3422" s="5">
        <v>41066</v>
      </c>
      <c r="D3422" s="3" t="s">
        <v>82</v>
      </c>
      <c r="E3422" s="1" t="s">
        <v>183</v>
      </c>
      <c r="F3422" s="1" t="s">
        <v>34</v>
      </c>
      <c r="G3422" s="2" t="s">
        <v>1</v>
      </c>
      <c r="H3422" s="3" t="s">
        <v>97</v>
      </c>
      <c r="I3422" s="3" t="s">
        <v>92</v>
      </c>
      <c r="J3422" s="3" t="s">
        <v>62</v>
      </c>
      <c r="K3422" s="4">
        <v>107.67</v>
      </c>
      <c r="L3422" s="6">
        <v>50.98</v>
      </c>
    </row>
    <row r="3423" spans="1:12" x14ac:dyDescent="0.25">
      <c r="A3423" s="1">
        <v>3422</v>
      </c>
      <c r="B3423" s="4">
        <v>24391</v>
      </c>
      <c r="C3423" s="5">
        <v>39878</v>
      </c>
      <c r="D3423" s="3" t="s">
        <v>82</v>
      </c>
      <c r="E3423" s="1" t="s">
        <v>829</v>
      </c>
      <c r="F3423" s="1" t="s">
        <v>9</v>
      </c>
      <c r="G3423" s="2" t="s">
        <v>2</v>
      </c>
      <c r="H3423" s="3" t="s">
        <v>100</v>
      </c>
      <c r="I3423" s="3" t="s">
        <v>91</v>
      </c>
      <c r="J3423" s="3" t="s">
        <v>60</v>
      </c>
      <c r="K3423" s="4">
        <v>3236.8</v>
      </c>
      <c r="L3423" s="6">
        <v>230.98</v>
      </c>
    </row>
    <row r="3424" spans="1:12" x14ac:dyDescent="0.25">
      <c r="A3424" s="1">
        <v>3423</v>
      </c>
      <c r="B3424" s="4">
        <v>24422</v>
      </c>
      <c r="C3424" s="5">
        <v>40906</v>
      </c>
      <c r="D3424" s="3" t="s">
        <v>95</v>
      </c>
      <c r="E3424" s="1" t="s">
        <v>123</v>
      </c>
      <c r="F3424" s="1" t="s">
        <v>21</v>
      </c>
      <c r="G3424" s="2" t="s">
        <v>1</v>
      </c>
      <c r="H3424" s="3" t="s">
        <v>88</v>
      </c>
      <c r="I3424" s="3" t="s">
        <v>91</v>
      </c>
      <c r="J3424" s="3" t="s">
        <v>60</v>
      </c>
      <c r="K3424" s="4">
        <v>3467.28</v>
      </c>
      <c r="L3424" s="6">
        <v>179.29</v>
      </c>
    </row>
    <row r="3425" spans="1:12" x14ac:dyDescent="0.25">
      <c r="A3425" s="1">
        <v>3424</v>
      </c>
      <c r="B3425" s="4">
        <v>24448</v>
      </c>
      <c r="C3425" s="5">
        <v>40945</v>
      </c>
      <c r="D3425" s="3" t="s">
        <v>89</v>
      </c>
      <c r="E3425" s="1" t="s">
        <v>394</v>
      </c>
      <c r="F3425" s="1" t="s">
        <v>23</v>
      </c>
      <c r="G3425" s="2" t="s">
        <v>3</v>
      </c>
      <c r="H3425" s="3" t="s">
        <v>88</v>
      </c>
      <c r="I3425" s="3" t="s">
        <v>91</v>
      </c>
      <c r="J3425" s="3" t="s">
        <v>60</v>
      </c>
      <c r="K3425" s="4">
        <v>11036.16</v>
      </c>
      <c r="L3425" s="6">
        <v>236.97</v>
      </c>
    </row>
    <row r="3426" spans="1:12" x14ac:dyDescent="0.25">
      <c r="A3426" s="1">
        <v>3425</v>
      </c>
      <c r="B3426" s="4">
        <v>24450</v>
      </c>
      <c r="C3426" s="5">
        <v>41099</v>
      </c>
      <c r="D3426" s="3" t="s">
        <v>95</v>
      </c>
      <c r="E3426" s="1" t="s">
        <v>928</v>
      </c>
      <c r="F3426" s="1" t="s">
        <v>30</v>
      </c>
      <c r="G3426" s="2" t="s">
        <v>6</v>
      </c>
      <c r="H3426" s="3" t="s">
        <v>100</v>
      </c>
      <c r="I3426" s="3" t="s">
        <v>85</v>
      </c>
      <c r="J3426" s="3" t="s">
        <v>70</v>
      </c>
      <c r="K3426" s="4">
        <v>443.35</v>
      </c>
      <c r="L3426" s="6">
        <v>11.97</v>
      </c>
    </row>
    <row r="3427" spans="1:12" x14ac:dyDescent="0.25">
      <c r="A3427" s="1">
        <v>3426</v>
      </c>
      <c r="B3427" s="4">
        <v>24450</v>
      </c>
      <c r="C3427" s="5">
        <v>41099</v>
      </c>
      <c r="D3427" s="3" t="s">
        <v>95</v>
      </c>
      <c r="E3427" s="1" t="s">
        <v>928</v>
      </c>
      <c r="F3427" s="1" t="s">
        <v>30</v>
      </c>
      <c r="G3427" s="2" t="s">
        <v>6</v>
      </c>
      <c r="H3427" s="3" t="s">
        <v>100</v>
      </c>
      <c r="I3427" s="3" t="s">
        <v>91</v>
      </c>
      <c r="J3427" s="3" t="s">
        <v>59</v>
      </c>
      <c r="K3427" s="4">
        <v>392.61</v>
      </c>
      <c r="L3427" s="6">
        <v>9.48</v>
      </c>
    </row>
    <row r="3428" spans="1:12" x14ac:dyDescent="0.25">
      <c r="A3428" s="1">
        <v>3427</v>
      </c>
      <c r="B3428" s="4">
        <v>24450</v>
      </c>
      <c r="C3428" s="5">
        <v>41099</v>
      </c>
      <c r="D3428" s="3" t="s">
        <v>95</v>
      </c>
      <c r="E3428" s="1" t="s">
        <v>928</v>
      </c>
      <c r="F3428" s="1" t="s">
        <v>30</v>
      </c>
      <c r="G3428" s="2" t="s">
        <v>6</v>
      </c>
      <c r="H3428" s="3" t="s">
        <v>100</v>
      </c>
      <c r="I3428" s="3" t="s">
        <v>85</v>
      </c>
      <c r="J3428" s="3" t="s">
        <v>66</v>
      </c>
      <c r="K3428" s="4">
        <v>30.85</v>
      </c>
      <c r="L3428" s="6">
        <v>5.98</v>
      </c>
    </row>
    <row r="3429" spans="1:12" x14ac:dyDescent="0.25">
      <c r="A3429" s="1">
        <v>3428</v>
      </c>
      <c r="B3429" s="4">
        <v>24451</v>
      </c>
      <c r="C3429" s="5">
        <v>41246</v>
      </c>
      <c r="D3429" s="3" t="s">
        <v>95</v>
      </c>
      <c r="E3429" s="1" t="s">
        <v>1120</v>
      </c>
      <c r="F3429" s="1" t="s">
        <v>38</v>
      </c>
      <c r="G3429" s="2" t="s">
        <v>6</v>
      </c>
      <c r="H3429" s="3" t="s">
        <v>88</v>
      </c>
      <c r="I3429" s="3" t="s">
        <v>85</v>
      </c>
      <c r="J3429" s="3" t="s">
        <v>70</v>
      </c>
      <c r="K3429" s="4">
        <v>1689.97</v>
      </c>
      <c r="L3429" s="6">
        <v>68.81</v>
      </c>
    </row>
    <row r="3430" spans="1:12" x14ac:dyDescent="0.25">
      <c r="A3430" s="1">
        <v>3429</v>
      </c>
      <c r="B3430" s="4">
        <v>24452</v>
      </c>
      <c r="C3430" s="5">
        <v>39940</v>
      </c>
      <c r="D3430" s="3" t="s">
        <v>89</v>
      </c>
      <c r="E3430" s="1" t="s">
        <v>993</v>
      </c>
      <c r="F3430" s="1" t="s">
        <v>23</v>
      </c>
      <c r="G3430" s="2" t="s">
        <v>3</v>
      </c>
      <c r="H3430" s="3" t="s">
        <v>100</v>
      </c>
      <c r="I3430" s="3" t="s">
        <v>85</v>
      </c>
      <c r="J3430" s="3" t="s">
        <v>66</v>
      </c>
      <c r="K3430" s="4">
        <v>115.71</v>
      </c>
      <c r="L3430" s="6">
        <v>6.48</v>
      </c>
    </row>
    <row r="3431" spans="1:12" x14ac:dyDescent="0.25">
      <c r="A3431" s="1">
        <v>3430</v>
      </c>
      <c r="B3431" s="4">
        <v>24455</v>
      </c>
      <c r="C3431" s="5">
        <v>40153</v>
      </c>
      <c r="D3431" s="3" t="s">
        <v>86</v>
      </c>
      <c r="E3431" s="1" t="s">
        <v>1063</v>
      </c>
      <c r="F3431" s="1" t="s">
        <v>35</v>
      </c>
      <c r="G3431" s="2" t="s">
        <v>1</v>
      </c>
      <c r="H3431" s="3" t="s">
        <v>97</v>
      </c>
      <c r="I3431" s="3" t="s">
        <v>92</v>
      </c>
      <c r="J3431" s="3" t="s">
        <v>62</v>
      </c>
      <c r="K3431" s="4">
        <v>169.11</v>
      </c>
      <c r="L3431" s="6">
        <v>20.89</v>
      </c>
    </row>
    <row r="3432" spans="1:12" x14ac:dyDescent="0.25">
      <c r="A3432" s="1">
        <v>3431</v>
      </c>
      <c r="B3432" s="4">
        <v>24455</v>
      </c>
      <c r="C3432" s="5">
        <v>40153</v>
      </c>
      <c r="D3432" s="3" t="s">
        <v>86</v>
      </c>
      <c r="E3432" s="1" t="s">
        <v>1063</v>
      </c>
      <c r="F3432" s="1" t="s">
        <v>35</v>
      </c>
      <c r="G3432" s="2" t="s">
        <v>1</v>
      </c>
      <c r="H3432" s="3" t="s">
        <v>97</v>
      </c>
      <c r="I3432" s="3" t="s">
        <v>85</v>
      </c>
      <c r="J3432" s="3" t="s">
        <v>63</v>
      </c>
      <c r="K3432" s="4">
        <v>152.59</v>
      </c>
      <c r="L3432" s="6">
        <v>3.98</v>
      </c>
    </row>
    <row r="3433" spans="1:12" x14ac:dyDescent="0.25">
      <c r="A3433" s="1">
        <v>3432</v>
      </c>
      <c r="B3433" s="4">
        <v>24486</v>
      </c>
      <c r="C3433" s="5">
        <v>40655</v>
      </c>
      <c r="D3433" s="3" t="s">
        <v>4</v>
      </c>
      <c r="E3433" s="1" t="s">
        <v>228</v>
      </c>
      <c r="F3433" s="1" t="s">
        <v>18</v>
      </c>
      <c r="G3433" s="2" t="s">
        <v>6</v>
      </c>
      <c r="H3433" s="3" t="s">
        <v>100</v>
      </c>
      <c r="I3433" s="3" t="s">
        <v>92</v>
      </c>
      <c r="J3433" s="3" t="s">
        <v>62</v>
      </c>
      <c r="K3433" s="4">
        <v>28.11</v>
      </c>
      <c r="L3433" s="6">
        <v>8.1199999999999992</v>
      </c>
    </row>
    <row r="3434" spans="1:12" x14ac:dyDescent="0.25">
      <c r="A3434" s="1">
        <v>3433</v>
      </c>
      <c r="B3434" s="4">
        <v>24486</v>
      </c>
      <c r="C3434" s="5">
        <v>40655</v>
      </c>
      <c r="D3434" s="3" t="s">
        <v>4</v>
      </c>
      <c r="E3434" s="1" t="s">
        <v>228</v>
      </c>
      <c r="F3434" s="1" t="s">
        <v>18</v>
      </c>
      <c r="G3434" s="2" t="s">
        <v>6</v>
      </c>
      <c r="H3434" s="3" t="s">
        <v>100</v>
      </c>
      <c r="I3434" s="3" t="s">
        <v>85</v>
      </c>
      <c r="J3434" s="3" t="s">
        <v>63</v>
      </c>
      <c r="K3434" s="4">
        <v>27.06</v>
      </c>
      <c r="L3434" s="6">
        <v>1.76</v>
      </c>
    </row>
    <row r="3435" spans="1:12" x14ac:dyDescent="0.25">
      <c r="A3435" s="1">
        <v>3434</v>
      </c>
      <c r="B3435" s="4">
        <v>24515</v>
      </c>
      <c r="C3435" s="5">
        <v>40304</v>
      </c>
      <c r="D3435" s="3" t="s">
        <v>95</v>
      </c>
      <c r="E3435" s="1" t="s">
        <v>345</v>
      </c>
      <c r="F3435" s="1" t="s">
        <v>8</v>
      </c>
      <c r="G3435" s="2" t="s">
        <v>6</v>
      </c>
      <c r="H3435" s="3" t="s">
        <v>97</v>
      </c>
      <c r="I3435" s="3" t="s">
        <v>92</v>
      </c>
      <c r="J3435" s="3" t="s">
        <v>67</v>
      </c>
      <c r="K3435" s="4">
        <v>3051.27</v>
      </c>
      <c r="L3435" s="6">
        <v>80.97</v>
      </c>
    </row>
    <row r="3436" spans="1:12" x14ac:dyDescent="0.25">
      <c r="A3436" s="1">
        <v>3435</v>
      </c>
      <c r="B3436" s="4">
        <v>24519</v>
      </c>
      <c r="C3436" s="5">
        <v>40705</v>
      </c>
      <c r="D3436" s="3" t="s">
        <v>95</v>
      </c>
      <c r="E3436" s="1" t="s">
        <v>183</v>
      </c>
      <c r="F3436" s="1" t="s">
        <v>13</v>
      </c>
      <c r="G3436" s="2" t="s">
        <v>6</v>
      </c>
      <c r="H3436" s="3" t="s">
        <v>100</v>
      </c>
      <c r="I3436" s="3" t="s">
        <v>85</v>
      </c>
      <c r="J3436" s="3" t="s">
        <v>69</v>
      </c>
      <c r="K3436" s="4">
        <v>127.56</v>
      </c>
      <c r="L3436" s="6">
        <v>5.34</v>
      </c>
    </row>
    <row r="3437" spans="1:12" x14ac:dyDescent="0.25">
      <c r="A3437" s="1">
        <v>3436</v>
      </c>
      <c r="B3437" s="4">
        <v>24544</v>
      </c>
      <c r="C3437" s="5">
        <v>39839</v>
      </c>
      <c r="D3437" s="3" t="s">
        <v>89</v>
      </c>
      <c r="E3437" s="1" t="s">
        <v>454</v>
      </c>
      <c r="F3437" s="1" t="s">
        <v>23</v>
      </c>
      <c r="G3437" s="2" t="s">
        <v>3</v>
      </c>
      <c r="H3437" s="3" t="s">
        <v>88</v>
      </c>
      <c r="I3437" s="3" t="s">
        <v>92</v>
      </c>
      <c r="J3437" s="3" t="s">
        <v>67</v>
      </c>
      <c r="K3437" s="4">
        <v>4587.3</v>
      </c>
      <c r="L3437" s="6">
        <v>150.97999999999999</v>
      </c>
    </row>
    <row r="3438" spans="1:12" x14ac:dyDescent="0.25">
      <c r="A3438" s="1">
        <v>3437</v>
      </c>
      <c r="B3438" s="4">
        <v>24544</v>
      </c>
      <c r="C3438" s="5">
        <v>39839</v>
      </c>
      <c r="D3438" s="3" t="s">
        <v>89</v>
      </c>
      <c r="E3438" s="1" t="s">
        <v>134</v>
      </c>
      <c r="F3438" s="1" t="s">
        <v>23</v>
      </c>
      <c r="G3438" s="2" t="s">
        <v>3</v>
      </c>
      <c r="H3438" s="3" t="s">
        <v>88</v>
      </c>
      <c r="I3438" s="3" t="s">
        <v>91</v>
      </c>
      <c r="J3438" s="3" t="s">
        <v>72</v>
      </c>
      <c r="K3438" s="4">
        <v>403.71</v>
      </c>
      <c r="L3438" s="6">
        <v>25.98</v>
      </c>
    </row>
    <row r="3439" spans="1:12" x14ac:dyDescent="0.25">
      <c r="A3439" s="1">
        <v>3438</v>
      </c>
      <c r="B3439" s="4">
        <v>24544</v>
      </c>
      <c r="C3439" s="5">
        <v>39839</v>
      </c>
      <c r="D3439" s="3" t="s">
        <v>89</v>
      </c>
      <c r="E3439" s="1" t="s">
        <v>134</v>
      </c>
      <c r="F3439" s="1" t="s">
        <v>23</v>
      </c>
      <c r="G3439" s="2" t="s">
        <v>3</v>
      </c>
      <c r="H3439" s="3" t="s">
        <v>88</v>
      </c>
      <c r="I3439" s="3" t="s">
        <v>85</v>
      </c>
      <c r="J3439" s="3" t="s">
        <v>57</v>
      </c>
      <c r="K3439" s="4">
        <v>1243.45</v>
      </c>
      <c r="L3439" s="6">
        <v>32.479999999999997</v>
      </c>
    </row>
    <row r="3440" spans="1:12" x14ac:dyDescent="0.25">
      <c r="A3440" s="1">
        <v>3439</v>
      </c>
      <c r="B3440" s="4">
        <v>24546</v>
      </c>
      <c r="C3440" s="5">
        <v>40994</v>
      </c>
      <c r="D3440" s="3" t="s">
        <v>95</v>
      </c>
      <c r="E3440" s="1" t="s">
        <v>1123</v>
      </c>
      <c r="F3440" s="1" t="s">
        <v>13</v>
      </c>
      <c r="G3440" s="2" t="s">
        <v>6</v>
      </c>
      <c r="H3440" s="3" t="s">
        <v>97</v>
      </c>
      <c r="I3440" s="3" t="s">
        <v>85</v>
      </c>
      <c r="J3440" s="3" t="s">
        <v>58</v>
      </c>
      <c r="K3440" s="4">
        <v>81.58</v>
      </c>
      <c r="L3440" s="6">
        <v>10.98</v>
      </c>
    </row>
    <row r="3441" spans="1:12" x14ac:dyDescent="0.25">
      <c r="A3441" s="1">
        <v>3440</v>
      </c>
      <c r="B3441" s="4">
        <v>24548</v>
      </c>
      <c r="C3441" s="5">
        <v>40616</v>
      </c>
      <c r="D3441" s="3" t="s">
        <v>89</v>
      </c>
      <c r="E3441" s="1" t="s">
        <v>981</v>
      </c>
      <c r="F3441" s="1" t="s">
        <v>24</v>
      </c>
      <c r="G3441" s="2" t="s">
        <v>2</v>
      </c>
      <c r="H3441" s="3" t="s">
        <v>88</v>
      </c>
      <c r="I3441" s="3" t="s">
        <v>91</v>
      </c>
      <c r="J3441" s="3" t="s">
        <v>59</v>
      </c>
      <c r="K3441" s="4">
        <v>269.3</v>
      </c>
      <c r="L3441" s="6">
        <v>7.96</v>
      </c>
    </row>
    <row r="3442" spans="1:12" x14ac:dyDescent="0.25">
      <c r="A3442" s="1">
        <v>3441</v>
      </c>
      <c r="B3442" s="4">
        <v>24576</v>
      </c>
      <c r="C3442" s="5">
        <v>41254</v>
      </c>
      <c r="D3442" s="3" t="s">
        <v>86</v>
      </c>
      <c r="E3442" s="1" t="s">
        <v>590</v>
      </c>
      <c r="F3442" s="1" t="s">
        <v>11</v>
      </c>
      <c r="G3442" s="2" t="s">
        <v>6</v>
      </c>
      <c r="H3442" s="3" t="s">
        <v>88</v>
      </c>
      <c r="I3442" s="3" t="s">
        <v>92</v>
      </c>
      <c r="J3442" s="3" t="s">
        <v>61</v>
      </c>
      <c r="K3442" s="4">
        <v>531.06299999999999</v>
      </c>
      <c r="L3442" s="6">
        <v>20.99</v>
      </c>
    </row>
    <row r="3443" spans="1:12" x14ac:dyDescent="0.25">
      <c r="A3443" s="1">
        <v>3442</v>
      </c>
      <c r="B3443" s="4">
        <v>24576</v>
      </c>
      <c r="C3443" s="5">
        <v>41254</v>
      </c>
      <c r="D3443" s="3" t="s">
        <v>86</v>
      </c>
      <c r="E3443" s="1" t="s">
        <v>1124</v>
      </c>
      <c r="F3443" s="1" t="s">
        <v>11</v>
      </c>
      <c r="G3443" s="2" t="s">
        <v>6</v>
      </c>
      <c r="H3443" s="3" t="s">
        <v>88</v>
      </c>
      <c r="I3443" s="3" t="s">
        <v>91</v>
      </c>
      <c r="J3443" s="3" t="s">
        <v>59</v>
      </c>
      <c r="K3443" s="4">
        <v>152.84</v>
      </c>
      <c r="L3443" s="6">
        <v>14.58</v>
      </c>
    </row>
    <row r="3444" spans="1:12" x14ac:dyDescent="0.25">
      <c r="A3444" s="1">
        <v>3443</v>
      </c>
      <c r="B3444" s="4">
        <v>24577</v>
      </c>
      <c r="C3444" s="5">
        <v>40238</v>
      </c>
      <c r="D3444" s="3" t="s">
        <v>4</v>
      </c>
      <c r="E3444" s="1" t="s">
        <v>1125</v>
      </c>
      <c r="F3444" s="1" t="s">
        <v>16</v>
      </c>
      <c r="G3444" s="2" t="s">
        <v>3</v>
      </c>
      <c r="H3444" s="3" t="s">
        <v>88</v>
      </c>
      <c r="I3444" s="3" t="s">
        <v>85</v>
      </c>
      <c r="J3444" s="3" t="s">
        <v>66</v>
      </c>
      <c r="K3444" s="4">
        <v>180.79</v>
      </c>
      <c r="L3444" s="6">
        <v>22.84</v>
      </c>
    </row>
    <row r="3445" spans="1:12" x14ac:dyDescent="0.25">
      <c r="A3445" s="1">
        <v>3444</v>
      </c>
      <c r="B3445" s="4">
        <v>24579</v>
      </c>
      <c r="C3445" s="5">
        <v>41231</v>
      </c>
      <c r="D3445" s="3" t="s">
        <v>89</v>
      </c>
      <c r="E3445" s="1" t="s">
        <v>1123</v>
      </c>
      <c r="F3445" s="1" t="s">
        <v>13</v>
      </c>
      <c r="G3445" s="2" t="s">
        <v>6</v>
      </c>
      <c r="H3445" s="3" t="s">
        <v>84</v>
      </c>
      <c r="I3445" s="3" t="s">
        <v>85</v>
      </c>
      <c r="J3445" s="3" t="s">
        <v>70</v>
      </c>
      <c r="K3445" s="4">
        <v>13921.6</v>
      </c>
      <c r="L3445" s="6">
        <v>300.64999999999998</v>
      </c>
    </row>
    <row r="3446" spans="1:12" x14ac:dyDescent="0.25">
      <c r="A3446" s="1">
        <v>3445</v>
      </c>
      <c r="B3446" s="4">
        <v>24579</v>
      </c>
      <c r="C3446" s="5">
        <v>41231</v>
      </c>
      <c r="D3446" s="3" t="s">
        <v>89</v>
      </c>
      <c r="E3446" s="1" t="s">
        <v>1123</v>
      </c>
      <c r="F3446" s="1" t="s">
        <v>13</v>
      </c>
      <c r="G3446" s="2" t="s">
        <v>6</v>
      </c>
      <c r="H3446" s="3" t="s">
        <v>84</v>
      </c>
      <c r="I3446" s="3" t="s">
        <v>85</v>
      </c>
      <c r="J3446" s="3" t="s">
        <v>70</v>
      </c>
      <c r="K3446" s="4">
        <v>467.5</v>
      </c>
      <c r="L3446" s="6">
        <v>11.97</v>
      </c>
    </row>
    <row r="3447" spans="1:12" x14ac:dyDescent="0.25">
      <c r="A3447" s="1">
        <v>3446</v>
      </c>
      <c r="B3447" s="4">
        <v>24580</v>
      </c>
      <c r="C3447" s="5">
        <v>41083</v>
      </c>
      <c r="D3447" s="3" t="s">
        <v>89</v>
      </c>
      <c r="E3447" s="1" t="s">
        <v>110</v>
      </c>
      <c r="F3447" s="1" t="s">
        <v>30</v>
      </c>
      <c r="G3447" s="2" t="s">
        <v>6</v>
      </c>
      <c r="H3447" s="3" t="s">
        <v>88</v>
      </c>
      <c r="I3447" s="3" t="s">
        <v>85</v>
      </c>
      <c r="J3447" s="3" t="s">
        <v>63</v>
      </c>
      <c r="K3447" s="4">
        <v>1081.22</v>
      </c>
      <c r="L3447" s="6">
        <v>43.98</v>
      </c>
    </row>
    <row r="3448" spans="1:12" x14ac:dyDescent="0.25">
      <c r="A3448" s="1">
        <v>3447</v>
      </c>
      <c r="B3448" s="4">
        <v>24580</v>
      </c>
      <c r="C3448" s="5">
        <v>41083</v>
      </c>
      <c r="D3448" s="3" t="s">
        <v>89</v>
      </c>
      <c r="E3448" s="1" t="s">
        <v>1126</v>
      </c>
      <c r="F3448" s="1" t="s">
        <v>30</v>
      </c>
      <c r="G3448" s="2" t="s">
        <v>6</v>
      </c>
      <c r="H3448" s="3" t="s">
        <v>88</v>
      </c>
      <c r="I3448" s="3" t="s">
        <v>91</v>
      </c>
      <c r="J3448" s="3" t="s">
        <v>59</v>
      </c>
      <c r="K3448" s="4">
        <v>36.409999999999997</v>
      </c>
      <c r="L3448" s="6">
        <v>2.23</v>
      </c>
    </row>
    <row r="3449" spans="1:12" x14ac:dyDescent="0.25">
      <c r="A3449" s="1">
        <v>3448</v>
      </c>
      <c r="B3449" s="4">
        <v>24581</v>
      </c>
      <c r="C3449" s="5">
        <v>40277</v>
      </c>
      <c r="D3449" s="3" t="s">
        <v>89</v>
      </c>
      <c r="E3449" s="1" t="s">
        <v>1127</v>
      </c>
      <c r="F3449" s="1" t="s">
        <v>13</v>
      </c>
      <c r="G3449" s="2" t="s">
        <v>6</v>
      </c>
      <c r="H3449" s="3" t="s">
        <v>100</v>
      </c>
      <c r="I3449" s="3" t="s">
        <v>85</v>
      </c>
      <c r="J3449" s="3" t="s">
        <v>69</v>
      </c>
      <c r="K3449" s="4">
        <v>38.56</v>
      </c>
      <c r="L3449" s="6">
        <v>4.55</v>
      </c>
    </row>
    <row r="3450" spans="1:12" x14ac:dyDescent="0.25">
      <c r="A3450" s="1">
        <v>3449</v>
      </c>
      <c r="B3450" s="4">
        <v>24583</v>
      </c>
      <c r="C3450" s="5">
        <v>40764</v>
      </c>
      <c r="D3450" s="3" t="s">
        <v>95</v>
      </c>
      <c r="E3450" s="1" t="s">
        <v>701</v>
      </c>
      <c r="F3450" s="1" t="s">
        <v>12</v>
      </c>
      <c r="G3450" s="2" t="s">
        <v>2</v>
      </c>
      <c r="H3450" s="3" t="s">
        <v>88</v>
      </c>
      <c r="I3450" s="3" t="s">
        <v>85</v>
      </c>
      <c r="J3450" s="3" t="s">
        <v>69</v>
      </c>
      <c r="K3450" s="4">
        <v>42.29</v>
      </c>
      <c r="L3450" s="6">
        <v>2.16</v>
      </c>
    </row>
    <row r="3451" spans="1:12" x14ac:dyDescent="0.25">
      <c r="A3451" s="1">
        <v>3450</v>
      </c>
      <c r="B3451" s="4">
        <v>24608</v>
      </c>
      <c r="C3451" s="5">
        <v>41135</v>
      </c>
      <c r="D3451" s="3" t="s">
        <v>4</v>
      </c>
      <c r="E3451" s="1" t="s">
        <v>944</v>
      </c>
      <c r="F3451" s="1" t="s">
        <v>17</v>
      </c>
      <c r="G3451" s="2" t="s">
        <v>2</v>
      </c>
      <c r="H3451" s="3" t="s">
        <v>97</v>
      </c>
      <c r="I3451" s="3" t="s">
        <v>85</v>
      </c>
      <c r="J3451" s="3" t="s">
        <v>69</v>
      </c>
      <c r="K3451" s="4">
        <v>197.36</v>
      </c>
      <c r="L3451" s="6">
        <v>4.18</v>
      </c>
    </row>
    <row r="3452" spans="1:12" x14ac:dyDescent="0.25">
      <c r="A3452" s="1">
        <v>3451</v>
      </c>
      <c r="B3452" s="4">
        <v>24610</v>
      </c>
      <c r="C3452" s="5">
        <v>40196</v>
      </c>
      <c r="D3452" s="3" t="s">
        <v>86</v>
      </c>
      <c r="E3452" s="1" t="s">
        <v>137</v>
      </c>
      <c r="F3452" s="1" t="s">
        <v>24</v>
      </c>
      <c r="G3452" s="2" t="s">
        <v>2</v>
      </c>
      <c r="H3452" s="3" t="s">
        <v>97</v>
      </c>
      <c r="I3452" s="3" t="s">
        <v>91</v>
      </c>
      <c r="J3452" s="3" t="s">
        <v>72</v>
      </c>
      <c r="K3452" s="4">
        <v>883.31</v>
      </c>
      <c r="L3452" s="6">
        <v>200.98</v>
      </c>
    </row>
    <row r="3453" spans="1:12" x14ac:dyDescent="0.25">
      <c r="A3453" s="1">
        <v>3452</v>
      </c>
      <c r="B3453" s="4">
        <v>24613</v>
      </c>
      <c r="C3453" s="5">
        <v>41106</v>
      </c>
      <c r="D3453" s="3" t="s">
        <v>82</v>
      </c>
      <c r="E3453" s="1" t="s">
        <v>343</v>
      </c>
      <c r="F3453" s="1" t="s">
        <v>15</v>
      </c>
      <c r="G3453" s="2" t="s">
        <v>1</v>
      </c>
      <c r="H3453" s="3" t="s">
        <v>97</v>
      </c>
      <c r="I3453" s="3" t="s">
        <v>92</v>
      </c>
      <c r="J3453" s="3" t="s">
        <v>73</v>
      </c>
      <c r="K3453" s="4">
        <v>9695.84</v>
      </c>
      <c r="L3453" s="6">
        <v>599.99</v>
      </c>
    </row>
    <row r="3454" spans="1:12" x14ac:dyDescent="0.25">
      <c r="A3454" s="1">
        <v>3453</v>
      </c>
      <c r="B3454" s="4">
        <v>24613</v>
      </c>
      <c r="C3454" s="5">
        <v>41106</v>
      </c>
      <c r="D3454" s="3" t="s">
        <v>82</v>
      </c>
      <c r="E3454" s="1" t="s">
        <v>343</v>
      </c>
      <c r="F3454" s="1" t="s">
        <v>15</v>
      </c>
      <c r="G3454" s="2" t="s">
        <v>1</v>
      </c>
      <c r="H3454" s="3" t="s">
        <v>97</v>
      </c>
      <c r="I3454" s="3" t="s">
        <v>85</v>
      </c>
      <c r="J3454" s="3" t="s">
        <v>66</v>
      </c>
      <c r="K3454" s="4">
        <v>246.79</v>
      </c>
      <c r="L3454" s="6">
        <v>6.48</v>
      </c>
    </row>
    <row r="3455" spans="1:12" x14ac:dyDescent="0.25">
      <c r="A3455" s="1">
        <v>3454</v>
      </c>
      <c r="B3455" s="4">
        <v>24613</v>
      </c>
      <c r="C3455" s="5">
        <v>41106</v>
      </c>
      <c r="D3455" s="3" t="s">
        <v>82</v>
      </c>
      <c r="E3455" s="1" t="s">
        <v>343</v>
      </c>
      <c r="F3455" s="1" t="s">
        <v>15</v>
      </c>
      <c r="G3455" s="2" t="s">
        <v>1</v>
      </c>
      <c r="H3455" s="3" t="s">
        <v>97</v>
      </c>
      <c r="I3455" s="3" t="s">
        <v>85</v>
      </c>
      <c r="J3455" s="3" t="s">
        <v>63</v>
      </c>
      <c r="K3455" s="4">
        <v>777.78</v>
      </c>
      <c r="L3455" s="6">
        <v>19.84</v>
      </c>
    </row>
    <row r="3456" spans="1:12" x14ac:dyDescent="0.25">
      <c r="A3456" s="1">
        <v>3455</v>
      </c>
      <c r="B3456" s="4">
        <v>24614</v>
      </c>
      <c r="C3456" s="5">
        <v>40138</v>
      </c>
      <c r="D3456" s="3" t="s">
        <v>82</v>
      </c>
      <c r="E3456" s="1" t="s">
        <v>1128</v>
      </c>
      <c r="F3456" s="1" t="s">
        <v>44</v>
      </c>
      <c r="G3456" s="2" t="s">
        <v>3</v>
      </c>
      <c r="H3456" s="3" t="s">
        <v>97</v>
      </c>
      <c r="I3456" s="3" t="s">
        <v>92</v>
      </c>
      <c r="J3456" s="3" t="s">
        <v>62</v>
      </c>
      <c r="K3456" s="4">
        <v>1644.59</v>
      </c>
      <c r="L3456" s="6">
        <v>50.98</v>
      </c>
    </row>
    <row r="3457" spans="1:12" x14ac:dyDescent="0.25">
      <c r="A3457" s="1">
        <v>3456</v>
      </c>
      <c r="B3457" s="4">
        <v>24640</v>
      </c>
      <c r="C3457" s="5">
        <v>40572</v>
      </c>
      <c r="D3457" s="3" t="s">
        <v>4</v>
      </c>
      <c r="E3457" s="1" t="s">
        <v>1027</v>
      </c>
      <c r="F3457" s="1" t="s">
        <v>22</v>
      </c>
      <c r="G3457" s="2" t="s">
        <v>6</v>
      </c>
      <c r="H3457" s="3" t="s">
        <v>97</v>
      </c>
      <c r="I3457" s="3" t="s">
        <v>91</v>
      </c>
      <c r="J3457" s="3" t="s">
        <v>72</v>
      </c>
      <c r="K3457" s="4">
        <v>1379.98</v>
      </c>
      <c r="L3457" s="6">
        <v>113.98</v>
      </c>
    </row>
    <row r="3458" spans="1:12" x14ac:dyDescent="0.25">
      <c r="A3458" s="1">
        <v>3457</v>
      </c>
      <c r="B3458" s="4">
        <v>24643</v>
      </c>
      <c r="C3458" s="5">
        <v>41028</v>
      </c>
      <c r="D3458" s="3" t="s">
        <v>4</v>
      </c>
      <c r="E3458" s="1" t="s">
        <v>495</v>
      </c>
      <c r="F3458" s="1" t="s">
        <v>34</v>
      </c>
      <c r="G3458" s="2" t="s">
        <v>1</v>
      </c>
      <c r="H3458" s="3" t="s">
        <v>88</v>
      </c>
      <c r="I3458" s="3" t="s">
        <v>92</v>
      </c>
      <c r="J3458" s="3" t="s">
        <v>61</v>
      </c>
      <c r="K3458" s="4">
        <v>2368.1679999999997</v>
      </c>
      <c r="L3458" s="6">
        <v>85.99</v>
      </c>
    </row>
    <row r="3459" spans="1:12" x14ac:dyDescent="0.25">
      <c r="A3459" s="1">
        <v>3458</v>
      </c>
      <c r="B3459" s="4">
        <v>24644</v>
      </c>
      <c r="C3459" s="5">
        <v>40022</v>
      </c>
      <c r="D3459" s="3" t="s">
        <v>95</v>
      </c>
      <c r="E3459" s="1" t="s">
        <v>1129</v>
      </c>
      <c r="F3459" s="1" t="s">
        <v>20</v>
      </c>
      <c r="G3459" s="2" t="s">
        <v>1</v>
      </c>
      <c r="H3459" s="3" t="s">
        <v>88</v>
      </c>
      <c r="I3459" s="3" t="s">
        <v>85</v>
      </c>
      <c r="J3459" s="3" t="s">
        <v>70</v>
      </c>
      <c r="K3459" s="4">
        <v>2550.12</v>
      </c>
      <c r="L3459" s="6">
        <v>60.97</v>
      </c>
    </row>
    <row r="3460" spans="1:12" x14ac:dyDescent="0.25">
      <c r="A3460" s="1">
        <v>3459</v>
      </c>
      <c r="B3460" s="4">
        <v>24644</v>
      </c>
      <c r="C3460" s="5">
        <v>40022</v>
      </c>
      <c r="D3460" s="3" t="s">
        <v>95</v>
      </c>
      <c r="E3460" s="1" t="s">
        <v>134</v>
      </c>
      <c r="F3460" s="1" t="s">
        <v>21</v>
      </c>
      <c r="G3460" s="2" t="s">
        <v>1</v>
      </c>
      <c r="H3460" s="3" t="s">
        <v>88</v>
      </c>
      <c r="I3460" s="3" t="s">
        <v>91</v>
      </c>
      <c r="J3460" s="3" t="s">
        <v>72</v>
      </c>
      <c r="K3460" s="4">
        <v>5897.47</v>
      </c>
      <c r="L3460" s="6">
        <v>122.99</v>
      </c>
    </row>
    <row r="3461" spans="1:12" x14ac:dyDescent="0.25">
      <c r="A3461" s="1">
        <v>3460</v>
      </c>
      <c r="B3461" s="4">
        <v>24646</v>
      </c>
      <c r="C3461" s="5">
        <v>40648</v>
      </c>
      <c r="D3461" s="3" t="s">
        <v>86</v>
      </c>
      <c r="E3461" s="1" t="s">
        <v>1096</v>
      </c>
      <c r="F3461" s="1" t="s">
        <v>19</v>
      </c>
      <c r="G3461" s="2" t="s">
        <v>3</v>
      </c>
      <c r="H3461" s="3" t="s">
        <v>84</v>
      </c>
      <c r="I3461" s="3" t="s">
        <v>85</v>
      </c>
      <c r="J3461" s="3" t="s">
        <v>71</v>
      </c>
      <c r="K3461" s="4">
        <v>662.51</v>
      </c>
      <c r="L3461" s="6">
        <v>15.67</v>
      </c>
    </row>
    <row r="3462" spans="1:12" x14ac:dyDescent="0.25">
      <c r="A3462" s="1">
        <v>3461</v>
      </c>
      <c r="B3462" s="4">
        <v>24646</v>
      </c>
      <c r="C3462" s="5">
        <v>40648</v>
      </c>
      <c r="D3462" s="3" t="s">
        <v>86</v>
      </c>
      <c r="E3462" s="1" t="s">
        <v>1096</v>
      </c>
      <c r="F3462" s="1" t="s">
        <v>19</v>
      </c>
      <c r="G3462" s="2" t="s">
        <v>3</v>
      </c>
      <c r="H3462" s="3" t="s">
        <v>84</v>
      </c>
      <c r="I3462" s="3" t="s">
        <v>85</v>
      </c>
      <c r="J3462" s="3" t="s">
        <v>63</v>
      </c>
      <c r="K3462" s="4">
        <v>61.18</v>
      </c>
      <c r="L3462" s="6">
        <v>2.88</v>
      </c>
    </row>
    <row r="3463" spans="1:12" x14ac:dyDescent="0.25">
      <c r="A3463" s="1">
        <v>3462</v>
      </c>
      <c r="B3463" s="4">
        <v>24647</v>
      </c>
      <c r="C3463" s="5">
        <v>39968</v>
      </c>
      <c r="D3463" s="3" t="s">
        <v>86</v>
      </c>
      <c r="E3463" s="1" t="s">
        <v>172</v>
      </c>
      <c r="F3463" s="1" t="s">
        <v>15</v>
      </c>
      <c r="G3463" s="2" t="s">
        <v>1</v>
      </c>
      <c r="H3463" s="3" t="s">
        <v>88</v>
      </c>
      <c r="I3463" s="3" t="s">
        <v>92</v>
      </c>
      <c r="J3463" s="3" t="s">
        <v>67</v>
      </c>
      <c r="K3463" s="4">
        <v>3029.97</v>
      </c>
      <c r="L3463" s="6">
        <v>999.99</v>
      </c>
    </row>
    <row r="3464" spans="1:12" x14ac:dyDescent="0.25">
      <c r="A3464" s="1">
        <v>3463</v>
      </c>
      <c r="B3464" s="4">
        <v>24647</v>
      </c>
      <c r="C3464" s="5">
        <v>39968</v>
      </c>
      <c r="D3464" s="3" t="s">
        <v>86</v>
      </c>
      <c r="E3464" s="1" t="s">
        <v>172</v>
      </c>
      <c r="F3464" s="1" t="s">
        <v>15</v>
      </c>
      <c r="G3464" s="2" t="s">
        <v>1</v>
      </c>
      <c r="H3464" s="3" t="s">
        <v>88</v>
      </c>
      <c r="I3464" s="3" t="s">
        <v>85</v>
      </c>
      <c r="J3464" s="3" t="s">
        <v>66</v>
      </c>
      <c r="K3464" s="4">
        <v>241.04</v>
      </c>
      <c r="L3464" s="6">
        <v>6.48</v>
      </c>
    </row>
    <row r="3465" spans="1:12" x14ac:dyDescent="0.25">
      <c r="A3465" s="1">
        <v>3464</v>
      </c>
      <c r="B3465" s="4">
        <v>24672</v>
      </c>
      <c r="C3465" s="5">
        <v>40985</v>
      </c>
      <c r="D3465" s="3" t="s">
        <v>4</v>
      </c>
      <c r="E3465" s="1" t="s">
        <v>567</v>
      </c>
      <c r="F3465" s="1" t="s">
        <v>15</v>
      </c>
      <c r="G3465" s="2" t="s">
        <v>1</v>
      </c>
      <c r="H3465" s="3" t="s">
        <v>100</v>
      </c>
      <c r="I3465" s="3" t="s">
        <v>91</v>
      </c>
      <c r="J3465" s="3" t="s">
        <v>59</v>
      </c>
      <c r="K3465" s="4">
        <v>44.17</v>
      </c>
      <c r="L3465" s="6">
        <v>7.59</v>
      </c>
    </row>
    <row r="3466" spans="1:12" x14ac:dyDescent="0.25">
      <c r="A3466" s="1">
        <v>3465</v>
      </c>
      <c r="B3466" s="4">
        <v>24672</v>
      </c>
      <c r="C3466" s="5">
        <v>40985</v>
      </c>
      <c r="D3466" s="3" t="s">
        <v>4</v>
      </c>
      <c r="E3466" s="1" t="s">
        <v>567</v>
      </c>
      <c r="F3466" s="1" t="s">
        <v>15</v>
      </c>
      <c r="G3466" s="2" t="s">
        <v>1</v>
      </c>
      <c r="H3466" s="3" t="s">
        <v>100</v>
      </c>
      <c r="I3466" s="3" t="s">
        <v>85</v>
      </c>
      <c r="J3466" s="3" t="s">
        <v>66</v>
      </c>
      <c r="K3466" s="4">
        <v>192.92</v>
      </c>
      <c r="L3466" s="6">
        <v>5.43</v>
      </c>
    </row>
    <row r="3467" spans="1:12" x14ac:dyDescent="0.25">
      <c r="A3467" s="1">
        <v>3466</v>
      </c>
      <c r="B3467" s="4">
        <v>24672</v>
      </c>
      <c r="C3467" s="5">
        <v>40985</v>
      </c>
      <c r="D3467" s="3" t="s">
        <v>4</v>
      </c>
      <c r="E3467" s="1" t="s">
        <v>567</v>
      </c>
      <c r="F3467" s="1" t="s">
        <v>15</v>
      </c>
      <c r="G3467" s="2" t="s">
        <v>1</v>
      </c>
      <c r="H3467" s="3" t="s">
        <v>100</v>
      </c>
      <c r="I3467" s="3" t="s">
        <v>85</v>
      </c>
      <c r="J3467" s="3" t="s">
        <v>57</v>
      </c>
      <c r="K3467" s="4">
        <v>10532.94</v>
      </c>
      <c r="L3467" s="6">
        <v>279.48</v>
      </c>
    </row>
    <row r="3468" spans="1:12" x14ac:dyDescent="0.25">
      <c r="A3468" s="1">
        <v>3467</v>
      </c>
      <c r="B3468" s="4">
        <v>24677</v>
      </c>
      <c r="C3468" s="5">
        <v>40973</v>
      </c>
      <c r="D3468" s="3" t="s">
        <v>82</v>
      </c>
      <c r="E3468" s="1" t="s">
        <v>1047</v>
      </c>
      <c r="F3468" s="1" t="s">
        <v>24</v>
      </c>
      <c r="G3468" s="2" t="s">
        <v>2</v>
      </c>
      <c r="H3468" s="3" t="s">
        <v>100</v>
      </c>
      <c r="I3468" s="3" t="s">
        <v>92</v>
      </c>
      <c r="J3468" s="3" t="s">
        <v>62</v>
      </c>
      <c r="K3468" s="4">
        <v>364.4</v>
      </c>
      <c r="L3468" s="6">
        <v>8.5</v>
      </c>
    </row>
    <row r="3469" spans="1:12" x14ac:dyDescent="0.25">
      <c r="A3469" s="1">
        <v>3468</v>
      </c>
      <c r="B3469" s="4">
        <v>24679</v>
      </c>
      <c r="C3469" s="5">
        <v>40670</v>
      </c>
      <c r="D3469" s="3" t="s">
        <v>86</v>
      </c>
      <c r="E3469" s="1" t="s">
        <v>764</v>
      </c>
      <c r="F3469" s="1" t="s">
        <v>34</v>
      </c>
      <c r="G3469" s="2" t="s">
        <v>1</v>
      </c>
      <c r="H3469" s="3" t="s">
        <v>88</v>
      </c>
      <c r="I3469" s="3" t="s">
        <v>92</v>
      </c>
      <c r="J3469" s="3" t="s">
        <v>62</v>
      </c>
      <c r="K3469" s="4">
        <v>33.99</v>
      </c>
      <c r="L3469" s="6">
        <v>4.7699999999999996</v>
      </c>
    </row>
    <row r="3470" spans="1:12" x14ac:dyDescent="0.25">
      <c r="A3470" s="1">
        <v>3469</v>
      </c>
      <c r="B3470" s="4">
        <v>24705</v>
      </c>
      <c r="C3470" s="5">
        <v>40801</v>
      </c>
      <c r="D3470" s="3" t="s">
        <v>95</v>
      </c>
      <c r="E3470" s="1" t="s">
        <v>1130</v>
      </c>
      <c r="F3470" s="1" t="s">
        <v>33</v>
      </c>
      <c r="G3470" s="2" t="s">
        <v>2</v>
      </c>
      <c r="H3470" s="3" t="s">
        <v>100</v>
      </c>
      <c r="I3470" s="3" t="s">
        <v>85</v>
      </c>
      <c r="J3470" s="3" t="s">
        <v>69</v>
      </c>
      <c r="K3470" s="4">
        <v>260.51</v>
      </c>
      <c r="L3470" s="6">
        <v>7.3</v>
      </c>
    </row>
    <row r="3471" spans="1:12" x14ac:dyDescent="0.25">
      <c r="A3471" s="1">
        <v>3470</v>
      </c>
      <c r="B3471" s="4">
        <v>24705</v>
      </c>
      <c r="C3471" s="5">
        <v>40801</v>
      </c>
      <c r="D3471" s="3" t="s">
        <v>95</v>
      </c>
      <c r="E3471" s="1" t="s">
        <v>1130</v>
      </c>
      <c r="F3471" s="1" t="s">
        <v>33</v>
      </c>
      <c r="G3471" s="2" t="s">
        <v>2</v>
      </c>
      <c r="H3471" s="3" t="s">
        <v>100</v>
      </c>
      <c r="I3471" s="3" t="s">
        <v>92</v>
      </c>
      <c r="J3471" s="3" t="s">
        <v>62</v>
      </c>
      <c r="K3471" s="4">
        <v>466.28</v>
      </c>
      <c r="L3471" s="6">
        <v>29.89</v>
      </c>
    </row>
    <row r="3472" spans="1:12" x14ac:dyDescent="0.25">
      <c r="A3472" s="1">
        <v>3471</v>
      </c>
      <c r="B3472" s="4">
        <v>24707</v>
      </c>
      <c r="C3472" s="5">
        <v>40978</v>
      </c>
      <c r="D3472" s="3" t="s">
        <v>4</v>
      </c>
      <c r="E3472" s="1" t="s">
        <v>1131</v>
      </c>
      <c r="F3472" s="1" t="s">
        <v>35</v>
      </c>
      <c r="G3472" s="2" t="s">
        <v>1</v>
      </c>
      <c r="H3472" s="3" t="s">
        <v>88</v>
      </c>
      <c r="I3472" s="3" t="s">
        <v>91</v>
      </c>
      <c r="J3472" s="3" t="s">
        <v>59</v>
      </c>
      <c r="K3472" s="4">
        <v>1961.39</v>
      </c>
      <c r="L3472" s="6">
        <v>136.97999999999999</v>
      </c>
    </row>
    <row r="3473" spans="1:12" x14ac:dyDescent="0.25">
      <c r="A3473" s="1">
        <v>3472</v>
      </c>
      <c r="B3473" s="4">
        <v>24707</v>
      </c>
      <c r="C3473" s="5">
        <v>40978</v>
      </c>
      <c r="D3473" s="3" t="s">
        <v>4</v>
      </c>
      <c r="E3473" s="1" t="s">
        <v>1131</v>
      </c>
      <c r="F3473" s="1" t="s">
        <v>35</v>
      </c>
      <c r="G3473" s="2" t="s">
        <v>1</v>
      </c>
      <c r="H3473" s="3" t="s">
        <v>88</v>
      </c>
      <c r="I3473" s="3" t="s">
        <v>85</v>
      </c>
      <c r="J3473" s="3" t="s">
        <v>64</v>
      </c>
      <c r="K3473" s="4">
        <v>4.9400000000000004</v>
      </c>
      <c r="L3473" s="6">
        <v>1.48</v>
      </c>
    </row>
    <row r="3474" spans="1:12" x14ac:dyDescent="0.25">
      <c r="A3474" s="1">
        <v>3473</v>
      </c>
      <c r="B3474" s="4">
        <v>24710</v>
      </c>
      <c r="C3474" s="5">
        <v>40451</v>
      </c>
      <c r="D3474" s="3" t="s">
        <v>82</v>
      </c>
      <c r="E3474" s="1" t="s">
        <v>277</v>
      </c>
      <c r="F3474" s="1" t="s">
        <v>13</v>
      </c>
      <c r="G3474" s="2" t="s">
        <v>6</v>
      </c>
      <c r="H3474" s="3" t="s">
        <v>100</v>
      </c>
      <c r="I3474" s="3" t="s">
        <v>85</v>
      </c>
      <c r="J3474" s="3" t="s">
        <v>66</v>
      </c>
      <c r="K3474" s="4">
        <v>22.06</v>
      </c>
      <c r="L3474" s="6">
        <v>4.9800000000000004</v>
      </c>
    </row>
    <row r="3475" spans="1:12" x14ac:dyDescent="0.25">
      <c r="A3475" s="1">
        <v>3474</v>
      </c>
      <c r="B3475" s="4">
        <v>24737</v>
      </c>
      <c r="C3475" s="5">
        <v>40153</v>
      </c>
      <c r="D3475" s="3" t="s">
        <v>89</v>
      </c>
      <c r="E3475" s="1" t="s">
        <v>1121</v>
      </c>
      <c r="F3475" s="1" t="s">
        <v>28</v>
      </c>
      <c r="G3475" s="2" t="s">
        <v>6</v>
      </c>
      <c r="H3475" s="3" t="s">
        <v>84</v>
      </c>
      <c r="I3475" s="3" t="s">
        <v>91</v>
      </c>
      <c r="J3475" s="3" t="s">
        <v>72</v>
      </c>
      <c r="K3475" s="4">
        <v>549.91999999999996</v>
      </c>
      <c r="L3475" s="6">
        <v>180.98</v>
      </c>
    </row>
    <row r="3476" spans="1:12" x14ac:dyDescent="0.25">
      <c r="A3476" s="1">
        <v>3475</v>
      </c>
      <c r="B3476" s="4">
        <v>24737</v>
      </c>
      <c r="C3476" s="5">
        <v>40153</v>
      </c>
      <c r="D3476" s="3" t="s">
        <v>89</v>
      </c>
      <c r="E3476" s="1" t="s">
        <v>1121</v>
      </c>
      <c r="F3476" s="1" t="s">
        <v>28</v>
      </c>
      <c r="G3476" s="2" t="s">
        <v>6</v>
      </c>
      <c r="H3476" s="3" t="s">
        <v>84</v>
      </c>
      <c r="I3476" s="3" t="s">
        <v>85</v>
      </c>
      <c r="J3476" s="3" t="s">
        <v>66</v>
      </c>
      <c r="K3476" s="4">
        <v>182.09</v>
      </c>
      <c r="L3476" s="6">
        <v>6.48</v>
      </c>
    </row>
    <row r="3477" spans="1:12" x14ac:dyDescent="0.25">
      <c r="A3477" s="1">
        <v>3476</v>
      </c>
      <c r="B3477" s="4">
        <v>24740</v>
      </c>
      <c r="C3477" s="5">
        <v>40188</v>
      </c>
      <c r="D3477" s="3" t="s">
        <v>4</v>
      </c>
      <c r="E3477" s="1" t="s">
        <v>1031</v>
      </c>
      <c r="F3477" s="1" t="s">
        <v>15</v>
      </c>
      <c r="G3477" s="2" t="s">
        <v>1</v>
      </c>
      <c r="H3477" s="3" t="s">
        <v>88</v>
      </c>
      <c r="I3477" s="3" t="s">
        <v>91</v>
      </c>
      <c r="J3477" s="3" t="s">
        <v>59</v>
      </c>
      <c r="K3477" s="4">
        <v>1091.47</v>
      </c>
      <c r="L3477" s="6">
        <v>92.23</v>
      </c>
    </row>
    <row r="3478" spans="1:12" x14ac:dyDescent="0.25">
      <c r="A3478" s="1">
        <v>3477</v>
      </c>
      <c r="B3478" s="4">
        <v>24740</v>
      </c>
      <c r="C3478" s="5">
        <v>40188</v>
      </c>
      <c r="D3478" s="3" t="s">
        <v>4</v>
      </c>
      <c r="E3478" s="1" t="s">
        <v>1031</v>
      </c>
      <c r="F3478" s="1" t="s">
        <v>15</v>
      </c>
      <c r="G3478" s="2" t="s">
        <v>1</v>
      </c>
      <c r="H3478" s="3" t="s">
        <v>88</v>
      </c>
      <c r="I3478" s="3" t="s">
        <v>85</v>
      </c>
      <c r="J3478" s="3" t="s">
        <v>63</v>
      </c>
      <c r="K3478" s="4">
        <v>112.59</v>
      </c>
      <c r="L3478" s="6">
        <v>3.28</v>
      </c>
    </row>
    <row r="3479" spans="1:12" x14ac:dyDescent="0.25">
      <c r="A3479" s="1">
        <v>3478</v>
      </c>
      <c r="B3479" s="4">
        <v>24743</v>
      </c>
      <c r="C3479" s="5">
        <v>41088</v>
      </c>
      <c r="D3479" s="3" t="s">
        <v>82</v>
      </c>
      <c r="E3479" s="1" t="s">
        <v>646</v>
      </c>
      <c r="F3479" s="1" t="s">
        <v>8</v>
      </c>
      <c r="G3479" s="2" t="s">
        <v>6</v>
      </c>
      <c r="H3479" s="3" t="s">
        <v>88</v>
      </c>
      <c r="I3479" s="3" t="s">
        <v>91</v>
      </c>
      <c r="J3479" s="3" t="s">
        <v>72</v>
      </c>
      <c r="K3479" s="4">
        <v>9633.59</v>
      </c>
      <c r="L3479" s="6">
        <v>216.6</v>
      </c>
    </row>
    <row r="3480" spans="1:12" x14ac:dyDescent="0.25">
      <c r="A3480" s="1">
        <v>3479</v>
      </c>
      <c r="B3480" s="4">
        <v>24743</v>
      </c>
      <c r="C3480" s="5">
        <v>41088</v>
      </c>
      <c r="D3480" s="3" t="s">
        <v>82</v>
      </c>
      <c r="E3480" s="1" t="s">
        <v>646</v>
      </c>
      <c r="F3480" s="1" t="s">
        <v>8</v>
      </c>
      <c r="G3480" s="2" t="s">
        <v>6</v>
      </c>
      <c r="H3480" s="3" t="s">
        <v>88</v>
      </c>
      <c r="I3480" s="3" t="s">
        <v>91</v>
      </c>
      <c r="J3480" s="3" t="s">
        <v>72</v>
      </c>
      <c r="K3480" s="4">
        <v>3758.77</v>
      </c>
      <c r="L3480" s="6">
        <v>140.81</v>
      </c>
    </row>
    <row r="3481" spans="1:12" x14ac:dyDescent="0.25">
      <c r="A3481" s="1">
        <v>3480</v>
      </c>
      <c r="B3481" s="4">
        <v>24775</v>
      </c>
      <c r="C3481" s="5">
        <v>40956</v>
      </c>
      <c r="D3481" s="3" t="s">
        <v>95</v>
      </c>
      <c r="E3481" s="1" t="s">
        <v>135</v>
      </c>
      <c r="F3481" s="1" t="s">
        <v>29</v>
      </c>
      <c r="G3481" s="2" t="s">
        <v>3</v>
      </c>
      <c r="H3481" s="3" t="s">
        <v>97</v>
      </c>
      <c r="I3481" s="3" t="s">
        <v>91</v>
      </c>
      <c r="J3481" s="3" t="s">
        <v>68</v>
      </c>
      <c r="K3481" s="4">
        <v>1616.66</v>
      </c>
      <c r="L3481" s="6">
        <v>100.98</v>
      </c>
    </row>
    <row r="3482" spans="1:12" x14ac:dyDescent="0.25">
      <c r="A3482" s="1">
        <v>3481</v>
      </c>
      <c r="B3482" s="4">
        <v>24775</v>
      </c>
      <c r="C3482" s="5">
        <v>40956</v>
      </c>
      <c r="D3482" s="3" t="s">
        <v>95</v>
      </c>
      <c r="E3482" s="1" t="s">
        <v>135</v>
      </c>
      <c r="F3482" s="1" t="s">
        <v>29</v>
      </c>
      <c r="G3482" s="2" t="s">
        <v>3</v>
      </c>
      <c r="H3482" s="3" t="s">
        <v>97</v>
      </c>
      <c r="I3482" s="3" t="s">
        <v>91</v>
      </c>
      <c r="J3482" s="3" t="s">
        <v>59</v>
      </c>
      <c r="K3482" s="4">
        <v>96.21</v>
      </c>
      <c r="L3482" s="6">
        <v>14.58</v>
      </c>
    </row>
    <row r="3483" spans="1:12" x14ac:dyDescent="0.25">
      <c r="A3483" s="1">
        <v>3482</v>
      </c>
      <c r="B3483" s="4">
        <v>24801</v>
      </c>
      <c r="C3483" s="5">
        <v>41228</v>
      </c>
      <c r="D3483" s="3" t="s">
        <v>89</v>
      </c>
      <c r="E3483" s="1" t="s">
        <v>413</v>
      </c>
      <c r="F3483" s="1" t="s">
        <v>14</v>
      </c>
      <c r="G3483" s="2" t="s">
        <v>2</v>
      </c>
      <c r="H3483" s="3" t="s">
        <v>97</v>
      </c>
      <c r="I3483" s="3" t="s">
        <v>85</v>
      </c>
      <c r="J3483" s="3" t="s">
        <v>69</v>
      </c>
      <c r="K3483" s="4">
        <v>18.91</v>
      </c>
      <c r="L3483" s="6">
        <v>3.89</v>
      </c>
    </row>
    <row r="3484" spans="1:12" x14ac:dyDescent="0.25">
      <c r="A3484" s="1">
        <v>3483</v>
      </c>
      <c r="B3484" s="4">
        <v>24801</v>
      </c>
      <c r="C3484" s="5">
        <v>41228</v>
      </c>
      <c r="D3484" s="3" t="s">
        <v>89</v>
      </c>
      <c r="E3484" s="1" t="s">
        <v>413</v>
      </c>
      <c r="F3484" s="1" t="s">
        <v>14</v>
      </c>
      <c r="G3484" s="2" t="s">
        <v>2</v>
      </c>
      <c r="H3484" s="3" t="s">
        <v>97</v>
      </c>
      <c r="I3484" s="3" t="s">
        <v>91</v>
      </c>
      <c r="J3484" s="3" t="s">
        <v>59</v>
      </c>
      <c r="K3484" s="4">
        <v>685.7</v>
      </c>
      <c r="L3484" s="6">
        <v>88.84</v>
      </c>
    </row>
    <row r="3485" spans="1:12" x14ac:dyDescent="0.25">
      <c r="A3485" s="1">
        <v>3484</v>
      </c>
      <c r="B3485" s="4">
        <v>24801</v>
      </c>
      <c r="C3485" s="5">
        <v>41228</v>
      </c>
      <c r="D3485" s="3" t="s">
        <v>89</v>
      </c>
      <c r="E3485" s="1" t="s">
        <v>413</v>
      </c>
      <c r="F3485" s="1" t="s">
        <v>14</v>
      </c>
      <c r="G3485" s="2" t="s">
        <v>2</v>
      </c>
      <c r="H3485" s="3" t="s">
        <v>97</v>
      </c>
      <c r="I3485" s="3" t="s">
        <v>92</v>
      </c>
      <c r="J3485" s="3" t="s">
        <v>61</v>
      </c>
      <c r="K3485" s="4">
        <v>1024.165</v>
      </c>
      <c r="L3485" s="6">
        <v>115.99</v>
      </c>
    </row>
    <row r="3486" spans="1:12" x14ac:dyDescent="0.25">
      <c r="A3486" s="1">
        <v>3485</v>
      </c>
      <c r="B3486" s="4">
        <v>24802</v>
      </c>
      <c r="C3486" s="5">
        <v>39836</v>
      </c>
      <c r="D3486" s="3" t="s">
        <v>4</v>
      </c>
      <c r="E3486" s="1" t="s">
        <v>1132</v>
      </c>
      <c r="F3486" s="1" t="s">
        <v>9</v>
      </c>
      <c r="G3486" s="2" t="s">
        <v>2</v>
      </c>
      <c r="H3486" s="3" t="s">
        <v>84</v>
      </c>
      <c r="I3486" s="3" t="s">
        <v>92</v>
      </c>
      <c r="J3486" s="3" t="s">
        <v>62</v>
      </c>
      <c r="K3486" s="4">
        <v>1383.2</v>
      </c>
      <c r="L3486" s="6">
        <v>73.98</v>
      </c>
    </row>
    <row r="3487" spans="1:12" x14ac:dyDescent="0.25">
      <c r="A3487" s="1">
        <v>3486</v>
      </c>
      <c r="B3487" s="4">
        <v>24804</v>
      </c>
      <c r="C3487" s="5">
        <v>40690</v>
      </c>
      <c r="D3487" s="3" t="s">
        <v>86</v>
      </c>
      <c r="E3487" s="1" t="s">
        <v>572</v>
      </c>
      <c r="F3487" s="1" t="s">
        <v>54</v>
      </c>
      <c r="G3487" s="2" t="s">
        <v>2</v>
      </c>
      <c r="H3487" s="3" t="s">
        <v>97</v>
      </c>
      <c r="I3487" s="3" t="s">
        <v>85</v>
      </c>
      <c r="J3487" s="3" t="s">
        <v>57</v>
      </c>
      <c r="K3487" s="4">
        <v>211.42</v>
      </c>
      <c r="L3487" s="6">
        <v>9.7100000000000009</v>
      </c>
    </row>
    <row r="3488" spans="1:12" x14ac:dyDescent="0.25">
      <c r="A3488" s="1">
        <v>3487</v>
      </c>
      <c r="B3488" s="4">
        <v>24806</v>
      </c>
      <c r="C3488" s="5">
        <v>40427</v>
      </c>
      <c r="D3488" s="3" t="s">
        <v>86</v>
      </c>
      <c r="E3488" s="1" t="s">
        <v>935</v>
      </c>
      <c r="F3488" s="1" t="s">
        <v>38</v>
      </c>
      <c r="G3488" s="2" t="s">
        <v>6</v>
      </c>
      <c r="H3488" s="3" t="s">
        <v>84</v>
      </c>
      <c r="I3488" s="3" t="s">
        <v>85</v>
      </c>
      <c r="J3488" s="3" t="s">
        <v>69</v>
      </c>
      <c r="K3488" s="4">
        <v>112.03</v>
      </c>
      <c r="L3488" s="6">
        <v>5.18</v>
      </c>
    </row>
    <row r="3489" spans="1:12" x14ac:dyDescent="0.25">
      <c r="A3489" s="1">
        <v>3488</v>
      </c>
      <c r="B3489" s="4">
        <v>24833</v>
      </c>
      <c r="C3489" s="5">
        <v>40375</v>
      </c>
      <c r="D3489" s="3" t="s">
        <v>86</v>
      </c>
      <c r="E3489" s="1" t="s">
        <v>837</v>
      </c>
      <c r="F3489" s="1" t="s">
        <v>30</v>
      </c>
      <c r="G3489" s="2" t="s">
        <v>6</v>
      </c>
      <c r="H3489" s="3" t="s">
        <v>84</v>
      </c>
      <c r="I3489" s="3" t="s">
        <v>91</v>
      </c>
      <c r="J3489" s="3" t="s">
        <v>60</v>
      </c>
      <c r="K3489" s="4">
        <v>5205.83</v>
      </c>
      <c r="L3489" s="6">
        <v>124.49</v>
      </c>
    </row>
    <row r="3490" spans="1:12" x14ac:dyDescent="0.25">
      <c r="A3490" s="1">
        <v>3489</v>
      </c>
      <c r="B3490" s="4">
        <v>24865</v>
      </c>
      <c r="C3490" s="5">
        <v>40987</v>
      </c>
      <c r="D3490" s="3" t="s">
        <v>89</v>
      </c>
      <c r="E3490" s="1" t="s">
        <v>993</v>
      </c>
      <c r="F3490" s="1" t="s">
        <v>23</v>
      </c>
      <c r="G3490" s="2" t="s">
        <v>3</v>
      </c>
      <c r="H3490" s="3" t="s">
        <v>100</v>
      </c>
      <c r="I3490" s="3" t="s">
        <v>85</v>
      </c>
      <c r="J3490" s="3" t="s">
        <v>71</v>
      </c>
      <c r="K3490" s="4">
        <v>175.23</v>
      </c>
      <c r="L3490" s="6">
        <v>3.69</v>
      </c>
    </row>
    <row r="3491" spans="1:12" x14ac:dyDescent="0.25">
      <c r="A3491" s="1">
        <v>3490</v>
      </c>
      <c r="B3491" s="4">
        <v>24869</v>
      </c>
      <c r="C3491" s="5">
        <v>39974</v>
      </c>
      <c r="D3491" s="3" t="s">
        <v>86</v>
      </c>
      <c r="E3491" s="1" t="s">
        <v>105</v>
      </c>
      <c r="F3491" s="1" t="s">
        <v>18</v>
      </c>
      <c r="G3491" s="2" t="s">
        <v>6</v>
      </c>
      <c r="H3491" s="3" t="s">
        <v>100</v>
      </c>
      <c r="I3491" s="3" t="s">
        <v>85</v>
      </c>
      <c r="J3491" s="3" t="s">
        <v>69</v>
      </c>
      <c r="K3491" s="4">
        <v>132.72</v>
      </c>
      <c r="L3491" s="6">
        <v>8.85</v>
      </c>
    </row>
    <row r="3492" spans="1:12" x14ac:dyDescent="0.25">
      <c r="A3492" s="1">
        <v>3491</v>
      </c>
      <c r="B3492" s="4">
        <v>24870</v>
      </c>
      <c r="C3492" s="5">
        <v>39927</v>
      </c>
      <c r="D3492" s="3" t="s">
        <v>82</v>
      </c>
      <c r="E3492" s="1" t="s">
        <v>205</v>
      </c>
      <c r="F3492" s="1" t="s">
        <v>42</v>
      </c>
      <c r="G3492" s="2" t="s">
        <v>3</v>
      </c>
      <c r="H3492" s="3" t="s">
        <v>84</v>
      </c>
      <c r="I3492" s="3" t="s">
        <v>92</v>
      </c>
      <c r="J3492" s="3" t="s">
        <v>62</v>
      </c>
      <c r="K3492" s="4">
        <v>1396.58</v>
      </c>
      <c r="L3492" s="6">
        <v>35.409999999999997</v>
      </c>
    </row>
    <row r="3493" spans="1:12" x14ac:dyDescent="0.25">
      <c r="A3493" s="1">
        <v>3492</v>
      </c>
      <c r="B3493" s="4">
        <v>24870</v>
      </c>
      <c r="C3493" s="5">
        <v>39927</v>
      </c>
      <c r="D3493" s="3" t="s">
        <v>82</v>
      </c>
      <c r="E3493" s="1" t="s">
        <v>205</v>
      </c>
      <c r="F3493" s="1" t="s">
        <v>42</v>
      </c>
      <c r="G3493" s="2" t="s">
        <v>3</v>
      </c>
      <c r="H3493" s="3" t="s">
        <v>84</v>
      </c>
      <c r="I3493" s="3" t="s">
        <v>85</v>
      </c>
      <c r="J3493" s="3" t="s">
        <v>57</v>
      </c>
      <c r="K3493" s="4">
        <v>6448.69</v>
      </c>
      <c r="L3493" s="6">
        <v>142.86000000000001</v>
      </c>
    </row>
    <row r="3494" spans="1:12" x14ac:dyDescent="0.25">
      <c r="A3494" s="1">
        <v>3493</v>
      </c>
      <c r="B3494" s="4">
        <v>24871</v>
      </c>
      <c r="C3494" s="5">
        <v>40625</v>
      </c>
      <c r="D3494" s="3" t="s">
        <v>4</v>
      </c>
      <c r="E3494" s="1" t="s">
        <v>153</v>
      </c>
      <c r="F3494" s="1" t="s">
        <v>8</v>
      </c>
      <c r="G3494" s="2" t="s">
        <v>6</v>
      </c>
      <c r="H3494" s="3" t="s">
        <v>88</v>
      </c>
      <c r="I3494" s="3" t="s">
        <v>91</v>
      </c>
      <c r="J3494" s="3" t="s">
        <v>59</v>
      </c>
      <c r="K3494" s="4">
        <v>143.78</v>
      </c>
      <c r="L3494" s="6">
        <v>22.72</v>
      </c>
    </row>
    <row r="3495" spans="1:12" x14ac:dyDescent="0.25">
      <c r="A3495" s="1">
        <v>3494</v>
      </c>
      <c r="B3495" s="4">
        <v>24899</v>
      </c>
      <c r="C3495" s="5">
        <v>40775</v>
      </c>
      <c r="D3495" s="3" t="s">
        <v>86</v>
      </c>
      <c r="E3495" s="1" t="s">
        <v>901</v>
      </c>
      <c r="F3495" s="1" t="s">
        <v>41</v>
      </c>
      <c r="G3495" s="2" t="s">
        <v>6</v>
      </c>
      <c r="H3495" s="3" t="s">
        <v>97</v>
      </c>
      <c r="I3495" s="3" t="s">
        <v>85</v>
      </c>
      <c r="J3495" s="3" t="s">
        <v>63</v>
      </c>
      <c r="K3495" s="4">
        <v>252.99</v>
      </c>
      <c r="L3495" s="6">
        <v>7.08</v>
      </c>
    </row>
    <row r="3496" spans="1:12" x14ac:dyDescent="0.25">
      <c r="A3496" s="1">
        <v>3495</v>
      </c>
      <c r="B3496" s="4">
        <v>24902</v>
      </c>
      <c r="C3496" s="5">
        <v>40324</v>
      </c>
      <c r="D3496" s="3" t="s">
        <v>89</v>
      </c>
      <c r="E3496" s="1" t="s">
        <v>1045</v>
      </c>
      <c r="F3496" s="1" t="s">
        <v>23</v>
      </c>
      <c r="G3496" s="2" t="s">
        <v>3</v>
      </c>
      <c r="H3496" s="3" t="s">
        <v>100</v>
      </c>
      <c r="I3496" s="3" t="s">
        <v>85</v>
      </c>
      <c r="J3496" s="3" t="s">
        <v>66</v>
      </c>
      <c r="K3496" s="4">
        <v>224.58</v>
      </c>
      <c r="L3496" s="6">
        <v>5.18</v>
      </c>
    </row>
    <row r="3497" spans="1:12" x14ac:dyDescent="0.25">
      <c r="A3497" s="1">
        <v>3496</v>
      </c>
      <c r="B3497" s="4">
        <v>24903</v>
      </c>
      <c r="C3497" s="5">
        <v>40470</v>
      </c>
      <c r="D3497" s="3" t="s">
        <v>82</v>
      </c>
      <c r="E3497" s="1" t="s">
        <v>369</v>
      </c>
      <c r="F3497" s="1" t="s">
        <v>53</v>
      </c>
      <c r="G3497" s="2" t="s">
        <v>6</v>
      </c>
      <c r="H3497" s="3" t="s">
        <v>88</v>
      </c>
      <c r="I3497" s="3" t="s">
        <v>85</v>
      </c>
      <c r="J3497" s="3" t="s">
        <v>66</v>
      </c>
      <c r="K3497" s="4">
        <v>1646.47</v>
      </c>
      <c r="L3497" s="6">
        <v>48.91</v>
      </c>
    </row>
    <row r="3498" spans="1:12" x14ac:dyDescent="0.25">
      <c r="A3498" s="1">
        <v>3497</v>
      </c>
      <c r="B3498" s="4">
        <v>24931</v>
      </c>
      <c r="C3498" s="5">
        <v>40854</v>
      </c>
      <c r="D3498" s="3" t="s">
        <v>82</v>
      </c>
      <c r="E3498" s="1" t="s">
        <v>854</v>
      </c>
      <c r="F3498" s="1" t="s">
        <v>10</v>
      </c>
      <c r="G3498" s="2" t="s">
        <v>3</v>
      </c>
      <c r="H3498" s="3" t="s">
        <v>97</v>
      </c>
      <c r="I3498" s="3" t="s">
        <v>85</v>
      </c>
      <c r="J3498" s="3" t="s">
        <v>69</v>
      </c>
      <c r="K3498" s="4">
        <v>149.63999999999999</v>
      </c>
      <c r="L3498" s="6">
        <v>16.739999999999998</v>
      </c>
    </row>
    <row r="3499" spans="1:12" x14ac:dyDescent="0.25">
      <c r="A3499" s="1">
        <v>3498</v>
      </c>
      <c r="B3499" s="4">
        <v>24933</v>
      </c>
      <c r="C3499" s="5">
        <v>40020</v>
      </c>
      <c r="D3499" s="3" t="s">
        <v>82</v>
      </c>
      <c r="E3499" s="1" t="s">
        <v>1133</v>
      </c>
      <c r="F3499" s="1" t="s">
        <v>30</v>
      </c>
      <c r="G3499" s="2" t="s">
        <v>6</v>
      </c>
      <c r="H3499" s="3" t="s">
        <v>100</v>
      </c>
      <c r="I3499" s="3" t="s">
        <v>91</v>
      </c>
      <c r="J3499" s="3" t="s">
        <v>68</v>
      </c>
      <c r="K3499" s="4">
        <v>3416.38</v>
      </c>
      <c r="L3499" s="6">
        <v>100.98</v>
      </c>
    </row>
    <row r="3500" spans="1:12" x14ac:dyDescent="0.25">
      <c r="A3500" s="1">
        <v>3499</v>
      </c>
      <c r="B3500" s="4">
        <v>24933</v>
      </c>
      <c r="C3500" s="5">
        <v>40020</v>
      </c>
      <c r="D3500" s="3" t="s">
        <v>82</v>
      </c>
      <c r="E3500" s="1" t="s">
        <v>1133</v>
      </c>
      <c r="F3500" s="1" t="s">
        <v>30</v>
      </c>
      <c r="G3500" s="2" t="s">
        <v>6</v>
      </c>
      <c r="H3500" s="3" t="s">
        <v>100</v>
      </c>
      <c r="I3500" s="3" t="s">
        <v>85</v>
      </c>
      <c r="J3500" s="3" t="s">
        <v>66</v>
      </c>
      <c r="K3500" s="4">
        <v>142.81</v>
      </c>
      <c r="L3500" s="6">
        <v>10.14</v>
      </c>
    </row>
    <row r="3501" spans="1:12" x14ac:dyDescent="0.25">
      <c r="A3501" s="1">
        <v>3500</v>
      </c>
      <c r="B3501" s="4">
        <v>24960</v>
      </c>
      <c r="C3501" s="5">
        <v>40570</v>
      </c>
      <c r="D3501" s="3" t="s">
        <v>89</v>
      </c>
      <c r="E3501" s="1" t="s">
        <v>1116</v>
      </c>
      <c r="F3501" s="1" t="s">
        <v>13</v>
      </c>
      <c r="G3501" s="2" t="s">
        <v>6</v>
      </c>
      <c r="H3501" s="3" t="s">
        <v>84</v>
      </c>
      <c r="I3501" s="3" t="s">
        <v>92</v>
      </c>
      <c r="J3501" s="3" t="s">
        <v>62</v>
      </c>
      <c r="K3501" s="4">
        <v>1760.35</v>
      </c>
      <c r="L3501" s="6">
        <v>34.979999999999997</v>
      </c>
    </row>
    <row r="3502" spans="1:12" x14ac:dyDescent="0.25">
      <c r="A3502" s="1">
        <v>3501</v>
      </c>
      <c r="B3502" s="4">
        <v>24960</v>
      </c>
      <c r="C3502" s="5">
        <v>40570</v>
      </c>
      <c r="D3502" s="3" t="s">
        <v>89</v>
      </c>
      <c r="E3502" s="1" t="s">
        <v>1116</v>
      </c>
      <c r="F3502" s="1" t="s">
        <v>13</v>
      </c>
      <c r="G3502" s="2" t="s">
        <v>6</v>
      </c>
      <c r="H3502" s="3" t="s">
        <v>84</v>
      </c>
      <c r="I3502" s="3" t="s">
        <v>85</v>
      </c>
      <c r="J3502" s="3" t="s">
        <v>66</v>
      </c>
      <c r="K3502" s="4">
        <v>1436.94</v>
      </c>
      <c r="L3502" s="6">
        <v>37.94</v>
      </c>
    </row>
    <row r="3503" spans="1:12" x14ac:dyDescent="0.25">
      <c r="A3503" s="1">
        <v>3502</v>
      </c>
      <c r="B3503" s="4">
        <v>24960</v>
      </c>
      <c r="C3503" s="5">
        <v>40570</v>
      </c>
      <c r="D3503" s="3" t="s">
        <v>89</v>
      </c>
      <c r="E3503" s="1" t="s">
        <v>1116</v>
      </c>
      <c r="F3503" s="1" t="s">
        <v>13</v>
      </c>
      <c r="G3503" s="2" t="s">
        <v>6</v>
      </c>
      <c r="H3503" s="3" t="s">
        <v>84</v>
      </c>
      <c r="I3503" s="3" t="s">
        <v>85</v>
      </c>
      <c r="J3503" s="3" t="s">
        <v>66</v>
      </c>
      <c r="K3503" s="4">
        <v>125.8</v>
      </c>
      <c r="L3503" s="6">
        <v>6.48</v>
      </c>
    </row>
    <row r="3504" spans="1:12" x14ac:dyDescent="0.25">
      <c r="A3504" s="1">
        <v>3503</v>
      </c>
      <c r="B3504" s="4">
        <v>24960</v>
      </c>
      <c r="C3504" s="5">
        <v>40570</v>
      </c>
      <c r="D3504" s="3" t="s">
        <v>89</v>
      </c>
      <c r="E3504" s="1" t="s">
        <v>1116</v>
      </c>
      <c r="F3504" s="1" t="s">
        <v>13</v>
      </c>
      <c r="G3504" s="2" t="s">
        <v>6</v>
      </c>
      <c r="H3504" s="3" t="s">
        <v>84</v>
      </c>
      <c r="I3504" s="3" t="s">
        <v>92</v>
      </c>
      <c r="J3504" s="3" t="s">
        <v>61</v>
      </c>
      <c r="K3504" s="4">
        <v>5797.68</v>
      </c>
      <c r="L3504" s="6">
        <v>200.99</v>
      </c>
    </row>
    <row r="3505" spans="1:12" x14ac:dyDescent="0.25">
      <c r="A3505" s="1">
        <v>3504</v>
      </c>
      <c r="B3505" s="4">
        <v>24961</v>
      </c>
      <c r="C3505" s="5">
        <v>40204</v>
      </c>
      <c r="D3505" s="3" t="s">
        <v>82</v>
      </c>
      <c r="E3505" s="1" t="s">
        <v>471</v>
      </c>
      <c r="F3505" s="1" t="s">
        <v>16</v>
      </c>
      <c r="G3505" s="2" t="s">
        <v>3</v>
      </c>
      <c r="H3505" s="3" t="s">
        <v>100</v>
      </c>
      <c r="I3505" s="3" t="s">
        <v>91</v>
      </c>
      <c r="J3505" s="3" t="s">
        <v>68</v>
      </c>
      <c r="K3505" s="4">
        <v>487.59</v>
      </c>
      <c r="L3505" s="6">
        <v>58.14</v>
      </c>
    </row>
    <row r="3506" spans="1:12" x14ac:dyDescent="0.25">
      <c r="A3506" s="1">
        <v>3505</v>
      </c>
      <c r="B3506" s="4">
        <v>24965</v>
      </c>
      <c r="C3506" s="5">
        <v>40631</v>
      </c>
      <c r="D3506" s="3" t="s">
        <v>82</v>
      </c>
      <c r="E3506" s="1" t="s">
        <v>1120</v>
      </c>
      <c r="F3506" s="1" t="s">
        <v>38</v>
      </c>
      <c r="G3506" s="2" t="s">
        <v>6</v>
      </c>
      <c r="H3506" s="3" t="s">
        <v>88</v>
      </c>
      <c r="I3506" s="3" t="s">
        <v>85</v>
      </c>
      <c r="J3506" s="3" t="s">
        <v>69</v>
      </c>
      <c r="K3506" s="4">
        <v>2528.4899999999998</v>
      </c>
      <c r="L3506" s="6">
        <v>420.98</v>
      </c>
    </row>
    <row r="3507" spans="1:12" x14ac:dyDescent="0.25">
      <c r="A3507" s="1">
        <v>3506</v>
      </c>
      <c r="B3507" s="4">
        <v>24965</v>
      </c>
      <c r="C3507" s="5">
        <v>40631</v>
      </c>
      <c r="D3507" s="3" t="s">
        <v>82</v>
      </c>
      <c r="E3507" s="1" t="s">
        <v>1120</v>
      </c>
      <c r="F3507" s="1" t="s">
        <v>38</v>
      </c>
      <c r="G3507" s="2" t="s">
        <v>6</v>
      </c>
      <c r="H3507" s="3" t="s">
        <v>88</v>
      </c>
      <c r="I3507" s="3" t="s">
        <v>91</v>
      </c>
      <c r="J3507" s="3" t="s">
        <v>59</v>
      </c>
      <c r="K3507" s="4">
        <v>1146.1099999999999</v>
      </c>
      <c r="L3507" s="6">
        <v>29.18</v>
      </c>
    </row>
    <row r="3508" spans="1:12" x14ac:dyDescent="0.25">
      <c r="A3508" s="1">
        <v>3507</v>
      </c>
      <c r="B3508" s="4">
        <v>24966</v>
      </c>
      <c r="C3508" s="5">
        <v>40894</v>
      </c>
      <c r="D3508" s="3" t="s">
        <v>4</v>
      </c>
      <c r="E3508" s="1" t="s">
        <v>751</v>
      </c>
      <c r="F3508" s="1" t="s">
        <v>16</v>
      </c>
      <c r="G3508" s="2" t="s">
        <v>3</v>
      </c>
      <c r="H3508" s="3" t="s">
        <v>88</v>
      </c>
      <c r="I3508" s="3" t="s">
        <v>85</v>
      </c>
      <c r="J3508" s="3" t="s">
        <v>57</v>
      </c>
      <c r="K3508" s="4">
        <v>4152.12</v>
      </c>
      <c r="L3508" s="6">
        <v>120.33</v>
      </c>
    </row>
    <row r="3509" spans="1:12" x14ac:dyDescent="0.25">
      <c r="A3509" s="1">
        <v>3508</v>
      </c>
      <c r="B3509" s="4">
        <v>24993</v>
      </c>
      <c r="C3509" s="5">
        <v>40248</v>
      </c>
      <c r="D3509" s="3" t="s">
        <v>89</v>
      </c>
      <c r="E3509" s="1" t="s">
        <v>818</v>
      </c>
      <c r="F3509" s="1" t="s">
        <v>19</v>
      </c>
      <c r="G3509" s="2" t="s">
        <v>3</v>
      </c>
      <c r="H3509" s="3" t="s">
        <v>84</v>
      </c>
      <c r="I3509" s="3" t="s">
        <v>92</v>
      </c>
      <c r="J3509" s="3" t="s">
        <v>61</v>
      </c>
      <c r="K3509" s="4">
        <v>1561.2204999999999</v>
      </c>
      <c r="L3509" s="6">
        <v>55.99</v>
      </c>
    </row>
    <row r="3510" spans="1:12" x14ac:dyDescent="0.25">
      <c r="A3510" s="1">
        <v>3509</v>
      </c>
      <c r="B3510" s="4">
        <v>24996</v>
      </c>
      <c r="C3510" s="5">
        <v>40811</v>
      </c>
      <c r="D3510" s="3" t="s">
        <v>95</v>
      </c>
      <c r="E3510" s="1" t="s">
        <v>832</v>
      </c>
      <c r="F3510" s="1" t="s">
        <v>9</v>
      </c>
      <c r="G3510" s="2" t="s">
        <v>2</v>
      </c>
      <c r="H3510" s="3" t="s">
        <v>100</v>
      </c>
      <c r="I3510" s="3" t="s">
        <v>85</v>
      </c>
      <c r="J3510" s="3" t="s">
        <v>70</v>
      </c>
      <c r="K3510" s="4">
        <v>1793.24</v>
      </c>
      <c r="L3510" s="6">
        <v>46.89</v>
      </c>
    </row>
    <row r="3511" spans="1:12" x14ac:dyDescent="0.25">
      <c r="A3511" s="1">
        <v>3510</v>
      </c>
      <c r="B3511" s="4">
        <v>24996</v>
      </c>
      <c r="C3511" s="5">
        <v>40811</v>
      </c>
      <c r="D3511" s="3" t="s">
        <v>95</v>
      </c>
      <c r="E3511" s="1" t="s">
        <v>832</v>
      </c>
      <c r="F3511" s="1" t="s">
        <v>9</v>
      </c>
      <c r="G3511" s="2" t="s">
        <v>2</v>
      </c>
      <c r="H3511" s="3" t="s">
        <v>100</v>
      </c>
      <c r="I3511" s="3" t="s">
        <v>92</v>
      </c>
      <c r="J3511" s="3" t="s">
        <v>61</v>
      </c>
      <c r="K3511" s="4">
        <v>143.667</v>
      </c>
      <c r="L3511" s="6">
        <v>85.99</v>
      </c>
    </row>
    <row r="3512" spans="1:12" x14ac:dyDescent="0.25">
      <c r="A3512" s="1">
        <v>3511</v>
      </c>
      <c r="B3512" s="4">
        <v>25027</v>
      </c>
      <c r="C3512" s="5">
        <v>40163</v>
      </c>
      <c r="D3512" s="3" t="s">
        <v>4</v>
      </c>
      <c r="E3512" s="1" t="s">
        <v>1134</v>
      </c>
      <c r="F3512" s="1" t="s">
        <v>24</v>
      </c>
      <c r="G3512" s="2" t="s">
        <v>2</v>
      </c>
      <c r="H3512" s="3" t="s">
        <v>100</v>
      </c>
      <c r="I3512" s="3" t="s">
        <v>91</v>
      </c>
      <c r="J3512" s="3" t="s">
        <v>60</v>
      </c>
      <c r="K3512" s="4">
        <v>3585.91</v>
      </c>
      <c r="L3512" s="6">
        <v>146.34</v>
      </c>
    </row>
    <row r="3513" spans="1:12" x14ac:dyDescent="0.25">
      <c r="A3513" s="1">
        <v>3512</v>
      </c>
      <c r="B3513" s="4">
        <v>25028</v>
      </c>
      <c r="C3513" s="5">
        <v>40548</v>
      </c>
      <c r="D3513" s="3" t="s">
        <v>95</v>
      </c>
      <c r="E3513" s="1" t="s">
        <v>155</v>
      </c>
      <c r="F3513" s="1" t="s">
        <v>33</v>
      </c>
      <c r="G3513" s="2" t="s">
        <v>2</v>
      </c>
      <c r="H3513" s="3" t="s">
        <v>97</v>
      </c>
      <c r="I3513" s="3" t="s">
        <v>91</v>
      </c>
      <c r="J3513" s="3" t="s">
        <v>68</v>
      </c>
      <c r="K3513" s="4">
        <v>477.39</v>
      </c>
      <c r="L3513" s="6">
        <v>81.94</v>
      </c>
    </row>
    <row r="3514" spans="1:12" x14ac:dyDescent="0.25">
      <c r="A3514" s="1">
        <v>3513</v>
      </c>
      <c r="B3514" s="4">
        <v>25028</v>
      </c>
      <c r="C3514" s="5">
        <v>40548</v>
      </c>
      <c r="D3514" s="3" t="s">
        <v>95</v>
      </c>
      <c r="E3514" s="1" t="s">
        <v>155</v>
      </c>
      <c r="F3514" s="1" t="s">
        <v>33</v>
      </c>
      <c r="G3514" s="2" t="s">
        <v>2</v>
      </c>
      <c r="H3514" s="3" t="s">
        <v>97</v>
      </c>
      <c r="I3514" s="3" t="s">
        <v>85</v>
      </c>
      <c r="J3514" s="3" t="s">
        <v>66</v>
      </c>
      <c r="K3514" s="4">
        <v>552.08000000000004</v>
      </c>
      <c r="L3514" s="6">
        <v>37.94</v>
      </c>
    </row>
    <row r="3515" spans="1:12" x14ac:dyDescent="0.25">
      <c r="A3515" s="1">
        <v>3514</v>
      </c>
      <c r="B3515" s="4">
        <v>25031</v>
      </c>
      <c r="C3515" s="5">
        <v>40048</v>
      </c>
      <c r="D3515" s="3" t="s">
        <v>89</v>
      </c>
      <c r="E3515" s="1" t="s">
        <v>483</v>
      </c>
      <c r="F3515" s="1" t="s">
        <v>30</v>
      </c>
      <c r="G3515" s="2" t="s">
        <v>6</v>
      </c>
      <c r="H3515" s="3" t="s">
        <v>100</v>
      </c>
      <c r="I3515" s="3" t="s">
        <v>91</v>
      </c>
      <c r="J3515" s="3" t="s">
        <v>60</v>
      </c>
      <c r="K3515" s="4">
        <v>4636.62</v>
      </c>
      <c r="L3515" s="6">
        <v>209.37</v>
      </c>
    </row>
    <row r="3516" spans="1:12" x14ac:dyDescent="0.25">
      <c r="A3516" s="1">
        <v>3515</v>
      </c>
      <c r="B3516" s="4">
        <v>25031</v>
      </c>
      <c r="C3516" s="5">
        <v>40048</v>
      </c>
      <c r="D3516" s="3" t="s">
        <v>89</v>
      </c>
      <c r="E3516" s="1" t="s">
        <v>837</v>
      </c>
      <c r="F3516" s="1" t="s">
        <v>30</v>
      </c>
      <c r="G3516" s="2" t="s">
        <v>6</v>
      </c>
      <c r="H3516" s="3" t="s">
        <v>100</v>
      </c>
      <c r="I3516" s="3" t="s">
        <v>85</v>
      </c>
      <c r="J3516" s="3" t="s">
        <v>66</v>
      </c>
      <c r="K3516" s="4">
        <v>100.11</v>
      </c>
      <c r="L3516" s="6">
        <v>4.9800000000000004</v>
      </c>
    </row>
    <row r="3517" spans="1:12" x14ac:dyDescent="0.25">
      <c r="A3517" s="1">
        <v>3516</v>
      </c>
      <c r="B3517" s="4">
        <v>25056</v>
      </c>
      <c r="C3517" s="5">
        <v>40442</v>
      </c>
      <c r="D3517" s="3" t="s">
        <v>86</v>
      </c>
      <c r="E3517" s="1" t="s">
        <v>580</v>
      </c>
      <c r="F3517" s="1" t="s">
        <v>22</v>
      </c>
      <c r="G3517" s="2" t="s">
        <v>6</v>
      </c>
      <c r="H3517" s="3" t="s">
        <v>88</v>
      </c>
      <c r="I3517" s="3" t="s">
        <v>85</v>
      </c>
      <c r="J3517" s="3" t="s">
        <v>66</v>
      </c>
      <c r="K3517" s="4">
        <v>295.12</v>
      </c>
      <c r="L3517" s="6">
        <v>6.48</v>
      </c>
    </row>
    <row r="3518" spans="1:12" x14ac:dyDescent="0.25">
      <c r="A3518" s="1">
        <v>3517</v>
      </c>
      <c r="B3518" s="4">
        <v>25060</v>
      </c>
      <c r="C3518" s="5">
        <v>40014</v>
      </c>
      <c r="D3518" s="3" t="s">
        <v>86</v>
      </c>
      <c r="E3518" s="1" t="s">
        <v>1011</v>
      </c>
      <c r="F3518" s="1" t="s">
        <v>19</v>
      </c>
      <c r="G3518" s="2" t="s">
        <v>3</v>
      </c>
      <c r="H3518" s="3" t="s">
        <v>100</v>
      </c>
      <c r="I3518" s="3" t="s">
        <v>85</v>
      </c>
      <c r="J3518" s="3" t="s">
        <v>69</v>
      </c>
      <c r="K3518" s="4">
        <v>7767.02</v>
      </c>
      <c r="L3518" s="6">
        <v>1270.99</v>
      </c>
    </row>
    <row r="3519" spans="1:12" x14ac:dyDescent="0.25">
      <c r="A3519" s="1">
        <v>3518</v>
      </c>
      <c r="B3519" s="4">
        <v>25060</v>
      </c>
      <c r="C3519" s="5">
        <v>40014</v>
      </c>
      <c r="D3519" s="3" t="s">
        <v>86</v>
      </c>
      <c r="E3519" s="1" t="s">
        <v>1011</v>
      </c>
      <c r="F3519" s="1" t="s">
        <v>19</v>
      </c>
      <c r="G3519" s="2" t="s">
        <v>3</v>
      </c>
      <c r="H3519" s="3" t="s">
        <v>100</v>
      </c>
      <c r="I3519" s="3" t="s">
        <v>92</v>
      </c>
      <c r="J3519" s="3" t="s">
        <v>67</v>
      </c>
      <c r="K3519" s="4">
        <v>1893.93</v>
      </c>
      <c r="L3519" s="6">
        <v>2036.48</v>
      </c>
    </row>
    <row r="3520" spans="1:12" x14ac:dyDescent="0.25">
      <c r="A3520" s="1">
        <v>3519</v>
      </c>
      <c r="B3520" s="4">
        <v>25061</v>
      </c>
      <c r="C3520" s="5">
        <v>40895</v>
      </c>
      <c r="D3520" s="3" t="s">
        <v>4</v>
      </c>
      <c r="E3520" s="1" t="s">
        <v>1135</v>
      </c>
      <c r="F3520" s="1" t="s">
        <v>13</v>
      </c>
      <c r="G3520" s="2" t="s">
        <v>6</v>
      </c>
      <c r="H3520" s="3" t="s">
        <v>97</v>
      </c>
      <c r="I3520" s="3" t="s">
        <v>85</v>
      </c>
      <c r="J3520" s="3" t="s">
        <v>66</v>
      </c>
      <c r="K3520" s="4">
        <v>941.13</v>
      </c>
      <c r="L3520" s="6">
        <v>48.04</v>
      </c>
    </row>
    <row r="3521" spans="1:12" x14ac:dyDescent="0.25">
      <c r="A3521" s="1">
        <v>3520</v>
      </c>
      <c r="B3521" s="4">
        <v>25062</v>
      </c>
      <c r="C3521" s="5">
        <v>40481</v>
      </c>
      <c r="D3521" s="3" t="s">
        <v>95</v>
      </c>
      <c r="E3521" s="1" t="s">
        <v>735</v>
      </c>
      <c r="F3521" s="1" t="s">
        <v>34</v>
      </c>
      <c r="G3521" s="2" t="s">
        <v>1</v>
      </c>
      <c r="H3521" s="3" t="s">
        <v>100</v>
      </c>
      <c r="I3521" s="3" t="s">
        <v>85</v>
      </c>
      <c r="J3521" s="3" t="s">
        <v>70</v>
      </c>
      <c r="K3521" s="4">
        <v>78.790000000000006</v>
      </c>
      <c r="L3521" s="6">
        <v>14.42</v>
      </c>
    </row>
    <row r="3522" spans="1:12" x14ac:dyDescent="0.25">
      <c r="A3522" s="1">
        <v>3521</v>
      </c>
      <c r="B3522" s="4">
        <v>25062</v>
      </c>
      <c r="C3522" s="5">
        <v>40481</v>
      </c>
      <c r="D3522" s="3" t="s">
        <v>95</v>
      </c>
      <c r="E3522" s="1" t="s">
        <v>735</v>
      </c>
      <c r="F3522" s="1" t="s">
        <v>34</v>
      </c>
      <c r="G3522" s="2" t="s">
        <v>1</v>
      </c>
      <c r="H3522" s="3" t="s">
        <v>100</v>
      </c>
      <c r="I3522" s="3" t="s">
        <v>85</v>
      </c>
      <c r="J3522" s="3" t="s">
        <v>69</v>
      </c>
      <c r="K3522" s="4">
        <v>3928.25</v>
      </c>
      <c r="L3522" s="6">
        <v>420.98</v>
      </c>
    </row>
    <row r="3523" spans="1:12" x14ac:dyDescent="0.25">
      <c r="A3523" s="1">
        <v>3522</v>
      </c>
      <c r="B3523" s="4">
        <v>25063</v>
      </c>
      <c r="C3523" s="5">
        <v>39993</v>
      </c>
      <c r="D3523" s="3" t="s">
        <v>86</v>
      </c>
      <c r="E3523" s="1" t="s">
        <v>1110</v>
      </c>
      <c r="F3523" s="1" t="s">
        <v>33</v>
      </c>
      <c r="G3523" s="2" t="s">
        <v>2</v>
      </c>
      <c r="H3523" s="3" t="s">
        <v>97</v>
      </c>
      <c r="I3523" s="3" t="s">
        <v>92</v>
      </c>
      <c r="J3523" s="3" t="s">
        <v>61</v>
      </c>
      <c r="K3523" s="4">
        <v>711.875</v>
      </c>
      <c r="L3523" s="6">
        <v>35.99</v>
      </c>
    </row>
    <row r="3524" spans="1:12" x14ac:dyDescent="0.25">
      <c r="A3524" s="1">
        <v>3523</v>
      </c>
      <c r="B3524" s="4">
        <v>25091</v>
      </c>
      <c r="C3524" s="5">
        <v>40228</v>
      </c>
      <c r="D3524" s="3" t="s">
        <v>4</v>
      </c>
      <c r="E3524" s="1" t="s">
        <v>897</v>
      </c>
      <c r="F3524" s="1" t="s">
        <v>35</v>
      </c>
      <c r="G3524" s="2" t="s">
        <v>1</v>
      </c>
      <c r="H3524" s="3" t="s">
        <v>88</v>
      </c>
      <c r="I3524" s="3" t="s">
        <v>85</v>
      </c>
      <c r="J3524" s="3" t="s">
        <v>69</v>
      </c>
      <c r="K3524" s="4">
        <v>156.97</v>
      </c>
      <c r="L3524" s="6">
        <v>34.54</v>
      </c>
    </row>
    <row r="3525" spans="1:12" x14ac:dyDescent="0.25">
      <c r="A3525" s="1">
        <v>3524</v>
      </c>
      <c r="B3525" s="4">
        <v>25092</v>
      </c>
      <c r="C3525" s="5">
        <v>40513</v>
      </c>
      <c r="D3525" s="3" t="s">
        <v>89</v>
      </c>
      <c r="E3525" s="1" t="s">
        <v>1136</v>
      </c>
      <c r="F3525" s="1" t="s">
        <v>39</v>
      </c>
      <c r="G3525" s="2" t="s">
        <v>1</v>
      </c>
      <c r="H3525" s="3" t="s">
        <v>100</v>
      </c>
      <c r="I3525" s="3" t="s">
        <v>85</v>
      </c>
      <c r="J3525" s="3" t="s">
        <v>69</v>
      </c>
      <c r="K3525" s="4">
        <v>141.27000000000001</v>
      </c>
      <c r="L3525" s="6">
        <v>21.38</v>
      </c>
    </row>
    <row r="3526" spans="1:12" x14ac:dyDescent="0.25">
      <c r="A3526" s="1">
        <v>3525</v>
      </c>
      <c r="B3526" s="4">
        <v>25092</v>
      </c>
      <c r="C3526" s="5">
        <v>40513</v>
      </c>
      <c r="D3526" s="3" t="s">
        <v>89</v>
      </c>
      <c r="E3526" s="1" t="s">
        <v>1137</v>
      </c>
      <c r="F3526" s="1" t="s">
        <v>39</v>
      </c>
      <c r="G3526" s="2" t="s">
        <v>1</v>
      </c>
      <c r="H3526" s="3" t="s">
        <v>100</v>
      </c>
      <c r="I3526" s="3" t="s">
        <v>85</v>
      </c>
      <c r="J3526" s="3" t="s">
        <v>64</v>
      </c>
      <c r="K3526" s="4">
        <v>16.02</v>
      </c>
      <c r="L3526" s="6">
        <v>1.81</v>
      </c>
    </row>
    <row r="3527" spans="1:12" x14ac:dyDescent="0.25">
      <c r="A3527" s="1">
        <v>3526</v>
      </c>
      <c r="B3527" s="4">
        <v>25092</v>
      </c>
      <c r="C3527" s="5">
        <v>40513</v>
      </c>
      <c r="D3527" s="3" t="s">
        <v>89</v>
      </c>
      <c r="E3527" s="1" t="s">
        <v>512</v>
      </c>
      <c r="F3527" s="1" t="s">
        <v>48</v>
      </c>
      <c r="G3527" s="2" t="s">
        <v>1</v>
      </c>
      <c r="H3527" s="3" t="s">
        <v>100</v>
      </c>
      <c r="I3527" s="3" t="s">
        <v>85</v>
      </c>
      <c r="J3527" s="3" t="s">
        <v>63</v>
      </c>
      <c r="K3527" s="4">
        <v>242.8</v>
      </c>
      <c r="L3527" s="6">
        <v>5.84</v>
      </c>
    </row>
    <row r="3528" spans="1:12" x14ac:dyDescent="0.25">
      <c r="A3528" s="1">
        <v>3527</v>
      </c>
      <c r="B3528" s="4">
        <v>25095</v>
      </c>
      <c r="C3528" s="5">
        <v>40568</v>
      </c>
      <c r="D3528" s="3" t="s">
        <v>82</v>
      </c>
      <c r="E3528" s="1" t="s">
        <v>1138</v>
      </c>
      <c r="F3528" s="1" t="s">
        <v>13</v>
      </c>
      <c r="G3528" s="2" t="s">
        <v>6</v>
      </c>
      <c r="H3528" s="3" t="s">
        <v>100</v>
      </c>
      <c r="I3528" s="3" t="s">
        <v>85</v>
      </c>
      <c r="J3528" s="3" t="s">
        <v>71</v>
      </c>
      <c r="K3528" s="4">
        <v>693.06</v>
      </c>
      <c r="L3528" s="6">
        <v>39.979999999999997</v>
      </c>
    </row>
    <row r="3529" spans="1:12" x14ac:dyDescent="0.25">
      <c r="A3529" s="1">
        <v>3528</v>
      </c>
      <c r="B3529" s="4">
        <v>25095</v>
      </c>
      <c r="C3529" s="5">
        <v>40568</v>
      </c>
      <c r="D3529" s="3" t="s">
        <v>82</v>
      </c>
      <c r="E3529" s="1" t="s">
        <v>1138</v>
      </c>
      <c r="F3529" s="1" t="s">
        <v>13</v>
      </c>
      <c r="G3529" s="2" t="s">
        <v>6</v>
      </c>
      <c r="H3529" s="3" t="s">
        <v>100</v>
      </c>
      <c r="I3529" s="3" t="s">
        <v>92</v>
      </c>
      <c r="J3529" s="3" t="s">
        <v>67</v>
      </c>
      <c r="K3529" s="4">
        <v>4475.03</v>
      </c>
      <c r="L3529" s="6">
        <v>115.99</v>
      </c>
    </row>
    <row r="3530" spans="1:12" x14ac:dyDescent="0.25">
      <c r="A3530" s="1">
        <v>3529</v>
      </c>
      <c r="B3530" s="4">
        <v>25120</v>
      </c>
      <c r="C3530" s="5">
        <v>39848</v>
      </c>
      <c r="D3530" s="3" t="s">
        <v>4</v>
      </c>
      <c r="E3530" s="1" t="s">
        <v>945</v>
      </c>
      <c r="F3530" s="1" t="s">
        <v>29</v>
      </c>
      <c r="G3530" s="2" t="s">
        <v>3</v>
      </c>
      <c r="H3530" s="3" t="s">
        <v>88</v>
      </c>
      <c r="I3530" s="3" t="s">
        <v>85</v>
      </c>
      <c r="J3530" s="3" t="s">
        <v>65</v>
      </c>
      <c r="K3530" s="4">
        <v>237.15</v>
      </c>
      <c r="L3530" s="6">
        <v>4.91</v>
      </c>
    </row>
    <row r="3531" spans="1:12" x14ac:dyDescent="0.25">
      <c r="A3531" s="1">
        <v>3530</v>
      </c>
      <c r="B3531" s="4">
        <v>25120</v>
      </c>
      <c r="C3531" s="5">
        <v>39848</v>
      </c>
      <c r="D3531" s="3" t="s">
        <v>4</v>
      </c>
      <c r="E3531" s="1" t="s">
        <v>945</v>
      </c>
      <c r="F3531" s="1" t="s">
        <v>29</v>
      </c>
      <c r="G3531" s="2" t="s">
        <v>3</v>
      </c>
      <c r="H3531" s="3" t="s">
        <v>88</v>
      </c>
      <c r="I3531" s="3" t="s">
        <v>85</v>
      </c>
      <c r="J3531" s="3" t="s">
        <v>66</v>
      </c>
      <c r="K3531" s="4">
        <v>179.22</v>
      </c>
      <c r="L3531" s="6">
        <v>7.28</v>
      </c>
    </row>
    <row r="3532" spans="1:12" x14ac:dyDescent="0.25">
      <c r="A3532" s="1">
        <v>3531</v>
      </c>
      <c r="B3532" s="4">
        <v>25120</v>
      </c>
      <c r="C3532" s="5">
        <v>39848</v>
      </c>
      <c r="D3532" s="3" t="s">
        <v>4</v>
      </c>
      <c r="E3532" s="1" t="s">
        <v>945</v>
      </c>
      <c r="F3532" s="1" t="s">
        <v>29</v>
      </c>
      <c r="G3532" s="2" t="s">
        <v>3</v>
      </c>
      <c r="H3532" s="3" t="s">
        <v>88</v>
      </c>
      <c r="I3532" s="3" t="s">
        <v>85</v>
      </c>
      <c r="J3532" s="3" t="s">
        <v>66</v>
      </c>
      <c r="K3532" s="4">
        <v>71.86</v>
      </c>
      <c r="L3532" s="6">
        <v>6.68</v>
      </c>
    </row>
    <row r="3533" spans="1:12" x14ac:dyDescent="0.25">
      <c r="A3533" s="1">
        <v>3532</v>
      </c>
      <c r="B3533" s="4">
        <v>25152</v>
      </c>
      <c r="C3533" s="5">
        <v>41197</v>
      </c>
      <c r="D3533" s="3" t="s">
        <v>95</v>
      </c>
      <c r="E3533" s="1" t="s">
        <v>773</v>
      </c>
      <c r="F3533" s="1" t="s">
        <v>34</v>
      </c>
      <c r="G3533" s="2" t="s">
        <v>1</v>
      </c>
      <c r="H3533" s="3" t="s">
        <v>88</v>
      </c>
      <c r="I3533" s="3" t="s">
        <v>85</v>
      </c>
      <c r="J3533" s="3" t="s">
        <v>63</v>
      </c>
      <c r="K3533" s="4">
        <v>195.21</v>
      </c>
      <c r="L3533" s="6">
        <v>7.08</v>
      </c>
    </row>
    <row r="3534" spans="1:12" x14ac:dyDescent="0.25">
      <c r="A3534" s="1">
        <v>3533</v>
      </c>
      <c r="B3534" s="4">
        <v>25154</v>
      </c>
      <c r="C3534" s="5">
        <v>40410</v>
      </c>
      <c r="D3534" s="3" t="s">
        <v>89</v>
      </c>
      <c r="E3534" s="1" t="s">
        <v>399</v>
      </c>
      <c r="F3534" s="1" t="s">
        <v>38</v>
      </c>
      <c r="G3534" s="2" t="s">
        <v>6</v>
      </c>
      <c r="H3534" s="3" t="s">
        <v>97</v>
      </c>
      <c r="I3534" s="3" t="s">
        <v>85</v>
      </c>
      <c r="J3534" s="3" t="s">
        <v>63</v>
      </c>
      <c r="K3534" s="4">
        <v>102.5</v>
      </c>
      <c r="L3534" s="6">
        <v>6.68</v>
      </c>
    </row>
    <row r="3535" spans="1:12" x14ac:dyDescent="0.25">
      <c r="A3535" s="1">
        <v>3534</v>
      </c>
      <c r="B3535" s="4">
        <v>25155</v>
      </c>
      <c r="C3535" s="5">
        <v>40198</v>
      </c>
      <c r="D3535" s="3" t="s">
        <v>82</v>
      </c>
      <c r="E3535" s="1" t="s">
        <v>1139</v>
      </c>
      <c r="F3535" s="1" t="s">
        <v>26</v>
      </c>
      <c r="G3535" s="2" t="s">
        <v>3</v>
      </c>
      <c r="H3535" s="3" t="s">
        <v>88</v>
      </c>
      <c r="I3535" s="3" t="s">
        <v>91</v>
      </c>
      <c r="J3535" s="3" t="s">
        <v>59</v>
      </c>
      <c r="K3535" s="4">
        <v>1038.99</v>
      </c>
      <c r="L3535" s="6">
        <v>19.940000000000001</v>
      </c>
    </row>
    <row r="3536" spans="1:12" x14ac:dyDescent="0.25">
      <c r="A3536" s="1">
        <v>3535</v>
      </c>
      <c r="B3536" s="4">
        <v>25155</v>
      </c>
      <c r="C3536" s="5">
        <v>40198</v>
      </c>
      <c r="D3536" s="3" t="s">
        <v>82</v>
      </c>
      <c r="E3536" s="1" t="s">
        <v>1139</v>
      </c>
      <c r="F3536" s="1" t="s">
        <v>26</v>
      </c>
      <c r="G3536" s="2" t="s">
        <v>3</v>
      </c>
      <c r="H3536" s="3" t="s">
        <v>88</v>
      </c>
      <c r="I3536" s="3" t="s">
        <v>85</v>
      </c>
      <c r="J3536" s="3" t="s">
        <v>66</v>
      </c>
      <c r="K3536" s="4">
        <v>114.01</v>
      </c>
      <c r="L3536" s="6">
        <v>6.69</v>
      </c>
    </row>
    <row r="3537" spans="1:12" x14ac:dyDescent="0.25">
      <c r="A3537" s="1">
        <v>3536</v>
      </c>
      <c r="B3537" s="4">
        <v>25155</v>
      </c>
      <c r="C3537" s="5">
        <v>40198</v>
      </c>
      <c r="D3537" s="3" t="s">
        <v>82</v>
      </c>
      <c r="E3537" s="1" t="s">
        <v>1139</v>
      </c>
      <c r="F3537" s="1" t="s">
        <v>26</v>
      </c>
      <c r="G3537" s="2" t="s">
        <v>3</v>
      </c>
      <c r="H3537" s="3" t="s">
        <v>88</v>
      </c>
      <c r="I3537" s="3" t="s">
        <v>85</v>
      </c>
      <c r="J3537" s="3" t="s">
        <v>66</v>
      </c>
      <c r="K3537" s="4">
        <v>30.37</v>
      </c>
      <c r="L3537" s="6">
        <v>4.9800000000000004</v>
      </c>
    </row>
    <row r="3538" spans="1:12" x14ac:dyDescent="0.25">
      <c r="A3538" s="1">
        <v>3537</v>
      </c>
      <c r="B3538" s="4">
        <v>25157</v>
      </c>
      <c r="C3538" s="5">
        <v>40323</v>
      </c>
      <c r="D3538" s="3" t="s">
        <v>86</v>
      </c>
      <c r="E3538" s="1" t="s">
        <v>742</v>
      </c>
      <c r="F3538" s="1" t="s">
        <v>24</v>
      </c>
      <c r="G3538" s="2" t="s">
        <v>2</v>
      </c>
      <c r="H3538" s="3" t="s">
        <v>88</v>
      </c>
      <c r="I3538" s="3" t="s">
        <v>85</v>
      </c>
      <c r="J3538" s="3" t="s">
        <v>66</v>
      </c>
      <c r="K3538" s="4">
        <v>545.38</v>
      </c>
      <c r="L3538" s="6">
        <v>22.84</v>
      </c>
    </row>
    <row r="3539" spans="1:12" x14ac:dyDescent="0.25">
      <c r="A3539" s="1">
        <v>3538</v>
      </c>
      <c r="B3539" s="4">
        <v>25157</v>
      </c>
      <c r="C3539" s="5">
        <v>40323</v>
      </c>
      <c r="D3539" s="3" t="s">
        <v>86</v>
      </c>
      <c r="E3539" s="1" t="s">
        <v>512</v>
      </c>
      <c r="F3539" s="1" t="s">
        <v>48</v>
      </c>
      <c r="G3539" s="2" t="s">
        <v>1</v>
      </c>
      <c r="H3539" s="3" t="s">
        <v>88</v>
      </c>
      <c r="I3539" s="3" t="s">
        <v>85</v>
      </c>
      <c r="J3539" s="3" t="s">
        <v>63</v>
      </c>
      <c r="K3539" s="4">
        <v>271.77999999999997</v>
      </c>
      <c r="L3539" s="6">
        <v>5.84</v>
      </c>
    </row>
    <row r="3540" spans="1:12" x14ac:dyDescent="0.25">
      <c r="A3540" s="1">
        <v>3539</v>
      </c>
      <c r="B3540" s="4">
        <v>25188</v>
      </c>
      <c r="C3540" s="5">
        <v>40546</v>
      </c>
      <c r="D3540" s="3" t="s">
        <v>4</v>
      </c>
      <c r="E3540" s="1" t="s">
        <v>720</v>
      </c>
      <c r="F3540" s="1" t="s">
        <v>31</v>
      </c>
      <c r="G3540" s="2" t="s">
        <v>1</v>
      </c>
      <c r="H3540" s="3" t="s">
        <v>97</v>
      </c>
      <c r="I3540" s="3" t="s">
        <v>92</v>
      </c>
      <c r="J3540" s="3" t="s">
        <v>61</v>
      </c>
      <c r="K3540" s="4">
        <v>1564.1614999999999</v>
      </c>
      <c r="L3540" s="6">
        <v>85.99</v>
      </c>
    </row>
    <row r="3541" spans="1:12" x14ac:dyDescent="0.25">
      <c r="A3541" s="1">
        <v>3540</v>
      </c>
      <c r="B3541" s="4">
        <v>25191</v>
      </c>
      <c r="C3541" s="5">
        <v>40632</v>
      </c>
      <c r="D3541" s="3" t="s">
        <v>4</v>
      </c>
      <c r="E3541" s="1" t="s">
        <v>1140</v>
      </c>
      <c r="F3541" s="1" t="s">
        <v>12</v>
      </c>
      <c r="G3541" s="2" t="s">
        <v>2</v>
      </c>
      <c r="H3541" s="3" t="s">
        <v>84</v>
      </c>
      <c r="I3541" s="3" t="s">
        <v>92</v>
      </c>
      <c r="J3541" s="3" t="s">
        <v>61</v>
      </c>
      <c r="K3541" s="4">
        <v>4091.1519999999996</v>
      </c>
      <c r="L3541" s="6">
        <v>115.99</v>
      </c>
    </row>
    <row r="3542" spans="1:12" x14ac:dyDescent="0.25">
      <c r="A3542" s="1">
        <v>3541</v>
      </c>
      <c r="B3542" s="4">
        <v>25248</v>
      </c>
      <c r="C3542" s="5">
        <v>40878</v>
      </c>
      <c r="D3542" s="3" t="s">
        <v>4</v>
      </c>
      <c r="E3542" s="1" t="s">
        <v>634</v>
      </c>
      <c r="F3542" s="1" t="s">
        <v>11</v>
      </c>
      <c r="G3542" s="2" t="s">
        <v>6</v>
      </c>
      <c r="H3542" s="3" t="s">
        <v>84</v>
      </c>
      <c r="I3542" s="3" t="s">
        <v>92</v>
      </c>
      <c r="J3542" s="3" t="s">
        <v>62</v>
      </c>
      <c r="K3542" s="4">
        <v>271.14</v>
      </c>
      <c r="L3542" s="6">
        <v>8.33</v>
      </c>
    </row>
    <row r="3543" spans="1:12" x14ac:dyDescent="0.25">
      <c r="A3543" s="1">
        <v>3542</v>
      </c>
      <c r="B3543" s="4">
        <v>25248</v>
      </c>
      <c r="C3543" s="5">
        <v>40878</v>
      </c>
      <c r="D3543" s="3" t="s">
        <v>4</v>
      </c>
      <c r="E3543" s="1" t="s">
        <v>634</v>
      </c>
      <c r="F3543" s="1" t="s">
        <v>11</v>
      </c>
      <c r="G3543" s="2" t="s">
        <v>6</v>
      </c>
      <c r="H3543" s="3" t="s">
        <v>84</v>
      </c>
      <c r="I3543" s="3" t="s">
        <v>85</v>
      </c>
      <c r="J3543" s="3" t="s">
        <v>66</v>
      </c>
      <c r="K3543" s="4">
        <v>1150.3</v>
      </c>
      <c r="L3543" s="6">
        <v>48.91</v>
      </c>
    </row>
    <row r="3544" spans="1:12" x14ac:dyDescent="0.25">
      <c r="A3544" s="1">
        <v>3543</v>
      </c>
      <c r="B3544" s="4">
        <v>25249</v>
      </c>
      <c r="C3544" s="5">
        <v>41219</v>
      </c>
      <c r="D3544" s="3" t="s">
        <v>4</v>
      </c>
      <c r="E3544" s="1" t="s">
        <v>753</v>
      </c>
      <c r="F3544" s="1" t="s">
        <v>31</v>
      </c>
      <c r="G3544" s="2" t="s">
        <v>1</v>
      </c>
      <c r="H3544" s="3" t="s">
        <v>100</v>
      </c>
      <c r="I3544" s="3" t="s">
        <v>85</v>
      </c>
      <c r="J3544" s="3" t="s">
        <v>69</v>
      </c>
      <c r="K3544" s="4">
        <v>926.85</v>
      </c>
      <c r="L3544" s="6">
        <v>28.53</v>
      </c>
    </row>
    <row r="3545" spans="1:12" x14ac:dyDescent="0.25">
      <c r="A3545" s="1">
        <v>3544</v>
      </c>
      <c r="B3545" s="4">
        <v>25254</v>
      </c>
      <c r="C3545" s="5">
        <v>40438</v>
      </c>
      <c r="D3545" s="3" t="s">
        <v>95</v>
      </c>
      <c r="E3545" s="1" t="s">
        <v>649</v>
      </c>
      <c r="F3545" s="1" t="s">
        <v>13</v>
      </c>
      <c r="G3545" s="2" t="s">
        <v>6</v>
      </c>
      <c r="H3545" s="3" t="s">
        <v>84</v>
      </c>
      <c r="I3545" s="3" t="s">
        <v>85</v>
      </c>
      <c r="J3545" s="3" t="s">
        <v>69</v>
      </c>
      <c r="K3545" s="4">
        <v>299.68</v>
      </c>
      <c r="L3545" s="6">
        <v>8.85</v>
      </c>
    </row>
    <row r="3546" spans="1:12" x14ac:dyDescent="0.25">
      <c r="A3546" s="1">
        <v>3545</v>
      </c>
      <c r="B3546" s="4">
        <v>25280</v>
      </c>
      <c r="C3546" s="5">
        <v>40684</v>
      </c>
      <c r="D3546" s="3" t="s">
        <v>86</v>
      </c>
      <c r="E3546" s="1" t="s">
        <v>828</v>
      </c>
      <c r="F3546" s="1" t="s">
        <v>48</v>
      </c>
      <c r="G3546" s="2" t="s">
        <v>1</v>
      </c>
      <c r="H3546" s="3" t="s">
        <v>88</v>
      </c>
      <c r="I3546" s="3" t="s">
        <v>85</v>
      </c>
      <c r="J3546" s="3" t="s">
        <v>69</v>
      </c>
      <c r="K3546" s="4">
        <v>179.26</v>
      </c>
      <c r="L3546" s="6">
        <v>10.91</v>
      </c>
    </row>
    <row r="3547" spans="1:12" x14ac:dyDescent="0.25">
      <c r="A3547" s="1">
        <v>3546</v>
      </c>
      <c r="B3547" s="4">
        <v>25280</v>
      </c>
      <c r="C3547" s="5">
        <v>40684</v>
      </c>
      <c r="D3547" s="3" t="s">
        <v>86</v>
      </c>
      <c r="E3547" s="1" t="s">
        <v>1141</v>
      </c>
      <c r="F3547" s="1" t="s">
        <v>39</v>
      </c>
      <c r="G3547" s="2" t="s">
        <v>1</v>
      </c>
      <c r="H3547" s="3" t="s">
        <v>88</v>
      </c>
      <c r="I3547" s="3" t="s">
        <v>85</v>
      </c>
      <c r="J3547" s="3" t="s">
        <v>63</v>
      </c>
      <c r="K3547" s="4">
        <v>202.64</v>
      </c>
      <c r="L3547" s="6">
        <v>4.13</v>
      </c>
    </row>
    <row r="3548" spans="1:12" x14ac:dyDescent="0.25">
      <c r="A3548" s="1">
        <v>3547</v>
      </c>
      <c r="B3548" s="4">
        <v>25313</v>
      </c>
      <c r="C3548" s="5">
        <v>41142</v>
      </c>
      <c r="D3548" s="3" t="s">
        <v>95</v>
      </c>
      <c r="E3548" s="1" t="s">
        <v>512</v>
      </c>
      <c r="F3548" s="1" t="s">
        <v>48</v>
      </c>
      <c r="G3548" s="2" t="s">
        <v>1</v>
      </c>
      <c r="H3548" s="3" t="s">
        <v>88</v>
      </c>
      <c r="I3548" s="3" t="s">
        <v>85</v>
      </c>
      <c r="J3548" s="3" t="s">
        <v>63</v>
      </c>
      <c r="K3548" s="4">
        <v>418.7</v>
      </c>
      <c r="L3548" s="6">
        <v>22.01</v>
      </c>
    </row>
    <row r="3549" spans="1:12" x14ac:dyDescent="0.25">
      <c r="A3549" s="1">
        <v>3548</v>
      </c>
      <c r="B3549" s="4">
        <v>25314</v>
      </c>
      <c r="C3549" s="5">
        <v>40963</v>
      </c>
      <c r="D3549" s="3" t="s">
        <v>89</v>
      </c>
      <c r="E3549" s="1" t="s">
        <v>1142</v>
      </c>
      <c r="F3549" s="1" t="s">
        <v>45</v>
      </c>
      <c r="G3549" s="2" t="s">
        <v>3</v>
      </c>
      <c r="H3549" s="3" t="s">
        <v>88</v>
      </c>
      <c r="I3549" s="3" t="s">
        <v>92</v>
      </c>
      <c r="J3549" s="3" t="s">
        <v>61</v>
      </c>
      <c r="K3549" s="4">
        <v>7679.5119999999988</v>
      </c>
      <c r="L3549" s="6">
        <v>205.99</v>
      </c>
    </row>
    <row r="3550" spans="1:12" x14ac:dyDescent="0.25">
      <c r="A3550" s="1">
        <v>3549</v>
      </c>
      <c r="B3550" s="4">
        <v>25315</v>
      </c>
      <c r="C3550" s="5">
        <v>40514</v>
      </c>
      <c r="D3550" s="3" t="s">
        <v>82</v>
      </c>
      <c r="E3550" s="1" t="s">
        <v>951</v>
      </c>
      <c r="F3550" s="1" t="s">
        <v>38</v>
      </c>
      <c r="G3550" s="2" t="s">
        <v>6</v>
      </c>
      <c r="H3550" s="3" t="s">
        <v>100</v>
      </c>
      <c r="I3550" s="3" t="s">
        <v>85</v>
      </c>
      <c r="J3550" s="3" t="s">
        <v>70</v>
      </c>
      <c r="K3550" s="4">
        <v>7783.36</v>
      </c>
      <c r="L3550" s="6">
        <v>225.04</v>
      </c>
    </row>
    <row r="3551" spans="1:12" x14ac:dyDescent="0.25">
      <c r="A3551" s="1">
        <v>3550</v>
      </c>
      <c r="B3551" s="4">
        <v>25315</v>
      </c>
      <c r="C3551" s="5">
        <v>40514</v>
      </c>
      <c r="D3551" s="3" t="s">
        <v>82</v>
      </c>
      <c r="E3551" s="1" t="s">
        <v>951</v>
      </c>
      <c r="F3551" s="1" t="s">
        <v>38</v>
      </c>
      <c r="G3551" s="2" t="s">
        <v>6</v>
      </c>
      <c r="H3551" s="3" t="s">
        <v>100</v>
      </c>
      <c r="I3551" s="3" t="s">
        <v>85</v>
      </c>
      <c r="J3551" s="3" t="s">
        <v>63</v>
      </c>
      <c r="K3551" s="4">
        <v>61.76</v>
      </c>
      <c r="L3551" s="6">
        <v>2.84</v>
      </c>
    </row>
    <row r="3552" spans="1:12" x14ac:dyDescent="0.25">
      <c r="A3552" s="1">
        <v>3551</v>
      </c>
      <c r="B3552" s="4">
        <v>25315</v>
      </c>
      <c r="C3552" s="5">
        <v>40514</v>
      </c>
      <c r="D3552" s="3" t="s">
        <v>82</v>
      </c>
      <c r="E3552" s="1" t="s">
        <v>951</v>
      </c>
      <c r="F3552" s="1" t="s">
        <v>38</v>
      </c>
      <c r="G3552" s="2" t="s">
        <v>6</v>
      </c>
      <c r="H3552" s="3" t="s">
        <v>100</v>
      </c>
      <c r="I3552" s="3" t="s">
        <v>91</v>
      </c>
      <c r="J3552" s="3" t="s">
        <v>60</v>
      </c>
      <c r="K3552" s="4">
        <v>1280.3399999999999</v>
      </c>
      <c r="L3552" s="6">
        <v>31.76</v>
      </c>
    </row>
    <row r="3553" spans="1:12" x14ac:dyDescent="0.25">
      <c r="A3553" s="1">
        <v>3552</v>
      </c>
      <c r="B3553" s="4">
        <v>25318</v>
      </c>
      <c r="C3553" s="5">
        <v>40866</v>
      </c>
      <c r="D3553" s="3" t="s">
        <v>95</v>
      </c>
      <c r="E3553" s="1" t="s">
        <v>1101</v>
      </c>
      <c r="F3553" s="1" t="s">
        <v>8</v>
      </c>
      <c r="G3553" s="2" t="s">
        <v>6</v>
      </c>
      <c r="H3553" s="3" t="s">
        <v>84</v>
      </c>
      <c r="I3553" s="3" t="s">
        <v>91</v>
      </c>
      <c r="J3553" s="3" t="s">
        <v>59</v>
      </c>
      <c r="K3553" s="4">
        <v>440.92</v>
      </c>
      <c r="L3553" s="6">
        <v>19.98</v>
      </c>
    </row>
    <row r="3554" spans="1:12" x14ac:dyDescent="0.25">
      <c r="A3554" s="1">
        <v>3553</v>
      </c>
      <c r="B3554" s="4">
        <v>25318</v>
      </c>
      <c r="C3554" s="5">
        <v>40866</v>
      </c>
      <c r="D3554" s="3" t="s">
        <v>95</v>
      </c>
      <c r="E3554" s="1" t="s">
        <v>569</v>
      </c>
      <c r="F3554" s="1" t="s">
        <v>55</v>
      </c>
      <c r="G3554" s="2" t="s">
        <v>2</v>
      </c>
      <c r="H3554" s="3" t="s">
        <v>84</v>
      </c>
      <c r="I3554" s="3" t="s">
        <v>85</v>
      </c>
      <c r="J3554" s="3" t="s">
        <v>69</v>
      </c>
      <c r="K3554" s="4">
        <v>3.2</v>
      </c>
      <c r="L3554" s="6">
        <v>1.88</v>
      </c>
    </row>
    <row r="3555" spans="1:12" x14ac:dyDescent="0.25">
      <c r="A3555" s="1">
        <v>3554</v>
      </c>
      <c r="B3555" s="4">
        <v>25347</v>
      </c>
      <c r="C3555" s="5">
        <v>39976</v>
      </c>
      <c r="D3555" s="3" t="s">
        <v>82</v>
      </c>
      <c r="E3555" s="1" t="s">
        <v>229</v>
      </c>
      <c r="F3555" s="1" t="s">
        <v>25</v>
      </c>
      <c r="G3555" s="2" t="s">
        <v>6</v>
      </c>
      <c r="H3555" s="3" t="s">
        <v>88</v>
      </c>
      <c r="I3555" s="3" t="s">
        <v>85</v>
      </c>
      <c r="J3555" s="3" t="s">
        <v>66</v>
      </c>
      <c r="K3555" s="4">
        <v>967.27</v>
      </c>
      <c r="L3555" s="6">
        <v>35.44</v>
      </c>
    </row>
    <row r="3556" spans="1:12" x14ac:dyDescent="0.25">
      <c r="A3556" s="1">
        <v>3555</v>
      </c>
      <c r="B3556" s="4">
        <v>25348</v>
      </c>
      <c r="C3556" s="5">
        <v>41038</v>
      </c>
      <c r="D3556" s="3" t="s">
        <v>95</v>
      </c>
      <c r="E3556" s="1" t="s">
        <v>456</v>
      </c>
      <c r="F3556" s="1" t="s">
        <v>23</v>
      </c>
      <c r="G3556" s="2" t="s">
        <v>3</v>
      </c>
      <c r="H3556" s="3" t="s">
        <v>84</v>
      </c>
      <c r="I3556" s="3" t="s">
        <v>85</v>
      </c>
      <c r="J3556" s="3" t="s">
        <v>70</v>
      </c>
      <c r="K3556" s="4">
        <v>343.36</v>
      </c>
      <c r="L3556" s="6">
        <v>56.96</v>
      </c>
    </row>
    <row r="3557" spans="1:12" x14ac:dyDescent="0.25">
      <c r="A3557" s="1">
        <v>3556</v>
      </c>
      <c r="B3557" s="4">
        <v>25348</v>
      </c>
      <c r="C3557" s="5">
        <v>41038</v>
      </c>
      <c r="D3557" s="3" t="s">
        <v>95</v>
      </c>
      <c r="E3557" s="1" t="s">
        <v>456</v>
      </c>
      <c r="F3557" s="1" t="s">
        <v>23</v>
      </c>
      <c r="G3557" s="2" t="s">
        <v>3</v>
      </c>
      <c r="H3557" s="3" t="s">
        <v>84</v>
      </c>
      <c r="I3557" s="3" t="s">
        <v>92</v>
      </c>
      <c r="J3557" s="3" t="s">
        <v>61</v>
      </c>
      <c r="K3557" s="4">
        <v>309.22149999999999</v>
      </c>
      <c r="L3557" s="6">
        <v>55.99</v>
      </c>
    </row>
    <row r="3558" spans="1:12" x14ac:dyDescent="0.25">
      <c r="A3558" s="1">
        <v>3557</v>
      </c>
      <c r="B3558" s="4">
        <v>25350</v>
      </c>
      <c r="C3558" s="5">
        <v>40515</v>
      </c>
      <c r="D3558" s="3" t="s">
        <v>86</v>
      </c>
      <c r="E3558" s="1" t="s">
        <v>1143</v>
      </c>
      <c r="F3558" s="1" t="s">
        <v>23</v>
      </c>
      <c r="G3558" s="2" t="s">
        <v>3</v>
      </c>
      <c r="H3558" s="3" t="s">
        <v>97</v>
      </c>
      <c r="I3558" s="3" t="s">
        <v>85</v>
      </c>
      <c r="J3558" s="3" t="s">
        <v>70</v>
      </c>
      <c r="K3558" s="4">
        <v>2477.9899999999998</v>
      </c>
      <c r="L3558" s="6">
        <v>80.98</v>
      </c>
    </row>
    <row r="3559" spans="1:12" x14ac:dyDescent="0.25">
      <c r="A3559" s="1">
        <v>3558</v>
      </c>
      <c r="B3559" s="4">
        <v>25350</v>
      </c>
      <c r="C3559" s="5">
        <v>40515</v>
      </c>
      <c r="D3559" s="3" t="s">
        <v>86</v>
      </c>
      <c r="E3559" s="1" t="s">
        <v>1143</v>
      </c>
      <c r="F3559" s="1" t="s">
        <v>23</v>
      </c>
      <c r="G3559" s="2" t="s">
        <v>3</v>
      </c>
      <c r="H3559" s="3" t="s">
        <v>97</v>
      </c>
      <c r="I3559" s="3" t="s">
        <v>85</v>
      </c>
      <c r="J3559" s="3" t="s">
        <v>63</v>
      </c>
      <c r="K3559" s="4">
        <v>48.83</v>
      </c>
      <c r="L3559" s="6">
        <v>2.1</v>
      </c>
    </row>
    <row r="3560" spans="1:12" x14ac:dyDescent="0.25">
      <c r="A3560" s="1">
        <v>3559</v>
      </c>
      <c r="B3560" s="4">
        <v>25376</v>
      </c>
      <c r="C3560" s="5">
        <v>40628</v>
      </c>
      <c r="D3560" s="3" t="s">
        <v>95</v>
      </c>
      <c r="E3560" s="1" t="s">
        <v>967</v>
      </c>
      <c r="F3560" s="1" t="s">
        <v>38</v>
      </c>
      <c r="G3560" s="2" t="s">
        <v>6</v>
      </c>
      <c r="H3560" s="3" t="s">
        <v>88</v>
      </c>
      <c r="I3560" s="3" t="s">
        <v>91</v>
      </c>
      <c r="J3560" s="3" t="s">
        <v>59</v>
      </c>
      <c r="K3560" s="4">
        <v>76.61</v>
      </c>
      <c r="L3560" s="6">
        <v>6.28</v>
      </c>
    </row>
    <row r="3561" spans="1:12" x14ac:dyDescent="0.25">
      <c r="A3561" s="1">
        <v>3560</v>
      </c>
      <c r="B3561" s="4">
        <v>25377</v>
      </c>
      <c r="C3561" s="5">
        <v>41239</v>
      </c>
      <c r="D3561" s="3" t="s">
        <v>82</v>
      </c>
      <c r="E3561" s="1" t="s">
        <v>249</v>
      </c>
      <c r="F3561" s="1" t="s">
        <v>8</v>
      </c>
      <c r="G3561" s="2" t="s">
        <v>6</v>
      </c>
      <c r="H3561" s="3" t="s">
        <v>88</v>
      </c>
      <c r="I3561" s="3" t="s">
        <v>92</v>
      </c>
      <c r="J3561" s="3" t="s">
        <v>67</v>
      </c>
      <c r="K3561" s="4">
        <v>4343.51</v>
      </c>
      <c r="L3561" s="6">
        <v>1500.97</v>
      </c>
    </row>
    <row r="3562" spans="1:12" x14ac:dyDescent="0.25">
      <c r="A3562" s="1">
        <v>3561</v>
      </c>
      <c r="B3562" s="4">
        <v>25378</v>
      </c>
      <c r="C3562" s="5">
        <v>40895</v>
      </c>
      <c r="D3562" s="3" t="s">
        <v>86</v>
      </c>
      <c r="E3562" s="1" t="s">
        <v>872</v>
      </c>
      <c r="F3562" s="1" t="s">
        <v>24</v>
      </c>
      <c r="G3562" s="2" t="s">
        <v>2</v>
      </c>
      <c r="H3562" s="3" t="s">
        <v>88</v>
      </c>
      <c r="I3562" s="3" t="s">
        <v>92</v>
      </c>
      <c r="J3562" s="3" t="s">
        <v>61</v>
      </c>
      <c r="K3562" s="4">
        <v>3713.0124999999998</v>
      </c>
      <c r="L3562" s="6">
        <v>95.99</v>
      </c>
    </row>
    <row r="3563" spans="1:12" x14ac:dyDescent="0.25">
      <c r="A3563" s="1">
        <v>3562</v>
      </c>
      <c r="B3563" s="4">
        <v>25412</v>
      </c>
      <c r="C3563" s="5">
        <v>40700</v>
      </c>
      <c r="D3563" s="3" t="s">
        <v>86</v>
      </c>
      <c r="E3563" s="1" t="s">
        <v>493</v>
      </c>
      <c r="F3563" s="1" t="s">
        <v>33</v>
      </c>
      <c r="G3563" s="2" t="s">
        <v>2</v>
      </c>
      <c r="H3563" s="3" t="s">
        <v>88</v>
      </c>
      <c r="I3563" s="3" t="s">
        <v>85</v>
      </c>
      <c r="J3563" s="3" t="s">
        <v>66</v>
      </c>
      <c r="K3563" s="4">
        <v>129.77000000000001</v>
      </c>
      <c r="L3563" s="6">
        <v>6.48</v>
      </c>
    </row>
    <row r="3564" spans="1:12" x14ac:dyDescent="0.25">
      <c r="A3564" s="1">
        <v>3563</v>
      </c>
      <c r="B3564" s="4">
        <v>25440</v>
      </c>
      <c r="C3564" s="5">
        <v>39850</v>
      </c>
      <c r="D3564" s="3" t="s">
        <v>89</v>
      </c>
      <c r="E3564" s="1" t="s">
        <v>450</v>
      </c>
      <c r="F3564" s="1" t="s">
        <v>29</v>
      </c>
      <c r="G3564" s="2" t="s">
        <v>3</v>
      </c>
      <c r="H3564" s="3" t="s">
        <v>97</v>
      </c>
      <c r="I3564" s="3" t="s">
        <v>91</v>
      </c>
      <c r="J3564" s="3" t="s">
        <v>60</v>
      </c>
      <c r="K3564" s="4">
        <v>6589.3040000000001</v>
      </c>
      <c r="L3564" s="6">
        <v>259.70999999999998</v>
      </c>
    </row>
    <row r="3565" spans="1:12" x14ac:dyDescent="0.25">
      <c r="A3565" s="1">
        <v>3564</v>
      </c>
      <c r="B3565" s="4">
        <v>25442</v>
      </c>
      <c r="C3565" s="5">
        <v>40913</v>
      </c>
      <c r="D3565" s="3" t="s">
        <v>89</v>
      </c>
      <c r="E3565" s="1" t="s">
        <v>239</v>
      </c>
      <c r="F3565" s="1" t="s">
        <v>43</v>
      </c>
      <c r="G3565" s="2" t="s">
        <v>1</v>
      </c>
      <c r="H3565" s="3" t="s">
        <v>97</v>
      </c>
      <c r="I3565" s="3" t="s">
        <v>85</v>
      </c>
      <c r="J3565" s="3" t="s">
        <v>66</v>
      </c>
      <c r="K3565" s="4">
        <v>1666</v>
      </c>
      <c r="L3565" s="6">
        <v>55.48</v>
      </c>
    </row>
    <row r="3566" spans="1:12" x14ac:dyDescent="0.25">
      <c r="A3566" s="1">
        <v>3565</v>
      </c>
      <c r="B3566" s="4">
        <v>25442</v>
      </c>
      <c r="C3566" s="5">
        <v>40913</v>
      </c>
      <c r="D3566" s="3" t="s">
        <v>89</v>
      </c>
      <c r="E3566" s="1" t="s">
        <v>1144</v>
      </c>
      <c r="F3566" s="1" t="s">
        <v>39</v>
      </c>
      <c r="G3566" s="2" t="s">
        <v>1</v>
      </c>
      <c r="H3566" s="3" t="s">
        <v>97</v>
      </c>
      <c r="I3566" s="3" t="s">
        <v>85</v>
      </c>
      <c r="J3566" s="3" t="s">
        <v>66</v>
      </c>
      <c r="K3566" s="4">
        <v>453.98</v>
      </c>
      <c r="L3566" s="6">
        <v>11.34</v>
      </c>
    </row>
    <row r="3567" spans="1:12" x14ac:dyDescent="0.25">
      <c r="A3567" s="1">
        <v>3566</v>
      </c>
      <c r="B3567" s="4">
        <v>25443</v>
      </c>
      <c r="C3567" s="5">
        <v>41174</v>
      </c>
      <c r="D3567" s="3" t="s">
        <v>4</v>
      </c>
      <c r="E3567" s="1" t="s">
        <v>953</v>
      </c>
      <c r="F3567" s="1" t="s">
        <v>10</v>
      </c>
      <c r="G3567" s="2" t="s">
        <v>3</v>
      </c>
      <c r="H3567" s="3" t="s">
        <v>88</v>
      </c>
      <c r="I3567" s="3" t="s">
        <v>92</v>
      </c>
      <c r="J3567" s="3" t="s">
        <v>67</v>
      </c>
      <c r="K3567" s="4">
        <v>570.24</v>
      </c>
      <c r="L3567" s="6">
        <v>15.99</v>
      </c>
    </row>
    <row r="3568" spans="1:12" x14ac:dyDescent="0.25">
      <c r="A3568" s="1">
        <v>3567</v>
      </c>
      <c r="B3568" s="4">
        <v>25445</v>
      </c>
      <c r="C3568" s="5">
        <v>39958</v>
      </c>
      <c r="D3568" s="3" t="s">
        <v>82</v>
      </c>
      <c r="E3568" s="1" t="s">
        <v>1039</v>
      </c>
      <c r="F3568" s="1" t="s">
        <v>24</v>
      </c>
      <c r="G3568" s="2" t="s">
        <v>2</v>
      </c>
      <c r="H3568" s="3" t="s">
        <v>84</v>
      </c>
      <c r="I3568" s="3" t="s">
        <v>85</v>
      </c>
      <c r="J3568" s="3" t="s">
        <v>69</v>
      </c>
      <c r="K3568" s="4">
        <v>1444</v>
      </c>
      <c r="L3568" s="6">
        <v>30.56</v>
      </c>
    </row>
    <row r="3569" spans="1:12" x14ac:dyDescent="0.25">
      <c r="A3569" s="1">
        <v>3568</v>
      </c>
      <c r="B3569" s="4">
        <v>25447</v>
      </c>
      <c r="C3569" s="5">
        <v>41052</v>
      </c>
      <c r="D3569" s="3" t="s">
        <v>86</v>
      </c>
      <c r="E3569" s="1" t="s">
        <v>546</v>
      </c>
      <c r="F3569" s="1" t="s">
        <v>19</v>
      </c>
      <c r="G3569" s="2" t="s">
        <v>3</v>
      </c>
      <c r="H3569" s="3" t="s">
        <v>88</v>
      </c>
      <c r="I3569" s="3" t="s">
        <v>91</v>
      </c>
      <c r="J3569" s="3" t="s">
        <v>59</v>
      </c>
      <c r="K3569" s="4">
        <v>536.21</v>
      </c>
      <c r="L3569" s="6">
        <v>22.72</v>
      </c>
    </row>
    <row r="3570" spans="1:12" x14ac:dyDescent="0.25">
      <c r="A3570" s="1">
        <v>3569</v>
      </c>
      <c r="B3570" s="4">
        <v>25447</v>
      </c>
      <c r="C3570" s="5">
        <v>41052</v>
      </c>
      <c r="D3570" s="3" t="s">
        <v>86</v>
      </c>
      <c r="E3570" s="1" t="s">
        <v>546</v>
      </c>
      <c r="F3570" s="1" t="s">
        <v>19</v>
      </c>
      <c r="G3570" s="2" t="s">
        <v>3</v>
      </c>
      <c r="H3570" s="3" t="s">
        <v>88</v>
      </c>
      <c r="I3570" s="3" t="s">
        <v>91</v>
      </c>
      <c r="J3570" s="3" t="s">
        <v>60</v>
      </c>
      <c r="K3570" s="4">
        <v>4428.5600000000004</v>
      </c>
      <c r="L3570" s="6">
        <v>296.18</v>
      </c>
    </row>
    <row r="3571" spans="1:12" x14ac:dyDescent="0.25">
      <c r="A3571" s="1">
        <v>3570</v>
      </c>
      <c r="B3571" s="4">
        <v>25472</v>
      </c>
      <c r="C3571" s="5">
        <v>39954</v>
      </c>
      <c r="D3571" s="3" t="s">
        <v>89</v>
      </c>
      <c r="E3571" s="1" t="s">
        <v>1145</v>
      </c>
      <c r="F3571" s="1" t="s">
        <v>20</v>
      </c>
      <c r="G3571" s="2" t="s">
        <v>1</v>
      </c>
      <c r="H3571" s="3" t="s">
        <v>84</v>
      </c>
      <c r="I3571" s="3" t="s">
        <v>85</v>
      </c>
      <c r="J3571" s="3" t="s">
        <v>66</v>
      </c>
      <c r="K3571" s="4">
        <v>194.02</v>
      </c>
      <c r="L3571" s="6">
        <v>4.9800000000000004</v>
      </c>
    </row>
    <row r="3572" spans="1:12" x14ac:dyDescent="0.25">
      <c r="A3572" s="1">
        <v>3571</v>
      </c>
      <c r="B3572" s="4">
        <v>25473</v>
      </c>
      <c r="C3572" s="5">
        <v>41196</v>
      </c>
      <c r="D3572" s="3" t="s">
        <v>89</v>
      </c>
      <c r="E3572" s="1" t="s">
        <v>1146</v>
      </c>
      <c r="F3572" s="1" t="s">
        <v>41</v>
      </c>
      <c r="G3572" s="2" t="s">
        <v>6</v>
      </c>
      <c r="H3572" s="3" t="s">
        <v>88</v>
      </c>
      <c r="I3572" s="3" t="s">
        <v>92</v>
      </c>
      <c r="J3572" s="3" t="s">
        <v>67</v>
      </c>
      <c r="K3572" s="4">
        <v>17304.849999999999</v>
      </c>
      <c r="L3572" s="6">
        <v>500.98</v>
      </c>
    </row>
    <row r="3573" spans="1:12" x14ac:dyDescent="0.25">
      <c r="A3573" s="1">
        <v>3572</v>
      </c>
      <c r="B3573" s="4">
        <v>25473</v>
      </c>
      <c r="C3573" s="5">
        <v>41196</v>
      </c>
      <c r="D3573" s="3" t="s">
        <v>89</v>
      </c>
      <c r="E3573" s="1" t="s">
        <v>1146</v>
      </c>
      <c r="F3573" s="1" t="s">
        <v>41</v>
      </c>
      <c r="G3573" s="2" t="s">
        <v>6</v>
      </c>
      <c r="H3573" s="3" t="s">
        <v>88</v>
      </c>
      <c r="I3573" s="3" t="s">
        <v>85</v>
      </c>
      <c r="J3573" s="3" t="s">
        <v>66</v>
      </c>
      <c r="K3573" s="4">
        <v>794.32</v>
      </c>
      <c r="L3573" s="6">
        <v>40.99</v>
      </c>
    </row>
    <row r="3574" spans="1:12" x14ac:dyDescent="0.25">
      <c r="A3574" s="1">
        <v>3573</v>
      </c>
      <c r="B3574" s="4">
        <v>25475</v>
      </c>
      <c r="C3574" s="5">
        <v>39907</v>
      </c>
      <c r="D3574" s="3" t="s">
        <v>95</v>
      </c>
      <c r="E3574" s="1" t="s">
        <v>590</v>
      </c>
      <c r="F3574" s="1" t="s">
        <v>11</v>
      </c>
      <c r="G3574" s="2" t="s">
        <v>6</v>
      </c>
      <c r="H3574" s="3" t="s">
        <v>97</v>
      </c>
      <c r="I3574" s="3" t="s">
        <v>85</v>
      </c>
      <c r="J3574" s="3" t="s">
        <v>66</v>
      </c>
      <c r="K3574" s="4">
        <v>305.95999999999998</v>
      </c>
      <c r="L3574" s="6">
        <v>6.48</v>
      </c>
    </row>
    <row r="3575" spans="1:12" x14ac:dyDescent="0.25">
      <c r="A3575" s="1">
        <v>3574</v>
      </c>
      <c r="B3575" s="4">
        <v>25476</v>
      </c>
      <c r="C3575" s="5">
        <v>41184</v>
      </c>
      <c r="D3575" s="3" t="s">
        <v>86</v>
      </c>
      <c r="E3575" s="1" t="s">
        <v>683</v>
      </c>
      <c r="F3575" s="1" t="s">
        <v>24</v>
      </c>
      <c r="G3575" s="2" t="s">
        <v>2</v>
      </c>
      <c r="H3575" s="3" t="s">
        <v>100</v>
      </c>
      <c r="I3575" s="3" t="s">
        <v>92</v>
      </c>
      <c r="J3575" s="3" t="s">
        <v>62</v>
      </c>
      <c r="K3575" s="4">
        <v>676.69</v>
      </c>
      <c r="L3575" s="6">
        <v>35.409999999999997</v>
      </c>
    </row>
    <row r="3576" spans="1:12" x14ac:dyDescent="0.25">
      <c r="A3576" s="1">
        <v>3575</v>
      </c>
      <c r="B3576" s="4">
        <v>25476</v>
      </c>
      <c r="C3576" s="5">
        <v>41184</v>
      </c>
      <c r="D3576" s="3" t="s">
        <v>86</v>
      </c>
      <c r="E3576" s="1" t="s">
        <v>683</v>
      </c>
      <c r="F3576" s="1" t="s">
        <v>24</v>
      </c>
      <c r="G3576" s="2" t="s">
        <v>2</v>
      </c>
      <c r="H3576" s="3" t="s">
        <v>100</v>
      </c>
      <c r="I3576" s="3" t="s">
        <v>92</v>
      </c>
      <c r="J3576" s="3" t="s">
        <v>73</v>
      </c>
      <c r="K3576" s="4">
        <v>13698.96</v>
      </c>
      <c r="L3576" s="6">
        <v>3499.99</v>
      </c>
    </row>
    <row r="3577" spans="1:12" x14ac:dyDescent="0.25">
      <c r="A3577" s="1">
        <v>3576</v>
      </c>
      <c r="B3577" s="4">
        <v>25478</v>
      </c>
      <c r="C3577" s="5">
        <v>41023</v>
      </c>
      <c r="D3577" s="3" t="s">
        <v>95</v>
      </c>
      <c r="E3577" s="1" t="s">
        <v>195</v>
      </c>
      <c r="F3577" s="1" t="s">
        <v>34</v>
      </c>
      <c r="G3577" s="2" t="s">
        <v>1</v>
      </c>
      <c r="H3577" s="3" t="s">
        <v>100</v>
      </c>
      <c r="I3577" s="3" t="s">
        <v>92</v>
      </c>
      <c r="J3577" s="3" t="s">
        <v>61</v>
      </c>
      <c r="K3577" s="4">
        <v>4725.0905000000002</v>
      </c>
      <c r="L3577" s="6">
        <v>115.99</v>
      </c>
    </row>
    <row r="3578" spans="1:12" x14ac:dyDescent="0.25">
      <c r="A3578" s="1">
        <v>3577</v>
      </c>
      <c r="B3578" s="4">
        <v>25478</v>
      </c>
      <c r="C3578" s="5">
        <v>41023</v>
      </c>
      <c r="D3578" s="3" t="s">
        <v>95</v>
      </c>
      <c r="E3578" s="1" t="s">
        <v>742</v>
      </c>
      <c r="F3578" s="1" t="s">
        <v>34</v>
      </c>
      <c r="G3578" s="2" t="s">
        <v>1</v>
      </c>
      <c r="H3578" s="3" t="s">
        <v>100</v>
      </c>
      <c r="I3578" s="3" t="s">
        <v>85</v>
      </c>
      <c r="J3578" s="3" t="s">
        <v>64</v>
      </c>
      <c r="K3578" s="4">
        <v>286.76</v>
      </c>
      <c r="L3578" s="6">
        <v>6.08</v>
      </c>
    </row>
    <row r="3579" spans="1:12" x14ac:dyDescent="0.25">
      <c r="A3579" s="1">
        <v>3578</v>
      </c>
      <c r="B3579" s="4">
        <v>25479</v>
      </c>
      <c r="C3579" s="5">
        <v>40661</v>
      </c>
      <c r="D3579" s="3" t="s">
        <v>95</v>
      </c>
      <c r="E3579" s="1" t="s">
        <v>122</v>
      </c>
      <c r="F3579" s="1" t="s">
        <v>15</v>
      </c>
      <c r="G3579" s="2" t="s">
        <v>1</v>
      </c>
      <c r="H3579" s="3" t="s">
        <v>88</v>
      </c>
      <c r="I3579" s="3" t="s">
        <v>92</v>
      </c>
      <c r="J3579" s="3" t="s">
        <v>61</v>
      </c>
      <c r="K3579" s="4">
        <v>210.5025</v>
      </c>
      <c r="L3579" s="6">
        <v>85.99</v>
      </c>
    </row>
    <row r="3580" spans="1:12" x14ac:dyDescent="0.25">
      <c r="A3580" s="1">
        <v>3579</v>
      </c>
      <c r="B3580" s="4">
        <v>25507</v>
      </c>
      <c r="C3580" s="5">
        <v>40030</v>
      </c>
      <c r="D3580" s="3" t="s">
        <v>86</v>
      </c>
      <c r="E3580" s="1" t="s">
        <v>1147</v>
      </c>
      <c r="F3580" s="1" t="s">
        <v>17</v>
      </c>
      <c r="G3580" s="2" t="s">
        <v>2</v>
      </c>
      <c r="H3580" s="3" t="s">
        <v>97</v>
      </c>
      <c r="I3580" s="3" t="s">
        <v>85</v>
      </c>
      <c r="J3580" s="3" t="s">
        <v>57</v>
      </c>
      <c r="K3580" s="4">
        <v>555.20000000000005</v>
      </c>
      <c r="L3580" s="6">
        <v>64.650000000000006</v>
      </c>
    </row>
    <row r="3581" spans="1:12" x14ac:dyDescent="0.25">
      <c r="A3581" s="1">
        <v>3580</v>
      </c>
      <c r="B3581" s="4">
        <v>25509</v>
      </c>
      <c r="C3581" s="5">
        <v>39955</v>
      </c>
      <c r="D3581" s="3" t="s">
        <v>95</v>
      </c>
      <c r="E3581" s="1" t="s">
        <v>944</v>
      </c>
      <c r="F3581" s="1" t="s">
        <v>17</v>
      </c>
      <c r="G3581" s="2" t="s">
        <v>2</v>
      </c>
      <c r="H3581" s="3" t="s">
        <v>88</v>
      </c>
      <c r="I3581" s="3" t="s">
        <v>85</v>
      </c>
      <c r="J3581" s="3" t="s">
        <v>69</v>
      </c>
      <c r="K3581" s="4">
        <v>212.28</v>
      </c>
      <c r="L3581" s="6">
        <v>4.9800000000000004</v>
      </c>
    </row>
    <row r="3582" spans="1:12" x14ac:dyDescent="0.25">
      <c r="A3582" s="1">
        <v>3581</v>
      </c>
      <c r="B3582" s="4">
        <v>25536</v>
      </c>
      <c r="C3582" s="5">
        <v>40746</v>
      </c>
      <c r="D3582" s="3" t="s">
        <v>82</v>
      </c>
      <c r="E3582" s="1" t="s">
        <v>828</v>
      </c>
      <c r="F3582" s="1" t="s">
        <v>48</v>
      </c>
      <c r="G3582" s="2" t="s">
        <v>1</v>
      </c>
      <c r="H3582" s="3" t="s">
        <v>84</v>
      </c>
      <c r="I3582" s="3" t="s">
        <v>85</v>
      </c>
      <c r="J3582" s="3" t="s">
        <v>63</v>
      </c>
      <c r="K3582" s="4">
        <v>193.25</v>
      </c>
      <c r="L3582" s="6">
        <v>9.93</v>
      </c>
    </row>
    <row r="3583" spans="1:12" x14ac:dyDescent="0.25">
      <c r="A3583" s="1">
        <v>3582</v>
      </c>
      <c r="B3583" s="4">
        <v>25541</v>
      </c>
      <c r="C3583" s="5">
        <v>39826</v>
      </c>
      <c r="D3583" s="3" t="s">
        <v>82</v>
      </c>
      <c r="E3583" s="1" t="s">
        <v>1045</v>
      </c>
      <c r="F3583" s="1" t="s">
        <v>23</v>
      </c>
      <c r="G3583" s="2" t="s">
        <v>3</v>
      </c>
      <c r="H3583" s="3" t="s">
        <v>100</v>
      </c>
      <c r="I3583" s="3" t="s">
        <v>85</v>
      </c>
      <c r="J3583" s="3" t="s">
        <v>66</v>
      </c>
      <c r="K3583" s="4">
        <v>297.76</v>
      </c>
      <c r="L3583" s="6">
        <v>5.98</v>
      </c>
    </row>
    <row r="3584" spans="1:12" x14ac:dyDescent="0.25">
      <c r="A3584" s="1">
        <v>3583</v>
      </c>
      <c r="B3584" s="4">
        <v>25542</v>
      </c>
      <c r="C3584" s="5">
        <v>41273</v>
      </c>
      <c r="D3584" s="3" t="s">
        <v>82</v>
      </c>
      <c r="E3584" s="1" t="s">
        <v>734</v>
      </c>
      <c r="F3584" s="1" t="s">
        <v>13</v>
      </c>
      <c r="G3584" s="2" t="s">
        <v>6</v>
      </c>
      <c r="H3584" s="3" t="s">
        <v>97</v>
      </c>
      <c r="I3584" s="3" t="s">
        <v>85</v>
      </c>
      <c r="J3584" s="3" t="s">
        <v>66</v>
      </c>
      <c r="K3584" s="4">
        <v>257.45999999999998</v>
      </c>
      <c r="L3584" s="6">
        <v>7.28</v>
      </c>
    </row>
    <row r="3585" spans="1:12" x14ac:dyDescent="0.25">
      <c r="A3585" s="1">
        <v>3584</v>
      </c>
      <c r="B3585" s="4">
        <v>25569</v>
      </c>
      <c r="C3585" s="5">
        <v>41099</v>
      </c>
      <c r="D3585" s="3" t="s">
        <v>89</v>
      </c>
      <c r="E3585" s="1" t="s">
        <v>490</v>
      </c>
      <c r="F3585" s="1" t="s">
        <v>13</v>
      </c>
      <c r="G3585" s="2" t="s">
        <v>6</v>
      </c>
      <c r="H3585" s="3" t="s">
        <v>84</v>
      </c>
      <c r="I3585" s="3" t="s">
        <v>85</v>
      </c>
      <c r="J3585" s="3" t="s">
        <v>66</v>
      </c>
      <c r="K3585" s="4">
        <v>311.20999999999998</v>
      </c>
      <c r="L3585" s="6">
        <v>12.28</v>
      </c>
    </row>
    <row r="3586" spans="1:12" x14ac:dyDescent="0.25">
      <c r="A3586" s="1">
        <v>3585</v>
      </c>
      <c r="B3586" s="4">
        <v>25571</v>
      </c>
      <c r="C3586" s="5">
        <v>41139</v>
      </c>
      <c r="D3586" s="3" t="s">
        <v>95</v>
      </c>
      <c r="E3586" s="1" t="s">
        <v>387</v>
      </c>
      <c r="F3586" s="1" t="s">
        <v>36</v>
      </c>
      <c r="G3586" s="2" t="s">
        <v>2</v>
      </c>
      <c r="H3586" s="3" t="s">
        <v>100</v>
      </c>
      <c r="I3586" s="3" t="s">
        <v>85</v>
      </c>
      <c r="J3586" s="3" t="s">
        <v>57</v>
      </c>
      <c r="K3586" s="4">
        <v>3749</v>
      </c>
      <c r="L3586" s="6">
        <v>89.83</v>
      </c>
    </row>
    <row r="3587" spans="1:12" x14ac:dyDescent="0.25">
      <c r="A3587" s="1">
        <v>3586</v>
      </c>
      <c r="B3587" s="4">
        <v>25574</v>
      </c>
      <c r="C3587" s="5">
        <v>39884</v>
      </c>
      <c r="D3587" s="3" t="s">
        <v>86</v>
      </c>
      <c r="E3587" s="1" t="s">
        <v>1148</v>
      </c>
      <c r="F3587" s="1" t="s">
        <v>45</v>
      </c>
      <c r="G3587" s="2" t="s">
        <v>3</v>
      </c>
      <c r="H3587" s="3" t="s">
        <v>100</v>
      </c>
      <c r="I3587" s="3" t="s">
        <v>91</v>
      </c>
      <c r="J3587" s="3" t="s">
        <v>68</v>
      </c>
      <c r="K3587" s="4">
        <v>5074.07</v>
      </c>
      <c r="L3587" s="6">
        <v>100.98</v>
      </c>
    </row>
    <row r="3588" spans="1:12" x14ac:dyDescent="0.25">
      <c r="A3588" s="1">
        <v>3587</v>
      </c>
      <c r="B3588" s="4">
        <v>25574</v>
      </c>
      <c r="C3588" s="5">
        <v>39884</v>
      </c>
      <c r="D3588" s="3" t="s">
        <v>86</v>
      </c>
      <c r="E3588" s="1" t="s">
        <v>1148</v>
      </c>
      <c r="F3588" s="1" t="s">
        <v>45</v>
      </c>
      <c r="G3588" s="2" t="s">
        <v>3</v>
      </c>
      <c r="H3588" s="3" t="s">
        <v>100</v>
      </c>
      <c r="I3588" s="3" t="s">
        <v>92</v>
      </c>
      <c r="J3588" s="3" t="s">
        <v>62</v>
      </c>
      <c r="K3588" s="4">
        <v>1526.67</v>
      </c>
      <c r="L3588" s="6">
        <v>47.98</v>
      </c>
    </row>
    <row r="3589" spans="1:12" x14ac:dyDescent="0.25">
      <c r="A3589" s="1">
        <v>3588</v>
      </c>
      <c r="B3589" s="4">
        <v>25601</v>
      </c>
      <c r="C3589" s="5">
        <v>39818</v>
      </c>
      <c r="D3589" s="3" t="s">
        <v>4</v>
      </c>
      <c r="E3589" s="1" t="s">
        <v>250</v>
      </c>
      <c r="F3589" s="1" t="s">
        <v>23</v>
      </c>
      <c r="G3589" s="2" t="s">
        <v>3</v>
      </c>
      <c r="H3589" s="3" t="s">
        <v>88</v>
      </c>
      <c r="I3589" s="3" t="s">
        <v>85</v>
      </c>
      <c r="J3589" s="3" t="s">
        <v>57</v>
      </c>
      <c r="K3589" s="4">
        <v>257.41000000000003</v>
      </c>
      <c r="L3589" s="6">
        <v>5.98</v>
      </c>
    </row>
    <row r="3590" spans="1:12" x14ac:dyDescent="0.25">
      <c r="A3590" s="1">
        <v>3589</v>
      </c>
      <c r="B3590" s="4">
        <v>25603</v>
      </c>
      <c r="C3590" s="5">
        <v>40607</v>
      </c>
      <c r="D3590" s="3" t="s">
        <v>82</v>
      </c>
      <c r="E3590" s="1" t="s">
        <v>1006</v>
      </c>
      <c r="F3590" s="1" t="s">
        <v>12</v>
      </c>
      <c r="G3590" s="2" t="s">
        <v>2</v>
      </c>
      <c r="H3590" s="3" t="s">
        <v>88</v>
      </c>
      <c r="I3590" s="3" t="s">
        <v>85</v>
      </c>
      <c r="J3590" s="3" t="s">
        <v>71</v>
      </c>
      <c r="K3590" s="4">
        <v>862.64</v>
      </c>
      <c r="L3590" s="6">
        <v>35.89</v>
      </c>
    </row>
    <row r="3591" spans="1:12" x14ac:dyDescent="0.25">
      <c r="A3591" s="1">
        <v>3590</v>
      </c>
      <c r="B3591" s="4">
        <v>25633</v>
      </c>
      <c r="C3591" s="5">
        <v>40756</v>
      </c>
      <c r="D3591" s="3" t="s">
        <v>82</v>
      </c>
      <c r="E3591" s="1" t="s">
        <v>772</v>
      </c>
      <c r="F3591" s="1" t="s">
        <v>30</v>
      </c>
      <c r="G3591" s="2" t="s">
        <v>6</v>
      </c>
      <c r="H3591" s="3" t="s">
        <v>97</v>
      </c>
      <c r="I3591" s="3" t="s">
        <v>91</v>
      </c>
      <c r="J3591" s="3" t="s">
        <v>60</v>
      </c>
      <c r="K3591" s="4">
        <v>5140.08</v>
      </c>
      <c r="L3591" s="6">
        <v>145.97999999999999</v>
      </c>
    </row>
    <row r="3592" spans="1:12" x14ac:dyDescent="0.25">
      <c r="A3592" s="1">
        <v>3591</v>
      </c>
      <c r="B3592" s="4">
        <v>25634</v>
      </c>
      <c r="C3592" s="5">
        <v>40388</v>
      </c>
      <c r="D3592" s="3" t="s">
        <v>86</v>
      </c>
      <c r="E3592" s="1" t="s">
        <v>1149</v>
      </c>
      <c r="F3592" s="1" t="s">
        <v>8</v>
      </c>
      <c r="G3592" s="2" t="s">
        <v>6</v>
      </c>
      <c r="H3592" s="3" t="s">
        <v>88</v>
      </c>
      <c r="I3592" s="3" t="s">
        <v>92</v>
      </c>
      <c r="J3592" s="3" t="s">
        <v>62</v>
      </c>
      <c r="K3592" s="4">
        <v>593.32000000000005</v>
      </c>
      <c r="L3592" s="6">
        <v>20.95</v>
      </c>
    </row>
    <row r="3593" spans="1:12" x14ac:dyDescent="0.25">
      <c r="A3593" s="1">
        <v>3592</v>
      </c>
      <c r="B3593" s="4">
        <v>25634</v>
      </c>
      <c r="C3593" s="5">
        <v>40388</v>
      </c>
      <c r="D3593" s="3" t="s">
        <v>86</v>
      </c>
      <c r="E3593" s="1" t="s">
        <v>1149</v>
      </c>
      <c r="F3593" s="1" t="s">
        <v>8</v>
      </c>
      <c r="G3593" s="2" t="s">
        <v>6</v>
      </c>
      <c r="H3593" s="3" t="s">
        <v>88</v>
      </c>
      <c r="I3593" s="3" t="s">
        <v>85</v>
      </c>
      <c r="J3593" s="3" t="s">
        <v>71</v>
      </c>
      <c r="K3593" s="4">
        <v>626.07000000000005</v>
      </c>
      <c r="L3593" s="6">
        <v>23.99</v>
      </c>
    </row>
    <row r="3594" spans="1:12" x14ac:dyDescent="0.25">
      <c r="A3594" s="1">
        <v>3593</v>
      </c>
      <c r="B3594" s="4">
        <v>25635</v>
      </c>
      <c r="C3594" s="5">
        <v>41058</v>
      </c>
      <c r="D3594" s="3" t="s">
        <v>95</v>
      </c>
      <c r="E3594" s="1" t="s">
        <v>837</v>
      </c>
      <c r="F3594" s="1" t="s">
        <v>30</v>
      </c>
      <c r="G3594" s="2" t="s">
        <v>6</v>
      </c>
      <c r="H3594" s="3" t="s">
        <v>88</v>
      </c>
      <c r="I3594" s="3" t="s">
        <v>85</v>
      </c>
      <c r="J3594" s="3" t="s">
        <v>70</v>
      </c>
      <c r="K3594" s="4">
        <v>633.08000000000004</v>
      </c>
      <c r="L3594" s="6">
        <v>42.98</v>
      </c>
    </row>
    <row r="3595" spans="1:12" x14ac:dyDescent="0.25">
      <c r="A3595" s="1">
        <v>3594</v>
      </c>
      <c r="B3595" s="4">
        <v>25635</v>
      </c>
      <c r="C3595" s="5">
        <v>41058</v>
      </c>
      <c r="D3595" s="3" t="s">
        <v>95</v>
      </c>
      <c r="E3595" s="1" t="s">
        <v>772</v>
      </c>
      <c r="F3595" s="1" t="s">
        <v>30</v>
      </c>
      <c r="G3595" s="2" t="s">
        <v>6</v>
      </c>
      <c r="H3595" s="3" t="s">
        <v>88</v>
      </c>
      <c r="I3595" s="3" t="s">
        <v>91</v>
      </c>
      <c r="J3595" s="3" t="s">
        <v>59</v>
      </c>
      <c r="K3595" s="4">
        <v>110.42</v>
      </c>
      <c r="L3595" s="6">
        <v>5.08</v>
      </c>
    </row>
    <row r="3596" spans="1:12" x14ac:dyDescent="0.25">
      <c r="A3596" s="1">
        <v>3595</v>
      </c>
      <c r="B3596" s="4">
        <v>25637</v>
      </c>
      <c r="C3596" s="5">
        <v>40964</v>
      </c>
      <c r="D3596" s="3" t="s">
        <v>86</v>
      </c>
      <c r="E3596" s="1" t="s">
        <v>212</v>
      </c>
      <c r="F3596" s="1" t="s">
        <v>44</v>
      </c>
      <c r="G3596" s="2" t="s">
        <v>3</v>
      </c>
      <c r="H3596" s="3" t="s">
        <v>84</v>
      </c>
      <c r="I3596" s="3" t="s">
        <v>91</v>
      </c>
      <c r="J3596" s="3" t="s">
        <v>60</v>
      </c>
      <c r="K3596" s="4">
        <v>2409.4240000000004</v>
      </c>
      <c r="L3596" s="6">
        <v>259.70999999999998</v>
      </c>
    </row>
    <row r="3597" spans="1:12" x14ac:dyDescent="0.25">
      <c r="A3597" s="1">
        <v>3596</v>
      </c>
      <c r="B3597" s="4">
        <v>25638</v>
      </c>
      <c r="C3597" s="5">
        <v>40031</v>
      </c>
      <c r="D3597" s="3" t="s">
        <v>89</v>
      </c>
      <c r="E3597" s="1" t="s">
        <v>668</v>
      </c>
      <c r="F3597" s="1" t="s">
        <v>41</v>
      </c>
      <c r="G3597" s="2" t="s">
        <v>6</v>
      </c>
      <c r="H3597" s="3" t="s">
        <v>88</v>
      </c>
      <c r="I3597" s="3" t="s">
        <v>92</v>
      </c>
      <c r="J3597" s="3" t="s">
        <v>62</v>
      </c>
      <c r="K3597" s="4">
        <v>163.89</v>
      </c>
      <c r="L3597" s="6">
        <v>4.8899999999999997</v>
      </c>
    </row>
    <row r="3598" spans="1:12" x14ac:dyDescent="0.25">
      <c r="A3598" s="1">
        <v>3597</v>
      </c>
      <c r="B3598" s="4">
        <v>25638</v>
      </c>
      <c r="C3598" s="5">
        <v>40031</v>
      </c>
      <c r="D3598" s="3" t="s">
        <v>89</v>
      </c>
      <c r="E3598" s="1" t="s">
        <v>668</v>
      </c>
      <c r="F3598" s="1" t="s">
        <v>41</v>
      </c>
      <c r="G3598" s="2" t="s">
        <v>6</v>
      </c>
      <c r="H3598" s="3" t="s">
        <v>88</v>
      </c>
      <c r="I3598" s="3" t="s">
        <v>85</v>
      </c>
      <c r="J3598" s="3" t="s">
        <v>66</v>
      </c>
      <c r="K3598" s="4">
        <v>115.45</v>
      </c>
      <c r="L3598" s="6">
        <v>10.06</v>
      </c>
    </row>
    <row r="3599" spans="1:12" x14ac:dyDescent="0.25">
      <c r="A3599" s="1">
        <v>3598</v>
      </c>
      <c r="B3599" s="4">
        <v>25666</v>
      </c>
      <c r="C3599" s="5">
        <v>41154</v>
      </c>
      <c r="D3599" s="3" t="s">
        <v>95</v>
      </c>
      <c r="E3599" s="1" t="s">
        <v>592</v>
      </c>
      <c r="F3599" s="1" t="s">
        <v>48</v>
      </c>
      <c r="G3599" s="2" t="s">
        <v>1</v>
      </c>
      <c r="H3599" s="3" t="s">
        <v>100</v>
      </c>
      <c r="I3599" s="3" t="s">
        <v>85</v>
      </c>
      <c r="J3599" s="3" t="s">
        <v>57</v>
      </c>
      <c r="K3599" s="4">
        <v>260.08</v>
      </c>
      <c r="L3599" s="6">
        <v>12.21</v>
      </c>
    </row>
    <row r="3600" spans="1:12" x14ac:dyDescent="0.25">
      <c r="A3600" s="1">
        <v>3599</v>
      </c>
      <c r="B3600" s="4">
        <v>25666</v>
      </c>
      <c r="C3600" s="5">
        <v>41154</v>
      </c>
      <c r="D3600" s="3" t="s">
        <v>95</v>
      </c>
      <c r="E3600" s="1" t="s">
        <v>1150</v>
      </c>
      <c r="F3600" s="1" t="s">
        <v>39</v>
      </c>
      <c r="G3600" s="2" t="s">
        <v>1</v>
      </c>
      <c r="H3600" s="3" t="s">
        <v>100</v>
      </c>
      <c r="I3600" s="3" t="s">
        <v>85</v>
      </c>
      <c r="J3600" s="3" t="s">
        <v>57</v>
      </c>
      <c r="K3600" s="4">
        <v>5072.34</v>
      </c>
      <c r="L3600" s="6">
        <v>140.85</v>
      </c>
    </row>
    <row r="3601" spans="1:12" x14ac:dyDescent="0.25">
      <c r="A3601" s="1">
        <v>3600</v>
      </c>
      <c r="B3601" s="4">
        <v>25669</v>
      </c>
      <c r="C3601" s="5">
        <v>40559</v>
      </c>
      <c r="D3601" s="3" t="s">
        <v>95</v>
      </c>
      <c r="E3601" s="1" t="s">
        <v>1151</v>
      </c>
      <c r="F3601" s="1" t="s">
        <v>39</v>
      </c>
      <c r="G3601" s="2" t="s">
        <v>1</v>
      </c>
      <c r="H3601" s="3" t="s">
        <v>84</v>
      </c>
      <c r="I3601" s="3" t="s">
        <v>85</v>
      </c>
      <c r="J3601" s="3" t="s">
        <v>65</v>
      </c>
      <c r="K3601" s="4">
        <v>45.63</v>
      </c>
      <c r="L3601" s="6">
        <v>3.69</v>
      </c>
    </row>
    <row r="3602" spans="1:12" x14ac:dyDescent="0.25">
      <c r="A3602" s="1">
        <v>3601</v>
      </c>
      <c r="B3602" s="4">
        <v>25697</v>
      </c>
      <c r="C3602" s="5">
        <v>40659</v>
      </c>
      <c r="D3602" s="3" t="s">
        <v>82</v>
      </c>
      <c r="E3602" s="1" t="s">
        <v>526</v>
      </c>
      <c r="F3602" s="1" t="s">
        <v>18</v>
      </c>
      <c r="G3602" s="2" t="s">
        <v>6</v>
      </c>
      <c r="H3602" s="3" t="s">
        <v>100</v>
      </c>
      <c r="I3602" s="3" t="s">
        <v>92</v>
      </c>
      <c r="J3602" s="3" t="s">
        <v>62</v>
      </c>
      <c r="K3602" s="4">
        <v>400.25</v>
      </c>
      <c r="L3602" s="6">
        <v>8.4600000000000009</v>
      </c>
    </row>
    <row r="3603" spans="1:12" x14ac:dyDescent="0.25">
      <c r="A3603" s="1">
        <v>3602</v>
      </c>
      <c r="B3603" s="4">
        <v>25733</v>
      </c>
      <c r="C3603" s="5">
        <v>41041</v>
      </c>
      <c r="D3603" s="3" t="s">
        <v>82</v>
      </c>
      <c r="E3603" s="1" t="s">
        <v>506</v>
      </c>
      <c r="F3603" s="1" t="s">
        <v>8</v>
      </c>
      <c r="G3603" s="2" t="s">
        <v>6</v>
      </c>
      <c r="H3603" s="3" t="s">
        <v>97</v>
      </c>
      <c r="I3603" s="3" t="s">
        <v>85</v>
      </c>
      <c r="J3603" s="3" t="s">
        <v>69</v>
      </c>
      <c r="K3603" s="4">
        <v>557.23</v>
      </c>
      <c r="L3603" s="6">
        <v>24.92</v>
      </c>
    </row>
    <row r="3604" spans="1:12" x14ac:dyDescent="0.25">
      <c r="A3604" s="1">
        <v>3603</v>
      </c>
      <c r="B3604" s="4">
        <v>25735</v>
      </c>
      <c r="C3604" s="5">
        <v>40542</v>
      </c>
      <c r="D3604" s="3" t="s">
        <v>86</v>
      </c>
      <c r="E3604" s="1" t="s">
        <v>801</v>
      </c>
      <c r="F3604" s="1" t="s">
        <v>53</v>
      </c>
      <c r="G3604" s="2" t="s">
        <v>6</v>
      </c>
      <c r="H3604" s="3" t="s">
        <v>100</v>
      </c>
      <c r="I3604" s="3" t="s">
        <v>85</v>
      </c>
      <c r="J3604" s="3" t="s">
        <v>63</v>
      </c>
      <c r="K3604" s="4">
        <v>260.37</v>
      </c>
      <c r="L3604" s="6">
        <v>5.58</v>
      </c>
    </row>
    <row r="3605" spans="1:12" x14ac:dyDescent="0.25">
      <c r="A3605" s="1">
        <v>3604</v>
      </c>
      <c r="B3605" s="4">
        <v>25767</v>
      </c>
      <c r="C3605" s="5">
        <v>40971</v>
      </c>
      <c r="D3605" s="3" t="s">
        <v>89</v>
      </c>
      <c r="E3605" s="1" t="s">
        <v>182</v>
      </c>
      <c r="F3605" s="1" t="s">
        <v>8</v>
      </c>
      <c r="G3605" s="2" t="s">
        <v>6</v>
      </c>
      <c r="H3605" s="3" t="s">
        <v>88</v>
      </c>
      <c r="I3605" s="3" t="s">
        <v>92</v>
      </c>
      <c r="J3605" s="3" t="s">
        <v>62</v>
      </c>
      <c r="K3605" s="4">
        <v>261.88</v>
      </c>
      <c r="L3605" s="6">
        <v>39.479999999999997</v>
      </c>
    </row>
    <row r="3606" spans="1:12" x14ac:dyDescent="0.25">
      <c r="A3606" s="1">
        <v>3605</v>
      </c>
      <c r="B3606" s="4">
        <v>25767</v>
      </c>
      <c r="C3606" s="5">
        <v>40971</v>
      </c>
      <c r="D3606" s="3" t="s">
        <v>89</v>
      </c>
      <c r="E3606" s="1" t="s">
        <v>182</v>
      </c>
      <c r="F3606" s="1" t="s">
        <v>8</v>
      </c>
      <c r="G3606" s="2" t="s">
        <v>6</v>
      </c>
      <c r="H3606" s="3" t="s">
        <v>88</v>
      </c>
      <c r="I3606" s="3" t="s">
        <v>85</v>
      </c>
      <c r="J3606" s="3" t="s">
        <v>66</v>
      </c>
      <c r="K3606" s="4">
        <v>593.73</v>
      </c>
      <c r="L3606" s="6">
        <v>38.76</v>
      </c>
    </row>
    <row r="3607" spans="1:12" x14ac:dyDescent="0.25">
      <c r="A3607" s="1">
        <v>3606</v>
      </c>
      <c r="B3607" s="4">
        <v>25793</v>
      </c>
      <c r="C3607" s="5">
        <v>41006</v>
      </c>
      <c r="D3607" s="3" t="s">
        <v>82</v>
      </c>
      <c r="E3607" s="1" t="s">
        <v>776</v>
      </c>
      <c r="F3607" s="1" t="s">
        <v>42</v>
      </c>
      <c r="G3607" s="2" t="s">
        <v>3</v>
      </c>
      <c r="H3607" s="3" t="s">
        <v>100</v>
      </c>
      <c r="I3607" s="3" t="s">
        <v>92</v>
      </c>
      <c r="J3607" s="3" t="s">
        <v>61</v>
      </c>
      <c r="K3607" s="4">
        <v>3436.7710000000002</v>
      </c>
      <c r="L3607" s="6">
        <v>155.99</v>
      </c>
    </row>
    <row r="3608" spans="1:12" x14ac:dyDescent="0.25">
      <c r="A3608" s="1">
        <v>3607</v>
      </c>
      <c r="B3608" s="4">
        <v>25797</v>
      </c>
      <c r="C3608" s="5">
        <v>41153</v>
      </c>
      <c r="D3608" s="3" t="s">
        <v>86</v>
      </c>
      <c r="E3608" s="1" t="s">
        <v>326</v>
      </c>
      <c r="F3608" s="1" t="s">
        <v>24</v>
      </c>
      <c r="G3608" s="2" t="s">
        <v>2</v>
      </c>
      <c r="H3608" s="3" t="s">
        <v>88</v>
      </c>
      <c r="I3608" s="3" t="s">
        <v>92</v>
      </c>
      <c r="J3608" s="3" t="s">
        <v>62</v>
      </c>
      <c r="K3608" s="4">
        <v>925.43</v>
      </c>
      <c r="L3608" s="6">
        <v>31.78</v>
      </c>
    </row>
    <row r="3609" spans="1:12" x14ac:dyDescent="0.25">
      <c r="A3609" s="1">
        <v>3608</v>
      </c>
      <c r="B3609" s="4">
        <v>25799</v>
      </c>
      <c r="C3609" s="5">
        <v>40598</v>
      </c>
      <c r="D3609" s="3" t="s">
        <v>82</v>
      </c>
      <c r="E3609" s="1" t="s">
        <v>752</v>
      </c>
      <c r="F3609" s="1" t="s">
        <v>29</v>
      </c>
      <c r="G3609" s="2" t="s">
        <v>3</v>
      </c>
      <c r="H3609" s="3" t="s">
        <v>88</v>
      </c>
      <c r="I3609" s="3" t="s">
        <v>85</v>
      </c>
      <c r="J3609" s="3" t="s">
        <v>63</v>
      </c>
      <c r="K3609" s="4">
        <v>136.5</v>
      </c>
      <c r="L3609" s="6">
        <v>3.34</v>
      </c>
    </row>
    <row r="3610" spans="1:12" x14ac:dyDescent="0.25">
      <c r="A3610" s="1">
        <v>3609</v>
      </c>
      <c r="B3610" s="4">
        <v>25824</v>
      </c>
      <c r="C3610" s="5">
        <v>40060</v>
      </c>
      <c r="D3610" s="3" t="s">
        <v>4</v>
      </c>
      <c r="E3610" s="1" t="s">
        <v>763</v>
      </c>
      <c r="F3610" s="1" t="s">
        <v>9</v>
      </c>
      <c r="G3610" s="2" t="s">
        <v>2</v>
      </c>
      <c r="H3610" s="3" t="s">
        <v>88</v>
      </c>
      <c r="I3610" s="3" t="s">
        <v>85</v>
      </c>
      <c r="J3610" s="3" t="s">
        <v>70</v>
      </c>
      <c r="K3610" s="4">
        <v>25.27</v>
      </c>
      <c r="L3610" s="6">
        <v>3.95</v>
      </c>
    </row>
    <row r="3611" spans="1:12" x14ac:dyDescent="0.25">
      <c r="A3611" s="1">
        <v>3610</v>
      </c>
      <c r="B3611" s="4">
        <v>25824</v>
      </c>
      <c r="C3611" s="5">
        <v>40060</v>
      </c>
      <c r="D3611" s="3" t="s">
        <v>4</v>
      </c>
      <c r="E3611" s="1" t="s">
        <v>763</v>
      </c>
      <c r="F3611" s="1" t="s">
        <v>9</v>
      </c>
      <c r="G3611" s="2" t="s">
        <v>2</v>
      </c>
      <c r="H3611" s="3" t="s">
        <v>88</v>
      </c>
      <c r="I3611" s="3" t="s">
        <v>85</v>
      </c>
      <c r="J3611" s="3" t="s">
        <v>69</v>
      </c>
      <c r="K3611" s="4">
        <v>14410.78</v>
      </c>
      <c r="L3611" s="6">
        <v>367.99</v>
      </c>
    </row>
    <row r="3612" spans="1:12" x14ac:dyDescent="0.25">
      <c r="A3612" s="1">
        <v>3611</v>
      </c>
      <c r="B3612" s="4">
        <v>25824</v>
      </c>
      <c r="C3612" s="5">
        <v>40060</v>
      </c>
      <c r="D3612" s="3" t="s">
        <v>4</v>
      </c>
      <c r="E3612" s="1" t="s">
        <v>763</v>
      </c>
      <c r="F3612" s="1" t="s">
        <v>9</v>
      </c>
      <c r="G3612" s="2" t="s">
        <v>2</v>
      </c>
      <c r="H3612" s="3" t="s">
        <v>88</v>
      </c>
      <c r="I3612" s="3" t="s">
        <v>91</v>
      </c>
      <c r="J3612" s="3" t="s">
        <v>60</v>
      </c>
      <c r="K3612" s="4">
        <v>15341.46</v>
      </c>
      <c r="L3612" s="6">
        <v>376.13</v>
      </c>
    </row>
    <row r="3613" spans="1:12" x14ac:dyDescent="0.25">
      <c r="A3613" s="1">
        <v>3612</v>
      </c>
      <c r="B3613" s="4">
        <v>25824</v>
      </c>
      <c r="C3613" s="5">
        <v>40060</v>
      </c>
      <c r="D3613" s="3" t="s">
        <v>4</v>
      </c>
      <c r="E3613" s="1" t="s">
        <v>1152</v>
      </c>
      <c r="F3613" s="1" t="s">
        <v>9</v>
      </c>
      <c r="G3613" s="2" t="s">
        <v>2</v>
      </c>
      <c r="H3613" s="3" t="s">
        <v>88</v>
      </c>
      <c r="I3613" s="3" t="s">
        <v>92</v>
      </c>
      <c r="J3613" s="3" t="s">
        <v>61</v>
      </c>
      <c r="K3613" s="4">
        <v>507.56049999999999</v>
      </c>
      <c r="L3613" s="6">
        <v>95.99</v>
      </c>
    </row>
    <row r="3614" spans="1:12" x14ac:dyDescent="0.25">
      <c r="A3614" s="1">
        <v>3613</v>
      </c>
      <c r="B3614" s="4">
        <v>25825</v>
      </c>
      <c r="C3614" s="5">
        <v>41109</v>
      </c>
      <c r="D3614" s="3" t="s">
        <v>86</v>
      </c>
      <c r="E3614" s="1" t="s">
        <v>866</v>
      </c>
      <c r="F3614" s="1" t="s">
        <v>25</v>
      </c>
      <c r="G3614" s="2" t="s">
        <v>6</v>
      </c>
      <c r="H3614" s="3" t="s">
        <v>88</v>
      </c>
      <c r="I3614" s="3" t="s">
        <v>85</v>
      </c>
      <c r="J3614" s="3" t="s">
        <v>66</v>
      </c>
      <c r="K3614" s="4">
        <v>483.74</v>
      </c>
      <c r="L3614" s="6">
        <v>10.31</v>
      </c>
    </row>
    <row r="3615" spans="1:12" x14ac:dyDescent="0.25">
      <c r="A3615" s="1">
        <v>3614</v>
      </c>
      <c r="B3615" s="4">
        <v>25825</v>
      </c>
      <c r="C3615" s="5">
        <v>41109</v>
      </c>
      <c r="D3615" s="3" t="s">
        <v>86</v>
      </c>
      <c r="E3615" s="1" t="s">
        <v>866</v>
      </c>
      <c r="F3615" s="1" t="s">
        <v>25</v>
      </c>
      <c r="G3615" s="2" t="s">
        <v>6</v>
      </c>
      <c r="H3615" s="3" t="s">
        <v>88</v>
      </c>
      <c r="I3615" s="3" t="s">
        <v>85</v>
      </c>
      <c r="J3615" s="3" t="s">
        <v>63</v>
      </c>
      <c r="K3615" s="4">
        <v>159.65</v>
      </c>
      <c r="L3615" s="6">
        <v>5.85</v>
      </c>
    </row>
    <row r="3616" spans="1:12" x14ac:dyDescent="0.25">
      <c r="A3616" s="1">
        <v>3615</v>
      </c>
      <c r="B3616" s="4">
        <v>25828</v>
      </c>
      <c r="C3616" s="5">
        <v>40505</v>
      </c>
      <c r="D3616" s="3" t="s">
        <v>86</v>
      </c>
      <c r="E3616" s="1" t="s">
        <v>1153</v>
      </c>
      <c r="F3616" s="1" t="s">
        <v>23</v>
      </c>
      <c r="G3616" s="2" t="s">
        <v>3</v>
      </c>
      <c r="H3616" s="3" t="s">
        <v>84</v>
      </c>
      <c r="I3616" s="3" t="s">
        <v>85</v>
      </c>
      <c r="J3616" s="3" t="s">
        <v>58</v>
      </c>
      <c r="K3616" s="4">
        <v>241.43</v>
      </c>
      <c r="L3616" s="6">
        <v>6.84</v>
      </c>
    </row>
    <row r="3617" spans="1:12" x14ac:dyDescent="0.25">
      <c r="A3617" s="1">
        <v>3616</v>
      </c>
      <c r="B3617" s="4">
        <v>25828</v>
      </c>
      <c r="C3617" s="5">
        <v>40505</v>
      </c>
      <c r="D3617" s="3" t="s">
        <v>86</v>
      </c>
      <c r="E3617" s="1" t="s">
        <v>114</v>
      </c>
      <c r="F3617" s="1" t="s">
        <v>52</v>
      </c>
      <c r="G3617" s="2" t="s">
        <v>3</v>
      </c>
      <c r="H3617" s="3" t="s">
        <v>84</v>
      </c>
      <c r="I3617" s="3" t="s">
        <v>85</v>
      </c>
      <c r="J3617" s="3" t="s">
        <v>63</v>
      </c>
      <c r="K3617" s="4">
        <v>163.04</v>
      </c>
      <c r="L3617" s="6">
        <v>5.84</v>
      </c>
    </row>
    <row r="3618" spans="1:12" x14ac:dyDescent="0.25">
      <c r="A3618" s="1">
        <v>3617</v>
      </c>
      <c r="B3618" s="4">
        <v>25828</v>
      </c>
      <c r="C3618" s="5">
        <v>40505</v>
      </c>
      <c r="D3618" s="3" t="s">
        <v>86</v>
      </c>
      <c r="E3618" s="1" t="s">
        <v>114</v>
      </c>
      <c r="F3618" s="1" t="s">
        <v>52</v>
      </c>
      <c r="G3618" s="2" t="s">
        <v>3</v>
      </c>
      <c r="H3618" s="3" t="s">
        <v>84</v>
      </c>
      <c r="I3618" s="3" t="s">
        <v>91</v>
      </c>
      <c r="J3618" s="3" t="s">
        <v>60</v>
      </c>
      <c r="K3618" s="4">
        <v>9041.26</v>
      </c>
      <c r="L3618" s="6">
        <v>286.85000000000002</v>
      </c>
    </row>
    <row r="3619" spans="1:12" x14ac:dyDescent="0.25">
      <c r="A3619" s="1">
        <v>3618</v>
      </c>
      <c r="B3619" s="4">
        <v>25830</v>
      </c>
      <c r="C3619" s="5">
        <v>40304</v>
      </c>
      <c r="D3619" s="3" t="s">
        <v>82</v>
      </c>
      <c r="E3619" s="1" t="s">
        <v>282</v>
      </c>
      <c r="F3619" s="1" t="s">
        <v>30</v>
      </c>
      <c r="G3619" s="2" t="s">
        <v>6</v>
      </c>
      <c r="H3619" s="3" t="s">
        <v>100</v>
      </c>
      <c r="I3619" s="3" t="s">
        <v>85</v>
      </c>
      <c r="J3619" s="3" t="s">
        <v>70</v>
      </c>
      <c r="K3619" s="4">
        <v>25.34</v>
      </c>
      <c r="L3619" s="6">
        <v>4.0599999999999996</v>
      </c>
    </row>
    <row r="3620" spans="1:12" x14ac:dyDescent="0.25">
      <c r="A3620" s="1">
        <v>3619</v>
      </c>
      <c r="B3620" s="4">
        <v>25830</v>
      </c>
      <c r="C3620" s="5">
        <v>40304</v>
      </c>
      <c r="D3620" s="3" t="s">
        <v>82</v>
      </c>
      <c r="E3620" s="1" t="s">
        <v>282</v>
      </c>
      <c r="F3620" s="1" t="s">
        <v>30</v>
      </c>
      <c r="G3620" s="2" t="s">
        <v>6</v>
      </c>
      <c r="H3620" s="3" t="s">
        <v>100</v>
      </c>
      <c r="I3620" s="3" t="s">
        <v>85</v>
      </c>
      <c r="J3620" s="3" t="s">
        <v>69</v>
      </c>
      <c r="K3620" s="4">
        <v>178.57</v>
      </c>
      <c r="L3620" s="6">
        <v>15.28</v>
      </c>
    </row>
    <row r="3621" spans="1:12" x14ac:dyDescent="0.25">
      <c r="A3621" s="1">
        <v>3620</v>
      </c>
      <c r="B3621" s="4">
        <v>25831</v>
      </c>
      <c r="C3621" s="5">
        <v>40070</v>
      </c>
      <c r="D3621" s="3" t="s">
        <v>4</v>
      </c>
      <c r="E3621" s="1" t="s">
        <v>135</v>
      </c>
      <c r="F3621" s="1" t="s">
        <v>29</v>
      </c>
      <c r="G3621" s="2" t="s">
        <v>3</v>
      </c>
      <c r="H3621" s="3" t="s">
        <v>97</v>
      </c>
      <c r="I3621" s="3" t="s">
        <v>92</v>
      </c>
      <c r="J3621" s="3" t="s">
        <v>61</v>
      </c>
      <c r="K3621" s="4">
        <v>250.376</v>
      </c>
      <c r="L3621" s="6">
        <v>45.99</v>
      </c>
    </row>
    <row r="3622" spans="1:12" x14ac:dyDescent="0.25">
      <c r="A3622" s="1">
        <v>3621</v>
      </c>
      <c r="B3622" s="4">
        <v>25860</v>
      </c>
      <c r="C3622" s="5">
        <v>40180</v>
      </c>
      <c r="D3622" s="3" t="s">
        <v>82</v>
      </c>
      <c r="E3622" s="1" t="s">
        <v>255</v>
      </c>
      <c r="F3622" s="1" t="s">
        <v>50</v>
      </c>
      <c r="G3622" s="2" t="s">
        <v>1</v>
      </c>
      <c r="H3622" s="3" t="s">
        <v>100</v>
      </c>
      <c r="I3622" s="3" t="s">
        <v>85</v>
      </c>
      <c r="J3622" s="3" t="s">
        <v>71</v>
      </c>
      <c r="K3622" s="4">
        <v>740.2</v>
      </c>
      <c r="L3622" s="6">
        <v>83.98</v>
      </c>
    </row>
    <row r="3623" spans="1:12" x14ac:dyDescent="0.25">
      <c r="A3623" s="1">
        <v>3622</v>
      </c>
      <c r="B3623" s="4">
        <v>25860</v>
      </c>
      <c r="C3623" s="5">
        <v>40180</v>
      </c>
      <c r="D3623" s="3" t="s">
        <v>82</v>
      </c>
      <c r="E3623" s="1" t="s">
        <v>255</v>
      </c>
      <c r="F3623" s="1" t="s">
        <v>50</v>
      </c>
      <c r="G3623" s="2" t="s">
        <v>1</v>
      </c>
      <c r="H3623" s="3" t="s">
        <v>100</v>
      </c>
      <c r="I3623" s="3" t="s">
        <v>92</v>
      </c>
      <c r="J3623" s="3" t="s">
        <v>61</v>
      </c>
      <c r="K3623" s="4">
        <v>1288.7784999999999</v>
      </c>
      <c r="L3623" s="6">
        <v>65.989999999999995</v>
      </c>
    </row>
    <row r="3624" spans="1:12" x14ac:dyDescent="0.25">
      <c r="A3624" s="1">
        <v>3623</v>
      </c>
      <c r="B3624" s="4">
        <v>25861</v>
      </c>
      <c r="C3624" s="5">
        <v>41128</v>
      </c>
      <c r="D3624" s="3" t="s">
        <v>89</v>
      </c>
      <c r="E3624" s="1" t="s">
        <v>381</v>
      </c>
      <c r="F3624" s="1" t="s">
        <v>12</v>
      </c>
      <c r="G3624" s="2" t="s">
        <v>2</v>
      </c>
      <c r="H3624" s="3" t="s">
        <v>84</v>
      </c>
      <c r="I3624" s="3" t="s">
        <v>92</v>
      </c>
      <c r="J3624" s="3" t="s">
        <v>67</v>
      </c>
      <c r="K3624" s="4">
        <v>23775.56</v>
      </c>
      <c r="L3624" s="6">
        <v>535.64</v>
      </c>
    </row>
    <row r="3625" spans="1:12" x14ac:dyDescent="0.25">
      <c r="A3625" s="1">
        <v>3624</v>
      </c>
      <c r="B3625" s="4">
        <v>25863</v>
      </c>
      <c r="C3625" s="5">
        <v>40655</v>
      </c>
      <c r="D3625" s="3" t="s">
        <v>86</v>
      </c>
      <c r="E3625" s="1" t="s">
        <v>1154</v>
      </c>
      <c r="F3625" s="1" t="s">
        <v>13</v>
      </c>
      <c r="G3625" s="2" t="s">
        <v>6</v>
      </c>
      <c r="H3625" s="3" t="s">
        <v>88</v>
      </c>
      <c r="I3625" s="3" t="s">
        <v>92</v>
      </c>
      <c r="J3625" s="3" t="s">
        <v>61</v>
      </c>
      <c r="K3625" s="4">
        <v>340.68849999999998</v>
      </c>
      <c r="L3625" s="6">
        <v>20.99</v>
      </c>
    </row>
    <row r="3626" spans="1:12" x14ac:dyDescent="0.25">
      <c r="A3626" s="1">
        <v>3625</v>
      </c>
      <c r="B3626" s="4">
        <v>25889</v>
      </c>
      <c r="C3626" s="5">
        <v>40337</v>
      </c>
      <c r="D3626" s="3" t="s">
        <v>82</v>
      </c>
      <c r="E3626" s="1" t="s">
        <v>956</v>
      </c>
      <c r="F3626" s="1" t="s">
        <v>24</v>
      </c>
      <c r="G3626" s="2" t="s">
        <v>2</v>
      </c>
      <c r="H3626" s="3" t="s">
        <v>100</v>
      </c>
      <c r="I3626" s="3" t="s">
        <v>91</v>
      </c>
      <c r="J3626" s="3" t="s">
        <v>59</v>
      </c>
      <c r="K3626" s="4">
        <v>321.63</v>
      </c>
      <c r="L3626" s="6">
        <v>14.34</v>
      </c>
    </row>
    <row r="3627" spans="1:12" x14ac:dyDescent="0.25">
      <c r="A3627" s="1">
        <v>3626</v>
      </c>
      <c r="B3627" s="4">
        <v>25895</v>
      </c>
      <c r="C3627" s="5">
        <v>41016</v>
      </c>
      <c r="D3627" s="3" t="s">
        <v>4</v>
      </c>
      <c r="E3627" s="1" t="s">
        <v>146</v>
      </c>
      <c r="F3627" s="1" t="s">
        <v>13</v>
      </c>
      <c r="G3627" s="2" t="s">
        <v>6</v>
      </c>
      <c r="H3627" s="3" t="s">
        <v>88</v>
      </c>
      <c r="I3627" s="3" t="s">
        <v>85</v>
      </c>
      <c r="J3627" s="3" t="s">
        <v>69</v>
      </c>
      <c r="K3627" s="4">
        <v>709.91</v>
      </c>
      <c r="L3627" s="6">
        <v>19.350000000000001</v>
      </c>
    </row>
    <row r="3628" spans="1:12" x14ac:dyDescent="0.25">
      <c r="A3628" s="1">
        <v>3627</v>
      </c>
      <c r="B3628" s="4">
        <v>25926</v>
      </c>
      <c r="C3628" s="5">
        <v>40137</v>
      </c>
      <c r="D3628" s="3" t="s">
        <v>89</v>
      </c>
      <c r="E3628" s="1" t="s">
        <v>987</v>
      </c>
      <c r="F3628" s="1" t="s">
        <v>37</v>
      </c>
      <c r="G3628" s="2" t="s">
        <v>3</v>
      </c>
      <c r="H3628" s="3" t="s">
        <v>88</v>
      </c>
      <c r="I3628" s="3" t="s">
        <v>91</v>
      </c>
      <c r="J3628" s="3" t="s">
        <v>60</v>
      </c>
      <c r="K3628" s="4">
        <v>3300.2160000000003</v>
      </c>
      <c r="L3628" s="6">
        <v>218.75</v>
      </c>
    </row>
    <row r="3629" spans="1:12" x14ac:dyDescent="0.25">
      <c r="A3629" s="1">
        <v>3628</v>
      </c>
      <c r="B3629" s="4">
        <v>25926</v>
      </c>
      <c r="C3629" s="5">
        <v>40137</v>
      </c>
      <c r="D3629" s="3" t="s">
        <v>89</v>
      </c>
      <c r="E3629" s="1" t="s">
        <v>315</v>
      </c>
      <c r="F3629" s="1" t="s">
        <v>37</v>
      </c>
      <c r="G3629" s="2" t="s">
        <v>3</v>
      </c>
      <c r="H3629" s="3" t="s">
        <v>88</v>
      </c>
      <c r="I3629" s="3" t="s">
        <v>85</v>
      </c>
      <c r="J3629" s="3" t="s">
        <v>69</v>
      </c>
      <c r="K3629" s="4">
        <v>331.54</v>
      </c>
      <c r="L3629" s="6">
        <v>14.27</v>
      </c>
    </row>
    <row r="3630" spans="1:12" x14ac:dyDescent="0.25">
      <c r="A3630" s="1">
        <v>3629</v>
      </c>
      <c r="B3630" s="4">
        <v>25927</v>
      </c>
      <c r="C3630" s="5">
        <v>39925</v>
      </c>
      <c r="D3630" s="3" t="s">
        <v>4</v>
      </c>
      <c r="E3630" s="1" t="s">
        <v>626</v>
      </c>
      <c r="F3630" s="1" t="s">
        <v>20</v>
      </c>
      <c r="G3630" s="2" t="s">
        <v>1</v>
      </c>
      <c r="H3630" s="3" t="s">
        <v>88</v>
      </c>
      <c r="I3630" s="3" t="s">
        <v>85</v>
      </c>
      <c r="J3630" s="3" t="s">
        <v>57</v>
      </c>
      <c r="K3630" s="4">
        <v>422.83</v>
      </c>
      <c r="L3630" s="6">
        <v>29.74</v>
      </c>
    </row>
    <row r="3631" spans="1:12" x14ac:dyDescent="0.25">
      <c r="A3631" s="1">
        <v>3630</v>
      </c>
      <c r="B3631" s="4">
        <v>25927</v>
      </c>
      <c r="C3631" s="5">
        <v>39925</v>
      </c>
      <c r="D3631" s="3" t="s">
        <v>4</v>
      </c>
      <c r="E3631" s="1" t="s">
        <v>698</v>
      </c>
      <c r="F3631" s="1" t="s">
        <v>43</v>
      </c>
      <c r="G3631" s="2" t="s">
        <v>1</v>
      </c>
      <c r="H3631" s="3" t="s">
        <v>88</v>
      </c>
      <c r="I3631" s="3" t="s">
        <v>85</v>
      </c>
      <c r="J3631" s="3" t="s">
        <v>63</v>
      </c>
      <c r="K3631" s="4">
        <v>945.9</v>
      </c>
      <c r="L3631" s="6">
        <v>22.01</v>
      </c>
    </row>
    <row r="3632" spans="1:12" x14ac:dyDescent="0.25">
      <c r="A3632" s="1">
        <v>3631</v>
      </c>
      <c r="B3632" s="4">
        <v>25952</v>
      </c>
      <c r="C3632" s="5">
        <v>40425</v>
      </c>
      <c r="D3632" s="3" t="s">
        <v>89</v>
      </c>
      <c r="E3632" s="1" t="s">
        <v>1147</v>
      </c>
      <c r="F3632" s="1" t="s">
        <v>17</v>
      </c>
      <c r="G3632" s="2" t="s">
        <v>2</v>
      </c>
      <c r="H3632" s="3" t="s">
        <v>97</v>
      </c>
      <c r="I3632" s="3" t="s">
        <v>92</v>
      </c>
      <c r="J3632" s="3" t="s">
        <v>61</v>
      </c>
      <c r="K3632" s="4">
        <v>2864.1005</v>
      </c>
      <c r="L3632" s="6">
        <v>65.989999999999995</v>
      </c>
    </row>
    <row r="3633" spans="1:12" x14ac:dyDescent="0.25">
      <c r="A3633" s="1">
        <v>3632</v>
      </c>
      <c r="B3633" s="4">
        <v>25953</v>
      </c>
      <c r="C3633" s="5">
        <v>40083</v>
      </c>
      <c r="D3633" s="3" t="s">
        <v>95</v>
      </c>
      <c r="E3633" s="1" t="s">
        <v>93</v>
      </c>
      <c r="F3633" s="1" t="s">
        <v>10</v>
      </c>
      <c r="G3633" s="2" t="s">
        <v>3</v>
      </c>
      <c r="H3633" s="3" t="s">
        <v>88</v>
      </c>
      <c r="I3633" s="3" t="s">
        <v>85</v>
      </c>
      <c r="J3633" s="3" t="s">
        <v>63</v>
      </c>
      <c r="K3633" s="4">
        <v>258.54000000000002</v>
      </c>
      <c r="L3633" s="6">
        <v>9.85</v>
      </c>
    </row>
    <row r="3634" spans="1:12" x14ac:dyDescent="0.25">
      <c r="A3634" s="1">
        <v>3633</v>
      </c>
      <c r="B3634" s="4">
        <v>25953</v>
      </c>
      <c r="C3634" s="5">
        <v>40083</v>
      </c>
      <c r="D3634" s="3" t="s">
        <v>95</v>
      </c>
      <c r="E3634" s="1" t="s">
        <v>93</v>
      </c>
      <c r="F3634" s="1" t="s">
        <v>10</v>
      </c>
      <c r="G3634" s="2" t="s">
        <v>3</v>
      </c>
      <c r="H3634" s="3" t="s">
        <v>88</v>
      </c>
      <c r="I3634" s="3" t="s">
        <v>92</v>
      </c>
      <c r="J3634" s="3" t="s">
        <v>61</v>
      </c>
      <c r="K3634" s="4">
        <v>1972.884</v>
      </c>
      <c r="L3634" s="6">
        <v>125.99</v>
      </c>
    </row>
    <row r="3635" spans="1:12" x14ac:dyDescent="0.25">
      <c r="A3635" s="1">
        <v>3634</v>
      </c>
      <c r="B3635" s="4">
        <v>25955</v>
      </c>
      <c r="C3635" s="5">
        <v>40667</v>
      </c>
      <c r="D3635" s="3" t="s">
        <v>86</v>
      </c>
      <c r="E3635" s="1" t="s">
        <v>431</v>
      </c>
      <c r="F3635" s="1" t="s">
        <v>20</v>
      </c>
      <c r="G3635" s="2" t="s">
        <v>1</v>
      </c>
      <c r="H3635" s="3" t="s">
        <v>88</v>
      </c>
      <c r="I3635" s="3" t="s">
        <v>85</v>
      </c>
      <c r="J3635" s="3" t="s">
        <v>57</v>
      </c>
      <c r="K3635" s="4">
        <v>170.35</v>
      </c>
      <c r="L3635" s="6">
        <v>16.059999999999999</v>
      </c>
    </row>
    <row r="3636" spans="1:12" x14ac:dyDescent="0.25">
      <c r="A3636" s="1">
        <v>3635</v>
      </c>
      <c r="B3636" s="4">
        <v>25985</v>
      </c>
      <c r="C3636" s="5">
        <v>41154</v>
      </c>
      <c r="D3636" s="3" t="s">
        <v>82</v>
      </c>
      <c r="E3636" s="1" t="s">
        <v>1155</v>
      </c>
      <c r="F3636" s="1" t="s">
        <v>15</v>
      </c>
      <c r="G3636" s="2" t="s">
        <v>1</v>
      </c>
      <c r="H3636" s="3" t="s">
        <v>84</v>
      </c>
      <c r="I3636" s="3" t="s">
        <v>91</v>
      </c>
      <c r="J3636" s="3" t="s">
        <v>59</v>
      </c>
      <c r="K3636" s="4">
        <v>230.63</v>
      </c>
      <c r="L3636" s="6">
        <v>4.91</v>
      </c>
    </row>
    <row r="3637" spans="1:12" x14ac:dyDescent="0.25">
      <c r="A3637" s="1">
        <v>3636</v>
      </c>
      <c r="B3637" s="4">
        <v>25985</v>
      </c>
      <c r="C3637" s="5">
        <v>41154</v>
      </c>
      <c r="D3637" s="3" t="s">
        <v>82</v>
      </c>
      <c r="E3637" s="1" t="s">
        <v>1155</v>
      </c>
      <c r="F3637" s="1" t="s">
        <v>15</v>
      </c>
      <c r="G3637" s="2" t="s">
        <v>1</v>
      </c>
      <c r="H3637" s="3" t="s">
        <v>84</v>
      </c>
      <c r="I3637" s="3" t="s">
        <v>85</v>
      </c>
      <c r="J3637" s="3" t="s">
        <v>64</v>
      </c>
      <c r="K3637" s="4">
        <v>80.790000000000006</v>
      </c>
      <c r="L3637" s="6">
        <v>3.78</v>
      </c>
    </row>
    <row r="3638" spans="1:12" x14ac:dyDescent="0.25">
      <c r="A3638" s="1">
        <v>3637</v>
      </c>
      <c r="B3638" s="4">
        <v>25986</v>
      </c>
      <c r="C3638" s="5">
        <v>41082</v>
      </c>
      <c r="D3638" s="3" t="s">
        <v>4</v>
      </c>
      <c r="E3638" s="1" t="s">
        <v>669</v>
      </c>
      <c r="F3638" s="1" t="s">
        <v>24</v>
      </c>
      <c r="G3638" s="2" t="s">
        <v>2</v>
      </c>
      <c r="H3638" s="3" t="s">
        <v>100</v>
      </c>
      <c r="I3638" s="3" t="s">
        <v>85</v>
      </c>
      <c r="J3638" s="3" t="s">
        <v>66</v>
      </c>
      <c r="K3638" s="4">
        <v>278.07</v>
      </c>
      <c r="L3638" s="6">
        <v>5.78</v>
      </c>
    </row>
    <row r="3639" spans="1:12" x14ac:dyDescent="0.25">
      <c r="A3639" s="1">
        <v>3638</v>
      </c>
      <c r="B3639" s="4">
        <v>26016</v>
      </c>
      <c r="C3639" s="5">
        <v>40093</v>
      </c>
      <c r="D3639" s="3" t="s">
        <v>89</v>
      </c>
      <c r="E3639" s="1" t="s">
        <v>668</v>
      </c>
      <c r="F3639" s="1" t="s">
        <v>41</v>
      </c>
      <c r="G3639" s="2" t="s">
        <v>6</v>
      </c>
      <c r="H3639" s="3" t="s">
        <v>100</v>
      </c>
      <c r="I3639" s="3" t="s">
        <v>92</v>
      </c>
      <c r="J3639" s="3" t="s">
        <v>62</v>
      </c>
      <c r="K3639" s="4">
        <v>154.94</v>
      </c>
      <c r="L3639" s="6">
        <v>77.510000000000005</v>
      </c>
    </row>
    <row r="3640" spans="1:12" x14ac:dyDescent="0.25">
      <c r="A3640" s="1">
        <v>3639</v>
      </c>
      <c r="B3640" s="4">
        <v>26016</v>
      </c>
      <c r="C3640" s="5">
        <v>40093</v>
      </c>
      <c r="D3640" s="3" t="s">
        <v>89</v>
      </c>
      <c r="E3640" s="1" t="s">
        <v>668</v>
      </c>
      <c r="F3640" s="1" t="s">
        <v>41</v>
      </c>
      <c r="G3640" s="2" t="s">
        <v>6</v>
      </c>
      <c r="H3640" s="3" t="s">
        <v>100</v>
      </c>
      <c r="I3640" s="3" t="s">
        <v>92</v>
      </c>
      <c r="J3640" s="3" t="s">
        <v>61</v>
      </c>
      <c r="K3640" s="4">
        <v>1642.6420000000001</v>
      </c>
      <c r="L3640" s="6">
        <v>45.99</v>
      </c>
    </row>
    <row r="3641" spans="1:12" x14ac:dyDescent="0.25">
      <c r="A3641" s="1">
        <v>3640</v>
      </c>
      <c r="B3641" s="4">
        <v>26021</v>
      </c>
      <c r="C3641" s="5">
        <v>41166</v>
      </c>
      <c r="D3641" s="3" t="s">
        <v>95</v>
      </c>
      <c r="E3641" s="1" t="s">
        <v>1113</v>
      </c>
      <c r="F3641" s="1" t="s">
        <v>24</v>
      </c>
      <c r="G3641" s="2" t="s">
        <v>2</v>
      </c>
      <c r="H3641" s="3" t="s">
        <v>100</v>
      </c>
      <c r="I3641" s="3" t="s">
        <v>92</v>
      </c>
      <c r="J3641" s="3" t="s">
        <v>61</v>
      </c>
      <c r="K3641" s="4">
        <v>328.62700000000001</v>
      </c>
      <c r="L3641" s="6">
        <v>20.99</v>
      </c>
    </row>
    <row r="3642" spans="1:12" x14ac:dyDescent="0.25">
      <c r="A3642" s="1">
        <v>3641</v>
      </c>
      <c r="B3642" s="4">
        <v>26023</v>
      </c>
      <c r="C3642" s="5">
        <v>40410</v>
      </c>
      <c r="D3642" s="3" t="s">
        <v>89</v>
      </c>
      <c r="E3642" s="1" t="s">
        <v>1085</v>
      </c>
      <c r="F3642" s="1" t="s">
        <v>8</v>
      </c>
      <c r="G3642" s="2" t="s">
        <v>6</v>
      </c>
      <c r="H3642" s="3" t="s">
        <v>88</v>
      </c>
      <c r="I3642" s="3" t="s">
        <v>85</v>
      </c>
      <c r="J3642" s="3" t="s">
        <v>64</v>
      </c>
      <c r="K3642" s="4">
        <v>120.77</v>
      </c>
      <c r="L3642" s="6">
        <v>2.4700000000000002</v>
      </c>
    </row>
    <row r="3643" spans="1:12" x14ac:dyDescent="0.25">
      <c r="A3643" s="1">
        <v>3642</v>
      </c>
      <c r="B3643" s="4">
        <v>26050</v>
      </c>
      <c r="C3643" s="5">
        <v>40710</v>
      </c>
      <c r="D3643" s="3" t="s">
        <v>89</v>
      </c>
      <c r="E3643" s="1" t="s">
        <v>1156</v>
      </c>
      <c r="F3643" s="1" t="s">
        <v>13</v>
      </c>
      <c r="G3643" s="2" t="s">
        <v>6</v>
      </c>
      <c r="H3643" s="3" t="s">
        <v>97</v>
      </c>
      <c r="I3643" s="3" t="s">
        <v>85</v>
      </c>
      <c r="J3643" s="3" t="s">
        <v>71</v>
      </c>
      <c r="K3643" s="4">
        <v>365.24</v>
      </c>
      <c r="L3643" s="6">
        <v>8.74</v>
      </c>
    </row>
    <row r="3644" spans="1:12" x14ac:dyDescent="0.25">
      <c r="A3644" s="1">
        <v>3643</v>
      </c>
      <c r="B3644" s="4">
        <v>26051</v>
      </c>
      <c r="C3644" s="5">
        <v>40356</v>
      </c>
      <c r="D3644" s="3" t="s">
        <v>86</v>
      </c>
      <c r="E3644" s="1" t="s">
        <v>465</v>
      </c>
      <c r="F3644" s="1" t="s">
        <v>8</v>
      </c>
      <c r="G3644" s="2" t="s">
        <v>6</v>
      </c>
      <c r="H3644" s="3" t="s">
        <v>97</v>
      </c>
      <c r="I3644" s="3" t="s">
        <v>91</v>
      </c>
      <c r="J3644" s="3" t="s">
        <v>72</v>
      </c>
      <c r="K3644" s="4">
        <v>795.74</v>
      </c>
      <c r="L3644" s="6">
        <v>33.94</v>
      </c>
    </row>
    <row r="3645" spans="1:12" x14ac:dyDescent="0.25">
      <c r="A3645" s="1">
        <v>3644</v>
      </c>
      <c r="B3645" s="4">
        <v>26051</v>
      </c>
      <c r="C3645" s="5">
        <v>40356</v>
      </c>
      <c r="D3645" s="3" t="s">
        <v>86</v>
      </c>
      <c r="E3645" s="1" t="s">
        <v>465</v>
      </c>
      <c r="F3645" s="1" t="s">
        <v>8</v>
      </c>
      <c r="G3645" s="2" t="s">
        <v>6</v>
      </c>
      <c r="H3645" s="3" t="s">
        <v>97</v>
      </c>
      <c r="I3645" s="3" t="s">
        <v>92</v>
      </c>
      <c r="J3645" s="3" t="s">
        <v>62</v>
      </c>
      <c r="K3645" s="4">
        <v>251.75</v>
      </c>
      <c r="L3645" s="6">
        <v>8.33</v>
      </c>
    </row>
    <row r="3646" spans="1:12" x14ac:dyDescent="0.25">
      <c r="A3646" s="1">
        <v>3645</v>
      </c>
      <c r="B3646" s="4">
        <v>26053</v>
      </c>
      <c r="C3646" s="5">
        <v>40932</v>
      </c>
      <c r="D3646" s="3" t="s">
        <v>82</v>
      </c>
      <c r="E3646" s="1" t="s">
        <v>760</v>
      </c>
      <c r="F3646" s="1" t="s">
        <v>36</v>
      </c>
      <c r="G3646" s="2" t="s">
        <v>2</v>
      </c>
      <c r="H3646" s="3" t="s">
        <v>88</v>
      </c>
      <c r="I3646" s="3" t="s">
        <v>85</v>
      </c>
      <c r="J3646" s="3" t="s">
        <v>66</v>
      </c>
      <c r="K3646" s="4">
        <v>878.75</v>
      </c>
      <c r="L3646" s="6">
        <v>18.97</v>
      </c>
    </row>
    <row r="3647" spans="1:12" x14ac:dyDescent="0.25">
      <c r="A3647" s="1">
        <v>3646</v>
      </c>
      <c r="B3647" s="4">
        <v>26054</v>
      </c>
      <c r="C3647" s="5">
        <v>40221</v>
      </c>
      <c r="D3647" s="3" t="s">
        <v>95</v>
      </c>
      <c r="E3647" s="1" t="s">
        <v>863</v>
      </c>
      <c r="F3647" s="1" t="s">
        <v>32</v>
      </c>
      <c r="G3647" s="2" t="s">
        <v>2</v>
      </c>
      <c r="H3647" s="3" t="s">
        <v>84</v>
      </c>
      <c r="I3647" s="3" t="s">
        <v>91</v>
      </c>
      <c r="J3647" s="3" t="s">
        <v>59</v>
      </c>
      <c r="K3647" s="4">
        <v>396.78</v>
      </c>
      <c r="L3647" s="6">
        <v>8.3699999999999992</v>
      </c>
    </row>
    <row r="3648" spans="1:12" x14ac:dyDescent="0.25">
      <c r="A3648" s="1">
        <v>3647</v>
      </c>
      <c r="B3648" s="4">
        <v>26055</v>
      </c>
      <c r="C3648" s="5">
        <v>41238</v>
      </c>
      <c r="D3648" s="3" t="s">
        <v>86</v>
      </c>
      <c r="E3648" s="1" t="s">
        <v>811</v>
      </c>
      <c r="F3648" s="1" t="s">
        <v>24</v>
      </c>
      <c r="G3648" s="2" t="s">
        <v>2</v>
      </c>
      <c r="H3648" s="3" t="s">
        <v>97</v>
      </c>
      <c r="I3648" s="3" t="s">
        <v>92</v>
      </c>
      <c r="J3648" s="3" t="s">
        <v>62</v>
      </c>
      <c r="K3648" s="4">
        <v>6733.52</v>
      </c>
      <c r="L3648" s="6">
        <v>152.47999999999999</v>
      </c>
    </row>
    <row r="3649" spans="1:12" x14ac:dyDescent="0.25">
      <c r="A3649" s="1">
        <v>3648</v>
      </c>
      <c r="B3649" s="4">
        <v>26084</v>
      </c>
      <c r="C3649" s="5">
        <v>41198</v>
      </c>
      <c r="D3649" s="3" t="s">
        <v>82</v>
      </c>
      <c r="E3649" s="1" t="s">
        <v>659</v>
      </c>
      <c r="F3649" s="1" t="s">
        <v>26</v>
      </c>
      <c r="G3649" s="2" t="s">
        <v>3</v>
      </c>
      <c r="H3649" s="3" t="s">
        <v>88</v>
      </c>
      <c r="I3649" s="3" t="s">
        <v>85</v>
      </c>
      <c r="J3649" s="3" t="s">
        <v>66</v>
      </c>
      <c r="K3649" s="4">
        <v>228.82</v>
      </c>
      <c r="L3649" s="6">
        <v>6.68</v>
      </c>
    </row>
    <row r="3650" spans="1:12" x14ac:dyDescent="0.25">
      <c r="A3650" s="1">
        <v>3649</v>
      </c>
      <c r="B3650" s="4">
        <v>26116</v>
      </c>
      <c r="C3650" s="5">
        <v>41211</v>
      </c>
      <c r="D3650" s="3" t="s">
        <v>95</v>
      </c>
      <c r="E3650" s="1" t="s">
        <v>815</v>
      </c>
      <c r="F3650" s="1" t="s">
        <v>8</v>
      </c>
      <c r="G3650" s="2" t="s">
        <v>6</v>
      </c>
      <c r="H3650" s="3" t="s">
        <v>84</v>
      </c>
      <c r="I3650" s="3" t="s">
        <v>85</v>
      </c>
      <c r="J3650" s="3" t="s">
        <v>66</v>
      </c>
      <c r="K3650" s="4">
        <v>697.41</v>
      </c>
      <c r="L3650" s="6">
        <v>18.97</v>
      </c>
    </row>
    <row r="3651" spans="1:12" x14ac:dyDescent="0.25">
      <c r="A3651" s="1">
        <v>3650</v>
      </c>
      <c r="B3651" s="4">
        <v>26144</v>
      </c>
      <c r="C3651" s="5">
        <v>40842</v>
      </c>
      <c r="D3651" s="3" t="s">
        <v>89</v>
      </c>
      <c r="E3651" s="1" t="s">
        <v>1157</v>
      </c>
      <c r="F3651" s="1" t="s">
        <v>10</v>
      </c>
      <c r="G3651" s="2" t="s">
        <v>3</v>
      </c>
      <c r="H3651" s="3" t="s">
        <v>84</v>
      </c>
      <c r="I3651" s="3" t="s">
        <v>85</v>
      </c>
      <c r="J3651" s="3" t="s">
        <v>65</v>
      </c>
      <c r="K3651" s="4">
        <v>75.739999999999995</v>
      </c>
      <c r="L3651" s="6">
        <v>2.88</v>
      </c>
    </row>
    <row r="3652" spans="1:12" x14ac:dyDescent="0.25">
      <c r="A3652" s="1">
        <v>3651</v>
      </c>
      <c r="B3652" s="4">
        <v>26145</v>
      </c>
      <c r="C3652" s="5">
        <v>40728</v>
      </c>
      <c r="D3652" s="3" t="s">
        <v>82</v>
      </c>
      <c r="E3652" s="1" t="s">
        <v>1154</v>
      </c>
      <c r="F3652" s="1" t="s">
        <v>13</v>
      </c>
      <c r="G3652" s="2" t="s">
        <v>6</v>
      </c>
      <c r="H3652" s="3" t="s">
        <v>88</v>
      </c>
      <c r="I3652" s="3" t="s">
        <v>85</v>
      </c>
      <c r="J3652" s="3" t="s">
        <v>69</v>
      </c>
      <c r="K3652" s="4">
        <v>99.36</v>
      </c>
      <c r="L3652" s="6">
        <v>4.91</v>
      </c>
    </row>
    <row r="3653" spans="1:12" x14ac:dyDescent="0.25">
      <c r="A3653" s="1">
        <v>3652</v>
      </c>
      <c r="B3653" s="4">
        <v>26145</v>
      </c>
      <c r="C3653" s="5">
        <v>40728</v>
      </c>
      <c r="D3653" s="3" t="s">
        <v>82</v>
      </c>
      <c r="E3653" s="1" t="s">
        <v>1154</v>
      </c>
      <c r="F3653" s="1" t="s">
        <v>13</v>
      </c>
      <c r="G3653" s="2" t="s">
        <v>6</v>
      </c>
      <c r="H3653" s="3" t="s">
        <v>88</v>
      </c>
      <c r="I3653" s="3" t="s">
        <v>91</v>
      </c>
      <c r="J3653" s="3" t="s">
        <v>59</v>
      </c>
      <c r="K3653" s="4">
        <v>510.15</v>
      </c>
      <c r="L3653" s="6">
        <v>9.98</v>
      </c>
    </row>
    <row r="3654" spans="1:12" x14ac:dyDescent="0.25">
      <c r="A3654" s="1">
        <v>3653</v>
      </c>
      <c r="B3654" s="4">
        <v>26145</v>
      </c>
      <c r="C3654" s="5">
        <v>40728</v>
      </c>
      <c r="D3654" s="3" t="s">
        <v>82</v>
      </c>
      <c r="E3654" s="1" t="s">
        <v>1154</v>
      </c>
      <c r="F3654" s="1" t="s">
        <v>13</v>
      </c>
      <c r="G3654" s="2" t="s">
        <v>6</v>
      </c>
      <c r="H3654" s="3" t="s">
        <v>88</v>
      </c>
      <c r="I3654" s="3" t="s">
        <v>91</v>
      </c>
      <c r="J3654" s="3" t="s">
        <v>59</v>
      </c>
      <c r="K3654" s="4">
        <v>735.09</v>
      </c>
      <c r="L3654" s="6">
        <v>29.34</v>
      </c>
    </row>
    <row r="3655" spans="1:12" x14ac:dyDescent="0.25">
      <c r="A3655" s="1">
        <v>3654</v>
      </c>
      <c r="B3655" s="4">
        <v>26146</v>
      </c>
      <c r="C3655" s="5">
        <v>40097</v>
      </c>
      <c r="D3655" s="3" t="s">
        <v>82</v>
      </c>
      <c r="E3655" s="1" t="s">
        <v>1139</v>
      </c>
      <c r="F3655" s="1" t="s">
        <v>26</v>
      </c>
      <c r="G3655" s="2" t="s">
        <v>3</v>
      </c>
      <c r="H3655" s="3" t="s">
        <v>88</v>
      </c>
      <c r="I3655" s="3" t="s">
        <v>85</v>
      </c>
      <c r="J3655" s="3" t="s">
        <v>70</v>
      </c>
      <c r="K3655" s="4">
        <v>1351.76</v>
      </c>
      <c r="L3655" s="6">
        <v>104.65</v>
      </c>
    </row>
    <row r="3656" spans="1:12" x14ac:dyDescent="0.25">
      <c r="A3656" s="1">
        <v>3655</v>
      </c>
      <c r="B3656" s="4">
        <v>26146</v>
      </c>
      <c r="C3656" s="5">
        <v>40097</v>
      </c>
      <c r="D3656" s="3" t="s">
        <v>82</v>
      </c>
      <c r="E3656" s="1" t="s">
        <v>1139</v>
      </c>
      <c r="F3656" s="1" t="s">
        <v>26</v>
      </c>
      <c r="G3656" s="2" t="s">
        <v>3</v>
      </c>
      <c r="H3656" s="3" t="s">
        <v>88</v>
      </c>
      <c r="I3656" s="3" t="s">
        <v>85</v>
      </c>
      <c r="J3656" s="3" t="s">
        <v>63</v>
      </c>
      <c r="K3656" s="4">
        <v>595.4</v>
      </c>
      <c r="L3656" s="6">
        <v>11.66</v>
      </c>
    </row>
    <row r="3657" spans="1:12" x14ac:dyDescent="0.25">
      <c r="A3657" s="1">
        <v>3656</v>
      </c>
      <c r="B3657" s="4">
        <v>26176</v>
      </c>
      <c r="C3657" s="5">
        <v>40866</v>
      </c>
      <c r="D3657" s="3" t="s">
        <v>89</v>
      </c>
      <c r="E3657" s="1" t="s">
        <v>625</v>
      </c>
      <c r="F3657" s="1" t="s">
        <v>23</v>
      </c>
      <c r="G3657" s="2" t="s">
        <v>3</v>
      </c>
      <c r="H3657" s="3" t="s">
        <v>97</v>
      </c>
      <c r="I3657" s="3" t="s">
        <v>85</v>
      </c>
      <c r="J3657" s="3" t="s">
        <v>66</v>
      </c>
      <c r="K3657" s="4">
        <v>94.32</v>
      </c>
      <c r="L3657" s="6">
        <v>6.48</v>
      </c>
    </row>
    <row r="3658" spans="1:12" x14ac:dyDescent="0.25">
      <c r="A3658" s="1">
        <v>3657</v>
      </c>
      <c r="B3658" s="4">
        <v>26176</v>
      </c>
      <c r="C3658" s="5">
        <v>40866</v>
      </c>
      <c r="D3658" s="3" t="s">
        <v>89</v>
      </c>
      <c r="E3658" s="1" t="s">
        <v>625</v>
      </c>
      <c r="F3658" s="1" t="s">
        <v>23</v>
      </c>
      <c r="G3658" s="2" t="s">
        <v>3</v>
      </c>
      <c r="H3658" s="3" t="s">
        <v>97</v>
      </c>
      <c r="I3658" s="3" t="s">
        <v>92</v>
      </c>
      <c r="J3658" s="3" t="s">
        <v>61</v>
      </c>
      <c r="K3658" s="4">
        <v>554.42949999999996</v>
      </c>
      <c r="L3658" s="6">
        <v>20.99</v>
      </c>
    </row>
    <row r="3659" spans="1:12" x14ac:dyDescent="0.25">
      <c r="A3659" s="1">
        <v>3658</v>
      </c>
      <c r="B3659" s="4">
        <v>26182</v>
      </c>
      <c r="C3659" s="5">
        <v>40194</v>
      </c>
      <c r="D3659" s="3" t="s">
        <v>86</v>
      </c>
      <c r="E3659" s="1" t="s">
        <v>428</v>
      </c>
      <c r="F3659" s="1" t="s">
        <v>8</v>
      </c>
      <c r="G3659" s="2" t="s">
        <v>6</v>
      </c>
      <c r="H3659" s="3" t="s">
        <v>88</v>
      </c>
      <c r="I3659" s="3" t="s">
        <v>91</v>
      </c>
      <c r="J3659" s="3" t="s">
        <v>68</v>
      </c>
      <c r="K3659" s="4">
        <v>4684.8999999999996</v>
      </c>
      <c r="L3659" s="6">
        <v>150.97999999999999</v>
      </c>
    </row>
    <row r="3660" spans="1:12" x14ac:dyDescent="0.25">
      <c r="A3660" s="1">
        <v>3659</v>
      </c>
      <c r="B3660" s="4">
        <v>26182</v>
      </c>
      <c r="C3660" s="5">
        <v>40194</v>
      </c>
      <c r="D3660" s="3" t="s">
        <v>86</v>
      </c>
      <c r="E3660" s="1" t="s">
        <v>524</v>
      </c>
      <c r="F3660" s="1" t="s">
        <v>41</v>
      </c>
      <c r="G3660" s="2" t="s">
        <v>6</v>
      </c>
      <c r="H3660" s="3" t="s">
        <v>88</v>
      </c>
      <c r="I3660" s="3" t="s">
        <v>91</v>
      </c>
      <c r="J3660" s="3" t="s">
        <v>72</v>
      </c>
      <c r="K3660" s="4">
        <v>770.76</v>
      </c>
      <c r="L3660" s="6">
        <v>200.98</v>
      </c>
    </row>
    <row r="3661" spans="1:12" x14ac:dyDescent="0.25">
      <c r="A3661" s="1">
        <v>3660</v>
      </c>
      <c r="B3661" s="4">
        <v>26214</v>
      </c>
      <c r="C3661" s="5">
        <v>40867</v>
      </c>
      <c r="D3661" s="3" t="s">
        <v>4</v>
      </c>
      <c r="E3661" s="1" t="s">
        <v>818</v>
      </c>
      <c r="F3661" s="1" t="s">
        <v>19</v>
      </c>
      <c r="G3661" s="2" t="s">
        <v>3</v>
      </c>
      <c r="H3661" s="3" t="s">
        <v>84</v>
      </c>
      <c r="I3661" s="3" t="s">
        <v>85</v>
      </c>
      <c r="J3661" s="3" t="s">
        <v>71</v>
      </c>
      <c r="K3661" s="4">
        <v>305.68</v>
      </c>
      <c r="L3661" s="6">
        <v>15.74</v>
      </c>
    </row>
    <row r="3662" spans="1:12" x14ac:dyDescent="0.25">
      <c r="A3662" s="1">
        <v>3661</v>
      </c>
      <c r="B3662" s="4">
        <v>26214</v>
      </c>
      <c r="C3662" s="5">
        <v>40867</v>
      </c>
      <c r="D3662" s="3" t="s">
        <v>4</v>
      </c>
      <c r="E3662" s="1" t="s">
        <v>818</v>
      </c>
      <c r="F3662" s="1" t="s">
        <v>19</v>
      </c>
      <c r="G3662" s="2" t="s">
        <v>3</v>
      </c>
      <c r="H3662" s="3" t="s">
        <v>84</v>
      </c>
      <c r="I3662" s="3" t="s">
        <v>91</v>
      </c>
      <c r="J3662" s="3" t="s">
        <v>59</v>
      </c>
      <c r="K3662" s="4">
        <v>1901.29</v>
      </c>
      <c r="L3662" s="6">
        <v>46.94</v>
      </c>
    </row>
    <row r="3663" spans="1:12" x14ac:dyDescent="0.25">
      <c r="A3663" s="1">
        <v>3662</v>
      </c>
      <c r="B3663" s="4">
        <v>26240</v>
      </c>
      <c r="C3663" s="5">
        <v>40166</v>
      </c>
      <c r="D3663" s="3" t="s">
        <v>95</v>
      </c>
      <c r="E3663" s="1" t="s">
        <v>1158</v>
      </c>
      <c r="F3663" s="1" t="s">
        <v>38</v>
      </c>
      <c r="G3663" s="2" t="s">
        <v>6</v>
      </c>
      <c r="H3663" s="3" t="s">
        <v>100</v>
      </c>
      <c r="I3663" s="3" t="s">
        <v>92</v>
      </c>
      <c r="J3663" s="3" t="s">
        <v>62</v>
      </c>
      <c r="K3663" s="4">
        <v>1483.44</v>
      </c>
      <c r="L3663" s="6">
        <v>39.479999999999997</v>
      </c>
    </row>
    <row r="3664" spans="1:12" x14ac:dyDescent="0.25">
      <c r="A3664" s="1">
        <v>3663</v>
      </c>
      <c r="B3664" s="4">
        <v>26240</v>
      </c>
      <c r="C3664" s="5">
        <v>40166</v>
      </c>
      <c r="D3664" s="3" t="s">
        <v>95</v>
      </c>
      <c r="E3664" s="1" t="s">
        <v>1158</v>
      </c>
      <c r="F3664" s="1" t="s">
        <v>38</v>
      </c>
      <c r="G3664" s="2" t="s">
        <v>6</v>
      </c>
      <c r="H3664" s="3" t="s">
        <v>100</v>
      </c>
      <c r="I3664" s="3" t="s">
        <v>91</v>
      </c>
      <c r="J3664" s="3" t="s">
        <v>59</v>
      </c>
      <c r="K3664" s="4">
        <v>145.68</v>
      </c>
      <c r="L3664" s="6">
        <v>3.7</v>
      </c>
    </row>
    <row r="3665" spans="1:12" x14ac:dyDescent="0.25">
      <c r="A3665" s="1">
        <v>3664</v>
      </c>
      <c r="B3665" s="4">
        <v>26243</v>
      </c>
      <c r="C3665" s="5">
        <v>40740</v>
      </c>
      <c r="D3665" s="3" t="s">
        <v>82</v>
      </c>
      <c r="E3665" s="1" t="s">
        <v>1159</v>
      </c>
      <c r="F3665" s="1" t="s">
        <v>43</v>
      </c>
      <c r="G3665" s="2" t="s">
        <v>1</v>
      </c>
      <c r="H3665" s="3" t="s">
        <v>88</v>
      </c>
      <c r="I3665" s="3" t="s">
        <v>85</v>
      </c>
      <c r="J3665" s="3" t="s">
        <v>63</v>
      </c>
      <c r="K3665" s="4">
        <v>71.319999999999993</v>
      </c>
      <c r="L3665" s="6">
        <v>1.82</v>
      </c>
    </row>
    <row r="3666" spans="1:12" x14ac:dyDescent="0.25">
      <c r="A3666" s="1">
        <v>3665</v>
      </c>
      <c r="B3666" s="4">
        <v>26244</v>
      </c>
      <c r="C3666" s="5">
        <v>40393</v>
      </c>
      <c r="D3666" s="3" t="s">
        <v>89</v>
      </c>
      <c r="E3666" s="1" t="s">
        <v>1018</v>
      </c>
      <c r="F3666" s="1" t="s">
        <v>22</v>
      </c>
      <c r="G3666" s="2" t="s">
        <v>6</v>
      </c>
      <c r="H3666" s="3" t="s">
        <v>97</v>
      </c>
      <c r="I3666" s="3" t="s">
        <v>92</v>
      </c>
      <c r="J3666" s="3" t="s">
        <v>62</v>
      </c>
      <c r="K3666" s="4">
        <v>131.72</v>
      </c>
      <c r="L3666" s="6">
        <v>8.4600000000000009</v>
      </c>
    </row>
    <row r="3667" spans="1:12" x14ac:dyDescent="0.25">
      <c r="A3667" s="1">
        <v>3666</v>
      </c>
      <c r="B3667" s="4">
        <v>26272</v>
      </c>
      <c r="C3667" s="5">
        <v>41089</v>
      </c>
      <c r="D3667" s="3" t="s">
        <v>82</v>
      </c>
      <c r="E3667" s="1" t="s">
        <v>185</v>
      </c>
      <c r="F3667" s="1" t="s">
        <v>8</v>
      </c>
      <c r="G3667" s="2" t="s">
        <v>6</v>
      </c>
      <c r="H3667" s="3" t="s">
        <v>97</v>
      </c>
      <c r="I3667" s="3" t="s">
        <v>91</v>
      </c>
      <c r="J3667" s="3" t="s">
        <v>72</v>
      </c>
      <c r="K3667" s="4">
        <v>905.94</v>
      </c>
      <c r="L3667" s="6">
        <v>140.81</v>
      </c>
    </row>
    <row r="3668" spans="1:12" x14ac:dyDescent="0.25">
      <c r="A3668" s="1">
        <v>3667</v>
      </c>
      <c r="B3668" s="4">
        <v>26274</v>
      </c>
      <c r="C3668" s="5">
        <v>41072</v>
      </c>
      <c r="D3668" s="3" t="s">
        <v>86</v>
      </c>
      <c r="E3668" s="1" t="s">
        <v>357</v>
      </c>
      <c r="F3668" s="1" t="s">
        <v>24</v>
      </c>
      <c r="G3668" s="2" t="s">
        <v>2</v>
      </c>
      <c r="H3668" s="3" t="s">
        <v>88</v>
      </c>
      <c r="I3668" s="3" t="s">
        <v>85</v>
      </c>
      <c r="J3668" s="3" t="s">
        <v>66</v>
      </c>
      <c r="K3668" s="4">
        <v>377.83</v>
      </c>
      <c r="L3668" s="6">
        <v>9.11</v>
      </c>
    </row>
    <row r="3669" spans="1:12" x14ac:dyDescent="0.25">
      <c r="A3669" s="1">
        <v>3668</v>
      </c>
      <c r="B3669" s="4">
        <v>26276</v>
      </c>
      <c r="C3669" s="5">
        <v>40433</v>
      </c>
      <c r="D3669" s="3" t="s">
        <v>82</v>
      </c>
      <c r="E3669" s="1" t="s">
        <v>1160</v>
      </c>
      <c r="F3669" s="1" t="s">
        <v>20</v>
      </c>
      <c r="G3669" s="2" t="s">
        <v>1</v>
      </c>
      <c r="H3669" s="3" t="s">
        <v>88</v>
      </c>
      <c r="I3669" s="3" t="s">
        <v>92</v>
      </c>
      <c r="J3669" s="3" t="s">
        <v>67</v>
      </c>
      <c r="K3669" s="4">
        <v>20329.8</v>
      </c>
      <c r="L3669" s="6">
        <v>999.99</v>
      </c>
    </row>
    <row r="3670" spans="1:12" x14ac:dyDescent="0.25">
      <c r="A3670" s="1">
        <v>3669</v>
      </c>
      <c r="B3670" s="4">
        <v>26276</v>
      </c>
      <c r="C3670" s="5">
        <v>40433</v>
      </c>
      <c r="D3670" s="3" t="s">
        <v>82</v>
      </c>
      <c r="E3670" s="1" t="s">
        <v>175</v>
      </c>
      <c r="F3670" s="1" t="s">
        <v>39</v>
      </c>
      <c r="G3670" s="2" t="s">
        <v>1</v>
      </c>
      <c r="H3670" s="3" t="s">
        <v>88</v>
      </c>
      <c r="I3670" s="3" t="s">
        <v>91</v>
      </c>
      <c r="J3670" s="3" t="s">
        <v>59</v>
      </c>
      <c r="K3670" s="4">
        <v>3685.38</v>
      </c>
      <c r="L3670" s="6">
        <v>170.98</v>
      </c>
    </row>
    <row r="3671" spans="1:12" x14ac:dyDescent="0.25">
      <c r="A3671" s="1">
        <v>3670</v>
      </c>
      <c r="B3671" s="4">
        <v>26277</v>
      </c>
      <c r="C3671" s="5">
        <v>40721</v>
      </c>
      <c r="D3671" s="3" t="s">
        <v>4</v>
      </c>
      <c r="E3671" s="1" t="s">
        <v>331</v>
      </c>
      <c r="F3671" s="1" t="s">
        <v>36</v>
      </c>
      <c r="G3671" s="2" t="s">
        <v>2</v>
      </c>
      <c r="H3671" s="3" t="s">
        <v>88</v>
      </c>
      <c r="I3671" s="3" t="s">
        <v>92</v>
      </c>
      <c r="J3671" s="3" t="s">
        <v>62</v>
      </c>
      <c r="K3671" s="4">
        <v>877.81</v>
      </c>
      <c r="L3671" s="6">
        <v>49.99</v>
      </c>
    </row>
    <row r="3672" spans="1:12" x14ac:dyDescent="0.25">
      <c r="A3672" s="1">
        <v>3671</v>
      </c>
      <c r="B3672" s="4">
        <v>26279</v>
      </c>
      <c r="C3672" s="5">
        <v>40024</v>
      </c>
      <c r="D3672" s="3" t="s">
        <v>86</v>
      </c>
      <c r="E3672" s="1" t="s">
        <v>1156</v>
      </c>
      <c r="F3672" s="1" t="s">
        <v>13</v>
      </c>
      <c r="G3672" s="2" t="s">
        <v>6</v>
      </c>
      <c r="H3672" s="3" t="s">
        <v>97</v>
      </c>
      <c r="I3672" s="3" t="s">
        <v>92</v>
      </c>
      <c r="J3672" s="3" t="s">
        <v>61</v>
      </c>
      <c r="K3672" s="4">
        <v>211.74350000000001</v>
      </c>
      <c r="L3672" s="6">
        <v>35.99</v>
      </c>
    </row>
    <row r="3673" spans="1:12" x14ac:dyDescent="0.25">
      <c r="A3673" s="1">
        <v>3672</v>
      </c>
      <c r="B3673" s="4">
        <v>26304</v>
      </c>
      <c r="C3673" s="5">
        <v>40621</v>
      </c>
      <c r="D3673" s="3" t="s">
        <v>4</v>
      </c>
      <c r="E3673" s="1" t="s">
        <v>433</v>
      </c>
      <c r="F3673" s="1" t="s">
        <v>25</v>
      </c>
      <c r="G3673" s="2" t="s">
        <v>6</v>
      </c>
      <c r="H3673" s="3" t="s">
        <v>88</v>
      </c>
      <c r="I3673" s="3" t="s">
        <v>92</v>
      </c>
      <c r="J3673" s="3" t="s">
        <v>61</v>
      </c>
      <c r="K3673" s="4">
        <v>7452.1369999999988</v>
      </c>
      <c r="L3673" s="6">
        <v>205.99</v>
      </c>
    </row>
    <row r="3674" spans="1:12" x14ac:dyDescent="0.25">
      <c r="A3674" s="1">
        <v>3673</v>
      </c>
      <c r="B3674" s="4">
        <v>26305</v>
      </c>
      <c r="C3674" s="5">
        <v>40514</v>
      </c>
      <c r="D3674" s="3" t="s">
        <v>4</v>
      </c>
      <c r="E3674" s="1" t="s">
        <v>794</v>
      </c>
      <c r="F3674" s="1" t="s">
        <v>35</v>
      </c>
      <c r="G3674" s="2" t="s">
        <v>1</v>
      </c>
      <c r="H3674" s="3" t="s">
        <v>97</v>
      </c>
      <c r="I3674" s="3" t="s">
        <v>85</v>
      </c>
      <c r="J3674" s="3" t="s">
        <v>69</v>
      </c>
      <c r="K3674" s="4">
        <v>1118.21</v>
      </c>
      <c r="L3674" s="6">
        <v>22.38</v>
      </c>
    </row>
    <row r="3675" spans="1:12" x14ac:dyDescent="0.25">
      <c r="A3675" s="1">
        <v>3674</v>
      </c>
      <c r="B3675" s="4">
        <v>26305</v>
      </c>
      <c r="C3675" s="5">
        <v>40514</v>
      </c>
      <c r="D3675" s="3" t="s">
        <v>4</v>
      </c>
      <c r="E3675" s="1" t="s">
        <v>794</v>
      </c>
      <c r="F3675" s="1" t="s">
        <v>35</v>
      </c>
      <c r="G3675" s="2" t="s">
        <v>1</v>
      </c>
      <c r="H3675" s="3" t="s">
        <v>97</v>
      </c>
      <c r="I3675" s="3" t="s">
        <v>91</v>
      </c>
      <c r="J3675" s="3" t="s">
        <v>60</v>
      </c>
      <c r="K3675" s="4">
        <v>3503.56</v>
      </c>
      <c r="L3675" s="6">
        <v>262.11</v>
      </c>
    </row>
    <row r="3676" spans="1:12" x14ac:dyDescent="0.25">
      <c r="A3676" s="1">
        <v>3675</v>
      </c>
      <c r="B3676" s="4">
        <v>26306</v>
      </c>
      <c r="C3676" s="5">
        <v>41212</v>
      </c>
      <c r="D3676" s="3" t="s">
        <v>82</v>
      </c>
      <c r="E3676" s="1" t="s">
        <v>992</v>
      </c>
      <c r="F3676" s="1" t="s">
        <v>24</v>
      </c>
      <c r="G3676" s="2" t="s">
        <v>2</v>
      </c>
      <c r="H3676" s="3" t="s">
        <v>88</v>
      </c>
      <c r="I3676" s="3" t="s">
        <v>91</v>
      </c>
      <c r="J3676" s="3" t="s">
        <v>68</v>
      </c>
      <c r="K3676" s="4">
        <v>7725.66</v>
      </c>
      <c r="L3676" s="6">
        <v>200.98</v>
      </c>
    </row>
    <row r="3677" spans="1:12" x14ac:dyDescent="0.25">
      <c r="A3677" s="1">
        <v>3676</v>
      </c>
      <c r="B3677" s="4">
        <v>26306</v>
      </c>
      <c r="C3677" s="5">
        <v>41212</v>
      </c>
      <c r="D3677" s="3" t="s">
        <v>82</v>
      </c>
      <c r="E3677" s="1" t="s">
        <v>431</v>
      </c>
      <c r="F3677" s="1" t="s">
        <v>20</v>
      </c>
      <c r="G3677" s="2" t="s">
        <v>1</v>
      </c>
      <c r="H3677" s="3" t="s">
        <v>88</v>
      </c>
      <c r="I3677" s="3" t="s">
        <v>91</v>
      </c>
      <c r="J3677" s="3" t="s">
        <v>60</v>
      </c>
      <c r="K3677" s="4">
        <v>2567.64</v>
      </c>
      <c r="L3677" s="6">
        <v>209.37</v>
      </c>
    </row>
    <row r="3678" spans="1:12" x14ac:dyDescent="0.25">
      <c r="A3678" s="1">
        <v>3677</v>
      </c>
      <c r="B3678" s="4">
        <v>26309</v>
      </c>
      <c r="C3678" s="5">
        <v>40958</v>
      </c>
      <c r="D3678" s="3" t="s">
        <v>82</v>
      </c>
      <c r="E3678" s="1" t="s">
        <v>420</v>
      </c>
      <c r="F3678" s="1" t="s">
        <v>9</v>
      </c>
      <c r="G3678" s="2" t="s">
        <v>2</v>
      </c>
      <c r="H3678" s="3" t="s">
        <v>88</v>
      </c>
      <c r="I3678" s="3" t="s">
        <v>85</v>
      </c>
      <c r="J3678" s="3" t="s">
        <v>65</v>
      </c>
      <c r="K3678" s="4">
        <v>128.13</v>
      </c>
      <c r="L3678" s="6">
        <v>3.08</v>
      </c>
    </row>
    <row r="3679" spans="1:12" x14ac:dyDescent="0.25">
      <c r="A3679" s="1">
        <v>3678</v>
      </c>
      <c r="B3679" s="4">
        <v>26310</v>
      </c>
      <c r="C3679" s="5">
        <v>41119</v>
      </c>
      <c r="D3679" s="3" t="s">
        <v>86</v>
      </c>
      <c r="E3679" s="1" t="s">
        <v>700</v>
      </c>
      <c r="F3679" s="1" t="s">
        <v>45</v>
      </c>
      <c r="G3679" s="2" t="s">
        <v>3</v>
      </c>
      <c r="H3679" s="3" t="s">
        <v>88</v>
      </c>
      <c r="I3679" s="3" t="s">
        <v>85</v>
      </c>
      <c r="J3679" s="3" t="s">
        <v>71</v>
      </c>
      <c r="K3679" s="4">
        <v>77.41</v>
      </c>
      <c r="L3679" s="6">
        <v>15.67</v>
      </c>
    </row>
    <row r="3680" spans="1:12" x14ac:dyDescent="0.25">
      <c r="A3680" s="1">
        <v>3679</v>
      </c>
      <c r="B3680" s="4">
        <v>26310</v>
      </c>
      <c r="C3680" s="5">
        <v>41119</v>
      </c>
      <c r="D3680" s="3" t="s">
        <v>86</v>
      </c>
      <c r="E3680" s="1" t="s">
        <v>700</v>
      </c>
      <c r="F3680" s="1" t="s">
        <v>45</v>
      </c>
      <c r="G3680" s="2" t="s">
        <v>3</v>
      </c>
      <c r="H3680" s="3" t="s">
        <v>88</v>
      </c>
      <c r="I3680" s="3" t="s">
        <v>85</v>
      </c>
      <c r="J3680" s="3" t="s">
        <v>66</v>
      </c>
      <c r="K3680" s="4">
        <v>112.67</v>
      </c>
      <c r="L3680" s="6">
        <v>5.98</v>
      </c>
    </row>
    <row r="3681" spans="1:12" x14ac:dyDescent="0.25">
      <c r="A3681" s="1">
        <v>3680</v>
      </c>
      <c r="B3681" s="4">
        <v>26336</v>
      </c>
      <c r="C3681" s="5">
        <v>41055</v>
      </c>
      <c r="D3681" s="3" t="s">
        <v>89</v>
      </c>
      <c r="E3681" s="1" t="s">
        <v>1038</v>
      </c>
      <c r="F3681" s="1" t="s">
        <v>17</v>
      </c>
      <c r="G3681" s="2" t="s">
        <v>2</v>
      </c>
      <c r="H3681" s="3" t="s">
        <v>97</v>
      </c>
      <c r="I3681" s="3" t="s">
        <v>92</v>
      </c>
      <c r="J3681" s="3" t="s">
        <v>62</v>
      </c>
      <c r="K3681" s="4">
        <v>1516.82</v>
      </c>
      <c r="L3681" s="6">
        <v>40.98</v>
      </c>
    </row>
    <row r="3682" spans="1:12" x14ac:dyDescent="0.25">
      <c r="A3682" s="1">
        <v>3681</v>
      </c>
      <c r="B3682" s="4">
        <v>26336</v>
      </c>
      <c r="C3682" s="5">
        <v>41055</v>
      </c>
      <c r="D3682" s="3" t="s">
        <v>89</v>
      </c>
      <c r="E3682" s="1" t="s">
        <v>1038</v>
      </c>
      <c r="F3682" s="1" t="s">
        <v>17</v>
      </c>
      <c r="G3682" s="2" t="s">
        <v>2</v>
      </c>
      <c r="H3682" s="3" t="s">
        <v>97</v>
      </c>
      <c r="I3682" s="3" t="s">
        <v>85</v>
      </c>
      <c r="J3682" s="3" t="s">
        <v>57</v>
      </c>
      <c r="K3682" s="4">
        <v>2752.68</v>
      </c>
      <c r="L3682" s="6">
        <v>62.18</v>
      </c>
    </row>
    <row r="3683" spans="1:12" x14ac:dyDescent="0.25">
      <c r="A3683" s="1">
        <v>3682</v>
      </c>
      <c r="B3683" s="4">
        <v>26337</v>
      </c>
      <c r="C3683" s="5">
        <v>40124</v>
      </c>
      <c r="D3683" s="3" t="s">
        <v>95</v>
      </c>
      <c r="E3683" s="1" t="s">
        <v>545</v>
      </c>
      <c r="F3683" s="1" t="s">
        <v>23</v>
      </c>
      <c r="G3683" s="2" t="s">
        <v>3</v>
      </c>
      <c r="H3683" s="3" t="s">
        <v>84</v>
      </c>
      <c r="I3683" s="3" t="s">
        <v>85</v>
      </c>
      <c r="J3683" s="3" t="s">
        <v>65</v>
      </c>
      <c r="K3683" s="4">
        <v>153.27000000000001</v>
      </c>
      <c r="L3683" s="6">
        <v>3.69</v>
      </c>
    </row>
    <row r="3684" spans="1:12" x14ac:dyDescent="0.25">
      <c r="A3684" s="1">
        <v>3683</v>
      </c>
      <c r="B3684" s="4">
        <v>26341</v>
      </c>
      <c r="C3684" s="5">
        <v>40387</v>
      </c>
      <c r="D3684" s="3" t="s">
        <v>95</v>
      </c>
      <c r="E3684" s="1" t="s">
        <v>117</v>
      </c>
      <c r="F3684" s="1" t="s">
        <v>15</v>
      </c>
      <c r="G3684" s="2" t="s">
        <v>1</v>
      </c>
      <c r="H3684" s="3" t="s">
        <v>88</v>
      </c>
      <c r="I3684" s="3" t="s">
        <v>91</v>
      </c>
      <c r="J3684" s="3" t="s">
        <v>60</v>
      </c>
      <c r="K3684" s="4">
        <v>1095.27</v>
      </c>
      <c r="L3684" s="6">
        <v>124.49</v>
      </c>
    </row>
    <row r="3685" spans="1:12" x14ac:dyDescent="0.25">
      <c r="A3685" s="1">
        <v>3684</v>
      </c>
      <c r="B3685" s="4">
        <v>26342</v>
      </c>
      <c r="C3685" s="5">
        <v>40104</v>
      </c>
      <c r="D3685" s="3" t="s">
        <v>82</v>
      </c>
      <c r="E3685" s="1" t="s">
        <v>848</v>
      </c>
      <c r="F3685" s="1" t="s">
        <v>30</v>
      </c>
      <c r="G3685" s="2" t="s">
        <v>6</v>
      </c>
      <c r="H3685" s="3" t="s">
        <v>97</v>
      </c>
      <c r="I3685" s="3" t="s">
        <v>85</v>
      </c>
      <c r="J3685" s="3" t="s">
        <v>66</v>
      </c>
      <c r="K3685" s="4">
        <v>265.35000000000002</v>
      </c>
      <c r="L3685" s="6">
        <v>9.99</v>
      </c>
    </row>
    <row r="3686" spans="1:12" x14ac:dyDescent="0.25">
      <c r="A3686" s="1">
        <v>3685</v>
      </c>
      <c r="B3686" s="4">
        <v>26342</v>
      </c>
      <c r="C3686" s="5">
        <v>40104</v>
      </c>
      <c r="D3686" s="3" t="s">
        <v>82</v>
      </c>
      <c r="E3686" s="1" t="s">
        <v>848</v>
      </c>
      <c r="F3686" s="1" t="s">
        <v>30</v>
      </c>
      <c r="G3686" s="2" t="s">
        <v>6</v>
      </c>
      <c r="H3686" s="3" t="s">
        <v>97</v>
      </c>
      <c r="I3686" s="3" t="s">
        <v>85</v>
      </c>
      <c r="J3686" s="3" t="s">
        <v>66</v>
      </c>
      <c r="K3686" s="4">
        <v>1993.94</v>
      </c>
      <c r="L3686" s="6">
        <v>48.04</v>
      </c>
    </row>
    <row r="3687" spans="1:12" x14ac:dyDescent="0.25">
      <c r="A3687" s="1">
        <v>3686</v>
      </c>
      <c r="B3687" s="4">
        <v>26342</v>
      </c>
      <c r="C3687" s="5">
        <v>40104</v>
      </c>
      <c r="D3687" s="3" t="s">
        <v>82</v>
      </c>
      <c r="E3687" s="1" t="s">
        <v>848</v>
      </c>
      <c r="F3687" s="1" t="s">
        <v>30</v>
      </c>
      <c r="G3687" s="2" t="s">
        <v>6</v>
      </c>
      <c r="H3687" s="3" t="s">
        <v>97</v>
      </c>
      <c r="I3687" s="3" t="s">
        <v>85</v>
      </c>
      <c r="J3687" s="3" t="s">
        <v>66</v>
      </c>
      <c r="K3687" s="4">
        <v>24.73</v>
      </c>
      <c r="L3687" s="6">
        <v>6.68</v>
      </c>
    </row>
    <row r="3688" spans="1:12" x14ac:dyDescent="0.25">
      <c r="A3688" s="1">
        <v>3687</v>
      </c>
      <c r="B3688" s="4">
        <v>26368</v>
      </c>
      <c r="C3688" s="5">
        <v>40374</v>
      </c>
      <c r="D3688" s="3" t="s">
        <v>4</v>
      </c>
      <c r="E3688" s="1" t="s">
        <v>1133</v>
      </c>
      <c r="F3688" s="1" t="s">
        <v>30</v>
      </c>
      <c r="G3688" s="2" t="s">
        <v>6</v>
      </c>
      <c r="H3688" s="3" t="s">
        <v>88</v>
      </c>
      <c r="I3688" s="3" t="s">
        <v>92</v>
      </c>
      <c r="J3688" s="3" t="s">
        <v>61</v>
      </c>
      <c r="K3688" s="4">
        <v>1809.0125</v>
      </c>
      <c r="L3688" s="6">
        <v>85.99</v>
      </c>
    </row>
    <row r="3689" spans="1:12" x14ac:dyDescent="0.25">
      <c r="A3689" s="1">
        <v>3688</v>
      </c>
      <c r="B3689" s="4">
        <v>26370</v>
      </c>
      <c r="C3689" s="5">
        <v>40763</v>
      </c>
      <c r="D3689" s="3" t="s">
        <v>86</v>
      </c>
      <c r="E3689" s="1" t="s">
        <v>1161</v>
      </c>
      <c r="F3689" s="1" t="s">
        <v>8</v>
      </c>
      <c r="G3689" s="2" t="s">
        <v>6</v>
      </c>
      <c r="H3689" s="3" t="s">
        <v>97</v>
      </c>
      <c r="I3689" s="3" t="s">
        <v>85</v>
      </c>
      <c r="J3689" s="3" t="s">
        <v>66</v>
      </c>
      <c r="K3689" s="4">
        <v>270.23</v>
      </c>
      <c r="L3689" s="6">
        <v>22.84</v>
      </c>
    </row>
    <row r="3690" spans="1:12" x14ac:dyDescent="0.25">
      <c r="A3690" s="1">
        <v>3689</v>
      </c>
      <c r="B3690" s="4">
        <v>26370</v>
      </c>
      <c r="C3690" s="5">
        <v>40763</v>
      </c>
      <c r="D3690" s="3" t="s">
        <v>86</v>
      </c>
      <c r="E3690" s="1" t="s">
        <v>1161</v>
      </c>
      <c r="F3690" s="1" t="s">
        <v>8</v>
      </c>
      <c r="G3690" s="2" t="s">
        <v>6</v>
      </c>
      <c r="H3690" s="3" t="s">
        <v>97</v>
      </c>
      <c r="I3690" s="3" t="s">
        <v>85</v>
      </c>
      <c r="J3690" s="3" t="s">
        <v>57</v>
      </c>
      <c r="K3690" s="4">
        <v>660.27</v>
      </c>
      <c r="L3690" s="6">
        <v>34.76</v>
      </c>
    </row>
    <row r="3691" spans="1:12" x14ac:dyDescent="0.25">
      <c r="A3691" s="1">
        <v>3690</v>
      </c>
      <c r="B3691" s="4">
        <v>26372</v>
      </c>
      <c r="C3691" s="5">
        <v>40006</v>
      </c>
      <c r="D3691" s="3" t="s">
        <v>82</v>
      </c>
      <c r="E3691" s="1" t="s">
        <v>533</v>
      </c>
      <c r="F3691" s="1" t="s">
        <v>30</v>
      </c>
      <c r="G3691" s="2" t="s">
        <v>6</v>
      </c>
      <c r="H3691" s="3" t="s">
        <v>88</v>
      </c>
      <c r="I3691" s="3" t="s">
        <v>92</v>
      </c>
      <c r="J3691" s="3" t="s">
        <v>62</v>
      </c>
      <c r="K3691" s="4">
        <v>31.96</v>
      </c>
      <c r="L3691" s="6">
        <v>29.89</v>
      </c>
    </row>
    <row r="3692" spans="1:12" x14ac:dyDescent="0.25">
      <c r="A3692" s="1">
        <v>3691</v>
      </c>
      <c r="B3692" s="4">
        <v>26373</v>
      </c>
      <c r="C3692" s="5">
        <v>40381</v>
      </c>
      <c r="D3692" s="3" t="s">
        <v>4</v>
      </c>
      <c r="E3692" s="1" t="s">
        <v>191</v>
      </c>
      <c r="F3692" s="1" t="s">
        <v>28</v>
      </c>
      <c r="G3692" s="2" t="s">
        <v>6</v>
      </c>
      <c r="H3692" s="3" t="s">
        <v>84</v>
      </c>
      <c r="I3692" s="3" t="s">
        <v>85</v>
      </c>
      <c r="J3692" s="3" t="s">
        <v>70</v>
      </c>
      <c r="K3692" s="4">
        <v>285.08</v>
      </c>
      <c r="L3692" s="6">
        <v>40.98</v>
      </c>
    </row>
    <row r="3693" spans="1:12" x14ac:dyDescent="0.25">
      <c r="A3693" s="1">
        <v>3692</v>
      </c>
      <c r="B3693" s="4">
        <v>26374</v>
      </c>
      <c r="C3693" s="5">
        <v>40122</v>
      </c>
      <c r="D3693" s="3" t="s">
        <v>86</v>
      </c>
      <c r="E3693" s="1" t="s">
        <v>331</v>
      </c>
      <c r="F3693" s="1" t="s">
        <v>36</v>
      </c>
      <c r="G3693" s="2" t="s">
        <v>2</v>
      </c>
      <c r="H3693" s="3" t="s">
        <v>88</v>
      </c>
      <c r="I3693" s="3" t="s">
        <v>92</v>
      </c>
      <c r="J3693" s="3" t="s">
        <v>61</v>
      </c>
      <c r="K3693" s="4">
        <v>90.941499999999991</v>
      </c>
      <c r="L3693" s="6">
        <v>20.99</v>
      </c>
    </row>
    <row r="3694" spans="1:12" x14ac:dyDescent="0.25">
      <c r="A3694" s="1">
        <v>3693</v>
      </c>
      <c r="B3694" s="4">
        <v>26401</v>
      </c>
      <c r="C3694" s="5">
        <v>40464</v>
      </c>
      <c r="D3694" s="3" t="s">
        <v>4</v>
      </c>
      <c r="E3694" s="1" t="s">
        <v>858</v>
      </c>
      <c r="F3694" s="1" t="s">
        <v>21</v>
      </c>
      <c r="G3694" s="2" t="s">
        <v>1</v>
      </c>
      <c r="H3694" s="3" t="s">
        <v>84</v>
      </c>
      <c r="I3694" s="3" t="s">
        <v>85</v>
      </c>
      <c r="J3694" s="3" t="s">
        <v>69</v>
      </c>
      <c r="K3694" s="4">
        <v>415</v>
      </c>
      <c r="L3694" s="6">
        <v>420.98</v>
      </c>
    </row>
    <row r="3695" spans="1:12" x14ac:dyDescent="0.25">
      <c r="A3695" s="1">
        <v>3694</v>
      </c>
      <c r="B3695" s="4">
        <v>26406</v>
      </c>
      <c r="C3695" s="5">
        <v>40645</v>
      </c>
      <c r="D3695" s="3" t="s">
        <v>86</v>
      </c>
      <c r="E3695" s="1" t="s">
        <v>727</v>
      </c>
      <c r="F3695" s="1" t="s">
        <v>13</v>
      </c>
      <c r="G3695" s="2" t="s">
        <v>6</v>
      </c>
      <c r="H3695" s="3" t="s">
        <v>97</v>
      </c>
      <c r="I3695" s="3" t="s">
        <v>85</v>
      </c>
      <c r="J3695" s="3" t="s">
        <v>69</v>
      </c>
      <c r="K3695" s="4">
        <v>167.46</v>
      </c>
      <c r="L3695" s="6">
        <v>4.24</v>
      </c>
    </row>
    <row r="3696" spans="1:12" x14ac:dyDescent="0.25">
      <c r="A3696" s="1">
        <v>3695</v>
      </c>
      <c r="B3696" s="4">
        <v>26407</v>
      </c>
      <c r="C3696" s="5">
        <v>41079</v>
      </c>
      <c r="D3696" s="3" t="s">
        <v>95</v>
      </c>
      <c r="E3696" s="1" t="s">
        <v>117</v>
      </c>
      <c r="F3696" s="1" t="s">
        <v>15</v>
      </c>
      <c r="G3696" s="2" t="s">
        <v>1</v>
      </c>
      <c r="H3696" s="3" t="s">
        <v>97</v>
      </c>
      <c r="I3696" s="3" t="s">
        <v>85</v>
      </c>
      <c r="J3696" s="3" t="s">
        <v>57</v>
      </c>
      <c r="K3696" s="4">
        <v>9522.1200000000008</v>
      </c>
      <c r="L3696" s="6">
        <v>279.48</v>
      </c>
    </row>
    <row r="3697" spans="1:12" x14ac:dyDescent="0.25">
      <c r="A3697" s="1">
        <v>3696</v>
      </c>
      <c r="B3697" s="4">
        <v>26407</v>
      </c>
      <c r="C3697" s="5">
        <v>41079</v>
      </c>
      <c r="D3697" s="3" t="s">
        <v>95</v>
      </c>
      <c r="E3697" s="1" t="s">
        <v>117</v>
      </c>
      <c r="F3697" s="1" t="s">
        <v>15</v>
      </c>
      <c r="G3697" s="2" t="s">
        <v>1</v>
      </c>
      <c r="H3697" s="3" t="s">
        <v>97</v>
      </c>
      <c r="I3697" s="3" t="s">
        <v>92</v>
      </c>
      <c r="J3697" s="3" t="s">
        <v>61</v>
      </c>
      <c r="K3697" s="4">
        <v>1985.6935000000001</v>
      </c>
      <c r="L3697" s="6">
        <v>155.99</v>
      </c>
    </row>
    <row r="3698" spans="1:12" x14ac:dyDescent="0.25">
      <c r="A3698" s="1">
        <v>3697</v>
      </c>
      <c r="B3698" s="4">
        <v>26432</v>
      </c>
      <c r="C3698" s="5">
        <v>40177</v>
      </c>
      <c r="D3698" s="3" t="s">
        <v>82</v>
      </c>
      <c r="E3698" s="1" t="s">
        <v>1031</v>
      </c>
      <c r="F3698" s="1" t="s">
        <v>15</v>
      </c>
      <c r="G3698" s="2" t="s">
        <v>1</v>
      </c>
      <c r="H3698" s="3" t="s">
        <v>88</v>
      </c>
      <c r="I3698" s="3" t="s">
        <v>85</v>
      </c>
      <c r="J3698" s="3" t="s">
        <v>70</v>
      </c>
      <c r="K3698" s="4">
        <v>1420.89</v>
      </c>
      <c r="L3698" s="6">
        <v>38.06</v>
      </c>
    </row>
    <row r="3699" spans="1:12" x14ac:dyDescent="0.25">
      <c r="A3699" s="1">
        <v>3698</v>
      </c>
      <c r="B3699" s="4">
        <v>26432</v>
      </c>
      <c r="C3699" s="5">
        <v>40177</v>
      </c>
      <c r="D3699" s="3" t="s">
        <v>82</v>
      </c>
      <c r="E3699" s="1" t="s">
        <v>1031</v>
      </c>
      <c r="F3699" s="1" t="s">
        <v>15</v>
      </c>
      <c r="G3699" s="2" t="s">
        <v>1</v>
      </c>
      <c r="H3699" s="3" t="s">
        <v>88</v>
      </c>
      <c r="I3699" s="3" t="s">
        <v>92</v>
      </c>
      <c r="J3699" s="3" t="s">
        <v>73</v>
      </c>
      <c r="K3699" s="4">
        <v>27820.34</v>
      </c>
      <c r="L3699" s="6">
        <v>599.99</v>
      </c>
    </row>
    <row r="3700" spans="1:12" x14ac:dyDescent="0.25">
      <c r="A3700" s="1">
        <v>3699</v>
      </c>
      <c r="B3700" s="4">
        <v>26432</v>
      </c>
      <c r="C3700" s="5">
        <v>40177</v>
      </c>
      <c r="D3700" s="3" t="s">
        <v>82</v>
      </c>
      <c r="E3700" s="1" t="s">
        <v>1031</v>
      </c>
      <c r="F3700" s="1" t="s">
        <v>15</v>
      </c>
      <c r="G3700" s="2" t="s">
        <v>1</v>
      </c>
      <c r="H3700" s="3" t="s">
        <v>88</v>
      </c>
      <c r="I3700" s="3" t="s">
        <v>85</v>
      </c>
      <c r="J3700" s="3" t="s">
        <v>66</v>
      </c>
      <c r="K3700" s="4">
        <v>45.18</v>
      </c>
      <c r="L3700" s="6">
        <v>3.98</v>
      </c>
    </row>
    <row r="3701" spans="1:12" x14ac:dyDescent="0.25">
      <c r="A3701" s="1">
        <v>3700</v>
      </c>
      <c r="B3701" s="4">
        <v>26437</v>
      </c>
      <c r="C3701" s="5">
        <v>40875</v>
      </c>
      <c r="D3701" s="3" t="s">
        <v>95</v>
      </c>
      <c r="E3701" s="1" t="s">
        <v>1030</v>
      </c>
      <c r="F3701" s="1" t="s">
        <v>24</v>
      </c>
      <c r="G3701" s="2" t="s">
        <v>2</v>
      </c>
      <c r="H3701" s="3" t="s">
        <v>88</v>
      </c>
      <c r="I3701" s="3" t="s">
        <v>91</v>
      </c>
      <c r="J3701" s="3" t="s">
        <v>59</v>
      </c>
      <c r="K3701" s="4">
        <v>52.43</v>
      </c>
      <c r="L3701" s="6">
        <v>9.65</v>
      </c>
    </row>
    <row r="3702" spans="1:12" x14ac:dyDescent="0.25">
      <c r="A3702" s="1">
        <v>3701</v>
      </c>
      <c r="B3702" s="4">
        <v>26437</v>
      </c>
      <c r="C3702" s="5">
        <v>40875</v>
      </c>
      <c r="D3702" s="3" t="s">
        <v>95</v>
      </c>
      <c r="E3702" s="1" t="s">
        <v>1030</v>
      </c>
      <c r="F3702" s="1" t="s">
        <v>24</v>
      </c>
      <c r="G3702" s="2" t="s">
        <v>2</v>
      </c>
      <c r="H3702" s="3" t="s">
        <v>88</v>
      </c>
      <c r="I3702" s="3" t="s">
        <v>85</v>
      </c>
      <c r="J3702" s="3" t="s">
        <v>63</v>
      </c>
      <c r="K3702" s="4">
        <v>254.51</v>
      </c>
      <c r="L3702" s="6">
        <v>5.58</v>
      </c>
    </row>
    <row r="3703" spans="1:12" x14ac:dyDescent="0.25">
      <c r="A3703" s="1">
        <v>3702</v>
      </c>
      <c r="B3703" s="4">
        <v>26439</v>
      </c>
      <c r="C3703" s="5">
        <v>40801</v>
      </c>
      <c r="D3703" s="3" t="s">
        <v>4</v>
      </c>
      <c r="E3703" s="1" t="s">
        <v>1162</v>
      </c>
      <c r="F3703" s="1" t="s">
        <v>10</v>
      </c>
      <c r="G3703" s="2" t="s">
        <v>3</v>
      </c>
      <c r="H3703" s="3" t="s">
        <v>88</v>
      </c>
      <c r="I3703" s="3" t="s">
        <v>92</v>
      </c>
      <c r="J3703" s="3" t="s">
        <v>62</v>
      </c>
      <c r="K3703" s="4">
        <v>1230.83</v>
      </c>
      <c r="L3703" s="6">
        <v>30.98</v>
      </c>
    </row>
    <row r="3704" spans="1:12" x14ac:dyDescent="0.25">
      <c r="A3704" s="1">
        <v>3703</v>
      </c>
      <c r="B3704" s="4">
        <v>26439</v>
      </c>
      <c r="C3704" s="5">
        <v>40801</v>
      </c>
      <c r="D3704" s="3" t="s">
        <v>4</v>
      </c>
      <c r="E3704" s="1" t="s">
        <v>1162</v>
      </c>
      <c r="F3704" s="1" t="s">
        <v>10</v>
      </c>
      <c r="G3704" s="2" t="s">
        <v>3</v>
      </c>
      <c r="H3704" s="3" t="s">
        <v>88</v>
      </c>
      <c r="I3704" s="3" t="s">
        <v>85</v>
      </c>
      <c r="J3704" s="3" t="s">
        <v>66</v>
      </c>
      <c r="K3704" s="4">
        <v>169.93</v>
      </c>
      <c r="L3704" s="6">
        <v>4.28</v>
      </c>
    </row>
    <row r="3705" spans="1:12" x14ac:dyDescent="0.25">
      <c r="A3705" s="1">
        <v>3704</v>
      </c>
      <c r="B3705" s="4">
        <v>26439</v>
      </c>
      <c r="C3705" s="5">
        <v>40801</v>
      </c>
      <c r="D3705" s="3" t="s">
        <v>4</v>
      </c>
      <c r="E3705" s="1" t="s">
        <v>1162</v>
      </c>
      <c r="F3705" s="1" t="s">
        <v>10</v>
      </c>
      <c r="G3705" s="2" t="s">
        <v>3</v>
      </c>
      <c r="H3705" s="3" t="s">
        <v>88</v>
      </c>
      <c r="I3705" s="3" t="s">
        <v>92</v>
      </c>
      <c r="J3705" s="3" t="s">
        <v>61</v>
      </c>
      <c r="K3705" s="4">
        <v>1176.944</v>
      </c>
      <c r="L3705" s="6">
        <v>65.989999999999995</v>
      </c>
    </row>
    <row r="3706" spans="1:12" x14ac:dyDescent="0.25">
      <c r="A3706" s="1">
        <v>3705</v>
      </c>
      <c r="B3706" s="4">
        <v>26464</v>
      </c>
      <c r="C3706" s="5">
        <v>40888</v>
      </c>
      <c r="D3706" s="3" t="s">
        <v>89</v>
      </c>
      <c r="E3706" s="1" t="s">
        <v>446</v>
      </c>
      <c r="F3706" s="1" t="s">
        <v>24</v>
      </c>
      <c r="G3706" s="2" t="s">
        <v>2</v>
      </c>
      <c r="H3706" s="3" t="s">
        <v>88</v>
      </c>
      <c r="I3706" s="3" t="s">
        <v>85</v>
      </c>
      <c r="J3706" s="3" t="s">
        <v>70</v>
      </c>
      <c r="K3706" s="4">
        <v>268.58</v>
      </c>
      <c r="L3706" s="6">
        <v>10.89</v>
      </c>
    </row>
    <row r="3707" spans="1:12" x14ac:dyDescent="0.25">
      <c r="A3707" s="1">
        <v>3706</v>
      </c>
      <c r="B3707" s="4">
        <v>26464</v>
      </c>
      <c r="C3707" s="5">
        <v>40888</v>
      </c>
      <c r="D3707" s="3" t="s">
        <v>89</v>
      </c>
      <c r="E3707" s="1" t="s">
        <v>446</v>
      </c>
      <c r="F3707" s="1" t="s">
        <v>24</v>
      </c>
      <c r="G3707" s="2" t="s">
        <v>2</v>
      </c>
      <c r="H3707" s="3" t="s">
        <v>88</v>
      </c>
      <c r="I3707" s="3" t="s">
        <v>91</v>
      </c>
      <c r="J3707" s="3" t="s">
        <v>59</v>
      </c>
      <c r="K3707" s="4">
        <v>1280.6500000000001</v>
      </c>
      <c r="L3707" s="6">
        <v>50.98</v>
      </c>
    </row>
    <row r="3708" spans="1:12" x14ac:dyDescent="0.25">
      <c r="A3708" s="1">
        <v>3707</v>
      </c>
      <c r="B3708" s="4">
        <v>26466</v>
      </c>
      <c r="C3708" s="5">
        <v>39975</v>
      </c>
      <c r="D3708" s="3" t="s">
        <v>95</v>
      </c>
      <c r="E3708" s="1" t="s">
        <v>953</v>
      </c>
      <c r="F3708" s="1" t="s">
        <v>10</v>
      </c>
      <c r="G3708" s="2" t="s">
        <v>3</v>
      </c>
      <c r="H3708" s="3" t="s">
        <v>88</v>
      </c>
      <c r="I3708" s="3" t="s">
        <v>92</v>
      </c>
      <c r="J3708" s="3" t="s">
        <v>61</v>
      </c>
      <c r="K3708" s="4">
        <v>909.721</v>
      </c>
      <c r="L3708" s="6">
        <v>35.99</v>
      </c>
    </row>
    <row r="3709" spans="1:12" x14ac:dyDescent="0.25">
      <c r="A3709" s="1">
        <v>3708</v>
      </c>
      <c r="B3709" s="4">
        <v>26469</v>
      </c>
      <c r="C3709" s="5">
        <v>41120</v>
      </c>
      <c r="D3709" s="3" t="s">
        <v>4</v>
      </c>
      <c r="E3709" s="1" t="s">
        <v>1163</v>
      </c>
      <c r="F3709" s="1" t="s">
        <v>34</v>
      </c>
      <c r="G3709" s="2" t="s">
        <v>1</v>
      </c>
      <c r="H3709" s="3" t="s">
        <v>97</v>
      </c>
      <c r="I3709" s="3" t="s">
        <v>85</v>
      </c>
      <c r="J3709" s="3" t="s">
        <v>69</v>
      </c>
      <c r="K3709" s="4">
        <v>7406.49</v>
      </c>
      <c r="L3709" s="6">
        <v>1889.99</v>
      </c>
    </row>
    <row r="3710" spans="1:12" x14ac:dyDescent="0.25">
      <c r="A3710" s="1">
        <v>3709</v>
      </c>
      <c r="B3710" s="4">
        <v>26469</v>
      </c>
      <c r="C3710" s="5">
        <v>41120</v>
      </c>
      <c r="D3710" s="3" t="s">
        <v>4</v>
      </c>
      <c r="E3710" s="1" t="s">
        <v>1163</v>
      </c>
      <c r="F3710" s="1" t="s">
        <v>34</v>
      </c>
      <c r="G3710" s="2" t="s">
        <v>1</v>
      </c>
      <c r="H3710" s="3" t="s">
        <v>97</v>
      </c>
      <c r="I3710" s="3" t="s">
        <v>85</v>
      </c>
      <c r="J3710" s="3" t="s">
        <v>66</v>
      </c>
      <c r="K3710" s="4">
        <v>350.01</v>
      </c>
      <c r="L3710" s="6">
        <v>6.68</v>
      </c>
    </row>
    <row r="3711" spans="1:12" x14ac:dyDescent="0.25">
      <c r="A3711" s="1">
        <v>3710</v>
      </c>
      <c r="B3711" s="4">
        <v>26470</v>
      </c>
      <c r="C3711" s="5">
        <v>39893</v>
      </c>
      <c r="D3711" s="3" t="s">
        <v>89</v>
      </c>
      <c r="E3711" s="1" t="s">
        <v>245</v>
      </c>
      <c r="F3711" s="1" t="s">
        <v>34</v>
      </c>
      <c r="G3711" s="2" t="s">
        <v>1</v>
      </c>
      <c r="H3711" s="3" t="s">
        <v>97</v>
      </c>
      <c r="I3711" s="3" t="s">
        <v>85</v>
      </c>
      <c r="J3711" s="3" t="s">
        <v>69</v>
      </c>
      <c r="K3711" s="4">
        <v>18081.759999999998</v>
      </c>
      <c r="L3711" s="6">
        <v>420.98</v>
      </c>
    </row>
    <row r="3712" spans="1:12" x14ac:dyDescent="0.25">
      <c r="A3712" s="1">
        <v>3711</v>
      </c>
      <c r="B3712" s="4">
        <v>26499</v>
      </c>
      <c r="C3712" s="5">
        <v>40230</v>
      </c>
      <c r="D3712" s="3" t="s">
        <v>4</v>
      </c>
      <c r="E3712" s="1" t="s">
        <v>646</v>
      </c>
      <c r="F3712" s="1" t="s">
        <v>8</v>
      </c>
      <c r="G3712" s="2" t="s">
        <v>6</v>
      </c>
      <c r="H3712" s="3" t="s">
        <v>88</v>
      </c>
      <c r="I3712" s="3" t="s">
        <v>85</v>
      </c>
      <c r="J3712" s="3" t="s">
        <v>65</v>
      </c>
      <c r="K3712" s="4">
        <v>32.4</v>
      </c>
      <c r="L3712" s="6">
        <v>2.88</v>
      </c>
    </row>
    <row r="3713" spans="1:12" x14ac:dyDescent="0.25">
      <c r="A3713" s="1">
        <v>3712</v>
      </c>
      <c r="B3713" s="4">
        <v>26503</v>
      </c>
      <c r="C3713" s="5">
        <v>40654</v>
      </c>
      <c r="D3713" s="3" t="s">
        <v>4</v>
      </c>
      <c r="E3713" s="1" t="s">
        <v>1019</v>
      </c>
      <c r="F3713" s="1" t="s">
        <v>23</v>
      </c>
      <c r="G3713" s="2" t="s">
        <v>3</v>
      </c>
      <c r="H3713" s="3" t="s">
        <v>84</v>
      </c>
      <c r="I3713" s="3" t="s">
        <v>85</v>
      </c>
      <c r="J3713" s="3" t="s">
        <v>71</v>
      </c>
      <c r="K3713" s="4">
        <v>671.78</v>
      </c>
      <c r="L3713" s="6">
        <v>15.57</v>
      </c>
    </row>
    <row r="3714" spans="1:12" x14ac:dyDescent="0.25">
      <c r="A3714" s="1">
        <v>3713</v>
      </c>
      <c r="B3714" s="4">
        <v>26503</v>
      </c>
      <c r="C3714" s="5">
        <v>40654</v>
      </c>
      <c r="D3714" s="3" t="s">
        <v>4</v>
      </c>
      <c r="E3714" s="1" t="s">
        <v>1019</v>
      </c>
      <c r="F3714" s="1" t="s">
        <v>23</v>
      </c>
      <c r="G3714" s="2" t="s">
        <v>3</v>
      </c>
      <c r="H3714" s="3" t="s">
        <v>84</v>
      </c>
      <c r="I3714" s="3" t="s">
        <v>91</v>
      </c>
      <c r="J3714" s="3" t="s">
        <v>59</v>
      </c>
      <c r="K3714" s="4">
        <v>262.08999999999997</v>
      </c>
      <c r="L3714" s="6">
        <v>19.98</v>
      </c>
    </row>
    <row r="3715" spans="1:12" x14ac:dyDescent="0.25">
      <c r="A3715" s="1">
        <v>3714</v>
      </c>
      <c r="B3715" s="4">
        <v>26529</v>
      </c>
      <c r="C3715" s="5">
        <v>40571</v>
      </c>
      <c r="D3715" s="3" t="s">
        <v>82</v>
      </c>
      <c r="E3715" s="1" t="s">
        <v>225</v>
      </c>
      <c r="F3715" s="1" t="s">
        <v>14</v>
      </c>
      <c r="G3715" s="2" t="s">
        <v>2</v>
      </c>
      <c r="H3715" s="3" t="s">
        <v>100</v>
      </c>
      <c r="I3715" s="3" t="s">
        <v>85</v>
      </c>
      <c r="J3715" s="3" t="s">
        <v>66</v>
      </c>
      <c r="K3715" s="4">
        <v>201.72</v>
      </c>
      <c r="L3715" s="6">
        <v>11.34</v>
      </c>
    </row>
    <row r="3716" spans="1:12" x14ac:dyDescent="0.25">
      <c r="A3716" s="1">
        <v>3715</v>
      </c>
      <c r="B3716" s="4">
        <v>26529</v>
      </c>
      <c r="C3716" s="5">
        <v>40571</v>
      </c>
      <c r="D3716" s="3" t="s">
        <v>82</v>
      </c>
      <c r="E3716" s="1" t="s">
        <v>1164</v>
      </c>
      <c r="F3716" s="1" t="s">
        <v>26</v>
      </c>
      <c r="G3716" s="2" t="s">
        <v>3</v>
      </c>
      <c r="H3716" s="3" t="s">
        <v>100</v>
      </c>
      <c r="I3716" s="3" t="s">
        <v>92</v>
      </c>
      <c r="J3716" s="3" t="s">
        <v>67</v>
      </c>
      <c r="K3716" s="4">
        <v>12125.14</v>
      </c>
      <c r="L3716" s="6">
        <v>297.64</v>
      </c>
    </row>
    <row r="3717" spans="1:12" x14ac:dyDescent="0.25">
      <c r="A3717" s="1">
        <v>3716</v>
      </c>
      <c r="B3717" s="4">
        <v>26531</v>
      </c>
      <c r="C3717" s="5">
        <v>40714</v>
      </c>
      <c r="D3717" s="3" t="s">
        <v>4</v>
      </c>
      <c r="E3717" s="1" t="s">
        <v>796</v>
      </c>
      <c r="F3717" s="1" t="s">
        <v>8</v>
      </c>
      <c r="G3717" s="2" t="s">
        <v>6</v>
      </c>
      <c r="H3717" s="3" t="s">
        <v>88</v>
      </c>
      <c r="I3717" s="3" t="s">
        <v>92</v>
      </c>
      <c r="J3717" s="3" t="s">
        <v>61</v>
      </c>
      <c r="K3717" s="4">
        <v>4688.9484999999995</v>
      </c>
      <c r="L3717" s="6">
        <v>205.99</v>
      </c>
    </row>
    <row r="3718" spans="1:12" x14ac:dyDescent="0.25">
      <c r="A3718" s="1">
        <v>3717</v>
      </c>
      <c r="B3718" s="4">
        <v>26535</v>
      </c>
      <c r="C3718" s="5">
        <v>40988</v>
      </c>
      <c r="D3718" s="3" t="s">
        <v>86</v>
      </c>
      <c r="E3718" s="1" t="s">
        <v>146</v>
      </c>
      <c r="F3718" s="1" t="s">
        <v>13</v>
      </c>
      <c r="G3718" s="2" t="s">
        <v>6</v>
      </c>
      <c r="H3718" s="3" t="s">
        <v>88</v>
      </c>
      <c r="I3718" s="3" t="s">
        <v>85</v>
      </c>
      <c r="J3718" s="3" t="s">
        <v>69</v>
      </c>
      <c r="K3718" s="4">
        <v>141.69999999999999</v>
      </c>
      <c r="L3718" s="6">
        <v>3.98</v>
      </c>
    </row>
    <row r="3719" spans="1:12" x14ac:dyDescent="0.25">
      <c r="A3719" s="1">
        <v>3718</v>
      </c>
      <c r="B3719" s="4">
        <v>26565</v>
      </c>
      <c r="C3719" s="5">
        <v>40107</v>
      </c>
      <c r="D3719" s="3" t="s">
        <v>4</v>
      </c>
      <c r="E3719" s="1" t="s">
        <v>936</v>
      </c>
      <c r="F3719" s="1" t="s">
        <v>34</v>
      </c>
      <c r="G3719" s="2" t="s">
        <v>1</v>
      </c>
      <c r="H3719" s="3" t="s">
        <v>88</v>
      </c>
      <c r="I3719" s="3" t="s">
        <v>85</v>
      </c>
      <c r="J3719" s="3" t="s">
        <v>57</v>
      </c>
      <c r="K3719" s="4">
        <v>21337.27</v>
      </c>
      <c r="L3719" s="6">
        <v>419.19</v>
      </c>
    </row>
    <row r="3720" spans="1:12" x14ac:dyDescent="0.25">
      <c r="A3720" s="1">
        <v>3719</v>
      </c>
      <c r="B3720" s="4">
        <v>26567</v>
      </c>
      <c r="C3720" s="5">
        <v>40060</v>
      </c>
      <c r="D3720" s="3" t="s">
        <v>95</v>
      </c>
      <c r="E3720" s="1" t="s">
        <v>1165</v>
      </c>
      <c r="F3720" s="1" t="s">
        <v>8</v>
      </c>
      <c r="G3720" s="2" t="s">
        <v>6</v>
      </c>
      <c r="H3720" s="3" t="s">
        <v>88</v>
      </c>
      <c r="I3720" s="3" t="s">
        <v>85</v>
      </c>
      <c r="J3720" s="3" t="s">
        <v>69</v>
      </c>
      <c r="K3720" s="4">
        <v>50.7</v>
      </c>
      <c r="L3720" s="6">
        <v>5.4</v>
      </c>
    </row>
    <row r="3721" spans="1:12" x14ac:dyDescent="0.25">
      <c r="A3721" s="1">
        <v>3720</v>
      </c>
      <c r="B3721" s="4">
        <v>26567</v>
      </c>
      <c r="C3721" s="5">
        <v>40060</v>
      </c>
      <c r="D3721" s="3" t="s">
        <v>95</v>
      </c>
      <c r="E3721" s="1" t="s">
        <v>1165</v>
      </c>
      <c r="F3721" s="1" t="s">
        <v>8</v>
      </c>
      <c r="G3721" s="2" t="s">
        <v>6</v>
      </c>
      <c r="H3721" s="3" t="s">
        <v>88</v>
      </c>
      <c r="I3721" s="3" t="s">
        <v>92</v>
      </c>
      <c r="J3721" s="3" t="s">
        <v>62</v>
      </c>
      <c r="K3721" s="4">
        <v>90.06</v>
      </c>
      <c r="L3721" s="6">
        <v>8.4600000000000009</v>
      </c>
    </row>
    <row r="3722" spans="1:12" x14ac:dyDescent="0.25">
      <c r="A3722" s="1">
        <v>3721</v>
      </c>
      <c r="B3722" s="4">
        <v>26567</v>
      </c>
      <c r="C3722" s="5">
        <v>40060</v>
      </c>
      <c r="D3722" s="3" t="s">
        <v>95</v>
      </c>
      <c r="E3722" s="1" t="s">
        <v>1165</v>
      </c>
      <c r="F3722" s="1" t="s">
        <v>8</v>
      </c>
      <c r="G3722" s="2" t="s">
        <v>6</v>
      </c>
      <c r="H3722" s="3" t="s">
        <v>88</v>
      </c>
      <c r="I3722" s="3" t="s">
        <v>91</v>
      </c>
      <c r="J3722" s="3" t="s">
        <v>59</v>
      </c>
      <c r="K3722" s="4">
        <v>338.52</v>
      </c>
      <c r="L3722" s="6">
        <v>14.98</v>
      </c>
    </row>
    <row r="3723" spans="1:12" x14ac:dyDescent="0.25">
      <c r="A3723" s="1">
        <v>3722</v>
      </c>
      <c r="B3723" s="4">
        <v>26567</v>
      </c>
      <c r="C3723" s="5">
        <v>40060</v>
      </c>
      <c r="D3723" s="3" t="s">
        <v>95</v>
      </c>
      <c r="E3723" s="1" t="s">
        <v>1165</v>
      </c>
      <c r="F3723" s="1" t="s">
        <v>8</v>
      </c>
      <c r="G3723" s="2" t="s">
        <v>6</v>
      </c>
      <c r="H3723" s="3" t="s">
        <v>88</v>
      </c>
      <c r="I3723" s="3" t="s">
        <v>92</v>
      </c>
      <c r="J3723" s="3" t="s">
        <v>61</v>
      </c>
      <c r="K3723" s="4">
        <v>6109.817</v>
      </c>
      <c r="L3723" s="6">
        <v>155.99</v>
      </c>
    </row>
    <row r="3724" spans="1:12" x14ac:dyDescent="0.25">
      <c r="A3724" s="1">
        <v>3723</v>
      </c>
      <c r="B3724" s="4">
        <v>26627</v>
      </c>
      <c r="C3724" s="5">
        <v>40116</v>
      </c>
      <c r="D3724" s="3" t="s">
        <v>4</v>
      </c>
      <c r="E3724" s="1" t="s">
        <v>973</v>
      </c>
      <c r="F3724" s="1" t="s">
        <v>33</v>
      </c>
      <c r="G3724" s="2" t="s">
        <v>2</v>
      </c>
      <c r="H3724" s="3" t="s">
        <v>97</v>
      </c>
      <c r="I3724" s="3" t="s">
        <v>85</v>
      </c>
      <c r="J3724" s="3" t="s">
        <v>63</v>
      </c>
      <c r="K3724" s="4">
        <v>38.369999999999997</v>
      </c>
      <c r="L3724" s="6">
        <v>1.6</v>
      </c>
    </row>
    <row r="3725" spans="1:12" x14ac:dyDescent="0.25">
      <c r="A3725" s="1">
        <v>3724</v>
      </c>
      <c r="B3725" s="4">
        <v>26629</v>
      </c>
      <c r="C3725" s="5">
        <v>40004</v>
      </c>
      <c r="D3725" s="3" t="s">
        <v>89</v>
      </c>
      <c r="E3725" s="1" t="s">
        <v>800</v>
      </c>
      <c r="F3725" s="1" t="s">
        <v>42</v>
      </c>
      <c r="G3725" s="2" t="s">
        <v>3</v>
      </c>
      <c r="H3725" s="3" t="s">
        <v>100</v>
      </c>
      <c r="I3725" s="3" t="s">
        <v>92</v>
      </c>
      <c r="J3725" s="3" t="s">
        <v>73</v>
      </c>
      <c r="K3725" s="4">
        <v>21956.03</v>
      </c>
      <c r="L3725" s="6">
        <v>599.99</v>
      </c>
    </row>
    <row r="3726" spans="1:12" x14ac:dyDescent="0.25">
      <c r="A3726" s="1">
        <v>3725</v>
      </c>
      <c r="B3726" s="4">
        <v>26629</v>
      </c>
      <c r="C3726" s="5">
        <v>40004</v>
      </c>
      <c r="D3726" s="3" t="s">
        <v>89</v>
      </c>
      <c r="E3726" s="1" t="s">
        <v>800</v>
      </c>
      <c r="F3726" s="1" t="s">
        <v>42</v>
      </c>
      <c r="G3726" s="2" t="s">
        <v>3</v>
      </c>
      <c r="H3726" s="3" t="s">
        <v>100</v>
      </c>
      <c r="I3726" s="3" t="s">
        <v>85</v>
      </c>
      <c r="J3726" s="3" t="s">
        <v>63</v>
      </c>
      <c r="K3726" s="4">
        <v>89.89</v>
      </c>
      <c r="L3726" s="6">
        <v>2.78</v>
      </c>
    </row>
    <row r="3727" spans="1:12" x14ac:dyDescent="0.25">
      <c r="A3727" s="1">
        <v>3726</v>
      </c>
      <c r="B3727" s="4">
        <v>26630</v>
      </c>
      <c r="C3727" s="5">
        <v>40509</v>
      </c>
      <c r="D3727" s="3" t="s">
        <v>89</v>
      </c>
      <c r="E3727" s="1" t="s">
        <v>1031</v>
      </c>
      <c r="F3727" s="1" t="s">
        <v>15</v>
      </c>
      <c r="G3727" s="2" t="s">
        <v>1</v>
      </c>
      <c r="H3727" s="3" t="s">
        <v>88</v>
      </c>
      <c r="I3727" s="3" t="s">
        <v>85</v>
      </c>
      <c r="J3727" s="3" t="s">
        <v>66</v>
      </c>
      <c r="K3727" s="4">
        <v>65.67</v>
      </c>
      <c r="L3727" s="6">
        <v>6.48</v>
      </c>
    </row>
    <row r="3728" spans="1:12" x14ac:dyDescent="0.25">
      <c r="A3728" s="1">
        <v>3727</v>
      </c>
      <c r="B3728" s="4">
        <v>26631</v>
      </c>
      <c r="C3728" s="5">
        <v>40483</v>
      </c>
      <c r="D3728" s="3" t="s">
        <v>95</v>
      </c>
      <c r="E3728" s="1" t="s">
        <v>682</v>
      </c>
      <c r="F3728" s="1" t="s">
        <v>24</v>
      </c>
      <c r="G3728" s="2" t="s">
        <v>2</v>
      </c>
      <c r="H3728" s="3" t="s">
        <v>88</v>
      </c>
      <c r="I3728" s="3" t="s">
        <v>85</v>
      </c>
      <c r="J3728" s="3" t="s">
        <v>66</v>
      </c>
      <c r="K3728" s="4">
        <v>231.65</v>
      </c>
      <c r="L3728" s="6">
        <v>5.98</v>
      </c>
    </row>
    <row r="3729" spans="1:12" x14ac:dyDescent="0.25">
      <c r="A3729" s="1">
        <v>3728</v>
      </c>
      <c r="B3729" s="4">
        <v>26657</v>
      </c>
      <c r="C3729" s="5">
        <v>41181</v>
      </c>
      <c r="D3729" s="3" t="s">
        <v>4</v>
      </c>
      <c r="E3729" s="1" t="s">
        <v>1143</v>
      </c>
      <c r="F3729" s="1" t="s">
        <v>23</v>
      </c>
      <c r="G3729" s="2" t="s">
        <v>3</v>
      </c>
      <c r="H3729" s="3" t="s">
        <v>97</v>
      </c>
      <c r="I3729" s="3" t="s">
        <v>85</v>
      </c>
      <c r="J3729" s="3" t="s">
        <v>69</v>
      </c>
      <c r="K3729" s="4">
        <v>1107.6400000000001</v>
      </c>
      <c r="L3729" s="6">
        <v>40.98</v>
      </c>
    </row>
    <row r="3730" spans="1:12" x14ac:dyDescent="0.25">
      <c r="A3730" s="1">
        <v>3729</v>
      </c>
      <c r="B3730" s="4">
        <v>26658</v>
      </c>
      <c r="C3730" s="5">
        <v>40899</v>
      </c>
      <c r="D3730" s="3" t="s">
        <v>89</v>
      </c>
      <c r="E3730" s="1" t="s">
        <v>676</v>
      </c>
      <c r="F3730" s="1" t="s">
        <v>27</v>
      </c>
      <c r="G3730" s="2" t="s">
        <v>1</v>
      </c>
      <c r="H3730" s="3" t="s">
        <v>84</v>
      </c>
      <c r="I3730" s="3" t="s">
        <v>85</v>
      </c>
      <c r="J3730" s="3" t="s">
        <v>69</v>
      </c>
      <c r="K3730" s="4">
        <v>72.75</v>
      </c>
      <c r="L3730" s="6">
        <v>3.98</v>
      </c>
    </row>
    <row r="3731" spans="1:12" x14ac:dyDescent="0.25">
      <c r="A3731" s="1">
        <v>3730</v>
      </c>
      <c r="B3731" s="4">
        <v>26660</v>
      </c>
      <c r="C3731" s="5">
        <v>40986</v>
      </c>
      <c r="D3731" s="3" t="s">
        <v>4</v>
      </c>
      <c r="E3731" s="1" t="s">
        <v>1017</v>
      </c>
      <c r="F3731" s="1" t="s">
        <v>15</v>
      </c>
      <c r="G3731" s="2" t="s">
        <v>1</v>
      </c>
      <c r="H3731" s="3" t="s">
        <v>97</v>
      </c>
      <c r="I3731" s="3" t="s">
        <v>85</v>
      </c>
      <c r="J3731" s="3" t="s">
        <v>66</v>
      </c>
      <c r="K3731" s="4">
        <v>10.23</v>
      </c>
      <c r="L3731" s="6">
        <v>8.9499999999999993</v>
      </c>
    </row>
    <row r="3732" spans="1:12" x14ac:dyDescent="0.25">
      <c r="A3732" s="1">
        <v>3731</v>
      </c>
      <c r="B3732" s="4">
        <v>26661</v>
      </c>
      <c r="C3732" s="5">
        <v>41262</v>
      </c>
      <c r="D3732" s="3" t="s">
        <v>4</v>
      </c>
      <c r="E3732" s="1" t="s">
        <v>925</v>
      </c>
      <c r="F3732" s="1" t="s">
        <v>13</v>
      </c>
      <c r="G3732" s="2" t="s">
        <v>6</v>
      </c>
      <c r="H3732" s="3" t="s">
        <v>88</v>
      </c>
      <c r="I3732" s="3" t="s">
        <v>92</v>
      </c>
      <c r="J3732" s="3" t="s">
        <v>61</v>
      </c>
      <c r="K3732" s="4">
        <v>1772.2244999999998</v>
      </c>
      <c r="L3732" s="6">
        <v>65.989999999999995</v>
      </c>
    </row>
    <row r="3733" spans="1:12" x14ac:dyDescent="0.25">
      <c r="A3733" s="1">
        <v>3732</v>
      </c>
      <c r="B3733" s="4">
        <v>26688</v>
      </c>
      <c r="C3733" s="5">
        <v>40408</v>
      </c>
      <c r="D3733" s="3" t="s">
        <v>4</v>
      </c>
      <c r="E3733" s="1" t="s">
        <v>569</v>
      </c>
      <c r="F3733" s="1" t="s">
        <v>55</v>
      </c>
      <c r="G3733" s="2" t="s">
        <v>2</v>
      </c>
      <c r="H3733" s="3" t="s">
        <v>97</v>
      </c>
      <c r="I3733" s="3" t="s">
        <v>85</v>
      </c>
      <c r="J3733" s="3" t="s">
        <v>70</v>
      </c>
      <c r="K3733" s="4">
        <v>424.13</v>
      </c>
      <c r="L3733" s="6">
        <v>20.27</v>
      </c>
    </row>
    <row r="3734" spans="1:12" x14ac:dyDescent="0.25">
      <c r="A3734" s="1">
        <v>3733</v>
      </c>
      <c r="B3734" s="4">
        <v>26688</v>
      </c>
      <c r="C3734" s="5">
        <v>40408</v>
      </c>
      <c r="D3734" s="3" t="s">
        <v>4</v>
      </c>
      <c r="E3734" s="1" t="s">
        <v>569</v>
      </c>
      <c r="F3734" s="1" t="s">
        <v>55</v>
      </c>
      <c r="G3734" s="2" t="s">
        <v>2</v>
      </c>
      <c r="H3734" s="3" t="s">
        <v>97</v>
      </c>
      <c r="I3734" s="3" t="s">
        <v>85</v>
      </c>
      <c r="J3734" s="3" t="s">
        <v>63</v>
      </c>
      <c r="K3734" s="4">
        <v>69.400000000000006</v>
      </c>
      <c r="L3734" s="6">
        <v>9.93</v>
      </c>
    </row>
    <row r="3735" spans="1:12" x14ac:dyDescent="0.25">
      <c r="A3735" s="1">
        <v>3734</v>
      </c>
      <c r="B3735" s="4">
        <v>26689</v>
      </c>
      <c r="C3735" s="5">
        <v>40085</v>
      </c>
      <c r="D3735" s="3" t="s">
        <v>89</v>
      </c>
      <c r="E3735" s="1" t="s">
        <v>446</v>
      </c>
      <c r="F3735" s="1" t="s">
        <v>24</v>
      </c>
      <c r="G3735" s="2" t="s">
        <v>2</v>
      </c>
      <c r="H3735" s="3" t="s">
        <v>88</v>
      </c>
      <c r="I3735" s="3" t="s">
        <v>91</v>
      </c>
      <c r="J3735" s="3" t="s">
        <v>59</v>
      </c>
      <c r="K3735" s="4">
        <v>198.44</v>
      </c>
      <c r="L3735" s="6">
        <v>99.23</v>
      </c>
    </row>
    <row r="3736" spans="1:12" x14ac:dyDescent="0.25">
      <c r="A3736" s="1">
        <v>3735</v>
      </c>
      <c r="B3736" s="4">
        <v>26691</v>
      </c>
      <c r="C3736" s="5">
        <v>41124</v>
      </c>
      <c r="D3736" s="3" t="s">
        <v>86</v>
      </c>
      <c r="E3736" s="1" t="s">
        <v>135</v>
      </c>
      <c r="F3736" s="1" t="s">
        <v>41</v>
      </c>
      <c r="G3736" s="2" t="s">
        <v>6</v>
      </c>
      <c r="H3736" s="3" t="s">
        <v>88</v>
      </c>
      <c r="I3736" s="3" t="s">
        <v>85</v>
      </c>
      <c r="J3736" s="3" t="s">
        <v>69</v>
      </c>
      <c r="K3736" s="4">
        <v>270.43</v>
      </c>
      <c r="L3736" s="6">
        <v>7.68</v>
      </c>
    </row>
    <row r="3737" spans="1:12" x14ac:dyDescent="0.25">
      <c r="A3737" s="1">
        <v>3736</v>
      </c>
      <c r="B3737" s="4">
        <v>26693</v>
      </c>
      <c r="C3737" s="5">
        <v>40411</v>
      </c>
      <c r="D3737" s="3" t="s">
        <v>4</v>
      </c>
      <c r="E3737" s="1" t="s">
        <v>665</v>
      </c>
      <c r="F3737" s="1" t="s">
        <v>26</v>
      </c>
      <c r="G3737" s="2" t="s">
        <v>3</v>
      </c>
      <c r="H3737" s="3" t="s">
        <v>88</v>
      </c>
      <c r="I3737" s="3" t="s">
        <v>92</v>
      </c>
      <c r="J3737" s="3" t="s">
        <v>61</v>
      </c>
      <c r="K3737" s="4">
        <v>2094.9779999999996</v>
      </c>
      <c r="L3737" s="6">
        <v>55.99</v>
      </c>
    </row>
    <row r="3738" spans="1:12" x14ac:dyDescent="0.25">
      <c r="A3738" s="1">
        <v>3737</v>
      </c>
      <c r="B3738" s="4">
        <v>26695</v>
      </c>
      <c r="C3738" s="5">
        <v>40335</v>
      </c>
      <c r="D3738" s="3" t="s">
        <v>86</v>
      </c>
      <c r="E3738" s="1" t="s">
        <v>641</v>
      </c>
      <c r="F3738" s="1" t="s">
        <v>44</v>
      </c>
      <c r="G3738" s="2" t="s">
        <v>3</v>
      </c>
      <c r="H3738" s="3" t="s">
        <v>88</v>
      </c>
      <c r="I3738" s="3" t="s">
        <v>85</v>
      </c>
      <c r="J3738" s="3" t="s">
        <v>66</v>
      </c>
      <c r="K3738" s="4">
        <v>367.11</v>
      </c>
      <c r="L3738" s="6">
        <v>8.34</v>
      </c>
    </row>
    <row r="3739" spans="1:12" x14ac:dyDescent="0.25">
      <c r="A3739" s="1">
        <v>3738</v>
      </c>
      <c r="B3739" s="4">
        <v>26723</v>
      </c>
      <c r="C3739" s="5">
        <v>40605</v>
      </c>
      <c r="D3739" s="3" t="s">
        <v>82</v>
      </c>
      <c r="E3739" s="1" t="s">
        <v>832</v>
      </c>
      <c r="F3739" s="1" t="s">
        <v>9</v>
      </c>
      <c r="G3739" s="2" t="s">
        <v>2</v>
      </c>
      <c r="H3739" s="3" t="s">
        <v>100</v>
      </c>
      <c r="I3739" s="3" t="s">
        <v>92</v>
      </c>
      <c r="J3739" s="3" t="s">
        <v>61</v>
      </c>
      <c r="K3739" s="4">
        <v>441.80449999999996</v>
      </c>
      <c r="L3739" s="6">
        <v>65.989999999999995</v>
      </c>
    </row>
    <row r="3740" spans="1:12" x14ac:dyDescent="0.25">
      <c r="A3740" s="1">
        <v>3739</v>
      </c>
      <c r="B3740" s="4">
        <v>26724</v>
      </c>
      <c r="C3740" s="5">
        <v>39850</v>
      </c>
      <c r="D3740" s="3" t="s">
        <v>95</v>
      </c>
      <c r="E3740" s="1" t="s">
        <v>1166</v>
      </c>
      <c r="F3740" s="1" t="s">
        <v>20</v>
      </c>
      <c r="G3740" s="2" t="s">
        <v>1</v>
      </c>
      <c r="H3740" s="3" t="s">
        <v>84</v>
      </c>
      <c r="I3740" s="3" t="s">
        <v>92</v>
      </c>
      <c r="J3740" s="3" t="s">
        <v>67</v>
      </c>
      <c r="K3740" s="4">
        <v>1838.18</v>
      </c>
      <c r="L3740" s="6">
        <v>999.99</v>
      </c>
    </row>
    <row r="3741" spans="1:12" x14ac:dyDescent="0.25">
      <c r="A3741" s="1">
        <v>3740</v>
      </c>
      <c r="B3741" s="4">
        <v>26726</v>
      </c>
      <c r="C3741" s="5">
        <v>41270</v>
      </c>
      <c r="D3741" s="3" t="s">
        <v>89</v>
      </c>
      <c r="E3741" s="1" t="s">
        <v>1026</v>
      </c>
      <c r="F3741" s="1" t="s">
        <v>25</v>
      </c>
      <c r="G3741" s="2" t="s">
        <v>6</v>
      </c>
      <c r="H3741" s="3" t="s">
        <v>84</v>
      </c>
      <c r="I3741" s="3" t="s">
        <v>85</v>
      </c>
      <c r="J3741" s="3" t="s">
        <v>70</v>
      </c>
      <c r="K3741" s="4">
        <v>173.11</v>
      </c>
      <c r="L3741" s="6">
        <v>4.37</v>
      </c>
    </row>
    <row r="3742" spans="1:12" x14ac:dyDescent="0.25">
      <c r="A3742" s="1">
        <v>3741</v>
      </c>
      <c r="B3742" s="4">
        <v>26726</v>
      </c>
      <c r="C3742" s="5">
        <v>41270</v>
      </c>
      <c r="D3742" s="3" t="s">
        <v>89</v>
      </c>
      <c r="E3742" s="1" t="s">
        <v>1026</v>
      </c>
      <c r="F3742" s="1" t="s">
        <v>25</v>
      </c>
      <c r="G3742" s="2" t="s">
        <v>6</v>
      </c>
      <c r="H3742" s="3" t="s">
        <v>84</v>
      </c>
      <c r="I3742" s="3" t="s">
        <v>85</v>
      </c>
      <c r="J3742" s="3" t="s">
        <v>70</v>
      </c>
      <c r="K3742" s="4">
        <v>86.68</v>
      </c>
      <c r="L3742" s="6">
        <v>3.48</v>
      </c>
    </row>
    <row r="3743" spans="1:12" x14ac:dyDescent="0.25">
      <c r="A3743" s="1">
        <v>3742</v>
      </c>
      <c r="B3743" s="4">
        <v>26726</v>
      </c>
      <c r="C3743" s="5">
        <v>41270</v>
      </c>
      <c r="D3743" s="3" t="s">
        <v>89</v>
      </c>
      <c r="E3743" s="1" t="s">
        <v>1026</v>
      </c>
      <c r="F3743" s="1" t="s">
        <v>25</v>
      </c>
      <c r="G3743" s="2" t="s">
        <v>6</v>
      </c>
      <c r="H3743" s="3" t="s">
        <v>84</v>
      </c>
      <c r="I3743" s="3" t="s">
        <v>85</v>
      </c>
      <c r="J3743" s="3" t="s">
        <v>69</v>
      </c>
      <c r="K3743" s="4">
        <v>833.51</v>
      </c>
      <c r="L3743" s="6">
        <v>20.98</v>
      </c>
    </row>
    <row r="3744" spans="1:12" x14ac:dyDescent="0.25">
      <c r="A3744" s="1">
        <v>3743</v>
      </c>
      <c r="B3744" s="4">
        <v>26756</v>
      </c>
      <c r="C3744" s="5">
        <v>41039</v>
      </c>
      <c r="D3744" s="3" t="s">
        <v>4</v>
      </c>
      <c r="E3744" s="1" t="s">
        <v>132</v>
      </c>
      <c r="F3744" s="1" t="s">
        <v>30</v>
      </c>
      <c r="G3744" s="2" t="s">
        <v>6</v>
      </c>
      <c r="H3744" s="3" t="s">
        <v>97</v>
      </c>
      <c r="I3744" s="3" t="s">
        <v>92</v>
      </c>
      <c r="J3744" s="3" t="s">
        <v>62</v>
      </c>
      <c r="K3744" s="4">
        <v>767.26</v>
      </c>
      <c r="L3744" s="6">
        <v>30.97</v>
      </c>
    </row>
    <row r="3745" spans="1:12" x14ac:dyDescent="0.25">
      <c r="A3745" s="1">
        <v>3744</v>
      </c>
      <c r="B3745" s="4">
        <v>26756</v>
      </c>
      <c r="C3745" s="5">
        <v>41039</v>
      </c>
      <c r="D3745" s="3" t="s">
        <v>4</v>
      </c>
      <c r="E3745" s="1" t="s">
        <v>132</v>
      </c>
      <c r="F3745" s="1" t="s">
        <v>30</v>
      </c>
      <c r="G3745" s="2" t="s">
        <v>6</v>
      </c>
      <c r="H3745" s="3" t="s">
        <v>97</v>
      </c>
      <c r="I3745" s="3" t="s">
        <v>85</v>
      </c>
      <c r="J3745" s="3" t="s">
        <v>66</v>
      </c>
      <c r="K3745" s="4">
        <v>253.89</v>
      </c>
      <c r="L3745" s="6">
        <v>6.48</v>
      </c>
    </row>
    <row r="3746" spans="1:12" x14ac:dyDescent="0.25">
      <c r="A3746" s="1">
        <v>3745</v>
      </c>
      <c r="B3746" s="4">
        <v>26756</v>
      </c>
      <c r="C3746" s="5">
        <v>41039</v>
      </c>
      <c r="D3746" s="3" t="s">
        <v>4</v>
      </c>
      <c r="E3746" s="1" t="s">
        <v>132</v>
      </c>
      <c r="F3746" s="1" t="s">
        <v>30</v>
      </c>
      <c r="G3746" s="2" t="s">
        <v>6</v>
      </c>
      <c r="H3746" s="3" t="s">
        <v>97</v>
      </c>
      <c r="I3746" s="3" t="s">
        <v>85</v>
      </c>
      <c r="J3746" s="3" t="s">
        <v>66</v>
      </c>
      <c r="K3746" s="4">
        <v>127.9</v>
      </c>
      <c r="L3746" s="6">
        <v>6.48</v>
      </c>
    </row>
    <row r="3747" spans="1:12" x14ac:dyDescent="0.25">
      <c r="A3747" s="1">
        <v>3746</v>
      </c>
      <c r="B3747" s="4">
        <v>26758</v>
      </c>
      <c r="C3747" s="5">
        <v>39956</v>
      </c>
      <c r="D3747" s="3" t="s">
        <v>86</v>
      </c>
      <c r="E3747" s="1" t="s">
        <v>1040</v>
      </c>
      <c r="F3747" s="1" t="s">
        <v>52</v>
      </c>
      <c r="G3747" s="2" t="s">
        <v>3</v>
      </c>
      <c r="H3747" s="3" t="s">
        <v>97</v>
      </c>
      <c r="I3747" s="3" t="s">
        <v>92</v>
      </c>
      <c r="J3747" s="3" t="s">
        <v>62</v>
      </c>
      <c r="K3747" s="4">
        <v>3519.12</v>
      </c>
      <c r="L3747" s="6">
        <v>77.510000000000005</v>
      </c>
    </row>
    <row r="3748" spans="1:12" x14ac:dyDescent="0.25">
      <c r="A3748" s="1">
        <v>3747</v>
      </c>
      <c r="B3748" s="4">
        <v>26758</v>
      </c>
      <c r="C3748" s="5">
        <v>39956</v>
      </c>
      <c r="D3748" s="3" t="s">
        <v>86</v>
      </c>
      <c r="E3748" s="1" t="s">
        <v>1040</v>
      </c>
      <c r="F3748" s="1" t="s">
        <v>52</v>
      </c>
      <c r="G3748" s="2" t="s">
        <v>3</v>
      </c>
      <c r="H3748" s="3" t="s">
        <v>97</v>
      </c>
      <c r="I3748" s="3" t="s">
        <v>85</v>
      </c>
      <c r="J3748" s="3" t="s">
        <v>63</v>
      </c>
      <c r="K3748" s="4">
        <v>108.33</v>
      </c>
      <c r="L3748" s="6">
        <v>2.88</v>
      </c>
    </row>
    <row r="3749" spans="1:12" x14ac:dyDescent="0.25">
      <c r="A3749" s="1">
        <v>3748</v>
      </c>
      <c r="B3749" s="4">
        <v>26759</v>
      </c>
      <c r="C3749" s="5">
        <v>40933</v>
      </c>
      <c r="D3749" s="3" t="s">
        <v>86</v>
      </c>
      <c r="E3749" s="1" t="s">
        <v>478</v>
      </c>
      <c r="F3749" s="1" t="s">
        <v>46</v>
      </c>
      <c r="G3749" s="2" t="s">
        <v>6</v>
      </c>
      <c r="H3749" s="3" t="s">
        <v>100</v>
      </c>
      <c r="I3749" s="3" t="s">
        <v>85</v>
      </c>
      <c r="J3749" s="3" t="s">
        <v>69</v>
      </c>
      <c r="K3749" s="4">
        <v>251.11</v>
      </c>
      <c r="L3749" s="6">
        <v>7.84</v>
      </c>
    </row>
    <row r="3750" spans="1:12" x14ac:dyDescent="0.25">
      <c r="A3750" s="1">
        <v>3749</v>
      </c>
      <c r="B3750" s="4">
        <v>26784</v>
      </c>
      <c r="C3750" s="5">
        <v>40382</v>
      </c>
      <c r="D3750" s="3" t="s">
        <v>95</v>
      </c>
      <c r="E3750" s="1" t="s">
        <v>1167</v>
      </c>
      <c r="F3750" s="1" t="s">
        <v>20</v>
      </c>
      <c r="G3750" s="2" t="s">
        <v>1</v>
      </c>
      <c r="H3750" s="3" t="s">
        <v>100</v>
      </c>
      <c r="I3750" s="3" t="s">
        <v>91</v>
      </c>
      <c r="J3750" s="3" t="s">
        <v>72</v>
      </c>
      <c r="K3750" s="4">
        <v>1466.95</v>
      </c>
      <c r="L3750" s="6">
        <v>120.98</v>
      </c>
    </row>
    <row r="3751" spans="1:12" x14ac:dyDescent="0.25">
      <c r="A3751" s="1">
        <v>3750</v>
      </c>
      <c r="B3751" s="4">
        <v>26784</v>
      </c>
      <c r="C3751" s="5">
        <v>40382</v>
      </c>
      <c r="D3751" s="3" t="s">
        <v>95</v>
      </c>
      <c r="E3751" s="1" t="s">
        <v>311</v>
      </c>
      <c r="F3751" s="1" t="s">
        <v>20</v>
      </c>
      <c r="G3751" s="2" t="s">
        <v>1</v>
      </c>
      <c r="H3751" s="3" t="s">
        <v>100</v>
      </c>
      <c r="I3751" s="3" t="s">
        <v>92</v>
      </c>
      <c r="J3751" s="3" t="s">
        <v>67</v>
      </c>
      <c r="K3751" s="4">
        <v>440.23</v>
      </c>
      <c r="L3751" s="6">
        <v>13.99</v>
      </c>
    </row>
    <row r="3752" spans="1:12" x14ac:dyDescent="0.25">
      <c r="A3752" s="1">
        <v>3751</v>
      </c>
      <c r="B3752" s="4">
        <v>26786</v>
      </c>
      <c r="C3752" s="5">
        <v>40275</v>
      </c>
      <c r="D3752" s="3" t="s">
        <v>4</v>
      </c>
      <c r="E3752" s="1" t="s">
        <v>487</v>
      </c>
      <c r="F3752" s="1" t="s">
        <v>24</v>
      </c>
      <c r="G3752" s="2" t="s">
        <v>2</v>
      </c>
      <c r="H3752" s="3" t="s">
        <v>88</v>
      </c>
      <c r="I3752" s="3" t="s">
        <v>85</v>
      </c>
      <c r="J3752" s="3" t="s">
        <v>70</v>
      </c>
      <c r="K3752" s="4">
        <v>296.94</v>
      </c>
      <c r="L3752" s="6">
        <v>10.98</v>
      </c>
    </row>
    <row r="3753" spans="1:12" x14ac:dyDescent="0.25">
      <c r="A3753" s="1">
        <v>3752</v>
      </c>
      <c r="B3753" s="4">
        <v>26787</v>
      </c>
      <c r="C3753" s="5">
        <v>40805</v>
      </c>
      <c r="D3753" s="3" t="s">
        <v>89</v>
      </c>
      <c r="E3753" s="1" t="s">
        <v>1074</v>
      </c>
      <c r="F3753" s="1" t="s">
        <v>23</v>
      </c>
      <c r="G3753" s="2" t="s">
        <v>3</v>
      </c>
      <c r="H3753" s="3" t="s">
        <v>84</v>
      </c>
      <c r="I3753" s="3" t="s">
        <v>85</v>
      </c>
      <c r="J3753" s="3" t="s">
        <v>66</v>
      </c>
      <c r="K3753" s="4">
        <v>1119.9100000000001</v>
      </c>
      <c r="L3753" s="6">
        <v>48.04</v>
      </c>
    </row>
    <row r="3754" spans="1:12" x14ac:dyDescent="0.25">
      <c r="A3754" s="1">
        <v>3753</v>
      </c>
      <c r="B3754" s="4">
        <v>26791</v>
      </c>
      <c r="C3754" s="5">
        <v>40662</v>
      </c>
      <c r="D3754" s="3" t="s">
        <v>82</v>
      </c>
      <c r="E3754" s="1" t="s">
        <v>768</v>
      </c>
      <c r="F3754" s="1" t="s">
        <v>38</v>
      </c>
      <c r="G3754" s="2" t="s">
        <v>6</v>
      </c>
      <c r="H3754" s="3" t="s">
        <v>97</v>
      </c>
      <c r="I3754" s="3" t="s">
        <v>85</v>
      </c>
      <c r="J3754" s="3" t="s">
        <v>57</v>
      </c>
      <c r="K3754" s="4">
        <v>500.48</v>
      </c>
      <c r="L3754" s="6">
        <v>11.29</v>
      </c>
    </row>
    <row r="3755" spans="1:12" x14ac:dyDescent="0.25">
      <c r="A3755" s="1">
        <v>3754</v>
      </c>
      <c r="B3755" s="4">
        <v>26818</v>
      </c>
      <c r="C3755" s="5">
        <v>40916</v>
      </c>
      <c r="D3755" s="3" t="s">
        <v>86</v>
      </c>
      <c r="E3755" s="1" t="s">
        <v>1168</v>
      </c>
      <c r="F3755" s="1" t="s">
        <v>15</v>
      </c>
      <c r="G3755" s="2" t="s">
        <v>1</v>
      </c>
      <c r="H3755" s="3" t="s">
        <v>84</v>
      </c>
      <c r="I3755" s="3" t="s">
        <v>85</v>
      </c>
      <c r="J3755" s="3" t="s">
        <v>69</v>
      </c>
      <c r="K3755" s="4">
        <v>202.84</v>
      </c>
      <c r="L3755" s="6">
        <v>8.85</v>
      </c>
    </row>
    <row r="3756" spans="1:12" x14ac:dyDescent="0.25">
      <c r="A3756" s="1">
        <v>3755</v>
      </c>
      <c r="B3756" s="4">
        <v>26818</v>
      </c>
      <c r="C3756" s="5">
        <v>40916</v>
      </c>
      <c r="D3756" s="3" t="s">
        <v>86</v>
      </c>
      <c r="E3756" s="1" t="s">
        <v>842</v>
      </c>
      <c r="F3756" s="1" t="s">
        <v>15</v>
      </c>
      <c r="G3756" s="2" t="s">
        <v>1</v>
      </c>
      <c r="H3756" s="3" t="s">
        <v>84</v>
      </c>
      <c r="I3756" s="3" t="s">
        <v>85</v>
      </c>
      <c r="J3756" s="3" t="s">
        <v>70</v>
      </c>
      <c r="K3756" s="4">
        <v>78.39</v>
      </c>
      <c r="L3756" s="6">
        <v>11.97</v>
      </c>
    </row>
    <row r="3757" spans="1:12" x14ac:dyDescent="0.25">
      <c r="A3757" s="1">
        <v>3756</v>
      </c>
      <c r="B3757" s="4">
        <v>26818</v>
      </c>
      <c r="C3757" s="5">
        <v>40916</v>
      </c>
      <c r="D3757" s="3" t="s">
        <v>86</v>
      </c>
      <c r="E3757" s="1" t="s">
        <v>842</v>
      </c>
      <c r="F3757" s="1" t="s">
        <v>15</v>
      </c>
      <c r="G3757" s="2" t="s">
        <v>1</v>
      </c>
      <c r="H3757" s="3" t="s">
        <v>84</v>
      </c>
      <c r="I3757" s="3" t="s">
        <v>85</v>
      </c>
      <c r="J3757" s="3" t="s">
        <v>69</v>
      </c>
      <c r="K3757" s="4">
        <v>251.34</v>
      </c>
      <c r="L3757" s="6">
        <v>7.3</v>
      </c>
    </row>
    <row r="3758" spans="1:12" x14ac:dyDescent="0.25">
      <c r="A3758" s="1">
        <v>3757</v>
      </c>
      <c r="B3758" s="4">
        <v>26851</v>
      </c>
      <c r="C3758" s="5">
        <v>40748</v>
      </c>
      <c r="D3758" s="3" t="s">
        <v>89</v>
      </c>
      <c r="E3758" s="1" t="s">
        <v>932</v>
      </c>
      <c r="F3758" s="1" t="s">
        <v>30</v>
      </c>
      <c r="G3758" s="2" t="s">
        <v>6</v>
      </c>
      <c r="H3758" s="3" t="s">
        <v>88</v>
      </c>
      <c r="I3758" s="3" t="s">
        <v>92</v>
      </c>
      <c r="J3758" s="3" t="s">
        <v>62</v>
      </c>
      <c r="K3758" s="4">
        <v>73.64</v>
      </c>
      <c r="L3758" s="6">
        <v>1.7</v>
      </c>
    </row>
    <row r="3759" spans="1:12" x14ac:dyDescent="0.25">
      <c r="A3759" s="1">
        <v>3758</v>
      </c>
      <c r="B3759" s="4">
        <v>26852</v>
      </c>
      <c r="C3759" s="5">
        <v>40243</v>
      </c>
      <c r="D3759" s="3" t="s">
        <v>95</v>
      </c>
      <c r="E3759" s="1" t="s">
        <v>742</v>
      </c>
      <c r="F3759" s="1" t="s">
        <v>34</v>
      </c>
      <c r="G3759" s="2" t="s">
        <v>1</v>
      </c>
      <c r="H3759" s="3" t="s">
        <v>100</v>
      </c>
      <c r="I3759" s="3" t="s">
        <v>85</v>
      </c>
      <c r="J3759" s="3" t="s">
        <v>66</v>
      </c>
      <c r="K3759" s="4">
        <v>15.81</v>
      </c>
      <c r="L3759" s="6">
        <v>4.9800000000000004</v>
      </c>
    </row>
    <row r="3760" spans="1:12" x14ac:dyDescent="0.25">
      <c r="A3760" s="1">
        <v>3759</v>
      </c>
      <c r="B3760" s="4">
        <v>26853</v>
      </c>
      <c r="C3760" s="5">
        <v>41072</v>
      </c>
      <c r="D3760" s="3" t="s">
        <v>82</v>
      </c>
      <c r="E3760" s="1" t="s">
        <v>680</v>
      </c>
      <c r="F3760" s="1" t="s">
        <v>46</v>
      </c>
      <c r="G3760" s="2" t="s">
        <v>6</v>
      </c>
      <c r="H3760" s="3" t="s">
        <v>84</v>
      </c>
      <c r="I3760" s="3" t="s">
        <v>85</v>
      </c>
      <c r="J3760" s="3" t="s">
        <v>71</v>
      </c>
      <c r="K3760" s="4">
        <v>64.44</v>
      </c>
      <c r="L3760" s="6">
        <v>2.66</v>
      </c>
    </row>
    <row r="3761" spans="1:12" x14ac:dyDescent="0.25">
      <c r="A3761" s="1">
        <v>3760</v>
      </c>
      <c r="B3761" s="4">
        <v>26854</v>
      </c>
      <c r="C3761" s="5">
        <v>39985</v>
      </c>
      <c r="D3761" s="3" t="s">
        <v>86</v>
      </c>
      <c r="E3761" s="1" t="s">
        <v>1169</v>
      </c>
      <c r="F3761" s="1" t="s">
        <v>8</v>
      </c>
      <c r="G3761" s="2" t="s">
        <v>6</v>
      </c>
      <c r="H3761" s="3" t="s">
        <v>97</v>
      </c>
      <c r="I3761" s="3" t="s">
        <v>91</v>
      </c>
      <c r="J3761" s="3" t="s">
        <v>59</v>
      </c>
      <c r="K3761" s="4">
        <v>34.11</v>
      </c>
      <c r="L3761" s="6">
        <v>25.38</v>
      </c>
    </row>
    <row r="3762" spans="1:12" x14ac:dyDescent="0.25">
      <c r="A3762" s="1">
        <v>3761</v>
      </c>
      <c r="B3762" s="4">
        <v>26855</v>
      </c>
      <c r="C3762" s="5">
        <v>39887</v>
      </c>
      <c r="D3762" s="3" t="s">
        <v>89</v>
      </c>
      <c r="E3762" s="1" t="s">
        <v>919</v>
      </c>
      <c r="F3762" s="1" t="s">
        <v>13</v>
      </c>
      <c r="G3762" s="2" t="s">
        <v>6</v>
      </c>
      <c r="H3762" s="3" t="s">
        <v>84</v>
      </c>
      <c r="I3762" s="3" t="s">
        <v>91</v>
      </c>
      <c r="J3762" s="3" t="s">
        <v>59</v>
      </c>
      <c r="K3762" s="4">
        <v>396.04</v>
      </c>
      <c r="L3762" s="6">
        <v>30.93</v>
      </c>
    </row>
    <row r="3763" spans="1:12" x14ac:dyDescent="0.25">
      <c r="A3763" s="1">
        <v>3762</v>
      </c>
      <c r="B3763" s="4">
        <v>26881</v>
      </c>
      <c r="C3763" s="5">
        <v>40026</v>
      </c>
      <c r="D3763" s="3" t="s">
        <v>82</v>
      </c>
      <c r="E3763" s="1" t="s">
        <v>569</v>
      </c>
      <c r="F3763" s="1" t="s">
        <v>55</v>
      </c>
      <c r="G3763" s="2" t="s">
        <v>2</v>
      </c>
      <c r="H3763" s="3" t="s">
        <v>84</v>
      </c>
      <c r="I3763" s="3" t="s">
        <v>91</v>
      </c>
      <c r="J3763" s="3" t="s">
        <v>60</v>
      </c>
      <c r="K3763" s="4">
        <v>10692.97</v>
      </c>
      <c r="L3763" s="6">
        <v>424.21</v>
      </c>
    </row>
    <row r="3764" spans="1:12" x14ac:dyDescent="0.25">
      <c r="A3764" s="1">
        <v>3763</v>
      </c>
      <c r="B3764" s="4">
        <v>26887</v>
      </c>
      <c r="C3764" s="5">
        <v>40678</v>
      </c>
      <c r="D3764" s="3" t="s">
        <v>95</v>
      </c>
      <c r="E3764" s="1" t="s">
        <v>977</v>
      </c>
      <c r="F3764" s="1" t="s">
        <v>55</v>
      </c>
      <c r="G3764" s="2" t="s">
        <v>2</v>
      </c>
      <c r="H3764" s="3" t="s">
        <v>84</v>
      </c>
      <c r="I3764" s="3" t="s">
        <v>85</v>
      </c>
      <c r="J3764" s="3" t="s">
        <v>70</v>
      </c>
      <c r="K3764" s="4">
        <v>1637.78</v>
      </c>
      <c r="L3764" s="6">
        <v>42.98</v>
      </c>
    </row>
    <row r="3765" spans="1:12" x14ac:dyDescent="0.25">
      <c r="A3765" s="1">
        <v>3764</v>
      </c>
      <c r="B3765" s="4">
        <v>26887</v>
      </c>
      <c r="C3765" s="5">
        <v>40678</v>
      </c>
      <c r="D3765" s="3" t="s">
        <v>95</v>
      </c>
      <c r="E3765" s="1" t="s">
        <v>977</v>
      </c>
      <c r="F3765" s="1" t="s">
        <v>55</v>
      </c>
      <c r="G3765" s="2" t="s">
        <v>2</v>
      </c>
      <c r="H3765" s="3" t="s">
        <v>84</v>
      </c>
      <c r="I3765" s="3" t="s">
        <v>85</v>
      </c>
      <c r="J3765" s="3" t="s">
        <v>69</v>
      </c>
      <c r="K3765" s="4">
        <v>193.84</v>
      </c>
      <c r="L3765" s="6">
        <v>8.0399999999999991</v>
      </c>
    </row>
    <row r="3766" spans="1:12" x14ac:dyDescent="0.25">
      <c r="A3766" s="1">
        <v>3765</v>
      </c>
      <c r="B3766" s="4">
        <v>26912</v>
      </c>
      <c r="C3766" s="5">
        <v>41026</v>
      </c>
      <c r="D3766" s="3" t="s">
        <v>82</v>
      </c>
      <c r="E3766" s="1" t="s">
        <v>1170</v>
      </c>
      <c r="F3766" s="1" t="s">
        <v>20</v>
      </c>
      <c r="G3766" s="2" t="s">
        <v>1</v>
      </c>
      <c r="H3766" s="3" t="s">
        <v>97</v>
      </c>
      <c r="I3766" s="3" t="s">
        <v>92</v>
      </c>
      <c r="J3766" s="3" t="s">
        <v>61</v>
      </c>
      <c r="K3766" s="4">
        <v>3136.2024999999999</v>
      </c>
      <c r="L3766" s="6">
        <v>205.99</v>
      </c>
    </row>
    <row r="3767" spans="1:12" x14ac:dyDescent="0.25">
      <c r="A3767" s="1">
        <v>3766</v>
      </c>
      <c r="B3767" s="4">
        <v>26912</v>
      </c>
      <c r="C3767" s="5">
        <v>41026</v>
      </c>
      <c r="D3767" s="3" t="s">
        <v>82</v>
      </c>
      <c r="E3767" s="1" t="s">
        <v>1171</v>
      </c>
      <c r="F3767" s="1" t="s">
        <v>39</v>
      </c>
      <c r="G3767" s="2" t="s">
        <v>1</v>
      </c>
      <c r="H3767" s="3" t="s">
        <v>97</v>
      </c>
      <c r="I3767" s="3" t="s">
        <v>92</v>
      </c>
      <c r="J3767" s="3" t="s">
        <v>62</v>
      </c>
      <c r="K3767" s="4">
        <v>1090.1099999999999</v>
      </c>
      <c r="L3767" s="6">
        <v>53.98</v>
      </c>
    </row>
    <row r="3768" spans="1:12" x14ac:dyDescent="0.25">
      <c r="A3768" s="1">
        <v>3767</v>
      </c>
      <c r="B3768" s="4">
        <v>26913</v>
      </c>
      <c r="C3768" s="5">
        <v>40085</v>
      </c>
      <c r="D3768" s="3" t="s">
        <v>89</v>
      </c>
      <c r="E3768" s="1" t="s">
        <v>1080</v>
      </c>
      <c r="F3768" s="1" t="s">
        <v>19</v>
      </c>
      <c r="G3768" s="2" t="s">
        <v>3</v>
      </c>
      <c r="H3768" s="3" t="s">
        <v>100</v>
      </c>
      <c r="I3768" s="3" t="s">
        <v>92</v>
      </c>
      <c r="J3768" s="3" t="s">
        <v>61</v>
      </c>
      <c r="K3768" s="4">
        <v>642.91449999999998</v>
      </c>
      <c r="L3768" s="6">
        <v>65.989999999999995</v>
      </c>
    </row>
    <row r="3769" spans="1:12" x14ac:dyDescent="0.25">
      <c r="A3769" s="1">
        <v>3768</v>
      </c>
      <c r="B3769" s="4">
        <v>26918</v>
      </c>
      <c r="C3769" s="5">
        <v>39909</v>
      </c>
      <c r="D3769" s="3" t="s">
        <v>82</v>
      </c>
      <c r="E3769" s="1" t="s">
        <v>680</v>
      </c>
      <c r="F3769" s="1" t="s">
        <v>46</v>
      </c>
      <c r="G3769" s="2" t="s">
        <v>6</v>
      </c>
      <c r="H3769" s="3" t="s">
        <v>97</v>
      </c>
      <c r="I3769" s="3" t="s">
        <v>85</v>
      </c>
      <c r="J3769" s="3" t="s">
        <v>63</v>
      </c>
      <c r="K3769" s="4">
        <v>77.959999999999994</v>
      </c>
      <c r="L3769" s="6">
        <v>4.84</v>
      </c>
    </row>
    <row r="3770" spans="1:12" x14ac:dyDescent="0.25">
      <c r="A3770" s="1">
        <v>3769</v>
      </c>
      <c r="B3770" s="4">
        <v>26919</v>
      </c>
      <c r="C3770" s="5">
        <v>41253</v>
      </c>
      <c r="D3770" s="3" t="s">
        <v>82</v>
      </c>
      <c r="E3770" s="1" t="s">
        <v>1172</v>
      </c>
      <c r="F3770" s="1" t="s">
        <v>23</v>
      </c>
      <c r="G3770" s="2" t="s">
        <v>3</v>
      </c>
      <c r="H3770" s="3" t="s">
        <v>97</v>
      </c>
      <c r="I3770" s="3" t="s">
        <v>85</v>
      </c>
      <c r="J3770" s="3" t="s">
        <v>70</v>
      </c>
      <c r="K3770" s="4">
        <v>3534.56</v>
      </c>
      <c r="L3770" s="6">
        <v>300.64999999999998</v>
      </c>
    </row>
    <row r="3771" spans="1:12" x14ac:dyDescent="0.25">
      <c r="A3771" s="1">
        <v>3770</v>
      </c>
      <c r="B3771" s="4">
        <v>26919</v>
      </c>
      <c r="C3771" s="5">
        <v>41253</v>
      </c>
      <c r="D3771" s="3" t="s">
        <v>82</v>
      </c>
      <c r="E3771" s="1" t="s">
        <v>1172</v>
      </c>
      <c r="F3771" s="1" t="s">
        <v>23</v>
      </c>
      <c r="G3771" s="2" t="s">
        <v>3</v>
      </c>
      <c r="H3771" s="3" t="s">
        <v>97</v>
      </c>
      <c r="I3771" s="3" t="s">
        <v>85</v>
      </c>
      <c r="J3771" s="3" t="s">
        <v>66</v>
      </c>
      <c r="K3771" s="4">
        <v>155.27000000000001</v>
      </c>
      <c r="L3771" s="6">
        <v>4.9800000000000004</v>
      </c>
    </row>
    <row r="3772" spans="1:12" x14ac:dyDescent="0.25">
      <c r="A3772" s="1">
        <v>3771</v>
      </c>
      <c r="B3772" s="4">
        <v>26944</v>
      </c>
      <c r="C3772" s="5">
        <v>40124</v>
      </c>
      <c r="D3772" s="3" t="s">
        <v>95</v>
      </c>
      <c r="E3772" s="1" t="s">
        <v>929</v>
      </c>
      <c r="F3772" s="1" t="s">
        <v>36</v>
      </c>
      <c r="G3772" s="2" t="s">
        <v>2</v>
      </c>
      <c r="H3772" s="3" t="s">
        <v>97</v>
      </c>
      <c r="I3772" s="3" t="s">
        <v>92</v>
      </c>
      <c r="J3772" s="3" t="s">
        <v>62</v>
      </c>
      <c r="K3772" s="4">
        <v>453.87</v>
      </c>
      <c r="L3772" s="6">
        <v>73.98</v>
      </c>
    </row>
    <row r="3773" spans="1:12" x14ac:dyDescent="0.25">
      <c r="A3773" s="1">
        <v>3772</v>
      </c>
      <c r="B3773" s="4">
        <v>26945</v>
      </c>
      <c r="C3773" s="5">
        <v>39849</v>
      </c>
      <c r="D3773" s="3" t="s">
        <v>95</v>
      </c>
      <c r="E3773" s="1" t="s">
        <v>1172</v>
      </c>
      <c r="F3773" s="1" t="s">
        <v>23</v>
      </c>
      <c r="G3773" s="2" t="s">
        <v>3</v>
      </c>
      <c r="H3773" s="3" t="s">
        <v>97</v>
      </c>
      <c r="I3773" s="3" t="s">
        <v>85</v>
      </c>
      <c r="J3773" s="3" t="s">
        <v>66</v>
      </c>
      <c r="K3773" s="4">
        <v>221.33</v>
      </c>
      <c r="L3773" s="6">
        <v>7.28</v>
      </c>
    </row>
    <row r="3774" spans="1:12" x14ac:dyDescent="0.25">
      <c r="A3774" s="1">
        <v>3773</v>
      </c>
      <c r="B3774" s="4">
        <v>26947</v>
      </c>
      <c r="C3774" s="5">
        <v>40333</v>
      </c>
      <c r="D3774" s="3" t="s">
        <v>89</v>
      </c>
      <c r="E3774" s="1" t="s">
        <v>445</v>
      </c>
      <c r="F3774" s="1" t="s">
        <v>33</v>
      </c>
      <c r="G3774" s="2" t="s">
        <v>2</v>
      </c>
      <c r="H3774" s="3" t="s">
        <v>88</v>
      </c>
      <c r="I3774" s="3" t="s">
        <v>91</v>
      </c>
      <c r="J3774" s="3" t="s">
        <v>60</v>
      </c>
      <c r="K3774" s="4">
        <v>467.15</v>
      </c>
      <c r="L3774" s="6">
        <v>100.8</v>
      </c>
    </row>
    <row r="3775" spans="1:12" x14ac:dyDescent="0.25">
      <c r="A3775" s="1">
        <v>3774</v>
      </c>
      <c r="B3775" s="4">
        <v>26948</v>
      </c>
      <c r="C3775" s="5">
        <v>40869</v>
      </c>
      <c r="D3775" s="3" t="s">
        <v>89</v>
      </c>
      <c r="E3775" s="1" t="s">
        <v>745</v>
      </c>
      <c r="F3775" s="1" t="s">
        <v>31</v>
      </c>
      <c r="G3775" s="2" t="s">
        <v>1</v>
      </c>
      <c r="H3775" s="3" t="s">
        <v>97</v>
      </c>
      <c r="I3775" s="3" t="s">
        <v>85</v>
      </c>
      <c r="J3775" s="3" t="s">
        <v>63</v>
      </c>
      <c r="K3775" s="4">
        <v>203.55</v>
      </c>
      <c r="L3775" s="6">
        <v>9.11</v>
      </c>
    </row>
    <row r="3776" spans="1:12" x14ac:dyDescent="0.25">
      <c r="A3776" s="1">
        <v>3775</v>
      </c>
      <c r="B3776" s="4">
        <v>26948</v>
      </c>
      <c r="C3776" s="5">
        <v>40869</v>
      </c>
      <c r="D3776" s="3" t="s">
        <v>89</v>
      </c>
      <c r="E3776" s="1" t="s">
        <v>1173</v>
      </c>
      <c r="F3776" s="1" t="s">
        <v>26</v>
      </c>
      <c r="G3776" s="2" t="s">
        <v>3</v>
      </c>
      <c r="H3776" s="3" t="s">
        <v>97</v>
      </c>
      <c r="I3776" s="3" t="s">
        <v>85</v>
      </c>
      <c r="J3776" s="3" t="s">
        <v>69</v>
      </c>
      <c r="K3776" s="4">
        <v>273.89</v>
      </c>
      <c r="L3776" s="6">
        <v>7.3</v>
      </c>
    </row>
    <row r="3777" spans="1:12" x14ac:dyDescent="0.25">
      <c r="A3777" s="1">
        <v>3776</v>
      </c>
      <c r="B3777" s="4">
        <v>26949</v>
      </c>
      <c r="C3777" s="5">
        <v>40040</v>
      </c>
      <c r="D3777" s="3" t="s">
        <v>95</v>
      </c>
      <c r="E3777" s="1" t="s">
        <v>678</v>
      </c>
      <c r="F3777" s="1" t="s">
        <v>20</v>
      </c>
      <c r="G3777" s="2" t="s">
        <v>1</v>
      </c>
      <c r="H3777" s="3" t="s">
        <v>97</v>
      </c>
      <c r="I3777" s="3" t="s">
        <v>91</v>
      </c>
      <c r="J3777" s="3" t="s">
        <v>59</v>
      </c>
      <c r="K3777" s="4">
        <v>460.69</v>
      </c>
      <c r="L3777" s="6">
        <v>9.48</v>
      </c>
    </row>
    <row r="3778" spans="1:12" x14ac:dyDescent="0.25">
      <c r="A3778" s="1">
        <v>3777</v>
      </c>
      <c r="B3778" s="4">
        <v>26951</v>
      </c>
      <c r="C3778" s="5">
        <v>40276</v>
      </c>
      <c r="D3778" s="3" t="s">
        <v>86</v>
      </c>
      <c r="E3778" s="1" t="s">
        <v>403</v>
      </c>
      <c r="F3778" s="1" t="s">
        <v>26</v>
      </c>
      <c r="G3778" s="2" t="s">
        <v>3</v>
      </c>
      <c r="H3778" s="3" t="s">
        <v>97</v>
      </c>
      <c r="I3778" s="3" t="s">
        <v>92</v>
      </c>
      <c r="J3778" s="3" t="s">
        <v>67</v>
      </c>
      <c r="K3778" s="4">
        <v>451.81</v>
      </c>
      <c r="L3778" s="6">
        <v>150.97999999999999</v>
      </c>
    </row>
    <row r="3779" spans="1:12" x14ac:dyDescent="0.25">
      <c r="A3779" s="1">
        <v>3778</v>
      </c>
      <c r="B3779" s="4">
        <v>26976</v>
      </c>
      <c r="C3779" s="5">
        <v>40683</v>
      </c>
      <c r="D3779" s="3" t="s">
        <v>86</v>
      </c>
      <c r="E3779" s="1" t="s">
        <v>446</v>
      </c>
      <c r="F3779" s="1" t="s">
        <v>24</v>
      </c>
      <c r="G3779" s="2" t="s">
        <v>2</v>
      </c>
      <c r="H3779" s="3" t="s">
        <v>97</v>
      </c>
      <c r="I3779" s="3" t="s">
        <v>85</v>
      </c>
      <c r="J3779" s="3" t="s">
        <v>71</v>
      </c>
      <c r="K3779" s="4">
        <v>729.75</v>
      </c>
      <c r="L3779" s="6">
        <v>15.67</v>
      </c>
    </row>
    <row r="3780" spans="1:12" x14ac:dyDescent="0.25">
      <c r="A3780" s="1">
        <v>3779</v>
      </c>
      <c r="B3780" s="4">
        <v>26976</v>
      </c>
      <c r="C3780" s="5">
        <v>40683</v>
      </c>
      <c r="D3780" s="3" t="s">
        <v>86</v>
      </c>
      <c r="E3780" s="1" t="s">
        <v>446</v>
      </c>
      <c r="F3780" s="1" t="s">
        <v>24</v>
      </c>
      <c r="G3780" s="2" t="s">
        <v>2</v>
      </c>
      <c r="H3780" s="3" t="s">
        <v>97</v>
      </c>
      <c r="I3780" s="3" t="s">
        <v>91</v>
      </c>
      <c r="J3780" s="3" t="s">
        <v>59</v>
      </c>
      <c r="K3780" s="4">
        <v>1417.21</v>
      </c>
      <c r="L3780" s="6">
        <v>51.65</v>
      </c>
    </row>
    <row r="3781" spans="1:12" x14ac:dyDescent="0.25">
      <c r="A3781" s="1">
        <v>3780</v>
      </c>
      <c r="B3781" s="4">
        <v>26976</v>
      </c>
      <c r="C3781" s="5">
        <v>40683</v>
      </c>
      <c r="D3781" s="3" t="s">
        <v>86</v>
      </c>
      <c r="E3781" s="1" t="s">
        <v>446</v>
      </c>
      <c r="F3781" s="1" t="s">
        <v>24</v>
      </c>
      <c r="G3781" s="2" t="s">
        <v>2</v>
      </c>
      <c r="H3781" s="3" t="s">
        <v>97</v>
      </c>
      <c r="I3781" s="3" t="s">
        <v>92</v>
      </c>
      <c r="J3781" s="3" t="s">
        <v>61</v>
      </c>
      <c r="K3781" s="4">
        <v>1154.9375</v>
      </c>
      <c r="L3781" s="6">
        <v>125.99</v>
      </c>
    </row>
    <row r="3782" spans="1:12" x14ac:dyDescent="0.25">
      <c r="A3782" s="1">
        <v>3781</v>
      </c>
      <c r="B3782" s="4">
        <v>26978</v>
      </c>
      <c r="C3782" s="5">
        <v>40354</v>
      </c>
      <c r="D3782" s="3" t="s">
        <v>4</v>
      </c>
      <c r="E3782" s="1" t="s">
        <v>1174</v>
      </c>
      <c r="F3782" s="1" t="s">
        <v>28</v>
      </c>
      <c r="G3782" s="2" t="s">
        <v>6</v>
      </c>
      <c r="H3782" s="3" t="s">
        <v>97</v>
      </c>
      <c r="I3782" s="3" t="s">
        <v>92</v>
      </c>
      <c r="J3782" s="3" t="s">
        <v>73</v>
      </c>
      <c r="K3782" s="4">
        <v>27875.54</v>
      </c>
      <c r="L3782" s="6">
        <v>599.99</v>
      </c>
    </row>
    <row r="3783" spans="1:12" x14ac:dyDescent="0.25">
      <c r="A3783" s="1">
        <v>3782</v>
      </c>
      <c r="B3783" s="4">
        <v>26978</v>
      </c>
      <c r="C3783" s="5">
        <v>40354</v>
      </c>
      <c r="D3783" s="3" t="s">
        <v>4</v>
      </c>
      <c r="E3783" s="1" t="s">
        <v>1174</v>
      </c>
      <c r="F3783" s="1" t="s">
        <v>28</v>
      </c>
      <c r="G3783" s="2" t="s">
        <v>6</v>
      </c>
      <c r="H3783" s="3" t="s">
        <v>97</v>
      </c>
      <c r="I3783" s="3" t="s">
        <v>85</v>
      </c>
      <c r="J3783" s="3" t="s">
        <v>66</v>
      </c>
      <c r="K3783" s="4">
        <v>2030.44</v>
      </c>
      <c r="L3783" s="6">
        <v>40.99</v>
      </c>
    </row>
    <row r="3784" spans="1:12" x14ac:dyDescent="0.25">
      <c r="A3784" s="1">
        <v>3783</v>
      </c>
      <c r="B3784" s="4">
        <v>26978</v>
      </c>
      <c r="C3784" s="5">
        <v>40354</v>
      </c>
      <c r="D3784" s="3" t="s">
        <v>4</v>
      </c>
      <c r="E3784" s="1" t="s">
        <v>1174</v>
      </c>
      <c r="F3784" s="1" t="s">
        <v>28</v>
      </c>
      <c r="G3784" s="2" t="s">
        <v>6</v>
      </c>
      <c r="H3784" s="3" t="s">
        <v>97</v>
      </c>
      <c r="I3784" s="3" t="s">
        <v>85</v>
      </c>
      <c r="J3784" s="3" t="s">
        <v>57</v>
      </c>
      <c r="K3784" s="4">
        <v>695.99</v>
      </c>
      <c r="L3784" s="6">
        <v>15.31</v>
      </c>
    </row>
    <row r="3785" spans="1:12" x14ac:dyDescent="0.25">
      <c r="A3785" s="1">
        <v>3784</v>
      </c>
      <c r="B3785" s="4">
        <v>26978</v>
      </c>
      <c r="C3785" s="5">
        <v>40354</v>
      </c>
      <c r="D3785" s="3" t="s">
        <v>4</v>
      </c>
      <c r="E3785" s="1" t="s">
        <v>1029</v>
      </c>
      <c r="F3785" s="1" t="s">
        <v>11</v>
      </c>
      <c r="G3785" s="2" t="s">
        <v>6</v>
      </c>
      <c r="H3785" s="3" t="s">
        <v>97</v>
      </c>
      <c r="I3785" s="3" t="s">
        <v>85</v>
      </c>
      <c r="J3785" s="3" t="s">
        <v>66</v>
      </c>
      <c r="K3785" s="4">
        <v>48.84</v>
      </c>
      <c r="L3785" s="6">
        <v>18.97</v>
      </c>
    </row>
    <row r="3786" spans="1:12" x14ac:dyDescent="0.25">
      <c r="A3786" s="1">
        <v>3785</v>
      </c>
      <c r="B3786" s="4">
        <v>26979</v>
      </c>
      <c r="C3786" s="5">
        <v>40996</v>
      </c>
      <c r="D3786" s="3" t="s">
        <v>4</v>
      </c>
      <c r="E3786" s="1" t="s">
        <v>547</v>
      </c>
      <c r="F3786" s="1" t="s">
        <v>12</v>
      </c>
      <c r="G3786" s="2" t="s">
        <v>2</v>
      </c>
      <c r="H3786" s="3" t="s">
        <v>88</v>
      </c>
      <c r="I3786" s="3" t="s">
        <v>85</v>
      </c>
      <c r="J3786" s="3" t="s">
        <v>66</v>
      </c>
      <c r="K3786" s="4">
        <v>337.01</v>
      </c>
      <c r="L3786" s="6">
        <v>7.98</v>
      </c>
    </row>
    <row r="3787" spans="1:12" x14ac:dyDescent="0.25">
      <c r="A3787" s="1">
        <v>3786</v>
      </c>
      <c r="B3787" s="4">
        <v>26979</v>
      </c>
      <c r="C3787" s="5">
        <v>40996</v>
      </c>
      <c r="D3787" s="3" t="s">
        <v>4</v>
      </c>
      <c r="E3787" s="1" t="s">
        <v>547</v>
      </c>
      <c r="F3787" s="1" t="s">
        <v>12</v>
      </c>
      <c r="G3787" s="2" t="s">
        <v>2</v>
      </c>
      <c r="H3787" s="3" t="s">
        <v>88</v>
      </c>
      <c r="I3787" s="3" t="s">
        <v>92</v>
      </c>
      <c r="J3787" s="3" t="s">
        <v>61</v>
      </c>
      <c r="K3787" s="4">
        <v>6093.2420000000002</v>
      </c>
      <c r="L3787" s="6">
        <v>155.99</v>
      </c>
    </row>
    <row r="3788" spans="1:12" x14ac:dyDescent="0.25">
      <c r="A3788" s="1">
        <v>3787</v>
      </c>
      <c r="B3788" s="4">
        <v>26981</v>
      </c>
      <c r="C3788" s="5">
        <v>41151</v>
      </c>
      <c r="D3788" s="3" t="s">
        <v>4</v>
      </c>
      <c r="E3788" s="1" t="s">
        <v>943</v>
      </c>
      <c r="F3788" s="1" t="s">
        <v>30</v>
      </c>
      <c r="G3788" s="2" t="s">
        <v>6</v>
      </c>
      <c r="H3788" s="3" t="s">
        <v>97</v>
      </c>
      <c r="I3788" s="3" t="s">
        <v>92</v>
      </c>
      <c r="J3788" s="3" t="s">
        <v>61</v>
      </c>
      <c r="K3788" s="4">
        <v>603.34699999999998</v>
      </c>
      <c r="L3788" s="6">
        <v>55.99</v>
      </c>
    </row>
    <row r="3789" spans="1:12" x14ac:dyDescent="0.25">
      <c r="A3789" s="1">
        <v>3788</v>
      </c>
      <c r="B3789" s="4">
        <v>26981</v>
      </c>
      <c r="C3789" s="5">
        <v>41151</v>
      </c>
      <c r="D3789" s="3" t="s">
        <v>4</v>
      </c>
      <c r="E3789" s="1" t="s">
        <v>234</v>
      </c>
      <c r="F3789" s="1" t="s">
        <v>30</v>
      </c>
      <c r="G3789" s="2" t="s">
        <v>6</v>
      </c>
      <c r="H3789" s="3" t="s">
        <v>97</v>
      </c>
      <c r="I3789" s="3" t="s">
        <v>85</v>
      </c>
      <c r="J3789" s="3" t="s">
        <v>57</v>
      </c>
      <c r="K3789" s="4">
        <v>770.53</v>
      </c>
      <c r="L3789" s="6">
        <v>16.91</v>
      </c>
    </row>
    <row r="3790" spans="1:12" x14ac:dyDescent="0.25">
      <c r="A3790" s="1">
        <v>3789</v>
      </c>
      <c r="B3790" s="4">
        <v>26982</v>
      </c>
      <c r="C3790" s="5">
        <v>41027</v>
      </c>
      <c r="D3790" s="3" t="s">
        <v>86</v>
      </c>
      <c r="E3790" s="1" t="s">
        <v>955</v>
      </c>
      <c r="F3790" s="1" t="s">
        <v>35</v>
      </c>
      <c r="G3790" s="2" t="s">
        <v>1</v>
      </c>
      <c r="H3790" s="3" t="s">
        <v>84</v>
      </c>
      <c r="I3790" s="3" t="s">
        <v>85</v>
      </c>
      <c r="J3790" s="3" t="s">
        <v>66</v>
      </c>
      <c r="K3790" s="4">
        <v>1984.61</v>
      </c>
      <c r="L3790" s="6">
        <v>55.48</v>
      </c>
    </row>
    <row r="3791" spans="1:12" x14ac:dyDescent="0.25">
      <c r="A3791" s="1">
        <v>3790</v>
      </c>
      <c r="B3791" s="4">
        <v>27011</v>
      </c>
      <c r="C3791" s="5">
        <v>40542</v>
      </c>
      <c r="D3791" s="3" t="s">
        <v>4</v>
      </c>
      <c r="E3791" s="1" t="s">
        <v>110</v>
      </c>
      <c r="F3791" s="1" t="s">
        <v>15</v>
      </c>
      <c r="G3791" s="2" t="s">
        <v>1</v>
      </c>
      <c r="H3791" s="3" t="s">
        <v>97</v>
      </c>
      <c r="I3791" s="3" t="s">
        <v>85</v>
      </c>
      <c r="J3791" s="3" t="s">
        <v>71</v>
      </c>
      <c r="K3791" s="4">
        <v>53.66</v>
      </c>
      <c r="L3791" s="6">
        <v>10.94</v>
      </c>
    </row>
    <row r="3792" spans="1:12" x14ac:dyDescent="0.25">
      <c r="A3792" s="1">
        <v>3791</v>
      </c>
      <c r="B3792" s="4">
        <v>27013</v>
      </c>
      <c r="C3792" s="5">
        <v>39999</v>
      </c>
      <c r="D3792" s="3" t="s">
        <v>82</v>
      </c>
      <c r="E3792" s="1" t="s">
        <v>1088</v>
      </c>
      <c r="F3792" s="1" t="s">
        <v>36</v>
      </c>
      <c r="G3792" s="2" t="s">
        <v>2</v>
      </c>
      <c r="H3792" s="3" t="s">
        <v>97</v>
      </c>
      <c r="I3792" s="3" t="s">
        <v>85</v>
      </c>
      <c r="J3792" s="3" t="s">
        <v>57</v>
      </c>
      <c r="K3792" s="4">
        <v>2232.15</v>
      </c>
      <c r="L3792" s="6">
        <v>80.98</v>
      </c>
    </row>
    <row r="3793" spans="1:12" x14ac:dyDescent="0.25">
      <c r="A3793" s="1">
        <v>3792</v>
      </c>
      <c r="B3793" s="4">
        <v>27013</v>
      </c>
      <c r="C3793" s="5">
        <v>39999</v>
      </c>
      <c r="D3793" s="3" t="s">
        <v>82</v>
      </c>
      <c r="E3793" s="1" t="s">
        <v>1088</v>
      </c>
      <c r="F3793" s="1" t="s">
        <v>36</v>
      </c>
      <c r="G3793" s="2" t="s">
        <v>2</v>
      </c>
      <c r="H3793" s="3" t="s">
        <v>97</v>
      </c>
      <c r="I3793" s="3" t="s">
        <v>85</v>
      </c>
      <c r="J3793" s="3" t="s">
        <v>57</v>
      </c>
      <c r="K3793" s="4">
        <v>7007.19</v>
      </c>
      <c r="L3793" s="6">
        <v>279.48</v>
      </c>
    </row>
    <row r="3794" spans="1:12" x14ac:dyDescent="0.25">
      <c r="A3794" s="1">
        <v>3793</v>
      </c>
      <c r="B3794" s="4">
        <v>27015</v>
      </c>
      <c r="C3794" s="5">
        <v>40908</v>
      </c>
      <c r="D3794" s="3" t="s">
        <v>82</v>
      </c>
      <c r="E3794" s="1" t="s">
        <v>901</v>
      </c>
      <c r="F3794" s="1" t="s">
        <v>41</v>
      </c>
      <c r="G3794" s="2" t="s">
        <v>6</v>
      </c>
      <c r="H3794" s="3" t="s">
        <v>97</v>
      </c>
      <c r="I3794" s="3" t="s">
        <v>85</v>
      </c>
      <c r="J3794" s="3" t="s">
        <v>70</v>
      </c>
      <c r="K3794" s="4">
        <v>1339.25</v>
      </c>
      <c r="L3794" s="6">
        <v>56.96</v>
      </c>
    </row>
    <row r="3795" spans="1:12" x14ac:dyDescent="0.25">
      <c r="A3795" s="1">
        <v>3794</v>
      </c>
      <c r="B3795" s="4">
        <v>27047</v>
      </c>
      <c r="C3795" s="5">
        <v>40504</v>
      </c>
      <c r="D3795" s="3" t="s">
        <v>89</v>
      </c>
      <c r="E3795" s="1" t="s">
        <v>775</v>
      </c>
      <c r="F3795" s="1" t="s">
        <v>13</v>
      </c>
      <c r="G3795" s="2" t="s">
        <v>6</v>
      </c>
      <c r="H3795" s="3" t="s">
        <v>100</v>
      </c>
      <c r="I3795" s="3" t="s">
        <v>92</v>
      </c>
      <c r="J3795" s="3" t="s">
        <v>73</v>
      </c>
      <c r="K3795" s="4">
        <v>14240.76</v>
      </c>
      <c r="L3795" s="6">
        <v>599.99</v>
      </c>
    </row>
    <row r="3796" spans="1:12" x14ac:dyDescent="0.25">
      <c r="A3796" s="1">
        <v>3795</v>
      </c>
      <c r="B3796" s="4">
        <v>27047</v>
      </c>
      <c r="C3796" s="5">
        <v>40504</v>
      </c>
      <c r="D3796" s="3" t="s">
        <v>89</v>
      </c>
      <c r="E3796" s="1" t="s">
        <v>775</v>
      </c>
      <c r="F3796" s="1" t="s">
        <v>13</v>
      </c>
      <c r="G3796" s="2" t="s">
        <v>6</v>
      </c>
      <c r="H3796" s="3" t="s">
        <v>100</v>
      </c>
      <c r="I3796" s="3" t="s">
        <v>85</v>
      </c>
      <c r="J3796" s="3" t="s">
        <v>66</v>
      </c>
      <c r="K3796" s="4">
        <v>167.41</v>
      </c>
      <c r="L3796" s="6">
        <v>4.28</v>
      </c>
    </row>
    <row r="3797" spans="1:12" x14ac:dyDescent="0.25">
      <c r="A3797" s="1">
        <v>3796</v>
      </c>
      <c r="B3797" s="4">
        <v>27077</v>
      </c>
      <c r="C3797" s="5">
        <v>40252</v>
      </c>
      <c r="D3797" s="3" t="s">
        <v>95</v>
      </c>
      <c r="E3797" s="1" t="s">
        <v>490</v>
      </c>
      <c r="F3797" s="1" t="s">
        <v>13</v>
      </c>
      <c r="G3797" s="2" t="s">
        <v>6</v>
      </c>
      <c r="H3797" s="3" t="s">
        <v>84</v>
      </c>
      <c r="I3797" s="3" t="s">
        <v>92</v>
      </c>
      <c r="J3797" s="3" t="s">
        <v>67</v>
      </c>
      <c r="K3797" s="4">
        <v>1612.93</v>
      </c>
      <c r="L3797" s="6">
        <v>140.99</v>
      </c>
    </row>
    <row r="3798" spans="1:12" x14ac:dyDescent="0.25">
      <c r="A3798" s="1">
        <v>3797</v>
      </c>
      <c r="B3798" s="4">
        <v>27078</v>
      </c>
      <c r="C3798" s="5">
        <v>41133</v>
      </c>
      <c r="D3798" s="3" t="s">
        <v>86</v>
      </c>
      <c r="E3798" s="1" t="s">
        <v>1092</v>
      </c>
      <c r="F3798" s="1" t="s">
        <v>44</v>
      </c>
      <c r="G3798" s="2" t="s">
        <v>3</v>
      </c>
      <c r="H3798" s="3" t="s">
        <v>88</v>
      </c>
      <c r="I3798" s="3" t="s">
        <v>85</v>
      </c>
      <c r="J3798" s="3" t="s">
        <v>66</v>
      </c>
      <c r="K3798" s="4">
        <v>152.44</v>
      </c>
      <c r="L3798" s="6">
        <v>6.48</v>
      </c>
    </row>
    <row r="3799" spans="1:12" x14ac:dyDescent="0.25">
      <c r="A3799" s="1">
        <v>3798</v>
      </c>
      <c r="B3799" s="4">
        <v>27105</v>
      </c>
      <c r="C3799" s="5">
        <v>40590</v>
      </c>
      <c r="D3799" s="3" t="s">
        <v>86</v>
      </c>
      <c r="E3799" s="1" t="s">
        <v>130</v>
      </c>
      <c r="F3799" s="1" t="s">
        <v>11</v>
      </c>
      <c r="G3799" s="2" t="s">
        <v>6</v>
      </c>
      <c r="H3799" s="3" t="s">
        <v>97</v>
      </c>
      <c r="I3799" s="3" t="s">
        <v>85</v>
      </c>
      <c r="J3799" s="3" t="s">
        <v>71</v>
      </c>
      <c r="K3799" s="4">
        <v>223.74</v>
      </c>
      <c r="L3799" s="6">
        <v>5.98</v>
      </c>
    </row>
    <row r="3800" spans="1:12" x14ac:dyDescent="0.25">
      <c r="A3800" s="1">
        <v>3799</v>
      </c>
      <c r="B3800" s="4">
        <v>27105</v>
      </c>
      <c r="C3800" s="5">
        <v>40590</v>
      </c>
      <c r="D3800" s="3" t="s">
        <v>86</v>
      </c>
      <c r="E3800" s="1" t="s">
        <v>130</v>
      </c>
      <c r="F3800" s="1" t="s">
        <v>11</v>
      </c>
      <c r="G3800" s="2" t="s">
        <v>6</v>
      </c>
      <c r="H3800" s="3" t="s">
        <v>97</v>
      </c>
      <c r="I3800" s="3" t="s">
        <v>91</v>
      </c>
      <c r="J3800" s="3" t="s">
        <v>59</v>
      </c>
      <c r="K3800" s="4">
        <v>26.82</v>
      </c>
      <c r="L3800" s="6">
        <v>10.4</v>
      </c>
    </row>
    <row r="3801" spans="1:12" x14ac:dyDescent="0.25">
      <c r="A3801" s="1">
        <v>3800</v>
      </c>
      <c r="B3801" s="4">
        <v>27106</v>
      </c>
      <c r="C3801" s="5">
        <v>40878</v>
      </c>
      <c r="D3801" s="3" t="s">
        <v>89</v>
      </c>
      <c r="E3801" s="1" t="s">
        <v>897</v>
      </c>
      <c r="F3801" s="1" t="s">
        <v>35</v>
      </c>
      <c r="G3801" s="2" t="s">
        <v>1</v>
      </c>
      <c r="H3801" s="3" t="s">
        <v>97</v>
      </c>
      <c r="I3801" s="3" t="s">
        <v>85</v>
      </c>
      <c r="J3801" s="3" t="s">
        <v>69</v>
      </c>
      <c r="K3801" s="4">
        <v>13.96</v>
      </c>
      <c r="L3801" s="6">
        <v>10.91</v>
      </c>
    </row>
    <row r="3802" spans="1:12" x14ac:dyDescent="0.25">
      <c r="A3802" s="1">
        <v>3801</v>
      </c>
      <c r="B3802" s="4">
        <v>27106</v>
      </c>
      <c r="C3802" s="5">
        <v>40878</v>
      </c>
      <c r="D3802" s="3" t="s">
        <v>89</v>
      </c>
      <c r="E3802" s="1" t="s">
        <v>897</v>
      </c>
      <c r="F3802" s="1" t="s">
        <v>35</v>
      </c>
      <c r="G3802" s="2" t="s">
        <v>1</v>
      </c>
      <c r="H3802" s="3" t="s">
        <v>97</v>
      </c>
      <c r="I3802" s="3" t="s">
        <v>85</v>
      </c>
      <c r="J3802" s="3" t="s">
        <v>71</v>
      </c>
      <c r="K3802" s="4">
        <v>531.48</v>
      </c>
      <c r="L3802" s="6">
        <v>10.67</v>
      </c>
    </row>
    <row r="3803" spans="1:12" x14ac:dyDescent="0.25">
      <c r="A3803" s="1">
        <v>3802</v>
      </c>
      <c r="B3803" s="4">
        <v>27106</v>
      </c>
      <c r="C3803" s="5">
        <v>40878</v>
      </c>
      <c r="D3803" s="3" t="s">
        <v>89</v>
      </c>
      <c r="E3803" s="1" t="s">
        <v>1175</v>
      </c>
      <c r="F3803" s="1" t="s">
        <v>35</v>
      </c>
      <c r="G3803" s="2" t="s">
        <v>1</v>
      </c>
      <c r="H3803" s="3" t="s">
        <v>97</v>
      </c>
      <c r="I3803" s="3" t="s">
        <v>91</v>
      </c>
      <c r="J3803" s="3" t="s">
        <v>72</v>
      </c>
      <c r="K3803" s="4">
        <v>3524.55</v>
      </c>
      <c r="L3803" s="6">
        <v>130.97999999999999</v>
      </c>
    </row>
    <row r="3804" spans="1:12" x14ac:dyDescent="0.25">
      <c r="A3804" s="1">
        <v>3803</v>
      </c>
      <c r="B3804" s="4">
        <v>27106</v>
      </c>
      <c r="C3804" s="5">
        <v>40878</v>
      </c>
      <c r="D3804" s="3" t="s">
        <v>89</v>
      </c>
      <c r="E3804" s="1" t="s">
        <v>1175</v>
      </c>
      <c r="F3804" s="1" t="s">
        <v>35</v>
      </c>
      <c r="G3804" s="2" t="s">
        <v>1</v>
      </c>
      <c r="H3804" s="3" t="s">
        <v>97</v>
      </c>
      <c r="I3804" s="3" t="s">
        <v>91</v>
      </c>
      <c r="J3804" s="3" t="s">
        <v>59</v>
      </c>
      <c r="K3804" s="4">
        <v>890.61</v>
      </c>
      <c r="L3804" s="6">
        <v>22.23</v>
      </c>
    </row>
    <row r="3805" spans="1:12" x14ac:dyDescent="0.25">
      <c r="A3805" s="1">
        <v>3804</v>
      </c>
      <c r="B3805" s="4">
        <v>27106</v>
      </c>
      <c r="C3805" s="5">
        <v>40878</v>
      </c>
      <c r="D3805" s="3" t="s">
        <v>89</v>
      </c>
      <c r="E3805" s="1" t="s">
        <v>1175</v>
      </c>
      <c r="F3805" s="1" t="s">
        <v>35</v>
      </c>
      <c r="G3805" s="2" t="s">
        <v>1</v>
      </c>
      <c r="H3805" s="3" t="s">
        <v>97</v>
      </c>
      <c r="I3805" s="3" t="s">
        <v>85</v>
      </c>
      <c r="J3805" s="3" t="s">
        <v>63</v>
      </c>
      <c r="K3805" s="4">
        <v>64.19</v>
      </c>
      <c r="L3805" s="6">
        <v>6.68</v>
      </c>
    </row>
    <row r="3806" spans="1:12" x14ac:dyDescent="0.25">
      <c r="A3806" s="1">
        <v>3805</v>
      </c>
      <c r="B3806" s="4">
        <v>27109</v>
      </c>
      <c r="C3806" s="5">
        <v>40947</v>
      </c>
      <c r="D3806" s="3" t="s">
        <v>95</v>
      </c>
      <c r="E3806" s="1" t="s">
        <v>129</v>
      </c>
      <c r="F3806" s="1" t="s">
        <v>8</v>
      </c>
      <c r="G3806" s="2" t="s">
        <v>6</v>
      </c>
      <c r="H3806" s="3" t="s">
        <v>100</v>
      </c>
      <c r="I3806" s="3" t="s">
        <v>92</v>
      </c>
      <c r="J3806" s="3" t="s">
        <v>62</v>
      </c>
      <c r="K3806" s="4">
        <v>538.22</v>
      </c>
      <c r="L3806" s="6">
        <v>10.97</v>
      </c>
    </row>
    <row r="3807" spans="1:12" x14ac:dyDescent="0.25">
      <c r="A3807" s="1">
        <v>3806</v>
      </c>
      <c r="B3807" s="4">
        <v>27111</v>
      </c>
      <c r="C3807" s="5">
        <v>39883</v>
      </c>
      <c r="D3807" s="3" t="s">
        <v>89</v>
      </c>
      <c r="E3807" s="1" t="s">
        <v>1061</v>
      </c>
      <c r="F3807" s="1" t="s">
        <v>8</v>
      </c>
      <c r="G3807" s="2" t="s">
        <v>6</v>
      </c>
      <c r="H3807" s="3" t="s">
        <v>97</v>
      </c>
      <c r="I3807" s="3" t="s">
        <v>92</v>
      </c>
      <c r="J3807" s="3" t="s">
        <v>62</v>
      </c>
      <c r="K3807" s="4">
        <v>1064.23</v>
      </c>
      <c r="L3807" s="6">
        <v>99.99</v>
      </c>
    </row>
    <row r="3808" spans="1:12" x14ac:dyDescent="0.25">
      <c r="A3808" s="1">
        <v>3807</v>
      </c>
      <c r="B3808" s="4">
        <v>27111</v>
      </c>
      <c r="C3808" s="5">
        <v>39883</v>
      </c>
      <c r="D3808" s="3" t="s">
        <v>89</v>
      </c>
      <c r="E3808" s="1" t="s">
        <v>1061</v>
      </c>
      <c r="F3808" s="1" t="s">
        <v>8</v>
      </c>
      <c r="G3808" s="2" t="s">
        <v>6</v>
      </c>
      <c r="H3808" s="3" t="s">
        <v>97</v>
      </c>
      <c r="I3808" s="3" t="s">
        <v>85</v>
      </c>
      <c r="J3808" s="3" t="s">
        <v>57</v>
      </c>
      <c r="K3808" s="4">
        <v>3497.05</v>
      </c>
      <c r="L3808" s="6">
        <v>193.17</v>
      </c>
    </row>
    <row r="3809" spans="1:12" x14ac:dyDescent="0.25">
      <c r="A3809" s="1">
        <v>3808</v>
      </c>
      <c r="B3809" s="4">
        <v>27111</v>
      </c>
      <c r="C3809" s="5">
        <v>39883</v>
      </c>
      <c r="D3809" s="3" t="s">
        <v>89</v>
      </c>
      <c r="E3809" s="1" t="s">
        <v>1061</v>
      </c>
      <c r="F3809" s="1" t="s">
        <v>8</v>
      </c>
      <c r="G3809" s="2" t="s">
        <v>6</v>
      </c>
      <c r="H3809" s="3" t="s">
        <v>97</v>
      </c>
      <c r="I3809" s="3" t="s">
        <v>92</v>
      </c>
      <c r="J3809" s="3" t="s">
        <v>61</v>
      </c>
      <c r="K3809" s="4">
        <v>774.05250000000001</v>
      </c>
      <c r="L3809" s="6">
        <v>20.99</v>
      </c>
    </row>
    <row r="3810" spans="1:12" x14ac:dyDescent="0.25">
      <c r="A3810" s="1">
        <v>3809</v>
      </c>
      <c r="B3810" s="4">
        <v>27137</v>
      </c>
      <c r="C3810" s="5">
        <v>40908</v>
      </c>
      <c r="D3810" s="3" t="s">
        <v>89</v>
      </c>
      <c r="E3810" s="1" t="s">
        <v>1176</v>
      </c>
      <c r="F3810" s="1" t="s">
        <v>39</v>
      </c>
      <c r="G3810" s="2" t="s">
        <v>1</v>
      </c>
      <c r="H3810" s="3" t="s">
        <v>84</v>
      </c>
      <c r="I3810" s="3" t="s">
        <v>92</v>
      </c>
      <c r="J3810" s="3" t="s">
        <v>61</v>
      </c>
      <c r="K3810" s="4">
        <v>60.5625</v>
      </c>
      <c r="L3810" s="6">
        <v>35.99</v>
      </c>
    </row>
    <row r="3811" spans="1:12" x14ac:dyDescent="0.25">
      <c r="A3811" s="1">
        <v>3810</v>
      </c>
      <c r="B3811" s="4">
        <v>27138</v>
      </c>
      <c r="C3811" s="5">
        <v>41059</v>
      </c>
      <c r="D3811" s="3" t="s">
        <v>89</v>
      </c>
      <c r="E3811" s="1" t="s">
        <v>900</v>
      </c>
      <c r="F3811" s="1" t="s">
        <v>33</v>
      </c>
      <c r="G3811" s="2" t="s">
        <v>2</v>
      </c>
      <c r="H3811" s="3" t="s">
        <v>97</v>
      </c>
      <c r="I3811" s="3" t="s">
        <v>91</v>
      </c>
      <c r="J3811" s="3" t="s">
        <v>68</v>
      </c>
      <c r="K3811" s="4">
        <v>2976.21</v>
      </c>
      <c r="L3811" s="6">
        <v>100.98</v>
      </c>
    </row>
    <row r="3812" spans="1:12" x14ac:dyDescent="0.25">
      <c r="A3812" s="1">
        <v>3811</v>
      </c>
      <c r="B3812" s="4">
        <v>27138</v>
      </c>
      <c r="C3812" s="5">
        <v>41059</v>
      </c>
      <c r="D3812" s="3" t="s">
        <v>89</v>
      </c>
      <c r="E3812" s="1" t="s">
        <v>900</v>
      </c>
      <c r="F3812" s="1" t="s">
        <v>33</v>
      </c>
      <c r="G3812" s="2" t="s">
        <v>2</v>
      </c>
      <c r="H3812" s="3" t="s">
        <v>97</v>
      </c>
      <c r="I3812" s="3" t="s">
        <v>92</v>
      </c>
      <c r="J3812" s="3" t="s">
        <v>61</v>
      </c>
      <c r="K3812" s="4">
        <v>1894.1654999999998</v>
      </c>
      <c r="L3812" s="6">
        <v>65.989999999999995</v>
      </c>
    </row>
    <row r="3813" spans="1:12" x14ac:dyDescent="0.25">
      <c r="A3813" s="1">
        <v>3812</v>
      </c>
      <c r="B3813" s="4">
        <v>27141</v>
      </c>
      <c r="C3813" s="5">
        <v>40213</v>
      </c>
      <c r="D3813" s="3" t="s">
        <v>86</v>
      </c>
      <c r="E3813" s="1" t="s">
        <v>659</v>
      </c>
      <c r="F3813" s="1" t="s">
        <v>26</v>
      </c>
      <c r="G3813" s="2" t="s">
        <v>3</v>
      </c>
      <c r="H3813" s="3" t="s">
        <v>88</v>
      </c>
      <c r="I3813" s="3" t="s">
        <v>91</v>
      </c>
      <c r="J3813" s="3" t="s">
        <v>59</v>
      </c>
      <c r="K3813" s="4">
        <v>495.8</v>
      </c>
      <c r="L3813" s="6">
        <v>19.04</v>
      </c>
    </row>
    <row r="3814" spans="1:12" x14ac:dyDescent="0.25">
      <c r="A3814" s="1">
        <v>3813</v>
      </c>
      <c r="B3814" s="4">
        <v>27141</v>
      </c>
      <c r="C3814" s="5">
        <v>40213</v>
      </c>
      <c r="D3814" s="3" t="s">
        <v>86</v>
      </c>
      <c r="E3814" s="1" t="s">
        <v>659</v>
      </c>
      <c r="F3814" s="1" t="s">
        <v>26</v>
      </c>
      <c r="G3814" s="2" t="s">
        <v>3</v>
      </c>
      <c r="H3814" s="3" t="s">
        <v>88</v>
      </c>
      <c r="I3814" s="3" t="s">
        <v>85</v>
      </c>
      <c r="J3814" s="3" t="s">
        <v>57</v>
      </c>
      <c r="K3814" s="4">
        <v>1645.51</v>
      </c>
      <c r="L3814" s="6">
        <v>59.76</v>
      </c>
    </row>
    <row r="3815" spans="1:12" x14ac:dyDescent="0.25">
      <c r="A3815" s="1">
        <v>3814</v>
      </c>
      <c r="B3815" s="4">
        <v>27169</v>
      </c>
      <c r="C3815" s="5">
        <v>40797</v>
      </c>
      <c r="D3815" s="3" t="s">
        <v>86</v>
      </c>
      <c r="E3815" s="1" t="s">
        <v>968</v>
      </c>
      <c r="F3815" s="1" t="s">
        <v>24</v>
      </c>
      <c r="G3815" s="2" t="s">
        <v>2</v>
      </c>
      <c r="H3815" s="3" t="s">
        <v>88</v>
      </c>
      <c r="I3815" s="3" t="s">
        <v>85</v>
      </c>
      <c r="J3815" s="3" t="s">
        <v>69</v>
      </c>
      <c r="K3815" s="4">
        <v>109.9</v>
      </c>
      <c r="L3815" s="6">
        <v>6.54</v>
      </c>
    </row>
    <row r="3816" spans="1:12" x14ac:dyDescent="0.25">
      <c r="A3816" s="1">
        <v>3815</v>
      </c>
      <c r="B3816" s="4">
        <v>27174</v>
      </c>
      <c r="C3816" s="5">
        <v>40824</v>
      </c>
      <c r="D3816" s="3" t="s">
        <v>95</v>
      </c>
      <c r="E3816" s="1" t="s">
        <v>272</v>
      </c>
      <c r="F3816" s="1" t="s">
        <v>28</v>
      </c>
      <c r="G3816" s="2" t="s">
        <v>6</v>
      </c>
      <c r="H3816" s="3" t="s">
        <v>88</v>
      </c>
      <c r="I3816" s="3" t="s">
        <v>92</v>
      </c>
      <c r="J3816" s="3" t="s">
        <v>61</v>
      </c>
      <c r="K3816" s="4">
        <v>477.50449999999995</v>
      </c>
      <c r="L3816" s="6">
        <v>35.99</v>
      </c>
    </row>
    <row r="3817" spans="1:12" x14ac:dyDescent="0.25">
      <c r="A3817" s="1">
        <v>3816</v>
      </c>
      <c r="B3817" s="4">
        <v>27201</v>
      </c>
      <c r="C3817" s="5">
        <v>41115</v>
      </c>
      <c r="D3817" s="3" t="s">
        <v>89</v>
      </c>
      <c r="E3817" s="1" t="s">
        <v>759</v>
      </c>
      <c r="F3817" s="1" t="s">
        <v>22</v>
      </c>
      <c r="G3817" s="2" t="s">
        <v>6</v>
      </c>
      <c r="H3817" s="3" t="s">
        <v>88</v>
      </c>
      <c r="I3817" s="3" t="s">
        <v>91</v>
      </c>
      <c r="J3817" s="3" t="s">
        <v>72</v>
      </c>
      <c r="K3817" s="4">
        <v>5056.8900000000003</v>
      </c>
      <c r="L3817" s="6">
        <v>500.98</v>
      </c>
    </row>
    <row r="3818" spans="1:12" x14ac:dyDescent="0.25">
      <c r="A3818" s="1">
        <v>3817</v>
      </c>
      <c r="B3818" s="4">
        <v>27201</v>
      </c>
      <c r="C3818" s="5">
        <v>41115</v>
      </c>
      <c r="D3818" s="3" t="s">
        <v>89</v>
      </c>
      <c r="E3818" s="1" t="s">
        <v>759</v>
      </c>
      <c r="F3818" s="1" t="s">
        <v>22</v>
      </c>
      <c r="G3818" s="2" t="s">
        <v>6</v>
      </c>
      <c r="H3818" s="3" t="s">
        <v>88</v>
      </c>
      <c r="I3818" s="3" t="s">
        <v>91</v>
      </c>
      <c r="J3818" s="3" t="s">
        <v>60</v>
      </c>
      <c r="K3818" s="4">
        <v>3500.1</v>
      </c>
      <c r="L3818" s="6">
        <v>70.89</v>
      </c>
    </row>
    <row r="3819" spans="1:12" x14ac:dyDescent="0.25">
      <c r="A3819" s="1">
        <v>3818</v>
      </c>
      <c r="B3819" s="4">
        <v>27205</v>
      </c>
      <c r="C3819" s="5">
        <v>40319</v>
      </c>
      <c r="D3819" s="3" t="s">
        <v>86</v>
      </c>
      <c r="E3819" s="1" t="s">
        <v>1070</v>
      </c>
      <c r="F3819" s="1" t="s">
        <v>51</v>
      </c>
      <c r="G3819" s="2" t="s">
        <v>1</v>
      </c>
      <c r="H3819" s="3" t="s">
        <v>88</v>
      </c>
      <c r="I3819" s="3" t="s">
        <v>92</v>
      </c>
      <c r="J3819" s="3" t="s">
        <v>62</v>
      </c>
      <c r="K3819" s="4">
        <v>87.11</v>
      </c>
      <c r="L3819" s="6">
        <v>7.28</v>
      </c>
    </row>
    <row r="3820" spans="1:12" x14ac:dyDescent="0.25">
      <c r="A3820" s="1">
        <v>3819</v>
      </c>
      <c r="B3820" s="4">
        <v>27232</v>
      </c>
      <c r="C3820" s="5">
        <v>40408</v>
      </c>
      <c r="D3820" s="3" t="s">
        <v>86</v>
      </c>
      <c r="E3820" s="1" t="s">
        <v>632</v>
      </c>
      <c r="F3820" s="1" t="s">
        <v>31</v>
      </c>
      <c r="G3820" s="2" t="s">
        <v>1</v>
      </c>
      <c r="H3820" s="3" t="s">
        <v>100</v>
      </c>
      <c r="I3820" s="3" t="s">
        <v>85</v>
      </c>
      <c r="J3820" s="3" t="s">
        <v>63</v>
      </c>
      <c r="K3820" s="4">
        <v>639.29999999999995</v>
      </c>
      <c r="L3820" s="6">
        <v>34.99</v>
      </c>
    </row>
    <row r="3821" spans="1:12" x14ac:dyDescent="0.25">
      <c r="A3821" s="1">
        <v>3820</v>
      </c>
      <c r="B3821" s="4">
        <v>27236</v>
      </c>
      <c r="C3821" s="5">
        <v>40239</v>
      </c>
      <c r="D3821" s="3" t="s">
        <v>89</v>
      </c>
      <c r="E3821" s="1" t="s">
        <v>1077</v>
      </c>
      <c r="F3821" s="1" t="s">
        <v>13</v>
      </c>
      <c r="G3821" s="2" t="s">
        <v>6</v>
      </c>
      <c r="H3821" s="3" t="s">
        <v>84</v>
      </c>
      <c r="I3821" s="3" t="s">
        <v>85</v>
      </c>
      <c r="J3821" s="3" t="s">
        <v>66</v>
      </c>
      <c r="K3821" s="4">
        <v>393.31</v>
      </c>
      <c r="L3821" s="6">
        <v>19.98</v>
      </c>
    </row>
    <row r="3822" spans="1:12" x14ac:dyDescent="0.25">
      <c r="A3822" s="1">
        <v>3821</v>
      </c>
      <c r="B3822" s="4">
        <v>27264</v>
      </c>
      <c r="C3822" s="5">
        <v>40698</v>
      </c>
      <c r="D3822" s="3" t="s">
        <v>82</v>
      </c>
      <c r="E3822" s="1" t="s">
        <v>334</v>
      </c>
      <c r="F3822" s="1" t="s">
        <v>8</v>
      </c>
      <c r="G3822" s="2" t="s">
        <v>6</v>
      </c>
      <c r="H3822" s="3" t="s">
        <v>84</v>
      </c>
      <c r="I3822" s="3" t="s">
        <v>91</v>
      </c>
      <c r="J3822" s="3" t="s">
        <v>59</v>
      </c>
      <c r="K3822" s="4">
        <v>74.05</v>
      </c>
      <c r="L3822" s="6">
        <v>19.989999999999998</v>
      </c>
    </row>
    <row r="3823" spans="1:12" x14ac:dyDescent="0.25">
      <c r="A3823" s="1">
        <v>3822</v>
      </c>
      <c r="B3823" s="4">
        <v>27265</v>
      </c>
      <c r="C3823" s="5">
        <v>41035</v>
      </c>
      <c r="D3823" s="3" t="s">
        <v>95</v>
      </c>
      <c r="E3823" s="1" t="s">
        <v>464</v>
      </c>
      <c r="F3823" s="1" t="s">
        <v>19</v>
      </c>
      <c r="G3823" s="2" t="s">
        <v>3</v>
      </c>
      <c r="H3823" s="3" t="s">
        <v>88</v>
      </c>
      <c r="I3823" s="3" t="s">
        <v>92</v>
      </c>
      <c r="J3823" s="3" t="s">
        <v>73</v>
      </c>
      <c r="K3823" s="4">
        <v>14981.74</v>
      </c>
      <c r="L3823" s="6">
        <v>299.99</v>
      </c>
    </row>
    <row r="3824" spans="1:12" x14ac:dyDescent="0.25">
      <c r="A3824" s="1">
        <v>3823</v>
      </c>
      <c r="B3824" s="4">
        <v>27265</v>
      </c>
      <c r="C3824" s="5">
        <v>41035</v>
      </c>
      <c r="D3824" s="3" t="s">
        <v>95</v>
      </c>
      <c r="E3824" s="1" t="s">
        <v>719</v>
      </c>
      <c r="F3824" s="1" t="s">
        <v>19</v>
      </c>
      <c r="G3824" s="2" t="s">
        <v>3</v>
      </c>
      <c r="H3824" s="3" t="s">
        <v>88</v>
      </c>
      <c r="I3824" s="3" t="s">
        <v>85</v>
      </c>
      <c r="J3824" s="3" t="s">
        <v>71</v>
      </c>
      <c r="K3824" s="4">
        <v>5587.2</v>
      </c>
      <c r="L3824" s="6">
        <v>162.93</v>
      </c>
    </row>
    <row r="3825" spans="1:12" x14ac:dyDescent="0.25">
      <c r="A3825" s="1">
        <v>3824</v>
      </c>
      <c r="B3825" s="4">
        <v>27265</v>
      </c>
      <c r="C3825" s="5">
        <v>41035</v>
      </c>
      <c r="D3825" s="3" t="s">
        <v>95</v>
      </c>
      <c r="E3825" s="1" t="s">
        <v>719</v>
      </c>
      <c r="F3825" s="1" t="s">
        <v>19</v>
      </c>
      <c r="G3825" s="2" t="s">
        <v>3</v>
      </c>
      <c r="H3825" s="3" t="s">
        <v>88</v>
      </c>
      <c r="I3825" s="3" t="s">
        <v>91</v>
      </c>
      <c r="J3825" s="3" t="s">
        <v>59</v>
      </c>
      <c r="K3825" s="4">
        <v>401.39</v>
      </c>
      <c r="L3825" s="6">
        <v>8.34</v>
      </c>
    </row>
    <row r="3826" spans="1:12" x14ac:dyDescent="0.25">
      <c r="A3826" s="1">
        <v>3825</v>
      </c>
      <c r="B3826" s="4">
        <v>27266</v>
      </c>
      <c r="C3826" s="5">
        <v>40794</v>
      </c>
      <c r="D3826" s="3" t="s">
        <v>95</v>
      </c>
      <c r="E3826" s="1" t="s">
        <v>433</v>
      </c>
      <c r="F3826" s="1" t="s">
        <v>25</v>
      </c>
      <c r="G3826" s="2" t="s">
        <v>6</v>
      </c>
      <c r="H3826" s="3" t="s">
        <v>88</v>
      </c>
      <c r="I3826" s="3" t="s">
        <v>92</v>
      </c>
      <c r="J3826" s="3" t="s">
        <v>62</v>
      </c>
      <c r="K3826" s="4">
        <v>1031.06</v>
      </c>
      <c r="L3826" s="6">
        <v>115.79</v>
      </c>
    </row>
    <row r="3827" spans="1:12" x14ac:dyDescent="0.25">
      <c r="A3827" s="1">
        <v>3826</v>
      </c>
      <c r="B3827" s="4">
        <v>27271</v>
      </c>
      <c r="C3827" s="5">
        <v>40800</v>
      </c>
      <c r="D3827" s="3" t="s">
        <v>86</v>
      </c>
      <c r="E3827" s="1" t="s">
        <v>722</v>
      </c>
      <c r="F3827" s="1" t="s">
        <v>27</v>
      </c>
      <c r="G3827" s="2" t="s">
        <v>1</v>
      </c>
      <c r="H3827" s="3" t="s">
        <v>88</v>
      </c>
      <c r="I3827" s="3" t="s">
        <v>91</v>
      </c>
      <c r="J3827" s="3" t="s">
        <v>72</v>
      </c>
      <c r="K3827" s="4">
        <v>301.57</v>
      </c>
      <c r="L3827" s="6">
        <v>33.94</v>
      </c>
    </row>
    <row r="3828" spans="1:12" x14ac:dyDescent="0.25">
      <c r="A3828" s="1">
        <v>3827</v>
      </c>
      <c r="B3828" s="4">
        <v>27298</v>
      </c>
      <c r="C3828" s="5">
        <v>40866</v>
      </c>
      <c r="D3828" s="3" t="s">
        <v>82</v>
      </c>
      <c r="E3828" s="1" t="s">
        <v>473</v>
      </c>
      <c r="F3828" s="1" t="s">
        <v>30</v>
      </c>
      <c r="G3828" s="2" t="s">
        <v>6</v>
      </c>
      <c r="H3828" s="3" t="s">
        <v>84</v>
      </c>
      <c r="I3828" s="3" t="s">
        <v>92</v>
      </c>
      <c r="J3828" s="3" t="s">
        <v>73</v>
      </c>
      <c r="K3828" s="4">
        <v>7813.7</v>
      </c>
      <c r="L3828" s="6">
        <v>199.99</v>
      </c>
    </row>
    <row r="3829" spans="1:12" x14ac:dyDescent="0.25">
      <c r="A3829" s="1">
        <v>3828</v>
      </c>
      <c r="B3829" s="4">
        <v>27298</v>
      </c>
      <c r="C3829" s="5">
        <v>40866</v>
      </c>
      <c r="D3829" s="3" t="s">
        <v>82</v>
      </c>
      <c r="E3829" s="1" t="s">
        <v>473</v>
      </c>
      <c r="F3829" s="1" t="s">
        <v>30</v>
      </c>
      <c r="G3829" s="2" t="s">
        <v>6</v>
      </c>
      <c r="H3829" s="3" t="s">
        <v>84</v>
      </c>
      <c r="I3829" s="3" t="s">
        <v>85</v>
      </c>
      <c r="J3829" s="3" t="s">
        <v>66</v>
      </c>
      <c r="K3829" s="4">
        <v>164.92</v>
      </c>
      <c r="L3829" s="6">
        <v>4.9800000000000004</v>
      </c>
    </row>
    <row r="3830" spans="1:12" x14ac:dyDescent="0.25">
      <c r="A3830" s="1">
        <v>3829</v>
      </c>
      <c r="B3830" s="4">
        <v>27299</v>
      </c>
      <c r="C3830" s="5">
        <v>41126</v>
      </c>
      <c r="D3830" s="3" t="s">
        <v>95</v>
      </c>
      <c r="E3830" s="1" t="s">
        <v>124</v>
      </c>
      <c r="F3830" s="1" t="s">
        <v>34</v>
      </c>
      <c r="G3830" s="2" t="s">
        <v>1</v>
      </c>
      <c r="H3830" s="3" t="s">
        <v>88</v>
      </c>
      <c r="I3830" s="3" t="s">
        <v>91</v>
      </c>
      <c r="J3830" s="3" t="s">
        <v>59</v>
      </c>
      <c r="K3830" s="4">
        <v>802.16</v>
      </c>
      <c r="L3830" s="6">
        <v>19.940000000000001</v>
      </c>
    </row>
    <row r="3831" spans="1:12" x14ac:dyDescent="0.25">
      <c r="A3831" s="1">
        <v>3830</v>
      </c>
      <c r="B3831" s="4">
        <v>27300</v>
      </c>
      <c r="C3831" s="5">
        <v>41182</v>
      </c>
      <c r="D3831" s="3" t="s">
        <v>86</v>
      </c>
      <c r="E3831" s="1" t="s">
        <v>1177</v>
      </c>
      <c r="F3831" s="1" t="s">
        <v>34</v>
      </c>
      <c r="G3831" s="2" t="s">
        <v>1</v>
      </c>
      <c r="H3831" s="3" t="s">
        <v>100</v>
      </c>
      <c r="I3831" s="3" t="s">
        <v>92</v>
      </c>
      <c r="J3831" s="3" t="s">
        <v>62</v>
      </c>
      <c r="K3831" s="4">
        <v>3333.1</v>
      </c>
      <c r="L3831" s="6">
        <v>73.98</v>
      </c>
    </row>
    <row r="3832" spans="1:12" x14ac:dyDescent="0.25">
      <c r="A3832" s="1">
        <v>3831</v>
      </c>
      <c r="B3832" s="4">
        <v>27300</v>
      </c>
      <c r="C3832" s="5">
        <v>41182</v>
      </c>
      <c r="D3832" s="3" t="s">
        <v>86</v>
      </c>
      <c r="E3832" s="1" t="s">
        <v>1177</v>
      </c>
      <c r="F3832" s="1" t="s">
        <v>34</v>
      </c>
      <c r="G3832" s="2" t="s">
        <v>1</v>
      </c>
      <c r="H3832" s="3" t="s">
        <v>100</v>
      </c>
      <c r="I3832" s="3" t="s">
        <v>85</v>
      </c>
      <c r="J3832" s="3" t="s">
        <v>63</v>
      </c>
      <c r="K3832" s="4">
        <v>55.68</v>
      </c>
      <c r="L3832" s="6">
        <v>2.1</v>
      </c>
    </row>
    <row r="3833" spans="1:12" x14ac:dyDescent="0.25">
      <c r="A3833" s="1">
        <v>3832</v>
      </c>
      <c r="B3833" s="4">
        <v>27302</v>
      </c>
      <c r="C3833" s="5">
        <v>41164</v>
      </c>
      <c r="D3833" s="3" t="s">
        <v>82</v>
      </c>
      <c r="E3833" s="1" t="s">
        <v>621</v>
      </c>
      <c r="F3833" s="1" t="s">
        <v>26</v>
      </c>
      <c r="G3833" s="2" t="s">
        <v>3</v>
      </c>
      <c r="H3833" s="3" t="s">
        <v>88</v>
      </c>
      <c r="I3833" s="3" t="s">
        <v>91</v>
      </c>
      <c r="J3833" s="3" t="s">
        <v>59</v>
      </c>
      <c r="K3833" s="4">
        <v>237.54</v>
      </c>
      <c r="L3833" s="6">
        <v>13.79</v>
      </c>
    </row>
    <row r="3834" spans="1:12" x14ac:dyDescent="0.25">
      <c r="A3834" s="1">
        <v>3833</v>
      </c>
      <c r="B3834" s="4">
        <v>27302</v>
      </c>
      <c r="C3834" s="5">
        <v>41164</v>
      </c>
      <c r="D3834" s="3" t="s">
        <v>82</v>
      </c>
      <c r="E3834" s="1" t="s">
        <v>621</v>
      </c>
      <c r="F3834" s="1" t="s">
        <v>26</v>
      </c>
      <c r="G3834" s="2" t="s">
        <v>3</v>
      </c>
      <c r="H3834" s="3" t="s">
        <v>88</v>
      </c>
      <c r="I3834" s="3" t="s">
        <v>85</v>
      </c>
      <c r="J3834" s="3" t="s">
        <v>66</v>
      </c>
      <c r="K3834" s="4">
        <v>143.5</v>
      </c>
      <c r="L3834" s="6">
        <v>48.91</v>
      </c>
    </row>
    <row r="3835" spans="1:12" x14ac:dyDescent="0.25">
      <c r="A3835" s="1">
        <v>3834</v>
      </c>
      <c r="B3835" s="4">
        <v>27330</v>
      </c>
      <c r="C3835" s="5">
        <v>40072</v>
      </c>
      <c r="D3835" s="3" t="s">
        <v>82</v>
      </c>
      <c r="E3835" s="1" t="s">
        <v>1126</v>
      </c>
      <c r="F3835" s="1" t="s">
        <v>30</v>
      </c>
      <c r="G3835" s="2" t="s">
        <v>6</v>
      </c>
      <c r="H3835" s="3" t="s">
        <v>97</v>
      </c>
      <c r="I3835" s="3" t="s">
        <v>91</v>
      </c>
      <c r="J3835" s="3" t="s">
        <v>59</v>
      </c>
      <c r="K3835" s="4">
        <v>507.74</v>
      </c>
      <c r="L3835" s="6">
        <v>55.5</v>
      </c>
    </row>
    <row r="3836" spans="1:12" x14ac:dyDescent="0.25">
      <c r="A3836" s="1">
        <v>3835</v>
      </c>
      <c r="B3836" s="4">
        <v>27330</v>
      </c>
      <c r="C3836" s="5">
        <v>40072</v>
      </c>
      <c r="D3836" s="3" t="s">
        <v>82</v>
      </c>
      <c r="E3836" s="1" t="s">
        <v>1126</v>
      </c>
      <c r="F3836" s="1" t="s">
        <v>30</v>
      </c>
      <c r="G3836" s="2" t="s">
        <v>6</v>
      </c>
      <c r="H3836" s="3" t="s">
        <v>97</v>
      </c>
      <c r="I3836" s="3" t="s">
        <v>92</v>
      </c>
      <c r="J3836" s="3" t="s">
        <v>67</v>
      </c>
      <c r="K3836" s="4">
        <v>12600.99</v>
      </c>
      <c r="L3836" s="6">
        <v>442.14</v>
      </c>
    </row>
    <row r="3837" spans="1:12" x14ac:dyDescent="0.25">
      <c r="A3837" s="1">
        <v>3836</v>
      </c>
      <c r="B3837" s="4">
        <v>27335</v>
      </c>
      <c r="C3837" s="5">
        <v>40488</v>
      </c>
      <c r="D3837" s="3" t="s">
        <v>82</v>
      </c>
      <c r="E3837" s="1" t="s">
        <v>795</v>
      </c>
      <c r="F3837" s="1" t="s">
        <v>39</v>
      </c>
      <c r="G3837" s="2" t="s">
        <v>1</v>
      </c>
      <c r="H3837" s="3" t="s">
        <v>88</v>
      </c>
      <c r="I3837" s="3" t="s">
        <v>85</v>
      </c>
      <c r="J3837" s="3" t="s">
        <v>71</v>
      </c>
      <c r="K3837" s="4">
        <v>67.47</v>
      </c>
      <c r="L3837" s="6">
        <v>2.66</v>
      </c>
    </row>
    <row r="3838" spans="1:12" x14ac:dyDescent="0.25">
      <c r="A3838" s="1">
        <v>3837</v>
      </c>
      <c r="B3838" s="4">
        <v>27363</v>
      </c>
      <c r="C3838" s="5">
        <v>40834</v>
      </c>
      <c r="D3838" s="3" t="s">
        <v>4</v>
      </c>
      <c r="E3838" s="1" t="s">
        <v>1178</v>
      </c>
      <c r="F3838" s="1" t="s">
        <v>24</v>
      </c>
      <c r="G3838" s="2" t="s">
        <v>2</v>
      </c>
      <c r="H3838" s="3" t="s">
        <v>84</v>
      </c>
      <c r="I3838" s="3" t="s">
        <v>85</v>
      </c>
      <c r="J3838" s="3" t="s">
        <v>57</v>
      </c>
      <c r="K3838" s="4">
        <v>646.14</v>
      </c>
      <c r="L3838" s="6">
        <v>101.41</v>
      </c>
    </row>
    <row r="3839" spans="1:12" x14ac:dyDescent="0.25">
      <c r="A3839" s="1">
        <v>3838</v>
      </c>
      <c r="B3839" s="4">
        <v>27363</v>
      </c>
      <c r="C3839" s="5">
        <v>40834</v>
      </c>
      <c r="D3839" s="3" t="s">
        <v>4</v>
      </c>
      <c r="E3839" s="1" t="s">
        <v>751</v>
      </c>
      <c r="F3839" s="1" t="s">
        <v>16</v>
      </c>
      <c r="G3839" s="2" t="s">
        <v>3</v>
      </c>
      <c r="H3839" s="3" t="s">
        <v>84</v>
      </c>
      <c r="I3839" s="3" t="s">
        <v>91</v>
      </c>
      <c r="J3839" s="3" t="s">
        <v>59</v>
      </c>
      <c r="K3839" s="4">
        <v>323.26</v>
      </c>
      <c r="L3839" s="6">
        <v>20.239999999999998</v>
      </c>
    </row>
    <row r="3840" spans="1:12" x14ac:dyDescent="0.25">
      <c r="A3840" s="1">
        <v>3839</v>
      </c>
      <c r="B3840" s="4">
        <v>27364</v>
      </c>
      <c r="C3840" s="5">
        <v>40683</v>
      </c>
      <c r="D3840" s="3" t="s">
        <v>4</v>
      </c>
      <c r="E3840" s="1" t="s">
        <v>658</v>
      </c>
      <c r="F3840" s="1" t="s">
        <v>23</v>
      </c>
      <c r="G3840" s="2" t="s">
        <v>3</v>
      </c>
      <c r="H3840" s="3" t="s">
        <v>88</v>
      </c>
      <c r="I3840" s="3" t="s">
        <v>85</v>
      </c>
      <c r="J3840" s="3" t="s">
        <v>69</v>
      </c>
      <c r="K3840" s="4">
        <v>74.069999999999993</v>
      </c>
      <c r="L3840" s="6">
        <v>2.88</v>
      </c>
    </row>
    <row r="3841" spans="1:12" x14ac:dyDescent="0.25">
      <c r="A3841" s="1">
        <v>3840</v>
      </c>
      <c r="B3841" s="4">
        <v>27364</v>
      </c>
      <c r="C3841" s="5">
        <v>40683</v>
      </c>
      <c r="D3841" s="3" t="s">
        <v>4</v>
      </c>
      <c r="E3841" s="1" t="s">
        <v>658</v>
      </c>
      <c r="F3841" s="1" t="s">
        <v>23</v>
      </c>
      <c r="G3841" s="2" t="s">
        <v>3</v>
      </c>
      <c r="H3841" s="3" t="s">
        <v>88</v>
      </c>
      <c r="I3841" s="3" t="s">
        <v>92</v>
      </c>
      <c r="J3841" s="3" t="s">
        <v>61</v>
      </c>
      <c r="K3841" s="4">
        <v>1529.0565000000001</v>
      </c>
      <c r="L3841" s="6">
        <v>65.989999999999995</v>
      </c>
    </row>
    <row r="3842" spans="1:12" x14ac:dyDescent="0.25">
      <c r="A3842" s="1">
        <v>3841</v>
      </c>
      <c r="B3842" s="4">
        <v>27392</v>
      </c>
      <c r="C3842" s="5">
        <v>40970</v>
      </c>
      <c r="D3842" s="3" t="s">
        <v>82</v>
      </c>
      <c r="E3842" s="1" t="s">
        <v>930</v>
      </c>
      <c r="F3842" s="1" t="s">
        <v>8</v>
      </c>
      <c r="G3842" s="2" t="s">
        <v>6</v>
      </c>
      <c r="H3842" s="3" t="s">
        <v>88</v>
      </c>
      <c r="I3842" s="3" t="s">
        <v>92</v>
      </c>
      <c r="J3842" s="3" t="s">
        <v>67</v>
      </c>
      <c r="K3842" s="4">
        <v>5753.85</v>
      </c>
      <c r="L3842" s="6">
        <v>150.97999999999999</v>
      </c>
    </row>
    <row r="3843" spans="1:12" x14ac:dyDescent="0.25">
      <c r="A3843" s="1">
        <v>3842</v>
      </c>
      <c r="B3843" s="4">
        <v>27396</v>
      </c>
      <c r="C3843" s="5">
        <v>40520</v>
      </c>
      <c r="D3843" s="3" t="s">
        <v>95</v>
      </c>
      <c r="E3843" s="1" t="s">
        <v>1073</v>
      </c>
      <c r="F3843" s="1" t="s">
        <v>25</v>
      </c>
      <c r="G3843" s="2" t="s">
        <v>6</v>
      </c>
      <c r="H3843" s="3" t="s">
        <v>88</v>
      </c>
      <c r="I3843" s="3" t="s">
        <v>91</v>
      </c>
      <c r="J3843" s="3" t="s">
        <v>59</v>
      </c>
      <c r="K3843" s="4">
        <v>138.31</v>
      </c>
      <c r="L3843" s="6">
        <v>9.77</v>
      </c>
    </row>
    <row r="3844" spans="1:12" x14ac:dyDescent="0.25">
      <c r="A3844" s="1">
        <v>3843</v>
      </c>
      <c r="B3844" s="4">
        <v>27426</v>
      </c>
      <c r="C3844" s="5">
        <v>40232</v>
      </c>
      <c r="D3844" s="3" t="s">
        <v>82</v>
      </c>
      <c r="E3844" s="1" t="s">
        <v>665</v>
      </c>
      <c r="F3844" s="1" t="s">
        <v>26</v>
      </c>
      <c r="G3844" s="2" t="s">
        <v>3</v>
      </c>
      <c r="H3844" s="3" t="s">
        <v>97</v>
      </c>
      <c r="I3844" s="3" t="s">
        <v>85</v>
      </c>
      <c r="J3844" s="3" t="s">
        <v>66</v>
      </c>
      <c r="K3844" s="4">
        <v>438.66</v>
      </c>
      <c r="L3844" s="6">
        <v>9.99</v>
      </c>
    </row>
    <row r="3845" spans="1:12" x14ac:dyDescent="0.25">
      <c r="A3845" s="1">
        <v>3844</v>
      </c>
      <c r="B3845" s="4">
        <v>27426</v>
      </c>
      <c r="C3845" s="5">
        <v>40232</v>
      </c>
      <c r="D3845" s="3" t="s">
        <v>82</v>
      </c>
      <c r="E3845" s="1" t="s">
        <v>665</v>
      </c>
      <c r="F3845" s="1" t="s">
        <v>26</v>
      </c>
      <c r="G3845" s="2" t="s">
        <v>3</v>
      </c>
      <c r="H3845" s="3" t="s">
        <v>97</v>
      </c>
      <c r="I3845" s="3" t="s">
        <v>85</v>
      </c>
      <c r="J3845" s="3" t="s">
        <v>58</v>
      </c>
      <c r="K3845" s="4">
        <v>416.99</v>
      </c>
      <c r="L3845" s="6">
        <v>12.88</v>
      </c>
    </row>
    <row r="3846" spans="1:12" x14ac:dyDescent="0.25">
      <c r="A3846" s="1">
        <v>3845</v>
      </c>
      <c r="B3846" s="4">
        <v>27430</v>
      </c>
      <c r="C3846" s="5">
        <v>40574</v>
      </c>
      <c r="D3846" s="3" t="s">
        <v>89</v>
      </c>
      <c r="E3846" s="1" t="s">
        <v>305</v>
      </c>
      <c r="F3846" s="1" t="s">
        <v>20</v>
      </c>
      <c r="G3846" s="2" t="s">
        <v>1</v>
      </c>
      <c r="H3846" s="3" t="s">
        <v>84</v>
      </c>
      <c r="I3846" s="3" t="s">
        <v>85</v>
      </c>
      <c r="J3846" s="3" t="s">
        <v>63</v>
      </c>
      <c r="K3846" s="4">
        <v>82.64</v>
      </c>
      <c r="L3846" s="6">
        <v>7.08</v>
      </c>
    </row>
    <row r="3847" spans="1:12" x14ac:dyDescent="0.25">
      <c r="A3847" s="1">
        <v>3846</v>
      </c>
      <c r="B3847" s="4">
        <v>27430</v>
      </c>
      <c r="C3847" s="5">
        <v>40574</v>
      </c>
      <c r="D3847" s="3" t="s">
        <v>89</v>
      </c>
      <c r="E3847" s="1" t="s">
        <v>1179</v>
      </c>
      <c r="F3847" s="1" t="s">
        <v>39</v>
      </c>
      <c r="G3847" s="2" t="s">
        <v>1</v>
      </c>
      <c r="H3847" s="3" t="s">
        <v>84</v>
      </c>
      <c r="I3847" s="3" t="s">
        <v>91</v>
      </c>
      <c r="J3847" s="3" t="s">
        <v>59</v>
      </c>
      <c r="K3847" s="4">
        <v>315.27</v>
      </c>
      <c r="L3847" s="6">
        <v>105.98</v>
      </c>
    </row>
    <row r="3848" spans="1:12" x14ac:dyDescent="0.25">
      <c r="A3848" s="1">
        <v>3847</v>
      </c>
      <c r="B3848" s="4">
        <v>27456</v>
      </c>
      <c r="C3848" s="5">
        <v>39913</v>
      </c>
      <c r="D3848" s="3" t="s">
        <v>86</v>
      </c>
      <c r="E3848" s="1" t="s">
        <v>478</v>
      </c>
      <c r="F3848" s="1" t="s">
        <v>46</v>
      </c>
      <c r="G3848" s="2" t="s">
        <v>6</v>
      </c>
      <c r="H3848" s="3" t="s">
        <v>97</v>
      </c>
      <c r="I3848" s="3" t="s">
        <v>85</v>
      </c>
      <c r="J3848" s="3" t="s">
        <v>70</v>
      </c>
      <c r="K3848" s="4">
        <v>9492.92</v>
      </c>
      <c r="L3848" s="6">
        <v>328.14</v>
      </c>
    </row>
    <row r="3849" spans="1:12" x14ac:dyDescent="0.25">
      <c r="A3849" s="1">
        <v>3848</v>
      </c>
      <c r="B3849" s="4">
        <v>27460</v>
      </c>
      <c r="C3849" s="5">
        <v>39945</v>
      </c>
      <c r="D3849" s="3" t="s">
        <v>86</v>
      </c>
      <c r="E3849" s="1" t="s">
        <v>608</v>
      </c>
      <c r="F3849" s="1" t="s">
        <v>23</v>
      </c>
      <c r="G3849" s="2" t="s">
        <v>3</v>
      </c>
      <c r="H3849" s="3" t="s">
        <v>88</v>
      </c>
      <c r="I3849" s="3" t="s">
        <v>91</v>
      </c>
      <c r="J3849" s="3" t="s">
        <v>72</v>
      </c>
      <c r="K3849" s="4">
        <v>855.03</v>
      </c>
      <c r="L3849" s="6">
        <v>128.24</v>
      </c>
    </row>
    <row r="3850" spans="1:12" x14ac:dyDescent="0.25">
      <c r="A3850" s="1">
        <v>3849</v>
      </c>
      <c r="B3850" s="4">
        <v>27460</v>
      </c>
      <c r="C3850" s="5">
        <v>39945</v>
      </c>
      <c r="D3850" s="3" t="s">
        <v>86</v>
      </c>
      <c r="E3850" s="1" t="s">
        <v>608</v>
      </c>
      <c r="F3850" s="1" t="s">
        <v>23</v>
      </c>
      <c r="G3850" s="2" t="s">
        <v>3</v>
      </c>
      <c r="H3850" s="3" t="s">
        <v>88</v>
      </c>
      <c r="I3850" s="3" t="s">
        <v>92</v>
      </c>
      <c r="J3850" s="3" t="s">
        <v>62</v>
      </c>
      <c r="K3850" s="4">
        <v>196.58</v>
      </c>
      <c r="L3850" s="6">
        <v>5.98</v>
      </c>
    </row>
    <row r="3851" spans="1:12" x14ac:dyDescent="0.25">
      <c r="A3851" s="1">
        <v>3850</v>
      </c>
      <c r="B3851" s="4">
        <v>27461</v>
      </c>
      <c r="C3851" s="5">
        <v>40235</v>
      </c>
      <c r="D3851" s="3" t="s">
        <v>95</v>
      </c>
      <c r="E3851" s="1" t="s">
        <v>933</v>
      </c>
      <c r="F3851" s="1" t="s">
        <v>51</v>
      </c>
      <c r="G3851" s="2" t="s">
        <v>1</v>
      </c>
      <c r="H3851" s="3" t="s">
        <v>88</v>
      </c>
      <c r="I3851" s="3" t="s">
        <v>85</v>
      </c>
      <c r="J3851" s="3" t="s">
        <v>65</v>
      </c>
      <c r="K3851" s="4">
        <v>121.92</v>
      </c>
      <c r="L3851" s="6">
        <v>2.88</v>
      </c>
    </row>
    <row r="3852" spans="1:12" x14ac:dyDescent="0.25">
      <c r="A3852" s="1">
        <v>3851</v>
      </c>
      <c r="B3852" s="4">
        <v>27461</v>
      </c>
      <c r="C3852" s="5">
        <v>40235</v>
      </c>
      <c r="D3852" s="3" t="s">
        <v>95</v>
      </c>
      <c r="E3852" s="1" t="s">
        <v>933</v>
      </c>
      <c r="F3852" s="1" t="s">
        <v>51</v>
      </c>
      <c r="G3852" s="2" t="s">
        <v>1</v>
      </c>
      <c r="H3852" s="3" t="s">
        <v>88</v>
      </c>
      <c r="I3852" s="3" t="s">
        <v>85</v>
      </c>
      <c r="J3852" s="3" t="s">
        <v>66</v>
      </c>
      <c r="K3852" s="4">
        <v>1096.17</v>
      </c>
      <c r="L3852" s="6">
        <v>40.99</v>
      </c>
    </row>
    <row r="3853" spans="1:12" x14ac:dyDescent="0.25">
      <c r="A3853" s="1">
        <v>3852</v>
      </c>
      <c r="B3853" s="4">
        <v>27463</v>
      </c>
      <c r="C3853" s="5">
        <v>40130</v>
      </c>
      <c r="D3853" s="3" t="s">
        <v>4</v>
      </c>
      <c r="E3853" s="1" t="s">
        <v>490</v>
      </c>
      <c r="F3853" s="1" t="s">
        <v>9</v>
      </c>
      <c r="G3853" s="2" t="s">
        <v>2</v>
      </c>
      <c r="H3853" s="3" t="s">
        <v>100</v>
      </c>
      <c r="I3853" s="3" t="s">
        <v>91</v>
      </c>
      <c r="J3853" s="3" t="s">
        <v>59</v>
      </c>
      <c r="K3853" s="4">
        <v>835.11</v>
      </c>
      <c r="L3853" s="6">
        <v>25.38</v>
      </c>
    </row>
    <row r="3854" spans="1:12" x14ac:dyDescent="0.25">
      <c r="A3854" s="1">
        <v>3853</v>
      </c>
      <c r="B3854" s="4">
        <v>27463</v>
      </c>
      <c r="C3854" s="5">
        <v>40130</v>
      </c>
      <c r="D3854" s="3" t="s">
        <v>4</v>
      </c>
      <c r="E3854" s="1" t="s">
        <v>490</v>
      </c>
      <c r="F3854" s="1" t="s">
        <v>9</v>
      </c>
      <c r="G3854" s="2" t="s">
        <v>2</v>
      </c>
      <c r="H3854" s="3" t="s">
        <v>100</v>
      </c>
      <c r="I3854" s="3" t="s">
        <v>85</v>
      </c>
      <c r="J3854" s="3" t="s">
        <v>66</v>
      </c>
      <c r="K3854" s="4">
        <v>54.52</v>
      </c>
      <c r="L3854" s="6">
        <v>4.9800000000000004</v>
      </c>
    </row>
    <row r="3855" spans="1:12" x14ac:dyDescent="0.25">
      <c r="A3855" s="1">
        <v>3854</v>
      </c>
      <c r="B3855" s="4">
        <v>27490</v>
      </c>
      <c r="C3855" s="5">
        <v>40982</v>
      </c>
      <c r="D3855" s="3" t="s">
        <v>86</v>
      </c>
      <c r="E3855" s="1" t="s">
        <v>1180</v>
      </c>
      <c r="F3855" s="1" t="s">
        <v>18</v>
      </c>
      <c r="G3855" s="2" t="s">
        <v>6</v>
      </c>
      <c r="H3855" s="3" t="s">
        <v>88</v>
      </c>
      <c r="I3855" s="3" t="s">
        <v>85</v>
      </c>
      <c r="J3855" s="3" t="s">
        <v>69</v>
      </c>
      <c r="K3855" s="4">
        <v>611.71</v>
      </c>
      <c r="L3855" s="6">
        <v>31.74</v>
      </c>
    </row>
    <row r="3856" spans="1:12" x14ac:dyDescent="0.25">
      <c r="A3856" s="1">
        <v>3855</v>
      </c>
      <c r="B3856" s="4">
        <v>27491</v>
      </c>
      <c r="C3856" s="5">
        <v>39912</v>
      </c>
      <c r="D3856" s="3" t="s">
        <v>86</v>
      </c>
      <c r="E3856" s="1" t="s">
        <v>966</v>
      </c>
      <c r="F3856" s="1" t="s">
        <v>19</v>
      </c>
      <c r="G3856" s="2" t="s">
        <v>3</v>
      </c>
      <c r="H3856" s="3" t="s">
        <v>88</v>
      </c>
      <c r="I3856" s="3" t="s">
        <v>85</v>
      </c>
      <c r="J3856" s="3" t="s">
        <v>71</v>
      </c>
      <c r="K3856" s="4">
        <v>985.01</v>
      </c>
      <c r="L3856" s="6">
        <v>90.48</v>
      </c>
    </row>
    <row r="3857" spans="1:12" x14ac:dyDescent="0.25">
      <c r="A3857" s="1">
        <v>3856</v>
      </c>
      <c r="B3857" s="4">
        <v>27491</v>
      </c>
      <c r="C3857" s="5">
        <v>39912</v>
      </c>
      <c r="D3857" s="3" t="s">
        <v>86</v>
      </c>
      <c r="E3857" s="1" t="s">
        <v>966</v>
      </c>
      <c r="F3857" s="1" t="s">
        <v>19</v>
      </c>
      <c r="G3857" s="2" t="s">
        <v>3</v>
      </c>
      <c r="H3857" s="3" t="s">
        <v>88</v>
      </c>
      <c r="I3857" s="3" t="s">
        <v>91</v>
      </c>
      <c r="J3857" s="3" t="s">
        <v>59</v>
      </c>
      <c r="K3857" s="4">
        <v>350.71</v>
      </c>
      <c r="L3857" s="6">
        <v>9.77</v>
      </c>
    </row>
    <row r="3858" spans="1:12" x14ac:dyDescent="0.25">
      <c r="A3858" s="1">
        <v>3857</v>
      </c>
      <c r="B3858" s="4">
        <v>27491</v>
      </c>
      <c r="C3858" s="5">
        <v>39912</v>
      </c>
      <c r="D3858" s="3" t="s">
        <v>86</v>
      </c>
      <c r="E3858" s="1" t="s">
        <v>966</v>
      </c>
      <c r="F3858" s="1" t="s">
        <v>19</v>
      </c>
      <c r="G3858" s="2" t="s">
        <v>3</v>
      </c>
      <c r="H3858" s="3" t="s">
        <v>88</v>
      </c>
      <c r="I3858" s="3" t="s">
        <v>85</v>
      </c>
      <c r="J3858" s="3" t="s">
        <v>63</v>
      </c>
      <c r="K3858" s="4">
        <v>75.23</v>
      </c>
      <c r="L3858" s="6">
        <v>34.99</v>
      </c>
    </row>
    <row r="3859" spans="1:12" x14ac:dyDescent="0.25">
      <c r="A3859" s="1">
        <v>3858</v>
      </c>
      <c r="B3859" s="4">
        <v>27524</v>
      </c>
      <c r="C3859" s="5">
        <v>40210</v>
      </c>
      <c r="D3859" s="3" t="s">
        <v>86</v>
      </c>
      <c r="E3859" s="1" t="s">
        <v>1181</v>
      </c>
      <c r="F3859" s="1" t="s">
        <v>24</v>
      </c>
      <c r="G3859" s="2" t="s">
        <v>2</v>
      </c>
      <c r="H3859" s="3" t="s">
        <v>100</v>
      </c>
      <c r="I3859" s="3" t="s">
        <v>85</v>
      </c>
      <c r="J3859" s="3" t="s">
        <v>66</v>
      </c>
      <c r="K3859" s="4">
        <v>343.94</v>
      </c>
      <c r="L3859" s="6">
        <v>6.48</v>
      </c>
    </row>
    <row r="3860" spans="1:12" x14ac:dyDescent="0.25">
      <c r="A3860" s="1">
        <v>3859</v>
      </c>
      <c r="B3860" s="4">
        <v>27527</v>
      </c>
      <c r="C3860" s="5">
        <v>40512</v>
      </c>
      <c r="D3860" s="3" t="s">
        <v>4</v>
      </c>
      <c r="E3860" s="1" t="s">
        <v>1094</v>
      </c>
      <c r="F3860" s="1" t="s">
        <v>35</v>
      </c>
      <c r="G3860" s="2" t="s">
        <v>1</v>
      </c>
      <c r="H3860" s="3" t="s">
        <v>100</v>
      </c>
      <c r="I3860" s="3" t="s">
        <v>91</v>
      </c>
      <c r="J3860" s="3" t="s">
        <v>59</v>
      </c>
      <c r="K3860" s="4">
        <v>376.58</v>
      </c>
      <c r="L3860" s="6">
        <v>10.4</v>
      </c>
    </row>
    <row r="3861" spans="1:12" x14ac:dyDescent="0.25">
      <c r="A3861" s="1">
        <v>3860</v>
      </c>
      <c r="B3861" s="4">
        <v>27553</v>
      </c>
      <c r="C3861" s="5">
        <v>40767</v>
      </c>
      <c r="D3861" s="3" t="s">
        <v>4</v>
      </c>
      <c r="E3861" s="1" t="s">
        <v>821</v>
      </c>
      <c r="F3861" s="1" t="s">
        <v>8</v>
      </c>
      <c r="G3861" s="2" t="s">
        <v>6</v>
      </c>
      <c r="H3861" s="3" t="s">
        <v>88</v>
      </c>
      <c r="I3861" s="3" t="s">
        <v>85</v>
      </c>
      <c r="J3861" s="3" t="s">
        <v>57</v>
      </c>
      <c r="K3861" s="4">
        <v>18235.47</v>
      </c>
      <c r="L3861" s="6">
        <v>370.98</v>
      </c>
    </row>
    <row r="3862" spans="1:12" x14ac:dyDescent="0.25">
      <c r="A3862" s="1">
        <v>3861</v>
      </c>
      <c r="B3862" s="4">
        <v>27553</v>
      </c>
      <c r="C3862" s="5">
        <v>40767</v>
      </c>
      <c r="D3862" s="3" t="s">
        <v>4</v>
      </c>
      <c r="E3862" s="1" t="s">
        <v>821</v>
      </c>
      <c r="F3862" s="1" t="s">
        <v>8</v>
      </c>
      <c r="G3862" s="2" t="s">
        <v>6</v>
      </c>
      <c r="H3862" s="3" t="s">
        <v>88</v>
      </c>
      <c r="I3862" s="3" t="s">
        <v>92</v>
      </c>
      <c r="J3862" s="3" t="s">
        <v>61</v>
      </c>
      <c r="K3862" s="4">
        <v>2631.107</v>
      </c>
      <c r="L3862" s="6">
        <v>179.99</v>
      </c>
    </row>
    <row r="3863" spans="1:12" x14ac:dyDescent="0.25">
      <c r="A3863" s="1">
        <v>3862</v>
      </c>
      <c r="B3863" s="4">
        <v>27554</v>
      </c>
      <c r="C3863" s="5">
        <v>40612</v>
      </c>
      <c r="D3863" s="3" t="s">
        <v>95</v>
      </c>
      <c r="E3863" s="1" t="s">
        <v>992</v>
      </c>
      <c r="F3863" s="1" t="s">
        <v>24</v>
      </c>
      <c r="G3863" s="2" t="s">
        <v>2</v>
      </c>
      <c r="H3863" s="3" t="s">
        <v>84</v>
      </c>
      <c r="I3863" s="3" t="s">
        <v>91</v>
      </c>
      <c r="J3863" s="3" t="s">
        <v>60</v>
      </c>
      <c r="K3863" s="4">
        <v>12685.544000000002</v>
      </c>
      <c r="L3863" s="6">
        <v>348.21</v>
      </c>
    </row>
    <row r="3864" spans="1:12" x14ac:dyDescent="0.25">
      <c r="A3864" s="1">
        <v>3863</v>
      </c>
      <c r="B3864" s="4">
        <v>27555</v>
      </c>
      <c r="C3864" s="5">
        <v>40057</v>
      </c>
      <c r="D3864" s="3" t="s">
        <v>95</v>
      </c>
      <c r="E3864" s="1" t="s">
        <v>533</v>
      </c>
      <c r="F3864" s="1" t="s">
        <v>8</v>
      </c>
      <c r="G3864" s="2" t="s">
        <v>6</v>
      </c>
      <c r="H3864" s="3" t="s">
        <v>100</v>
      </c>
      <c r="I3864" s="3" t="s">
        <v>85</v>
      </c>
      <c r="J3864" s="3" t="s">
        <v>66</v>
      </c>
      <c r="K3864" s="4">
        <v>209.42</v>
      </c>
      <c r="L3864" s="6">
        <v>6.74</v>
      </c>
    </row>
    <row r="3865" spans="1:12" x14ac:dyDescent="0.25">
      <c r="A3865" s="1">
        <v>3864</v>
      </c>
      <c r="B3865" s="4">
        <v>27557</v>
      </c>
      <c r="C3865" s="5">
        <v>40947</v>
      </c>
      <c r="D3865" s="3" t="s">
        <v>82</v>
      </c>
      <c r="E3865" s="1" t="s">
        <v>884</v>
      </c>
      <c r="F3865" s="1" t="s">
        <v>34</v>
      </c>
      <c r="G3865" s="2" t="s">
        <v>1</v>
      </c>
      <c r="H3865" s="3" t="s">
        <v>88</v>
      </c>
      <c r="I3865" s="3" t="s">
        <v>85</v>
      </c>
      <c r="J3865" s="3" t="s">
        <v>65</v>
      </c>
      <c r="K3865" s="4">
        <v>56.13</v>
      </c>
      <c r="L3865" s="6">
        <v>2.88</v>
      </c>
    </row>
    <row r="3866" spans="1:12" x14ac:dyDescent="0.25">
      <c r="A3866" s="1">
        <v>3865</v>
      </c>
      <c r="B3866" s="4">
        <v>27558</v>
      </c>
      <c r="C3866" s="5">
        <v>40731</v>
      </c>
      <c r="D3866" s="3" t="s">
        <v>86</v>
      </c>
      <c r="E3866" s="1" t="s">
        <v>788</v>
      </c>
      <c r="F3866" s="1" t="s">
        <v>17</v>
      </c>
      <c r="G3866" s="2" t="s">
        <v>2</v>
      </c>
      <c r="H3866" s="3" t="s">
        <v>100</v>
      </c>
      <c r="I3866" s="3" t="s">
        <v>85</v>
      </c>
      <c r="J3866" s="3" t="s">
        <v>69</v>
      </c>
      <c r="K3866" s="4">
        <v>423.24</v>
      </c>
      <c r="L3866" s="6">
        <v>21.38</v>
      </c>
    </row>
    <row r="3867" spans="1:12" x14ac:dyDescent="0.25">
      <c r="A3867" s="1">
        <v>3866</v>
      </c>
      <c r="B3867" s="4">
        <v>27559</v>
      </c>
      <c r="C3867" s="5">
        <v>40846</v>
      </c>
      <c r="D3867" s="3" t="s">
        <v>89</v>
      </c>
      <c r="E3867" s="1" t="s">
        <v>1182</v>
      </c>
      <c r="F3867" s="1" t="s">
        <v>39</v>
      </c>
      <c r="G3867" s="2" t="s">
        <v>1</v>
      </c>
      <c r="H3867" s="3" t="s">
        <v>97</v>
      </c>
      <c r="I3867" s="3" t="s">
        <v>85</v>
      </c>
      <c r="J3867" s="3" t="s">
        <v>66</v>
      </c>
      <c r="K3867" s="4">
        <v>465.9</v>
      </c>
      <c r="L3867" s="6">
        <v>12.28</v>
      </c>
    </row>
    <row r="3868" spans="1:12" x14ac:dyDescent="0.25">
      <c r="A3868" s="1">
        <v>3867</v>
      </c>
      <c r="B3868" s="4">
        <v>27589</v>
      </c>
      <c r="C3868" s="5">
        <v>40801</v>
      </c>
      <c r="D3868" s="3" t="s">
        <v>4</v>
      </c>
      <c r="E3868" s="1" t="s">
        <v>1112</v>
      </c>
      <c r="F3868" s="1" t="s">
        <v>13</v>
      </c>
      <c r="G3868" s="2" t="s">
        <v>6</v>
      </c>
      <c r="H3868" s="3" t="s">
        <v>88</v>
      </c>
      <c r="I3868" s="3" t="s">
        <v>92</v>
      </c>
      <c r="J3868" s="3" t="s">
        <v>62</v>
      </c>
      <c r="K3868" s="4">
        <v>845.7</v>
      </c>
      <c r="L3868" s="6">
        <v>39.479999999999997</v>
      </c>
    </row>
    <row r="3869" spans="1:12" x14ac:dyDescent="0.25">
      <c r="A3869" s="1">
        <v>3868</v>
      </c>
      <c r="B3869" s="4">
        <v>27589</v>
      </c>
      <c r="C3869" s="5">
        <v>40801</v>
      </c>
      <c r="D3869" s="3" t="s">
        <v>4</v>
      </c>
      <c r="E3869" s="1" t="s">
        <v>1112</v>
      </c>
      <c r="F3869" s="1" t="s">
        <v>13</v>
      </c>
      <c r="G3869" s="2" t="s">
        <v>6</v>
      </c>
      <c r="H3869" s="3" t="s">
        <v>88</v>
      </c>
      <c r="I3869" s="3" t="s">
        <v>91</v>
      </c>
      <c r="J3869" s="3" t="s">
        <v>59</v>
      </c>
      <c r="K3869" s="4">
        <v>467</v>
      </c>
      <c r="L3869" s="6">
        <v>17.670000000000002</v>
      </c>
    </row>
    <row r="3870" spans="1:12" x14ac:dyDescent="0.25">
      <c r="A3870" s="1">
        <v>3869</v>
      </c>
      <c r="B3870" s="4">
        <v>27589</v>
      </c>
      <c r="C3870" s="5">
        <v>40801</v>
      </c>
      <c r="D3870" s="3" t="s">
        <v>4</v>
      </c>
      <c r="E3870" s="1" t="s">
        <v>1112</v>
      </c>
      <c r="F3870" s="1" t="s">
        <v>13</v>
      </c>
      <c r="G3870" s="2" t="s">
        <v>6</v>
      </c>
      <c r="H3870" s="3" t="s">
        <v>88</v>
      </c>
      <c r="I3870" s="3" t="s">
        <v>91</v>
      </c>
      <c r="J3870" s="3" t="s">
        <v>60</v>
      </c>
      <c r="K3870" s="4">
        <v>64.430000000000007</v>
      </c>
      <c r="L3870" s="6">
        <v>1.88</v>
      </c>
    </row>
    <row r="3871" spans="1:12" x14ac:dyDescent="0.25">
      <c r="A3871" s="1">
        <v>3870</v>
      </c>
      <c r="B3871" s="4">
        <v>27616</v>
      </c>
      <c r="C3871" s="5">
        <v>41120</v>
      </c>
      <c r="D3871" s="3" t="s">
        <v>82</v>
      </c>
      <c r="E3871" s="1" t="s">
        <v>743</v>
      </c>
      <c r="F3871" s="1" t="s">
        <v>45</v>
      </c>
      <c r="G3871" s="2" t="s">
        <v>3</v>
      </c>
      <c r="H3871" s="3" t="s">
        <v>97</v>
      </c>
      <c r="I3871" s="3" t="s">
        <v>92</v>
      </c>
      <c r="J3871" s="3" t="s">
        <v>73</v>
      </c>
      <c r="K3871" s="4">
        <v>614.14</v>
      </c>
      <c r="L3871" s="6">
        <v>199.99</v>
      </c>
    </row>
    <row r="3872" spans="1:12" x14ac:dyDescent="0.25">
      <c r="A3872" s="1">
        <v>3871</v>
      </c>
      <c r="B3872" s="4">
        <v>27622</v>
      </c>
      <c r="C3872" s="5">
        <v>40580</v>
      </c>
      <c r="D3872" s="3" t="s">
        <v>4</v>
      </c>
      <c r="E3872" s="1" t="s">
        <v>688</v>
      </c>
      <c r="F3872" s="1" t="s">
        <v>31</v>
      </c>
      <c r="G3872" s="2" t="s">
        <v>1</v>
      </c>
      <c r="H3872" s="3" t="s">
        <v>100</v>
      </c>
      <c r="I3872" s="3" t="s">
        <v>91</v>
      </c>
      <c r="J3872" s="3" t="s">
        <v>60</v>
      </c>
      <c r="K3872" s="4">
        <v>1280.73</v>
      </c>
      <c r="L3872" s="6">
        <v>320.64</v>
      </c>
    </row>
    <row r="3873" spans="1:12" x14ac:dyDescent="0.25">
      <c r="A3873" s="1">
        <v>3872</v>
      </c>
      <c r="B3873" s="4">
        <v>27654</v>
      </c>
      <c r="C3873" s="5">
        <v>40445</v>
      </c>
      <c r="D3873" s="3" t="s">
        <v>89</v>
      </c>
      <c r="E3873" s="1" t="s">
        <v>1062</v>
      </c>
      <c r="F3873" s="1" t="s">
        <v>34</v>
      </c>
      <c r="G3873" s="2" t="s">
        <v>1</v>
      </c>
      <c r="H3873" s="3" t="s">
        <v>97</v>
      </c>
      <c r="I3873" s="3" t="s">
        <v>85</v>
      </c>
      <c r="J3873" s="3" t="s">
        <v>71</v>
      </c>
      <c r="K3873" s="4">
        <v>94.83</v>
      </c>
      <c r="L3873" s="6">
        <v>7.64</v>
      </c>
    </row>
    <row r="3874" spans="1:12" x14ac:dyDescent="0.25">
      <c r="A3874" s="1">
        <v>3873</v>
      </c>
      <c r="B3874" s="4">
        <v>27680</v>
      </c>
      <c r="C3874" s="5">
        <v>40204</v>
      </c>
      <c r="D3874" s="3" t="s">
        <v>95</v>
      </c>
      <c r="E3874" s="1" t="s">
        <v>496</v>
      </c>
      <c r="F3874" s="1" t="s">
        <v>8</v>
      </c>
      <c r="G3874" s="2" t="s">
        <v>6</v>
      </c>
      <c r="H3874" s="3" t="s">
        <v>84</v>
      </c>
      <c r="I3874" s="3" t="s">
        <v>85</v>
      </c>
      <c r="J3874" s="3" t="s">
        <v>70</v>
      </c>
      <c r="K3874" s="4">
        <v>324.39999999999998</v>
      </c>
      <c r="L3874" s="6">
        <v>10.89</v>
      </c>
    </row>
    <row r="3875" spans="1:12" x14ac:dyDescent="0.25">
      <c r="A3875" s="1">
        <v>3874</v>
      </c>
      <c r="B3875" s="4">
        <v>27680</v>
      </c>
      <c r="C3875" s="5">
        <v>40204</v>
      </c>
      <c r="D3875" s="3" t="s">
        <v>95</v>
      </c>
      <c r="E3875" s="1" t="s">
        <v>496</v>
      </c>
      <c r="F3875" s="1" t="s">
        <v>8</v>
      </c>
      <c r="G3875" s="2" t="s">
        <v>6</v>
      </c>
      <c r="H3875" s="3" t="s">
        <v>84</v>
      </c>
      <c r="I3875" s="3" t="s">
        <v>85</v>
      </c>
      <c r="J3875" s="3" t="s">
        <v>66</v>
      </c>
      <c r="K3875" s="4">
        <v>137.02000000000001</v>
      </c>
      <c r="L3875" s="6">
        <v>6.48</v>
      </c>
    </row>
    <row r="3876" spans="1:12" x14ac:dyDescent="0.25">
      <c r="A3876" s="1">
        <v>3875</v>
      </c>
      <c r="B3876" s="4">
        <v>27681</v>
      </c>
      <c r="C3876" s="5">
        <v>40506</v>
      </c>
      <c r="D3876" s="3" t="s">
        <v>4</v>
      </c>
      <c r="E3876" s="1" t="s">
        <v>817</v>
      </c>
      <c r="F3876" s="1" t="s">
        <v>13</v>
      </c>
      <c r="G3876" s="2" t="s">
        <v>6</v>
      </c>
      <c r="H3876" s="3" t="s">
        <v>97</v>
      </c>
      <c r="I3876" s="3" t="s">
        <v>85</v>
      </c>
      <c r="J3876" s="3" t="s">
        <v>66</v>
      </c>
      <c r="K3876" s="4">
        <v>37.799999999999997</v>
      </c>
      <c r="L3876" s="6">
        <v>4.9800000000000004</v>
      </c>
    </row>
    <row r="3877" spans="1:12" x14ac:dyDescent="0.25">
      <c r="A3877" s="1">
        <v>3876</v>
      </c>
      <c r="B3877" s="4">
        <v>27681</v>
      </c>
      <c r="C3877" s="5">
        <v>40506</v>
      </c>
      <c r="D3877" s="3" t="s">
        <v>4</v>
      </c>
      <c r="E3877" s="1" t="s">
        <v>817</v>
      </c>
      <c r="F3877" s="1" t="s">
        <v>13</v>
      </c>
      <c r="G3877" s="2" t="s">
        <v>6</v>
      </c>
      <c r="H3877" s="3" t="s">
        <v>97</v>
      </c>
      <c r="I3877" s="3" t="s">
        <v>85</v>
      </c>
      <c r="J3877" s="3" t="s">
        <v>63</v>
      </c>
      <c r="K3877" s="4">
        <v>183.28</v>
      </c>
      <c r="L3877" s="6">
        <v>6.08</v>
      </c>
    </row>
    <row r="3878" spans="1:12" x14ac:dyDescent="0.25">
      <c r="A3878" s="1">
        <v>3877</v>
      </c>
      <c r="B3878" s="4">
        <v>27684</v>
      </c>
      <c r="C3878" s="5">
        <v>40791</v>
      </c>
      <c r="D3878" s="3" t="s">
        <v>82</v>
      </c>
      <c r="E3878" s="1" t="s">
        <v>693</v>
      </c>
      <c r="F3878" s="1" t="s">
        <v>34</v>
      </c>
      <c r="G3878" s="2" t="s">
        <v>1</v>
      </c>
      <c r="H3878" s="3" t="s">
        <v>88</v>
      </c>
      <c r="I3878" s="3" t="s">
        <v>85</v>
      </c>
      <c r="J3878" s="3" t="s">
        <v>63</v>
      </c>
      <c r="K3878" s="4">
        <v>13.04</v>
      </c>
      <c r="L3878" s="6">
        <v>10.48</v>
      </c>
    </row>
    <row r="3879" spans="1:12" x14ac:dyDescent="0.25">
      <c r="A3879" s="1">
        <v>3878</v>
      </c>
      <c r="B3879" s="4">
        <v>27687</v>
      </c>
      <c r="C3879" s="5">
        <v>40290</v>
      </c>
      <c r="D3879" s="3" t="s">
        <v>4</v>
      </c>
      <c r="E3879" s="1" t="s">
        <v>453</v>
      </c>
      <c r="F3879" s="1" t="s">
        <v>37</v>
      </c>
      <c r="G3879" s="2" t="s">
        <v>3</v>
      </c>
      <c r="H3879" s="3" t="s">
        <v>97</v>
      </c>
      <c r="I3879" s="3" t="s">
        <v>85</v>
      </c>
      <c r="J3879" s="3" t="s">
        <v>69</v>
      </c>
      <c r="K3879" s="4">
        <v>251.3</v>
      </c>
      <c r="L3879" s="6">
        <v>7.1</v>
      </c>
    </row>
    <row r="3880" spans="1:12" x14ac:dyDescent="0.25">
      <c r="A3880" s="1">
        <v>3879</v>
      </c>
      <c r="B3880" s="4">
        <v>27712</v>
      </c>
      <c r="C3880" s="5">
        <v>40241</v>
      </c>
      <c r="D3880" s="3" t="s">
        <v>82</v>
      </c>
      <c r="E3880" s="1" t="s">
        <v>872</v>
      </c>
      <c r="F3880" s="1" t="s">
        <v>24</v>
      </c>
      <c r="G3880" s="2" t="s">
        <v>2</v>
      </c>
      <c r="H3880" s="3" t="s">
        <v>88</v>
      </c>
      <c r="I3880" s="3" t="s">
        <v>85</v>
      </c>
      <c r="J3880" s="3" t="s">
        <v>66</v>
      </c>
      <c r="K3880" s="4">
        <v>246.63</v>
      </c>
      <c r="L3880" s="6">
        <v>12.28</v>
      </c>
    </row>
    <row r="3881" spans="1:12" x14ac:dyDescent="0.25">
      <c r="A3881" s="1">
        <v>3880</v>
      </c>
      <c r="B3881" s="4">
        <v>27715</v>
      </c>
      <c r="C3881" s="5">
        <v>40805</v>
      </c>
      <c r="D3881" s="3" t="s">
        <v>89</v>
      </c>
      <c r="E3881" s="1" t="s">
        <v>894</v>
      </c>
      <c r="F3881" s="1" t="s">
        <v>24</v>
      </c>
      <c r="G3881" s="2" t="s">
        <v>2</v>
      </c>
      <c r="H3881" s="3" t="s">
        <v>100</v>
      </c>
      <c r="I3881" s="3" t="s">
        <v>85</v>
      </c>
      <c r="J3881" s="3" t="s">
        <v>69</v>
      </c>
      <c r="K3881" s="4">
        <v>94.52</v>
      </c>
      <c r="L3881" s="6">
        <v>7.45</v>
      </c>
    </row>
    <row r="3882" spans="1:12" x14ac:dyDescent="0.25">
      <c r="A3882" s="1">
        <v>3881</v>
      </c>
      <c r="B3882" s="4">
        <v>27717</v>
      </c>
      <c r="C3882" s="5">
        <v>40842</v>
      </c>
      <c r="D3882" s="3" t="s">
        <v>95</v>
      </c>
      <c r="E3882" s="1" t="s">
        <v>1183</v>
      </c>
      <c r="F3882" s="1" t="s">
        <v>23</v>
      </c>
      <c r="G3882" s="2" t="s">
        <v>3</v>
      </c>
      <c r="H3882" s="3" t="s">
        <v>88</v>
      </c>
      <c r="I3882" s="3" t="s">
        <v>85</v>
      </c>
      <c r="J3882" s="3" t="s">
        <v>65</v>
      </c>
      <c r="K3882" s="4">
        <v>75.19</v>
      </c>
      <c r="L3882" s="6">
        <v>3.75</v>
      </c>
    </row>
    <row r="3883" spans="1:12" x14ac:dyDescent="0.25">
      <c r="A3883" s="1">
        <v>3882</v>
      </c>
      <c r="B3883" s="4">
        <v>27744</v>
      </c>
      <c r="C3883" s="5">
        <v>40393</v>
      </c>
      <c r="D3883" s="3" t="s">
        <v>95</v>
      </c>
      <c r="E3883" s="1" t="s">
        <v>574</v>
      </c>
      <c r="F3883" s="1" t="s">
        <v>24</v>
      </c>
      <c r="G3883" s="2" t="s">
        <v>2</v>
      </c>
      <c r="H3883" s="3" t="s">
        <v>88</v>
      </c>
      <c r="I3883" s="3" t="s">
        <v>85</v>
      </c>
      <c r="J3883" s="3" t="s">
        <v>69</v>
      </c>
      <c r="K3883" s="4">
        <v>106.69</v>
      </c>
      <c r="L3883" s="6">
        <v>4.54</v>
      </c>
    </row>
    <row r="3884" spans="1:12" x14ac:dyDescent="0.25">
      <c r="A3884" s="1">
        <v>3883</v>
      </c>
      <c r="B3884" s="4">
        <v>27745</v>
      </c>
      <c r="C3884" s="5">
        <v>40441</v>
      </c>
      <c r="D3884" s="3" t="s">
        <v>82</v>
      </c>
      <c r="E3884" s="1" t="s">
        <v>1082</v>
      </c>
      <c r="F3884" s="1" t="s">
        <v>24</v>
      </c>
      <c r="G3884" s="2" t="s">
        <v>2</v>
      </c>
      <c r="H3884" s="3" t="s">
        <v>97</v>
      </c>
      <c r="I3884" s="3" t="s">
        <v>91</v>
      </c>
      <c r="J3884" s="3" t="s">
        <v>60</v>
      </c>
      <c r="K3884" s="4">
        <v>6126.93</v>
      </c>
      <c r="L3884" s="6">
        <v>146.05000000000001</v>
      </c>
    </row>
    <row r="3885" spans="1:12" x14ac:dyDescent="0.25">
      <c r="A3885" s="1">
        <v>3884</v>
      </c>
      <c r="B3885" s="4">
        <v>27746</v>
      </c>
      <c r="C3885" s="5">
        <v>40516</v>
      </c>
      <c r="D3885" s="3" t="s">
        <v>95</v>
      </c>
      <c r="E3885" s="1" t="s">
        <v>1184</v>
      </c>
      <c r="F3885" s="1" t="s">
        <v>12</v>
      </c>
      <c r="G3885" s="2" t="s">
        <v>2</v>
      </c>
      <c r="H3885" s="3" t="s">
        <v>100</v>
      </c>
      <c r="I3885" s="3" t="s">
        <v>91</v>
      </c>
      <c r="J3885" s="3" t="s">
        <v>59</v>
      </c>
      <c r="K3885" s="4">
        <v>87.09</v>
      </c>
      <c r="L3885" s="6">
        <v>29.34</v>
      </c>
    </row>
    <row r="3886" spans="1:12" x14ac:dyDescent="0.25">
      <c r="A3886" s="1">
        <v>3885</v>
      </c>
      <c r="B3886" s="4">
        <v>27746</v>
      </c>
      <c r="C3886" s="5">
        <v>40516</v>
      </c>
      <c r="D3886" s="3" t="s">
        <v>95</v>
      </c>
      <c r="E3886" s="1" t="s">
        <v>1184</v>
      </c>
      <c r="F3886" s="1" t="s">
        <v>12</v>
      </c>
      <c r="G3886" s="2" t="s">
        <v>2</v>
      </c>
      <c r="H3886" s="3" t="s">
        <v>100</v>
      </c>
      <c r="I3886" s="3" t="s">
        <v>85</v>
      </c>
      <c r="J3886" s="3" t="s">
        <v>66</v>
      </c>
      <c r="K3886" s="4">
        <v>196.1</v>
      </c>
      <c r="L3886" s="6">
        <v>4.76</v>
      </c>
    </row>
    <row r="3887" spans="1:12" x14ac:dyDescent="0.25">
      <c r="A3887" s="1">
        <v>3886</v>
      </c>
      <c r="B3887" s="4">
        <v>27746</v>
      </c>
      <c r="C3887" s="5">
        <v>40516</v>
      </c>
      <c r="D3887" s="3" t="s">
        <v>95</v>
      </c>
      <c r="E3887" s="1" t="s">
        <v>183</v>
      </c>
      <c r="F3887" s="1" t="s">
        <v>35</v>
      </c>
      <c r="G3887" s="2" t="s">
        <v>1</v>
      </c>
      <c r="H3887" s="3" t="s">
        <v>100</v>
      </c>
      <c r="I3887" s="3" t="s">
        <v>92</v>
      </c>
      <c r="J3887" s="3" t="s">
        <v>73</v>
      </c>
      <c r="K3887" s="4">
        <v>1540.77</v>
      </c>
      <c r="L3887" s="6">
        <v>499.99</v>
      </c>
    </row>
    <row r="3888" spans="1:12" x14ac:dyDescent="0.25">
      <c r="A3888" s="1">
        <v>3887</v>
      </c>
      <c r="B3888" s="4">
        <v>27750</v>
      </c>
      <c r="C3888" s="5">
        <v>41201</v>
      </c>
      <c r="D3888" s="3" t="s">
        <v>82</v>
      </c>
      <c r="E3888" s="1" t="s">
        <v>1185</v>
      </c>
      <c r="F3888" s="1" t="s">
        <v>32</v>
      </c>
      <c r="G3888" s="2" t="s">
        <v>2</v>
      </c>
      <c r="H3888" s="3" t="s">
        <v>84</v>
      </c>
      <c r="I3888" s="3" t="s">
        <v>91</v>
      </c>
      <c r="J3888" s="3" t="s">
        <v>68</v>
      </c>
      <c r="K3888" s="4">
        <v>769.17</v>
      </c>
      <c r="L3888" s="6">
        <v>58.14</v>
      </c>
    </row>
    <row r="3889" spans="1:12" x14ac:dyDescent="0.25">
      <c r="A3889" s="1">
        <v>3888</v>
      </c>
      <c r="B3889" s="4">
        <v>27750</v>
      </c>
      <c r="C3889" s="5">
        <v>41201</v>
      </c>
      <c r="D3889" s="3" t="s">
        <v>82</v>
      </c>
      <c r="E3889" s="1" t="s">
        <v>1185</v>
      </c>
      <c r="F3889" s="1" t="s">
        <v>32</v>
      </c>
      <c r="G3889" s="2" t="s">
        <v>2</v>
      </c>
      <c r="H3889" s="3" t="s">
        <v>84</v>
      </c>
      <c r="I3889" s="3" t="s">
        <v>92</v>
      </c>
      <c r="J3889" s="3" t="s">
        <v>73</v>
      </c>
      <c r="K3889" s="4">
        <v>7370.84</v>
      </c>
      <c r="L3889" s="6">
        <v>449.99</v>
      </c>
    </row>
    <row r="3890" spans="1:12" x14ac:dyDescent="0.25">
      <c r="A3890" s="1">
        <v>3889</v>
      </c>
      <c r="B3890" s="4">
        <v>27776</v>
      </c>
      <c r="C3890" s="5">
        <v>40302</v>
      </c>
      <c r="D3890" s="3" t="s">
        <v>82</v>
      </c>
      <c r="E3890" s="1" t="s">
        <v>1186</v>
      </c>
      <c r="F3890" s="1" t="s">
        <v>37</v>
      </c>
      <c r="G3890" s="2" t="s">
        <v>3</v>
      </c>
      <c r="H3890" s="3" t="s">
        <v>88</v>
      </c>
      <c r="I3890" s="3" t="s">
        <v>85</v>
      </c>
      <c r="J3890" s="3" t="s">
        <v>66</v>
      </c>
      <c r="K3890" s="4">
        <v>226.68</v>
      </c>
      <c r="L3890" s="6">
        <v>4.9800000000000004</v>
      </c>
    </row>
    <row r="3891" spans="1:12" x14ac:dyDescent="0.25">
      <c r="A3891" s="1">
        <v>3890</v>
      </c>
      <c r="B3891" s="4">
        <v>27778</v>
      </c>
      <c r="C3891" s="5">
        <v>40788</v>
      </c>
      <c r="D3891" s="3" t="s">
        <v>95</v>
      </c>
      <c r="E3891" s="1" t="s">
        <v>394</v>
      </c>
      <c r="F3891" s="1" t="s">
        <v>23</v>
      </c>
      <c r="G3891" s="2" t="s">
        <v>3</v>
      </c>
      <c r="H3891" s="3" t="s">
        <v>88</v>
      </c>
      <c r="I3891" s="3" t="s">
        <v>92</v>
      </c>
      <c r="J3891" s="3" t="s">
        <v>73</v>
      </c>
      <c r="K3891" s="4">
        <v>6350.29</v>
      </c>
      <c r="L3891" s="6">
        <v>599.99</v>
      </c>
    </row>
    <row r="3892" spans="1:12" x14ac:dyDescent="0.25">
      <c r="A3892" s="1">
        <v>3891</v>
      </c>
      <c r="B3892" s="4">
        <v>27778</v>
      </c>
      <c r="C3892" s="5">
        <v>40788</v>
      </c>
      <c r="D3892" s="3" t="s">
        <v>95</v>
      </c>
      <c r="E3892" s="1" t="s">
        <v>1187</v>
      </c>
      <c r="F3892" s="1" t="s">
        <v>8</v>
      </c>
      <c r="G3892" s="2" t="s">
        <v>6</v>
      </c>
      <c r="H3892" s="3" t="s">
        <v>88</v>
      </c>
      <c r="I3892" s="3" t="s">
        <v>85</v>
      </c>
      <c r="J3892" s="3" t="s">
        <v>69</v>
      </c>
      <c r="K3892" s="4">
        <v>232.67</v>
      </c>
      <c r="L3892" s="6">
        <v>223.98</v>
      </c>
    </row>
    <row r="3893" spans="1:12" x14ac:dyDescent="0.25">
      <c r="A3893" s="1">
        <v>3892</v>
      </c>
      <c r="B3893" s="4">
        <v>27778</v>
      </c>
      <c r="C3893" s="5">
        <v>40788</v>
      </c>
      <c r="D3893" s="3" t="s">
        <v>95</v>
      </c>
      <c r="E3893" s="1" t="s">
        <v>1187</v>
      </c>
      <c r="F3893" s="1" t="s">
        <v>8</v>
      </c>
      <c r="G3893" s="2" t="s">
        <v>6</v>
      </c>
      <c r="H3893" s="3" t="s">
        <v>88</v>
      </c>
      <c r="I3893" s="3" t="s">
        <v>91</v>
      </c>
      <c r="J3893" s="3" t="s">
        <v>68</v>
      </c>
      <c r="K3893" s="4">
        <v>4805.92</v>
      </c>
      <c r="L3893" s="6">
        <v>140.97999999999999</v>
      </c>
    </row>
    <row r="3894" spans="1:12" x14ac:dyDescent="0.25">
      <c r="A3894" s="1">
        <v>3893</v>
      </c>
      <c r="B3894" s="4">
        <v>27780</v>
      </c>
      <c r="C3894" s="5">
        <v>41202</v>
      </c>
      <c r="D3894" s="3" t="s">
        <v>95</v>
      </c>
      <c r="E3894" s="1" t="s">
        <v>430</v>
      </c>
      <c r="F3894" s="1" t="s">
        <v>14</v>
      </c>
      <c r="G3894" s="2" t="s">
        <v>2</v>
      </c>
      <c r="H3894" s="3" t="s">
        <v>84</v>
      </c>
      <c r="I3894" s="3" t="s">
        <v>85</v>
      </c>
      <c r="J3894" s="3" t="s">
        <v>65</v>
      </c>
      <c r="K3894" s="4">
        <v>56.41</v>
      </c>
      <c r="L3894" s="6">
        <v>3.08</v>
      </c>
    </row>
    <row r="3895" spans="1:12" x14ac:dyDescent="0.25">
      <c r="A3895" s="1">
        <v>3894</v>
      </c>
      <c r="B3895" s="4">
        <v>27780</v>
      </c>
      <c r="C3895" s="5">
        <v>41202</v>
      </c>
      <c r="D3895" s="3" t="s">
        <v>95</v>
      </c>
      <c r="E3895" s="1" t="s">
        <v>430</v>
      </c>
      <c r="F3895" s="1" t="s">
        <v>14</v>
      </c>
      <c r="G3895" s="2" t="s">
        <v>2</v>
      </c>
      <c r="H3895" s="3" t="s">
        <v>84</v>
      </c>
      <c r="I3895" s="3" t="s">
        <v>85</v>
      </c>
      <c r="J3895" s="3" t="s">
        <v>58</v>
      </c>
      <c r="K3895" s="4">
        <v>147.71</v>
      </c>
      <c r="L3895" s="6">
        <v>3.68</v>
      </c>
    </row>
    <row r="3896" spans="1:12" x14ac:dyDescent="0.25">
      <c r="A3896" s="1">
        <v>3895</v>
      </c>
      <c r="B3896" s="4">
        <v>27780</v>
      </c>
      <c r="C3896" s="5">
        <v>41202</v>
      </c>
      <c r="D3896" s="3" t="s">
        <v>95</v>
      </c>
      <c r="E3896" s="1" t="s">
        <v>542</v>
      </c>
      <c r="F3896" s="1" t="s">
        <v>14</v>
      </c>
      <c r="G3896" s="2" t="s">
        <v>2</v>
      </c>
      <c r="H3896" s="3" t="s">
        <v>84</v>
      </c>
      <c r="I3896" s="3" t="s">
        <v>92</v>
      </c>
      <c r="J3896" s="3" t="s">
        <v>62</v>
      </c>
      <c r="K3896" s="4">
        <v>1678.34</v>
      </c>
      <c r="L3896" s="6">
        <v>43.98</v>
      </c>
    </row>
    <row r="3897" spans="1:12" x14ac:dyDescent="0.25">
      <c r="A3897" s="1">
        <v>3896</v>
      </c>
      <c r="B3897" s="4">
        <v>27781</v>
      </c>
      <c r="C3897" s="5">
        <v>40801</v>
      </c>
      <c r="D3897" s="3" t="s">
        <v>89</v>
      </c>
      <c r="E3897" s="1" t="s">
        <v>887</v>
      </c>
      <c r="F3897" s="1" t="s">
        <v>30</v>
      </c>
      <c r="G3897" s="2" t="s">
        <v>6</v>
      </c>
      <c r="H3897" s="3" t="s">
        <v>84</v>
      </c>
      <c r="I3897" s="3" t="s">
        <v>85</v>
      </c>
      <c r="J3897" s="3" t="s">
        <v>71</v>
      </c>
      <c r="K3897" s="4">
        <v>181.13</v>
      </c>
      <c r="L3897" s="6">
        <v>3.69</v>
      </c>
    </row>
    <row r="3898" spans="1:12" x14ac:dyDescent="0.25">
      <c r="A3898" s="1">
        <v>3897</v>
      </c>
      <c r="B3898" s="4">
        <v>27808</v>
      </c>
      <c r="C3898" s="5">
        <v>40204</v>
      </c>
      <c r="D3898" s="3" t="s">
        <v>82</v>
      </c>
      <c r="E3898" s="1" t="s">
        <v>736</v>
      </c>
      <c r="F3898" s="1" t="s">
        <v>22</v>
      </c>
      <c r="G3898" s="2" t="s">
        <v>6</v>
      </c>
      <c r="H3898" s="3" t="s">
        <v>100</v>
      </c>
      <c r="I3898" s="3" t="s">
        <v>92</v>
      </c>
      <c r="J3898" s="3" t="s">
        <v>62</v>
      </c>
      <c r="K3898" s="4">
        <v>196.12</v>
      </c>
      <c r="L3898" s="6">
        <v>20.89</v>
      </c>
    </row>
    <row r="3899" spans="1:12" x14ac:dyDescent="0.25">
      <c r="A3899" s="1">
        <v>3898</v>
      </c>
      <c r="B3899" s="4">
        <v>27810</v>
      </c>
      <c r="C3899" s="5">
        <v>40206</v>
      </c>
      <c r="D3899" s="3" t="s">
        <v>89</v>
      </c>
      <c r="E3899" s="1" t="s">
        <v>1188</v>
      </c>
      <c r="F3899" s="1" t="s">
        <v>26</v>
      </c>
      <c r="G3899" s="2" t="s">
        <v>3</v>
      </c>
      <c r="H3899" s="3" t="s">
        <v>100</v>
      </c>
      <c r="I3899" s="3" t="s">
        <v>85</v>
      </c>
      <c r="J3899" s="3" t="s">
        <v>65</v>
      </c>
      <c r="K3899" s="4">
        <v>216.51</v>
      </c>
      <c r="L3899" s="6">
        <v>6.3</v>
      </c>
    </row>
    <row r="3900" spans="1:12" x14ac:dyDescent="0.25">
      <c r="A3900" s="1">
        <v>3899</v>
      </c>
      <c r="B3900" s="4">
        <v>27811</v>
      </c>
      <c r="C3900" s="5">
        <v>40606</v>
      </c>
      <c r="D3900" s="3" t="s">
        <v>86</v>
      </c>
      <c r="E3900" s="1" t="s">
        <v>1189</v>
      </c>
      <c r="F3900" s="1" t="s">
        <v>34</v>
      </c>
      <c r="G3900" s="2" t="s">
        <v>1</v>
      </c>
      <c r="H3900" s="3" t="s">
        <v>84</v>
      </c>
      <c r="I3900" s="3" t="s">
        <v>85</v>
      </c>
      <c r="J3900" s="3" t="s">
        <v>69</v>
      </c>
      <c r="K3900" s="4">
        <v>197.59</v>
      </c>
      <c r="L3900" s="6">
        <v>6.81</v>
      </c>
    </row>
    <row r="3901" spans="1:12" x14ac:dyDescent="0.25">
      <c r="A3901" s="1">
        <v>3900</v>
      </c>
      <c r="B3901" s="4">
        <v>27811</v>
      </c>
      <c r="C3901" s="5">
        <v>40606</v>
      </c>
      <c r="D3901" s="3" t="s">
        <v>86</v>
      </c>
      <c r="E3901" s="1" t="s">
        <v>459</v>
      </c>
      <c r="F3901" s="1" t="s">
        <v>35</v>
      </c>
      <c r="G3901" s="2" t="s">
        <v>1</v>
      </c>
      <c r="H3901" s="3" t="s">
        <v>84</v>
      </c>
      <c r="I3901" s="3" t="s">
        <v>85</v>
      </c>
      <c r="J3901" s="3" t="s">
        <v>69</v>
      </c>
      <c r="K3901" s="4">
        <v>73.900000000000006</v>
      </c>
      <c r="L3901" s="6">
        <v>15.99</v>
      </c>
    </row>
    <row r="3902" spans="1:12" x14ac:dyDescent="0.25">
      <c r="A3902" s="1">
        <v>3901</v>
      </c>
      <c r="B3902" s="4">
        <v>27813</v>
      </c>
      <c r="C3902" s="5">
        <v>39825</v>
      </c>
      <c r="D3902" s="3" t="s">
        <v>4</v>
      </c>
      <c r="E3902" s="1" t="s">
        <v>1186</v>
      </c>
      <c r="F3902" s="1" t="s">
        <v>37</v>
      </c>
      <c r="G3902" s="2" t="s">
        <v>3</v>
      </c>
      <c r="H3902" s="3" t="s">
        <v>100</v>
      </c>
      <c r="I3902" s="3" t="s">
        <v>92</v>
      </c>
      <c r="J3902" s="3" t="s">
        <v>62</v>
      </c>
      <c r="K3902" s="4">
        <v>401.14</v>
      </c>
      <c r="L3902" s="6">
        <v>40.98</v>
      </c>
    </row>
    <row r="3903" spans="1:12" x14ac:dyDescent="0.25">
      <c r="A3903" s="1">
        <v>3902</v>
      </c>
      <c r="B3903" s="4">
        <v>27840</v>
      </c>
      <c r="C3903" s="5">
        <v>39997</v>
      </c>
      <c r="D3903" s="3" t="s">
        <v>89</v>
      </c>
      <c r="E3903" s="1" t="s">
        <v>901</v>
      </c>
      <c r="F3903" s="1" t="s">
        <v>41</v>
      </c>
      <c r="G3903" s="2" t="s">
        <v>6</v>
      </c>
      <c r="H3903" s="3" t="s">
        <v>97</v>
      </c>
      <c r="I3903" s="3" t="s">
        <v>91</v>
      </c>
      <c r="J3903" s="3" t="s">
        <v>68</v>
      </c>
      <c r="K3903" s="4">
        <v>1209.3699999999999</v>
      </c>
      <c r="L3903" s="6">
        <v>150.97999999999999</v>
      </c>
    </row>
    <row r="3904" spans="1:12" x14ac:dyDescent="0.25">
      <c r="A3904" s="1">
        <v>3903</v>
      </c>
      <c r="B3904" s="4">
        <v>27841</v>
      </c>
      <c r="C3904" s="5">
        <v>41168</v>
      </c>
      <c r="D3904" s="3" t="s">
        <v>89</v>
      </c>
      <c r="E3904" s="1" t="s">
        <v>168</v>
      </c>
      <c r="F3904" s="1" t="s">
        <v>15</v>
      </c>
      <c r="G3904" s="2" t="s">
        <v>1</v>
      </c>
      <c r="H3904" s="3" t="s">
        <v>88</v>
      </c>
      <c r="I3904" s="3" t="s">
        <v>85</v>
      </c>
      <c r="J3904" s="3" t="s">
        <v>63</v>
      </c>
      <c r="K3904" s="4">
        <v>67.849999999999994</v>
      </c>
      <c r="L3904" s="6">
        <v>2.1</v>
      </c>
    </row>
    <row r="3905" spans="1:12" x14ac:dyDescent="0.25">
      <c r="A3905" s="1">
        <v>3904</v>
      </c>
      <c r="B3905" s="4">
        <v>27843</v>
      </c>
      <c r="C3905" s="5">
        <v>40426</v>
      </c>
      <c r="D3905" s="3" t="s">
        <v>4</v>
      </c>
      <c r="E3905" s="1" t="s">
        <v>413</v>
      </c>
      <c r="F3905" s="1" t="s">
        <v>14</v>
      </c>
      <c r="G3905" s="2" t="s">
        <v>2</v>
      </c>
      <c r="H3905" s="3" t="s">
        <v>97</v>
      </c>
      <c r="I3905" s="3" t="s">
        <v>92</v>
      </c>
      <c r="J3905" s="3" t="s">
        <v>62</v>
      </c>
      <c r="K3905" s="4">
        <v>139.61000000000001</v>
      </c>
      <c r="L3905" s="6">
        <v>4.8899999999999997</v>
      </c>
    </row>
    <row r="3906" spans="1:12" x14ac:dyDescent="0.25">
      <c r="A3906" s="1">
        <v>3905</v>
      </c>
      <c r="B3906" s="4">
        <v>27844</v>
      </c>
      <c r="C3906" s="5">
        <v>40723</v>
      </c>
      <c r="D3906" s="3" t="s">
        <v>82</v>
      </c>
      <c r="E3906" s="1" t="s">
        <v>96</v>
      </c>
      <c r="F3906" s="1" t="s">
        <v>12</v>
      </c>
      <c r="G3906" s="2" t="s">
        <v>2</v>
      </c>
      <c r="H3906" s="3" t="s">
        <v>97</v>
      </c>
      <c r="I3906" s="3" t="s">
        <v>85</v>
      </c>
      <c r="J3906" s="3" t="s">
        <v>69</v>
      </c>
      <c r="K3906" s="4">
        <v>11.08</v>
      </c>
      <c r="L3906" s="6">
        <v>5.8</v>
      </c>
    </row>
    <row r="3907" spans="1:12" x14ac:dyDescent="0.25">
      <c r="A3907" s="1">
        <v>3906</v>
      </c>
      <c r="B3907" s="4">
        <v>27844</v>
      </c>
      <c r="C3907" s="5">
        <v>40723</v>
      </c>
      <c r="D3907" s="3" t="s">
        <v>82</v>
      </c>
      <c r="E3907" s="1" t="s">
        <v>662</v>
      </c>
      <c r="F3907" s="1" t="s">
        <v>18</v>
      </c>
      <c r="G3907" s="2" t="s">
        <v>6</v>
      </c>
      <c r="H3907" s="3" t="s">
        <v>97</v>
      </c>
      <c r="I3907" s="3" t="s">
        <v>85</v>
      </c>
      <c r="J3907" s="3" t="s">
        <v>66</v>
      </c>
      <c r="K3907" s="4">
        <v>135.86000000000001</v>
      </c>
      <c r="L3907" s="6">
        <v>4.9800000000000004</v>
      </c>
    </row>
    <row r="3908" spans="1:12" x14ac:dyDescent="0.25">
      <c r="A3908" s="1">
        <v>3907</v>
      </c>
      <c r="B3908" s="4">
        <v>27845</v>
      </c>
      <c r="C3908" s="5">
        <v>40737</v>
      </c>
      <c r="D3908" s="3" t="s">
        <v>86</v>
      </c>
      <c r="E3908" s="1" t="s">
        <v>719</v>
      </c>
      <c r="F3908" s="1" t="s">
        <v>19</v>
      </c>
      <c r="G3908" s="2" t="s">
        <v>3</v>
      </c>
      <c r="H3908" s="3" t="s">
        <v>84</v>
      </c>
      <c r="I3908" s="3" t="s">
        <v>85</v>
      </c>
      <c r="J3908" s="3" t="s">
        <v>65</v>
      </c>
      <c r="K3908" s="4">
        <v>220.45</v>
      </c>
      <c r="L3908" s="6">
        <v>6.3</v>
      </c>
    </row>
    <row r="3909" spans="1:12" x14ac:dyDescent="0.25">
      <c r="A3909" s="1">
        <v>3908</v>
      </c>
      <c r="B3909" s="4">
        <v>27872</v>
      </c>
      <c r="C3909" s="5">
        <v>40829</v>
      </c>
      <c r="D3909" s="3" t="s">
        <v>86</v>
      </c>
      <c r="E3909" s="1" t="s">
        <v>1190</v>
      </c>
      <c r="F3909" s="1" t="s">
        <v>32</v>
      </c>
      <c r="G3909" s="2" t="s">
        <v>2</v>
      </c>
      <c r="H3909" s="3" t="s">
        <v>88</v>
      </c>
      <c r="I3909" s="3" t="s">
        <v>85</v>
      </c>
      <c r="J3909" s="3" t="s">
        <v>69</v>
      </c>
      <c r="K3909" s="4">
        <v>388.71</v>
      </c>
      <c r="L3909" s="6">
        <v>14.27</v>
      </c>
    </row>
    <row r="3910" spans="1:12" x14ac:dyDescent="0.25">
      <c r="A3910" s="1">
        <v>3909</v>
      </c>
      <c r="B3910" s="4">
        <v>27875</v>
      </c>
      <c r="C3910" s="5">
        <v>40263</v>
      </c>
      <c r="D3910" s="3" t="s">
        <v>82</v>
      </c>
      <c r="E3910" s="1" t="s">
        <v>847</v>
      </c>
      <c r="F3910" s="1" t="s">
        <v>42</v>
      </c>
      <c r="G3910" s="2" t="s">
        <v>3</v>
      </c>
      <c r="H3910" s="3" t="s">
        <v>100</v>
      </c>
      <c r="I3910" s="3" t="s">
        <v>85</v>
      </c>
      <c r="J3910" s="3" t="s">
        <v>70</v>
      </c>
      <c r="K3910" s="4">
        <v>64.97</v>
      </c>
      <c r="L3910" s="6">
        <v>3.48</v>
      </c>
    </row>
    <row r="3911" spans="1:12" x14ac:dyDescent="0.25">
      <c r="A3911" s="1">
        <v>3910</v>
      </c>
      <c r="B3911" s="4">
        <v>27876</v>
      </c>
      <c r="C3911" s="5">
        <v>40428</v>
      </c>
      <c r="D3911" s="3" t="s">
        <v>82</v>
      </c>
      <c r="E3911" s="1" t="s">
        <v>1191</v>
      </c>
      <c r="F3911" s="1" t="s">
        <v>28</v>
      </c>
      <c r="G3911" s="2" t="s">
        <v>6</v>
      </c>
      <c r="H3911" s="3" t="s">
        <v>88</v>
      </c>
      <c r="I3911" s="3" t="s">
        <v>85</v>
      </c>
      <c r="J3911" s="3" t="s">
        <v>63</v>
      </c>
      <c r="K3911" s="4">
        <v>777.63</v>
      </c>
      <c r="L3911" s="6">
        <v>16.989999999999998</v>
      </c>
    </row>
    <row r="3912" spans="1:12" x14ac:dyDescent="0.25">
      <c r="A3912" s="1">
        <v>3911</v>
      </c>
      <c r="B3912" s="4">
        <v>27879</v>
      </c>
      <c r="C3912" s="5">
        <v>40235</v>
      </c>
      <c r="D3912" s="3" t="s">
        <v>4</v>
      </c>
      <c r="E3912" s="1" t="s">
        <v>908</v>
      </c>
      <c r="F3912" s="1" t="s">
        <v>42</v>
      </c>
      <c r="G3912" s="2" t="s">
        <v>3</v>
      </c>
      <c r="H3912" s="3" t="s">
        <v>84</v>
      </c>
      <c r="I3912" s="3" t="s">
        <v>85</v>
      </c>
      <c r="J3912" s="3" t="s">
        <v>71</v>
      </c>
      <c r="K3912" s="4">
        <v>669.01</v>
      </c>
      <c r="L3912" s="6">
        <v>15.74</v>
      </c>
    </row>
    <row r="3913" spans="1:12" x14ac:dyDescent="0.25">
      <c r="A3913" s="1">
        <v>3912</v>
      </c>
      <c r="B3913" s="4">
        <v>27879</v>
      </c>
      <c r="C3913" s="5">
        <v>40235</v>
      </c>
      <c r="D3913" s="3" t="s">
        <v>4</v>
      </c>
      <c r="E3913" s="1" t="s">
        <v>908</v>
      </c>
      <c r="F3913" s="1" t="s">
        <v>42</v>
      </c>
      <c r="G3913" s="2" t="s">
        <v>3</v>
      </c>
      <c r="H3913" s="3" t="s">
        <v>84</v>
      </c>
      <c r="I3913" s="3" t="s">
        <v>91</v>
      </c>
      <c r="J3913" s="3" t="s">
        <v>59</v>
      </c>
      <c r="K3913" s="4">
        <v>301.60000000000002</v>
      </c>
      <c r="L3913" s="6">
        <v>9.65</v>
      </c>
    </row>
    <row r="3914" spans="1:12" x14ac:dyDescent="0.25">
      <c r="A3914" s="1">
        <v>3913</v>
      </c>
      <c r="B3914" s="4">
        <v>27904</v>
      </c>
      <c r="C3914" s="5">
        <v>40789</v>
      </c>
      <c r="D3914" s="3" t="s">
        <v>89</v>
      </c>
      <c r="E3914" s="1" t="s">
        <v>453</v>
      </c>
      <c r="F3914" s="1" t="s">
        <v>36</v>
      </c>
      <c r="G3914" s="2" t="s">
        <v>2</v>
      </c>
      <c r="H3914" s="3" t="s">
        <v>100</v>
      </c>
      <c r="I3914" s="3" t="s">
        <v>92</v>
      </c>
      <c r="J3914" s="3" t="s">
        <v>61</v>
      </c>
      <c r="K3914" s="4">
        <v>460.58949999999999</v>
      </c>
      <c r="L3914" s="6">
        <v>65.989999999999995</v>
      </c>
    </row>
    <row r="3915" spans="1:12" x14ac:dyDescent="0.25">
      <c r="A3915" s="1">
        <v>3914</v>
      </c>
      <c r="B3915" s="4">
        <v>27909</v>
      </c>
      <c r="C3915" s="5">
        <v>40946</v>
      </c>
      <c r="D3915" s="3" t="s">
        <v>95</v>
      </c>
      <c r="E3915" s="1" t="s">
        <v>916</v>
      </c>
      <c r="F3915" s="1" t="s">
        <v>8</v>
      </c>
      <c r="G3915" s="2" t="s">
        <v>6</v>
      </c>
      <c r="H3915" s="3" t="s">
        <v>88</v>
      </c>
      <c r="I3915" s="3" t="s">
        <v>85</v>
      </c>
      <c r="J3915" s="3" t="s">
        <v>66</v>
      </c>
      <c r="K3915" s="4">
        <v>62.26</v>
      </c>
      <c r="L3915" s="6">
        <v>54.96</v>
      </c>
    </row>
    <row r="3916" spans="1:12" x14ac:dyDescent="0.25">
      <c r="A3916" s="1">
        <v>3915</v>
      </c>
      <c r="B3916" s="4">
        <v>27909</v>
      </c>
      <c r="C3916" s="5">
        <v>40946</v>
      </c>
      <c r="D3916" s="3" t="s">
        <v>95</v>
      </c>
      <c r="E3916" s="1" t="s">
        <v>916</v>
      </c>
      <c r="F3916" s="1" t="s">
        <v>8</v>
      </c>
      <c r="G3916" s="2" t="s">
        <v>6</v>
      </c>
      <c r="H3916" s="3" t="s">
        <v>88</v>
      </c>
      <c r="I3916" s="3" t="s">
        <v>85</v>
      </c>
      <c r="J3916" s="3" t="s">
        <v>64</v>
      </c>
      <c r="K3916" s="4">
        <v>58.53</v>
      </c>
      <c r="L3916" s="6">
        <v>1.26</v>
      </c>
    </row>
    <row r="3917" spans="1:12" x14ac:dyDescent="0.25">
      <c r="A3917" s="1">
        <v>3916</v>
      </c>
      <c r="B3917" s="4">
        <v>27936</v>
      </c>
      <c r="C3917" s="5">
        <v>40731</v>
      </c>
      <c r="D3917" s="3" t="s">
        <v>89</v>
      </c>
      <c r="E3917" s="1" t="s">
        <v>323</v>
      </c>
      <c r="F3917" s="1" t="s">
        <v>23</v>
      </c>
      <c r="G3917" s="2" t="s">
        <v>3</v>
      </c>
      <c r="H3917" s="3" t="s">
        <v>100</v>
      </c>
      <c r="I3917" s="3" t="s">
        <v>92</v>
      </c>
      <c r="J3917" s="3" t="s">
        <v>61</v>
      </c>
      <c r="K3917" s="4">
        <v>1028.1600000000001</v>
      </c>
      <c r="L3917" s="6">
        <v>55.99</v>
      </c>
    </row>
    <row r="3918" spans="1:12" x14ac:dyDescent="0.25">
      <c r="A3918" s="1">
        <v>3917</v>
      </c>
      <c r="B3918" s="4">
        <v>27936</v>
      </c>
      <c r="C3918" s="5">
        <v>40731</v>
      </c>
      <c r="D3918" s="3" t="s">
        <v>89</v>
      </c>
      <c r="E3918" s="1" t="s">
        <v>558</v>
      </c>
      <c r="F3918" s="1" t="s">
        <v>24</v>
      </c>
      <c r="G3918" s="2" t="s">
        <v>2</v>
      </c>
      <c r="H3918" s="3" t="s">
        <v>100</v>
      </c>
      <c r="I3918" s="3" t="s">
        <v>92</v>
      </c>
      <c r="J3918" s="3" t="s">
        <v>67</v>
      </c>
      <c r="K3918" s="4">
        <v>9172.32</v>
      </c>
      <c r="L3918" s="6">
        <v>3502.14</v>
      </c>
    </row>
    <row r="3919" spans="1:12" x14ac:dyDescent="0.25">
      <c r="A3919" s="1">
        <v>3918</v>
      </c>
      <c r="B3919" s="4">
        <v>27938</v>
      </c>
      <c r="C3919" s="5">
        <v>39938</v>
      </c>
      <c r="D3919" s="3" t="s">
        <v>4</v>
      </c>
      <c r="E3919" s="1" t="s">
        <v>503</v>
      </c>
      <c r="F3919" s="1" t="s">
        <v>21</v>
      </c>
      <c r="G3919" s="2" t="s">
        <v>1</v>
      </c>
      <c r="H3919" s="3" t="s">
        <v>97</v>
      </c>
      <c r="I3919" s="3" t="s">
        <v>85</v>
      </c>
      <c r="J3919" s="3" t="s">
        <v>66</v>
      </c>
      <c r="K3919" s="4">
        <v>1233.51</v>
      </c>
      <c r="L3919" s="6">
        <v>30.98</v>
      </c>
    </row>
    <row r="3920" spans="1:12" x14ac:dyDescent="0.25">
      <c r="A3920" s="1">
        <v>3919</v>
      </c>
      <c r="B3920" s="4">
        <v>27939</v>
      </c>
      <c r="C3920" s="5">
        <v>41009</v>
      </c>
      <c r="D3920" s="3" t="s">
        <v>4</v>
      </c>
      <c r="E3920" s="1" t="s">
        <v>139</v>
      </c>
      <c r="F3920" s="1" t="s">
        <v>33</v>
      </c>
      <c r="G3920" s="2" t="s">
        <v>2</v>
      </c>
      <c r="H3920" s="3" t="s">
        <v>88</v>
      </c>
      <c r="I3920" s="3" t="s">
        <v>85</v>
      </c>
      <c r="J3920" s="3" t="s">
        <v>66</v>
      </c>
      <c r="K3920" s="4">
        <v>60.17</v>
      </c>
      <c r="L3920" s="6">
        <v>6.68</v>
      </c>
    </row>
    <row r="3921" spans="1:12" x14ac:dyDescent="0.25">
      <c r="A3921" s="1">
        <v>3920</v>
      </c>
      <c r="B3921" s="4">
        <v>27969</v>
      </c>
      <c r="C3921" s="5">
        <v>40337</v>
      </c>
      <c r="D3921" s="3" t="s">
        <v>82</v>
      </c>
      <c r="E3921" s="1" t="s">
        <v>1147</v>
      </c>
      <c r="F3921" s="1" t="s">
        <v>17</v>
      </c>
      <c r="G3921" s="2" t="s">
        <v>2</v>
      </c>
      <c r="H3921" s="3" t="s">
        <v>97</v>
      </c>
      <c r="I3921" s="3" t="s">
        <v>91</v>
      </c>
      <c r="J3921" s="3" t="s">
        <v>68</v>
      </c>
      <c r="K3921" s="4">
        <v>5677.87</v>
      </c>
      <c r="L3921" s="6">
        <v>130.97999999999999</v>
      </c>
    </row>
    <row r="3922" spans="1:12" x14ac:dyDescent="0.25">
      <c r="A3922" s="1">
        <v>3921</v>
      </c>
      <c r="B3922" s="4">
        <v>27969</v>
      </c>
      <c r="C3922" s="5">
        <v>40337</v>
      </c>
      <c r="D3922" s="3" t="s">
        <v>82</v>
      </c>
      <c r="E3922" s="1" t="s">
        <v>1147</v>
      </c>
      <c r="F3922" s="1" t="s">
        <v>17</v>
      </c>
      <c r="G3922" s="2" t="s">
        <v>2</v>
      </c>
      <c r="H3922" s="3" t="s">
        <v>97</v>
      </c>
      <c r="I3922" s="3" t="s">
        <v>92</v>
      </c>
      <c r="J3922" s="3" t="s">
        <v>62</v>
      </c>
      <c r="K3922" s="4">
        <v>732.72</v>
      </c>
      <c r="L3922" s="6">
        <v>83.1</v>
      </c>
    </row>
    <row r="3923" spans="1:12" x14ac:dyDescent="0.25">
      <c r="A3923" s="1">
        <v>3922</v>
      </c>
      <c r="B3923" s="4">
        <v>27969</v>
      </c>
      <c r="C3923" s="5">
        <v>40337</v>
      </c>
      <c r="D3923" s="3" t="s">
        <v>82</v>
      </c>
      <c r="E3923" s="1" t="s">
        <v>1147</v>
      </c>
      <c r="F3923" s="1" t="s">
        <v>17</v>
      </c>
      <c r="G3923" s="2" t="s">
        <v>2</v>
      </c>
      <c r="H3923" s="3" t="s">
        <v>97</v>
      </c>
      <c r="I3923" s="3" t="s">
        <v>85</v>
      </c>
      <c r="J3923" s="3" t="s">
        <v>57</v>
      </c>
      <c r="K3923" s="4">
        <v>687.47</v>
      </c>
      <c r="L3923" s="6">
        <v>20.98</v>
      </c>
    </row>
    <row r="3924" spans="1:12" x14ac:dyDescent="0.25">
      <c r="A3924" s="1">
        <v>3923</v>
      </c>
      <c r="B3924" s="4">
        <v>27974</v>
      </c>
      <c r="C3924" s="5">
        <v>40458</v>
      </c>
      <c r="D3924" s="3" t="s">
        <v>89</v>
      </c>
      <c r="E3924" s="1" t="s">
        <v>597</v>
      </c>
      <c r="F3924" s="1" t="s">
        <v>35</v>
      </c>
      <c r="G3924" s="2" t="s">
        <v>1</v>
      </c>
      <c r="H3924" s="3" t="s">
        <v>97</v>
      </c>
      <c r="I3924" s="3" t="s">
        <v>91</v>
      </c>
      <c r="J3924" s="3" t="s">
        <v>72</v>
      </c>
      <c r="K3924" s="4">
        <v>897.42</v>
      </c>
      <c r="L3924" s="6">
        <v>26.64</v>
      </c>
    </row>
    <row r="3925" spans="1:12" x14ac:dyDescent="0.25">
      <c r="A3925" s="1">
        <v>3924</v>
      </c>
      <c r="B3925" s="4">
        <v>27974</v>
      </c>
      <c r="C3925" s="5">
        <v>40458</v>
      </c>
      <c r="D3925" s="3" t="s">
        <v>89</v>
      </c>
      <c r="E3925" s="1" t="s">
        <v>597</v>
      </c>
      <c r="F3925" s="1" t="s">
        <v>35</v>
      </c>
      <c r="G3925" s="2" t="s">
        <v>1</v>
      </c>
      <c r="H3925" s="3" t="s">
        <v>97</v>
      </c>
      <c r="I3925" s="3" t="s">
        <v>91</v>
      </c>
      <c r="J3925" s="3" t="s">
        <v>59</v>
      </c>
      <c r="K3925" s="4">
        <v>306.02</v>
      </c>
      <c r="L3925" s="6">
        <v>12.07</v>
      </c>
    </row>
    <row r="3926" spans="1:12" x14ac:dyDescent="0.25">
      <c r="A3926" s="1">
        <v>3925</v>
      </c>
      <c r="B3926" s="4">
        <v>27974</v>
      </c>
      <c r="C3926" s="5">
        <v>40458</v>
      </c>
      <c r="D3926" s="3" t="s">
        <v>89</v>
      </c>
      <c r="E3926" s="1" t="s">
        <v>330</v>
      </c>
      <c r="F3926" s="1" t="s">
        <v>36</v>
      </c>
      <c r="G3926" s="2" t="s">
        <v>2</v>
      </c>
      <c r="H3926" s="3" t="s">
        <v>97</v>
      </c>
      <c r="I3926" s="3" t="s">
        <v>92</v>
      </c>
      <c r="J3926" s="3" t="s">
        <v>62</v>
      </c>
      <c r="K3926" s="4">
        <v>813.41</v>
      </c>
      <c r="L3926" s="6">
        <v>28.48</v>
      </c>
    </row>
    <row r="3927" spans="1:12" x14ac:dyDescent="0.25">
      <c r="A3927" s="1">
        <v>3926</v>
      </c>
      <c r="B3927" s="4">
        <v>28001</v>
      </c>
      <c r="C3927" s="5">
        <v>39978</v>
      </c>
      <c r="D3927" s="3" t="s">
        <v>95</v>
      </c>
      <c r="E3927" s="1" t="s">
        <v>592</v>
      </c>
      <c r="F3927" s="1" t="s">
        <v>48</v>
      </c>
      <c r="G3927" s="2" t="s">
        <v>1</v>
      </c>
      <c r="H3927" s="3" t="s">
        <v>97</v>
      </c>
      <c r="I3927" s="3" t="s">
        <v>91</v>
      </c>
      <c r="J3927" s="3" t="s">
        <v>59</v>
      </c>
      <c r="K3927" s="4">
        <v>8958.4599999999991</v>
      </c>
      <c r="L3927" s="6">
        <v>209.84</v>
      </c>
    </row>
    <row r="3928" spans="1:12" x14ac:dyDescent="0.25">
      <c r="A3928" s="1">
        <v>3927</v>
      </c>
      <c r="B3928" s="4">
        <v>28001</v>
      </c>
      <c r="C3928" s="5">
        <v>39978</v>
      </c>
      <c r="D3928" s="3" t="s">
        <v>95</v>
      </c>
      <c r="E3928" s="1" t="s">
        <v>836</v>
      </c>
      <c r="F3928" s="1" t="s">
        <v>27</v>
      </c>
      <c r="G3928" s="2" t="s">
        <v>1</v>
      </c>
      <c r="H3928" s="3" t="s">
        <v>97</v>
      </c>
      <c r="I3928" s="3" t="s">
        <v>91</v>
      </c>
      <c r="J3928" s="3" t="s">
        <v>59</v>
      </c>
      <c r="K3928" s="4">
        <v>4201.08</v>
      </c>
      <c r="L3928" s="6">
        <v>194.3</v>
      </c>
    </row>
    <row r="3929" spans="1:12" x14ac:dyDescent="0.25">
      <c r="A3929" s="1">
        <v>3928</v>
      </c>
      <c r="B3929" s="4">
        <v>28002</v>
      </c>
      <c r="C3929" s="5">
        <v>40096</v>
      </c>
      <c r="D3929" s="3" t="s">
        <v>95</v>
      </c>
      <c r="E3929" s="1" t="s">
        <v>639</v>
      </c>
      <c r="F3929" s="1" t="s">
        <v>31</v>
      </c>
      <c r="G3929" s="2" t="s">
        <v>1</v>
      </c>
      <c r="H3929" s="3" t="s">
        <v>97</v>
      </c>
      <c r="I3929" s="3" t="s">
        <v>85</v>
      </c>
      <c r="J3929" s="3" t="s">
        <v>66</v>
      </c>
      <c r="K3929" s="4">
        <v>43.55</v>
      </c>
      <c r="L3929" s="6">
        <v>9.11</v>
      </c>
    </row>
    <row r="3930" spans="1:12" x14ac:dyDescent="0.25">
      <c r="A3930" s="1">
        <v>3929</v>
      </c>
      <c r="B3930" s="4">
        <v>28003</v>
      </c>
      <c r="C3930" s="5">
        <v>40621</v>
      </c>
      <c r="D3930" s="3" t="s">
        <v>95</v>
      </c>
      <c r="E3930" s="1" t="s">
        <v>1085</v>
      </c>
      <c r="F3930" s="1" t="s">
        <v>8</v>
      </c>
      <c r="G3930" s="2" t="s">
        <v>6</v>
      </c>
      <c r="H3930" s="3" t="s">
        <v>88</v>
      </c>
      <c r="I3930" s="3" t="s">
        <v>85</v>
      </c>
      <c r="J3930" s="3" t="s">
        <v>66</v>
      </c>
      <c r="K3930" s="4">
        <v>157.79</v>
      </c>
      <c r="L3930" s="6">
        <v>4.9800000000000004</v>
      </c>
    </row>
    <row r="3931" spans="1:12" x14ac:dyDescent="0.25">
      <c r="A3931" s="1">
        <v>3930</v>
      </c>
      <c r="B3931" s="4">
        <v>28007</v>
      </c>
      <c r="C3931" s="5">
        <v>40276</v>
      </c>
      <c r="D3931" s="3" t="s">
        <v>86</v>
      </c>
      <c r="E3931" s="1" t="s">
        <v>1178</v>
      </c>
      <c r="F3931" s="1" t="s">
        <v>24</v>
      </c>
      <c r="G3931" s="2" t="s">
        <v>2</v>
      </c>
      <c r="H3931" s="3" t="s">
        <v>84</v>
      </c>
      <c r="I3931" s="3" t="s">
        <v>85</v>
      </c>
      <c r="J3931" s="3" t="s">
        <v>70</v>
      </c>
      <c r="K3931" s="4">
        <v>128.97</v>
      </c>
      <c r="L3931" s="6">
        <v>3.48</v>
      </c>
    </row>
    <row r="3932" spans="1:12" x14ac:dyDescent="0.25">
      <c r="A3932" s="1">
        <v>3931</v>
      </c>
      <c r="B3932" s="4">
        <v>28007</v>
      </c>
      <c r="C3932" s="5">
        <v>40276</v>
      </c>
      <c r="D3932" s="3" t="s">
        <v>86</v>
      </c>
      <c r="E3932" s="1" t="s">
        <v>1178</v>
      </c>
      <c r="F3932" s="1" t="s">
        <v>24</v>
      </c>
      <c r="G3932" s="2" t="s">
        <v>2</v>
      </c>
      <c r="H3932" s="3" t="s">
        <v>84</v>
      </c>
      <c r="I3932" s="3" t="s">
        <v>85</v>
      </c>
      <c r="J3932" s="3" t="s">
        <v>63</v>
      </c>
      <c r="K3932" s="4">
        <v>238.77</v>
      </c>
      <c r="L3932" s="6">
        <v>11.66</v>
      </c>
    </row>
    <row r="3933" spans="1:12" x14ac:dyDescent="0.25">
      <c r="A3933" s="1">
        <v>3932</v>
      </c>
      <c r="B3933" s="4">
        <v>28007</v>
      </c>
      <c r="C3933" s="5">
        <v>40276</v>
      </c>
      <c r="D3933" s="3" t="s">
        <v>86</v>
      </c>
      <c r="E3933" s="1" t="s">
        <v>1178</v>
      </c>
      <c r="F3933" s="1" t="s">
        <v>24</v>
      </c>
      <c r="G3933" s="2" t="s">
        <v>2</v>
      </c>
      <c r="H3933" s="3" t="s">
        <v>84</v>
      </c>
      <c r="I3933" s="3" t="s">
        <v>85</v>
      </c>
      <c r="J3933" s="3" t="s">
        <v>58</v>
      </c>
      <c r="K3933" s="4">
        <v>257.33999999999997</v>
      </c>
      <c r="L3933" s="6">
        <v>12.98</v>
      </c>
    </row>
    <row r="3934" spans="1:12" x14ac:dyDescent="0.25">
      <c r="A3934" s="1">
        <v>3933</v>
      </c>
      <c r="B3934" s="4">
        <v>28033</v>
      </c>
      <c r="C3934" s="5">
        <v>40435</v>
      </c>
      <c r="D3934" s="3" t="s">
        <v>89</v>
      </c>
      <c r="E3934" s="1" t="s">
        <v>748</v>
      </c>
      <c r="F3934" s="1" t="s">
        <v>13</v>
      </c>
      <c r="G3934" s="2" t="s">
        <v>6</v>
      </c>
      <c r="H3934" s="3" t="s">
        <v>88</v>
      </c>
      <c r="I3934" s="3" t="s">
        <v>91</v>
      </c>
      <c r="J3934" s="3" t="s">
        <v>72</v>
      </c>
      <c r="K3934" s="4">
        <v>2826.9</v>
      </c>
      <c r="L3934" s="6">
        <v>180.98</v>
      </c>
    </row>
    <row r="3935" spans="1:12" x14ac:dyDescent="0.25">
      <c r="A3935" s="1">
        <v>3934</v>
      </c>
      <c r="B3935" s="4">
        <v>28033</v>
      </c>
      <c r="C3935" s="5">
        <v>40435</v>
      </c>
      <c r="D3935" s="3" t="s">
        <v>89</v>
      </c>
      <c r="E3935" s="1" t="s">
        <v>748</v>
      </c>
      <c r="F3935" s="1" t="s">
        <v>13</v>
      </c>
      <c r="G3935" s="2" t="s">
        <v>6</v>
      </c>
      <c r="H3935" s="3" t="s">
        <v>88</v>
      </c>
      <c r="I3935" s="3" t="s">
        <v>91</v>
      </c>
      <c r="J3935" s="3" t="s">
        <v>72</v>
      </c>
      <c r="K3935" s="4">
        <v>7834.77</v>
      </c>
      <c r="L3935" s="6">
        <v>216.6</v>
      </c>
    </row>
    <row r="3936" spans="1:12" x14ac:dyDescent="0.25">
      <c r="A3936" s="1">
        <v>3935</v>
      </c>
      <c r="B3936" s="4">
        <v>28033</v>
      </c>
      <c r="C3936" s="5">
        <v>40435</v>
      </c>
      <c r="D3936" s="3" t="s">
        <v>89</v>
      </c>
      <c r="E3936" s="1" t="s">
        <v>748</v>
      </c>
      <c r="F3936" s="1" t="s">
        <v>13</v>
      </c>
      <c r="G3936" s="2" t="s">
        <v>6</v>
      </c>
      <c r="H3936" s="3" t="s">
        <v>88</v>
      </c>
      <c r="I3936" s="3" t="s">
        <v>92</v>
      </c>
      <c r="J3936" s="3" t="s">
        <v>62</v>
      </c>
      <c r="K3936" s="4">
        <v>127.56</v>
      </c>
      <c r="L3936" s="6">
        <v>6.6</v>
      </c>
    </row>
    <row r="3937" spans="1:12" x14ac:dyDescent="0.25">
      <c r="A3937" s="1">
        <v>3936</v>
      </c>
      <c r="B3937" s="4">
        <v>28035</v>
      </c>
      <c r="C3937" s="5">
        <v>40671</v>
      </c>
      <c r="D3937" s="3" t="s">
        <v>86</v>
      </c>
      <c r="E3937" s="1" t="s">
        <v>355</v>
      </c>
      <c r="F3937" s="1" t="s">
        <v>8</v>
      </c>
      <c r="G3937" s="2" t="s">
        <v>6</v>
      </c>
      <c r="H3937" s="3" t="s">
        <v>97</v>
      </c>
      <c r="I3937" s="3" t="s">
        <v>85</v>
      </c>
      <c r="J3937" s="3" t="s">
        <v>69</v>
      </c>
      <c r="K3937" s="4">
        <v>376.21</v>
      </c>
      <c r="L3937" s="6">
        <v>18.989999999999998</v>
      </c>
    </row>
    <row r="3938" spans="1:12" x14ac:dyDescent="0.25">
      <c r="A3938" s="1">
        <v>3937</v>
      </c>
      <c r="B3938" s="4">
        <v>28037</v>
      </c>
      <c r="C3938" s="5">
        <v>40159</v>
      </c>
      <c r="D3938" s="3" t="s">
        <v>89</v>
      </c>
      <c r="E3938" s="1" t="s">
        <v>1192</v>
      </c>
      <c r="F3938" s="1" t="s">
        <v>10</v>
      </c>
      <c r="G3938" s="2" t="s">
        <v>3</v>
      </c>
      <c r="H3938" s="3" t="s">
        <v>88</v>
      </c>
      <c r="I3938" s="3" t="s">
        <v>85</v>
      </c>
      <c r="J3938" s="3" t="s">
        <v>66</v>
      </c>
      <c r="K3938" s="4">
        <v>203.53</v>
      </c>
      <c r="L3938" s="6">
        <v>6.68</v>
      </c>
    </row>
    <row r="3939" spans="1:12" x14ac:dyDescent="0.25">
      <c r="A3939" s="1">
        <v>3938</v>
      </c>
      <c r="B3939" s="4">
        <v>28064</v>
      </c>
      <c r="C3939" s="5">
        <v>40423</v>
      </c>
      <c r="D3939" s="3" t="s">
        <v>4</v>
      </c>
      <c r="E3939" s="1" t="s">
        <v>1163</v>
      </c>
      <c r="F3939" s="1" t="s">
        <v>34</v>
      </c>
      <c r="G3939" s="2" t="s">
        <v>1</v>
      </c>
      <c r="H3939" s="3" t="s">
        <v>97</v>
      </c>
      <c r="I3939" s="3" t="s">
        <v>85</v>
      </c>
      <c r="J3939" s="3" t="s">
        <v>63</v>
      </c>
      <c r="K3939" s="4">
        <v>856.45</v>
      </c>
      <c r="L3939" s="6">
        <v>19.84</v>
      </c>
    </row>
    <row r="3940" spans="1:12" x14ac:dyDescent="0.25">
      <c r="A3940" s="1">
        <v>3939</v>
      </c>
      <c r="B3940" s="4">
        <v>28064</v>
      </c>
      <c r="C3940" s="5">
        <v>40423</v>
      </c>
      <c r="D3940" s="3" t="s">
        <v>4</v>
      </c>
      <c r="E3940" s="1" t="s">
        <v>1163</v>
      </c>
      <c r="F3940" s="1" t="s">
        <v>34</v>
      </c>
      <c r="G3940" s="2" t="s">
        <v>1</v>
      </c>
      <c r="H3940" s="3" t="s">
        <v>97</v>
      </c>
      <c r="I3940" s="3" t="s">
        <v>85</v>
      </c>
      <c r="J3940" s="3" t="s">
        <v>63</v>
      </c>
      <c r="K3940" s="4">
        <v>6.75</v>
      </c>
      <c r="L3940" s="6">
        <v>5.84</v>
      </c>
    </row>
    <row r="3941" spans="1:12" x14ac:dyDescent="0.25">
      <c r="A3941" s="1">
        <v>3940</v>
      </c>
      <c r="B3941" s="4">
        <v>28068</v>
      </c>
      <c r="C3941" s="5">
        <v>40416</v>
      </c>
      <c r="D3941" s="3" t="s">
        <v>82</v>
      </c>
      <c r="E3941" s="1" t="s">
        <v>1114</v>
      </c>
      <c r="F3941" s="1" t="s">
        <v>11</v>
      </c>
      <c r="G3941" s="2" t="s">
        <v>6</v>
      </c>
      <c r="H3941" s="3" t="s">
        <v>88</v>
      </c>
      <c r="I3941" s="3" t="s">
        <v>92</v>
      </c>
      <c r="J3941" s="3" t="s">
        <v>62</v>
      </c>
      <c r="K3941" s="4">
        <v>631.99</v>
      </c>
      <c r="L3941" s="6">
        <v>27.48</v>
      </c>
    </row>
    <row r="3942" spans="1:12" x14ac:dyDescent="0.25">
      <c r="A3942" s="1">
        <v>3941</v>
      </c>
      <c r="B3942" s="4">
        <v>28069</v>
      </c>
      <c r="C3942" s="5">
        <v>39954</v>
      </c>
      <c r="D3942" s="3" t="s">
        <v>82</v>
      </c>
      <c r="E3942" s="1" t="s">
        <v>780</v>
      </c>
      <c r="F3942" s="1" t="s">
        <v>9</v>
      </c>
      <c r="G3942" s="2" t="s">
        <v>2</v>
      </c>
      <c r="H3942" s="3" t="s">
        <v>84</v>
      </c>
      <c r="I3942" s="3" t="s">
        <v>85</v>
      </c>
      <c r="J3942" s="3" t="s">
        <v>66</v>
      </c>
      <c r="K3942" s="4">
        <v>10.17</v>
      </c>
      <c r="L3942" s="6">
        <v>5.18</v>
      </c>
    </row>
    <row r="3943" spans="1:12" x14ac:dyDescent="0.25">
      <c r="A3943" s="1">
        <v>3942</v>
      </c>
      <c r="B3943" s="4">
        <v>28069</v>
      </c>
      <c r="C3943" s="5">
        <v>39954</v>
      </c>
      <c r="D3943" s="3" t="s">
        <v>82</v>
      </c>
      <c r="E3943" s="1" t="s">
        <v>780</v>
      </c>
      <c r="F3943" s="1" t="s">
        <v>9</v>
      </c>
      <c r="G3943" s="2" t="s">
        <v>2</v>
      </c>
      <c r="H3943" s="3" t="s">
        <v>84</v>
      </c>
      <c r="I3943" s="3" t="s">
        <v>85</v>
      </c>
      <c r="J3943" s="3" t="s">
        <v>63</v>
      </c>
      <c r="K3943" s="4">
        <v>23.58</v>
      </c>
      <c r="L3943" s="6">
        <v>5.84</v>
      </c>
    </row>
    <row r="3944" spans="1:12" x14ac:dyDescent="0.25">
      <c r="A3944" s="1">
        <v>3943</v>
      </c>
      <c r="B3944" s="4">
        <v>28097</v>
      </c>
      <c r="C3944" s="5">
        <v>39946</v>
      </c>
      <c r="D3944" s="3" t="s">
        <v>4</v>
      </c>
      <c r="E3944" s="1" t="s">
        <v>757</v>
      </c>
      <c r="F3944" s="1" t="s">
        <v>12</v>
      </c>
      <c r="G3944" s="2" t="s">
        <v>2</v>
      </c>
      <c r="H3944" s="3" t="s">
        <v>97</v>
      </c>
      <c r="I3944" s="3" t="s">
        <v>91</v>
      </c>
      <c r="J3944" s="3" t="s">
        <v>59</v>
      </c>
      <c r="K3944" s="4">
        <v>2438.6999999999998</v>
      </c>
      <c r="L3944" s="6">
        <v>55.5</v>
      </c>
    </row>
    <row r="3945" spans="1:12" x14ac:dyDescent="0.25">
      <c r="A3945" s="1">
        <v>3944</v>
      </c>
      <c r="B3945" s="4">
        <v>28129</v>
      </c>
      <c r="C3945" s="5">
        <v>40934</v>
      </c>
      <c r="D3945" s="3" t="s">
        <v>4</v>
      </c>
      <c r="E3945" s="1" t="s">
        <v>957</v>
      </c>
      <c r="F3945" s="1" t="s">
        <v>24</v>
      </c>
      <c r="G3945" s="2" t="s">
        <v>2</v>
      </c>
      <c r="H3945" s="3" t="s">
        <v>84</v>
      </c>
      <c r="I3945" s="3" t="s">
        <v>85</v>
      </c>
      <c r="J3945" s="3" t="s">
        <v>66</v>
      </c>
      <c r="K3945" s="4">
        <v>107.41</v>
      </c>
      <c r="L3945" s="6">
        <v>19.98</v>
      </c>
    </row>
    <row r="3946" spans="1:12" x14ac:dyDescent="0.25">
      <c r="A3946" s="1">
        <v>3945</v>
      </c>
      <c r="B3946" s="4">
        <v>28130</v>
      </c>
      <c r="C3946" s="5">
        <v>40024</v>
      </c>
      <c r="D3946" s="3" t="s">
        <v>82</v>
      </c>
      <c r="E3946" s="1" t="s">
        <v>325</v>
      </c>
      <c r="F3946" s="1" t="s">
        <v>41</v>
      </c>
      <c r="G3946" s="2" t="s">
        <v>6</v>
      </c>
      <c r="H3946" s="3" t="s">
        <v>88</v>
      </c>
      <c r="I3946" s="3" t="s">
        <v>85</v>
      </c>
      <c r="J3946" s="3" t="s">
        <v>69</v>
      </c>
      <c r="K3946" s="4">
        <v>404.24</v>
      </c>
      <c r="L3946" s="6">
        <v>15.99</v>
      </c>
    </row>
    <row r="3947" spans="1:12" x14ac:dyDescent="0.25">
      <c r="A3947" s="1">
        <v>3946</v>
      </c>
      <c r="B3947" s="4">
        <v>28130</v>
      </c>
      <c r="C3947" s="5">
        <v>40024</v>
      </c>
      <c r="D3947" s="3" t="s">
        <v>82</v>
      </c>
      <c r="E3947" s="1" t="s">
        <v>325</v>
      </c>
      <c r="F3947" s="1" t="s">
        <v>41</v>
      </c>
      <c r="G3947" s="2" t="s">
        <v>6</v>
      </c>
      <c r="H3947" s="3" t="s">
        <v>88</v>
      </c>
      <c r="I3947" s="3" t="s">
        <v>91</v>
      </c>
      <c r="J3947" s="3" t="s">
        <v>59</v>
      </c>
      <c r="K3947" s="4">
        <v>1381.88</v>
      </c>
      <c r="L3947" s="6">
        <v>46.94</v>
      </c>
    </row>
    <row r="3948" spans="1:12" x14ac:dyDescent="0.25">
      <c r="A3948" s="1">
        <v>3947</v>
      </c>
      <c r="B3948" s="4">
        <v>28135</v>
      </c>
      <c r="C3948" s="5">
        <v>40081</v>
      </c>
      <c r="D3948" s="3" t="s">
        <v>95</v>
      </c>
      <c r="E3948" s="1" t="s">
        <v>1188</v>
      </c>
      <c r="F3948" s="1" t="s">
        <v>8</v>
      </c>
      <c r="G3948" s="2" t="s">
        <v>6</v>
      </c>
      <c r="H3948" s="3" t="s">
        <v>88</v>
      </c>
      <c r="I3948" s="3" t="s">
        <v>85</v>
      </c>
      <c r="J3948" s="3" t="s">
        <v>70</v>
      </c>
      <c r="K3948" s="4">
        <v>1601.24</v>
      </c>
      <c r="L3948" s="6">
        <v>46.89</v>
      </c>
    </row>
    <row r="3949" spans="1:12" x14ac:dyDescent="0.25">
      <c r="A3949" s="1">
        <v>3948</v>
      </c>
      <c r="B3949" s="4">
        <v>28135</v>
      </c>
      <c r="C3949" s="5">
        <v>40081</v>
      </c>
      <c r="D3949" s="3" t="s">
        <v>95</v>
      </c>
      <c r="E3949" s="1" t="s">
        <v>1188</v>
      </c>
      <c r="F3949" s="1" t="s">
        <v>8</v>
      </c>
      <c r="G3949" s="2" t="s">
        <v>6</v>
      </c>
      <c r="H3949" s="3" t="s">
        <v>88</v>
      </c>
      <c r="I3949" s="3" t="s">
        <v>85</v>
      </c>
      <c r="J3949" s="3" t="s">
        <v>58</v>
      </c>
      <c r="K3949" s="4">
        <v>501.31</v>
      </c>
      <c r="L3949" s="6">
        <v>12.98</v>
      </c>
    </row>
    <row r="3950" spans="1:12" x14ac:dyDescent="0.25">
      <c r="A3950" s="1">
        <v>3949</v>
      </c>
      <c r="B3950" s="4">
        <v>28161</v>
      </c>
      <c r="C3950" s="5">
        <v>39979</v>
      </c>
      <c r="D3950" s="3" t="s">
        <v>86</v>
      </c>
      <c r="E3950" s="1" t="s">
        <v>1193</v>
      </c>
      <c r="F3950" s="1" t="s">
        <v>20</v>
      </c>
      <c r="G3950" s="2" t="s">
        <v>1</v>
      </c>
      <c r="H3950" s="3" t="s">
        <v>100</v>
      </c>
      <c r="I3950" s="3" t="s">
        <v>91</v>
      </c>
      <c r="J3950" s="3" t="s">
        <v>68</v>
      </c>
      <c r="K3950" s="4">
        <v>784.08</v>
      </c>
      <c r="L3950" s="6">
        <v>70.98</v>
      </c>
    </row>
    <row r="3951" spans="1:12" x14ac:dyDescent="0.25">
      <c r="A3951" s="1">
        <v>3950</v>
      </c>
      <c r="B3951" s="4">
        <v>28161</v>
      </c>
      <c r="C3951" s="5">
        <v>39979</v>
      </c>
      <c r="D3951" s="3" t="s">
        <v>86</v>
      </c>
      <c r="E3951" s="1" t="s">
        <v>766</v>
      </c>
      <c r="F3951" s="1" t="s">
        <v>27</v>
      </c>
      <c r="G3951" s="2" t="s">
        <v>1</v>
      </c>
      <c r="H3951" s="3" t="s">
        <v>100</v>
      </c>
      <c r="I3951" s="3" t="s">
        <v>91</v>
      </c>
      <c r="J3951" s="3" t="s">
        <v>72</v>
      </c>
      <c r="K3951" s="4">
        <v>5028.3100000000004</v>
      </c>
      <c r="L3951" s="6">
        <v>350.98</v>
      </c>
    </row>
    <row r="3952" spans="1:12" x14ac:dyDescent="0.25">
      <c r="A3952" s="1">
        <v>3951</v>
      </c>
      <c r="B3952" s="4">
        <v>28161</v>
      </c>
      <c r="C3952" s="5">
        <v>39979</v>
      </c>
      <c r="D3952" s="3" t="s">
        <v>86</v>
      </c>
      <c r="E3952" s="1" t="s">
        <v>1194</v>
      </c>
      <c r="F3952" s="1" t="s">
        <v>20</v>
      </c>
      <c r="G3952" s="2" t="s">
        <v>1</v>
      </c>
      <c r="H3952" s="3" t="s">
        <v>100</v>
      </c>
      <c r="I3952" s="3" t="s">
        <v>92</v>
      </c>
      <c r="J3952" s="3" t="s">
        <v>62</v>
      </c>
      <c r="K3952" s="4">
        <v>1085.6099999999999</v>
      </c>
      <c r="L3952" s="6">
        <v>27.48</v>
      </c>
    </row>
    <row r="3953" spans="1:12" x14ac:dyDescent="0.25">
      <c r="A3953" s="1">
        <v>3952</v>
      </c>
      <c r="B3953" s="4">
        <v>28165</v>
      </c>
      <c r="C3953" s="5">
        <v>41099</v>
      </c>
      <c r="D3953" s="3" t="s">
        <v>86</v>
      </c>
      <c r="E3953" s="1" t="s">
        <v>648</v>
      </c>
      <c r="F3953" s="1" t="s">
        <v>8</v>
      </c>
      <c r="G3953" s="2" t="s">
        <v>6</v>
      </c>
      <c r="H3953" s="3" t="s">
        <v>88</v>
      </c>
      <c r="I3953" s="3" t="s">
        <v>85</v>
      </c>
      <c r="J3953" s="3" t="s">
        <v>69</v>
      </c>
      <c r="K3953" s="4">
        <v>24.96</v>
      </c>
      <c r="L3953" s="6">
        <v>10.91</v>
      </c>
    </row>
    <row r="3954" spans="1:12" x14ac:dyDescent="0.25">
      <c r="A3954" s="1">
        <v>3953</v>
      </c>
      <c r="B3954" s="4">
        <v>28198</v>
      </c>
      <c r="C3954" s="5">
        <v>40947</v>
      </c>
      <c r="D3954" s="3" t="s">
        <v>4</v>
      </c>
      <c r="E3954" s="1" t="s">
        <v>291</v>
      </c>
      <c r="F3954" s="1" t="s">
        <v>42</v>
      </c>
      <c r="G3954" s="2" t="s">
        <v>3</v>
      </c>
      <c r="H3954" s="3" t="s">
        <v>100</v>
      </c>
      <c r="I3954" s="3" t="s">
        <v>92</v>
      </c>
      <c r="J3954" s="3" t="s">
        <v>61</v>
      </c>
      <c r="K3954" s="4">
        <v>7703.9664999999995</v>
      </c>
      <c r="L3954" s="6">
        <v>175.99</v>
      </c>
    </row>
    <row r="3955" spans="1:12" x14ac:dyDescent="0.25">
      <c r="A3955" s="1">
        <v>3954</v>
      </c>
      <c r="B3955" s="4">
        <v>28224</v>
      </c>
      <c r="C3955" s="5">
        <v>41262</v>
      </c>
      <c r="D3955" s="3" t="s">
        <v>95</v>
      </c>
      <c r="E3955" s="1" t="s">
        <v>276</v>
      </c>
      <c r="F3955" s="1" t="s">
        <v>24</v>
      </c>
      <c r="G3955" s="2" t="s">
        <v>2</v>
      </c>
      <c r="H3955" s="3" t="s">
        <v>88</v>
      </c>
      <c r="I3955" s="3" t="s">
        <v>85</v>
      </c>
      <c r="J3955" s="3" t="s">
        <v>69</v>
      </c>
      <c r="K3955" s="4">
        <v>163.41</v>
      </c>
      <c r="L3955" s="6">
        <v>6.23</v>
      </c>
    </row>
    <row r="3956" spans="1:12" x14ac:dyDescent="0.25">
      <c r="A3956" s="1">
        <v>3955</v>
      </c>
      <c r="B3956" s="4">
        <v>28225</v>
      </c>
      <c r="C3956" s="5">
        <v>39835</v>
      </c>
      <c r="D3956" s="3" t="s">
        <v>95</v>
      </c>
      <c r="E3956" s="1" t="s">
        <v>762</v>
      </c>
      <c r="F3956" s="1" t="s">
        <v>34</v>
      </c>
      <c r="G3956" s="2" t="s">
        <v>1</v>
      </c>
      <c r="H3956" s="3" t="s">
        <v>88</v>
      </c>
      <c r="I3956" s="3" t="s">
        <v>85</v>
      </c>
      <c r="J3956" s="3" t="s">
        <v>57</v>
      </c>
      <c r="K3956" s="4">
        <v>1160.5899999999999</v>
      </c>
      <c r="L3956" s="6">
        <v>80.98</v>
      </c>
    </row>
    <row r="3957" spans="1:12" x14ac:dyDescent="0.25">
      <c r="A3957" s="1">
        <v>3956</v>
      </c>
      <c r="B3957" s="4">
        <v>28225</v>
      </c>
      <c r="C3957" s="5">
        <v>39835</v>
      </c>
      <c r="D3957" s="3" t="s">
        <v>95</v>
      </c>
      <c r="E3957" s="1" t="s">
        <v>848</v>
      </c>
      <c r="F3957" s="1" t="s">
        <v>30</v>
      </c>
      <c r="G3957" s="2" t="s">
        <v>6</v>
      </c>
      <c r="H3957" s="3" t="s">
        <v>88</v>
      </c>
      <c r="I3957" s="3" t="s">
        <v>91</v>
      </c>
      <c r="J3957" s="3" t="s">
        <v>59</v>
      </c>
      <c r="K3957" s="4">
        <v>206.04</v>
      </c>
      <c r="L3957" s="6">
        <v>20.28</v>
      </c>
    </row>
    <row r="3958" spans="1:12" x14ac:dyDescent="0.25">
      <c r="A3958" s="1">
        <v>3957</v>
      </c>
      <c r="B3958" s="4">
        <v>28228</v>
      </c>
      <c r="C3958" s="5">
        <v>41101</v>
      </c>
      <c r="D3958" s="3" t="s">
        <v>86</v>
      </c>
      <c r="E3958" s="1" t="s">
        <v>612</v>
      </c>
      <c r="F3958" s="1" t="s">
        <v>23</v>
      </c>
      <c r="G3958" s="2" t="s">
        <v>3</v>
      </c>
      <c r="H3958" s="3" t="s">
        <v>84</v>
      </c>
      <c r="I3958" s="3" t="s">
        <v>85</v>
      </c>
      <c r="J3958" s="3" t="s">
        <v>71</v>
      </c>
      <c r="K3958" s="4">
        <v>346.23</v>
      </c>
      <c r="L3958" s="6">
        <v>60.98</v>
      </c>
    </row>
    <row r="3959" spans="1:12" x14ac:dyDescent="0.25">
      <c r="A3959" s="1">
        <v>3958</v>
      </c>
      <c r="B3959" s="4">
        <v>28256</v>
      </c>
      <c r="C3959" s="5">
        <v>39867</v>
      </c>
      <c r="D3959" s="3" t="s">
        <v>89</v>
      </c>
      <c r="E3959" s="1" t="s">
        <v>296</v>
      </c>
      <c r="F3959" s="1" t="s">
        <v>37</v>
      </c>
      <c r="G3959" s="2" t="s">
        <v>3</v>
      </c>
      <c r="H3959" s="3" t="s">
        <v>88</v>
      </c>
      <c r="I3959" s="3" t="s">
        <v>85</v>
      </c>
      <c r="J3959" s="3" t="s">
        <v>57</v>
      </c>
      <c r="K3959" s="4">
        <v>467.4</v>
      </c>
      <c r="L3959" s="6">
        <v>20.98</v>
      </c>
    </row>
    <row r="3960" spans="1:12" x14ac:dyDescent="0.25">
      <c r="A3960" s="1">
        <v>3959</v>
      </c>
      <c r="B3960" s="4">
        <v>28258</v>
      </c>
      <c r="C3960" s="5">
        <v>39885</v>
      </c>
      <c r="D3960" s="3" t="s">
        <v>95</v>
      </c>
      <c r="E3960" s="1" t="s">
        <v>50</v>
      </c>
      <c r="F3960" s="1" t="s">
        <v>34</v>
      </c>
      <c r="G3960" s="2" t="s">
        <v>1</v>
      </c>
      <c r="H3960" s="3" t="s">
        <v>97</v>
      </c>
      <c r="I3960" s="3" t="s">
        <v>92</v>
      </c>
      <c r="J3960" s="3" t="s">
        <v>61</v>
      </c>
      <c r="K3960" s="4">
        <v>201.178</v>
      </c>
      <c r="L3960" s="6">
        <v>125.99</v>
      </c>
    </row>
    <row r="3961" spans="1:12" x14ac:dyDescent="0.25">
      <c r="A3961" s="1">
        <v>3960</v>
      </c>
      <c r="B3961" s="4">
        <v>28258</v>
      </c>
      <c r="C3961" s="5">
        <v>39885</v>
      </c>
      <c r="D3961" s="3" t="s">
        <v>95</v>
      </c>
      <c r="E3961" s="1" t="s">
        <v>739</v>
      </c>
      <c r="F3961" s="1" t="s">
        <v>34</v>
      </c>
      <c r="G3961" s="2" t="s">
        <v>1</v>
      </c>
      <c r="H3961" s="3" t="s">
        <v>97</v>
      </c>
      <c r="I3961" s="3" t="s">
        <v>92</v>
      </c>
      <c r="J3961" s="3" t="s">
        <v>62</v>
      </c>
      <c r="K3961" s="4">
        <v>2493.2399999999998</v>
      </c>
      <c r="L3961" s="6">
        <v>99.99</v>
      </c>
    </row>
    <row r="3962" spans="1:12" x14ac:dyDescent="0.25">
      <c r="A3962" s="1">
        <v>3961</v>
      </c>
      <c r="B3962" s="4">
        <v>28259</v>
      </c>
      <c r="C3962" s="5">
        <v>40121</v>
      </c>
      <c r="D3962" s="3" t="s">
        <v>89</v>
      </c>
      <c r="E3962" s="1" t="s">
        <v>488</v>
      </c>
      <c r="F3962" s="1" t="s">
        <v>23</v>
      </c>
      <c r="G3962" s="2" t="s">
        <v>3</v>
      </c>
      <c r="H3962" s="3" t="s">
        <v>100</v>
      </c>
      <c r="I3962" s="3" t="s">
        <v>92</v>
      </c>
      <c r="J3962" s="3" t="s">
        <v>62</v>
      </c>
      <c r="K3962" s="4">
        <v>249.24</v>
      </c>
      <c r="L3962" s="6">
        <v>10.97</v>
      </c>
    </row>
    <row r="3963" spans="1:12" x14ac:dyDescent="0.25">
      <c r="A3963" s="1">
        <v>3962</v>
      </c>
      <c r="B3963" s="4">
        <v>28262</v>
      </c>
      <c r="C3963" s="5">
        <v>40543</v>
      </c>
      <c r="D3963" s="3" t="s">
        <v>4</v>
      </c>
      <c r="E3963" s="1" t="s">
        <v>381</v>
      </c>
      <c r="F3963" s="1" t="s">
        <v>12</v>
      </c>
      <c r="G3963" s="2" t="s">
        <v>2</v>
      </c>
      <c r="H3963" s="3" t="s">
        <v>84</v>
      </c>
      <c r="I3963" s="3" t="s">
        <v>85</v>
      </c>
      <c r="J3963" s="3" t="s">
        <v>66</v>
      </c>
      <c r="K3963" s="4">
        <v>299.11</v>
      </c>
      <c r="L3963" s="6">
        <v>11.34</v>
      </c>
    </row>
    <row r="3964" spans="1:12" x14ac:dyDescent="0.25">
      <c r="A3964" s="1">
        <v>3963</v>
      </c>
      <c r="B3964" s="4">
        <v>28289</v>
      </c>
      <c r="C3964" s="5">
        <v>40192</v>
      </c>
      <c r="D3964" s="3" t="s">
        <v>89</v>
      </c>
      <c r="E3964" s="1" t="s">
        <v>153</v>
      </c>
      <c r="F3964" s="1" t="s">
        <v>8</v>
      </c>
      <c r="G3964" s="2" t="s">
        <v>6</v>
      </c>
      <c r="H3964" s="3" t="s">
        <v>88</v>
      </c>
      <c r="I3964" s="3" t="s">
        <v>85</v>
      </c>
      <c r="J3964" s="3" t="s">
        <v>66</v>
      </c>
      <c r="K3964" s="4">
        <v>166.76</v>
      </c>
      <c r="L3964" s="6">
        <v>4.9800000000000004</v>
      </c>
    </row>
    <row r="3965" spans="1:12" x14ac:dyDescent="0.25">
      <c r="A3965" s="1">
        <v>3964</v>
      </c>
      <c r="B3965" s="4">
        <v>28290</v>
      </c>
      <c r="C3965" s="5">
        <v>39823</v>
      </c>
      <c r="D3965" s="3" t="s">
        <v>82</v>
      </c>
      <c r="E3965" s="1" t="s">
        <v>1195</v>
      </c>
      <c r="F3965" s="1" t="s">
        <v>41</v>
      </c>
      <c r="G3965" s="2" t="s">
        <v>6</v>
      </c>
      <c r="H3965" s="3" t="s">
        <v>97</v>
      </c>
      <c r="I3965" s="3" t="s">
        <v>92</v>
      </c>
      <c r="J3965" s="3" t="s">
        <v>62</v>
      </c>
      <c r="K3965" s="4">
        <v>1307.3499999999999</v>
      </c>
      <c r="L3965" s="6">
        <v>30.42</v>
      </c>
    </row>
    <row r="3966" spans="1:12" x14ac:dyDescent="0.25">
      <c r="A3966" s="1">
        <v>3965</v>
      </c>
      <c r="B3966" s="4">
        <v>28290</v>
      </c>
      <c r="C3966" s="5">
        <v>39823</v>
      </c>
      <c r="D3966" s="3" t="s">
        <v>82</v>
      </c>
      <c r="E3966" s="1" t="s">
        <v>1195</v>
      </c>
      <c r="F3966" s="1" t="s">
        <v>41</v>
      </c>
      <c r="G3966" s="2" t="s">
        <v>6</v>
      </c>
      <c r="H3966" s="3" t="s">
        <v>97</v>
      </c>
      <c r="I3966" s="3" t="s">
        <v>85</v>
      </c>
      <c r="J3966" s="3" t="s">
        <v>57</v>
      </c>
      <c r="K3966" s="4">
        <v>523.58000000000004</v>
      </c>
      <c r="L3966" s="6">
        <v>161.55000000000001</v>
      </c>
    </row>
    <row r="3967" spans="1:12" x14ac:dyDescent="0.25">
      <c r="A3967" s="1">
        <v>3966</v>
      </c>
      <c r="B3967" s="4">
        <v>28291</v>
      </c>
      <c r="C3967" s="5">
        <v>39876</v>
      </c>
      <c r="D3967" s="3" t="s">
        <v>95</v>
      </c>
      <c r="E3967" s="1" t="s">
        <v>495</v>
      </c>
      <c r="F3967" s="1" t="s">
        <v>52</v>
      </c>
      <c r="G3967" s="2" t="s">
        <v>3</v>
      </c>
      <c r="H3967" s="3" t="s">
        <v>100</v>
      </c>
      <c r="I3967" s="3" t="s">
        <v>91</v>
      </c>
      <c r="J3967" s="3" t="s">
        <v>72</v>
      </c>
      <c r="K3967" s="4">
        <v>3950.6</v>
      </c>
      <c r="L3967" s="6">
        <v>280.98</v>
      </c>
    </row>
    <row r="3968" spans="1:12" x14ac:dyDescent="0.25">
      <c r="A3968" s="1">
        <v>3967</v>
      </c>
      <c r="B3968" s="4">
        <v>28294</v>
      </c>
      <c r="C3968" s="5">
        <v>41051</v>
      </c>
      <c r="D3968" s="3" t="s">
        <v>89</v>
      </c>
      <c r="E3968" s="1" t="s">
        <v>1157</v>
      </c>
      <c r="F3968" s="1" t="s">
        <v>10</v>
      </c>
      <c r="G3968" s="2" t="s">
        <v>3</v>
      </c>
      <c r="H3968" s="3" t="s">
        <v>88</v>
      </c>
      <c r="I3968" s="3" t="s">
        <v>85</v>
      </c>
      <c r="J3968" s="3" t="s">
        <v>64</v>
      </c>
      <c r="K3968" s="4">
        <v>63.47</v>
      </c>
      <c r="L3968" s="6">
        <v>1.26</v>
      </c>
    </row>
    <row r="3969" spans="1:12" x14ac:dyDescent="0.25">
      <c r="A3969" s="1">
        <v>3968</v>
      </c>
      <c r="B3969" s="4">
        <v>28321</v>
      </c>
      <c r="C3969" s="5">
        <v>40391</v>
      </c>
      <c r="D3969" s="3" t="s">
        <v>4</v>
      </c>
      <c r="E3969" s="1" t="s">
        <v>1084</v>
      </c>
      <c r="F3969" s="1" t="s">
        <v>34</v>
      </c>
      <c r="G3969" s="2" t="s">
        <v>1</v>
      </c>
      <c r="H3969" s="3" t="s">
        <v>100</v>
      </c>
      <c r="I3969" s="3" t="s">
        <v>85</v>
      </c>
      <c r="J3969" s="3" t="s">
        <v>65</v>
      </c>
      <c r="K3969" s="4">
        <v>90.5</v>
      </c>
      <c r="L3969" s="6">
        <v>3.08</v>
      </c>
    </row>
    <row r="3970" spans="1:12" x14ac:dyDescent="0.25">
      <c r="A3970" s="1">
        <v>3969</v>
      </c>
      <c r="B3970" s="4">
        <v>28324</v>
      </c>
      <c r="C3970" s="5">
        <v>40762</v>
      </c>
      <c r="D3970" s="3" t="s">
        <v>89</v>
      </c>
      <c r="E3970" s="1" t="s">
        <v>1156</v>
      </c>
      <c r="F3970" s="1" t="s">
        <v>13</v>
      </c>
      <c r="G3970" s="2" t="s">
        <v>6</v>
      </c>
      <c r="H3970" s="3" t="s">
        <v>84</v>
      </c>
      <c r="I3970" s="3" t="s">
        <v>85</v>
      </c>
      <c r="J3970" s="3" t="s">
        <v>70</v>
      </c>
      <c r="K3970" s="4">
        <v>385.99</v>
      </c>
      <c r="L3970" s="6">
        <v>8.67</v>
      </c>
    </row>
    <row r="3971" spans="1:12" x14ac:dyDescent="0.25">
      <c r="A3971" s="1">
        <v>3970</v>
      </c>
      <c r="B3971" s="4">
        <v>28354</v>
      </c>
      <c r="C3971" s="5">
        <v>39899</v>
      </c>
      <c r="D3971" s="3" t="s">
        <v>82</v>
      </c>
      <c r="E3971" s="1" t="s">
        <v>825</v>
      </c>
      <c r="F3971" s="1" t="s">
        <v>24</v>
      </c>
      <c r="G3971" s="2" t="s">
        <v>2</v>
      </c>
      <c r="H3971" s="3" t="s">
        <v>88</v>
      </c>
      <c r="I3971" s="3" t="s">
        <v>92</v>
      </c>
      <c r="J3971" s="3" t="s">
        <v>62</v>
      </c>
      <c r="K3971" s="4">
        <v>507.66</v>
      </c>
      <c r="L3971" s="6">
        <v>15.98</v>
      </c>
    </row>
    <row r="3972" spans="1:12" x14ac:dyDescent="0.25">
      <c r="A3972" s="1">
        <v>3971</v>
      </c>
      <c r="B3972" s="4">
        <v>28357</v>
      </c>
      <c r="C3972" s="5">
        <v>40319</v>
      </c>
      <c r="D3972" s="3" t="s">
        <v>86</v>
      </c>
      <c r="E3972" s="1" t="s">
        <v>820</v>
      </c>
      <c r="F3972" s="1" t="s">
        <v>54</v>
      </c>
      <c r="G3972" s="2" t="s">
        <v>2</v>
      </c>
      <c r="H3972" s="3" t="s">
        <v>97</v>
      </c>
      <c r="I3972" s="3" t="s">
        <v>85</v>
      </c>
      <c r="J3972" s="3" t="s">
        <v>69</v>
      </c>
      <c r="K3972" s="4">
        <v>390.46</v>
      </c>
      <c r="L3972" s="6">
        <v>7.3</v>
      </c>
    </row>
    <row r="3973" spans="1:12" x14ac:dyDescent="0.25">
      <c r="A3973" s="1">
        <v>3972</v>
      </c>
      <c r="B3973" s="4">
        <v>28357</v>
      </c>
      <c r="C3973" s="5">
        <v>40319</v>
      </c>
      <c r="D3973" s="3" t="s">
        <v>86</v>
      </c>
      <c r="E3973" s="1" t="s">
        <v>820</v>
      </c>
      <c r="F3973" s="1" t="s">
        <v>54</v>
      </c>
      <c r="G3973" s="2" t="s">
        <v>2</v>
      </c>
      <c r="H3973" s="3" t="s">
        <v>97</v>
      </c>
      <c r="I3973" s="3" t="s">
        <v>85</v>
      </c>
      <c r="J3973" s="3" t="s">
        <v>64</v>
      </c>
      <c r="K3973" s="4">
        <v>113.43</v>
      </c>
      <c r="L3973" s="6">
        <v>2.4700000000000002</v>
      </c>
    </row>
    <row r="3974" spans="1:12" x14ac:dyDescent="0.25">
      <c r="A3974" s="1">
        <v>3973</v>
      </c>
      <c r="B3974" s="4">
        <v>28387</v>
      </c>
      <c r="C3974" s="5">
        <v>41089</v>
      </c>
      <c r="D3974" s="3" t="s">
        <v>86</v>
      </c>
      <c r="E3974" s="1" t="s">
        <v>627</v>
      </c>
      <c r="F3974" s="1" t="s">
        <v>24</v>
      </c>
      <c r="G3974" s="2" t="s">
        <v>2</v>
      </c>
      <c r="H3974" s="3" t="s">
        <v>100</v>
      </c>
      <c r="I3974" s="3" t="s">
        <v>85</v>
      </c>
      <c r="J3974" s="3" t="s">
        <v>71</v>
      </c>
      <c r="K3974" s="4">
        <v>3212.97</v>
      </c>
      <c r="L3974" s="6">
        <v>83.93</v>
      </c>
    </row>
    <row r="3975" spans="1:12" x14ac:dyDescent="0.25">
      <c r="A3975" s="1">
        <v>3974</v>
      </c>
      <c r="B3975" s="4">
        <v>28387</v>
      </c>
      <c r="C3975" s="5">
        <v>41089</v>
      </c>
      <c r="D3975" s="3" t="s">
        <v>86</v>
      </c>
      <c r="E3975" s="1" t="s">
        <v>627</v>
      </c>
      <c r="F3975" s="1" t="s">
        <v>24</v>
      </c>
      <c r="G3975" s="2" t="s">
        <v>2</v>
      </c>
      <c r="H3975" s="3" t="s">
        <v>100</v>
      </c>
      <c r="I3975" s="3" t="s">
        <v>85</v>
      </c>
      <c r="J3975" s="3" t="s">
        <v>66</v>
      </c>
      <c r="K3975" s="4">
        <v>292.95</v>
      </c>
      <c r="L3975" s="6">
        <v>22.84</v>
      </c>
    </row>
    <row r="3976" spans="1:12" x14ac:dyDescent="0.25">
      <c r="A3976" s="1">
        <v>3975</v>
      </c>
      <c r="B3976" s="4">
        <v>28389</v>
      </c>
      <c r="C3976" s="5">
        <v>40120</v>
      </c>
      <c r="D3976" s="3" t="s">
        <v>89</v>
      </c>
      <c r="E3976" s="1" t="s">
        <v>1126</v>
      </c>
      <c r="F3976" s="1" t="s">
        <v>30</v>
      </c>
      <c r="G3976" s="2" t="s">
        <v>6</v>
      </c>
      <c r="H3976" s="3" t="s">
        <v>97</v>
      </c>
      <c r="I3976" s="3" t="s">
        <v>91</v>
      </c>
      <c r="J3976" s="3" t="s">
        <v>59</v>
      </c>
      <c r="K3976" s="4">
        <v>668.39</v>
      </c>
      <c r="L3976" s="6">
        <v>30.93</v>
      </c>
    </row>
    <row r="3977" spans="1:12" x14ac:dyDescent="0.25">
      <c r="A3977" s="1">
        <v>3976</v>
      </c>
      <c r="B3977" s="4">
        <v>28389</v>
      </c>
      <c r="C3977" s="5">
        <v>40120</v>
      </c>
      <c r="D3977" s="3" t="s">
        <v>89</v>
      </c>
      <c r="E3977" s="1" t="s">
        <v>1126</v>
      </c>
      <c r="F3977" s="1" t="s">
        <v>30</v>
      </c>
      <c r="G3977" s="2" t="s">
        <v>6</v>
      </c>
      <c r="H3977" s="3" t="s">
        <v>97</v>
      </c>
      <c r="I3977" s="3" t="s">
        <v>92</v>
      </c>
      <c r="J3977" s="3" t="s">
        <v>67</v>
      </c>
      <c r="K3977" s="4">
        <v>4657.3500000000004</v>
      </c>
      <c r="L3977" s="6">
        <v>297.48</v>
      </c>
    </row>
    <row r="3978" spans="1:12" x14ac:dyDescent="0.25">
      <c r="A3978" s="1">
        <v>3977</v>
      </c>
      <c r="B3978" s="4">
        <v>28389</v>
      </c>
      <c r="C3978" s="5">
        <v>40120</v>
      </c>
      <c r="D3978" s="3" t="s">
        <v>89</v>
      </c>
      <c r="E3978" s="1" t="s">
        <v>1126</v>
      </c>
      <c r="F3978" s="1" t="s">
        <v>30</v>
      </c>
      <c r="G3978" s="2" t="s">
        <v>6</v>
      </c>
      <c r="H3978" s="3" t="s">
        <v>97</v>
      </c>
      <c r="I3978" s="3" t="s">
        <v>91</v>
      </c>
      <c r="J3978" s="3" t="s">
        <v>60</v>
      </c>
      <c r="K3978" s="4">
        <v>2097.94</v>
      </c>
      <c r="L3978" s="6">
        <v>296.18</v>
      </c>
    </row>
    <row r="3979" spans="1:12" x14ac:dyDescent="0.25">
      <c r="A3979" s="1">
        <v>3978</v>
      </c>
      <c r="B3979" s="4">
        <v>28390</v>
      </c>
      <c r="C3979" s="5">
        <v>40946</v>
      </c>
      <c r="D3979" s="3" t="s">
        <v>89</v>
      </c>
      <c r="E3979" s="1" t="s">
        <v>1099</v>
      </c>
      <c r="F3979" s="1" t="s">
        <v>31</v>
      </c>
      <c r="G3979" s="2" t="s">
        <v>1</v>
      </c>
      <c r="H3979" s="3" t="s">
        <v>84</v>
      </c>
      <c r="I3979" s="3" t="s">
        <v>91</v>
      </c>
      <c r="J3979" s="3" t="s">
        <v>59</v>
      </c>
      <c r="K3979" s="4">
        <v>809.77</v>
      </c>
      <c r="L3979" s="6">
        <v>20.28</v>
      </c>
    </row>
    <row r="3980" spans="1:12" x14ac:dyDescent="0.25">
      <c r="A3980" s="1">
        <v>3979</v>
      </c>
      <c r="B3980" s="4">
        <v>28419</v>
      </c>
      <c r="C3980" s="5">
        <v>40117</v>
      </c>
      <c r="D3980" s="3" t="s">
        <v>82</v>
      </c>
      <c r="E3980" s="1" t="s">
        <v>1196</v>
      </c>
      <c r="F3980" s="1" t="s">
        <v>23</v>
      </c>
      <c r="G3980" s="2" t="s">
        <v>3</v>
      </c>
      <c r="H3980" s="3" t="s">
        <v>100</v>
      </c>
      <c r="I3980" s="3" t="s">
        <v>85</v>
      </c>
      <c r="J3980" s="3" t="s">
        <v>57</v>
      </c>
      <c r="K3980" s="4">
        <v>133.85</v>
      </c>
      <c r="L3980" s="6">
        <v>13.48</v>
      </c>
    </row>
    <row r="3981" spans="1:12" x14ac:dyDescent="0.25">
      <c r="A3981" s="1">
        <v>3980</v>
      </c>
      <c r="B3981" s="4">
        <v>28420</v>
      </c>
      <c r="C3981" s="5">
        <v>40080</v>
      </c>
      <c r="D3981" s="3" t="s">
        <v>82</v>
      </c>
      <c r="E3981" s="1" t="s">
        <v>1197</v>
      </c>
      <c r="F3981" s="1" t="s">
        <v>46</v>
      </c>
      <c r="G3981" s="2" t="s">
        <v>6</v>
      </c>
      <c r="H3981" s="3" t="s">
        <v>88</v>
      </c>
      <c r="I3981" s="3" t="s">
        <v>85</v>
      </c>
      <c r="J3981" s="3" t="s">
        <v>71</v>
      </c>
      <c r="K3981" s="4">
        <v>45.64</v>
      </c>
      <c r="L3981" s="6">
        <v>15.57</v>
      </c>
    </row>
    <row r="3982" spans="1:12" x14ac:dyDescent="0.25">
      <c r="A3982" s="1">
        <v>3981</v>
      </c>
      <c r="B3982" s="4">
        <v>28451</v>
      </c>
      <c r="C3982" s="5">
        <v>39818</v>
      </c>
      <c r="D3982" s="3" t="s">
        <v>95</v>
      </c>
      <c r="E3982" s="1" t="s">
        <v>1004</v>
      </c>
      <c r="F3982" s="1" t="s">
        <v>18</v>
      </c>
      <c r="G3982" s="2" t="s">
        <v>6</v>
      </c>
      <c r="H3982" s="3" t="s">
        <v>84</v>
      </c>
      <c r="I3982" s="3" t="s">
        <v>91</v>
      </c>
      <c r="J3982" s="3" t="s">
        <v>59</v>
      </c>
      <c r="K3982" s="4">
        <v>4201.08</v>
      </c>
      <c r="L3982" s="6">
        <v>194.3</v>
      </c>
    </row>
    <row r="3983" spans="1:12" x14ac:dyDescent="0.25">
      <c r="A3983" s="1">
        <v>3982</v>
      </c>
      <c r="B3983" s="4">
        <v>28451</v>
      </c>
      <c r="C3983" s="5">
        <v>39818</v>
      </c>
      <c r="D3983" s="3" t="s">
        <v>95</v>
      </c>
      <c r="E3983" s="1" t="s">
        <v>1004</v>
      </c>
      <c r="F3983" s="1" t="s">
        <v>18</v>
      </c>
      <c r="G3983" s="2" t="s">
        <v>6</v>
      </c>
      <c r="H3983" s="3" t="s">
        <v>84</v>
      </c>
      <c r="I3983" s="3" t="s">
        <v>91</v>
      </c>
      <c r="J3983" s="3" t="s">
        <v>59</v>
      </c>
      <c r="K3983" s="4">
        <v>8958.4599999999991</v>
      </c>
      <c r="L3983" s="6">
        <v>209.84</v>
      </c>
    </row>
    <row r="3984" spans="1:12" x14ac:dyDescent="0.25">
      <c r="A3984" s="1">
        <v>3983</v>
      </c>
      <c r="B3984" s="4">
        <v>28451</v>
      </c>
      <c r="C3984" s="5">
        <v>39818</v>
      </c>
      <c r="D3984" s="3" t="s">
        <v>95</v>
      </c>
      <c r="E3984" s="1" t="s">
        <v>1004</v>
      </c>
      <c r="F3984" s="1" t="s">
        <v>18</v>
      </c>
      <c r="G3984" s="2" t="s">
        <v>6</v>
      </c>
      <c r="H3984" s="3" t="s">
        <v>84</v>
      </c>
      <c r="I3984" s="3" t="s">
        <v>92</v>
      </c>
      <c r="J3984" s="3" t="s">
        <v>67</v>
      </c>
      <c r="K3984" s="4">
        <v>4913.7</v>
      </c>
      <c r="L3984" s="6">
        <v>145.44999999999999</v>
      </c>
    </row>
    <row r="3985" spans="1:12" x14ac:dyDescent="0.25">
      <c r="A3985" s="1">
        <v>3984</v>
      </c>
      <c r="B3985" s="4">
        <v>28453</v>
      </c>
      <c r="C3985" s="5">
        <v>41271</v>
      </c>
      <c r="D3985" s="3" t="s">
        <v>95</v>
      </c>
      <c r="E3985" s="1" t="s">
        <v>488</v>
      </c>
      <c r="F3985" s="1" t="s">
        <v>10</v>
      </c>
      <c r="G3985" s="2" t="s">
        <v>3</v>
      </c>
      <c r="H3985" s="3" t="s">
        <v>97</v>
      </c>
      <c r="I3985" s="3" t="s">
        <v>85</v>
      </c>
      <c r="J3985" s="3" t="s">
        <v>70</v>
      </c>
      <c r="K3985" s="4">
        <v>560.03</v>
      </c>
      <c r="L3985" s="6">
        <v>21.66</v>
      </c>
    </row>
    <row r="3986" spans="1:12" x14ac:dyDescent="0.25">
      <c r="A3986" s="1">
        <v>3985</v>
      </c>
      <c r="B3986" s="4">
        <v>28454</v>
      </c>
      <c r="C3986" s="5">
        <v>41127</v>
      </c>
      <c r="D3986" s="3" t="s">
        <v>4</v>
      </c>
      <c r="E3986" s="1" t="s">
        <v>911</v>
      </c>
      <c r="F3986" s="1" t="s">
        <v>34</v>
      </c>
      <c r="G3986" s="2" t="s">
        <v>1</v>
      </c>
      <c r="H3986" s="3" t="s">
        <v>88</v>
      </c>
      <c r="I3986" s="3" t="s">
        <v>85</v>
      </c>
      <c r="J3986" s="3" t="s">
        <v>66</v>
      </c>
      <c r="K3986" s="4">
        <v>157.4</v>
      </c>
      <c r="L3986" s="6">
        <v>6.48</v>
      </c>
    </row>
    <row r="3987" spans="1:12" x14ac:dyDescent="0.25">
      <c r="A3987" s="1">
        <v>3986</v>
      </c>
      <c r="B3987" s="4">
        <v>28455</v>
      </c>
      <c r="C3987" s="5">
        <v>40328</v>
      </c>
      <c r="D3987" s="3" t="s">
        <v>4</v>
      </c>
      <c r="E3987" s="1" t="s">
        <v>733</v>
      </c>
      <c r="F3987" s="1" t="s">
        <v>52</v>
      </c>
      <c r="G3987" s="2" t="s">
        <v>3</v>
      </c>
      <c r="H3987" s="3" t="s">
        <v>84</v>
      </c>
      <c r="I3987" s="3" t="s">
        <v>92</v>
      </c>
      <c r="J3987" s="3" t="s">
        <v>62</v>
      </c>
      <c r="K3987" s="4">
        <v>254.12</v>
      </c>
      <c r="L3987" s="6">
        <v>20.95</v>
      </c>
    </row>
    <row r="3988" spans="1:12" x14ac:dyDescent="0.25">
      <c r="A3988" s="1">
        <v>3987</v>
      </c>
      <c r="B3988" s="4">
        <v>28455</v>
      </c>
      <c r="C3988" s="5">
        <v>40328</v>
      </c>
      <c r="D3988" s="3" t="s">
        <v>4</v>
      </c>
      <c r="E3988" s="1" t="s">
        <v>733</v>
      </c>
      <c r="F3988" s="1" t="s">
        <v>52</v>
      </c>
      <c r="G3988" s="2" t="s">
        <v>3</v>
      </c>
      <c r="H3988" s="3" t="s">
        <v>84</v>
      </c>
      <c r="I3988" s="3" t="s">
        <v>92</v>
      </c>
      <c r="J3988" s="3" t="s">
        <v>62</v>
      </c>
      <c r="K3988" s="4">
        <v>767.04</v>
      </c>
      <c r="L3988" s="6">
        <v>20.89</v>
      </c>
    </row>
    <row r="3989" spans="1:12" x14ac:dyDescent="0.25">
      <c r="A3989" s="1">
        <v>3988</v>
      </c>
      <c r="B3989" s="4">
        <v>28480</v>
      </c>
      <c r="C3989" s="5">
        <v>39887</v>
      </c>
      <c r="D3989" s="3" t="s">
        <v>4</v>
      </c>
      <c r="E3989" s="1" t="s">
        <v>1032</v>
      </c>
      <c r="F3989" s="1" t="s">
        <v>25</v>
      </c>
      <c r="G3989" s="2" t="s">
        <v>6</v>
      </c>
      <c r="H3989" s="3" t="s">
        <v>88</v>
      </c>
      <c r="I3989" s="3" t="s">
        <v>85</v>
      </c>
      <c r="J3989" s="3" t="s">
        <v>63</v>
      </c>
      <c r="K3989" s="4">
        <v>30.62</v>
      </c>
      <c r="L3989" s="6">
        <v>1.76</v>
      </c>
    </row>
    <row r="3990" spans="1:12" x14ac:dyDescent="0.25">
      <c r="A3990" s="1">
        <v>3989</v>
      </c>
      <c r="B3990" s="4">
        <v>28482</v>
      </c>
      <c r="C3990" s="5">
        <v>40245</v>
      </c>
      <c r="D3990" s="3" t="s">
        <v>95</v>
      </c>
      <c r="E3990" s="1" t="s">
        <v>142</v>
      </c>
      <c r="F3990" s="1" t="s">
        <v>18</v>
      </c>
      <c r="G3990" s="2" t="s">
        <v>6</v>
      </c>
      <c r="H3990" s="3" t="s">
        <v>97</v>
      </c>
      <c r="I3990" s="3" t="s">
        <v>91</v>
      </c>
      <c r="J3990" s="3" t="s">
        <v>59</v>
      </c>
      <c r="K3990" s="4">
        <v>119.63</v>
      </c>
      <c r="L3990" s="6">
        <v>5.08</v>
      </c>
    </row>
    <row r="3991" spans="1:12" x14ac:dyDescent="0.25">
      <c r="A3991" s="1">
        <v>3990</v>
      </c>
      <c r="B3991" s="4">
        <v>28482</v>
      </c>
      <c r="C3991" s="5">
        <v>40245</v>
      </c>
      <c r="D3991" s="3" t="s">
        <v>95</v>
      </c>
      <c r="E3991" s="1" t="s">
        <v>142</v>
      </c>
      <c r="F3991" s="1" t="s">
        <v>18</v>
      </c>
      <c r="G3991" s="2" t="s">
        <v>6</v>
      </c>
      <c r="H3991" s="3" t="s">
        <v>97</v>
      </c>
      <c r="I3991" s="3" t="s">
        <v>85</v>
      </c>
      <c r="J3991" s="3" t="s">
        <v>66</v>
      </c>
      <c r="K3991" s="4">
        <v>177.92</v>
      </c>
      <c r="L3991" s="6">
        <v>4.28</v>
      </c>
    </row>
    <row r="3992" spans="1:12" x14ac:dyDescent="0.25">
      <c r="A3992" s="1">
        <v>3991</v>
      </c>
      <c r="B3992" s="4">
        <v>28485</v>
      </c>
      <c r="C3992" s="5">
        <v>40920</v>
      </c>
      <c r="D3992" s="3" t="s">
        <v>89</v>
      </c>
      <c r="E3992" s="1" t="s">
        <v>852</v>
      </c>
      <c r="F3992" s="1" t="s">
        <v>24</v>
      </c>
      <c r="G3992" s="2" t="s">
        <v>2</v>
      </c>
      <c r="H3992" s="3" t="s">
        <v>100</v>
      </c>
      <c r="I3992" s="3" t="s">
        <v>85</v>
      </c>
      <c r="J3992" s="3" t="s">
        <v>63</v>
      </c>
      <c r="K3992" s="4">
        <v>49.18</v>
      </c>
      <c r="L3992" s="6">
        <v>4.28</v>
      </c>
    </row>
    <row r="3993" spans="1:12" x14ac:dyDescent="0.25">
      <c r="A3993" s="1">
        <v>3992</v>
      </c>
      <c r="B3993" s="4">
        <v>28486</v>
      </c>
      <c r="C3993" s="5">
        <v>40051</v>
      </c>
      <c r="D3993" s="3" t="s">
        <v>89</v>
      </c>
      <c r="E3993" s="1" t="s">
        <v>1198</v>
      </c>
      <c r="F3993" s="1" t="s">
        <v>8</v>
      </c>
      <c r="G3993" s="2" t="s">
        <v>6</v>
      </c>
      <c r="H3993" s="3" t="s">
        <v>88</v>
      </c>
      <c r="I3993" s="3" t="s">
        <v>85</v>
      </c>
      <c r="J3993" s="3" t="s">
        <v>57</v>
      </c>
      <c r="K3993" s="4">
        <v>811.13</v>
      </c>
      <c r="L3993" s="6">
        <v>415.88</v>
      </c>
    </row>
    <row r="3994" spans="1:12" x14ac:dyDescent="0.25">
      <c r="A3994" s="1">
        <v>3993</v>
      </c>
      <c r="B3994" s="4">
        <v>28512</v>
      </c>
      <c r="C3994" s="5">
        <v>40295</v>
      </c>
      <c r="D3994" s="3" t="s">
        <v>4</v>
      </c>
      <c r="E3994" s="1" t="s">
        <v>1157</v>
      </c>
      <c r="F3994" s="1" t="s">
        <v>10</v>
      </c>
      <c r="G3994" s="2" t="s">
        <v>3</v>
      </c>
      <c r="H3994" s="3" t="s">
        <v>88</v>
      </c>
      <c r="I3994" s="3" t="s">
        <v>92</v>
      </c>
      <c r="J3994" s="3" t="s">
        <v>62</v>
      </c>
      <c r="K3994" s="4">
        <v>323.91000000000003</v>
      </c>
      <c r="L3994" s="6">
        <v>30.73</v>
      </c>
    </row>
    <row r="3995" spans="1:12" x14ac:dyDescent="0.25">
      <c r="A3995" s="1">
        <v>3994</v>
      </c>
      <c r="B3995" s="4">
        <v>28512</v>
      </c>
      <c r="C3995" s="5">
        <v>40295</v>
      </c>
      <c r="D3995" s="3" t="s">
        <v>4</v>
      </c>
      <c r="E3995" s="1" t="s">
        <v>1157</v>
      </c>
      <c r="F3995" s="1" t="s">
        <v>10</v>
      </c>
      <c r="G3995" s="2" t="s">
        <v>3</v>
      </c>
      <c r="H3995" s="3" t="s">
        <v>88</v>
      </c>
      <c r="I3995" s="3" t="s">
        <v>85</v>
      </c>
      <c r="J3995" s="3" t="s">
        <v>66</v>
      </c>
      <c r="K3995" s="4">
        <v>185.59</v>
      </c>
      <c r="L3995" s="6">
        <v>19.98</v>
      </c>
    </row>
    <row r="3996" spans="1:12" x14ac:dyDescent="0.25">
      <c r="A3996" s="1">
        <v>3995</v>
      </c>
      <c r="B3996" s="4">
        <v>28512</v>
      </c>
      <c r="C3996" s="5">
        <v>40295</v>
      </c>
      <c r="D3996" s="3" t="s">
        <v>4</v>
      </c>
      <c r="E3996" s="1" t="s">
        <v>1157</v>
      </c>
      <c r="F3996" s="1" t="s">
        <v>10</v>
      </c>
      <c r="G3996" s="2" t="s">
        <v>3</v>
      </c>
      <c r="H3996" s="3" t="s">
        <v>88</v>
      </c>
      <c r="I3996" s="3" t="s">
        <v>85</v>
      </c>
      <c r="J3996" s="3" t="s">
        <v>57</v>
      </c>
      <c r="K3996" s="4">
        <v>7168.15</v>
      </c>
      <c r="L3996" s="6">
        <v>419.19</v>
      </c>
    </row>
    <row r="3997" spans="1:12" x14ac:dyDescent="0.25">
      <c r="A3997" s="1">
        <v>3996</v>
      </c>
      <c r="B3997" s="4">
        <v>28515</v>
      </c>
      <c r="C3997" s="5">
        <v>40359</v>
      </c>
      <c r="D3997" s="3" t="s">
        <v>89</v>
      </c>
      <c r="E3997" s="1" t="s">
        <v>389</v>
      </c>
      <c r="F3997" s="1" t="s">
        <v>21</v>
      </c>
      <c r="G3997" s="2" t="s">
        <v>1</v>
      </c>
      <c r="H3997" s="3" t="s">
        <v>88</v>
      </c>
      <c r="I3997" s="3" t="s">
        <v>92</v>
      </c>
      <c r="J3997" s="3" t="s">
        <v>62</v>
      </c>
      <c r="K3997" s="4">
        <v>379.78</v>
      </c>
      <c r="L3997" s="6">
        <v>8.32</v>
      </c>
    </row>
    <row r="3998" spans="1:12" x14ac:dyDescent="0.25">
      <c r="A3998" s="1">
        <v>3997</v>
      </c>
      <c r="B3998" s="4">
        <v>28515</v>
      </c>
      <c r="C3998" s="5">
        <v>40359</v>
      </c>
      <c r="D3998" s="3" t="s">
        <v>89</v>
      </c>
      <c r="E3998" s="1" t="s">
        <v>960</v>
      </c>
      <c r="F3998" s="1" t="s">
        <v>43</v>
      </c>
      <c r="G3998" s="2" t="s">
        <v>1</v>
      </c>
      <c r="H3998" s="3" t="s">
        <v>88</v>
      </c>
      <c r="I3998" s="3" t="s">
        <v>85</v>
      </c>
      <c r="J3998" s="3" t="s">
        <v>69</v>
      </c>
      <c r="K3998" s="4">
        <v>750.86</v>
      </c>
      <c r="L3998" s="6">
        <v>21.38</v>
      </c>
    </row>
    <row r="3999" spans="1:12" x14ac:dyDescent="0.25">
      <c r="A3999" s="1">
        <v>3998</v>
      </c>
      <c r="B3999" s="4">
        <v>28519</v>
      </c>
      <c r="C3999" s="5">
        <v>40351</v>
      </c>
      <c r="D3999" s="3" t="s">
        <v>89</v>
      </c>
      <c r="E3999" s="1" t="s">
        <v>204</v>
      </c>
      <c r="F3999" s="1" t="s">
        <v>12</v>
      </c>
      <c r="G3999" s="2" t="s">
        <v>2</v>
      </c>
      <c r="H3999" s="3" t="s">
        <v>100</v>
      </c>
      <c r="I3999" s="3" t="s">
        <v>92</v>
      </c>
      <c r="J3999" s="3" t="s">
        <v>61</v>
      </c>
      <c r="K3999" s="4">
        <v>268.71049999999997</v>
      </c>
      <c r="L3999" s="6">
        <v>85.99</v>
      </c>
    </row>
    <row r="4000" spans="1:12" x14ac:dyDescent="0.25">
      <c r="A4000" s="1">
        <v>3999</v>
      </c>
      <c r="B4000" s="4">
        <v>28544</v>
      </c>
      <c r="C4000" s="5">
        <v>41149</v>
      </c>
      <c r="D4000" s="3" t="s">
        <v>95</v>
      </c>
      <c r="E4000" s="1" t="s">
        <v>1130</v>
      </c>
      <c r="F4000" s="1" t="s">
        <v>33</v>
      </c>
      <c r="G4000" s="2" t="s">
        <v>2</v>
      </c>
      <c r="H4000" s="3" t="s">
        <v>100</v>
      </c>
      <c r="I4000" s="3" t="s">
        <v>85</v>
      </c>
      <c r="J4000" s="3" t="s">
        <v>69</v>
      </c>
      <c r="K4000" s="4">
        <v>68.5</v>
      </c>
      <c r="L4000" s="6">
        <v>2.78</v>
      </c>
    </row>
    <row r="4001" spans="1:12" x14ac:dyDescent="0.25">
      <c r="A4001" s="1">
        <v>4000</v>
      </c>
      <c r="B4001" s="4">
        <v>28545</v>
      </c>
      <c r="C4001" s="5">
        <v>40778</v>
      </c>
      <c r="D4001" s="3" t="s">
        <v>89</v>
      </c>
      <c r="E4001" s="1" t="s">
        <v>450</v>
      </c>
      <c r="F4001" s="1" t="s">
        <v>29</v>
      </c>
      <c r="G4001" s="2" t="s">
        <v>3</v>
      </c>
      <c r="H4001" s="3" t="s">
        <v>97</v>
      </c>
      <c r="I4001" s="3" t="s">
        <v>85</v>
      </c>
      <c r="J4001" s="3" t="s">
        <v>70</v>
      </c>
      <c r="K4001" s="4">
        <v>5296.19</v>
      </c>
      <c r="L4001" s="6">
        <v>363.25</v>
      </c>
    </row>
    <row r="4002" spans="1:12" x14ac:dyDescent="0.25">
      <c r="A4002" s="1">
        <v>4001</v>
      </c>
      <c r="B4002" s="4">
        <v>28550</v>
      </c>
      <c r="C4002" s="5">
        <v>40622</v>
      </c>
      <c r="D4002" s="3" t="s">
        <v>86</v>
      </c>
      <c r="E4002" s="1" t="s">
        <v>684</v>
      </c>
      <c r="F4002" s="1" t="s">
        <v>37</v>
      </c>
      <c r="G4002" s="2" t="s">
        <v>3</v>
      </c>
      <c r="H4002" s="3" t="s">
        <v>88</v>
      </c>
      <c r="I4002" s="3" t="s">
        <v>92</v>
      </c>
      <c r="J4002" s="3" t="s">
        <v>67</v>
      </c>
      <c r="K4002" s="4">
        <v>21532.26</v>
      </c>
      <c r="L4002" s="6">
        <v>500.97</v>
      </c>
    </row>
    <row r="4003" spans="1:12" x14ac:dyDescent="0.25">
      <c r="A4003" s="1">
        <v>4002</v>
      </c>
      <c r="B4003" s="4">
        <v>28550</v>
      </c>
      <c r="C4003" s="5">
        <v>40622</v>
      </c>
      <c r="D4003" s="3" t="s">
        <v>86</v>
      </c>
      <c r="E4003" s="1" t="s">
        <v>684</v>
      </c>
      <c r="F4003" s="1" t="s">
        <v>37</v>
      </c>
      <c r="G4003" s="2" t="s">
        <v>3</v>
      </c>
      <c r="H4003" s="3" t="s">
        <v>88</v>
      </c>
      <c r="I4003" s="3" t="s">
        <v>85</v>
      </c>
      <c r="J4003" s="3" t="s">
        <v>66</v>
      </c>
      <c r="K4003" s="4">
        <v>7.64</v>
      </c>
      <c r="L4003" s="6">
        <v>4.76</v>
      </c>
    </row>
    <row r="4004" spans="1:12" x14ac:dyDescent="0.25">
      <c r="A4004" s="1">
        <v>4003</v>
      </c>
      <c r="B4004" s="4">
        <v>28581</v>
      </c>
      <c r="C4004" s="5">
        <v>40884</v>
      </c>
      <c r="D4004" s="3" t="s">
        <v>4</v>
      </c>
      <c r="E4004" s="1" t="s">
        <v>1017</v>
      </c>
      <c r="F4004" s="1" t="s">
        <v>15</v>
      </c>
      <c r="G4004" s="2" t="s">
        <v>1</v>
      </c>
      <c r="H4004" s="3" t="s">
        <v>97</v>
      </c>
      <c r="I4004" s="3" t="s">
        <v>85</v>
      </c>
      <c r="J4004" s="3" t="s">
        <v>69</v>
      </c>
      <c r="K4004" s="4">
        <v>36.4</v>
      </c>
      <c r="L4004" s="6">
        <v>24.92</v>
      </c>
    </row>
    <row r="4005" spans="1:12" x14ac:dyDescent="0.25">
      <c r="A4005" s="1">
        <v>4004</v>
      </c>
      <c r="B4005" s="4">
        <v>28581</v>
      </c>
      <c r="C4005" s="5">
        <v>40884</v>
      </c>
      <c r="D4005" s="3" t="s">
        <v>4</v>
      </c>
      <c r="E4005" s="1" t="s">
        <v>1017</v>
      </c>
      <c r="F4005" s="1" t="s">
        <v>15</v>
      </c>
      <c r="G4005" s="2" t="s">
        <v>1</v>
      </c>
      <c r="H4005" s="3" t="s">
        <v>97</v>
      </c>
      <c r="I4005" s="3" t="s">
        <v>85</v>
      </c>
      <c r="J4005" s="3" t="s">
        <v>66</v>
      </c>
      <c r="K4005" s="4">
        <v>176.35</v>
      </c>
      <c r="L4005" s="6">
        <v>4.9800000000000004</v>
      </c>
    </row>
    <row r="4006" spans="1:12" x14ac:dyDescent="0.25">
      <c r="A4006" s="1">
        <v>4005</v>
      </c>
      <c r="B4006" s="4">
        <v>28582</v>
      </c>
      <c r="C4006" s="5">
        <v>40930</v>
      </c>
      <c r="D4006" s="3" t="s">
        <v>86</v>
      </c>
      <c r="E4006" s="1" t="s">
        <v>1199</v>
      </c>
      <c r="F4006" s="1" t="s">
        <v>28</v>
      </c>
      <c r="G4006" s="2" t="s">
        <v>6</v>
      </c>
      <c r="H4006" s="3" t="s">
        <v>97</v>
      </c>
      <c r="I4006" s="3" t="s">
        <v>92</v>
      </c>
      <c r="J4006" s="3" t="s">
        <v>62</v>
      </c>
      <c r="K4006" s="4">
        <v>1500.17</v>
      </c>
      <c r="L4006" s="6">
        <v>39.24</v>
      </c>
    </row>
    <row r="4007" spans="1:12" x14ac:dyDescent="0.25">
      <c r="A4007" s="1">
        <v>4006</v>
      </c>
      <c r="B4007" s="4">
        <v>28582</v>
      </c>
      <c r="C4007" s="5">
        <v>40930</v>
      </c>
      <c r="D4007" s="3" t="s">
        <v>86</v>
      </c>
      <c r="E4007" s="1" t="s">
        <v>1199</v>
      </c>
      <c r="F4007" s="1" t="s">
        <v>28</v>
      </c>
      <c r="G4007" s="2" t="s">
        <v>6</v>
      </c>
      <c r="H4007" s="3" t="s">
        <v>97</v>
      </c>
      <c r="I4007" s="3" t="s">
        <v>85</v>
      </c>
      <c r="J4007" s="3" t="s">
        <v>66</v>
      </c>
      <c r="K4007" s="4">
        <v>377.31</v>
      </c>
      <c r="L4007" s="6">
        <v>8.01</v>
      </c>
    </row>
    <row r="4008" spans="1:12" x14ac:dyDescent="0.25">
      <c r="A4008" s="1">
        <v>4007</v>
      </c>
      <c r="B4008" s="4">
        <v>28583</v>
      </c>
      <c r="C4008" s="5">
        <v>40129</v>
      </c>
      <c r="D4008" s="3" t="s">
        <v>95</v>
      </c>
      <c r="E4008" s="1" t="s">
        <v>1200</v>
      </c>
      <c r="F4008" s="1" t="s">
        <v>42</v>
      </c>
      <c r="G4008" s="2" t="s">
        <v>3</v>
      </c>
      <c r="H4008" s="3" t="s">
        <v>84</v>
      </c>
      <c r="I4008" s="3" t="s">
        <v>85</v>
      </c>
      <c r="J4008" s="3" t="s">
        <v>69</v>
      </c>
      <c r="K4008" s="4">
        <v>5811.72</v>
      </c>
      <c r="L4008" s="6">
        <v>223.98</v>
      </c>
    </row>
    <row r="4009" spans="1:12" x14ac:dyDescent="0.25">
      <c r="A4009" s="1">
        <v>4008</v>
      </c>
      <c r="B4009" s="4">
        <v>28611</v>
      </c>
      <c r="C4009" s="5">
        <v>41270</v>
      </c>
      <c r="D4009" s="3" t="s">
        <v>82</v>
      </c>
      <c r="E4009" s="1" t="s">
        <v>856</v>
      </c>
      <c r="F4009" s="1" t="s">
        <v>15</v>
      </c>
      <c r="G4009" s="2" t="s">
        <v>1</v>
      </c>
      <c r="H4009" s="3" t="s">
        <v>100</v>
      </c>
      <c r="I4009" s="3" t="s">
        <v>85</v>
      </c>
      <c r="J4009" s="3" t="s">
        <v>69</v>
      </c>
      <c r="K4009" s="4">
        <v>15337.58</v>
      </c>
      <c r="L4009" s="6">
        <v>525.98</v>
      </c>
    </row>
    <row r="4010" spans="1:12" x14ac:dyDescent="0.25">
      <c r="A4010" s="1">
        <v>4009</v>
      </c>
      <c r="B4010" s="4">
        <v>28611</v>
      </c>
      <c r="C4010" s="5">
        <v>41270</v>
      </c>
      <c r="D4010" s="3" t="s">
        <v>82</v>
      </c>
      <c r="E4010" s="1" t="s">
        <v>856</v>
      </c>
      <c r="F4010" s="1" t="s">
        <v>15</v>
      </c>
      <c r="G4010" s="2" t="s">
        <v>1</v>
      </c>
      <c r="H4010" s="3" t="s">
        <v>100</v>
      </c>
      <c r="I4010" s="3" t="s">
        <v>92</v>
      </c>
      <c r="J4010" s="3" t="s">
        <v>61</v>
      </c>
      <c r="K4010" s="4">
        <v>3883.4714999999997</v>
      </c>
      <c r="L4010" s="6">
        <v>115.99</v>
      </c>
    </row>
    <row r="4011" spans="1:12" x14ac:dyDescent="0.25">
      <c r="A4011" s="1">
        <v>4010</v>
      </c>
      <c r="B4011" s="4">
        <v>28614</v>
      </c>
      <c r="C4011" s="5">
        <v>40105</v>
      </c>
      <c r="D4011" s="3" t="s">
        <v>95</v>
      </c>
      <c r="E4011" s="1" t="s">
        <v>134</v>
      </c>
      <c r="F4011" s="1" t="s">
        <v>23</v>
      </c>
      <c r="G4011" s="2" t="s">
        <v>3</v>
      </c>
      <c r="H4011" s="3" t="s">
        <v>100</v>
      </c>
      <c r="I4011" s="3" t="s">
        <v>92</v>
      </c>
      <c r="J4011" s="3" t="s">
        <v>62</v>
      </c>
      <c r="K4011" s="4">
        <v>7827.51</v>
      </c>
      <c r="L4011" s="6">
        <v>159.99</v>
      </c>
    </row>
    <row r="4012" spans="1:12" x14ac:dyDescent="0.25">
      <c r="A4012" s="1">
        <v>4011</v>
      </c>
      <c r="B4012" s="4">
        <v>28641</v>
      </c>
      <c r="C4012" s="5">
        <v>40828</v>
      </c>
      <c r="D4012" s="3" t="s">
        <v>86</v>
      </c>
      <c r="E4012" s="1" t="s">
        <v>344</v>
      </c>
      <c r="F4012" s="1" t="s">
        <v>10</v>
      </c>
      <c r="G4012" s="2" t="s">
        <v>3</v>
      </c>
      <c r="H4012" s="3" t="s">
        <v>97</v>
      </c>
      <c r="I4012" s="3" t="s">
        <v>92</v>
      </c>
      <c r="J4012" s="3" t="s">
        <v>62</v>
      </c>
      <c r="K4012" s="4">
        <v>278.64999999999998</v>
      </c>
      <c r="L4012" s="6">
        <v>8.32</v>
      </c>
    </row>
    <row r="4013" spans="1:12" x14ac:dyDescent="0.25">
      <c r="A4013" s="1">
        <v>4012</v>
      </c>
      <c r="B4013" s="4">
        <v>28642</v>
      </c>
      <c r="C4013" s="5">
        <v>40561</v>
      </c>
      <c r="D4013" s="3" t="s">
        <v>89</v>
      </c>
      <c r="E4013" s="1" t="s">
        <v>1004</v>
      </c>
      <c r="F4013" s="1" t="s">
        <v>18</v>
      </c>
      <c r="G4013" s="2" t="s">
        <v>6</v>
      </c>
      <c r="H4013" s="3" t="s">
        <v>88</v>
      </c>
      <c r="I4013" s="3" t="s">
        <v>85</v>
      </c>
      <c r="J4013" s="3" t="s">
        <v>69</v>
      </c>
      <c r="K4013" s="4">
        <v>230.29</v>
      </c>
      <c r="L4013" s="6">
        <v>5.28</v>
      </c>
    </row>
    <row r="4014" spans="1:12" x14ac:dyDescent="0.25">
      <c r="A4014" s="1">
        <v>4013</v>
      </c>
      <c r="B4014" s="4">
        <v>28642</v>
      </c>
      <c r="C4014" s="5">
        <v>40561</v>
      </c>
      <c r="D4014" s="3" t="s">
        <v>89</v>
      </c>
      <c r="E4014" s="1" t="s">
        <v>1004</v>
      </c>
      <c r="F4014" s="1" t="s">
        <v>18</v>
      </c>
      <c r="G4014" s="2" t="s">
        <v>6</v>
      </c>
      <c r="H4014" s="3" t="s">
        <v>88</v>
      </c>
      <c r="I4014" s="3" t="s">
        <v>92</v>
      </c>
      <c r="J4014" s="3" t="s">
        <v>61</v>
      </c>
      <c r="K4014" s="4">
        <v>1592.0415</v>
      </c>
      <c r="L4014" s="6">
        <v>65.989999999999995</v>
      </c>
    </row>
    <row r="4015" spans="1:12" x14ac:dyDescent="0.25">
      <c r="A4015" s="1">
        <v>4014</v>
      </c>
      <c r="B4015" s="4">
        <v>28643</v>
      </c>
      <c r="C4015" s="5">
        <v>40295</v>
      </c>
      <c r="D4015" s="3" t="s">
        <v>86</v>
      </c>
      <c r="E4015" s="1" t="s">
        <v>670</v>
      </c>
      <c r="F4015" s="1" t="s">
        <v>24</v>
      </c>
      <c r="G4015" s="2" t="s">
        <v>2</v>
      </c>
      <c r="H4015" s="3" t="s">
        <v>100</v>
      </c>
      <c r="I4015" s="3" t="s">
        <v>85</v>
      </c>
      <c r="J4015" s="3" t="s">
        <v>69</v>
      </c>
      <c r="K4015" s="4">
        <v>659.5</v>
      </c>
      <c r="L4015" s="6">
        <v>41.94</v>
      </c>
    </row>
    <row r="4016" spans="1:12" x14ac:dyDescent="0.25">
      <c r="A4016" s="1">
        <v>4015</v>
      </c>
      <c r="B4016" s="4">
        <v>28647</v>
      </c>
      <c r="C4016" s="5">
        <v>39886</v>
      </c>
      <c r="D4016" s="3" t="s">
        <v>95</v>
      </c>
      <c r="E4016" s="1" t="s">
        <v>1017</v>
      </c>
      <c r="F4016" s="1" t="s">
        <v>15</v>
      </c>
      <c r="G4016" s="2" t="s">
        <v>1</v>
      </c>
      <c r="H4016" s="3" t="s">
        <v>88</v>
      </c>
      <c r="I4016" s="3" t="s">
        <v>91</v>
      </c>
      <c r="J4016" s="3" t="s">
        <v>60</v>
      </c>
      <c r="K4016" s="4">
        <v>5679.59</v>
      </c>
      <c r="L4016" s="6">
        <v>154.13</v>
      </c>
    </row>
    <row r="4017" spans="1:12" x14ac:dyDescent="0.25">
      <c r="A4017" s="1">
        <v>4016</v>
      </c>
      <c r="B4017" s="4">
        <v>28674</v>
      </c>
      <c r="C4017" s="5">
        <v>40770</v>
      </c>
      <c r="D4017" s="3" t="s">
        <v>89</v>
      </c>
      <c r="E4017" s="1" t="s">
        <v>394</v>
      </c>
      <c r="F4017" s="1" t="s">
        <v>26</v>
      </c>
      <c r="G4017" s="2" t="s">
        <v>3</v>
      </c>
      <c r="H4017" s="3" t="s">
        <v>97</v>
      </c>
      <c r="I4017" s="3" t="s">
        <v>85</v>
      </c>
      <c r="J4017" s="3" t="s">
        <v>66</v>
      </c>
      <c r="K4017" s="4">
        <v>161.96</v>
      </c>
      <c r="L4017" s="6">
        <v>5.78</v>
      </c>
    </row>
    <row r="4018" spans="1:12" x14ac:dyDescent="0.25">
      <c r="A4018" s="1">
        <v>4017</v>
      </c>
      <c r="B4018" s="4">
        <v>28675</v>
      </c>
      <c r="C4018" s="5">
        <v>40094</v>
      </c>
      <c r="D4018" s="3" t="s">
        <v>95</v>
      </c>
      <c r="E4018" s="1" t="s">
        <v>533</v>
      </c>
      <c r="F4018" s="1" t="s">
        <v>8</v>
      </c>
      <c r="G4018" s="2" t="s">
        <v>6</v>
      </c>
      <c r="H4018" s="3" t="s">
        <v>100</v>
      </c>
      <c r="I4018" s="3" t="s">
        <v>92</v>
      </c>
      <c r="J4018" s="3" t="s">
        <v>61</v>
      </c>
      <c r="K4018" s="4">
        <v>822.84249999999997</v>
      </c>
      <c r="L4018" s="6">
        <v>65.989999999999995</v>
      </c>
    </row>
    <row r="4019" spans="1:12" x14ac:dyDescent="0.25">
      <c r="A4019" s="1">
        <v>4018</v>
      </c>
      <c r="B4019" s="4">
        <v>28736</v>
      </c>
      <c r="C4019" s="5">
        <v>39924</v>
      </c>
      <c r="D4019" s="3" t="s">
        <v>89</v>
      </c>
      <c r="E4019" s="1" t="s">
        <v>141</v>
      </c>
      <c r="F4019" s="1" t="s">
        <v>15</v>
      </c>
      <c r="G4019" s="2" t="s">
        <v>1</v>
      </c>
      <c r="H4019" s="3" t="s">
        <v>84</v>
      </c>
      <c r="I4019" s="3" t="s">
        <v>85</v>
      </c>
      <c r="J4019" s="3" t="s">
        <v>66</v>
      </c>
      <c r="K4019" s="4">
        <v>1029.29</v>
      </c>
      <c r="L4019" s="6">
        <v>40.99</v>
      </c>
    </row>
    <row r="4020" spans="1:12" x14ac:dyDescent="0.25">
      <c r="A4020" s="1">
        <v>4019</v>
      </c>
      <c r="B4020" s="4">
        <v>28737</v>
      </c>
      <c r="C4020" s="5">
        <v>40819</v>
      </c>
      <c r="D4020" s="3" t="s">
        <v>95</v>
      </c>
      <c r="E4020" s="1" t="s">
        <v>1082</v>
      </c>
      <c r="F4020" s="1" t="s">
        <v>24</v>
      </c>
      <c r="G4020" s="2" t="s">
        <v>2</v>
      </c>
      <c r="H4020" s="3" t="s">
        <v>97</v>
      </c>
      <c r="I4020" s="3" t="s">
        <v>85</v>
      </c>
      <c r="J4020" s="3" t="s">
        <v>58</v>
      </c>
      <c r="K4020" s="4">
        <v>413.37</v>
      </c>
      <c r="L4020" s="6">
        <v>8.4499999999999993</v>
      </c>
    </row>
    <row r="4021" spans="1:12" x14ac:dyDescent="0.25">
      <c r="A4021" s="1">
        <v>4020</v>
      </c>
      <c r="B4021" s="4">
        <v>28737</v>
      </c>
      <c r="C4021" s="5">
        <v>40819</v>
      </c>
      <c r="D4021" s="3" t="s">
        <v>95</v>
      </c>
      <c r="E4021" s="1" t="s">
        <v>1082</v>
      </c>
      <c r="F4021" s="1" t="s">
        <v>24</v>
      </c>
      <c r="G4021" s="2" t="s">
        <v>2</v>
      </c>
      <c r="H4021" s="3" t="s">
        <v>97</v>
      </c>
      <c r="I4021" s="3" t="s">
        <v>92</v>
      </c>
      <c r="J4021" s="3" t="s">
        <v>61</v>
      </c>
      <c r="K4021" s="4">
        <v>1721.6410000000001</v>
      </c>
      <c r="L4021" s="6">
        <v>115.99</v>
      </c>
    </row>
    <row r="4022" spans="1:12" x14ac:dyDescent="0.25">
      <c r="A4022" s="1">
        <v>4021</v>
      </c>
      <c r="B4022" s="4">
        <v>28738</v>
      </c>
      <c r="C4022" s="5">
        <v>41131</v>
      </c>
      <c r="D4022" s="3" t="s">
        <v>4</v>
      </c>
      <c r="E4022" s="1" t="s">
        <v>325</v>
      </c>
      <c r="F4022" s="1" t="s">
        <v>42</v>
      </c>
      <c r="G4022" s="2" t="s">
        <v>3</v>
      </c>
      <c r="H4022" s="3" t="s">
        <v>84</v>
      </c>
      <c r="I4022" s="3" t="s">
        <v>85</v>
      </c>
      <c r="J4022" s="3" t="s">
        <v>69</v>
      </c>
      <c r="K4022" s="4">
        <v>23.54</v>
      </c>
      <c r="L4022" s="6">
        <v>8.6</v>
      </c>
    </row>
    <row r="4023" spans="1:12" x14ac:dyDescent="0.25">
      <c r="A4023" s="1">
        <v>4022</v>
      </c>
      <c r="B4023" s="4">
        <v>28738</v>
      </c>
      <c r="C4023" s="5">
        <v>41131</v>
      </c>
      <c r="D4023" s="3" t="s">
        <v>4</v>
      </c>
      <c r="E4023" s="1" t="s">
        <v>325</v>
      </c>
      <c r="F4023" s="1" t="s">
        <v>42</v>
      </c>
      <c r="G4023" s="2" t="s">
        <v>3</v>
      </c>
      <c r="H4023" s="3" t="s">
        <v>84</v>
      </c>
      <c r="I4023" s="3" t="s">
        <v>85</v>
      </c>
      <c r="J4023" s="3" t="s">
        <v>57</v>
      </c>
      <c r="K4023" s="4">
        <v>1539.83</v>
      </c>
      <c r="L4023" s="6">
        <v>165.2</v>
      </c>
    </row>
    <row r="4024" spans="1:12" x14ac:dyDescent="0.25">
      <c r="A4024" s="1">
        <v>4023</v>
      </c>
      <c r="B4024" s="4">
        <v>28741</v>
      </c>
      <c r="C4024" s="5">
        <v>40602</v>
      </c>
      <c r="D4024" s="3" t="s">
        <v>86</v>
      </c>
      <c r="E4024" s="1" t="s">
        <v>1201</v>
      </c>
      <c r="F4024" s="1" t="s">
        <v>23</v>
      </c>
      <c r="G4024" s="2" t="s">
        <v>3</v>
      </c>
      <c r="H4024" s="3" t="s">
        <v>84</v>
      </c>
      <c r="I4024" s="3" t="s">
        <v>85</v>
      </c>
      <c r="J4024" s="3" t="s">
        <v>66</v>
      </c>
      <c r="K4024" s="4">
        <v>70.13</v>
      </c>
      <c r="L4024" s="6">
        <v>5.43</v>
      </c>
    </row>
    <row r="4025" spans="1:12" x14ac:dyDescent="0.25">
      <c r="A4025" s="1">
        <v>4024</v>
      </c>
      <c r="B4025" s="4">
        <v>28741</v>
      </c>
      <c r="C4025" s="5">
        <v>40602</v>
      </c>
      <c r="D4025" s="3" t="s">
        <v>86</v>
      </c>
      <c r="E4025" s="1" t="s">
        <v>1201</v>
      </c>
      <c r="F4025" s="1" t="s">
        <v>23</v>
      </c>
      <c r="G4025" s="2" t="s">
        <v>3</v>
      </c>
      <c r="H4025" s="3" t="s">
        <v>84</v>
      </c>
      <c r="I4025" s="3" t="s">
        <v>85</v>
      </c>
      <c r="J4025" s="3" t="s">
        <v>58</v>
      </c>
      <c r="K4025" s="4">
        <v>59.76</v>
      </c>
      <c r="L4025" s="6">
        <v>10.98</v>
      </c>
    </row>
    <row r="4026" spans="1:12" x14ac:dyDescent="0.25">
      <c r="A4026" s="1">
        <v>4025</v>
      </c>
      <c r="B4026" s="4">
        <v>28742</v>
      </c>
      <c r="C4026" s="5">
        <v>41028</v>
      </c>
      <c r="D4026" s="3" t="s">
        <v>82</v>
      </c>
      <c r="E4026" s="1" t="s">
        <v>1075</v>
      </c>
      <c r="F4026" s="1" t="s">
        <v>26</v>
      </c>
      <c r="G4026" s="2" t="s">
        <v>3</v>
      </c>
      <c r="H4026" s="3" t="s">
        <v>88</v>
      </c>
      <c r="I4026" s="3" t="s">
        <v>85</v>
      </c>
      <c r="J4026" s="3" t="s">
        <v>57</v>
      </c>
      <c r="K4026" s="4">
        <v>587.91999999999996</v>
      </c>
      <c r="L4026" s="6">
        <v>16.91</v>
      </c>
    </row>
    <row r="4027" spans="1:12" x14ac:dyDescent="0.25">
      <c r="A4027" s="1">
        <v>4026</v>
      </c>
      <c r="B4027" s="4">
        <v>28742</v>
      </c>
      <c r="C4027" s="5">
        <v>41028</v>
      </c>
      <c r="D4027" s="3" t="s">
        <v>82</v>
      </c>
      <c r="E4027" s="1" t="s">
        <v>1075</v>
      </c>
      <c r="F4027" s="1" t="s">
        <v>26</v>
      </c>
      <c r="G4027" s="2" t="s">
        <v>3</v>
      </c>
      <c r="H4027" s="3" t="s">
        <v>88</v>
      </c>
      <c r="I4027" s="3" t="s">
        <v>91</v>
      </c>
      <c r="J4027" s="3" t="s">
        <v>60</v>
      </c>
      <c r="K4027" s="4">
        <v>2171.4639999999999</v>
      </c>
      <c r="L4027" s="6">
        <v>376.13</v>
      </c>
    </row>
    <row r="4028" spans="1:12" x14ac:dyDescent="0.25">
      <c r="A4028" s="1">
        <v>4027</v>
      </c>
      <c r="B4028" s="4">
        <v>28769</v>
      </c>
      <c r="C4028" s="5">
        <v>40418</v>
      </c>
      <c r="D4028" s="3" t="s">
        <v>82</v>
      </c>
      <c r="E4028" s="1" t="s">
        <v>1045</v>
      </c>
      <c r="F4028" s="1" t="s">
        <v>23</v>
      </c>
      <c r="G4028" s="2" t="s">
        <v>3</v>
      </c>
      <c r="H4028" s="3" t="s">
        <v>100</v>
      </c>
      <c r="I4028" s="3" t="s">
        <v>92</v>
      </c>
      <c r="J4028" s="3" t="s">
        <v>62</v>
      </c>
      <c r="K4028" s="4">
        <v>195.75</v>
      </c>
      <c r="L4028" s="6">
        <v>33.29</v>
      </c>
    </row>
    <row r="4029" spans="1:12" x14ac:dyDescent="0.25">
      <c r="A4029" s="1">
        <v>4028</v>
      </c>
      <c r="B4029" s="4">
        <v>28772</v>
      </c>
      <c r="C4029" s="5">
        <v>39850</v>
      </c>
      <c r="D4029" s="3" t="s">
        <v>89</v>
      </c>
      <c r="E4029" s="1" t="s">
        <v>1202</v>
      </c>
      <c r="F4029" s="1" t="s">
        <v>26</v>
      </c>
      <c r="G4029" s="2" t="s">
        <v>3</v>
      </c>
      <c r="H4029" s="3" t="s">
        <v>84</v>
      </c>
      <c r="I4029" s="3" t="s">
        <v>91</v>
      </c>
      <c r="J4029" s="3" t="s">
        <v>60</v>
      </c>
      <c r="K4029" s="4">
        <v>950.46399999999994</v>
      </c>
      <c r="L4029" s="6">
        <v>71.37</v>
      </c>
    </row>
    <row r="4030" spans="1:12" x14ac:dyDescent="0.25">
      <c r="A4030" s="1">
        <v>4029</v>
      </c>
      <c r="B4030" s="4">
        <v>28772</v>
      </c>
      <c r="C4030" s="5">
        <v>39850</v>
      </c>
      <c r="D4030" s="3" t="s">
        <v>89</v>
      </c>
      <c r="E4030" s="1" t="s">
        <v>1202</v>
      </c>
      <c r="F4030" s="1" t="s">
        <v>26</v>
      </c>
      <c r="G4030" s="2" t="s">
        <v>3</v>
      </c>
      <c r="H4030" s="3" t="s">
        <v>84</v>
      </c>
      <c r="I4030" s="3" t="s">
        <v>92</v>
      </c>
      <c r="J4030" s="3" t="s">
        <v>61</v>
      </c>
      <c r="K4030" s="4">
        <v>705.68700000000001</v>
      </c>
      <c r="L4030" s="6">
        <v>205.99</v>
      </c>
    </row>
    <row r="4031" spans="1:12" x14ac:dyDescent="0.25">
      <c r="A4031" s="1">
        <v>4030</v>
      </c>
      <c r="B4031" s="4">
        <v>28773</v>
      </c>
      <c r="C4031" s="5">
        <v>40584</v>
      </c>
      <c r="D4031" s="3" t="s">
        <v>82</v>
      </c>
      <c r="E4031" s="1" t="s">
        <v>1089</v>
      </c>
      <c r="F4031" s="1" t="s">
        <v>14</v>
      </c>
      <c r="G4031" s="2" t="s">
        <v>2</v>
      </c>
      <c r="H4031" s="3" t="s">
        <v>84</v>
      </c>
      <c r="I4031" s="3" t="s">
        <v>92</v>
      </c>
      <c r="J4031" s="3" t="s">
        <v>61</v>
      </c>
      <c r="K4031" s="4">
        <v>2174.4189999999999</v>
      </c>
      <c r="L4031" s="6">
        <v>55.99</v>
      </c>
    </row>
    <row r="4032" spans="1:12" x14ac:dyDescent="0.25">
      <c r="A4032" s="1">
        <v>4031</v>
      </c>
      <c r="B4032" s="4">
        <v>28774</v>
      </c>
      <c r="C4032" s="5">
        <v>39814</v>
      </c>
      <c r="D4032" s="3" t="s">
        <v>89</v>
      </c>
      <c r="E4032" s="1" t="s">
        <v>671</v>
      </c>
      <c r="F4032" s="1" t="s">
        <v>35</v>
      </c>
      <c r="G4032" s="2" t="s">
        <v>1</v>
      </c>
      <c r="H4032" s="3" t="s">
        <v>84</v>
      </c>
      <c r="I4032" s="3" t="s">
        <v>85</v>
      </c>
      <c r="J4032" s="3" t="s">
        <v>57</v>
      </c>
      <c r="K4032" s="4">
        <v>180.36</v>
      </c>
      <c r="L4032" s="6">
        <v>5.98</v>
      </c>
    </row>
    <row r="4033" spans="1:12" x14ac:dyDescent="0.25">
      <c r="A4033" s="1">
        <v>4032</v>
      </c>
      <c r="B4033" s="4">
        <v>28802</v>
      </c>
      <c r="C4033" s="5">
        <v>40486</v>
      </c>
      <c r="D4033" s="3" t="s">
        <v>89</v>
      </c>
      <c r="E4033" s="1" t="s">
        <v>130</v>
      </c>
      <c r="F4033" s="1" t="s">
        <v>11</v>
      </c>
      <c r="G4033" s="2" t="s">
        <v>6</v>
      </c>
      <c r="H4033" s="3" t="s">
        <v>97</v>
      </c>
      <c r="I4033" s="3" t="s">
        <v>91</v>
      </c>
      <c r="J4033" s="3" t="s">
        <v>59</v>
      </c>
      <c r="K4033" s="4">
        <v>413.8</v>
      </c>
      <c r="L4033" s="6">
        <v>17.670000000000002</v>
      </c>
    </row>
    <row r="4034" spans="1:12" x14ac:dyDescent="0.25">
      <c r="A4034" s="1">
        <v>4033</v>
      </c>
      <c r="B4034" s="4">
        <v>28802</v>
      </c>
      <c r="C4034" s="5">
        <v>40486</v>
      </c>
      <c r="D4034" s="3" t="s">
        <v>89</v>
      </c>
      <c r="E4034" s="1" t="s">
        <v>1203</v>
      </c>
      <c r="F4034" s="1" t="s">
        <v>11</v>
      </c>
      <c r="G4034" s="2" t="s">
        <v>6</v>
      </c>
      <c r="H4034" s="3" t="s">
        <v>97</v>
      </c>
      <c r="I4034" s="3" t="s">
        <v>85</v>
      </c>
      <c r="J4034" s="3" t="s">
        <v>66</v>
      </c>
      <c r="K4034" s="4">
        <v>336.25</v>
      </c>
      <c r="L4034" s="6">
        <v>8.34</v>
      </c>
    </row>
    <row r="4035" spans="1:12" x14ac:dyDescent="0.25">
      <c r="A4035" s="1">
        <v>4034</v>
      </c>
      <c r="B4035" s="4">
        <v>28802</v>
      </c>
      <c r="C4035" s="5">
        <v>40486</v>
      </c>
      <c r="D4035" s="3" t="s">
        <v>89</v>
      </c>
      <c r="E4035" s="1" t="s">
        <v>1203</v>
      </c>
      <c r="F4035" s="1" t="s">
        <v>11</v>
      </c>
      <c r="G4035" s="2" t="s">
        <v>6</v>
      </c>
      <c r="H4035" s="3" t="s">
        <v>97</v>
      </c>
      <c r="I4035" s="3" t="s">
        <v>92</v>
      </c>
      <c r="J4035" s="3" t="s">
        <v>61</v>
      </c>
      <c r="K4035" s="4">
        <v>4001.4684999999995</v>
      </c>
      <c r="L4035" s="6">
        <v>205.99</v>
      </c>
    </row>
    <row r="4036" spans="1:12" x14ac:dyDescent="0.25">
      <c r="A4036" s="1">
        <v>4035</v>
      </c>
      <c r="B4036" s="4">
        <v>28805</v>
      </c>
      <c r="C4036" s="5">
        <v>40635</v>
      </c>
      <c r="D4036" s="3" t="s">
        <v>4</v>
      </c>
      <c r="E4036" s="1" t="s">
        <v>628</v>
      </c>
      <c r="F4036" s="1" t="s">
        <v>13</v>
      </c>
      <c r="G4036" s="2" t="s">
        <v>6</v>
      </c>
      <c r="H4036" s="3" t="s">
        <v>88</v>
      </c>
      <c r="I4036" s="3" t="s">
        <v>85</v>
      </c>
      <c r="J4036" s="3" t="s">
        <v>70</v>
      </c>
      <c r="K4036" s="4">
        <v>97.93</v>
      </c>
      <c r="L4036" s="6">
        <v>3.48</v>
      </c>
    </row>
    <row r="4037" spans="1:12" x14ac:dyDescent="0.25">
      <c r="A4037" s="1">
        <v>4036</v>
      </c>
      <c r="B4037" s="4">
        <v>28805</v>
      </c>
      <c r="C4037" s="5">
        <v>40635</v>
      </c>
      <c r="D4037" s="3" t="s">
        <v>4</v>
      </c>
      <c r="E4037" s="1" t="s">
        <v>628</v>
      </c>
      <c r="F4037" s="1" t="s">
        <v>13</v>
      </c>
      <c r="G4037" s="2" t="s">
        <v>6</v>
      </c>
      <c r="H4037" s="3" t="s">
        <v>88</v>
      </c>
      <c r="I4037" s="3" t="s">
        <v>85</v>
      </c>
      <c r="J4037" s="3" t="s">
        <v>69</v>
      </c>
      <c r="K4037" s="4">
        <v>25.52</v>
      </c>
      <c r="L4037" s="6">
        <v>5.98</v>
      </c>
    </row>
    <row r="4038" spans="1:12" x14ac:dyDescent="0.25">
      <c r="A4038" s="1">
        <v>4037</v>
      </c>
      <c r="B4038" s="4">
        <v>28805</v>
      </c>
      <c r="C4038" s="5">
        <v>40635</v>
      </c>
      <c r="D4038" s="3" t="s">
        <v>4</v>
      </c>
      <c r="E4038" s="1" t="s">
        <v>628</v>
      </c>
      <c r="F4038" s="1" t="s">
        <v>13</v>
      </c>
      <c r="G4038" s="2" t="s">
        <v>6</v>
      </c>
      <c r="H4038" s="3" t="s">
        <v>88</v>
      </c>
      <c r="I4038" s="3" t="s">
        <v>85</v>
      </c>
      <c r="J4038" s="3" t="s">
        <v>58</v>
      </c>
      <c r="K4038" s="4">
        <v>487.5</v>
      </c>
      <c r="L4038" s="6">
        <v>10.23</v>
      </c>
    </row>
    <row r="4039" spans="1:12" x14ac:dyDescent="0.25">
      <c r="A4039" s="1">
        <v>4038</v>
      </c>
      <c r="B4039" s="4">
        <v>28807</v>
      </c>
      <c r="C4039" s="5">
        <v>40633</v>
      </c>
      <c r="D4039" s="3" t="s">
        <v>89</v>
      </c>
      <c r="E4039" s="1" t="s">
        <v>648</v>
      </c>
      <c r="F4039" s="1" t="s">
        <v>24</v>
      </c>
      <c r="G4039" s="2" t="s">
        <v>2</v>
      </c>
      <c r="H4039" s="3" t="s">
        <v>100</v>
      </c>
      <c r="I4039" s="3" t="s">
        <v>85</v>
      </c>
      <c r="J4039" s="3" t="s">
        <v>66</v>
      </c>
      <c r="K4039" s="4">
        <v>59.35</v>
      </c>
      <c r="L4039" s="6">
        <v>4.9800000000000004</v>
      </c>
    </row>
    <row r="4040" spans="1:12" x14ac:dyDescent="0.25">
      <c r="A4040" s="1">
        <v>4039</v>
      </c>
      <c r="B4040" s="4">
        <v>28832</v>
      </c>
      <c r="C4040" s="5">
        <v>40445</v>
      </c>
      <c r="D4040" s="3" t="s">
        <v>4</v>
      </c>
      <c r="E4040" s="1" t="s">
        <v>253</v>
      </c>
      <c r="F4040" s="1" t="s">
        <v>24</v>
      </c>
      <c r="G4040" s="2" t="s">
        <v>2</v>
      </c>
      <c r="H4040" s="3" t="s">
        <v>88</v>
      </c>
      <c r="I4040" s="3" t="s">
        <v>85</v>
      </c>
      <c r="J4040" s="3" t="s">
        <v>71</v>
      </c>
      <c r="K4040" s="4">
        <v>1500.84</v>
      </c>
      <c r="L4040" s="6">
        <v>35.89</v>
      </c>
    </row>
    <row r="4041" spans="1:12" x14ac:dyDescent="0.25">
      <c r="A4041" s="1">
        <v>4040</v>
      </c>
      <c r="B4041" s="4">
        <v>28832</v>
      </c>
      <c r="C4041" s="5">
        <v>40445</v>
      </c>
      <c r="D4041" s="3" t="s">
        <v>4</v>
      </c>
      <c r="E4041" s="1" t="s">
        <v>825</v>
      </c>
      <c r="F4041" s="1" t="s">
        <v>24</v>
      </c>
      <c r="G4041" s="2" t="s">
        <v>2</v>
      </c>
      <c r="H4041" s="3" t="s">
        <v>88</v>
      </c>
      <c r="I4041" s="3" t="s">
        <v>85</v>
      </c>
      <c r="J4041" s="3" t="s">
        <v>69</v>
      </c>
      <c r="K4041" s="4">
        <v>98.64</v>
      </c>
      <c r="L4041" s="6">
        <v>2.08</v>
      </c>
    </row>
    <row r="4042" spans="1:12" x14ac:dyDescent="0.25">
      <c r="A4042" s="1">
        <v>4041</v>
      </c>
      <c r="B4042" s="4">
        <v>28835</v>
      </c>
      <c r="C4042" s="5">
        <v>40999</v>
      </c>
      <c r="D4042" s="3" t="s">
        <v>86</v>
      </c>
      <c r="E4042" s="1" t="s">
        <v>535</v>
      </c>
      <c r="F4042" s="1" t="s">
        <v>15</v>
      </c>
      <c r="G4042" s="2" t="s">
        <v>1</v>
      </c>
      <c r="H4042" s="3" t="s">
        <v>84</v>
      </c>
      <c r="I4042" s="3" t="s">
        <v>85</v>
      </c>
      <c r="J4042" s="3" t="s">
        <v>57</v>
      </c>
      <c r="K4042" s="4">
        <v>184.18</v>
      </c>
      <c r="L4042" s="6">
        <v>178.47</v>
      </c>
    </row>
    <row r="4043" spans="1:12" x14ac:dyDescent="0.25">
      <c r="A4043" s="1">
        <v>4042</v>
      </c>
      <c r="B4043" s="4">
        <v>28836</v>
      </c>
      <c r="C4043" s="5">
        <v>40475</v>
      </c>
      <c r="D4043" s="3" t="s">
        <v>89</v>
      </c>
      <c r="E4043" s="1" t="s">
        <v>452</v>
      </c>
      <c r="F4043" s="1" t="s">
        <v>38</v>
      </c>
      <c r="G4043" s="2" t="s">
        <v>6</v>
      </c>
      <c r="H4043" s="3" t="s">
        <v>88</v>
      </c>
      <c r="I4043" s="3" t="s">
        <v>92</v>
      </c>
      <c r="J4043" s="3" t="s">
        <v>61</v>
      </c>
      <c r="K4043" s="4">
        <v>8221.2934999999998</v>
      </c>
      <c r="L4043" s="6">
        <v>195.99</v>
      </c>
    </row>
    <row r="4044" spans="1:12" x14ac:dyDescent="0.25">
      <c r="A4044" s="1">
        <v>4043</v>
      </c>
      <c r="B4044" s="4">
        <v>28836</v>
      </c>
      <c r="C4044" s="5">
        <v>40475</v>
      </c>
      <c r="D4044" s="3" t="s">
        <v>89</v>
      </c>
      <c r="E4044" s="1" t="s">
        <v>1204</v>
      </c>
      <c r="F4044" s="1" t="s">
        <v>38</v>
      </c>
      <c r="G4044" s="2" t="s">
        <v>6</v>
      </c>
      <c r="H4044" s="3" t="s">
        <v>88</v>
      </c>
      <c r="I4044" s="3" t="s">
        <v>85</v>
      </c>
      <c r="J4044" s="3" t="s">
        <v>69</v>
      </c>
      <c r="K4044" s="4">
        <v>1158.26</v>
      </c>
      <c r="L4044" s="6">
        <v>172.99</v>
      </c>
    </row>
    <row r="4045" spans="1:12" x14ac:dyDescent="0.25">
      <c r="A4045" s="1">
        <v>4044</v>
      </c>
      <c r="B4045" s="4">
        <v>28839</v>
      </c>
      <c r="C4045" s="5">
        <v>39931</v>
      </c>
      <c r="D4045" s="3" t="s">
        <v>82</v>
      </c>
      <c r="E4045" s="1" t="s">
        <v>634</v>
      </c>
      <c r="F4045" s="1" t="s">
        <v>11</v>
      </c>
      <c r="G4045" s="2" t="s">
        <v>6</v>
      </c>
      <c r="H4045" s="3" t="s">
        <v>84</v>
      </c>
      <c r="I4045" s="3" t="s">
        <v>85</v>
      </c>
      <c r="J4045" s="3" t="s">
        <v>63</v>
      </c>
      <c r="K4045" s="4">
        <v>102.95</v>
      </c>
      <c r="L4045" s="6">
        <v>3.34</v>
      </c>
    </row>
    <row r="4046" spans="1:12" x14ac:dyDescent="0.25">
      <c r="A4046" s="1">
        <v>4045</v>
      </c>
      <c r="B4046" s="4">
        <v>28867</v>
      </c>
      <c r="C4046" s="5">
        <v>40746</v>
      </c>
      <c r="D4046" s="3" t="s">
        <v>4</v>
      </c>
      <c r="E4046" s="1" t="s">
        <v>1192</v>
      </c>
      <c r="F4046" s="1" t="s">
        <v>10</v>
      </c>
      <c r="G4046" s="2" t="s">
        <v>3</v>
      </c>
      <c r="H4046" s="3" t="s">
        <v>88</v>
      </c>
      <c r="I4046" s="3" t="s">
        <v>92</v>
      </c>
      <c r="J4046" s="3" t="s">
        <v>62</v>
      </c>
      <c r="K4046" s="4">
        <v>866.73</v>
      </c>
      <c r="L4046" s="6">
        <v>20.97</v>
      </c>
    </row>
    <row r="4047" spans="1:12" x14ac:dyDescent="0.25">
      <c r="A4047" s="1">
        <v>4046</v>
      </c>
      <c r="B4047" s="4">
        <v>28867</v>
      </c>
      <c r="C4047" s="5">
        <v>40746</v>
      </c>
      <c r="D4047" s="3" t="s">
        <v>4</v>
      </c>
      <c r="E4047" s="1" t="s">
        <v>1192</v>
      </c>
      <c r="F4047" s="1" t="s">
        <v>10</v>
      </c>
      <c r="G4047" s="2" t="s">
        <v>3</v>
      </c>
      <c r="H4047" s="3" t="s">
        <v>88</v>
      </c>
      <c r="I4047" s="3" t="s">
        <v>85</v>
      </c>
      <c r="J4047" s="3" t="s">
        <v>66</v>
      </c>
      <c r="K4047" s="4">
        <v>642.41999999999996</v>
      </c>
      <c r="L4047" s="6">
        <v>104.85</v>
      </c>
    </row>
    <row r="4048" spans="1:12" x14ac:dyDescent="0.25">
      <c r="A4048" s="1">
        <v>4047</v>
      </c>
      <c r="B4048" s="4">
        <v>28867</v>
      </c>
      <c r="C4048" s="5">
        <v>40746</v>
      </c>
      <c r="D4048" s="3" t="s">
        <v>4</v>
      </c>
      <c r="E4048" s="1" t="s">
        <v>1192</v>
      </c>
      <c r="F4048" s="1" t="s">
        <v>10</v>
      </c>
      <c r="G4048" s="2" t="s">
        <v>3</v>
      </c>
      <c r="H4048" s="3" t="s">
        <v>88</v>
      </c>
      <c r="I4048" s="3" t="s">
        <v>92</v>
      </c>
      <c r="J4048" s="3" t="s">
        <v>61</v>
      </c>
      <c r="K4048" s="4">
        <v>2169.7525000000001</v>
      </c>
      <c r="L4048" s="6">
        <v>95.99</v>
      </c>
    </row>
    <row r="4049" spans="1:12" x14ac:dyDescent="0.25">
      <c r="A4049" s="1">
        <v>4048</v>
      </c>
      <c r="B4049" s="4">
        <v>28868</v>
      </c>
      <c r="C4049" s="5">
        <v>41004</v>
      </c>
      <c r="D4049" s="3" t="s">
        <v>89</v>
      </c>
      <c r="E4049" s="1" t="s">
        <v>191</v>
      </c>
      <c r="F4049" s="1" t="s">
        <v>28</v>
      </c>
      <c r="G4049" s="2" t="s">
        <v>6</v>
      </c>
      <c r="H4049" s="3" t="s">
        <v>84</v>
      </c>
      <c r="I4049" s="3" t="s">
        <v>85</v>
      </c>
      <c r="J4049" s="3" t="s">
        <v>66</v>
      </c>
      <c r="K4049" s="4">
        <v>204.49</v>
      </c>
      <c r="L4049" s="6">
        <v>6.48</v>
      </c>
    </row>
    <row r="4050" spans="1:12" x14ac:dyDescent="0.25">
      <c r="A4050" s="1">
        <v>4049</v>
      </c>
      <c r="B4050" s="4">
        <v>28870</v>
      </c>
      <c r="C4050" s="5">
        <v>40857</v>
      </c>
      <c r="D4050" s="3" t="s">
        <v>89</v>
      </c>
      <c r="E4050" s="1" t="s">
        <v>684</v>
      </c>
      <c r="F4050" s="1" t="s">
        <v>37</v>
      </c>
      <c r="G4050" s="2" t="s">
        <v>3</v>
      </c>
      <c r="H4050" s="3" t="s">
        <v>88</v>
      </c>
      <c r="I4050" s="3" t="s">
        <v>92</v>
      </c>
      <c r="J4050" s="3" t="s">
        <v>62</v>
      </c>
      <c r="K4050" s="4">
        <v>1154.8900000000001</v>
      </c>
      <c r="L4050" s="6">
        <v>40.98</v>
      </c>
    </row>
    <row r="4051" spans="1:12" x14ac:dyDescent="0.25">
      <c r="A4051" s="1">
        <v>4050</v>
      </c>
      <c r="B4051" s="4">
        <v>28870</v>
      </c>
      <c r="C4051" s="5">
        <v>40857</v>
      </c>
      <c r="D4051" s="3" t="s">
        <v>89</v>
      </c>
      <c r="E4051" s="1" t="s">
        <v>984</v>
      </c>
      <c r="F4051" s="1" t="s">
        <v>8</v>
      </c>
      <c r="G4051" s="2" t="s">
        <v>6</v>
      </c>
      <c r="H4051" s="3" t="s">
        <v>88</v>
      </c>
      <c r="I4051" s="3" t="s">
        <v>92</v>
      </c>
      <c r="J4051" s="3" t="s">
        <v>61</v>
      </c>
      <c r="K4051" s="4">
        <v>3310.9454999999998</v>
      </c>
      <c r="L4051" s="6">
        <v>115.99</v>
      </c>
    </row>
    <row r="4052" spans="1:12" x14ac:dyDescent="0.25">
      <c r="A4052" s="1">
        <v>4051</v>
      </c>
      <c r="B4052" s="4">
        <v>28871</v>
      </c>
      <c r="C4052" s="5">
        <v>41014</v>
      </c>
      <c r="D4052" s="3" t="s">
        <v>89</v>
      </c>
      <c r="E4052" s="1" t="s">
        <v>194</v>
      </c>
      <c r="F4052" s="1" t="s">
        <v>8</v>
      </c>
      <c r="G4052" s="2" t="s">
        <v>6</v>
      </c>
      <c r="H4052" s="3" t="s">
        <v>84</v>
      </c>
      <c r="I4052" s="3" t="s">
        <v>92</v>
      </c>
      <c r="J4052" s="3" t="s">
        <v>62</v>
      </c>
      <c r="K4052" s="4">
        <v>55.02</v>
      </c>
      <c r="L4052" s="6">
        <v>5.0199999999999996</v>
      </c>
    </row>
    <row r="4053" spans="1:12" x14ac:dyDescent="0.25">
      <c r="A4053" s="1">
        <v>4052</v>
      </c>
      <c r="B4053" s="4">
        <v>28897</v>
      </c>
      <c r="C4053" s="5">
        <v>40049</v>
      </c>
      <c r="D4053" s="3" t="s">
        <v>4</v>
      </c>
      <c r="E4053" s="1" t="s">
        <v>1205</v>
      </c>
      <c r="F4053" s="1" t="s">
        <v>13</v>
      </c>
      <c r="G4053" s="2" t="s">
        <v>6</v>
      </c>
      <c r="H4053" s="3" t="s">
        <v>100</v>
      </c>
      <c r="I4053" s="3" t="s">
        <v>85</v>
      </c>
      <c r="J4053" s="3" t="s">
        <v>70</v>
      </c>
      <c r="K4053" s="4">
        <v>146.15</v>
      </c>
      <c r="L4053" s="6">
        <v>4.0599999999999996</v>
      </c>
    </row>
    <row r="4054" spans="1:12" x14ac:dyDescent="0.25">
      <c r="A4054" s="1">
        <v>4053</v>
      </c>
      <c r="B4054" s="4">
        <v>28897</v>
      </c>
      <c r="C4054" s="5">
        <v>40049</v>
      </c>
      <c r="D4054" s="3" t="s">
        <v>4</v>
      </c>
      <c r="E4054" s="1" t="s">
        <v>1205</v>
      </c>
      <c r="F4054" s="1" t="s">
        <v>13</v>
      </c>
      <c r="G4054" s="2" t="s">
        <v>6</v>
      </c>
      <c r="H4054" s="3" t="s">
        <v>100</v>
      </c>
      <c r="I4054" s="3" t="s">
        <v>85</v>
      </c>
      <c r="J4054" s="3" t="s">
        <v>71</v>
      </c>
      <c r="K4054" s="4">
        <v>877.47</v>
      </c>
      <c r="L4054" s="6">
        <v>60.98</v>
      </c>
    </row>
    <row r="4055" spans="1:12" x14ac:dyDescent="0.25">
      <c r="A4055" s="1">
        <v>4054</v>
      </c>
      <c r="B4055" s="4">
        <v>28898</v>
      </c>
      <c r="C4055" s="5">
        <v>40691</v>
      </c>
      <c r="D4055" s="3" t="s">
        <v>82</v>
      </c>
      <c r="E4055" s="1" t="s">
        <v>47</v>
      </c>
      <c r="F4055" s="1" t="s">
        <v>30</v>
      </c>
      <c r="G4055" s="2" t="s">
        <v>6</v>
      </c>
      <c r="H4055" s="3" t="s">
        <v>88</v>
      </c>
      <c r="I4055" s="3" t="s">
        <v>85</v>
      </c>
      <c r="J4055" s="3" t="s">
        <v>66</v>
      </c>
      <c r="K4055" s="4">
        <v>246</v>
      </c>
      <c r="L4055" s="6">
        <v>5.78</v>
      </c>
    </row>
    <row r="4056" spans="1:12" x14ac:dyDescent="0.25">
      <c r="A4056" s="1">
        <v>4055</v>
      </c>
      <c r="B4056" s="4">
        <v>28899</v>
      </c>
      <c r="C4056" s="5">
        <v>41074</v>
      </c>
      <c r="D4056" s="3" t="s">
        <v>82</v>
      </c>
      <c r="E4056" s="1" t="s">
        <v>1206</v>
      </c>
      <c r="F4056" s="1" t="s">
        <v>10</v>
      </c>
      <c r="G4056" s="2" t="s">
        <v>3</v>
      </c>
      <c r="H4056" s="3" t="s">
        <v>100</v>
      </c>
      <c r="I4056" s="3" t="s">
        <v>92</v>
      </c>
      <c r="J4056" s="3" t="s">
        <v>61</v>
      </c>
      <c r="K4056" s="4">
        <v>4488.2635</v>
      </c>
      <c r="L4056" s="6">
        <v>205.99</v>
      </c>
    </row>
    <row r="4057" spans="1:12" x14ac:dyDescent="0.25">
      <c r="A4057" s="1">
        <v>4056</v>
      </c>
      <c r="B4057" s="4">
        <v>28901</v>
      </c>
      <c r="C4057" s="5">
        <v>41071</v>
      </c>
      <c r="D4057" s="3" t="s">
        <v>89</v>
      </c>
      <c r="E4057" s="1" t="s">
        <v>652</v>
      </c>
      <c r="F4057" s="1" t="s">
        <v>30</v>
      </c>
      <c r="G4057" s="2" t="s">
        <v>6</v>
      </c>
      <c r="H4057" s="3" t="s">
        <v>84</v>
      </c>
      <c r="I4057" s="3" t="s">
        <v>85</v>
      </c>
      <c r="J4057" s="3" t="s">
        <v>66</v>
      </c>
      <c r="K4057" s="4">
        <v>871.32</v>
      </c>
      <c r="L4057" s="6">
        <v>40.99</v>
      </c>
    </row>
    <row r="4058" spans="1:12" x14ac:dyDescent="0.25">
      <c r="A4058" s="1">
        <v>4057</v>
      </c>
      <c r="B4058" s="4">
        <v>28928</v>
      </c>
      <c r="C4058" s="5">
        <v>40298</v>
      </c>
      <c r="D4058" s="3" t="s">
        <v>82</v>
      </c>
      <c r="E4058" s="1" t="s">
        <v>982</v>
      </c>
      <c r="F4058" s="1" t="s">
        <v>23</v>
      </c>
      <c r="G4058" s="2" t="s">
        <v>3</v>
      </c>
      <c r="H4058" s="3" t="s">
        <v>88</v>
      </c>
      <c r="I4058" s="3" t="s">
        <v>85</v>
      </c>
      <c r="J4058" s="3" t="s">
        <v>70</v>
      </c>
      <c r="K4058" s="4">
        <v>185.16</v>
      </c>
      <c r="L4058" s="6">
        <v>59.98</v>
      </c>
    </row>
    <row r="4059" spans="1:12" x14ac:dyDescent="0.25">
      <c r="A4059" s="1">
        <v>4058</v>
      </c>
      <c r="B4059" s="4">
        <v>28928</v>
      </c>
      <c r="C4059" s="5">
        <v>40298</v>
      </c>
      <c r="D4059" s="3" t="s">
        <v>82</v>
      </c>
      <c r="E4059" s="1" t="s">
        <v>982</v>
      </c>
      <c r="F4059" s="1" t="s">
        <v>23</v>
      </c>
      <c r="G4059" s="2" t="s">
        <v>3</v>
      </c>
      <c r="H4059" s="3" t="s">
        <v>88</v>
      </c>
      <c r="I4059" s="3" t="s">
        <v>92</v>
      </c>
      <c r="J4059" s="3" t="s">
        <v>62</v>
      </c>
      <c r="K4059" s="4">
        <v>5144.9399999999996</v>
      </c>
      <c r="L4059" s="6">
        <v>256.99</v>
      </c>
    </row>
    <row r="4060" spans="1:12" x14ac:dyDescent="0.25">
      <c r="A4060" s="1">
        <v>4059</v>
      </c>
      <c r="B4060" s="4">
        <v>28928</v>
      </c>
      <c r="C4060" s="5">
        <v>40298</v>
      </c>
      <c r="D4060" s="3" t="s">
        <v>82</v>
      </c>
      <c r="E4060" s="1" t="s">
        <v>982</v>
      </c>
      <c r="F4060" s="1" t="s">
        <v>23</v>
      </c>
      <c r="G4060" s="2" t="s">
        <v>3</v>
      </c>
      <c r="H4060" s="3" t="s">
        <v>88</v>
      </c>
      <c r="I4060" s="3" t="s">
        <v>92</v>
      </c>
      <c r="J4060" s="3" t="s">
        <v>61</v>
      </c>
      <c r="K4060" s="4">
        <v>1397.383</v>
      </c>
      <c r="L4060" s="6">
        <v>35.99</v>
      </c>
    </row>
    <row r="4061" spans="1:12" x14ac:dyDescent="0.25">
      <c r="A4061" s="1">
        <v>4060</v>
      </c>
      <c r="B4061" s="4">
        <v>28929</v>
      </c>
      <c r="C4061" s="5">
        <v>41191</v>
      </c>
      <c r="D4061" s="3" t="s">
        <v>4</v>
      </c>
      <c r="E4061" s="1" t="s">
        <v>752</v>
      </c>
      <c r="F4061" s="1" t="s">
        <v>29</v>
      </c>
      <c r="G4061" s="2" t="s">
        <v>3</v>
      </c>
      <c r="H4061" s="3" t="s">
        <v>88</v>
      </c>
      <c r="I4061" s="3" t="s">
        <v>85</v>
      </c>
      <c r="J4061" s="3" t="s">
        <v>66</v>
      </c>
      <c r="K4061" s="4">
        <v>230.97</v>
      </c>
      <c r="L4061" s="6">
        <v>6.48</v>
      </c>
    </row>
    <row r="4062" spans="1:12" x14ac:dyDescent="0.25">
      <c r="A4062" s="1">
        <v>4061</v>
      </c>
      <c r="B4062" s="4">
        <v>28929</v>
      </c>
      <c r="C4062" s="5">
        <v>41191</v>
      </c>
      <c r="D4062" s="3" t="s">
        <v>4</v>
      </c>
      <c r="E4062" s="1" t="s">
        <v>1158</v>
      </c>
      <c r="F4062" s="1" t="s">
        <v>29</v>
      </c>
      <c r="G4062" s="2" t="s">
        <v>3</v>
      </c>
      <c r="H4062" s="3" t="s">
        <v>88</v>
      </c>
      <c r="I4062" s="3" t="s">
        <v>85</v>
      </c>
      <c r="J4062" s="3" t="s">
        <v>71</v>
      </c>
      <c r="K4062" s="4">
        <v>723.17</v>
      </c>
      <c r="L4062" s="6">
        <v>16.98</v>
      </c>
    </row>
    <row r="4063" spans="1:12" x14ac:dyDescent="0.25">
      <c r="A4063" s="1">
        <v>4062</v>
      </c>
      <c r="B4063" s="4">
        <v>28932</v>
      </c>
      <c r="C4063" s="5">
        <v>40380</v>
      </c>
      <c r="D4063" s="3" t="s">
        <v>82</v>
      </c>
      <c r="E4063" s="1" t="s">
        <v>1041</v>
      </c>
      <c r="F4063" s="1" t="s">
        <v>13</v>
      </c>
      <c r="G4063" s="2" t="s">
        <v>6</v>
      </c>
      <c r="H4063" s="3" t="s">
        <v>100</v>
      </c>
      <c r="I4063" s="3" t="s">
        <v>91</v>
      </c>
      <c r="J4063" s="3" t="s">
        <v>59</v>
      </c>
      <c r="K4063" s="4">
        <v>269.57</v>
      </c>
      <c r="L4063" s="6">
        <v>10.4</v>
      </c>
    </row>
    <row r="4064" spans="1:12" x14ac:dyDescent="0.25">
      <c r="A4064" s="1">
        <v>4063</v>
      </c>
      <c r="B4064" s="4">
        <v>28932</v>
      </c>
      <c r="C4064" s="5">
        <v>40380</v>
      </c>
      <c r="D4064" s="3" t="s">
        <v>82</v>
      </c>
      <c r="E4064" s="1" t="s">
        <v>385</v>
      </c>
      <c r="F4064" s="1" t="s">
        <v>13</v>
      </c>
      <c r="G4064" s="2" t="s">
        <v>6</v>
      </c>
      <c r="H4064" s="3" t="s">
        <v>100</v>
      </c>
      <c r="I4064" s="3" t="s">
        <v>85</v>
      </c>
      <c r="J4064" s="3" t="s">
        <v>63</v>
      </c>
      <c r="K4064" s="4">
        <v>98.94</v>
      </c>
      <c r="L4064" s="6">
        <v>5.85</v>
      </c>
    </row>
    <row r="4065" spans="1:12" x14ac:dyDescent="0.25">
      <c r="A4065" s="1">
        <v>4064</v>
      </c>
      <c r="B4065" s="4">
        <v>28933</v>
      </c>
      <c r="C4065" s="5">
        <v>40003</v>
      </c>
      <c r="D4065" s="3" t="s">
        <v>95</v>
      </c>
      <c r="E4065" s="1" t="s">
        <v>823</v>
      </c>
      <c r="F4065" s="1" t="s">
        <v>24</v>
      </c>
      <c r="G4065" s="2" t="s">
        <v>2</v>
      </c>
      <c r="H4065" s="3" t="s">
        <v>88</v>
      </c>
      <c r="I4065" s="3" t="s">
        <v>85</v>
      </c>
      <c r="J4065" s="3" t="s">
        <v>71</v>
      </c>
      <c r="K4065" s="4">
        <v>11.16</v>
      </c>
      <c r="L4065" s="6">
        <v>5.58</v>
      </c>
    </row>
    <row r="4066" spans="1:12" x14ac:dyDescent="0.25">
      <c r="A4066" s="1">
        <v>4065</v>
      </c>
      <c r="B4066" s="4">
        <v>28933</v>
      </c>
      <c r="C4066" s="5">
        <v>40003</v>
      </c>
      <c r="D4066" s="3" t="s">
        <v>95</v>
      </c>
      <c r="E4066" s="1" t="s">
        <v>823</v>
      </c>
      <c r="F4066" s="1" t="s">
        <v>24</v>
      </c>
      <c r="G4066" s="2" t="s">
        <v>2</v>
      </c>
      <c r="H4066" s="3" t="s">
        <v>88</v>
      </c>
      <c r="I4066" s="3" t="s">
        <v>85</v>
      </c>
      <c r="J4066" s="3" t="s">
        <v>63</v>
      </c>
      <c r="K4066" s="4">
        <v>156.19999999999999</v>
      </c>
      <c r="L4066" s="6">
        <v>3.98</v>
      </c>
    </row>
    <row r="4067" spans="1:12" x14ac:dyDescent="0.25">
      <c r="A4067" s="1">
        <v>4066</v>
      </c>
      <c r="B4067" s="4">
        <v>28934</v>
      </c>
      <c r="C4067" s="5">
        <v>41241</v>
      </c>
      <c r="D4067" s="3" t="s">
        <v>4</v>
      </c>
      <c r="E4067" s="1" t="s">
        <v>790</v>
      </c>
      <c r="F4067" s="1" t="s">
        <v>9</v>
      </c>
      <c r="G4067" s="2" t="s">
        <v>2</v>
      </c>
      <c r="H4067" s="3" t="s">
        <v>100</v>
      </c>
      <c r="I4067" s="3" t="s">
        <v>92</v>
      </c>
      <c r="J4067" s="3" t="s">
        <v>62</v>
      </c>
      <c r="K4067" s="4">
        <v>1272.3499999999999</v>
      </c>
      <c r="L4067" s="6">
        <v>100.98</v>
      </c>
    </row>
    <row r="4068" spans="1:12" x14ac:dyDescent="0.25">
      <c r="A4068" s="1">
        <v>4067</v>
      </c>
      <c r="B4068" s="4">
        <v>28934</v>
      </c>
      <c r="C4068" s="5">
        <v>41241</v>
      </c>
      <c r="D4068" s="3" t="s">
        <v>4</v>
      </c>
      <c r="E4068" s="1" t="s">
        <v>681</v>
      </c>
      <c r="F4068" s="1" t="s">
        <v>9</v>
      </c>
      <c r="G4068" s="2" t="s">
        <v>2</v>
      </c>
      <c r="H4068" s="3" t="s">
        <v>100</v>
      </c>
      <c r="I4068" s="3" t="s">
        <v>91</v>
      </c>
      <c r="J4068" s="3" t="s">
        <v>72</v>
      </c>
      <c r="K4068" s="4">
        <v>4000.35</v>
      </c>
      <c r="L4068" s="6">
        <v>160.97999999999999</v>
      </c>
    </row>
    <row r="4069" spans="1:12" x14ac:dyDescent="0.25">
      <c r="A4069" s="1">
        <v>4068</v>
      </c>
      <c r="B4069" s="4">
        <v>28934</v>
      </c>
      <c r="C4069" s="5">
        <v>41241</v>
      </c>
      <c r="D4069" s="3" t="s">
        <v>4</v>
      </c>
      <c r="E4069" s="1" t="s">
        <v>681</v>
      </c>
      <c r="F4069" s="1" t="s">
        <v>9</v>
      </c>
      <c r="G4069" s="2" t="s">
        <v>2</v>
      </c>
      <c r="H4069" s="3" t="s">
        <v>100</v>
      </c>
      <c r="I4069" s="3" t="s">
        <v>92</v>
      </c>
      <c r="J4069" s="3" t="s">
        <v>67</v>
      </c>
      <c r="K4069" s="4">
        <v>3356.92</v>
      </c>
      <c r="L4069" s="6">
        <v>120.97</v>
      </c>
    </row>
    <row r="4070" spans="1:12" x14ac:dyDescent="0.25">
      <c r="A4070" s="1">
        <v>4069</v>
      </c>
      <c r="B4070" s="4">
        <v>28963</v>
      </c>
      <c r="C4070" s="5">
        <v>40881</v>
      </c>
      <c r="D4070" s="3" t="s">
        <v>86</v>
      </c>
      <c r="E4070" s="1" t="s">
        <v>473</v>
      </c>
      <c r="F4070" s="1" t="s">
        <v>52</v>
      </c>
      <c r="G4070" s="2" t="s">
        <v>3</v>
      </c>
      <c r="H4070" s="3" t="s">
        <v>97</v>
      </c>
      <c r="I4070" s="3" t="s">
        <v>92</v>
      </c>
      <c r="J4070" s="3" t="s">
        <v>61</v>
      </c>
      <c r="K4070" s="4">
        <v>6072.1875</v>
      </c>
      <c r="L4070" s="6">
        <v>205.99</v>
      </c>
    </row>
    <row r="4071" spans="1:12" x14ac:dyDescent="0.25">
      <c r="A4071" s="1">
        <v>4070</v>
      </c>
      <c r="B4071" s="4">
        <v>28992</v>
      </c>
      <c r="C4071" s="5">
        <v>40805</v>
      </c>
      <c r="D4071" s="3" t="s">
        <v>95</v>
      </c>
      <c r="E4071" s="1" t="s">
        <v>1207</v>
      </c>
      <c r="F4071" s="1" t="s">
        <v>20</v>
      </c>
      <c r="G4071" s="2" t="s">
        <v>1</v>
      </c>
      <c r="H4071" s="3" t="s">
        <v>100</v>
      </c>
      <c r="I4071" s="3" t="s">
        <v>85</v>
      </c>
      <c r="J4071" s="3" t="s">
        <v>57</v>
      </c>
      <c r="K4071" s="4">
        <v>6863.95</v>
      </c>
      <c r="L4071" s="6">
        <v>178.47</v>
      </c>
    </row>
    <row r="4072" spans="1:12" x14ac:dyDescent="0.25">
      <c r="A4072" s="1">
        <v>4071</v>
      </c>
      <c r="B4072" s="4">
        <v>28995</v>
      </c>
      <c r="C4072" s="5">
        <v>40310</v>
      </c>
      <c r="D4072" s="3" t="s">
        <v>89</v>
      </c>
      <c r="E4072" s="1" t="s">
        <v>771</v>
      </c>
      <c r="F4072" s="1" t="s">
        <v>38</v>
      </c>
      <c r="G4072" s="2" t="s">
        <v>6</v>
      </c>
      <c r="H4072" s="3" t="s">
        <v>88</v>
      </c>
      <c r="I4072" s="3" t="s">
        <v>85</v>
      </c>
      <c r="J4072" s="3" t="s">
        <v>66</v>
      </c>
      <c r="K4072" s="4">
        <v>298.52</v>
      </c>
      <c r="L4072" s="6">
        <v>30.98</v>
      </c>
    </row>
    <row r="4073" spans="1:12" x14ac:dyDescent="0.25">
      <c r="A4073" s="1">
        <v>4072</v>
      </c>
      <c r="B4073" s="4">
        <v>28995</v>
      </c>
      <c r="C4073" s="5">
        <v>40310</v>
      </c>
      <c r="D4073" s="3" t="s">
        <v>89</v>
      </c>
      <c r="E4073" s="1" t="s">
        <v>771</v>
      </c>
      <c r="F4073" s="1" t="s">
        <v>38</v>
      </c>
      <c r="G4073" s="2" t="s">
        <v>6</v>
      </c>
      <c r="H4073" s="3" t="s">
        <v>88</v>
      </c>
      <c r="I4073" s="3" t="s">
        <v>85</v>
      </c>
      <c r="J4073" s="3" t="s">
        <v>66</v>
      </c>
      <c r="K4073" s="4">
        <v>667.35</v>
      </c>
      <c r="L4073" s="6">
        <v>19.98</v>
      </c>
    </row>
    <row r="4074" spans="1:12" x14ac:dyDescent="0.25">
      <c r="A4074" s="1">
        <v>4073</v>
      </c>
      <c r="B4074" s="4">
        <v>28999</v>
      </c>
      <c r="C4074" s="5">
        <v>39823</v>
      </c>
      <c r="D4074" s="3" t="s">
        <v>89</v>
      </c>
      <c r="E4074" s="1" t="s">
        <v>828</v>
      </c>
      <c r="F4074" s="1" t="s">
        <v>48</v>
      </c>
      <c r="G4074" s="2" t="s">
        <v>1</v>
      </c>
      <c r="H4074" s="3" t="s">
        <v>88</v>
      </c>
      <c r="I4074" s="3" t="s">
        <v>92</v>
      </c>
      <c r="J4074" s="3" t="s">
        <v>62</v>
      </c>
      <c r="K4074" s="4">
        <v>1177.5</v>
      </c>
      <c r="L4074" s="6">
        <v>33.979999999999997</v>
      </c>
    </row>
    <row r="4075" spans="1:12" x14ac:dyDescent="0.25">
      <c r="A4075" s="1">
        <v>4074</v>
      </c>
      <c r="B4075" s="4">
        <v>29028</v>
      </c>
      <c r="C4075" s="5">
        <v>40579</v>
      </c>
      <c r="D4075" s="3" t="s">
        <v>95</v>
      </c>
      <c r="E4075" s="1" t="s">
        <v>998</v>
      </c>
      <c r="F4075" s="1" t="s">
        <v>16</v>
      </c>
      <c r="G4075" s="2" t="s">
        <v>3</v>
      </c>
      <c r="H4075" s="3" t="s">
        <v>88</v>
      </c>
      <c r="I4075" s="3" t="s">
        <v>92</v>
      </c>
      <c r="J4075" s="3" t="s">
        <v>67</v>
      </c>
      <c r="K4075" s="4">
        <v>17131.36</v>
      </c>
      <c r="L4075" s="6">
        <v>400.97</v>
      </c>
    </row>
    <row r="4076" spans="1:12" x14ac:dyDescent="0.25">
      <c r="A4076" s="1">
        <v>4075</v>
      </c>
      <c r="B4076" s="4">
        <v>29030</v>
      </c>
      <c r="C4076" s="5">
        <v>40910</v>
      </c>
      <c r="D4076" s="3" t="s">
        <v>4</v>
      </c>
      <c r="E4076" s="1" t="s">
        <v>1187</v>
      </c>
      <c r="F4076" s="1" t="s">
        <v>8</v>
      </c>
      <c r="G4076" s="2" t="s">
        <v>6</v>
      </c>
      <c r="H4076" s="3" t="s">
        <v>88</v>
      </c>
      <c r="I4076" s="3" t="s">
        <v>85</v>
      </c>
      <c r="J4076" s="3" t="s">
        <v>63</v>
      </c>
      <c r="K4076" s="4">
        <v>192.58</v>
      </c>
      <c r="L4076" s="6">
        <v>19.84</v>
      </c>
    </row>
    <row r="4077" spans="1:12" x14ac:dyDescent="0.25">
      <c r="A4077" s="1">
        <v>4076</v>
      </c>
      <c r="B4077" s="4">
        <v>29058</v>
      </c>
      <c r="C4077" s="5">
        <v>40181</v>
      </c>
      <c r="D4077" s="3" t="s">
        <v>89</v>
      </c>
      <c r="E4077" s="1" t="s">
        <v>993</v>
      </c>
      <c r="F4077" s="1" t="s">
        <v>23</v>
      </c>
      <c r="G4077" s="2" t="s">
        <v>3</v>
      </c>
      <c r="H4077" s="3" t="s">
        <v>100</v>
      </c>
      <c r="I4077" s="3" t="s">
        <v>85</v>
      </c>
      <c r="J4077" s="3" t="s">
        <v>66</v>
      </c>
      <c r="K4077" s="4">
        <v>287.61</v>
      </c>
      <c r="L4077" s="6">
        <v>6.48</v>
      </c>
    </row>
    <row r="4078" spans="1:12" x14ac:dyDescent="0.25">
      <c r="A4078" s="1">
        <v>4077</v>
      </c>
      <c r="B4078" s="4">
        <v>29058</v>
      </c>
      <c r="C4078" s="5">
        <v>40181</v>
      </c>
      <c r="D4078" s="3" t="s">
        <v>89</v>
      </c>
      <c r="E4078" s="1" t="s">
        <v>993</v>
      </c>
      <c r="F4078" s="1" t="s">
        <v>23</v>
      </c>
      <c r="G4078" s="2" t="s">
        <v>3</v>
      </c>
      <c r="H4078" s="3" t="s">
        <v>100</v>
      </c>
      <c r="I4078" s="3" t="s">
        <v>85</v>
      </c>
      <c r="J4078" s="3" t="s">
        <v>63</v>
      </c>
      <c r="K4078" s="4">
        <v>128.52000000000001</v>
      </c>
      <c r="L4078" s="6">
        <v>5.84</v>
      </c>
    </row>
    <row r="4079" spans="1:12" x14ac:dyDescent="0.25">
      <c r="A4079" s="1">
        <v>4078</v>
      </c>
      <c r="B4079" s="4">
        <v>29058</v>
      </c>
      <c r="C4079" s="5">
        <v>40181</v>
      </c>
      <c r="D4079" s="3" t="s">
        <v>89</v>
      </c>
      <c r="E4079" s="1" t="s">
        <v>993</v>
      </c>
      <c r="F4079" s="1" t="s">
        <v>23</v>
      </c>
      <c r="G4079" s="2" t="s">
        <v>3</v>
      </c>
      <c r="H4079" s="3" t="s">
        <v>100</v>
      </c>
      <c r="I4079" s="3" t="s">
        <v>85</v>
      </c>
      <c r="J4079" s="3" t="s">
        <v>57</v>
      </c>
      <c r="K4079" s="4">
        <v>1011.67</v>
      </c>
      <c r="L4079" s="6">
        <v>24.98</v>
      </c>
    </row>
    <row r="4080" spans="1:12" x14ac:dyDescent="0.25">
      <c r="A4080" s="1">
        <v>4079</v>
      </c>
      <c r="B4080" s="4">
        <v>29058</v>
      </c>
      <c r="C4080" s="5">
        <v>40181</v>
      </c>
      <c r="D4080" s="3" t="s">
        <v>89</v>
      </c>
      <c r="E4080" s="1" t="s">
        <v>1208</v>
      </c>
      <c r="F4080" s="1" t="s">
        <v>12</v>
      </c>
      <c r="G4080" s="2" t="s">
        <v>2</v>
      </c>
      <c r="H4080" s="3" t="s">
        <v>100</v>
      </c>
      <c r="I4080" s="3" t="s">
        <v>91</v>
      </c>
      <c r="J4080" s="3" t="s">
        <v>68</v>
      </c>
      <c r="K4080" s="4">
        <v>28389.14</v>
      </c>
      <c r="L4080" s="6">
        <v>880.98</v>
      </c>
    </row>
    <row r="4081" spans="1:12" x14ac:dyDescent="0.25">
      <c r="A4081" s="1">
        <v>4080</v>
      </c>
      <c r="B4081" s="4">
        <v>29090</v>
      </c>
      <c r="C4081" s="5">
        <v>40924</v>
      </c>
      <c r="D4081" s="3" t="s">
        <v>4</v>
      </c>
      <c r="E4081" s="1" t="s">
        <v>877</v>
      </c>
      <c r="F4081" s="1" t="s">
        <v>24</v>
      </c>
      <c r="G4081" s="2" t="s">
        <v>2</v>
      </c>
      <c r="H4081" s="3" t="s">
        <v>100</v>
      </c>
      <c r="I4081" s="3" t="s">
        <v>85</v>
      </c>
      <c r="J4081" s="3" t="s">
        <v>65</v>
      </c>
      <c r="K4081" s="4">
        <v>99.1</v>
      </c>
      <c r="L4081" s="6">
        <v>4.13</v>
      </c>
    </row>
    <row r="4082" spans="1:12" x14ac:dyDescent="0.25">
      <c r="A4082" s="1">
        <v>4081</v>
      </c>
      <c r="B4082" s="4">
        <v>29090</v>
      </c>
      <c r="C4082" s="5">
        <v>40924</v>
      </c>
      <c r="D4082" s="3" t="s">
        <v>4</v>
      </c>
      <c r="E4082" s="1" t="s">
        <v>877</v>
      </c>
      <c r="F4082" s="1" t="s">
        <v>24</v>
      </c>
      <c r="G4082" s="2" t="s">
        <v>2</v>
      </c>
      <c r="H4082" s="3" t="s">
        <v>100</v>
      </c>
      <c r="I4082" s="3" t="s">
        <v>85</v>
      </c>
      <c r="J4082" s="3" t="s">
        <v>57</v>
      </c>
      <c r="K4082" s="4">
        <v>380.34</v>
      </c>
      <c r="L4082" s="6">
        <v>10.48</v>
      </c>
    </row>
    <row r="4083" spans="1:12" x14ac:dyDescent="0.25">
      <c r="A4083" s="1">
        <v>4082</v>
      </c>
      <c r="B4083" s="4">
        <v>29095</v>
      </c>
      <c r="C4083" s="5">
        <v>40610</v>
      </c>
      <c r="D4083" s="3" t="s">
        <v>86</v>
      </c>
      <c r="E4083" s="1" t="s">
        <v>496</v>
      </c>
      <c r="F4083" s="1" t="s">
        <v>8</v>
      </c>
      <c r="G4083" s="2" t="s">
        <v>6</v>
      </c>
      <c r="H4083" s="3" t="s">
        <v>84</v>
      </c>
      <c r="I4083" s="3" t="s">
        <v>85</v>
      </c>
      <c r="J4083" s="3" t="s">
        <v>69</v>
      </c>
      <c r="K4083" s="4">
        <v>291.67</v>
      </c>
      <c r="L4083" s="6">
        <v>6.75</v>
      </c>
    </row>
    <row r="4084" spans="1:12" x14ac:dyDescent="0.25">
      <c r="A4084" s="1">
        <v>4083</v>
      </c>
      <c r="B4084" s="4">
        <v>29120</v>
      </c>
      <c r="C4084" s="5">
        <v>40310</v>
      </c>
      <c r="D4084" s="3" t="s">
        <v>82</v>
      </c>
      <c r="E4084" s="1" t="s">
        <v>776</v>
      </c>
      <c r="F4084" s="1" t="s">
        <v>42</v>
      </c>
      <c r="G4084" s="2" t="s">
        <v>3</v>
      </c>
      <c r="H4084" s="3" t="s">
        <v>100</v>
      </c>
      <c r="I4084" s="3" t="s">
        <v>85</v>
      </c>
      <c r="J4084" s="3" t="s">
        <v>69</v>
      </c>
      <c r="K4084" s="4">
        <v>1677.27</v>
      </c>
      <c r="L4084" s="6">
        <v>40.98</v>
      </c>
    </row>
    <row r="4085" spans="1:12" x14ac:dyDescent="0.25">
      <c r="A4085" s="1">
        <v>4084</v>
      </c>
      <c r="B4085" s="4">
        <v>29120</v>
      </c>
      <c r="C4085" s="5">
        <v>40310</v>
      </c>
      <c r="D4085" s="3" t="s">
        <v>82</v>
      </c>
      <c r="E4085" s="1" t="s">
        <v>776</v>
      </c>
      <c r="F4085" s="1" t="s">
        <v>42</v>
      </c>
      <c r="G4085" s="2" t="s">
        <v>3</v>
      </c>
      <c r="H4085" s="3" t="s">
        <v>100</v>
      </c>
      <c r="I4085" s="3" t="s">
        <v>91</v>
      </c>
      <c r="J4085" s="3" t="s">
        <v>68</v>
      </c>
      <c r="K4085" s="4">
        <v>1556.08</v>
      </c>
      <c r="L4085" s="6">
        <v>70.98</v>
      </c>
    </row>
    <row r="4086" spans="1:12" x14ac:dyDescent="0.25">
      <c r="A4086" s="1">
        <v>4085</v>
      </c>
      <c r="B4086" s="4">
        <v>29121</v>
      </c>
      <c r="C4086" s="5">
        <v>40279</v>
      </c>
      <c r="D4086" s="3" t="s">
        <v>4</v>
      </c>
      <c r="E4086" s="1" t="s">
        <v>1120</v>
      </c>
      <c r="F4086" s="1" t="s">
        <v>38</v>
      </c>
      <c r="G4086" s="2" t="s">
        <v>6</v>
      </c>
      <c r="H4086" s="3" t="s">
        <v>88</v>
      </c>
      <c r="I4086" s="3" t="s">
        <v>92</v>
      </c>
      <c r="J4086" s="3" t="s">
        <v>61</v>
      </c>
      <c r="K4086" s="4">
        <v>3206.9650000000001</v>
      </c>
      <c r="L4086" s="6">
        <v>125.99</v>
      </c>
    </row>
    <row r="4087" spans="1:12" x14ac:dyDescent="0.25">
      <c r="A4087" s="1">
        <v>4086</v>
      </c>
      <c r="B4087" s="4">
        <v>29127</v>
      </c>
      <c r="C4087" s="5">
        <v>39903</v>
      </c>
      <c r="D4087" s="3" t="s">
        <v>95</v>
      </c>
      <c r="E4087" s="1" t="s">
        <v>875</v>
      </c>
      <c r="F4087" s="1" t="s">
        <v>23</v>
      </c>
      <c r="G4087" s="2" t="s">
        <v>3</v>
      </c>
      <c r="H4087" s="3" t="s">
        <v>100</v>
      </c>
      <c r="I4087" s="3" t="s">
        <v>85</v>
      </c>
      <c r="J4087" s="3" t="s">
        <v>63</v>
      </c>
      <c r="K4087" s="4">
        <v>31.13</v>
      </c>
      <c r="L4087" s="6">
        <v>1.68</v>
      </c>
    </row>
    <row r="4088" spans="1:12" x14ac:dyDescent="0.25">
      <c r="A4088" s="1">
        <v>4087</v>
      </c>
      <c r="B4088" s="4">
        <v>29152</v>
      </c>
      <c r="C4088" s="5">
        <v>40747</v>
      </c>
      <c r="D4088" s="3" t="s">
        <v>82</v>
      </c>
      <c r="E4088" s="1" t="s">
        <v>539</v>
      </c>
      <c r="F4088" s="1" t="s">
        <v>26</v>
      </c>
      <c r="G4088" s="2" t="s">
        <v>3</v>
      </c>
      <c r="H4088" s="3" t="s">
        <v>84</v>
      </c>
      <c r="I4088" s="3" t="s">
        <v>92</v>
      </c>
      <c r="J4088" s="3" t="s">
        <v>62</v>
      </c>
      <c r="K4088" s="4">
        <v>58.63</v>
      </c>
      <c r="L4088" s="6">
        <v>17.48</v>
      </c>
    </row>
    <row r="4089" spans="1:12" x14ac:dyDescent="0.25">
      <c r="A4089" s="1">
        <v>4088</v>
      </c>
      <c r="B4089" s="4">
        <v>29152</v>
      </c>
      <c r="C4089" s="5">
        <v>40747</v>
      </c>
      <c r="D4089" s="3" t="s">
        <v>82</v>
      </c>
      <c r="E4089" s="1" t="s">
        <v>539</v>
      </c>
      <c r="F4089" s="1" t="s">
        <v>26</v>
      </c>
      <c r="G4089" s="2" t="s">
        <v>3</v>
      </c>
      <c r="H4089" s="3" t="s">
        <v>84</v>
      </c>
      <c r="I4089" s="3" t="s">
        <v>85</v>
      </c>
      <c r="J4089" s="3" t="s">
        <v>57</v>
      </c>
      <c r="K4089" s="4">
        <v>94.99</v>
      </c>
      <c r="L4089" s="6">
        <v>6.98</v>
      </c>
    </row>
    <row r="4090" spans="1:12" x14ac:dyDescent="0.25">
      <c r="A4090" s="1">
        <v>4089</v>
      </c>
      <c r="B4090" s="4">
        <v>29156</v>
      </c>
      <c r="C4090" s="5">
        <v>40233</v>
      </c>
      <c r="D4090" s="3" t="s">
        <v>82</v>
      </c>
      <c r="E4090" s="1" t="s">
        <v>1042</v>
      </c>
      <c r="F4090" s="1" t="s">
        <v>16</v>
      </c>
      <c r="G4090" s="2" t="s">
        <v>3</v>
      </c>
      <c r="H4090" s="3" t="s">
        <v>97</v>
      </c>
      <c r="I4090" s="3" t="s">
        <v>92</v>
      </c>
      <c r="J4090" s="3" t="s">
        <v>62</v>
      </c>
      <c r="K4090" s="4">
        <v>208.77</v>
      </c>
      <c r="L4090" s="6">
        <v>20.97</v>
      </c>
    </row>
    <row r="4091" spans="1:12" x14ac:dyDescent="0.25">
      <c r="A4091" s="1">
        <v>4090</v>
      </c>
      <c r="B4091" s="4">
        <v>29158</v>
      </c>
      <c r="C4091" s="5">
        <v>40836</v>
      </c>
      <c r="D4091" s="3" t="s">
        <v>89</v>
      </c>
      <c r="E4091" s="1" t="s">
        <v>1010</v>
      </c>
      <c r="F4091" s="1" t="s">
        <v>25</v>
      </c>
      <c r="G4091" s="2" t="s">
        <v>6</v>
      </c>
      <c r="H4091" s="3" t="s">
        <v>97</v>
      </c>
      <c r="I4091" s="3" t="s">
        <v>91</v>
      </c>
      <c r="J4091" s="3" t="s">
        <v>72</v>
      </c>
      <c r="K4091" s="4">
        <v>2266.6999999999998</v>
      </c>
      <c r="L4091" s="6">
        <v>200.98</v>
      </c>
    </row>
    <row r="4092" spans="1:12" x14ac:dyDescent="0.25">
      <c r="A4092" s="1">
        <v>4091</v>
      </c>
      <c r="B4092" s="4">
        <v>29185</v>
      </c>
      <c r="C4092" s="5">
        <v>40198</v>
      </c>
      <c r="D4092" s="3" t="s">
        <v>89</v>
      </c>
      <c r="E4092" s="1" t="s">
        <v>837</v>
      </c>
      <c r="F4092" s="1" t="s">
        <v>30</v>
      </c>
      <c r="G4092" s="2" t="s">
        <v>6</v>
      </c>
      <c r="H4092" s="3" t="s">
        <v>88</v>
      </c>
      <c r="I4092" s="3" t="s">
        <v>85</v>
      </c>
      <c r="J4092" s="3" t="s">
        <v>70</v>
      </c>
      <c r="K4092" s="4">
        <v>468.49</v>
      </c>
      <c r="L4092" s="6">
        <v>56.96</v>
      </c>
    </row>
    <row r="4093" spans="1:12" x14ac:dyDescent="0.25">
      <c r="A4093" s="1">
        <v>4092</v>
      </c>
      <c r="B4093" s="4">
        <v>29185</v>
      </c>
      <c r="C4093" s="5">
        <v>40198</v>
      </c>
      <c r="D4093" s="3" t="s">
        <v>89</v>
      </c>
      <c r="E4093" s="1" t="s">
        <v>837</v>
      </c>
      <c r="F4093" s="1" t="s">
        <v>30</v>
      </c>
      <c r="G4093" s="2" t="s">
        <v>6</v>
      </c>
      <c r="H4093" s="3" t="s">
        <v>88</v>
      </c>
      <c r="I4093" s="3" t="s">
        <v>91</v>
      </c>
      <c r="J4093" s="3" t="s">
        <v>59</v>
      </c>
      <c r="K4093" s="4">
        <v>446.53</v>
      </c>
      <c r="L4093" s="6">
        <v>8.3699999999999992</v>
      </c>
    </row>
    <row r="4094" spans="1:12" x14ac:dyDescent="0.25">
      <c r="A4094" s="1">
        <v>4093</v>
      </c>
      <c r="B4094" s="4">
        <v>29185</v>
      </c>
      <c r="C4094" s="5">
        <v>40198</v>
      </c>
      <c r="D4094" s="3" t="s">
        <v>89</v>
      </c>
      <c r="E4094" s="1" t="s">
        <v>772</v>
      </c>
      <c r="F4094" s="1" t="s">
        <v>30</v>
      </c>
      <c r="G4094" s="2" t="s">
        <v>6</v>
      </c>
      <c r="H4094" s="3" t="s">
        <v>88</v>
      </c>
      <c r="I4094" s="3" t="s">
        <v>85</v>
      </c>
      <c r="J4094" s="3" t="s">
        <v>66</v>
      </c>
      <c r="K4094" s="4">
        <v>217.85</v>
      </c>
      <c r="L4094" s="6">
        <v>40.99</v>
      </c>
    </row>
    <row r="4095" spans="1:12" x14ac:dyDescent="0.25">
      <c r="A4095" s="1">
        <v>4094</v>
      </c>
      <c r="B4095" s="4">
        <v>29187</v>
      </c>
      <c r="C4095" s="5">
        <v>40025</v>
      </c>
      <c r="D4095" s="3" t="s">
        <v>82</v>
      </c>
      <c r="E4095" s="1" t="s">
        <v>1209</v>
      </c>
      <c r="F4095" s="1" t="s">
        <v>12</v>
      </c>
      <c r="G4095" s="2" t="s">
        <v>2</v>
      </c>
      <c r="H4095" s="3" t="s">
        <v>100</v>
      </c>
      <c r="I4095" s="3" t="s">
        <v>85</v>
      </c>
      <c r="J4095" s="3" t="s">
        <v>69</v>
      </c>
      <c r="K4095" s="4">
        <v>142.30000000000001</v>
      </c>
      <c r="L4095" s="6">
        <v>24.92</v>
      </c>
    </row>
    <row r="4096" spans="1:12" x14ac:dyDescent="0.25">
      <c r="A4096" s="1">
        <v>4095</v>
      </c>
      <c r="B4096" s="4">
        <v>29187</v>
      </c>
      <c r="C4096" s="5">
        <v>40025</v>
      </c>
      <c r="D4096" s="3" t="s">
        <v>82</v>
      </c>
      <c r="E4096" s="1" t="s">
        <v>1209</v>
      </c>
      <c r="F4096" s="1" t="s">
        <v>12</v>
      </c>
      <c r="G4096" s="2" t="s">
        <v>2</v>
      </c>
      <c r="H4096" s="3" t="s">
        <v>100</v>
      </c>
      <c r="I4096" s="3" t="s">
        <v>85</v>
      </c>
      <c r="J4096" s="3" t="s">
        <v>69</v>
      </c>
      <c r="K4096" s="4">
        <v>21.93</v>
      </c>
      <c r="L4096" s="6">
        <v>2.16</v>
      </c>
    </row>
    <row r="4097" spans="1:12" x14ac:dyDescent="0.25">
      <c r="A4097" s="1">
        <v>4096</v>
      </c>
      <c r="B4097" s="4">
        <v>29187</v>
      </c>
      <c r="C4097" s="5">
        <v>40025</v>
      </c>
      <c r="D4097" s="3" t="s">
        <v>82</v>
      </c>
      <c r="E4097" s="1" t="s">
        <v>1209</v>
      </c>
      <c r="F4097" s="1" t="s">
        <v>12</v>
      </c>
      <c r="G4097" s="2" t="s">
        <v>2</v>
      </c>
      <c r="H4097" s="3" t="s">
        <v>100</v>
      </c>
      <c r="I4097" s="3" t="s">
        <v>92</v>
      </c>
      <c r="J4097" s="3" t="s">
        <v>67</v>
      </c>
      <c r="K4097" s="4">
        <v>26095.13</v>
      </c>
      <c r="L4097" s="6">
        <v>808.49</v>
      </c>
    </row>
    <row r="4098" spans="1:12" x14ac:dyDescent="0.25">
      <c r="A4098" s="1">
        <v>4097</v>
      </c>
      <c r="B4098" s="4">
        <v>29187</v>
      </c>
      <c r="C4098" s="5">
        <v>40025</v>
      </c>
      <c r="D4098" s="3" t="s">
        <v>82</v>
      </c>
      <c r="E4098" s="1" t="s">
        <v>1209</v>
      </c>
      <c r="F4098" s="1" t="s">
        <v>12</v>
      </c>
      <c r="G4098" s="2" t="s">
        <v>2</v>
      </c>
      <c r="H4098" s="3" t="s">
        <v>100</v>
      </c>
      <c r="I4098" s="3" t="s">
        <v>85</v>
      </c>
      <c r="J4098" s="3" t="s">
        <v>66</v>
      </c>
      <c r="K4098" s="4">
        <v>75.58</v>
      </c>
      <c r="L4098" s="6">
        <v>6.48</v>
      </c>
    </row>
    <row r="4099" spans="1:12" x14ac:dyDescent="0.25">
      <c r="A4099" s="1">
        <v>4098</v>
      </c>
      <c r="B4099" s="4">
        <v>29187</v>
      </c>
      <c r="C4099" s="5">
        <v>40025</v>
      </c>
      <c r="D4099" s="3" t="s">
        <v>82</v>
      </c>
      <c r="E4099" s="1" t="s">
        <v>1209</v>
      </c>
      <c r="F4099" s="1" t="s">
        <v>12</v>
      </c>
      <c r="G4099" s="2" t="s">
        <v>2</v>
      </c>
      <c r="H4099" s="3" t="s">
        <v>100</v>
      </c>
      <c r="I4099" s="3" t="s">
        <v>85</v>
      </c>
      <c r="J4099" s="3" t="s">
        <v>58</v>
      </c>
      <c r="K4099" s="4">
        <v>477.53</v>
      </c>
      <c r="L4099" s="6">
        <v>10.98</v>
      </c>
    </row>
    <row r="4100" spans="1:12" x14ac:dyDescent="0.25">
      <c r="A4100" s="1">
        <v>4099</v>
      </c>
      <c r="B4100" s="4">
        <v>29191</v>
      </c>
      <c r="C4100" s="5">
        <v>41088</v>
      </c>
      <c r="D4100" s="3" t="s">
        <v>4</v>
      </c>
      <c r="E4100" s="1" t="s">
        <v>115</v>
      </c>
      <c r="F4100" s="1" t="s">
        <v>23</v>
      </c>
      <c r="G4100" s="2" t="s">
        <v>3</v>
      </c>
      <c r="H4100" s="3" t="s">
        <v>97</v>
      </c>
      <c r="I4100" s="3" t="s">
        <v>91</v>
      </c>
      <c r="J4100" s="3" t="s">
        <v>60</v>
      </c>
      <c r="K4100" s="4">
        <v>7201.89</v>
      </c>
      <c r="L4100" s="6">
        <v>296.18</v>
      </c>
    </row>
    <row r="4101" spans="1:12" x14ac:dyDescent="0.25">
      <c r="A4101" s="1">
        <v>4100</v>
      </c>
      <c r="B4101" s="4">
        <v>29216</v>
      </c>
      <c r="C4101" s="5">
        <v>41272</v>
      </c>
      <c r="D4101" s="3" t="s">
        <v>95</v>
      </c>
      <c r="E4101" s="1" t="s">
        <v>1059</v>
      </c>
      <c r="F4101" s="1" t="s">
        <v>52</v>
      </c>
      <c r="G4101" s="2" t="s">
        <v>3</v>
      </c>
      <c r="H4101" s="3" t="s">
        <v>97</v>
      </c>
      <c r="I4101" s="3" t="s">
        <v>92</v>
      </c>
      <c r="J4101" s="3" t="s">
        <v>62</v>
      </c>
      <c r="K4101" s="4">
        <v>1936.45</v>
      </c>
      <c r="L4101" s="6">
        <v>43.22</v>
      </c>
    </row>
    <row r="4102" spans="1:12" x14ac:dyDescent="0.25">
      <c r="A4102" s="1">
        <v>4101</v>
      </c>
      <c r="B4102" s="4">
        <v>29216</v>
      </c>
      <c r="C4102" s="5">
        <v>41272</v>
      </c>
      <c r="D4102" s="3" t="s">
        <v>95</v>
      </c>
      <c r="E4102" s="1" t="s">
        <v>1059</v>
      </c>
      <c r="F4102" s="1" t="s">
        <v>52</v>
      </c>
      <c r="G4102" s="2" t="s">
        <v>3</v>
      </c>
      <c r="H4102" s="3" t="s">
        <v>97</v>
      </c>
      <c r="I4102" s="3" t="s">
        <v>91</v>
      </c>
      <c r="J4102" s="3" t="s">
        <v>60</v>
      </c>
      <c r="K4102" s="4">
        <v>3711.04</v>
      </c>
      <c r="L4102" s="6">
        <v>218.75</v>
      </c>
    </row>
    <row r="4103" spans="1:12" x14ac:dyDescent="0.25">
      <c r="A4103" s="1">
        <v>4102</v>
      </c>
      <c r="B4103" s="4">
        <v>29218</v>
      </c>
      <c r="C4103" s="5">
        <v>41058</v>
      </c>
      <c r="D4103" s="3" t="s">
        <v>82</v>
      </c>
      <c r="E4103" s="1" t="s">
        <v>420</v>
      </c>
      <c r="F4103" s="1" t="s">
        <v>9</v>
      </c>
      <c r="G4103" s="2" t="s">
        <v>2</v>
      </c>
      <c r="H4103" s="3" t="s">
        <v>97</v>
      </c>
      <c r="I4103" s="3" t="s">
        <v>91</v>
      </c>
      <c r="J4103" s="3" t="s">
        <v>59</v>
      </c>
      <c r="K4103" s="4">
        <v>1823.02</v>
      </c>
      <c r="L4103" s="6">
        <v>92.23</v>
      </c>
    </row>
    <row r="4104" spans="1:12" x14ac:dyDescent="0.25">
      <c r="A4104" s="1">
        <v>4103</v>
      </c>
      <c r="B4104" s="4">
        <v>29218</v>
      </c>
      <c r="C4104" s="5">
        <v>41058</v>
      </c>
      <c r="D4104" s="3" t="s">
        <v>82</v>
      </c>
      <c r="E4104" s="1" t="s">
        <v>420</v>
      </c>
      <c r="F4104" s="1" t="s">
        <v>9</v>
      </c>
      <c r="G4104" s="2" t="s">
        <v>2</v>
      </c>
      <c r="H4104" s="3" t="s">
        <v>97</v>
      </c>
      <c r="I4104" s="3" t="s">
        <v>85</v>
      </c>
      <c r="J4104" s="3" t="s">
        <v>63</v>
      </c>
      <c r="K4104" s="4">
        <v>74.02</v>
      </c>
      <c r="L4104" s="6">
        <v>2.88</v>
      </c>
    </row>
    <row r="4105" spans="1:12" x14ac:dyDescent="0.25">
      <c r="A4105" s="1">
        <v>4104</v>
      </c>
      <c r="B4105" s="4">
        <v>29218</v>
      </c>
      <c r="C4105" s="5">
        <v>41058</v>
      </c>
      <c r="D4105" s="3" t="s">
        <v>82</v>
      </c>
      <c r="E4105" s="1" t="s">
        <v>1210</v>
      </c>
      <c r="F4105" s="1" t="s">
        <v>9</v>
      </c>
      <c r="G4105" s="2" t="s">
        <v>2</v>
      </c>
      <c r="H4105" s="3" t="s">
        <v>97</v>
      </c>
      <c r="I4105" s="3" t="s">
        <v>92</v>
      </c>
      <c r="J4105" s="3" t="s">
        <v>61</v>
      </c>
      <c r="K4105" s="4">
        <v>2252.9760000000001</v>
      </c>
      <c r="L4105" s="6">
        <v>205.99</v>
      </c>
    </row>
    <row r="4106" spans="1:12" x14ac:dyDescent="0.25">
      <c r="A4106" s="1">
        <v>4105</v>
      </c>
      <c r="B4106" s="4">
        <v>29219</v>
      </c>
      <c r="C4106" s="5">
        <v>39913</v>
      </c>
      <c r="D4106" s="3" t="s">
        <v>86</v>
      </c>
      <c r="E4106" s="1" t="s">
        <v>1001</v>
      </c>
      <c r="F4106" s="1" t="s">
        <v>13</v>
      </c>
      <c r="G4106" s="2" t="s">
        <v>6</v>
      </c>
      <c r="H4106" s="3" t="s">
        <v>97</v>
      </c>
      <c r="I4106" s="3" t="s">
        <v>85</v>
      </c>
      <c r="J4106" s="3" t="s">
        <v>63</v>
      </c>
      <c r="K4106" s="4">
        <v>203.4</v>
      </c>
      <c r="L4106" s="6">
        <v>7.08</v>
      </c>
    </row>
    <row r="4107" spans="1:12" x14ac:dyDescent="0.25">
      <c r="A4107" s="1">
        <v>4106</v>
      </c>
      <c r="B4107" s="4">
        <v>29220</v>
      </c>
      <c r="C4107" s="5">
        <v>41272</v>
      </c>
      <c r="D4107" s="3" t="s">
        <v>4</v>
      </c>
      <c r="E4107" s="1" t="s">
        <v>1211</v>
      </c>
      <c r="F4107" s="1" t="s">
        <v>15</v>
      </c>
      <c r="G4107" s="2" t="s">
        <v>1</v>
      </c>
      <c r="H4107" s="3" t="s">
        <v>88</v>
      </c>
      <c r="I4107" s="3" t="s">
        <v>85</v>
      </c>
      <c r="J4107" s="3" t="s">
        <v>69</v>
      </c>
      <c r="K4107" s="4">
        <v>12690.33</v>
      </c>
      <c r="L4107" s="6">
        <v>367.99</v>
      </c>
    </row>
    <row r="4108" spans="1:12" x14ac:dyDescent="0.25">
      <c r="A4108" s="1">
        <v>4107</v>
      </c>
      <c r="B4108" s="4">
        <v>29221</v>
      </c>
      <c r="C4108" s="5">
        <v>41058</v>
      </c>
      <c r="D4108" s="3" t="s">
        <v>89</v>
      </c>
      <c r="E4108" s="1" t="s">
        <v>1181</v>
      </c>
      <c r="F4108" s="1" t="s">
        <v>24</v>
      </c>
      <c r="G4108" s="2" t="s">
        <v>2</v>
      </c>
      <c r="H4108" s="3" t="s">
        <v>100</v>
      </c>
      <c r="I4108" s="3" t="s">
        <v>85</v>
      </c>
      <c r="J4108" s="3" t="s">
        <v>66</v>
      </c>
      <c r="K4108" s="4">
        <v>325.33</v>
      </c>
      <c r="L4108" s="6">
        <v>7.64</v>
      </c>
    </row>
    <row r="4109" spans="1:12" x14ac:dyDescent="0.25">
      <c r="A4109" s="1">
        <v>4108</v>
      </c>
      <c r="B4109" s="4">
        <v>29223</v>
      </c>
      <c r="C4109" s="5">
        <v>40928</v>
      </c>
      <c r="D4109" s="3" t="s">
        <v>89</v>
      </c>
      <c r="E4109" s="1" t="s">
        <v>691</v>
      </c>
      <c r="F4109" s="1" t="s">
        <v>31</v>
      </c>
      <c r="G4109" s="2" t="s">
        <v>1</v>
      </c>
      <c r="H4109" s="3" t="s">
        <v>97</v>
      </c>
      <c r="I4109" s="3" t="s">
        <v>91</v>
      </c>
      <c r="J4109" s="3" t="s">
        <v>72</v>
      </c>
      <c r="K4109" s="4">
        <v>24701.119999999999</v>
      </c>
      <c r="L4109" s="6">
        <v>500.98</v>
      </c>
    </row>
    <row r="4110" spans="1:12" x14ac:dyDescent="0.25">
      <c r="A4110" s="1">
        <v>4109</v>
      </c>
      <c r="B4110" s="4">
        <v>29249</v>
      </c>
      <c r="C4110" s="5">
        <v>40707</v>
      </c>
      <c r="D4110" s="3" t="s">
        <v>82</v>
      </c>
      <c r="E4110" s="1" t="s">
        <v>1212</v>
      </c>
      <c r="F4110" s="1" t="s">
        <v>23</v>
      </c>
      <c r="G4110" s="2" t="s">
        <v>3</v>
      </c>
      <c r="H4110" s="3" t="s">
        <v>88</v>
      </c>
      <c r="I4110" s="3" t="s">
        <v>91</v>
      </c>
      <c r="J4110" s="3" t="s">
        <v>72</v>
      </c>
      <c r="K4110" s="4">
        <v>3156.6</v>
      </c>
      <c r="L4110" s="6">
        <v>276.2</v>
      </c>
    </row>
    <row r="4111" spans="1:12" x14ac:dyDescent="0.25">
      <c r="A4111" s="1">
        <v>4110</v>
      </c>
      <c r="B4111" s="4">
        <v>29249</v>
      </c>
      <c r="C4111" s="5">
        <v>40707</v>
      </c>
      <c r="D4111" s="3" t="s">
        <v>82</v>
      </c>
      <c r="E4111" s="1" t="s">
        <v>1212</v>
      </c>
      <c r="F4111" s="1" t="s">
        <v>23</v>
      </c>
      <c r="G4111" s="2" t="s">
        <v>3</v>
      </c>
      <c r="H4111" s="3" t="s">
        <v>88</v>
      </c>
      <c r="I4111" s="3" t="s">
        <v>85</v>
      </c>
      <c r="J4111" s="3" t="s">
        <v>66</v>
      </c>
      <c r="K4111" s="4">
        <v>302.69</v>
      </c>
      <c r="L4111" s="6">
        <v>6.35</v>
      </c>
    </row>
    <row r="4112" spans="1:12" x14ac:dyDescent="0.25">
      <c r="A4112" s="1">
        <v>4111</v>
      </c>
      <c r="B4112" s="4">
        <v>29252</v>
      </c>
      <c r="C4112" s="5">
        <v>40031</v>
      </c>
      <c r="D4112" s="3" t="s">
        <v>82</v>
      </c>
      <c r="E4112" s="1" t="s">
        <v>634</v>
      </c>
      <c r="F4112" s="1" t="s">
        <v>11</v>
      </c>
      <c r="G4112" s="2" t="s">
        <v>6</v>
      </c>
      <c r="H4112" s="3" t="s">
        <v>84</v>
      </c>
      <c r="I4112" s="3" t="s">
        <v>85</v>
      </c>
      <c r="J4112" s="3" t="s">
        <v>66</v>
      </c>
      <c r="K4112" s="4">
        <v>65.81</v>
      </c>
      <c r="L4112" s="6">
        <v>6.48</v>
      </c>
    </row>
    <row r="4113" spans="1:12" x14ac:dyDescent="0.25">
      <c r="A4113" s="1">
        <v>4112</v>
      </c>
      <c r="B4113" s="4">
        <v>29255</v>
      </c>
      <c r="C4113" s="5">
        <v>40880</v>
      </c>
      <c r="D4113" s="3" t="s">
        <v>82</v>
      </c>
      <c r="E4113" s="1" t="s">
        <v>1213</v>
      </c>
      <c r="F4113" s="1" t="s">
        <v>34</v>
      </c>
      <c r="G4113" s="2" t="s">
        <v>1</v>
      </c>
      <c r="H4113" s="3" t="s">
        <v>100</v>
      </c>
      <c r="I4113" s="3" t="s">
        <v>92</v>
      </c>
      <c r="J4113" s="3" t="s">
        <v>61</v>
      </c>
      <c r="K4113" s="4">
        <v>617.21899999999994</v>
      </c>
      <c r="L4113" s="6">
        <v>65.989999999999995</v>
      </c>
    </row>
    <row r="4114" spans="1:12" x14ac:dyDescent="0.25">
      <c r="A4114" s="1">
        <v>4113</v>
      </c>
      <c r="B4114" s="4">
        <v>29280</v>
      </c>
      <c r="C4114" s="5">
        <v>40996</v>
      </c>
      <c r="D4114" s="3" t="s">
        <v>4</v>
      </c>
      <c r="E4114" s="1" t="s">
        <v>210</v>
      </c>
      <c r="F4114" s="1" t="s">
        <v>27</v>
      </c>
      <c r="G4114" s="2" t="s">
        <v>1</v>
      </c>
      <c r="H4114" s="3" t="s">
        <v>84</v>
      </c>
      <c r="I4114" s="3" t="s">
        <v>85</v>
      </c>
      <c r="J4114" s="3" t="s">
        <v>63</v>
      </c>
      <c r="K4114" s="4">
        <v>238.35</v>
      </c>
      <c r="L4114" s="6">
        <v>11.66</v>
      </c>
    </row>
    <row r="4115" spans="1:12" x14ac:dyDescent="0.25">
      <c r="A4115" s="1">
        <v>4114</v>
      </c>
      <c r="B4115" s="4">
        <v>29280</v>
      </c>
      <c r="C4115" s="5">
        <v>40996</v>
      </c>
      <c r="D4115" s="3" t="s">
        <v>4</v>
      </c>
      <c r="E4115" s="1" t="s">
        <v>907</v>
      </c>
      <c r="F4115" s="1" t="s">
        <v>21</v>
      </c>
      <c r="G4115" s="2" t="s">
        <v>1</v>
      </c>
      <c r="H4115" s="3" t="s">
        <v>84</v>
      </c>
      <c r="I4115" s="3" t="s">
        <v>92</v>
      </c>
      <c r="J4115" s="3" t="s">
        <v>62</v>
      </c>
      <c r="K4115" s="4">
        <v>856.34</v>
      </c>
      <c r="L4115" s="6">
        <v>28.38</v>
      </c>
    </row>
    <row r="4116" spans="1:12" x14ac:dyDescent="0.25">
      <c r="A4116" s="1">
        <v>4115</v>
      </c>
      <c r="B4116" s="4">
        <v>29282</v>
      </c>
      <c r="C4116" s="5">
        <v>41241</v>
      </c>
      <c r="D4116" s="3" t="s">
        <v>4</v>
      </c>
      <c r="E4116" s="1" t="s">
        <v>158</v>
      </c>
      <c r="F4116" s="1" t="s">
        <v>16</v>
      </c>
      <c r="G4116" s="2" t="s">
        <v>3</v>
      </c>
      <c r="H4116" s="3" t="s">
        <v>88</v>
      </c>
      <c r="I4116" s="3" t="s">
        <v>85</v>
      </c>
      <c r="J4116" s="3" t="s">
        <v>66</v>
      </c>
      <c r="K4116" s="4">
        <v>34.270000000000003</v>
      </c>
      <c r="L4116" s="6">
        <v>6.48</v>
      </c>
    </row>
    <row r="4117" spans="1:12" x14ac:dyDescent="0.25">
      <c r="A4117" s="1">
        <v>4116</v>
      </c>
      <c r="B4117" s="4">
        <v>29284</v>
      </c>
      <c r="C4117" s="5">
        <v>39913</v>
      </c>
      <c r="D4117" s="3" t="s">
        <v>4</v>
      </c>
      <c r="E4117" s="1" t="s">
        <v>186</v>
      </c>
      <c r="F4117" s="1" t="s">
        <v>24</v>
      </c>
      <c r="G4117" s="2" t="s">
        <v>2</v>
      </c>
      <c r="H4117" s="3" t="s">
        <v>97</v>
      </c>
      <c r="I4117" s="3" t="s">
        <v>91</v>
      </c>
      <c r="J4117" s="3" t="s">
        <v>60</v>
      </c>
      <c r="K4117" s="4">
        <v>6449.0560000000005</v>
      </c>
      <c r="L4117" s="6">
        <v>400.98</v>
      </c>
    </row>
    <row r="4118" spans="1:12" x14ac:dyDescent="0.25">
      <c r="A4118" s="1">
        <v>4117</v>
      </c>
      <c r="B4118" s="4">
        <v>29286</v>
      </c>
      <c r="C4118" s="5">
        <v>40022</v>
      </c>
      <c r="D4118" s="3" t="s">
        <v>95</v>
      </c>
      <c r="E4118" s="1" t="s">
        <v>420</v>
      </c>
      <c r="F4118" s="1" t="s">
        <v>9</v>
      </c>
      <c r="G4118" s="2" t="s">
        <v>2</v>
      </c>
      <c r="H4118" s="3" t="s">
        <v>88</v>
      </c>
      <c r="I4118" s="3" t="s">
        <v>92</v>
      </c>
      <c r="J4118" s="3" t="s">
        <v>67</v>
      </c>
      <c r="K4118" s="4">
        <v>13070.2</v>
      </c>
      <c r="L4118" s="6">
        <v>3502.14</v>
      </c>
    </row>
    <row r="4119" spans="1:12" x14ac:dyDescent="0.25">
      <c r="A4119" s="1">
        <v>4118</v>
      </c>
      <c r="B4119" s="4">
        <v>29287</v>
      </c>
      <c r="C4119" s="5">
        <v>39996</v>
      </c>
      <c r="D4119" s="3" t="s">
        <v>89</v>
      </c>
      <c r="E4119" s="1" t="s">
        <v>791</v>
      </c>
      <c r="F4119" s="1" t="s">
        <v>8</v>
      </c>
      <c r="G4119" s="2" t="s">
        <v>6</v>
      </c>
      <c r="H4119" s="3" t="s">
        <v>100</v>
      </c>
      <c r="I4119" s="3" t="s">
        <v>85</v>
      </c>
      <c r="J4119" s="3" t="s">
        <v>69</v>
      </c>
      <c r="K4119" s="4">
        <v>281.39</v>
      </c>
      <c r="L4119" s="6">
        <v>5.74</v>
      </c>
    </row>
    <row r="4120" spans="1:12" x14ac:dyDescent="0.25">
      <c r="A4120" s="1">
        <v>4119</v>
      </c>
      <c r="B4120" s="4">
        <v>29287</v>
      </c>
      <c r="C4120" s="5">
        <v>39996</v>
      </c>
      <c r="D4120" s="3" t="s">
        <v>89</v>
      </c>
      <c r="E4120" s="1" t="s">
        <v>791</v>
      </c>
      <c r="F4120" s="1" t="s">
        <v>8</v>
      </c>
      <c r="G4120" s="2" t="s">
        <v>6</v>
      </c>
      <c r="H4120" s="3" t="s">
        <v>100</v>
      </c>
      <c r="I4120" s="3" t="s">
        <v>92</v>
      </c>
      <c r="J4120" s="3" t="s">
        <v>67</v>
      </c>
      <c r="K4120" s="4">
        <v>12593.91</v>
      </c>
      <c r="L4120" s="6">
        <v>270.97000000000003</v>
      </c>
    </row>
    <row r="4121" spans="1:12" x14ac:dyDescent="0.25">
      <c r="A4121" s="1">
        <v>4120</v>
      </c>
      <c r="B4121" s="4">
        <v>29317</v>
      </c>
      <c r="C4121" s="5">
        <v>40818</v>
      </c>
      <c r="D4121" s="3" t="s">
        <v>86</v>
      </c>
      <c r="E4121" s="1" t="s">
        <v>701</v>
      </c>
      <c r="F4121" s="1" t="s">
        <v>12</v>
      </c>
      <c r="G4121" s="2" t="s">
        <v>2</v>
      </c>
      <c r="H4121" s="3" t="s">
        <v>88</v>
      </c>
      <c r="I4121" s="3" t="s">
        <v>91</v>
      </c>
      <c r="J4121" s="3" t="s">
        <v>72</v>
      </c>
      <c r="K4121" s="4">
        <v>7789.63</v>
      </c>
      <c r="L4121" s="6">
        <v>200.98</v>
      </c>
    </row>
    <row r="4122" spans="1:12" x14ac:dyDescent="0.25">
      <c r="A4122" s="1">
        <v>4121</v>
      </c>
      <c r="B4122" s="4">
        <v>29317</v>
      </c>
      <c r="C4122" s="5">
        <v>40818</v>
      </c>
      <c r="D4122" s="3" t="s">
        <v>86</v>
      </c>
      <c r="E4122" s="1" t="s">
        <v>701</v>
      </c>
      <c r="F4122" s="1" t="s">
        <v>12</v>
      </c>
      <c r="G4122" s="2" t="s">
        <v>2</v>
      </c>
      <c r="H4122" s="3" t="s">
        <v>88</v>
      </c>
      <c r="I4122" s="3" t="s">
        <v>92</v>
      </c>
      <c r="J4122" s="3" t="s">
        <v>67</v>
      </c>
      <c r="K4122" s="4">
        <v>15703.82</v>
      </c>
      <c r="L4122" s="6">
        <v>810.98</v>
      </c>
    </row>
    <row r="4123" spans="1:12" x14ac:dyDescent="0.25">
      <c r="A4123" s="1">
        <v>4122</v>
      </c>
      <c r="B4123" s="4">
        <v>29317</v>
      </c>
      <c r="C4123" s="5">
        <v>40818</v>
      </c>
      <c r="D4123" s="3" t="s">
        <v>86</v>
      </c>
      <c r="E4123" s="1" t="s">
        <v>701</v>
      </c>
      <c r="F4123" s="1" t="s">
        <v>12</v>
      </c>
      <c r="G4123" s="2" t="s">
        <v>2</v>
      </c>
      <c r="H4123" s="3" t="s">
        <v>88</v>
      </c>
      <c r="I4123" s="3" t="s">
        <v>85</v>
      </c>
      <c r="J4123" s="3" t="s">
        <v>64</v>
      </c>
      <c r="K4123" s="4">
        <v>140.69</v>
      </c>
      <c r="L4123" s="6">
        <v>4.71</v>
      </c>
    </row>
    <row r="4124" spans="1:12" x14ac:dyDescent="0.25">
      <c r="A4124" s="1">
        <v>4123</v>
      </c>
      <c r="B4124" s="4">
        <v>29318</v>
      </c>
      <c r="C4124" s="5">
        <v>40724</v>
      </c>
      <c r="D4124" s="3" t="s">
        <v>86</v>
      </c>
      <c r="E4124" s="1" t="s">
        <v>478</v>
      </c>
      <c r="F4124" s="1" t="s">
        <v>46</v>
      </c>
      <c r="G4124" s="2" t="s">
        <v>6</v>
      </c>
      <c r="H4124" s="3" t="s">
        <v>88</v>
      </c>
      <c r="I4124" s="3" t="s">
        <v>85</v>
      </c>
      <c r="J4124" s="3" t="s">
        <v>57</v>
      </c>
      <c r="K4124" s="4">
        <v>2954.14</v>
      </c>
      <c r="L4124" s="6">
        <v>138.13999999999999</v>
      </c>
    </row>
    <row r="4125" spans="1:12" x14ac:dyDescent="0.25">
      <c r="A4125" s="1">
        <v>4124</v>
      </c>
      <c r="B4125" s="4">
        <v>29318</v>
      </c>
      <c r="C4125" s="5">
        <v>40724</v>
      </c>
      <c r="D4125" s="3" t="s">
        <v>86</v>
      </c>
      <c r="E4125" s="1" t="s">
        <v>478</v>
      </c>
      <c r="F4125" s="1" t="s">
        <v>46</v>
      </c>
      <c r="G4125" s="2" t="s">
        <v>6</v>
      </c>
      <c r="H4125" s="3" t="s">
        <v>88</v>
      </c>
      <c r="I4125" s="3" t="s">
        <v>92</v>
      </c>
      <c r="J4125" s="3" t="s">
        <v>61</v>
      </c>
      <c r="K4125" s="4">
        <v>3375.3074999999999</v>
      </c>
      <c r="L4125" s="6">
        <v>125.99</v>
      </c>
    </row>
    <row r="4126" spans="1:12" x14ac:dyDescent="0.25">
      <c r="A4126" s="1">
        <v>4125</v>
      </c>
      <c r="B4126" s="4">
        <v>29319</v>
      </c>
      <c r="C4126" s="5">
        <v>39837</v>
      </c>
      <c r="D4126" s="3" t="s">
        <v>82</v>
      </c>
      <c r="E4126" s="1" t="s">
        <v>935</v>
      </c>
      <c r="F4126" s="1" t="s">
        <v>38</v>
      </c>
      <c r="G4126" s="2" t="s">
        <v>6</v>
      </c>
      <c r="H4126" s="3" t="s">
        <v>84</v>
      </c>
      <c r="I4126" s="3" t="s">
        <v>91</v>
      </c>
      <c r="J4126" s="3" t="s">
        <v>72</v>
      </c>
      <c r="K4126" s="4">
        <v>6654.39</v>
      </c>
      <c r="L4126" s="6">
        <v>238.4</v>
      </c>
    </row>
    <row r="4127" spans="1:12" x14ac:dyDescent="0.25">
      <c r="A4127" s="1">
        <v>4126</v>
      </c>
      <c r="B4127" s="4">
        <v>29319</v>
      </c>
      <c r="C4127" s="5">
        <v>39837</v>
      </c>
      <c r="D4127" s="3" t="s">
        <v>82</v>
      </c>
      <c r="E4127" s="1" t="s">
        <v>935</v>
      </c>
      <c r="F4127" s="1" t="s">
        <v>38</v>
      </c>
      <c r="G4127" s="2" t="s">
        <v>6</v>
      </c>
      <c r="H4127" s="3" t="s">
        <v>84</v>
      </c>
      <c r="I4127" s="3" t="s">
        <v>92</v>
      </c>
      <c r="J4127" s="3" t="s">
        <v>73</v>
      </c>
      <c r="K4127" s="4">
        <v>4429.6899999999996</v>
      </c>
      <c r="L4127" s="6">
        <v>199.99</v>
      </c>
    </row>
    <row r="4128" spans="1:12" x14ac:dyDescent="0.25">
      <c r="A4128" s="1">
        <v>4127</v>
      </c>
      <c r="B4128" s="4">
        <v>29346</v>
      </c>
      <c r="C4128" s="5">
        <v>40041</v>
      </c>
      <c r="D4128" s="3" t="s">
        <v>82</v>
      </c>
      <c r="E4128" s="1" t="s">
        <v>907</v>
      </c>
      <c r="F4128" s="1" t="s">
        <v>21</v>
      </c>
      <c r="G4128" s="2" t="s">
        <v>1</v>
      </c>
      <c r="H4128" s="3" t="s">
        <v>88</v>
      </c>
      <c r="I4128" s="3" t="s">
        <v>85</v>
      </c>
      <c r="J4128" s="3" t="s">
        <v>71</v>
      </c>
      <c r="K4128" s="4">
        <v>29.06</v>
      </c>
      <c r="L4128" s="6">
        <v>11.58</v>
      </c>
    </row>
    <row r="4129" spans="1:12" x14ac:dyDescent="0.25">
      <c r="A4129" s="1">
        <v>4128</v>
      </c>
      <c r="B4129" s="4">
        <v>29347</v>
      </c>
      <c r="C4129" s="5">
        <v>41133</v>
      </c>
      <c r="D4129" s="3" t="s">
        <v>4</v>
      </c>
      <c r="E4129" s="1" t="s">
        <v>134</v>
      </c>
      <c r="F4129" s="1" t="s">
        <v>23</v>
      </c>
      <c r="G4129" s="2" t="s">
        <v>3</v>
      </c>
      <c r="H4129" s="3" t="s">
        <v>88</v>
      </c>
      <c r="I4129" s="3" t="s">
        <v>85</v>
      </c>
      <c r="J4129" s="3" t="s">
        <v>66</v>
      </c>
      <c r="K4129" s="4">
        <v>2040.39</v>
      </c>
      <c r="L4129" s="6">
        <v>40.99</v>
      </c>
    </row>
    <row r="4130" spans="1:12" x14ac:dyDescent="0.25">
      <c r="A4130" s="1">
        <v>4129</v>
      </c>
      <c r="B4130" s="4">
        <v>29349</v>
      </c>
      <c r="C4130" s="5">
        <v>40339</v>
      </c>
      <c r="D4130" s="3" t="s">
        <v>89</v>
      </c>
      <c r="E4130" s="1" t="s">
        <v>858</v>
      </c>
      <c r="F4130" s="1" t="s">
        <v>21</v>
      </c>
      <c r="G4130" s="2" t="s">
        <v>1</v>
      </c>
      <c r="H4130" s="3" t="s">
        <v>84</v>
      </c>
      <c r="I4130" s="3" t="s">
        <v>92</v>
      </c>
      <c r="J4130" s="3" t="s">
        <v>61</v>
      </c>
      <c r="K4130" s="4">
        <v>2526.54</v>
      </c>
      <c r="L4130" s="6">
        <v>65.989999999999995</v>
      </c>
    </row>
    <row r="4131" spans="1:12" x14ac:dyDescent="0.25">
      <c r="A4131" s="1">
        <v>4130</v>
      </c>
      <c r="B4131" s="4">
        <v>29349</v>
      </c>
      <c r="C4131" s="5">
        <v>40339</v>
      </c>
      <c r="D4131" s="3" t="s">
        <v>89</v>
      </c>
      <c r="E4131" s="1" t="s">
        <v>1214</v>
      </c>
      <c r="F4131" s="1" t="s">
        <v>20</v>
      </c>
      <c r="G4131" s="2" t="s">
        <v>1</v>
      </c>
      <c r="H4131" s="3" t="s">
        <v>84</v>
      </c>
      <c r="I4131" s="3" t="s">
        <v>85</v>
      </c>
      <c r="J4131" s="3" t="s">
        <v>66</v>
      </c>
      <c r="K4131" s="4">
        <v>162.38999999999999</v>
      </c>
      <c r="L4131" s="6">
        <v>5.28</v>
      </c>
    </row>
    <row r="4132" spans="1:12" x14ac:dyDescent="0.25">
      <c r="A4132" s="1">
        <v>4131</v>
      </c>
      <c r="B4132" s="4">
        <v>29350</v>
      </c>
      <c r="C4132" s="5">
        <v>40050</v>
      </c>
      <c r="D4132" s="3" t="s">
        <v>89</v>
      </c>
      <c r="E4132" s="1" t="s">
        <v>1215</v>
      </c>
      <c r="F4132" s="1" t="s">
        <v>20</v>
      </c>
      <c r="G4132" s="2" t="s">
        <v>1</v>
      </c>
      <c r="H4132" s="3" t="s">
        <v>100</v>
      </c>
      <c r="I4132" s="3" t="s">
        <v>85</v>
      </c>
      <c r="J4132" s="3" t="s">
        <v>69</v>
      </c>
      <c r="K4132" s="4">
        <v>2519.5500000000002</v>
      </c>
      <c r="L4132" s="6">
        <v>52.4</v>
      </c>
    </row>
    <row r="4133" spans="1:12" x14ac:dyDescent="0.25">
      <c r="A4133" s="1">
        <v>4132</v>
      </c>
      <c r="B4133" s="4">
        <v>29350</v>
      </c>
      <c r="C4133" s="5">
        <v>40050</v>
      </c>
      <c r="D4133" s="3" t="s">
        <v>89</v>
      </c>
      <c r="E4133" s="1" t="s">
        <v>1216</v>
      </c>
      <c r="F4133" s="1" t="s">
        <v>27</v>
      </c>
      <c r="G4133" s="2" t="s">
        <v>1</v>
      </c>
      <c r="H4133" s="3" t="s">
        <v>100</v>
      </c>
      <c r="I4133" s="3" t="s">
        <v>85</v>
      </c>
      <c r="J4133" s="3" t="s">
        <v>57</v>
      </c>
      <c r="K4133" s="4">
        <v>150.33000000000001</v>
      </c>
      <c r="L4133" s="6">
        <v>15.14</v>
      </c>
    </row>
    <row r="4134" spans="1:12" x14ac:dyDescent="0.25">
      <c r="A4134" s="1">
        <v>4133</v>
      </c>
      <c r="B4134" s="4">
        <v>29350</v>
      </c>
      <c r="C4134" s="5">
        <v>40050</v>
      </c>
      <c r="D4134" s="3" t="s">
        <v>89</v>
      </c>
      <c r="E4134" s="1" t="s">
        <v>1217</v>
      </c>
      <c r="F4134" s="1" t="s">
        <v>20</v>
      </c>
      <c r="G4134" s="2" t="s">
        <v>1</v>
      </c>
      <c r="H4134" s="3" t="s">
        <v>100</v>
      </c>
      <c r="I4134" s="3" t="s">
        <v>85</v>
      </c>
      <c r="J4134" s="3" t="s">
        <v>63</v>
      </c>
      <c r="K4134" s="4">
        <v>1634.17</v>
      </c>
      <c r="L4134" s="6">
        <v>36.549999999999997</v>
      </c>
    </row>
    <row r="4135" spans="1:12" x14ac:dyDescent="0.25">
      <c r="A4135" s="1">
        <v>4134</v>
      </c>
      <c r="B4135" s="4">
        <v>29351</v>
      </c>
      <c r="C4135" s="5">
        <v>40819</v>
      </c>
      <c r="D4135" s="3" t="s">
        <v>4</v>
      </c>
      <c r="E4135" s="1" t="s">
        <v>318</v>
      </c>
      <c r="F4135" s="1" t="s">
        <v>31</v>
      </c>
      <c r="G4135" s="2" t="s">
        <v>1</v>
      </c>
      <c r="H4135" s="3" t="s">
        <v>100</v>
      </c>
      <c r="I4135" s="3" t="s">
        <v>85</v>
      </c>
      <c r="J4135" s="3" t="s">
        <v>69</v>
      </c>
      <c r="K4135" s="4">
        <v>5122.6099999999997</v>
      </c>
      <c r="L4135" s="6">
        <v>304.99</v>
      </c>
    </row>
    <row r="4136" spans="1:12" x14ac:dyDescent="0.25">
      <c r="A4136" s="1">
        <v>4135</v>
      </c>
      <c r="B4136" s="4">
        <v>29376</v>
      </c>
      <c r="C4136" s="5">
        <v>41132</v>
      </c>
      <c r="D4136" s="3" t="s">
        <v>95</v>
      </c>
      <c r="E4136" s="1" t="s">
        <v>684</v>
      </c>
      <c r="F4136" s="1" t="s">
        <v>44</v>
      </c>
      <c r="G4136" s="2" t="s">
        <v>3</v>
      </c>
      <c r="H4136" s="3" t="s">
        <v>100</v>
      </c>
      <c r="I4136" s="3" t="s">
        <v>85</v>
      </c>
      <c r="J4136" s="3" t="s">
        <v>57</v>
      </c>
      <c r="K4136" s="4">
        <v>2850.31</v>
      </c>
      <c r="L4136" s="6">
        <v>155.06</v>
      </c>
    </row>
    <row r="4137" spans="1:12" x14ac:dyDescent="0.25">
      <c r="A4137" s="1">
        <v>4136</v>
      </c>
      <c r="B4137" s="4">
        <v>29380</v>
      </c>
      <c r="C4137" s="5">
        <v>39930</v>
      </c>
      <c r="D4137" s="3" t="s">
        <v>86</v>
      </c>
      <c r="E4137" s="1" t="s">
        <v>142</v>
      </c>
      <c r="F4137" s="1" t="s">
        <v>18</v>
      </c>
      <c r="G4137" s="2" t="s">
        <v>6</v>
      </c>
      <c r="H4137" s="3" t="s">
        <v>88</v>
      </c>
      <c r="I4137" s="3" t="s">
        <v>85</v>
      </c>
      <c r="J4137" s="3" t="s">
        <v>66</v>
      </c>
      <c r="K4137" s="4">
        <v>150.13</v>
      </c>
      <c r="L4137" s="6">
        <v>12.28</v>
      </c>
    </row>
    <row r="4138" spans="1:12" x14ac:dyDescent="0.25">
      <c r="A4138" s="1">
        <v>4137</v>
      </c>
      <c r="B4138" s="4">
        <v>29382</v>
      </c>
      <c r="C4138" s="5">
        <v>40499</v>
      </c>
      <c r="D4138" s="3" t="s">
        <v>89</v>
      </c>
      <c r="E4138" s="1" t="s">
        <v>967</v>
      </c>
      <c r="F4138" s="1" t="s">
        <v>38</v>
      </c>
      <c r="G4138" s="2" t="s">
        <v>6</v>
      </c>
      <c r="H4138" s="3" t="s">
        <v>84</v>
      </c>
      <c r="I4138" s="3" t="s">
        <v>85</v>
      </c>
      <c r="J4138" s="3" t="s">
        <v>71</v>
      </c>
      <c r="K4138" s="4">
        <v>239.35</v>
      </c>
      <c r="L4138" s="6">
        <v>5.68</v>
      </c>
    </row>
    <row r="4139" spans="1:12" x14ac:dyDescent="0.25">
      <c r="A4139" s="1">
        <v>4138</v>
      </c>
      <c r="B4139" s="4">
        <v>29382</v>
      </c>
      <c r="C4139" s="5">
        <v>40499</v>
      </c>
      <c r="D4139" s="3" t="s">
        <v>89</v>
      </c>
      <c r="E4139" s="1" t="s">
        <v>967</v>
      </c>
      <c r="F4139" s="1" t="s">
        <v>38</v>
      </c>
      <c r="G4139" s="2" t="s">
        <v>6</v>
      </c>
      <c r="H4139" s="3" t="s">
        <v>84</v>
      </c>
      <c r="I4139" s="3" t="s">
        <v>91</v>
      </c>
      <c r="J4139" s="3" t="s">
        <v>59</v>
      </c>
      <c r="K4139" s="4">
        <v>684.66</v>
      </c>
      <c r="L4139" s="6">
        <v>19.98</v>
      </c>
    </row>
    <row r="4140" spans="1:12" x14ac:dyDescent="0.25">
      <c r="A4140" s="1">
        <v>4139</v>
      </c>
      <c r="B4140" s="4">
        <v>29383</v>
      </c>
      <c r="C4140" s="5">
        <v>40865</v>
      </c>
      <c r="D4140" s="3" t="s">
        <v>4</v>
      </c>
      <c r="E4140" s="1" t="s">
        <v>1218</v>
      </c>
      <c r="F4140" s="1" t="s">
        <v>34</v>
      </c>
      <c r="G4140" s="2" t="s">
        <v>1</v>
      </c>
      <c r="H4140" s="3" t="s">
        <v>88</v>
      </c>
      <c r="I4140" s="3" t="s">
        <v>92</v>
      </c>
      <c r="J4140" s="3" t="s">
        <v>62</v>
      </c>
      <c r="K4140" s="4">
        <v>157.13</v>
      </c>
      <c r="L4140" s="6">
        <v>8.32</v>
      </c>
    </row>
    <row r="4141" spans="1:12" x14ac:dyDescent="0.25">
      <c r="A4141" s="1">
        <v>4140</v>
      </c>
      <c r="B4141" s="4">
        <v>29383</v>
      </c>
      <c r="C4141" s="5">
        <v>40865</v>
      </c>
      <c r="D4141" s="3" t="s">
        <v>4</v>
      </c>
      <c r="E4141" s="1" t="s">
        <v>1218</v>
      </c>
      <c r="F4141" s="1" t="s">
        <v>34</v>
      </c>
      <c r="G4141" s="2" t="s">
        <v>1</v>
      </c>
      <c r="H4141" s="3" t="s">
        <v>88</v>
      </c>
      <c r="I4141" s="3" t="s">
        <v>85</v>
      </c>
      <c r="J4141" s="3" t="s">
        <v>66</v>
      </c>
      <c r="K4141" s="4">
        <v>195.11</v>
      </c>
      <c r="L4141" s="6">
        <v>6.48</v>
      </c>
    </row>
    <row r="4142" spans="1:12" x14ac:dyDescent="0.25">
      <c r="A4142" s="1">
        <v>4141</v>
      </c>
      <c r="B4142" s="4">
        <v>29383</v>
      </c>
      <c r="C4142" s="5">
        <v>40865</v>
      </c>
      <c r="D4142" s="3" t="s">
        <v>4</v>
      </c>
      <c r="E4142" s="1" t="s">
        <v>1218</v>
      </c>
      <c r="F4142" s="1" t="s">
        <v>34</v>
      </c>
      <c r="G4142" s="2" t="s">
        <v>1</v>
      </c>
      <c r="H4142" s="3" t="s">
        <v>88</v>
      </c>
      <c r="I4142" s="3" t="s">
        <v>92</v>
      </c>
      <c r="J4142" s="3" t="s">
        <v>61</v>
      </c>
      <c r="K4142" s="4">
        <v>2738.7849999999999</v>
      </c>
      <c r="L4142" s="6">
        <v>115.99</v>
      </c>
    </row>
    <row r="4143" spans="1:12" x14ac:dyDescent="0.25">
      <c r="A4143" s="1">
        <v>4142</v>
      </c>
      <c r="B4143" s="4">
        <v>29383</v>
      </c>
      <c r="C4143" s="5">
        <v>40865</v>
      </c>
      <c r="D4143" s="3" t="s">
        <v>4</v>
      </c>
      <c r="E4143" s="1" t="s">
        <v>642</v>
      </c>
      <c r="F4143" s="1" t="s">
        <v>34</v>
      </c>
      <c r="G4143" s="2" t="s">
        <v>1</v>
      </c>
      <c r="H4143" s="3" t="s">
        <v>88</v>
      </c>
      <c r="I4143" s="3" t="s">
        <v>91</v>
      </c>
      <c r="J4143" s="3" t="s">
        <v>59</v>
      </c>
      <c r="K4143" s="4">
        <v>217.42</v>
      </c>
      <c r="L4143" s="6">
        <v>7.59</v>
      </c>
    </row>
    <row r="4144" spans="1:12" x14ac:dyDescent="0.25">
      <c r="A4144" s="1">
        <v>4143</v>
      </c>
      <c r="B4144" s="4">
        <v>29408</v>
      </c>
      <c r="C4144" s="5">
        <v>40300</v>
      </c>
      <c r="D4144" s="3" t="s">
        <v>86</v>
      </c>
      <c r="E4144" s="1" t="s">
        <v>1219</v>
      </c>
      <c r="F4144" s="1" t="s">
        <v>30</v>
      </c>
      <c r="G4144" s="2" t="s">
        <v>6</v>
      </c>
      <c r="H4144" s="3" t="s">
        <v>97</v>
      </c>
      <c r="I4144" s="3" t="s">
        <v>92</v>
      </c>
      <c r="J4144" s="3" t="s">
        <v>67</v>
      </c>
      <c r="K4144" s="4">
        <v>4260.7299999999996</v>
      </c>
      <c r="L4144" s="6">
        <v>119.99</v>
      </c>
    </row>
    <row r="4145" spans="1:12" x14ac:dyDescent="0.25">
      <c r="A4145" s="1">
        <v>4144</v>
      </c>
      <c r="B4145" s="4">
        <v>29409</v>
      </c>
      <c r="C4145" s="5">
        <v>40556</v>
      </c>
      <c r="D4145" s="3" t="s">
        <v>89</v>
      </c>
      <c r="E4145" s="1" t="s">
        <v>939</v>
      </c>
      <c r="F4145" s="1" t="s">
        <v>25</v>
      </c>
      <c r="G4145" s="2" t="s">
        <v>6</v>
      </c>
      <c r="H4145" s="3" t="s">
        <v>97</v>
      </c>
      <c r="I4145" s="3" t="s">
        <v>92</v>
      </c>
      <c r="J4145" s="3" t="s">
        <v>62</v>
      </c>
      <c r="K4145" s="4">
        <v>38.99</v>
      </c>
      <c r="L4145" s="6">
        <v>1.7</v>
      </c>
    </row>
    <row r="4146" spans="1:12" x14ac:dyDescent="0.25">
      <c r="A4146" s="1">
        <v>4145</v>
      </c>
      <c r="B4146" s="4">
        <v>29410</v>
      </c>
      <c r="C4146" s="5">
        <v>40073</v>
      </c>
      <c r="D4146" s="3" t="s">
        <v>95</v>
      </c>
      <c r="E4146" s="1" t="s">
        <v>450</v>
      </c>
      <c r="F4146" s="1" t="s">
        <v>13</v>
      </c>
      <c r="G4146" s="2" t="s">
        <v>6</v>
      </c>
      <c r="H4146" s="3" t="s">
        <v>88</v>
      </c>
      <c r="I4146" s="3" t="s">
        <v>92</v>
      </c>
      <c r="J4146" s="3" t="s">
        <v>67</v>
      </c>
      <c r="K4146" s="4">
        <v>4186.53</v>
      </c>
      <c r="L4146" s="6">
        <v>120.97</v>
      </c>
    </row>
    <row r="4147" spans="1:12" x14ac:dyDescent="0.25">
      <c r="A4147" s="1">
        <v>4146</v>
      </c>
      <c r="B4147" s="4">
        <v>29410</v>
      </c>
      <c r="C4147" s="5">
        <v>40073</v>
      </c>
      <c r="D4147" s="3" t="s">
        <v>95</v>
      </c>
      <c r="E4147" s="1" t="s">
        <v>450</v>
      </c>
      <c r="F4147" s="1" t="s">
        <v>13</v>
      </c>
      <c r="G4147" s="2" t="s">
        <v>6</v>
      </c>
      <c r="H4147" s="3" t="s">
        <v>88</v>
      </c>
      <c r="I4147" s="3" t="s">
        <v>92</v>
      </c>
      <c r="J4147" s="3" t="s">
        <v>61</v>
      </c>
      <c r="K4147" s="4">
        <v>6057.27</v>
      </c>
      <c r="L4147" s="6">
        <v>195.99</v>
      </c>
    </row>
    <row r="4148" spans="1:12" x14ac:dyDescent="0.25">
      <c r="A4148" s="1">
        <v>4147</v>
      </c>
      <c r="B4148" s="4">
        <v>29411</v>
      </c>
      <c r="C4148" s="5">
        <v>41005</v>
      </c>
      <c r="D4148" s="3" t="s">
        <v>89</v>
      </c>
      <c r="E4148" s="1" t="s">
        <v>1220</v>
      </c>
      <c r="F4148" s="1" t="s">
        <v>13</v>
      </c>
      <c r="G4148" s="2" t="s">
        <v>6</v>
      </c>
      <c r="H4148" s="3" t="s">
        <v>88</v>
      </c>
      <c r="I4148" s="3" t="s">
        <v>85</v>
      </c>
      <c r="J4148" s="3" t="s">
        <v>70</v>
      </c>
      <c r="K4148" s="4">
        <v>67.87</v>
      </c>
      <c r="L4148" s="6">
        <v>2.2200000000000002</v>
      </c>
    </row>
    <row r="4149" spans="1:12" x14ac:dyDescent="0.25">
      <c r="A4149" s="1">
        <v>4148</v>
      </c>
      <c r="B4149" s="4">
        <v>29411</v>
      </c>
      <c r="C4149" s="5">
        <v>41005</v>
      </c>
      <c r="D4149" s="3" t="s">
        <v>89</v>
      </c>
      <c r="E4149" s="1" t="s">
        <v>1220</v>
      </c>
      <c r="F4149" s="1" t="s">
        <v>13</v>
      </c>
      <c r="G4149" s="2" t="s">
        <v>6</v>
      </c>
      <c r="H4149" s="3" t="s">
        <v>88</v>
      </c>
      <c r="I4149" s="3" t="s">
        <v>85</v>
      </c>
      <c r="J4149" s="3" t="s">
        <v>71</v>
      </c>
      <c r="K4149" s="4">
        <v>542.24</v>
      </c>
      <c r="L4149" s="6">
        <v>15.67</v>
      </c>
    </row>
    <row r="4150" spans="1:12" x14ac:dyDescent="0.25">
      <c r="A4150" s="1">
        <v>4149</v>
      </c>
      <c r="B4150" s="4">
        <v>29411</v>
      </c>
      <c r="C4150" s="5">
        <v>41005</v>
      </c>
      <c r="D4150" s="3" t="s">
        <v>89</v>
      </c>
      <c r="E4150" s="1" t="s">
        <v>1220</v>
      </c>
      <c r="F4150" s="1" t="s">
        <v>13</v>
      </c>
      <c r="G4150" s="2" t="s">
        <v>6</v>
      </c>
      <c r="H4150" s="3" t="s">
        <v>88</v>
      </c>
      <c r="I4150" s="3" t="s">
        <v>92</v>
      </c>
      <c r="J4150" s="3" t="s">
        <v>67</v>
      </c>
      <c r="K4150" s="4">
        <v>15174.95</v>
      </c>
      <c r="L4150" s="6">
        <v>400.97</v>
      </c>
    </row>
    <row r="4151" spans="1:12" x14ac:dyDescent="0.25">
      <c r="A4151" s="1">
        <v>4150</v>
      </c>
      <c r="B4151" s="4">
        <v>29411</v>
      </c>
      <c r="C4151" s="5">
        <v>41005</v>
      </c>
      <c r="D4151" s="3" t="s">
        <v>89</v>
      </c>
      <c r="E4151" s="1" t="s">
        <v>1220</v>
      </c>
      <c r="F4151" s="1" t="s">
        <v>13</v>
      </c>
      <c r="G4151" s="2" t="s">
        <v>6</v>
      </c>
      <c r="H4151" s="3" t="s">
        <v>88</v>
      </c>
      <c r="I4151" s="3" t="s">
        <v>92</v>
      </c>
      <c r="J4151" s="3" t="s">
        <v>67</v>
      </c>
      <c r="K4151" s="4">
        <v>1084.1199999999999</v>
      </c>
      <c r="L4151" s="6">
        <v>23.99</v>
      </c>
    </row>
    <row r="4152" spans="1:12" x14ac:dyDescent="0.25">
      <c r="A4152" s="1">
        <v>4151</v>
      </c>
      <c r="B4152" s="4">
        <v>29445</v>
      </c>
      <c r="C4152" s="5">
        <v>40450</v>
      </c>
      <c r="D4152" s="3" t="s">
        <v>89</v>
      </c>
      <c r="E4152" s="1" t="s">
        <v>1221</v>
      </c>
      <c r="F4152" s="1" t="s">
        <v>38</v>
      </c>
      <c r="G4152" s="2" t="s">
        <v>6</v>
      </c>
      <c r="H4152" s="3" t="s">
        <v>100</v>
      </c>
      <c r="I4152" s="3" t="s">
        <v>92</v>
      </c>
      <c r="J4152" s="3" t="s">
        <v>67</v>
      </c>
      <c r="K4152" s="4">
        <v>2531.35</v>
      </c>
      <c r="L4152" s="6">
        <v>90.97</v>
      </c>
    </row>
    <row r="4153" spans="1:12" x14ac:dyDescent="0.25">
      <c r="A4153" s="1">
        <v>4152</v>
      </c>
      <c r="B4153" s="4">
        <v>29473</v>
      </c>
      <c r="C4153" s="5">
        <v>40954</v>
      </c>
      <c r="D4153" s="3" t="s">
        <v>4</v>
      </c>
      <c r="E4153" s="1" t="s">
        <v>860</v>
      </c>
      <c r="F4153" s="1" t="s">
        <v>20</v>
      </c>
      <c r="G4153" s="2" t="s">
        <v>1</v>
      </c>
      <c r="H4153" s="3" t="s">
        <v>100</v>
      </c>
      <c r="I4153" s="3" t="s">
        <v>91</v>
      </c>
      <c r="J4153" s="3" t="s">
        <v>60</v>
      </c>
      <c r="K4153" s="4">
        <v>13367.82</v>
      </c>
      <c r="L4153" s="6">
        <v>320.64</v>
      </c>
    </row>
    <row r="4154" spans="1:12" x14ac:dyDescent="0.25">
      <c r="A4154" s="1">
        <v>4153</v>
      </c>
      <c r="B4154" s="4">
        <v>29473</v>
      </c>
      <c r="C4154" s="5">
        <v>40954</v>
      </c>
      <c r="D4154" s="3" t="s">
        <v>4</v>
      </c>
      <c r="E4154" s="1" t="s">
        <v>295</v>
      </c>
      <c r="F4154" s="1" t="s">
        <v>21</v>
      </c>
      <c r="G4154" s="2" t="s">
        <v>1</v>
      </c>
      <c r="H4154" s="3" t="s">
        <v>100</v>
      </c>
      <c r="I4154" s="3" t="s">
        <v>92</v>
      </c>
      <c r="J4154" s="3" t="s">
        <v>61</v>
      </c>
      <c r="K4154" s="4">
        <v>206.28649999999999</v>
      </c>
      <c r="L4154" s="6">
        <v>7.99</v>
      </c>
    </row>
    <row r="4155" spans="1:12" x14ac:dyDescent="0.25">
      <c r="A4155" s="1">
        <v>4154</v>
      </c>
      <c r="B4155" s="4">
        <v>29475</v>
      </c>
      <c r="C4155" s="5">
        <v>40231</v>
      </c>
      <c r="D4155" s="3" t="s">
        <v>89</v>
      </c>
      <c r="E4155" s="1" t="s">
        <v>385</v>
      </c>
      <c r="F4155" s="1" t="s">
        <v>13</v>
      </c>
      <c r="G4155" s="2" t="s">
        <v>6</v>
      </c>
      <c r="H4155" s="3" t="s">
        <v>97</v>
      </c>
      <c r="I4155" s="3" t="s">
        <v>91</v>
      </c>
      <c r="J4155" s="3" t="s">
        <v>59</v>
      </c>
      <c r="K4155" s="4">
        <v>235.12</v>
      </c>
      <c r="L4155" s="6">
        <v>4.91</v>
      </c>
    </row>
    <row r="4156" spans="1:12" x14ac:dyDescent="0.25">
      <c r="A4156" s="1">
        <v>4155</v>
      </c>
      <c r="B4156" s="4">
        <v>29475</v>
      </c>
      <c r="C4156" s="5">
        <v>40231</v>
      </c>
      <c r="D4156" s="3" t="s">
        <v>89</v>
      </c>
      <c r="E4156" s="1" t="s">
        <v>1154</v>
      </c>
      <c r="F4156" s="1" t="s">
        <v>13</v>
      </c>
      <c r="G4156" s="2" t="s">
        <v>6</v>
      </c>
      <c r="H4156" s="3" t="s">
        <v>97</v>
      </c>
      <c r="I4156" s="3" t="s">
        <v>91</v>
      </c>
      <c r="J4156" s="3" t="s">
        <v>68</v>
      </c>
      <c r="K4156" s="4">
        <v>1814.82</v>
      </c>
      <c r="L4156" s="6">
        <v>880.98</v>
      </c>
    </row>
    <row r="4157" spans="1:12" x14ac:dyDescent="0.25">
      <c r="A4157" s="1">
        <v>4156</v>
      </c>
      <c r="B4157" s="4">
        <v>29478</v>
      </c>
      <c r="C4157" s="5">
        <v>40277</v>
      </c>
      <c r="D4157" s="3" t="s">
        <v>89</v>
      </c>
      <c r="E4157" s="1" t="s">
        <v>176</v>
      </c>
      <c r="F4157" s="1" t="s">
        <v>23</v>
      </c>
      <c r="G4157" s="2" t="s">
        <v>3</v>
      </c>
      <c r="H4157" s="3" t="s">
        <v>100</v>
      </c>
      <c r="I4157" s="3" t="s">
        <v>92</v>
      </c>
      <c r="J4157" s="3" t="s">
        <v>61</v>
      </c>
      <c r="K4157" s="4">
        <v>272.89249999999998</v>
      </c>
      <c r="L4157" s="6">
        <v>20.99</v>
      </c>
    </row>
    <row r="4158" spans="1:12" x14ac:dyDescent="0.25">
      <c r="A4158" s="1">
        <v>4157</v>
      </c>
      <c r="B4158" s="4">
        <v>29504</v>
      </c>
      <c r="C4158" s="5">
        <v>40444</v>
      </c>
      <c r="D4158" s="3" t="s">
        <v>86</v>
      </c>
      <c r="E4158" s="1" t="s">
        <v>1222</v>
      </c>
      <c r="F4158" s="1" t="s">
        <v>42</v>
      </c>
      <c r="G4158" s="2" t="s">
        <v>3</v>
      </c>
      <c r="H4158" s="3" t="s">
        <v>84</v>
      </c>
      <c r="I4158" s="3" t="s">
        <v>91</v>
      </c>
      <c r="J4158" s="3" t="s">
        <v>68</v>
      </c>
      <c r="K4158" s="4">
        <v>1485.06</v>
      </c>
      <c r="L4158" s="6">
        <v>70.98</v>
      </c>
    </row>
    <row r="4159" spans="1:12" x14ac:dyDescent="0.25">
      <c r="A4159" s="1">
        <v>4158</v>
      </c>
      <c r="B4159" s="4">
        <v>29504</v>
      </c>
      <c r="C4159" s="5">
        <v>40444</v>
      </c>
      <c r="D4159" s="3" t="s">
        <v>86</v>
      </c>
      <c r="E4159" s="1" t="s">
        <v>1222</v>
      </c>
      <c r="F4159" s="1" t="s">
        <v>42</v>
      </c>
      <c r="G4159" s="2" t="s">
        <v>3</v>
      </c>
      <c r="H4159" s="3" t="s">
        <v>84</v>
      </c>
      <c r="I4159" s="3" t="s">
        <v>85</v>
      </c>
      <c r="J4159" s="3" t="s">
        <v>66</v>
      </c>
      <c r="K4159" s="4">
        <v>1211.18</v>
      </c>
      <c r="L4159" s="6">
        <v>38.76</v>
      </c>
    </row>
    <row r="4160" spans="1:12" x14ac:dyDescent="0.25">
      <c r="A4160" s="1">
        <v>4159</v>
      </c>
      <c r="B4160" s="4">
        <v>29505</v>
      </c>
      <c r="C4160" s="5">
        <v>41270</v>
      </c>
      <c r="D4160" s="3" t="s">
        <v>4</v>
      </c>
      <c r="E4160" s="1" t="s">
        <v>1223</v>
      </c>
      <c r="F4160" s="1" t="s">
        <v>24</v>
      </c>
      <c r="G4160" s="2" t="s">
        <v>2</v>
      </c>
      <c r="H4160" s="3" t="s">
        <v>97</v>
      </c>
      <c r="I4160" s="3" t="s">
        <v>85</v>
      </c>
      <c r="J4160" s="3" t="s">
        <v>63</v>
      </c>
      <c r="K4160" s="4">
        <v>45.21</v>
      </c>
      <c r="L4160" s="6">
        <v>1.76</v>
      </c>
    </row>
    <row r="4161" spans="1:12" x14ac:dyDescent="0.25">
      <c r="A4161" s="1">
        <v>4160</v>
      </c>
      <c r="B4161" s="4">
        <v>29506</v>
      </c>
      <c r="C4161" s="5">
        <v>40708</v>
      </c>
      <c r="D4161" s="3" t="s">
        <v>95</v>
      </c>
      <c r="E4161" s="1" t="s">
        <v>1224</v>
      </c>
      <c r="F4161" s="1" t="s">
        <v>31</v>
      </c>
      <c r="G4161" s="2" t="s">
        <v>1</v>
      </c>
      <c r="H4161" s="3" t="s">
        <v>100</v>
      </c>
      <c r="I4161" s="3" t="s">
        <v>85</v>
      </c>
      <c r="J4161" s="3" t="s">
        <v>69</v>
      </c>
      <c r="K4161" s="4">
        <v>221.13</v>
      </c>
      <c r="L4161" s="6">
        <v>4.55</v>
      </c>
    </row>
    <row r="4162" spans="1:12" x14ac:dyDescent="0.25">
      <c r="A4162" s="1">
        <v>4161</v>
      </c>
      <c r="B4162" s="4">
        <v>29506</v>
      </c>
      <c r="C4162" s="5">
        <v>40708</v>
      </c>
      <c r="D4162" s="3" t="s">
        <v>95</v>
      </c>
      <c r="E4162" s="1" t="s">
        <v>1224</v>
      </c>
      <c r="F4162" s="1" t="s">
        <v>31</v>
      </c>
      <c r="G4162" s="2" t="s">
        <v>1</v>
      </c>
      <c r="H4162" s="3" t="s">
        <v>100</v>
      </c>
      <c r="I4162" s="3" t="s">
        <v>85</v>
      </c>
      <c r="J4162" s="3" t="s">
        <v>69</v>
      </c>
      <c r="K4162" s="4">
        <v>16.350000000000001</v>
      </c>
      <c r="L4162" s="6">
        <v>1.88</v>
      </c>
    </row>
    <row r="4163" spans="1:12" x14ac:dyDescent="0.25">
      <c r="A4163" s="1">
        <v>4162</v>
      </c>
      <c r="B4163" s="4">
        <v>29507</v>
      </c>
      <c r="C4163" s="5">
        <v>40948</v>
      </c>
      <c r="D4163" s="3" t="s">
        <v>82</v>
      </c>
      <c r="E4163" s="1" t="s">
        <v>1213</v>
      </c>
      <c r="F4163" s="1" t="s">
        <v>34</v>
      </c>
      <c r="G4163" s="2" t="s">
        <v>1</v>
      </c>
      <c r="H4163" s="3" t="s">
        <v>100</v>
      </c>
      <c r="I4163" s="3" t="s">
        <v>91</v>
      </c>
      <c r="J4163" s="3" t="s">
        <v>60</v>
      </c>
      <c r="K4163" s="4">
        <v>3049.6320000000001</v>
      </c>
      <c r="L4163" s="6">
        <v>280.98</v>
      </c>
    </row>
    <row r="4164" spans="1:12" x14ac:dyDescent="0.25">
      <c r="A4164" s="1">
        <v>4163</v>
      </c>
      <c r="B4164" s="4">
        <v>29507</v>
      </c>
      <c r="C4164" s="5">
        <v>40948</v>
      </c>
      <c r="D4164" s="3" t="s">
        <v>82</v>
      </c>
      <c r="E4164" s="1" t="s">
        <v>1213</v>
      </c>
      <c r="F4164" s="1" t="s">
        <v>34</v>
      </c>
      <c r="G4164" s="2" t="s">
        <v>1</v>
      </c>
      <c r="H4164" s="3" t="s">
        <v>100</v>
      </c>
      <c r="I4164" s="3" t="s">
        <v>92</v>
      </c>
      <c r="J4164" s="3" t="s">
        <v>61</v>
      </c>
      <c r="K4164" s="4">
        <v>1274.9490000000001</v>
      </c>
      <c r="L4164" s="6">
        <v>35.99</v>
      </c>
    </row>
    <row r="4165" spans="1:12" x14ac:dyDescent="0.25">
      <c r="A4165" s="1">
        <v>4164</v>
      </c>
      <c r="B4165" s="4">
        <v>29510</v>
      </c>
      <c r="C4165" s="5">
        <v>40648</v>
      </c>
      <c r="D4165" s="3" t="s">
        <v>95</v>
      </c>
      <c r="E4165" s="1" t="s">
        <v>355</v>
      </c>
      <c r="F4165" s="1" t="s">
        <v>8</v>
      </c>
      <c r="G4165" s="2" t="s">
        <v>6</v>
      </c>
      <c r="H4165" s="3" t="s">
        <v>97</v>
      </c>
      <c r="I4165" s="3" t="s">
        <v>91</v>
      </c>
      <c r="J4165" s="3" t="s">
        <v>68</v>
      </c>
      <c r="K4165" s="4">
        <v>6123.94</v>
      </c>
      <c r="L4165" s="6">
        <v>260.98</v>
      </c>
    </row>
    <row r="4166" spans="1:12" x14ac:dyDescent="0.25">
      <c r="A4166" s="1">
        <v>4165</v>
      </c>
      <c r="B4166" s="4">
        <v>29536</v>
      </c>
      <c r="C4166" s="5">
        <v>41159</v>
      </c>
      <c r="D4166" s="3" t="s">
        <v>4</v>
      </c>
      <c r="E4166" s="1" t="s">
        <v>1225</v>
      </c>
      <c r="F4166" s="1" t="s">
        <v>9</v>
      </c>
      <c r="G4166" s="2" t="s">
        <v>2</v>
      </c>
      <c r="H4166" s="3" t="s">
        <v>100</v>
      </c>
      <c r="I4166" s="3" t="s">
        <v>85</v>
      </c>
      <c r="J4166" s="3" t="s">
        <v>70</v>
      </c>
      <c r="K4166" s="4">
        <v>495.32</v>
      </c>
      <c r="L4166" s="6">
        <v>100.98</v>
      </c>
    </row>
    <row r="4167" spans="1:12" x14ac:dyDescent="0.25">
      <c r="A4167" s="1">
        <v>4166</v>
      </c>
      <c r="B4167" s="4">
        <v>29536</v>
      </c>
      <c r="C4167" s="5">
        <v>41159</v>
      </c>
      <c r="D4167" s="3" t="s">
        <v>4</v>
      </c>
      <c r="E4167" s="1" t="s">
        <v>1225</v>
      </c>
      <c r="F4167" s="1" t="s">
        <v>9</v>
      </c>
      <c r="G4167" s="2" t="s">
        <v>2</v>
      </c>
      <c r="H4167" s="3" t="s">
        <v>100</v>
      </c>
      <c r="I4167" s="3" t="s">
        <v>91</v>
      </c>
      <c r="J4167" s="3" t="s">
        <v>68</v>
      </c>
      <c r="K4167" s="4">
        <v>2483.5300000000002</v>
      </c>
      <c r="L4167" s="6">
        <v>220.98</v>
      </c>
    </row>
    <row r="4168" spans="1:12" x14ac:dyDescent="0.25">
      <c r="A4168" s="1">
        <v>4167</v>
      </c>
      <c r="B4168" s="4">
        <v>29536</v>
      </c>
      <c r="C4168" s="5">
        <v>41159</v>
      </c>
      <c r="D4168" s="3" t="s">
        <v>4</v>
      </c>
      <c r="E4168" s="1" t="s">
        <v>1225</v>
      </c>
      <c r="F4168" s="1" t="s">
        <v>9</v>
      </c>
      <c r="G4168" s="2" t="s">
        <v>2</v>
      </c>
      <c r="H4168" s="3" t="s">
        <v>100</v>
      </c>
      <c r="I4168" s="3" t="s">
        <v>85</v>
      </c>
      <c r="J4168" s="3" t="s">
        <v>66</v>
      </c>
      <c r="K4168" s="4">
        <v>967.41</v>
      </c>
      <c r="L4168" s="6">
        <v>35.44</v>
      </c>
    </row>
    <row r="4169" spans="1:12" x14ac:dyDescent="0.25">
      <c r="A4169" s="1">
        <v>4168</v>
      </c>
      <c r="B4169" s="4">
        <v>29537</v>
      </c>
      <c r="C4169" s="5">
        <v>41171</v>
      </c>
      <c r="D4169" s="3" t="s">
        <v>82</v>
      </c>
      <c r="E4169" s="1" t="s">
        <v>772</v>
      </c>
      <c r="F4169" s="1" t="s">
        <v>13</v>
      </c>
      <c r="G4169" s="2" t="s">
        <v>6</v>
      </c>
      <c r="H4169" s="3" t="s">
        <v>97</v>
      </c>
      <c r="I4169" s="3" t="s">
        <v>85</v>
      </c>
      <c r="J4169" s="3" t="s">
        <v>70</v>
      </c>
      <c r="K4169" s="4">
        <v>318.56</v>
      </c>
      <c r="L4169" s="6">
        <v>10.89</v>
      </c>
    </row>
    <row r="4170" spans="1:12" x14ac:dyDescent="0.25">
      <c r="A4170" s="1">
        <v>4169</v>
      </c>
      <c r="B4170" s="4">
        <v>29539</v>
      </c>
      <c r="C4170" s="5">
        <v>40656</v>
      </c>
      <c r="D4170" s="3" t="s">
        <v>89</v>
      </c>
      <c r="E4170" s="1" t="s">
        <v>700</v>
      </c>
      <c r="F4170" s="1" t="s">
        <v>45</v>
      </c>
      <c r="G4170" s="2" t="s">
        <v>3</v>
      </c>
      <c r="H4170" s="3" t="s">
        <v>88</v>
      </c>
      <c r="I4170" s="3" t="s">
        <v>85</v>
      </c>
      <c r="J4170" s="3" t="s">
        <v>71</v>
      </c>
      <c r="K4170" s="4">
        <v>223.2</v>
      </c>
      <c r="L4170" s="6">
        <v>9.7799999999999994</v>
      </c>
    </row>
    <row r="4171" spans="1:12" x14ac:dyDescent="0.25">
      <c r="A4171" s="1">
        <v>4170</v>
      </c>
      <c r="B4171" s="4">
        <v>29569</v>
      </c>
      <c r="C4171" s="5">
        <v>40727</v>
      </c>
      <c r="D4171" s="3" t="s">
        <v>89</v>
      </c>
      <c r="E4171" s="1" t="s">
        <v>1225</v>
      </c>
      <c r="F4171" s="1" t="s">
        <v>9</v>
      </c>
      <c r="G4171" s="2" t="s">
        <v>2</v>
      </c>
      <c r="H4171" s="3" t="s">
        <v>100</v>
      </c>
      <c r="I4171" s="3" t="s">
        <v>92</v>
      </c>
      <c r="J4171" s="3" t="s">
        <v>73</v>
      </c>
      <c r="K4171" s="4">
        <v>27720.98</v>
      </c>
      <c r="L4171" s="6">
        <v>599.99</v>
      </c>
    </row>
    <row r="4172" spans="1:12" x14ac:dyDescent="0.25">
      <c r="A4172" s="1">
        <v>4171</v>
      </c>
      <c r="B4172" s="4">
        <v>29569</v>
      </c>
      <c r="C4172" s="5">
        <v>40727</v>
      </c>
      <c r="D4172" s="3" t="s">
        <v>89</v>
      </c>
      <c r="E4172" s="1" t="s">
        <v>1225</v>
      </c>
      <c r="F4172" s="1" t="s">
        <v>9</v>
      </c>
      <c r="G4172" s="2" t="s">
        <v>2</v>
      </c>
      <c r="H4172" s="3" t="s">
        <v>100</v>
      </c>
      <c r="I4172" s="3" t="s">
        <v>85</v>
      </c>
      <c r="J4172" s="3" t="s">
        <v>66</v>
      </c>
      <c r="K4172" s="4">
        <v>520.13</v>
      </c>
      <c r="L4172" s="6">
        <v>18.97</v>
      </c>
    </row>
    <row r="4173" spans="1:12" x14ac:dyDescent="0.25">
      <c r="A4173" s="1">
        <v>4172</v>
      </c>
      <c r="B4173" s="4">
        <v>29572</v>
      </c>
      <c r="C4173" s="5">
        <v>40332</v>
      </c>
      <c r="D4173" s="3" t="s">
        <v>86</v>
      </c>
      <c r="E4173" s="1" t="s">
        <v>1213</v>
      </c>
      <c r="F4173" s="1" t="s">
        <v>34</v>
      </c>
      <c r="G4173" s="2" t="s">
        <v>1</v>
      </c>
      <c r="H4173" s="3" t="s">
        <v>97</v>
      </c>
      <c r="I4173" s="3" t="s">
        <v>91</v>
      </c>
      <c r="J4173" s="3" t="s">
        <v>60</v>
      </c>
      <c r="K4173" s="4">
        <v>2657.56</v>
      </c>
      <c r="L4173" s="6">
        <v>150.97999999999999</v>
      </c>
    </row>
    <row r="4174" spans="1:12" x14ac:dyDescent="0.25">
      <c r="A4174" s="1">
        <v>4173</v>
      </c>
      <c r="B4174" s="4">
        <v>29573</v>
      </c>
      <c r="C4174" s="5">
        <v>40924</v>
      </c>
      <c r="D4174" s="3" t="s">
        <v>95</v>
      </c>
      <c r="E4174" s="1" t="s">
        <v>1018</v>
      </c>
      <c r="F4174" s="1" t="s">
        <v>22</v>
      </c>
      <c r="G4174" s="2" t="s">
        <v>6</v>
      </c>
      <c r="H4174" s="3" t="s">
        <v>97</v>
      </c>
      <c r="I4174" s="3" t="s">
        <v>85</v>
      </c>
      <c r="J4174" s="3" t="s">
        <v>66</v>
      </c>
      <c r="K4174" s="4">
        <v>792.21</v>
      </c>
      <c r="L4174" s="6">
        <v>18.97</v>
      </c>
    </row>
    <row r="4175" spans="1:12" x14ac:dyDescent="0.25">
      <c r="A4175" s="1">
        <v>4174</v>
      </c>
      <c r="B4175" s="4">
        <v>29607</v>
      </c>
      <c r="C4175" s="5">
        <v>40981</v>
      </c>
      <c r="D4175" s="3" t="s">
        <v>4</v>
      </c>
      <c r="E4175" s="1" t="s">
        <v>271</v>
      </c>
      <c r="F4175" s="1" t="s">
        <v>35</v>
      </c>
      <c r="G4175" s="2" t="s">
        <v>1</v>
      </c>
      <c r="H4175" s="3" t="s">
        <v>97</v>
      </c>
      <c r="I4175" s="3" t="s">
        <v>85</v>
      </c>
      <c r="J4175" s="3" t="s">
        <v>66</v>
      </c>
      <c r="K4175" s="4">
        <v>240.74</v>
      </c>
      <c r="L4175" s="6">
        <v>12.28</v>
      </c>
    </row>
    <row r="4176" spans="1:12" x14ac:dyDescent="0.25">
      <c r="A4176" s="1">
        <v>4175</v>
      </c>
      <c r="B4176" s="4">
        <v>29633</v>
      </c>
      <c r="C4176" s="5">
        <v>39986</v>
      </c>
      <c r="D4176" s="3" t="s">
        <v>95</v>
      </c>
      <c r="E4176" s="1" t="s">
        <v>1224</v>
      </c>
      <c r="F4176" s="1" t="s">
        <v>31</v>
      </c>
      <c r="G4176" s="2" t="s">
        <v>1</v>
      </c>
      <c r="H4176" s="3" t="s">
        <v>100</v>
      </c>
      <c r="I4176" s="3" t="s">
        <v>85</v>
      </c>
      <c r="J4176" s="3" t="s">
        <v>57</v>
      </c>
      <c r="K4176" s="4">
        <v>96.01</v>
      </c>
      <c r="L4176" s="6">
        <v>7.98</v>
      </c>
    </row>
    <row r="4177" spans="1:12" x14ac:dyDescent="0.25">
      <c r="A4177" s="1">
        <v>4176</v>
      </c>
      <c r="B4177" s="4">
        <v>29637</v>
      </c>
      <c r="C4177" s="5">
        <v>39958</v>
      </c>
      <c r="D4177" s="3" t="s">
        <v>89</v>
      </c>
      <c r="E4177" s="1" t="s">
        <v>709</v>
      </c>
      <c r="F4177" s="1" t="s">
        <v>17</v>
      </c>
      <c r="G4177" s="2" t="s">
        <v>2</v>
      </c>
      <c r="H4177" s="3" t="s">
        <v>97</v>
      </c>
      <c r="I4177" s="3" t="s">
        <v>92</v>
      </c>
      <c r="J4177" s="3" t="s">
        <v>67</v>
      </c>
      <c r="K4177" s="4">
        <v>598.19000000000005</v>
      </c>
      <c r="L4177" s="6">
        <v>17.98</v>
      </c>
    </row>
    <row r="4178" spans="1:12" x14ac:dyDescent="0.25">
      <c r="A4178" s="1">
        <v>4177</v>
      </c>
      <c r="B4178" s="4">
        <v>29639</v>
      </c>
      <c r="C4178" s="5">
        <v>40650</v>
      </c>
      <c r="D4178" s="3" t="s">
        <v>95</v>
      </c>
      <c r="E4178" s="1" t="s">
        <v>659</v>
      </c>
      <c r="F4178" s="1" t="s">
        <v>26</v>
      </c>
      <c r="G4178" s="2" t="s">
        <v>3</v>
      </c>
      <c r="H4178" s="3" t="s">
        <v>88</v>
      </c>
      <c r="I4178" s="3" t="s">
        <v>85</v>
      </c>
      <c r="J4178" s="3" t="s">
        <v>63</v>
      </c>
      <c r="K4178" s="4">
        <v>22.37</v>
      </c>
      <c r="L4178" s="6">
        <v>2.6</v>
      </c>
    </row>
    <row r="4179" spans="1:12" x14ac:dyDescent="0.25">
      <c r="A4179" s="1">
        <v>4178</v>
      </c>
      <c r="B4179" s="4">
        <v>29666</v>
      </c>
      <c r="C4179" s="5">
        <v>40907</v>
      </c>
      <c r="D4179" s="3" t="s">
        <v>86</v>
      </c>
      <c r="E4179" s="1" t="s">
        <v>592</v>
      </c>
      <c r="F4179" s="1" t="s">
        <v>48</v>
      </c>
      <c r="G4179" s="2" t="s">
        <v>1</v>
      </c>
      <c r="H4179" s="3" t="s">
        <v>84</v>
      </c>
      <c r="I4179" s="3" t="s">
        <v>92</v>
      </c>
      <c r="J4179" s="3" t="s">
        <v>62</v>
      </c>
      <c r="K4179" s="4">
        <v>362.75</v>
      </c>
      <c r="L4179" s="6">
        <v>8.32</v>
      </c>
    </row>
    <row r="4180" spans="1:12" x14ac:dyDescent="0.25">
      <c r="A4180" s="1">
        <v>4179</v>
      </c>
      <c r="B4180" s="4">
        <v>29666</v>
      </c>
      <c r="C4180" s="5">
        <v>40907</v>
      </c>
      <c r="D4180" s="3" t="s">
        <v>86</v>
      </c>
      <c r="E4180" s="1" t="s">
        <v>766</v>
      </c>
      <c r="F4180" s="1" t="s">
        <v>27</v>
      </c>
      <c r="G4180" s="2" t="s">
        <v>1</v>
      </c>
      <c r="H4180" s="3" t="s">
        <v>84</v>
      </c>
      <c r="I4180" s="3" t="s">
        <v>85</v>
      </c>
      <c r="J4180" s="3" t="s">
        <v>66</v>
      </c>
      <c r="K4180" s="4">
        <v>155.86000000000001</v>
      </c>
      <c r="L4180" s="6">
        <v>5.28</v>
      </c>
    </row>
    <row r="4181" spans="1:12" x14ac:dyDescent="0.25">
      <c r="A4181" s="1">
        <v>4180</v>
      </c>
      <c r="B4181" s="4">
        <v>29667</v>
      </c>
      <c r="C4181" s="5">
        <v>40018</v>
      </c>
      <c r="D4181" s="3" t="s">
        <v>86</v>
      </c>
      <c r="E4181" s="1" t="s">
        <v>742</v>
      </c>
      <c r="F4181" s="1" t="s">
        <v>43</v>
      </c>
      <c r="G4181" s="2" t="s">
        <v>1</v>
      </c>
      <c r="H4181" s="3" t="s">
        <v>88</v>
      </c>
      <c r="I4181" s="3" t="s">
        <v>85</v>
      </c>
      <c r="J4181" s="3" t="s">
        <v>69</v>
      </c>
      <c r="K4181" s="4">
        <v>215.31</v>
      </c>
      <c r="L4181" s="6">
        <v>15.28</v>
      </c>
    </row>
    <row r="4182" spans="1:12" x14ac:dyDescent="0.25">
      <c r="A4182" s="1">
        <v>4181</v>
      </c>
      <c r="B4182" s="4">
        <v>29671</v>
      </c>
      <c r="C4182" s="5">
        <v>40259</v>
      </c>
      <c r="D4182" s="3" t="s">
        <v>95</v>
      </c>
      <c r="E4182" s="1" t="s">
        <v>183</v>
      </c>
      <c r="F4182" s="1" t="s">
        <v>13</v>
      </c>
      <c r="G4182" s="2" t="s">
        <v>6</v>
      </c>
      <c r="H4182" s="3" t="s">
        <v>100</v>
      </c>
      <c r="I4182" s="3" t="s">
        <v>85</v>
      </c>
      <c r="J4182" s="3" t="s">
        <v>63</v>
      </c>
      <c r="K4182" s="4">
        <v>1511.7</v>
      </c>
      <c r="L4182" s="6">
        <v>34.99</v>
      </c>
    </row>
    <row r="4183" spans="1:12" x14ac:dyDescent="0.25">
      <c r="A4183" s="1">
        <v>4182</v>
      </c>
      <c r="B4183" s="4">
        <v>29700</v>
      </c>
      <c r="C4183" s="5">
        <v>40274</v>
      </c>
      <c r="D4183" s="3" t="s">
        <v>4</v>
      </c>
      <c r="E4183" s="1" t="s">
        <v>976</v>
      </c>
      <c r="F4183" s="1" t="s">
        <v>27</v>
      </c>
      <c r="G4183" s="2" t="s">
        <v>1</v>
      </c>
      <c r="H4183" s="3" t="s">
        <v>100</v>
      </c>
      <c r="I4183" s="3" t="s">
        <v>85</v>
      </c>
      <c r="J4183" s="3" t="s">
        <v>65</v>
      </c>
      <c r="K4183" s="4">
        <v>30.35</v>
      </c>
      <c r="L4183" s="6">
        <v>3.08</v>
      </c>
    </row>
    <row r="4184" spans="1:12" x14ac:dyDescent="0.25">
      <c r="A4184" s="1">
        <v>4183</v>
      </c>
      <c r="B4184" s="4">
        <v>29730</v>
      </c>
      <c r="C4184" s="5">
        <v>40345</v>
      </c>
      <c r="D4184" s="3" t="s">
        <v>95</v>
      </c>
      <c r="E4184" s="1" t="s">
        <v>271</v>
      </c>
      <c r="F4184" s="1" t="s">
        <v>35</v>
      </c>
      <c r="G4184" s="2" t="s">
        <v>1</v>
      </c>
      <c r="H4184" s="3" t="s">
        <v>100</v>
      </c>
      <c r="I4184" s="3" t="s">
        <v>91</v>
      </c>
      <c r="J4184" s="3" t="s">
        <v>60</v>
      </c>
      <c r="K4184" s="4">
        <v>3072.86</v>
      </c>
      <c r="L4184" s="6">
        <v>150.97999999999999</v>
      </c>
    </row>
    <row r="4185" spans="1:12" x14ac:dyDescent="0.25">
      <c r="A4185" s="1">
        <v>4184</v>
      </c>
      <c r="B4185" s="4">
        <v>29761</v>
      </c>
      <c r="C4185" s="5">
        <v>41093</v>
      </c>
      <c r="D4185" s="3" t="s">
        <v>4</v>
      </c>
      <c r="E4185" s="1" t="s">
        <v>569</v>
      </c>
      <c r="F4185" s="1" t="s">
        <v>55</v>
      </c>
      <c r="G4185" s="2" t="s">
        <v>2</v>
      </c>
      <c r="H4185" s="3" t="s">
        <v>88</v>
      </c>
      <c r="I4185" s="3" t="s">
        <v>92</v>
      </c>
      <c r="J4185" s="3" t="s">
        <v>61</v>
      </c>
      <c r="K4185" s="4">
        <v>1463.105</v>
      </c>
      <c r="L4185" s="6">
        <v>35.99</v>
      </c>
    </row>
    <row r="4186" spans="1:12" x14ac:dyDescent="0.25">
      <c r="A4186" s="1">
        <v>4185</v>
      </c>
      <c r="B4186" s="4">
        <v>29761</v>
      </c>
      <c r="C4186" s="5">
        <v>41093</v>
      </c>
      <c r="D4186" s="3" t="s">
        <v>4</v>
      </c>
      <c r="E4186" s="1" t="s">
        <v>1226</v>
      </c>
      <c r="F4186" s="1" t="s">
        <v>55</v>
      </c>
      <c r="G4186" s="2" t="s">
        <v>2</v>
      </c>
      <c r="H4186" s="3" t="s">
        <v>88</v>
      </c>
      <c r="I4186" s="3" t="s">
        <v>85</v>
      </c>
      <c r="J4186" s="3" t="s">
        <v>70</v>
      </c>
      <c r="K4186" s="4">
        <v>1085.4000000000001</v>
      </c>
      <c r="L4186" s="6">
        <v>25.98</v>
      </c>
    </row>
    <row r="4187" spans="1:12" x14ac:dyDescent="0.25">
      <c r="A4187" s="1">
        <v>4186</v>
      </c>
      <c r="B4187" s="4">
        <v>29761</v>
      </c>
      <c r="C4187" s="5">
        <v>41093</v>
      </c>
      <c r="D4187" s="3" t="s">
        <v>4</v>
      </c>
      <c r="E4187" s="1" t="s">
        <v>1226</v>
      </c>
      <c r="F4187" s="1" t="s">
        <v>55</v>
      </c>
      <c r="G4187" s="2" t="s">
        <v>2</v>
      </c>
      <c r="H4187" s="3" t="s">
        <v>88</v>
      </c>
      <c r="I4187" s="3" t="s">
        <v>91</v>
      </c>
      <c r="J4187" s="3" t="s">
        <v>59</v>
      </c>
      <c r="K4187" s="4">
        <v>123.67</v>
      </c>
      <c r="L4187" s="6">
        <v>6.24</v>
      </c>
    </row>
    <row r="4188" spans="1:12" x14ac:dyDescent="0.25">
      <c r="A4188" s="1">
        <v>4187</v>
      </c>
      <c r="B4188" s="4">
        <v>29762</v>
      </c>
      <c r="C4188" s="5">
        <v>40393</v>
      </c>
      <c r="D4188" s="3" t="s">
        <v>95</v>
      </c>
      <c r="E4188" s="1" t="s">
        <v>1227</v>
      </c>
      <c r="F4188" s="1" t="s">
        <v>38</v>
      </c>
      <c r="G4188" s="2" t="s">
        <v>6</v>
      </c>
      <c r="H4188" s="3" t="s">
        <v>97</v>
      </c>
      <c r="I4188" s="3" t="s">
        <v>85</v>
      </c>
      <c r="J4188" s="3" t="s">
        <v>64</v>
      </c>
      <c r="K4188" s="4">
        <v>22.45</v>
      </c>
      <c r="L4188" s="6">
        <v>1.48</v>
      </c>
    </row>
    <row r="4189" spans="1:12" x14ac:dyDescent="0.25">
      <c r="A4189" s="1">
        <v>4188</v>
      </c>
      <c r="B4189" s="4">
        <v>29762</v>
      </c>
      <c r="C4189" s="5">
        <v>40393</v>
      </c>
      <c r="D4189" s="3" t="s">
        <v>95</v>
      </c>
      <c r="E4189" s="1" t="s">
        <v>409</v>
      </c>
      <c r="F4189" s="1" t="s">
        <v>53</v>
      </c>
      <c r="G4189" s="2" t="s">
        <v>6</v>
      </c>
      <c r="H4189" s="3" t="s">
        <v>97</v>
      </c>
      <c r="I4189" s="3" t="s">
        <v>91</v>
      </c>
      <c r="J4189" s="3" t="s">
        <v>72</v>
      </c>
      <c r="K4189" s="4">
        <v>3268.56</v>
      </c>
      <c r="L4189" s="6">
        <v>95.95</v>
      </c>
    </row>
    <row r="4190" spans="1:12" x14ac:dyDescent="0.25">
      <c r="A4190" s="1">
        <v>4189</v>
      </c>
      <c r="B4190" s="4">
        <v>29764</v>
      </c>
      <c r="C4190" s="5">
        <v>41112</v>
      </c>
      <c r="D4190" s="3" t="s">
        <v>95</v>
      </c>
      <c r="E4190" s="1" t="s">
        <v>1048</v>
      </c>
      <c r="F4190" s="1" t="s">
        <v>31</v>
      </c>
      <c r="G4190" s="2" t="s">
        <v>1</v>
      </c>
      <c r="H4190" s="3" t="s">
        <v>84</v>
      </c>
      <c r="I4190" s="3" t="s">
        <v>85</v>
      </c>
      <c r="J4190" s="3" t="s">
        <v>69</v>
      </c>
      <c r="K4190" s="4">
        <v>165.09</v>
      </c>
      <c r="L4190" s="6">
        <v>15.01</v>
      </c>
    </row>
    <row r="4191" spans="1:12" x14ac:dyDescent="0.25">
      <c r="A4191" s="1">
        <v>4190</v>
      </c>
      <c r="B4191" s="4">
        <v>29766</v>
      </c>
      <c r="C4191" s="5">
        <v>39893</v>
      </c>
      <c r="D4191" s="3" t="s">
        <v>4</v>
      </c>
      <c r="E4191" s="1" t="s">
        <v>651</v>
      </c>
      <c r="F4191" s="1" t="s">
        <v>44</v>
      </c>
      <c r="G4191" s="2" t="s">
        <v>3</v>
      </c>
      <c r="H4191" s="3" t="s">
        <v>100</v>
      </c>
      <c r="I4191" s="3" t="s">
        <v>92</v>
      </c>
      <c r="J4191" s="3" t="s">
        <v>67</v>
      </c>
      <c r="K4191" s="4">
        <v>89061.05</v>
      </c>
      <c r="L4191" s="6">
        <v>6783.02</v>
      </c>
    </row>
    <row r="4192" spans="1:12" x14ac:dyDescent="0.25">
      <c r="A4192" s="1">
        <v>4191</v>
      </c>
      <c r="B4192" s="4">
        <v>29766</v>
      </c>
      <c r="C4192" s="5">
        <v>39893</v>
      </c>
      <c r="D4192" s="3" t="s">
        <v>4</v>
      </c>
      <c r="E4192" s="1" t="s">
        <v>651</v>
      </c>
      <c r="F4192" s="1" t="s">
        <v>44</v>
      </c>
      <c r="G4192" s="2" t="s">
        <v>3</v>
      </c>
      <c r="H4192" s="3" t="s">
        <v>100</v>
      </c>
      <c r="I4192" s="3" t="s">
        <v>92</v>
      </c>
      <c r="J4192" s="3" t="s">
        <v>61</v>
      </c>
      <c r="K4192" s="4">
        <v>6636.6639999999998</v>
      </c>
      <c r="L4192" s="6">
        <v>205.99</v>
      </c>
    </row>
    <row r="4193" spans="1:12" x14ac:dyDescent="0.25">
      <c r="A4193" s="1">
        <v>4192</v>
      </c>
      <c r="B4193" s="4">
        <v>29767</v>
      </c>
      <c r="C4193" s="5">
        <v>40579</v>
      </c>
      <c r="D4193" s="3" t="s">
        <v>89</v>
      </c>
      <c r="E4193" s="1" t="s">
        <v>929</v>
      </c>
      <c r="F4193" s="1" t="s">
        <v>36</v>
      </c>
      <c r="G4193" s="2" t="s">
        <v>2</v>
      </c>
      <c r="H4193" s="3" t="s">
        <v>97</v>
      </c>
      <c r="I4193" s="3" t="s">
        <v>85</v>
      </c>
      <c r="J4193" s="3" t="s">
        <v>70</v>
      </c>
      <c r="K4193" s="4">
        <v>4153.0600000000004</v>
      </c>
      <c r="L4193" s="6">
        <v>90.24</v>
      </c>
    </row>
    <row r="4194" spans="1:12" x14ac:dyDescent="0.25">
      <c r="A4194" s="1">
        <v>4193</v>
      </c>
      <c r="B4194" s="4">
        <v>29795</v>
      </c>
      <c r="C4194" s="5">
        <v>40872</v>
      </c>
      <c r="D4194" s="3" t="s">
        <v>89</v>
      </c>
      <c r="E4194" s="1" t="s">
        <v>648</v>
      </c>
      <c r="F4194" s="1" t="s">
        <v>8</v>
      </c>
      <c r="G4194" s="2" t="s">
        <v>6</v>
      </c>
      <c r="H4194" s="3" t="s">
        <v>84</v>
      </c>
      <c r="I4194" s="3" t="s">
        <v>85</v>
      </c>
      <c r="J4194" s="3" t="s">
        <v>69</v>
      </c>
      <c r="K4194" s="4">
        <v>19325.2</v>
      </c>
      <c r="L4194" s="6">
        <v>387.99</v>
      </c>
    </row>
    <row r="4195" spans="1:12" x14ac:dyDescent="0.25">
      <c r="A4195" s="1">
        <v>4194</v>
      </c>
      <c r="B4195" s="4">
        <v>29795</v>
      </c>
      <c r="C4195" s="5">
        <v>40872</v>
      </c>
      <c r="D4195" s="3" t="s">
        <v>89</v>
      </c>
      <c r="E4195" s="1" t="s">
        <v>1128</v>
      </c>
      <c r="F4195" s="1" t="s">
        <v>8</v>
      </c>
      <c r="G4195" s="2" t="s">
        <v>6</v>
      </c>
      <c r="H4195" s="3" t="s">
        <v>84</v>
      </c>
      <c r="I4195" s="3" t="s">
        <v>91</v>
      </c>
      <c r="J4195" s="3" t="s">
        <v>68</v>
      </c>
      <c r="K4195" s="4">
        <v>8380.2199999999993</v>
      </c>
      <c r="L4195" s="6">
        <v>160.97999999999999</v>
      </c>
    </row>
    <row r="4196" spans="1:12" x14ac:dyDescent="0.25">
      <c r="A4196" s="1">
        <v>4195</v>
      </c>
      <c r="B4196" s="4">
        <v>29797</v>
      </c>
      <c r="C4196" s="5">
        <v>40355</v>
      </c>
      <c r="D4196" s="3" t="s">
        <v>89</v>
      </c>
      <c r="E4196" s="1" t="s">
        <v>1228</v>
      </c>
      <c r="F4196" s="1" t="s">
        <v>39</v>
      </c>
      <c r="G4196" s="2" t="s">
        <v>1</v>
      </c>
      <c r="H4196" s="3" t="s">
        <v>84</v>
      </c>
      <c r="I4196" s="3" t="s">
        <v>91</v>
      </c>
      <c r="J4196" s="3" t="s">
        <v>59</v>
      </c>
      <c r="K4196" s="4">
        <v>742.05</v>
      </c>
      <c r="L4196" s="6">
        <v>14.89</v>
      </c>
    </row>
    <row r="4197" spans="1:12" x14ac:dyDescent="0.25">
      <c r="A4197" s="1">
        <v>4196</v>
      </c>
      <c r="B4197" s="4">
        <v>29826</v>
      </c>
      <c r="C4197" s="5">
        <v>40080</v>
      </c>
      <c r="D4197" s="3" t="s">
        <v>95</v>
      </c>
      <c r="E4197" s="1" t="s">
        <v>387</v>
      </c>
      <c r="F4197" s="1" t="s">
        <v>36</v>
      </c>
      <c r="G4197" s="2" t="s">
        <v>2</v>
      </c>
      <c r="H4197" s="3" t="s">
        <v>100</v>
      </c>
      <c r="I4197" s="3" t="s">
        <v>92</v>
      </c>
      <c r="J4197" s="3" t="s">
        <v>62</v>
      </c>
      <c r="K4197" s="4">
        <v>157.63</v>
      </c>
      <c r="L4197" s="6">
        <v>17.98</v>
      </c>
    </row>
    <row r="4198" spans="1:12" x14ac:dyDescent="0.25">
      <c r="A4198" s="1">
        <v>4197</v>
      </c>
      <c r="B4198" s="4">
        <v>29827</v>
      </c>
      <c r="C4198" s="5">
        <v>40738</v>
      </c>
      <c r="D4198" s="3" t="s">
        <v>95</v>
      </c>
      <c r="E4198" s="1" t="s">
        <v>273</v>
      </c>
      <c r="F4198" s="1" t="s">
        <v>9</v>
      </c>
      <c r="G4198" s="2" t="s">
        <v>2</v>
      </c>
      <c r="H4198" s="3" t="s">
        <v>100</v>
      </c>
      <c r="I4198" s="3" t="s">
        <v>92</v>
      </c>
      <c r="J4198" s="3" t="s">
        <v>62</v>
      </c>
      <c r="K4198" s="4">
        <v>926.65</v>
      </c>
      <c r="L4198" s="6">
        <v>26.31</v>
      </c>
    </row>
    <row r="4199" spans="1:12" x14ac:dyDescent="0.25">
      <c r="A4199" s="1">
        <v>4198</v>
      </c>
      <c r="B4199" s="4">
        <v>29831</v>
      </c>
      <c r="C4199" s="5">
        <v>40997</v>
      </c>
      <c r="D4199" s="3" t="s">
        <v>95</v>
      </c>
      <c r="E4199" s="1" t="s">
        <v>1030</v>
      </c>
      <c r="F4199" s="1" t="s">
        <v>24</v>
      </c>
      <c r="G4199" s="2" t="s">
        <v>2</v>
      </c>
      <c r="H4199" s="3" t="s">
        <v>84</v>
      </c>
      <c r="I4199" s="3" t="s">
        <v>85</v>
      </c>
      <c r="J4199" s="3" t="s">
        <v>70</v>
      </c>
      <c r="K4199" s="4">
        <v>2175.2199999999998</v>
      </c>
      <c r="L4199" s="6">
        <v>68.81</v>
      </c>
    </row>
    <row r="4200" spans="1:12" x14ac:dyDescent="0.25">
      <c r="A4200" s="1">
        <v>4199</v>
      </c>
      <c r="B4200" s="4">
        <v>29856</v>
      </c>
      <c r="C4200" s="5">
        <v>41068</v>
      </c>
      <c r="D4200" s="3" t="s">
        <v>4</v>
      </c>
      <c r="E4200" s="1" t="s">
        <v>801</v>
      </c>
      <c r="F4200" s="1" t="s">
        <v>53</v>
      </c>
      <c r="G4200" s="2" t="s">
        <v>6</v>
      </c>
      <c r="H4200" s="3" t="s">
        <v>100</v>
      </c>
      <c r="I4200" s="3" t="s">
        <v>85</v>
      </c>
      <c r="J4200" s="3" t="s">
        <v>66</v>
      </c>
      <c r="K4200" s="4">
        <v>115.54</v>
      </c>
      <c r="L4200" s="6">
        <v>4.9800000000000004</v>
      </c>
    </row>
    <row r="4201" spans="1:12" x14ac:dyDescent="0.25">
      <c r="A4201" s="1">
        <v>4200</v>
      </c>
      <c r="B4201" s="4">
        <v>29857</v>
      </c>
      <c r="C4201" s="5">
        <v>40159</v>
      </c>
      <c r="D4201" s="3" t="s">
        <v>4</v>
      </c>
      <c r="E4201" s="1" t="s">
        <v>500</v>
      </c>
      <c r="F4201" s="1" t="s">
        <v>28</v>
      </c>
      <c r="G4201" s="2" t="s">
        <v>6</v>
      </c>
      <c r="H4201" s="3" t="s">
        <v>100</v>
      </c>
      <c r="I4201" s="3" t="s">
        <v>91</v>
      </c>
      <c r="J4201" s="3" t="s">
        <v>68</v>
      </c>
      <c r="K4201" s="4">
        <v>5572.92</v>
      </c>
      <c r="L4201" s="6">
        <v>140.97999999999999</v>
      </c>
    </row>
    <row r="4202" spans="1:12" x14ac:dyDescent="0.25">
      <c r="A4202" s="1">
        <v>4201</v>
      </c>
      <c r="B4202" s="4">
        <v>29860</v>
      </c>
      <c r="C4202" s="5">
        <v>40069</v>
      </c>
      <c r="D4202" s="3" t="s">
        <v>95</v>
      </c>
      <c r="E4202" s="1" t="s">
        <v>269</v>
      </c>
      <c r="F4202" s="1" t="s">
        <v>40</v>
      </c>
      <c r="G4202" s="2" t="s">
        <v>6</v>
      </c>
      <c r="H4202" s="3" t="s">
        <v>97</v>
      </c>
      <c r="I4202" s="3" t="s">
        <v>85</v>
      </c>
      <c r="J4202" s="3" t="s">
        <v>57</v>
      </c>
      <c r="K4202" s="4">
        <v>8295.2900000000009</v>
      </c>
      <c r="L4202" s="6">
        <v>178.47</v>
      </c>
    </row>
    <row r="4203" spans="1:12" x14ac:dyDescent="0.25">
      <c r="A4203" s="1">
        <v>4202</v>
      </c>
      <c r="B4203" s="4">
        <v>29861</v>
      </c>
      <c r="C4203" s="5">
        <v>41024</v>
      </c>
      <c r="D4203" s="3" t="s">
        <v>95</v>
      </c>
      <c r="E4203" s="1" t="s">
        <v>129</v>
      </c>
      <c r="F4203" s="1" t="s">
        <v>8</v>
      </c>
      <c r="G4203" s="2" t="s">
        <v>6</v>
      </c>
      <c r="H4203" s="3" t="s">
        <v>84</v>
      </c>
      <c r="I4203" s="3" t="s">
        <v>85</v>
      </c>
      <c r="J4203" s="3" t="s">
        <v>65</v>
      </c>
      <c r="K4203" s="4">
        <v>35.17</v>
      </c>
      <c r="L4203" s="6">
        <v>3.08</v>
      </c>
    </row>
    <row r="4204" spans="1:12" x14ac:dyDescent="0.25">
      <c r="A4204" s="1">
        <v>4203</v>
      </c>
      <c r="B4204" s="4">
        <v>29862</v>
      </c>
      <c r="C4204" s="5">
        <v>40713</v>
      </c>
      <c r="D4204" s="3" t="s">
        <v>4</v>
      </c>
      <c r="E4204" s="1" t="s">
        <v>174</v>
      </c>
      <c r="F4204" s="1" t="s">
        <v>22</v>
      </c>
      <c r="G4204" s="2" t="s">
        <v>6</v>
      </c>
      <c r="H4204" s="3" t="s">
        <v>88</v>
      </c>
      <c r="I4204" s="3" t="s">
        <v>85</v>
      </c>
      <c r="J4204" s="3" t="s">
        <v>66</v>
      </c>
      <c r="K4204" s="4">
        <v>214.64</v>
      </c>
      <c r="L4204" s="6">
        <v>6.48</v>
      </c>
    </row>
    <row r="4205" spans="1:12" x14ac:dyDescent="0.25">
      <c r="A4205" s="1">
        <v>4204</v>
      </c>
      <c r="B4205" s="4">
        <v>29889</v>
      </c>
      <c r="C4205" s="5">
        <v>40151</v>
      </c>
      <c r="D4205" s="3" t="s">
        <v>86</v>
      </c>
      <c r="E4205" s="1" t="s">
        <v>1189</v>
      </c>
      <c r="F4205" s="1" t="s">
        <v>34</v>
      </c>
      <c r="G4205" s="2" t="s">
        <v>1</v>
      </c>
      <c r="H4205" s="3" t="s">
        <v>84</v>
      </c>
      <c r="I4205" s="3" t="s">
        <v>85</v>
      </c>
      <c r="J4205" s="3" t="s">
        <v>63</v>
      </c>
      <c r="K4205" s="4">
        <v>243.5</v>
      </c>
      <c r="L4205" s="6">
        <v>5.98</v>
      </c>
    </row>
    <row r="4206" spans="1:12" x14ac:dyDescent="0.25">
      <c r="A4206" s="1">
        <v>4205</v>
      </c>
      <c r="B4206" s="4">
        <v>29893</v>
      </c>
      <c r="C4206" s="5">
        <v>41076</v>
      </c>
      <c r="D4206" s="3" t="s">
        <v>4</v>
      </c>
      <c r="E4206" s="1" t="s">
        <v>406</v>
      </c>
      <c r="F4206" s="1" t="s">
        <v>21</v>
      </c>
      <c r="G4206" s="2" t="s">
        <v>1</v>
      </c>
      <c r="H4206" s="3" t="s">
        <v>84</v>
      </c>
      <c r="I4206" s="3" t="s">
        <v>85</v>
      </c>
      <c r="J4206" s="3" t="s">
        <v>57</v>
      </c>
      <c r="K4206" s="4">
        <v>5452.9</v>
      </c>
      <c r="L4206" s="6">
        <v>225.02</v>
      </c>
    </row>
    <row r="4207" spans="1:12" x14ac:dyDescent="0.25">
      <c r="A4207" s="1">
        <v>4206</v>
      </c>
      <c r="B4207" s="4">
        <v>29894</v>
      </c>
      <c r="C4207" s="5">
        <v>40428</v>
      </c>
      <c r="D4207" s="3" t="s">
        <v>82</v>
      </c>
      <c r="E4207" s="1" t="s">
        <v>773</v>
      </c>
      <c r="F4207" s="1" t="s">
        <v>34</v>
      </c>
      <c r="G4207" s="2" t="s">
        <v>1</v>
      </c>
      <c r="H4207" s="3" t="s">
        <v>88</v>
      </c>
      <c r="I4207" s="3" t="s">
        <v>91</v>
      </c>
      <c r="J4207" s="3" t="s">
        <v>59</v>
      </c>
      <c r="K4207" s="4">
        <v>606.98</v>
      </c>
      <c r="L4207" s="6">
        <v>13.73</v>
      </c>
    </row>
    <row r="4208" spans="1:12" x14ac:dyDescent="0.25">
      <c r="A4208" s="1">
        <v>4207</v>
      </c>
      <c r="B4208" s="4">
        <v>29894</v>
      </c>
      <c r="C4208" s="5">
        <v>40428</v>
      </c>
      <c r="D4208" s="3" t="s">
        <v>82</v>
      </c>
      <c r="E4208" s="1" t="s">
        <v>773</v>
      </c>
      <c r="F4208" s="1" t="s">
        <v>34</v>
      </c>
      <c r="G4208" s="2" t="s">
        <v>1</v>
      </c>
      <c r="H4208" s="3" t="s">
        <v>88</v>
      </c>
      <c r="I4208" s="3" t="s">
        <v>85</v>
      </c>
      <c r="J4208" s="3" t="s">
        <v>66</v>
      </c>
      <c r="K4208" s="4">
        <v>301.62</v>
      </c>
      <c r="L4208" s="6">
        <v>6.68</v>
      </c>
    </row>
    <row r="4209" spans="1:12" x14ac:dyDescent="0.25">
      <c r="A4209" s="1">
        <v>4208</v>
      </c>
      <c r="B4209" s="4">
        <v>29895</v>
      </c>
      <c r="C4209" s="5">
        <v>40471</v>
      </c>
      <c r="D4209" s="3" t="s">
        <v>4</v>
      </c>
      <c r="E4209" s="1" t="s">
        <v>289</v>
      </c>
      <c r="F4209" s="1" t="s">
        <v>13</v>
      </c>
      <c r="G4209" s="2" t="s">
        <v>6</v>
      </c>
      <c r="H4209" s="3" t="s">
        <v>97</v>
      </c>
      <c r="I4209" s="3" t="s">
        <v>91</v>
      </c>
      <c r="J4209" s="3" t="s">
        <v>68</v>
      </c>
      <c r="K4209" s="4">
        <v>7286.65</v>
      </c>
      <c r="L4209" s="6">
        <v>160.97999999999999</v>
      </c>
    </row>
    <row r="4210" spans="1:12" x14ac:dyDescent="0.25">
      <c r="A4210" s="1">
        <v>4209</v>
      </c>
      <c r="B4210" s="4">
        <v>29921</v>
      </c>
      <c r="C4210" s="5">
        <v>40991</v>
      </c>
      <c r="D4210" s="3" t="s">
        <v>4</v>
      </c>
      <c r="E4210" s="1" t="s">
        <v>1121</v>
      </c>
      <c r="F4210" s="1" t="s">
        <v>28</v>
      </c>
      <c r="G4210" s="2" t="s">
        <v>6</v>
      </c>
      <c r="H4210" s="3" t="s">
        <v>84</v>
      </c>
      <c r="I4210" s="3" t="s">
        <v>85</v>
      </c>
      <c r="J4210" s="3" t="s">
        <v>69</v>
      </c>
      <c r="K4210" s="4">
        <v>3977.97</v>
      </c>
      <c r="L4210" s="6">
        <v>120.98</v>
      </c>
    </row>
    <row r="4211" spans="1:12" x14ac:dyDescent="0.25">
      <c r="A4211" s="1">
        <v>4210</v>
      </c>
      <c r="B4211" s="4">
        <v>29926</v>
      </c>
      <c r="C4211" s="5">
        <v>40990</v>
      </c>
      <c r="D4211" s="3" t="s">
        <v>4</v>
      </c>
      <c r="E4211" s="1" t="s">
        <v>832</v>
      </c>
      <c r="F4211" s="1" t="s">
        <v>9</v>
      </c>
      <c r="G4211" s="2" t="s">
        <v>2</v>
      </c>
      <c r="H4211" s="3" t="s">
        <v>88</v>
      </c>
      <c r="I4211" s="3" t="s">
        <v>85</v>
      </c>
      <c r="J4211" s="3" t="s">
        <v>69</v>
      </c>
      <c r="K4211" s="4">
        <v>20.21</v>
      </c>
      <c r="L4211" s="6">
        <v>2.08</v>
      </c>
    </row>
    <row r="4212" spans="1:12" x14ac:dyDescent="0.25">
      <c r="A4212" s="1">
        <v>4211</v>
      </c>
      <c r="B4212" s="4">
        <v>29927</v>
      </c>
      <c r="C4212" s="5">
        <v>41220</v>
      </c>
      <c r="D4212" s="3" t="s">
        <v>89</v>
      </c>
      <c r="E4212" s="1" t="s">
        <v>1122</v>
      </c>
      <c r="F4212" s="1" t="s">
        <v>41</v>
      </c>
      <c r="G4212" s="2" t="s">
        <v>6</v>
      </c>
      <c r="H4212" s="3" t="s">
        <v>88</v>
      </c>
      <c r="I4212" s="3" t="s">
        <v>85</v>
      </c>
      <c r="J4212" s="3" t="s">
        <v>69</v>
      </c>
      <c r="K4212" s="4">
        <v>257.97000000000003</v>
      </c>
      <c r="L4212" s="6">
        <v>12.95</v>
      </c>
    </row>
    <row r="4213" spans="1:12" x14ac:dyDescent="0.25">
      <c r="A4213" s="1">
        <v>4212</v>
      </c>
      <c r="B4213" s="4">
        <v>29953</v>
      </c>
      <c r="C4213" s="5">
        <v>40581</v>
      </c>
      <c r="D4213" s="3" t="s">
        <v>95</v>
      </c>
      <c r="E4213" s="1" t="s">
        <v>920</v>
      </c>
      <c r="F4213" s="1" t="s">
        <v>41</v>
      </c>
      <c r="G4213" s="2" t="s">
        <v>6</v>
      </c>
      <c r="H4213" s="3" t="s">
        <v>97</v>
      </c>
      <c r="I4213" s="3" t="s">
        <v>85</v>
      </c>
      <c r="J4213" s="3" t="s">
        <v>69</v>
      </c>
      <c r="K4213" s="4">
        <v>619.77</v>
      </c>
      <c r="L4213" s="6">
        <v>14.45</v>
      </c>
    </row>
    <row r="4214" spans="1:12" x14ac:dyDescent="0.25">
      <c r="A4214" s="1">
        <v>4213</v>
      </c>
      <c r="B4214" s="4">
        <v>29956</v>
      </c>
      <c r="C4214" s="5">
        <v>40039</v>
      </c>
      <c r="D4214" s="3" t="s">
        <v>95</v>
      </c>
      <c r="E4214" s="1" t="s">
        <v>1066</v>
      </c>
      <c r="F4214" s="1" t="s">
        <v>25</v>
      </c>
      <c r="G4214" s="2" t="s">
        <v>6</v>
      </c>
      <c r="H4214" s="3" t="s">
        <v>100</v>
      </c>
      <c r="I4214" s="3" t="s">
        <v>85</v>
      </c>
      <c r="J4214" s="3" t="s">
        <v>63</v>
      </c>
      <c r="K4214" s="4">
        <v>80.33</v>
      </c>
      <c r="L4214" s="6">
        <v>1.82</v>
      </c>
    </row>
    <row r="4215" spans="1:12" x14ac:dyDescent="0.25">
      <c r="A4215" s="1">
        <v>4214</v>
      </c>
      <c r="B4215" s="4">
        <v>29957</v>
      </c>
      <c r="C4215" s="5">
        <v>40250</v>
      </c>
      <c r="D4215" s="3" t="s">
        <v>95</v>
      </c>
      <c r="E4215" s="1" t="s">
        <v>748</v>
      </c>
      <c r="F4215" s="1" t="s">
        <v>16</v>
      </c>
      <c r="G4215" s="2" t="s">
        <v>3</v>
      </c>
      <c r="H4215" s="3" t="s">
        <v>88</v>
      </c>
      <c r="I4215" s="3" t="s">
        <v>91</v>
      </c>
      <c r="J4215" s="3" t="s">
        <v>72</v>
      </c>
      <c r="K4215" s="4">
        <v>2555.37</v>
      </c>
      <c r="L4215" s="6">
        <v>95.98</v>
      </c>
    </row>
    <row r="4216" spans="1:12" x14ac:dyDescent="0.25">
      <c r="A4216" s="1">
        <v>4215</v>
      </c>
      <c r="B4216" s="4">
        <v>29957</v>
      </c>
      <c r="C4216" s="5">
        <v>40250</v>
      </c>
      <c r="D4216" s="3" t="s">
        <v>95</v>
      </c>
      <c r="E4216" s="1" t="s">
        <v>153</v>
      </c>
      <c r="F4216" s="1" t="s">
        <v>51</v>
      </c>
      <c r="G4216" s="2" t="s">
        <v>1</v>
      </c>
      <c r="H4216" s="3" t="s">
        <v>88</v>
      </c>
      <c r="I4216" s="3" t="s">
        <v>85</v>
      </c>
      <c r="J4216" s="3" t="s">
        <v>66</v>
      </c>
      <c r="K4216" s="4">
        <v>1447.62</v>
      </c>
      <c r="L4216" s="6">
        <v>48.04</v>
      </c>
    </row>
    <row r="4217" spans="1:12" x14ac:dyDescent="0.25">
      <c r="A4217" s="1">
        <v>4216</v>
      </c>
      <c r="B4217" s="4">
        <v>29958</v>
      </c>
      <c r="C4217" s="5">
        <v>40549</v>
      </c>
      <c r="D4217" s="3" t="s">
        <v>89</v>
      </c>
      <c r="E4217" s="1" t="s">
        <v>1048</v>
      </c>
      <c r="F4217" s="1" t="s">
        <v>31</v>
      </c>
      <c r="G4217" s="2" t="s">
        <v>1</v>
      </c>
      <c r="H4217" s="3" t="s">
        <v>100</v>
      </c>
      <c r="I4217" s="3" t="s">
        <v>85</v>
      </c>
      <c r="J4217" s="3" t="s">
        <v>69</v>
      </c>
      <c r="K4217" s="4">
        <v>307.57</v>
      </c>
      <c r="L4217" s="6">
        <v>6.37</v>
      </c>
    </row>
    <row r="4218" spans="1:12" x14ac:dyDescent="0.25">
      <c r="A4218" s="1">
        <v>4217</v>
      </c>
      <c r="B4218" s="4">
        <v>29958</v>
      </c>
      <c r="C4218" s="5">
        <v>40549</v>
      </c>
      <c r="D4218" s="3" t="s">
        <v>89</v>
      </c>
      <c r="E4218" s="1" t="s">
        <v>1048</v>
      </c>
      <c r="F4218" s="1" t="s">
        <v>31</v>
      </c>
      <c r="G4218" s="2" t="s">
        <v>1</v>
      </c>
      <c r="H4218" s="3" t="s">
        <v>100</v>
      </c>
      <c r="I4218" s="3" t="s">
        <v>91</v>
      </c>
      <c r="J4218" s="3" t="s">
        <v>72</v>
      </c>
      <c r="K4218" s="4">
        <v>14861.07</v>
      </c>
      <c r="L4218" s="6">
        <v>500.98</v>
      </c>
    </row>
    <row r="4219" spans="1:12" x14ac:dyDescent="0.25">
      <c r="A4219" s="1">
        <v>4218</v>
      </c>
      <c r="B4219" s="4">
        <v>29985</v>
      </c>
      <c r="C4219" s="5">
        <v>41101</v>
      </c>
      <c r="D4219" s="3" t="s">
        <v>95</v>
      </c>
      <c r="E4219" s="1" t="s">
        <v>762</v>
      </c>
      <c r="F4219" s="1" t="s">
        <v>34</v>
      </c>
      <c r="G4219" s="2" t="s">
        <v>1</v>
      </c>
      <c r="H4219" s="3" t="s">
        <v>88</v>
      </c>
      <c r="I4219" s="3" t="s">
        <v>85</v>
      </c>
      <c r="J4219" s="3" t="s">
        <v>69</v>
      </c>
      <c r="K4219" s="4">
        <v>24.51</v>
      </c>
      <c r="L4219" s="6">
        <v>8.0399999999999991</v>
      </c>
    </row>
    <row r="4220" spans="1:12" x14ac:dyDescent="0.25">
      <c r="A4220" s="1">
        <v>4219</v>
      </c>
      <c r="B4220" s="4">
        <v>29985</v>
      </c>
      <c r="C4220" s="5">
        <v>41101</v>
      </c>
      <c r="D4220" s="3" t="s">
        <v>95</v>
      </c>
      <c r="E4220" s="1" t="s">
        <v>848</v>
      </c>
      <c r="F4220" s="1" t="s">
        <v>30</v>
      </c>
      <c r="G4220" s="2" t="s">
        <v>6</v>
      </c>
      <c r="H4220" s="3" t="s">
        <v>88</v>
      </c>
      <c r="I4220" s="3" t="s">
        <v>91</v>
      </c>
      <c r="J4220" s="3" t="s">
        <v>59</v>
      </c>
      <c r="K4220" s="4">
        <v>196.75</v>
      </c>
      <c r="L4220" s="6">
        <v>7.96</v>
      </c>
    </row>
    <row r="4221" spans="1:12" x14ac:dyDescent="0.25">
      <c r="A4221" s="1">
        <v>4220</v>
      </c>
      <c r="B4221" s="4">
        <v>29986</v>
      </c>
      <c r="C4221" s="5">
        <v>40727</v>
      </c>
      <c r="D4221" s="3" t="s">
        <v>95</v>
      </c>
      <c r="E4221" s="1" t="s">
        <v>772</v>
      </c>
      <c r="F4221" s="1" t="s">
        <v>30</v>
      </c>
      <c r="G4221" s="2" t="s">
        <v>6</v>
      </c>
      <c r="H4221" s="3" t="s">
        <v>88</v>
      </c>
      <c r="I4221" s="3" t="s">
        <v>85</v>
      </c>
      <c r="J4221" s="3" t="s">
        <v>69</v>
      </c>
      <c r="K4221" s="4">
        <v>1477.39</v>
      </c>
      <c r="L4221" s="6">
        <v>37.700000000000003</v>
      </c>
    </row>
    <row r="4222" spans="1:12" x14ac:dyDescent="0.25">
      <c r="A4222" s="1">
        <v>4221</v>
      </c>
      <c r="B4222" s="4">
        <v>29988</v>
      </c>
      <c r="C4222" s="5">
        <v>39976</v>
      </c>
      <c r="D4222" s="3" t="s">
        <v>89</v>
      </c>
      <c r="E4222" s="1" t="s">
        <v>710</v>
      </c>
      <c r="F4222" s="1" t="s">
        <v>12</v>
      </c>
      <c r="G4222" s="2" t="s">
        <v>2</v>
      </c>
      <c r="H4222" s="3" t="s">
        <v>88</v>
      </c>
      <c r="I4222" s="3" t="s">
        <v>92</v>
      </c>
      <c r="J4222" s="3" t="s">
        <v>73</v>
      </c>
      <c r="K4222" s="4">
        <v>5177.3999999999996</v>
      </c>
      <c r="L4222" s="6">
        <v>449.99</v>
      </c>
    </row>
    <row r="4223" spans="1:12" x14ac:dyDescent="0.25">
      <c r="A4223" s="1">
        <v>4222</v>
      </c>
      <c r="B4223" s="4">
        <v>29991</v>
      </c>
      <c r="C4223" s="5">
        <v>41187</v>
      </c>
      <c r="D4223" s="3" t="s">
        <v>82</v>
      </c>
      <c r="E4223" s="1" t="s">
        <v>456</v>
      </c>
      <c r="F4223" s="1" t="s">
        <v>23</v>
      </c>
      <c r="G4223" s="2" t="s">
        <v>3</v>
      </c>
      <c r="H4223" s="3" t="s">
        <v>84</v>
      </c>
      <c r="I4223" s="3" t="s">
        <v>85</v>
      </c>
      <c r="J4223" s="3" t="s">
        <v>65</v>
      </c>
      <c r="K4223" s="4">
        <v>123.11</v>
      </c>
      <c r="L4223" s="6">
        <v>3.15</v>
      </c>
    </row>
    <row r="4224" spans="1:12" x14ac:dyDescent="0.25">
      <c r="A4224" s="1">
        <v>4223</v>
      </c>
      <c r="B4224" s="4">
        <v>30016</v>
      </c>
      <c r="C4224" s="5">
        <v>39816</v>
      </c>
      <c r="D4224" s="3" t="s">
        <v>95</v>
      </c>
      <c r="E4224" s="1" t="s">
        <v>1197</v>
      </c>
      <c r="F4224" s="1" t="s">
        <v>46</v>
      </c>
      <c r="G4224" s="2" t="s">
        <v>6</v>
      </c>
      <c r="H4224" s="3" t="s">
        <v>88</v>
      </c>
      <c r="I4224" s="3" t="s">
        <v>85</v>
      </c>
      <c r="J4224" s="3" t="s">
        <v>66</v>
      </c>
      <c r="K4224" s="4">
        <v>85.56</v>
      </c>
      <c r="L4224" s="6">
        <v>5.28</v>
      </c>
    </row>
    <row r="4225" spans="1:12" x14ac:dyDescent="0.25">
      <c r="A4225" s="1">
        <v>4224</v>
      </c>
      <c r="B4225" s="4">
        <v>30016</v>
      </c>
      <c r="C4225" s="5">
        <v>39816</v>
      </c>
      <c r="D4225" s="3" t="s">
        <v>95</v>
      </c>
      <c r="E4225" s="1" t="s">
        <v>1197</v>
      </c>
      <c r="F4225" s="1" t="s">
        <v>46</v>
      </c>
      <c r="G4225" s="2" t="s">
        <v>6</v>
      </c>
      <c r="H4225" s="3" t="s">
        <v>88</v>
      </c>
      <c r="I4225" s="3" t="s">
        <v>92</v>
      </c>
      <c r="J4225" s="3" t="s">
        <v>61</v>
      </c>
      <c r="K4225" s="4">
        <v>754.65549999999996</v>
      </c>
      <c r="L4225" s="6">
        <v>110.99</v>
      </c>
    </row>
    <row r="4226" spans="1:12" x14ac:dyDescent="0.25">
      <c r="A4226" s="1">
        <v>4225</v>
      </c>
      <c r="B4226" s="4">
        <v>30023</v>
      </c>
      <c r="C4226" s="5">
        <v>40466</v>
      </c>
      <c r="D4226" s="3" t="s">
        <v>82</v>
      </c>
      <c r="E4226" s="1" t="s">
        <v>337</v>
      </c>
      <c r="F4226" s="1" t="s">
        <v>20</v>
      </c>
      <c r="G4226" s="2" t="s">
        <v>1</v>
      </c>
      <c r="H4226" s="3" t="s">
        <v>100</v>
      </c>
      <c r="I4226" s="3" t="s">
        <v>92</v>
      </c>
      <c r="J4226" s="3" t="s">
        <v>73</v>
      </c>
      <c r="K4226" s="4">
        <v>16193.16</v>
      </c>
      <c r="L4226" s="6">
        <v>449.99</v>
      </c>
    </row>
    <row r="4227" spans="1:12" x14ac:dyDescent="0.25">
      <c r="A4227" s="1">
        <v>4226</v>
      </c>
      <c r="B4227" s="4">
        <v>30023</v>
      </c>
      <c r="C4227" s="5">
        <v>40466</v>
      </c>
      <c r="D4227" s="3" t="s">
        <v>82</v>
      </c>
      <c r="E4227" s="1" t="s">
        <v>462</v>
      </c>
      <c r="F4227" s="1" t="s">
        <v>43</v>
      </c>
      <c r="G4227" s="2" t="s">
        <v>1</v>
      </c>
      <c r="H4227" s="3" t="s">
        <v>100</v>
      </c>
      <c r="I4227" s="3" t="s">
        <v>85</v>
      </c>
      <c r="J4227" s="3" t="s">
        <v>57</v>
      </c>
      <c r="K4227" s="4">
        <v>157.33000000000001</v>
      </c>
      <c r="L4227" s="6">
        <v>11.35</v>
      </c>
    </row>
    <row r="4228" spans="1:12" x14ac:dyDescent="0.25">
      <c r="A4228" s="1">
        <v>4227</v>
      </c>
      <c r="B4228" s="4">
        <v>30023</v>
      </c>
      <c r="C4228" s="5">
        <v>40466</v>
      </c>
      <c r="D4228" s="3" t="s">
        <v>82</v>
      </c>
      <c r="E4228" s="1" t="s">
        <v>514</v>
      </c>
      <c r="F4228" s="1" t="s">
        <v>39</v>
      </c>
      <c r="G4228" s="2" t="s">
        <v>1</v>
      </c>
      <c r="H4228" s="3" t="s">
        <v>100</v>
      </c>
      <c r="I4228" s="3" t="s">
        <v>92</v>
      </c>
      <c r="J4228" s="3" t="s">
        <v>67</v>
      </c>
      <c r="K4228" s="4">
        <v>10253.75</v>
      </c>
      <c r="L4228" s="6">
        <v>400.97</v>
      </c>
    </row>
    <row r="4229" spans="1:12" x14ac:dyDescent="0.25">
      <c r="A4229" s="1">
        <v>4228</v>
      </c>
      <c r="B4229" s="4">
        <v>30023</v>
      </c>
      <c r="C4229" s="5">
        <v>40466</v>
      </c>
      <c r="D4229" s="3" t="s">
        <v>82</v>
      </c>
      <c r="E4229" s="1" t="s">
        <v>907</v>
      </c>
      <c r="F4229" s="1" t="s">
        <v>21</v>
      </c>
      <c r="G4229" s="2" t="s">
        <v>1</v>
      </c>
      <c r="H4229" s="3" t="s">
        <v>100</v>
      </c>
      <c r="I4229" s="3" t="s">
        <v>85</v>
      </c>
      <c r="J4229" s="3" t="s">
        <v>63</v>
      </c>
      <c r="K4229" s="4">
        <v>840.24</v>
      </c>
      <c r="L4229" s="6">
        <v>21.38</v>
      </c>
    </row>
    <row r="4230" spans="1:12" x14ac:dyDescent="0.25">
      <c r="A4230" s="1">
        <v>4229</v>
      </c>
      <c r="B4230" s="4">
        <v>30048</v>
      </c>
      <c r="C4230" s="5">
        <v>40707</v>
      </c>
      <c r="D4230" s="3" t="s">
        <v>4</v>
      </c>
      <c r="E4230" s="1" t="s">
        <v>629</v>
      </c>
      <c r="F4230" s="1" t="s">
        <v>38</v>
      </c>
      <c r="G4230" s="2" t="s">
        <v>6</v>
      </c>
      <c r="H4230" s="3" t="s">
        <v>97</v>
      </c>
      <c r="I4230" s="3" t="s">
        <v>85</v>
      </c>
      <c r="J4230" s="3" t="s">
        <v>70</v>
      </c>
      <c r="K4230" s="4">
        <v>7765.13</v>
      </c>
      <c r="L4230" s="6">
        <v>180.98</v>
      </c>
    </row>
    <row r="4231" spans="1:12" x14ac:dyDescent="0.25">
      <c r="A4231" s="1">
        <v>4230</v>
      </c>
      <c r="B4231" s="4">
        <v>30051</v>
      </c>
      <c r="C4231" s="5">
        <v>40988</v>
      </c>
      <c r="D4231" s="3" t="s">
        <v>86</v>
      </c>
      <c r="E4231" s="1" t="s">
        <v>766</v>
      </c>
      <c r="F4231" s="1" t="s">
        <v>12</v>
      </c>
      <c r="G4231" s="2" t="s">
        <v>2</v>
      </c>
      <c r="H4231" s="3" t="s">
        <v>97</v>
      </c>
      <c r="I4231" s="3" t="s">
        <v>85</v>
      </c>
      <c r="J4231" s="3" t="s">
        <v>63</v>
      </c>
      <c r="K4231" s="4">
        <v>243.06</v>
      </c>
      <c r="L4231" s="6">
        <v>5.85</v>
      </c>
    </row>
    <row r="4232" spans="1:12" x14ac:dyDescent="0.25">
      <c r="A4232" s="1">
        <v>4231</v>
      </c>
      <c r="B4232" s="4">
        <v>30053</v>
      </c>
      <c r="C4232" s="5">
        <v>39845</v>
      </c>
      <c r="D4232" s="3" t="s">
        <v>95</v>
      </c>
      <c r="E4232" s="1" t="s">
        <v>998</v>
      </c>
      <c r="F4232" s="1" t="s">
        <v>16</v>
      </c>
      <c r="G4232" s="2" t="s">
        <v>3</v>
      </c>
      <c r="H4232" s="3" t="s">
        <v>100</v>
      </c>
      <c r="I4232" s="3" t="s">
        <v>92</v>
      </c>
      <c r="J4232" s="3" t="s">
        <v>67</v>
      </c>
      <c r="K4232" s="4">
        <v>3279.01</v>
      </c>
      <c r="L4232" s="6">
        <v>80.97</v>
      </c>
    </row>
    <row r="4233" spans="1:12" x14ac:dyDescent="0.25">
      <c r="A4233" s="1">
        <v>4232</v>
      </c>
      <c r="B4233" s="4">
        <v>30054</v>
      </c>
      <c r="C4233" s="5">
        <v>41153</v>
      </c>
      <c r="D4233" s="3" t="s">
        <v>86</v>
      </c>
      <c r="E4233" s="1" t="s">
        <v>282</v>
      </c>
      <c r="F4233" s="1" t="s">
        <v>34</v>
      </c>
      <c r="G4233" s="2" t="s">
        <v>1</v>
      </c>
      <c r="H4233" s="3" t="s">
        <v>88</v>
      </c>
      <c r="I4233" s="3" t="s">
        <v>91</v>
      </c>
      <c r="J4233" s="3" t="s">
        <v>59</v>
      </c>
      <c r="K4233" s="4">
        <v>311.19</v>
      </c>
      <c r="L4233" s="6">
        <v>9.3800000000000008</v>
      </c>
    </row>
    <row r="4234" spans="1:12" x14ac:dyDescent="0.25">
      <c r="A4234" s="1">
        <v>4233</v>
      </c>
      <c r="B4234" s="4">
        <v>30081</v>
      </c>
      <c r="C4234" s="5">
        <v>40894</v>
      </c>
      <c r="D4234" s="3" t="s">
        <v>89</v>
      </c>
      <c r="E4234" s="1" t="s">
        <v>1042</v>
      </c>
      <c r="F4234" s="1" t="s">
        <v>16</v>
      </c>
      <c r="G4234" s="2" t="s">
        <v>3</v>
      </c>
      <c r="H4234" s="3" t="s">
        <v>97</v>
      </c>
      <c r="I4234" s="3" t="s">
        <v>85</v>
      </c>
      <c r="J4234" s="3" t="s">
        <v>69</v>
      </c>
      <c r="K4234" s="4">
        <v>213.49</v>
      </c>
      <c r="L4234" s="6">
        <v>8.0399999999999991</v>
      </c>
    </row>
    <row r="4235" spans="1:12" x14ac:dyDescent="0.25">
      <c r="A4235" s="1">
        <v>4234</v>
      </c>
      <c r="B4235" s="4">
        <v>30083</v>
      </c>
      <c r="C4235" s="5">
        <v>39821</v>
      </c>
      <c r="D4235" s="3" t="s">
        <v>86</v>
      </c>
      <c r="E4235" s="1" t="s">
        <v>350</v>
      </c>
      <c r="F4235" s="1" t="s">
        <v>29</v>
      </c>
      <c r="G4235" s="2" t="s">
        <v>3</v>
      </c>
      <c r="H4235" s="3" t="s">
        <v>97</v>
      </c>
      <c r="I4235" s="3" t="s">
        <v>85</v>
      </c>
      <c r="J4235" s="3" t="s">
        <v>70</v>
      </c>
      <c r="K4235" s="4">
        <v>324.27999999999997</v>
      </c>
      <c r="L4235" s="6">
        <v>14.56</v>
      </c>
    </row>
    <row r="4236" spans="1:12" x14ac:dyDescent="0.25">
      <c r="A4236" s="1">
        <v>4235</v>
      </c>
      <c r="B4236" s="4">
        <v>30114</v>
      </c>
      <c r="C4236" s="5">
        <v>40406</v>
      </c>
      <c r="D4236" s="3" t="s">
        <v>82</v>
      </c>
      <c r="E4236" s="1" t="s">
        <v>168</v>
      </c>
      <c r="F4236" s="1" t="s">
        <v>15</v>
      </c>
      <c r="G4236" s="2" t="s">
        <v>1</v>
      </c>
      <c r="H4236" s="3" t="s">
        <v>88</v>
      </c>
      <c r="I4236" s="3" t="s">
        <v>92</v>
      </c>
      <c r="J4236" s="3" t="s">
        <v>73</v>
      </c>
      <c r="K4236" s="4">
        <v>4667.28</v>
      </c>
      <c r="L4236" s="6">
        <v>699.99</v>
      </c>
    </row>
    <row r="4237" spans="1:12" x14ac:dyDescent="0.25">
      <c r="A4237" s="1">
        <v>4236</v>
      </c>
      <c r="B4237" s="4">
        <v>30144</v>
      </c>
      <c r="C4237" s="5">
        <v>40761</v>
      </c>
      <c r="D4237" s="3" t="s">
        <v>82</v>
      </c>
      <c r="E4237" s="1" t="s">
        <v>278</v>
      </c>
      <c r="F4237" s="1" t="s">
        <v>35</v>
      </c>
      <c r="G4237" s="2" t="s">
        <v>1</v>
      </c>
      <c r="H4237" s="3" t="s">
        <v>84</v>
      </c>
      <c r="I4237" s="3" t="s">
        <v>91</v>
      </c>
      <c r="J4237" s="3" t="s">
        <v>60</v>
      </c>
      <c r="K4237" s="4">
        <v>5503.39</v>
      </c>
      <c r="L4237" s="6">
        <v>218.75</v>
      </c>
    </row>
    <row r="4238" spans="1:12" x14ac:dyDescent="0.25">
      <c r="A4238" s="1">
        <v>4237</v>
      </c>
      <c r="B4238" s="4">
        <v>30147</v>
      </c>
      <c r="C4238" s="5">
        <v>41077</v>
      </c>
      <c r="D4238" s="3" t="s">
        <v>86</v>
      </c>
      <c r="E4238" s="1" t="s">
        <v>339</v>
      </c>
      <c r="F4238" s="1" t="s">
        <v>30</v>
      </c>
      <c r="G4238" s="2" t="s">
        <v>6</v>
      </c>
      <c r="H4238" s="3" t="s">
        <v>100</v>
      </c>
      <c r="I4238" s="3" t="s">
        <v>91</v>
      </c>
      <c r="J4238" s="3" t="s">
        <v>59</v>
      </c>
      <c r="K4238" s="4">
        <v>740.14</v>
      </c>
      <c r="L4238" s="6">
        <v>19.98</v>
      </c>
    </row>
    <row r="4239" spans="1:12" x14ac:dyDescent="0.25">
      <c r="A4239" s="1">
        <v>4238</v>
      </c>
      <c r="B4239" s="4">
        <v>30149</v>
      </c>
      <c r="C4239" s="5">
        <v>40524</v>
      </c>
      <c r="D4239" s="3" t="s">
        <v>4</v>
      </c>
      <c r="E4239" s="1" t="s">
        <v>1229</v>
      </c>
      <c r="F4239" s="1" t="s">
        <v>30</v>
      </c>
      <c r="G4239" s="2" t="s">
        <v>6</v>
      </c>
      <c r="H4239" s="3" t="s">
        <v>88</v>
      </c>
      <c r="I4239" s="3" t="s">
        <v>85</v>
      </c>
      <c r="J4239" s="3" t="s">
        <v>69</v>
      </c>
      <c r="K4239" s="4">
        <v>16.47</v>
      </c>
      <c r="L4239" s="6">
        <v>2.08</v>
      </c>
    </row>
    <row r="4240" spans="1:12" x14ac:dyDescent="0.25">
      <c r="A4240" s="1">
        <v>4239</v>
      </c>
      <c r="B4240" s="4">
        <v>30149</v>
      </c>
      <c r="C4240" s="5">
        <v>40524</v>
      </c>
      <c r="D4240" s="3" t="s">
        <v>4</v>
      </c>
      <c r="E4240" s="1" t="s">
        <v>1230</v>
      </c>
      <c r="F4240" s="1" t="s">
        <v>30</v>
      </c>
      <c r="G4240" s="2" t="s">
        <v>6</v>
      </c>
      <c r="H4240" s="3" t="s">
        <v>88</v>
      </c>
      <c r="I4240" s="3" t="s">
        <v>91</v>
      </c>
      <c r="J4240" s="3" t="s">
        <v>72</v>
      </c>
      <c r="K4240" s="4">
        <v>173.62</v>
      </c>
      <c r="L4240" s="6">
        <v>33.94</v>
      </c>
    </row>
    <row r="4241" spans="1:12" x14ac:dyDescent="0.25">
      <c r="A4241" s="1">
        <v>4240</v>
      </c>
      <c r="B4241" s="4">
        <v>30149</v>
      </c>
      <c r="C4241" s="5">
        <v>40524</v>
      </c>
      <c r="D4241" s="3" t="s">
        <v>4</v>
      </c>
      <c r="E4241" s="1" t="s">
        <v>1230</v>
      </c>
      <c r="F4241" s="1" t="s">
        <v>30</v>
      </c>
      <c r="G4241" s="2" t="s">
        <v>6</v>
      </c>
      <c r="H4241" s="3" t="s">
        <v>88</v>
      </c>
      <c r="I4241" s="3" t="s">
        <v>91</v>
      </c>
      <c r="J4241" s="3" t="s">
        <v>59</v>
      </c>
      <c r="K4241" s="4">
        <v>690.97</v>
      </c>
      <c r="L4241" s="6">
        <v>13.79</v>
      </c>
    </row>
    <row r="4242" spans="1:12" x14ac:dyDescent="0.25">
      <c r="A4242" s="1">
        <v>4241</v>
      </c>
      <c r="B4242" s="4">
        <v>30150</v>
      </c>
      <c r="C4242" s="5">
        <v>40455</v>
      </c>
      <c r="D4242" s="3" t="s">
        <v>95</v>
      </c>
      <c r="E4242" s="1" t="s">
        <v>1231</v>
      </c>
      <c r="F4242" s="1" t="s">
        <v>20</v>
      </c>
      <c r="G4242" s="2" t="s">
        <v>1</v>
      </c>
      <c r="H4242" s="3" t="s">
        <v>97</v>
      </c>
      <c r="I4242" s="3" t="s">
        <v>85</v>
      </c>
      <c r="J4242" s="3" t="s">
        <v>71</v>
      </c>
      <c r="K4242" s="4">
        <v>443.46</v>
      </c>
      <c r="L4242" s="6">
        <v>15.57</v>
      </c>
    </row>
    <row r="4243" spans="1:12" x14ac:dyDescent="0.25">
      <c r="A4243" s="1">
        <v>4242</v>
      </c>
      <c r="B4243" s="4">
        <v>30151</v>
      </c>
      <c r="C4243" s="5">
        <v>40572</v>
      </c>
      <c r="D4243" s="3" t="s">
        <v>86</v>
      </c>
      <c r="E4243" s="1" t="s">
        <v>439</v>
      </c>
      <c r="F4243" s="1" t="s">
        <v>20</v>
      </c>
      <c r="G4243" s="2" t="s">
        <v>1</v>
      </c>
      <c r="H4243" s="3" t="s">
        <v>97</v>
      </c>
      <c r="I4243" s="3" t="s">
        <v>85</v>
      </c>
      <c r="J4243" s="3" t="s">
        <v>69</v>
      </c>
      <c r="K4243" s="4">
        <v>792.76</v>
      </c>
      <c r="L4243" s="6">
        <v>24.92</v>
      </c>
    </row>
    <row r="4244" spans="1:12" x14ac:dyDescent="0.25">
      <c r="A4244" s="1">
        <v>4243</v>
      </c>
      <c r="B4244" s="4">
        <v>30176</v>
      </c>
      <c r="C4244" s="5">
        <v>39922</v>
      </c>
      <c r="D4244" s="3" t="s">
        <v>82</v>
      </c>
      <c r="E4244" s="1" t="s">
        <v>1080</v>
      </c>
      <c r="F4244" s="1" t="s">
        <v>19</v>
      </c>
      <c r="G4244" s="2" t="s">
        <v>3</v>
      </c>
      <c r="H4244" s="3" t="s">
        <v>97</v>
      </c>
      <c r="I4244" s="3" t="s">
        <v>91</v>
      </c>
      <c r="J4244" s="3" t="s">
        <v>59</v>
      </c>
      <c r="K4244" s="4">
        <v>2504.41</v>
      </c>
      <c r="L4244" s="6">
        <v>79.52</v>
      </c>
    </row>
    <row r="4245" spans="1:12" x14ac:dyDescent="0.25">
      <c r="A4245" s="1">
        <v>4244</v>
      </c>
      <c r="B4245" s="4">
        <v>30208</v>
      </c>
      <c r="C4245" s="5">
        <v>41106</v>
      </c>
      <c r="D4245" s="3" t="s">
        <v>82</v>
      </c>
      <c r="E4245" s="1" t="s">
        <v>1062</v>
      </c>
      <c r="F4245" s="1" t="s">
        <v>34</v>
      </c>
      <c r="G4245" s="2" t="s">
        <v>1</v>
      </c>
      <c r="H4245" s="3" t="s">
        <v>97</v>
      </c>
      <c r="I4245" s="3" t="s">
        <v>92</v>
      </c>
      <c r="J4245" s="3" t="s">
        <v>61</v>
      </c>
      <c r="K4245" s="4">
        <v>1752.0964999999999</v>
      </c>
      <c r="L4245" s="6">
        <v>45.99</v>
      </c>
    </row>
    <row r="4246" spans="1:12" x14ac:dyDescent="0.25">
      <c r="A4246" s="1">
        <v>4245</v>
      </c>
      <c r="B4246" s="4">
        <v>30211</v>
      </c>
      <c r="C4246" s="5">
        <v>40336</v>
      </c>
      <c r="D4246" s="3" t="s">
        <v>4</v>
      </c>
      <c r="E4246" s="1" t="s">
        <v>1140</v>
      </c>
      <c r="F4246" s="1" t="s">
        <v>12</v>
      </c>
      <c r="G4246" s="2" t="s">
        <v>2</v>
      </c>
      <c r="H4246" s="3" t="s">
        <v>84</v>
      </c>
      <c r="I4246" s="3" t="s">
        <v>85</v>
      </c>
      <c r="J4246" s="3" t="s">
        <v>66</v>
      </c>
      <c r="K4246" s="4">
        <v>141.96</v>
      </c>
      <c r="L4246" s="6">
        <v>7.4</v>
      </c>
    </row>
    <row r="4247" spans="1:12" x14ac:dyDescent="0.25">
      <c r="A4247" s="1">
        <v>4246</v>
      </c>
      <c r="B4247" s="4">
        <v>30214</v>
      </c>
      <c r="C4247" s="5">
        <v>40090</v>
      </c>
      <c r="D4247" s="3" t="s">
        <v>82</v>
      </c>
      <c r="E4247" s="1" t="s">
        <v>1106</v>
      </c>
      <c r="F4247" s="1" t="s">
        <v>16</v>
      </c>
      <c r="G4247" s="2" t="s">
        <v>3</v>
      </c>
      <c r="H4247" s="3" t="s">
        <v>97</v>
      </c>
      <c r="I4247" s="3" t="s">
        <v>85</v>
      </c>
      <c r="J4247" s="3" t="s">
        <v>69</v>
      </c>
      <c r="K4247" s="4">
        <v>375.61</v>
      </c>
      <c r="L4247" s="6">
        <v>10.44</v>
      </c>
    </row>
    <row r="4248" spans="1:12" x14ac:dyDescent="0.25">
      <c r="A4248" s="1">
        <v>4247</v>
      </c>
      <c r="B4248" s="4">
        <v>30215</v>
      </c>
      <c r="C4248" s="5">
        <v>39870</v>
      </c>
      <c r="D4248" s="3" t="s">
        <v>4</v>
      </c>
      <c r="E4248" s="1" t="s">
        <v>122</v>
      </c>
      <c r="F4248" s="1" t="s">
        <v>21</v>
      </c>
      <c r="G4248" s="2" t="s">
        <v>1</v>
      </c>
      <c r="H4248" s="3" t="s">
        <v>97</v>
      </c>
      <c r="I4248" s="3" t="s">
        <v>92</v>
      </c>
      <c r="J4248" s="3" t="s">
        <v>61</v>
      </c>
      <c r="K4248" s="4">
        <v>3637.7280000000001</v>
      </c>
      <c r="L4248" s="6">
        <v>195.99</v>
      </c>
    </row>
    <row r="4249" spans="1:12" x14ac:dyDescent="0.25">
      <c r="A4249" s="1">
        <v>4248</v>
      </c>
      <c r="B4249" s="4">
        <v>30215</v>
      </c>
      <c r="C4249" s="5">
        <v>39870</v>
      </c>
      <c r="D4249" s="3" t="s">
        <v>4</v>
      </c>
      <c r="E4249" s="1" t="s">
        <v>1232</v>
      </c>
      <c r="F4249" s="1" t="s">
        <v>43</v>
      </c>
      <c r="G4249" s="2" t="s">
        <v>1</v>
      </c>
      <c r="H4249" s="3" t="s">
        <v>97</v>
      </c>
      <c r="I4249" s="3" t="s">
        <v>85</v>
      </c>
      <c r="J4249" s="3" t="s">
        <v>66</v>
      </c>
      <c r="K4249" s="4">
        <v>125.84</v>
      </c>
      <c r="L4249" s="6">
        <v>6.88</v>
      </c>
    </row>
    <row r="4250" spans="1:12" x14ac:dyDescent="0.25">
      <c r="A4250" s="1">
        <v>4249</v>
      </c>
      <c r="B4250" s="4">
        <v>30243</v>
      </c>
      <c r="C4250" s="5">
        <v>40303</v>
      </c>
      <c r="D4250" s="3" t="s">
        <v>95</v>
      </c>
      <c r="E4250" s="1" t="s">
        <v>771</v>
      </c>
      <c r="F4250" s="1" t="s">
        <v>38</v>
      </c>
      <c r="G4250" s="2" t="s">
        <v>6</v>
      </c>
      <c r="H4250" s="3" t="s">
        <v>88</v>
      </c>
      <c r="I4250" s="3" t="s">
        <v>85</v>
      </c>
      <c r="J4250" s="3" t="s">
        <v>70</v>
      </c>
      <c r="K4250" s="4">
        <v>2435.3200000000002</v>
      </c>
      <c r="L4250" s="6">
        <v>60.22</v>
      </c>
    </row>
    <row r="4251" spans="1:12" x14ac:dyDescent="0.25">
      <c r="A4251" s="1">
        <v>4250</v>
      </c>
      <c r="B4251" s="4">
        <v>30243</v>
      </c>
      <c r="C4251" s="5">
        <v>40303</v>
      </c>
      <c r="D4251" s="3" t="s">
        <v>95</v>
      </c>
      <c r="E4251" s="1" t="s">
        <v>771</v>
      </c>
      <c r="F4251" s="1" t="s">
        <v>38</v>
      </c>
      <c r="G4251" s="2" t="s">
        <v>6</v>
      </c>
      <c r="H4251" s="3" t="s">
        <v>88</v>
      </c>
      <c r="I4251" s="3" t="s">
        <v>92</v>
      </c>
      <c r="J4251" s="3" t="s">
        <v>73</v>
      </c>
      <c r="K4251" s="4">
        <v>4242.76</v>
      </c>
      <c r="L4251" s="6">
        <v>199.99</v>
      </c>
    </row>
    <row r="4252" spans="1:12" x14ac:dyDescent="0.25">
      <c r="A4252" s="1">
        <v>4251</v>
      </c>
      <c r="B4252" s="4">
        <v>30276</v>
      </c>
      <c r="C4252" s="5">
        <v>40781</v>
      </c>
      <c r="D4252" s="3" t="s">
        <v>82</v>
      </c>
      <c r="E4252" s="1" t="s">
        <v>922</v>
      </c>
      <c r="F4252" s="1" t="s">
        <v>20</v>
      </c>
      <c r="G4252" s="2" t="s">
        <v>1</v>
      </c>
      <c r="H4252" s="3" t="s">
        <v>88</v>
      </c>
      <c r="I4252" s="3" t="s">
        <v>92</v>
      </c>
      <c r="J4252" s="3" t="s">
        <v>61</v>
      </c>
      <c r="K4252" s="4">
        <v>1453.704</v>
      </c>
      <c r="L4252" s="6">
        <v>35.99</v>
      </c>
    </row>
    <row r="4253" spans="1:12" x14ac:dyDescent="0.25">
      <c r="A4253" s="1">
        <v>4252</v>
      </c>
      <c r="B4253" s="4">
        <v>30276</v>
      </c>
      <c r="C4253" s="5">
        <v>40781</v>
      </c>
      <c r="D4253" s="3" t="s">
        <v>82</v>
      </c>
      <c r="E4253" s="1" t="s">
        <v>1233</v>
      </c>
      <c r="F4253" s="1" t="s">
        <v>20</v>
      </c>
      <c r="G4253" s="2" t="s">
        <v>1</v>
      </c>
      <c r="H4253" s="3" t="s">
        <v>88</v>
      </c>
      <c r="I4253" s="3" t="s">
        <v>91</v>
      </c>
      <c r="J4253" s="3" t="s">
        <v>60</v>
      </c>
      <c r="K4253" s="4">
        <v>7656.3040000000001</v>
      </c>
      <c r="L4253" s="6">
        <v>296.18</v>
      </c>
    </row>
    <row r="4254" spans="1:12" x14ac:dyDescent="0.25">
      <c r="A4254" s="1">
        <v>4253</v>
      </c>
      <c r="B4254" s="4">
        <v>30278</v>
      </c>
      <c r="C4254" s="5">
        <v>40086</v>
      </c>
      <c r="D4254" s="3" t="s">
        <v>82</v>
      </c>
      <c r="E4254" s="1" t="s">
        <v>1128</v>
      </c>
      <c r="F4254" s="1" t="s">
        <v>44</v>
      </c>
      <c r="G4254" s="2" t="s">
        <v>3</v>
      </c>
      <c r="H4254" s="3" t="s">
        <v>97</v>
      </c>
      <c r="I4254" s="3" t="s">
        <v>92</v>
      </c>
      <c r="J4254" s="3" t="s">
        <v>61</v>
      </c>
      <c r="K4254" s="4">
        <v>2860.93</v>
      </c>
      <c r="L4254" s="6">
        <v>65.989999999999995</v>
      </c>
    </row>
    <row r="4255" spans="1:12" x14ac:dyDescent="0.25">
      <c r="A4255" s="1">
        <v>4254</v>
      </c>
      <c r="B4255" s="4">
        <v>30279</v>
      </c>
      <c r="C4255" s="5">
        <v>40884</v>
      </c>
      <c r="D4255" s="3" t="s">
        <v>95</v>
      </c>
      <c r="E4255" s="1" t="s">
        <v>311</v>
      </c>
      <c r="F4255" s="1" t="s">
        <v>20</v>
      </c>
      <c r="G4255" s="2" t="s">
        <v>1</v>
      </c>
      <c r="H4255" s="3" t="s">
        <v>88</v>
      </c>
      <c r="I4255" s="3" t="s">
        <v>85</v>
      </c>
      <c r="J4255" s="3" t="s">
        <v>70</v>
      </c>
      <c r="K4255" s="4">
        <v>1412.98</v>
      </c>
      <c r="L4255" s="6">
        <v>60.97</v>
      </c>
    </row>
    <row r="4256" spans="1:12" x14ac:dyDescent="0.25">
      <c r="A4256" s="1">
        <v>4255</v>
      </c>
      <c r="B4256" s="4">
        <v>30279</v>
      </c>
      <c r="C4256" s="5">
        <v>40884</v>
      </c>
      <c r="D4256" s="3" t="s">
        <v>95</v>
      </c>
      <c r="E4256" s="1" t="s">
        <v>1234</v>
      </c>
      <c r="F4256" s="1" t="s">
        <v>20</v>
      </c>
      <c r="G4256" s="2" t="s">
        <v>1</v>
      </c>
      <c r="H4256" s="3" t="s">
        <v>88</v>
      </c>
      <c r="I4256" s="3" t="s">
        <v>92</v>
      </c>
      <c r="J4256" s="3" t="s">
        <v>67</v>
      </c>
      <c r="K4256" s="4">
        <v>19539.939999999999</v>
      </c>
      <c r="L4256" s="6">
        <v>517.48</v>
      </c>
    </row>
    <row r="4257" spans="1:12" x14ac:dyDescent="0.25">
      <c r="A4257" s="1">
        <v>4256</v>
      </c>
      <c r="B4257" s="4">
        <v>30308</v>
      </c>
      <c r="C4257" s="5">
        <v>40258</v>
      </c>
      <c r="D4257" s="3" t="s">
        <v>4</v>
      </c>
      <c r="E4257" s="1" t="s">
        <v>798</v>
      </c>
      <c r="F4257" s="1" t="s">
        <v>13</v>
      </c>
      <c r="G4257" s="2" t="s">
        <v>6</v>
      </c>
      <c r="H4257" s="3" t="s">
        <v>88</v>
      </c>
      <c r="I4257" s="3" t="s">
        <v>85</v>
      </c>
      <c r="J4257" s="3" t="s">
        <v>69</v>
      </c>
      <c r="K4257" s="4">
        <v>30.38</v>
      </c>
      <c r="L4257" s="6">
        <v>1.8</v>
      </c>
    </row>
    <row r="4258" spans="1:12" x14ac:dyDescent="0.25">
      <c r="A4258" s="1">
        <v>4257</v>
      </c>
      <c r="B4258" s="4">
        <v>30310</v>
      </c>
      <c r="C4258" s="5">
        <v>41025</v>
      </c>
      <c r="D4258" s="3" t="s">
        <v>4</v>
      </c>
      <c r="E4258" s="1" t="s">
        <v>663</v>
      </c>
      <c r="F4258" s="1" t="s">
        <v>30</v>
      </c>
      <c r="G4258" s="2" t="s">
        <v>6</v>
      </c>
      <c r="H4258" s="3" t="s">
        <v>100</v>
      </c>
      <c r="I4258" s="3" t="s">
        <v>92</v>
      </c>
      <c r="J4258" s="3" t="s">
        <v>61</v>
      </c>
      <c r="K4258" s="4">
        <v>2024.0284999999999</v>
      </c>
      <c r="L4258" s="6">
        <v>125.99</v>
      </c>
    </row>
    <row r="4259" spans="1:12" x14ac:dyDescent="0.25">
      <c r="A4259" s="1">
        <v>4258</v>
      </c>
      <c r="B4259" s="4">
        <v>30336</v>
      </c>
      <c r="C4259" s="5">
        <v>40207</v>
      </c>
      <c r="D4259" s="3" t="s">
        <v>4</v>
      </c>
      <c r="E4259" s="1" t="s">
        <v>1235</v>
      </c>
      <c r="F4259" s="1" t="s">
        <v>15</v>
      </c>
      <c r="G4259" s="2" t="s">
        <v>1</v>
      </c>
      <c r="H4259" s="3" t="s">
        <v>88</v>
      </c>
      <c r="I4259" s="3" t="s">
        <v>85</v>
      </c>
      <c r="J4259" s="3" t="s">
        <v>57</v>
      </c>
      <c r="K4259" s="4">
        <v>5155.07</v>
      </c>
      <c r="L4259" s="6">
        <v>193.17</v>
      </c>
    </row>
    <row r="4260" spans="1:12" x14ac:dyDescent="0.25">
      <c r="A4260" s="1">
        <v>4259</v>
      </c>
      <c r="B4260" s="4">
        <v>30341</v>
      </c>
      <c r="C4260" s="5">
        <v>39844</v>
      </c>
      <c r="D4260" s="3" t="s">
        <v>82</v>
      </c>
      <c r="E4260" s="1" t="s">
        <v>1010</v>
      </c>
      <c r="F4260" s="1" t="s">
        <v>25</v>
      </c>
      <c r="G4260" s="2" t="s">
        <v>6</v>
      </c>
      <c r="H4260" s="3" t="s">
        <v>97</v>
      </c>
      <c r="I4260" s="3" t="s">
        <v>91</v>
      </c>
      <c r="J4260" s="3" t="s">
        <v>72</v>
      </c>
      <c r="K4260" s="4">
        <v>6244.18</v>
      </c>
      <c r="L4260" s="6">
        <v>160.97999999999999</v>
      </c>
    </row>
    <row r="4261" spans="1:12" x14ac:dyDescent="0.25">
      <c r="A4261" s="1">
        <v>4260</v>
      </c>
      <c r="B4261" s="4">
        <v>30341</v>
      </c>
      <c r="C4261" s="5">
        <v>39844</v>
      </c>
      <c r="D4261" s="3" t="s">
        <v>82</v>
      </c>
      <c r="E4261" s="1" t="s">
        <v>1010</v>
      </c>
      <c r="F4261" s="1" t="s">
        <v>25</v>
      </c>
      <c r="G4261" s="2" t="s">
        <v>6</v>
      </c>
      <c r="H4261" s="3" t="s">
        <v>97</v>
      </c>
      <c r="I4261" s="3" t="s">
        <v>85</v>
      </c>
      <c r="J4261" s="3" t="s">
        <v>65</v>
      </c>
      <c r="K4261" s="4">
        <v>239.75</v>
      </c>
      <c r="L4261" s="6">
        <v>6.3</v>
      </c>
    </row>
    <row r="4262" spans="1:12" x14ac:dyDescent="0.25">
      <c r="A4262" s="1">
        <v>4261</v>
      </c>
      <c r="B4262" s="4">
        <v>30341</v>
      </c>
      <c r="C4262" s="5">
        <v>39844</v>
      </c>
      <c r="D4262" s="3" t="s">
        <v>82</v>
      </c>
      <c r="E4262" s="1" t="s">
        <v>1010</v>
      </c>
      <c r="F4262" s="1" t="s">
        <v>25</v>
      </c>
      <c r="G4262" s="2" t="s">
        <v>6</v>
      </c>
      <c r="H4262" s="3" t="s">
        <v>97</v>
      </c>
      <c r="I4262" s="3" t="s">
        <v>85</v>
      </c>
      <c r="J4262" s="3" t="s">
        <v>66</v>
      </c>
      <c r="K4262" s="4">
        <v>150.19999999999999</v>
      </c>
      <c r="L4262" s="6">
        <v>4.9800000000000004</v>
      </c>
    </row>
    <row r="4263" spans="1:12" x14ac:dyDescent="0.25">
      <c r="A4263" s="1">
        <v>4262</v>
      </c>
      <c r="B4263" s="4">
        <v>30343</v>
      </c>
      <c r="C4263" s="5">
        <v>41050</v>
      </c>
      <c r="D4263" s="3" t="s">
        <v>95</v>
      </c>
      <c r="E4263" s="1" t="s">
        <v>155</v>
      </c>
      <c r="F4263" s="1" t="s">
        <v>33</v>
      </c>
      <c r="G4263" s="2" t="s">
        <v>2</v>
      </c>
      <c r="H4263" s="3" t="s">
        <v>88</v>
      </c>
      <c r="I4263" s="3" t="s">
        <v>92</v>
      </c>
      <c r="J4263" s="3" t="s">
        <v>62</v>
      </c>
      <c r="K4263" s="4">
        <v>1556.42</v>
      </c>
      <c r="L4263" s="6">
        <v>30.42</v>
      </c>
    </row>
    <row r="4264" spans="1:12" x14ac:dyDescent="0.25">
      <c r="A4264" s="1">
        <v>4263</v>
      </c>
      <c r="B4264" s="4">
        <v>30343</v>
      </c>
      <c r="C4264" s="5">
        <v>41050</v>
      </c>
      <c r="D4264" s="3" t="s">
        <v>95</v>
      </c>
      <c r="E4264" s="1" t="s">
        <v>1236</v>
      </c>
      <c r="F4264" s="1" t="s">
        <v>33</v>
      </c>
      <c r="G4264" s="2" t="s">
        <v>2</v>
      </c>
      <c r="H4264" s="3" t="s">
        <v>88</v>
      </c>
      <c r="I4264" s="3" t="s">
        <v>85</v>
      </c>
      <c r="J4264" s="3" t="s">
        <v>65</v>
      </c>
      <c r="K4264" s="4">
        <v>130.28</v>
      </c>
      <c r="L4264" s="6">
        <v>4.91</v>
      </c>
    </row>
    <row r="4265" spans="1:12" x14ac:dyDescent="0.25">
      <c r="A4265" s="1">
        <v>4264</v>
      </c>
      <c r="B4265" s="4">
        <v>30343</v>
      </c>
      <c r="C4265" s="5">
        <v>41050</v>
      </c>
      <c r="D4265" s="3" t="s">
        <v>95</v>
      </c>
      <c r="E4265" s="1" t="s">
        <v>411</v>
      </c>
      <c r="F4265" s="1" t="s">
        <v>10</v>
      </c>
      <c r="G4265" s="2" t="s">
        <v>3</v>
      </c>
      <c r="H4265" s="3" t="s">
        <v>88</v>
      </c>
      <c r="I4265" s="3" t="s">
        <v>92</v>
      </c>
      <c r="J4265" s="3" t="s">
        <v>67</v>
      </c>
      <c r="K4265" s="4">
        <v>41343.21</v>
      </c>
      <c r="L4265" s="6">
        <v>6783.02</v>
      </c>
    </row>
    <row r="4266" spans="1:12" x14ac:dyDescent="0.25">
      <c r="A4266" s="1">
        <v>4265</v>
      </c>
      <c r="B4266" s="4">
        <v>30369</v>
      </c>
      <c r="C4266" s="5">
        <v>40626</v>
      </c>
      <c r="D4266" s="3" t="s">
        <v>95</v>
      </c>
      <c r="E4266" s="1" t="s">
        <v>739</v>
      </c>
      <c r="F4266" s="1" t="s">
        <v>34</v>
      </c>
      <c r="G4266" s="2" t="s">
        <v>1</v>
      </c>
      <c r="H4266" s="3" t="s">
        <v>97</v>
      </c>
      <c r="I4266" s="3" t="s">
        <v>85</v>
      </c>
      <c r="J4266" s="3" t="s">
        <v>66</v>
      </c>
      <c r="K4266" s="4">
        <v>76.81</v>
      </c>
      <c r="L4266" s="6">
        <v>4.9800000000000004</v>
      </c>
    </row>
    <row r="4267" spans="1:12" x14ac:dyDescent="0.25">
      <c r="A4267" s="1">
        <v>4266</v>
      </c>
      <c r="B4267" s="4">
        <v>30369</v>
      </c>
      <c r="C4267" s="5">
        <v>40626</v>
      </c>
      <c r="D4267" s="3" t="s">
        <v>95</v>
      </c>
      <c r="E4267" s="1" t="s">
        <v>739</v>
      </c>
      <c r="F4267" s="1" t="s">
        <v>34</v>
      </c>
      <c r="G4267" s="2" t="s">
        <v>1</v>
      </c>
      <c r="H4267" s="3" t="s">
        <v>97</v>
      </c>
      <c r="I4267" s="3" t="s">
        <v>85</v>
      </c>
      <c r="J4267" s="3" t="s">
        <v>58</v>
      </c>
      <c r="K4267" s="4">
        <v>174.22</v>
      </c>
      <c r="L4267" s="6">
        <v>8.34</v>
      </c>
    </row>
    <row r="4268" spans="1:12" x14ac:dyDescent="0.25">
      <c r="A4268" s="1">
        <v>4267</v>
      </c>
      <c r="B4268" s="4">
        <v>30372</v>
      </c>
      <c r="C4268" s="5">
        <v>40420</v>
      </c>
      <c r="D4268" s="3" t="s">
        <v>89</v>
      </c>
      <c r="E4268" s="1" t="s">
        <v>673</v>
      </c>
      <c r="F4268" s="2" t="s">
        <v>38</v>
      </c>
      <c r="G4268" s="2" t="s">
        <v>6</v>
      </c>
      <c r="H4268" s="3" t="s">
        <v>88</v>
      </c>
      <c r="I4268" s="3" t="s">
        <v>91</v>
      </c>
      <c r="J4268" s="3" t="s">
        <v>59</v>
      </c>
      <c r="K4268" s="4">
        <v>14.4</v>
      </c>
      <c r="L4268" s="6">
        <v>12.22</v>
      </c>
    </row>
    <row r="4269" spans="1:12" x14ac:dyDescent="0.25">
      <c r="A4269" s="1">
        <v>4268</v>
      </c>
      <c r="B4269" s="4">
        <v>30374</v>
      </c>
      <c r="C4269" s="5">
        <v>40258</v>
      </c>
      <c r="D4269" s="3" t="s">
        <v>95</v>
      </c>
      <c r="E4269" s="1" t="s">
        <v>315</v>
      </c>
      <c r="F4269" s="1" t="s">
        <v>37</v>
      </c>
      <c r="G4269" s="2" t="s">
        <v>3</v>
      </c>
      <c r="H4269" s="3" t="s">
        <v>88</v>
      </c>
      <c r="I4269" s="3" t="s">
        <v>85</v>
      </c>
      <c r="J4269" s="3" t="s">
        <v>70</v>
      </c>
      <c r="K4269" s="4">
        <v>709.54</v>
      </c>
      <c r="L4269" s="6">
        <v>59.98</v>
      </c>
    </row>
    <row r="4270" spans="1:12" x14ac:dyDescent="0.25">
      <c r="A4270" s="1">
        <v>4269</v>
      </c>
      <c r="B4270" s="4">
        <v>30374</v>
      </c>
      <c r="C4270" s="5">
        <v>40258</v>
      </c>
      <c r="D4270" s="3" t="s">
        <v>95</v>
      </c>
      <c r="E4270" s="1" t="s">
        <v>315</v>
      </c>
      <c r="F4270" s="1" t="s">
        <v>37</v>
      </c>
      <c r="G4270" s="2" t="s">
        <v>3</v>
      </c>
      <c r="H4270" s="3" t="s">
        <v>88</v>
      </c>
      <c r="I4270" s="3" t="s">
        <v>92</v>
      </c>
      <c r="J4270" s="3" t="s">
        <v>62</v>
      </c>
      <c r="K4270" s="4">
        <v>1220.08</v>
      </c>
      <c r="L4270" s="6">
        <v>28.48</v>
      </c>
    </row>
    <row r="4271" spans="1:12" x14ac:dyDescent="0.25">
      <c r="A4271" s="1">
        <v>4270</v>
      </c>
      <c r="B4271" s="4">
        <v>30375</v>
      </c>
      <c r="C4271" s="5">
        <v>41032</v>
      </c>
      <c r="D4271" s="3" t="s">
        <v>82</v>
      </c>
      <c r="E4271" s="1" t="s">
        <v>719</v>
      </c>
      <c r="F4271" s="1" t="s">
        <v>19</v>
      </c>
      <c r="G4271" s="2" t="s">
        <v>3</v>
      </c>
      <c r="H4271" s="3" t="s">
        <v>88</v>
      </c>
      <c r="I4271" s="3" t="s">
        <v>85</v>
      </c>
      <c r="J4271" s="3" t="s">
        <v>69</v>
      </c>
      <c r="K4271" s="4">
        <v>71.45</v>
      </c>
      <c r="L4271" s="6">
        <v>3.36</v>
      </c>
    </row>
    <row r="4272" spans="1:12" x14ac:dyDescent="0.25">
      <c r="A4272" s="1">
        <v>4271</v>
      </c>
      <c r="B4272" s="4">
        <v>30401</v>
      </c>
      <c r="C4272" s="5">
        <v>41200</v>
      </c>
      <c r="D4272" s="3" t="s">
        <v>4</v>
      </c>
      <c r="E4272" s="1" t="s">
        <v>547</v>
      </c>
      <c r="F4272" s="1" t="s">
        <v>12</v>
      </c>
      <c r="G4272" s="2" t="s">
        <v>2</v>
      </c>
      <c r="H4272" s="3" t="s">
        <v>88</v>
      </c>
      <c r="I4272" s="3" t="s">
        <v>85</v>
      </c>
      <c r="J4272" s="3" t="s">
        <v>66</v>
      </c>
      <c r="K4272" s="4">
        <v>239.4</v>
      </c>
      <c r="L4272" s="6">
        <v>5.98</v>
      </c>
    </row>
    <row r="4273" spans="1:12" x14ac:dyDescent="0.25">
      <c r="A4273" s="1">
        <v>4272</v>
      </c>
      <c r="B4273" s="4">
        <v>30403</v>
      </c>
      <c r="C4273" s="5">
        <v>41100</v>
      </c>
      <c r="D4273" s="3" t="s">
        <v>89</v>
      </c>
      <c r="E4273" s="1" t="s">
        <v>1110</v>
      </c>
      <c r="F4273" s="1" t="s">
        <v>33</v>
      </c>
      <c r="G4273" s="2" t="s">
        <v>2</v>
      </c>
      <c r="H4273" s="3" t="s">
        <v>97</v>
      </c>
      <c r="I4273" s="3" t="s">
        <v>85</v>
      </c>
      <c r="J4273" s="3" t="s">
        <v>69</v>
      </c>
      <c r="K4273" s="4">
        <v>305.01</v>
      </c>
      <c r="L4273" s="6">
        <v>7.3</v>
      </c>
    </row>
    <row r="4274" spans="1:12" x14ac:dyDescent="0.25">
      <c r="A4274" s="1">
        <v>4273</v>
      </c>
      <c r="B4274" s="4">
        <v>30403</v>
      </c>
      <c r="C4274" s="5">
        <v>41100</v>
      </c>
      <c r="D4274" s="3" t="s">
        <v>89</v>
      </c>
      <c r="E4274" s="1" t="s">
        <v>1110</v>
      </c>
      <c r="F4274" s="1" t="s">
        <v>33</v>
      </c>
      <c r="G4274" s="2" t="s">
        <v>2</v>
      </c>
      <c r="H4274" s="3" t="s">
        <v>97</v>
      </c>
      <c r="I4274" s="3" t="s">
        <v>85</v>
      </c>
      <c r="J4274" s="3" t="s">
        <v>57</v>
      </c>
      <c r="K4274" s="4">
        <v>3583.52</v>
      </c>
      <c r="L4274" s="6">
        <v>161.55000000000001</v>
      </c>
    </row>
    <row r="4275" spans="1:12" x14ac:dyDescent="0.25">
      <c r="A4275" s="1">
        <v>4274</v>
      </c>
      <c r="B4275" s="4">
        <v>30405</v>
      </c>
      <c r="C4275" s="5">
        <v>41027</v>
      </c>
      <c r="D4275" s="3" t="s">
        <v>82</v>
      </c>
      <c r="E4275" s="1" t="s">
        <v>1237</v>
      </c>
      <c r="F4275" s="1" t="s">
        <v>52</v>
      </c>
      <c r="G4275" s="2" t="s">
        <v>3</v>
      </c>
      <c r="H4275" s="3" t="s">
        <v>97</v>
      </c>
      <c r="I4275" s="3" t="s">
        <v>91</v>
      </c>
      <c r="J4275" s="3" t="s">
        <v>60</v>
      </c>
      <c r="K4275" s="4">
        <v>2789.03</v>
      </c>
      <c r="L4275" s="6">
        <v>400.98</v>
      </c>
    </row>
    <row r="4276" spans="1:12" x14ac:dyDescent="0.25">
      <c r="A4276" s="1">
        <v>4275</v>
      </c>
      <c r="B4276" s="4">
        <v>30407</v>
      </c>
      <c r="C4276" s="5">
        <v>39920</v>
      </c>
      <c r="D4276" s="3" t="s">
        <v>82</v>
      </c>
      <c r="E4276" s="1" t="s">
        <v>659</v>
      </c>
      <c r="F4276" s="1" t="s">
        <v>26</v>
      </c>
      <c r="G4276" s="2" t="s">
        <v>3</v>
      </c>
      <c r="H4276" s="3" t="s">
        <v>88</v>
      </c>
      <c r="I4276" s="3" t="s">
        <v>85</v>
      </c>
      <c r="J4276" s="3" t="s">
        <v>57</v>
      </c>
      <c r="K4276" s="4">
        <v>17853.64</v>
      </c>
      <c r="L4276" s="6">
        <v>419.19</v>
      </c>
    </row>
    <row r="4277" spans="1:12" x14ac:dyDescent="0.25">
      <c r="A4277" s="1">
        <v>4276</v>
      </c>
      <c r="B4277" s="4">
        <v>30433</v>
      </c>
      <c r="C4277" s="5">
        <v>40338</v>
      </c>
      <c r="D4277" s="3" t="s">
        <v>4</v>
      </c>
      <c r="E4277" s="1" t="s">
        <v>774</v>
      </c>
      <c r="F4277" s="1" t="s">
        <v>22</v>
      </c>
      <c r="G4277" s="2" t="s">
        <v>6</v>
      </c>
      <c r="H4277" s="3" t="s">
        <v>97</v>
      </c>
      <c r="I4277" s="3" t="s">
        <v>85</v>
      </c>
      <c r="J4277" s="3" t="s">
        <v>58</v>
      </c>
      <c r="K4277" s="4">
        <v>253.38</v>
      </c>
      <c r="L4277" s="6">
        <v>13.9</v>
      </c>
    </row>
    <row r="4278" spans="1:12" x14ac:dyDescent="0.25">
      <c r="A4278" s="1">
        <v>4277</v>
      </c>
      <c r="B4278" s="4">
        <v>30436</v>
      </c>
      <c r="C4278" s="5">
        <v>41097</v>
      </c>
      <c r="D4278" s="3" t="s">
        <v>82</v>
      </c>
      <c r="E4278" s="1" t="s">
        <v>817</v>
      </c>
      <c r="F4278" s="1" t="s">
        <v>13</v>
      </c>
      <c r="G4278" s="2" t="s">
        <v>6</v>
      </c>
      <c r="H4278" s="3" t="s">
        <v>88</v>
      </c>
      <c r="I4278" s="3" t="s">
        <v>85</v>
      </c>
      <c r="J4278" s="3" t="s">
        <v>69</v>
      </c>
      <c r="K4278" s="4">
        <v>121.19</v>
      </c>
      <c r="L4278" s="6">
        <v>3.89</v>
      </c>
    </row>
    <row r="4279" spans="1:12" x14ac:dyDescent="0.25">
      <c r="A4279" s="1">
        <v>4278</v>
      </c>
      <c r="B4279" s="4">
        <v>30467</v>
      </c>
      <c r="C4279" s="5">
        <v>40040</v>
      </c>
      <c r="D4279" s="3" t="s">
        <v>95</v>
      </c>
      <c r="E4279" s="1" t="s">
        <v>485</v>
      </c>
      <c r="F4279" s="1" t="s">
        <v>25</v>
      </c>
      <c r="G4279" s="2" t="s">
        <v>6</v>
      </c>
      <c r="H4279" s="3" t="s">
        <v>100</v>
      </c>
      <c r="I4279" s="3" t="s">
        <v>85</v>
      </c>
      <c r="J4279" s="3" t="s">
        <v>69</v>
      </c>
      <c r="K4279" s="4">
        <v>2019.65</v>
      </c>
      <c r="L4279" s="6">
        <v>420.98</v>
      </c>
    </row>
    <row r="4280" spans="1:12" x14ac:dyDescent="0.25">
      <c r="A4280" s="1">
        <v>4279</v>
      </c>
      <c r="B4280" s="4">
        <v>30469</v>
      </c>
      <c r="C4280" s="5">
        <v>41268</v>
      </c>
      <c r="D4280" s="3" t="s">
        <v>86</v>
      </c>
      <c r="E4280" s="1" t="s">
        <v>1238</v>
      </c>
      <c r="F4280" s="1" t="s">
        <v>17</v>
      </c>
      <c r="G4280" s="2" t="s">
        <v>2</v>
      </c>
      <c r="H4280" s="3" t="s">
        <v>88</v>
      </c>
      <c r="I4280" s="3" t="s">
        <v>85</v>
      </c>
      <c r="J4280" s="3" t="s">
        <v>63</v>
      </c>
      <c r="K4280" s="4">
        <v>304.26</v>
      </c>
      <c r="L4280" s="6">
        <v>7.08</v>
      </c>
    </row>
    <row r="4281" spans="1:12" x14ac:dyDescent="0.25">
      <c r="A4281" s="1">
        <v>4280</v>
      </c>
      <c r="B4281" s="4">
        <v>30497</v>
      </c>
      <c r="C4281" s="5">
        <v>40580</v>
      </c>
      <c r="D4281" s="3" t="s">
        <v>95</v>
      </c>
      <c r="E4281" s="1" t="s">
        <v>1125</v>
      </c>
      <c r="F4281" s="1" t="s">
        <v>16</v>
      </c>
      <c r="G4281" s="2" t="s">
        <v>3</v>
      </c>
      <c r="H4281" s="3" t="s">
        <v>88</v>
      </c>
      <c r="I4281" s="3" t="s">
        <v>85</v>
      </c>
      <c r="J4281" s="3" t="s">
        <v>69</v>
      </c>
      <c r="K4281" s="4">
        <v>706.91</v>
      </c>
      <c r="L4281" s="6">
        <v>20.98</v>
      </c>
    </row>
    <row r="4282" spans="1:12" x14ac:dyDescent="0.25">
      <c r="A4282" s="1">
        <v>4281</v>
      </c>
      <c r="B4282" s="4">
        <v>30497</v>
      </c>
      <c r="C4282" s="5">
        <v>40580</v>
      </c>
      <c r="D4282" s="3" t="s">
        <v>95</v>
      </c>
      <c r="E4282" s="1" t="s">
        <v>1125</v>
      </c>
      <c r="F4282" s="1" t="s">
        <v>16</v>
      </c>
      <c r="G4282" s="2" t="s">
        <v>3</v>
      </c>
      <c r="H4282" s="3" t="s">
        <v>88</v>
      </c>
      <c r="I4282" s="3" t="s">
        <v>85</v>
      </c>
      <c r="J4282" s="3" t="s">
        <v>66</v>
      </c>
      <c r="K4282" s="4">
        <v>190.06</v>
      </c>
      <c r="L4282" s="6">
        <v>5.98</v>
      </c>
    </row>
    <row r="4283" spans="1:12" x14ac:dyDescent="0.25">
      <c r="A4283" s="1">
        <v>4282</v>
      </c>
      <c r="B4283" s="4">
        <v>30499</v>
      </c>
      <c r="C4283" s="5">
        <v>41212</v>
      </c>
      <c r="D4283" s="3" t="s">
        <v>89</v>
      </c>
      <c r="E4283" s="1" t="s">
        <v>1158</v>
      </c>
      <c r="F4283" s="1" t="s">
        <v>38</v>
      </c>
      <c r="G4283" s="2" t="s">
        <v>6</v>
      </c>
      <c r="H4283" s="3" t="s">
        <v>100</v>
      </c>
      <c r="I4283" s="3" t="s">
        <v>85</v>
      </c>
      <c r="J4283" s="3" t="s">
        <v>71</v>
      </c>
      <c r="K4283" s="4">
        <v>92.06</v>
      </c>
      <c r="L4283" s="6">
        <v>5.98</v>
      </c>
    </row>
    <row r="4284" spans="1:12" x14ac:dyDescent="0.25">
      <c r="A4284" s="1">
        <v>4283</v>
      </c>
      <c r="B4284" s="4">
        <v>30499</v>
      </c>
      <c r="C4284" s="5">
        <v>41212</v>
      </c>
      <c r="D4284" s="3" t="s">
        <v>89</v>
      </c>
      <c r="E4284" s="1" t="s">
        <v>1158</v>
      </c>
      <c r="F4284" s="1" t="s">
        <v>38</v>
      </c>
      <c r="G4284" s="2" t="s">
        <v>6</v>
      </c>
      <c r="H4284" s="3" t="s">
        <v>100</v>
      </c>
      <c r="I4284" s="3" t="s">
        <v>85</v>
      </c>
      <c r="J4284" s="3" t="s">
        <v>63</v>
      </c>
      <c r="K4284" s="4">
        <v>199.62</v>
      </c>
      <c r="L4284" s="6">
        <v>5.84</v>
      </c>
    </row>
    <row r="4285" spans="1:12" x14ac:dyDescent="0.25">
      <c r="A4285" s="1">
        <v>4284</v>
      </c>
      <c r="B4285" s="4">
        <v>30532</v>
      </c>
      <c r="C4285" s="5">
        <v>40873</v>
      </c>
      <c r="D4285" s="3" t="s">
        <v>89</v>
      </c>
      <c r="E4285" s="1" t="s">
        <v>705</v>
      </c>
      <c r="F4285" s="1" t="s">
        <v>22</v>
      </c>
      <c r="G4285" s="2" t="s">
        <v>6</v>
      </c>
      <c r="H4285" s="3" t="s">
        <v>97</v>
      </c>
      <c r="I4285" s="3" t="s">
        <v>85</v>
      </c>
      <c r="J4285" s="3" t="s">
        <v>69</v>
      </c>
      <c r="K4285" s="4">
        <v>431.37</v>
      </c>
      <c r="L4285" s="6">
        <v>15.22</v>
      </c>
    </row>
    <row r="4286" spans="1:12" x14ac:dyDescent="0.25">
      <c r="A4286" s="1">
        <v>4285</v>
      </c>
      <c r="B4286" s="4">
        <v>30532</v>
      </c>
      <c r="C4286" s="5">
        <v>40873</v>
      </c>
      <c r="D4286" s="3" t="s">
        <v>89</v>
      </c>
      <c r="E4286" s="1" t="s">
        <v>705</v>
      </c>
      <c r="F4286" s="1" t="s">
        <v>22</v>
      </c>
      <c r="G4286" s="2" t="s">
        <v>6</v>
      </c>
      <c r="H4286" s="3" t="s">
        <v>97</v>
      </c>
      <c r="I4286" s="3" t="s">
        <v>85</v>
      </c>
      <c r="J4286" s="3" t="s">
        <v>71</v>
      </c>
      <c r="K4286" s="4">
        <v>262.31</v>
      </c>
      <c r="L4286" s="6">
        <v>11.09</v>
      </c>
    </row>
    <row r="4287" spans="1:12" x14ac:dyDescent="0.25">
      <c r="A4287" s="1">
        <v>4286</v>
      </c>
      <c r="B4287" s="4">
        <v>30532</v>
      </c>
      <c r="C4287" s="5">
        <v>40873</v>
      </c>
      <c r="D4287" s="3" t="s">
        <v>89</v>
      </c>
      <c r="E4287" s="1" t="s">
        <v>705</v>
      </c>
      <c r="F4287" s="1" t="s">
        <v>22</v>
      </c>
      <c r="G4287" s="2" t="s">
        <v>6</v>
      </c>
      <c r="H4287" s="3" t="s">
        <v>97</v>
      </c>
      <c r="I4287" s="3" t="s">
        <v>85</v>
      </c>
      <c r="J4287" s="3" t="s">
        <v>66</v>
      </c>
      <c r="K4287" s="4">
        <v>514.03</v>
      </c>
      <c r="L4287" s="6">
        <v>11.34</v>
      </c>
    </row>
    <row r="4288" spans="1:12" x14ac:dyDescent="0.25">
      <c r="A4288" s="1">
        <v>4287</v>
      </c>
      <c r="B4288" s="4">
        <v>30532</v>
      </c>
      <c r="C4288" s="5">
        <v>40873</v>
      </c>
      <c r="D4288" s="3" t="s">
        <v>89</v>
      </c>
      <c r="E4288" s="1" t="s">
        <v>1239</v>
      </c>
      <c r="F4288" s="1" t="s">
        <v>22</v>
      </c>
      <c r="G4288" s="2" t="s">
        <v>6</v>
      </c>
      <c r="H4288" s="3" t="s">
        <v>97</v>
      </c>
      <c r="I4288" s="3" t="s">
        <v>91</v>
      </c>
      <c r="J4288" s="3" t="s">
        <v>68</v>
      </c>
      <c r="K4288" s="4">
        <v>1696.7</v>
      </c>
      <c r="L4288" s="6">
        <v>180.98</v>
      </c>
    </row>
    <row r="4289" spans="1:12" x14ac:dyDescent="0.25">
      <c r="A4289" s="1">
        <v>4288</v>
      </c>
      <c r="B4289" s="4">
        <v>30564</v>
      </c>
      <c r="C4289" s="5">
        <v>39870</v>
      </c>
      <c r="D4289" s="3" t="s">
        <v>95</v>
      </c>
      <c r="E4289" s="1" t="s">
        <v>171</v>
      </c>
      <c r="F4289" s="1" t="s">
        <v>37</v>
      </c>
      <c r="G4289" s="2" t="s">
        <v>3</v>
      </c>
      <c r="H4289" s="3" t="s">
        <v>97</v>
      </c>
      <c r="I4289" s="3" t="s">
        <v>92</v>
      </c>
      <c r="J4289" s="3" t="s">
        <v>61</v>
      </c>
      <c r="K4289" s="4">
        <v>606.39850000000001</v>
      </c>
      <c r="L4289" s="6">
        <v>35.99</v>
      </c>
    </row>
    <row r="4290" spans="1:12" x14ac:dyDescent="0.25">
      <c r="A4290" s="1">
        <v>4289</v>
      </c>
      <c r="B4290" s="4">
        <v>30565</v>
      </c>
      <c r="C4290" s="5">
        <v>40750</v>
      </c>
      <c r="D4290" s="3" t="s">
        <v>4</v>
      </c>
      <c r="E4290" s="1" t="s">
        <v>135</v>
      </c>
      <c r="F4290" s="1" t="s">
        <v>19</v>
      </c>
      <c r="G4290" s="2" t="s">
        <v>3</v>
      </c>
      <c r="H4290" s="3" t="s">
        <v>88</v>
      </c>
      <c r="I4290" s="3" t="s">
        <v>92</v>
      </c>
      <c r="J4290" s="3" t="s">
        <v>62</v>
      </c>
      <c r="K4290" s="4">
        <v>1785.02</v>
      </c>
      <c r="L4290" s="6">
        <v>55.94</v>
      </c>
    </row>
    <row r="4291" spans="1:12" x14ac:dyDescent="0.25">
      <c r="A4291" s="1">
        <v>4290</v>
      </c>
      <c r="B4291" s="4">
        <v>30566</v>
      </c>
      <c r="C4291" s="5">
        <v>40725</v>
      </c>
      <c r="D4291" s="3" t="s">
        <v>82</v>
      </c>
      <c r="E4291" s="1" t="s">
        <v>912</v>
      </c>
      <c r="F4291" s="1" t="s">
        <v>36</v>
      </c>
      <c r="G4291" s="2" t="s">
        <v>2</v>
      </c>
      <c r="H4291" s="3" t="s">
        <v>84</v>
      </c>
      <c r="I4291" s="3" t="s">
        <v>85</v>
      </c>
      <c r="J4291" s="3" t="s">
        <v>66</v>
      </c>
      <c r="K4291" s="4">
        <v>225.45</v>
      </c>
      <c r="L4291" s="6">
        <v>6.48</v>
      </c>
    </row>
    <row r="4292" spans="1:12" x14ac:dyDescent="0.25">
      <c r="A4292" s="1">
        <v>4291</v>
      </c>
      <c r="B4292" s="4">
        <v>30567</v>
      </c>
      <c r="C4292" s="5">
        <v>39827</v>
      </c>
      <c r="D4292" s="3" t="s">
        <v>86</v>
      </c>
      <c r="E4292" s="1" t="s">
        <v>974</v>
      </c>
      <c r="F4292" s="1" t="s">
        <v>19</v>
      </c>
      <c r="G4292" s="2" t="s">
        <v>3</v>
      </c>
      <c r="H4292" s="3" t="s">
        <v>84</v>
      </c>
      <c r="I4292" s="3" t="s">
        <v>85</v>
      </c>
      <c r="J4292" s="3" t="s">
        <v>70</v>
      </c>
      <c r="K4292" s="4">
        <v>2690.84</v>
      </c>
      <c r="L4292" s="6">
        <v>208.16</v>
      </c>
    </row>
    <row r="4293" spans="1:12" x14ac:dyDescent="0.25">
      <c r="A4293" s="1">
        <v>4292</v>
      </c>
      <c r="B4293" s="4">
        <v>30567</v>
      </c>
      <c r="C4293" s="5">
        <v>39827</v>
      </c>
      <c r="D4293" s="3" t="s">
        <v>86</v>
      </c>
      <c r="E4293" s="1" t="s">
        <v>729</v>
      </c>
      <c r="F4293" s="1" t="s">
        <v>19</v>
      </c>
      <c r="G4293" s="2" t="s">
        <v>3</v>
      </c>
      <c r="H4293" s="3" t="s">
        <v>84</v>
      </c>
      <c r="I4293" s="3" t="s">
        <v>85</v>
      </c>
      <c r="J4293" s="3" t="s">
        <v>71</v>
      </c>
      <c r="K4293" s="4">
        <v>733.55</v>
      </c>
      <c r="L4293" s="6">
        <v>90.48</v>
      </c>
    </row>
    <row r="4294" spans="1:12" x14ac:dyDescent="0.25">
      <c r="A4294" s="1">
        <v>4293</v>
      </c>
      <c r="B4294" s="4">
        <v>30567</v>
      </c>
      <c r="C4294" s="5">
        <v>39827</v>
      </c>
      <c r="D4294" s="3" t="s">
        <v>86</v>
      </c>
      <c r="E4294" s="1" t="s">
        <v>729</v>
      </c>
      <c r="F4294" s="1" t="s">
        <v>19</v>
      </c>
      <c r="G4294" s="2" t="s">
        <v>3</v>
      </c>
      <c r="H4294" s="3" t="s">
        <v>84</v>
      </c>
      <c r="I4294" s="3" t="s">
        <v>91</v>
      </c>
      <c r="J4294" s="3" t="s">
        <v>59</v>
      </c>
      <c r="K4294" s="4">
        <v>38.71</v>
      </c>
      <c r="L4294" s="6">
        <v>9.48</v>
      </c>
    </row>
    <row r="4295" spans="1:12" x14ac:dyDescent="0.25">
      <c r="A4295" s="1">
        <v>4294</v>
      </c>
      <c r="B4295" s="4">
        <v>30567</v>
      </c>
      <c r="C4295" s="5">
        <v>39827</v>
      </c>
      <c r="D4295" s="3" t="s">
        <v>86</v>
      </c>
      <c r="E4295" s="1" t="s">
        <v>729</v>
      </c>
      <c r="F4295" s="1" t="s">
        <v>19</v>
      </c>
      <c r="G4295" s="2" t="s">
        <v>3</v>
      </c>
      <c r="H4295" s="3" t="s">
        <v>84</v>
      </c>
      <c r="I4295" s="3" t="s">
        <v>85</v>
      </c>
      <c r="J4295" s="3" t="s">
        <v>63</v>
      </c>
      <c r="K4295" s="4">
        <v>62.6</v>
      </c>
      <c r="L4295" s="6">
        <v>4.28</v>
      </c>
    </row>
    <row r="4296" spans="1:12" x14ac:dyDescent="0.25">
      <c r="A4296" s="1">
        <v>4295</v>
      </c>
      <c r="B4296" s="4">
        <v>30593</v>
      </c>
      <c r="C4296" s="5">
        <v>40749</v>
      </c>
      <c r="D4296" s="3" t="s">
        <v>95</v>
      </c>
      <c r="E4296" s="1" t="s">
        <v>1240</v>
      </c>
      <c r="F4296" s="1" t="s">
        <v>51</v>
      </c>
      <c r="G4296" s="2" t="s">
        <v>1</v>
      </c>
      <c r="H4296" s="3" t="s">
        <v>84</v>
      </c>
      <c r="I4296" s="3" t="s">
        <v>91</v>
      </c>
      <c r="J4296" s="3" t="s">
        <v>59</v>
      </c>
      <c r="K4296" s="4">
        <v>97.65</v>
      </c>
      <c r="L4296" s="6">
        <v>4.18</v>
      </c>
    </row>
    <row r="4297" spans="1:12" x14ac:dyDescent="0.25">
      <c r="A4297" s="1">
        <v>4296</v>
      </c>
      <c r="B4297" s="4">
        <v>30593</v>
      </c>
      <c r="C4297" s="5">
        <v>40749</v>
      </c>
      <c r="D4297" s="3" t="s">
        <v>95</v>
      </c>
      <c r="E4297" s="1" t="s">
        <v>1240</v>
      </c>
      <c r="F4297" s="1" t="s">
        <v>51</v>
      </c>
      <c r="G4297" s="2" t="s">
        <v>1</v>
      </c>
      <c r="H4297" s="3" t="s">
        <v>84</v>
      </c>
      <c r="I4297" s="3" t="s">
        <v>85</v>
      </c>
      <c r="J4297" s="3" t="s">
        <v>63</v>
      </c>
      <c r="K4297" s="4">
        <v>1408.34</v>
      </c>
      <c r="L4297" s="6">
        <v>34.58</v>
      </c>
    </row>
    <row r="4298" spans="1:12" x14ac:dyDescent="0.25">
      <c r="A4298" s="1">
        <v>4297</v>
      </c>
      <c r="B4298" s="4">
        <v>30597</v>
      </c>
      <c r="C4298" s="5">
        <v>41126</v>
      </c>
      <c r="D4298" s="3" t="s">
        <v>89</v>
      </c>
      <c r="E4298" s="1" t="s">
        <v>736</v>
      </c>
      <c r="F4298" s="1" t="s">
        <v>22</v>
      </c>
      <c r="G4298" s="2" t="s">
        <v>6</v>
      </c>
      <c r="H4298" s="3" t="s">
        <v>100</v>
      </c>
      <c r="I4298" s="3" t="s">
        <v>91</v>
      </c>
      <c r="J4298" s="3" t="s">
        <v>59</v>
      </c>
      <c r="K4298" s="4">
        <v>93.02</v>
      </c>
      <c r="L4298" s="6">
        <v>5.08</v>
      </c>
    </row>
    <row r="4299" spans="1:12" x14ac:dyDescent="0.25">
      <c r="A4299" s="1">
        <v>4298</v>
      </c>
      <c r="B4299" s="4">
        <v>30597</v>
      </c>
      <c r="C4299" s="5">
        <v>41126</v>
      </c>
      <c r="D4299" s="3" t="s">
        <v>89</v>
      </c>
      <c r="E4299" s="1" t="s">
        <v>736</v>
      </c>
      <c r="F4299" s="1" t="s">
        <v>22</v>
      </c>
      <c r="G4299" s="2" t="s">
        <v>6</v>
      </c>
      <c r="H4299" s="3" t="s">
        <v>100</v>
      </c>
      <c r="I4299" s="3" t="s">
        <v>85</v>
      </c>
      <c r="J4299" s="3" t="s">
        <v>57</v>
      </c>
      <c r="K4299" s="4">
        <v>639.84</v>
      </c>
      <c r="L4299" s="6">
        <v>15.14</v>
      </c>
    </row>
    <row r="4300" spans="1:12" x14ac:dyDescent="0.25">
      <c r="A4300" s="1">
        <v>4299</v>
      </c>
      <c r="B4300" s="4">
        <v>30599</v>
      </c>
      <c r="C4300" s="5">
        <v>40949</v>
      </c>
      <c r="D4300" s="3" t="s">
        <v>86</v>
      </c>
      <c r="E4300" s="1" t="s">
        <v>512</v>
      </c>
      <c r="F4300" s="1" t="s">
        <v>48</v>
      </c>
      <c r="G4300" s="2" t="s">
        <v>1</v>
      </c>
      <c r="H4300" s="3" t="s">
        <v>88</v>
      </c>
      <c r="I4300" s="3" t="s">
        <v>85</v>
      </c>
      <c r="J4300" s="3" t="s">
        <v>66</v>
      </c>
      <c r="K4300" s="4">
        <v>105.93</v>
      </c>
      <c r="L4300" s="6">
        <v>4.76</v>
      </c>
    </row>
    <row r="4301" spans="1:12" x14ac:dyDescent="0.25">
      <c r="A4301" s="1">
        <v>4300</v>
      </c>
      <c r="B4301" s="4">
        <v>30625</v>
      </c>
      <c r="C4301" s="5">
        <v>40217</v>
      </c>
      <c r="D4301" s="3" t="s">
        <v>95</v>
      </c>
      <c r="E4301" s="1" t="s">
        <v>193</v>
      </c>
      <c r="F4301" s="2" t="s">
        <v>42</v>
      </c>
      <c r="G4301" s="2" t="s">
        <v>3</v>
      </c>
      <c r="H4301" s="3" t="s">
        <v>88</v>
      </c>
      <c r="I4301" s="3" t="s">
        <v>85</v>
      </c>
      <c r="J4301" s="3" t="s">
        <v>69</v>
      </c>
      <c r="K4301" s="4">
        <v>478.94</v>
      </c>
      <c r="L4301" s="6">
        <v>12.53</v>
      </c>
    </row>
    <row r="4302" spans="1:12" x14ac:dyDescent="0.25">
      <c r="A4302" s="1">
        <v>4301</v>
      </c>
      <c r="B4302" s="4">
        <v>30625</v>
      </c>
      <c r="C4302" s="5">
        <v>40217</v>
      </c>
      <c r="D4302" s="3" t="s">
        <v>95</v>
      </c>
      <c r="E4302" s="1" t="s">
        <v>193</v>
      </c>
      <c r="F4302" s="2" t="s">
        <v>42</v>
      </c>
      <c r="G4302" s="2" t="s">
        <v>3</v>
      </c>
      <c r="H4302" s="3" t="s">
        <v>88</v>
      </c>
      <c r="I4302" s="3" t="s">
        <v>91</v>
      </c>
      <c r="J4302" s="3" t="s">
        <v>59</v>
      </c>
      <c r="K4302" s="4">
        <v>2429.09</v>
      </c>
      <c r="L4302" s="6">
        <v>105.29</v>
      </c>
    </row>
    <row r="4303" spans="1:12" x14ac:dyDescent="0.25">
      <c r="A4303" s="1">
        <v>4302</v>
      </c>
      <c r="B4303" s="4">
        <v>30626</v>
      </c>
      <c r="C4303" s="5">
        <v>40658</v>
      </c>
      <c r="D4303" s="3" t="s">
        <v>95</v>
      </c>
      <c r="E4303" s="1" t="s">
        <v>1092</v>
      </c>
      <c r="F4303" s="1" t="s">
        <v>44</v>
      </c>
      <c r="G4303" s="2" t="s">
        <v>3</v>
      </c>
      <c r="H4303" s="3" t="s">
        <v>88</v>
      </c>
      <c r="I4303" s="3" t="s">
        <v>85</v>
      </c>
      <c r="J4303" s="3" t="s">
        <v>63</v>
      </c>
      <c r="K4303" s="4">
        <v>220.82</v>
      </c>
      <c r="L4303" s="6">
        <v>9.93</v>
      </c>
    </row>
    <row r="4304" spans="1:12" x14ac:dyDescent="0.25">
      <c r="A4304" s="1">
        <v>4303</v>
      </c>
      <c r="B4304" s="4">
        <v>30657</v>
      </c>
      <c r="C4304" s="5">
        <v>40673</v>
      </c>
      <c r="D4304" s="3" t="s">
        <v>89</v>
      </c>
      <c r="E4304" s="1" t="s">
        <v>1241</v>
      </c>
      <c r="F4304" s="1" t="s">
        <v>10</v>
      </c>
      <c r="G4304" s="2" t="s">
        <v>3</v>
      </c>
      <c r="H4304" s="3" t="s">
        <v>88</v>
      </c>
      <c r="I4304" s="3" t="s">
        <v>92</v>
      </c>
      <c r="J4304" s="3" t="s">
        <v>62</v>
      </c>
      <c r="K4304" s="4">
        <v>273.38</v>
      </c>
      <c r="L4304" s="6">
        <v>43.22</v>
      </c>
    </row>
    <row r="4305" spans="1:12" x14ac:dyDescent="0.25">
      <c r="A4305" s="1">
        <v>4304</v>
      </c>
      <c r="B4305" s="4">
        <v>30657</v>
      </c>
      <c r="C4305" s="5">
        <v>40673</v>
      </c>
      <c r="D4305" s="3" t="s">
        <v>89</v>
      </c>
      <c r="E4305" s="1" t="s">
        <v>1241</v>
      </c>
      <c r="F4305" s="1" t="s">
        <v>10</v>
      </c>
      <c r="G4305" s="2" t="s">
        <v>3</v>
      </c>
      <c r="H4305" s="3" t="s">
        <v>88</v>
      </c>
      <c r="I4305" s="3" t="s">
        <v>92</v>
      </c>
      <c r="J4305" s="3" t="s">
        <v>62</v>
      </c>
      <c r="K4305" s="4">
        <v>179.66</v>
      </c>
      <c r="L4305" s="6">
        <v>22.24</v>
      </c>
    </row>
    <row r="4306" spans="1:12" x14ac:dyDescent="0.25">
      <c r="A4306" s="1">
        <v>4305</v>
      </c>
      <c r="B4306" s="4">
        <v>30658</v>
      </c>
      <c r="C4306" s="5">
        <v>40628</v>
      </c>
      <c r="D4306" s="3" t="s">
        <v>4</v>
      </c>
      <c r="E4306" s="1" t="s">
        <v>1085</v>
      </c>
      <c r="F4306" s="1" t="s">
        <v>8</v>
      </c>
      <c r="G4306" s="2" t="s">
        <v>6</v>
      </c>
      <c r="H4306" s="3" t="s">
        <v>88</v>
      </c>
      <c r="I4306" s="3" t="s">
        <v>92</v>
      </c>
      <c r="J4306" s="3" t="s">
        <v>73</v>
      </c>
      <c r="K4306" s="4">
        <v>17387.650000000001</v>
      </c>
      <c r="L4306" s="6">
        <v>499.99</v>
      </c>
    </row>
    <row r="4307" spans="1:12" x14ac:dyDescent="0.25">
      <c r="A4307" s="1">
        <v>4306</v>
      </c>
      <c r="B4307" s="4">
        <v>30658</v>
      </c>
      <c r="C4307" s="5">
        <v>40628</v>
      </c>
      <c r="D4307" s="3" t="s">
        <v>4</v>
      </c>
      <c r="E4307" s="1" t="s">
        <v>1085</v>
      </c>
      <c r="F4307" s="1" t="s">
        <v>8</v>
      </c>
      <c r="G4307" s="2" t="s">
        <v>6</v>
      </c>
      <c r="H4307" s="3" t="s">
        <v>88</v>
      </c>
      <c r="I4307" s="3" t="s">
        <v>85</v>
      </c>
      <c r="J4307" s="3" t="s">
        <v>57</v>
      </c>
      <c r="K4307" s="4">
        <v>6040.22</v>
      </c>
      <c r="L4307" s="6">
        <v>138.13999999999999</v>
      </c>
    </row>
    <row r="4308" spans="1:12" x14ac:dyDescent="0.25">
      <c r="A4308" s="1">
        <v>4307</v>
      </c>
      <c r="B4308" s="4">
        <v>30659</v>
      </c>
      <c r="C4308" s="5">
        <v>40799</v>
      </c>
      <c r="D4308" s="3" t="s">
        <v>95</v>
      </c>
      <c r="E4308" s="1" t="s">
        <v>711</v>
      </c>
      <c r="F4308" s="1" t="s">
        <v>28</v>
      </c>
      <c r="G4308" s="2" t="s">
        <v>6</v>
      </c>
      <c r="H4308" s="3" t="s">
        <v>88</v>
      </c>
      <c r="I4308" s="3" t="s">
        <v>92</v>
      </c>
      <c r="J4308" s="3" t="s">
        <v>61</v>
      </c>
      <c r="K4308" s="4">
        <v>3116.7714999999998</v>
      </c>
      <c r="L4308" s="6">
        <v>85.99</v>
      </c>
    </row>
    <row r="4309" spans="1:12" x14ac:dyDescent="0.25">
      <c r="A4309" s="1">
        <v>4308</v>
      </c>
      <c r="B4309" s="4">
        <v>30660</v>
      </c>
      <c r="C4309" s="5">
        <v>41157</v>
      </c>
      <c r="D4309" s="3" t="s">
        <v>95</v>
      </c>
      <c r="E4309" s="1" t="s">
        <v>191</v>
      </c>
      <c r="F4309" s="1" t="s">
        <v>28</v>
      </c>
      <c r="G4309" s="2" t="s">
        <v>6</v>
      </c>
      <c r="H4309" s="3" t="s">
        <v>84</v>
      </c>
      <c r="I4309" s="3" t="s">
        <v>91</v>
      </c>
      <c r="J4309" s="3" t="s">
        <v>60</v>
      </c>
      <c r="K4309" s="4">
        <v>986.27199999999993</v>
      </c>
      <c r="L4309" s="6">
        <v>71.37</v>
      </c>
    </row>
    <row r="4310" spans="1:12" x14ac:dyDescent="0.25">
      <c r="A4310" s="1">
        <v>4309</v>
      </c>
      <c r="B4310" s="4">
        <v>30720</v>
      </c>
      <c r="C4310" s="5">
        <v>41179</v>
      </c>
      <c r="D4310" s="3" t="s">
        <v>82</v>
      </c>
      <c r="E4310" s="1" t="s">
        <v>114</v>
      </c>
      <c r="F4310" s="1" t="s">
        <v>24</v>
      </c>
      <c r="G4310" s="2" t="s">
        <v>2</v>
      </c>
      <c r="H4310" s="3" t="s">
        <v>84</v>
      </c>
      <c r="I4310" s="3" t="s">
        <v>85</v>
      </c>
      <c r="J4310" s="3" t="s">
        <v>69</v>
      </c>
      <c r="K4310" s="4">
        <v>32.770000000000003</v>
      </c>
      <c r="L4310" s="6">
        <v>5.74</v>
      </c>
    </row>
    <row r="4311" spans="1:12" x14ac:dyDescent="0.25">
      <c r="A4311" s="1">
        <v>4310</v>
      </c>
      <c r="B4311" s="4">
        <v>30720</v>
      </c>
      <c r="C4311" s="5">
        <v>41179</v>
      </c>
      <c r="D4311" s="3" t="s">
        <v>82</v>
      </c>
      <c r="E4311" s="1" t="s">
        <v>114</v>
      </c>
      <c r="F4311" s="1" t="s">
        <v>24</v>
      </c>
      <c r="G4311" s="2" t="s">
        <v>2</v>
      </c>
      <c r="H4311" s="3" t="s">
        <v>84</v>
      </c>
      <c r="I4311" s="3" t="s">
        <v>92</v>
      </c>
      <c r="J4311" s="3" t="s">
        <v>62</v>
      </c>
      <c r="K4311" s="4">
        <v>1701.53</v>
      </c>
      <c r="L4311" s="6">
        <v>43.98</v>
      </c>
    </row>
    <row r="4312" spans="1:12" x14ac:dyDescent="0.25">
      <c r="A4312" s="1">
        <v>4311</v>
      </c>
      <c r="B4312" s="4">
        <v>30720</v>
      </c>
      <c r="C4312" s="5">
        <v>41179</v>
      </c>
      <c r="D4312" s="3" t="s">
        <v>82</v>
      </c>
      <c r="E4312" s="1" t="s">
        <v>907</v>
      </c>
      <c r="F4312" s="1" t="s">
        <v>21</v>
      </c>
      <c r="G4312" s="2" t="s">
        <v>1</v>
      </c>
      <c r="H4312" s="3" t="s">
        <v>84</v>
      </c>
      <c r="I4312" s="3" t="s">
        <v>91</v>
      </c>
      <c r="J4312" s="3" t="s">
        <v>59</v>
      </c>
      <c r="K4312" s="4">
        <v>2398.9</v>
      </c>
      <c r="L4312" s="6">
        <v>95.46</v>
      </c>
    </row>
    <row r="4313" spans="1:12" x14ac:dyDescent="0.25">
      <c r="A4313" s="1">
        <v>4312</v>
      </c>
      <c r="B4313" s="4">
        <v>30725</v>
      </c>
      <c r="C4313" s="5">
        <v>40175</v>
      </c>
      <c r="D4313" s="3" t="s">
        <v>4</v>
      </c>
      <c r="E4313" s="1" t="s">
        <v>1242</v>
      </c>
      <c r="F4313" s="1" t="s">
        <v>15</v>
      </c>
      <c r="G4313" s="2" t="s">
        <v>1</v>
      </c>
      <c r="H4313" s="3" t="s">
        <v>84</v>
      </c>
      <c r="I4313" s="3" t="s">
        <v>92</v>
      </c>
      <c r="J4313" s="3" t="s">
        <v>73</v>
      </c>
      <c r="K4313" s="4">
        <v>16468.55</v>
      </c>
      <c r="L4313" s="6">
        <v>449.99</v>
      </c>
    </row>
    <row r="4314" spans="1:12" x14ac:dyDescent="0.25">
      <c r="A4314" s="1">
        <v>4313</v>
      </c>
      <c r="B4314" s="4">
        <v>30726</v>
      </c>
      <c r="C4314" s="5">
        <v>40142</v>
      </c>
      <c r="D4314" s="3" t="s">
        <v>4</v>
      </c>
      <c r="E4314" s="1" t="s">
        <v>1243</v>
      </c>
      <c r="F4314" s="1" t="s">
        <v>34</v>
      </c>
      <c r="G4314" s="2" t="s">
        <v>1</v>
      </c>
      <c r="H4314" s="3" t="s">
        <v>97</v>
      </c>
      <c r="I4314" s="3" t="s">
        <v>85</v>
      </c>
      <c r="J4314" s="3" t="s">
        <v>70</v>
      </c>
      <c r="K4314" s="4">
        <v>725.15</v>
      </c>
      <c r="L4314" s="6">
        <v>20.27</v>
      </c>
    </row>
    <row r="4315" spans="1:12" x14ac:dyDescent="0.25">
      <c r="A4315" s="1">
        <v>4314</v>
      </c>
      <c r="B4315" s="4">
        <v>30727</v>
      </c>
      <c r="C4315" s="5">
        <v>41115</v>
      </c>
      <c r="D4315" s="3" t="s">
        <v>4</v>
      </c>
      <c r="E4315" s="1" t="s">
        <v>376</v>
      </c>
      <c r="F4315" s="1" t="s">
        <v>34</v>
      </c>
      <c r="G4315" s="2" t="s">
        <v>1</v>
      </c>
      <c r="H4315" s="3" t="s">
        <v>84</v>
      </c>
      <c r="I4315" s="3" t="s">
        <v>85</v>
      </c>
      <c r="J4315" s="3" t="s">
        <v>70</v>
      </c>
      <c r="K4315" s="4">
        <v>1166.29</v>
      </c>
      <c r="L4315" s="6">
        <v>41.71</v>
      </c>
    </row>
    <row r="4316" spans="1:12" x14ac:dyDescent="0.25">
      <c r="A4316" s="1">
        <v>4315</v>
      </c>
      <c r="B4316" s="4">
        <v>30754</v>
      </c>
      <c r="C4316" s="5">
        <v>40507</v>
      </c>
      <c r="D4316" s="3" t="s">
        <v>82</v>
      </c>
      <c r="E4316" s="1" t="s">
        <v>210</v>
      </c>
      <c r="F4316" s="1" t="s">
        <v>27</v>
      </c>
      <c r="G4316" s="2" t="s">
        <v>1</v>
      </c>
      <c r="H4316" s="3" t="s">
        <v>97</v>
      </c>
      <c r="I4316" s="3" t="s">
        <v>91</v>
      </c>
      <c r="J4316" s="3" t="s">
        <v>60</v>
      </c>
      <c r="K4316" s="4">
        <v>4108.17</v>
      </c>
      <c r="L4316" s="6">
        <v>209.37</v>
      </c>
    </row>
    <row r="4317" spans="1:12" x14ac:dyDescent="0.25">
      <c r="A4317" s="1">
        <v>4316</v>
      </c>
      <c r="B4317" s="4">
        <v>30757</v>
      </c>
      <c r="C4317" s="5">
        <v>40538</v>
      </c>
      <c r="D4317" s="3" t="s">
        <v>4</v>
      </c>
      <c r="E4317" s="1" t="s">
        <v>757</v>
      </c>
      <c r="F4317" s="1" t="s">
        <v>12</v>
      </c>
      <c r="G4317" s="2" t="s">
        <v>2</v>
      </c>
      <c r="H4317" s="3" t="s">
        <v>97</v>
      </c>
      <c r="I4317" s="3" t="s">
        <v>85</v>
      </c>
      <c r="J4317" s="3" t="s">
        <v>63</v>
      </c>
      <c r="K4317" s="4">
        <v>21.32</v>
      </c>
      <c r="L4317" s="6">
        <v>3.38</v>
      </c>
    </row>
    <row r="4318" spans="1:12" x14ac:dyDescent="0.25">
      <c r="A4318" s="1">
        <v>4317</v>
      </c>
      <c r="B4318" s="4">
        <v>30757</v>
      </c>
      <c r="C4318" s="5">
        <v>40538</v>
      </c>
      <c r="D4318" s="3" t="s">
        <v>4</v>
      </c>
      <c r="E4318" s="1" t="s">
        <v>757</v>
      </c>
      <c r="F4318" s="1" t="s">
        <v>12</v>
      </c>
      <c r="G4318" s="2" t="s">
        <v>2</v>
      </c>
      <c r="H4318" s="3" t="s">
        <v>97</v>
      </c>
      <c r="I4318" s="3" t="s">
        <v>85</v>
      </c>
      <c r="J4318" s="3" t="s">
        <v>63</v>
      </c>
      <c r="K4318" s="4">
        <v>457.51</v>
      </c>
      <c r="L4318" s="6">
        <v>11.66</v>
      </c>
    </row>
    <row r="4319" spans="1:12" x14ac:dyDescent="0.25">
      <c r="A4319" s="1">
        <v>4318</v>
      </c>
      <c r="B4319" s="4">
        <v>30759</v>
      </c>
      <c r="C4319" s="5">
        <v>39941</v>
      </c>
      <c r="D4319" s="3" t="s">
        <v>86</v>
      </c>
      <c r="E4319" s="1" t="s">
        <v>1223</v>
      </c>
      <c r="F4319" s="1" t="s">
        <v>24</v>
      </c>
      <c r="G4319" s="2" t="s">
        <v>2</v>
      </c>
      <c r="H4319" s="3" t="s">
        <v>88</v>
      </c>
      <c r="I4319" s="3" t="s">
        <v>91</v>
      </c>
      <c r="J4319" s="3" t="s">
        <v>59</v>
      </c>
      <c r="K4319" s="4">
        <v>64.790000000000006</v>
      </c>
      <c r="L4319" s="6">
        <v>29.34</v>
      </c>
    </row>
    <row r="4320" spans="1:12" x14ac:dyDescent="0.25">
      <c r="A4320" s="1">
        <v>4319</v>
      </c>
      <c r="B4320" s="4">
        <v>30784</v>
      </c>
      <c r="C4320" s="5">
        <v>41036</v>
      </c>
      <c r="D4320" s="3" t="s">
        <v>4</v>
      </c>
      <c r="E4320" s="1" t="s">
        <v>1008</v>
      </c>
      <c r="F4320" s="1" t="s">
        <v>15</v>
      </c>
      <c r="G4320" s="2" t="s">
        <v>1</v>
      </c>
      <c r="H4320" s="3" t="s">
        <v>84</v>
      </c>
      <c r="I4320" s="3" t="s">
        <v>91</v>
      </c>
      <c r="J4320" s="3" t="s">
        <v>68</v>
      </c>
      <c r="K4320" s="4">
        <v>707.3</v>
      </c>
      <c r="L4320" s="6">
        <v>70.98</v>
      </c>
    </row>
    <row r="4321" spans="1:12" x14ac:dyDescent="0.25">
      <c r="A4321" s="1">
        <v>4320</v>
      </c>
      <c r="B4321" s="4">
        <v>30784</v>
      </c>
      <c r="C4321" s="5">
        <v>41036</v>
      </c>
      <c r="D4321" s="3" t="s">
        <v>4</v>
      </c>
      <c r="E4321" s="1" t="s">
        <v>1008</v>
      </c>
      <c r="F4321" s="1" t="s">
        <v>15</v>
      </c>
      <c r="G4321" s="2" t="s">
        <v>1</v>
      </c>
      <c r="H4321" s="3" t="s">
        <v>84</v>
      </c>
      <c r="I4321" s="3" t="s">
        <v>85</v>
      </c>
      <c r="J4321" s="3" t="s">
        <v>63</v>
      </c>
      <c r="K4321" s="4">
        <v>335.64</v>
      </c>
      <c r="L4321" s="6">
        <v>6.7</v>
      </c>
    </row>
    <row r="4322" spans="1:12" x14ac:dyDescent="0.25">
      <c r="A4322" s="1">
        <v>4321</v>
      </c>
      <c r="B4322" s="4">
        <v>30785</v>
      </c>
      <c r="C4322" s="5">
        <v>39997</v>
      </c>
      <c r="D4322" s="3" t="s">
        <v>89</v>
      </c>
      <c r="E4322" s="1" t="s">
        <v>1090</v>
      </c>
      <c r="F4322" s="1" t="s">
        <v>25</v>
      </c>
      <c r="G4322" s="2" t="s">
        <v>6</v>
      </c>
      <c r="H4322" s="3" t="s">
        <v>97</v>
      </c>
      <c r="I4322" s="3" t="s">
        <v>85</v>
      </c>
      <c r="J4322" s="3" t="s">
        <v>66</v>
      </c>
      <c r="K4322" s="4">
        <v>55.81</v>
      </c>
      <c r="L4322" s="6">
        <v>6.48</v>
      </c>
    </row>
    <row r="4323" spans="1:12" x14ac:dyDescent="0.25">
      <c r="A4323" s="1">
        <v>4322</v>
      </c>
      <c r="B4323" s="4">
        <v>30785</v>
      </c>
      <c r="C4323" s="5">
        <v>39997</v>
      </c>
      <c r="D4323" s="3" t="s">
        <v>89</v>
      </c>
      <c r="E4323" s="1" t="s">
        <v>1244</v>
      </c>
      <c r="F4323" s="1" t="s">
        <v>25</v>
      </c>
      <c r="G4323" s="2" t="s">
        <v>6</v>
      </c>
      <c r="H4323" s="3" t="s">
        <v>97</v>
      </c>
      <c r="I4323" s="3" t="s">
        <v>85</v>
      </c>
      <c r="J4323" s="3" t="s">
        <v>63</v>
      </c>
      <c r="K4323" s="4">
        <v>373.07</v>
      </c>
      <c r="L4323" s="6">
        <v>9.93</v>
      </c>
    </row>
    <row r="4324" spans="1:12" x14ac:dyDescent="0.25">
      <c r="A4324" s="1">
        <v>4323</v>
      </c>
      <c r="B4324" s="4">
        <v>30786</v>
      </c>
      <c r="C4324" s="5">
        <v>41106</v>
      </c>
      <c r="D4324" s="3" t="s">
        <v>4</v>
      </c>
      <c r="E4324" s="1" t="s">
        <v>225</v>
      </c>
      <c r="F4324" s="1" t="s">
        <v>14</v>
      </c>
      <c r="G4324" s="2" t="s">
        <v>2</v>
      </c>
      <c r="H4324" s="3" t="s">
        <v>84</v>
      </c>
      <c r="I4324" s="3" t="s">
        <v>85</v>
      </c>
      <c r="J4324" s="3" t="s">
        <v>63</v>
      </c>
      <c r="K4324" s="4">
        <v>65.91</v>
      </c>
      <c r="L4324" s="6">
        <v>2.78</v>
      </c>
    </row>
    <row r="4325" spans="1:12" x14ac:dyDescent="0.25">
      <c r="A4325" s="1">
        <v>4324</v>
      </c>
      <c r="B4325" s="4">
        <v>30786</v>
      </c>
      <c r="C4325" s="5">
        <v>41106</v>
      </c>
      <c r="D4325" s="3" t="s">
        <v>4</v>
      </c>
      <c r="E4325" s="1" t="s">
        <v>225</v>
      </c>
      <c r="F4325" s="1" t="s">
        <v>14</v>
      </c>
      <c r="G4325" s="2" t="s">
        <v>2</v>
      </c>
      <c r="H4325" s="3" t="s">
        <v>84</v>
      </c>
      <c r="I4325" s="3" t="s">
        <v>85</v>
      </c>
      <c r="J4325" s="3" t="s">
        <v>57</v>
      </c>
      <c r="K4325" s="4">
        <v>72.72</v>
      </c>
      <c r="L4325" s="6">
        <v>15.42</v>
      </c>
    </row>
    <row r="4326" spans="1:12" x14ac:dyDescent="0.25">
      <c r="A4326" s="1">
        <v>4325</v>
      </c>
      <c r="B4326" s="4">
        <v>30787</v>
      </c>
      <c r="C4326" s="5">
        <v>40813</v>
      </c>
      <c r="D4326" s="3" t="s">
        <v>89</v>
      </c>
      <c r="E4326" s="1" t="s">
        <v>1104</v>
      </c>
      <c r="F4326" s="1" t="s">
        <v>40</v>
      </c>
      <c r="G4326" s="2" t="s">
        <v>6</v>
      </c>
      <c r="H4326" s="3" t="s">
        <v>97</v>
      </c>
      <c r="I4326" s="3" t="s">
        <v>92</v>
      </c>
      <c r="J4326" s="3" t="s">
        <v>61</v>
      </c>
      <c r="K4326" s="4">
        <v>6477.4589999999998</v>
      </c>
      <c r="L4326" s="6">
        <v>175.99</v>
      </c>
    </row>
    <row r="4327" spans="1:12" x14ac:dyDescent="0.25">
      <c r="A4327" s="1">
        <v>4326</v>
      </c>
      <c r="B4327" s="4">
        <v>30820</v>
      </c>
      <c r="C4327" s="5">
        <v>40642</v>
      </c>
      <c r="D4327" s="3" t="s">
        <v>95</v>
      </c>
      <c r="E4327" s="1" t="s">
        <v>1116</v>
      </c>
      <c r="F4327" s="1" t="s">
        <v>13</v>
      </c>
      <c r="G4327" s="2" t="s">
        <v>6</v>
      </c>
      <c r="H4327" s="3" t="s">
        <v>84</v>
      </c>
      <c r="I4327" s="3" t="s">
        <v>85</v>
      </c>
      <c r="J4327" s="3" t="s">
        <v>63</v>
      </c>
      <c r="K4327" s="4">
        <v>48.01</v>
      </c>
      <c r="L4327" s="6">
        <v>2.21</v>
      </c>
    </row>
    <row r="4328" spans="1:12" x14ac:dyDescent="0.25">
      <c r="A4328" s="1">
        <v>4327</v>
      </c>
      <c r="B4328" s="4">
        <v>30848</v>
      </c>
      <c r="C4328" s="5">
        <v>40664</v>
      </c>
      <c r="D4328" s="3" t="s">
        <v>4</v>
      </c>
      <c r="E4328" s="1" t="s">
        <v>872</v>
      </c>
      <c r="F4328" s="1" t="s">
        <v>24</v>
      </c>
      <c r="G4328" s="2" t="s">
        <v>2</v>
      </c>
      <c r="H4328" s="3" t="s">
        <v>88</v>
      </c>
      <c r="I4328" s="3" t="s">
        <v>91</v>
      </c>
      <c r="J4328" s="3" t="s">
        <v>60</v>
      </c>
      <c r="K4328" s="4">
        <v>4324.29</v>
      </c>
      <c r="L4328" s="6">
        <v>348.21</v>
      </c>
    </row>
    <row r="4329" spans="1:12" x14ac:dyDescent="0.25">
      <c r="A4329" s="1">
        <v>4328</v>
      </c>
      <c r="B4329" s="4">
        <v>30851</v>
      </c>
      <c r="C4329" s="5">
        <v>40442</v>
      </c>
      <c r="D4329" s="3" t="s">
        <v>82</v>
      </c>
      <c r="E4329" s="1" t="s">
        <v>651</v>
      </c>
      <c r="F4329" s="1" t="s">
        <v>44</v>
      </c>
      <c r="G4329" s="2" t="s">
        <v>3</v>
      </c>
      <c r="H4329" s="3" t="s">
        <v>100</v>
      </c>
      <c r="I4329" s="3" t="s">
        <v>85</v>
      </c>
      <c r="J4329" s="3" t="s">
        <v>63</v>
      </c>
      <c r="K4329" s="4">
        <v>336.29</v>
      </c>
      <c r="L4329" s="6">
        <v>21.38</v>
      </c>
    </row>
    <row r="4330" spans="1:12" x14ac:dyDescent="0.25">
      <c r="A4330" s="1">
        <v>4329</v>
      </c>
      <c r="B4330" s="4">
        <v>30852</v>
      </c>
      <c r="C4330" s="5">
        <v>39947</v>
      </c>
      <c r="D4330" s="3" t="s">
        <v>95</v>
      </c>
      <c r="E4330" s="1" t="s">
        <v>321</v>
      </c>
      <c r="F4330" s="1" t="s">
        <v>36</v>
      </c>
      <c r="G4330" s="2" t="s">
        <v>2</v>
      </c>
      <c r="H4330" s="3" t="s">
        <v>88</v>
      </c>
      <c r="I4330" s="3" t="s">
        <v>92</v>
      </c>
      <c r="J4330" s="3" t="s">
        <v>61</v>
      </c>
      <c r="K4330" s="4">
        <v>2827.1424999999999</v>
      </c>
      <c r="L4330" s="6">
        <v>95.99</v>
      </c>
    </row>
    <row r="4331" spans="1:12" x14ac:dyDescent="0.25">
      <c r="A4331" s="1">
        <v>4330</v>
      </c>
      <c r="B4331" s="4">
        <v>30853</v>
      </c>
      <c r="C4331" s="5">
        <v>40751</v>
      </c>
      <c r="D4331" s="3" t="s">
        <v>4</v>
      </c>
      <c r="E4331" s="1" t="s">
        <v>612</v>
      </c>
      <c r="F4331" s="1" t="s">
        <v>23</v>
      </c>
      <c r="G4331" s="2" t="s">
        <v>3</v>
      </c>
      <c r="H4331" s="3" t="s">
        <v>84</v>
      </c>
      <c r="I4331" s="3" t="s">
        <v>85</v>
      </c>
      <c r="J4331" s="3" t="s">
        <v>66</v>
      </c>
      <c r="K4331" s="4">
        <v>41.52</v>
      </c>
      <c r="L4331" s="6">
        <v>2.1800000000000002</v>
      </c>
    </row>
    <row r="4332" spans="1:12" x14ac:dyDescent="0.25">
      <c r="A4332" s="1">
        <v>4331</v>
      </c>
      <c r="B4332" s="4">
        <v>30853</v>
      </c>
      <c r="C4332" s="5">
        <v>40751</v>
      </c>
      <c r="D4332" s="3" t="s">
        <v>4</v>
      </c>
      <c r="E4332" s="1" t="s">
        <v>1245</v>
      </c>
      <c r="F4332" s="1" t="s">
        <v>29</v>
      </c>
      <c r="G4332" s="2" t="s">
        <v>3</v>
      </c>
      <c r="H4332" s="3" t="s">
        <v>84</v>
      </c>
      <c r="I4332" s="3" t="s">
        <v>85</v>
      </c>
      <c r="J4332" s="3" t="s">
        <v>65</v>
      </c>
      <c r="K4332" s="4">
        <v>254.02</v>
      </c>
      <c r="L4332" s="6">
        <v>6.3</v>
      </c>
    </row>
    <row r="4333" spans="1:12" x14ac:dyDescent="0.25">
      <c r="A4333" s="1">
        <v>4332</v>
      </c>
      <c r="B4333" s="4">
        <v>30883</v>
      </c>
      <c r="C4333" s="5">
        <v>40411</v>
      </c>
      <c r="D4333" s="3" t="s">
        <v>4</v>
      </c>
      <c r="E4333" s="1" t="s">
        <v>1199</v>
      </c>
      <c r="F4333" s="1" t="s">
        <v>28</v>
      </c>
      <c r="G4333" s="2" t="s">
        <v>6</v>
      </c>
      <c r="H4333" s="3" t="s">
        <v>97</v>
      </c>
      <c r="I4333" s="3" t="s">
        <v>85</v>
      </c>
      <c r="J4333" s="3" t="s">
        <v>66</v>
      </c>
      <c r="K4333" s="4">
        <v>201.37</v>
      </c>
      <c r="L4333" s="6">
        <v>6.98</v>
      </c>
    </row>
    <row r="4334" spans="1:12" x14ac:dyDescent="0.25">
      <c r="A4334" s="1">
        <v>4333</v>
      </c>
      <c r="B4334" s="4">
        <v>30884</v>
      </c>
      <c r="C4334" s="5">
        <v>40447</v>
      </c>
      <c r="D4334" s="3" t="s">
        <v>82</v>
      </c>
      <c r="E4334" s="1" t="s">
        <v>381</v>
      </c>
      <c r="F4334" s="1" t="s">
        <v>21</v>
      </c>
      <c r="G4334" s="2" t="s">
        <v>1</v>
      </c>
      <c r="H4334" s="3" t="s">
        <v>88</v>
      </c>
      <c r="I4334" s="3" t="s">
        <v>91</v>
      </c>
      <c r="J4334" s="3" t="s">
        <v>60</v>
      </c>
      <c r="K4334" s="4">
        <v>763.44799999999998</v>
      </c>
      <c r="L4334" s="6">
        <v>146.05000000000001</v>
      </c>
    </row>
    <row r="4335" spans="1:12" x14ac:dyDescent="0.25">
      <c r="A4335" s="1">
        <v>4334</v>
      </c>
      <c r="B4335" s="4">
        <v>30885</v>
      </c>
      <c r="C4335" s="5">
        <v>40350</v>
      </c>
      <c r="D4335" s="3" t="s">
        <v>89</v>
      </c>
      <c r="E4335" s="1" t="s">
        <v>758</v>
      </c>
      <c r="F4335" s="1" t="s">
        <v>24</v>
      </c>
      <c r="G4335" s="2" t="s">
        <v>2</v>
      </c>
      <c r="H4335" s="3" t="s">
        <v>88</v>
      </c>
      <c r="I4335" s="3" t="s">
        <v>85</v>
      </c>
      <c r="J4335" s="3" t="s">
        <v>57</v>
      </c>
      <c r="K4335" s="4">
        <v>234.24</v>
      </c>
      <c r="L4335" s="6">
        <v>9.7100000000000009</v>
      </c>
    </row>
    <row r="4336" spans="1:12" x14ac:dyDescent="0.25">
      <c r="A4336" s="1">
        <v>4335</v>
      </c>
      <c r="B4336" s="4">
        <v>30886</v>
      </c>
      <c r="C4336" s="5">
        <v>41041</v>
      </c>
      <c r="D4336" s="3" t="s">
        <v>82</v>
      </c>
      <c r="E4336" s="1" t="s">
        <v>1246</v>
      </c>
      <c r="F4336" s="1" t="s">
        <v>23</v>
      </c>
      <c r="G4336" s="2" t="s">
        <v>3</v>
      </c>
      <c r="H4336" s="3" t="s">
        <v>100</v>
      </c>
      <c r="I4336" s="3" t="s">
        <v>85</v>
      </c>
      <c r="J4336" s="3" t="s">
        <v>57</v>
      </c>
      <c r="K4336" s="4">
        <v>5320.57</v>
      </c>
      <c r="L4336" s="6">
        <v>193.17</v>
      </c>
    </row>
    <row r="4337" spans="1:12" x14ac:dyDescent="0.25">
      <c r="A4337" s="1">
        <v>4336</v>
      </c>
      <c r="B4337" s="4">
        <v>30887</v>
      </c>
      <c r="C4337" s="5">
        <v>40366</v>
      </c>
      <c r="D4337" s="3" t="s">
        <v>95</v>
      </c>
      <c r="E4337" s="1" t="s">
        <v>1223</v>
      </c>
      <c r="F4337" s="1" t="s">
        <v>24</v>
      </c>
      <c r="G4337" s="2" t="s">
        <v>2</v>
      </c>
      <c r="H4337" s="3" t="s">
        <v>97</v>
      </c>
      <c r="I4337" s="3" t="s">
        <v>92</v>
      </c>
      <c r="J4337" s="3" t="s">
        <v>61</v>
      </c>
      <c r="K4337" s="4">
        <v>4357.1170000000002</v>
      </c>
      <c r="L4337" s="6">
        <v>115.99</v>
      </c>
    </row>
    <row r="4338" spans="1:12" x14ac:dyDescent="0.25">
      <c r="A4338" s="1">
        <v>4337</v>
      </c>
      <c r="B4338" s="4">
        <v>30913</v>
      </c>
      <c r="C4338" s="5">
        <v>41174</v>
      </c>
      <c r="D4338" s="3" t="s">
        <v>4</v>
      </c>
      <c r="E4338" s="1" t="s">
        <v>832</v>
      </c>
      <c r="F4338" s="1" t="s">
        <v>9</v>
      </c>
      <c r="G4338" s="2" t="s">
        <v>2</v>
      </c>
      <c r="H4338" s="3" t="s">
        <v>88</v>
      </c>
      <c r="I4338" s="3" t="s">
        <v>85</v>
      </c>
      <c r="J4338" s="3" t="s">
        <v>69</v>
      </c>
      <c r="K4338" s="4">
        <v>143.1</v>
      </c>
      <c r="L4338" s="6">
        <v>5.98</v>
      </c>
    </row>
    <row r="4339" spans="1:12" x14ac:dyDescent="0.25">
      <c r="A4339" s="1">
        <v>4338</v>
      </c>
      <c r="B4339" s="4">
        <v>30913</v>
      </c>
      <c r="C4339" s="5">
        <v>41174</v>
      </c>
      <c r="D4339" s="3" t="s">
        <v>4</v>
      </c>
      <c r="E4339" s="1" t="s">
        <v>1247</v>
      </c>
      <c r="F4339" s="1" t="s">
        <v>9</v>
      </c>
      <c r="G4339" s="2" t="s">
        <v>2</v>
      </c>
      <c r="H4339" s="3" t="s">
        <v>88</v>
      </c>
      <c r="I4339" s="3" t="s">
        <v>92</v>
      </c>
      <c r="J4339" s="3" t="s">
        <v>62</v>
      </c>
      <c r="K4339" s="4">
        <v>795.52</v>
      </c>
      <c r="L4339" s="6">
        <v>22.24</v>
      </c>
    </row>
    <row r="4340" spans="1:12" x14ac:dyDescent="0.25">
      <c r="A4340" s="1">
        <v>4339</v>
      </c>
      <c r="B4340" s="4">
        <v>30913</v>
      </c>
      <c r="C4340" s="5">
        <v>41174</v>
      </c>
      <c r="D4340" s="3" t="s">
        <v>4</v>
      </c>
      <c r="E4340" s="1" t="s">
        <v>1247</v>
      </c>
      <c r="F4340" s="1" t="s">
        <v>9</v>
      </c>
      <c r="G4340" s="2" t="s">
        <v>2</v>
      </c>
      <c r="H4340" s="3" t="s">
        <v>88</v>
      </c>
      <c r="I4340" s="3" t="s">
        <v>85</v>
      </c>
      <c r="J4340" s="3" t="s">
        <v>65</v>
      </c>
      <c r="K4340" s="4">
        <v>126.36</v>
      </c>
      <c r="L4340" s="6">
        <v>2.89</v>
      </c>
    </row>
    <row r="4341" spans="1:12" x14ac:dyDescent="0.25">
      <c r="A4341" s="1">
        <v>4340</v>
      </c>
      <c r="B4341" s="4">
        <v>30913</v>
      </c>
      <c r="C4341" s="5">
        <v>41174</v>
      </c>
      <c r="D4341" s="3" t="s">
        <v>4</v>
      </c>
      <c r="E4341" s="1" t="s">
        <v>1247</v>
      </c>
      <c r="F4341" s="1" t="s">
        <v>9</v>
      </c>
      <c r="G4341" s="2" t="s">
        <v>2</v>
      </c>
      <c r="H4341" s="3" t="s">
        <v>88</v>
      </c>
      <c r="I4341" s="3" t="s">
        <v>91</v>
      </c>
      <c r="J4341" s="3" t="s">
        <v>59</v>
      </c>
      <c r="K4341" s="4">
        <v>496.62</v>
      </c>
      <c r="L4341" s="6">
        <v>19.98</v>
      </c>
    </row>
    <row r="4342" spans="1:12" x14ac:dyDescent="0.25">
      <c r="A4342" s="1">
        <v>4341</v>
      </c>
      <c r="B4342" s="4">
        <v>30915</v>
      </c>
      <c r="C4342" s="5">
        <v>39829</v>
      </c>
      <c r="D4342" s="3" t="s">
        <v>82</v>
      </c>
      <c r="E4342" s="1" t="s">
        <v>827</v>
      </c>
      <c r="F4342" s="1" t="s">
        <v>34</v>
      </c>
      <c r="G4342" s="2" t="s">
        <v>1</v>
      </c>
      <c r="H4342" s="3" t="s">
        <v>88</v>
      </c>
      <c r="I4342" s="3" t="s">
        <v>85</v>
      </c>
      <c r="J4342" s="3" t="s">
        <v>63</v>
      </c>
      <c r="K4342" s="4">
        <v>62.78</v>
      </c>
      <c r="L4342" s="6">
        <v>2.98</v>
      </c>
    </row>
    <row r="4343" spans="1:12" x14ac:dyDescent="0.25">
      <c r="A4343" s="1">
        <v>4342</v>
      </c>
      <c r="B4343" s="4">
        <v>30915</v>
      </c>
      <c r="C4343" s="5">
        <v>39829</v>
      </c>
      <c r="D4343" s="3" t="s">
        <v>82</v>
      </c>
      <c r="E4343" s="1" t="s">
        <v>827</v>
      </c>
      <c r="F4343" s="1" t="s">
        <v>34</v>
      </c>
      <c r="G4343" s="2" t="s">
        <v>1</v>
      </c>
      <c r="H4343" s="3" t="s">
        <v>88</v>
      </c>
      <c r="I4343" s="3" t="s">
        <v>92</v>
      </c>
      <c r="J4343" s="3" t="s">
        <v>61</v>
      </c>
      <c r="K4343" s="4">
        <v>2836.0505000000003</v>
      </c>
      <c r="L4343" s="6">
        <v>125.99</v>
      </c>
    </row>
    <row r="4344" spans="1:12" x14ac:dyDescent="0.25">
      <c r="A4344" s="1">
        <v>4343</v>
      </c>
      <c r="B4344" s="4">
        <v>30917</v>
      </c>
      <c r="C4344" s="5">
        <v>40483</v>
      </c>
      <c r="D4344" s="3" t="s">
        <v>82</v>
      </c>
      <c r="E4344" s="1" t="s">
        <v>998</v>
      </c>
      <c r="F4344" s="1" t="s">
        <v>16</v>
      </c>
      <c r="G4344" s="2" t="s">
        <v>3</v>
      </c>
      <c r="H4344" s="3" t="s">
        <v>88</v>
      </c>
      <c r="I4344" s="3" t="s">
        <v>92</v>
      </c>
      <c r="J4344" s="3" t="s">
        <v>62</v>
      </c>
      <c r="K4344" s="4">
        <v>86.79</v>
      </c>
      <c r="L4344" s="6">
        <v>8.1199999999999992</v>
      </c>
    </row>
    <row r="4345" spans="1:12" x14ac:dyDescent="0.25">
      <c r="A4345" s="1">
        <v>4344</v>
      </c>
      <c r="B4345" s="4">
        <v>30917</v>
      </c>
      <c r="C4345" s="5">
        <v>40483</v>
      </c>
      <c r="D4345" s="3" t="s">
        <v>82</v>
      </c>
      <c r="E4345" s="1" t="s">
        <v>998</v>
      </c>
      <c r="F4345" s="1" t="s">
        <v>16</v>
      </c>
      <c r="G4345" s="2" t="s">
        <v>3</v>
      </c>
      <c r="H4345" s="3" t="s">
        <v>88</v>
      </c>
      <c r="I4345" s="3" t="s">
        <v>92</v>
      </c>
      <c r="J4345" s="3" t="s">
        <v>67</v>
      </c>
      <c r="K4345" s="4">
        <v>753.8</v>
      </c>
      <c r="L4345" s="6">
        <v>96.45</v>
      </c>
    </row>
    <row r="4346" spans="1:12" x14ac:dyDescent="0.25">
      <c r="A4346" s="1">
        <v>4345</v>
      </c>
      <c r="B4346" s="4">
        <v>30944</v>
      </c>
      <c r="C4346" s="5">
        <v>40716</v>
      </c>
      <c r="D4346" s="3" t="s">
        <v>95</v>
      </c>
      <c r="E4346" s="1" t="s">
        <v>1158</v>
      </c>
      <c r="F4346" s="1" t="s">
        <v>29</v>
      </c>
      <c r="G4346" s="2" t="s">
        <v>3</v>
      </c>
      <c r="H4346" s="3" t="s">
        <v>100</v>
      </c>
      <c r="I4346" s="3" t="s">
        <v>85</v>
      </c>
      <c r="J4346" s="3" t="s">
        <v>69</v>
      </c>
      <c r="K4346" s="4">
        <v>546.01</v>
      </c>
      <c r="L4346" s="6">
        <v>16.739999999999998</v>
      </c>
    </row>
    <row r="4347" spans="1:12" x14ac:dyDescent="0.25">
      <c r="A4347" s="1">
        <v>4346</v>
      </c>
      <c r="B4347" s="4">
        <v>30947</v>
      </c>
      <c r="C4347" s="5">
        <v>40373</v>
      </c>
      <c r="D4347" s="3" t="s">
        <v>82</v>
      </c>
      <c r="E4347" s="1" t="s">
        <v>1085</v>
      </c>
      <c r="F4347" s="1" t="s">
        <v>8</v>
      </c>
      <c r="G4347" s="2" t="s">
        <v>6</v>
      </c>
      <c r="H4347" s="3" t="s">
        <v>88</v>
      </c>
      <c r="I4347" s="3" t="s">
        <v>85</v>
      </c>
      <c r="J4347" s="3" t="s">
        <v>69</v>
      </c>
      <c r="K4347" s="4">
        <v>691.59</v>
      </c>
      <c r="L4347" s="6">
        <v>41.94</v>
      </c>
    </row>
    <row r="4348" spans="1:12" x14ac:dyDescent="0.25">
      <c r="A4348" s="1">
        <v>4347</v>
      </c>
      <c r="B4348" s="4">
        <v>30947</v>
      </c>
      <c r="C4348" s="5">
        <v>40373</v>
      </c>
      <c r="D4348" s="3" t="s">
        <v>82</v>
      </c>
      <c r="E4348" s="1" t="s">
        <v>1085</v>
      </c>
      <c r="F4348" s="1" t="s">
        <v>8</v>
      </c>
      <c r="G4348" s="2" t="s">
        <v>6</v>
      </c>
      <c r="H4348" s="3" t="s">
        <v>88</v>
      </c>
      <c r="I4348" s="3" t="s">
        <v>85</v>
      </c>
      <c r="J4348" s="3" t="s">
        <v>65</v>
      </c>
      <c r="K4348" s="4">
        <v>345.2</v>
      </c>
      <c r="L4348" s="6">
        <v>7.31</v>
      </c>
    </row>
    <row r="4349" spans="1:12" x14ac:dyDescent="0.25">
      <c r="A4349" s="1">
        <v>4348</v>
      </c>
      <c r="B4349" s="4">
        <v>30976</v>
      </c>
      <c r="C4349" s="5">
        <v>41206</v>
      </c>
      <c r="D4349" s="3" t="s">
        <v>89</v>
      </c>
      <c r="E4349" s="1" t="s">
        <v>733</v>
      </c>
      <c r="F4349" s="1" t="s">
        <v>52</v>
      </c>
      <c r="G4349" s="2" t="s">
        <v>3</v>
      </c>
      <c r="H4349" s="3" t="s">
        <v>84</v>
      </c>
      <c r="I4349" s="3" t="s">
        <v>92</v>
      </c>
      <c r="J4349" s="3" t="s">
        <v>62</v>
      </c>
      <c r="K4349" s="4">
        <v>403.88</v>
      </c>
      <c r="L4349" s="6">
        <v>40.97</v>
      </c>
    </row>
    <row r="4350" spans="1:12" x14ac:dyDescent="0.25">
      <c r="A4350" s="1">
        <v>4349</v>
      </c>
      <c r="B4350" s="4">
        <v>30981</v>
      </c>
      <c r="C4350" s="5">
        <v>40589</v>
      </c>
      <c r="D4350" s="3" t="s">
        <v>82</v>
      </c>
      <c r="E4350" s="1" t="s">
        <v>774</v>
      </c>
      <c r="F4350" s="1" t="s">
        <v>22</v>
      </c>
      <c r="G4350" s="2" t="s">
        <v>6</v>
      </c>
      <c r="H4350" s="3" t="s">
        <v>97</v>
      </c>
      <c r="I4350" s="3" t="s">
        <v>85</v>
      </c>
      <c r="J4350" s="3" t="s">
        <v>70</v>
      </c>
      <c r="K4350" s="4">
        <v>7837.44</v>
      </c>
      <c r="L4350" s="6">
        <v>279.81</v>
      </c>
    </row>
    <row r="4351" spans="1:12" x14ac:dyDescent="0.25">
      <c r="A4351" s="1">
        <v>4350</v>
      </c>
      <c r="B4351" s="4">
        <v>30981</v>
      </c>
      <c r="C4351" s="5">
        <v>40589</v>
      </c>
      <c r="D4351" s="3" t="s">
        <v>82</v>
      </c>
      <c r="E4351" s="1" t="s">
        <v>774</v>
      </c>
      <c r="F4351" s="1" t="s">
        <v>22</v>
      </c>
      <c r="G4351" s="2" t="s">
        <v>6</v>
      </c>
      <c r="H4351" s="3" t="s">
        <v>97</v>
      </c>
      <c r="I4351" s="3" t="s">
        <v>91</v>
      </c>
      <c r="J4351" s="3" t="s">
        <v>72</v>
      </c>
      <c r="K4351" s="4">
        <v>3653.22</v>
      </c>
      <c r="L4351" s="6">
        <v>180.98</v>
      </c>
    </row>
    <row r="4352" spans="1:12" x14ac:dyDescent="0.25">
      <c r="A4352" s="1">
        <v>4351</v>
      </c>
      <c r="B4352" s="4">
        <v>31040</v>
      </c>
      <c r="C4352" s="5">
        <v>40435</v>
      </c>
      <c r="D4352" s="3" t="s">
        <v>86</v>
      </c>
      <c r="E4352" s="1" t="s">
        <v>1235</v>
      </c>
      <c r="F4352" s="1" t="s">
        <v>15</v>
      </c>
      <c r="G4352" s="2" t="s">
        <v>1</v>
      </c>
      <c r="H4352" s="3" t="s">
        <v>88</v>
      </c>
      <c r="I4352" s="3" t="s">
        <v>92</v>
      </c>
      <c r="J4352" s="3" t="s">
        <v>62</v>
      </c>
      <c r="K4352" s="4">
        <v>872.97</v>
      </c>
      <c r="L4352" s="6">
        <v>39.979999999999997</v>
      </c>
    </row>
    <row r="4353" spans="1:12" x14ac:dyDescent="0.25">
      <c r="A4353" s="1">
        <v>4352</v>
      </c>
      <c r="B4353" s="4">
        <v>31040</v>
      </c>
      <c r="C4353" s="5">
        <v>40435</v>
      </c>
      <c r="D4353" s="3" t="s">
        <v>86</v>
      </c>
      <c r="E4353" s="1" t="s">
        <v>1235</v>
      </c>
      <c r="F4353" s="1" t="s">
        <v>15</v>
      </c>
      <c r="G4353" s="2" t="s">
        <v>1</v>
      </c>
      <c r="H4353" s="3" t="s">
        <v>88</v>
      </c>
      <c r="I4353" s="3" t="s">
        <v>85</v>
      </c>
      <c r="J4353" s="3" t="s">
        <v>57</v>
      </c>
      <c r="K4353" s="4">
        <v>545.71</v>
      </c>
      <c r="L4353" s="6">
        <v>29.74</v>
      </c>
    </row>
    <row r="4354" spans="1:12" x14ac:dyDescent="0.25">
      <c r="A4354" s="1">
        <v>4353</v>
      </c>
      <c r="B4354" s="4">
        <v>31042</v>
      </c>
      <c r="C4354" s="5">
        <v>41232</v>
      </c>
      <c r="D4354" s="3" t="s">
        <v>4</v>
      </c>
      <c r="E4354" s="1" t="s">
        <v>573</v>
      </c>
      <c r="F4354" s="1" t="s">
        <v>23</v>
      </c>
      <c r="G4354" s="2" t="s">
        <v>3</v>
      </c>
      <c r="H4354" s="3" t="s">
        <v>100</v>
      </c>
      <c r="I4354" s="3" t="s">
        <v>91</v>
      </c>
      <c r="J4354" s="3" t="s">
        <v>72</v>
      </c>
      <c r="K4354" s="4">
        <v>3227.38</v>
      </c>
      <c r="L4354" s="6">
        <v>120.98</v>
      </c>
    </row>
    <row r="4355" spans="1:12" x14ac:dyDescent="0.25">
      <c r="A4355" s="1">
        <v>4354</v>
      </c>
      <c r="B4355" s="4">
        <v>31042</v>
      </c>
      <c r="C4355" s="5">
        <v>41232</v>
      </c>
      <c r="D4355" s="3" t="s">
        <v>4</v>
      </c>
      <c r="E4355" s="1" t="s">
        <v>573</v>
      </c>
      <c r="F4355" s="1" t="s">
        <v>23</v>
      </c>
      <c r="G4355" s="2" t="s">
        <v>3</v>
      </c>
      <c r="H4355" s="3" t="s">
        <v>100</v>
      </c>
      <c r="I4355" s="3" t="s">
        <v>85</v>
      </c>
      <c r="J4355" s="3" t="s">
        <v>63</v>
      </c>
      <c r="K4355" s="4">
        <v>134.52000000000001</v>
      </c>
      <c r="L4355" s="6">
        <v>2.78</v>
      </c>
    </row>
    <row r="4356" spans="1:12" x14ac:dyDescent="0.25">
      <c r="A4356" s="1">
        <v>4355</v>
      </c>
      <c r="B4356" s="4">
        <v>31043</v>
      </c>
      <c r="C4356" s="5">
        <v>40009</v>
      </c>
      <c r="D4356" s="3" t="s">
        <v>89</v>
      </c>
      <c r="E4356" s="1" t="s">
        <v>494</v>
      </c>
      <c r="F4356" s="1" t="s">
        <v>54</v>
      </c>
      <c r="G4356" s="2" t="s">
        <v>2</v>
      </c>
      <c r="H4356" s="3" t="s">
        <v>88</v>
      </c>
      <c r="I4356" s="3" t="s">
        <v>92</v>
      </c>
      <c r="J4356" s="3" t="s">
        <v>62</v>
      </c>
      <c r="K4356" s="4">
        <v>772.42</v>
      </c>
      <c r="L4356" s="6">
        <v>15.28</v>
      </c>
    </row>
    <row r="4357" spans="1:12" x14ac:dyDescent="0.25">
      <c r="A4357" s="1">
        <v>4356</v>
      </c>
      <c r="B4357" s="4">
        <v>31043</v>
      </c>
      <c r="C4357" s="5">
        <v>40009</v>
      </c>
      <c r="D4357" s="3" t="s">
        <v>89</v>
      </c>
      <c r="E4357" s="1" t="s">
        <v>494</v>
      </c>
      <c r="F4357" s="1" t="s">
        <v>54</v>
      </c>
      <c r="G4357" s="2" t="s">
        <v>2</v>
      </c>
      <c r="H4357" s="3" t="s">
        <v>88</v>
      </c>
      <c r="I4357" s="3" t="s">
        <v>92</v>
      </c>
      <c r="J4357" s="3" t="s">
        <v>61</v>
      </c>
      <c r="K4357" s="4">
        <v>221.4675</v>
      </c>
      <c r="L4357" s="6">
        <v>85.99</v>
      </c>
    </row>
    <row r="4358" spans="1:12" x14ac:dyDescent="0.25">
      <c r="A4358" s="1">
        <v>4357</v>
      </c>
      <c r="B4358" s="4">
        <v>31046</v>
      </c>
      <c r="C4358" s="5">
        <v>40581</v>
      </c>
      <c r="D4358" s="3" t="s">
        <v>95</v>
      </c>
      <c r="E4358" s="1" t="s">
        <v>978</v>
      </c>
      <c r="F4358" s="1" t="s">
        <v>13</v>
      </c>
      <c r="G4358" s="2" t="s">
        <v>6</v>
      </c>
      <c r="H4358" s="3" t="s">
        <v>88</v>
      </c>
      <c r="I4358" s="3" t="s">
        <v>92</v>
      </c>
      <c r="J4358" s="3" t="s">
        <v>61</v>
      </c>
      <c r="K4358" s="4">
        <v>3900.5309999999995</v>
      </c>
      <c r="L4358" s="6">
        <v>110.99</v>
      </c>
    </row>
    <row r="4359" spans="1:12" x14ac:dyDescent="0.25">
      <c r="A4359" s="1">
        <v>4358</v>
      </c>
      <c r="B4359" s="4">
        <v>31046</v>
      </c>
      <c r="C4359" s="5">
        <v>40581</v>
      </c>
      <c r="D4359" s="3" t="s">
        <v>95</v>
      </c>
      <c r="E4359" s="1" t="s">
        <v>703</v>
      </c>
      <c r="F4359" s="1" t="s">
        <v>13</v>
      </c>
      <c r="G4359" s="2" t="s">
        <v>6</v>
      </c>
      <c r="H4359" s="3" t="s">
        <v>88</v>
      </c>
      <c r="I4359" s="3" t="s">
        <v>85</v>
      </c>
      <c r="J4359" s="3" t="s">
        <v>58</v>
      </c>
      <c r="K4359" s="4">
        <v>248.42</v>
      </c>
      <c r="L4359" s="6">
        <v>6.84</v>
      </c>
    </row>
    <row r="4360" spans="1:12" x14ac:dyDescent="0.25">
      <c r="A4360" s="1">
        <v>4359</v>
      </c>
      <c r="B4360" s="4">
        <v>31072</v>
      </c>
      <c r="C4360" s="5">
        <v>40511</v>
      </c>
      <c r="D4360" s="3" t="s">
        <v>82</v>
      </c>
      <c r="E4360" s="1" t="s">
        <v>911</v>
      </c>
      <c r="F4360" s="1" t="s">
        <v>34</v>
      </c>
      <c r="G4360" s="2" t="s">
        <v>1</v>
      </c>
      <c r="H4360" s="3" t="s">
        <v>88</v>
      </c>
      <c r="I4360" s="3" t="s">
        <v>85</v>
      </c>
      <c r="J4360" s="3" t="s">
        <v>69</v>
      </c>
      <c r="K4360" s="4">
        <v>701.16</v>
      </c>
      <c r="L4360" s="6">
        <v>172.99</v>
      </c>
    </row>
    <row r="4361" spans="1:12" x14ac:dyDescent="0.25">
      <c r="A4361" s="1">
        <v>4360</v>
      </c>
      <c r="B4361" s="4">
        <v>31073</v>
      </c>
      <c r="C4361" s="5">
        <v>40384</v>
      </c>
      <c r="D4361" s="3" t="s">
        <v>4</v>
      </c>
      <c r="E4361" s="1" t="s">
        <v>1163</v>
      </c>
      <c r="F4361" s="1" t="s">
        <v>34</v>
      </c>
      <c r="G4361" s="2" t="s">
        <v>1</v>
      </c>
      <c r="H4361" s="3" t="s">
        <v>97</v>
      </c>
      <c r="I4361" s="3" t="s">
        <v>91</v>
      </c>
      <c r="J4361" s="3" t="s">
        <v>59</v>
      </c>
      <c r="K4361" s="4">
        <v>1818.76</v>
      </c>
      <c r="L4361" s="6">
        <v>46.94</v>
      </c>
    </row>
    <row r="4362" spans="1:12" x14ac:dyDescent="0.25">
      <c r="A4362" s="1">
        <v>4361</v>
      </c>
      <c r="B4362" s="4">
        <v>31073</v>
      </c>
      <c r="C4362" s="5">
        <v>40384</v>
      </c>
      <c r="D4362" s="3" t="s">
        <v>4</v>
      </c>
      <c r="E4362" s="1" t="s">
        <v>1163</v>
      </c>
      <c r="F4362" s="1" t="s">
        <v>34</v>
      </c>
      <c r="G4362" s="2" t="s">
        <v>1</v>
      </c>
      <c r="H4362" s="3" t="s">
        <v>97</v>
      </c>
      <c r="I4362" s="3" t="s">
        <v>85</v>
      </c>
      <c r="J4362" s="3" t="s">
        <v>57</v>
      </c>
      <c r="K4362" s="4">
        <v>4322.26</v>
      </c>
      <c r="L4362" s="6">
        <v>167.27</v>
      </c>
    </row>
    <row r="4363" spans="1:12" x14ac:dyDescent="0.25">
      <c r="A4363" s="1">
        <v>4362</v>
      </c>
      <c r="B4363" s="4">
        <v>31077</v>
      </c>
      <c r="C4363" s="5">
        <v>40474</v>
      </c>
      <c r="D4363" s="3" t="s">
        <v>86</v>
      </c>
      <c r="E4363" s="1" t="s">
        <v>1028</v>
      </c>
      <c r="F4363" s="1" t="s">
        <v>8</v>
      </c>
      <c r="G4363" s="2" t="s">
        <v>6</v>
      </c>
      <c r="H4363" s="3" t="s">
        <v>84</v>
      </c>
      <c r="I4363" s="3" t="s">
        <v>92</v>
      </c>
      <c r="J4363" s="3" t="s">
        <v>61</v>
      </c>
      <c r="K4363" s="4">
        <v>1955.0765000000001</v>
      </c>
      <c r="L4363" s="6">
        <v>65.989999999999995</v>
      </c>
    </row>
    <row r="4364" spans="1:12" x14ac:dyDescent="0.25">
      <c r="A4364" s="1">
        <v>4363</v>
      </c>
      <c r="B4364" s="4">
        <v>31078</v>
      </c>
      <c r="C4364" s="5">
        <v>39854</v>
      </c>
      <c r="D4364" s="3" t="s">
        <v>95</v>
      </c>
      <c r="E4364" s="1" t="s">
        <v>608</v>
      </c>
      <c r="F4364" s="1" t="s">
        <v>23</v>
      </c>
      <c r="G4364" s="2" t="s">
        <v>3</v>
      </c>
      <c r="H4364" s="3" t="s">
        <v>88</v>
      </c>
      <c r="I4364" s="3" t="s">
        <v>92</v>
      </c>
      <c r="J4364" s="3" t="s">
        <v>67</v>
      </c>
      <c r="K4364" s="4">
        <v>104.46</v>
      </c>
      <c r="L4364" s="6">
        <v>13.99</v>
      </c>
    </row>
    <row r="4365" spans="1:12" x14ac:dyDescent="0.25">
      <c r="A4365" s="1">
        <v>4364</v>
      </c>
      <c r="B4365" s="4">
        <v>31106</v>
      </c>
      <c r="C4365" s="5">
        <v>40955</v>
      </c>
      <c r="D4365" s="3" t="s">
        <v>82</v>
      </c>
      <c r="E4365" s="1" t="s">
        <v>1142</v>
      </c>
      <c r="F4365" s="1" t="s">
        <v>45</v>
      </c>
      <c r="G4365" s="2" t="s">
        <v>3</v>
      </c>
      <c r="H4365" s="3" t="s">
        <v>88</v>
      </c>
      <c r="I4365" s="3" t="s">
        <v>85</v>
      </c>
      <c r="J4365" s="3" t="s">
        <v>65</v>
      </c>
      <c r="K4365" s="4">
        <v>101.9</v>
      </c>
      <c r="L4365" s="6">
        <v>2.61</v>
      </c>
    </row>
    <row r="4366" spans="1:12" x14ac:dyDescent="0.25">
      <c r="A4366" s="1">
        <v>4365</v>
      </c>
      <c r="B4366" s="4">
        <v>31106</v>
      </c>
      <c r="C4366" s="5">
        <v>40955</v>
      </c>
      <c r="D4366" s="3" t="s">
        <v>82</v>
      </c>
      <c r="E4366" s="1" t="s">
        <v>1142</v>
      </c>
      <c r="F4366" s="1" t="s">
        <v>45</v>
      </c>
      <c r="G4366" s="2" t="s">
        <v>3</v>
      </c>
      <c r="H4366" s="3" t="s">
        <v>88</v>
      </c>
      <c r="I4366" s="3" t="s">
        <v>91</v>
      </c>
      <c r="J4366" s="3" t="s">
        <v>59</v>
      </c>
      <c r="K4366" s="4">
        <v>187.33</v>
      </c>
      <c r="L4366" s="6">
        <v>25.13</v>
      </c>
    </row>
    <row r="4367" spans="1:12" x14ac:dyDescent="0.25">
      <c r="A4367" s="1">
        <v>4366</v>
      </c>
      <c r="B4367" s="4">
        <v>31106</v>
      </c>
      <c r="C4367" s="5">
        <v>40955</v>
      </c>
      <c r="D4367" s="3" t="s">
        <v>82</v>
      </c>
      <c r="E4367" s="1" t="s">
        <v>1142</v>
      </c>
      <c r="F4367" s="1" t="s">
        <v>45</v>
      </c>
      <c r="G4367" s="2" t="s">
        <v>3</v>
      </c>
      <c r="H4367" s="3" t="s">
        <v>88</v>
      </c>
      <c r="I4367" s="3" t="s">
        <v>85</v>
      </c>
      <c r="J4367" s="3" t="s">
        <v>58</v>
      </c>
      <c r="K4367" s="4">
        <v>259.17</v>
      </c>
      <c r="L4367" s="6">
        <v>5.68</v>
      </c>
    </row>
    <row r="4368" spans="1:12" x14ac:dyDescent="0.25">
      <c r="A4368" s="1">
        <v>4367</v>
      </c>
      <c r="B4368" s="4">
        <v>31106</v>
      </c>
      <c r="C4368" s="5">
        <v>40955</v>
      </c>
      <c r="D4368" s="3" t="s">
        <v>82</v>
      </c>
      <c r="E4368" s="1" t="s">
        <v>1248</v>
      </c>
      <c r="F4368" s="1" t="s">
        <v>45</v>
      </c>
      <c r="G4368" s="2" t="s">
        <v>3</v>
      </c>
      <c r="H4368" s="3" t="s">
        <v>88</v>
      </c>
      <c r="I4368" s="3" t="s">
        <v>92</v>
      </c>
      <c r="J4368" s="3" t="s">
        <v>61</v>
      </c>
      <c r="K4368" s="4">
        <v>4697.0320000000002</v>
      </c>
      <c r="L4368" s="6">
        <v>125.99</v>
      </c>
    </row>
    <row r="4369" spans="1:12" x14ac:dyDescent="0.25">
      <c r="A4369" s="1">
        <v>4368</v>
      </c>
      <c r="B4369" s="4">
        <v>31109</v>
      </c>
      <c r="C4369" s="5">
        <v>40844</v>
      </c>
      <c r="D4369" s="3" t="s">
        <v>82</v>
      </c>
      <c r="E4369" s="1" t="s">
        <v>873</v>
      </c>
      <c r="F4369" s="1" t="s">
        <v>32</v>
      </c>
      <c r="G4369" s="2" t="s">
        <v>2</v>
      </c>
      <c r="H4369" s="3" t="s">
        <v>84</v>
      </c>
      <c r="I4369" s="3" t="s">
        <v>85</v>
      </c>
      <c r="J4369" s="3" t="s">
        <v>69</v>
      </c>
      <c r="K4369" s="4">
        <v>1515</v>
      </c>
      <c r="L4369" s="6">
        <v>31.74</v>
      </c>
    </row>
    <row r="4370" spans="1:12" x14ac:dyDescent="0.25">
      <c r="A4370" s="1">
        <v>4369</v>
      </c>
      <c r="B4370" s="4">
        <v>31111</v>
      </c>
      <c r="C4370" s="5">
        <v>40049</v>
      </c>
      <c r="D4370" s="3" t="s">
        <v>86</v>
      </c>
      <c r="E4370" s="1" t="s">
        <v>916</v>
      </c>
      <c r="F4370" s="1" t="s">
        <v>8</v>
      </c>
      <c r="G4370" s="2" t="s">
        <v>6</v>
      </c>
      <c r="H4370" s="3" t="s">
        <v>88</v>
      </c>
      <c r="I4370" s="3" t="s">
        <v>85</v>
      </c>
      <c r="J4370" s="3" t="s">
        <v>66</v>
      </c>
      <c r="K4370" s="4">
        <v>217.93</v>
      </c>
      <c r="L4370" s="6">
        <v>7.64</v>
      </c>
    </row>
    <row r="4371" spans="1:12" x14ac:dyDescent="0.25">
      <c r="A4371" s="1">
        <v>4370</v>
      </c>
      <c r="B4371" s="4">
        <v>31138</v>
      </c>
      <c r="C4371" s="5">
        <v>39834</v>
      </c>
      <c r="D4371" s="3" t="s">
        <v>89</v>
      </c>
      <c r="E4371" s="1" t="s">
        <v>1163</v>
      </c>
      <c r="F4371" s="1" t="s">
        <v>34</v>
      </c>
      <c r="G4371" s="2" t="s">
        <v>1</v>
      </c>
      <c r="H4371" s="3" t="s">
        <v>84</v>
      </c>
      <c r="I4371" s="3" t="s">
        <v>91</v>
      </c>
      <c r="J4371" s="3" t="s">
        <v>60</v>
      </c>
      <c r="K4371" s="4">
        <v>1251.18</v>
      </c>
      <c r="L4371" s="6">
        <v>31.76</v>
      </c>
    </row>
    <row r="4372" spans="1:12" x14ac:dyDescent="0.25">
      <c r="A4372" s="1">
        <v>4371</v>
      </c>
      <c r="B4372" s="4">
        <v>31140</v>
      </c>
      <c r="C4372" s="5">
        <v>40575</v>
      </c>
      <c r="D4372" s="3" t="s">
        <v>95</v>
      </c>
      <c r="E4372" s="1" t="s">
        <v>743</v>
      </c>
      <c r="F4372" s="1" t="s">
        <v>45</v>
      </c>
      <c r="G4372" s="2" t="s">
        <v>3</v>
      </c>
      <c r="H4372" s="3" t="s">
        <v>97</v>
      </c>
      <c r="I4372" s="3" t="s">
        <v>85</v>
      </c>
      <c r="J4372" s="3" t="s">
        <v>65</v>
      </c>
      <c r="K4372" s="4">
        <v>13.42</v>
      </c>
      <c r="L4372" s="6">
        <v>3.08</v>
      </c>
    </row>
    <row r="4373" spans="1:12" x14ac:dyDescent="0.25">
      <c r="A4373" s="1">
        <v>4372</v>
      </c>
      <c r="B4373" s="4">
        <v>31169</v>
      </c>
      <c r="C4373" s="5">
        <v>40703</v>
      </c>
      <c r="D4373" s="3" t="s">
        <v>82</v>
      </c>
      <c r="E4373" s="1" t="s">
        <v>796</v>
      </c>
      <c r="F4373" s="1" t="s">
        <v>8</v>
      </c>
      <c r="G4373" s="2" t="s">
        <v>6</v>
      </c>
      <c r="H4373" s="3" t="s">
        <v>97</v>
      </c>
      <c r="I4373" s="3" t="s">
        <v>91</v>
      </c>
      <c r="J4373" s="3" t="s">
        <v>59</v>
      </c>
      <c r="K4373" s="4">
        <v>254.76</v>
      </c>
      <c r="L4373" s="6">
        <v>40.97</v>
      </c>
    </row>
    <row r="4374" spans="1:12" x14ac:dyDescent="0.25">
      <c r="A4374" s="1">
        <v>4373</v>
      </c>
      <c r="B4374" s="4">
        <v>31170</v>
      </c>
      <c r="C4374" s="5">
        <v>40935</v>
      </c>
      <c r="D4374" s="3" t="s">
        <v>4</v>
      </c>
      <c r="E4374" s="1" t="s">
        <v>664</v>
      </c>
      <c r="F4374" s="1" t="s">
        <v>45</v>
      </c>
      <c r="G4374" s="2" t="s">
        <v>3</v>
      </c>
      <c r="H4374" s="3" t="s">
        <v>88</v>
      </c>
      <c r="I4374" s="3" t="s">
        <v>92</v>
      </c>
      <c r="J4374" s="3" t="s">
        <v>62</v>
      </c>
      <c r="K4374" s="4">
        <v>320.57</v>
      </c>
      <c r="L4374" s="6">
        <v>10.130000000000001</v>
      </c>
    </row>
    <row r="4375" spans="1:12" x14ac:dyDescent="0.25">
      <c r="A4375" s="1">
        <v>4374</v>
      </c>
      <c r="B4375" s="4">
        <v>31171</v>
      </c>
      <c r="C4375" s="5">
        <v>39911</v>
      </c>
      <c r="D4375" s="3" t="s">
        <v>86</v>
      </c>
      <c r="E4375" s="1" t="s">
        <v>1244</v>
      </c>
      <c r="F4375" s="1" t="s">
        <v>25</v>
      </c>
      <c r="G4375" s="2" t="s">
        <v>6</v>
      </c>
      <c r="H4375" s="3" t="s">
        <v>97</v>
      </c>
      <c r="I4375" s="3" t="s">
        <v>85</v>
      </c>
      <c r="J4375" s="3" t="s">
        <v>69</v>
      </c>
      <c r="K4375" s="4">
        <v>161.02000000000001</v>
      </c>
      <c r="L4375" s="6">
        <v>4.55</v>
      </c>
    </row>
    <row r="4376" spans="1:12" x14ac:dyDescent="0.25">
      <c r="A4376" s="1">
        <v>4375</v>
      </c>
      <c r="B4376" s="4">
        <v>31173</v>
      </c>
      <c r="C4376" s="5">
        <v>41139</v>
      </c>
      <c r="D4376" s="3" t="s">
        <v>82</v>
      </c>
      <c r="E4376" s="1" t="s">
        <v>1213</v>
      </c>
      <c r="F4376" s="1" t="s">
        <v>34</v>
      </c>
      <c r="G4376" s="2" t="s">
        <v>1</v>
      </c>
      <c r="H4376" s="3" t="s">
        <v>100</v>
      </c>
      <c r="I4376" s="3" t="s">
        <v>92</v>
      </c>
      <c r="J4376" s="3" t="s">
        <v>61</v>
      </c>
      <c r="K4376" s="4">
        <v>169.35400000000001</v>
      </c>
      <c r="L4376" s="6">
        <v>7.99</v>
      </c>
    </row>
    <row r="4377" spans="1:12" x14ac:dyDescent="0.25">
      <c r="A4377" s="1">
        <v>4376</v>
      </c>
      <c r="B4377" s="4">
        <v>31174</v>
      </c>
      <c r="C4377" s="5">
        <v>39898</v>
      </c>
      <c r="D4377" s="3" t="s">
        <v>86</v>
      </c>
      <c r="E4377" s="1" t="s">
        <v>847</v>
      </c>
      <c r="F4377" s="1" t="s">
        <v>42</v>
      </c>
      <c r="G4377" s="2" t="s">
        <v>3</v>
      </c>
      <c r="H4377" s="3" t="s">
        <v>100</v>
      </c>
      <c r="I4377" s="3" t="s">
        <v>85</v>
      </c>
      <c r="J4377" s="3" t="s">
        <v>70</v>
      </c>
      <c r="K4377" s="4">
        <v>4520.6000000000004</v>
      </c>
      <c r="L4377" s="6">
        <v>225.04</v>
      </c>
    </row>
    <row r="4378" spans="1:12" x14ac:dyDescent="0.25">
      <c r="A4378" s="1">
        <v>4377</v>
      </c>
      <c r="B4378" s="4">
        <v>31174</v>
      </c>
      <c r="C4378" s="5">
        <v>39898</v>
      </c>
      <c r="D4378" s="3" t="s">
        <v>86</v>
      </c>
      <c r="E4378" s="1" t="s">
        <v>847</v>
      </c>
      <c r="F4378" s="1" t="s">
        <v>42</v>
      </c>
      <c r="G4378" s="2" t="s">
        <v>3</v>
      </c>
      <c r="H4378" s="3" t="s">
        <v>100</v>
      </c>
      <c r="I4378" s="3" t="s">
        <v>85</v>
      </c>
      <c r="J4378" s="3" t="s">
        <v>69</v>
      </c>
      <c r="K4378" s="4">
        <v>225.25</v>
      </c>
      <c r="L4378" s="6">
        <v>7.84</v>
      </c>
    </row>
    <row r="4379" spans="1:12" x14ac:dyDescent="0.25">
      <c r="A4379" s="1">
        <v>4378</v>
      </c>
      <c r="B4379" s="4">
        <v>31175</v>
      </c>
      <c r="C4379" s="5">
        <v>40082</v>
      </c>
      <c r="D4379" s="3" t="s">
        <v>95</v>
      </c>
      <c r="E4379" s="1" t="s">
        <v>665</v>
      </c>
      <c r="F4379" s="1" t="s">
        <v>26</v>
      </c>
      <c r="G4379" s="2" t="s">
        <v>3</v>
      </c>
      <c r="H4379" s="3" t="s">
        <v>88</v>
      </c>
      <c r="I4379" s="3" t="s">
        <v>85</v>
      </c>
      <c r="J4379" s="3" t="s">
        <v>66</v>
      </c>
      <c r="K4379" s="4">
        <v>539.66</v>
      </c>
      <c r="L4379" s="6">
        <v>19.98</v>
      </c>
    </row>
    <row r="4380" spans="1:12" x14ac:dyDescent="0.25">
      <c r="A4380" s="1">
        <v>4379</v>
      </c>
      <c r="B4380" s="4">
        <v>31204</v>
      </c>
      <c r="C4380" s="5">
        <v>40411</v>
      </c>
      <c r="D4380" s="3" t="s">
        <v>82</v>
      </c>
      <c r="E4380" s="1" t="s">
        <v>427</v>
      </c>
      <c r="F4380" s="1" t="s">
        <v>36</v>
      </c>
      <c r="G4380" s="2" t="s">
        <v>2</v>
      </c>
      <c r="H4380" s="3" t="s">
        <v>84</v>
      </c>
      <c r="I4380" s="3" t="s">
        <v>91</v>
      </c>
      <c r="J4380" s="3" t="s">
        <v>59</v>
      </c>
      <c r="K4380" s="4">
        <v>215.52</v>
      </c>
      <c r="L4380" s="6">
        <v>14.34</v>
      </c>
    </row>
    <row r="4381" spans="1:12" x14ac:dyDescent="0.25">
      <c r="A4381" s="1">
        <v>4380</v>
      </c>
      <c r="B4381" s="4">
        <v>31204</v>
      </c>
      <c r="C4381" s="5">
        <v>40411</v>
      </c>
      <c r="D4381" s="3" t="s">
        <v>82</v>
      </c>
      <c r="E4381" s="1" t="s">
        <v>427</v>
      </c>
      <c r="F4381" s="1" t="s">
        <v>36</v>
      </c>
      <c r="G4381" s="2" t="s">
        <v>2</v>
      </c>
      <c r="H4381" s="3" t="s">
        <v>84</v>
      </c>
      <c r="I4381" s="3" t="s">
        <v>85</v>
      </c>
      <c r="J4381" s="3" t="s">
        <v>64</v>
      </c>
      <c r="K4381" s="4">
        <v>10.46</v>
      </c>
      <c r="L4381" s="6">
        <v>1.1399999999999999</v>
      </c>
    </row>
    <row r="4382" spans="1:12" x14ac:dyDescent="0.25">
      <c r="A4382" s="1">
        <v>4381</v>
      </c>
      <c r="B4382" s="4">
        <v>31232</v>
      </c>
      <c r="C4382" s="5">
        <v>41150</v>
      </c>
      <c r="D4382" s="3" t="s">
        <v>89</v>
      </c>
      <c r="E4382" s="1" t="s">
        <v>238</v>
      </c>
      <c r="F4382" s="1" t="s">
        <v>48</v>
      </c>
      <c r="G4382" s="2" t="s">
        <v>1</v>
      </c>
      <c r="H4382" s="3" t="s">
        <v>97</v>
      </c>
      <c r="I4382" s="3" t="s">
        <v>91</v>
      </c>
      <c r="J4382" s="3" t="s">
        <v>60</v>
      </c>
      <c r="K4382" s="4">
        <v>2643.15</v>
      </c>
      <c r="L4382" s="6">
        <v>286.85000000000002</v>
      </c>
    </row>
    <row r="4383" spans="1:12" x14ac:dyDescent="0.25">
      <c r="A4383" s="1">
        <v>4382</v>
      </c>
      <c r="B4383" s="4">
        <v>31233</v>
      </c>
      <c r="C4383" s="5">
        <v>40810</v>
      </c>
      <c r="D4383" s="3" t="s">
        <v>82</v>
      </c>
      <c r="E4383" s="1" t="s">
        <v>1223</v>
      </c>
      <c r="F4383" s="1" t="s">
        <v>24</v>
      </c>
      <c r="G4383" s="2" t="s">
        <v>2</v>
      </c>
      <c r="H4383" s="3" t="s">
        <v>97</v>
      </c>
      <c r="I4383" s="3" t="s">
        <v>92</v>
      </c>
      <c r="J4383" s="3" t="s">
        <v>62</v>
      </c>
      <c r="K4383" s="4">
        <v>1298.29</v>
      </c>
      <c r="L4383" s="6">
        <v>31.78</v>
      </c>
    </row>
    <row r="4384" spans="1:12" x14ac:dyDescent="0.25">
      <c r="A4384" s="1">
        <v>4383</v>
      </c>
      <c r="B4384" s="4">
        <v>31233</v>
      </c>
      <c r="C4384" s="5">
        <v>40810</v>
      </c>
      <c r="D4384" s="3" t="s">
        <v>82</v>
      </c>
      <c r="E4384" s="1" t="s">
        <v>1223</v>
      </c>
      <c r="F4384" s="1" t="s">
        <v>24</v>
      </c>
      <c r="G4384" s="2" t="s">
        <v>2</v>
      </c>
      <c r="H4384" s="3" t="s">
        <v>97</v>
      </c>
      <c r="I4384" s="3" t="s">
        <v>85</v>
      </c>
      <c r="J4384" s="3" t="s">
        <v>66</v>
      </c>
      <c r="K4384" s="4">
        <v>19.34</v>
      </c>
      <c r="L4384" s="6">
        <v>4.9800000000000004</v>
      </c>
    </row>
    <row r="4385" spans="1:12" x14ac:dyDescent="0.25">
      <c r="A4385" s="1">
        <v>4384</v>
      </c>
      <c r="B4385" s="4">
        <v>31233</v>
      </c>
      <c r="C4385" s="5">
        <v>40810</v>
      </c>
      <c r="D4385" s="3" t="s">
        <v>82</v>
      </c>
      <c r="E4385" s="1" t="s">
        <v>1223</v>
      </c>
      <c r="F4385" s="1" t="s">
        <v>24</v>
      </c>
      <c r="G4385" s="2" t="s">
        <v>2</v>
      </c>
      <c r="H4385" s="3" t="s">
        <v>97</v>
      </c>
      <c r="I4385" s="3" t="s">
        <v>85</v>
      </c>
      <c r="J4385" s="3" t="s">
        <v>63</v>
      </c>
      <c r="K4385" s="4">
        <v>590.32000000000005</v>
      </c>
      <c r="L4385" s="6">
        <v>16.989999999999998</v>
      </c>
    </row>
    <row r="4386" spans="1:12" x14ac:dyDescent="0.25">
      <c r="A4386" s="1">
        <v>4385</v>
      </c>
      <c r="B4386" s="4">
        <v>31233</v>
      </c>
      <c r="C4386" s="5">
        <v>40810</v>
      </c>
      <c r="D4386" s="3" t="s">
        <v>82</v>
      </c>
      <c r="E4386" s="1" t="s">
        <v>1223</v>
      </c>
      <c r="F4386" s="1" t="s">
        <v>24</v>
      </c>
      <c r="G4386" s="2" t="s">
        <v>2</v>
      </c>
      <c r="H4386" s="3" t="s">
        <v>97</v>
      </c>
      <c r="I4386" s="3" t="s">
        <v>91</v>
      </c>
      <c r="J4386" s="3" t="s">
        <v>60</v>
      </c>
      <c r="K4386" s="4">
        <v>4245.93</v>
      </c>
      <c r="L4386" s="6">
        <v>209.37</v>
      </c>
    </row>
    <row r="4387" spans="1:12" x14ac:dyDescent="0.25">
      <c r="A4387" s="1">
        <v>4386</v>
      </c>
      <c r="B4387" s="4">
        <v>31237</v>
      </c>
      <c r="C4387" s="5">
        <v>40753</v>
      </c>
      <c r="D4387" s="3" t="s">
        <v>86</v>
      </c>
      <c r="E4387" s="1" t="s">
        <v>204</v>
      </c>
      <c r="F4387" s="1" t="s">
        <v>12</v>
      </c>
      <c r="G4387" s="2" t="s">
        <v>2</v>
      </c>
      <c r="H4387" s="3" t="s">
        <v>84</v>
      </c>
      <c r="I4387" s="3" t="s">
        <v>85</v>
      </c>
      <c r="J4387" s="3" t="s">
        <v>69</v>
      </c>
      <c r="K4387" s="4">
        <v>589.78</v>
      </c>
      <c r="L4387" s="6">
        <v>42.8</v>
      </c>
    </row>
    <row r="4388" spans="1:12" x14ac:dyDescent="0.25">
      <c r="A4388" s="1">
        <v>4387</v>
      </c>
      <c r="B4388" s="4">
        <v>31238</v>
      </c>
      <c r="C4388" s="5">
        <v>40412</v>
      </c>
      <c r="D4388" s="3" t="s">
        <v>4</v>
      </c>
      <c r="E4388" s="1" t="s">
        <v>1249</v>
      </c>
      <c r="F4388" s="1" t="s">
        <v>41</v>
      </c>
      <c r="G4388" s="2" t="s">
        <v>6</v>
      </c>
      <c r="H4388" s="3" t="s">
        <v>88</v>
      </c>
      <c r="I4388" s="3" t="s">
        <v>85</v>
      </c>
      <c r="J4388" s="3" t="s">
        <v>70</v>
      </c>
      <c r="K4388" s="4">
        <v>7512.03</v>
      </c>
      <c r="L4388" s="6">
        <v>363.25</v>
      </c>
    </row>
    <row r="4389" spans="1:12" x14ac:dyDescent="0.25">
      <c r="A4389" s="1">
        <v>4388</v>
      </c>
      <c r="B4389" s="4">
        <v>31239</v>
      </c>
      <c r="C4389" s="5">
        <v>40418</v>
      </c>
      <c r="D4389" s="3" t="s">
        <v>82</v>
      </c>
      <c r="E4389" s="1" t="s">
        <v>238</v>
      </c>
      <c r="F4389" s="1" t="s">
        <v>48</v>
      </c>
      <c r="G4389" s="2" t="s">
        <v>1</v>
      </c>
      <c r="H4389" s="3" t="s">
        <v>88</v>
      </c>
      <c r="I4389" s="3" t="s">
        <v>92</v>
      </c>
      <c r="J4389" s="3" t="s">
        <v>62</v>
      </c>
      <c r="K4389" s="4">
        <v>677.9</v>
      </c>
      <c r="L4389" s="6">
        <v>33.979999999999997</v>
      </c>
    </row>
    <row r="4390" spans="1:12" x14ac:dyDescent="0.25">
      <c r="A4390" s="1">
        <v>4389</v>
      </c>
      <c r="B4390" s="4">
        <v>31266</v>
      </c>
      <c r="C4390" s="5">
        <v>41185</v>
      </c>
      <c r="D4390" s="3" t="s">
        <v>89</v>
      </c>
      <c r="E4390" s="1" t="s">
        <v>1094</v>
      </c>
      <c r="F4390" s="1" t="s">
        <v>35</v>
      </c>
      <c r="G4390" s="2" t="s">
        <v>1</v>
      </c>
      <c r="H4390" s="3" t="s">
        <v>88</v>
      </c>
      <c r="I4390" s="3" t="s">
        <v>92</v>
      </c>
      <c r="J4390" s="3" t="s">
        <v>67</v>
      </c>
      <c r="K4390" s="4">
        <v>6573.75</v>
      </c>
      <c r="L4390" s="6">
        <v>399.98</v>
      </c>
    </row>
    <row r="4391" spans="1:12" x14ac:dyDescent="0.25">
      <c r="A4391" s="1">
        <v>4390</v>
      </c>
      <c r="B4391" s="4">
        <v>31270</v>
      </c>
      <c r="C4391" s="5">
        <v>41236</v>
      </c>
      <c r="D4391" s="3" t="s">
        <v>4</v>
      </c>
      <c r="E4391" s="1" t="s">
        <v>796</v>
      </c>
      <c r="F4391" s="1" t="s">
        <v>8</v>
      </c>
      <c r="G4391" s="2" t="s">
        <v>6</v>
      </c>
      <c r="H4391" s="3" t="s">
        <v>88</v>
      </c>
      <c r="I4391" s="3" t="s">
        <v>91</v>
      </c>
      <c r="J4391" s="3" t="s">
        <v>72</v>
      </c>
      <c r="K4391" s="4">
        <v>6806.66</v>
      </c>
      <c r="L4391" s="6">
        <v>299.05</v>
      </c>
    </row>
    <row r="4392" spans="1:12" x14ac:dyDescent="0.25">
      <c r="A4392" s="1">
        <v>4391</v>
      </c>
      <c r="B4392" s="4">
        <v>31270</v>
      </c>
      <c r="C4392" s="5">
        <v>41236</v>
      </c>
      <c r="D4392" s="3" t="s">
        <v>4</v>
      </c>
      <c r="E4392" s="1" t="s">
        <v>796</v>
      </c>
      <c r="F4392" s="1" t="s">
        <v>8</v>
      </c>
      <c r="G4392" s="2" t="s">
        <v>6</v>
      </c>
      <c r="H4392" s="3" t="s">
        <v>88</v>
      </c>
      <c r="I4392" s="3" t="s">
        <v>91</v>
      </c>
      <c r="J4392" s="3" t="s">
        <v>72</v>
      </c>
      <c r="K4392" s="4">
        <v>891.61</v>
      </c>
      <c r="L4392" s="6">
        <v>291.73</v>
      </c>
    </row>
    <row r="4393" spans="1:12" x14ac:dyDescent="0.25">
      <c r="A4393" s="1">
        <v>4392</v>
      </c>
      <c r="B4393" s="4">
        <v>31270</v>
      </c>
      <c r="C4393" s="5">
        <v>41236</v>
      </c>
      <c r="D4393" s="3" t="s">
        <v>4</v>
      </c>
      <c r="E4393" s="1" t="s">
        <v>796</v>
      </c>
      <c r="F4393" s="1" t="s">
        <v>8</v>
      </c>
      <c r="G4393" s="2" t="s">
        <v>6</v>
      </c>
      <c r="H4393" s="3" t="s">
        <v>88</v>
      </c>
      <c r="I4393" s="3" t="s">
        <v>92</v>
      </c>
      <c r="J4393" s="3" t="s">
        <v>62</v>
      </c>
      <c r="K4393" s="4">
        <v>165.04</v>
      </c>
      <c r="L4393" s="6">
        <v>30.42</v>
      </c>
    </row>
    <row r="4394" spans="1:12" x14ac:dyDescent="0.25">
      <c r="A4394" s="1">
        <v>4393</v>
      </c>
      <c r="B4394" s="4">
        <v>31271</v>
      </c>
      <c r="C4394" s="5">
        <v>40653</v>
      </c>
      <c r="D4394" s="3" t="s">
        <v>82</v>
      </c>
      <c r="E4394" s="1" t="s">
        <v>306</v>
      </c>
      <c r="F4394" s="1" t="s">
        <v>9</v>
      </c>
      <c r="G4394" s="2" t="s">
        <v>2</v>
      </c>
      <c r="H4394" s="3" t="s">
        <v>84</v>
      </c>
      <c r="I4394" s="3" t="s">
        <v>91</v>
      </c>
      <c r="J4394" s="3" t="s">
        <v>59</v>
      </c>
      <c r="K4394" s="4">
        <v>43.29</v>
      </c>
      <c r="L4394" s="6">
        <v>8.3699999999999992</v>
      </c>
    </row>
    <row r="4395" spans="1:12" x14ac:dyDescent="0.25">
      <c r="A4395" s="1">
        <v>4394</v>
      </c>
      <c r="B4395" s="4">
        <v>31297</v>
      </c>
      <c r="C4395" s="5">
        <v>41139</v>
      </c>
      <c r="D4395" s="3" t="s">
        <v>82</v>
      </c>
      <c r="E4395" s="1" t="s">
        <v>1032</v>
      </c>
      <c r="F4395" s="1" t="s">
        <v>25</v>
      </c>
      <c r="G4395" s="2" t="s">
        <v>6</v>
      </c>
      <c r="H4395" s="3" t="s">
        <v>88</v>
      </c>
      <c r="I4395" s="3" t="s">
        <v>85</v>
      </c>
      <c r="J4395" s="3" t="s">
        <v>63</v>
      </c>
      <c r="K4395" s="4">
        <v>679.95</v>
      </c>
      <c r="L4395" s="6">
        <v>17.989999999999998</v>
      </c>
    </row>
    <row r="4396" spans="1:12" x14ac:dyDescent="0.25">
      <c r="A4396" s="1">
        <v>4395</v>
      </c>
      <c r="B4396" s="4">
        <v>31297</v>
      </c>
      <c r="C4396" s="5">
        <v>41139</v>
      </c>
      <c r="D4396" s="3" t="s">
        <v>82</v>
      </c>
      <c r="E4396" s="1" t="s">
        <v>1250</v>
      </c>
      <c r="F4396" s="1" t="s">
        <v>25</v>
      </c>
      <c r="G4396" s="2" t="s">
        <v>6</v>
      </c>
      <c r="H4396" s="3" t="s">
        <v>88</v>
      </c>
      <c r="I4396" s="3" t="s">
        <v>85</v>
      </c>
      <c r="J4396" s="3" t="s">
        <v>66</v>
      </c>
      <c r="K4396" s="4">
        <v>1579.56</v>
      </c>
      <c r="L4396" s="6">
        <v>35.44</v>
      </c>
    </row>
    <row r="4397" spans="1:12" x14ac:dyDescent="0.25">
      <c r="A4397" s="1">
        <v>4396</v>
      </c>
      <c r="B4397" s="4">
        <v>31301</v>
      </c>
      <c r="C4397" s="5">
        <v>40469</v>
      </c>
      <c r="D4397" s="3" t="s">
        <v>82</v>
      </c>
      <c r="E4397" s="1" t="s">
        <v>183</v>
      </c>
      <c r="F4397" s="1" t="s">
        <v>13</v>
      </c>
      <c r="G4397" s="2" t="s">
        <v>6</v>
      </c>
      <c r="H4397" s="3" t="s">
        <v>100</v>
      </c>
      <c r="I4397" s="3" t="s">
        <v>85</v>
      </c>
      <c r="J4397" s="3" t="s">
        <v>65</v>
      </c>
      <c r="K4397" s="4">
        <v>109.78</v>
      </c>
      <c r="L4397" s="6">
        <v>3.75</v>
      </c>
    </row>
    <row r="4398" spans="1:12" x14ac:dyDescent="0.25">
      <c r="A4398" s="1">
        <v>4397</v>
      </c>
      <c r="B4398" s="4">
        <v>31302</v>
      </c>
      <c r="C4398" s="5">
        <v>41122</v>
      </c>
      <c r="D4398" s="3" t="s">
        <v>89</v>
      </c>
      <c r="E4398" s="1" t="s">
        <v>1200</v>
      </c>
      <c r="F4398" s="1" t="s">
        <v>42</v>
      </c>
      <c r="G4398" s="2" t="s">
        <v>3</v>
      </c>
      <c r="H4398" s="3" t="s">
        <v>84</v>
      </c>
      <c r="I4398" s="3" t="s">
        <v>92</v>
      </c>
      <c r="J4398" s="3" t="s">
        <v>62</v>
      </c>
      <c r="K4398" s="4">
        <v>4648.6400000000003</v>
      </c>
      <c r="L4398" s="6">
        <v>115.79</v>
      </c>
    </row>
    <row r="4399" spans="1:12" x14ac:dyDescent="0.25">
      <c r="A4399" s="1">
        <v>4398</v>
      </c>
      <c r="B4399" s="4">
        <v>31303</v>
      </c>
      <c r="C4399" s="5">
        <v>40622</v>
      </c>
      <c r="D4399" s="3" t="s">
        <v>82</v>
      </c>
      <c r="E4399" s="1" t="s">
        <v>470</v>
      </c>
      <c r="F4399" s="1" t="s">
        <v>21</v>
      </c>
      <c r="G4399" s="2" t="s">
        <v>1</v>
      </c>
      <c r="H4399" s="3" t="s">
        <v>97</v>
      </c>
      <c r="I4399" s="3" t="s">
        <v>85</v>
      </c>
      <c r="J4399" s="3" t="s">
        <v>69</v>
      </c>
      <c r="K4399" s="4">
        <v>306.13</v>
      </c>
      <c r="L4399" s="6">
        <v>5.98</v>
      </c>
    </row>
    <row r="4400" spans="1:12" x14ac:dyDescent="0.25">
      <c r="A4400" s="1">
        <v>4399</v>
      </c>
      <c r="B4400" s="4">
        <v>31330</v>
      </c>
      <c r="C4400" s="5">
        <v>40330</v>
      </c>
      <c r="D4400" s="3" t="s">
        <v>89</v>
      </c>
      <c r="E4400" s="1" t="s">
        <v>1241</v>
      </c>
      <c r="F4400" s="1" t="s">
        <v>10</v>
      </c>
      <c r="G4400" s="2" t="s">
        <v>3</v>
      </c>
      <c r="H4400" s="3" t="s">
        <v>88</v>
      </c>
      <c r="I4400" s="3" t="s">
        <v>85</v>
      </c>
      <c r="J4400" s="3" t="s">
        <v>63</v>
      </c>
      <c r="K4400" s="4">
        <v>13.5</v>
      </c>
      <c r="L4400" s="6">
        <v>5.98</v>
      </c>
    </row>
    <row r="4401" spans="1:12" x14ac:dyDescent="0.25">
      <c r="A4401" s="1">
        <v>4400</v>
      </c>
      <c r="B4401" s="4">
        <v>31330</v>
      </c>
      <c r="C4401" s="5">
        <v>40330</v>
      </c>
      <c r="D4401" s="3" t="s">
        <v>89</v>
      </c>
      <c r="E4401" s="1" t="s">
        <v>1241</v>
      </c>
      <c r="F4401" s="1" t="s">
        <v>10</v>
      </c>
      <c r="G4401" s="2" t="s">
        <v>3</v>
      </c>
      <c r="H4401" s="3" t="s">
        <v>88</v>
      </c>
      <c r="I4401" s="3" t="s">
        <v>85</v>
      </c>
      <c r="J4401" s="3" t="s">
        <v>57</v>
      </c>
      <c r="K4401" s="4">
        <v>540.64</v>
      </c>
      <c r="L4401" s="6">
        <v>13.43</v>
      </c>
    </row>
    <row r="4402" spans="1:12" x14ac:dyDescent="0.25">
      <c r="A4402" s="1">
        <v>4401</v>
      </c>
      <c r="B4402" s="4">
        <v>31364</v>
      </c>
      <c r="C4402" s="5">
        <v>39934</v>
      </c>
      <c r="D4402" s="3" t="s">
        <v>86</v>
      </c>
      <c r="E4402" s="1" t="s">
        <v>927</v>
      </c>
      <c r="F4402" s="1" t="s">
        <v>8</v>
      </c>
      <c r="G4402" s="2" t="s">
        <v>6</v>
      </c>
      <c r="H4402" s="3" t="s">
        <v>88</v>
      </c>
      <c r="I4402" s="3" t="s">
        <v>85</v>
      </c>
      <c r="J4402" s="3" t="s">
        <v>57</v>
      </c>
      <c r="K4402" s="4">
        <v>789.01</v>
      </c>
      <c r="L4402" s="6">
        <v>415.88</v>
      </c>
    </row>
    <row r="4403" spans="1:12" x14ac:dyDescent="0.25">
      <c r="A4403" s="1">
        <v>4402</v>
      </c>
      <c r="B4403" s="4">
        <v>31392</v>
      </c>
      <c r="C4403" s="5">
        <v>40304</v>
      </c>
      <c r="D4403" s="3" t="s">
        <v>82</v>
      </c>
      <c r="E4403" s="1" t="s">
        <v>858</v>
      </c>
      <c r="F4403" s="1" t="s">
        <v>21</v>
      </c>
      <c r="G4403" s="2" t="s">
        <v>1</v>
      </c>
      <c r="H4403" s="3" t="s">
        <v>97</v>
      </c>
      <c r="I4403" s="3" t="s">
        <v>85</v>
      </c>
      <c r="J4403" s="3" t="s">
        <v>66</v>
      </c>
      <c r="K4403" s="4">
        <v>128.86000000000001</v>
      </c>
      <c r="L4403" s="6">
        <v>6.48</v>
      </c>
    </row>
    <row r="4404" spans="1:12" x14ac:dyDescent="0.25">
      <c r="A4404" s="1">
        <v>4403</v>
      </c>
      <c r="B4404" s="4">
        <v>31392</v>
      </c>
      <c r="C4404" s="5">
        <v>40304</v>
      </c>
      <c r="D4404" s="3" t="s">
        <v>82</v>
      </c>
      <c r="E4404" s="1" t="s">
        <v>238</v>
      </c>
      <c r="F4404" s="1" t="s">
        <v>48</v>
      </c>
      <c r="G4404" s="2" t="s">
        <v>1</v>
      </c>
      <c r="H4404" s="3" t="s">
        <v>97</v>
      </c>
      <c r="I4404" s="3" t="s">
        <v>85</v>
      </c>
      <c r="J4404" s="3" t="s">
        <v>57</v>
      </c>
      <c r="K4404" s="4">
        <v>3249.09</v>
      </c>
      <c r="L4404" s="6">
        <v>78.8</v>
      </c>
    </row>
    <row r="4405" spans="1:12" x14ac:dyDescent="0.25">
      <c r="A4405" s="1">
        <v>4404</v>
      </c>
      <c r="B4405" s="4">
        <v>31393</v>
      </c>
      <c r="C4405" s="5">
        <v>41040</v>
      </c>
      <c r="D4405" s="3" t="s">
        <v>95</v>
      </c>
      <c r="E4405" s="1" t="s">
        <v>984</v>
      </c>
      <c r="F4405" s="1" t="s">
        <v>8</v>
      </c>
      <c r="G4405" s="2" t="s">
        <v>6</v>
      </c>
      <c r="H4405" s="3" t="s">
        <v>88</v>
      </c>
      <c r="I4405" s="3" t="s">
        <v>91</v>
      </c>
      <c r="J4405" s="3" t="s">
        <v>59</v>
      </c>
      <c r="K4405" s="4">
        <v>97.57</v>
      </c>
      <c r="L4405" s="6">
        <v>19.940000000000001</v>
      </c>
    </row>
    <row r="4406" spans="1:12" x14ac:dyDescent="0.25">
      <c r="A4406" s="1">
        <v>4405</v>
      </c>
      <c r="B4406" s="4">
        <v>31393</v>
      </c>
      <c r="C4406" s="5">
        <v>41040</v>
      </c>
      <c r="D4406" s="3" t="s">
        <v>95</v>
      </c>
      <c r="E4406" s="1" t="s">
        <v>984</v>
      </c>
      <c r="F4406" s="1" t="s">
        <v>8</v>
      </c>
      <c r="G4406" s="2" t="s">
        <v>6</v>
      </c>
      <c r="H4406" s="3" t="s">
        <v>88</v>
      </c>
      <c r="I4406" s="3" t="s">
        <v>85</v>
      </c>
      <c r="J4406" s="3" t="s">
        <v>58</v>
      </c>
      <c r="K4406" s="4">
        <v>110.32</v>
      </c>
      <c r="L4406" s="6">
        <v>3.68</v>
      </c>
    </row>
    <row r="4407" spans="1:12" x14ac:dyDescent="0.25">
      <c r="A4407" s="1">
        <v>4406</v>
      </c>
      <c r="B4407" s="4">
        <v>31399</v>
      </c>
      <c r="C4407" s="5">
        <v>40852</v>
      </c>
      <c r="D4407" s="3" t="s">
        <v>86</v>
      </c>
      <c r="E4407" s="1" t="s">
        <v>419</v>
      </c>
      <c r="F4407" s="1" t="s">
        <v>9</v>
      </c>
      <c r="G4407" s="2" t="s">
        <v>2</v>
      </c>
      <c r="H4407" s="3" t="s">
        <v>100</v>
      </c>
      <c r="I4407" s="3" t="s">
        <v>92</v>
      </c>
      <c r="J4407" s="3" t="s">
        <v>61</v>
      </c>
      <c r="K4407" s="4">
        <v>337.20349999999996</v>
      </c>
      <c r="L4407" s="6">
        <v>45.99</v>
      </c>
    </row>
    <row r="4408" spans="1:12" x14ac:dyDescent="0.25">
      <c r="A4408" s="1">
        <v>4407</v>
      </c>
      <c r="B4408" s="4">
        <v>31426</v>
      </c>
      <c r="C4408" s="5">
        <v>40030</v>
      </c>
      <c r="D4408" s="3" t="s">
        <v>82</v>
      </c>
      <c r="E4408" s="1" t="s">
        <v>932</v>
      </c>
      <c r="F4408" s="1" t="s">
        <v>30</v>
      </c>
      <c r="G4408" s="2" t="s">
        <v>6</v>
      </c>
      <c r="H4408" s="3" t="s">
        <v>97</v>
      </c>
      <c r="I4408" s="3" t="s">
        <v>92</v>
      </c>
      <c r="J4408" s="3" t="s">
        <v>61</v>
      </c>
      <c r="K4408" s="4">
        <v>4054.0579999999995</v>
      </c>
      <c r="L4408" s="6">
        <v>125.99</v>
      </c>
    </row>
    <row r="4409" spans="1:12" x14ac:dyDescent="0.25">
      <c r="A4409" s="1">
        <v>4408</v>
      </c>
      <c r="B4409" s="4">
        <v>31456</v>
      </c>
      <c r="C4409" s="5">
        <v>41228</v>
      </c>
      <c r="D4409" s="3" t="s">
        <v>89</v>
      </c>
      <c r="E4409" s="1" t="s">
        <v>1175</v>
      </c>
      <c r="F4409" s="1" t="s">
        <v>35</v>
      </c>
      <c r="G4409" s="2" t="s">
        <v>1</v>
      </c>
      <c r="H4409" s="3" t="s">
        <v>97</v>
      </c>
      <c r="I4409" s="3" t="s">
        <v>85</v>
      </c>
      <c r="J4409" s="3" t="s">
        <v>69</v>
      </c>
      <c r="K4409" s="4">
        <v>225.09</v>
      </c>
      <c r="L4409" s="6">
        <v>21.38</v>
      </c>
    </row>
    <row r="4410" spans="1:12" x14ac:dyDescent="0.25">
      <c r="A4410" s="1">
        <v>4409</v>
      </c>
      <c r="B4410" s="4">
        <v>31460</v>
      </c>
      <c r="C4410" s="5">
        <v>41147</v>
      </c>
      <c r="D4410" s="3" t="s">
        <v>89</v>
      </c>
      <c r="E4410" s="1" t="s">
        <v>1012</v>
      </c>
      <c r="F4410" s="1" t="s">
        <v>17</v>
      </c>
      <c r="G4410" s="2" t="s">
        <v>2</v>
      </c>
      <c r="H4410" s="3" t="s">
        <v>88</v>
      </c>
      <c r="I4410" s="3" t="s">
        <v>85</v>
      </c>
      <c r="J4410" s="3" t="s">
        <v>57</v>
      </c>
      <c r="K4410" s="4">
        <v>990.67</v>
      </c>
      <c r="L4410" s="6">
        <v>110.98</v>
      </c>
    </row>
    <row r="4411" spans="1:12" x14ac:dyDescent="0.25">
      <c r="A4411" s="1">
        <v>4410</v>
      </c>
      <c r="B4411" s="4">
        <v>31461</v>
      </c>
      <c r="C4411" s="5">
        <v>40721</v>
      </c>
      <c r="D4411" s="3" t="s">
        <v>4</v>
      </c>
      <c r="E4411" s="1" t="s">
        <v>1105</v>
      </c>
      <c r="F4411" s="1" t="s">
        <v>24</v>
      </c>
      <c r="G4411" s="2" t="s">
        <v>2</v>
      </c>
      <c r="H4411" s="3" t="s">
        <v>88</v>
      </c>
      <c r="I4411" s="3" t="s">
        <v>85</v>
      </c>
      <c r="J4411" s="3" t="s">
        <v>70</v>
      </c>
      <c r="K4411" s="4">
        <v>1463.42</v>
      </c>
      <c r="L4411" s="6">
        <v>59.98</v>
      </c>
    </row>
    <row r="4412" spans="1:12" x14ac:dyDescent="0.25">
      <c r="A4412" s="1">
        <v>4411</v>
      </c>
      <c r="B4412" s="4">
        <v>31492</v>
      </c>
      <c r="C4412" s="5">
        <v>40466</v>
      </c>
      <c r="D4412" s="3" t="s">
        <v>95</v>
      </c>
      <c r="E4412" s="1" t="s">
        <v>582</v>
      </c>
      <c r="F4412" s="1" t="s">
        <v>8</v>
      </c>
      <c r="G4412" s="2" t="s">
        <v>6</v>
      </c>
      <c r="H4412" s="3" t="s">
        <v>84</v>
      </c>
      <c r="I4412" s="3" t="s">
        <v>85</v>
      </c>
      <c r="J4412" s="3" t="s">
        <v>70</v>
      </c>
      <c r="K4412" s="4">
        <v>321.68</v>
      </c>
      <c r="L4412" s="6">
        <v>11.97</v>
      </c>
    </row>
    <row r="4413" spans="1:12" x14ac:dyDescent="0.25">
      <c r="A4413" s="1">
        <v>4412</v>
      </c>
      <c r="B4413" s="4">
        <v>31492</v>
      </c>
      <c r="C4413" s="5">
        <v>40466</v>
      </c>
      <c r="D4413" s="3" t="s">
        <v>95</v>
      </c>
      <c r="E4413" s="1" t="s">
        <v>582</v>
      </c>
      <c r="F4413" s="1" t="s">
        <v>8</v>
      </c>
      <c r="G4413" s="2" t="s">
        <v>6</v>
      </c>
      <c r="H4413" s="3" t="s">
        <v>84</v>
      </c>
      <c r="I4413" s="3" t="s">
        <v>85</v>
      </c>
      <c r="J4413" s="3" t="s">
        <v>57</v>
      </c>
      <c r="K4413" s="4">
        <v>971.95</v>
      </c>
      <c r="L4413" s="6">
        <v>29.74</v>
      </c>
    </row>
    <row r="4414" spans="1:12" x14ac:dyDescent="0.25">
      <c r="A4414" s="1">
        <v>4413</v>
      </c>
      <c r="B4414" s="4">
        <v>31492</v>
      </c>
      <c r="C4414" s="5">
        <v>40466</v>
      </c>
      <c r="D4414" s="3" t="s">
        <v>95</v>
      </c>
      <c r="E4414" s="1" t="s">
        <v>582</v>
      </c>
      <c r="F4414" s="1" t="s">
        <v>8</v>
      </c>
      <c r="G4414" s="2" t="s">
        <v>6</v>
      </c>
      <c r="H4414" s="3" t="s">
        <v>84</v>
      </c>
      <c r="I4414" s="3" t="s">
        <v>85</v>
      </c>
      <c r="J4414" s="3" t="s">
        <v>57</v>
      </c>
      <c r="K4414" s="4">
        <v>2149.0300000000002</v>
      </c>
      <c r="L4414" s="6">
        <v>95.43</v>
      </c>
    </row>
    <row r="4415" spans="1:12" x14ac:dyDescent="0.25">
      <c r="A4415" s="1">
        <v>4414</v>
      </c>
      <c r="B4415" s="4">
        <v>31493</v>
      </c>
      <c r="C4415" s="5">
        <v>40103</v>
      </c>
      <c r="D4415" s="3" t="s">
        <v>89</v>
      </c>
      <c r="E4415" s="1" t="s">
        <v>625</v>
      </c>
      <c r="F4415" s="1" t="s">
        <v>23</v>
      </c>
      <c r="G4415" s="2" t="s">
        <v>3</v>
      </c>
      <c r="H4415" s="3" t="s">
        <v>97</v>
      </c>
      <c r="I4415" s="3" t="s">
        <v>91</v>
      </c>
      <c r="J4415" s="3" t="s">
        <v>59</v>
      </c>
      <c r="K4415" s="4">
        <v>112.47</v>
      </c>
      <c r="L4415" s="6">
        <v>12.2</v>
      </c>
    </row>
    <row r="4416" spans="1:12" x14ac:dyDescent="0.25">
      <c r="A4416" s="1">
        <v>4415</v>
      </c>
      <c r="B4416" s="4">
        <v>31495</v>
      </c>
      <c r="C4416" s="5">
        <v>40394</v>
      </c>
      <c r="D4416" s="3" t="s">
        <v>82</v>
      </c>
      <c r="E4416" s="1" t="s">
        <v>277</v>
      </c>
      <c r="F4416" s="1" t="s">
        <v>13</v>
      </c>
      <c r="G4416" s="2" t="s">
        <v>6</v>
      </c>
      <c r="H4416" s="3" t="s">
        <v>100</v>
      </c>
      <c r="I4416" s="3" t="s">
        <v>85</v>
      </c>
      <c r="J4416" s="3" t="s">
        <v>69</v>
      </c>
      <c r="K4416" s="4">
        <v>191.43</v>
      </c>
      <c r="L4416" s="6">
        <v>8.69</v>
      </c>
    </row>
    <row r="4417" spans="1:12" x14ac:dyDescent="0.25">
      <c r="A4417" s="1">
        <v>4416</v>
      </c>
      <c r="B4417" s="4">
        <v>31495</v>
      </c>
      <c r="C4417" s="5">
        <v>40394</v>
      </c>
      <c r="D4417" s="3" t="s">
        <v>82</v>
      </c>
      <c r="E4417" s="1" t="s">
        <v>277</v>
      </c>
      <c r="F4417" s="1" t="s">
        <v>13</v>
      </c>
      <c r="G4417" s="2" t="s">
        <v>6</v>
      </c>
      <c r="H4417" s="3" t="s">
        <v>100</v>
      </c>
      <c r="I4417" s="3" t="s">
        <v>85</v>
      </c>
      <c r="J4417" s="3" t="s">
        <v>57</v>
      </c>
      <c r="K4417" s="4">
        <v>1234.8499999999999</v>
      </c>
      <c r="L4417" s="6">
        <v>34.76</v>
      </c>
    </row>
    <row r="4418" spans="1:12" x14ac:dyDescent="0.25">
      <c r="A4418" s="1">
        <v>4417</v>
      </c>
      <c r="B4418" s="4">
        <v>31520</v>
      </c>
      <c r="C4418" s="5">
        <v>40875</v>
      </c>
      <c r="D4418" s="3" t="s">
        <v>89</v>
      </c>
      <c r="E4418" s="1" t="s">
        <v>1148</v>
      </c>
      <c r="F4418" s="1" t="s">
        <v>45</v>
      </c>
      <c r="G4418" s="2" t="s">
        <v>3</v>
      </c>
      <c r="H4418" s="3" t="s">
        <v>100</v>
      </c>
      <c r="I4418" s="3" t="s">
        <v>91</v>
      </c>
      <c r="J4418" s="3" t="s">
        <v>59</v>
      </c>
      <c r="K4418" s="4">
        <v>138.71</v>
      </c>
      <c r="L4418" s="6">
        <v>5.89</v>
      </c>
    </row>
    <row r="4419" spans="1:12" x14ac:dyDescent="0.25">
      <c r="A4419" s="1">
        <v>4418</v>
      </c>
      <c r="B4419" s="4">
        <v>31522</v>
      </c>
      <c r="C4419" s="5">
        <v>40323</v>
      </c>
      <c r="D4419" s="3" t="s">
        <v>4</v>
      </c>
      <c r="E4419" s="1" t="s">
        <v>794</v>
      </c>
      <c r="F4419" s="1" t="s">
        <v>35</v>
      </c>
      <c r="G4419" s="2" t="s">
        <v>1</v>
      </c>
      <c r="H4419" s="3" t="s">
        <v>97</v>
      </c>
      <c r="I4419" s="3" t="s">
        <v>91</v>
      </c>
      <c r="J4419" s="3" t="s">
        <v>59</v>
      </c>
      <c r="K4419" s="4">
        <v>302.39999999999998</v>
      </c>
      <c r="L4419" s="6">
        <v>22.23</v>
      </c>
    </row>
    <row r="4420" spans="1:12" x14ac:dyDescent="0.25">
      <c r="A4420" s="1">
        <v>4419</v>
      </c>
      <c r="B4420" s="4">
        <v>31522</v>
      </c>
      <c r="C4420" s="5">
        <v>40323</v>
      </c>
      <c r="D4420" s="3" t="s">
        <v>4</v>
      </c>
      <c r="E4420" s="1" t="s">
        <v>1251</v>
      </c>
      <c r="F4420" s="1" t="s">
        <v>35</v>
      </c>
      <c r="G4420" s="2" t="s">
        <v>1</v>
      </c>
      <c r="H4420" s="3" t="s">
        <v>97</v>
      </c>
      <c r="I4420" s="3" t="s">
        <v>91</v>
      </c>
      <c r="J4420" s="3" t="s">
        <v>72</v>
      </c>
      <c r="K4420" s="4">
        <v>1083.3699999999999</v>
      </c>
      <c r="L4420" s="6">
        <v>25.98</v>
      </c>
    </row>
    <row r="4421" spans="1:12" x14ac:dyDescent="0.25">
      <c r="A4421" s="1">
        <v>4420</v>
      </c>
      <c r="B4421" s="4">
        <v>31523</v>
      </c>
      <c r="C4421" s="5">
        <v>40976</v>
      </c>
      <c r="D4421" s="3" t="s">
        <v>82</v>
      </c>
      <c r="E4421" s="1" t="s">
        <v>772</v>
      </c>
      <c r="F4421" s="1" t="s">
        <v>13</v>
      </c>
      <c r="G4421" s="2" t="s">
        <v>6</v>
      </c>
      <c r="H4421" s="3" t="s">
        <v>97</v>
      </c>
      <c r="I4421" s="3" t="s">
        <v>92</v>
      </c>
      <c r="J4421" s="3" t="s">
        <v>62</v>
      </c>
      <c r="K4421" s="4">
        <v>105.85</v>
      </c>
      <c r="L4421" s="6">
        <v>6.48</v>
      </c>
    </row>
    <row r="4422" spans="1:12" x14ac:dyDescent="0.25">
      <c r="A4422" s="1">
        <v>4421</v>
      </c>
      <c r="B4422" s="4">
        <v>31523</v>
      </c>
      <c r="C4422" s="5">
        <v>40976</v>
      </c>
      <c r="D4422" s="3" t="s">
        <v>82</v>
      </c>
      <c r="E4422" s="1" t="s">
        <v>772</v>
      </c>
      <c r="F4422" s="1" t="s">
        <v>13</v>
      </c>
      <c r="G4422" s="2" t="s">
        <v>6</v>
      </c>
      <c r="H4422" s="3" t="s">
        <v>97</v>
      </c>
      <c r="I4422" s="3" t="s">
        <v>85</v>
      </c>
      <c r="J4422" s="3" t="s">
        <v>71</v>
      </c>
      <c r="K4422" s="4">
        <v>179.33</v>
      </c>
      <c r="L4422" s="6">
        <v>8.74</v>
      </c>
    </row>
    <row r="4423" spans="1:12" x14ac:dyDescent="0.25">
      <c r="A4423" s="1">
        <v>4422</v>
      </c>
      <c r="B4423" s="4">
        <v>31524</v>
      </c>
      <c r="C4423" s="5">
        <v>40720</v>
      </c>
      <c r="D4423" s="3" t="s">
        <v>82</v>
      </c>
      <c r="E4423" s="1" t="s">
        <v>234</v>
      </c>
      <c r="F4423" s="1" t="s">
        <v>24</v>
      </c>
      <c r="G4423" s="2" t="s">
        <v>2</v>
      </c>
      <c r="H4423" s="3" t="s">
        <v>84</v>
      </c>
      <c r="I4423" s="3" t="s">
        <v>91</v>
      </c>
      <c r="J4423" s="3" t="s">
        <v>72</v>
      </c>
      <c r="K4423" s="4">
        <v>1025.8800000000001</v>
      </c>
      <c r="L4423" s="6">
        <v>100.89</v>
      </c>
    </row>
    <row r="4424" spans="1:12" x14ac:dyDescent="0.25">
      <c r="A4424" s="1">
        <v>4423</v>
      </c>
      <c r="B4424" s="4">
        <v>31552</v>
      </c>
      <c r="C4424" s="5">
        <v>41224</v>
      </c>
      <c r="D4424" s="3" t="s">
        <v>89</v>
      </c>
      <c r="E4424" s="1" t="s">
        <v>1077</v>
      </c>
      <c r="F4424" s="1" t="s">
        <v>13</v>
      </c>
      <c r="G4424" s="2" t="s">
        <v>6</v>
      </c>
      <c r="H4424" s="3" t="s">
        <v>88</v>
      </c>
      <c r="I4424" s="3" t="s">
        <v>92</v>
      </c>
      <c r="J4424" s="3" t="s">
        <v>62</v>
      </c>
      <c r="K4424" s="4">
        <v>378.08</v>
      </c>
      <c r="L4424" s="6">
        <v>22.24</v>
      </c>
    </row>
    <row r="4425" spans="1:12" x14ac:dyDescent="0.25">
      <c r="A4425" s="1">
        <v>4424</v>
      </c>
      <c r="B4425" s="4">
        <v>31552</v>
      </c>
      <c r="C4425" s="5">
        <v>41224</v>
      </c>
      <c r="D4425" s="3" t="s">
        <v>89</v>
      </c>
      <c r="E4425" s="1" t="s">
        <v>1077</v>
      </c>
      <c r="F4425" s="1" t="s">
        <v>13</v>
      </c>
      <c r="G4425" s="2" t="s">
        <v>6</v>
      </c>
      <c r="H4425" s="3" t="s">
        <v>88</v>
      </c>
      <c r="I4425" s="3" t="s">
        <v>92</v>
      </c>
      <c r="J4425" s="3" t="s">
        <v>62</v>
      </c>
      <c r="K4425" s="4">
        <v>731.71</v>
      </c>
      <c r="L4425" s="6">
        <v>29.89</v>
      </c>
    </row>
    <row r="4426" spans="1:12" x14ac:dyDescent="0.25">
      <c r="A4426" s="1">
        <v>4425</v>
      </c>
      <c r="B4426" s="4">
        <v>31553</v>
      </c>
      <c r="C4426" s="5">
        <v>39823</v>
      </c>
      <c r="D4426" s="3" t="s">
        <v>95</v>
      </c>
      <c r="E4426" s="1" t="s">
        <v>1073</v>
      </c>
      <c r="F4426" s="1" t="s">
        <v>25</v>
      </c>
      <c r="G4426" s="2" t="s">
        <v>6</v>
      </c>
      <c r="H4426" s="3" t="s">
        <v>88</v>
      </c>
      <c r="I4426" s="3" t="s">
        <v>85</v>
      </c>
      <c r="J4426" s="3" t="s">
        <v>71</v>
      </c>
      <c r="K4426" s="4">
        <v>4906.8500000000004</v>
      </c>
      <c r="L4426" s="6">
        <v>162.93</v>
      </c>
    </row>
    <row r="4427" spans="1:12" x14ac:dyDescent="0.25">
      <c r="A4427" s="1">
        <v>4426</v>
      </c>
      <c r="B4427" s="4">
        <v>31555</v>
      </c>
      <c r="C4427" s="5">
        <v>40912</v>
      </c>
      <c r="D4427" s="3" t="s">
        <v>95</v>
      </c>
      <c r="E4427" s="1" t="s">
        <v>728</v>
      </c>
      <c r="F4427" s="1" t="s">
        <v>23</v>
      </c>
      <c r="G4427" s="2" t="s">
        <v>3</v>
      </c>
      <c r="H4427" s="3" t="s">
        <v>97</v>
      </c>
      <c r="I4427" s="3" t="s">
        <v>91</v>
      </c>
      <c r="J4427" s="3" t="s">
        <v>59</v>
      </c>
      <c r="K4427" s="4">
        <v>3531.75</v>
      </c>
      <c r="L4427" s="6">
        <v>88.84</v>
      </c>
    </row>
    <row r="4428" spans="1:12" x14ac:dyDescent="0.25">
      <c r="A4428" s="1">
        <v>4427</v>
      </c>
      <c r="B4428" s="4">
        <v>31555</v>
      </c>
      <c r="C4428" s="5">
        <v>40912</v>
      </c>
      <c r="D4428" s="3" t="s">
        <v>95</v>
      </c>
      <c r="E4428" s="1" t="s">
        <v>728</v>
      </c>
      <c r="F4428" s="1" t="s">
        <v>23</v>
      </c>
      <c r="G4428" s="2" t="s">
        <v>3</v>
      </c>
      <c r="H4428" s="3" t="s">
        <v>97</v>
      </c>
      <c r="I4428" s="3" t="s">
        <v>92</v>
      </c>
      <c r="J4428" s="3" t="s">
        <v>67</v>
      </c>
      <c r="K4428" s="4">
        <v>500.5</v>
      </c>
      <c r="L4428" s="6">
        <v>90.97</v>
      </c>
    </row>
    <row r="4429" spans="1:12" x14ac:dyDescent="0.25">
      <c r="A4429" s="1">
        <v>4428</v>
      </c>
      <c r="B4429" s="4">
        <v>31556</v>
      </c>
      <c r="C4429" s="5">
        <v>40751</v>
      </c>
      <c r="D4429" s="3" t="s">
        <v>95</v>
      </c>
      <c r="E4429" s="1" t="s">
        <v>371</v>
      </c>
      <c r="F4429" s="1" t="s">
        <v>10</v>
      </c>
      <c r="G4429" s="2" t="s">
        <v>3</v>
      </c>
      <c r="H4429" s="3" t="s">
        <v>100</v>
      </c>
      <c r="I4429" s="3" t="s">
        <v>91</v>
      </c>
      <c r="J4429" s="3" t="s">
        <v>59</v>
      </c>
      <c r="K4429" s="4">
        <v>269.35000000000002</v>
      </c>
      <c r="L4429" s="6">
        <v>7.7</v>
      </c>
    </row>
    <row r="4430" spans="1:12" x14ac:dyDescent="0.25">
      <c r="A4430" s="1">
        <v>4429</v>
      </c>
      <c r="B4430" s="4">
        <v>31558</v>
      </c>
      <c r="C4430" s="5">
        <v>40747</v>
      </c>
      <c r="D4430" s="3" t="s">
        <v>82</v>
      </c>
      <c r="E4430" s="1" t="s">
        <v>1252</v>
      </c>
      <c r="F4430" s="1" t="s">
        <v>8</v>
      </c>
      <c r="G4430" s="2" t="s">
        <v>6</v>
      </c>
      <c r="H4430" s="3" t="s">
        <v>97</v>
      </c>
      <c r="I4430" s="3" t="s">
        <v>85</v>
      </c>
      <c r="J4430" s="3" t="s">
        <v>70</v>
      </c>
      <c r="K4430" s="4">
        <v>3671.3</v>
      </c>
      <c r="L4430" s="6">
        <v>300.64999999999998</v>
      </c>
    </row>
    <row r="4431" spans="1:12" x14ac:dyDescent="0.25">
      <c r="A4431" s="1">
        <v>4430</v>
      </c>
      <c r="B4431" s="4">
        <v>31558</v>
      </c>
      <c r="C4431" s="5">
        <v>40747</v>
      </c>
      <c r="D4431" s="3" t="s">
        <v>82</v>
      </c>
      <c r="E4431" s="1" t="s">
        <v>1252</v>
      </c>
      <c r="F4431" s="1" t="s">
        <v>8</v>
      </c>
      <c r="G4431" s="2" t="s">
        <v>6</v>
      </c>
      <c r="H4431" s="3" t="s">
        <v>97</v>
      </c>
      <c r="I4431" s="3" t="s">
        <v>92</v>
      </c>
      <c r="J4431" s="3" t="s">
        <v>62</v>
      </c>
      <c r="K4431" s="4">
        <v>1763.6</v>
      </c>
      <c r="L4431" s="6">
        <v>45.19</v>
      </c>
    </row>
    <row r="4432" spans="1:12" x14ac:dyDescent="0.25">
      <c r="A4432" s="1">
        <v>4431</v>
      </c>
      <c r="B4432" s="4">
        <v>31586</v>
      </c>
      <c r="C4432" s="5">
        <v>40989</v>
      </c>
      <c r="D4432" s="3" t="s">
        <v>82</v>
      </c>
      <c r="E4432" s="1" t="s">
        <v>1080</v>
      </c>
      <c r="F4432" s="1" t="s">
        <v>19</v>
      </c>
      <c r="G4432" s="2" t="s">
        <v>3</v>
      </c>
      <c r="H4432" s="3" t="s">
        <v>97</v>
      </c>
      <c r="I4432" s="3" t="s">
        <v>92</v>
      </c>
      <c r="J4432" s="3" t="s">
        <v>62</v>
      </c>
      <c r="K4432" s="4">
        <v>963.45</v>
      </c>
      <c r="L4432" s="6">
        <v>43.22</v>
      </c>
    </row>
    <row r="4433" spans="1:12" x14ac:dyDescent="0.25">
      <c r="A4433" s="1">
        <v>4432</v>
      </c>
      <c r="B4433" s="4">
        <v>31586</v>
      </c>
      <c r="C4433" s="5">
        <v>40989</v>
      </c>
      <c r="D4433" s="3" t="s">
        <v>82</v>
      </c>
      <c r="E4433" s="1" t="s">
        <v>1080</v>
      </c>
      <c r="F4433" s="1" t="s">
        <v>19</v>
      </c>
      <c r="G4433" s="2" t="s">
        <v>3</v>
      </c>
      <c r="H4433" s="3" t="s">
        <v>97</v>
      </c>
      <c r="I4433" s="3" t="s">
        <v>92</v>
      </c>
      <c r="J4433" s="3" t="s">
        <v>61</v>
      </c>
      <c r="K4433" s="4">
        <v>4390.0289999999995</v>
      </c>
      <c r="L4433" s="6">
        <v>205.99</v>
      </c>
    </row>
    <row r="4434" spans="1:12" x14ac:dyDescent="0.25">
      <c r="A4434" s="1">
        <v>4433</v>
      </c>
      <c r="B4434" s="4">
        <v>31590</v>
      </c>
      <c r="C4434" s="5">
        <v>40334</v>
      </c>
      <c r="D4434" s="3" t="s">
        <v>95</v>
      </c>
      <c r="E4434" s="1" t="s">
        <v>192</v>
      </c>
      <c r="F4434" s="1" t="s">
        <v>24</v>
      </c>
      <c r="G4434" s="2" t="s">
        <v>2</v>
      </c>
      <c r="H4434" s="3" t="s">
        <v>88</v>
      </c>
      <c r="I4434" s="3" t="s">
        <v>92</v>
      </c>
      <c r="J4434" s="3" t="s">
        <v>62</v>
      </c>
      <c r="K4434" s="4">
        <v>43.49</v>
      </c>
      <c r="L4434" s="6">
        <v>8.33</v>
      </c>
    </row>
    <row r="4435" spans="1:12" x14ac:dyDescent="0.25">
      <c r="A4435" s="1">
        <v>4434</v>
      </c>
      <c r="B4435" s="4">
        <v>31590</v>
      </c>
      <c r="C4435" s="5">
        <v>40334</v>
      </c>
      <c r="D4435" s="3" t="s">
        <v>95</v>
      </c>
      <c r="E4435" s="1" t="s">
        <v>192</v>
      </c>
      <c r="F4435" s="1" t="s">
        <v>24</v>
      </c>
      <c r="G4435" s="2" t="s">
        <v>2</v>
      </c>
      <c r="H4435" s="3" t="s">
        <v>88</v>
      </c>
      <c r="I4435" s="3" t="s">
        <v>85</v>
      </c>
      <c r="J4435" s="3" t="s">
        <v>57</v>
      </c>
      <c r="K4435" s="4">
        <v>2854.76</v>
      </c>
      <c r="L4435" s="6">
        <v>111.03</v>
      </c>
    </row>
    <row r="4436" spans="1:12" x14ac:dyDescent="0.25">
      <c r="A4436" s="1">
        <v>4435</v>
      </c>
      <c r="B4436" s="4">
        <v>31616</v>
      </c>
      <c r="C4436" s="5">
        <v>40418</v>
      </c>
      <c r="D4436" s="3" t="s">
        <v>95</v>
      </c>
      <c r="E4436" s="1" t="s">
        <v>318</v>
      </c>
      <c r="F4436" s="1" t="s">
        <v>31</v>
      </c>
      <c r="G4436" s="2" t="s">
        <v>1</v>
      </c>
      <c r="H4436" s="3" t="s">
        <v>100</v>
      </c>
      <c r="I4436" s="3" t="s">
        <v>85</v>
      </c>
      <c r="J4436" s="3" t="s">
        <v>69</v>
      </c>
      <c r="K4436" s="4">
        <v>182.7</v>
      </c>
      <c r="L4436" s="6">
        <v>4.24</v>
      </c>
    </row>
    <row r="4437" spans="1:12" x14ac:dyDescent="0.25">
      <c r="A4437" s="1">
        <v>4436</v>
      </c>
      <c r="B4437" s="4">
        <v>31616</v>
      </c>
      <c r="C4437" s="5">
        <v>40418</v>
      </c>
      <c r="D4437" s="3" t="s">
        <v>95</v>
      </c>
      <c r="E4437" s="1" t="s">
        <v>318</v>
      </c>
      <c r="F4437" s="1" t="s">
        <v>31</v>
      </c>
      <c r="G4437" s="2" t="s">
        <v>1</v>
      </c>
      <c r="H4437" s="3" t="s">
        <v>100</v>
      </c>
      <c r="I4437" s="3" t="s">
        <v>85</v>
      </c>
      <c r="J4437" s="3" t="s">
        <v>65</v>
      </c>
      <c r="K4437" s="4">
        <v>141.08000000000001</v>
      </c>
      <c r="L4437" s="6">
        <v>3.08</v>
      </c>
    </row>
    <row r="4438" spans="1:12" x14ac:dyDescent="0.25">
      <c r="A4438" s="1">
        <v>4437</v>
      </c>
      <c r="B4438" s="4">
        <v>31618</v>
      </c>
      <c r="C4438" s="5">
        <v>40735</v>
      </c>
      <c r="D4438" s="3" t="s">
        <v>95</v>
      </c>
      <c r="E4438" s="1" t="s">
        <v>1187</v>
      </c>
      <c r="F4438" s="1" t="s">
        <v>8</v>
      </c>
      <c r="G4438" s="2" t="s">
        <v>6</v>
      </c>
      <c r="H4438" s="3" t="s">
        <v>88</v>
      </c>
      <c r="I4438" s="3" t="s">
        <v>85</v>
      </c>
      <c r="J4438" s="3" t="s">
        <v>69</v>
      </c>
      <c r="K4438" s="4">
        <v>403.17</v>
      </c>
      <c r="L4438" s="6">
        <v>28.53</v>
      </c>
    </row>
    <row r="4439" spans="1:12" x14ac:dyDescent="0.25">
      <c r="A4439" s="1">
        <v>4438</v>
      </c>
      <c r="B4439" s="4">
        <v>31619</v>
      </c>
      <c r="C4439" s="5">
        <v>40073</v>
      </c>
      <c r="D4439" s="3" t="s">
        <v>82</v>
      </c>
      <c r="E4439" s="1" t="s">
        <v>574</v>
      </c>
      <c r="F4439" s="1" t="s">
        <v>24</v>
      </c>
      <c r="G4439" s="2" t="s">
        <v>2</v>
      </c>
      <c r="H4439" s="3" t="s">
        <v>88</v>
      </c>
      <c r="I4439" s="3" t="s">
        <v>85</v>
      </c>
      <c r="J4439" s="3" t="s">
        <v>70</v>
      </c>
      <c r="K4439" s="4">
        <v>114.87</v>
      </c>
      <c r="L4439" s="6">
        <v>10.98</v>
      </c>
    </row>
    <row r="4440" spans="1:12" x14ac:dyDescent="0.25">
      <c r="A4440" s="1">
        <v>4439</v>
      </c>
      <c r="B4440" s="4">
        <v>31619</v>
      </c>
      <c r="C4440" s="5">
        <v>40073</v>
      </c>
      <c r="D4440" s="3" t="s">
        <v>82</v>
      </c>
      <c r="E4440" s="1" t="s">
        <v>574</v>
      </c>
      <c r="F4440" s="1" t="s">
        <v>24</v>
      </c>
      <c r="G4440" s="2" t="s">
        <v>2</v>
      </c>
      <c r="H4440" s="3" t="s">
        <v>88</v>
      </c>
      <c r="I4440" s="3" t="s">
        <v>91</v>
      </c>
      <c r="J4440" s="3" t="s">
        <v>59</v>
      </c>
      <c r="K4440" s="4">
        <v>383.23</v>
      </c>
      <c r="L4440" s="6">
        <v>39.979999999999997</v>
      </c>
    </row>
    <row r="4441" spans="1:12" x14ac:dyDescent="0.25">
      <c r="A4441" s="1">
        <v>4440</v>
      </c>
      <c r="B4441" s="4">
        <v>31620</v>
      </c>
      <c r="C4441" s="5">
        <v>40766</v>
      </c>
      <c r="D4441" s="3" t="s">
        <v>95</v>
      </c>
      <c r="E4441" s="1" t="s">
        <v>453</v>
      </c>
      <c r="F4441" s="1" t="s">
        <v>37</v>
      </c>
      <c r="G4441" s="2" t="s">
        <v>3</v>
      </c>
      <c r="H4441" s="3" t="s">
        <v>97</v>
      </c>
      <c r="I4441" s="3" t="s">
        <v>92</v>
      </c>
      <c r="J4441" s="3" t="s">
        <v>61</v>
      </c>
      <c r="K4441" s="4">
        <v>1108.366</v>
      </c>
      <c r="L4441" s="6">
        <v>65.989999999999995</v>
      </c>
    </row>
    <row r="4442" spans="1:12" x14ac:dyDescent="0.25">
      <c r="A4442" s="1">
        <v>4441</v>
      </c>
      <c r="B4442" s="4">
        <v>31648</v>
      </c>
      <c r="C4442" s="5">
        <v>40775</v>
      </c>
      <c r="D4442" s="3" t="s">
        <v>89</v>
      </c>
      <c r="E4442" s="1" t="s">
        <v>1253</v>
      </c>
      <c r="F4442" s="1" t="s">
        <v>10</v>
      </c>
      <c r="G4442" s="2" t="s">
        <v>3</v>
      </c>
      <c r="H4442" s="3" t="s">
        <v>97</v>
      </c>
      <c r="I4442" s="3" t="s">
        <v>92</v>
      </c>
      <c r="J4442" s="3" t="s">
        <v>62</v>
      </c>
      <c r="K4442" s="4">
        <v>68.94</v>
      </c>
      <c r="L4442" s="6">
        <v>8.32</v>
      </c>
    </row>
    <row r="4443" spans="1:12" x14ac:dyDescent="0.25">
      <c r="A4443" s="1">
        <v>4442</v>
      </c>
      <c r="B4443" s="4">
        <v>31648</v>
      </c>
      <c r="C4443" s="5">
        <v>40775</v>
      </c>
      <c r="D4443" s="3" t="s">
        <v>89</v>
      </c>
      <c r="E4443" s="1" t="s">
        <v>1253</v>
      </c>
      <c r="F4443" s="1" t="s">
        <v>10</v>
      </c>
      <c r="G4443" s="2" t="s">
        <v>3</v>
      </c>
      <c r="H4443" s="3" t="s">
        <v>97</v>
      </c>
      <c r="I4443" s="3" t="s">
        <v>85</v>
      </c>
      <c r="J4443" s="3" t="s">
        <v>66</v>
      </c>
      <c r="K4443" s="4">
        <v>74.040000000000006</v>
      </c>
      <c r="L4443" s="6">
        <v>6.68</v>
      </c>
    </row>
    <row r="4444" spans="1:12" x14ac:dyDescent="0.25">
      <c r="A4444" s="1">
        <v>4443</v>
      </c>
      <c r="B4444" s="4">
        <v>31650</v>
      </c>
      <c r="C4444" s="5">
        <v>40401</v>
      </c>
      <c r="D4444" s="3" t="s">
        <v>86</v>
      </c>
      <c r="E4444" s="1" t="s">
        <v>433</v>
      </c>
      <c r="F4444" s="1" t="s">
        <v>27</v>
      </c>
      <c r="G4444" s="2" t="s">
        <v>1</v>
      </c>
      <c r="H4444" s="3" t="s">
        <v>100</v>
      </c>
      <c r="I4444" s="3" t="s">
        <v>92</v>
      </c>
      <c r="J4444" s="3" t="s">
        <v>62</v>
      </c>
      <c r="K4444" s="4">
        <v>1504.97</v>
      </c>
      <c r="L4444" s="6">
        <v>77.510000000000005</v>
      </c>
    </row>
    <row r="4445" spans="1:12" x14ac:dyDescent="0.25">
      <c r="A4445" s="1">
        <v>4444</v>
      </c>
      <c r="B4445" s="4">
        <v>31681</v>
      </c>
      <c r="C4445" s="5">
        <v>41220</v>
      </c>
      <c r="D4445" s="3" t="s">
        <v>86</v>
      </c>
      <c r="E4445" s="1" t="s">
        <v>1125</v>
      </c>
      <c r="F4445" s="1" t="s">
        <v>16</v>
      </c>
      <c r="G4445" s="2" t="s">
        <v>3</v>
      </c>
      <c r="H4445" s="3" t="s">
        <v>88</v>
      </c>
      <c r="I4445" s="3" t="s">
        <v>85</v>
      </c>
      <c r="J4445" s="3" t="s">
        <v>66</v>
      </c>
      <c r="K4445" s="4">
        <v>212.12</v>
      </c>
      <c r="L4445" s="6">
        <v>5.28</v>
      </c>
    </row>
    <row r="4446" spans="1:12" x14ac:dyDescent="0.25">
      <c r="A4446" s="1">
        <v>4445</v>
      </c>
      <c r="B4446" s="4">
        <v>31682</v>
      </c>
      <c r="C4446" s="5">
        <v>40246</v>
      </c>
      <c r="D4446" s="3" t="s">
        <v>82</v>
      </c>
      <c r="E4446" s="1" t="s">
        <v>1254</v>
      </c>
      <c r="F4446" s="1" t="s">
        <v>39</v>
      </c>
      <c r="G4446" s="2" t="s">
        <v>1</v>
      </c>
      <c r="H4446" s="3" t="s">
        <v>88</v>
      </c>
      <c r="I4446" s="3" t="s">
        <v>85</v>
      </c>
      <c r="J4446" s="3" t="s">
        <v>70</v>
      </c>
      <c r="K4446" s="4">
        <v>3186.77</v>
      </c>
      <c r="L4446" s="6">
        <v>76.72</v>
      </c>
    </row>
    <row r="4447" spans="1:12" x14ac:dyDescent="0.25">
      <c r="A4447" s="1">
        <v>4446</v>
      </c>
      <c r="B4447" s="4">
        <v>31684</v>
      </c>
      <c r="C4447" s="5">
        <v>41168</v>
      </c>
      <c r="D4447" s="3" t="s">
        <v>95</v>
      </c>
      <c r="E4447" s="1" t="s">
        <v>1255</v>
      </c>
      <c r="F4447" s="1" t="s">
        <v>8</v>
      </c>
      <c r="G4447" s="2" t="s">
        <v>6</v>
      </c>
      <c r="H4447" s="3" t="s">
        <v>88</v>
      </c>
      <c r="I4447" s="3" t="s">
        <v>85</v>
      </c>
      <c r="J4447" s="3" t="s">
        <v>66</v>
      </c>
      <c r="K4447" s="4">
        <v>89.97</v>
      </c>
      <c r="L4447" s="6">
        <v>5.68</v>
      </c>
    </row>
    <row r="4448" spans="1:12" x14ac:dyDescent="0.25">
      <c r="A4448" s="1">
        <v>4447</v>
      </c>
      <c r="B4448" s="4">
        <v>31684</v>
      </c>
      <c r="C4448" s="5">
        <v>41168</v>
      </c>
      <c r="D4448" s="3" t="s">
        <v>95</v>
      </c>
      <c r="E4448" s="1" t="s">
        <v>1255</v>
      </c>
      <c r="F4448" s="1" t="s">
        <v>8</v>
      </c>
      <c r="G4448" s="2" t="s">
        <v>6</v>
      </c>
      <c r="H4448" s="3" t="s">
        <v>88</v>
      </c>
      <c r="I4448" s="3" t="s">
        <v>85</v>
      </c>
      <c r="J4448" s="3" t="s">
        <v>57</v>
      </c>
      <c r="K4448" s="4">
        <v>456.91</v>
      </c>
      <c r="L4448" s="6">
        <v>15.51</v>
      </c>
    </row>
    <row r="4449" spans="1:12" x14ac:dyDescent="0.25">
      <c r="A4449" s="1">
        <v>4448</v>
      </c>
      <c r="B4449" s="4">
        <v>31687</v>
      </c>
      <c r="C4449" s="5">
        <v>40682</v>
      </c>
      <c r="D4449" s="3" t="s">
        <v>89</v>
      </c>
      <c r="E4449" s="1" t="s">
        <v>556</v>
      </c>
      <c r="F4449" s="1" t="s">
        <v>19</v>
      </c>
      <c r="G4449" s="2" t="s">
        <v>3</v>
      </c>
      <c r="H4449" s="3" t="s">
        <v>88</v>
      </c>
      <c r="I4449" s="3" t="s">
        <v>85</v>
      </c>
      <c r="J4449" s="3" t="s">
        <v>63</v>
      </c>
      <c r="K4449" s="4">
        <v>123.06</v>
      </c>
      <c r="L4449" s="6">
        <v>2.78</v>
      </c>
    </row>
    <row r="4450" spans="1:12" x14ac:dyDescent="0.25">
      <c r="A4450" s="1">
        <v>4449</v>
      </c>
      <c r="B4450" s="4">
        <v>31715</v>
      </c>
      <c r="C4450" s="5">
        <v>39822</v>
      </c>
      <c r="D4450" s="3" t="s">
        <v>86</v>
      </c>
      <c r="E4450" s="1" t="s">
        <v>858</v>
      </c>
      <c r="F4450" s="1" t="s">
        <v>21</v>
      </c>
      <c r="G4450" s="2" t="s">
        <v>1</v>
      </c>
      <c r="H4450" s="3" t="s">
        <v>84</v>
      </c>
      <c r="I4450" s="3" t="s">
        <v>85</v>
      </c>
      <c r="J4450" s="3" t="s">
        <v>63</v>
      </c>
      <c r="K4450" s="4">
        <v>64.11</v>
      </c>
      <c r="L4450" s="6">
        <v>2.78</v>
      </c>
    </row>
    <row r="4451" spans="1:12" x14ac:dyDescent="0.25">
      <c r="A4451" s="1">
        <v>4450</v>
      </c>
      <c r="B4451" s="4">
        <v>31715</v>
      </c>
      <c r="C4451" s="5">
        <v>39822</v>
      </c>
      <c r="D4451" s="3" t="s">
        <v>86</v>
      </c>
      <c r="E4451" s="1" t="s">
        <v>161</v>
      </c>
      <c r="F4451" s="1" t="s">
        <v>24</v>
      </c>
      <c r="G4451" s="2" t="s">
        <v>2</v>
      </c>
      <c r="H4451" s="3" t="s">
        <v>84</v>
      </c>
      <c r="I4451" s="3" t="s">
        <v>85</v>
      </c>
      <c r="J4451" s="3" t="s">
        <v>69</v>
      </c>
      <c r="K4451" s="4">
        <v>68.5</v>
      </c>
      <c r="L4451" s="6">
        <v>5.38</v>
      </c>
    </row>
    <row r="4452" spans="1:12" x14ac:dyDescent="0.25">
      <c r="A4452" s="1">
        <v>4451</v>
      </c>
      <c r="B4452" s="4">
        <v>31715</v>
      </c>
      <c r="C4452" s="5">
        <v>39822</v>
      </c>
      <c r="D4452" s="3" t="s">
        <v>86</v>
      </c>
      <c r="E4452" s="1" t="s">
        <v>161</v>
      </c>
      <c r="F4452" s="1" t="s">
        <v>24</v>
      </c>
      <c r="G4452" s="2" t="s">
        <v>2</v>
      </c>
      <c r="H4452" s="3" t="s">
        <v>84</v>
      </c>
      <c r="I4452" s="3" t="s">
        <v>85</v>
      </c>
      <c r="J4452" s="3" t="s">
        <v>63</v>
      </c>
      <c r="K4452" s="4">
        <v>145.19</v>
      </c>
      <c r="L4452" s="6">
        <v>3.28</v>
      </c>
    </row>
    <row r="4453" spans="1:12" x14ac:dyDescent="0.25">
      <c r="A4453" s="1">
        <v>4452</v>
      </c>
      <c r="B4453" s="4">
        <v>31718</v>
      </c>
      <c r="C4453" s="5">
        <v>40509</v>
      </c>
      <c r="D4453" s="3" t="s">
        <v>82</v>
      </c>
      <c r="E4453" s="1" t="s">
        <v>846</v>
      </c>
      <c r="F4453" s="1" t="s">
        <v>44</v>
      </c>
      <c r="G4453" s="2" t="s">
        <v>3</v>
      </c>
      <c r="H4453" s="3" t="s">
        <v>88</v>
      </c>
      <c r="I4453" s="3" t="s">
        <v>92</v>
      </c>
      <c r="J4453" s="3" t="s">
        <v>61</v>
      </c>
      <c r="K4453" s="4">
        <v>1390.6934999999999</v>
      </c>
      <c r="L4453" s="6">
        <v>65.989999999999995</v>
      </c>
    </row>
    <row r="4454" spans="1:12" x14ac:dyDescent="0.25">
      <c r="A4454" s="1">
        <v>4453</v>
      </c>
      <c r="B4454" s="4">
        <v>31718</v>
      </c>
      <c r="C4454" s="5">
        <v>40509</v>
      </c>
      <c r="D4454" s="3" t="s">
        <v>82</v>
      </c>
      <c r="E4454" s="1" t="s">
        <v>846</v>
      </c>
      <c r="F4454" s="1" t="s">
        <v>44</v>
      </c>
      <c r="G4454" s="2" t="s">
        <v>3</v>
      </c>
      <c r="H4454" s="3" t="s">
        <v>88</v>
      </c>
      <c r="I4454" s="3" t="s">
        <v>92</v>
      </c>
      <c r="J4454" s="3" t="s">
        <v>61</v>
      </c>
      <c r="K4454" s="4">
        <v>1017.2884999999999</v>
      </c>
      <c r="L4454" s="6">
        <v>65.989999999999995</v>
      </c>
    </row>
    <row r="4455" spans="1:12" x14ac:dyDescent="0.25">
      <c r="A4455" s="1">
        <v>4454</v>
      </c>
      <c r="B4455" s="4">
        <v>31744</v>
      </c>
      <c r="C4455" s="5">
        <v>41161</v>
      </c>
      <c r="D4455" s="3" t="s">
        <v>4</v>
      </c>
      <c r="E4455" s="1" t="s">
        <v>1196</v>
      </c>
      <c r="F4455" s="1" t="s">
        <v>23</v>
      </c>
      <c r="G4455" s="2" t="s">
        <v>3</v>
      </c>
      <c r="H4455" s="3" t="s">
        <v>100</v>
      </c>
      <c r="I4455" s="3" t="s">
        <v>85</v>
      </c>
      <c r="J4455" s="3" t="s">
        <v>66</v>
      </c>
      <c r="K4455" s="4">
        <v>86.69</v>
      </c>
      <c r="L4455" s="6">
        <v>6.48</v>
      </c>
    </row>
    <row r="4456" spans="1:12" x14ac:dyDescent="0.25">
      <c r="A4456" s="1">
        <v>4455</v>
      </c>
      <c r="B4456" s="4">
        <v>31751</v>
      </c>
      <c r="C4456" s="5">
        <v>40689</v>
      </c>
      <c r="D4456" s="3" t="s">
        <v>89</v>
      </c>
      <c r="E4456" s="1" t="s">
        <v>705</v>
      </c>
      <c r="F4456" s="1" t="s">
        <v>22</v>
      </c>
      <c r="G4456" s="2" t="s">
        <v>6</v>
      </c>
      <c r="H4456" s="3" t="s">
        <v>84</v>
      </c>
      <c r="I4456" s="3" t="s">
        <v>85</v>
      </c>
      <c r="J4456" s="3" t="s">
        <v>69</v>
      </c>
      <c r="K4456" s="4">
        <v>413.12</v>
      </c>
      <c r="L4456" s="6">
        <v>14.27</v>
      </c>
    </row>
    <row r="4457" spans="1:12" x14ac:dyDescent="0.25">
      <c r="A4457" s="1">
        <v>4456</v>
      </c>
      <c r="B4457" s="4">
        <v>31777</v>
      </c>
      <c r="C4457" s="5">
        <v>40835</v>
      </c>
      <c r="D4457" s="3" t="s">
        <v>86</v>
      </c>
      <c r="E4457" s="1" t="s">
        <v>636</v>
      </c>
      <c r="F4457" s="1" t="s">
        <v>16</v>
      </c>
      <c r="G4457" s="2" t="s">
        <v>3</v>
      </c>
      <c r="H4457" s="3" t="s">
        <v>84</v>
      </c>
      <c r="I4457" s="3" t="s">
        <v>91</v>
      </c>
      <c r="J4457" s="3" t="s">
        <v>72</v>
      </c>
      <c r="K4457" s="4">
        <v>6483.42</v>
      </c>
      <c r="L4457" s="6">
        <v>200.98</v>
      </c>
    </row>
    <row r="4458" spans="1:12" x14ac:dyDescent="0.25">
      <c r="A4458" s="1">
        <v>4457</v>
      </c>
      <c r="B4458" s="4">
        <v>31777</v>
      </c>
      <c r="C4458" s="5">
        <v>40835</v>
      </c>
      <c r="D4458" s="3" t="s">
        <v>86</v>
      </c>
      <c r="E4458" s="1" t="s">
        <v>636</v>
      </c>
      <c r="F4458" s="1" t="s">
        <v>16</v>
      </c>
      <c r="G4458" s="2" t="s">
        <v>3</v>
      </c>
      <c r="H4458" s="3" t="s">
        <v>84</v>
      </c>
      <c r="I4458" s="3" t="s">
        <v>85</v>
      </c>
      <c r="J4458" s="3" t="s">
        <v>66</v>
      </c>
      <c r="K4458" s="4">
        <v>137.77000000000001</v>
      </c>
      <c r="L4458" s="6">
        <v>12.28</v>
      </c>
    </row>
    <row r="4459" spans="1:12" x14ac:dyDescent="0.25">
      <c r="A4459" s="1">
        <v>4458</v>
      </c>
      <c r="B4459" s="4">
        <v>31780</v>
      </c>
      <c r="C4459" s="5">
        <v>40207</v>
      </c>
      <c r="D4459" s="3" t="s">
        <v>4</v>
      </c>
      <c r="E4459" s="1" t="s">
        <v>560</v>
      </c>
      <c r="F4459" s="1" t="s">
        <v>37</v>
      </c>
      <c r="G4459" s="2" t="s">
        <v>3</v>
      </c>
      <c r="H4459" s="3" t="s">
        <v>88</v>
      </c>
      <c r="I4459" s="3" t="s">
        <v>85</v>
      </c>
      <c r="J4459" s="3" t="s">
        <v>70</v>
      </c>
      <c r="K4459" s="4">
        <v>734.25</v>
      </c>
      <c r="L4459" s="6">
        <v>42.98</v>
      </c>
    </row>
    <row r="4460" spans="1:12" x14ac:dyDescent="0.25">
      <c r="A4460" s="1">
        <v>4459</v>
      </c>
      <c r="B4460" s="4">
        <v>31781</v>
      </c>
      <c r="C4460" s="5">
        <v>39829</v>
      </c>
      <c r="D4460" s="3" t="s">
        <v>4</v>
      </c>
      <c r="E4460" s="1" t="s">
        <v>1165</v>
      </c>
      <c r="F4460" s="1" t="s">
        <v>8</v>
      </c>
      <c r="G4460" s="2" t="s">
        <v>6</v>
      </c>
      <c r="H4460" s="3" t="s">
        <v>88</v>
      </c>
      <c r="I4460" s="3" t="s">
        <v>85</v>
      </c>
      <c r="J4460" s="3" t="s">
        <v>69</v>
      </c>
      <c r="K4460" s="4">
        <v>249.02</v>
      </c>
      <c r="L4460" s="6">
        <v>5.81</v>
      </c>
    </row>
    <row r="4461" spans="1:12" x14ac:dyDescent="0.25">
      <c r="A4461" s="1">
        <v>4460</v>
      </c>
      <c r="B4461" s="4">
        <v>31781</v>
      </c>
      <c r="C4461" s="5">
        <v>39829</v>
      </c>
      <c r="D4461" s="3" t="s">
        <v>4</v>
      </c>
      <c r="E4461" s="1" t="s">
        <v>1165</v>
      </c>
      <c r="F4461" s="1" t="s">
        <v>8</v>
      </c>
      <c r="G4461" s="2" t="s">
        <v>6</v>
      </c>
      <c r="H4461" s="3" t="s">
        <v>88</v>
      </c>
      <c r="I4461" s="3" t="s">
        <v>85</v>
      </c>
      <c r="J4461" s="3" t="s">
        <v>64</v>
      </c>
      <c r="K4461" s="4">
        <v>78.489999999999995</v>
      </c>
      <c r="L4461" s="6">
        <v>1.81</v>
      </c>
    </row>
    <row r="4462" spans="1:12" x14ac:dyDescent="0.25">
      <c r="A4462" s="1">
        <v>4461</v>
      </c>
      <c r="B4462" s="4">
        <v>31809</v>
      </c>
      <c r="C4462" s="5">
        <v>40387</v>
      </c>
      <c r="D4462" s="3" t="s">
        <v>89</v>
      </c>
      <c r="E4462" s="1" t="s">
        <v>263</v>
      </c>
      <c r="F4462" s="1" t="s">
        <v>14</v>
      </c>
      <c r="G4462" s="2" t="s">
        <v>2</v>
      </c>
      <c r="H4462" s="3" t="s">
        <v>88</v>
      </c>
      <c r="I4462" s="3" t="s">
        <v>85</v>
      </c>
      <c r="J4462" s="3" t="s">
        <v>71</v>
      </c>
      <c r="K4462" s="4">
        <v>15</v>
      </c>
      <c r="L4462" s="6">
        <v>9.7799999999999994</v>
      </c>
    </row>
    <row r="4463" spans="1:12" x14ac:dyDescent="0.25">
      <c r="A4463" s="1">
        <v>4462</v>
      </c>
      <c r="B4463" s="4">
        <v>31810</v>
      </c>
      <c r="C4463" s="5">
        <v>39954</v>
      </c>
      <c r="D4463" s="3" t="s">
        <v>95</v>
      </c>
      <c r="E4463" s="1" t="s">
        <v>1226</v>
      </c>
      <c r="F4463" s="1" t="s">
        <v>55</v>
      </c>
      <c r="G4463" s="2" t="s">
        <v>2</v>
      </c>
      <c r="H4463" s="3" t="s">
        <v>97</v>
      </c>
      <c r="I4463" s="3" t="s">
        <v>91</v>
      </c>
      <c r="J4463" s="3" t="s">
        <v>59</v>
      </c>
      <c r="K4463" s="4">
        <v>355.55</v>
      </c>
      <c r="L4463" s="6">
        <v>7.28</v>
      </c>
    </row>
    <row r="4464" spans="1:12" x14ac:dyDescent="0.25">
      <c r="A4464" s="1">
        <v>4463</v>
      </c>
      <c r="B4464" s="4">
        <v>31812</v>
      </c>
      <c r="C4464" s="5">
        <v>40755</v>
      </c>
      <c r="D4464" s="3" t="s">
        <v>89</v>
      </c>
      <c r="E4464" s="1" t="s">
        <v>376</v>
      </c>
      <c r="F4464" s="1" t="s">
        <v>34</v>
      </c>
      <c r="G4464" s="2" t="s">
        <v>1</v>
      </c>
      <c r="H4464" s="3" t="s">
        <v>84</v>
      </c>
      <c r="I4464" s="3" t="s">
        <v>85</v>
      </c>
      <c r="J4464" s="3" t="s">
        <v>66</v>
      </c>
      <c r="K4464" s="4">
        <v>593.62</v>
      </c>
      <c r="L4464" s="6">
        <v>40.99</v>
      </c>
    </row>
    <row r="4465" spans="1:12" x14ac:dyDescent="0.25">
      <c r="A4465" s="1">
        <v>4464</v>
      </c>
      <c r="B4465" s="4">
        <v>31812</v>
      </c>
      <c r="C4465" s="5">
        <v>40755</v>
      </c>
      <c r="D4465" s="3" t="s">
        <v>89</v>
      </c>
      <c r="E4465" s="1" t="s">
        <v>1221</v>
      </c>
      <c r="F4465" s="1" t="s">
        <v>34</v>
      </c>
      <c r="G4465" s="2" t="s">
        <v>1</v>
      </c>
      <c r="H4465" s="3" t="s">
        <v>84</v>
      </c>
      <c r="I4465" s="3" t="s">
        <v>85</v>
      </c>
      <c r="J4465" s="3" t="s">
        <v>64</v>
      </c>
      <c r="K4465" s="4">
        <v>38.520000000000003</v>
      </c>
      <c r="L4465" s="6">
        <v>1.26</v>
      </c>
    </row>
    <row r="4466" spans="1:12" x14ac:dyDescent="0.25">
      <c r="A4466" s="1">
        <v>4465</v>
      </c>
      <c r="B4466" s="4">
        <v>31842</v>
      </c>
      <c r="C4466" s="5">
        <v>40375</v>
      </c>
      <c r="D4466" s="3" t="s">
        <v>4</v>
      </c>
      <c r="E4466" s="1" t="s">
        <v>1212</v>
      </c>
      <c r="F4466" s="1" t="s">
        <v>23</v>
      </c>
      <c r="G4466" s="2" t="s">
        <v>3</v>
      </c>
      <c r="H4466" s="3" t="s">
        <v>88</v>
      </c>
      <c r="I4466" s="3" t="s">
        <v>92</v>
      </c>
      <c r="J4466" s="3" t="s">
        <v>62</v>
      </c>
      <c r="K4466" s="4">
        <v>157.26</v>
      </c>
      <c r="L4466" s="6">
        <v>17.48</v>
      </c>
    </row>
    <row r="4467" spans="1:12" x14ac:dyDescent="0.25">
      <c r="A4467" s="1">
        <v>4466</v>
      </c>
      <c r="B4467" s="4">
        <v>31844</v>
      </c>
      <c r="C4467" s="5">
        <v>40726</v>
      </c>
      <c r="D4467" s="3" t="s">
        <v>86</v>
      </c>
      <c r="E4467" s="1" t="s">
        <v>1003</v>
      </c>
      <c r="F4467" s="1" t="s">
        <v>33</v>
      </c>
      <c r="G4467" s="2" t="s">
        <v>2</v>
      </c>
      <c r="H4467" s="3" t="s">
        <v>84</v>
      </c>
      <c r="I4467" s="3" t="s">
        <v>91</v>
      </c>
      <c r="J4467" s="3" t="s">
        <v>68</v>
      </c>
      <c r="K4467" s="4">
        <v>2085.9299999999998</v>
      </c>
      <c r="L4467" s="6">
        <v>150.97999999999999</v>
      </c>
    </row>
    <row r="4468" spans="1:12" x14ac:dyDescent="0.25">
      <c r="A4468" s="1">
        <v>4467</v>
      </c>
      <c r="B4468" s="4">
        <v>31845</v>
      </c>
      <c r="C4468" s="5">
        <v>41204</v>
      </c>
      <c r="D4468" s="3" t="s">
        <v>82</v>
      </c>
      <c r="E4468" s="1" t="s">
        <v>795</v>
      </c>
      <c r="F4468" s="1" t="s">
        <v>39</v>
      </c>
      <c r="G4468" s="2" t="s">
        <v>1</v>
      </c>
      <c r="H4468" s="3" t="s">
        <v>88</v>
      </c>
      <c r="I4468" s="3" t="s">
        <v>85</v>
      </c>
      <c r="J4468" s="3" t="s">
        <v>70</v>
      </c>
      <c r="K4468" s="4">
        <v>3645.12</v>
      </c>
      <c r="L4468" s="6">
        <v>100.98</v>
      </c>
    </row>
    <row r="4469" spans="1:12" x14ac:dyDescent="0.25">
      <c r="A4469" s="1">
        <v>4468</v>
      </c>
      <c r="B4469" s="4">
        <v>31845</v>
      </c>
      <c r="C4469" s="5">
        <v>41204</v>
      </c>
      <c r="D4469" s="3" t="s">
        <v>82</v>
      </c>
      <c r="E4469" s="1" t="s">
        <v>1232</v>
      </c>
      <c r="F4469" s="1" t="s">
        <v>43</v>
      </c>
      <c r="G4469" s="2" t="s">
        <v>1</v>
      </c>
      <c r="H4469" s="3" t="s">
        <v>88</v>
      </c>
      <c r="I4469" s="3" t="s">
        <v>85</v>
      </c>
      <c r="J4469" s="3" t="s">
        <v>66</v>
      </c>
      <c r="K4469" s="4">
        <v>114.55</v>
      </c>
      <c r="L4469" s="6">
        <v>10.06</v>
      </c>
    </row>
    <row r="4470" spans="1:12" x14ac:dyDescent="0.25">
      <c r="A4470" s="1">
        <v>4469</v>
      </c>
      <c r="B4470" s="4">
        <v>31846</v>
      </c>
      <c r="C4470" s="5">
        <v>40768</v>
      </c>
      <c r="D4470" s="3" t="s">
        <v>95</v>
      </c>
      <c r="E4470" s="1" t="s">
        <v>830</v>
      </c>
      <c r="F4470" s="1" t="s">
        <v>15</v>
      </c>
      <c r="G4470" s="2" t="s">
        <v>1</v>
      </c>
      <c r="H4470" s="3" t="s">
        <v>97</v>
      </c>
      <c r="I4470" s="3" t="s">
        <v>91</v>
      </c>
      <c r="J4470" s="3" t="s">
        <v>72</v>
      </c>
      <c r="K4470" s="4">
        <v>261.17</v>
      </c>
      <c r="L4470" s="6">
        <v>33.94</v>
      </c>
    </row>
    <row r="4471" spans="1:12" x14ac:dyDescent="0.25">
      <c r="A4471" s="1">
        <v>4470</v>
      </c>
      <c r="B4471" s="4">
        <v>31847</v>
      </c>
      <c r="C4471" s="5">
        <v>40165</v>
      </c>
      <c r="D4471" s="3" t="s">
        <v>82</v>
      </c>
      <c r="E4471" s="1" t="s">
        <v>1080</v>
      </c>
      <c r="F4471" s="1" t="s">
        <v>19</v>
      </c>
      <c r="G4471" s="2" t="s">
        <v>3</v>
      </c>
      <c r="H4471" s="3" t="s">
        <v>84</v>
      </c>
      <c r="I4471" s="3" t="s">
        <v>92</v>
      </c>
      <c r="J4471" s="3" t="s">
        <v>62</v>
      </c>
      <c r="K4471" s="4">
        <v>1692.28</v>
      </c>
      <c r="L4471" s="6">
        <v>39.979999999999997</v>
      </c>
    </row>
    <row r="4472" spans="1:12" x14ac:dyDescent="0.25">
      <c r="A4472" s="1">
        <v>4471</v>
      </c>
      <c r="B4472" s="4">
        <v>31872</v>
      </c>
      <c r="C4472" s="5">
        <v>40427</v>
      </c>
      <c r="D4472" s="3" t="s">
        <v>82</v>
      </c>
      <c r="E4472" s="1" t="s">
        <v>234</v>
      </c>
      <c r="F4472" s="1" t="s">
        <v>30</v>
      </c>
      <c r="G4472" s="2" t="s">
        <v>6</v>
      </c>
      <c r="H4472" s="3" t="s">
        <v>97</v>
      </c>
      <c r="I4472" s="3" t="s">
        <v>85</v>
      </c>
      <c r="J4472" s="3" t="s">
        <v>71</v>
      </c>
      <c r="K4472" s="4">
        <v>2833.19</v>
      </c>
      <c r="L4472" s="6">
        <v>83.98</v>
      </c>
    </row>
    <row r="4473" spans="1:12" x14ac:dyDescent="0.25">
      <c r="A4473" s="1">
        <v>4472</v>
      </c>
      <c r="B4473" s="4">
        <v>31872</v>
      </c>
      <c r="C4473" s="5">
        <v>40427</v>
      </c>
      <c r="D4473" s="3" t="s">
        <v>82</v>
      </c>
      <c r="E4473" s="1" t="s">
        <v>234</v>
      </c>
      <c r="F4473" s="1" t="s">
        <v>30</v>
      </c>
      <c r="G4473" s="2" t="s">
        <v>6</v>
      </c>
      <c r="H4473" s="3" t="s">
        <v>97</v>
      </c>
      <c r="I4473" s="3" t="s">
        <v>91</v>
      </c>
      <c r="J4473" s="3" t="s">
        <v>60</v>
      </c>
      <c r="K4473" s="4">
        <v>4452.6499999999996</v>
      </c>
      <c r="L4473" s="6">
        <v>159.31</v>
      </c>
    </row>
    <row r="4474" spans="1:12" x14ac:dyDescent="0.25">
      <c r="A4474" s="1">
        <v>4473</v>
      </c>
      <c r="B4474" s="4">
        <v>31873</v>
      </c>
      <c r="C4474" s="5">
        <v>40125</v>
      </c>
      <c r="D4474" s="3" t="s">
        <v>82</v>
      </c>
      <c r="E4474" s="1" t="s">
        <v>1256</v>
      </c>
      <c r="F4474" s="1" t="s">
        <v>22</v>
      </c>
      <c r="G4474" s="2" t="s">
        <v>6</v>
      </c>
      <c r="H4474" s="3" t="s">
        <v>97</v>
      </c>
      <c r="I4474" s="3" t="s">
        <v>85</v>
      </c>
      <c r="J4474" s="3" t="s">
        <v>70</v>
      </c>
      <c r="K4474" s="4">
        <v>141.59</v>
      </c>
      <c r="L4474" s="6">
        <v>70.97</v>
      </c>
    </row>
    <row r="4475" spans="1:12" x14ac:dyDescent="0.25">
      <c r="A4475" s="1">
        <v>4474</v>
      </c>
      <c r="B4475" s="4">
        <v>31873</v>
      </c>
      <c r="C4475" s="5">
        <v>40125</v>
      </c>
      <c r="D4475" s="3" t="s">
        <v>82</v>
      </c>
      <c r="E4475" s="1" t="s">
        <v>1256</v>
      </c>
      <c r="F4475" s="1" t="s">
        <v>22</v>
      </c>
      <c r="G4475" s="2" t="s">
        <v>6</v>
      </c>
      <c r="H4475" s="3" t="s">
        <v>97</v>
      </c>
      <c r="I4475" s="3" t="s">
        <v>92</v>
      </c>
      <c r="J4475" s="3" t="s">
        <v>61</v>
      </c>
      <c r="K4475" s="4">
        <v>2465.5014999999999</v>
      </c>
      <c r="L4475" s="6">
        <v>205.99</v>
      </c>
    </row>
    <row r="4476" spans="1:12" x14ac:dyDescent="0.25">
      <c r="A4476" s="1">
        <v>4475</v>
      </c>
      <c r="B4476" s="4">
        <v>31873</v>
      </c>
      <c r="C4476" s="5">
        <v>40125</v>
      </c>
      <c r="D4476" s="3" t="s">
        <v>82</v>
      </c>
      <c r="E4476" s="1" t="s">
        <v>1256</v>
      </c>
      <c r="F4476" s="1" t="s">
        <v>22</v>
      </c>
      <c r="G4476" s="2" t="s">
        <v>6</v>
      </c>
      <c r="H4476" s="3" t="s">
        <v>97</v>
      </c>
      <c r="I4476" s="3" t="s">
        <v>92</v>
      </c>
      <c r="J4476" s="3" t="s">
        <v>61</v>
      </c>
      <c r="K4476" s="4">
        <v>8558.4714999999997</v>
      </c>
      <c r="L4476" s="6">
        <v>205.99</v>
      </c>
    </row>
    <row r="4477" spans="1:12" x14ac:dyDescent="0.25">
      <c r="A4477" s="1">
        <v>4476</v>
      </c>
      <c r="B4477" s="4">
        <v>31873</v>
      </c>
      <c r="C4477" s="5">
        <v>40125</v>
      </c>
      <c r="D4477" s="3" t="s">
        <v>82</v>
      </c>
      <c r="E4477" s="1" t="s">
        <v>169</v>
      </c>
      <c r="F4477" s="1" t="s">
        <v>22</v>
      </c>
      <c r="G4477" s="2" t="s">
        <v>6</v>
      </c>
      <c r="H4477" s="3" t="s">
        <v>97</v>
      </c>
      <c r="I4477" s="3" t="s">
        <v>85</v>
      </c>
      <c r="J4477" s="3" t="s">
        <v>66</v>
      </c>
      <c r="K4477" s="4">
        <v>236.89</v>
      </c>
      <c r="L4477" s="6">
        <v>5.28</v>
      </c>
    </row>
    <row r="4478" spans="1:12" x14ac:dyDescent="0.25">
      <c r="A4478" s="1">
        <v>4477</v>
      </c>
      <c r="B4478" s="4">
        <v>31874</v>
      </c>
      <c r="C4478" s="5">
        <v>41167</v>
      </c>
      <c r="D4478" s="3" t="s">
        <v>89</v>
      </c>
      <c r="E4478" s="1" t="s">
        <v>1133</v>
      </c>
      <c r="F4478" s="1" t="s">
        <v>30</v>
      </c>
      <c r="G4478" s="2" t="s">
        <v>6</v>
      </c>
      <c r="H4478" s="3" t="s">
        <v>88</v>
      </c>
      <c r="I4478" s="3" t="s">
        <v>85</v>
      </c>
      <c r="J4478" s="3" t="s">
        <v>58</v>
      </c>
      <c r="K4478" s="4">
        <v>321.95</v>
      </c>
      <c r="L4478" s="6">
        <v>10.98</v>
      </c>
    </row>
    <row r="4479" spans="1:12" x14ac:dyDescent="0.25">
      <c r="A4479" s="1">
        <v>4478</v>
      </c>
      <c r="B4479" s="4">
        <v>31874</v>
      </c>
      <c r="C4479" s="5">
        <v>41167</v>
      </c>
      <c r="D4479" s="3" t="s">
        <v>89</v>
      </c>
      <c r="E4479" s="1" t="s">
        <v>1133</v>
      </c>
      <c r="F4479" s="1" t="s">
        <v>30</v>
      </c>
      <c r="G4479" s="2" t="s">
        <v>6</v>
      </c>
      <c r="H4479" s="3" t="s">
        <v>88</v>
      </c>
      <c r="I4479" s="3" t="s">
        <v>91</v>
      </c>
      <c r="J4479" s="3" t="s">
        <v>60</v>
      </c>
      <c r="K4479" s="4">
        <v>13244.04</v>
      </c>
      <c r="L4479" s="6">
        <v>348.21</v>
      </c>
    </row>
    <row r="4480" spans="1:12" x14ac:dyDescent="0.25">
      <c r="A4480" s="1">
        <v>4479</v>
      </c>
      <c r="B4480" s="4">
        <v>31876</v>
      </c>
      <c r="C4480" s="5">
        <v>40670</v>
      </c>
      <c r="D4480" s="3" t="s">
        <v>89</v>
      </c>
      <c r="E4480" s="1" t="s">
        <v>296</v>
      </c>
      <c r="F4480" s="1" t="s">
        <v>37</v>
      </c>
      <c r="G4480" s="2" t="s">
        <v>3</v>
      </c>
      <c r="H4480" s="3" t="s">
        <v>88</v>
      </c>
      <c r="I4480" s="3" t="s">
        <v>85</v>
      </c>
      <c r="J4480" s="3" t="s">
        <v>57</v>
      </c>
      <c r="K4480" s="4">
        <v>741.49</v>
      </c>
      <c r="L4480" s="6">
        <v>95.99</v>
      </c>
    </row>
    <row r="4481" spans="1:12" x14ac:dyDescent="0.25">
      <c r="A4481" s="1">
        <v>4480</v>
      </c>
      <c r="B4481" s="4">
        <v>31877</v>
      </c>
      <c r="C4481" s="5">
        <v>39993</v>
      </c>
      <c r="D4481" s="3" t="s">
        <v>4</v>
      </c>
      <c r="E4481" s="1" t="s">
        <v>1257</v>
      </c>
      <c r="F4481" s="1" t="s">
        <v>13</v>
      </c>
      <c r="G4481" s="2" t="s">
        <v>6</v>
      </c>
      <c r="H4481" s="3" t="s">
        <v>100</v>
      </c>
      <c r="I4481" s="3" t="s">
        <v>91</v>
      </c>
      <c r="J4481" s="3" t="s">
        <v>59</v>
      </c>
      <c r="K4481" s="4">
        <v>285.06</v>
      </c>
      <c r="L4481" s="6">
        <v>8.3699999999999992</v>
      </c>
    </row>
    <row r="4482" spans="1:12" x14ac:dyDescent="0.25">
      <c r="A4482" s="1">
        <v>4481</v>
      </c>
      <c r="B4482" s="4">
        <v>31878</v>
      </c>
      <c r="C4482" s="5">
        <v>40895</v>
      </c>
      <c r="D4482" s="3" t="s">
        <v>4</v>
      </c>
      <c r="E4482" s="1" t="s">
        <v>413</v>
      </c>
      <c r="F4482" s="1" t="s">
        <v>14</v>
      </c>
      <c r="G4482" s="2" t="s">
        <v>2</v>
      </c>
      <c r="H4482" s="3" t="s">
        <v>97</v>
      </c>
      <c r="I4482" s="3" t="s">
        <v>85</v>
      </c>
      <c r="J4482" s="3" t="s">
        <v>66</v>
      </c>
      <c r="K4482" s="4">
        <v>138.94999999999999</v>
      </c>
      <c r="L4482" s="6">
        <v>9.27</v>
      </c>
    </row>
    <row r="4483" spans="1:12" x14ac:dyDescent="0.25">
      <c r="A4483" s="1">
        <v>4482</v>
      </c>
      <c r="B4483" s="4">
        <v>31878</v>
      </c>
      <c r="C4483" s="5">
        <v>40895</v>
      </c>
      <c r="D4483" s="3" t="s">
        <v>4</v>
      </c>
      <c r="E4483" s="1" t="s">
        <v>413</v>
      </c>
      <c r="F4483" s="1" t="s">
        <v>14</v>
      </c>
      <c r="G4483" s="2" t="s">
        <v>2</v>
      </c>
      <c r="H4483" s="3" t="s">
        <v>97</v>
      </c>
      <c r="I4483" s="3" t="s">
        <v>92</v>
      </c>
      <c r="J4483" s="3" t="s">
        <v>61</v>
      </c>
      <c r="K4483" s="4">
        <v>5678.5524999999998</v>
      </c>
      <c r="L4483" s="6">
        <v>155.99</v>
      </c>
    </row>
    <row r="4484" spans="1:12" x14ac:dyDescent="0.25">
      <c r="A4484" s="1">
        <v>4483</v>
      </c>
      <c r="B4484" s="4">
        <v>31907</v>
      </c>
      <c r="C4484" s="5">
        <v>40316</v>
      </c>
      <c r="D4484" s="3" t="s">
        <v>82</v>
      </c>
      <c r="E4484" s="1" t="s">
        <v>318</v>
      </c>
      <c r="F4484" s="1" t="s">
        <v>31</v>
      </c>
      <c r="G4484" s="2" t="s">
        <v>1</v>
      </c>
      <c r="H4484" s="3" t="s">
        <v>100</v>
      </c>
      <c r="I4484" s="3" t="s">
        <v>92</v>
      </c>
      <c r="J4484" s="3" t="s">
        <v>62</v>
      </c>
      <c r="K4484" s="4">
        <v>331.53</v>
      </c>
      <c r="L4484" s="6">
        <v>8.4600000000000009</v>
      </c>
    </row>
    <row r="4485" spans="1:12" x14ac:dyDescent="0.25">
      <c r="A4485" s="1">
        <v>4484</v>
      </c>
      <c r="B4485" s="4">
        <v>31910</v>
      </c>
      <c r="C4485" s="5">
        <v>40115</v>
      </c>
      <c r="D4485" s="3" t="s">
        <v>4</v>
      </c>
      <c r="E4485" s="1" t="s">
        <v>1201</v>
      </c>
      <c r="F4485" s="1" t="s">
        <v>23</v>
      </c>
      <c r="G4485" s="2" t="s">
        <v>3</v>
      </c>
      <c r="H4485" s="3" t="s">
        <v>84</v>
      </c>
      <c r="I4485" s="3" t="s">
        <v>92</v>
      </c>
      <c r="J4485" s="3" t="s">
        <v>61</v>
      </c>
      <c r="K4485" s="4">
        <v>187.63749999999999</v>
      </c>
      <c r="L4485" s="6">
        <v>35.99</v>
      </c>
    </row>
    <row r="4486" spans="1:12" x14ac:dyDescent="0.25">
      <c r="A4486" s="1">
        <v>4485</v>
      </c>
      <c r="B4486" s="4">
        <v>31938</v>
      </c>
      <c r="C4486" s="5">
        <v>40751</v>
      </c>
      <c r="D4486" s="3" t="s">
        <v>4</v>
      </c>
      <c r="E4486" s="1" t="s">
        <v>1133</v>
      </c>
      <c r="F4486" s="1" t="s">
        <v>30</v>
      </c>
      <c r="G4486" s="2" t="s">
        <v>6</v>
      </c>
      <c r="H4486" s="3" t="s">
        <v>100</v>
      </c>
      <c r="I4486" s="3" t="s">
        <v>91</v>
      </c>
      <c r="J4486" s="3" t="s">
        <v>72</v>
      </c>
      <c r="K4486" s="4">
        <v>1193.6199999999999</v>
      </c>
      <c r="L4486" s="6">
        <v>89.99</v>
      </c>
    </row>
    <row r="4487" spans="1:12" x14ac:dyDescent="0.25">
      <c r="A4487" s="1">
        <v>4486</v>
      </c>
      <c r="B4487" s="4">
        <v>31938</v>
      </c>
      <c r="C4487" s="5">
        <v>40751</v>
      </c>
      <c r="D4487" s="3" t="s">
        <v>4</v>
      </c>
      <c r="E4487" s="1" t="s">
        <v>267</v>
      </c>
      <c r="F4487" s="1" t="s">
        <v>30</v>
      </c>
      <c r="G4487" s="2" t="s">
        <v>6</v>
      </c>
      <c r="H4487" s="3" t="s">
        <v>100</v>
      </c>
      <c r="I4487" s="3" t="s">
        <v>91</v>
      </c>
      <c r="J4487" s="3" t="s">
        <v>59</v>
      </c>
      <c r="K4487" s="4">
        <v>363.23</v>
      </c>
      <c r="L4487" s="6">
        <v>7.59</v>
      </c>
    </row>
    <row r="4488" spans="1:12" x14ac:dyDescent="0.25">
      <c r="A4488" s="1">
        <v>4487</v>
      </c>
      <c r="B4488" s="4">
        <v>31939</v>
      </c>
      <c r="C4488" s="5">
        <v>40719</v>
      </c>
      <c r="D4488" s="3" t="s">
        <v>89</v>
      </c>
      <c r="E4488" s="1" t="s">
        <v>1258</v>
      </c>
      <c r="F4488" s="1" t="s">
        <v>17</v>
      </c>
      <c r="G4488" s="2" t="s">
        <v>2</v>
      </c>
      <c r="H4488" s="3" t="s">
        <v>84</v>
      </c>
      <c r="I4488" s="3" t="s">
        <v>92</v>
      </c>
      <c r="J4488" s="3" t="s">
        <v>61</v>
      </c>
      <c r="K4488" s="4">
        <v>1506.8374999999999</v>
      </c>
      <c r="L4488" s="6">
        <v>140.99</v>
      </c>
    </row>
    <row r="4489" spans="1:12" x14ac:dyDescent="0.25">
      <c r="A4489" s="1">
        <v>4488</v>
      </c>
      <c r="B4489" s="4">
        <v>31941</v>
      </c>
      <c r="C4489" s="5">
        <v>39890</v>
      </c>
      <c r="D4489" s="3" t="s">
        <v>4</v>
      </c>
      <c r="E4489" s="1" t="s">
        <v>733</v>
      </c>
      <c r="F4489" s="1" t="s">
        <v>11</v>
      </c>
      <c r="G4489" s="2" t="s">
        <v>6</v>
      </c>
      <c r="H4489" s="3" t="s">
        <v>84</v>
      </c>
      <c r="I4489" s="3" t="s">
        <v>85</v>
      </c>
      <c r="J4489" s="3" t="s">
        <v>70</v>
      </c>
      <c r="K4489" s="4">
        <v>2564.4499999999998</v>
      </c>
      <c r="L4489" s="6">
        <v>78.650000000000006</v>
      </c>
    </row>
    <row r="4490" spans="1:12" x14ac:dyDescent="0.25">
      <c r="A4490" s="1">
        <v>4489</v>
      </c>
      <c r="B4490" s="4">
        <v>31941</v>
      </c>
      <c r="C4490" s="5">
        <v>39890</v>
      </c>
      <c r="D4490" s="3" t="s">
        <v>4</v>
      </c>
      <c r="E4490" s="1" t="s">
        <v>733</v>
      </c>
      <c r="F4490" s="1" t="s">
        <v>11</v>
      </c>
      <c r="G4490" s="2" t="s">
        <v>6</v>
      </c>
      <c r="H4490" s="3" t="s">
        <v>84</v>
      </c>
      <c r="I4490" s="3" t="s">
        <v>85</v>
      </c>
      <c r="J4490" s="3" t="s">
        <v>66</v>
      </c>
      <c r="K4490" s="4">
        <v>53.55</v>
      </c>
      <c r="L4490" s="6">
        <v>6.48</v>
      </c>
    </row>
    <row r="4491" spans="1:12" x14ac:dyDescent="0.25">
      <c r="A4491" s="1">
        <v>4490</v>
      </c>
      <c r="B4491" s="4">
        <v>31973</v>
      </c>
      <c r="C4491" s="5">
        <v>40675</v>
      </c>
      <c r="D4491" s="3" t="s">
        <v>86</v>
      </c>
      <c r="E4491" s="1" t="s">
        <v>1222</v>
      </c>
      <c r="F4491" s="1" t="s">
        <v>42</v>
      </c>
      <c r="G4491" s="2" t="s">
        <v>3</v>
      </c>
      <c r="H4491" s="3" t="s">
        <v>84</v>
      </c>
      <c r="I4491" s="3" t="s">
        <v>91</v>
      </c>
      <c r="J4491" s="3" t="s">
        <v>72</v>
      </c>
      <c r="K4491" s="4">
        <v>404.54</v>
      </c>
      <c r="L4491" s="6">
        <v>26.64</v>
      </c>
    </row>
    <row r="4492" spans="1:12" x14ac:dyDescent="0.25">
      <c r="A4492" s="1">
        <v>4491</v>
      </c>
      <c r="B4492" s="4">
        <v>31973</v>
      </c>
      <c r="C4492" s="5">
        <v>40675</v>
      </c>
      <c r="D4492" s="3" t="s">
        <v>86</v>
      </c>
      <c r="E4492" s="1" t="s">
        <v>1222</v>
      </c>
      <c r="F4492" s="1" t="s">
        <v>42</v>
      </c>
      <c r="G4492" s="2" t="s">
        <v>3</v>
      </c>
      <c r="H4492" s="3" t="s">
        <v>84</v>
      </c>
      <c r="I4492" s="3" t="s">
        <v>85</v>
      </c>
      <c r="J4492" s="3" t="s">
        <v>66</v>
      </c>
      <c r="K4492" s="4">
        <v>124.89</v>
      </c>
      <c r="L4492" s="6">
        <v>7.28</v>
      </c>
    </row>
    <row r="4493" spans="1:12" x14ac:dyDescent="0.25">
      <c r="A4493" s="1">
        <v>4492</v>
      </c>
      <c r="B4493" s="4">
        <v>32000</v>
      </c>
      <c r="C4493" s="5">
        <v>41165</v>
      </c>
      <c r="D4493" s="3" t="s">
        <v>82</v>
      </c>
      <c r="E4493" s="1" t="s">
        <v>1239</v>
      </c>
      <c r="F4493" s="1" t="s">
        <v>22</v>
      </c>
      <c r="G4493" s="2" t="s">
        <v>6</v>
      </c>
      <c r="H4493" s="3" t="s">
        <v>97</v>
      </c>
      <c r="I4493" s="3" t="s">
        <v>85</v>
      </c>
      <c r="J4493" s="3" t="s">
        <v>64</v>
      </c>
      <c r="K4493" s="4">
        <v>162.16</v>
      </c>
      <c r="L4493" s="6">
        <v>3.29</v>
      </c>
    </row>
    <row r="4494" spans="1:12" x14ac:dyDescent="0.25">
      <c r="A4494" s="1">
        <v>4493</v>
      </c>
      <c r="B4494" s="4">
        <v>32000</v>
      </c>
      <c r="C4494" s="5">
        <v>41165</v>
      </c>
      <c r="D4494" s="3" t="s">
        <v>82</v>
      </c>
      <c r="E4494" s="1" t="s">
        <v>1239</v>
      </c>
      <c r="F4494" s="1" t="s">
        <v>22</v>
      </c>
      <c r="G4494" s="2" t="s">
        <v>6</v>
      </c>
      <c r="H4494" s="3" t="s">
        <v>97</v>
      </c>
      <c r="I4494" s="3" t="s">
        <v>91</v>
      </c>
      <c r="J4494" s="3" t="s">
        <v>60</v>
      </c>
      <c r="K4494" s="4">
        <v>15168.82</v>
      </c>
      <c r="L4494" s="6">
        <v>550.98</v>
      </c>
    </row>
    <row r="4495" spans="1:12" x14ac:dyDescent="0.25">
      <c r="A4495" s="1">
        <v>4494</v>
      </c>
      <c r="B4495" s="4">
        <v>32001</v>
      </c>
      <c r="C4495" s="5">
        <v>40844</v>
      </c>
      <c r="D4495" s="3" t="s">
        <v>82</v>
      </c>
      <c r="E4495" s="1" t="s">
        <v>1099</v>
      </c>
      <c r="F4495" s="1" t="s">
        <v>31</v>
      </c>
      <c r="G4495" s="2" t="s">
        <v>1</v>
      </c>
      <c r="H4495" s="3" t="s">
        <v>84</v>
      </c>
      <c r="I4495" s="3" t="s">
        <v>91</v>
      </c>
      <c r="J4495" s="3" t="s">
        <v>59</v>
      </c>
      <c r="K4495" s="4">
        <v>494.84</v>
      </c>
      <c r="L4495" s="6">
        <v>22.23</v>
      </c>
    </row>
    <row r="4496" spans="1:12" x14ac:dyDescent="0.25">
      <c r="A4496" s="1">
        <v>4495</v>
      </c>
      <c r="B4496" s="4">
        <v>32001</v>
      </c>
      <c r="C4496" s="5">
        <v>40844</v>
      </c>
      <c r="D4496" s="3" t="s">
        <v>82</v>
      </c>
      <c r="E4496" s="1" t="s">
        <v>1099</v>
      </c>
      <c r="F4496" s="1" t="s">
        <v>31</v>
      </c>
      <c r="G4496" s="2" t="s">
        <v>1</v>
      </c>
      <c r="H4496" s="3" t="s">
        <v>84</v>
      </c>
      <c r="I4496" s="3" t="s">
        <v>92</v>
      </c>
      <c r="J4496" s="3" t="s">
        <v>67</v>
      </c>
      <c r="K4496" s="4">
        <v>3443.21</v>
      </c>
      <c r="L4496" s="6">
        <v>300.98</v>
      </c>
    </row>
    <row r="4497" spans="1:12" x14ac:dyDescent="0.25">
      <c r="A4497" s="1">
        <v>4496</v>
      </c>
      <c r="B4497" s="4">
        <v>32002</v>
      </c>
      <c r="C4497" s="5">
        <v>40379</v>
      </c>
      <c r="D4497" s="3" t="s">
        <v>82</v>
      </c>
      <c r="E4497" s="1" t="s">
        <v>742</v>
      </c>
      <c r="F4497" s="1" t="s">
        <v>34</v>
      </c>
      <c r="G4497" s="2" t="s">
        <v>1</v>
      </c>
      <c r="H4497" s="3" t="s">
        <v>100</v>
      </c>
      <c r="I4497" s="3" t="s">
        <v>92</v>
      </c>
      <c r="J4497" s="3" t="s">
        <v>62</v>
      </c>
      <c r="K4497" s="4">
        <v>1196.2</v>
      </c>
      <c r="L4497" s="6">
        <v>30.98</v>
      </c>
    </row>
    <row r="4498" spans="1:12" x14ac:dyDescent="0.25">
      <c r="A4498" s="1">
        <v>4497</v>
      </c>
      <c r="B4498" s="4">
        <v>32002</v>
      </c>
      <c r="C4498" s="5">
        <v>40379</v>
      </c>
      <c r="D4498" s="3" t="s">
        <v>82</v>
      </c>
      <c r="E4498" s="1" t="s">
        <v>742</v>
      </c>
      <c r="F4498" s="1" t="s">
        <v>34</v>
      </c>
      <c r="G4498" s="2" t="s">
        <v>1</v>
      </c>
      <c r="H4498" s="3" t="s">
        <v>100</v>
      </c>
      <c r="I4498" s="3" t="s">
        <v>91</v>
      </c>
      <c r="J4498" s="3" t="s">
        <v>59</v>
      </c>
      <c r="K4498" s="4">
        <v>98.55</v>
      </c>
      <c r="L4498" s="6">
        <v>13.79</v>
      </c>
    </row>
    <row r="4499" spans="1:12" x14ac:dyDescent="0.25">
      <c r="A4499" s="1">
        <v>4498</v>
      </c>
      <c r="B4499" s="4">
        <v>32007</v>
      </c>
      <c r="C4499" s="5">
        <v>40579</v>
      </c>
      <c r="D4499" s="3" t="s">
        <v>82</v>
      </c>
      <c r="E4499" s="1" t="s">
        <v>1259</v>
      </c>
      <c r="F4499" s="1" t="s">
        <v>9</v>
      </c>
      <c r="G4499" s="2" t="s">
        <v>2</v>
      </c>
      <c r="H4499" s="3" t="s">
        <v>100</v>
      </c>
      <c r="I4499" s="3" t="s">
        <v>91</v>
      </c>
      <c r="J4499" s="3" t="s">
        <v>60</v>
      </c>
      <c r="K4499" s="4">
        <v>17448.75</v>
      </c>
      <c r="L4499" s="6">
        <v>417.4</v>
      </c>
    </row>
    <row r="4500" spans="1:12" x14ac:dyDescent="0.25">
      <c r="A4500" s="1">
        <v>4499</v>
      </c>
      <c r="B4500" s="4">
        <v>32036</v>
      </c>
      <c r="C4500" s="5">
        <v>40821</v>
      </c>
      <c r="D4500" s="3" t="s">
        <v>4</v>
      </c>
      <c r="E4500" s="1" t="s">
        <v>1004</v>
      </c>
      <c r="F4500" s="1" t="s">
        <v>18</v>
      </c>
      <c r="G4500" s="2" t="s">
        <v>6</v>
      </c>
      <c r="H4500" s="3" t="s">
        <v>88</v>
      </c>
      <c r="I4500" s="3" t="s">
        <v>85</v>
      </c>
      <c r="J4500" s="3" t="s">
        <v>66</v>
      </c>
      <c r="K4500" s="4">
        <v>338.89</v>
      </c>
      <c r="L4500" s="6">
        <v>54.96</v>
      </c>
    </row>
    <row r="4501" spans="1:12" x14ac:dyDescent="0.25">
      <c r="A4501" s="1">
        <v>4500</v>
      </c>
      <c r="B4501" s="4">
        <v>32036</v>
      </c>
      <c r="C4501" s="5">
        <v>40821</v>
      </c>
      <c r="D4501" s="3" t="s">
        <v>4</v>
      </c>
      <c r="E4501" s="1" t="s">
        <v>1004</v>
      </c>
      <c r="F4501" s="1" t="s">
        <v>18</v>
      </c>
      <c r="G4501" s="2" t="s">
        <v>6</v>
      </c>
      <c r="H4501" s="3" t="s">
        <v>88</v>
      </c>
      <c r="I4501" s="3" t="s">
        <v>85</v>
      </c>
      <c r="J4501" s="3" t="s">
        <v>57</v>
      </c>
      <c r="K4501" s="4">
        <v>362.52</v>
      </c>
      <c r="L4501" s="6">
        <v>14.97</v>
      </c>
    </row>
    <row r="4502" spans="1:12" x14ac:dyDescent="0.25">
      <c r="A4502" s="1">
        <v>4501</v>
      </c>
      <c r="B4502" s="4">
        <v>32037</v>
      </c>
      <c r="C4502" s="5">
        <v>39860</v>
      </c>
      <c r="D4502" s="3" t="s">
        <v>82</v>
      </c>
      <c r="E4502" s="1" t="s">
        <v>1260</v>
      </c>
      <c r="F4502" s="1" t="s">
        <v>13</v>
      </c>
      <c r="G4502" s="2" t="s">
        <v>6</v>
      </c>
      <c r="H4502" s="3" t="s">
        <v>97</v>
      </c>
      <c r="I4502" s="3" t="s">
        <v>85</v>
      </c>
      <c r="J4502" s="3" t="s">
        <v>69</v>
      </c>
      <c r="K4502" s="4">
        <v>311.66000000000003</v>
      </c>
      <c r="L4502" s="6">
        <v>8.6</v>
      </c>
    </row>
    <row r="4503" spans="1:12" x14ac:dyDescent="0.25">
      <c r="A4503" s="1">
        <v>4502</v>
      </c>
      <c r="B4503" s="4">
        <v>32037</v>
      </c>
      <c r="C4503" s="5">
        <v>39860</v>
      </c>
      <c r="D4503" s="3" t="s">
        <v>82</v>
      </c>
      <c r="E4503" s="1" t="s">
        <v>1260</v>
      </c>
      <c r="F4503" s="1" t="s">
        <v>13</v>
      </c>
      <c r="G4503" s="2" t="s">
        <v>6</v>
      </c>
      <c r="H4503" s="3" t="s">
        <v>97</v>
      </c>
      <c r="I4503" s="3" t="s">
        <v>92</v>
      </c>
      <c r="J4503" s="3" t="s">
        <v>73</v>
      </c>
      <c r="K4503" s="4">
        <v>9862.51</v>
      </c>
      <c r="L4503" s="6">
        <v>699.99</v>
      </c>
    </row>
    <row r="4504" spans="1:12" x14ac:dyDescent="0.25">
      <c r="A4504" s="1">
        <v>4503</v>
      </c>
      <c r="B4504" s="4">
        <v>32038</v>
      </c>
      <c r="C4504" s="5">
        <v>39981</v>
      </c>
      <c r="D4504" s="3" t="s">
        <v>82</v>
      </c>
      <c r="E4504" s="1" t="s">
        <v>567</v>
      </c>
      <c r="F4504" s="1" t="s">
        <v>15</v>
      </c>
      <c r="G4504" s="2" t="s">
        <v>1</v>
      </c>
      <c r="H4504" s="3" t="s">
        <v>100</v>
      </c>
      <c r="I4504" s="3" t="s">
        <v>85</v>
      </c>
      <c r="J4504" s="3" t="s">
        <v>70</v>
      </c>
      <c r="K4504" s="4">
        <v>342.4</v>
      </c>
      <c r="L4504" s="6">
        <v>11.7</v>
      </c>
    </row>
    <row r="4505" spans="1:12" x14ac:dyDescent="0.25">
      <c r="A4505" s="1">
        <v>4504</v>
      </c>
      <c r="B4505" s="4">
        <v>32065</v>
      </c>
      <c r="C4505" s="5">
        <v>40879</v>
      </c>
      <c r="D4505" s="3" t="s">
        <v>4</v>
      </c>
      <c r="E4505" s="1" t="s">
        <v>952</v>
      </c>
      <c r="F4505" s="1" t="s">
        <v>15</v>
      </c>
      <c r="G4505" s="2" t="s">
        <v>1</v>
      </c>
      <c r="H4505" s="3" t="s">
        <v>88</v>
      </c>
      <c r="I4505" s="3" t="s">
        <v>92</v>
      </c>
      <c r="J4505" s="3" t="s">
        <v>67</v>
      </c>
      <c r="K4505" s="4">
        <v>450.28</v>
      </c>
      <c r="L4505" s="6">
        <v>17.98</v>
      </c>
    </row>
    <row r="4506" spans="1:12" x14ac:dyDescent="0.25">
      <c r="A4506" s="1">
        <v>4505</v>
      </c>
      <c r="B4506" s="4">
        <v>32067</v>
      </c>
      <c r="C4506" s="5">
        <v>40980</v>
      </c>
      <c r="D4506" s="3" t="s">
        <v>89</v>
      </c>
      <c r="E4506" s="1" t="s">
        <v>1261</v>
      </c>
      <c r="F4506" s="1" t="s">
        <v>41</v>
      </c>
      <c r="G4506" s="2" t="s">
        <v>6</v>
      </c>
      <c r="H4506" s="3" t="s">
        <v>84</v>
      </c>
      <c r="I4506" s="3" t="s">
        <v>92</v>
      </c>
      <c r="J4506" s="3" t="s">
        <v>61</v>
      </c>
      <c r="K4506" s="4">
        <v>2853.8834999999999</v>
      </c>
      <c r="L4506" s="6">
        <v>125.99</v>
      </c>
    </row>
    <row r="4507" spans="1:12" x14ac:dyDescent="0.25">
      <c r="A4507" s="1">
        <v>4506</v>
      </c>
      <c r="B4507" s="4">
        <v>32069</v>
      </c>
      <c r="C4507" s="5">
        <v>40866</v>
      </c>
      <c r="D4507" s="3" t="s">
        <v>86</v>
      </c>
      <c r="E4507" s="1" t="s">
        <v>160</v>
      </c>
      <c r="F4507" s="1" t="s">
        <v>31</v>
      </c>
      <c r="G4507" s="2" t="s">
        <v>1</v>
      </c>
      <c r="H4507" s="3" t="s">
        <v>100</v>
      </c>
      <c r="I4507" s="3" t="s">
        <v>92</v>
      </c>
      <c r="J4507" s="3" t="s">
        <v>67</v>
      </c>
      <c r="K4507" s="4">
        <v>1100</v>
      </c>
      <c r="L4507" s="6">
        <v>145.44999999999999</v>
      </c>
    </row>
    <row r="4508" spans="1:12" x14ac:dyDescent="0.25">
      <c r="A4508" s="1">
        <v>4507</v>
      </c>
      <c r="B4508" s="4">
        <v>32069</v>
      </c>
      <c r="C4508" s="5">
        <v>40866</v>
      </c>
      <c r="D4508" s="3" t="s">
        <v>86</v>
      </c>
      <c r="E4508" s="1" t="s">
        <v>1262</v>
      </c>
      <c r="F4508" s="1" t="s">
        <v>23</v>
      </c>
      <c r="G4508" s="2" t="s">
        <v>3</v>
      </c>
      <c r="H4508" s="3" t="s">
        <v>100</v>
      </c>
      <c r="I4508" s="3" t="s">
        <v>85</v>
      </c>
      <c r="J4508" s="3" t="s">
        <v>66</v>
      </c>
      <c r="K4508" s="4">
        <v>114.94</v>
      </c>
      <c r="L4508" s="6">
        <v>6.48</v>
      </c>
    </row>
    <row r="4509" spans="1:12" x14ac:dyDescent="0.25">
      <c r="A4509" s="1">
        <v>4508</v>
      </c>
      <c r="B4509" s="4">
        <v>32070</v>
      </c>
      <c r="C4509" s="5">
        <v>40011</v>
      </c>
      <c r="D4509" s="3" t="s">
        <v>4</v>
      </c>
      <c r="E4509" s="1" t="s">
        <v>1071</v>
      </c>
      <c r="F4509" s="1" t="s">
        <v>44</v>
      </c>
      <c r="G4509" s="2" t="s">
        <v>3</v>
      </c>
      <c r="H4509" s="3" t="s">
        <v>97</v>
      </c>
      <c r="I4509" s="3" t="s">
        <v>91</v>
      </c>
      <c r="J4509" s="3" t="s">
        <v>59</v>
      </c>
      <c r="K4509" s="4">
        <v>86.7</v>
      </c>
      <c r="L4509" s="6">
        <v>1.76</v>
      </c>
    </row>
    <row r="4510" spans="1:12" x14ac:dyDescent="0.25">
      <c r="A4510" s="1">
        <v>4509</v>
      </c>
      <c r="B4510" s="4">
        <v>32099</v>
      </c>
      <c r="C4510" s="5">
        <v>40303</v>
      </c>
      <c r="D4510" s="3" t="s">
        <v>86</v>
      </c>
      <c r="E4510" s="1" t="s">
        <v>1263</v>
      </c>
      <c r="F4510" s="1" t="s">
        <v>24</v>
      </c>
      <c r="G4510" s="2" t="s">
        <v>2</v>
      </c>
      <c r="H4510" s="3" t="s">
        <v>97</v>
      </c>
      <c r="I4510" s="3" t="s">
        <v>85</v>
      </c>
      <c r="J4510" s="3" t="s">
        <v>66</v>
      </c>
      <c r="K4510" s="4">
        <v>506.73</v>
      </c>
      <c r="L4510" s="6">
        <v>12.28</v>
      </c>
    </row>
    <row r="4511" spans="1:12" x14ac:dyDescent="0.25">
      <c r="A4511" s="1">
        <v>4510</v>
      </c>
      <c r="B4511" s="4">
        <v>32100</v>
      </c>
      <c r="C4511" s="5">
        <v>41052</v>
      </c>
      <c r="D4511" s="3" t="s">
        <v>4</v>
      </c>
      <c r="E4511" s="1" t="s">
        <v>93</v>
      </c>
      <c r="F4511" s="1" t="s">
        <v>10</v>
      </c>
      <c r="G4511" s="2" t="s">
        <v>3</v>
      </c>
      <c r="H4511" s="3" t="s">
        <v>88</v>
      </c>
      <c r="I4511" s="3" t="s">
        <v>92</v>
      </c>
      <c r="J4511" s="3" t="s">
        <v>62</v>
      </c>
      <c r="K4511" s="4">
        <v>1104.28</v>
      </c>
      <c r="L4511" s="6">
        <v>40.98</v>
      </c>
    </row>
    <row r="4512" spans="1:12" x14ac:dyDescent="0.25">
      <c r="A4512" s="1">
        <v>4511</v>
      </c>
      <c r="B4512" s="4">
        <v>32101</v>
      </c>
      <c r="C4512" s="5">
        <v>40173</v>
      </c>
      <c r="D4512" s="3" t="s">
        <v>82</v>
      </c>
      <c r="E4512" s="1" t="s">
        <v>1035</v>
      </c>
      <c r="F4512" s="1" t="s">
        <v>42</v>
      </c>
      <c r="G4512" s="2" t="s">
        <v>3</v>
      </c>
      <c r="H4512" s="3" t="s">
        <v>88</v>
      </c>
      <c r="I4512" s="3" t="s">
        <v>91</v>
      </c>
      <c r="J4512" s="3" t="s">
        <v>72</v>
      </c>
      <c r="K4512" s="4">
        <v>14567.15</v>
      </c>
      <c r="L4512" s="6">
        <v>291.73</v>
      </c>
    </row>
    <row r="4513" spans="1:12" x14ac:dyDescent="0.25">
      <c r="A4513" s="1">
        <v>4512</v>
      </c>
      <c r="B4513" s="4">
        <v>32102</v>
      </c>
      <c r="C4513" s="5">
        <v>41257</v>
      </c>
      <c r="D4513" s="3" t="s">
        <v>4</v>
      </c>
      <c r="E4513" s="1" t="s">
        <v>1264</v>
      </c>
      <c r="F4513" s="1" t="s">
        <v>31</v>
      </c>
      <c r="G4513" s="2" t="s">
        <v>1</v>
      </c>
      <c r="H4513" s="3" t="s">
        <v>97</v>
      </c>
      <c r="I4513" s="3" t="s">
        <v>85</v>
      </c>
      <c r="J4513" s="3" t="s">
        <v>66</v>
      </c>
      <c r="K4513" s="4">
        <v>19.809999999999999</v>
      </c>
      <c r="L4513" s="6">
        <v>6.48</v>
      </c>
    </row>
    <row r="4514" spans="1:12" x14ac:dyDescent="0.25">
      <c r="A4514" s="1">
        <v>4513</v>
      </c>
      <c r="B4514" s="4">
        <v>32129</v>
      </c>
      <c r="C4514" s="5">
        <v>40726</v>
      </c>
      <c r="D4514" s="3" t="s">
        <v>95</v>
      </c>
      <c r="E4514" s="1" t="s">
        <v>253</v>
      </c>
      <c r="F4514" s="1" t="s">
        <v>24</v>
      </c>
      <c r="G4514" s="2" t="s">
        <v>2</v>
      </c>
      <c r="H4514" s="3" t="s">
        <v>100</v>
      </c>
      <c r="I4514" s="3" t="s">
        <v>85</v>
      </c>
      <c r="J4514" s="3" t="s">
        <v>66</v>
      </c>
      <c r="K4514" s="4">
        <v>129.27000000000001</v>
      </c>
      <c r="L4514" s="6">
        <v>6.48</v>
      </c>
    </row>
    <row r="4515" spans="1:12" x14ac:dyDescent="0.25">
      <c r="A4515" s="1">
        <v>4514</v>
      </c>
      <c r="B4515" s="4">
        <v>32129</v>
      </c>
      <c r="C4515" s="5">
        <v>40726</v>
      </c>
      <c r="D4515" s="3" t="s">
        <v>95</v>
      </c>
      <c r="E4515" s="1" t="s">
        <v>807</v>
      </c>
      <c r="F4515" s="1" t="s">
        <v>24</v>
      </c>
      <c r="G4515" s="2" t="s">
        <v>2</v>
      </c>
      <c r="H4515" s="3" t="s">
        <v>100</v>
      </c>
      <c r="I4515" s="3" t="s">
        <v>92</v>
      </c>
      <c r="J4515" s="3" t="s">
        <v>67</v>
      </c>
      <c r="K4515" s="4">
        <v>8467.68</v>
      </c>
      <c r="L4515" s="6">
        <v>2036.48</v>
      </c>
    </row>
    <row r="4516" spans="1:12" x14ac:dyDescent="0.25">
      <c r="A4516" s="1">
        <v>4515</v>
      </c>
      <c r="B4516" s="4">
        <v>32131</v>
      </c>
      <c r="C4516" s="5">
        <v>40539</v>
      </c>
      <c r="D4516" s="3" t="s">
        <v>95</v>
      </c>
      <c r="E4516" s="1" t="s">
        <v>883</v>
      </c>
      <c r="F4516" s="1" t="s">
        <v>13</v>
      </c>
      <c r="G4516" s="2" t="s">
        <v>6</v>
      </c>
      <c r="H4516" s="3" t="s">
        <v>84</v>
      </c>
      <c r="I4516" s="3" t="s">
        <v>85</v>
      </c>
      <c r="J4516" s="3" t="s">
        <v>64</v>
      </c>
      <c r="K4516" s="4">
        <v>126.62</v>
      </c>
      <c r="L4516" s="6">
        <v>3.78</v>
      </c>
    </row>
    <row r="4517" spans="1:12" x14ac:dyDescent="0.25">
      <c r="A4517" s="1">
        <v>4516</v>
      </c>
      <c r="B4517" s="4">
        <v>32135</v>
      </c>
      <c r="C4517" s="5">
        <v>40507</v>
      </c>
      <c r="D4517" s="3" t="s">
        <v>89</v>
      </c>
      <c r="E4517" s="1" t="s">
        <v>1034</v>
      </c>
      <c r="F4517" s="1" t="s">
        <v>13</v>
      </c>
      <c r="G4517" s="2" t="s">
        <v>6</v>
      </c>
      <c r="H4517" s="3" t="s">
        <v>97</v>
      </c>
      <c r="I4517" s="3" t="s">
        <v>92</v>
      </c>
      <c r="J4517" s="3" t="s">
        <v>62</v>
      </c>
      <c r="K4517" s="4">
        <v>1575.14</v>
      </c>
      <c r="L4517" s="6">
        <v>39.979999999999997</v>
      </c>
    </row>
    <row r="4518" spans="1:12" x14ac:dyDescent="0.25">
      <c r="A4518" s="1">
        <v>4517</v>
      </c>
      <c r="B4518" s="4">
        <v>32135</v>
      </c>
      <c r="C4518" s="5">
        <v>40507</v>
      </c>
      <c r="D4518" s="3" t="s">
        <v>89</v>
      </c>
      <c r="E4518" s="1" t="s">
        <v>1034</v>
      </c>
      <c r="F4518" s="1" t="s">
        <v>13</v>
      </c>
      <c r="G4518" s="2" t="s">
        <v>6</v>
      </c>
      <c r="H4518" s="3" t="s">
        <v>97</v>
      </c>
      <c r="I4518" s="3" t="s">
        <v>92</v>
      </c>
      <c r="J4518" s="3" t="s">
        <v>67</v>
      </c>
      <c r="K4518" s="4">
        <v>187.78</v>
      </c>
      <c r="L4518" s="6">
        <v>11.99</v>
      </c>
    </row>
    <row r="4519" spans="1:12" x14ac:dyDescent="0.25">
      <c r="A4519" s="1">
        <v>4518</v>
      </c>
      <c r="B4519" s="4">
        <v>32164</v>
      </c>
      <c r="C4519" s="5">
        <v>40211</v>
      </c>
      <c r="D4519" s="3" t="s">
        <v>86</v>
      </c>
      <c r="E4519" s="1" t="s">
        <v>780</v>
      </c>
      <c r="F4519" s="1" t="s">
        <v>9</v>
      </c>
      <c r="G4519" s="2" t="s">
        <v>2</v>
      </c>
      <c r="H4519" s="3" t="s">
        <v>84</v>
      </c>
      <c r="I4519" s="3" t="s">
        <v>85</v>
      </c>
      <c r="J4519" s="3" t="s">
        <v>66</v>
      </c>
      <c r="K4519" s="4">
        <v>77.010000000000005</v>
      </c>
      <c r="L4519" s="6">
        <v>5.78</v>
      </c>
    </row>
    <row r="4520" spans="1:12" x14ac:dyDescent="0.25">
      <c r="A4520" s="1">
        <v>4519</v>
      </c>
      <c r="B4520" s="4">
        <v>32164</v>
      </c>
      <c r="C4520" s="5">
        <v>40211</v>
      </c>
      <c r="D4520" s="3" t="s">
        <v>86</v>
      </c>
      <c r="E4520" s="1" t="s">
        <v>780</v>
      </c>
      <c r="F4520" s="1" t="s">
        <v>9</v>
      </c>
      <c r="G4520" s="2" t="s">
        <v>2</v>
      </c>
      <c r="H4520" s="3" t="s">
        <v>84</v>
      </c>
      <c r="I4520" s="3" t="s">
        <v>85</v>
      </c>
      <c r="J4520" s="3" t="s">
        <v>63</v>
      </c>
      <c r="K4520" s="4">
        <v>111.83</v>
      </c>
      <c r="L4520" s="6">
        <v>3.28</v>
      </c>
    </row>
    <row r="4521" spans="1:12" x14ac:dyDescent="0.25">
      <c r="A4521" s="1">
        <v>4520</v>
      </c>
      <c r="B4521" s="4">
        <v>32164</v>
      </c>
      <c r="C4521" s="5">
        <v>40211</v>
      </c>
      <c r="D4521" s="3" t="s">
        <v>86</v>
      </c>
      <c r="E4521" s="1" t="s">
        <v>780</v>
      </c>
      <c r="F4521" s="1" t="s">
        <v>9</v>
      </c>
      <c r="G4521" s="2" t="s">
        <v>2</v>
      </c>
      <c r="H4521" s="3" t="s">
        <v>84</v>
      </c>
      <c r="I4521" s="3" t="s">
        <v>91</v>
      </c>
      <c r="J4521" s="3" t="s">
        <v>60</v>
      </c>
      <c r="K4521" s="4">
        <v>6552.9</v>
      </c>
      <c r="L4521" s="6">
        <v>296.18</v>
      </c>
    </row>
    <row r="4522" spans="1:12" x14ac:dyDescent="0.25">
      <c r="A4522" s="1">
        <v>4521</v>
      </c>
      <c r="B4522" s="4">
        <v>32165</v>
      </c>
      <c r="C4522" s="5">
        <v>41196</v>
      </c>
      <c r="D4522" s="3" t="s">
        <v>86</v>
      </c>
      <c r="E4522" s="1" t="s">
        <v>1185</v>
      </c>
      <c r="F4522" s="1" t="s">
        <v>32</v>
      </c>
      <c r="G4522" s="2" t="s">
        <v>2</v>
      </c>
      <c r="H4522" s="3" t="s">
        <v>84</v>
      </c>
      <c r="I4522" s="3" t="s">
        <v>92</v>
      </c>
      <c r="J4522" s="3" t="s">
        <v>62</v>
      </c>
      <c r="K4522" s="4">
        <v>3413.69</v>
      </c>
      <c r="L4522" s="6">
        <v>73.98</v>
      </c>
    </row>
    <row r="4523" spans="1:12" x14ac:dyDescent="0.25">
      <c r="A4523" s="1">
        <v>4522</v>
      </c>
      <c r="B4523" s="4">
        <v>32165</v>
      </c>
      <c r="C4523" s="5">
        <v>41196</v>
      </c>
      <c r="D4523" s="3" t="s">
        <v>86</v>
      </c>
      <c r="E4523" s="1" t="s">
        <v>1185</v>
      </c>
      <c r="F4523" s="1" t="s">
        <v>32</v>
      </c>
      <c r="G4523" s="2" t="s">
        <v>2</v>
      </c>
      <c r="H4523" s="3" t="s">
        <v>84</v>
      </c>
      <c r="I4523" s="3" t="s">
        <v>92</v>
      </c>
      <c r="J4523" s="3" t="s">
        <v>61</v>
      </c>
      <c r="K4523" s="4">
        <v>2939.6824999999999</v>
      </c>
      <c r="L4523" s="6">
        <v>85.99</v>
      </c>
    </row>
    <row r="4524" spans="1:12" x14ac:dyDescent="0.25">
      <c r="A4524" s="1">
        <v>4523</v>
      </c>
      <c r="B4524" s="4">
        <v>32192</v>
      </c>
      <c r="C4524" s="5">
        <v>40957</v>
      </c>
      <c r="D4524" s="3" t="s">
        <v>86</v>
      </c>
      <c r="E4524" s="1" t="s">
        <v>420</v>
      </c>
      <c r="F4524" s="1" t="s">
        <v>12</v>
      </c>
      <c r="G4524" s="2" t="s">
        <v>2</v>
      </c>
      <c r="H4524" s="3" t="s">
        <v>84</v>
      </c>
      <c r="I4524" s="3" t="s">
        <v>92</v>
      </c>
      <c r="J4524" s="3" t="s">
        <v>61</v>
      </c>
      <c r="K4524" s="4">
        <v>159.256</v>
      </c>
      <c r="L4524" s="6">
        <v>45.99</v>
      </c>
    </row>
    <row r="4525" spans="1:12" x14ac:dyDescent="0.25">
      <c r="A4525" s="1">
        <v>4524</v>
      </c>
      <c r="B4525" s="4">
        <v>32193</v>
      </c>
      <c r="C4525" s="5">
        <v>40471</v>
      </c>
      <c r="D4525" s="3" t="s">
        <v>82</v>
      </c>
      <c r="E4525" s="1" t="s">
        <v>788</v>
      </c>
      <c r="F4525" s="1" t="s">
        <v>8</v>
      </c>
      <c r="G4525" s="2" t="s">
        <v>6</v>
      </c>
      <c r="H4525" s="3" t="s">
        <v>84</v>
      </c>
      <c r="I4525" s="3" t="s">
        <v>85</v>
      </c>
      <c r="J4525" s="3" t="s">
        <v>66</v>
      </c>
      <c r="K4525" s="4">
        <v>40.72</v>
      </c>
      <c r="L4525" s="6">
        <v>6.68</v>
      </c>
    </row>
    <row r="4526" spans="1:12" x14ac:dyDescent="0.25">
      <c r="A4526" s="1">
        <v>4525</v>
      </c>
      <c r="B4526" s="4">
        <v>32193</v>
      </c>
      <c r="C4526" s="5">
        <v>40471</v>
      </c>
      <c r="D4526" s="3" t="s">
        <v>82</v>
      </c>
      <c r="E4526" s="1" t="s">
        <v>788</v>
      </c>
      <c r="F4526" s="1" t="s">
        <v>8</v>
      </c>
      <c r="G4526" s="2" t="s">
        <v>6</v>
      </c>
      <c r="H4526" s="3" t="s">
        <v>84</v>
      </c>
      <c r="I4526" s="3" t="s">
        <v>85</v>
      </c>
      <c r="J4526" s="3" t="s">
        <v>64</v>
      </c>
      <c r="K4526" s="4">
        <v>113.3</v>
      </c>
      <c r="L4526" s="6">
        <v>3.93</v>
      </c>
    </row>
    <row r="4527" spans="1:12" x14ac:dyDescent="0.25">
      <c r="A4527" s="1">
        <v>4526</v>
      </c>
      <c r="B4527" s="4">
        <v>32195</v>
      </c>
      <c r="C4527" s="5">
        <v>40142</v>
      </c>
      <c r="D4527" s="3" t="s">
        <v>4</v>
      </c>
      <c r="E4527" s="1" t="s">
        <v>1265</v>
      </c>
      <c r="F4527" s="1" t="s">
        <v>13</v>
      </c>
      <c r="G4527" s="2" t="s">
        <v>6</v>
      </c>
      <c r="H4527" s="3" t="s">
        <v>97</v>
      </c>
      <c r="I4527" s="3" t="s">
        <v>85</v>
      </c>
      <c r="J4527" s="3" t="s">
        <v>71</v>
      </c>
      <c r="K4527" s="4">
        <v>86.29</v>
      </c>
      <c r="L4527" s="6">
        <v>11.58</v>
      </c>
    </row>
    <row r="4528" spans="1:12" x14ac:dyDescent="0.25">
      <c r="A4528" s="1">
        <v>4527</v>
      </c>
      <c r="B4528" s="4">
        <v>32198</v>
      </c>
      <c r="C4528" s="5">
        <v>40856</v>
      </c>
      <c r="D4528" s="3" t="s">
        <v>4</v>
      </c>
      <c r="E4528" s="1" t="s">
        <v>1249</v>
      </c>
      <c r="F4528" s="1" t="s">
        <v>41</v>
      </c>
      <c r="G4528" s="2" t="s">
        <v>6</v>
      </c>
      <c r="H4528" s="3" t="s">
        <v>100</v>
      </c>
      <c r="I4528" s="3" t="s">
        <v>92</v>
      </c>
      <c r="J4528" s="3" t="s">
        <v>62</v>
      </c>
      <c r="K4528" s="4">
        <v>240.63</v>
      </c>
      <c r="L4528" s="6">
        <v>7.37</v>
      </c>
    </row>
    <row r="4529" spans="1:12" x14ac:dyDescent="0.25">
      <c r="A4529" s="1">
        <v>4528</v>
      </c>
      <c r="B4529" s="4">
        <v>32199</v>
      </c>
      <c r="C4529" s="5">
        <v>40009</v>
      </c>
      <c r="D4529" s="3" t="s">
        <v>89</v>
      </c>
      <c r="E4529" s="1" t="s">
        <v>1204</v>
      </c>
      <c r="F4529" s="1" t="s">
        <v>38</v>
      </c>
      <c r="G4529" s="2" t="s">
        <v>6</v>
      </c>
      <c r="H4529" s="3" t="s">
        <v>88</v>
      </c>
      <c r="I4529" s="3" t="s">
        <v>85</v>
      </c>
      <c r="J4529" s="3" t="s">
        <v>69</v>
      </c>
      <c r="K4529" s="4">
        <v>196.5</v>
      </c>
      <c r="L4529" s="6">
        <v>4.91</v>
      </c>
    </row>
    <row r="4530" spans="1:12" x14ac:dyDescent="0.25">
      <c r="A4530" s="1">
        <v>4529</v>
      </c>
      <c r="B4530" s="4">
        <v>32199</v>
      </c>
      <c r="C4530" s="5">
        <v>40009</v>
      </c>
      <c r="D4530" s="3" t="s">
        <v>89</v>
      </c>
      <c r="E4530" s="1" t="s">
        <v>1204</v>
      </c>
      <c r="F4530" s="1" t="s">
        <v>38</v>
      </c>
      <c r="G4530" s="2" t="s">
        <v>6</v>
      </c>
      <c r="H4530" s="3" t="s">
        <v>88</v>
      </c>
      <c r="I4530" s="3" t="s">
        <v>92</v>
      </c>
      <c r="J4530" s="3" t="s">
        <v>73</v>
      </c>
      <c r="K4530" s="4">
        <v>3672.89</v>
      </c>
      <c r="L4530" s="6">
        <v>3499.99</v>
      </c>
    </row>
    <row r="4531" spans="1:12" x14ac:dyDescent="0.25">
      <c r="A4531" s="1">
        <v>4530</v>
      </c>
      <c r="B4531" s="4">
        <v>32199</v>
      </c>
      <c r="C4531" s="5">
        <v>40009</v>
      </c>
      <c r="D4531" s="3" t="s">
        <v>89</v>
      </c>
      <c r="E4531" s="1" t="s">
        <v>1266</v>
      </c>
      <c r="F4531" s="1" t="s">
        <v>38</v>
      </c>
      <c r="G4531" s="2" t="s">
        <v>6</v>
      </c>
      <c r="H4531" s="3" t="s">
        <v>88</v>
      </c>
      <c r="I4531" s="3" t="s">
        <v>85</v>
      </c>
      <c r="J4531" s="3" t="s">
        <v>63</v>
      </c>
      <c r="K4531" s="4">
        <v>46.97</v>
      </c>
      <c r="L4531" s="6">
        <v>5.84</v>
      </c>
    </row>
    <row r="4532" spans="1:12" x14ac:dyDescent="0.25">
      <c r="A4532" s="1">
        <v>4531</v>
      </c>
      <c r="B4532" s="4">
        <v>32228</v>
      </c>
      <c r="C4532" s="5">
        <v>40486</v>
      </c>
      <c r="D4532" s="3" t="s">
        <v>95</v>
      </c>
      <c r="E4532" s="1" t="s">
        <v>1210</v>
      </c>
      <c r="F4532" s="1" t="s">
        <v>9</v>
      </c>
      <c r="G4532" s="2" t="s">
        <v>2</v>
      </c>
      <c r="H4532" s="3" t="s">
        <v>97</v>
      </c>
      <c r="I4532" s="3" t="s">
        <v>85</v>
      </c>
      <c r="J4532" s="3" t="s">
        <v>63</v>
      </c>
      <c r="K4532" s="4">
        <v>209.63</v>
      </c>
      <c r="L4532" s="6">
        <v>5.84</v>
      </c>
    </row>
    <row r="4533" spans="1:12" x14ac:dyDescent="0.25">
      <c r="A4533" s="1">
        <v>4532</v>
      </c>
      <c r="B4533" s="4">
        <v>32229</v>
      </c>
      <c r="C4533" s="5">
        <v>40420</v>
      </c>
      <c r="D4533" s="3" t="s">
        <v>89</v>
      </c>
      <c r="E4533" s="1" t="s">
        <v>1198</v>
      </c>
      <c r="F4533" s="1" t="s">
        <v>8</v>
      </c>
      <c r="G4533" s="2" t="s">
        <v>6</v>
      </c>
      <c r="H4533" s="3" t="s">
        <v>88</v>
      </c>
      <c r="I4533" s="3" t="s">
        <v>92</v>
      </c>
      <c r="J4533" s="3" t="s">
        <v>67</v>
      </c>
      <c r="K4533" s="4">
        <v>1219.19</v>
      </c>
      <c r="L4533" s="6">
        <v>150.97999999999999</v>
      </c>
    </row>
    <row r="4534" spans="1:12" x14ac:dyDescent="0.25">
      <c r="A4534" s="1">
        <v>4533</v>
      </c>
      <c r="B4534" s="4">
        <v>32229</v>
      </c>
      <c r="C4534" s="5">
        <v>40420</v>
      </c>
      <c r="D4534" s="3" t="s">
        <v>89</v>
      </c>
      <c r="E4534" s="1" t="s">
        <v>1198</v>
      </c>
      <c r="F4534" s="1" t="s">
        <v>8</v>
      </c>
      <c r="G4534" s="2" t="s">
        <v>6</v>
      </c>
      <c r="H4534" s="3" t="s">
        <v>88</v>
      </c>
      <c r="I4534" s="3" t="s">
        <v>85</v>
      </c>
      <c r="J4534" s="3" t="s">
        <v>63</v>
      </c>
      <c r="K4534" s="4">
        <v>28.68</v>
      </c>
      <c r="L4534" s="6">
        <v>1.76</v>
      </c>
    </row>
    <row r="4535" spans="1:12" x14ac:dyDescent="0.25">
      <c r="A4535" s="1">
        <v>4534</v>
      </c>
      <c r="B4535" s="4">
        <v>32230</v>
      </c>
      <c r="C4535" s="5">
        <v>41140</v>
      </c>
      <c r="D4535" s="3" t="s">
        <v>89</v>
      </c>
      <c r="E4535" s="1" t="s">
        <v>850</v>
      </c>
      <c r="F4535" s="1" t="s">
        <v>13</v>
      </c>
      <c r="G4535" s="2" t="s">
        <v>6</v>
      </c>
      <c r="H4535" s="3" t="s">
        <v>100</v>
      </c>
      <c r="I4535" s="3" t="s">
        <v>91</v>
      </c>
      <c r="J4535" s="3" t="s">
        <v>59</v>
      </c>
      <c r="K4535" s="4">
        <v>1753.75</v>
      </c>
      <c r="L4535" s="6">
        <v>39.979999999999997</v>
      </c>
    </row>
    <row r="4536" spans="1:12" x14ac:dyDescent="0.25">
      <c r="A4536" s="1">
        <v>4535</v>
      </c>
      <c r="B4536" s="4">
        <v>32231</v>
      </c>
      <c r="C4536" s="5">
        <v>41214</v>
      </c>
      <c r="D4536" s="3" t="s">
        <v>82</v>
      </c>
      <c r="E4536" s="1" t="s">
        <v>668</v>
      </c>
      <c r="F4536" s="1" t="s">
        <v>41</v>
      </c>
      <c r="G4536" s="2" t="s">
        <v>6</v>
      </c>
      <c r="H4536" s="3" t="s">
        <v>100</v>
      </c>
      <c r="I4536" s="3" t="s">
        <v>85</v>
      </c>
      <c r="J4536" s="3" t="s">
        <v>63</v>
      </c>
      <c r="K4536" s="4">
        <v>192.33</v>
      </c>
      <c r="L4536" s="6">
        <v>4.26</v>
      </c>
    </row>
    <row r="4537" spans="1:12" x14ac:dyDescent="0.25">
      <c r="A4537" s="1">
        <v>4536</v>
      </c>
      <c r="B4537" s="4">
        <v>32291</v>
      </c>
      <c r="C4537" s="5">
        <v>40122</v>
      </c>
      <c r="D4537" s="3" t="s">
        <v>4</v>
      </c>
      <c r="E4537" s="1" t="s">
        <v>1267</v>
      </c>
      <c r="F4537" s="1" t="s">
        <v>24</v>
      </c>
      <c r="G4537" s="2" t="s">
        <v>2</v>
      </c>
      <c r="H4537" s="3" t="s">
        <v>84</v>
      </c>
      <c r="I4537" s="3" t="s">
        <v>91</v>
      </c>
      <c r="J4537" s="3" t="s">
        <v>59</v>
      </c>
      <c r="K4537" s="4">
        <v>183.22</v>
      </c>
      <c r="L4537" s="6">
        <v>12.99</v>
      </c>
    </row>
    <row r="4538" spans="1:12" x14ac:dyDescent="0.25">
      <c r="A4538" s="1">
        <v>4537</v>
      </c>
      <c r="B4538" s="4">
        <v>32291</v>
      </c>
      <c r="C4538" s="5">
        <v>40122</v>
      </c>
      <c r="D4538" s="3" t="s">
        <v>4</v>
      </c>
      <c r="E4538" s="1" t="s">
        <v>1267</v>
      </c>
      <c r="F4538" s="1" t="s">
        <v>24</v>
      </c>
      <c r="G4538" s="2" t="s">
        <v>2</v>
      </c>
      <c r="H4538" s="3" t="s">
        <v>84</v>
      </c>
      <c r="I4538" s="3" t="s">
        <v>85</v>
      </c>
      <c r="J4538" s="3" t="s">
        <v>57</v>
      </c>
      <c r="K4538" s="4">
        <v>68.03</v>
      </c>
      <c r="L4538" s="6">
        <v>15.14</v>
      </c>
    </row>
    <row r="4539" spans="1:12" x14ac:dyDescent="0.25">
      <c r="A4539" s="1">
        <v>4538</v>
      </c>
      <c r="B4539" s="4">
        <v>32292</v>
      </c>
      <c r="C4539" s="5">
        <v>40954</v>
      </c>
      <c r="D4539" s="3" t="s">
        <v>82</v>
      </c>
      <c r="E4539" s="1" t="s">
        <v>1268</v>
      </c>
      <c r="F4539" s="1" t="s">
        <v>27</v>
      </c>
      <c r="G4539" s="2" t="s">
        <v>1</v>
      </c>
      <c r="H4539" s="3" t="s">
        <v>88</v>
      </c>
      <c r="I4539" s="3" t="s">
        <v>92</v>
      </c>
      <c r="J4539" s="3" t="s">
        <v>61</v>
      </c>
      <c r="K4539" s="4">
        <v>5008.7609999999995</v>
      </c>
      <c r="L4539" s="6">
        <v>115.99</v>
      </c>
    </row>
    <row r="4540" spans="1:12" x14ac:dyDescent="0.25">
      <c r="A4540" s="1">
        <v>4539</v>
      </c>
      <c r="B4540" s="4">
        <v>32292</v>
      </c>
      <c r="C4540" s="5">
        <v>40954</v>
      </c>
      <c r="D4540" s="3" t="s">
        <v>82</v>
      </c>
      <c r="E4540" s="1" t="s">
        <v>1269</v>
      </c>
      <c r="F4540" s="1" t="s">
        <v>49</v>
      </c>
      <c r="G4540" s="2" t="s">
        <v>1</v>
      </c>
      <c r="H4540" s="3" t="s">
        <v>88</v>
      </c>
      <c r="I4540" s="3" t="s">
        <v>85</v>
      </c>
      <c r="J4540" s="3" t="s">
        <v>63</v>
      </c>
      <c r="K4540" s="4">
        <v>13.53</v>
      </c>
      <c r="L4540" s="6">
        <v>11.55</v>
      </c>
    </row>
    <row r="4541" spans="1:12" x14ac:dyDescent="0.25">
      <c r="A4541" s="1">
        <v>4540</v>
      </c>
      <c r="B4541" s="4">
        <v>32295</v>
      </c>
      <c r="C4541" s="5">
        <v>39820</v>
      </c>
      <c r="D4541" s="3" t="s">
        <v>89</v>
      </c>
      <c r="E4541" s="1" t="s">
        <v>1004</v>
      </c>
      <c r="F4541" s="1" t="s">
        <v>18</v>
      </c>
      <c r="G4541" s="2" t="s">
        <v>6</v>
      </c>
      <c r="H4541" s="3" t="s">
        <v>84</v>
      </c>
      <c r="I4541" s="3" t="s">
        <v>92</v>
      </c>
      <c r="J4541" s="3" t="s">
        <v>61</v>
      </c>
      <c r="K4541" s="4">
        <v>607.59699999999998</v>
      </c>
      <c r="L4541" s="6">
        <v>65.989999999999995</v>
      </c>
    </row>
    <row r="4542" spans="1:12" x14ac:dyDescent="0.25">
      <c r="A4542" s="1">
        <v>4541</v>
      </c>
      <c r="B4542" s="4">
        <v>32323</v>
      </c>
      <c r="C4542" s="5">
        <v>40382</v>
      </c>
      <c r="D4542" s="3" t="s">
        <v>89</v>
      </c>
      <c r="E4542" s="1" t="s">
        <v>1270</v>
      </c>
      <c r="F4542" s="1" t="s">
        <v>34</v>
      </c>
      <c r="G4542" s="2" t="s">
        <v>1</v>
      </c>
      <c r="H4542" s="3" t="s">
        <v>84</v>
      </c>
      <c r="I4542" s="3" t="s">
        <v>92</v>
      </c>
      <c r="J4542" s="3" t="s">
        <v>62</v>
      </c>
      <c r="K4542" s="4">
        <v>28.75</v>
      </c>
      <c r="L4542" s="6">
        <v>8.4600000000000009</v>
      </c>
    </row>
    <row r="4543" spans="1:12" x14ac:dyDescent="0.25">
      <c r="A4543" s="1">
        <v>4542</v>
      </c>
      <c r="B4543" s="4">
        <v>32323</v>
      </c>
      <c r="C4543" s="5">
        <v>40382</v>
      </c>
      <c r="D4543" s="3" t="s">
        <v>89</v>
      </c>
      <c r="E4543" s="1" t="s">
        <v>1270</v>
      </c>
      <c r="F4543" s="1" t="s">
        <v>34</v>
      </c>
      <c r="G4543" s="2" t="s">
        <v>1</v>
      </c>
      <c r="H4543" s="3" t="s">
        <v>84</v>
      </c>
      <c r="I4543" s="3" t="s">
        <v>85</v>
      </c>
      <c r="J4543" s="3" t="s">
        <v>66</v>
      </c>
      <c r="K4543" s="4">
        <v>75.81</v>
      </c>
      <c r="L4543" s="6">
        <v>22.84</v>
      </c>
    </row>
    <row r="4544" spans="1:12" x14ac:dyDescent="0.25">
      <c r="A4544" s="1">
        <v>4543</v>
      </c>
      <c r="B4544" s="4">
        <v>32323</v>
      </c>
      <c r="C4544" s="5">
        <v>40382</v>
      </c>
      <c r="D4544" s="3" t="s">
        <v>89</v>
      </c>
      <c r="E4544" s="1" t="s">
        <v>1270</v>
      </c>
      <c r="F4544" s="1" t="s">
        <v>34</v>
      </c>
      <c r="G4544" s="2" t="s">
        <v>1</v>
      </c>
      <c r="H4544" s="3" t="s">
        <v>84</v>
      </c>
      <c r="I4544" s="3" t="s">
        <v>92</v>
      </c>
      <c r="J4544" s="3" t="s">
        <v>61</v>
      </c>
      <c r="K4544" s="4">
        <v>259.71749999999997</v>
      </c>
      <c r="L4544" s="6">
        <v>7.99</v>
      </c>
    </row>
    <row r="4545" spans="1:12" x14ac:dyDescent="0.25">
      <c r="A4545" s="1">
        <v>4544</v>
      </c>
      <c r="B4545" s="4">
        <v>32325</v>
      </c>
      <c r="C4545" s="5">
        <v>41214</v>
      </c>
      <c r="D4545" s="3" t="s">
        <v>95</v>
      </c>
      <c r="E4545" s="1" t="s">
        <v>451</v>
      </c>
      <c r="F4545" s="1" t="s">
        <v>32</v>
      </c>
      <c r="G4545" s="2" t="s">
        <v>2</v>
      </c>
      <c r="H4545" s="3" t="s">
        <v>88</v>
      </c>
      <c r="I4545" s="3" t="s">
        <v>91</v>
      </c>
      <c r="J4545" s="3" t="s">
        <v>59</v>
      </c>
      <c r="K4545" s="4">
        <v>1103.73</v>
      </c>
      <c r="L4545" s="6">
        <v>22.98</v>
      </c>
    </row>
    <row r="4546" spans="1:12" x14ac:dyDescent="0.25">
      <c r="A4546" s="1">
        <v>4545</v>
      </c>
      <c r="B4546" s="4">
        <v>32326</v>
      </c>
      <c r="C4546" s="5">
        <v>40482</v>
      </c>
      <c r="D4546" s="3" t="s">
        <v>89</v>
      </c>
      <c r="E4546" s="1" t="s">
        <v>980</v>
      </c>
      <c r="F4546" s="1" t="s">
        <v>15</v>
      </c>
      <c r="G4546" s="2" t="s">
        <v>1</v>
      </c>
      <c r="H4546" s="3" t="s">
        <v>84</v>
      </c>
      <c r="I4546" s="3" t="s">
        <v>91</v>
      </c>
      <c r="J4546" s="3" t="s">
        <v>59</v>
      </c>
      <c r="K4546" s="4">
        <v>929.81</v>
      </c>
      <c r="L4546" s="6">
        <v>19.989999999999998</v>
      </c>
    </row>
    <row r="4547" spans="1:12" x14ac:dyDescent="0.25">
      <c r="A4547" s="1">
        <v>4546</v>
      </c>
      <c r="B4547" s="4">
        <v>32327</v>
      </c>
      <c r="C4547" s="5">
        <v>41128</v>
      </c>
      <c r="D4547" s="3" t="s">
        <v>82</v>
      </c>
      <c r="E4547" s="1" t="s">
        <v>1204</v>
      </c>
      <c r="F4547" s="1" t="s">
        <v>38</v>
      </c>
      <c r="G4547" s="2" t="s">
        <v>6</v>
      </c>
      <c r="H4547" s="3" t="s">
        <v>84</v>
      </c>
      <c r="I4547" s="3" t="s">
        <v>91</v>
      </c>
      <c r="J4547" s="3" t="s">
        <v>60</v>
      </c>
      <c r="K4547" s="4">
        <v>20333.816000000003</v>
      </c>
      <c r="L4547" s="6">
        <v>550.98</v>
      </c>
    </row>
    <row r="4548" spans="1:12" x14ac:dyDescent="0.25">
      <c r="A4548" s="1">
        <v>4547</v>
      </c>
      <c r="B4548" s="4">
        <v>32355</v>
      </c>
      <c r="C4548" s="5">
        <v>39953</v>
      </c>
      <c r="D4548" s="3" t="s">
        <v>86</v>
      </c>
      <c r="E4548" s="1" t="s">
        <v>820</v>
      </c>
      <c r="F4548" s="1" t="s">
        <v>54</v>
      </c>
      <c r="G4548" s="2" t="s">
        <v>2</v>
      </c>
      <c r="H4548" s="3" t="s">
        <v>97</v>
      </c>
      <c r="I4548" s="3" t="s">
        <v>85</v>
      </c>
      <c r="J4548" s="3" t="s">
        <v>69</v>
      </c>
      <c r="K4548" s="4">
        <v>211.86</v>
      </c>
      <c r="L4548" s="6">
        <v>5.94</v>
      </c>
    </row>
    <row r="4549" spans="1:12" x14ac:dyDescent="0.25">
      <c r="A4549" s="1">
        <v>4548</v>
      </c>
      <c r="B4549" s="4">
        <v>32355</v>
      </c>
      <c r="C4549" s="5">
        <v>39953</v>
      </c>
      <c r="D4549" s="3" t="s">
        <v>86</v>
      </c>
      <c r="E4549" s="1" t="s">
        <v>820</v>
      </c>
      <c r="F4549" s="1" t="s">
        <v>54</v>
      </c>
      <c r="G4549" s="2" t="s">
        <v>2</v>
      </c>
      <c r="H4549" s="3" t="s">
        <v>97</v>
      </c>
      <c r="I4549" s="3" t="s">
        <v>85</v>
      </c>
      <c r="J4549" s="3" t="s">
        <v>66</v>
      </c>
      <c r="K4549" s="4">
        <v>355.03</v>
      </c>
      <c r="L4549" s="6">
        <v>6.48</v>
      </c>
    </row>
    <row r="4550" spans="1:12" x14ac:dyDescent="0.25">
      <c r="A4550" s="1">
        <v>4549</v>
      </c>
      <c r="B4550" s="4">
        <v>32356</v>
      </c>
      <c r="C4550" s="5">
        <v>41192</v>
      </c>
      <c r="D4550" s="3" t="s">
        <v>86</v>
      </c>
      <c r="E4550" s="1" t="s">
        <v>453</v>
      </c>
      <c r="F4550" s="1" t="s">
        <v>37</v>
      </c>
      <c r="G4550" s="2" t="s">
        <v>3</v>
      </c>
      <c r="H4550" s="3" t="s">
        <v>97</v>
      </c>
      <c r="I4550" s="3" t="s">
        <v>85</v>
      </c>
      <c r="J4550" s="3" t="s">
        <v>69</v>
      </c>
      <c r="K4550" s="4">
        <v>768.41</v>
      </c>
      <c r="L4550" s="6">
        <v>67.28</v>
      </c>
    </row>
    <row r="4551" spans="1:12" x14ac:dyDescent="0.25">
      <c r="A4551" s="1">
        <v>4550</v>
      </c>
      <c r="B4551" s="4">
        <v>32356</v>
      </c>
      <c r="C4551" s="5">
        <v>41192</v>
      </c>
      <c r="D4551" s="3" t="s">
        <v>86</v>
      </c>
      <c r="E4551" s="1" t="s">
        <v>453</v>
      </c>
      <c r="F4551" s="1" t="s">
        <v>37</v>
      </c>
      <c r="G4551" s="2" t="s">
        <v>3</v>
      </c>
      <c r="H4551" s="3" t="s">
        <v>97</v>
      </c>
      <c r="I4551" s="3" t="s">
        <v>91</v>
      </c>
      <c r="J4551" s="3" t="s">
        <v>60</v>
      </c>
      <c r="K4551" s="4">
        <v>5238.192</v>
      </c>
      <c r="L4551" s="6">
        <v>145.97999999999999</v>
      </c>
    </row>
    <row r="4552" spans="1:12" x14ac:dyDescent="0.25">
      <c r="A4552" s="1">
        <v>4551</v>
      </c>
      <c r="B4552" s="4">
        <v>32386</v>
      </c>
      <c r="C4552" s="5">
        <v>41017</v>
      </c>
      <c r="D4552" s="3" t="s">
        <v>95</v>
      </c>
      <c r="E4552" s="1" t="s">
        <v>687</v>
      </c>
      <c r="F4552" s="1" t="s">
        <v>9</v>
      </c>
      <c r="G4552" s="2" t="s">
        <v>2</v>
      </c>
      <c r="H4552" s="3" t="s">
        <v>97</v>
      </c>
      <c r="I4552" s="3" t="s">
        <v>92</v>
      </c>
      <c r="J4552" s="3" t="s">
        <v>67</v>
      </c>
      <c r="K4552" s="4">
        <v>1996.16</v>
      </c>
      <c r="L4552" s="6">
        <v>1938.02</v>
      </c>
    </row>
    <row r="4553" spans="1:12" x14ac:dyDescent="0.25">
      <c r="A4553" s="1">
        <v>4552</v>
      </c>
      <c r="B4553" s="4">
        <v>32389</v>
      </c>
      <c r="C4553" s="5">
        <v>40482</v>
      </c>
      <c r="D4553" s="3" t="s">
        <v>4</v>
      </c>
      <c r="E4553" s="1" t="s">
        <v>616</v>
      </c>
      <c r="F4553" s="1" t="s">
        <v>48</v>
      </c>
      <c r="G4553" s="2" t="s">
        <v>1</v>
      </c>
      <c r="H4553" s="3" t="s">
        <v>84</v>
      </c>
      <c r="I4553" s="3" t="s">
        <v>91</v>
      </c>
      <c r="J4553" s="3" t="s">
        <v>60</v>
      </c>
      <c r="K4553" s="4">
        <v>121.62400000000001</v>
      </c>
      <c r="L4553" s="6">
        <v>15.23</v>
      </c>
    </row>
    <row r="4554" spans="1:12" x14ac:dyDescent="0.25">
      <c r="A4554" s="1">
        <v>4553</v>
      </c>
      <c r="B4554" s="4">
        <v>32389</v>
      </c>
      <c r="C4554" s="5">
        <v>40482</v>
      </c>
      <c r="D4554" s="3" t="s">
        <v>4</v>
      </c>
      <c r="E4554" s="1" t="s">
        <v>1171</v>
      </c>
      <c r="F4554" s="1" t="s">
        <v>39</v>
      </c>
      <c r="G4554" s="2" t="s">
        <v>1</v>
      </c>
      <c r="H4554" s="3" t="s">
        <v>84</v>
      </c>
      <c r="I4554" s="3" t="s">
        <v>92</v>
      </c>
      <c r="J4554" s="3" t="s">
        <v>62</v>
      </c>
      <c r="K4554" s="4">
        <v>934.07</v>
      </c>
      <c r="L4554" s="6">
        <v>39.99</v>
      </c>
    </row>
    <row r="4555" spans="1:12" x14ac:dyDescent="0.25">
      <c r="A4555" s="1">
        <v>4554</v>
      </c>
      <c r="B4555" s="4">
        <v>32389</v>
      </c>
      <c r="C4555" s="5">
        <v>40482</v>
      </c>
      <c r="D4555" s="3" t="s">
        <v>4</v>
      </c>
      <c r="E4555" s="1" t="s">
        <v>1271</v>
      </c>
      <c r="F4555" s="1" t="s">
        <v>49</v>
      </c>
      <c r="G4555" s="2" t="s">
        <v>1</v>
      </c>
      <c r="H4555" s="3" t="s">
        <v>84</v>
      </c>
      <c r="I4555" s="3" t="s">
        <v>92</v>
      </c>
      <c r="J4555" s="3" t="s">
        <v>61</v>
      </c>
      <c r="K4555" s="4">
        <v>65.466999999999999</v>
      </c>
      <c r="L4555" s="6">
        <v>65.989999999999995</v>
      </c>
    </row>
    <row r="4556" spans="1:12" x14ac:dyDescent="0.25">
      <c r="A4556" s="1">
        <v>4555</v>
      </c>
      <c r="B4556" s="4">
        <v>32418</v>
      </c>
      <c r="C4556" s="5">
        <v>39818</v>
      </c>
      <c r="D4556" s="3" t="s">
        <v>86</v>
      </c>
      <c r="E4556" s="1" t="s">
        <v>785</v>
      </c>
      <c r="F4556" s="1" t="s">
        <v>11</v>
      </c>
      <c r="G4556" s="2" t="s">
        <v>6</v>
      </c>
      <c r="H4556" s="3" t="s">
        <v>88</v>
      </c>
      <c r="I4556" s="3" t="s">
        <v>91</v>
      </c>
      <c r="J4556" s="3" t="s">
        <v>72</v>
      </c>
      <c r="K4556" s="4">
        <v>1244.19</v>
      </c>
      <c r="L4556" s="6">
        <v>243.98</v>
      </c>
    </row>
    <row r="4557" spans="1:12" x14ac:dyDescent="0.25">
      <c r="A4557" s="1">
        <v>4556</v>
      </c>
      <c r="B4557" s="4">
        <v>32420</v>
      </c>
      <c r="C4557" s="5">
        <v>40023</v>
      </c>
      <c r="D4557" s="3" t="s">
        <v>4</v>
      </c>
      <c r="E4557" s="1" t="s">
        <v>1272</v>
      </c>
      <c r="F4557" s="1" t="s">
        <v>39</v>
      </c>
      <c r="G4557" s="2" t="s">
        <v>1</v>
      </c>
      <c r="H4557" s="3" t="s">
        <v>100</v>
      </c>
      <c r="I4557" s="3" t="s">
        <v>92</v>
      </c>
      <c r="J4557" s="3" t="s">
        <v>62</v>
      </c>
      <c r="K4557" s="4">
        <v>175.08</v>
      </c>
      <c r="L4557" s="6">
        <v>5.0199999999999996</v>
      </c>
    </row>
    <row r="4558" spans="1:12" x14ac:dyDescent="0.25">
      <c r="A4558" s="1">
        <v>4557</v>
      </c>
      <c r="B4558" s="4">
        <v>32420</v>
      </c>
      <c r="C4558" s="5">
        <v>40023</v>
      </c>
      <c r="D4558" s="3" t="s">
        <v>4</v>
      </c>
      <c r="E4558" s="1" t="s">
        <v>404</v>
      </c>
      <c r="F4558" s="1" t="s">
        <v>21</v>
      </c>
      <c r="G4558" s="2" t="s">
        <v>1</v>
      </c>
      <c r="H4558" s="3" t="s">
        <v>100</v>
      </c>
      <c r="I4558" s="3" t="s">
        <v>91</v>
      </c>
      <c r="J4558" s="3" t="s">
        <v>72</v>
      </c>
      <c r="K4558" s="4">
        <v>5369.46</v>
      </c>
      <c r="L4558" s="6">
        <v>280.98</v>
      </c>
    </row>
    <row r="4559" spans="1:12" x14ac:dyDescent="0.25">
      <c r="A4559" s="1">
        <v>4558</v>
      </c>
      <c r="B4559" s="4">
        <v>32449</v>
      </c>
      <c r="C4559" s="5">
        <v>41252</v>
      </c>
      <c r="D4559" s="3" t="s">
        <v>95</v>
      </c>
      <c r="E4559" s="1" t="s">
        <v>988</v>
      </c>
      <c r="F4559" s="1" t="s">
        <v>33</v>
      </c>
      <c r="G4559" s="2" t="s">
        <v>2</v>
      </c>
      <c r="H4559" s="3" t="s">
        <v>88</v>
      </c>
      <c r="I4559" s="3" t="s">
        <v>85</v>
      </c>
      <c r="J4559" s="3" t="s">
        <v>66</v>
      </c>
      <c r="K4559" s="4">
        <v>277.58</v>
      </c>
      <c r="L4559" s="6">
        <v>7.28</v>
      </c>
    </row>
    <row r="4560" spans="1:12" x14ac:dyDescent="0.25">
      <c r="A4560" s="1">
        <v>4559</v>
      </c>
      <c r="B4560" s="4">
        <v>32449</v>
      </c>
      <c r="C4560" s="5">
        <v>41252</v>
      </c>
      <c r="D4560" s="3" t="s">
        <v>95</v>
      </c>
      <c r="E4560" s="1" t="s">
        <v>988</v>
      </c>
      <c r="F4560" s="1" t="s">
        <v>33</v>
      </c>
      <c r="G4560" s="2" t="s">
        <v>2</v>
      </c>
      <c r="H4560" s="3" t="s">
        <v>88</v>
      </c>
      <c r="I4560" s="3" t="s">
        <v>91</v>
      </c>
      <c r="J4560" s="3" t="s">
        <v>60</v>
      </c>
      <c r="K4560" s="4">
        <v>4887.1400000000003</v>
      </c>
      <c r="L4560" s="6">
        <v>424.21</v>
      </c>
    </row>
    <row r="4561" spans="1:12" x14ac:dyDescent="0.25">
      <c r="A4561" s="1">
        <v>4560</v>
      </c>
      <c r="B4561" s="4">
        <v>32449</v>
      </c>
      <c r="C4561" s="5">
        <v>41252</v>
      </c>
      <c r="D4561" s="3" t="s">
        <v>95</v>
      </c>
      <c r="E4561" s="1" t="s">
        <v>988</v>
      </c>
      <c r="F4561" s="1" t="s">
        <v>33</v>
      </c>
      <c r="G4561" s="2" t="s">
        <v>2</v>
      </c>
      <c r="H4561" s="3" t="s">
        <v>88</v>
      </c>
      <c r="I4561" s="3" t="s">
        <v>92</v>
      </c>
      <c r="J4561" s="3" t="s">
        <v>61</v>
      </c>
      <c r="K4561" s="4">
        <v>7195.2584999999999</v>
      </c>
      <c r="L4561" s="6">
        <v>200.99</v>
      </c>
    </row>
    <row r="4562" spans="1:12" x14ac:dyDescent="0.25">
      <c r="A4562" s="1">
        <v>4561</v>
      </c>
      <c r="B4562" s="4">
        <v>32450</v>
      </c>
      <c r="C4562" s="5">
        <v>40896</v>
      </c>
      <c r="D4562" s="3" t="s">
        <v>4</v>
      </c>
      <c r="E4562" s="1" t="s">
        <v>1273</v>
      </c>
      <c r="F4562" s="1" t="s">
        <v>31</v>
      </c>
      <c r="G4562" s="2" t="s">
        <v>1</v>
      </c>
      <c r="H4562" s="3" t="s">
        <v>84</v>
      </c>
      <c r="I4562" s="3" t="s">
        <v>91</v>
      </c>
      <c r="J4562" s="3" t="s">
        <v>60</v>
      </c>
      <c r="K4562" s="4">
        <v>2638.79</v>
      </c>
      <c r="L4562" s="6">
        <v>70.89</v>
      </c>
    </row>
    <row r="4563" spans="1:12" x14ac:dyDescent="0.25">
      <c r="A4563" s="1">
        <v>4562</v>
      </c>
      <c r="B4563" s="4">
        <v>32451</v>
      </c>
      <c r="C4563" s="5">
        <v>39896</v>
      </c>
      <c r="D4563" s="3" t="s">
        <v>86</v>
      </c>
      <c r="E4563" s="1" t="s">
        <v>1001</v>
      </c>
      <c r="F4563" s="1" t="s">
        <v>13</v>
      </c>
      <c r="G4563" s="2" t="s">
        <v>6</v>
      </c>
      <c r="H4563" s="3" t="s">
        <v>97</v>
      </c>
      <c r="I4563" s="3" t="s">
        <v>85</v>
      </c>
      <c r="J4563" s="3" t="s">
        <v>69</v>
      </c>
      <c r="K4563" s="4">
        <v>580.55999999999995</v>
      </c>
      <c r="L4563" s="6">
        <v>14.28</v>
      </c>
    </row>
    <row r="4564" spans="1:12" x14ac:dyDescent="0.25">
      <c r="A4564" s="1">
        <v>4563</v>
      </c>
      <c r="B4564" s="4">
        <v>32452</v>
      </c>
      <c r="C4564" s="5">
        <v>40742</v>
      </c>
      <c r="D4564" s="3" t="s">
        <v>4</v>
      </c>
      <c r="E4564" s="1" t="s">
        <v>1249</v>
      </c>
      <c r="F4564" s="1" t="s">
        <v>41</v>
      </c>
      <c r="G4564" s="2" t="s">
        <v>6</v>
      </c>
      <c r="H4564" s="3" t="s">
        <v>100</v>
      </c>
      <c r="I4564" s="3" t="s">
        <v>85</v>
      </c>
      <c r="J4564" s="3" t="s">
        <v>65</v>
      </c>
      <c r="K4564" s="4">
        <v>8.6</v>
      </c>
      <c r="L4564" s="6">
        <v>2.88</v>
      </c>
    </row>
    <row r="4565" spans="1:12" x14ac:dyDescent="0.25">
      <c r="A4565" s="1">
        <v>4564</v>
      </c>
      <c r="B4565" s="4">
        <v>32454</v>
      </c>
      <c r="C4565" s="5">
        <v>40633</v>
      </c>
      <c r="D4565" s="3" t="s">
        <v>95</v>
      </c>
      <c r="E4565" s="1" t="s">
        <v>317</v>
      </c>
      <c r="F4565" s="1" t="s">
        <v>34</v>
      </c>
      <c r="G4565" s="2" t="s">
        <v>1</v>
      </c>
      <c r="H4565" s="3" t="s">
        <v>100</v>
      </c>
      <c r="I4565" s="3" t="s">
        <v>85</v>
      </c>
      <c r="J4565" s="3" t="s">
        <v>69</v>
      </c>
      <c r="K4565" s="4">
        <v>83.89</v>
      </c>
      <c r="L4565" s="6">
        <v>6.81</v>
      </c>
    </row>
    <row r="4566" spans="1:12" x14ac:dyDescent="0.25">
      <c r="A4566" s="1">
        <v>4565</v>
      </c>
      <c r="B4566" s="4">
        <v>32455</v>
      </c>
      <c r="C4566" s="5">
        <v>40444</v>
      </c>
      <c r="D4566" s="3" t="s">
        <v>89</v>
      </c>
      <c r="E4566" s="1" t="s">
        <v>119</v>
      </c>
      <c r="F4566" s="1" t="s">
        <v>26</v>
      </c>
      <c r="G4566" s="2" t="s">
        <v>3</v>
      </c>
      <c r="H4566" s="3" t="s">
        <v>88</v>
      </c>
      <c r="I4566" s="3" t="s">
        <v>92</v>
      </c>
      <c r="J4566" s="3" t="s">
        <v>62</v>
      </c>
      <c r="K4566" s="4">
        <v>4620.53</v>
      </c>
      <c r="L4566" s="6">
        <v>99.99</v>
      </c>
    </row>
    <row r="4567" spans="1:12" x14ac:dyDescent="0.25">
      <c r="A4567" s="1">
        <v>4566</v>
      </c>
      <c r="B4567" s="4">
        <v>32484</v>
      </c>
      <c r="C4567" s="5">
        <v>40578</v>
      </c>
      <c r="D4567" s="3" t="s">
        <v>86</v>
      </c>
      <c r="E4567" s="1" t="s">
        <v>665</v>
      </c>
      <c r="F4567" s="1" t="s">
        <v>26</v>
      </c>
      <c r="G4567" s="2" t="s">
        <v>3</v>
      </c>
      <c r="H4567" s="3" t="s">
        <v>88</v>
      </c>
      <c r="I4567" s="3" t="s">
        <v>91</v>
      </c>
      <c r="J4567" s="3" t="s">
        <v>72</v>
      </c>
      <c r="K4567" s="4">
        <v>2502.67</v>
      </c>
      <c r="L4567" s="6">
        <v>300.98</v>
      </c>
    </row>
    <row r="4568" spans="1:12" x14ac:dyDescent="0.25">
      <c r="A4568" s="1">
        <v>4567</v>
      </c>
      <c r="B4568" s="4">
        <v>32513</v>
      </c>
      <c r="C4568" s="5">
        <v>40941</v>
      </c>
      <c r="D4568" s="3" t="s">
        <v>82</v>
      </c>
      <c r="E4568" s="1" t="s">
        <v>321</v>
      </c>
      <c r="F4568" s="1" t="s">
        <v>36</v>
      </c>
      <c r="G4568" s="2" t="s">
        <v>2</v>
      </c>
      <c r="H4568" s="3" t="s">
        <v>88</v>
      </c>
      <c r="I4568" s="3" t="s">
        <v>85</v>
      </c>
      <c r="J4568" s="3" t="s">
        <v>69</v>
      </c>
      <c r="K4568" s="4">
        <v>3982.21</v>
      </c>
      <c r="L4568" s="6">
        <v>165.98</v>
      </c>
    </row>
    <row r="4569" spans="1:12" x14ac:dyDescent="0.25">
      <c r="A4569" s="1">
        <v>4568</v>
      </c>
      <c r="B4569" s="4">
        <v>32513</v>
      </c>
      <c r="C4569" s="5">
        <v>40941</v>
      </c>
      <c r="D4569" s="3" t="s">
        <v>82</v>
      </c>
      <c r="E4569" s="1" t="s">
        <v>804</v>
      </c>
      <c r="F4569" s="1" t="s">
        <v>36</v>
      </c>
      <c r="G4569" s="2" t="s">
        <v>2</v>
      </c>
      <c r="H4569" s="3" t="s">
        <v>88</v>
      </c>
      <c r="I4569" s="3" t="s">
        <v>85</v>
      </c>
      <c r="J4569" s="3" t="s">
        <v>63</v>
      </c>
      <c r="K4569" s="4">
        <v>66.55</v>
      </c>
      <c r="L4569" s="6">
        <v>1.6</v>
      </c>
    </row>
    <row r="4570" spans="1:12" x14ac:dyDescent="0.25">
      <c r="A4570" s="1">
        <v>4569</v>
      </c>
      <c r="B4570" s="4">
        <v>32516</v>
      </c>
      <c r="C4570" s="5">
        <v>40475</v>
      </c>
      <c r="D4570" s="3" t="s">
        <v>95</v>
      </c>
      <c r="E4570" s="1" t="s">
        <v>884</v>
      </c>
      <c r="F4570" s="1" t="s">
        <v>34</v>
      </c>
      <c r="G4570" s="2" t="s">
        <v>1</v>
      </c>
      <c r="H4570" s="3" t="s">
        <v>88</v>
      </c>
      <c r="I4570" s="3" t="s">
        <v>85</v>
      </c>
      <c r="J4570" s="3" t="s">
        <v>69</v>
      </c>
      <c r="K4570" s="4">
        <v>43.96</v>
      </c>
      <c r="L4570" s="6">
        <v>2.78</v>
      </c>
    </row>
    <row r="4571" spans="1:12" x14ac:dyDescent="0.25">
      <c r="A4571" s="1">
        <v>4570</v>
      </c>
      <c r="B4571" s="4">
        <v>32516</v>
      </c>
      <c r="C4571" s="5">
        <v>40475</v>
      </c>
      <c r="D4571" s="3" t="s">
        <v>95</v>
      </c>
      <c r="E4571" s="1" t="s">
        <v>884</v>
      </c>
      <c r="F4571" s="1" t="s">
        <v>34</v>
      </c>
      <c r="G4571" s="2" t="s">
        <v>1</v>
      </c>
      <c r="H4571" s="3" t="s">
        <v>88</v>
      </c>
      <c r="I4571" s="3" t="s">
        <v>85</v>
      </c>
      <c r="J4571" s="3" t="s">
        <v>71</v>
      </c>
      <c r="K4571" s="4">
        <v>60.19</v>
      </c>
      <c r="L4571" s="6">
        <v>7.78</v>
      </c>
    </row>
    <row r="4572" spans="1:12" x14ac:dyDescent="0.25">
      <c r="A4572" s="1">
        <v>4571</v>
      </c>
      <c r="B4572" s="4">
        <v>32519</v>
      </c>
      <c r="C4572" s="5">
        <v>40459</v>
      </c>
      <c r="D4572" s="3" t="s">
        <v>82</v>
      </c>
      <c r="E4572" s="1" t="s">
        <v>657</v>
      </c>
      <c r="F4572" s="1" t="s">
        <v>23</v>
      </c>
      <c r="G4572" s="2" t="s">
        <v>3</v>
      </c>
      <c r="H4572" s="3" t="s">
        <v>100</v>
      </c>
      <c r="I4572" s="3" t="s">
        <v>85</v>
      </c>
      <c r="J4572" s="3" t="s">
        <v>70</v>
      </c>
      <c r="K4572" s="4">
        <v>85.36</v>
      </c>
      <c r="L4572" s="6">
        <v>10.89</v>
      </c>
    </row>
    <row r="4573" spans="1:12" x14ac:dyDescent="0.25">
      <c r="A4573" s="1">
        <v>4572</v>
      </c>
      <c r="B4573" s="4">
        <v>32546</v>
      </c>
      <c r="C4573" s="5">
        <v>40620</v>
      </c>
      <c r="D4573" s="3" t="s">
        <v>95</v>
      </c>
      <c r="E4573" s="1" t="s">
        <v>1274</v>
      </c>
      <c r="F4573" s="1" t="s">
        <v>31</v>
      </c>
      <c r="G4573" s="2" t="s">
        <v>1</v>
      </c>
      <c r="H4573" s="3" t="s">
        <v>97</v>
      </c>
      <c r="I4573" s="3" t="s">
        <v>85</v>
      </c>
      <c r="J4573" s="3" t="s">
        <v>69</v>
      </c>
      <c r="K4573" s="4">
        <v>156.09</v>
      </c>
      <c r="L4573" s="6">
        <v>22.38</v>
      </c>
    </row>
    <row r="4574" spans="1:12" x14ac:dyDescent="0.25">
      <c r="A4574" s="1">
        <v>4573</v>
      </c>
      <c r="B4574" s="4">
        <v>32546</v>
      </c>
      <c r="C4574" s="5">
        <v>40620</v>
      </c>
      <c r="D4574" s="3" t="s">
        <v>95</v>
      </c>
      <c r="E4574" s="1" t="s">
        <v>1274</v>
      </c>
      <c r="F4574" s="1" t="s">
        <v>31</v>
      </c>
      <c r="G4574" s="2" t="s">
        <v>1</v>
      </c>
      <c r="H4574" s="3" t="s">
        <v>97</v>
      </c>
      <c r="I4574" s="3" t="s">
        <v>92</v>
      </c>
      <c r="J4574" s="3" t="s">
        <v>61</v>
      </c>
      <c r="K4574" s="4">
        <v>1294.0230000000001</v>
      </c>
      <c r="L4574" s="6">
        <v>35.99</v>
      </c>
    </row>
    <row r="4575" spans="1:12" x14ac:dyDescent="0.25">
      <c r="A4575" s="1">
        <v>4574</v>
      </c>
      <c r="B4575" s="4">
        <v>32580</v>
      </c>
      <c r="C4575" s="5">
        <v>40801</v>
      </c>
      <c r="D4575" s="3" t="s">
        <v>89</v>
      </c>
      <c r="E4575" s="1" t="s">
        <v>1275</v>
      </c>
      <c r="F4575" s="1" t="s">
        <v>53</v>
      </c>
      <c r="G4575" s="2" t="s">
        <v>6</v>
      </c>
      <c r="H4575" s="3" t="s">
        <v>88</v>
      </c>
      <c r="I4575" s="3" t="s">
        <v>85</v>
      </c>
      <c r="J4575" s="3" t="s">
        <v>66</v>
      </c>
      <c r="K4575" s="4">
        <v>166.8</v>
      </c>
      <c r="L4575" s="6">
        <v>7.4</v>
      </c>
    </row>
    <row r="4576" spans="1:12" x14ac:dyDescent="0.25">
      <c r="A4576" s="1">
        <v>4575</v>
      </c>
      <c r="B4576" s="4">
        <v>32580</v>
      </c>
      <c r="C4576" s="5">
        <v>40801</v>
      </c>
      <c r="D4576" s="3" t="s">
        <v>89</v>
      </c>
      <c r="E4576" s="1" t="s">
        <v>1275</v>
      </c>
      <c r="F4576" s="1" t="s">
        <v>53</v>
      </c>
      <c r="G4576" s="2" t="s">
        <v>6</v>
      </c>
      <c r="H4576" s="3" t="s">
        <v>88</v>
      </c>
      <c r="I4576" s="3" t="s">
        <v>85</v>
      </c>
      <c r="J4576" s="3" t="s">
        <v>66</v>
      </c>
      <c r="K4576" s="4">
        <v>261.38</v>
      </c>
      <c r="L4576" s="6">
        <v>6.48</v>
      </c>
    </row>
    <row r="4577" spans="1:12" x14ac:dyDescent="0.25">
      <c r="A4577" s="1">
        <v>4576</v>
      </c>
      <c r="B4577" s="4">
        <v>32582</v>
      </c>
      <c r="C4577" s="5">
        <v>39989</v>
      </c>
      <c r="D4577" s="3" t="s">
        <v>86</v>
      </c>
      <c r="E4577" s="1" t="s">
        <v>769</v>
      </c>
      <c r="F4577" s="1" t="s">
        <v>30</v>
      </c>
      <c r="G4577" s="2" t="s">
        <v>6</v>
      </c>
      <c r="H4577" s="3" t="s">
        <v>100</v>
      </c>
      <c r="I4577" s="3" t="s">
        <v>91</v>
      </c>
      <c r="J4577" s="3" t="s">
        <v>59</v>
      </c>
      <c r="K4577" s="4">
        <v>2780.88</v>
      </c>
      <c r="L4577" s="6">
        <v>105.34</v>
      </c>
    </row>
    <row r="4578" spans="1:12" x14ac:dyDescent="0.25">
      <c r="A4578" s="1">
        <v>4577</v>
      </c>
      <c r="B4578" s="4">
        <v>32608</v>
      </c>
      <c r="C4578" s="5">
        <v>41051</v>
      </c>
      <c r="D4578" s="3" t="s">
        <v>89</v>
      </c>
      <c r="E4578" s="1" t="s">
        <v>280</v>
      </c>
      <c r="F4578" s="1" t="s">
        <v>34</v>
      </c>
      <c r="G4578" s="2" t="s">
        <v>1</v>
      </c>
      <c r="H4578" s="3" t="s">
        <v>88</v>
      </c>
      <c r="I4578" s="3" t="s">
        <v>85</v>
      </c>
      <c r="J4578" s="3" t="s">
        <v>70</v>
      </c>
      <c r="K4578" s="4">
        <v>1361.91</v>
      </c>
      <c r="L4578" s="6">
        <v>70.97</v>
      </c>
    </row>
    <row r="4579" spans="1:12" x14ac:dyDescent="0.25">
      <c r="A4579" s="1">
        <v>4578</v>
      </c>
      <c r="B4579" s="4">
        <v>32610</v>
      </c>
      <c r="C4579" s="5">
        <v>41140</v>
      </c>
      <c r="D4579" s="3" t="s">
        <v>86</v>
      </c>
      <c r="E4579" s="1" t="s">
        <v>419</v>
      </c>
      <c r="F4579" s="1" t="s">
        <v>9</v>
      </c>
      <c r="G4579" s="2" t="s">
        <v>2</v>
      </c>
      <c r="H4579" s="3" t="s">
        <v>100</v>
      </c>
      <c r="I4579" s="3" t="s">
        <v>85</v>
      </c>
      <c r="J4579" s="3" t="s">
        <v>58</v>
      </c>
      <c r="K4579" s="4">
        <v>316.99</v>
      </c>
      <c r="L4579" s="6">
        <v>6.84</v>
      </c>
    </row>
    <row r="4580" spans="1:12" x14ac:dyDescent="0.25">
      <c r="A4580" s="1">
        <v>4579</v>
      </c>
      <c r="B4580" s="4">
        <v>32610</v>
      </c>
      <c r="C4580" s="5">
        <v>41140</v>
      </c>
      <c r="D4580" s="3" t="s">
        <v>86</v>
      </c>
      <c r="E4580" s="1" t="s">
        <v>419</v>
      </c>
      <c r="F4580" s="1" t="s">
        <v>9</v>
      </c>
      <c r="G4580" s="2" t="s">
        <v>2</v>
      </c>
      <c r="H4580" s="3" t="s">
        <v>100</v>
      </c>
      <c r="I4580" s="3" t="s">
        <v>92</v>
      </c>
      <c r="J4580" s="3" t="s">
        <v>61</v>
      </c>
      <c r="K4580" s="4">
        <v>1991.8984999999998</v>
      </c>
      <c r="L4580" s="6">
        <v>125.99</v>
      </c>
    </row>
    <row r="4581" spans="1:12" x14ac:dyDescent="0.25">
      <c r="A4581" s="1">
        <v>4580</v>
      </c>
      <c r="B4581" s="4">
        <v>32611</v>
      </c>
      <c r="C4581" s="5">
        <v>40052</v>
      </c>
      <c r="D4581" s="3" t="s">
        <v>4</v>
      </c>
      <c r="E4581" s="1" t="s">
        <v>1219</v>
      </c>
      <c r="F4581" s="1" t="s">
        <v>30</v>
      </c>
      <c r="G4581" s="2" t="s">
        <v>6</v>
      </c>
      <c r="H4581" s="3" t="s">
        <v>88</v>
      </c>
      <c r="I4581" s="3" t="s">
        <v>85</v>
      </c>
      <c r="J4581" s="3" t="s">
        <v>69</v>
      </c>
      <c r="K4581" s="4">
        <v>33.76</v>
      </c>
      <c r="L4581" s="6">
        <v>2.08</v>
      </c>
    </row>
    <row r="4582" spans="1:12" x14ac:dyDescent="0.25">
      <c r="A4582" s="1">
        <v>4581</v>
      </c>
      <c r="B4582" s="4">
        <v>32611</v>
      </c>
      <c r="C4582" s="5">
        <v>40052</v>
      </c>
      <c r="D4582" s="3" t="s">
        <v>4</v>
      </c>
      <c r="E4582" s="1" t="s">
        <v>1219</v>
      </c>
      <c r="F4582" s="1" t="s">
        <v>30</v>
      </c>
      <c r="G4582" s="2" t="s">
        <v>6</v>
      </c>
      <c r="H4582" s="3" t="s">
        <v>88</v>
      </c>
      <c r="I4582" s="3" t="s">
        <v>91</v>
      </c>
      <c r="J4582" s="3" t="s">
        <v>72</v>
      </c>
      <c r="K4582" s="4">
        <v>3537.39</v>
      </c>
      <c r="L4582" s="6">
        <v>180.98</v>
      </c>
    </row>
    <row r="4583" spans="1:12" x14ac:dyDescent="0.25">
      <c r="A4583" s="1">
        <v>4582</v>
      </c>
      <c r="B4583" s="4">
        <v>32611</v>
      </c>
      <c r="C4583" s="5">
        <v>40052</v>
      </c>
      <c r="D4583" s="3" t="s">
        <v>4</v>
      </c>
      <c r="E4583" s="1" t="s">
        <v>1219</v>
      </c>
      <c r="F4583" s="1" t="s">
        <v>30</v>
      </c>
      <c r="G4583" s="2" t="s">
        <v>6</v>
      </c>
      <c r="H4583" s="3" t="s">
        <v>88</v>
      </c>
      <c r="I4583" s="3" t="s">
        <v>92</v>
      </c>
      <c r="J4583" s="3" t="s">
        <v>62</v>
      </c>
      <c r="K4583" s="4">
        <v>986.24</v>
      </c>
      <c r="L4583" s="6">
        <v>53.98</v>
      </c>
    </row>
    <row r="4584" spans="1:12" x14ac:dyDescent="0.25">
      <c r="A4584" s="1">
        <v>4583</v>
      </c>
      <c r="B4584" s="4">
        <v>32611</v>
      </c>
      <c r="C4584" s="5">
        <v>40052</v>
      </c>
      <c r="D4584" s="3" t="s">
        <v>4</v>
      </c>
      <c r="E4584" s="1" t="s">
        <v>1219</v>
      </c>
      <c r="F4584" s="1" t="s">
        <v>30</v>
      </c>
      <c r="G4584" s="2" t="s">
        <v>6</v>
      </c>
      <c r="H4584" s="3" t="s">
        <v>88</v>
      </c>
      <c r="I4584" s="3" t="s">
        <v>85</v>
      </c>
      <c r="J4584" s="3" t="s">
        <v>66</v>
      </c>
      <c r="K4584" s="4">
        <v>81.66</v>
      </c>
      <c r="L4584" s="6">
        <v>4.9800000000000004</v>
      </c>
    </row>
    <row r="4585" spans="1:12" x14ac:dyDescent="0.25">
      <c r="A4585" s="1">
        <v>4584</v>
      </c>
      <c r="B4585" s="4">
        <v>32613</v>
      </c>
      <c r="C4585" s="5">
        <v>40893</v>
      </c>
      <c r="D4585" s="3" t="s">
        <v>82</v>
      </c>
      <c r="E4585" s="1" t="s">
        <v>1276</v>
      </c>
      <c r="F4585" s="1" t="s">
        <v>15</v>
      </c>
      <c r="G4585" s="2" t="s">
        <v>1</v>
      </c>
      <c r="H4585" s="3" t="s">
        <v>100</v>
      </c>
      <c r="I4585" s="3" t="s">
        <v>85</v>
      </c>
      <c r="J4585" s="3" t="s">
        <v>63</v>
      </c>
      <c r="K4585" s="4">
        <v>1359.74</v>
      </c>
      <c r="L4585" s="6">
        <v>43.98</v>
      </c>
    </row>
    <row r="4586" spans="1:12" x14ac:dyDescent="0.25">
      <c r="A4586" s="1">
        <v>4585</v>
      </c>
      <c r="B4586" s="4">
        <v>32613</v>
      </c>
      <c r="C4586" s="5">
        <v>40893</v>
      </c>
      <c r="D4586" s="3" t="s">
        <v>82</v>
      </c>
      <c r="E4586" s="1" t="s">
        <v>1276</v>
      </c>
      <c r="F4586" s="1" t="s">
        <v>15</v>
      </c>
      <c r="G4586" s="2" t="s">
        <v>1</v>
      </c>
      <c r="H4586" s="3" t="s">
        <v>100</v>
      </c>
      <c r="I4586" s="3" t="s">
        <v>85</v>
      </c>
      <c r="J4586" s="3" t="s">
        <v>57</v>
      </c>
      <c r="K4586" s="4">
        <v>5228.2</v>
      </c>
      <c r="L4586" s="6">
        <v>135.31</v>
      </c>
    </row>
    <row r="4587" spans="1:12" x14ac:dyDescent="0.25">
      <c r="A4587" s="1">
        <v>4586</v>
      </c>
      <c r="B4587" s="4">
        <v>32613</v>
      </c>
      <c r="C4587" s="5">
        <v>40893</v>
      </c>
      <c r="D4587" s="3" t="s">
        <v>82</v>
      </c>
      <c r="E4587" s="1" t="s">
        <v>1276</v>
      </c>
      <c r="F4587" s="1" t="s">
        <v>15</v>
      </c>
      <c r="G4587" s="2" t="s">
        <v>1</v>
      </c>
      <c r="H4587" s="3" t="s">
        <v>100</v>
      </c>
      <c r="I4587" s="3" t="s">
        <v>92</v>
      </c>
      <c r="J4587" s="3" t="s">
        <v>61</v>
      </c>
      <c r="K4587" s="4">
        <v>7174.9435000000003</v>
      </c>
      <c r="L4587" s="6">
        <v>195.99</v>
      </c>
    </row>
    <row r="4588" spans="1:12" x14ac:dyDescent="0.25">
      <c r="A4588" s="1">
        <v>4587</v>
      </c>
      <c r="B4588" s="4">
        <v>32640</v>
      </c>
      <c r="C4588" s="5">
        <v>41167</v>
      </c>
      <c r="D4588" s="3" t="s">
        <v>89</v>
      </c>
      <c r="E4588" s="1" t="s">
        <v>1277</v>
      </c>
      <c r="F4588" s="1" t="s">
        <v>20</v>
      </c>
      <c r="G4588" s="2" t="s">
        <v>1</v>
      </c>
      <c r="H4588" s="3" t="s">
        <v>84</v>
      </c>
      <c r="I4588" s="3" t="s">
        <v>85</v>
      </c>
      <c r="J4588" s="3" t="s">
        <v>69</v>
      </c>
      <c r="K4588" s="4">
        <v>126.69</v>
      </c>
      <c r="L4588" s="6">
        <v>6.81</v>
      </c>
    </row>
    <row r="4589" spans="1:12" x14ac:dyDescent="0.25">
      <c r="A4589" s="1">
        <v>4588</v>
      </c>
      <c r="B4589" s="4">
        <v>32640</v>
      </c>
      <c r="C4589" s="5">
        <v>41167</v>
      </c>
      <c r="D4589" s="3" t="s">
        <v>89</v>
      </c>
      <c r="E4589" s="1" t="s">
        <v>1278</v>
      </c>
      <c r="F4589" s="1" t="s">
        <v>20</v>
      </c>
      <c r="G4589" s="2" t="s">
        <v>1</v>
      </c>
      <c r="H4589" s="3" t="s">
        <v>84</v>
      </c>
      <c r="I4589" s="3" t="s">
        <v>85</v>
      </c>
      <c r="J4589" s="3" t="s">
        <v>66</v>
      </c>
      <c r="K4589" s="4">
        <v>162.11000000000001</v>
      </c>
      <c r="L4589" s="6">
        <v>12.28</v>
      </c>
    </row>
    <row r="4590" spans="1:12" x14ac:dyDescent="0.25">
      <c r="A4590" s="1">
        <v>4589</v>
      </c>
      <c r="B4590" s="4">
        <v>32641</v>
      </c>
      <c r="C4590" s="5">
        <v>40258</v>
      </c>
      <c r="D4590" s="3" t="s">
        <v>89</v>
      </c>
      <c r="E4590" s="1" t="s">
        <v>1279</v>
      </c>
      <c r="F4590" s="1" t="s">
        <v>36</v>
      </c>
      <c r="G4590" s="2" t="s">
        <v>2</v>
      </c>
      <c r="H4590" s="3" t="s">
        <v>97</v>
      </c>
      <c r="I4590" s="3" t="s">
        <v>85</v>
      </c>
      <c r="J4590" s="3" t="s">
        <v>69</v>
      </c>
      <c r="K4590" s="4">
        <v>167.53</v>
      </c>
      <c r="L4590" s="6">
        <v>8.85</v>
      </c>
    </row>
    <row r="4591" spans="1:12" x14ac:dyDescent="0.25">
      <c r="A4591" s="1">
        <v>4590</v>
      </c>
      <c r="B4591" s="4">
        <v>32642</v>
      </c>
      <c r="C4591" s="5">
        <v>40997</v>
      </c>
      <c r="D4591" s="3" t="s">
        <v>4</v>
      </c>
      <c r="E4591" s="1" t="s">
        <v>1112</v>
      </c>
      <c r="F4591" s="1" t="s">
        <v>13</v>
      </c>
      <c r="G4591" s="2" t="s">
        <v>6</v>
      </c>
      <c r="H4591" s="3" t="s">
        <v>88</v>
      </c>
      <c r="I4591" s="3" t="s">
        <v>92</v>
      </c>
      <c r="J4591" s="3" t="s">
        <v>62</v>
      </c>
      <c r="K4591" s="4">
        <v>1507.16</v>
      </c>
      <c r="L4591" s="6">
        <v>28.48</v>
      </c>
    </row>
    <row r="4592" spans="1:12" x14ac:dyDescent="0.25">
      <c r="A4592" s="1">
        <v>4591</v>
      </c>
      <c r="B4592" s="4">
        <v>32647</v>
      </c>
      <c r="C4592" s="5">
        <v>40865</v>
      </c>
      <c r="D4592" s="3" t="s">
        <v>89</v>
      </c>
      <c r="E4592" s="1" t="s">
        <v>1280</v>
      </c>
      <c r="F4592" s="1" t="s">
        <v>23</v>
      </c>
      <c r="G4592" s="2" t="s">
        <v>3</v>
      </c>
      <c r="H4592" s="3" t="s">
        <v>100</v>
      </c>
      <c r="I4592" s="3" t="s">
        <v>92</v>
      </c>
      <c r="J4592" s="3" t="s">
        <v>62</v>
      </c>
      <c r="K4592" s="4">
        <v>671.75</v>
      </c>
      <c r="L4592" s="6">
        <v>20.97</v>
      </c>
    </row>
    <row r="4593" spans="1:12" x14ac:dyDescent="0.25">
      <c r="A4593" s="1">
        <v>4592</v>
      </c>
      <c r="B4593" s="4">
        <v>32647</v>
      </c>
      <c r="C4593" s="5">
        <v>40865</v>
      </c>
      <c r="D4593" s="3" t="s">
        <v>89</v>
      </c>
      <c r="E4593" s="1" t="s">
        <v>1280</v>
      </c>
      <c r="F4593" s="1" t="s">
        <v>23</v>
      </c>
      <c r="G4593" s="2" t="s">
        <v>3</v>
      </c>
      <c r="H4593" s="3" t="s">
        <v>100</v>
      </c>
      <c r="I4593" s="3" t="s">
        <v>91</v>
      </c>
      <c r="J4593" s="3" t="s">
        <v>60</v>
      </c>
      <c r="K4593" s="4">
        <v>9541.0400000000009</v>
      </c>
      <c r="L4593" s="6">
        <v>348.21</v>
      </c>
    </row>
    <row r="4594" spans="1:12" x14ac:dyDescent="0.25">
      <c r="A4594" s="1">
        <v>4593</v>
      </c>
      <c r="B4594" s="4">
        <v>32675</v>
      </c>
      <c r="C4594" s="5">
        <v>40120</v>
      </c>
      <c r="D4594" s="3" t="s">
        <v>89</v>
      </c>
      <c r="E4594" s="1" t="s">
        <v>550</v>
      </c>
      <c r="F4594" s="1" t="s">
        <v>10</v>
      </c>
      <c r="G4594" s="2" t="s">
        <v>3</v>
      </c>
      <c r="H4594" s="3" t="s">
        <v>88</v>
      </c>
      <c r="I4594" s="3" t="s">
        <v>91</v>
      </c>
      <c r="J4594" s="3" t="s">
        <v>60</v>
      </c>
      <c r="K4594" s="4">
        <v>6865.19</v>
      </c>
      <c r="L4594" s="6">
        <v>349.45</v>
      </c>
    </row>
    <row r="4595" spans="1:12" x14ac:dyDescent="0.25">
      <c r="A4595" s="1">
        <v>4594</v>
      </c>
      <c r="B4595" s="4">
        <v>32676</v>
      </c>
      <c r="C4595" s="5">
        <v>39845</v>
      </c>
      <c r="D4595" s="3" t="s">
        <v>95</v>
      </c>
      <c r="E4595" s="1" t="s">
        <v>1281</v>
      </c>
      <c r="F4595" s="1" t="s">
        <v>38</v>
      </c>
      <c r="G4595" s="2" t="s">
        <v>6</v>
      </c>
      <c r="H4595" s="3" t="s">
        <v>88</v>
      </c>
      <c r="I4595" s="3" t="s">
        <v>92</v>
      </c>
      <c r="J4595" s="3" t="s">
        <v>62</v>
      </c>
      <c r="K4595" s="4">
        <v>1697.44</v>
      </c>
      <c r="L4595" s="6">
        <v>45.19</v>
      </c>
    </row>
    <row r="4596" spans="1:12" x14ac:dyDescent="0.25">
      <c r="A4596" s="1">
        <v>4595</v>
      </c>
      <c r="B4596" s="4">
        <v>32706</v>
      </c>
      <c r="C4596" s="5">
        <v>39998</v>
      </c>
      <c r="D4596" s="3" t="s">
        <v>95</v>
      </c>
      <c r="E4596" s="1" t="s">
        <v>1282</v>
      </c>
      <c r="F4596" s="1" t="s">
        <v>25</v>
      </c>
      <c r="G4596" s="2" t="s">
        <v>6</v>
      </c>
      <c r="H4596" s="3" t="s">
        <v>97</v>
      </c>
      <c r="I4596" s="3" t="s">
        <v>92</v>
      </c>
      <c r="J4596" s="3" t="s">
        <v>67</v>
      </c>
      <c r="K4596" s="4">
        <v>2017.5</v>
      </c>
      <c r="L4596" s="6">
        <v>399.98</v>
      </c>
    </row>
    <row r="4597" spans="1:12" x14ac:dyDescent="0.25">
      <c r="A4597" s="1">
        <v>4596</v>
      </c>
      <c r="B4597" s="4">
        <v>32710</v>
      </c>
      <c r="C4597" s="5">
        <v>40133</v>
      </c>
      <c r="D4597" s="3" t="s">
        <v>89</v>
      </c>
      <c r="E4597" s="1" t="s">
        <v>1015</v>
      </c>
      <c r="F4597" s="1" t="s">
        <v>16</v>
      </c>
      <c r="G4597" s="2" t="s">
        <v>3</v>
      </c>
      <c r="H4597" s="3" t="s">
        <v>88</v>
      </c>
      <c r="I4597" s="3" t="s">
        <v>85</v>
      </c>
      <c r="J4597" s="3" t="s">
        <v>57</v>
      </c>
      <c r="K4597" s="4">
        <v>540.33000000000004</v>
      </c>
      <c r="L4597" s="6">
        <v>12.44</v>
      </c>
    </row>
    <row r="4598" spans="1:12" x14ac:dyDescent="0.25">
      <c r="A4598" s="1">
        <v>4597</v>
      </c>
      <c r="B4598" s="4">
        <v>32737</v>
      </c>
      <c r="C4598" s="5">
        <v>40114</v>
      </c>
      <c r="D4598" s="3" t="s">
        <v>89</v>
      </c>
      <c r="E4598" s="1" t="s">
        <v>1239</v>
      </c>
      <c r="F4598" s="1" t="s">
        <v>22</v>
      </c>
      <c r="G4598" s="2" t="s">
        <v>6</v>
      </c>
      <c r="H4598" s="3" t="s">
        <v>97</v>
      </c>
      <c r="I4598" s="3" t="s">
        <v>85</v>
      </c>
      <c r="J4598" s="3" t="s">
        <v>69</v>
      </c>
      <c r="K4598" s="4">
        <v>367.11</v>
      </c>
      <c r="L4598" s="6">
        <v>28.53</v>
      </c>
    </row>
    <row r="4599" spans="1:12" x14ac:dyDescent="0.25">
      <c r="A4599" s="1">
        <v>4598</v>
      </c>
      <c r="B4599" s="4">
        <v>32741</v>
      </c>
      <c r="C4599" s="5">
        <v>39859</v>
      </c>
      <c r="D4599" s="3" t="s">
        <v>82</v>
      </c>
      <c r="E4599" s="1" t="s">
        <v>122</v>
      </c>
      <c r="F4599" s="1" t="s">
        <v>15</v>
      </c>
      <c r="G4599" s="2" t="s">
        <v>1</v>
      </c>
      <c r="H4599" s="3" t="s">
        <v>88</v>
      </c>
      <c r="I4599" s="3" t="s">
        <v>85</v>
      </c>
      <c r="J4599" s="3" t="s">
        <v>57</v>
      </c>
      <c r="K4599" s="4">
        <v>136.24</v>
      </c>
      <c r="L4599" s="6">
        <v>9.7100000000000009</v>
      </c>
    </row>
    <row r="4600" spans="1:12" x14ac:dyDescent="0.25">
      <c r="A4600" s="1">
        <v>4599</v>
      </c>
      <c r="B4600" s="4">
        <v>32743</v>
      </c>
      <c r="C4600" s="5">
        <v>40305</v>
      </c>
      <c r="D4600" s="3" t="s">
        <v>95</v>
      </c>
      <c r="E4600" s="1" t="s">
        <v>1128</v>
      </c>
      <c r="F4600" s="1" t="s">
        <v>8</v>
      </c>
      <c r="G4600" s="2" t="s">
        <v>6</v>
      </c>
      <c r="H4600" s="3" t="s">
        <v>88</v>
      </c>
      <c r="I4600" s="3" t="s">
        <v>85</v>
      </c>
      <c r="J4600" s="3" t="s">
        <v>70</v>
      </c>
      <c r="K4600" s="4">
        <v>3548.67</v>
      </c>
      <c r="L4600" s="6">
        <v>177.98</v>
      </c>
    </row>
    <row r="4601" spans="1:12" x14ac:dyDescent="0.25">
      <c r="A4601" s="1">
        <v>4600</v>
      </c>
      <c r="B4601" s="4">
        <v>32800</v>
      </c>
      <c r="C4601" s="5">
        <v>39834</v>
      </c>
      <c r="D4601" s="3" t="s">
        <v>86</v>
      </c>
      <c r="E4601" s="1" t="s">
        <v>973</v>
      </c>
      <c r="F4601" s="1" t="s">
        <v>33</v>
      </c>
      <c r="G4601" s="2" t="s">
        <v>2</v>
      </c>
      <c r="H4601" s="3" t="s">
        <v>97</v>
      </c>
      <c r="I4601" s="3" t="s">
        <v>91</v>
      </c>
      <c r="J4601" s="3" t="s">
        <v>72</v>
      </c>
      <c r="K4601" s="4">
        <v>11336.37</v>
      </c>
      <c r="L4601" s="6">
        <v>355.98</v>
      </c>
    </row>
    <row r="4602" spans="1:12" x14ac:dyDescent="0.25">
      <c r="A4602" s="1">
        <v>4601</v>
      </c>
      <c r="B4602" s="4">
        <v>32800</v>
      </c>
      <c r="C4602" s="5">
        <v>39834</v>
      </c>
      <c r="D4602" s="3" t="s">
        <v>86</v>
      </c>
      <c r="E4602" s="1" t="s">
        <v>973</v>
      </c>
      <c r="F4602" s="1" t="s">
        <v>33</v>
      </c>
      <c r="G4602" s="2" t="s">
        <v>2</v>
      </c>
      <c r="H4602" s="3" t="s">
        <v>97</v>
      </c>
      <c r="I4602" s="3" t="s">
        <v>85</v>
      </c>
      <c r="J4602" s="3" t="s">
        <v>66</v>
      </c>
      <c r="K4602" s="4">
        <v>354.13</v>
      </c>
      <c r="L4602" s="6">
        <v>19.98</v>
      </c>
    </row>
    <row r="4603" spans="1:12" x14ac:dyDescent="0.25">
      <c r="A4603" s="1">
        <v>4602</v>
      </c>
      <c r="B4603" s="4">
        <v>32800</v>
      </c>
      <c r="C4603" s="5">
        <v>39834</v>
      </c>
      <c r="D4603" s="3" t="s">
        <v>86</v>
      </c>
      <c r="E4603" s="1" t="s">
        <v>973</v>
      </c>
      <c r="F4603" s="1" t="s">
        <v>33</v>
      </c>
      <c r="G4603" s="2" t="s">
        <v>2</v>
      </c>
      <c r="H4603" s="3" t="s">
        <v>97</v>
      </c>
      <c r="I4603" s="3" t="s">
        <v>85</v>
      </c>
      <c r="J4603" s="3" t="s">
        <v>66</v>
      </c>
      <c r="K4603" s="4">
        <v>751.94</v>
      </c>
      <c r="L4603" s="6">
        <v>19.98</v>
      </c>
    </row>
    <row r="4604" spans="1:12" x14ac:dyDescent="0.25">
      <c r="A4604" s="1">
        <v>4603</v>
      </c>
      <c r="B4604" s="4">
        <v>32803</v>
      </c>
      <c r="C4604" s="5">
        <v>40893</v>
      </c>
      <c r="D4604" s="3" t="s">
        <v>4</v>
      </c>
      <c r="E4604" s="1" t="s">
        <v>1021</v>
      </c>
      <c r="F4604" s="1" t="s">
        <v>13</v>
      </c>
      <c r="G4604" s="2" t="s">
        <v>6</v>
      </c>
      <c r="H4604" s="3" t="s">
        <v>88</v>
      </c>
      <c r="I4604" s="3" t="s">
        <v>85</v>
      </c>
      <c r="J4604" s="3" t="s">
        <v>69</v>
      </c>
      <c r="K4604" s="4">
        <v>371.95</v>
      </c>
      <c r="L4604" s="6">
        <v>7.84</v>
      </c>
    </row>
    <row r="4605" spans="1:12" x14ac:dyDescent="0.25">
      <c r="A4605" s="1">
        <v>4604</v>
      </c>
      <c r="B4605" s="4">
        <v>32803</v>
      </c>
      <c r="C4605" s="5">
        <v>40893</v>
      </c>
      <c r="D4605" s="3" t="s">
        <v>4</v>
      </c>
      <c r="E4605" s="1" t="s">
        <v>1021</v>
      </c>
      <c r="F4605" s="1" t="s">
        <v>13</v>
      </c>
      <c r="G4605" s="2" t="s">
        <v>6</v>
      </c>
      <c r="H4605" s="3" t="s">
        <v>88</v>
      </c>
      <c r="I4605" s="3" t="s">
        <v>85</v>
      </c>
      <c r="J4605" s="3" t="s">
        <v>71</v>
      </c>
      <c r="K4605" s="4">
        <v>96.07</v>
      </c>
      <c r="L4605" s="6">
        <v>4.4800000000000004</v>
      </c>
    </row>
    <row r="4606" spans="1:12" x14ac:dyDescent="0.25">
      <c r="A4606" s="1">
        <v>4605</v>
      </c>
      <c r="B4606" s="4">
        <v>32804</v>
      </c>
      <c r="C4606" s="5">
        <v>41161</v>
      </c>
      <c r="D4606" s="3" t="s">
        <v>4</v>
      </c>
      <c r="E4606" s="1" t="s">
        <v>488</v>
      </c>
      <c r="F4606" s="1" t="s">
        <v>10</v>
      </c>
      <c r="G4606" s="2" t="s">
        <v>3</v>
      </c>
      <c r="H4606" s="3" t="s">
        <v>88</v>
      </c>
      <c r="I4606" s="3" t="s">
        <v>85</v>
      </c>
      <c r="J4606" s="3" t="s">
        <v>65</v>
      </c>
      <c r="K4606" s="4">
        <v>174.81</v>
      </c>
      <c r="L4606" s="6">
        <v>3.75</v>
      </c>
    </row>
    <row r="4607" spans="1:12" x14ac:dyDescent="0.25">
      <c r="A4607" s="1">
        <v>4606</v>
      </c>
      <c r="B4607" s="4">
        <v>32804</v>
      </c>
      <c r="C4607" s="5">
        <v>41161</v>
      </c>
      <c r="D4607" s="3" t="s">
        <v>4</v>
      </c>
      <c r="E4607" s="1" t="s">
        <v>1283</v>
      </c>
      <c r="F4607" s="1" t="s">
        <v>10</v>
      </c>
      <c r="G4607" s="2" t="s">
        <v>3</v>
      </c>
      <c r="H4607" s="3" t="s">
        <v>88</v>
      </c>
      <c r="I4607" s="3" t="s">
        <v>85</v>
      </c>
      <c r="J4607" s="3" t="s">
        <v>69</v>
      </c>
      <c r="K4607" s="4">
        <v>89.51</v>
      </c>
      <c r="L4607" s="6">
        <v>3.98</v>
      </c>
    </row>
    <row r="4608" spans="1:12" x14ac:dyDescent="0.25">
      <c r="A4608" s="1">
        <v>4607</v>
      </c>
      <c r="B4608" s="4">
        <v>32806</v>
      </c>
      <c r="C4608" s="5">
        <v>40715</v>
      </c>
      <c r="D4608" s="3" t="s">
        <v>95</v>
      </c>
      <c r="E4608" s="1" t="s">
        <v>1101</v>
      </c>
      <c r="F4608" s="1" t="s">
        <v>8</v>
      </c>
      <c r="G4608" s="2" t="s">
        <v>6</v>
      </c>
      <c r="H4608" s="3" t="s">
        <v>97</v>
      </c>
      <c r="I4608" s="3" t="s">
        <v>91</v>
      </c>
      <c r="J4608" s="3" t="s">
        <v>59</v>
      </c>
      <c r="K4608" s="4">
        <v>178.78</v>
      </c>
      <c r="L4608" s="6">
        <v>20.239999999999998</v>
      </c>
    </row>
    <row r="4609" spans="1:12" x14ac:dyDescent="0.25">
      <c r="A4609" s="1">
        <v>4608</v>
      </c>
      <c r="B4609" s="4">
        <v>32806</v>
      </c>
      <c r="C4609" s="5">
        <v>40715</v>
      </c>
      <c r="D4609" s="3" t="s">
        <v>89</v>
      </c>
      <c r="E4609" s="1" t="s">
        <v>1283</v>
      </c>
      <c r="F4609" s="1" t="s">
        <v>10</v>
      </c>
      <c r="G4609" s="2" t="s">
        <v>3</v>
      </c>
      <c r="H4609" s="3" t="s">
        <v>97</v>
      </c>
      <c r="I4609" s="3" t="s">
        <v>85</v>
      </c>
      <c r="J4609" s="3" t="s">
        <v>65</v>
      </c>
      <c r="K4609" s="4">
        <v>175.99</v>
      </c>
      <c r="L4609" s="6">
        <v>3.69</v>
      </c>
    </row>
    <row r="4610" spans="1:12" x14ac:dyDescent="0.25">
      <c r="A4610" s="1">
        <v>4609</v>
      </c>
      <c r="B4610" s="4">
        <v>32806</v>
      </c>
      <c r="C4610" s="5">
        <v>40715</v>
      </c>
      <c r="D4610" s="3" t="s">
        <v>89</v>
      </c>
      <c r="E4610" s="1" t="s">
        <v>1283</v>
      </c>
      <c r="F4610" s="1" t="s">
        <v>10</v>
      </c>
      <c r="G4610" s="2" t="s">
        <v>3</v>
      </c>
      <c r="H4610" s="3" t="s">
        <v>97</v>
      </c>
      <c r="I4610" s="3" t="s">
        <v>85</v>
      </c>
      <c r="J4610" s="3" t="s">
        <v>66</v>
      </c>
      <c r="K4610" s="4">
        <v>221.23</v>
      </c>
      <c r="L4610" s="6">
        <v>6.68</v>
      </c>
    </row>
    <row r="4611" spans="1:12" x14ac:dyDescent="0.25">
      <c r="A4611" s="1">
        <v>4610</v>
      </c>
      <c r="B4611" s="4">
        <v>32834</v>
      </c>
      <c r="C4611" s="5">
        <v>40417</v>
      </c>
      <c r="D4611" s="3" t="s">
        <v>95</v>
      </c>
      <c r="E4611" s="1" t="s">
        <v>1135</v>
      </c>
      <c r="F4611" s="1" t="s">
        <v>13</v>
      </c>
      <c r="G4611" s="2" t="s">
        <v>6</v>
      </c>
      <c r="H4611" s="3" t="s">
        <v>97</v>
      </c>
      <c r="I4611" s="3" t="s">
        <v>92</v>
      </c>
      <c r="J4611" s="3" t="s">
        <v>61</v>
      </c>
      <c r="K4611" s="4">
        <v>3460.5625</v>
      </c>
      <c r="L4611" s="6">
        <v>115.99</v>
      </c>
    </row>
    <row r="4612" spans="1:12" x14ac:dyDescent="0.25">
      <c r="A4612" s="1">
        <v>4611</v>
      </c>
      <c r="B4612" s="4">
        <v>32835</v>
      </c>
      <c r="C4612" s="5">
        <v>41097</v>
      </c>
      <c r="D4612" s="3" t="s">
        <v>4</v>
      </c>
      <c r="E4612" s="1" t="s">
        <v>1281</v>
      </c>
      <c r="F4612" s="1" t="s">
        <v>38</v>
      </c>
      <c r="G4612" s="2" t="s">
        <v>6</v>
      </c>
      <c r="H4612" s="3" t="s">
        <v>88</v>
      </c>
      <c r="I4612" s="3" t="s">
        <v>92</v>
      </c>
      <c r="J4612" s="3" t="s">
        <v>61</v>
      </c>
      <c r="K4612" s="4">
        <v>572.4325</v>
      </c>
      <c r="L4612" s="6">
        <v>45.99</v>
      </c>
    </row>
    <row r="4613" spans="1:12" x14ac:dyDescent="0.25">
      <c r="A4613" s="1">
        <v>4612</v>
      </c>
      <c r="B4613" s="4">
        <v>32868</v>
      </c>
      <c r="C4613" s="5">
        <v>39830</v>
      </c>
      <c r="D4613" s="3" t="s">
        <v>86</v>
      </c>
      <c r="E4613" s="1" t="s">
        <v>489</v>
      </c>
      <c r="F4613" s="1" t="s">
        <v>19</v>
      </c>
      <c r="G4613" s="2" t="s">
        <v>3</v>
      </c>
      <c r="H4613" s="3" t="s">
        <v>97</v>
      </c>
      <c r="I4613" s="3" t="s">
        <v>85</v>
      </c>
      <c r="J4613" s="3" t="s">
        <v>63</v>
      </c>
      <c r="K4613" s="4">
        <v>1101.28</v>
      </c>
      <c r="L4613" s="6">
        <v>28.15</v>
      </c>
    </row>
    <row r="4614" spans="1:12" x14ac:dyDescent="0.25">
      <c r="A4614" s="1">
        <v>4613</v>
      </c>
      <c r="B4614" s="4">
        <v>32869</v>
      </c>
      <c r="C4614" s="5">
        <v>39899</v>
      </c>
      <c r="D4614" s="3" t="s">
        <v>4</v>
      </c>
      <c r="E4614" s="1" t="s">
        <v>673</v>
      </c>
      <c r="F4614" s="2" t="s">
        <v>38</v>
      </c>
      <c r="G4614" s="2" t="s">
        <v>6</v>
      </c>
      <c r="H4614" s="3" t="s">
        <v>88</v>
      </c>
      <c r="I4614" s="3" t="s">
        <v>92</v>
      </c>
      <c r="J4614" s="3" t="s">
        <v>62</v>
      </c>
      <c r="K4614" s="4">
        <v>322.02999999999997</v>
      </c>
      <c r="L4614" s="6">
        <v>8.1199999999999992</v>
      </c>
    </row>
    <row r="4615" spans="1:12" x14ac:dyDescent="0.25">
      <c r="A4615" s="1">
        <v>4614</v>
      </c>
      <c r="B4615" s="4">
        <v>32869</v>
      </c>
      <c r="C4615" s="5">
        <v>39899</v>
      </c>
      <c r="D4615" s="3" t="s">
        <v>4</v>
      </c>
      <c r="E4615" s="1" t="s">
        <v>673</v>
      </c>
      <c r="F4615" s="2" t="s">
        <v>38</v>
      </c>
      <c r="G4615" s="2" t="s">
        <v>6</v>
      </c>
      <c r="H4615" s="3" t="s">
        <v>88</v>
      </c>
      <c r="I4615" s="3" t="s">
        <v>91</v>
      </c>
      <c r="J4615" s="3" t="s">
        <v>59</v>
      </c>
      <c r="K4615" s="4">
        <v>2470.84</v>
      </c>
      <c r="L4615" s="6">
        <v>51.65</v>
      </c>
    </row>
    <row r="4616" spans="1:12" x14ac:dyDescent="0.25">
      <c r="A4616" s="1">
        <v>4615</v>
      </c>
      <c r="B4616" s="4">
        <v>32869</v>
      </c>
      <c r="C4616" s="5">
        <v>39899</v>
      </c>
      <c r="D4616" s="3" t="s">
        <v>4</v>
      </c>
      <c r="E4616" s="1" t="s">
        <v>673</v>
      </c>
      <c r="F4616" s="2" t="s">
        <v>38</v>
      </c>
      <c r="G4616" s="2" t="s">
        <v>6</v>
      </c>
      <c r="H4616" s="3" t="s">
        <v>88</v>
      </c>
      <c r="I4616" s="3" t="s">
        <v>85</v>
      </c>
      <c r="J4616" s="3" t="s">
        <v>63</v>
      </c>
      <c r="K4616" s="4">
        <v>15.26</v>
      </c>
      <c r="L4616" s="6">
        <v>6.68</v>
      </c>
    </row>
    <row r="4617" spans="1:12" x14ac:dyDescent="0.25">
      <c r="A4617" s="1">
        <v>4616</v>
      </c>
      <c r="B4617" s="4">
        <v>32869</v>
      </c>
      <c r="C4617" s="5">
        <v>39899</v>
      </c>
      <c r="D4617" s="3" t="s">
        <v>4</v>
      </c>
      <c r="E4617" s="1" t="s">
        <v>853</v>
      </c>
      <c r="F4617" s="1" t="s">
        <v>38</v>
      </c>
      <c r="G4617" s="2" t="s">
        <v>6</v>
      </c>
      <c r="H4617" s="3" t="s">
        <v>88</v>
      </c>
      <c r="I4617" s="3" t="s">
        <v>92</v>
      </c>
      <c r="J4617" s="3" t="s">
        <v>61</v>
      </c>
      <c r="K4617" s="4">
        <v>5250.6624999999995</v>
      </c>
      <c r="L4617" s="6">
        <v>175.99</v>
      </c>
    </row>
    <row r="4618" spans="1:12" x14ac:dyDescent="0.25">
      <c r="A4618" s="1">
        <v>4617</v>
      </c>
      <c r="B4618" s="4">
        <v>32871</v>
      </c>
      <c r="C4618" s="5">
        <v>41208</v>
      </c>
      <c r="D4618" s="3" t="s">
        <v>89</v>
      </c>
      <c r="E4618" s="1" t="s">
        <v>1240</v>
      </c>
      <c r="F4618" s="1" t="s">
        <v>51</v>
      </c>
      <c r="G4618" s="2" t="s">
        <v>1</v>
      </c>
      <c r="H4618" s="3" t="s">
        <v>84</v>
      </c>
      <c r="I4618" s="3" t="s">
        <v>92</v>
      </c>
      <c r="J4618" s="3" t="s">
        <v>62</v>
      </c>
      <c r="K4618" s="4">
        <v>107.92</v>
      </c>
      <c r="L4618" s="6">
        <v>10.97</v>
      </c>
    </row>
    <row r="4619" spans="1:12" x14ac:dyDescent="0.25">
      <c r="A4619" s="1">
        <v>4618</v>
      </c>
      <c r="B4619" s="4">
        <v>32871</v>
      </c>
      <c r="C4619" s="5">
        <v>41208</v>
      </c>
      <c r="D4619" s="3" t="s">
        <v>89</v>
      </c>
      <c r="E4619" s="1" t="s">
        <v>1240</v>
      </c>
      <c r="F4619" s="1" t="s">
        <v>51</v>
      </c>
      <c r="G4619" s="2" t="s">
        <v>1</v>
      </c>
      <c r="H4619" s="3" t="s">
        <v>84</v>
      </c>
      <c r="I4619" s="3" t="s">
        <v>92</v>
      </c>
      <c r="J4619" s="3" t="s">
        <v>67</v>
      </c>
      <c r="K4619" s="4">
        <v>2151.08</v>
      </c>
      <c r="L4619" s="6">
        <v>145.44999999999999</v>
      </c>
    </row>
    <row r="4620" spans="1:12" x14ac:dyDescent="0.25">
      <c r="A4620" s="1">
        <v>4619</v>
      </c>
      <c r="B4620" s="4">
        <v>32871</v>
      </c>
      <c r="C4620" s="5">
        <v>41208</v>
      </c>
      <c r="D4620" s="3" t="s">
        <v>89</v>
      </c>
      <c r="E4620" s="1" t="s">
        <v>634</v>
      </c>
      <c r="F4620" s="1" t="s">
        <v>28</v>
      </c>
      <c r="G4620" s="2" t="s">
        <v>6</v>
      </c>
      <c r="H4620" s="3" t="s">
        <v>84</v>
      </c>
      <c r="I4620" s="3" t="s">
        <v>92</v>
      </c>
      <c r="J4620" s="3" t="s">
        <v>62</v>
      </c>
      <c r="K4620" s="4">
        <v>939.77</v>
      </c>
      <c r="L4620" s="6">
        <v>20.97</v>
      </c>
    </row>
    <row r="4621" spans="1:12" x14ac:dyDescent="0.25">
      <c r="A4621" s="1">
        <v>4620</v>
      </c>
      <c r="B4621" s="4">
        <v>32901</v>
      </c>
      <c r="C4621" s="5">
        <v>40553</v>
      </c>
      <c r="D4621" s="3" t="s">
        <v>95</v>
      </c>
      <c r="E4621" s="1" t="s">
        <v>1219</v>
      </c>
      <c r="F4621" s="1" t="s">
        <v>30</v>
      </c>
      <c r="G4621" s="2" t="s">
        <v>6</v>
      </c>
      <c r="H4621" s="3" t="s">
        <v>88</v>
      </c>
      <c r="I4621" s="3" t="s">
        <v>85</v>
      </c>
      <c r="J4621" s="3" t="s">
        <v>65</v>
      </c>
      <c r="K4621" s="4">
        <v>49.74</v>
      </c>
      <c r="L4621" s="6">
        <v>3.75</v>
      </c>
    </row>
    <row r="4622" spans="1:12" x14ac:dyDescent="0.25">
      <c r="A4622" s="1">
        <v>4621</v>
      </c>
      <c r="B4622" s="4">
        <v>32902</v>
      </c>
      <c r="C4622" s="5">
        <v>40971</v>
      </c>
      <c r="D4622" s="3" t="s">
        <v>89</v>
      </c>
      <c r="E4622" s="1" t="s">
        <v>1284</v>
      </c>
      <c r="F4622" s="1" t="s">
        <v>20</v>
      </c>
      <c r="G4622" s="2" t="s">
        <v>1</v>
      </c>
      <c r="H4622" s="3" t="s">
        <v>97</v>
      </c>
      <c r="I4622" s="3" t="s">
        <v>85</v>
      </c>
      <c r="J4622" s="3" t="s">
        <v>63</v>
      </c>
      <c r="K4622" s="4">
        <v>145.47999999999999</v>
      </c>
      <c r="L4622" s="6">
        <v>4.26</v>
      </c>
    </row>
    <row r="4623" spans="1:12" x14ac:dyDescent="0.25">
      <c r="A4623" s="1">
        <v>4622</v>
      </c>
      <c r="B4623" s="4">
        <v>32902</v>
      </c>
      <c r="C4623" s="5">
        <v>40971</v>
      </c>
      <c r="D4623" s="3" t="s">
        <v>89</v>
      </c>
      <c r="E4623" s="1" t="s">
        <v>1285</v>
      </c>
      <c r="F4623" s="1" t="s">
        <v>24</v>
      </c>
      <c r="G4623" s="2" t="s">
        <v>2</v>
      </c>
      <c r="H4623" s="3" t="s">
        <v>97</v>
      </c>
      <c r="I4623" s="3" t="s">
        <v>85</v>
      </c>
      <c r="J4623" s="3" t="s">
        <v>70</v>
      </c>
      <c r="K4623" s="4">
        <v>1638.67</v>
      </c>
      <c r="L4623" s="6">
        <v>68.81</v>
      </c>
    </row>
    <row r="4624" spans="1:12" x14ac:dyDescent="0.25">
      <c r="A4624" s="1">
        <v>4623</v>
      </c>
      <c r="B4624" s="4">
        <v>32902</v>
      </c>
      <c r="C4624" s="5">
        <v>40971</v>
      </c>
      <c r="D4624" s="3" t="s">
        <v>89</v>
      </c>
      <c r="E4624" s="1" t="s">
        <v>1285</v>
      </c>
      <c r="F4624" s="1" t="s">
        <v>24</v>
      </c>
      <c r="G4624" s="2" t="s">
        <v>2</v>
      </c>
      <c r="H4624" s="3" t="s">
        <v>97</v>
      </c>
      <c r="I4624" s="3" t="s">
        <v>85</v>
      </c>
      <c r="J4624" s="3" t="s">
        <v>58</v>
      </c>
      <c r="K4624" s="4">
        <v>64.099999999999994</v>
      </c>
      <c r="L4624" s="6">
        <v>6.84</v>
      </c>
    </row>
    <row r="4625" spans="1:12" x14ac:dyDescent="0.25">
      <c r="A4625" s="1">
        <v>4624</v>
      </c>
      <c r="B4625" s="4">
        <v>32903</v>
      </c>
      <c r="C4625" s="5">
        <v>41116</v>
      </c>
      <c r="D4625" s="3" t="s">
        <v>82</v>
      </c>
      <c r="E4625" s="1" t="s">
        <v>690</v>
      </c>
      <c r="F4625" s="1" t="s">
        <v>15</v>
      </c>
      <c r="G4625" s="2" t="s">
        <v>1</v>
      </c>
      <c r="H4625" s="3" t="s">
        <v>84</v>
      </c>
      <c r="I4625" s="3" t="s">
        <v>85</v>
      </c>
      <c r="J4625" s="3" t="s">
        <v>57</v>
      </c>
      <c r="K4625" s="4">
        <v>454.58</v>
      </c>
      <c r="L4625" s="6">
        <v>15.31</v>
      </c>
    </row>
    <row r="4626" spans="1:12" x14ac:dyDescent="0.25">
      <c r="A4626" s="1">
        <v>4625</v>
      </c>
      <c r="B4626" s="4">
        <v>32929</v>
      </c>
      <c r="C4626" s="5">
        <v>40665</v>
      </c>
      <c r="D4626" s="3" t="s">
        <v>82</v>
      </c>
      <c r="E4626" s="1" t="s">
        <v>1035</v>
      </c>
      <c r="F4626" s="1" t="s">
        <v>42</v>
      </c>
      <c r="G4626" s="2" t="s">
        <v>3</v>
      </c>
      <c r="H4626" s="3" t="s">
        <v>88</v>
      </c>
      <c r="I4626" s="3" t="s">
        <v>85</v>
      </c>
      <c r="J4626" s="3" t="s">
        <v>71</v>
      </c>
      <c r="K4626" s="4">
        <v>44.56</v>
      </c>
      <c r="L4626" s="6">
        <v>5.68</v>
      </c>
    </row>
    <row r="4627" spans="1:12" x14ac:dyDescent="0.25">
      <c r="A4627" s="1">
        <v>4626</v>
      </c>
      <c r="B4627" s="4">
        <v>32929</v>
      </c>
      <c r="C4627" s="5">
        <v>40665</v>
      </c>
      <c r="D4627" s="3" t="s">
        <v>82</v>
      </c>
      <c r="E4627" s="1" t="s">
        <v>1035</v>
      </c>
      <c r="F4627" s="1" t="s">
        <v>42</v>
      </c>
      <c r="G4627" s="2" t="s">
        <v>3</v>
      </c>
      <c r="H4627" s="3" t="s">
        <v>88</v>
      </c>
      <c r="I4627" s="3" t="s">
        <v>85</v>
      </c>
      <c r="J4627" s="3" t="s">
        <v>57</v>
      </c>
      <c r="K4627" s="4">
        <v>152.13999999999999</v>
      </c>
      <c r="L4627" s="6">
        <v>12.21</v>
      </c>
    </row>
    <row r="4628" spans="1:12" x14ac:dyDescent="0.25">
      <c r="A4628" s="1">
        <v>4627</v>
      </c>
      <c r="B4628" s="4">
        <v>32931</v>
      </c>
      <c r="C4628" s="5">
        <v>40224</v>
      </c>
      <c r="D4628" s="3" t="s">
        <v>82</v>
      </c>
      <c r="E4628" s="1" t="s">
        <v>1190</v>
      </c>
      <c r="F4628" s="1" t="s">
        <v>32</v>
      </c>
      <c r="G4628" s="2" t="s">
        <v>2</v>
      </c>
      <c r="H4628" s="3" t="s">
        <v>88</v>
      </c>
      <c r="I4628" s="3" t="s">
        <v>85</v>
      </c>
      <c r="J4628" s="3" t="s">
        <v>65</v>
      </c>
      <c r="K4628" s="4">
        <v>86.1</v>
      </c>
      <c r="L4628" s="6">
        <v>2.88</v>
      </c>
    </row>
    <row r="4629" spans="1:12" x14ac:dyDescent="0.25">
      <c r="A4629" s="1">
        <v>4628</v>
      </c>
      <c r="B4629" s="4">
        <v>32931</v>
      </c>
      <c r="C4629" s="5">
        <v>40224</v>
      </c>
      <c r="D4629" s="3" t="s">
        <v>82</v>
      </c>
      <c r="E4629" s="1" t="s">
        <v>1190</v>
      </c>
      <c r="F4629" s="1" t="s">
        <v>32</v>
      </c>
      <c r="G4629" s="2" t="s">
        <v>2</v>
      </c>
      <c r="H4629" s="3" t="s">
        <v>88</v>
      </c>
      <c r="I4629" s="3" t="s">
        <v>85</v>
      </c>
      <c r="J4629" s="3" t="s">
        <v>57</v>
      </c>
      <c r="K4629" s="4">
        <v>298.11</v>
      </c>
      <c r="L4629" s="6">
        <v>12.44</v>
      </c>
    </row>
    <row r="4630" spans="1:12" x14ac:dyDescent="0.25">
      <c r="A4630" s="1">
        <v>4629</v>
      </c>
      <c r="B4630" s="4">
        <v>32932</v>
      </c>
      <c r="C4630" s="5">
        <v>40187</v>
      </c>
      <c r="D4630" s="3" t="s">
        <v>82</v>
      </c>
      <c r="E4630" s="1" t="s">
        <v>601</v>
      </c>
      <c r="F4630" s="1" t="s">
        <v>24</v>
      </c>
      <c r="G4630" s="2" t="s">
        <v>2</v>
      </c>
      <c r="H4630" s="3" t="s">
        <v>88</v>
      </c>
      <c r="I4630" s="3" t="s">
        <v>92</v>
      </c>
      <c r="J4630" s="3" t="s">
        <v>73</v>
      </c>
      <c r="K4630" s="4">
        <v>29884.6</v>
      </c>
      <c r="L4630" s="6">
        <v>599.99</v>
      </c>
    </row>
    <row r="4631" spans="1:12" x14ac:dyDescent="0.25">
      <c r="A4631" s="1">
        <v>4630</v>
      </c>
      <c r="B4631" s="4">
        <v>32965</v>
      </c>
      <c r="C4631" s="5">
        <v>40598</v>
      </c>
      <c r="D4631" s="3" t="s">
        <v>89</v>
      </c>
      <c r="E4631" s="1" t="s">
        <v>237</v>
      </c>
      <c r="F4631" s="1" t="s">
        <v>21</v>
      </c>
      <c r="G4631" s="2" t="s">
        <v>1</v>
      </c>
      <c r="H4631" s="3" t="s">
        <v>84</v>
      </c>
      <c r="I4631" s="3" t="s">
        <v>85</v>
      </c>
      <c r="J4631" s="3" t="s">
        <v>66</v>
      </c>
      <c r="K4631" s="4">
        <v>11.15</v>
      </c>
      <c r="L4631" s="6">
        <v>3.98</v>
      </c>
    </row>
    <row r="4632" spans="1:12" x14ac:dyDescent="0.25">
      <c r="A4632" s="1">
        <v>4631</v>
      </c>
      <c r="B4632" s="4">
        <v>32965</v>
      </c>
      <c r="C4632" s="5">
        <v>40598</v>
      </c>
      <c r="D4632" s="3" t="s">
        <v>89</v>
      </c>
      <c r="E4632" s="1" t="s">
        <v>1286</v>
      </c>
      <c r="F4632" s="1" t="s">
        <v>20</v>
      </c>
      <c r="G4632" s="2" t="s">
        <v>1</v>
      </c>
      <c r="H4632" s="3" t="s">
        <v>84</v>
      </c>
      <c r="I4632" s="3" t="s">
        <v>92</v>
      </c>
      <c r="J4632" s="3" t="s">
        <v>62</v>
      </c>
      <c r="K4632" s="4">
        <v>2427.25</v>
      </c>
      <c r="L4632" s="6">
        <v>99.99</v>
      </c>
    </row>
    <row r="4633" spans="1:12" x14ac:dyDescent="0.25">
      <c r="A4633" s="1">
        <v>4632</v>
      </c>
      <c r="B4633" s="4">
        <v>32966</v>
      </c>
      <c r="C4633" s="5">
        <v>40934</v>
      </c>
      <c r="D4633" s="3" t="s">
        <v>82</v>
      </c>
      <c r="E4633" s="1" t="s">
        <v>672</v>
      </c>
      <c r="F4633" s="1" t="s">
        <v>23</v>
      </c>
      <c r="G4633" s="2" t="s">
        <v>3</v>
      </c>
      <c r="H4633" s="3" t="s">
        <v>97</v>
      </c>
      <c r="I4633" s="3" t="s">
        <v>92</v>
      </c>
      <c r="J4633" s="3" t="s">
        <v>67</v>
      </c>
      <c r="K4633" s="4">
        <v>1035.2</v>
      </c>
      <c r="L4633" s="6">
        <v>270.97000000000003</v>
      </c>
    </row>
    <row r="4634" spans="1:12" x14ac:dyDescent="0.25">
      <c r="A4634" s="1">
        <v>4633</v>
      </c>
      <c r="B4634" s="4">
        <v>32966</v>
      </c>
      <c r="C4634" s="5">
        <v>40934</v>
      </c>
      <c r="D4634" s="3" t="s">
        <v>82</v>
      </c>
      <c r="E4634" s="1" t="s">
        <v>672</v>
      </c>
      <c r="F4634" s="1" t="s">
        <v>23</v>
      </c>
      <c r="G4634" s="2" t="s">
        <v>3</v>
      </c>
      <c r="H4634" s="3" t="s">
        <v>97</v>
      </c>
      <c r="I4634" s="3" t="s">
        <v>85</v>
      </c>
      <c r="J4634" s="3" t="s">
        <v>63</v>
      </c>
      <c r="K4634" s="4">
        <v>74.17</v>
      </c>
      <c r="L4634" s="6">
        <v>1.6</v>
      </c>
    </row>
    <row r="4635" spans="1:12" x14ac:dyDescent="0.25">
      <c r="A4635" s="1">
        <v>4634</v>
      </c>
      <c r="B4635" s="4">
        <v>32994</v>
      </c>
      <c r="C4635" s="5">
        <v>41168</v>
      </c>
      <c r="D4635" s="3" t="s">
        <v>95</v>
      </c>
      <c r="E4635" s="1" t="s">
        <v>1259</v>
      </c>
      <c r="F4635" s="1" t="s">
        <v>9</v>
      </c>
      <c r="G4635" s="2" t="s">
        <v>2</v>
      </c>
      <c r="H4635" s="3" t="s">
        <v>100</v>
      </c>
      <c r="I4635" s="3" t="s">
        <v>85</v>
      </c>
      <c r="J4635" s="3" t="s">
        <v>66</v>
      </c>
      <c r="K4635" s="4">
        <v>226.41</v>
      </c>
      <c r="L4635" s="6">
        <v>6.48</v>
      </c>
    </row>
    <row r="4636" spans="1:12" x14ac:dyDescent="0.25">
      <c r="A4636" s="1">
        <v>4635</v>
      </c>
      <c r="B4636" s="4">
        <v>32996</v>
      </c>
      <c r="C4636" s="5">
        <v>40529</v>
      </c>
      <c r="D4636" s="3" t="s">
        <v>95</v>
      </c>
      <c r="E4636" s="1" t="s">
        <v>1206</v>
      </c>
      <c r="F4636" s="1" t="s">
        <v>10</v>
      </c>
      <c r="G4636" s="2" t="s">
        <v>3</v>
      </c>
      <c r="H4636" s="3" t="s">
        <v>100</v>
      </c>
      <c r="I4636" s="3" t="s">
        <v>91</v>
      </c>
      <c r="J4636" s="3" t="s">
        <v>59</v>
      </c>
      <c r="K4636" s="4">
        <v>262.29000000000002</v>
      </c>
      <c r="L4636" s="6">
        <v>17.78</v>
      </c>
    </row>
    <row r="4637" spans="1:12" x14ac:dyDescent="0.25">
      <c r="A4637" s="1">
        <v>4636</v>
      </c>
      <c r="B4637" s="4">
        <v>32996</v>
      </c>
      <c r="C4637" s="5">
        <v>40529</v>
      </c>
      <c r="D4637" s="3" t="s">
        <v>95</v>
      </c>
      <c r="E4637" s="1" t="s">
        <v>1206</v>
      </c>
      <c r="F4637" s="1" t="s">
        <v>10</v>
      </c>
      <c r="G4637" s="2" t="s">
        <v>3</v>
      </c>
      <c r="H4637" s="3" t="s">
        <v>100</v>
      </c>
      <c r="I4637" s="3" t="s">
        <v>92</v>
      </c>
      <c r="J4637" s="3" t="s">
        <v>61</v>
      </c>
      <c r="K4637" s="4">
        <v>116.31399999999999</v>
      </c>
      <c r="L4637" s="6">
        <v>65.989999999999995</v>
      </c>
    </row>
    <row r="4638" spans="1:12" x14ac:dyDescent="0.25">
      <c r="A4638" s="1">
        <v>4637</v>
      </c>
      <c r="B4638" s="4">
        <v>32998</v>
      </c>
      <c r="C4638" s="5">
        <v>40450</v>
      </c>
      <c r="D4638" s="3" t="s">
        <v>86</v>
      </c>
      <c r="E4638" s="1" t="s">
        <v>325</v>
      </c>
      <c r="F4638" s="1" t="s">
        <v>41</v>
      </c>
      <c r="G4638" s="2" t="s">
        <v>6</v>
      </c>
      <c r="H4638" s="3" t="s">
        <v>88</v>
      </c>
      <c r="I4638" s="3" t="s">
        <v>91</v>
      </c>
      <c r="J4638" s="3" t="s">
        <v>68</v>
      </c>
      <c r="K4638" s="4">
        <v>1663.83</v>
      </c>
      <c r="L4638" s="6">
        <v>130.97999999999999</v>
      </c>
    </row>
    <row r="4639" spans="1:12" x14ac:dyDescent="0.25">
      <c r="A4639" s="1">
        <v>4638</v>
      </c>
      <c r="B4639" s="4">
        <v>32999</v>
      </c>
      <c r="C4639" s="5">
        <v>39917</v>
      </c>
      <c r="D4639" s="3" t="s">
        <v>82</v>
      </c>
      <c r="E4639" s="1" t="s">
        <v>822</v>
      </c>
      <c r="F4639" s="1" t="s">
        <v>43</v>
      </c>
      <c r="G4639" s="2" t="s">
        <v>1</v>
      </c>
      <c r="H4639" s="3" t="s">
        <v>97</v>
      </c>
      <c r="I4639" s="3" t="s">
        <v>91</v>
      </c>
      <c r="J4639" s="3" t="s">
        <v>68</v>
      </c>
      <c r="K4639" s="4">
        <v>1386.65</v>
      </c>
      <c r="L4639" s="6">
        <v>100.98</v>
      </c>
    </row>
    <row r="4640" spans="1:12" x14ac:dyDescent="0.25">
      <c r="A4640" s="1">
        <v>4639</v>
      </c>
      <c r="B4640" s="4">
        <v>33025</v>
      </c>
      <c r="C4640" s="5">
        <v>39837</v>
      </c>
      <c r="D4640" s="3" t="s">
        <v>82</v>
      </c>
      <c r="E4640" s="1" t="s">
        <v>1287</v>
      </c>
      <c r="F4640" s="1" t="s">
        <v>20</v>
      </c>
      <c r="G4640" s="2" t="s">
        <v>1</v>
      </c>
      <c r="H4640" s="3" t="s">
        <v>84</v>
      </c>
      <c r="I4640" s="3" t="s">
        <v>85</v>
      </c>
      <c r="J4640" s="3" t="s">
        <v>70</v>
      </c>
      <c r="K4640" s="4">
        <v>318.31</v>
      </c>
      <c r="L4640" s="6">
        <v>67.84</v>
      </c>
    </row>
    <row r="4641" spans="1:12" x14ac:dyDescent="0.25">
      <c r="A4641" s="1">
        <v>4640</v>
      </c>
      <c r="B4641" s="4">
        <v>33029</v>
      </c>
      <c r="C4641" s="5">
        <v>41060</v>
      </c>
      <c r="D4641" s="3" t="s">
        <v>89</v>
      </c>
      <c r="E4641" s="1" t="s">
        <v>1224</v>
      </c>
      <c r="F4641" s="1" t="s">
        <v>31</v>
      </c>
      <c r="G4641" s="2" t="s">
        <v>1</v>
      </c>
      <c r="H4641" s="3" t="s">
        <v>100</v>
      </c>
      <c r="I4641" s="3" t="s">
        <v>91</v>
      </c>
      <c r="J4641" s="3" t="s">
        <v>60</v>
      </c>
      <c r="K4641" s="4">
        <v>16028.26</v>
      </c>
      <c r="L4641" s="6">
        <v>417.4</v>
      </c>
    </row>
    <row r="4642" spans="1:12" x14ac:dyDescent="0.25">
      <c r="A4642" s="1">
        <v>4641</v>
      </c>
      <c r="B4642" s="4">
        <v>33029</v>
      </c>
      <c r="C4642" s="5">
        <v>41060</v>
      </c>
      <c r="D4642" s="3" t="s">
        <v>89</v>
      </c>
      <c r="E4642" s="1" t="s">
        <v>1224</v>
      </c>
      <c r="F4642" s="1" t="s">
        <v>31</v>
      </c>
      <c r="G4642" s="2" t="s">
        <v>1</v>
      </c>
      <c r="H4642" s="3" t="s">
        <v>100</v>
      </c>
      <c r="I4642" s="3" t="s">
        <v>92</v>
      </c>
      <c r="J4642" s="3" t="s">
        <v>61</v>
      </c>
      <c r="K4642" s="4">
        <v>738.25049999999999</v>
      </c>
      <c r="L4642" s="6">
        <v>115.99</v>
      </c>
    </row>
    <row r="4643" spans="1:12" x14ac:dyDescent="0.25">
      <c r="A4643" s="1">
        <v>4642</v>
      </c>
      <c r="B4643" s="4">
        <v>33031</v>
      </c>
      <c r="C4643" s="5">
        <v>41145</v>
      </c>
      <c r="D4643" s="3" t="s">
        <v>89</v>
      </c>
      <c r="E4643" s="1" t="s">
        <v>1155</v>
      </c>
      <c r="F4643" s="1" t="s">
        <v>15</v>
      </c>
      <c r="G4643" s="2" t="s">
        <v>1</v>
      </c>
      <c r="H4643" s="3" t="s">
        <v>97</v>
      </c>
      <c r="I4643" s="3" t="s">
        <v>91</v>
      </c>
      <c r="J4643" s="3" t="s">
        <v>59</v>
      </c>
      <c r="K4643" s="4">
        <v>550.67999999999995</v>
      </c>
      <c r="L4643" s="6">
        <v>23.99</v>
      </c>
    </row>
    <row r="4644" spans="1:12" x14ac:dyDescent="0.25">
      <c r="A4644" s="1">
        <v>4643</v>
      </c>
      <c r="B4644" s="4">
        <v>33031</v>
      </c>
      <c r="C4644" s="5">
        <v>41145</v>
      </c>
      <c r="D4644" s="3" t="s">
        <v>89</v>
      </c>
      <c r="E4644" s="1" t="s">
        <v>1155</v>
      </c>
      <c r="F4644" s="1" t="s">
        <v>15</v>
      </c>
      <c r="G4644" s="2" t="s">
        <v>1</v>
      </c>
      <c r="H4644" s="3" t="s">
        <v>97</v>
      </c>
      <c r="I4644" s="3" t="s">
        <v>85</v>
      </c>
      <c r="J4644" s="3" t="s">
        <v>66</v>
      </c>
      <c r="K4644" s="4">
        <v>120.96</v>
      </c>
      <c r="L4644" s="6">
        <v>6.48</v>
      </c>
    </row>
    <row r="4645" spans="1:12" x14ac:dyDescent="0.25">
      <c r="A4645" s="1">
        <v>4644</v>
      </c>
      <c r="B4645" s="4">
        <v>33060</v>
      </c>
      <c r="C4645" s="5">
        <v>40228</v>
      </c>
      <c r="D4645" s="3" t="s">
        <v>89</v>
      </c>
      <c r="E4645" s="1" t="s">
        <v>1106</v>
      </c>
      <c r="F4645" s="1" t="s">
        <v>16</v>
      </c>
      <c r="G4645" s="2" t="s">
        <v>3</v>
      </c>
      <c r="H4645" s="3" t="s">
        <v>97</v>
      </c>
      <c r="I4645" s="3" t="s">
        <v>85</v>
      </c>
      <c r="J4645" s="3" t="s">
        <v>69</v>
      </c>
      <c r="K4645" s="4">
        <v>15.88</v>
      </c>
      <c r="L4645" s="6">
        <v>3.74</v>
      </c>
    </row>
    <row r="4646" spans="1:12" x14ac:dyDescent="0.25">
      <c r="A4646" s="1">
        <v>4645</v>
      </c>
      <c r="B4646" s="4">
        <v>33061</v>
      </c>
      <c r="C4646" s="5">
        <v>40739</v>
      </c>
      <c r="D4646" s="3" t="s">
        <v>89</v>
      </c>
      <c r="E4646" s="1" t="s">
        <v>301</v>
      </c>
      <c r="F4646" s="1" t="s">
        <v>31</v>
      </c>
      <c r="G4646" s="2" t="s">
        <v>1</v>
      </c>
      <c r="H4646" s="3" t="s">
        <v>97</v>
      </c>
      <c r="I4646" s="3" t="s">
        <v>85</v>
      </c>
      <c r="J4646" s="3" t="s">
        <v>57</v>
      </c>
      <c r="K4646" s="4">
        <v>5318.89</v>
      </c>
      <c r="L4646" s="6">
        <v>111.03</v>
      </c>
    </row>
    <row r="4647" spans="1:12" x14ac:dyDescent="0.25">
      <c r="A4647" s="1">
        <v>4646</v>
      </c>
      <c r="B4647" s="4">
        <v>33090</v>
      </c>
      <c r="C4647" s="5">
        <v>40030</v>
      </c>
      <c r="D4647" s="3" t="s">
        <v>4</v>
      </c>
      <c r="E4647" s="1" t="s">
        <v>482</v>
      </c>
      <c r="F4647" s="1" t="s">
        <v>48</v>
      </c>
      <c r="G4647" s="2" t="s">
        <v>1</v>
      </c>
      <c r="H4647" s="3" t="s">
        <v>88</v>
      </c>
      <c r="I4647" s="3" t="s">
        <v>85</v>
      </c>
      <c r="J4647" s="3" t="s">
        <v>57</v>
      </c>
      <c r="K4647" s="4">
        <v>1033.93</v>
      </c>
      <c r="L4647" s="6">
        <v>37.76</v>
      </c>
    </row>
    <row r="4648" spans="1:12" x14ac:dyDescent="0.25">
      <c r="A4648" s="1">
        <v>4647</v>
      </c>
      <c r="B4648" s="4">
        <v>33091</v>
      </c>
      <c r="C4648" s="5">
        <v>40568</v>
      </c>
      <c r="D4648" s="3" t="s">
        <v>89</v>
      </c>
      <c r="E4648" s="1" t="s">
        <v>349</v>
      </c>
      <c r="F4648" s="1" t="s">
        <v>41</v>
      </c>
      <c r="G4648" s="2" t="s">
        <v>6</v>
      </c>
      <c r="H4648" s="3" t="s">
        <v>97</v>
      </c>
      <c r="I4648" s="3" t="s">
        <v>85</v>
      </c>
      <c r="J4648" s="3" t="s">
        <v>66</v>
      </c>
      <c r="K4648" s="4">
        <v>265.35000000000002</v>
      </c>
      <c r="L4648" s="6">
        <v>9.99</v>
      </c>
    </row>
    <row r="4649" spans="1:12" x14ac:dyDescent="0.25">
      <c r="A4649" s="1">
        <v>4648</v>
      </c>
      <c r="B4649" s="4">
        <v>33095</v>
      </c>
      <c r="C4649" s="5">
        <v>39859</v>
      </c>
      <c r="D4649" s="3" t="s">
        <v>86</v>
      </c>
      <c r="E4649" s="1" t="s">
        <v>1134</v>
      </c>
      <c r="F4649" s="1" t="s">
        <v>24</v>
      </c>
      <c r="G4649" s="2" t="s">
        <v>2</v>
      </c>
      <c r="H4649" s="3" t="s">
        <v>100</v>
      </c>
      <c r="I4649" s="3" t="s">
        <v>92</v>
      </c>
      <c r="J4649" s="3" t="s">
        <v>62</v>
      </c>
      <c r="K4649" s="4">
        <v>4846.74</v>
      </c>
      <c r="L4649" s="6">
        <v>159.99</v>
      </c>
    </row>
    <row r="4650" spans="1:12" x14ac:dyDescent="0.25">
      <c r="A4650" s="1">
        <v>4649</v>
      </c>
      <c r="B4650" s="4">
        <v>33095</v>
      </c>
      <c r="C4650" s="5">
        <v>39859</v>
      </c>
      <c r="D4650" s="3" t="s">
        <v>86</v>
      </c>
      <c r="E4650" s="1" t="s">
        <v>1134</v>
      </c>
      <c r="F4650" s="1" t="s">
        <v>24</v>
      </c>
      <c r="G4650" s="2" t="s">
        <v>2</v>
      </c>
      <c r="H4650" s="3" t="s">
        <v>100</v>
      </c>
      <c r="I4650" s="3" t="s">
        <v>91</v>
      </c>
      <c r="J4650" s="3" t="s">
        <v>59</v>
      </c>
      <c r="K4650" s="4">
        <v>2548.3000000000002</v>
      </c>
      <c r="L4650" s="6">
        <v>78.69</v>
      </c>
    </row>
    <row r="4651" spans="1:12" x14ac:dyDescent="0.25">
      <c r="A4651" s="1">
        <v>4650</v>
      </c>
      <c r="B4651" s="4">
        <v>33122</v>
      </c>
      <c r="C4651" s="5">
        <v>40348</v>
      </c>
      <c r="D4651" s="3" t="s">
        <v>82</v>
      </c>
      <c r="E4651" s="1" t="s">
        <v>1026</v>
      </c>
      <c r="F4651" s="1" t="s">
        <v>25</v>
      </c>
      <c r="G4651" s="2" t="s">
        <v>6</v>
      </c>
      <c r="H4651" s="3" t="s">
        <v>84</v>
      </c>
      <c r="I4651" s="3" t="s">
        <v>92</v>
      </c>
      <c r="J4651" s="3" t="s">
        <v>67</v>
      </c>
      <c r="K4651" s="4">
        <v>8468.6299999999992</v>
      </c>
      <c r="L4651" s="6">
        <v>400.97</v>
      </c>
    </row>
    <row r="4652" spans="1:12" x14ac:dyDescent="0.25">
      <c r="A4652" s="1">
        <v>4651</v>
      </c>
      <c r="B4652" s="4">
        <v>33123</v>
      </c>
      <c r="C4652" s="5">
        <v>40506</v>
      </c>
      <c r="D4652" s="3" t="s">
        <v>4</v>
      </c>
      <c r="E4652" s="1" t="s">
        <v>1187</v>
      </c>
      <c r="F4652" s="1" t="s">
        <v>8</v>
      </c>
      <c r="G4652" s="2" t="s">
        <v>6</v>
      </c>
      <c r="H4652" s="3" t="s">
        <v>88</v>
      </c>
      <c r="I4652" s="3" t="s">
        <v>91</v>
      </c>
      <c r="J4652" s="3" t="s">
        <v>68</v>
      </c>
      <c r="K4652" s="4">
        <v>6045.98</v>
      </c>
      <c r="L4652" s="6">
        <v>150.97999999999999</v>
      </c>
    </row>
    <row r="4653" spans="1:12" x14ac:dyDescent="0.25">
      <c r="A4653" s="1">
        <v>4652</v>
      </c>
      <c r="B4653" s="4">
        <v>33126</v>
      </c>
      <c r="C4653" s="5">
        <v>40859</v>
      </c>
      <c r="D4653" s="3" t="s">
        <v>95</v>
      </c>
      <c r="E4653" s="1" t="s">
        <v>1178</v>
      </c>
      <c r="F4653" s="1" t="s">
        <v>24</v>
      </c>
      <c r="G4653" s="2" t="s">
        <v>2</v>
      </c>
      <c r="H4653" s="3" t="s">
        <v>84</v>
      </c>
      <c r="I4653" s="3" t="s">
        <v>91</v>
      </c>
      <c r="J4653" s="3" t="s">
        <v>72</v>
      </c>
      <c r="K4653" s="4">
        <v>5979.84</v>
      </c>
      <c r="L4653" s="6">
        <v>128.24</v>
      </c>
    </row>
    <row r="4654" spans="1:12" x14ac:dyDescent="0.25">
      <c r="A4654" s="1">
        <v>4653</v>
      </c>
      <c r="B4654" s="4">
        <v>33126</v>
      </c>
      <c r="C4654" s="5">
        <v>40859</v>
      </c>
      <c r="D4654" s="3" t="s">
        <v>95</v>
      </c>
      <c r="E4654" s="1" t="s">
        <v>1178</v>
      </c>
      <c r="F4654" s="1" t="s">
        <v>24</v>
      </c>
      <c r="G4654" s="2" t="s">
        <v>2</v>
      </c>
      <c r="H4654" s="3" t="s">
        <v>84</v>
      </c>
      <c r="I4654" s="3" t="s">
        <v>85</v>
      </c>
      <c r="J4654" s="3" t="s">
        <v>65</v>
      </c>
      <c r="K4654" s="4">
        <v>175.76</v>
      </c>
      <c r="L4654" s="6">
        <v>6.3</v>
      </c>
    </row>
    <row r="4655" spans="1:12" x14ac:dyDescent="0.25">
      <c r="A4655" s="1">
        <v>4654</v>
      </c>
      <c r="B4655" s="4">
        <v>33152</v>
      </c>
      <c r="C4655" s="5">
        <v>40503</v>
      </c>
      <c r="D4655" s="3" t="s">
        <v>95</v>
      </c>
      <c r="E4655" s="1" t="s">
        <v>1235</v>
      </c>
      <c r="F4655" s="1" t="s">
        <v>15</v>
      </c>
      <c r="G4655" s="2" t="s">
        <v>1</v>
      </c>
      <c r="H4655" s="3" t="s">
        <v>88</v>
      </c>
      <c r="I4655" s="3" t="s">
        <v>92</v>
      </c>
      <c r="J4655" s="3" t="s">
        <v>61</v>
      </c>
      <c r="K4655" s="4">
        <v>2569.6264999999999</v>
      </c>
      <c r="L4655" s="6">
        <v>155.99</v>
      </c>
    </row>
    <row r="4656" spans="1:12" x14ac:dyDescent="0.25">
      <c r="A4656" s="1">
        <v>4655</v>
      </c>
      <c r="B4656" s="4">
        <v>33154</v>
      </c>
      <c r="C4656" s="5">
        <v>40393</v>
      </c>
      <c r="D4656" s="3" t="s">
        <v>95</v>
      </c>
      <c r="E4656" s="1" t="s">
        <v>962</v>
      </c>
      <c r="F4656" s="1" t="s">
        <v>20</v>
      </c>
      <c r="G4656" s="2" t="s">
        <v>1</v>
      </c>
      <c r="H4656" s="3" t="s">
        <v>88</v>
      </c>
      <c r="I4656" s="3" t="s">
        <v>92</v>
      </c>
      <c r="J4656" s="3" t="s">
        <v>61</v>
      </c>
      <c r="K4656" s="4">
        <v>368.02449999999999</v>
      </c>
      <c r="L4656" s="6">
        <v>65.989999999999995</v>
      </c>
    </row>
    <row r="4657" spans="1:12" x14ac:dyDescent="0.25">
      <c r="A4657" s="1">
        <v>4656</v>
      </c>
      <c r="B4657" s="4">
        <v>33159</v>
      </c>
      <c r="C4657" s="5">
        <v>41026</v>
      </c>
      <c r="D4657" s="3" t="s">
        <v>4</v>
      </c>
      <c r="E4657" s="1" t="s">
        <v>984</v>
      </c>
      <c r="F4657" s="1" t="s">
        <v>8</v>
      </c>
      <c r="G4657" s="2" t="s">
        <v>6</v>
      </c>
      <c r="H4657" s="3" t="s">
        <v>88</v>
      </c>
      <c r="I4657" s="3" t="s">
        <v>92</v>
      </c>
      <c r="J4657" s="3" t="s">
        <v>61</v>
      </c>
      <c r="K4657" s="4">
        <v>56.695</v>
      </c>
      <c r="L4657" s="6">
        <v>20.99</v>
      </c>
    </row>
    <row r="4658" spans="1:12" x14ac:dyDescent="0.25">
      <c r="A4658" s="1">
        <v>4657</v>
      </c>
      <c r="B4658" s="4">
        <v>33184</v>
      </c>
      <c r="C4658" s="5">
        <v>40952</v>
      </c>
      <c r="D4658" s="3" t="s">
        <v>86</v>
      </c>
      <c r="E4658" s="1" t="s">
        <v>865</v>
      </c>
      <c r="F4658" s="1" t="s">
        <v>10</v>
      </c>
      <c r="G4658" s="2" t="s">
        <v>3</v>
      </c>
      <c r="H4658" s="3" t="s">
        <v>84</v>
      </c>
      <c r="I4658" s="3" t="s">
        <v>85</v>
      </c>
      <c r="J4658" s="3" t="s">
        <v>69</v>
      </c>
      <c r="K4658" s="4">
        <v>402.49</v>
      </c>
      <c r="L4658" s="6">
        <v>11.7</v>
      </c>
    </row>
    <row r="4659" spans="1:12" x14ac:dyDescent="0.25">
      <c r="A4659" s="1">
        <v>4658</v>
      </c>
      <c r="B4659" s="4">
        <v>33184</v>
      </c>
      <c r="C4659" s="5">
        <v>40952</v>
      </c>
      <c r="D4659" s="3" t="s">
        <v>86</v>
      </c>
      <c r="E4659" s="1" t="s">
        <v>865</v>
      </c>
      <c r="F4659" s="1" t="s">
        <v>10</v>
      </c>
      <c r="G4659" s="2" t="s">
        <v>3</v>
      </c>
      <c r="H4659" s="3" t="s">
        <v>84</v>
      </c>
      <c r="I4659" s="3" t="s">
        <v>85</v>
      </c>
      <c r="J4659" s="3" t="s">
        <v>69</v>
      </c>
      <c r="K4659" s="4">
        <v>1754.29</v>
      </c>
      <c r="L4659" s="6">
        <v>1889.99</v>
      </c>
    </row>
    <row r="4660" spans="1:12" x14ac:dyDescent="0.25">
      <c r="A4660" s="1">
        <v>4659</v>
      </c>
      <c r="B4660" s="4">
        <v>33186</v>
      </c>
      <c r="C4660" s="5">
        <v>41149</v>
      </c>
      <c r="D4660" s="3" t="s">
        <v>82</v>
      </c>
      <c r="E4660" s="1" t="s">
        <v>249</v>
      </c>
      <c r="F4660" s="1" t="s">
        <v>8</v>
      </c>
      <c r="G4660" s="2" t="s">
        <v>6</v>
      </c>
      <c r="H4660" s="3" t="s">
        <v>88</v>
      </c>
      <c r="I4660" s="3" t="s">
        <v>92</v>
      </c>
      <c r="J4660" s="3" t="s">
        <v>61</v>
      </c>
      <c r="K4660" s="4">
        <v>1350.5309999999999</v>
      </c>
      <c r="L4660" s="6">
        <v>65.989999999999995</v>
      </c>
    </row>
    <row r="4661" spans="1:12" x14ac:dyDescent="0.25">
      <c r="A4661" s="1">
        <v>4660</v>
      </c>
      <c r="B4661" s="4">
        <v>33189</v>
      </c>
      <c r="C4661" s="5">
        <v>40137</v>
      </c>
      <c r="D4661" s="3" t="s">
        <v>82</v>
      </c>
      <c r="E4661" s="1" t="s">
        <v>264</v>
      </c>
      <c r="F4661" s="1" t="s">
        <v>32</v>
      </c>
      <c r="G4661" s="2" t="s">
        <v>2</v>
      </c>
      <c r="H4661" s="3" t="s">
        <v>100</v>
      </c>
      <c r="I4661" s="3" t="s">
        <v>92</v>
      </c>
      <c r="J4661" s="3" t="s">
        <v>62</v>
      </c>
      <c r="K4661" s="4">
        <v>87.21</v>
      </c>
      <c r="L4661" s="6">
        <v>27.48</v>
      </c>
    </row>
    <row r="4662" spans="1:12" x14ac:dyDescent="0.25">
      <c r="A4662" s="1">
        <v>4661</v>
      </c>
      <c r="B4662" s="4">
        <v>33189</v>
      </c>
      <c r="C4662" s="5">
        <v>40137</v>
      </c>
      <c r="D4662" s="3" t="s">
        <v>82</v>
      </c>
      <c r="E4662" s="1" t="s">
        <v>264</v>
      </c>
      <c r="F4662" s="1" t="s">
        <v>32</v>
      </c>
      <c r="G4662" s="2" t="s">
        <v>2</v>
      </c>
      <c r="H4662" s="3" t="s">
        <v>100</v>
      </c>
      <c r="I4662" s="3" t="s">
        <v>85</v>
      </c>
      <c r="J4662" s="3" t="s">
        <v>66</v>
      </c>
      <c r="K4662" s="4">
        <v>50.19</v>
      </c>
      <c r="L4662" s="6">
        <v>10.06</v>
      </c>
    </row>
    <row r="4663" spans="1:12" x14ac:dyDescent="0.25">
      <c r="A4663" s="1">
        <v>4662</v>
      </c>
      <c r="B4663" s="4">
        <v>33217</v>
      </c>
      <c r="C4663" s="5">
        <v>39884</v>
      </c>
      <c r="D4663" s="3" t="s">
        <v>89</v>
      </c>
      <c r="E4663" s="1" t="s">
        <v>1242</v>
      </c>
      <c r="F4663" s="1" t="s">
        <v>15</v>
      </c>
      <c r="G4663" s="2" t="s">
        <v>1</v>
      </c>
      <c r="H4663" s="3" t="s">
        <v>84</v>
      </c>
      <c r="I4663" s="3" t="s">
        <v>92</v>
      </c>
      <c r="J4663" s="3" t="s">
        <v>62</v>
      </c>
      <c r="K4663" s="4">
        <v>1388.91</v>
      </c>
      <c r="L4663" s="6">
        <v>73.98</v>
      </c>
    </row>
    <row r="4664" spans="1:12" x14ac:dyDescent="0.25">
      <c r="A4664" s="1">
        <v>4663</v>
      </c>
      <c r="B4664" s="4">
        <v>33217</v>
      </c>
      <c r="C4664" s="5">
        <v>39884</v>
      </c>
      <c r="D4664" s="3" t="s">
        <v>89</v>
      </c>
      <c r="E4664" s="1" t="s">
        <v>1242</v>
      </c>
      <c r="F4664" s="1" t="s">
        <v>15</v>
      </c>
      <c r="G4664" s="2" t="s">
        <v>1</v>
      </c>
      <c r="H4664" s="3" t="s">
        <v>84</v>
      </c>
      <c r="I4664" s="3" t="s">
        <v>92</v>
      </c>
      <c r="J4664" s="3" t="s">
        <v>67</v>
      </c>
      <c r="K4664" s="4">
        <v>1806.65</v>
      </c>
      <c r="L4664" s="6">
        <v>51.98</v>
      </c>
    </row>
    <row r="4665" spans="1:12" x14ac:dyDescent="0.25">
      <c r="A4665" s="1">
        <v>4664</v>
      </c>
      <c r="B4665" s="4">
        <v>33218</v>
      </c>
      <c r="C4665" s="5">
        <v>40184</v>
      </c>
      <c r="D4665" s="3" t="s">
        <v>86</v>
      </c>
      <c r="E4665" s="1" t="s">
        <v>598</v>
      </c>
      <c r="F4665" s="1" t="s">
        <v>23</v>
      </c>
      <c r="G4665" s="2" t="s">
        <v>3</v>
      </c>
      <c r="H4665" s="3" t="s">
        <v>84</v>
      </c>
      <c r="I4665" s="3" t="s">
        <v>85</v>
      </c>
      <c r="J4665" s="3" t="s">
        <v>69</v>
      </c>
      <c r="K4665" s="4">
        <v>113.8</v>
      </c>
      <c r="L4665" s="6">
        <v>4.57</v>
      </c>
    </row>
    <row r="4666" spans="1:12" x14ac:dyDescent="0.25">
      <c r="A4666" s="1">
        <v>4665</v>
      </c>
      <c r="B4666" s="4">
        <v>33218</v>
      </c>
      <c r="C4666" s="5">
        <v>40184</v>
      </c>
      <c r="D4666" s="3" t="s">
        <v>86</v>
      </c>
      <c r="E4666" s="1" t="s">
        <v>598</v>
      </c>
      <c r="F4666" s="1" t="s">
        <v>23</v>
      </c>
      <c r="G4666" s="2" t="s">
        <v>3</v>
      </c>
      <c r="H4666" s="3" t="s">
        <v>84</v>
      </c>
      <c r="I4666" s="3" t="s">
        <v>91</v>
      </c>
      <c r="J4666" s="3" t="s">
        <v>59</v>
      </c>
      <c r="K4666" s="4">
        <v>480.13</v>
      </c>
      <c r="L4666" s="6">
        <v>16.16</v>
      </c>
    </row>
    <row r="4667" spans="1:12" x14ac:dyDescent="0.25">
      <c r="A4667" s="1">
        <v>4666</v>
      </c>
      <c r="B4667" s="4">
        <v>33219</v>
      </c>
      <c r="C4667" s="5">
        <v>40887</v>
      </c>
      <c r="D4667" s="3" t="s">
        <v>89</v>
      </c>
      <c r="E4667" s="1" t="s">
        <v>1257</v>
      </c>
      <c r="F4667" s="1" t="s">
        <v>13</v>
      </c>
      <c r="G4667" s="2" t="s">
        <v>6</v>
      </c>
      <c r="H4667" s="3" t="s">
        <v>100</v>
      </c>
      <c r="I4667" s="3" t="s">
        <v>91</v>
      </c>
      <c r="J4667" s="3" t="s">
        <v>72</v>
      </c>
      <c r="K4667" s="4">
        <v>7341.96</v>
      </c>
      <c r="L4667" s="6">
        <v>216.6</v>
      </c>
    </row>
    <row r="4668" spans="1:12" x14ac:dyDescent="0.25">
      <c r="A4668" s="1">
        <v>4667</v>
      </c>
      <c r="B4668" s="4">
        <v>33220</v>
      </c>
      <c r="C4668" s="5">
        <v>39918</v>
      </c>
      <c r="D4668" s="3" t="s">
        <v>86</v>
      </c>
      <c r="E4668" s="1" t="s">
        <v>495</v>
      </c>
      <c r="F4668" s="1" t="s">
        <v>52</v>
      </c>
      <c r="G4668" s="2" t="s">
        <v>3</v>
      </c>
      <c r="H4668" s="3" t="s">
        <v>100</v>
      </c>
      <c r="I4668" s="3" t="s">
        <v>85</v>
      </c>
      <c r="J4668" s="3" t="s">
        <v>70</v>
      </c>
      <c r="K4668" s="4">
        <v>3291.13</v>
      </c>
      <c r="L4668" s="6">
        <v>70.97</v>
      </c>
    </row>
    <row r="4669" spans="1:12" x14ac:dyDescent="0.25">
      <c r="A4669" s="1">
        <v>4668</v>
      </c>
      <c r="B4669" s="4">
        <v>33220</v>
      </c>
      <c r="C4669" s="5">
        <v>39918</v>
      </c>
      <c r="D4669" s="3" t="s">
        <v>86</v>
      </c>
      <c r="E4669" s="1" t="s">
        <v>495</v>
      </c>
      <c r="F4669" s="1" t="s">
        <v>52</v>
      </c>
      <c r="G4669" s="2" t="s">
        <v>3</v>
      </c>
      <c r="H4669" s="3" t="s">
        <v>100</v>
      </c>
      <c r="I4669" s="3" t="s">
        <v>91</v>
      </c>
      <c r="J4669" s="3" t="s">
        <v>59</v>
      </c>
      <c r="K4669" s="4">
        <v>736.96</v>
      </c>
      <c r="L4669" s="6">
        <v>19.98</v>
      </c>
    </row>
    <row r="4670" spans="1:12" x14ac:dyDescent="0.25">
      <c r="A4670" s="1">
        <v>4669</v>
      </c>
      <c r="B4670" s="4">
        <v>33222</v>
      </c>
      <c r="C4670" s="5">
        <v>41079</v>
      </c>
      <c r="D4670" s="3" t="s">
        <v>4</v>
      </c>
      <c r="E4670" s="1" t="s">
        <v>1113</v>
      </c>
      <c r="F4670" s="1" t="s">
        <v>24</v>
      </c>
      <c r="G4670" s="2" t="s">
        <v>2</v>
      </c>
      <c r="H4670" s="3" t="s">
        <v>97</v>
      </c>
      <c r="I4670" s="3" t="s">
        <v>85</v>
      </c>
      <c r="J4670" s="3" t="s">
        <v>69</v>
      </c>
      <c r="K4670" s="4">
        <v>420.76</v>
      </c>
      <c r="L4670" s="6">
        <v>22.38</v>
      </c>
    </row>
    <row r="4671" spans="1:12" x14ac:dyDescent="0.25">
      <c r="A4671" s="1">
        <v>4670</v>
      </c>
      <c r="B4671" s="4">
        <v>33222</v>
      </c>
      <c r="C4671" s="5">
        <v>41079</v>
      </c>
      <c r="D4671" s="3" t="s">
        <v>4</v>
      </c>
      <c r="E4671" s="1" t="s">
        <v>1113</v>
      </c>
      <c r="F4671" s="1" t="s">
        <v>24</v>
      </c>
      <c r="G4671" s="2" t="s">
        <v>2</v>
      </c>
      <c r="H4671" s="3" t="s">
        <v>97</v>
      </c>
      <c r="I4671" s="3" t="s">
        <v>91</v>
      </c>
      <c r="J4671" s="3" t="s">
        <v>72</v>
      </c>
      <c r="K4671" s="4">
        <v>1676.46</v>
      </c>
      <c r="L4671" s="6">
        <v>60.98</v>
      </c>
    </row>
    <row r="4672" spans="1:12" x14ac:dyDescent="0.25">
      <c r="A4672" s="1">
        <v>4671</v>
      </c>
      <c r="B4672" s="4">
        <v>33222</v>
      </c>
      <c r="C4672" s="5">
        <v>41079</v>
      </c>
      <c r="D4672" s="3" t="s">
        <v>4</v>
      </c>
      <c r="E4672" s="1" t="s">
        <v>1113</v>
      </c>
      <c r="F4672" s="1" t="s">
        <v>24</v>
      </c>
      <c r="G4672" s="2" t="s">
        <v>2</v>
      </c>
      <c r="H4672" s="3" t="s">
        <v>97</v>
      </c>
      <c r="I4672" s="3" t="s">
        <v>85</v>
      </c>
      <c r="J4672" s="3" t="s">
        <v>63</v>
      </c>
      <c r="K4672" s="4">
        <v>145.66</v>
      </c>
      <c r="L4672" s="6">
        <v>2.88</v>
      </c>
    </row>
    <row r="4673" spans="1:12" x14ac:dyDescent="0.25">
      <c r="A4673" s="1">
        <v>4672</v>
      </c>
      <c r="B4673" s="4">
        <v>33250</v>
      </c>
      <c r="C4673" s="5">
        <v>39989</v>
      </c>
      <c r="D4673" s="3" t="s">
        <v>86</v>
      </c>
      <c r="E4673" s="1" t="s">
        <v>325</v>
      </c>
      <c r="F4673" s="1" t="s">
        <v>41</v>
      </c>
      <c r="G4673" s="2" t="s">
        <v>6</v>
      </c>
      <c r="H4673" s="3" t="s">
        <v>88</v>
      </c>
      <c r="I4673" s="3" t="s">
        <v>85</v>
      </c>
      <c r="J4673" s="3" t="s">
        <v>70</v>
      </c>
      <c r="K4673" s="4">
        <v>7381.19</v>
      </c>
      <c r="L4673" s="6">
        <v>177.98</v>
      </c>
    </row>
    <row r="4674" spans="1:12" x14ac:dyDescent="0.25">
      <c r="A4674" s="1">
        <v>4673</v>
      </c>
      <c r="B4674" s="4">
        <v>33253</v>
      </c>
      <c r="C4674" s="5">
        <v>40877</v>
      </c>
      <c r="D4674" s="3" t="s">
        <v>86</v>
      </c>
      <c r="E4674" s="1" t="s">
        <v>1288</v>
      </c>
      <c r="F4674" s="1" t="s">
        <v>20</v>
      </c>
      <c r="G4674" s="2" t="s">
        <v>1</v>
      </c>
      <c r="H4674" s="3" t="s">
        <v>97</v>
      </c>
      <c r="I4674" s="3" t="s">
        <v>85</v>
      </c>
      <c r="J4674" s="3" t="s">
        <v>63</v>
      </c>
      <c r="K4674" s="4">
        <v>24.2</v>
      </c>
      <c r="L4674" s="6">
        <v>4.13</v>
      </c>
    </row>
    <row r="4675" spans="1:12" x14ac:dyDescent="0.25">
      <c r="A4675" s="1">
        <v>4674</v>
      </c>
      <c r="B4675" s="4">
        <v>33253</v>
      </c>
      <c r="C4675" s="5">
        <v>40877</v>
      </c>
      <c r="D4675" s="3" t="s">
        <v>86</v>
      </c>
      <c r="E4675" s="1" t="s">
        <v>295</v>
      </c>
      <c r="F4675" s="1" t="s">
        <v>21</v>
      </c>
      <c r="G4675" s="2" t="s">
        <v>1</v>
      </c>
      <c r="H4675" s="3" t="s">
        <v>97</v>
      </c>
      <c r="I4675" s="3" t="s">
        <v>92</v>
      </c>
      <c r="J4675" s="3" t="s">
        <v>61</v>
      </c>
      <c r="K4675" s="4">
        <v>524.21199999999999</v>
      </c>
      <c r="L4675" s="6">
        <v>35.99</v>
      </c>
    </row>
    <row r="4676" spans="1:12" x14ac:dyDescent="0.25">
      <c r="A4676" s="1">
        <v>4675</v>
      </c>
      <c r="B4676" s="4">
        <v>33254</v>
      </c>
      <c r="C4676" s="5">
        <v>40850</v>
      </c>
      <c r="D4676" s="3" t="s">
        <v>86</v>
      </c>
      <c r="E4676" s="1" t="s">
        <v>1106</v>
      </c>
      <c r="F4676" s="1" t="s">
        <v>16</v>
      </c>
      <c r="G4676" s="2" t="s">
        <v>3</v>
      </c>
      <c r="H4676" s="3" t="s">
        <v>97</v>
      </c>
      <c r="I4676" s="3" t="s">
        <v>91</v>
      </c>
      <c r="J4676" s="3" t="s">
        <v>59</v>
      </c>
      <c r="K4676" s="4">
        <v>466.35</v>
      </c>
      <c r="L4676" s="6">
        <v>39.979999999999997</v>
      </c>
    </row>
    <row r="4677" spans="1:12" x14ac:dyDescent="0.25">
      <c r="A4677" s="1">
        <v>4676</v>
      </c>
      <c r="B4677" s="4">
        <v>33255</v>
      </c>
      <c r="C4677" s="5">
        <v>40353</v>
      </c>
      <c r="D4677" s="3" t="s">
        <v>95</v>
      </c>
      <c r="E4677" s="1" t="s">
        <v>680</v>
      </c>
      <c r="F4677" s="1" t="s">
        <v>46</v>
      </c>
      <c r="G4677" s="2" t="s">
        <v>6</v>
      </c>
      <c r="H4677" s="3" t="s">
        <v>97</v>
      </c>
      <c r="I4677" s="3" t="s">
        <v>85</v>
      </c>
      <c r="J4677" s="3" t="s">
        <v>66</v>
      </c>
      <c r="K4677" s="4">
        <v>108.21</v>
      </c>
      <c r="L4677" s="6">
        <v>5.28</v>
      </c>
    </row>
    <row r="4678" spans="1:12" x14ac:dyDescent="0.25">
      <c r="A4678" s="1">
        <v>4677</v>
      </c>
      <c r="B4678" s="4">
        <v>33283</v>
      </c>
      <c r="C4678" s="5">
        <v>40257</v>
      </c>
      <c r="D4678" s="3" t="s">
        <v>4</v>
      </c>
      <c r="E4678" s="1" t="s">
        <v>994</v>
      </c>
      <c r="F4678" s="1" t="s">
        <v>9</v>
      </c>
      <c r="G4678" s="2" t="s">
        <v>2</v>
      </c>
      <c r="H4678" s="3" t="s">
        <v>97</v>
      </c>
      <c r="I4678" s="3" t="s">
        <v>91</v>
      </c>
      <c r="J4678" s="3" t="s">
        <v>60</v>
      </c>
      <c r="K4678" s="4">
        <v>10462.540000000001</v>
      </c>
      <c r="L4678" s="6">
        <v>218.75</v>
      </c>
    </row>
    <row r="4679" spans="1:12" x14ac:dyDescent="0.25">
      <c r="A4679" s="1">
        <v>4678</v>
      </c>
      <c r="B4679" s="4">
        <v>33284</v>
      </c>
      <c r="C4679" s="5">
        <v>40999</v>
      </c>
      <c r="D4679" s="3" t="s">
        <v>82</v>
      </c>
      <c r="E4679" s="1" t="s">
        <v>417</v>
      </c>
      <c r="F4679" s="1" t="s">
        <v>30</v>
      </c>
      <c r="G4679" s="2" t="s">
        <v>6</v>
      </c>
      <c r="H4679" s="3" t="s">
        <v>88</v>
      </c>
      <c r="I4679" s="3" t="s">
        <v>91</v>
      </c>
      <c r="J4679" s="3" t="s">
        <v>59</v>
      </c>
      <c r="K4679" s="4">
        <v>480.39</v>
      </c>
      <c r="L4679" s="6">
        <v>22.23</v>
      </c>
    </row>
    <row r="4680" spans="1:12" x14ac:dyDescent="0.25">
      <c r="A4680" s="1">
        <v>4679</v>
      </c>
      <c r="B4680" s="4">
        <v>33285</v>
      </c>
      <c r="C4680" s="5">
        <v>40927</v>
      </c>
      <c r="D4680" s="3" t="s">
        <v>89</v>
      </c>
      <c r="E4680" s="1" t="s">
        <v>1153</v>
      </c>
      <c r="F4680" s="1" t="s">
        <v>23</v>
      </c>
      <c r="G4680" s="2" t="s">
        <v>3</v>
      </c>
      <c r="H4680" s="3" t="s">
        <v>84</v>
      </c>
      <c r="I4680" s="3" t="s">
        <v>85</v>
      </c>
      <c r="J4680" s="3" t="s">
        <v>57</v>
      </c>
      <c r="K4680" s="4">
        <v>66.92</v>
      </c>
      <c r="L4680" s="6">
        <v>12.28</v>
      </c>
    </row>
    <row r="4681" spans="1:12" x14ac:dyDescent="0.25">
      <c r="A4681" s="1">
        <v>4680</v>
      </c>
      <c r="B4681" s="4">
        <v>33287</v>
      </c>
      <c r="C4681" s="5">
        <v>40655</v>
      </c>
      <c r="D4681" s="3" t="s">
        <v>95</v>
      </c>
      <c r="E4681" s="1" t="s">
        <v>635</v>
      </c>
      <c r="F4681" s="1" t="s">
        <v>30</v>
      </c>
      <c r="G4681" s="2" t="s">
        <v>6</v>
      </c>
      <c r="H4681" s="3" t="s">
        <v>84</v>
      </c>
      <c r="I4681" s="3" t="s">
        <v>92</v>
      </c>
      <c r="J4681" s="3" t="s">
        <v>67</v>
      </c>
      <c r="K4681" s="4">
        <v>11904.55</v>
      </c>
      <c r="L4681" s="6">
        <v>270.97000000000003</v>
      </c>
    </row>
    <row r="4682" spans="1:12" x14ac:dyDescent="0.25">
      <c r="A4682" s="1">
        <v>4681</v>
      </c>
      <c r="B4682" s="4">
        <v>33317</v>
      </c>
      <c r="C4682" s="5">
        <v>39944</v>
      </c>
      <c r="D4682" s="3" t="s">
        <v>89</v>
      </c>
      <c r="E4682" s="1" t="s">
        <v>1181</v>
      </c>
      <c r="F4682" s="1" t="s">
        <v>24</v>
      </c>
      <c r="G4682" s="2" t="s">
        <v>2</v>
      </c>
      <c r="H4682" s="3" t="s">
        <v>100</v>
      </c>
      <c r="I4682" s="3" t="s">
        <v>85</v>
      </c>
      <c r="J4682" s="3" t="s">
        <v>70</v>
      </c>
      <c r="K4682" s="4">
        <v>203.35</v>
      </c>
      <c r="L4682" s="6">
        <v>4.4800000000000004</v>
      </c>
    </row>
    <row r="4683" spans="1:12" x14ac:dyDescent="0.25">
      <c r="A4683" s="1">
        <v>4682</v>
      </c>
      <c r="B4683" s="4">
        <v>33317</v>
      </c>
      <c r="C4683" s="5">
        <v>39944</v>
      </c>
      <c r="D4683" s="3" t="s">
        <v>89</v>
      </c>
      <c r="E4683" s="1" t="s">
        <v>1181</v>
      </c>
      <c r="F4683" s="1" t="s">
        <v>24</v>
      </c>
      <c r="G4683" s="2" t="s">
        <v>2</v>
      </c>
      <c r="H4683" s="3" t="s">
        <v>100</v>
      </c>
      <c r="I4683" s="3" t="s">
        <v>85</v>
      </c>
      <c r="J4683" s="3" t="s">
        <v>69</v>
      </c>
      <c r="K4683" s="4">
        <v>44.52</v>
      </c>
      <c r="L4683" s="6">
        <v>2.16</v>
      </c>
    </row>
    <row r="4684" spans="1:12" x14ac:dyDescent="0.25">
      <c r="A4684" s="1">
        <v>4683</v>
      </c>
      <c r="B4684" s="4">
        <v>33317</v>
      </c>
      <c r="C4684" s="5">
        <v>39944</v>
      </c>
      <c r="D4684" s="3" t="s">
        <v>89</v>
      </c>
      <c r="E4684" s="1" t="s">
        <v>1181</v>
      </c>
      <c r="F4684" s="1" t="s">
        <v>24</v>
      </c>
      <c r="G4684" s="2" t="s">
        <v>2</v>
      </c>
      <c r="H4684" s="3" t="s">
        <v>100</v>
      </c>
      <c r="I4684" s="3" t="s">
        <v>85</v>
      </c>
      <c r="J4684" s="3" t="s">
        <v>57</v>
      </c>
      <c r="K4684" s="4">
        <v>58.9</v>
      </c>
      <c r="L4684" s="6">
        <v>9.7100000000000009</v>
      </c>
    </row>
    <row r="4685" spans="1:12" x14ac:dyDescent="0.25">
      <c r="A4685" s="1">
        <v>4684</v>
      </c>
      <c r="B4685" s="4">
        <v>33317</v>
      </c>
      <c r="C4685" s="5">
        <v>39944</v>
      </c>
      <c r="D4685" s="3" t="s">
        <v>89</v>
      </c>
      <c r="E4685" s="1" t="s">
        <v>1181</v>
      </c>
      <c r="F4685" s="1" t="s">
        <v>24</v>
      </c>
      <c r="G4685" s="2" t="s">
        <v>2</v>
      </c>
      <c r="H4685" s="3" t="s">
        <v>100</v>
      </c>
      <c r="I4685" s="3" t="s">
        <v>92</v>
      </c>
      <c r="J4685" s="3" t="s">
        <v>61</v>
      </c>
      <c r="K4685" s="4">
        <v>602.42049999999995</v>
      </c>
      <c r="L4685" s="6">
        <v>55.99</v>
      </c>
    </row>
    <row r="4686" spans="1:12" x14ac:dyDescent="0.25">
      <c r="A4686" s="1">
        <v>4685</v>
      </c>
      <c r="B4686" s="4">
        <v>33319</v>
      </c>
      <c r="C4686" s="5">
        <v>39899</v>
      </c>
      <c r="D4686" s="3" t="s">
        <v>86</v>
      </c>
      <c r="E4686" s="1" t="s">
        <v>1131</v>
      </c>
      <c r="F4686" s="1" t="s">
        <v>35</v>
      </c>
      <c r="G4686" s="2" t="s">
        <v>1</v>
      </c>
      <c r="H4686" s="3" t="s">
        <v>88</v>
      </c>
      <c r="I4686" s="3" t="s">
        <v>91</v>
      </c>
      <c r="J4686" s="3" t="s">
        <v>72</v>
      </c>
      <c r="K4686" s="4">
        <v>1736.26</v>
      </c>
      <c r="L4686" s="6">
        <v>150.88999999999999</v>
      </c>
    </row>
    <row r="4687" spans="1:12" x14ac:dyDescent="0.25">
      <c r="A4687" s="1">
        <v>4686</v>
      </c>
      <c r="B4687" s="4">
        <v>33350</v>
      </c>
      <c r="C4687" s="5">
        <v>40015</v>
      </c>
      <c r="D4687" s="3" t="s">
        <v>86</v>
      </c>
      <c r="E4687" s="1" t="s">
        <v>1068</v>
      </c>
      <c r="F4687" s="1" t="s">
        <v>29</v>
      </c>
      <c r="G4687" s="2" t="s">
        <v>3</v>
      </c>
      <c r="H4687" s="3" t="s">
        <v>97</v>
      </c>
      <c r="I4687" s="3" t="s">
        <v>85</v>
      </c>
      <c r="J4687" s="3" t="s">
        <v>69</v>
      </c>
      <c r="K4687" s="4">
        <v>1786.04</v>
      </c>
      <c r="L4687" s="6">
        <v>1889.99</v>
      </c>
    </row>
    <row r="4688" spans="1:12" x14ac:dyDescent="0.25">
      <c r="A4688" s="1">
        <v>4687</v>
      </c>
      <c r="B4688" s="4">
        <v>33377</v>
      </c>
      <c r="C4688" s="5">
        <v>40755</v>
      </c>
      <c r="D4688" s="3" t="s">
        <v>89</v>
      </c>
      <c r="E4688" s="1" t="s">
        <v>927</v>
      </c>
      <c r="F4688" s="1" t="s">
        <v>8</v>
      </c>
      <c r="G4688" s="2" t="s">
        <v>6</v>
      </c>
      <c r="H4688" s="3" t="s">
        <v>88</v>
      </c>
      <c r="I4688" s="3" t="s">
        <v>85</v>
      </c>
      <c r="J4688" s="3" t="s">
        <v>66</v>
      </c>
      <c r="K4688" s="4">
        <v>100.4</v>
      </c>
      <c r="L4688" s="6">
        <v>5.18</v>
      </c>
    </row>
    <row r="4689" spans="1:12" x14ac:dyDescent="0.25">
      <c r="A4689" s="1">
        <v>4688</v>
      </c>
      <c r="B4689" s="4">
        <v>33377</v>
      </c>
      <c r="C4689" s="5">
        <v>40755</v>
      </c>
      <c r="D4689" s="3" t="s">
        <v>89</v>
      </c>
      <c r="E4689" s="1" t="s">
        <v>927</v>
      </c>
      <c r="F4689" s="1" t="s">
        <v>8</v>
      </c>
      <c r="G4689" s="2" t="s">
        <v>6</v>
      </c>
      <c r="H4689" s="3" t="s">
        <v>88</v>
      </c>
      <c r="I4689" s="3" t="s">
        <v>85</v>
      </c>
      <c r="J4689" s="3" t="s">
        <v>58</v>
      </c>
      <c r="K4689" s="4">
        <v>327.14999999999998</v>
      </c>
      <c r="L4689" s="6">
        <v>17.239999999999998</v>
      </c>
    </row>
    <row r="4690" spans="1:12" x14ac:dyDescent="0.25">
      <c r="A4690" s="1">
        <v>4689</v>
      </c>
      <c r="B4690" s="4">
        <v>33378</v>
      </c>
      <c r="C4690" s="5">
        <v>41026</v>
      </c>
      <c r="D4690" s="3" t="s">
        <v>89</v>
      </c>
      <c r="E4690" s="1" t="s">
        <v>1249</v>
      </c>
      <c r="F4690" s="1" t="s">
        <v>41</v>
      </c>
      <c r="G4690" s="2" t="s">
        <v>6</v>
      </c>
      <c r="H4690" s="3" t="s">
        <v>100</v>
      </c>
      <c r="I4690" s="3" t="s">
        <v>85</v>
      </c>
      <c r="J4690" s="3" t="s">
        <v>71</v>
      </c>
      <c r="K4690" s="4">
        <v>945.36</v>
      </c>
      <c r="L4690" s="6">
        <v>39.979999999999997</v>
      </c>
    </row>
    <row r="4691" spans="1:12" x14ac:dyDescent="0.25">
      <c r="A4691" s="1">
        <v>4690</v>
      </c>
      <c r="B4691" s="4">
        <v>33414</v>
      </c>
      <c r="C4691" s="5">
        <v>40949</v>
      </c>
      <c r="D4691" s="3" t="s">
        <v>86</v>
      </c>
      <c r="E4691" s="1" t="s">
        <v>193</v>
      </c>
      <c r="F4691" s="2" t="s">
        <v>42</v>
      </c>
      <c r="G4691" s="2" t="s">
        <v>3</v>
      </c>
      <c r="H4691" s="3" t="s">
        <v>84</v>
      </c>
      <c r="I4691" s="3" t="s">
        <v>85</v>
      </c>
      <c r="J4691" s="3" t="s">
        <v>63</v>
      </c>
      <c r="K4691" s="4">
        <v>37.22</v>
      </c>
      <c r="L4691" s="6">
        <v>4.13</v>
      </c>
    </row>
    <row r="4692" spans="1:12" x14ac:dyDescent="0.25">
      <c r="A4692" s="1">
        <v>4691</v>
      </c>
      <c r="B4692" s="4">
        <v>33444</v>
      </c>
      <c r="C4692" s="5">
        <v>41188</v>
      </c>
      <c r="D4692" s="3" t="s">
        <v>4</v>
      </c>
      <c r="E4692" s="1" t="s">
        <v>1000</v>
      </c>
      <c r="F4692" s="1" t="s">
        <v>8</v>
      </c>
      <c r="G4692" s="2" t="s">
        <v>6</v>
      </c>
      <c r="H4692" s="3" t="s">
        <v>88</v>
      </c>
      <c r="I4692" s="3" t="s">
        <v>85</v>
      </c>
      <c r="J4692" s="3" t="s">
        <v>63</v>
      </c>
      <c r="K4692" s="4">
        <v>30.51</v>
      </c>
      <c r="L4692" s="6">
        <v>2.6</v>
      </c>
    </row>
    <row r="4693" spans="1:12" x14ac:dyDescent="0.25">
      <c r="A4693" s="1">
        <v>4692</v>
      </c>
      <c r="B4693" s="4">
        <v>33444</v>
      </c>
      <c r="C4693" s="5">
        <v>41188</v>
      </c>
      <c r="D4693" s="3" t="s">
        <v>4</v>
      </c>
      <c r="E4693" s="1" t="s">
        <v>1000</v>
      </c>
      <c r="F4693" s="1" t="s">
        <v>8</v>
      </c>
      <c r="G4693" s="2" t="s">
        <v>6</v>
      </c>
      <c r="H4693" s="3" t="s">
        <v>88</v>
      </c>
      <c r="I4693" s="3" t="s">
        <v>85</v>
      </c>
      <c r="J4693" s="3" t="s">
        <v>57</v>
      </c>
      <c r="K4693" s="4">
        <v>127.8</v>
      </c>
      <c r="L4693" s="6">
        <v>14.97</v>
      </c>
    </row>
    <row r="4694" spans="1:12" x14ac:dyDescent="0.25">
      <c r="A4694" s="1">
        <v>4693</v>
      </c>
      <c r="B4694" s="4">
        <v>33445</v>
      </c>
      <c r="C4694" s="5">
        <v>41123</v>
      </c>
      <c r="D4694" s="3" t="s">
        <v>82</v>
      </c>
      <c r="E4694" s="1" t="s">
        <v>601</v>
      </c>
      <c r="F4694" s="1" t="s">
        <v>24</v>
      </c>
      <c r="G4694" s="2" t="s">
        <v>2</v>
      </c>
      <c r="H4694" s="3" t="s">
        <v>84</v>
      </c>
      <c r="I4694" s="3" t="s">
        <v>91</v>
      </c>
      <c r="J4694" s="3" t="s">
        <v>68</v>
      </c>
      <c r="K4694" s="4">
        <v>1776.96</v>
      </c>
      <c r="L4694" s="6">
        <v>100.98</v>
      </c>
    </row>
    <row r="4695" spans="1:12" x14ac:dyDescent="0.25">
      <c r="A4695" s="1">
        <v>4694</v>
      </c>
      <c r="B4695" s="4">
        <v>33445</v>
      </c>
      <c r="C4695" s="5">
        <v>41123</v>
      </c>
      <c r="D4695" s="3" t="s">
        <v>82</v>
      </c>
      <c r="E4695" s="1" t="s">
        <v>601</v>
      </c>
      <c r="F4695" s="1" t="s">
        <v>24</v>
      </c>
      <c r="G4695" s="2" t="s">
        <v>2</v>
      </c>
      <c r="H4695" s="3" t="s">
        <v>84</v>
      </c>
      <c r="I4695" s="3" t="s">
        <v>91</v>
      </c>
      <c r="J4695" s="3" t="s">
        <v>68</v>
      </c>
      <c r="K4695" s="4">
        <v>3642.14</v>
      </c>
      <c r="L4695" s="6">
        <v>70.98</v>
      </c>
    </row>
    <row r="4696" spans="1:12" x14ac:dyDescent="0.25">
      <c r="A4696" s="1">
        <v>4695</v>
      </c>
      <c r="B4696" s="4">
        <v>33445</v>
      </c>
      <c r="C4696" s="5">
        <v>41123</v>
      </c>
      <c r="D4696" s="3" t="s">
        <v>82</v>
      </c>
      <c r="E4696" s="1" t="s">
        <v>601</v>
      </c>
      <c r="F4696" s="1" t="s">
        <v>24</v>
      </c>
      <c r="G4696" s="2" t="s">
        <v>2</v>
      </c>
      <c r="H4696" s="3" t="s">
        <v>84</v>
      </c>
      <c r="I4696" s="3" t="s">
        <v>91</v>
      </c>
      <c r="J4696" s="3" t="s">
        <v>60</v>
      </c>
      <c r="K4696" s="4">
        <v>2982.5</v>
      </c>
      <c r="L4696" s="6">
        <v>182.55</v>
      </c>
    </row>
    <row r="4697" spans="1:12" x14ac:dyDescent="0.25">
      <c r="A4697" s="1">
        <v>4696</v>
      </c>
      <c r="B4697" s="4">
        <v>33473</v>
      </c>
      <c r="C4697" s="5">
        <v>40547</v>
      </c>
      <c r="D4697" s="3" t="s">
        <v>82</v>
      </c>
      <c r="E4697" s="1" t="s">
        <v>315</v>
      </c>
      <c r="F4697" s="1" t="s">
        <v>37</v>
      </c>
      <c r="G4697" s="2" t="s">
        <v>3</v>
      </c>
      <c r="H4697" s="3" t="s">
        <v>88</v>
      </c>
      <c r="I4697" s="3" t="s">
        <v>85</v>
      </c>
      <c r="J4697" s="3" t="s">
        <v>58</v>
      </c>
      <c r="K4697" s="4">
        <v>600.22</v>
      </c>
      <c r="L4697" s="6">
        <v>12.98</v>
      </c>
    </row>
    <row r="4698" spans="1:12" x14ac:dyDescent="0.25">
      <c r="A4698" s="1">
        <v>4697</v>
      </c>
      <c r="B4698" s="4">
        <v>33477</v>
      </c>
      <c r="C4698" s="5">
        <v>41201</v>
      </c>
      <c r="D4698" s="3" t="s">
        <v>89</v>
      </c>
      <c r="E4698" s="1" t="s">
        <v>1257</v>
      </c>
      <c r="F4698" s="1" t="s">
        <v>13</v>
      </c>
      <c r="G4698" s="2" t="s">
        <v>6</v>
      </c>
      <c r="H4698" s="3" t="s">
        <v>84</v>
      </c>
      <c r="I4698" s="3" t="s">
        <v>85</v>
      </c>
      <c r="J4698" s="3" t="s">
        <v>65</v>
      </c>
      <c r="K4698" s="4">
        <v>269.27999999999997</v>
      </c>
      <c r="L4698" s="6">
        <v>10.35</v>
      </c>
    </row>
    <row r="4699" spans="1:12" x14ac:dyDescent="0.25">
      <c r="A4699" s="1">
        <v>4698</v>
      </c>
      <c r="B4699" s="4">
        <v>33478</v>
      </c>
      <c r="C4699" s="5">
        <v>40343</v>
      </c>
      <c r="D4699" s="3" t="s">
        <v>89</v>
      </c>
      <c r="E4699" s="1" t="s">
        <v>486</v>
      </c>
      <c r="F4699" s="1" t="s">
        <v>31</v>
      </c>
      <c r="G4699" s="2" t="s">
        <v>1</v>
      </c>
      <c r="H4699" s="3" t="s">
        <v>100</v>
      </c>
      <c r="I4699" s="3" t="s">
        <v>85</v>
      </c>
      <c r="J4699" s="3" t="s">
        <v>66</v>
      </c>
      <c r="K4699" s="4">
        <v>125.9</v>
      </c>
      <c r="L4699" s="6">
        <v>5.88</v>
      </c>
    </row>
    <row r="4700" spans="1:12" x14ac:dyDescent="0.25">
      <c r="A4700" s="1">
        <v>4699</v>
      </c>
      <c r="B4700" s="4">
        <v>33479</v>
      </c>
      <c r="C4700" s="5">
        <v>41170</v>
      </c>
      <c r="D4700" s="3" t="s">
        <v>95</v>
      </c>
      <c r="E4700" s="1" t="s">
        <v>264</v>
      </c>
      <c r="F4700" s="1" t="s">
        <v>32</v>
      </c>
      <c r="G4700" s="2" t="s">
        <v>2</v>
      </c>
      <c r="H4700" s="3" t="s">
        <v>97</v>
      </c>
      <c r="I4700" s="3" t="s">
        <v>85</v>
      </c>
      <c r="J4700" s="3" t="s">
        <v>69</v>
      </c>
      <c r="K4700" s="4">
        <v>762.2</v>
      </c>
      <c r="L4700" s="6">
        <v>15.01</v>
      </c>
    </row>
    <row r="4701" spans="1:12" x14ac:dyDescent="0.25">
      <c r="A4701" s="1">
        <v>4700</v>
      </c>
      <c r="B4701" s="4">
        <v>33479</v>
      </c>
      <c r="C4701" s="5">
        <v>41170</v>
      </c>
      <c r="D4701" s="3" t="s">
        <v>95</v>
      </c>
      <c r="E4701" s="1" t="s">
        <v>264</v>
      </c>
      <c r="F4701" s="1" t="s">
        <v>32</v>
      </c>
      <c r="G4701" s="2" t="s">
        <v>2</v>
      </c>
      <c r="H4701" s="3" t="s">
        <v>97</v>
      </c>
      <c r="I4701" s="3" t="s">
        <v>85</v>
      </c>
      <c r="J4701" s="3" t="s">
        <v>66</v>
      </c>
      <c r="K4701" s="4">
        <v>235.45</v>
      </c>
      <c r="L4701" s="6">
        <v>8.56</v>
      </c>
    </row>
    <row r="4702" spans="1:12" x14ac:dyDescent="0.25">
      <c r="A4702" s="1">
        <v>4701</v>
      </c>
      <c r="B4702" s="4">
        <v>33479</v>
      </c>
      <c r="C4702" s="5">
        <v>41170</v>
      </c>
      <c r="D4702" s="3" t="s">
        <v>95</v>
      </c>
      <c r="E4702" s="1" t="s">
        <v>115</v>
      </c>
      <c r="F4702" s="1" t="s">
        <v>23</v>
      </c>
      <c r="G4702" s="2" t="s">
        <v>3</v>
      </c>
      <c r="H4702" s="3" t="s">
        <v>97</v>
      </c>
      <c r="I4702" s="3" t="s">
        <v>85</v>
      </c>
      <c r="J4702" s="3" t="s">
        <v>66</v>
      </c>
      <c r="K4702" s="4">
        <v>161.87</v>
      </c>
      <c r="L4702" s="6">
        <v>6.48</v>
      </c>
    </row>
    <row r="4703" spans="1:12" x14ac:dyDescent="0.25">
      <c r="A4703" s="1">
        <v>4702</v>
      </c>
      <c r="B4703" s="4">
        <v>33505</v>
      </c>
      <c r="C4703" s="5">
        <v>40446</v>
      </c>
      <c r="D4703" s="3" t="s">
        <v>82</v>
      </c>
      <c r="E4703" s="1" t="s">
        <v>228</v>
      </c>
      <c r="F4703" s="1" t="s">
        <v>18</v>
      </c>
      <c r="G4703" s="2" t="s">
        <v>6</v>
      </c>
      <c r="H4703" s="3" t="s">
        <v>100</v>
      </c>
      <c r="I4703" s="3" t="s">
        <v>85</v>
      </c>
      <c r="J4703" s="3" t="s">
        <v>66</v>
      </c>
      <c r="K4703" s="4">
        <v>117.78</v>
      </c>
      <c r="L4703" s="6">
        <v>4</v>
      </c>
    </row>
    <row r="4704" spans="1:12" x14ac:dyDescent="0.25">
      <c r="A4704" s="1">
        <v>4703</v>
      </c>
      <c r="B4704" s="4">
        <v>33505</v>
      </c>
      <c r="C4704" s="5">
        <v>40446</v>
      </c>
      <c r="D4704" s="3" t="s">
        <v>82</v>
      </c>
      <c r="E4704" s="1" t="s">
        <v>228</v>
      </c>
      <c r="F4704" s="1" t="s">
        <v>18</v>
      </c>
      <c r="G4704" s="2" t="s">
        <v>6</v>
      </c>
      <c r="H4704" s="3" t="s">
        <v>100</v>
      </c>
      <c r="I4704" s="3" t="s">
        <v>92</v>
      </c>
      <c r="J4704" s="3" t="s">
        <v>61</v>
      </c>
      <c r="K4704" s="4">
        <v>2463.2404999999999</v>
      </c>
      <c r="L4704" s="6">
        <v>85.99</v>
      </c>
    </row>
    <row r="4705" spans="1:12" x14ac:dyDescent="0.25">
      <c r="A4705" s="1">
        <v>4704</v>
      </c>
      <c r="B4705" s="4">
        <v>33510</v>
      </c>
      <c r="C4705" s="5">
        <v>40879</v>
      </c>
      <c r="D4705" s="3" t="s">
        <v>89</v>
      </c>
      <c r="E4705" s="1" t="s">
        <v>1067</v>
      </c>
      <c r="F4705" s="1" t="s">
        <v>34</v>
      </c>
      <c r="G4705" s="2" t="s">
        <v>1</v>
      </c>
      <c r="H4705" s="3" t="s">
        <v>88</v>
      </c>
      <c r="I4705" s="3" t="s">
        <v>91</v>
      </c>
      <c r="J4705" s="3" t="s">
        <v>59</v>
      </c>
      <c r="K4705" s="4">
        <v>267.06</v>
      </c>
      <c r="L4705" s="6">
        <v>6.24</v>
      </c>
    </row>
    <row r="4706" spans="1:12" x14ac:dyDescent="0.25">
      <c r="A4706" s="1">
        <v>4705</v>
      </c>
      <c r="B4706" s="4">
        <v>33510</v>
      </c>
      <c r="C4706" s="5">
        <v>40879</v>
      </c>
      <c r="D4706" s="3" t="s">
        <v>89</v>
      </c>
      <c r="E4706" s="1" t="s">
        <v>1067</v>
      </c>
      <c r="F4706" s="1" t="s">
        <v>34</v>
      </c>
      <c r="G4706" s="2" t="s">
        <v>1</v>
      </c>
      <c r="H4706" s="3" t="s">
        <v>88</v>
      </c>
      <c r="I4706" s="3" t="s">
        <v>85</v>
      </c>
      <c r="J4706" s="3" t="s">
        <v>66</v>
      </c>
      <c r="K4706" s="4">
        <v>449.79</v>
      </c>
      <c r="L4706" s="6">
        <v>40.99</v>
      </c>
    </row>
    <row r="4707" spans="1:12" x14ac:dyDescent="0.25">
      <c r="A4707" s="1">
        <v>4706</v>
      </c>
      <c r="B4707" s="4">
        <v>33537</v>
      </c>
      <c r="C4707" s="5">
        <v>40403</v>
      </c>
      <c r="D4707" s="3" t="s">
        <v>4</v>
      </c>
      <c r="E4707" s="1" t="s">
        <v>1172</v>
      </c>
      <c r="F4707" s="1" t="s">
        <v>23</v>
      </c>
      <c r="G4707" s="2" t="s">
        <v>3</v>
      </c>
      <c r="H4707" s="3" t="s">
        <v>88</v>
      </c>
      <c r="I4707" s="3" t="s">
        <v>85</v>
      </c>
      <c r="J4707" s="3" t="s">
        <v>63</v>
      </c>
      <c r="K4707" s="4">
        <v>45.38</v>
      </c>
      <c r="L4707" s="6">
        <v>1.76</v>
      </c>
    </row>
    <row r="4708" spans="1:12" x14ac:dyDescent="0.25">
      <c r="A4708" s="1">
        <v>4707</v>
      </c>
      <c r="B4708" s="4">
        <v>33537</v>
      </c>
      <c r="C4708" s="5">
        <v>40403</v>
      </c>
      <c r="D4708" s="3" t="s">
        <v>4</v>
      </c>
      <c r="E4708" s="1" t="s">
        <v>1172</v>
      </c>
      <c r="F4708" s="1" t="s">
        <v>23</v>
      </c>
      <c r="G4708" s="2" t="s">
        <v>3</v>
      </c>
      <c r="H4708" s="3" t="s">
        <v>88</v>
      </c>
      <c r="I4708" s="3" t="s">
        <v>92</v>
      </c>
      <c r="J4708" s="3" t="s">
        <v>61</v>
      </c>
      <c r="K4708" s="4">
        <v>163.31049999999999</v>
      </c>
      <c r="L4708" s="6">
        <v>20.99</v>
      </c>
    </row>
    <row r="4709" spans="1:12" x14ac:dyDescent="0.25">
      <c r="A4709" s="1">
        <v>4708</v>
      </c>
      <c r="B4709" s="4">
        <v>33540</v>
      </c>
      <c r="C4709" s="5">
        <v>40700</v>
      </c>
      <c r="D4709" s="3" t="s">
        <v>82</v>
      </c>
      <c r="E4709" s="1" t="s">
        <v>1273</v>
      </c>
      <c r="F4709" s="1" t="s">
        <v>31</v>
      </c>
      <c r="G4709" s="2" t="s">
        <v>1</v>
      </c>
      <c r="H4709" s="3" t="s">
        <v>100</v>
      </c>
      <c r="I4709" s="3" t="s">
        <v>85</v>
      </c>
      <c r="J4709" s="3" t="s">
        <v>63</v>
      </c>
      <c r="K4709" s="4">
        <v>190.99</v>
      </c>
      <c r="L4709" s="6">
        <v>9.85</v>
      </c>
    </row>
    <row r="4710" spans="1:12" x14ac:dyDescent="0.25">
      <c r="A4710" s="1">
        <v>4709</v>
      </c>
      <c r="B4710" s="4">
        <v>33541</v>
      </c>
      <c r="C4710" s="5">
        <v>41079</v>
      </c>
      <c r="D4710" s="3" t="s">
        <v>95</v>
      </c>
      <c r="E4710" s="1" t="s">
        <v>693</v>
      </c>
      <c r="F4710" s="1" t="s">
        <v>34</v>
      </c>
      <c r="G4710" s="2" t="s">
        <v>1</v>
      </c>
      <c r="H4710" s="3" t="s">
        <v>84</v>
      </c>
      <c r="I4710" s="3" t="s">
        <v>91</v>
      </c>
      <c r="J4710" s="3" t="s">
        <v>59</v>
      </c>
      <c r="K4710" s="4">
        <v>512.78</v>
      </c>
      <c r="L4710" s="6">
        <v>12.2</v>
      </c>
    </row>
    <row r="4711" spans="1:12" x14ac:dyDescent="0.25">
      <c r="A4711" s="1">
        <v>4710</v>
      </c>
      <c r="B4711" s="4">
        <v>33568</v>
      </c>
      <c r="C4711" s="5">
        <v>41111</v>
      </c>
      <c r="D4711" s="3" t="s">
        <v>4</v>
      </c>
      <c r="E4711" s="1" t="s">
        <v>204</v>
      </c>
      <c r="F4711" s="1" t="s">
        <v>12</v>
      </c>
      <c r="G4711" s="2" t="s">
        <v>2</v>
      </c>
      <c r="H4711" s="3" t="s">
        <v>84</v>
      </c>
      <c r="I4711" s="3" t="s">
        <v>91</v>
      </c>
      <c r="J4711" s="3" t="s">
        <v>59</v>
      </c>
      <c r="K4711" s="4">
        <v>628.73</v>
      </c>
      <c r="L4711" s="6">
        <v>55.5</v>
      </c>
    </row>
    <row r="4712" spans="1:12" x14ac:dyDescent="0.25">
      <c r="A4712" s="1">
        <v>4711</v>
      </c>
      <c r="B4712" s="4">
        <v>33568</v>
      </c>
      <c r="C4712" s="5">
        <v>41111</v>
      </c>
      <c r="D4712" s="3" t="s">
        <v>4</v>
      </c>
      <c r="E4712" s="1" t="s">
        <v>204</v>
      </c>
      <c r="F4712" s="1" t="s">
        <v>12</v>
      </c>
      <c r="G4712" s="2" t="s">
        <v>2</v>
      </c>
      <c r="H4712" s="3" t="s">
        <v>84</v>
      </c>
      <c r="I4712" s="3" t="s">
        <v>85</v>
      </c>
      <c r="J4712" s="3" t="s">
        <v>57</v>
      </c>
      <c r="K4712" s="4">
        <v>385.81</v>
      </c>
      <c r="L4712" s="6">
        <v>15.51</v>
      </c>
    </row>
    <row r="4713" spans="1:12" x14ac:dyDescent="0.25">
      <c r="A4713" s="1">
        <v>4712</v>
      </c>
      <c r="B4713" s="4">
        <v>33569</v>
      </c>
      <c r="C4713" s="5">
        <v>40053</v>
      </c>
      <c r="D4713" s="3" t="s">
        <v>82</v>
      </c>
      <c r="E4713" s="1" t="s">
        <v>510</v>
      </c>
      <c r="F4713" s="1" t="s">
        <v>23</v>
      </c>
      <c r="G4713" s="2" t="s">
        <v>3</v>
      </c>
      <c r="H4713" s="3" t="s">
        <v>100</v>
      </c>
      <c r="I4713" s="3" t="s">
        <v>91</v>
      </c>
      <c r="J4713" s="3" t="s">
        <v>59</v>
      </c>
      <c r="K4713" s="4">
        <v>123.92</v>
      </c>
      <c r="L4713" s="6">
        <v>14.2</v>
      </c>
    </row>
    <row r="4714" spans="1:12" x14ac:dyDescent="0.25">
      <c r="A4714" s="1">
        <v>4713</v>
      </c>
      <c r="B4714" s="4">
        <v>33570</v>
      </c>
      <c r="C4714" s="5">
        <v>41259</v>
      </c>
      <c r="D4714" s="3" t="s">
        <v>86</v>
      </c>
      <c r="E4714" s="1" t="s">
        <v>620</v>
      </c>
      <c r="F4714" s="1" t="s">
        <v>25</v>
      </c>
      <c r="G4714" s="2" t="s">
        <v>6</v>
      </c>
      <c r="H4714" s="3" t="s">
        <v>88</v>
      </c>
      <c r="I4714" s="3" t="s">
        <v>85</v>
      </c>
      <c r="J4714" s="3" t="s">
        <v>69</v>
      </c>
      <c r="K4714" s="4">
        <v>265.88</v>
      </c>
      <c r="L4714" s="6">
        <v>5.74</v>
      </c>
    </row>
    <row r="4715" spans="1:12" x14ac:dyDescent="0.25">
      <c r="A4715" s="1">
        <v>4714</v>
      </c>
      <c r="B4715" s="4">
        <v>33570</v>
      </c>
      <c r="C4715" s="5">
        <v>41259</v>
      </c>
      <c r="D4715" s="3" t="s">
        <v>86</v>
      </c>
      <c r="E4715" s="1" t="s">
        <v>620</v>
      </c>
      <c r="F4715" s="1" t="s">
        <v>25</v>
      </c>
      <c r="G4715" s="2" t="s">
        <v>6</v>
      </c>
      <c r="H4715" s="3" t="s">
        <v>88</v>
      </c>
      <c r="I4715" s="3" t="s">
        <v>92</v>
      </c>
      <c r="J4715" s="3" t="s">
        <v>67</v>
      </c>
      <c r="K4715" s="4">
        <v>1500.82</v>
      </c>
      <c r="L4715" s="6">
        <v>1500.97</v>
      </c>
    </row>
    <row r="4716" spans="1:12" x14ac:dyDescent="0.25">
      <c r="A4716" s="1">
        <v>4715</v>
      </c>
      <c r="B4716" s="4">
        <v>33570</v>
      </c>
      <c r="C4716" s="5">
        <v>41259</v>
      </c>
      <c r="D4716" s="3" t="s">
        <v>86</v>
      </c>
      <c r="E4716" s="1" t="s">
        <v>620</v>
      </c>
      <c r="F4716" s="1" t="s">
        <v>25</v>
      </c>
      <c r="G4716" s="2" t="s">
        <v>6</v>
      </c>
      <c r="H4716" s="3" t="s">
        <v>88</v>
      </c>
      <c r="I4716" s="3" t="s">
        <v>92</v>
      </c>
      <c r="J4716" s="3" t="s">
        <v>61</v>
      </c>
      <c r="K4716" s="4">
        <v>3093.864</v>
      </c>
      <c r="L4716" s="6">
        <v>205.99</v>
      </c>
    </row>
    <row r="4717" spans="1:12" x14ac:dyDescent="0.25">
      <c r="A4717" s="1">
        <v>4716</v>
      </c>
      <c r="B4717" s="4">
        <v>33571</v>
      </c>
      <c r="C4717" s="5">
        <v>40827</v>
      </c>
      <c r="D4717" s="3" t="s">
        <v>4</v>
      </c>
      <c r="E4717" s="1" t="s">
        <v>704</v>
      </c>
      <c r="F4717" s="1" t="s">
        <v>23</v>
      </c>
      <c r="G4717" s="2" t="s">
        <v>3</v>
      </c>
      <c r="H4717" s="3" t="s">
        <v>100</v>
      </c>
      <c r="I4717" s="3" t="s">
        <v>91</v>
      </c>
      <c r="J4717" s="3" t="s">
        <v>59</v>
      </c>
      <c r="K4717" s="4">
        <v>7.15</v>
      </c>
      <c r="L4717" s="6">
        <v>5.08</v>
      </c>
    </row>
    <row r="4718" spans="1:12" x14ac:dyDescent="0.25">
      <c r="A4718" s="1">
        <v>4717</v>
      </c>
      <c r="B4718" s="4">
        <v>33573</v>
      </c>
      <c r="C4718" s="5">
        <v>40455</v>
      </c>
      <c r="D4718" s="3" t="s">
        <v>95</v>
      </c>
      <c r="E4718" s="1" t="s">
        <v>1067</v>
      </c>
      <c r="F4718" s="1" t="s">
        <v>34</v>
      </c>
      <c r="G4718" s="2" t="s">
        <v>1</v>
      </c>
      <c r="H4718" s="3" t="s">
        <v>88</v>
      </c>
      <c r="I4718" s="3" t="s">
        <v>91</v>
      </c>
      <c r="J4718" s="3" t="s">
        <v>60</v>
      </c>
      <c r="K4718" s="4">
        <v>2272.56</v>
      </c>
      <c r="L4718" s="6">
        <v>150.97999999999999</v>
      </c>
    </row>
    <row r="4719" spans="1:12" x14ac:dyDescent="0.25">
      <c r="A4719" s="1">
        <v>4718</v>
      </c>
      <c r="B4719" s="4">
        <v>33600</v>
      </c>
      <c r="C4719" s="5">
        <v>40457</v>
      </c>
      <c r="D4719" s="3" t="s">
        <v>82</v>
      </c>
      <c r="E4719" s="1" t="s">
        <v>1121</v>
      </c>
      <c r="F4719" s="1" t="s">
        <v>28</v>
      </c>
      <c r="G4719" s="2" t="s">
        <v>6</v>
      </c>
      <c r="H4719" s="3" t="s">
        <v>88</v>
      </c>
      <c r="I4719" s="3" t="s">
        <v>85</v>
      </c>
      <c r="J4719" s="3" t="s">
        <v>66</v>
      </c>
      <c r="K4719" s="4">
        <v>187.28</v>
      </c>
      <c r="L4719" s="6">
        <v>4.28</v>
      </c>
    </row>
    <row r="4720" spans="1:12" x14ac:dyDescent="0.25">
      <c r="A4720" s="1">
        <v>4719</v>
      </c>
      <c r="B4720" s="4">
        <v>33604</v>
      </c>
      <c r="C4720" s="5">
        <v>40773</v>
      </c>
      <c r="D4720" s="3" t="s">
        <v>89</v>
      </c>
      <c r="E4720" s="1" t="s">
        <v>742</v>
      </c>
      <c r="F4720" s="1" t="s">
        <v>24</v>
      </c>
      <c r="G4720" s="2" t="s">
        <v>2</v>
      </c>
      <c r="H4720" s="3" t="s">
        <v>88</v>
      </c>
      <c r="I4720" s="3" t="s">
        <v>85</v>
      </c>
      <c r="J4720" s="3" t="s">
        <v>69</v>
      </c>
      <c r="K4720" s="4">
        <v>59.62</v>
      </c>
      <c r="L4720" s="6">
        <v>5.4</v>
      </c>
    </row>
    <row r="4721" spans="1:12" x14ac:dyDescent="0.25">
      <c r="A4721" s="1">
        <v>4720</v>
      </c>
      <c r="B4721" s="4">
        <v>33605</v>
      </c>
      <c r="C4721" s="5">
        <v>41002</v>
      </c>
      <c r="D4721" s="3" t="s">
        <v>95</v>
      </c>
      <c r="E4721" s="1" t="s">
        <v>1015</v>
      </c>
      <c r="F4721" s="1" t="s">
        <v>16</v>
      </c>
      <c r="G4721" s="2" t="s">
        <v>3</v>
      </c>
      <c r="H4721" s="3" t="s">
        <v>88</v>
      </c>
      <c r="I4721" s="3" t="s">
        <v>85</v>
      </c>
      <c r="J4721" s="3" t="s">
        <v>69</v>
      </c>
      <c r="K4721" s="4">
        <v>153.01</v>
      </c>
      <c r="L4721" s="6">
        <v>3.52</v>
      </c>
    </row>
    <row r="4722" spans="1:12" x14ac:dyDescent="0.25">
      <c r="A4722" s="1">
        <v>4721</v>
      </c>
      <c r="B4722" s="4">
        <v>33606</v>
      </c>
      <c r="C4722" s="5">
        <v>40969</v>
      </c>
      <c r="D4722" s="3" t="s">
        <v>89</v>
      </c>
      <c r="E4722" s="1" t="s">
        <v>842</v>
      </c>
      <c r="F4722" s="1" t="s">
        <v>15</v>
      </c>
      <c r="G4722" s="2" t="s">
        <v>1</v>
      </c>
      <c r="H4722" s="3" t="s">
        <v>84</v>
      </c>
      <c r="I4722" s="3" t="s">
        <v>91</v>
      </c>
      <c r="J4722" s="3" t="s">
        <v>59</v>
      </c>
      <c r="K4722" s="4">
        <v>410.03</v>
      </c>
      <c r="L4722" s="6">
        <v>8.75</v>
      </c>
    </row>
    <row r="4723" spans="1:12" x14ac:dyDescent="0.25">
      <c r="A4723" s="1">
        <v>4722</v>
      </c>
      <c r="B4723" s="4">
        <v>33632</v>
      </c>
      <c r="C4723" s="5">
        <v>40250</v>
      </c>
      <c r="D4723" s="3" t="s">
        <v>95</v>
      </c>
      <c r="E4723" s="1" t="s">
        <v>1199</v>
      </c>
      <c r="F4723" s="1" t="s">
        <v>28</v>
      </c>
      <c r="G4723" s="2" t="s">
        <v>6</v>
      </c>
      <c r="H4723" s="3" t="s">
        <v>97</v>
      </c>
      <c r="I4723" s="3" t="s">
        <v>92</v>
      </c>
      <c r="J4723" s="3" t="s">
        <v>61</v>
      </c>
      <c r="K4723" s="4">
        <v>763.6484999999999</v>
      </c>
      <c r="L4723" s="6">
        <v>115.99</v>
      </c>
    </row>
    <row r="4724" spans="1:12" x14ac:dyDescent="0.25">
      <c r="A4724" s="1">
        <v>4723</v>
      </c>
      <c r="B4724" s="4">
        <v>33634</v>
      </c>
      <c r="C4724" s="5">
        <v>40421</v>
      </c>
      <c r="D4724" s="3" t="s">
        <v>86</v>
      </c>
      <c r="E4724" s="1" t="s">
        <v>420</v>
      </c>
      <c r="F4724" s="1" t="s">
        <v>12</v>
      </c>
      <c r="G4724" s="2" t="s">
        <v>2</v>
      </c>
      <c r="H4724" s="3" t="s">
        <v>84</v>
      </c>
      <c r="I4724" s="3" t="s">
        <v>85</v>
      </c>
      <c r="J4724" s="3" t="s">
        <v>66</v>
      </c>
      <c r="K4724" s="4">
        <v>271.33999999999997</v>
      </c>
      <c r="L4724" s="6">
        <v>6.48</v>
      </c>
    </row>
    <row r="4725" spans="1:12" x14ac:dyDescent="0.25">
      <c r="A4725" s="1">
        <v>4724</v>
      </c>
      <c r="B4725" s="4">
        <v>33635</v>
      </c>
      <c r="C4725" s="5">
        <v>40006</v>
      </c>
      <c r="D4725" s="3" t="s">
        <v>89</v>
      </c>
      <c r="E4725" s="1" t="s">
        <v>148</v>
      </c>
      <c r="F4725" s="1" t="s">
        <v>35</v>
      </c>
      <c r="G4725" s="2" t="s">
        <v>1</v>
      </c>
      <c r="H4725" s="3" t="s">
        <v>84</v>
      </c>
      <c r="I4725" s="3" t="s">
        <v>92</v>
      </c>
      <c r="J4725" s="3" t="s">
        <v>67</v>
      </c>
      <c r="K4725" s="4">
        <v>477.76</v>
      </c>
      <c r="L4725" s="6">
        <v>90.97</v>
      </c>
    </row>
    <row r="4726" spans="1:12" x14ac:dyDescent="0.25">
      <c r="A4726" s="1">
        <v>4725</v>
      </c>
      <c r="B4726" s="4">
        <v>33635</v>
      </c>
      <c r="C4726" s="5">
        <v>40006</v>
      </c>
      <c r="D4726" s="3" t="s">
        <v>89</v>
      </c>
      <c r="E4726" s="1" t="s">
        <v>148</v>
      </c>
      <c r="F4726" s="1" t="s">
        <v>35</v>
      </c>
      <c r="G4726" s="2" t="s">
        <v>1</v>
      </c>
      <c r="H4726" s="3" t="s">
        <v>84</v>
      </c>
      <c r="I4726" s="3" t="s">
        <v>85</v>
      </c>
      <c r="J4726" s="3" t="s">
        <v>57</v>
      </c>
      <c r="K4726" s="4">
        <v>112.18</v>
      </c>
      <c r="L4726" s="6">
        <v>20.34</v>
      </c>
    </row>
    <row r="4727" spans="1:12" x14ac:dyDescent="0.25">
      <c r="A4727" s="1">
        <v>4726</v>
      </c>
      <c r="B4727" s="4">
        <v>33637</v>
      </c>
      <c r="C4727" s="5">
        <v>41237</v>
      </c>
      <c r="D4727" s="3" t="s">
        <v>82</v>
      </c>
      <c r="E4727" s="1" t="s">
        <v>1153</v>
      </c>
      <c r="F4727" s="1" t="s">
        <v>23</v>
      </c>
      <c r="G4727" s="2" t="s">
        <v>3</v>
      </c>
      <c r="H4727" s="3" t="s">
        <v>84</v>
      </c>
      <c r="I4727" s="3" t="s">
        <v>91</v>
      </c>
      <c r="J4727" s="3" t="s">
        <v>59</v>
      </c>
      <c r="K4727" s="4">
        <v>192.21</v>
      </c>
      <c r="L4727" s="6">
        <v>5.47</v>
      </c>
    </row>
    <row r="4728" spans="1:12" x14ac:dyDescent="0.25">
      <c r="A4728" s="1">
        <v>4727</v>
      </c>
      <c r="B4728" s="4">
        <v>33665</v>
      </c>
      <c r="C4728" s="5">
        <v>40688</v>
      </c>
      <c r="D4728" s="3" t="s">
        <v>82</v>
      </c>
      <c r="E4728" s="1" t="s">
        <v>1289</v>
      </c>
      <c r="F4728" s="1" t="s">
        <v>28</v>
      </c>
      <c r="G4728" s="2" t="s">
        <v>6</v>
      </c>
      <c r="H4728" s="3" t="s">
        <v>88</v>
      </c>
      <c r="I4728" s="3" t="s">
        <v>91</v>
      </c>
      <c r="J4728" s="3" t="s">
        <v>72</v>
      </c>
      <c r="K4728" s="4">
        <v>12457.63</v>
      </c>
      <c r="L4728" s="6">
        <v>284.98</v>
      </c>
    </row>
    <row r="4729" spans="1:12" x14ac:dyDescent="0.25">
      <c r="A4729" s="1">
        <v>4728</v>
      </c>
      <c r="B4729" s="4">
        <v>33666</v>
      </c>
      <c r="C4729" s="5">
        <v>41106</v>
      </c>
      <c r="D4729" s="3" t="s">
        <v>86</v>
      </c>
      <c r="E4729" s="1" t="s">
        <v>842</v>
      </c>
      <c r="F4729" s="1" t="s">
        <v>15</v>
      </c>
      <c r="G4729" s="2" t="s">
        <v>1</v>
      </c>
      <c r="H4729" s="3" t="s">
        <v>97</v>
      </c>
      <c r="I4729" s="3" t="s">
        <v>91</v>
      </c>
      <c r="J4729" s="3" t="s">
        <v>60</v>
      </c>
      <c r="K4729" s="4">
        <v>3801.27</v>
      </c>
      <c r="L4729" s="6">
        <v>209.37</v>
      </c>
    </row>
    <row r="4730" spans="1:12" x14ac:dyDescent="0.25">
      <c r="A4730" s="1">
        <v>4729</v>
      </c>
      <c r="B4730" s="4">
        <v>33670</v>
      </c>
      <c r="C4730" s="5">
        <v>41026</v>
      </c>
      <c r="D4730" s="3" t="s">
        <v>89</v>
      </c>
      <c r="E4730" s="1" t="s">
        <v>1290</v>
      </c>
      <c r="F4730" s="1" t="s">
        <v>23</v>
      </c>
      <c r="G4730" s="2" t="s">
        <v>3</v>
      </c>
      <c r="H4730" s="3" t="s">
        <v>97</v>
      </c>
      <c r="I4730" s="3" t="s">
        <v>85</v>
      </c>
      <c r="J4730" s="3" t="s">
        <v>63</v>
      </c>
      <c r="K4730" s="4">
        <v>207.54</v>
      </c>
      <c r="L4730" s="6">
        <v>4.13</v>
      </c>
    </row>
    <row r="4731" spans="1:12" x14ac:dyDescent="0.25">
      <c r="A4731" s="1">
        <v>4730</v>
      </c>
      <c r="B4731" s="4">
        <v>33670</v>
      </c>
      <c r="C4731" s="5">
        <v>41026</v>
      </c>
      <c r="D4731" s="3" t="s">
        <v>89</v>
      </c>
      <c r="E4731" s="1" t="s">
        <v>1290</v>
      </c>
      <c r="F4731" s="1" t="s">
        <v>23</v>
      </c>
      <c r="G4731" s="2" t="s">
        <v>3</v>
      </c>
      <c r="H4731" s="3" t="s">
        <v>97</v>
      </c>
      <c r="I4731" s="3" t="s">
        <v>85</v>
      </c>
      <c r="J4731" s="3" t="s">
        <v>63</v>
      </c>
      <c r="K4731" s="4">
        <v>17.329999999999998</v>
      </c>
      <c r="L4731" s="6">
        <v>3.28</v>
      </c>
    </row>
    <row r="4732" spans="1:12" x14ac:dyDescent="0.25">
      <c r="A4732" s="1">
        <v>4731</v>
      </c>
      <c r="B4732" s="4">
        <v>33696</v>
      </c>
      <c r="C4732" s="5">
        <v>39940</v>
      </c>
      <c r="D4732" s="3" t="s">
        <v>89</v>
      </c>
      <c r="E4732" s="1" t="s">
        <v>373</v>
      </c>
      <c r="F4732" s="1" t="s">
        <v>24</v>
      </c>
      <c r="G4732" s="2" t="s">
        <v>2</v>
      </c>
      <c r="H4732" s="3" t="s">
        <v>84</v>
      </c>
      <c r="I4732" s="3" t="s">
        <v>92</v>
      </c>
      <c r="J4732" s="3" t="s">
        <v>62</v>
      </c>
      <c r="K4732" s="4">
        <v>57.73</v>
      </c>
      <c r="L4732" s="6">
        <v>27.48</v>
      </c>
    </row>
    <row r="4733" spans="1:12" x14ac:dyDescent="0.25">
      <c r="A4733" s="1">
        <v>4732</v>
      </c>
      <c r="B4733" s="4">
        <v>33699</v>
      </c>
      <c r="C4733" s="5">
        <v>40020</v>
      </c>
      <c r="D4733" s="3" t="s">
        <v>82</v>
      </c>
      <c r="E4733" s="1" t="s">
        <v>1291</v>
      </c>
      <c r="F4733" s="1" t="s">
        <v>39</v>
      </c>
      <c r="G4733" s="2" t="s">
        <v>1</v>
      </c>
      <c r="H4733" s="3" t="s">
        <v>84</v>
      </c>
      <c r="I4733" s="3" t="s">
        <v>85</v>
      </c>
      <c r="J4733" s="3" t="s">
        <v>57</v>
      </c>
      <c r="K4733" s="4">
        <v>290.07</v>
      </c>
      <c r="L4733" s="6">
        <v>16.739999999999998</v>
      </c>
    </row>
    <row r="4734" spans="1:12" x14ac:dyDescent="0.25">
      <c r="A4734" s="1">
        <v>4733</v>
      </c>
      <c r="B4734" s="4">
        <v>33699</v>
      </c>
      <c r="C4734" s="5">
        <v>40020</v>
      </c>
      <c r="D4734" s="3" t="s">
        <v>82</v>
      </c>
      <c r="E4734" s="1" t="s">
        <v>699</v>
      </c>
      <c r="F4734" s="1" t="s">
        <v>20</v>
      </c>
      <c r="G4734" s="2" t="s">
        <v>1</v>
      </c>
      <c r="H4734" s="3" t="s">
        <v>84</v>
      </c>
      <c r="I4734" s="3" t="s">
        <v>91</v>
      </c>
      <c r="J4734" s="3" t="s">
        <v>72</v>
      </c>
      <c r="K4734" s="4">
        <v>1619.51</v>
      </c>
      <c r="L4734" s="6">
        <v>122.99</v>
      </c>
    </row>
    <row r="4735" spans="1:12" x14ac:dyDescent="0.25">
      <c r="A4735" s="1">
        <v>4734</v>
      </c>
      <c r="B4735" s="4">
        <v>33699</v>
      </c>
      <c r="C4735" s="5">
        <v>40020</v>
      </c>
      <c r="D4735" s="3" t="s">
        <v>82</v>
      </c>
      <c r="E4735" s="1" t="s">
        <v>193</v>
      </c>
      <c r="F4735" s="1" t="s">
        <v>39</v>
      </c>
      <c r="G4735" s="2" t="s">
        <v>1</v>
      </c>
      <c r="H4735" s="3" t="s">
        <v>84</v>
      </c>
      <c r="I4735" s="3" t="s">
        <v>85</v>
      </c>
      <c r="J4735" s="3" t="s">
        <v>66</v>
      </c>
      <c r="K4735" s="4">
        <v>196.81</v>
      </c>
      <c r="L4735" s="6">
        <v>6.45</v>
      </c>
    </row>
    <row r="4736" spans="1:12" x14ac:dyDescent="0.25">
      <c r="A4736" s="1">
        <v>4735</v>
      </c>
      <c r="B4736" s="4">
        <v>33700</v>
      </c>
      <c r="C4736" s="5">
        <v>40640</v>
      </c>
      <c r="D4736" s="3" t="s">
        <v>82</v>
      </c>
      <c r="E4736" s="1" t="s">
        <v>1020</v>
      </c>
      <c r="F4736" s="1" t="s">
        <v>54</v>
      </c>
      <c r="G4736" s="2" t="s">
        <v>2</v>
      </c>
      <c r="H4736" s="3" t="s">
        <v>88</v>
      </c>
      <c r="I4736" s="3" t="s">
        <v>85</v>
      </c>
      <c r="J4736" s="3" t="s">
        <v>66</v>
      </c>
      <c r="K4736" s="4">
        <v>260.13</v>
      </c>
      <c r="L4736" s="6">
        <v>6.48</v>
      </c>
    </row>
    <row r="4737" spans="1:12" x14ac:dyDescent="0.25">
      <c r="A4737" s="1">
        <v>4736</v>
      </c>
      <c r="B4737" s="4">
        <v>33701</v>
      </c>
      <c r="C4737" s="5">
        <v>40087</v>
      </c>
      <c r="D4737" s="3" t="s">
        <v>4</v>
      </c>
      <c r="E4737" s="1" t="s">
        <v>495</v>
      </c>
      <c r="F4737" s="1" t="s">
        <v>52</v>
      </c>
      <c r="G4737" s="2" t="s">
        <v>3</v>
      </c>
      <c r="H4737" s="3" t="s">
        <v>100</v>
      </c>
      <c r="I4737" s="3" t="s">
        <v>85</v>
      </c>
      <c r="J4737" s="3" t="s">
        <v>69</v>
      </c>
      <c r="K4737" s="4">
        <v>2333.06</v>
      </c>
      <c r="L4737" s="6">
        <v>67.28</v>
      </c>
    </row>
    <row r="4738" spans="1:12" x14ac:dyDescent="0.25">
      <c r="A4738" s="1">
        <v>4737</v>
      </c>
      <c r="B4738" s="4">
        <v>33702</v>
      </c>
      <c r="C4738" s="5">
        <v>41154</v>
      </c>
      <c r="D4738" s="3" t="s">
        <v>86</v>
      </c>
      <c r="E4738" s="1" t="s">
        <v>1105</v>
      </c>
      <c r="F4738" s="1" t="s">
        <v>24</v>
      </c>
      <c r="G4738" s="2" t="s">
        <v>2</v>
      </c>
      <c r="H4738" s="3" t="s">
        <v>88</v>
      </c>
      <c r="I4738" s="3" t="s">
        <v>85</v>
      </c>
      <c r="J4738" s="3" t="s">
        <v>65</v>
      </c>
      <c r="K4738" s="4">
        <v>56.26</v>
      </c>
      <c r="L4738" s="6">
        <v>2.89</v>
      </c>
    </row>
    <row r="4739" spans="1:12" x14ac:dyDescent="0.25">
      <c r="A4739" s="1">
        <v>4738</v>
      </c>
      <c r="B4739" s="4">
        <v>33703</v>
      </c>
      <c r="C4739" s="5">
        <v>40215</v>
      </c>
      <c r="D4739" s="3" t="s">
        <v>86</v>
      </c>
      <c r="E4739" s="1" t="s">
        <v>153</v>
      </c>
      <c r="F4739" s="1" t="s">
        <v>8</v>
      </c>
      <c r="G4739" s="2" t="s">
        <v>6</v>
      </c>
      <c r="H4739" s="3" t="s">
        <v>88</v>
      </c>
      <c r="I4739" s="3" t="s">
        <v>92</v>
      </c>
      <c r="J4739" s="3" t="s">
        <v>62</v>
      </c>
      <c r="K4739" s="4">
        <v>242.36</v>
      </c>
      <c r="L4739" s="6">
        <v>60.98</v>
      </c>
    </row>
    <row r="4740" spans="1:12" x14ac:dyDescent="0.25">
      <c r="A4740" s="1">
        <v>4739</v>
      </c>
      <c r="B4740" s="4">
        <v>33703</v>
      </c>
      <c r="C4740" s="5">
        <v>40215</v>
      </c>
      <c r="D4740" s="3" t="s">
        <v>86</v>
      </c>
      <c r="E4740" s="1" t="s">
        <v>153</v>
      </c>
      <c r="F4740" s="1" t="s">
        <v>8</v>
      </c>
      <c r="G4740" s="2" t="s">
        <v>6</v>
      </c>
      <c r="H4740" s="3" t="s">
        <v>88</v>
      </c>
      <c r="I4740" s="3" t="s">
        <v>85</v>
      </c>
      <c r="J4740" s="3" t="s">
        <v>57</v>
      </c>
      <c r="K4740" s="4">
        <v>802.19</v>
      </c>
      <c r="L4740" s="6">
        <v>29.74</v>
      </c>
    </row>
    <row r="4741" spans="1:12" x14ac:dyDescent="0.25">
      <c r="A4741" s="1">
        <v>4740</v>
      </c>
      <c r="B4741" s="4">
        <v>33703</v>
      </c>
      <c r="C4741" s="5">
        <v>40215</v>
      </c>
      <c r="D4741" s="3" t="s">
        <v>86</v>
      </c>
      <c r="E4741" s="1" t="s">
        <v>153</v>
      </c>
      <c r="F4741" s="1" t="s">
        <v>8</v>
      </c>
      <c r="G4741" s="2" t="s">
        <v>6</v>
      </c>
      <c r="H4741" s="3" t="s">
        <v>88</v>
      </c>
      <c r="I4741" s="3" t="s">
        <v>85</v>
      </c>
      <c r="J4741" s="3" t="s">
        <v>57</v>
      </c>
      <c r="K4741" s="4">
        <v>63.52</v>
      </c>
      <c r="L4741" s="6">
        <v>12.21</v>
      </c>
    </row>
    <row r="4742" spans="1:12" x14ac:dyDescent="0.25">
      <c r="A4742" s="1">
        <v>4741</v>
      </c>
      <c r="B4742" s="4">
        <v>33729</v>
      </c>
      <c r="C4742" s="5">
        <v>41171</v>
      </c>
      <c r="D4742" s="3" t="s">
        <v>86</v>
      </c>
      <c r="E4742" s="1" t="s">
        <v>804</v>
      </c>
      <c r="F4742" s="1" t="s">
        <v>36</v>
      </c>
      <c r="G4742" s="2" t="s">
        <v>2</v>
      </c>
      <c r="H4742" s="3" t="s">
        <v>84</v>
      </c>
      <c r="I4742" s="3" t="s">
        <v>85</v>
      </c>
      <c r="J4742" s="3" t="s">
        <v>57</v>
      </c>
      <c r="K4742" s="4">
        <v>6995.56</v>
      </c>
      <c r="L4742" s="6">
        <v>279.48</v>
      </c>
    </row>
    <row r="4743" spans="1:12" x14ac:dyDescent="0.25">
      <c r="A4743" s="1">
        <v>4742</v>
      </c>
      <c r="B4743" s="4">
        <v>33731</v>
      </c>
      <c r="C4743" s="5">
        <v>41190</v>
      </c>
      <c r="D4743" s="3" t="s">
        <v>89</v>
      </c>
      <c r="E4743" s="1" t="s">
        <v>550</v>
      </c>
      <c r="F4743" s="1" t="s">
        <v>10</v>
      </c>
      <c r="G4743" s="2" t="s">
        <v>3</v>
      </c>
      <c r="H4743" s="3" t="s">
        <v>88</v>
      </c>
      <c r="I4743" s="3" t="s">
        <v>91</v>
      </c>
      <c r="J4743" s="3" t="s">
        <v>72</v>
      </c>
      <c r="K4743" s="4">
        <v>8213.3700000000008</v>
      </c>
      <c r="L4743" s="6">
        <v>284.98</v>
      </c>
    </row>
    <row r="4744" spans="1:12" x14ac:dyDescent="0.25">
      <c r="A4744" s="1">
        <v>4743</v>
      </c>
      <c r="B4744" s="4">
        <v>33731</v>
      </c>
      <c r="C4744" s="5">
        <v>41190</v>
      </c>
      <c r="D4744" s="3" t="s">
        <v>89</v>
      </c>
      <c r="E4744" s="1" t="s">
        <v>550</v>
      </c>
      <c r="F4744" s="1" t="s">
        <v>10</v>
      </c>
      <c r="G4744" s="2" t="s">
        <v>3</v>
      </c>
      <c r="H4744" s="3" t="s">
        <v>88</v>
      </c>
      <c r="I4744" s="3" t="s">
        <v>85</v>
      </c>
      <c r="J4744" s="3" t="s">
        <v>64</v>
      </c>
      <c r="K4744" s="4">
        <v>109.01</v>
      </c>
      <c r="L4744" s="6">
        <v>3.58</v>
      </c>
    </row>
    <row r="4745" spans="1:12" x14ac:dyDescent="0.25">
      <c r="A4745" s="1">
        <v>4744</v>
      </c>
      <c r="B4745" s="4">
        <v>33731</v>
      </c>
      <c r="C4745" s="5">
        <v>41190</v>
      </c>
      <c r="D4745" s="3" t="s">
        <v>89</v>
      </c>
      <c r="E4745" s="1" t="s">
        <v>1292</v>
      </c>
      <c r="F4745" s="1" t="s">
        <v>10</v>
      </c>
      <c r="G4745" s="2" t="s">
        <v>3</v>
      </c>
      <c r="H4745" s="3" t="s">
        <v>88</v>
      </c>
      <c r="I4745" s="3" t="s">
        <v>85</v>
      </c>
      <c r="J4745" s="3" t="s">
        <v>57</v>
      </c>
      <c r="K4745" s="4">
        <v>138.88</v>
      </c>
      <c r="L4745" s="6">
        <v>11.29</v>
      </c>
    </row>
    <row r="4746" spans="1:12" x14ac:dyDescent="0.25">
      <c r="A4746" s="1">
        <v>4745</v>
      </c>
      <c r="B4746" s="4">
        <v>33732</v>
      </c>
      <c r="C4746" s="5">
        <v>40053</v>
      </c>
      <c r="D4746" s="3" t="s">
        <v>86</v>
      </c>
      <c r="E4746" s="1" t="s">
        <v>932</v>
      </c>
      <c r="F4746" s="1" t="s">
        <v>30</v>
      </c>
      <c r="G4746" s="2" t="s">
        <v>6</v>
      </c>
      <c r="H4746" s="3" t="s">
        <v>88</v>
      </c>
      <c r="I4746" s="3" t="s">
        <v>91</v>
      </c>
      <c r="J4746" s="3" t="s">
        <v>59</v>
      </c>
      <c r="K4746" s="4">
        <v>332.95</v>
      </c>
      <c r="L4746" s="6">
        <v>9.65</v>
      </c>
    </row>
    <row r="4747" spans="1:12" x14ac:dyDescent="0.25">
      <c r="A4747" s="1">
        <v>4746</v>
      </c>
      <c r="B4747" s="4">
        <v>33734</v>
      </c>
      <c r="C4747" s="5">
        <v>40833</v>
      </c>
      <c r="D4747" s="3" t="s">
        <v>86</v>
      </c>
      <c r="E4747" s="1" t="s">
        <v>754</v>
      </c>
      <c r="F4747" s="1" t="s">
        <v>8</v>
      </c>
      <c r="G4747" s="2" t="s">
        <v>6</v>
      </c>
      <c r="H4747" s="3" t="s">
        <v>88</v>
      </c>
      <c r="I4747" s="3" t="s">
        <v>85</v>
      </c>
      <c r="J4747" s="3" t="s">
        <v>66</v>
      </c>
      <c r="K4747" s="4">
        <v>371.94</v>
      </c>
      <c r="L4747" s="6">
        <v>29.14</v>
      </c>
    </row>
    <row r="4748" spans="1:12" x14ac:dyDescent="0.25">
      <c r="A4748" s="1">
        <v>4747</v>
      </c>
      <c r="B4748" s="4">
        <v>33761</v>
      </c>
      <c r="C4748" s="5">
        <v>41125</v>
      </c>
      <c r="D4748" s="3" t="s">
        <v>89</v>
      </c>
      <c r="E4748" s="1" t="s">
        <v>1293</v>
      </c>
      <c r="F4748" s="1" t="s">
        <v>20</v>
      </c>
      <c r="G4748" s="2" t="s">
        <v>1</v>
      </c>
      <c r="H4748" s="3" t="s">
        <v>97</v>
      </c>
      <c r="I4748" s="3" t="s">
        <v>85</v>
      </c>
      <c r="J4748" s="3" t="s">
        <v>63</v>
      </c>
      <c r="K4748" s="4">
        <v>463.93</v>
      </c>
      <c r="L4748" s="6">
        <v>10.48</v>
      </c>
    </row>
    <row r="4749" spans="1:12" x14ac:dyDescent="0.25">
      <c r="A4749" s="1">
        <v>4748</v>
      </c>
      <c r="B4749" s="4">
        <v>33763</v>
      </c>
      <c r="C4749" s="5">
        <v>40444</v>
      </c>
      <c r="D4749" s="3" t="s">
        <v>86</v>
      </c>
      <c r="E4749" s="1" t="s">
        <v>904</v>
      </c>
      <c r="F4749" s="1" t="s">
        <v>38</v>
      </c>
      <c r="G4749" s="2" t="s">
        <v>6</v>
      </c>
      <c r="H4749" s="3" t="s">
        <v>88</v>
      </c>
      <c r="I4749" s="3" t="s">
        <v>92</v>
      </c>
      <c r="J4749" s="3" t="s">
        <v>73</v>
      </c>
      <c r="K4749" s="4">
        <v>10791.38</v>
      </c>
      <c r="L4749" s="6">
        <v>499.99</v>
      </c>
    </row>
    <row r="4750" spans="1:12" x14ac:dyDescent="0.25">
      <c r="A4750" s="1">
        <v>4749</v>
      </c>
      <c r="B4750" s="4">
        <v>33764</v>
      </c>
      <c r="C4750" s="5">
        <v>40584</v>
      </c>
      <c r="D4750" s="3" t="s">
        <v>95</v>
      </c>
      <c r="E4750" s="1" t="s">
        <v>1155</v>
      </c>
      <c r="F4750" s="1" t="s">
        <v>15</v>
      </c>
      <c r="G4750" s="2" t="s">
        <v>1</v>
      </c>
      <c r="H4750" s="3" t="s">
        <v>84</v>
      </c>
      <c r="I4750" s="3" t="s">
        <v>85</v>
      </c>
      <c r="J4750" s="3" t="s">
        <v>63</v>
      </c>
      <c r="K4750" s="4">
        <v>226.15</v>
      </c>
      <c r="L4750" s="6">
        <v>7.08</v>
      </c>
    </row>
    <row r="4751" spans="1:12" x14ac:dyDescent="0.25">
      <c r="A4751" s="1">
        <v>4750</v>
      </c>
      <c r="B4751" s="4">
        <v>33764</v>
      </c>
      <c r="C4751" s="5">
        <v>40584</v>
      </c>
      <c r="D4751" s="3" t="s">
        <v>95</v>
      </c>
      <c r="E4751" s="1" t="s">
        <v>1294</v>
      </c>
      <c r="F4751" s="1" t="s">
        <v>9</v>
      </c>
      <c r="G4751" s="2" t="s">
        <v>2</v>
      </c>
      <c r="H4751" s="3" t="s">
        <v>84</v>
      </c>
      <c r="I4751" s="3" t="s">
        <v>85</v>
      </c>
      <c r="J4751" s="3" t="s">
        <v>57</v>
      </c>
      <c r="K4751" s="4">
        <v>539.82000000000005</v>
      </c>
      <c r="L4751" s="6">
        <v>120.33</v>
      </c>
    </row>
    <row r="4752" spans="1:12" x14ac:dyDescent="0.25">
      <c r="A4752" s="1">
        <v>4751</v>
      </c>
      <c r="B4752" s="4">
        <v>33764</v>
      </c>
      <c r="C4752" s="5">
        <v>40584</v>
      </c>
      <c r="D4752" s="3" t="s">
        <v>95</v>
      </c>
      <c r="E4752" s="1" t="s">
        <v>1294</v>
      </c>
      <c r="F4752" s="1" t="s">
        <v>9</v>
      </c>
      <c r="G4752" s="2" t="s">
        <v>2</v>
      </c>
      <c r="H4752" s="3" t="s">
        <v>84</v>
      </c>
      <c r="I4752" s="3" t="s">
        <v>92</v>
      </c>
      <c r="J4752" s="3" t="s">
        <v>61</v>
      </c>
      <c r="K4752" s="4">
        <v>1029.8855000000001</v>
      </c>
      <c r="L4752" s="6">
        <v>205.99</v>
      </c>
    </row>
    <row r="4753" spans="1:12" x14ac:dyDescent="0.25">
      <c r="A4753" s="1">
        <v>4752</v>
      </c>
      <c r="B4753" s="4">
        <v>33793</v>
      </c>
      <c r="C4753" s="5">
        <v>41087</v>
      </c>
      <c r="D4753" s="3" t="s">
        <v>95</v>
      </c>
      <c r="E4753" s="1" t="s">
        <v>543</v>
      </c>
      <c r="F4753" s="1" t="s">
        <v>52</v>
      </c>
      <c r="G4753" s="2" t="s">
        <v>3</v>
      </c>
      <c r="H4753" s="3" t="s">
        <v>97</v>
      </c>
      <c r="I4753" s="3" t="s">
        <v>85</v>
      </c>
      <c r="J4753" s="3" t="s">
        <v>69</v>
      </c>
      <c r="K4753" s="4">
        <v>267.58</v>
      </c>
      <c r="L4753" s="6">
        <v>15.16</v>
      </c>
    </row>
    <row r="4754" spans="1:12" x14ac:dyDescent="0.25">
      <c r="A4754" s="1">
        <v>4753</v>
      </c>
      <c r="B4754" s="4">
        <v>33794</v>
      </c>
      <c r="C4754" s="5">
        <v>40596</v>
      </c>
      <c r="D4754" s="3" t="s">
        <v>95</v>
      </c>
      <c r="E4754" s="1" t="s">
        <v>456</v>
      </c>
      <c r="F4754" s="1" t="s">
        <v>23</v>
      </c>
      <c r="G4754" s="2" t="s">
        <v>3</v>
      </c>
      <c r="H4754" s="3" t="s">
        <v>84</v>
      </c>
      <c r="I4754" s="3" t="s">
        <v>91</v>
      </c>
      <c r="J4754" s="3" t="s">
        <v>59</v>
      </c>
      <c r="K4754" s="4">
        <v>92.77</v>
      </c>
      <c r="L4754" s="6">
        <v>4.91</v>
      </c>
    </row>
    <row r="4755" spans="1:12" x14ac:dyDescent="0.25">
      <c r="A4755" s="1">
        <v>4754</v>
      </c>
      <c r="B4755" s="4">
        <v>33797</v>
      </c>
      <c r="C4755" s="5">
        <v>39824</v>
      </c>
      <c r="D4755" s="3" t="s">
        <v>86</v>
      </c>
      <c r="E4755" s="1" t="s">
        <v>829</v>
      </c>
      <c r="F4755" s="1" t="s">
        <v>39</v>
      </c>
      <c r="G4755" s="2" t="s">
        <v>1</v>
      </c>
      <c r="H4755" s="3" t="s">
        <v>84</v>
      </c>
      <c r="I4755" s="3" t="s">
        <v>92</v>
      </c>
      <c r="J4755" s="3" t="s">
        <v>67</v>
      </c>
      <c r="K4755" s="4">
        <v>4531.34</v>
      </c>
      <c r="L4755" s="6">
        <v>297.64</v>
      </c>
    </row>
    <row r="4756" spans="1:12" x14ac:dyDescent="0.25">
      <c r="A4756" s="1">
        <v>4755</v>
      </c>
      <c r="B4756" s="4">
        <v>33797</v>
      </c>
      <c r="C4756" s="5">
        <v>39824</v>
      </c>
      <c r="D4756" s="3" t="s">
        <v>86</v>
      </c>
      <c r="E4756" s="1" t="s">
        <v>1295</v>
      </c>
      <c r="F4756" s="1" t="s">
        <v>39</v>
      </c>
      <c r="G4756" s="2" t="s">
        <v>1</v>
      </c>
      <c r="H4756" s="3" t="s">
        <v>84</v>
      </c>
      <c r="I4756" s="3" t="s">
        <v>91</v>
      </c>
      <c r="J4756" s="3" t="s">
        <v>59</v>
      </c>
      <c r="K4756" s="4">
        <v>574.5</v>
      </c>
      <c r="L4756" s="6">
        <v>12.99</v>
      </c>
    </row>
    <row r="4757" spans="1:12" x14ac:dyDescent="0.25">
      <c r="A4757" s="1">
        <v>4756</v>
      </c>
      <c r="B4757" s="4">
        <v>33797</v>
      </c>
      <c r="C4757" s="5">
        <v>39824</v>
      </c>
      <c r="D4757" s="3" t="s">
        <v>86</v>
      </c>
      <c r="E4757" s="1" t="s">
        <v>1296</v>
      </c>
      <c r="F4757" s="1" t="s">
        <v>39</v>
      </c>
      <c r="G4757" s="2" t="s">
        <v>1</v>
      </c>
      <c r="H4757" s="3" t="s">
        <v>84</v>
      </c>
      <c r="I4757" s="3" t="s">
        <v>85</v>
      </c>
      <c r="J4757" s="3" t="s">
        <v>70</v>
      </c>
      <c r="K4757" s="4">
        <v>262.94</v>
      </c>
      <c r="L4757" s="6">
        <v>14.42</v>
      </c>
    </row>
    <row r="4758" spans="1:12" x14ac:dyDescent="0.25">
      <c r="A4758" s="1">
        <v>4757</v>
      </c>
      <c r="B4758" s="4">
        <v>33797</v>
      </c>
      <c r="C4758" s="5">
        <v>39824</v>
      </c>
      <c r="D4758" s="3" t="s">
        <v>86</v>
      </c>
      <c r="E4758" s="1" t="s">
        <v>311</v>
      </c>
      <c r="F4758" s="1" t="s">
        <v>20</v>
      </c>
      <c r="G4758" s="2" t="s">
        <v>1</v>
      </c>
      <c r="H4758" s="3" t="s">
        <v>84</v>
      </c>
      <c r="I4758" s="3" t="s">
        <v>91</v>
      </c>
      <c r="J4758" s="3" t="s">
        <v>59</v>
      </c>
      <c r="K4758" s="4">
        <v>138.16999999999999</v>
      </c>
      <c r="L4758" s="6">
        <v>4.1399999999999997</v>
      </c>
    </row>
    <row r="4759" spans="1:12" x14ac:dyDescent="0.25">
      <c r="A4759" s="1">
        <v>4758</v>
      </c>
      <c r="B4759" s="4">
        <v>33797</v>
      </c>
      <c r="C4759" s="5">
        <v>39824</v>
      </c>
      <c r="D4759" s="3" t="s">
        <v>86</v>
      </c>
      <c r="E4759" s="1" t="s">
        <v>663</v>
      </c>
      <c r="F4759" s="1" t="s">
        <v>20</v>
      </c>
      <c r="G4759" s="2" t="s">
        <v>1</v>
      </c>
      <c r="H4759" s="3" t="s">
        <v>84</v>
      </c>
      <c r="I4759" s="3" t="s">
        <v>85</v>
      </c>
      <c r="J4759" s="3" t="s">
        <v>66</v>
      </c>
      <c r="K4759" s="4">
        <v>216.87</v>
      </c>
      <c r="L4759" s="6">
        <v>11.34</v>
      </c>
    </row>
    <row r="4760" spans="1:12" x14ac:dyDescent="0.25">
      <c r="A4760" s="1">
        <v>4759</v>
      </c>
      <c r="B4760" s="4">
        <v>33824</v>
      </c>
      <c r="C4760" s="5">
        <v>40604</v>
      </c>
      <c r="D4760" s="3" t="s">
        <v>95</v>
      </c>
      <c r="E4760" s="1" t="s">
        <v>493</v>
      </c>
      <c r="F4760" s="1" t="s">
        <v>33</v>
      </c>
      <c r="G4760" s="2" t="s">
        <v>2</v>
      </c>
      <c r="H4760" s="3" t="s">
        <v>88</v>
      </c>
      <c r="I4760" s="3" t="s">
        <v>85</v>
      </c>
      <c r="J4760" s="3" t="s">
        <v>63</v>
      </c>
      <c r="K4760" s="4">
        <v>50.99</v>
      </c>
      <c r="L4760" s="6">
        <v>2.78</v>
      </c>
    </row>
    <row r="4761" spans="1:12" x14ac:dyDescent="0.25">
      <c r="A4761" s="1">
        <v>4760</v>
      </c>
      <c r="B4761" s="4">
        <v>33826</v>
      </c>
      <c r="C4761" s="5">
        <v>40531</v>
      </c>
      <c r="D4761" s="3" t="s">
        <v>82</v>
      </c>
      <c r="E4761" s="1" t="s">
        <v>1258</v>
      </c>
      <c r="F4761" s="1" t="s">
        <v>17</v>
      </c>
      <c r="G4761" s="2" t="s">
        <v>2</v>
      </c>
      <c r="H4761" s="3" t="s">
        <v>84</v>
      </c>
      <c r="I4761" s="3" t="s">
        <v>91</v>
      </c>
      <c r="J4761" s="3" t="s">
        <v>59</v>
      </c>
      <c r="K4761" s="4">
        <v>185.83</v>
      </c>
      <c r="L4761" s="6">
        <v>14.34</v>
      </c>
    </row>
    <row r="4762" spans="1:12" x14ac:dyDescent="0.25">
      <c r="A4762" s="1">
        <v>4761</v>
      </c>
      <c r="B4762" s="4">
        <v>33857</v>
      </c>
      <c r="C4762" s="5">
        <v>40297</v>
      </c>
      <c r="D4762" s="3" t="s">
        <v>95</v>
      </c>
      <c r="E4762" s="1" t="s">
        <v>1143</v>
      </c>
      <c r="F4762" s="1" t="s">
        <v>23</v>
      </c>
      <c r="G4762" s="2" t="s">
        <v>3</v>
      </c>
      <c r="H4762" s="3" t="s">
        <v>97</v>
      </c>
      <c r="I4762" s="3" t="s">
        <v>85</v>
      </c>
      <c r="J4762" s="3" t="s">
        <v>66</v>
      </c>
      <c r="K4762" s="4">
        <v>130.16</v>
      </c>
      <c r="L4762" s="6">
        <v>7.04</v>
      </c>
    </row>
    <row r="4763" spans="1:12" x14ac:dyDescent="0.25">
      <c r="A4763" s="1">
        <v>4762</v>
      </c>
      <c r="B4763" s="4">
        <v>33862</v>
      </c>
      <c r="C4763" s="5">
        <v>40351</v>
      </c>
      <c r="D4763" s="3" t="s">
        <v>86</v>
      </c>
      <c r="E4763" s="1" t="s">
        <v>319</v>
      </c>
      <c r="F4763" s="1" t="s">
        <v>31</v>
      </c>
      <c r="G4763" s="2" t="s">
        <v>1</v>
      </c>
      <c r="H4763" s="3" t="s">
        <v>100</v>
      </c>
      <c r="I4763" s="3" t="s">
        <v>85</v>
      </c>
      <c r="J4763" s="3" t="s">
        <v>71</v>
      </c>
      <c r="K4763" s="4">
        <v>125.57</v>
      </c>
      <c r="L4763" s="6">
        <v>5.58</v>
      </c>
    </row>
    <row r="4764" spans="1:12" x14ac:dyDescent="0.25">
      <c r="A4764" s="1">
        <v>4763</v>
      </c>
      <c r="B4764" s="4">
        <v>33888</v>
      </c>
      <c r="C4764" s="5">
        <v>40045</v>
      </c>
      <c r="D4764" s="3" t="s">
        <v>86</v>
      </c>
      <c r="E4764" s="1" t="s">
        <v>802</v>
      </c>
      <c r="F4764" s="1" t="s">
        <v>8</v>
      </c>
      <c r="G4764" s="2" t="s">
        <v>6</v>
      </c>
      <c r="H4764" s="3" t="s">
        <v>97</v>
      </c>
      <c r="I4764" s="3" t="s">
        <v>85</v>
      </c>
      <c r="J4764" s="3" t="s">
        <v>69</v>
      </c>
      <c r="K4764" s="4">
        <v>349.43</v>
      </c>
      <c r="L4764" s="6">
        <v>11.5</v>
      </c>
    </row>
    <row r="4765" spans="1:12" x14ac:dyDescent="0.25">
      <c r="A4765" s="1">
        <v>4764</v>
      </c>
      <c r="B4765" s="4">
        <v>33888</v>
      </c>
      <c r="C4765" s="5">
        <v>40045</v>
      </c>
      <c r="D4765" s="3" t="s">
        <v>86</v>
      </c>
      <c r="E4765" s="1" t="s">
        <v>802</v>
      </c>
      <c r="F4765" s="1" t="s">
        <v>8</v>
      </c>
      <c r="G4765" s="2" t="s">
        <v>6</v>
      </c>
      <c r="H4765" s="3" t="s">
        <v>97</v>
      </c>
      <c r="I4765" s="3" t="s">
        <v>85</v>
      </c>
      <c r="J4765" s="3" t="s">
        <v>57</v>
      </c>
      <c r="K4765" s="4">
        <v>58.33</v>
      </c>
      <c r="L4765" s="6">
        <v>15.7</v>
      </c>
    </row>
    <row r="4766" spans="1:12" x14ac:dyDescent="0.25">
      <c r="A4766" s="1">
        <v>4765</v>
      </c>
      <c r="B4766" s="4">
        <v>33888</v>
      </c>
      <c r="C4766" s="5">
        <v>40045</v>
      </c>
      <c r="D4766" s="3" t="s">
        <v>86</v>
      </c>
      <c r="E4766" s="1" t="s">
        <v>802</v>
      </c>
      <c r="F4766" s="1" t="s">
        <v>8</v>
      </c>
      <c r="G4766" s="2" t="s">
        <v>6</v>
      </c>
      <c r="H4766" s="3" t="s">
        <v>97</v>
      </c>
      <c r="I4766" s="3" t="s">
        <v>85</v>
      </c>
      <c r="J4766" s="3" t="s">
        <v>57</v>
      </c>
      <c r="K4766" s="4">
        <v>10377.219999999999</v>
      </c>
      <c r="L4766" s="6">
        <v>225.02</v>
      </c>
    </row>
    <row r="4767" spans="1:12" x14ac:dyDescent="0.25">
      <c r="A4767" s="1">
        <v>4766</v>
      </c>
      <c r="B4767" s="4">
        <v>33889</v>
      </c>
      <c r="C4767" s="5">
        <v>40488</v>
      </c>
      <c r="D4767" s="3" t="s">
        <v>82</v>
      </c>
      <c r="E4767" s="1" t="s">
        <v>1261</v>
      </c>
      <c r="F4767" s="1" t="s">
        <v>41</v>
      </c>
      <c r="G4767" s="2" t="s">
        <v>6</v>
      </c>
      <c r="H4767" s="3" t="s">
        <v>84</v>
      </c>
      <c r="I4767" s="3" t="s">
        <v>85</v>
      </c>
      <c r="J4767" s="3" t="s">
        <v>70</v>
      </c>
      <c r="K4767" s="4">
        <v>9046.33</v>
      </c>
      <c r="L4767" s="6">
        <v>180.98</v>
      </c>
    </row>
    <row r="4768" spans="1:12" x14ac:dyDescent="0.25">
      <c r="A4768" s="1">
        <v>4767</v>
      </c>
      <c r="B4768" s="4">
        <v>33889</v>
      </c>
      <c r="C4768" s="5">
        <v>40488</v>
      </c>
      <c r="D4768" s="3" t="s">
        <v>82</v>
      </c>
      <c r="E4768" s="1" t="s">
        <v>1261</v>
      </c>
      <c r="F4768" s="1" t="s">
        <v>41</v>
      </c>
      <c r="G4768" s="2" t="s">
        <v>6</v>
      </c>
      <c r="H4768" s="3" t="s">
        <v>84</v>
      </c>
      <c r="I4768" s="3" t="s">
        <v>85</v>
      </c>
      <c r="J4768" s="3" t="s">
        <v>70</v>
      </c>
      <c r="K4768" s="4">
        <v>367.96</v>
      </c>
      <c r="L4768" s="6">
        <v>8.67</v>
      </c>
    </row>
    <row r="4769" spans="1:12" x14ac:dyDescent="0.25">
      <c r="A4769" s="1">
        <v>4768</v>
      </c>
      <c r="B4769" s="4">
        <v>33889</v>
      </c>
      <c r="C4769" s="5">
        <v>40488</v>
      </c>
      <c r="D4769" s="3" t="s">
        <v>82</v>
      </c>
      <c r="E4769" s="1" t="s">
        <v>1261</v>
      </c>
      <c r="F4769" s="1" t="s">
        <v>41</v>
      </c>
      <c r="G4769" s="2" t="s">
        <v>6</v>
      </c>
      <c r="H4769" s="3" t="s">
        <v>84</v>
      </c>
      <c r="I4769" s="3" t="s">
        <v>85</v>
      </c>
      <c r="J4769" s="3" t="s">
        <v>71</v>
      </c>
      <c r="K4769" s="4">
        <v>159.05000000000001</v>
      </c>
      <c r="L4769" s="6">
        <v>5.98</v>
      </c>
    </row>
    <row r="4770" spans="1:12" x14ac:dyDescent="0.25">
      <c r="A4770" s="1">
        <v>4769</v>
      </c>
      <c r="B4770" s="4">
        <v>33889</v>
      </c>
      <c r="C4770" s="5">
        <v>40488</v>
      </c>
      <c r="D4770" s="3" t="s">
        <v>82</v>
      </c>
      <c r="E4770" s="1" t="s">
        <v>1261</v>
      </c>
      <c r="F4770" s="1" t="s">
        <v>41</v>
      </c>
      <c r="G4770" s="2" t="s">
        <v>6</v>
      </c>
      <c r="H4770" s="3" t="s">
        <v>84</v>
      </c>
      <c r="I4770" s="3" t="s">
        <v>85</v>
      </c>
      <c r="J4770" s="3" t="s">
        <v>65</v>
      </c>
      <c r="K4770" s="4">
        <v>116.14</v>
      </c>
      <c r="L4770" s="6">
        <v>2.88</v>
      </c>
    </row>
    <row r="4771" spans="1:12" x14ac:dyDescent="0.25">
      <c r="A4771" s="1">
        <v>4770</v>
      </c>
      <c r="B4771" s="4">
        <v>33893</v>
      </c>
      <c r="C4771" s="5">
        <v>41172</v>
      </c>
      <c r="D4771" s="3" t="s">
        <v>86</v>
      </c>
      <c r="E4771" s="1" t="s">
        <v>455</v>
      </c>
      <c r="F4771" s="1" t="s">
        <v>25</v>
      </c>
      <c r="G4771" s="2" t="s">
        <v>6</v>
      </c>
      <c r="H4771" s="3" t="s">
        <v>100</v>
      </c>
      <c r="I4771" s="3" t="s">
        <v>85</v>
      </c>
      <c r="J4771" s="3" t="s">
        <v>71</v>
      </c>
      <c r="K4771" s="4">
        <v>232.21</v>
      </c>
      <c r="L4771" s="6">
        <v>35.89</v>
      </c>
    </row>
    <row r="4772" spans="1:12" x14ac:dyDescent="0.25">
      <c r="A4772" s="1">
        <v>4771</v>
      </c>
      <c r="B4772" s="4">
        <v>33893</v>
      </c>
      <c r="C4772" s="5">
        <v>41172</v>
      </c>
      <c r="D4772" s="3" t="s">
        <v>86</v>
      </c>
      <c r="E4772" s="1" t="s">
        <v>455</v>
      </c>
      <c r="F4772" s="1" t="s">
        <v>25</v>
      </c>
      <c r="G4772" s="2" t="s">
        <v>6</v>
      </c>
      <c r="H4772" s="3" t="s">
        <v>100</v>
      </c>
      <c r="I4772" s="3" t="s">
        <v>85</v>
      </c>
      <c r="J4772" s="3" t="s">
        <v>63</v>
      </c>
      <c r="K4772" s="4">
        <v>88.3</v>
      </c>
      <c r="L4772" s="6">
        <v>5.85</v>
      </c>
    </row>
    <row r="4773" spans="1:12" x14ac:dyDescent="0.25">
      <c r="A4773" s="1">
        <v>4772</v>
      </c>
      <c r="B4773" s="4">
        <v>33894</v>
      </c>
      <c r="C4773" s="5">
        <v>40343</v>
      </c>
      <c r="D4773" s="3" t="s">
        <v>95</v>
      </c>
      <c r="E4773" s="1" t="s">
        <v>428</v>
      </c>
      <c r="F4773" s="1" t="s">
        <v>8</v>
      </c>
      <c r="G4773" s="2" t="s">
        <v>6</v>
      </c>
      <c r="H4773" s="3" t="s">
        <v>88</v>
      </c>
      <c r="I4773" s="3" t="s">
        <v>85</v>
      </c>
      <c r="J4773" s="3" t="s">
        <v>66</v>
      </c>
      <c r="K4773" s="4">
        <v>140.66</v>
      </c>
      <c r="L4773" s="6">
        <v>9.27</v>
      </c>
    </row>
    <row r="4774" spans="1:12" x14ac:dyDescent="0.25">
      <c r="A4774" s="1">
        <v>4773</v>
      </c>
      <c r="B4774" s="4">
        <v>33894</v>
      </c>
      <c r="C4774" s="5">
        <v>40343</v>
      </c>
      <c r="D4774" s="3" t="s">
        <v>95</v>
      </c>
      <c r="E4774" s="1" t="s">
        <v>428</v>
      </c>
      <c r="F4774" s="1" t="s">
        <v>8</v>
      </c>
      <c r="G4774" s="2" t="s">
        <v>6</v>
      </c>
      <c r="H4774" s="3" t="s">
        <v>88</v>
      </c>
      <c r="I4774" s="3" t="s">
        <v>85</v>
      </c>
      <c r="J4774" s="3" t="s">
        <v>58</v>
      </c>
      <c r="K4774" s="4">
        <v>42.89</v>
      </c>
      <c r="L4774" s="6">
        <v>6.84</v>
      </c>
    </row>
    <row r="4775" spans="1:12" x14ac:dyDescent="0.25">
      <c r="A4775" s="1">
        <v>4774</v>
      </c>
      <c r="B4775" s="4">
        <v>33894</v>
      </c>
      <c r="C4775" s="5">
        <v>40343</v>
      </c>
      <c r="D4775" s="3" t="s">
        <v>95</v>
      </c>
      <c r="E4775" s="1" t="s">
        <v>583</v>
      </c>
      <c r="F4775" s="1" t="s">
        <v>8</v>
      </c>
      <c r="G4775" s="2" t="s">
        <v>6</v>
      </c>
      <c r="H4775" s="3" t="s">
        <v>88</v>
      </c>
      <c r="I4775" s="3" t="s">
        <v>92</v>
      </c>
      <c r="J4775" s="3" t="s">
        <v>62</v>
      </c>
      <c r="K4775" s="4">
        <v>226.5</v>
      </c>
      <c r="L4775" s="6">
        <v>4.9800000000000004</v>
      </c>
    </row>
    <row r="4776" spans="1:12" x14ac:dyDescent="0.25">
      <c r="A4776" s="1">
        <v>4775</v>
      </c>
      <c r="B4776" s="4">
        <v>33894</v>
      </c>
      <c r="C4776" s="5">
        <v>40343</v>
      </c>
      <c r="D4776" s="3" t="s">
        <v>95</v>
      </c>
      <c r="E4776" s="1" t="s">
        <v>583</v>
      </c>
      <c r="F4776" s="1" t="s">
        <v>8</v>
      </c>
      <c r="G4776" s="2" t="s">
        <v>6</v>
      </c>
      <c r="H4776" s="3" t="s">
        <v>88</v>
      </c>
      <c r="I4776" s="3" t="s">
        <v>92</v>
      </c>
      <c r="J4776" s="3" t="s">
        <v>62</v>
      </c>
      <c r="K4776" s="4">
        <v>438.93</v>
      </c>
      <c r="L4776" s="6">
        <v>32.979999999999997</v>
      </c>
    </row>
    <row r="4777" spans="1:12" x14ac:dyDescent="0.25">
      <c r="A4777" s="1">
        <v>4776</v>
      </c>
      <c r="B4777" s="4">
        <v>33921</v>
      </c>
      <c r="C4777" s="5">
        <v>40267</v>
      </c>
      <c r="D4777" s="3" t="s">
        <v>82</v>
      </c>
      <c r="E4777" s="1" t="s">
        <v>690</v>
      </c>
      <c r="F4777" s="1" t="s">
        <v>15</v>
      </c>
      <c r="G4777" s="2" t="s">
        <v>1</v>
      </c>
      <c r="H4777" s="3" t="s">
        <v>84</v>
      </c>
      <c r="I4777" s="3" t="s">
        <v>91</v>
      </c>
      <c r="J4777" s="3" t="s">
        <v>72</v>
      </c>
      <c r="K4777" s="4">
        <v>1794.03</v>
      </c>
      <c r="L4777" s="6">
        <v>50.98</v>
      </c>
    </row>
    <row r="4778" spans="1:12" x14ac:dyDescent="0.25">
      <c r="A4778" s="1">
        <v>4777</v>
      </c>
      <c r="B4778" s="4">
        <v>33922</v>
      </c>
      <c r="C4778" s="5">
        <v>40236</v>
      </c>
      <c r="D4778" s="3" t="s">
        <v>86</v>
      </c>
      <c r="E4778" s="1" t="s">
        <v>1198</v>
      </c>
      <c r="F4778" s="1" t="s">
        <v>8</v>
      </c>
      <c r="G4778" s="2" t="s">
        <v>6</v>
      </c>
      <c r="H4778" s="3" t="s">
        <v>97</v>
      </c>
      <c r="I4778" s="3" t="s">
        <v>92</v>
      </c>
      <c r="J4778" s="3" t="s">
        <v>67</v>
      </c>
      <c r="K4778" s="4">
        <v>15251.5</v>
      </c>
      <c r="L4778" s="6">
        <v>500.97</v>
      </c>
    </row>
    <row r="4779" spans="1:12" x14ac:dyDescent="0.25">
      <c r="A4779" s="1">
        <v>4778</v>
      </c>
      <c r="B4779" s="4">
        <v>33923</v>
      </c>
      <c r="C4779" s="5">
        <v>39820</v>
      </c>
      <c r="D4779" s="3" t="s">
        <v>82</v>
      </c>
      <c r="E4779" s="1" t="s">
        <v>992</v>
      </c>
      <c r="F4779" s="1" t="s">
        <v>24</v>
      </c>
      <c r="G4779" s="2" t="s">
        <v>2</v>
      </c>
      <c r="H4779" s="3" t="s">
        <v>84</v>
      </c>
      <c r="I4779" s="3" t="s">
        <v>92</v>
      </c>
      <c r="J4779" s="3" t="s">
        <v>61</v>
      </c>
      <c r="K4779" s="4">
        <v>1961.7914999999998</v>
      </c>
      <c r="L4779" s="6">
        <v>65.989999999999995</v>
      </c>
    </row>
    <row r="4780" spans="1:12" x14ac:dyDescent="0.25">
      <c r="A4780" s="1">
        <v>4779</v>
      </c>
      <c r="B4780" s="4">
        <v>33924</v>
      </c>
      <c r="C4780" s="5">
        <v>41200</v>
      </c>
      <c r="D4780" s="3" t="s">
        <v>86</v>
      </c>
      <c r="E4780" s="1" t="s">
        <v>947</v>
      </c>
      <c r="F4780" s="1" t="s">
        <v>24</v>
      </c>
      <c r="G4780" s="2" t="s">
        <v>2</v>
      </c>
      <c r="H4780" s="3" t="s">
        <v>100</v>
      </c>
      <c r="I4780" s="3" t="s">
        <v>92</v>
      </c>
      <c r="J4780" s="3" t="s">
        <v>67</v>
      </c>
      <c r="K4780" s="4">
        <v>6168.07</v>
      </c>
      <c r="L4780" s="6">
        <v>500.98</v>
      </c>
    </row>
    <row r="4781" spans="1:12" x14ac:dyDescent="0.25">
      <c r="A4781" s="1">
        <v>4780</v>
      </c>
      <c r="B4781" s="4">
        <v>33925</v>
      </c>
      <c r="C4781" s="5">
        <v>40666</v>
      </c>
      <c r="D4781" s="3" t="s">
        <v>82</v>
      </c>
      <c r="E4781" s="1" t="s">
        <v>325</v>
      </c>
      <c r="F4781" s="1" t="s">
        <v>12</v>
      </c>
      <c r="G4781" s="2" t="s">
        <v>2</v>
      </c>
      <c r="H4781" s="3" t="s">
        <v>97</v>
      </c>
      <c r="I4781" s="3" t="s">
        <v>85</v>
      </c>
      <c r="J4781" s="3" t="s">
        <v>66</v>
      </c>
      <c r="K4781" s="4">
        <v>1488.86</v>
      </c>
      <c r="L4781" s="6">
        <v>30.98</v>
      </c>
    </row>
    <row r="4782" spans="1:12" x14ac:dyDescent="0.25">
      <c r="A4782" s="1">
        <v>4781</v>
      </c>
      <c r="B4782" s="4">
        <v>33956</v>
      </c>
      <c r="C4782" s="5">
        <v>40927</v>
      </c>
      <c r="D4782" s="3" t="s">
        <v>82</v>
      </c>
      <c r="E4782" s="1" t="s">
        <v>214</v>
      </c>
      <c r="F4782" s="1" t="s">
        <v>15</v>
      </c>
      <c r="G4782" s="2" t="s">
        <v>1</v>
      </c>
      <c r="H4782" s="3" t="s">
        <v>84</v>
      </c>
      <c r="I4782" s="3" t="s">
        <v>91</v>
      </c>
      <c r="J4782" s="3" t="s">
        <v>59</v>
      </c>
      <c r="K4782" s="4">
        <v>109.58</v>
      </c>
      <c r="L4782" s="6">
        <v>7.59</v>
      </c>
    </row>
    <row r="4783" spans="1:12" x14ac:dyDescent="0.25">
      <c r="A4783" s="1">
        <v>4782</v>
      </c>
      <c r="B4783" s="4">
        <v>33958</v>
      </c>
      <c r="C4783" s="5">
        <v>40576</v>
      </c>
      <c r="D4783" s="3" t="s">
        <v>95</v>
      </c>
      <c r="E4783" s="1" t="s">
        <v>1297</v>
      </c>
      <c r="F4783" s="1" t="s">
        <v>39</v>
      </c>
      <c r="G4783" s="2" t="s">
        <v>1</v>
      </c>
      <c r="H4783" s="3" t="s">
        <v>84</v>
      </c>
      <c r="I4783" s="3" t="s">
        <v>92</v>
      </c>
      <c r="J4783" s="3" t="s">
        <v>61</v>
      </c>
      <c r="K4783" s="4">
        <v>462.36600000000004</v>
      </c>
      <c r="L4783" s="6">
        <v>20.99</v>
      </c>
    </row>
    <row r="4784" spans="1:12" x14ac:dyDescent="0.25">
      <c r="A4784" s="1">
        <v>4783</v>
      </c>
      <c r="B4784" s="4">
        <v>33958</v>
      </c>
      <c r="C4784" s="5">
        <v>40576</v>
      </c>
      <c r="D4784" s="3" t="s">
        <v>95</v>
      </c>
      <c r="E4784" s="1" t="s">
        <v>1298</v>
      </c>
      <c r="F4784" s="1" t="s">
        <v>39</v>
      </c>
      <c r="G4784" s="2" t="s">
        <v>1</v>
      </c>
      <c r="H4784" s="3" t="s">
        <v>84</v>
      </c>
      <c r="I4784" s="3" t="s">
        <v>85</v>
      </c>
      <c r="J4784" s="3" t="s">
        <v>63</v>
      </c>
      <c r="K4784" s="4">
        <v>336.48</v>
      </c>
      <c r="L4784" s="6">
        <v>25.99</v>
      </c>
    </row>
    <row r="4785" spans="1:12" x14ac:dyDescent="0.25">
      <c r="A4785" s="1">
        <v>4784</v>
      </c>
      <c r="B4785" s="4">
        <v>33959</v>
      </c>
      <c r="C4785" s="5">
        <v>40025</v>
      </c>
      <c r="D4785" s="3" t="s">
        <v>95</v>
      </c>
      <c r="E4785" s="1" t="s">
        <v>237</v>
      </c>
      <c r="F4785" s="1" t="s">
        <v>21</v>
      </c>
      <c r="G4785" s="2" t="s">
        <v>1</v>
      </c>
      <c r="H4785" s="3" t="s">
        <v>88</v>
      </c>
      <c r="I4785" s="3" t="s">
        <v>91</v>
      </c>
      <c r="J4785" s="3" t="s">
        <v>60</v>
      </c>
      <c r="K4785" s="4">
        <v>367.53</v>
      </c>
      <c r="L4785" s="6">
        <v>15.23</v>
      </c>
    </row>
    <row r="4786" spans="1:12" x14ac:dyDescent="0.25">
      <c r="A4786" s="1">
        <v>4785</v>
      </c>
      <c r="B4786" s="4">
        <v>33987</v>
      </c>
      <c r="C4786" s="5">
        <v>40841</v>
      </c>
      <c r="D4786" s="3" t="s">
        <v>89</v>
      </c>
      <c r="E4786" s="1" t="s">
        <v>616</v>
      </c>
      <c r="F4786" s="1" t="s">
        <v>48</v>
      </c>
      <c r="G4786" s="2" t="s">
        <v>1</v>
      </c>
      <c r="H4786" s="3" t="s">
        <v>84</v>
      </c>
      <c r="I4786" s="3" t="s">
        <v>91</v>
      </c>
      <c r="J4786" s="3" t="s">
        <v>72</v>
      </c>
      <c r="K4786" s="4">
        <v>1616.87</v>
      </c>
      <c r="L4786" s="6">
        <v>90.98</v>
      </c>
    </row>
    <row r="4787" spans="1:12" x14ac:dyDescent="0.25">
      <c r="A4787" s="1">
        <v>4786</v>
      </c>
      <c r="B4787" s="4">
        <v>33987</v>
      </c>
      <c r="C4787" s="5">
        <v>40841</v>
      </c>
      <c r="D4787" s="3" t="s">
        <v>89</v>
      </c>
      <c r="E4787" s="1" t="s">
        <v>1030</v>
      </c>
      <c r="F4787" s="1" t="s">
        <v>24</v>
      </c>
      <c r="G4787" s="2" t="s">
        <v>2</v>
      </c>
      <c r="H4787" s="3" t="s">
        <v>84</v>
      </c>
      <c r="I4787" s="3" t="s">
        <v>92</v>
      </c>
      <c r="J4787" s="3" t="s">
        <v>61</v>
      </c>
      <c r="K4787" s="4">
        <v>1521.1344999999999</v>
      </c>
      <c r="L4787" s="6">
        <v>65.989999999999995</v>
      </c>
    </row>
    <row r="4788" spans="1:12" x14ac:dyDescent="0.25">
      <c r="A4788" s="1">
        <v>4787</v>
      </c>
      <c r="B4788" s="4">
        <v>33988</v>
      </c>
      <c r="C4788" s="5">
        <v>39823</v>
      </c>
      <c r="D4788" s="3" t="s">
        <v>4</v>
      </c>
      <c r="E4788" s="1" t="s">
        <v>1094</v>
      </c>
      <c r="F4788" s="1" t="s">
        <v>35</v>
      </c>
      <c r="G4788" s="2" t="s">
        <v>1</v>
      </c>
      <c r="H4788" s="3" t="s">
        <v>100</v>
      </c>
      <c r="I4788" s="3" t="s">
        <v>92</v>
      </c>
      <c r="J4788" s="3" t="s">
        <v>62</v>
      </c>
      <c r="K4788" s="4">
        <v>164.78</v>
      </c>
      <c r="L4788" s="6">
        <v>5.0199999999999996</v>
      </c>
    </row>
    <row r="4789" spans="1:12" x14ac:dyDescent="0.25">
      <c r="A4789" s="1">
        <v>4788</v>
      </c>
      <c r="B4789" s="4">
        <v>34017</v>
      </c>
      <c r="C4789" s="5">
        <v>39895</v>
      </c>
      <c r="D4789" s="3" t="s">
        <v>89</v>
      </c>
      <c r="E4789" s="1" t="s">
        <v>369</v>
      </c>
      <c r="F4789" s="1" t="s">
        <v>53</v>
      </c>
      <c r="G4789" s="2" t="s">
        <v>6</v>
      </c>
      <c r="H4789" s="3" t="s">
        <v>88</v>
      </c>
      <c r="I4789" s="3" t="s">
        <v>85</v>
      </c>
      <c r="J4789" s="3" t="s">
        <v>63</v>
      </c>
      <c r="K4789" s="4">
        <v>103.39</v>
      </c>
      <c r="L4789" s="6">
        <v>4.84</v>
      </c>
    </row>
    <row r="4790" spans="1:12" x14ac:dyDescent="0.25">
      <c r="A4790" s="1">
        <v>4789</v>
      </c>
      <c r="B4790" s="4">
        <v>34017</v>
      </c>
      <c r="C4790" s="5">
        <v>39895</v>
      </c>
      <c r="D4790" s="3" t="s">
        <v>89</v>
      </c>
      <c r="E4790" s="1" t="s">
        <v>369</v>
      </c>
      <c r="F4790" s="1" t="s">
        <v>53</v>
      </c>
      <c r="G4790" s="2" t="s">
        <v>6</v>
      </c>
      <c r="H4790" s="3" t="s">
        <v>88</v>
      </c>
      <c r="I4790" s="3" t="s">
        <v>85</v>
      </c>
      <c r="J4790" s="3" t="s">
        <v>57</v>
      </c>
      <c r="K4790" s="4">
        <v>435.39</v>
      </c>
      <c r="L4790" s="6">
        <v>14.98</v>
      </c>
    </row>
    <row r="4791" spans="1:12" x14ac:dyDescent="0.25">
      <c r="A4791" s="1">
        <v>4790</v>
      </c>
      <c r="B4791" s="4">
        <v>34022</v>
      </c>
      <c r="C4791" s="5">
        <v>41216</v>
      </c>
      <c r="D4791" s="3" t="s">
        <v>86</v>
      </c>
      <c r="E4791" s="1" t="s">
        <v>980</v>
      </c>
      <c r="F4791" s="1" t="s">
        <v>15</v>
      </c>
      <c r="G4791" s="2" t="s">
        <v>1</v>
      </c>
      <c r="H4791" s="3" t="s">
        <v>84</v>
      </c>
      <c r="I4791" s="3" t="s">
        <v>91</v>
      </c>
      <c r="J4791" s="3" t="s">
        <v>59</v>
      </c>
      <c r="K4791" s="4">
        <v>43.9</v>
      </c>
      <c r="L4791" s="6">
        <v>6.64</v>
      </c>
    </row>
    <row r="4792" spans="1:12" x14ac:dyDescent="0.25">
      <c r="A4792" s="1">
        <v>4791</v>
      </c>
      <c r="B4792" s="4">
        <v>34022</v>
      </c>
      <c r="C4792" s="5">
        <v>41216</v>
      </c>
      <c r="D4792" s="3" t="s">
        <v>86</v>
      </c>
      <c r="E4792" s="1" t="s">
        <v>980</v>
      </c>
      <c r="F4792" s="1" t="s">
        <v>15</v>
      </c>
      <c r="G4792" s="2" t="s">
        <v>1</v>
      </c>
      <c r="H4792" s="3" t="s">
        <v>84</v>
      </c>
      <c r="I4792" s="3" t="s">
        <v>91</v>
      </c>
      <c r="J4792" s="3" t="s">
        <v>59</v>
      </c>
      <c r="K4792" s="4">
        <v>236.28</v>
      </c>
      <c r="L4792" s="6">
        <v>4.91</v>
      </c>
    </row>
    <row r="4793" spans="1:12" x14ac:dyDescent="0.25">
      <c r="A4793" s="1">
        <v>4792</v>
      </c>
      <c r="B4793" s="4">
        <v>34048</v>
      </c>
      <c r="C4793" s="5">
        <v>40630</v>
      </c>
      <c r="D4793" s="3" t="s">
        <v>82</v>
      </c>
      <c r="E4793" s="1" t="s">
        <v>853</v>
      </c>
      <c r="F4793" s="1" t="s">
        <v>38</v>
      </c>
      <c r="G4793" s="2" t="s">
        <v>6</v>
      </c>
      <c r="H4793" s="3" t="s">
        <v>88</v>
      </c>
      <c r="I4793" s="3" t="s">
        <v>91</v>
      </c>
      <c r="J4793" s="3" t="s">
        <v>59</v>
      </c>
      <c r="K4793" s="4">
        <v>26.68</v>
      </c>
      <c r="L4793" s="6">
        <v>22.23</v>
      </c>
    </row>
    <row r="4794" spans="1:12" x14ac:dyDescent="0.25">
      <c r="A4794" s="1">
        <v>4793</v>
      </c>
      <c r="B4794" s="4">
        <v>34082</v>
      </c>
      <c r="C4794" s="5">
        <v>40844</v>
      </c>
      <c r="D4794" s="3" t="s">
        <v>86</v>
      </c>
      <c r="E4794" s="1" t="s">
        <v>748</v>
      </c>
      <c r="F4794" s="1" t="s">
        <v>13</v>
      </c>
      <c r="G4794" s="2" t="s">
        <v>6</v>
      </c>
      <c r="H4794" s="3" t="s">
        <v>88</v>
      </c>
      <c r="I4794" s="3" t="s">
        <v>85</v>
      </c>
      <c r="J4794" s="3" t="s">
        <v>57</v>
      </c>
      <c r="K4794" s="4">
        <v>2536.1799999999998</v>
      </c>
      <c r="L4794" s="6">
        <v>142.86000000000001</v>
      </c>
    </row>
    <row r="4795" spans="1:12" x14ac:dyDescent="0.25">
      <c r="A4795" s="1">
        <v>4794</v>
      </c>
      <c r="B4795" s="4">
        <v>34082</v>
      </c>
      <c r="C4795" s="5">
        <v>40844</v>
      </c>
      <c r="D4795" s="3" t="s">
        <v>86</v>
      </c>
      <c r="E4795" s="1" t="s">
        <v>1299</v>
      </c>
      <c r="F4795" s="1" t="s">
        <v>13</v>
      </c>
      <c r="G4795" s="2" t="s">
        <v>6</v>
      </c>
      <c r="H4795" s="3" t="s">
        <v>88</v>
      </c>
      <c r="I4795" s="3" t="s">
        <v>85</v>
      </c>
      <c r="J4795" s="3" t="s">
        <v>69</v>
      </c>
      <c r="K4795" s="4">
        <v>38.56</v>
      </c>
      <c r="L4795" s="6">
        <v>1.88</v>
      </c>
    </row>
    <row r="4796" spans="1:12" x14ac:dyDescent="0.25">
      <c r="A4796" s="1">
        <v>4795</v>
      </c>
      <c r="B4796" s="4">
        <v>34082</v>
      </c>
      <c r="C4796" s="5">
        <v>40844</v>
      </c>
      <c r="D4796" s="3" t="s">
        <v>86</v>
      </c>
      <c r="E4796" s="1" t="s">
        <v>1299</v>
      </c>
      <c r="F4796" s="1" t="s">
        <v>13</v>
      </c>
      <c r="G4796" s="2" t="s">
        <v>6</v>
      </c>
      <c r="H4796" s="3" t="s">
        <v>88</v>
      </c>
      <c r="I4796" s="3" t="s">
        <v>85</v>
      </c>
      <c r="J4796" s="3" t="s">
        <v>63</v>
      </c>
      <c r="K4796" s="4">
        <v>764.32</v>
      </c>
      <c r="L4796" s="6">
        <v>21.38</v>
      </c>
    </row>
    <row r="4797" spans="1:12" x14ac:dyDescent="0.25">
      <c r="A4797" s="1">
        <v>4796</v>
      </c>
      <c r="B4797" s="4">
        <v>34083</v>
      </c>
      <c r="C4797" s="5">
        <v>40944</v>
      </c>
      <c r="D4797" s="3" t="s">
        <v>86</v>
      </c>
      <c r="E4797" s="1" t="s">
        <v>912</v>
      </c>
      <c r="F4797" s="1" t="s">
        <v>36</v>
      </c>
      <c r="G4797" s="2" t="s">
        <v>2</v>
      </c>
      <c r="H4797" s="3" t="s">
        <v>84</v>
      </c>
      <c r="I4797" s="3" t="s">
        <v>92</v>
      </c>
      <c r="J4797" s="3" t="s">
        <v>61</v>
      </c>
      <c r="K4797" s="4">
        <v>1415.1480000000001</v>
      </c>
      <c r="L4797" s="6">
        <v>55.99</v>
      </c>
    </row>
    <row r="4798" spans="1:12" x14ac:dyDescent="0.25">
      <c r="A4798" s="1">
        <v>4797</v>
      </c>
      <c r="B4798" s="4">
        <v>34086</v>
      </c>
      <c r="C4798" s="5">
        <v>41028</v>
      </c>
      <c r="D4798" s="3" t="s">
        <v>89</v>
      </c>
      <c r="E4798" s="1" t="s">
        <v>105</v>
      </c>
      <c r="F4798" s="1" t="s">
        <v>18</v>
      </c>
      <c r="G4798" s="2" t="s">
        <v>6</v>
      </c>
      <c r="H4798" s="3" t="s">
        <v>100</v>
      </c>
      <c r="I4798" s="3" t="s">
        <v>92</v>
      </c>
      <c r="J4798" s="3" t="s">
        <v>61</v>
      </c>
      <c r="K4798" s="4">
        <v>2251.9135000000001</v>
      </c>
      <c r="L4798" s="6">
        <v>65.989999999999995</v>
      </c>
    </row>
    <row r="4799" spans="1:12" x14ac:dyDescent="0.25">
      <c r="A4799" s="1">
        <v>4798</v>
      </c>
      <c r="B4799" s="4">
        <v>34087</v>
      </c>
      <c r="C4799" s="5">
        <v>40018</v>
      </c>
      <c r="D4799" s="3" t="s">
        <v>82</v>
      </c>
      <c r="E4799" s="1" t="s">
        <v>995</v>
      </c>
      <c r="F4799" s="1" t="s">
        <v>35</v>
      </c>
      <c r="G4799" s="2" t="s">
        <v>1</v>
      </c>
      <c r="H4799" s="3" t="s">
        <v>88</v>
      </c>
      <c r="I4799" s="3" t="s">
        <v>92</v>
      </c>
      <c r="J4799" s="3" t="s">
        <v>61</v>
      </c>
      <c r="K4799" s="4">
        <v>3077.7310000000002</v>
      </c>
      <c r="L4799" s="6">
        <v>115.99</v>
      </c>
    </row>
    <row r="4800" spans="1:12" x14ac:dyDescent="0.25">
      <c r="A4800" s="1">
        <v>4799</v>
      </c>
      <c r="B4800" s="4">
        <v>34112</v>
      </c>
      <c r="C4800" s="5">
        <v>40787</v>
      </c>
      <c r="D4800" s="3" t="s">
        <v>95</v>
      </c>
      <c r="E4800" s="1" t="s">
        <v>865</v>
      </c>
      <c r="F4800" s="1" t="s">
        <v>10</v>
      </c>
      <c r="G4800" s="2" t="s">
        <v>3</v>
      </c>
      <c r="H4800" s="3" t="s">
        <v>84</v>
      </c>
      <c r="I4800" s="3" t="s">
        <v>92</v>
      </c>
      <c r="J4800" s="3" t="s">
        <v>61</v>
      </c>
      <c r="K4800" s="4">
        <v>315.79199999999997</v>
      </c>
      <c r="L4800" s="6">
        <v>28.99</v>
      </c>
    </row>
    <row r="4801" spans="1:12" x14ac:dyDescent="0.25">
      <c r="A4801" s="1">
        <v>4800</v>
      </c>
      <c r="B4801" s="4">
        <v>34117</v>
      </c>
      <c r="C4801" s="5">
        <v>40946</v>
      </c>
      <c r="D4801" s="3" t="s">
        <v>89</v>
      </c>
      <c r="E4801" s="1" t="s">
        <v>1294</v>
      </c>
      <c r="F4801" s="1" t="s">
        <v>9</v>
      </c>
      <c r="G4801" s="2" t="s">
        <v>2</v>
      </c>
      <c r="H4801" s="3" t="s">
        <v>84</v>
      </c>
      <c r="I4801" s="3" t="s">
        <v>85</v>
      </c>
      <c r="J4801" s="3" t="s">
        <v>69</v>
      </c>
      <c r="K4801" s="4">
        <v>299.94</v>
      </c>
      <c r="L4801" s="6">
        <v>6.75</v>
      </c>
    </row>
    <row r="4802" spans="1:12" x14ac:dyDescent="0.25">
      <c r="A4802" s="1">
        <v>4801</v>
      </c>
      <c r="B4802" s="4">
        <v>34148</v>
      </c>
      <c r="C4802" s="5">
        <v>41142</v>
      </c>
      <c r="D4802" s="3" t="s">
        <v>95</v>
      </c>
      <c r="E4802" s="1" t="s">
        <v>842</v>
      </c>
      <c r="F4802" s="1" t="s">
        <v>15</v>
      </c>
      <c r="G4802" s="2" t="s">
        <v>1</v>
      </c>
      <c r="H4802" s="3" t="s">
        <v>84</v>
      </c>
      <c r="I4802" s="3" t="s">
        <v>85</v>
      </c>
      <c r="J4802" s="3" t="s">
        <v>65</v>
      </c>
      <c r="K4802" s="4">
        <v>136.79</v>
      </c>
      <c r="L4802" s="6">
        <v>4.13</v>
      </c>
    </row>
    <row r="4803" spans="1:12" x14ac:dyDescent="0.25">
      <c r="A4803" s="1">
        <v>4802</v>
      </c>
      <c r="B4803" s="4">
        <v>34151</v>
      </c>
      <c r="C4803" s="5">
        <v>40795</v>
      </c>
      <c r="D4803" s="3" t="s">
        <v>86</v>
      </c>
      <c r="E4803" s="1" t="s">
        <v>133</v>
      </c>
      <c r="F4803" s="1" t="s">
        <v>17</v>
      </c>
      <c r="G4803" s="2" t="s">
        <v>2</v>
      </c>
      <c r="H4803" s="3" t="s">
        <v>88</v>
      </c>
      <c r="I4803" s="3" t="s">
        <v>92</v>
      </c>
      <c r="J4803" s="3" t="s">
        <v>61</v>
      </c>
      <c r="K4803" s="4">
        <v>4097.1445000000003</v>
      </c>
      <c r="L4803" s="6">
        <v>205.99</v>
      </c>
    </row>
    <row r="4804" spans="1:12" x14ac:dyDescent="0.25">
      <c r="A4804" s="1">
        <v>4803</v>
      </c>
      <c r="B4804" s="4">
        <v>34177</v>
      </c>
      <c r="C4804" s="5">
        <v>40040</v>
      </c>
      <c r="D4804" s="3" t="s">
        <v>89</v>
      </c>
      <c r="E4804" s="1" t="s">
        <v>441</v>
      </c>
      <c r="F4804" s="1" t="s">
        <v>8</v>
      </c>
      <c r="G4804" s="2" t="s">
        <v>6</v>
      </c>
      <c r="H4804" s="3" t="s">
        <v>88</v>
      </c>
      <c r="I4804" s="3" t="s">
        <v>85</v>
      </c>
      <c r="J4804" s="3" t="s">
        <v>65</v>
      </c>
      <c r="K4804" s="4">
        <v>34.42</v>
      </c>
      <c r="L4804" s="6">
        <v>2.61</v>
      </c>
    </row>
    <row r="4805" spans="1:12" x14ac:dyDescent="0.25">
      <c r="A4805" s="1">
        <v>4804</v>
      </c>
      <c r="B4805" s="4">
        <v>34177</v>
      </c>
      <c r="C4805" s="5">
        <v>40040</v>
      </c>
      <c r="D4805" s="3" t="s">
        <v>89</v>
      </c>
      <c r="E4805" s="1" t="s">
        <v>441</v>
      </c>
      <c r="F4805" s="1" t="s">
        <v>8</v>
      </c>
      <c r="G4805" s="2" t="s">
        <v>6</v>
      </c>
      <c r="H4805" s="3" t="s">
        <v>88</v>
      </c>
      <c r="I4805" s="3" t="s">
        <v>85</v>
      </c>
      <c r="J4805" s="3" t="s">
        <v>65</v>
      </c>
      <c r="K4805" s="4">
        <v>172.76</v>
      </c>
      <c r="L4805" s="6">
        <v>7.31</v>
      </c>
    </row>
    <row r="4806" spans="1:12" x14ac:dyDescent="0.25">
      <c r="A4806" s="1">
        <v>4805</v>
      </c>
      <c r="B4806" s="4">
        <v>34177</v>
      </c>
      <c r="C4806" s="5">
        <v>40040</v>
      </c>
      <c r="D4806" s="3" t="s">
        <v>89</v>
      </c>
      <c r="E4806" s="1" t="s">
        <v>441</v>
      </c>
      <c r="F4806" s="1" t="s">
        <v>8</v>
      </c>
      <c r="G4806" s="2" t="s">
        <v>6</v>
      </c>
      <c r="H4806" s="3" t="s">
        <v>88</v>
      </c>
      <c r="I4806" s="3" t="s">
        <v>92</v>
      </c>
      <c r="J4806" s="3" t="s">
        <v>61</v>
      </c>
      <c r="K4806" s="4">
        <v>853.16200000000003</v>
      </c>
      <c r="L4806" s="6">
        <v>20.99</v>
      </c>
    </row>
    <row r="4807" spans="1:12" x14ac:dyDescent="0.25">
      <c r="A4807" s="1">
        <v>4806</v>
      </c>
      <c r="B4807" s="4">
        <v>34179</v>
      </c>
      <c r="C4807" s="5">
        <v>40849</v>
      </c>
      <c r="D4807" s="3" t="s">
        <v>86</v>
      </c>
      <c r="E4807" s="1" t="s">
        <v>1236</v>
      </c>
      <c r="F4807" s="1" t="s">
        <v>33</v>
      </c>
      <c r="G4807" s="2" t="s">
        <v>2</v>
      </c>
      <c r="H4807" s="3" t="s">
        <v>88</v>
      </c>
      <c r="I4807" s="3" t="s">
        <v>92</v>
      </c>
      <c r="J4807" s="3" t="s">
        <v>62</v>
      </c>
      <c r="K4807" s="4">
        <v>293.27</v>
      </c>
      <c r="L4807" s="6">
        <v>14.48</v>
      </c>
    </row>
    <row r="4808" spans="1:12" x14ac:dyDescent="0.25">
      <c r="A4808" s="1">
        <v>4807</v>
      </c>
      <c r="B4808" s="4">
        <v>34180</v>
      </c>
      <c r="C4808" s="5">
        <v>40789</v>
      </c>
      <c r="D4808" s="3" t="s">
        <v>89</v>
      </c>
      <c r="E4808" s="1" t="s">
        <v>1300</v>
      </c>
      <c r="F4808" s="1" t="s">
        <v>16</v>
      </c>
      <c r="G4808" s="2" t="s">
        <v>3</v>
      </c>
      <c r="H4808" s="3" t="s">
        <v>88</v>
      </c>
      <c r="I4808" s="3" t="s">
        <v>85</v>
      </c>
      <c r="J4808" s="3" t="s">
        <v>66</v>
      </c>
      <c r="K4808" s="4">
        <v>27</v>
      </c>
      <c r="L4808" s="6">
        <v>5.78</v>
      </c>
    </row>
    <row r="4809" spans="1:12" x14ac:dyDescent="0.25">
      <c r="A4809" s="1">
        <v>4808</v>
      </c>
      <c r="B4809" s="4">
        <v>34182</v>
      </c>
      <c r="C4809" s="5">
        <v>41199</v>
      </c>
      <c r="D4809" s="3" t="s">
        <v>95</v>
      </c>
      <c r="E4809" s="1" t="s">
        <v>117</v>
      </c>
      <c r="F4809" s="1" t="s">
        <v>15</v>
      </c>
      <c r="G4809" s="2" t="s">
        <v>1</v>
      </c>
      <c r="H4809" s="3" t="s">
        <v>97</v>
      </c>
      <c r="I4809" s="3" t="s">
        <v>91</v>
      </c>
      <c r="J4809" s="3" t="s">
        <v>59</v>
      </c>
      <c r="K4809" s="4">
        <v>336.34</v>
      </c>
      <c r="L4809" s="6">
        <v>10.52</v>
      </c>
    </row>
    <row r="4810" spans="1:12" x14ac:dyDescent="0.25">
      <c r="A4810" s="1">
        <v>4809</v>
      </c>
      <c r="B4810" s="4">
        <v>34209</v>
      </c>
      <c r="C4810" s="5">
        <v>40414</v>
      </c>
      <c r="D4810" s="3" t="s">
        <v>89</v>
      </c>
      <c r="E4810" s="1" t="s">
        <v>653</v>
      </c>
      <c r="F4810" s="1" t="s">
        <v>18</v>
      </c>
      <c r="G4810" s="2" t="s">
        <v>6</v>
      </c>
      <c r="H4810" s="3" t="s">
        <v>88</v>
      </c>
      <c r="I4810" s="3" t="s">
        <v>91</v>
      </c>
      <c r="J4810" s="3" t="s">
        <v>59</v>
      </c>
      <c r="K4810" s="4">
        <v>705.44</v>
      </c>
      <c r="L4810" s="6">
        <v>14.2</v>
      </c>
    </row>
    <row r="4811" spans="1:12" x14ac:dyDescent="0.25">
      <c r="A4811" s="1">
        <v>4810</v>
      </c>
      <c r="B4811" s="4">
        <v>34209</v>
      </c>
      <c r="C4811" s="5">
        <v>40414</v>
      </c>
      <c r="D4811" s="3" t="s">
        <v>89</v>
      </c>
      <c r="E4811" s="1" t="s">
        <v>653</v>
      </c>
      <c r="F4811" s="1" t="s">
        <v>18</v>
      </c>
      <c r="G4811" s="2" t="s">
        <v>6</v>
      </c>
      <c r="H4811" s="3" t="s">
        <v>88</v>
      </c>
      <c r="I4811" s="3" t="s">
        <v>85</v>
      </c>
      <c r="J4811" s="3" t="s">
        <v>66</v>
      </c>
      <c r="K4811" s="4">
        <v>1041.72</v>
      </c>
      <c r="L4811" s="6">
        <v>35.44</v>
      </c>
    </row>
    <row r="4812" spans="1:12" x14ac:dyDescent="0.25">
      <c r="A4812" s="1">
        <v>4811</v>
      </c>
      <c r="B4812" s="4">
        <v>34211</v>
      </c>
      <c r="C4812" s="5">
        <v>40952</v>
      </c>
      <c r="D4812" s="3" t="s">
        <v>86</v>
      </c>
      <c r="E4812" s="1" t="s">
        <v>1077</v>
      </c>
      <c r="F4812" s="1" t="s">
        <v>13</v>
      </c>
      <c r="G4812" s="2" t="s">
        <v>6</v>
      </c>
      <c r="H4812" s="3" t="s">
        <v>84</v>
      </c>
      <c r="I4812" s="3" t="s">
        <v>85</v>
      </c>
      <c r="J4812" s="3" t="s">
        <v>63</v>
      </c>
      <c r="K4812" s="4">
        <v>136.49</v>
      </c>
      <c r="L4812" s="6">
        <v>9.93</v>
      </c>
    </row>
    <row r="4813" spans="1:12" x14ac:dyDescent="0.25">
      <c r="A4813" s="1">
        <v>4812</v>
      </c>
      <c r="B4813" s="4">
        <v>34215</v>
      </c>
      <c r="C4813" s="5">
        <v>40677</v>
      </c>
      <c r="D4813" s="3" t="s">
        <v>89</v>
      </c>
      <c r="E4813" s="1" t="s">
        <v>1252</v>
      </c>
      <c r="F4813" s="1" t="s">
        <v>8</v>
      </c>
      <c r="G4813" s="2" t="s">
        <v>6</v>
      </c>
      <c r="H4813" s="3" t="s">
        <v>97</v>
      </c>
      <c r="I4813" s="3" t="s">
        <v>85</v>
      </c>
      <c r="J4813" s="3" t="s">
        <v>69</v>
      </c>
      <c r="K4813" s="4">
        <v>35.65</v>
      </c>
      <c r="L4813" s="6">
        <v>5.34</v>
      </c>
    </row>
    <row r="4814" spans="1:12" x14ac:dyDescent="0.25">
      <c r="A4814" s="1">
        <v>4813</v>
      </c>
      <c r="B4814" s="4">
        <v>34241</v>
      </c>
      <c r="C4814" s="5">
        <v>41190</v>
      </c>
      <c r="D4814" s="3" t="s">
        <v>82</v>
      </c>
      <c r="E4814" s="1" t="s">
        <v>1203</v>
      </c>
      <c r="F4814" s="1" t="s">
        <v>11</v>
      </c>
      <c r="G4814" s="2" t="s">
        <v>6</v>
      </c>
      <c r="H4814" s="3" t="s">
        <v>97</v>
      </c>
      <c r="I4814" s="3" t="s">
        <v>85</v>
      </c>
      <c r="J4814" s="3" t="s">
        <v>71</v>
      </c>
      <c r="K4814" s="4">
        <v>207.55</v>
      </c>
      <c r="L4814" s="6">
        <v>52.71</v>
      </c>
    </row>
    <row r="4815" spans="1:12" x14ac:dyDescent="0.25">
      <c r="A4815" s="1">
        <v>4814</v>
      </c>
      <c r="B4815" s="4">
        <v>34243</v>
      </c>
      <c r="C4815" s="5">
        <v>40585</v>
      </c>
      <c r="D4815" s="3" t="s">
        <v>89</v>
      </c>
      <c r="E4815" s="1" t="s">
        <v>402</v>
      </c>
      <c r="F4815" s="1" t="s">
        <v>24</v>
      </c>
      <c r="G4815" s="2" t="s">
        <v>2</v>
      </c>
      <c r="H4815" s="3" t="s">
        <v>97</v>
      </c>
      <c r="I4815" s="3" t="s">
        <v>91</v>
      </c>
      <c r="J4815" s="3" t="s">
        <v>59</v>
      </c>
      <c r="K4815" s="4">
        <v>89.04</v>
      </c>
      <c r="L4815" s="6">
        <v>8.75</v>
      </c>
    </row>
    <row r="4816" spans="1:12" x14ac:dyDescent="0.25">
      <c r="A4816" s="1">
        <v>4815</v>
      </c>
      <c r="B4816" s="4">
        <v>34243</v>
      </c>
      <c r="C4816" s="5">
        <v>40585</v>
      </c>
      <c r="D4816" s="3" t="s">
        <v>89</v>
      </c>
      <c r="E4816" s="1" t="s">
        <v>402</v>
      </c>
      <c r="F4816" s="1" t="s">
        <v>24</v>
      </c>
      <c r="G4816" s="2" t="s">
        <v>2</v>
      </c>
      <c r="H4816" s="3" t="s">
        <v>97</v>
      </c>
      <c r="I4816" s="3" t="s">
        <v>85</v>
      </c>
      <c r="J4816" s="3" t="s">
        <v>66</v>
      </c>
      <c r="K4816" s="4">
        <v>297.33999999999997</v>
      </c>
      <c r="L4816" s="6">
        <v>7.28</v>
      </c>
    </row>
    <row r="4817" spans="1:12" x14ac:dyDescent="0.25">
      <c r="A4817" s="1">
        <v>4816</v>
      </c>
      <c r="B4817" s="4">
        <v>34243</v>
      </c>
      <c r="C4817" s="5">
        <v>40585</v>
      </c>
      <c r="D4817" s="3" t="s">
        <v>89</v>
      </c>
      <c r="E4817" s="1" t="s">
        <v>402</v>
      </c>
      <c r="F4817" s="1" t="s">
        <v>24</v>
      </c>
      <c r="G4817" s="2" t="s">
        <v>2</v>
      </c>
      <c r="H4817" s="3" t="s">
        <v>97</v>
      </c>
      <c r="I4817" s="3" t="s">
        <v>85</v>
      </c>
      <c r="J4817" s="3" t="s">
        <v>57</v>
      </c>
      <c r="K4817" s="4">
        <v>1264.1300000000001</v>
      </c>
      <c r="L4817" s="6">
        <v>35.479999999999997</v>
      </c>
    </row>
    <row r="4818" spans="1:12" x14ac:dyDescent="0.25">
      <c r="A4818" s="1">
        <v>4817</v>
      </c>
      <c r="B4818" s="4">
        <v>34244</v>
      </c>
      <c r="C4818" s="5">
        <v>40450</v>
      </c>
      <c r="D4818" s="3" t="s">
        <v>82</v>
      </c>
      <c r="E4818" s="1" t="s">
        <v>1257</v>
      </c>
      <c r="F4818" s="1" t="s">
        <v>13</v>
      </c>
      <c r="G4818" s="2" t="s">
        <v>6</v>
      </c>
      <c r="H4818" s="3" t="s">
        <v>100</v>
      </c>
      <c r="I4818" s="3" t="s">
        <v>92</v>
      </c>
      <c r="J4818" s="3" t="s">
        <v>62</v>
      </c>
      <c r="K4818" s="4">
        <v>205.3</v>
      </c>
      <c r="L4818" s="6">
        <v>7.37</v>
      </c>
    </row>
    <row r="4819" spans="1:12" x14ac:dyDescent="0.25">
      <c r="A4819" s="1">
        <v>4818</v>
      </c>
      <c r="B4819" s="4">
        <v>34244</v>
      </c>
      <c r="C4819" s="5">
        <v>40450</v>
      </c>
      <c r="D4819" s="3" t="s">
        <v>82</v>
      </c>
      <c r="E4819" s="1" t="s">
        <v>1257</v>
      </c>
      <c r="F4819" s="1" t="s">
        <v>13</v>
      </c>
      <c r="G4819" s="2" t="s">
        <v>6</v>
      </c>
      <c r="H4819" s="3" t="s">
        <v>100</v>
      </c>
      <c r="I4819" s="3" t="s">
        <v>92</v>
      </c>
      <c r="J4819" s="3" t="s">
        <v>62</v>
      </c>
      <c r="K4819" s="4">
        <v>125.7</v>
      </c>
      <c r="L4819" s="6">
        <v>31.78</v>
      </c>
    </row>
    <row r="4820" spans="1:12" x14ac:dyDescent="0.25">
      <c r="A4820" s="1">
        <v>4819</v>
      </c>
      <c r="B4820" s="4">
        <v>34245</v>
      </c>
      <c r="C4820" s="5">
        <v>40216</v>
      </c>
      <c r="D4820" s="3" t="s">
        <v>4</v>
      </c>
      <c r="E4820" s="1" t="s">
        <v>1002</v>
      </c>
      <c r="F4820" s="2" t="s">
        <v>33</v>
      </c>
      <c r="G4820" s="2" t="s">
        <v>2</v>
      </c>
      <c r="H4820" s="3" t="s">
        <v>100</v>
      </c>
      <c r="I4820" s="3" t="s">
        <v>85</v>
      </c>
      <c r="J4820" s="3" t="s">
        <v>66</v>
      </c>
      <c r="K4820" s="4">
        <v>189.22</v>
      </c>
      <c r="L4820" s="6">
        <v>4.28</v>
      </c>
    </row>
    <row r="4821" spans="1:12" x14ac:dyDescent="0.25">
      <c r="A4821" s="1">
        <v>4820</v>
      </c>
      <c r="B4821" s="4">
        <v>34246</v>
      </c>
      <c r="C4821" s="5">
        <v>40458</v>
      </c>
      <c r="D4821" s="3" t="s">
        <v>95</v>
      </c>
      <c r="E4821" s="1" t="s">
        <v>915</v>
      </c>
      <c r="F4821" s="1" t="s">
        <v>8</v>
      </c>
      <c r="G4821" s="2" t="s">
        <v>6</v>
      </c>
      <c r="H4821" s="3" t="s">
        <v>97</v>
      </c>
      <c r="I4821" s="3" t="s">
        <v>85</v>
      </c>
      <c r="J4821" s="3" t="s">
        <v>70</v>
      </c>
      <c r="K4821" s="4">
        <v>199.86</v>
      </c>
      <c r="L4821" s="6">
        <v>4.0599999999999996</v>
      </c>
    </row>
    <row r="4822" spans="1:12" x14ac:dyDescent="0.25">
      <c r="A4822" s="1">
        <v>4821</v>
      </c>
      <c r="B4822" s="4">
        <v>34246</v>
      </c>
      <c r="C4822" s="5">
        <v>40458</v>
      </c>
      <c r="D4822" s="3" t="s">
        <v>95</v>
      </c>
      <c r="E4822" s="1" t="s">
        <v>915</v>
      </c>
      <c r="F4822" s="1" t="s">
        <v>8</v>
      </c>
      <c r="G4822" s="2" t="s">
        <v>6</v>
      </c>
      <c r="H4822" s="3" t="s">
        <v>97</v>
      </c>
      <c r="I4822" s="3" t="s">
        <v>92</v>
      </c>
      <c r="J4822" s="3" t="s">
        <v>67</v>
      </c>
      <c r="K4822" s="4">
        <v>1888.02</v>
      </c>
      <c r="L4822" s="6">
        <v>99.99</v>
      </c>
    </row>
    <row r="4823" spans="1:12" x14ac:dyDescent="0.25">
      <c r="A4823" s="1">
        <v>4822</v>
      </c>
      <c r="B4823" s="4">
        <v>34246</v>
      </c>
      <c r="C4823" s="5">
        <v>40458</v>
      </c>
      <c r="D4823" s="3" t="s">
        <v>95</v>
      </c>
      <c r="E4823" s="1" t="s">
        <v>262</v>
      </c>
      <c r="F4823" s="1" t="s">
        <v>8</v>
      </c>
      <c r="G4823" s="2" t="s">
        <v>6</v>
      </c>
      <c r="H4823" s="3" t="s">
        <v>97</v>
      </c>
      <c r="I4823" s="3" t="s">
        <v>85</v>
      </c>
      <c r="J4823" s="3" t="s">
        <v>71</v>
      </c>
      <c r="K4823" s="4">
        <v>322.69</v>
      </c>
      <c r="L4823" s="6">
        <v>11.58</v>
      </c>
    </row>
    <row r="4824" spans="1:12" x14ac:dyDescent="0.25">
      <c r="A4824" s="1">
        <v>4823</v>
      </c>
      <c r="B4824" s="4">
        <v>34275</v>
      </c>
      <c r="C4824" s="5">
        <v>39995</v>
      </c>
      <c r="D4824" s="3" t="s">
        <v>82</v>
      </c>
      <c r="E4824" s="1" t="s">
        <v>967</v>
      </c>
      <c r="F4824" s="1" t="s">
        <v>38</v>
      </c>
      <c r="G4824" s="2" t="s">
        <v>6</v>
      </c>
      <c r="H4824" s="3" t="s">
        <v>84</v>
      </c>
      <c r="I4824" s="3" t="s">
        <v>85</v>
      </c>
      <c r="J4824" s="3" t="s">
        <v>63</v>
      </c>
      <c r="K4824" s="4">
        <v>123.46</v>
      </c>
      <c r="L4824" s="6">
        <v>4.84</v>
      </c>
    </row>
    <row r="4825" spans="1:12" x14ac:dyDescent="0.25">
      <c r="A4825" s="1">
        <v>4824</v>
      </c>
      <c r="B4825" s="4">
        <v>34275</v>
      </c>
      <c r="C4825" s="5">
        <v>39995</v>
      </c>
      <c r="D4825" s="3" t="s">
        <v>82</v>
      </c>
      <c r="E4825" s="1" t="s">
        <v>321</v>
      </c>
      <c r="F4825" s="1" t="s">
        <v>36</v>
      </c>
      <c r="G4825" s="2" t="s">
        <v>2</v>
      </c>
      <c r="H4825" s="3" t="s">
        <v>84</v>
      </c>
      <c r="I4825" s="3" t="s">
        <v>92</v>
      </c>
      <c r="J4825" s="3" t="s">
        <v>67</v>
      </c>
      <c r="K4825" s="4">
        <v>6041.01</v>
      </c>
      <c r="L4825" s="6">
        <v>2036.48</v>
      </c>
    </row>
    <row r="4826" spans="1:12" x14ac:dyDescent="0.25">
      <c r="A4826" s="1">
        <v>4825</v>
      </c>
      <c r="B4826" s="4">
        <v>34279</v>
      </c>
      <c r="C4826" s="5">
        <v>40996</v>
      </c>
      <c r="D4826" s="3" t="s">
        <v>86</v>
      </c>
      <c r="E4826" s="1" t="s">
        <v>1047</v>
      </c>
      <c r="F4826" s="1" t="s">
        <v>24</v>
      </c>
      <c r="G4826" s="2" t="s">
        <v>2</v>
      </c>
      <c r="H4826" s="3" t="s">
        <v>100</v>
      </c>
      <c r="I4826" s="3" t="s">
        <v>91</v>
      </c>
      <c r="J4826" s="3" t="s">
        <v>60</v>
      </c>
      <c r="K4826" s="4">
        <v>840.55200000000013</v>
      </c>
      <c r="L4826" s="6">
        <v>349.45</v>
      </c>
    </row>
    <row r="4827" spans="1:12" x14ac:dyDescent="0.25">
      <c r="A4827" s="1">
        <v>4826</v>
      </c>
      <c r="B4827" s="4">
        <v>34309</v>
      </c>
      <c r="C4827" s="5">
        <v>41158</v>
      </c>
      <c r="D4827" s="3" t="s">
        <v>89</v>
      </c>
      <c r="E4827" s="1" t="s">
        <v>366</v>
      </c>
      <c r="F4827" s="1" t="s">
        <v>20</v>
      </c>
      <c r="G4827" s="2" t="s">
        <v>1</v>
      </c>
      <c r="H4827" s="3" t="s">
        <v>84</v>
      </c>
      <c r="I4827" s="3" t="s">
        <v>85</v>
      </c>
      <c r="J4827" s="3" t="s">
        <v>70</v>
      </c>
      <c r="K4827" s="4">
        <v>75.77</v>
      </c>
      <c r="L4827" s="6">
        <v>4.37</v>
      </c>
    </row>
    <row r="4828" spans="1:12" x14ac:dyDescent="0.25">
      <c r="A4828" s="1">
        <v>4827</v>
      </c>
      <c r="B4828" s="4">
        <v>34311</v>
      </c>
      <c r="C4828" s="5">
        <v>40061</v>
      </c>
      <c r="D4828" s="3" t="s">
        <v>89</v>
      </c>
      <c r="E4828" s="1" t="s">
        <v>1185</v>
      </c>
      <c r="F4828" s="1" t="s">
        <v>32</v>
      </c>
      <c r="G4828" s="2" t="s">
        <v>2</v>
      </c>
      <c r="H4828" s="3" t="s">
        <v>88</v>
      </c>
      <c r="I4828" s="3" t="s">
        <v>85</v>
      </c>
      <c r="J4828" s="3" t="s">
        <v>63</v>
      </c>
      <c r="K4828" s="4">
        <v>132.79</v>
      </c>
      <c r="L4828" s="6">
        <v>3.28</v>
      </c>
    </row>
    <row r="4829" spans="1:12" x14ac:dyDescent="0.25">
      <c r="A4829" s="1">
        <v>4828</v>
      </c>
      <c r="B4829" s="4">
        <v>34311</v>
      </c>
      <c r="C4829" s="5">
        <v>40061</v>
      </c>
      <c r="D4829" s="3" t="s">
        <v>89</v>
      </c>
      <c r="E4829" s="1" t="s">
        <v>1185</v>
      </c>
      <c r="F4829" s="1" t="s">
        <v>32</v>
      </c>
      <c r="G4829" s="2" t="s">
        <v>2</v>
      </c>
      <c r="H4829" s="3" t="s">
        <v>88</v>
      </c>
      <c r="I4829" s="3" t="s">
        <v>85</v>
      </c>
      <c r="J4829" s="3" t="s">
        <v>57</v>
      </c>
      <c r="K4829" s="4">
        <v>232.85</v>
      </c>
      <c r="L4829" s="6">
        <v>6.98</v>
      </c>
    </row>
    <row r="4830" spans="1:12" x14ac:dyDescent="0.25">
      <c r="A4830" s="1">
        <v>4829</v>
      </c>
      <c r="B4830" s="4">
        <v>34337</v>
      </c>
      <c r="C4830" s="5">
        <v>40312</v>
      </c>
      <c r="D4830" s="3" t="s">
        <v>4</v>
      </c>
      <c r="E4830" s="1" t="s">
        <v>122</v>
      </c>
      <c r="F4830" s="1" t="s">
        <v>15</v>
      </c>
      <c r="G4830" s="2" t="s">
        <v>1</v>
      </c>
      <c r="H4830" s="3" t="s">
        <v>88</v>
      </c>
      <c r="I4830" s="3" t="s">
        <v>91</v>
      </c>
      <c r="J4830" s="3" t="s">
        <v>59</v>
      </c>
      <c r="K4830" s="4">
        <v>3610.85</v>
      </c>
      <c r="L4830" s="6">
        <v>99.23</v>
      </c>
    </row>
    <row r="4831" spans="1:12" x14ac:dyDescent="0.25">
      <c r="A4831" s="1">
        <v>4830</v>
      </c>
      <c r="B4831" s="4">
        <v>34338</v>
      </c>
      <c r="C4831" s="5">
        <v>40359</v>
      </c>
      <c r="D4831" s="3" t="s">
        <v>82</v>
      </c>
      <c r="E4831" s="1" t="s">
        <v>611</v>
      </c>
      <c r="F4831" s="1" t="s">
        <v>12</v>
      </c>
      <c r="G4831" s="2" t="s">
        <v>2</v>
      </c>
      <c r="H4831" s="3" t="s">
        <v>88</v>
      </c>
      <c r="I4831" s="3" t="s">
        <v>85</v>
      </c>
      <c r="J4831" s="3" t="s">
        <v>66</v>
      </c>
      <c r="K4831" s="4">
        <v>1050.1600000000001</v>
      </c>
      <c r="L4831" s="6">
        <v>38.76</v>
      </c>
    </row>
    <row r="4832" spans="1:12" x14ac:dyDescent="0.25">
      <c r="A4832" s="1">
        <v>4831</v>
      </c>
      <c r="B4832" s="4">
        <v>34371</v>
      </c>
      <c r="C4832" s="5">
        <v>40269</v>
      </c>
      <c r="D4832" s="3" t="s">
        <v>4</v>
      </c>
      <c r="E4832" s="1" t="s">
        <v>141</v>
      </c>
      <c r="F4832" s="1" t="s">
        <v>34</v>
      </c>
      <c r="G4832" s="2" t="s">
        <v>1</v>
      </c>
      <c r="H4832" s="3" t="s">
        <v>100</v>
      </c>
      <c r="I4832" s="3" t="s">
        <v>92</v>
      </c>
      <c r="J4832" s="3" t="s">
        <v>67</v>
      </c>
      <c r="K4832" s="4">
        <v>8334.0300000000007</v>
      </c>
      <c r="L4832" s="6">
        <v>510.14</v>
      </c>
    </row>
    <row r="4833" spans="1:12" x14ac:dyDescent="0.25">
      <c r="A4833" s="1">
        <v>4832</v>
      </c>
      <c r="B4833" s="4">
        <v>34374</v>
      </c>
      <c r="C4833" s="5">
        <v>39994</v>
      </c>
      <c r="D4833" s="3" t="s">
        <v>82</v>
      </c>
      <c r="E4833" s="1" t="s">
        <v>204</v>
      </c>
      <c r="F4833" s="1" t="s">
        <v>12</v>
      </c>
      <c r="G4833" s="2" t="s">
        <v>2</v>
      </c>
      <c r="H4833" s="3" t="s">
        <v>84</v>
      </c>
      <c r="I4833" s="3" t="s">
        <v>92</v>
      </c>
      <c r="J4833" s="3" t="s">
        <v>62</v>
      </c>
      <c r="K4833" s="4">
        <v>344.57</v>
      </c>
      <c r="L4833" s="6">
        <v>8.33</v>
      </c>
    </row>
    <row r="4834" spans="1:12" x14ac:dyDescent="0.25">
      <c r="A4834" s="1">
        <v>4833</v>
      </c>
      <c r="B4834" s="4">
        <v>34400</v>
      </c>
      <c r="C4834" s="5">
        <v>41267</v>
      </c>
      <c r="D4834" s="3" t="s">
        <v>82</v>
      </c>
      <c r="E4834" s="1" t="s">
        <v>1212</v>
      </c>
      <c r="F4834" s="1" t="s">
        <v>23</v>
      </c>
      <c r="G4834" s="2" t="s">
        <v>3</v>
      </c>
      <c r="H4834" s="3" t="s">
        <v>88</v>
      </c>
      <c r="I4834" s="3" t="s">
        <v>85</v>
      </c>
      <c r="J4834" s="3" t="s">
        <v>63</v>
      </c>
      <c r="K4834" s="4">
        <v>92.53</v>
      </c>
      <c r="L4834" s="6">
        <v>3.57</v>
      </c>
    </row>
    <row r="4835" spans="1:12" x14ac:dyDescent="0.25">
      <c r="A4835" s="1">
        <v>4834</v>
      </c>
      <c r="B4835" s="4">
        <v>34400</v>
      </c>
      <c r="C4835" s="5">
        <v>41267</v>
      </c>
      <c r="D4835" s="3" t="s">
        <v>82</v>
      </c>
      <c r="E4835" s="1" t="s">
        <v>1212</v>
      </c>
      <c r="F4835" s="1" t="s">
        <v>23</v>
      </c>
      <c r="G4835" s="2" t="s">
        <v>3</v>
      </c>
      <c r="H4835" s="3" t="s">
        <v>88</v>
      </c>
      <c r="I4835" s="3" t="s">
        <v>92</v>
      </c>
      <c r="J4835" s="3" t="s">
        <v>61</v>
      </c>
      <c r="K4835" s="4">
        <v>988.6434999999999</v>
      </c>
      <c r="L4835" s="6">
        <v>65.989999999999995</v>
      </c>
    </row>
    <row r="4836" spans="1:12" x14ac:dyDescent="0.25">
      <c r="A4836" s="1">
        <v>4835</v>
      </c>
      <c r="B4836" s="4">
        <v>34402</v>
      </c>
      <c r="C4836" s="5">
        <v>40300</v>
      </c>
      <c r="D4836" s="3" t="s">
        <v>89</v>
      </c>
      <c r="E4836" s="1" t="s">
        <v>914</v>
      </c>
      <c r="F4836" s="1" t="s">
        <v>26</v>
      </c>
      <c r="G4836" s="2" t="s">
        <v>3</v>
      </c>
      <c r="H4836" s="3" t="s">
        <v>88</v>
      </c>
      <c r="I4836" s="3" t="s">
        <v>85</v>
      </c>
      <c r="J4836" s="3" t="s">
        <v>57</v>
      </c>
      <c r="K4836" s="4">
        <v>3016.85</v>
      </c>
      <c r="L4836" s="6">
        <v>80.98</v>
      </c>
    </row>
    <row r="4837" spans="1:12" x14ac:dyDescent="0.25">
      <c r="A4837" s="1">
        <v>4836</v>
      </c>
      <c r="B4837" s="4">
        <v>34402</v>
      </c>
      <c r="C4837" s="5">
        <v>40300</v>
      </c>
      <c r="D4837" s="3" t="s">
        <v>89</v>
      </c>
      <c r="E4837" s="1" t="s">
        <v>1301</v>
      </c>
      <c r="F4837" s="1" t="s">
        <v>26</v>
      </c>
      <c r="G4837" s="2" t="s">
        <v>3</v>
      </c>
      <c r="H4837" s="3" t="s">
        <v>88</v>
      </c>
      <c r="I4837" s="3" t="s">
        <v>85</v>
      </c>
      <c r="J4837" s="3" t="s">
        <v>65</v>
      </c>
      <c r="K4837" s="4">
        <v>48.5</v>
      </c>
      <c r="L4837" s="6">
        <v>3.15</v>
      </c>
    </row>
    <row r="4838" spans="1:12" x14ac:dyDescent="0.25">
      <c r="A4838" s="1">
        <v>4837</v>
      </c>
      <c r="B4838" s="4">
        <v>34406</v>
      </c>
      <c r="C4838" s="5">
        <v>41180</v>
      </c>
      <c r="D4838" s="3" t="s">
        <v>4</v>
      </c>
      <c r="E4838" s="1" t="s">
        <v>532</v>
      </c>
      <c r="F4838" s="1" t="s">
        <v>24</v>
      </c>
      <c r="G4838" s="2" t="s">
        <v>2</v>
      </c>
      <c r="H4838" s="3" t="s">
        <v>97</v>
      </c>
      <c r="I4838" s="3" t="s">
        <v>85</v>
      </c>
      <c r="J4838" s="3" t="s">
        <v>64</v>
      </c>
      <c r="K4838" s="4">
        <v>142.59</v>
      </c>
      <c r="L4838" s="6">
        <v>4.71</v>
      </c>
    </row>
    <row r="4839" spans="1:12" x14ac:dyDescent="0.25">
      <c r="A4839" s="1">
        <v>4838</v>
      </c>
      <c r="B4839" s="4">
        <v>34407</v>
      </c>
      <c r="C4839" s="5">
        <v>40390</v>
      </c>
      <c r="D4839" s="3" t="s">
        <v>82</v>
      </c>
      <c r="E4839" s="1" t="s">
        <v>1196</v>
      </c>
      <c r="F4839" s="1" t="s">
        <v>23</v>
      </c>
      <c r="G4839" s="2" t="s">
        <v>3</v>
      </c>
      <c r="H4839" s="3" t="s">
        <v>100</v>
      </c>
      <c r="I4839" s="3" t="s">
        <v>85</v>
      </c>
      <c r="J4839" s="3" t="s">
        <v>71</v>
      </c>
      <c r="K4839" s="4">
        <v>1484.89</v>
      </c>
      <c r="L4839" s="6">
        <v>35.89</v>
      </c>
    </row>
    <row r="4840" spans="1:12" x14ac:dyDescent="0.25">
      <c r="A4840" s="1">
        <v>4839</v>
      </c>
      <c r="B4840" s="4">
        <v>34432</v>
      </c>
      <c r="C4840" s="5">
        <v>39910</v>
      </c>
      <c r="D4840" s="3" t="s">
        <v>86</v>
      </c>
      <c r="E4840" s="1" t="s">
        <v>982</v>
      </c>
      <c r="F4840" s="1" t="s">
        <v>23</v>
      </c>
      <c r="G4840" s="2" t="s">
        <v>3</v>
      </c>
      <c r="H4840" s="3" t="s">
        <v>97</v>
      </c>
      <c r="I4840" s="3" t="s">
        <v>85</v>
      </c>
      <c r="J4840" s="3" t="s">
        <v>65</v>
      </c>
      <c r="K4840" s="4">
        <v>244.39</v>
      </c>
      <c r="L4840" s="6">
        <v>12.53</v>
      </c>
    </row>
    <row r="4841" spans="1:12" x14ac:dyDescent="0.25">
      <c r="A4841" s="1">
        <v>4840</v>
      </c>
      <c r="B4841" s="4">
        <v>34432</v>
      </c>
      <c r="C4841" s="5">
        <v>39910</v>
      </c>
      <c r="D4841" s="3" t="s">
        <v>86</v>
      </c>
      <c r="E4841" s="1" t="s">
        <v>333</v>
      </c>
      <c r="F4841" s="1" t="s">
        <v>23</v>
      </c>
      <c r="G4841" s="2" t="s">
        <v>3</v>
      </c>
      <c r="H4841" s="3" t="s">
        <v>97</v>
      </c>
      <c r="I4841" s="3" t="s">
        <v>85</v>
      </c>
      <c r="J4841" s="3" t="s">
        <v>57</v>
      </c>
      <c r="K4841" s="4">
        <v>581.41999999999996</v>
      </c>
      <c r="L4841" s="6">
        <v>178.47</v>
      </c>
    </row>
    <row r="4842" spans="1:12" x14ac:dyDescent="0.25">
      <c r="A4842" s="1">
        <v>4841</v>
      </c>
      <c r="B4842" s="4">
        <v>34434</v>
      </c>
      <c r="C4842" s="5">
        <v>40672</v>
      </c>
      <c r="D4842" s="3" t="s">
        <v>86</v>
      </c>
      <c r="E4842" s="1" t="s">
        <v>1302</v>
      </c>
      <c r="F4842" s="1" t="s">
        <v>28</v>
      </c>
      <c r="G4842" s="2" t="s">
        <v>6</v>
      </c>
      <c r="H4842" s="3" t="s">
        <v>84</v>
      </c>
      <c r="I4842" s="3" t="s">
        <v>85</v>
      </c>
      <c r="J4842" s="3" t="s">
        <v>69</v>
      </c>
      <c r="K4842" s="4">
        <v>32.35</v>
      </c>
      <c r="L4842" s="6">
        <v>1.8</v>
      </c>
    </row>
    <row r="4843" spans="1:12" x14ac:dyDescent="0.25">
      <c r="A4843" s="1">
        <v>4842</v>
      </c>
      <c r="B4843" s="4">
        <v>34434</v>
      </c>
      <c r="C4843" s="5">
        <v>40672</v>
      </c>
      <c r="D4843" s="3" t="s">
        <v>86</v>
      </c>
      <c r="E4843" s="1" t="s">
        <v>1302</v>
      </c>
      <c r="F4843" s="1" t="s">
        <v>28</v>
      </c>
      <c r="G4843" s="2" t="s">
        <v>6</v>
      </c>
      <c r="H4843" s="3" t="s">
        <v>84</v>
      </c>
      <c r="I4843" s="3" t="s">
        <v>85</v>
      </c>
      <c r="J4843" s="3" t="s">
        <v>65</v>
      </c>
      <c r="K4843" s="4">
        <v>116.56</v>
      </c>
      <c r="L4843" s="6">
        <v>4.9800000000000004</v>
      </c>
    </row>
    <row r="4844" spans="1:12" x14ac:dyDescent="0.25">
      <c r="A4844" s="1">
        <v>4843</v>
      </c>
      <c r="B4844" s="4">
        <v>34435</v>
      </c>
      <c r="C4844" s="5">
        <v>40030</v>
      </c>
      <c r="D4844" s="3" t="s">
        <v>82</v>
      </c>
      <c r="E4844" s="1" t="s">
        <v>282</v>
      </c>
      <c r="F4844" s="1" t="s">
        <v>30</v>
      </c>
      <c r="G4844" s="2" t="s">
        <v>6</v>
      </c>
      <c r="H4844" s="3" t="s">
        <v>100</v>
      </c>
      <c r="I4844" s="3" t="s">
        <v>85</v>
      </c>
      <c r="J4844" s="3" t="s">
        <v>63</v>
      </c>
      <c r="K4844" s="4">
        <v>447.36</v>
      </c>
      <c r="L4844" s="6">
        <v>10.48</v>
      </c>
    </row>
    <row r="4845" spans="1:12" x14ac:dyDescent="0.25">
      <c r="A4845" s="1">
        <v>4844</v>
      </c>
      <c r="B4845" s="4">
        <v>34438</v>
      </c>
      <c r="C4845" s="5">
        <v>40523</v>
      </c>
      <c r="D4845" s="3" t="s">
        <v>89</v>
      </c>
      <c r="E4845" s="1" t="s">
        <v>1221</v>
      </c>
      <c r="F4845" s="1" t="s">
        <v>38</v>
      </c>
      <c r="G4845" s="2" t="s">
        <v>6</v>
      </c>
      <c r="H4845" s="3" t="s">
        <v>100</v>
      </c>
      <c r="I4845" s="3" t="s">
        <v>85</v>
      </c>
      <c r="J4845" s="3" t="s">
        <v>63</v>
      </c>
      <c r="K4845" s="4">
        <v>588.54</v>
      </c>
      <c r="L4845" s="6">
        <v>20.149999999999999</v>
      </c>
    </row>
    <row r="4846" spans="1:12" x14ac:dyDescent="0.25">
      <c r="A4846" s="1">
        <v>4845</v>
      </c>
      <c r="B4846" s="4">
        <v>34470</v>
      </c>
      <c r="C4846" s="5">
        <v>40940</v>
      </c>
      <c r="D4846" s="3" t="s">
        <v>95</v>
      </c>
      <c r="E4846" s="1" t="s">
        <v>1264</v>
      </c>
      <c r="F4846" s="1" t="s">
        <v>31</v>
      </c>
      <c r="G4846" s="2" t="s">
        <v>1</v>
      </c>
      <c r="H4846" s="3" t="s">
        <v>97</v>
      </c>
      <c r="I4846" s="3" t="s">
        <v>91</v>
      </c>
      <c r="J4846" s="3" t="s">
        <v>68</v>
      </c>
      <c r="K4846" s="4">
        <v>2966.13</v>
      </c>
      <c r="L4846" s="6">
        <v>100.98</v>
      </c>
    </row>
    <row r="4847" spans="1:12" x14ac:dyDescent="0.25">
      <c r="A4847" s="1">
        <v>4846</v>
      </c>
      <c r="B4847" s="4">
        <v>34497</v>
      </c>
      <c r="C4847" s="5">
        <v>39882</v>
      </c>
      <c r="D4847" s="3" t="s">
        <v>4</v>
      </c>
      <c r="E4847" s="1" t="s">
        <v>895</v>
      </c>
      <c r="F4847" s="1" t="s">
        <v>23</v>
      </c>
      <c r="G4847" s="2" t="s">
        <v>3</v>
      </c>
      <c r="H4847" s="3" t="s">
        <v>100</v>
      </c>
      <c r="I4847" s="3" t="s">
        <v>85</v>
      </c>
      <c r="J4847" s="3" t="s">
        <v>66</v>
      </c>
      <c r="K4847" s="4">
        <v>175.35</v>
      </c>
      <c r="L4847" s="6">
        <v>4.9800000000000004</v>
      </c>
    </row>
    <row r="4848" spans="1:12" x14ac:dyDescent="0.25">
      <c r="A4848" s="1">
        <v>4847</v>
      </c>
      <c r="B4848" s="4">
        <v>34497</v>
      </c>
      <c r="C4848" s="5">
        <v>39882</v>
      </c>
      <c r="D4848" s="3" t="s">
        <v>4</v>
      </c>
      <c r="E4848" s="1" t="s">
        <v>895</v>
      </c>
      <c r="F4848" s="1" t="s">
        <v>23</v>
      </c>
      <c r="G4848" s="2" t="s">
        <v>3</v>
      </c>
      <c r="H4848" s="3" t="s">
        <v>100</v>
      </c>
      <c r="I4848" s="3" t="s">
        <v>85</v>
      </c>
      <c r="J4848" s="3" t="s">
        <v>66</v>
      </c>
      <c r="K4848" s="4">
        <v>590.6</v>
      </c>
      <c r="L4848" s="6">
        <v>22.84</v>
      </c>
    </row>
    <row r="4849" spans="1:12" x14ac:dyDescent="0.25">
      <c r="A4849" s="1">
        <v>4848</v>
      </c>
      <c r="B4849" s="4">
        <v>34498</v>
      </c>
      <c r="C4849" s="5">
        <v>39859</v>
      </c>
      <c r="D4849" s="3" t="s">
        <v>82</v>
      </c>
      <c r="E4849" s="1" t="s">
        <v>1019</v>
      </c>
      <c r="F4849" s="1" t="s">
        <v>23</v>
      </c>
      <c r="G4849" s="2" t="s">
        <v>3</v>
      </c>
      <c r="H4849" s="3" t="s">
        <v>84</v>
      </c>
      <c r="I4849" s="3" t="s">
        <v>85</v>
      </c>
      <c r="J4849" s="3" t="s">
        <v>71</v>
      </c>
      <c r="K4849" s="4">
        <v>47.12</v>
      </c>
      <c r="L4849" s="6">
        <v>8.74</v>
      </c>
    </row>
    <row r="4850" spans="1:12" x14ac:dyDescent="0.25">
      <c r="A4850" s="1">
        <v>4849</v>
      </c>
      <c r="B4850" s="4">
        <v>34498</v>
      </c>
      <c r="C4850" s="5">
        <v>39859</v>
      </c>
      <c r="D4850" s="3" t="s">
        <v>82</v>
      </c>
      <c r="E4850" s="1" t="s">
        <v>1019</v>
      </c>
      <c r="F4850" s="1" t="s">
        <v>23</v>
      </c>
      <c r="G4850" s="2" t="s">
        <v>3</v>
      </c>
      <c r="H4850" s="3" t="s">
        <v>84</v>
      </c>
      <c r="I4850" s="3" t="s">
        <v>85</v>
      </c>
      <c r="J4850" s="3" t="s">
        <v>66</v>
      </c>
      <c r="K4850" s="4">
        <v>62.89</v>
      </c>
      <c r="L4850" s="6">
        <v>18.97</v>
      </c>
    </row>
    <row r="4851" spans="1:12" x14ac:dyDescent="0.25">
      <c r="A4851" s="1">
        <v>4850</v>
      </c>
      <c r="B4851" s="4">
        <v>34499</v>
      </c>
      <c r="C4851" s="5">
        <v>40377</v>
      </c>
      <c r="D4851" s="3" t="s">
        <v>4</v>
      </c>
      <c r="E4851" s="1" t="s">
        <v>543</v>
      </c>
      <c r="F4851" s="1" t="s">
        <v>52</v>
      </c>
      <c r="G4851" s="2" t="s">
        <v>3</v>
      </c>
      <c r="H4851" s="3" t="s">
        <v>97</v>
      </c>
      <c r="I4851" s="3" t="s">
        <v>91</v>
      </c>
      <c r="J4851" s="3" t="s">
        <v>72</v>
      </c>
      <c r="K4851" s="4">
        <v>555.67999999999995</v>
      </c>
      <c r="L4851" s="6">
        <v>243.98</v>
      </c>
    </row>
    <row r="4852" spans="1:12" x14ac:dyDescent="0.25">
      <c r="A4852" s="1">
        <v>4851</v>
      </c>
      <c r="B4852" s="4">
        <v>34530</v>
      </c>
      <c r="C4852" s="5">
        <v>40420</v>
      </c>
      <c r="D4852" s="3" t="s">
        <v>82</v>
      </c>
      <c r="E4852" s="1" t="s">
        <v>839</v>
      </c>
      <c r="F4852" s="1" t="s">
        <v>34</v>
      </c>
      <c r="G4852" s="2" t="s">
        <v>1</v>
      </c>
      <c r="H4852" s="3" t="s">
        <v>100</v>
      </c>
      <c r="I4852" s="3" t="s">
        <v>85</v>
      </c>
      <c r="J4852" s="3" t="s">
        <v>70</v>
      </c>
      <c r="K4852" s="4">
        <v>1516.13</v>
      </c>
      <c r="L4852" s="6">
        <v>67.84</v>
      </c>
    </row>
    <row r="4853" spans="1:12" x14ac:dyDescent="0.25">
      <c r="A4853" s="1">
        <v>4852</v>
      </c>
      <c r="B4853" s="4">
        <v>34530</v>
      </c>
      <c r="C4853" s="5">
        <v>40420</v>
      </c>
      <c r="D4853" s="3" t="s">
        <v>82</v>
      </c>
      <c r="E4853" s="1" t="s">
        <v>839</v>
      </c>
      <c r="F4853" s="1" t="s">
        <v>34</v>
      </c>
      <c r="G4853" s="2" t="s">
        <v>1</v>
      </c>
      <c r="H4853" s="3" t="s">
        <v>100</v>
      </c>
      <c r="I4853" s="3" t="s">
        <v>92</v>
      </c>
      <c r="J4853" s="3" t="s">
        <v>62</v>
      </c>
      <c r="K4853" s="4">
        <v>612.49</v>
      </c>
      <c r="L4853" s="6">
        <v>17.48</v>
      </c>
    </row>
    <row r="4854" spans="1:12" x14ac:dyDescent="0.25">
      <c r="A4854" s="1">
        <v>4853</v>
      </c>
      <c r="B4854" s="4">
        <v>34530</v>
      </c>
      <c r="C4854" s="5">
        <v>40420</v>
      </c>
      <c r="D4854" s="3" t="s">
        <v>82</v>
      </c>
      <c r="E4854" s="1" t="s">
        <v>839</v>
      </c>
      <c r="F4854" s="1" t="s">
        <v>34</v>
      </c>
      <c r="G4854" s="2" t="s">
        <v>1</v>
      </c>
      <c r="H4854" s="3" t="s">
        <v>100</v>
      </c>
      <c r="I4854" s="3" t="s">
        <v>91</v>
      </c>
      <c r="J4854" s="3" t="s">
        <v>60</v>
      </c>
      <c r="K4854" s="4">
        <v>1092.42</v>
      </c>
      <c r="L4854" s="6">
        <v>150.97999999999999</v>
      </c>
    </row>
    <row r="4855" spans="1:12" x14ac:dyDescent="0.25">
      <c r="A4855" s="1">
        <v>4854</v>
      </c>
      <c r="B4855" s="4">
        <v>34532</v>
      </c>
      <c r="C4855" s="5">
        <v>41254</v>
      </c>
      <c r="D4855" s="3" t="s">
        <v>82</v>
      </c>
      <c r="E4855" s="1" t="s">
        <v>388</v>
      </c>
      <c r="F4855" s="1" t="s">
        <v>36</v>
      </c>
      <c r="G4855" s="2" t="s">
        <v>2</v>
      </c>
      <c r="H4855" s="3" t="s">
        <v>84</v>
      </c>
      <c r="I4855" s="3" t="s">
        <v>85</v>
      </c>
      <c r="J4855" s="3" t="s">
        <v>71</v>
      </c>
      <c r="K4855" s="4">
        <v>1234.3599999999999</v>
      </c>
      <c r="L4855" s="6">
        <v>30.98</v>
      </c>
    </row>
    <row r="4856" spans="1:12" x14ac:dyDescent="0.25">
      <c r="A4856" s="1">
        <v>4855</v>
      </c>
      <c r="B4856" s="4">
        <v>34562</v>
      </c>
      <c r="C4856" s="5">
        <v>40414</v>
      </c>
      <c r="D4856" s="3" t="s">
        <v>82</v>
      </c>
      <c r="E4856" s="1" t="s">
        <v>693</v>
      </c>
      <c r="F4856" s="1" t="s">
        <v>34</v>
      </c>
      <c r="G4856" s="2" t="s">
        <v>1</v>
      </c>
      <c r="H4856" s="3" t="s">
        <v>84</v>
      </c>
      <c r="I4856" s="3" t="s">
        <v>92</v>
      </c>
      <c r="J4856" s="3" t="s">
        <v>62</v>
      </c>
      <c r="K4856" s="4">
        <v>561.91999999999996</v>
      </c>
      <c r="L4856" s="6">
        <v>28.38</v>
      </c>
    </row>
    <row r="4857" spans="1:12" x14ac:dyDescent="0.25">
      <c r="A4857" s="1">
        <v>4856</v>
      </c>
      <c r="B4857" s="4">
        <v>34562</v>
      </c>
      <c r="C4857" s="5">
        <v>40414</v>
      </c>
      <c r="D4857" s="3" t="s">
        <v>82</v>
      </c>
      <c r="E4857" s="1" t="s">
        <v>693</v>
      </c>
      <c r="F4857" s="1" t="s">
        <v>34</v>
      </c>
      <c r="G4857" s="2" t="s">
        <v>1</v>
      </c>
      <c r="H4857" s="3" t="s">
        <v>84</v>
      </c>
      <c r="I4857" s="3" t="s">
        <v>85</v>
      </c>
      <c r="J4857" s="3" t="s">
        <v>66</v>
      </c>
      <c r="K4857" s="4">
        <v>365.64</v>
      </c>
      <c r="L4857" s="6">
        <v>18.97</v>
      </c>
    </row>
    <row r="4858" spans="1:12" x14ac:dyDescent="0.25">
      <c r="A4858" s="1">
        <v>4857</v>
      </c>
      <c r="B4858" s="4">
        <v>34565</v>
      </c>
      <c r="C4858" s="5">
        <v>40007</v>
      </c>
      <c r="D4858" s="3" t="s">
        <v>4</v>
      </c>
      <c r="E4858" s="1" t="s">
        <v>1208</v>
      </c>
      <c r="F4858" s="1" t="s">
        <v>12</v>
      </c>
      <c r="G4858" s="2" t="s">
        <v>2</v>
      </c>
      <c r="H4858" s="3" t="s">
        <v>100</v>
      </c>
      <c r="I4858" s="3" t="s">
        <v>92</v>
      </c>
      <c r="J4858" s="3" t="s">
        <v>61</v>
      </c>
      <c r="K4858" s="4">
        <v>4815.8620000000001</v>
      </c>
      <c r="L4858" s="6">
        <v>125.99</v>
      </c>
    </row>
    <row r="4859" spans="1:12" x14ac:dyDescent="0.25">
      <c r="A4859" s="1">
        <v>4858</v>
      </c>
      <c r="B4859" s="4">
        <v>34567</v>
      </c>
      <c r="C4859" s="5">
        <v>39929</v>
      </c>
      <c r="D4859" s="3" t="s">
        <v>82</v>
      </c>
      <c r="E4859" s="1" t="s">
        <v>1069</v>
      </c>
      <c r="F4859" s="1" t="s">
        <v>41</v>
      </c>
      <c r="G4859" s="2" t="s">
        <v>6</v>
      </c>
      <c r="H4859" s="3" t="s">
        <v>100</v>
      </c>
      <c r="I4859" s="3" t="s">
        <v>91</v>
      </c>
      <c r="J4859" s="3" t="s">
        <v>72</v>
      </c>
      <c r="K4859" s="4">
        <v>3344.11</v>
      </c>
      <c r="L4859" s="6">
        <v>180.98</v>
      </c>
    </row>
    <row r="4860" spans="1:12" x14ac:dyDescent="0.25">
      <c r="A4860" s="1">
        <v>4859</v>
      </c>
      <c r="B4860" s="4">
        <v>34595</v>
      </c>
      <c r="C4860" s="5">
        <v>41109</v>
      </c>
      <c r="D4860" s="3" t="s">
        <v>4</v>
      </c>
      <c r="E4860" s="1" t="s">
        <v>1078</v>
      </c>
      <c r="F4860" s="1" t="s">
        <v>20</v>
      </c>
      <c r="G4860" s="2" t="s">
        <v>1</v>
      </c>
      <c r="H4860" s="3" t="s">
        <v>84</v>
      </c>
      <c r="I4860" s="3" t="s">
        <v>85</v>
      </c>
      <c r="J4860" s="3" t="s">
        <v>66</v>
      </c>
      <c r="K4860" s="4">
        <v>488.65</v>
      </c>
      <c r="L4860" s="6">
        <v>40.99</v>
      </c>
    </row>
    <row r="4861" spans="1:12" x14ac:dyDescent="0.25">
      <c r="A4861" s="1">
        <v>4860</v>
      </c>
      <c r="B4861" s="4">
        <v>34596</v>
      </c>
      <c r="C4861" s="5">
        <v>40786</v>
      </c>
      <c r="D4861" s="3" t="s">
        <v>95</v>
      </c>
      <c r="E4861" s="1" t="s">
        <v>776</v>
      </c>
      <c r="F4861" s="1" t="s">
        <v>42</v>
      </c>
      <c r="G4861" s="2" t="s">
        <v>3</v>
      </c>
      <c r="H4861" s="3" t="s">
        <v>100</v>
      </c>
      <c r="I4861" s="3" t="s">
        <v>85</v>
      </c>
      <c r="J4861" s="3" t="s">
        <v>69</v>
      </c>
      <c r="K4861" s="4">
        <v>302.08999999999997</v>
      </c>
      <c r="L4861" s="6">
        <v>7.68</v>
      </c>
    </row>
    <row r="4862" spans="1:12" x14ac:dyDescent="0.25">
      <c r="A4862" s="1">
        <v>4861</v>
      </c>
      <c r="B4862" s="4">
        <v>34597</v>
      </c>
      <c r="C4862" s="5">
        <v>40528</v>
      </c>
      <c r="D4862" s="3" t="s">
        <v>4</v>
      </c>
      <c r="E4862" s="1" t="s">
        <v>1223</v>
      </c>
      <c r="F4862" s="1" t="s">
        <v>24</v>
      </c>
      <c r="G4862" s="2" t="s">
        <v>2</v>
      </c>
      <c r="H4862" s="3" t="s">
        <v>97</v>
      </c>
      <c r="I4862" s="3" t="s">
        <v>92</v>
      </c>
      <c r="J4862" s="3" t="s">
        <v>61</v>
      </c>
      <c r="K4862" s="4">
        <v>849.33699999999999</v>
      </c>
      <c r="L4862" s="6">
        <v>125.99</v>
      </c>
    </row>
    <row r="4863" spans="1:12" x14ac:dyDescent="0.25">
      <c r="A4863" s="1">
        <v>4862</v>
      </c>
      <c r="B4863" s="4">
        <v>34599</v>
      </c>
      <c r="C4863" s="5">
        <v>40240</v>
      </c>
      <c r="D4863" s="3" t="s">
        <v>82</v>
      </c>
      <c r="E4863" s="1" t="s">
        <v>485</v>
      </c>
      <c r="F4863" s="1" t="s">
        <v>25</v>
      </c>
      <c r="G4863" s="2" t="s">
        <v>6</v>
      </c>
      <c r="H4863" s="3" t="s">
        <v>84</v>
      </c>
      <c r="I4863" s="3" t="s">
        <v>91</v>
      </c>
      <c r="J4863" s="3" t="s">
        <v>59</v>
      </c>
      <c r="K4863" s="4">
        <v>191.55</v>
      </c>
      <c r="L4863" s="6">
        <v>7.7</v>
      </c>
    </row>
    <row r="4864" spans="1:12" x14ac:dyDescent="0.25">
      <c r="A4864" s="1">
        <v>4863</v>
      </c>
      <c r="B4864" s="4">
        <v>34599</v>
      </c>
      <c r="C4864" s="5">
        <v>40240</v>
      </c>
      <c r="D4864" s="3" t="s">
        <v>82</v>
      </c>
      <c r="E4864" s="1" t="s">
        <v>485</v>
      </c>
      <c r="F4864" s="1" t="s">
        <v>25</v>
      </c>
      <c r="G4864" s="2" t="s">
        <v>6</v>
      </c>
      <c r="H4864" s="3" t="s">
        <v>84</v>
      </c>
      <c r="I4864" s="3" t="s">
        <v>85</v>
      </c>
      <c r="J4864" s="3" t="s">
        <v>66</v>
      </c>
      <c r="K4864" s="4">
        <v>938.86</v>
      </c>
      <c r="L4864" s="6">
        <v>30.98</v>
      </c>
    </row>
    <row r="4865" spans="1:12" x14ac:dyDescent="0.25">
      <c r="A4865" s="1">
        <v>4864</v>
      </c>
      <c r="B4865" s="4">
        <v>34631</v>
      </c>
      <c r="C4865" s="5">
        <v>40109</v>
      </c>
      <c r="D4865" s="3" t="s">
        <v>86</v>
      </c>
      <c r="E4865" s="1" t="s">
        <v>985</v>
      </c>
      <c r="F4865" s="1" t="s">
        <v>8</v>
      </c>
      <c r="G4865" s="2" t="s">
        <v>6</v>
      </c>
      <c r="H4865" s="3" t="s">
        <v>88</v>
      </c>
      <c r="I4865" s="3" t="s">
        <v>85</v>
      </c>
      <c r="J4865" s="3" t="s">
        <v>69</v>
      </c>
      <c r="K4865" s="4">
        <v>22.06</v>
      </c>
      <c r="L4865" s="6">
        <v>3.36</v>
      </c>
    </row>
    <row r="4866" spans="1:12" x14ac:dyDescent="0.25">
      <c r="A4866" s="1">
        <v>4865</v>
      </c>
      <c r="B4866" s="4">
        <v>34631</v>
      </c>
      <c r="C4866" s="5">
        <v>40109</v>
      </c>
      <c r="D4866" s="3" t="s">
        <v>86</v>
      </c>
      <c r="E4866" s="1" t="s">
        <v>985</v>
      </c>
      <c r="F4866" s="1" t="s">
        <v>8</v>
      </c>
      <c r="G4866" s="2" t="s">
        <v>6</v>
      </c>
      <c r="H4866" s="3" t="s">
        <v>88</v>
      </c>
      <c r="I4866" s="3" t="s">
        <v>92</v>
      </c>
      <c r="J4866" s="3" t="s">
        <v>73</v>
      </c>
      <c r="K4866" s="4">
        <v>12616.2</v>
      </c>
      <c r="L4866" s="6">
        <v>699.99</v>
      </c>
    </row>
    <row r="4867" spans="1:12" x14ac:dyDescent="0.25">
      <c r="A4867" s="1">
        <v>4866</v>
      </c>
      <c r="B4867" s="4">
        <v>34657</v>
      </c>
      <c r="C4867" s="5">
        <v>40303</v>
      </c>
      <c r="D4867" s="3" t="s">
        <v>82</v>
      </c>
      <c r="E4867" s="1" t="s">
        <v>102</v>
      </c>
      <c r="F4867" s="1" t="s">
        <v>15</v>
      </c>
      <c r="G4867" s="2" t="s">
        <v>1</v>
      </c>
      <c r="H4867" s="3" t="s">
        <v>88</v>
      </c>
      <c r="I4867" s="3" t="s">
        <v>85</v>
      </c>
      <c r="J4867" s="3" t="s">
        <v>71</v>
      </c>
      <c r="K4867" s="4">
        <v>1396.75</v>
      </c>
      <c r="L4867" s="6">
        <v>30.98</v>
      </c>
    </row>
    <row r="4868" spans="1:12" x14ac:dyDescent="0.25">
      <c r="A4868" s="1">
        <v>4867</v>
      </c>
      <c r="B4868" s="4">
        <v>34658</v>
      </c>
      <c r="C4868" s="5">
        <v>40500</v>
      </c>
      <c r="D4868" s="3" t="s">
        <v>4</v>
      </c>
      <c r="E4868" s="1" t="s">
        <v>1077</v>
      </c>
      <c r="F4868" s="1" t="s">
        <v>13</v>
      </c>
      <c r="G4868" s="2" t="s">
        <v>6</v>
      </c>
      <c r="H4868" s="3" t="s">
        <v>84</v>
      </c>
      <c r="I4868" s="3" t="s">
        <v>91</v>
      </c>
      <c r="J4868" s="3" t="s">
        <v>68</v>
      </c>
      <c r="K4868" s="4">
        <v>2701.69</v>
      </c>
      <c r="L4868" s="6">
        <v>81.94</v>
      </c>
    </row>
    <row r="4869" spans="1:12" x14ac:dyDescent="0.25">
      <c r="A4869" s="1">
        <v>4868</v>
      </c>
      <c r="B4869" s="4">
        <v>34659</v>
      </c>
      <c r="C4869" s="5">
        <v>41232</v>
      </c>
      <c r="D4869" s="3" t="s">
        <v>89</v>
      </c>
      <c r="E4869" s="1" t="s">
        <v>1238</v>
      </c>
      <c r="F4869" s="1" t="s">
        <v>17</v>
      </c>
      <c r="G4869" s="2" t="s">
        <v>2</v>
      </c>
      <c r="H4869" s="3" t="s">
        <v>100</v>
      </c>
      <c r="I4869" s="3" t="s">
        <v>85</v>
      </c>
      <c r="J4869" s="3" t="s">
        <v>69</v>
      </c>
      <c r="K4869" s="4">
        <v>259.43</v>
      </c>
      <c r="L4869" s="6">
        <v>5.77</v>
      </c>
    </row>
    <row r="4870" spans="1:12" x14ac:dyDescent="0.25">
      <c r="A4870" s="1">
        <v>4869</v>
      </c>
      <c r="B4870" s="4">
        <v>34660</v>
      </c>
      <c r="C4870" s="5">
        <v>40789</v>
      </c>
      <c r="D4870" s="3" t="s">
        <v>86</v>
      </c>
      <c r="E4870" s="1" t="s">
        <v>135</v>
      </c>
      <c r="F4870" s="1" t="s">
        <v>29</v>
      </c>
      <c r="G4870" s="2" t="s">
        <v>3</v>
      </c>
      <c r="H4870" s="3" t="s">
        <v>97</v>
      </c>
      <c r="I4870" s="3" t="s">
        <v>85</v>
      </c>
      <c r="J4870" s="3" t="s">
        <v>69</v>
      </c>
      <c r="K4870" s="4">
        <v>24.77</v>
      </c>
      <c r="L4870" s="6">
        <v>4.91</v>
      </c>
    </row>
    <row r="4871" spans="1:12" x14ac:dyDescent="0.25">
      <c r="A4871" s="1">
        <v>4870</v>
      </c>
      <c r="B4871" s="4">
        <v>34660</v>
      </c>
      <c r="C4871" s="5">
        <v>40789</v>
      </c>
      <c r="D4871" s="3" t="s">
        <v>86</v>
      </c>
      <c r="E4871" s="1" t="s">
        <v>684</v>
      </c>
      <c r="F4871" s="1" t="s">
        <v>29</v>
      </c>
      <c r="G4871" s="2" t="s">
        <v>3</v>
      </c>
      <c r="H4871" s="3" t="s">
        <v>97</v>
      </c>
      <c r="I4871" s="3" t="s">
        <v>91</v>
      </c>
      <c r="J4871" s="3" t="s">
        <v>59</v>
      </c>
      <c r="K4871" s="4">
        <v>3832.37</v>
      </c>
      <c r="L4871" s="6">
        <v>107.53</v>
      </c>
    </row>
    <row r="4872" spans="1:12" x14ac:dyDescent="0.25">
      <c r="A4872" s="1">
        <v>4871</v>
      </c>
      <c r="B4872" s="4">
        <v>34661</v>
      </c>
      <c r="C4872" s="5">
        <v>40198</v>
      </c>
      <c r="D4872" s="3" t="s">
        <v>95</v>
      </c>
      <c r="E4872" s="1" t="s">
        <v>519</v>
      </c>
      <c r="F4872" s="1" t="s">
        <v>44</v>
      </c>
      <c r="G4872" s="2" t="s">
        <v>3</v>
      </c>
      <c r="H4872" s="3" t="s">
        <v>88</v>
      </c>
      <c r="I4872" s="3" t="s">
        <v>91</v>
      </c>
      <c r="J4872" s="3" t="s">
        <v>59</v>
      </c>
      <c r="K4872" s="4">
        <v>864.16</v>
      </c>
      <c r="L4872" s="6">
        <v>33.979999999999997</v>
      </c>
    </row>
    <row r="4873" spans="1:12" x14ac:dyDescent="0.25">
      <c r="A4873" s="1">
        <v>4872</v>
      </c>
      <c r="B4873" s="4">
        <v>34662</v>
      </c>
      <c r="C4873" s="5">
        <v>40918</v>
      </c>
      <c r="D4873" s="3" t="s">
        <v>95</v>
      </c>
      <c r="E4873" s="1" t="s">
        <v>1166</v>
      </c>
      <c r="F4873" s="1" t="s">
        <v>20</v>
      </c>
      <c r="G4873" s="2" t="s">
        <v>1</v>
      </c>
      <c r="H4873" s="3" t="s">
        <v>100</v>
      </c>
      <c r="I4873" s="3" t="s">
        <v>85</v>
      </c>
      <c r="J4873" s="3" t="s">
        <v>57</v>
      </c>
      <c r="K4873" s="4">
        <v>12741.81</v>
      </c>
      <c r="L4873" s="6">
        <v>370.98</v>
      </c>
    </row>
    <row r="4874" spans="1:12" x14ac:dyDescent="0.25">
      <c r="A4874" s="1">
        <v>4873</v>
      </c>
      <c r="B4874" s="4">
        <v>34663</v>
      </c>
      <c r="C4874" s="5">
        <v>40730</v>
      </c>
      <c r="D4874" s="3" t="s">
        <v>86</v>
      </c>
      <c r="E4874" s="1" t="s">
        <v>1248</v>
      </c>
      <c r="F4874" s="1" t="s">
        <v>45</v>
      </c>
      <c r="G4874" s="2" t="s">
        <v>3</v>
      </c>
      <c r="H4874" s="3" t="s">
        <v>88</v>
      </c>
      <c r="I4874" s="3" t="s">
        <v>92</v>
      </c>
      <c r="J4874" s="3" t="s">
        <v>67</v>
      </c>
      <c r="K4874" s="4">
        <v>29186.49</v>
      </c>
      <c r="L4874" s="6">
        <v>808.49</v>
      </c>
    </row>
    <row r="4875" spans="1:12" x14ac:dyDescent="0.25">
      <c r="A4875" s="1">
        <v>4874</v>
      </c>
      <c r="B4875" s="4">
        <v>34689</v>
      </c>
      <c r="C4875" s="5">
        <v>40140</v>
      </c>
      <c r="D4875" s="3" t="s">
        <v>82</v>
      </c>
      <c r="E4875" s="1" t="s">
        <v>1303</v>
      </c>
      <c r="F4875" s="1" t="s">
        <v>20</v>
      </c>
      <c r="G4875" s="2" t="s">
        <v>1</v>
      </c>
      <c r="H4875" s="3" t="s">
        <v>97</v>
      </c>
      <c r="I4875" s="3" t="s">
        <v>85</v>
      </c>
      <c r="J4875" s="3" t="s">
        <v>57</v>
      </c>
      <c r="K4875" s="4">
        <v>572.4</v>
      </c>
      <c r="L4875" s="6">
        <v>16.91</v>
      </c>
    </row>
    <row r="4876" spans="1:12" x14ac:dyDescent="0.25">
      <c r="A4876" s="1">
        <v>4875</v>
      </c>
      <c r="B4876" s="4">
        <v>34691</v>
      </c>
      <c r="C4876" s="5">
        <v>39827</v>
      </c>
      <c r="D4876" s="3" t="s">
        <v>95</v>
      </c>
      <c r="E4876" s="1" t="s">
        <v>955</v>
      </c>
      <c r="F4876" s="1" t="s">
        <v>35</v>
      </c>
      <c r="G4876" s="2" t="s">
        <v>1</v>
      </c>
      <c r="H4876" s="3" t="s">
        <v>84</v>
      </c>
      <c r="I4876" s="3" t="s">
        <v>85</v>
      </c>
      <c r="J4876" s="3" t="s">
        <v>70</v>
      </c>
      <c r="K4876" s="4">
        <v>217.68</v>
      </c>
      <c r="L4876" s="6">
        <v>7.77</v>
      </c>
    </row>
    <row r="4877" spans="1:12" x14ac:dyDescent="0.25">
      <c r="A4877" s="1">
        <v>4876</v>
      </c>
      <c r="B4877" s="4">
        <v>34691</v>
      </c>
      <c r="C4877" s="5">
        <v>39827</v>
      </c>
      <c r="D4877" s="3" t="s">
        <v>95</v>
      </c>
      <c r="E4877" s="1" t="s">
        <v>955</v>
      </c>
      <c r="F4877" s="1" t="s">
        <v>35</v>
      </c>
      <c r="G4877" s="2" t="s">
        <v>1</v>
      </c>
      <c r="H4877" s="3" t="s">
        <v>84</v>
      </c>
      <c r="I4877" s="3" t="s">
        <v>92</v>
      </c>
      <c r="J4877" s="3" t="s">
        <v>67</v>
      </c>
      <c r="K4877" s="4">
        <v>7202.94</v>
      </c>
      <c r="L4877" s="6">
        <v>306.14</v>
      </c>
    </row>
    <row r="4878" spans="1:12" x14ac:dyDescent="0.25">
      <c r="A4878" s="1">
        <v>4877</v>
      </c>
      <c r="B4878" s="4">
        <v>34691</v>
      </c>
      <c r="C4878" s="5">
        <v>39827</v>
      </c>
      <c r="D4878" s="3" t="s">
        <v>95</v>
      </c>
      <c r="E4878" s="1" t="s">
        <v>955</v>
      </c>
      <c r="F4878" s="1" t="s">
        <v>35</v>
      </c>
      <c r="G4878" s="2" t="s">
        <v>1</v>
      </c>
      <c r="H4878" s="3" t="s">
        <v>84</v>
      </c>
      <c r="I4878" s="3" t="s">
        <v>85</v>
      </c>
      <c r="J4878" s="3" t="s">
        <v>66</v>
      </c>
      <c r="K4878" s="4">
        <v>245.82</v>
      </c>
      <c r="L4878" s="6">
        <v>18.97</v>
      </c>
    </row>
    <row r="4879" spans="1:12" x14ac:dyDescent="0.25">
      <c r="A4879" s="1">
        <v>4878</v>
      </c>
      <c r="B4879" s="4">
        <v>34694</v>
      </c>
      <c r="C4879" s="5">
        <v>40661</v>
      </c>
      <c r="D4879" s="3" t="s">
        <v>82</v>
      </c>
      <c r="E4879" s="1" t="s">
        <v>1231</v>
      </c>
      <c r="F4879" s="1" t="s">
        <v>20</v>
      </c>
      <c r="G4879" s="2" t="s">
        <v>1</v>
      </c>
      <c r="H4879" s="3" t="s">
        <v>100</v>
      </c>
      <c r="I4879" s="3" t="s">
        <v>91</v>
      </c>
      <c r="J4879" s="3" t="s">
        <v>59</v>
      </c>
      <c r="K4879" s="4">
        <v>55.49</v>
      </c>
      <c r="L4879" s="6">
        <v>4.4800000000000004</v>
      </c>
    </row>
    <row r="4880" spans="1:12" x14ac:dyDescent="0.25">
      <c r="A4880" s="1">
        <v>4879</v>
      </c>
      <c r="B4880" s="4">
        <v>34721</v>
      </c>
      <c r="C4880" s="5">
        <v>40483</v>
      </c>
      <c r="D4880" s="3" t="s">
        <v>86</v>
      </c>
      <c r="E4880" s="1" t="s">
        <v>234</v>
      </c>
      <c r="F4880" s="1" t="s">
        <v>25</v>
      </c>
      <c r="G4880" s="2" t="s">
        <v>6</v>
      </c>
      <c r="H4880" s="3" t="s">
        <v>88</v>
      </c>
      <c r="I4880" s="3" t="s">
        <v>85</v>
      </c>
      <c r="J4880" s="3" t="s">
        <v>58</v>
      </c>
      <c r="K4880" s="4">
        <v>503.17</v>
      </c>
      <c r="L4880" s="6">
        <v>10.23</v>
      </c>
    </row>
    <row r="4881" spans="1:12" x14ac:dyDescent="0.25">
      <c r="A4881" s="1">
        <v>4880</v>
      </c>
      <c r="B4881" s="4">
        <v>34723</v>
      </c>
      <c r="C4881" s="5">
        <v>41252</v>
      </c>
      <c r="D4881" s="3" t="s">
        <v>4</v>
      </c>
      <c r="E4881" s="1" t="s">
        <v>761</v>
      </c>
      <c r="F4881" s="1" t="s">
        <v>26</v>
      </c>
      <c r="G4881" s="2" t="s">
        <v>3</v>
      </c>
      <c r="H4881" s="3" t="s">
        <v>84</v>
      </c>
      <c r="I4881" s="3" t="s">
        <v>92</v>
      </c>
      <c r="J4881" s="3" t="s">
        <v>67</v>
      </c>
      <c r="K4881" s="4">
        <v>6095.14</v>
      </c>
      <c r="L4881" s="6">
        <v>1500.97</v>
      </c>
    </row>
    <row r="4882" spans="1:12" x14ac:dyDescent="0.25">
      <c r="A4882" s="1">
        <v>4881</v>
      </c>
      <c r="B4882" s="4">
        <v>34723</v>
      </c>
      <c r="C4882" s="5">
        <v>41252</v>
      </c>
      <c r="D4882" s="3" t="s">
        <v>4</v>
      </c>
      <c r="E4882" s="1" t="s">
        <v>761</v>
      </c>
      <c r="F4882" s="1" t="s">
        <v>26</v>
      </c>
      <c r="G4882" s="2" t="s">
        <v>3</v>
      </c>
      <c r="H4882" s="3" t="s">
        <v>84</v>
      </c>
      <c r="I4882" s="3" t="s">
        <v>92</v>
      </c>
      <c r="J4882" s="3" t="s">
        <v>67</v>
      </c>
      <c r="K4882" s="4">
        <v>3776.28</v>
      </c>
      <c r="L4882" s="6">
        <v>80.97</v>
      </c>
    </row>
    <row r="4883" spans="1:12" x14ac:dyDescent="0.25">
      <c r="A4883" s="1">
        <v>4882</v>
      </c>
      <c r="B4883" s="4">
        <v>34723</v>
      </c>
      <c r="C4883" s="5">
        <v>41252</v>
      </c>
      <c r="D4883" s="3" t="s">
        <v>4</v>
      </c>
      <c r="E4883" s="1" t="s">
        <v>761</v>
      </c>
      <c r="F4883" s="1" t="s">
        <v>26</v>
      </c>
      <c r="G4883" s="2" t="s">
        <v>3</v>
      </c>
      <c r="H4883" s="3" t="s">
        <v>84</v>
      </c>
      <c r="I4883" s="3" t="s">
        <v>92</v>
      </c>
      <c r="J4883" s="3" t="s">
        <v>61</v>
      </c>
      <c r="K4883" s="4">
        <v>1487.8995</v>
      </c>
      <c r="L4883" s="6">
        <v>65.989999999999995</v>
      </c>
    </row>
    <row r="4884" spans="1:12" x14ac:dyDescent="0.25">
      <c r="A4884" s="1">
        <v>4883</v>
      </c>
      <c r="B4884" s="4">
        <v>34725</v>
      </c>
      <c r="C4884" s="5">
        <v>40751</v>
      </c>
      <c r="D4884" s="3" t="s">
        <v>82</v>
      </c>
      <c r="E4884" s="1" t="s">
        <v>416</v>
      </c>
      <c r="F4884" s="1" t="s">
        <v>20</v>
      </c>
      <c r="G4884" s="2" t="s">
        <v>1</v>
      </c>
      <c r="H4884" s="3" t="s">
        <v>84</v>
      </c>
      <c r="I4884" s="3" t="s">
        <v>85</v>
      </c>
      <c r="J4884" s="3" t="s">
        <v>57</v>
      </c>
      <c r="K4884" s="4">
        <v>1885.41</v>
      </c>
      <c r="L4884" s="6">
        <v>138.13999999999999</v>
      </c>
    </row>
    <row r="4885" spans="1:12" x14ac:dyDescent="0.25">
      <c r="A4885" s="1">
        <v>4884</v>
      </c>
      <c r="B4885" s="4">
        <v>34727</v>
      </c>
      <c r="C4885" s="5">
        <v>40615</v>
      </c>
      <c r="D4885" s="3" t="s">
        <v>82</v>
      </c>
      <c r="E4885" s="1" t="s">
        <v>127</v>
      </c>
      <c r="F4885" s="1" t="s">
        <v>15</v>
      </c>
      <c r="G4885" s="2" t="s">
        <v>1</v>
      </c>
      <c r="H4885" s="3" t="s">
        <v>88</v>
      </c>
      <c r="I4885" s="3" t="s">
        <v>85</v>
      </c>
      <c r="J4885" s="3" t="s">
        <v>69</v>
      </c>
      <c r="K4885" s="4">
        <v>159.71</v>
      </c>
      <c r="L4885" s="6">
        <v>8.0399999999999991</v>
      </c>
    </row>
    <row r="4886" spans="1:12" x14ac:dyDescent="0.25">
      <c r="A4886" s="1">
        <v>4885</v>
      </c>
      <c r="B4886" s="4">
        <v>34753</v>
      </c>
      <c r="C4886" s="5">
        <v>40196</v>
      </c>
      <c r="D4886" s="3" t="s">
        <v>86</v>
      </c>
      <c r="E4886" s="1" t="s">
        <v>1302</v>
      </c>
      <c r="F4886" s="1" t="s">
        <v>28</v>
      </c>
      <c r="G4886" s="2" t="s">
        <v>6</v>
      </c>
      <c r="H4886" s="3" t="s">
        <v>84</v>
      </c>
      <c r="I4886" s="3" t="s">
        <v>92</v>
      </c>
      <c r="J4886" s="3" t="s">
        <v>61</v>
      </c>
      <c r="K4886" s="4">
        <v>117.062</v>
      </c>
      <c r="L4886" s="6">
        <v>20.99</v>
      </c>
    </row>
    <row r="4887" spans="1:12" x14ac:dyDescent="0.25">
      <c r="A4887" s="1">
        <v>4886</v>
      </c>
      <c r="B4887" s="4">
        <v>34754</v>
      </c>
      <c r="C4887" s="5">
        <v>41064</v>
      </c>
      <c r="D4887" s="3" t="s">
        <v>95</v>
      </c>
      <c r="E4887" s="1" t="s">
        <v>1071</v>
      </c>
      <c r="F4887" s="1" t="s">
        <v>44</v>
      </c>
      <c r="G4887" s="2" t="s">
        <v>3</v>
      </c>
      <c r="H4887" s="3" t="s">
        <v>97</v>
      </c>
      <c r="I4887" s="3" t="s">
        <v>85</v>
      </c>
      <c r="J4887" s="3" t="s">
        <v>66</v>
      </c>
      <c r="K4887" s="4">
        <v>623.35</v>
      </c>
      <c r="L4887" s="6">
        <v>37.94</v>
      </c>
    </row>
    <row r="4888" spans="1:12" x14ac:dyDescent="0.25">
      <c r="A4888" s="1">
        <v>4887</v>
      </c>
      <c r="B4888" s="4">
        <v>34757</v>
      </c>
      <c r="C4888" s="5">
        <v>41057</v>
      </c>
      <c r="D4888" s="3" t="s">
        <v>89</v>
      </c>
      <c r="E4888" s="1" t="s">
        <v>761</v>
      </c>
      <c r="F4888" s="1" t="s">
        <v>26</v>
      </c>
      <c r="G4888" s="2" t="s">
        <v>3</v>
      </c>
      <c r="H4888" s="3" t="s">
        <v>84</v>
      </c>
      <c r="I4888" s="3" t="s">
        <v>85</v>
      </c>
      <c r="J4888" s="3" t="s">
        <v>66</v>
      </c>
      <c r="K4888" s="4">
        <v>250.6</v>
      </c>
      <c r="L4888" s="6">
        <v>6.48</v>
      </c>
    </row>
    <row r="4889" spans="1:12" x14ac:dyDescent="0.25">
      <c r="A4889" s="1">
        <v>4888</v>
      </c>
      <c r="B4889" s="4">
        <v>34785</v>
      </c>
      <c r="C4889" s="5">
        <v>40203</v>
      </c>
      <c r="D4889" s="3" t="s">
        <v>95</v>
      </c>
      <c r="E4889" s="1" t="s">
        <v>995</v>
      </c>
      <c r="F4889" s="1" t="s">
        <v>35</v>
      </c>
      <c r="G4889" s="2" t="s">
        <v>1</v>
      </c>
      <c r="H4889" s="3" t="s">
        <v>88</v>
      </c>
      <c r="I4889" s="3" t="s">
        <v>91</v>
      </c>
      <c r="J4889" s="3" t="s">
        <v>60</v>
      </c>
      <c r="K4889" s="4">
        <v>15468.216</v>
      </c>
      <c r="L4889" s="6">
        <v>400.98</v>
      </c>
    </row>
    <row r="4890" spans="1:12" x14ac:dyDescent="0.25">
      <c r="A4890" s="1">
        <v>4889</v>
      </c>
      <c r="B4890" s="4">
        <v>34787</v>
      </c>
      <c r="C4890" s="5">
        <v>40237</v>
      </c>
      <c r="D4890" s="3" t="s">
        <v>82</v>
      </c>
      <c r="E4890" s="1" t="s">
        <v>1073</v>
      </c>
      <c r="F4890" s="1" t="s">
        <v>25</v>
      </c>
      <c r="G4890" s="2" t="s">
        <v>6</v>
      </c>
      <c r="H4890" s="3" t="s">
        <v>88</v>
      </c>
      <c r="I4890" s="3" t="s">
        <v>85</v>
      </c>
      <c r="J4890" s="3" t="s">
        <v>63</v>
      </c>
      <c r="K4890" s="4">
        <v>453.99</v>
      </c>
      <c r="L4890" s="6">
        <v>30.98</v>
      </c>
    </row>
    <row r="4891" spans="1:12" x14ac:dyDescent="0.25">
      <c r="A4891" s="1">
        <v>4890</v>
      </c>
      <c r="B4891" s="4">
        <v>34788</v>
      </c>
      <c r="C4891" s="5">
        <v>40126</v>
      </c>
      <c r="D4891" s="3" t="s">
        <v>89</v>
      </c>
      <c r="E4891" s="1" t="s">
        <v>1304</v>
      </c>
      <c r="F4891" s="1" t="s">
        <v>13</v>
      </c>
      <c r="G4891" s="2" t="s">
        <v>6</v>
      </c>
      <c r="H4891" s="3" t="s">
        <v>88</v>
      </c>
      <c r="I4891" s="3" t="s">
        <v>85</v>
      </c>
      <c r="J4891" s="3" t="s">
        <v>66</v>
      </c>
      <c r="K4891" s="4">
        <v>30.47</v>
      </c>
      <c r="L4891" s="6">
        <v>5.98</v>
      </c>
    </row>
    <row r="4892" spans="1:12" x14ac:dyDescent="0.25">
      <c r="A4892" s="1">
        <v>4891</v>
      </c>
      <c r="B4892" s="4">
        <v>34791</v>
      </c>
      <c r="C4892" s="5">
        <v>40670</v>
      </c>
      <c r="D4892" s="3" t="s">
        <v>4</v>
      </c>
      <c r="E4892" s="1" t="s">
        <v>855</v>
      </c>
      <c r="F4892" s="1" t="s">
        <v>25</v>
      </c>
      <c r="G4892" s="2" t="s">
        <v>6</v>
      </c>
      <c r="H4892" s="3" t="s">
        <v>97</v>
      </c>
      <c r="I4892" s="3" t="s">
        <v>91</v>
      </c>
      <c r="J4892" s="3" t="s">
        <v>59</v>
      </c>
      <c r="K4892" s="4">
        <v>284.58</v>
      </c>
      <c r="L4892" s="6">
        <v>7.59</v>
      </c>
    </row>
    <row r="4893" spans="1:12" x14ac:dyDescent="0.25">
      <c r="A4893" s="1">
        <v>4892</v>
      </c>
      <c r="B4893" s="4">
        <v>34791</v>
      </c>
      <c r="C4893" s="5">
        <v>40670</v>
      </c>
      <c r="D4893" s="3" t="s">
        <v>4</v>
      </c>
      <c r="E4893" s="1" t="s">
        <v>855</v>
      </c>
      <c r="F4893" s="1" t="s">
        <v>25</v>
      </c>
      <c r="G4893" s="2" t="s">
        <v>6</v>
      </c>
      <c r="H4893" s="3" t="s">
        <v>97</v>
      </c>
      <c r="I4893" s="3" t="s">
        <v>85</v>
      </c>
      <c r="J4893" s="3" t="s">
        <v>66</v>
      </c>
      <c r="K4893" s="4">
        <v>1010.26</v>
      </c>
      <c r="L4893" s="6">
        <v>104.85</v>
      </c>
    </row>
    <row r="4894" spans="1:12" x14ac:dyDescent="0.25">
      <c r="A4894" s="1">
        <v>4893</v>
      </c>
      <c r="B4894" s="4">
        <v>34816</v>
      </c>
      <c r="C4894" s="5">
        <v>40487</v>
      </c>
      <c r="D4894" s="3" t="s">
        <v>86</v>
      </c>
      <c r="E4894" s="1" t="s">
        <v>309</v>
      </c>
      <c r="F4894" s="1" t="s">
        <v>11</v>
      </c>
      <c r="G4894" s="2" t="s">
        <v>6</v>
      </c>
      <c r="H4894" s="3" t="s">
        <v>88</v>
      </c>
      <c r="I4894" s="3" t="s">
        <v>85</v>
      </c>
      <c r="J4894" s="3" t="s">
        <v>70</v>
      </c>
      <c r="K4894" s="4">
        <v>1158.45</v>
      </c>
      <c r="L4894" s="6">
        <v>41.71</v>
      </c>
    </row>
    <row r="4895" spans="1:12" x14ac:dyDescent="0.25">
      <c r="A4895" s="1">
        <v>4894</v>
      </c>
      <c r="B4895" s="4">
        <v>34816</v>
      </c>
      <c r="C4895" s="5">
        <v>40487</v>
      </c>
      <c r="D4895" s="3" t="s">
        <v>86</v>
      </c>
      <c r="E4895" s="1" t="s">
        <v>707</v>
      </c>
      <c r="F4895" s="1" t="s">
        <v>11</v>
      </c>
      <c r="G4895" s="2" t="s">
        <v>6</v>
      </c>
      <c r="H4895" s="3" t="s">
        <v>88</v>
      </c>
      <c r="I4895" s="3" t="s">
        <v>85</v>
      </c>
      <c r="J4895" s="3" t="s">
        <v>71</v>
      </c>
      <c r="K4895" s="4">
        <v>2568.71</v>
      </c>
      <c r="L4895" s="6">
        <v>60.98</v>
      </c>
    </row>
    <row r="4896" spans="1:12" x14ac:dyDescent="0.25">
      <c r="A4896" s="1">
        <v>4895</v>
      </c>
      <c r="B4896" s="4">
        <v>34822</v>
      </c>
      <c r="C4896" s="5">
        <v>41100</v>
      </c>
      <c r="D4896" s="3" t="s">
        <v>86</v>
      </c>
      <c r="E4896" s="1" t="s">
        <v>335</v>
      </c>
      <c r="F4896" s="1" t="s">
        <v>25</v>
      </c>
      <c r="G4896" s="2" t="s">
        <v>6</v>
      </c>
      <c r="H4896" s="3" t="s">
        <v>100</v>
      </c>
      <c r="I4896" s="3" t="s">
        <v>92</v>
      </c>
      <c r="J4896" s="3" t="s">
        <v>62</v>
      </c>
      <c r="K4896" s="4">
        <v>990.5</v>
      </c>
      <c r="L4896" s="6">
        <v>43.98</v>
      </c>
    </row>
    <row r="4897" spans="1:12" x14ac:dyDescent="0.25">
      <c r="A4897" s="1">
        <v>4896</v>
      </c>
      <c r="B4897" s="4">
        <v>34849</v>
      </c>
      <c r="C4897" s="5">
        <v>40463</v>
      </c>
      <c r="D4897" s="3" t="s">
        <v>95</v>
      </c>
      <c r="E4897" s="1" t="s">
        <v>1283</v>
      </c>
      <c r="F4897" s="1" t="s">
        <v>10</v>
      </c>
      <c r="G4897" s="2" t="s">
        <v>3</v>
      </c>
      <c r="H4897" s="3" t="s">
        <v>97</v>
      </c>
      <c r="I4897" s="3" t="s">
        <v>85</v>
      </c>
      <c r="J4897" s="3" t="s">
        <v>65</v>
      </c>
      <c r="K4897" s="4">
        <v>11.76</v>
      </c>
      <c r="L4897" s="6">
        <v>4.13</v>
      </c>
    </row>
    <row r="4898" spans="1:12" x14ac:dyDescent="0.25">
      <c r="A4898" s="1">
        <v>4897</v>
      </c>
      <c r="B4898" s="4">
        <v>34849</v>
      </c>
      <c r="C4898" s="5">
        <v>40463</v>
      </c>
      <c r="D4898" s="3" t="s">
        <v>95</v>
      </c>
      <c r="E4898" s="1" t="s">
        <v>1283</v>
      </c>
      <c r="F4898" s="1" t="s">
        <v>10</v>
      </c>
      <c r="G4898" s="2" t="s">
        <v>3</v>
      </c>
      <c r="H4898" s="3" t="s">
        <v>97</v>
      </c>
      <c r="I4898" s="3" t="s">
        <v>85</v>
      </c>
      <c r="J4898" s="3" t="s">
        <v>66</v>
      </c>
      <c r="K4898" s="4">
        <v>100.13</v>
      </c>
      <c r="L4898" s="6">
        <v>4.7300000000000004</v>
      </c>
    </row>
    <row r="4899" spans="1:12" x14ac:dyDescent="0.25">
      <c r="A4899" s="1">
        <v>4898</v>
      </c>
      <c r="B4899" s="4">
        <v>34849</v>
      </c>
      <c r="C4899" s="5">
        <v>40463</v>
      </c>
      <c r="D4899" s="3" t="s">
        <v>95</v>
      </c>
      <c r="E4899" s="1" t="s">
        <v>1283</v>
      </c>
      <c r="F4899" s="1" t="s">
        <v>10</v>
      </c>
      <c r="G4899" s="2" t="s">
        <v>3</v>
      </c>
      <c r="H4899" s="3" t="s">
        <v>97</v>
      </c>
      <c r="I4899" s="3" t="s">
        <v>85</v>
      </c>
      <c r="J4899" s="3" t="s">
        <v>57</v>
      </c>
      <c r="K4899" s="4">
        <v>1192.93</v>
      </c>
      <c r="L4899" s="6">
        <v>419.19</v>
      </c>
    </row>
    <row r="4900" spans="1:12" x14ac:dyDescent="0.25">
      <c r="A4900" s="1">
        <v>4899</v>
      </c>
      <c r="B4900" s="4">
        <v>34852</v>
      </c>
      <c r="C4900" s="5">
        <v>41157</v>
      </c>
      <c r="D4900" s="3" t="s">
        <v>82</v>
      </c>
      <c r="E4900" s="1" t="s">
        <v>772</v>
      </c>
      <c r="F4900" s="1" t="s">
        <v>30</v>
      </c>
      <c r="G4900" s="2" t="s">
        <v>6</v>
      </c>
      <c r="H4900" s="3" t="s">
        <v>88</v>
      </c>
      <c r="I4900" s="3" t="s">
        <v>85</v>
      </c>
      <c r="J4900" s="3" t="s">
        <v>69</v>
      </c>
      <c r="K4900" s="4">
        <v>53.93</v>
      </c>
      <c r="L4900" s="6">
        <v>2.08</v>
      </c>
    </row>
    <row r="4901" spans="1:12" x14ac:dyDescent="0.25">
      <c r="A4901" s="1">
        <v>4900</v>
      </c>
      <c r="B4901" s="4">
        <v>34853</v>
      </c>
      <c r="C4901" s="5">
        <v>40815</v>
      </c>
      <c r="D4901" s="3" t="s">
        <v>95</v>
      </c>
      <c r="E4901" s="1" t="s">
        <v>1282</v>
      </c>
      <c r="F4901" s="1" t="s">
        <v>25</v>
      </c>
      <c r="G4901" s="2" t="s">
        <v>6</v>
      </c>
      <c r="H4901" s="3" t="s">
        <v>84</v>
      </c>
      <c r="I4901" s="3" t="s">
        <v>91</v>
      </c>
      <c r="J4901" s="3" t="s">
        <v>59</v>
      </c>
      <c r="K4901" s="4">
        <v>651.9</v>
      </c>
      <c r="L4901" s="6">
        <v>13.73</v>
      </c>
    </row>
    <row r="4902" spans="1:12" x14ac:dyDescent="0.25">
      <c r="A4902" s="1">
        <v>4901</v>
      </c>
      <c r="B4902" s="4">
        <v>34880</v>
      </c>
      <c r="C4902" s="5">
        <v>40072</v>
      </c>
      <c r="D4902" s="3" t="s">
        <v>89</v>
      </c>
      <c r="E4902" s="1" t="s">
        <v>1227</v>
      </c>
      <c r="F4902" s="1" t="s">
        <v>38</v>
      </c>
      <c r="G4902" s="2" t="s">
        <v>6</v>
      </c>
      <c r="H4902" s="3" t="s">
        <v>97</v>
      </c>
      <c r="I4902" s="3" t="s">
        <v>85</v>
      </c>
      <c r="J4902" s="3" t="s">
        <v>66</v>
      </c>
      <c r="K4902" s="4">
        <v>284.38</v>
      </c>
      <c r="L4902" s="6">
        <v>6.48</v>
      </c>
    </row>
    <row r="4903" spans="1:12" x14ac:dyDescent="0.25">
      <c r="A4903" s="1">
        <v>4902</v>
      </c>
      <c r="B4903" s="4">
        <v>34881</v>
      </c>
      <c r="C4903" s="5">
        <v>40581</v>
      </c>
      <c r="D4903" s="3" t="s">
        <v>4</v>
      </c>
      <c r="E4903" s="1" t="s">
        <v>1235</v>
      </c>
      <c r="F4903" s="1" t="s">
        <v>15</v>
      </c>
      <c r="G4903" s="2" t="s">
        <v>1</v>
      </c>
      <c r="H4903" s="3" t="s">
        <v>88</v>
      </c>
      <c r="I4903" s="3" t="s">
        <v>85</v>
      </c>
      <c r="J4903" s="3" t="s">
        <v>69</v>
      </c>
      <c r="K4903" s="4">
        <v>187.37</v>
      </c>
      <c r="L4903" s="6">
        <v>4.9800000000000004</v>
      </c>
    </row>
    <row r="4904" spans="1:12" x14ac:dyDescent="0.25">
      <c r="A4904" s="1">
        <v>4903</v>
      </c>
      <c r="B4904" s="4">
        <v>34882</v>
      </c>
      <c r="C4904" s="5">
        <v>40018</v>
      </c>
      <c r="D4904" s="3" t="s">
        <v>95</v>
      </c>
      <c r="E4904" s="1" t="s">
        <v>1305</v>
      </c>
      <c r="F4904" s="1" t="s">
        <v>15</v>
      </c>
      <c r="G4904" s="2" t="s">
        <v>1</v>
      </c>
      <c r="H4904" s="3" t="s">
        <v>97</v>
      </c>
      <c r="I4904" s="3" t="s">
        <v>85</v>
      </c>
      <c r="J4904" s="3" t="s">
        <v>69</v>
      </c>
      <c r="K4904" s="4">
        <v>84.61</v>
      </c>
      <c r="L4904" s="6">
        <v>1.88</v>
      </c>
    </row>
    <row r="4905" spans="1:12" x14ac:dyDescent="0.25">
      <c r="A4905" s="1">
        <v>4904</v>
      </c>
      <c r="B4905" s="4">
        <v>34883</v>
      </c>
      <c r="C4905" s="5">
        <v>40121</v>
      </c>
      <c r="D4905" s="3" t="s">
        <v>95</v>
      </c>
      <c r="E4905" s="1" t="s">
        <v>1091</v>
      </c>
      <c r="F4905" s="1" t="s">
        <v>35</v>
      </c>
      <c r="G4905" s="2" t="s">
        <v>1</v>
      </c>
      <c r="H4905" s="3" t="s">
        <v>88</v>
      </c>
      <c r="I4905" s="3" t="s">
        <v>92</v>
      </c>
      <c r="J4905" s="3" t="s">
        <v>61</v>
      </c>
      <c r="K4905" s="4">
        <v>906.01499999999999</v>
      </c>
      <c r="L4905" s="6">
        <v>35.99</v>
      </c>
    </row>
    <row r="4906" spans="1:12" x14ac:dyDescent="0.25">
      <c r="A4906" s="1">
        <v>4905</v>
      </c>
      <c r="B4906" s="4">
        <v>34913</v>
      </c>
      <c r="C4906" s="5">
        <v>40869</v>
      </c>
      <c r="D4906" s="3" t="s">
        <v>4</v>
      </c>
      <c r="E4906" s="1" t="s">
        <v>665</v>
      </c>
      <c r="F4906" s="1" t="s">
        <v>26</v>
      </c>
      <c r="G4906" s="2" t="s">
        <v>3</v>
      </c>
      <c r="H4906" s="3" t="s">
        <v>97</v>
      </c>
      <c r="I4906" s="3" t="s">
        <v>85</v>
      </c>
      <c r="J4906" s="3" t="s">
        <v>69</v>
      </c>
      <c r="K4906" s="4">
        <v>107.63</v>
      </c>
      <c r="L4906" s="6">
        <v>6.81</v>
      </c>
    </row>
    <row r="4907" spans="1:12" x14ac:dyDescent="0.25">
      <c r="A4907" s="1">
        <v>4906</v>
      </c>
      <c r="B4907" s="4">
        <v>34916</v>
      </c>
      <c r="C4907" s="5">
        <v>40399</v>
      </c>
      <c r="D4907" s="3" t="s">
        <v>89</v>
      </c>
      <c r="E4907" s="1" t="s">
        <v>842</v>
      </c>
      <c r="F4907" s="1" t="s">
        <v>15</v>
      </c>
      <c r="G4907" s="2" t="s">
        <v>1</v>
      </c>
      <c r="H4907" s="3" t="s">
        <v>100</v>
      </c>
      <c r="I4907" s="3" t="s">
        <v>91</v>
      </c>
      <c r="J4907" s="3" t="s">
        <v>59</v>
      </c>
      <c r="K4907" s="4">
        <v>24.36</v>
      </c>
      <c r="L4907" s="6">
        <v>4.82</v>
      </c>
    </row>
    <row r="4908" spans="1:12" x14ac:dyDescent="0.25">
      <c r="A4908" s="1">
        <v>4907</v>
      </c>
      <c r="B4908" s="4">
        <v>34918</v>
      </c>
      <c r="C4908" s="5">
        <v>40109</v>
      </c>
      <c r="D4908" s="3" t="s">
        <v>4</v>
      </c>
      <c r="E4908" s="1" t="s">
        <v>1306</v>
      </c>
      <c r="F4908" s="1" t="s">
        <v>13</v>
      </c>
      <c r="G4908" s="2" t="s">
        <v>6</v>
      </c>
      <c r="H4908" s="3" t="s">
        <v>88</v>
      </c>
      <c r="I4908" s="3" t="s">
        <v>91</v>
      </c>
      <c r="J4908" s="3" t="s">
        <v>72</v>
      </c>
      <c r="K4908" s="4">
        <v>2230.9699999999998</v>
      </c>
      <c r="L4908" s="6">
        <v>180.98</v>
      </c>
    </row>
    <row r="4909" spans="1:12" x14ac:dyDescent="0.25">
      <c r="A4909" s="1">
        <v>4908</v>
      </c>
      <c r="B4909" s="4">
        <v>34918</v>
      </c>
      <c r="C4909" s="5">
        <v>40109</v>
      </c>
      <c r="D4909" s="3" t="s">
        <v>4</v>
      </c>
      <c r="E4909" s="1" t="s">
        <v>1306</v>
      </c>
      <c r="F4909" s="1" t="s">
        <v>13</v>
      </c>
      <c r="G4909" s="2" t="s">
        <v>6</v>
      </c>
      <c r="H4909" s="3" t="s">
        <v>88</v>
      </c>
      <c r="I4909" s="3" t="s">
        <v>91</v>
      </c>
      <c r="J4909" s="3" t="s">
        <v>59</v>
      </c>
      <c r="K4909" s="4">
        <v>200.77</v>
      </c>
      <c r="L4909" s="6">
        <v>7.28</v>
      </c>
    </row>
    <row r="4910" spans="1:12" x14ac:dyDescent="0.25">
      <c r="A4910" s="1">
        <v>4909</v>
      </c>
      <c r="B4910" s="4">
        <v>34948</v>
      </c>
      <c r="C4910" s="5">
        <v>40190</v>
      </c>
      <c r="D4910" s="3" t="s">
        <v>95</v>
      </c>
      <c r="E4910" s="1" t="s">
        <v>325</v>
      </c>
      <c r="F4910" s="1" t="s">
        <v>12</v>
      </c>
      <c r="G4910" s="2" t="s">
        <v>2</v>
      </c>
      <c r="H4910" s="3" t="s">
        <v>97</v>
      </c>
      <c r="I4910" s="3" t="s">
        <v>85</v>
      </c>
      <c r="J4910" s="3" t="s">
        <v>70</v>
      </c>
      <c r="K4910" s="4">
        <v>1057.06</v>
      </c>
      <c r="L4910" s="6">
        <v>68.81</v>
      </c>
    </row>
    <row r="4911" spans="1:12" x14ac:dyDescent="0.25">
      <c r="A4911" s="1">
        <v>4910</v>
      </c>
      <c r="B4911" s="4">
        <v>34976</v>
      </c>
      <c r="C4911" s="5">
        <v>41237</v>
      </c>
      <c r="D4911" s="3" t="s">
        <v>4</v>
      </c>
      <c r="E4911" s="1" t="s">
        <v>263</v>
      </c>
      <c r="F4911" s="1" t="s">
        <v>14</v>
      </c>
      <c r="G4911" s="2" t="s">
        <v>2</v>
      </c>
      <c r="H4911" s="3" t="s">
        <v>97</v>
      </c>
      <c r="I4911" s="3" t="s">
        <v>91</v>
      </c>
      <c r="J4911" s="3" t="s">
        <v>72</v>
      </c>
      <c r="K4911" s="4">
        <v>4475</v>
      </c>
      <c r="L4911" s="6">
        <v>95.95</v>
      </c>
    </row>
    <row r="4912" spans="1:12" x14ac:dyDescent="0.25">
      <c r="A4912" s="1">
        <v>4911</v>
      </c>
      <c r="B4912" s="4">
        <v>34976</v>
      </c>
      <c r="C4912" s="5">
        <v>41237</v>
      </c>
      <c r="D4912" s="3" t="s">
        <v>4</v>
      </c>
      <c r="E4912" s="1" t="s">
        <v>263</v>
      </c>
      <c r="F4912" s="1" t="s">
        <v>14</v>
      </c>
      <c r="G4912" s="2" t="s">
        <v>2</v>
      </c>
      <c r="H4912" s="3" t="s">
        <v>97</v>
      </c>
      <c r="I4912" s="3" t="s">
        <v>85</v>
      </c>
      <c r="J4912" s="3" t="s">
        <v>66</v>
      </c>
      <c r="K4912" s="4">
        <v>168.2</v>
      </c>
      <c r="L4912" s="6">
        <v>5.98</v>
      </c>
    </row>
    <row r="4913" spans="1:12" x14ac:dyDescent="0.25">
      <c r="A4913" s="1">
        <v>4912</v>
      </c>
      <c r="B4913" s="4">
        <v>34978</v>
      </c>
      <c r="C4913" s="5">
        <v>40578</v>
      </c>
      <c r="D4913" s="3" t="s">
        <v>89</v>
      </c>
      <c r="E4913" s="1" t="s">
        <v>1158</v>
      </c>
      <c r="F4913" s="1" t="s">
        <v>38</v>
      </c>
      <c r="G4913" s="2" t="s">
        <v>6</v>
      </c>
      <c r="H4913" s="3" t="s">
        <v>100</v>
      </c>
      <c r="I4913" s="3" t="s">
        <v>85</v>
      </c>
      <c r="J4913" s="3" t="s">
        <v>69</v>
      </c>
      <c r="K4913" s="4">
        <v>165.51</v>
      </c>
      <c r="L4913" s="6">
        <v>3.52</v>
      </c>
    </row>
    <row r="4914" spans="1:12" x14ac:dyDescent="0.25">
      <c r="A4914" s="1">
        <v>4913</v>
      </c>
      <c r="B4914" s="4">
        <v>34979</v>
      </c>
      <c r="C4914" s="5">
        <v>40449</v>
      </c>
      <c r="D4914" s="3" t="s">
        <v>95</v>
      </c>
      <c r="E4914" s="1" t="s">
        <v>225</v>
      </c>
      <c r="F4914" s="1" t="s">
        <v>14</v>
      </c>
      <c r="G4914" s="2" t="s">
        <v>2</v>
      </c>
      <c r="H4914" s="3" t="s">
        <v>84</v>
      </c>
      <c r="I4914" s="3" t="s">
        <v>92</v>
      </c>
      <c r="J4914" s="3" t="s">
        <v>62</v>
      </c>
      <c r="K4914" s="4">
        <v>609.97</v>
      </c>
      <c r="L4914" s="6">
        <v>39.479999999999997</v>
      </c>
    </row>
    <row r="4915" spans="1:12" x14ac:dyDescent="0.25">
      <c r="A4915" s="1">
        <v>4914</v>
      </c>
      <c r="B4915" s="4">
        <v>34980</v>
      </c>
      <c r="C4915" s="5">
        <v>40392</v>
      </c>
      <c r="D4915" s="3" t="s">
        <v>86</v>
      </c>
      <c r="E4915" s="1" t="s">
        <v>758</v>
      </c>
      <c r="F4915" s="1" t="s">
        <v>24</v>
      </c>
      <c r="G4915" s="2" t="s">
        <v>2</v>
      </c>
      <c r="H4915" s="3" t="s">
        <v>88</v>
      </c>
      <c r="I4915" s="3" t="s">
        <v>91</v>
      </c>
      <c r="J4915" s="3" t="s">
        <v>59</v>
      </c>
      <c r="K4915" s="4">
        <v>140.77000000000001</v>
      </c>
      <c r="L4915" s="6">
        <v>18.649999999999999</v>
      </c>
    </row>
    <row r="4916" spans="1:12" x14ac:dyDescent="0.25">
      <c r="A4916" s="1">
        <v>4915</v>
      </c>
      <c r="B4916" s="4">
        <v>34980</v>
      </c>
      <c r="C4916" s="5">
        <v>40392</v>
      </c>
      <c r="D4916" s="3" t="s">
        <v>86</v>
      </c>
      <c r="E4916" s="1" t="s">
        <v>758</v>
      </c>
      <c r="F4916" s="1" t="s">
        <v>24</v>
      </c>
      <c r="G4916" s="2" t="s">
        <v>2</v>
      </c>
      <c r="H4916" s="3" t="s">
        <v>88</v>
      </c>
      <c r="I4916" s="3" t="s">
        <v>85</v>
      </c>
      <c r="J4916" s="3" t="s">
        <v>57</v>
      </c>
      <c r="K4916" s="4">
        <v>848.19</v>
      </c>
      <c r="L4916" s="6">
        <v>34.76</v>
      </c>
    </row>
    <row r="4917" spans="1:12" x14ac:dyDescent="0.25">
      <c r="A4917" s="1">
        <v>4916</v>
      </c>
      <c r="B4917" s="4">
        <v>34980</v>
      </c>
      <c r="C4917" s="5">
        <v>40392</v>
      </c>
      <c r="D4917" s="3" t="s">
        <v>86</v>
      </c>
      <c r="E4917" s="1" t="s">
        <v>1307</v>
      </c>
      <c r="F4917" s="1" t="s">
        <v>24</v>
      </c>
      <c r="G4917" s="2" t="s">
        <v>2</v>
      </c>
      <c r="H4917" s="3" t="s">
        <v>88</v>
      </c>
      <c r="I4917" s="3" t="s">
        <v>85</v>
      </c>
      <c r="J4917" s="3" t="s">
        <v>70</v>
      </c>
      <c r="K4917" s="4">
        <v>562.15</v>
      </c>
      <c r="L4917" s="6">
        <v>46.89</v>
      </c>
    </row>
    <row r="4918" spans="1:12" x14ac:dyDescent="0.25">
      <c r="A4918" s="1">
        <v>4917</v>
      </c>
      <c r="B4918" s="4">
        <v>35011</v>
      </c>
      <c r="C4918" s="5">
        <v>41253</v>
      </c>
      <c r="D4918" s="3" t="s">
        <v>86</v>
      </c>
      <c r="E4918" s="1" t="s">
        <v>1247</v>
      </c>
      <c r="F4918" s="1" t="s">
        <v>11</v>
      </c>
      <c r="G4918" s="2" t="s">
        <v>6</v>
      </c>
      <c r="H4918" s="3" t="s">
        <v>88</v>
      </c>
      <c r="I4918" s="3" t="s">
        <v>85</v>
      </c>
      <c r="J4918" s="3" t="s">
        <v>58</v>
      </c>
      <c r="K4918" s="4">
        <v>154.44999999999999</v>
      </c>
      <c r="L4918" s="6">
        <v>10.98</v>
      </c>
    </row>
    <row r="4919" spans="1:12" x14ac:dyDescent="0.25">
      <c r="A4919" s="1">
        <v>4918</v>
      </c>
      <c r="B4919" s="4">
        <v>35012</v>
      </c>
      <c r="C4919" s="5">
        <v>41068</v>
      </c>
      <c r="D4919" s="3" t="s">
        <v>4</v>
      </c>
      <c r="E4919" s="1" t="s">
        <v>893</v>
      </c>
      <c r="F4919" s="1" t="s">
        <v>22</v>
      </c>
      <c r="G4919" s="2" t="s">
        <v>6</v>
      </c>
      <c r="H4919" s="3" t="s">
        <v>88</v>
      </c>
      <c r="I4919" s="3" t="s">
        <v>85</v>
      </c>
      <c r="J4919" s="3" t="s">
        <v>70</v>
      </c>
      <c r="K4919" s="4">
        <v>126.79</v>
      </c>
      <c r="L4919" s="6">
        <v>11.97</v>
      </c>
    </row>
    <row r="4920" spans="1:12" x14ac:dyDescent="0.25">
      <c r="A4920" s="1">
        <v>4919</v>
      </c>
      <c r="B4920" s="4">
        <v>35012</v>
      </c>
      <c r="C4920" s="5">
        <v>41068</v>
      </c>
      <c r="D4920" s="3" t="s">
        <v>4</v>
      </c>
      <c r="E4920" s="1" t="s">
        <v>292</v>
      </c>
      <c r="F4920" s="1" t="s">
        <v>22</v>
      </c>
      <c r="G4920" s="2" t="s">
        <v>6</v>
      </c>
      <c r="H4920" s="3" t="s">
        <v>88</v>
      </c>
      <c r="I4920" s="3" t="s">
        <v>92</v>
      </c>
      <c r="J4920" s="3" t="s">
        <v>61</v>
      </c>
      <c r="K4920" s="4">
        <v>1770.2015000000001</v>
      </c>
      <c r="L4920" s="6">
        <v>195.99</v>
      </c>
    </row>
    <row r="4921" spans="1:12" x14ac:dyDescent="0.25">
      <c r="A4921" s="1">
        <v>4920</v>
      </c>
      <c r="B4921" s="4">
        <v>35040</v>
      </c>
      <c r="C4921" s="5">
        <v>41017</v>
      </c>
      <c r="D4921" s="3" t="s">
        <v>86</v>
      </c>
      <c r="E4921" s="1" t="s">
        <v>733</v>
      </c>
      <c r="F4921" s="1" t="s">
        <v>52</v>
      </c>
      <c r="G4921" s="2" t="s">
        <v>3</v>
      </c>
      <c r="H4921" s="3" t="s">
        <v>97</v>
      </c>
      <c r="I4921" s="3" t="s">
        <v>85</v>
      </c>
      <c r="J4921" s="3" t="s">
        <v>57</v>
      </c>
      <c r="K4921" s="4">
        <v>486.63</v>
      </c>
      <c r="L4921" s="6">
        <v>10.9</v>
      </c>
    </row>
    <row r="4922" spans="1:12" x14ac:dyDescent="0.25">
      <c r="A4922" s="1">
        <v>4921</v>
      </c>
      <c r="B4922" s="4">
        <v>35041</v>
      </c>
      <c r="C4922" s="5">
        <v>39918</v>
      </c>
      <c r="D4922" s="3" t="s">
        <v>86</v>
      </c>
      <c r="E4922" s="1" t="s">
        <v>343</v>
      </c>
      <c r="F4922" s="1" t="s">
        <v>15</v>
      </c>
      <c r="G4922" s="2" t="s">
        <v>1</v>
      </c>
      <c r="H4922" s="3" t="s">
        <v>97</v>
      </c>
      <c r="I4922" s="3" t="s">
        <v>85</v>
      </c>
      <c r="J4922" s="3" t="s">
        <v>69</v>
      </c>
      <c r="K4922" s="4">
        <v>443.73</v>
      </c>
      <c r="L4922" s="6">
        <v>15.16</v>
      </c>
    </row>
    <row r="4923" spans="1:12" x14ac:dyDescent="0.25">
      <c r="A4923" s="1">
        <v>4922</v>
      </c>
      <c r="B4923" s="4">
        <v>35042</v>
      </c>
      <c r="C4923" s="5">
        <v>40514</v>
      </c>
      <c r="D4923" s="3" t="s">
        <v>86</v>
      </c>
      <c r="E4923" s="1" t="s">
        <v>1018</v>
      </c>
      <c r="F4923" s="1" t="s">
        <v>22</v>
      </c>
      <c r="G4923" s="2" t="s">
        <v>6</v>
      </c>
      <c r="H4923" s="3" t="s">
        <v>97</v>
      </c>
      <c r="I4923" s="3" t="s">
        <v>92</v>
      </c>
      <c r="J4923" s="3" t="s">
        <v>62</v>
      </c>
      <c r="K4923" s="4">
        <v>1196.8599999999999</v>
      </c>
      <c r="L4923" s="6">
        <v>50.98</v>
      </c>
    </row>
    <row r="4924" spans="1:12" x14ac:dyDescent="0.25">
      <c r="A4924" s="1">
        <v>4923</v>
      </c>
      <c r="B4924" s="4">
        <v>35043</v>
      </c>
      <c r="C4924" s="5">
        <v>40378</v>
      </c>
      <c r="D4924" s="3" t="s">
        <v>86</v>
      </c>
      <c r="E4924" s="1" t="s">
        <v>1308</v>
      </c>
      <c r="F4924" s="1" t="s">
        <v>37</v>
      </c>
      <c r="G4924" s="2" t="s">
        <v>3</v>
      </c>
      <c r="H4924" s="3" t="s">
        <v>97</v>
      </c>
      <c r="I4924" s="3" t="s">
        <v>85</v>
      </c>
      <c r="J4924" s="3" t="s">
        <v>64</v>
      </c>
      <c r="K4924" s="4">
        <v>125.21</v>
      </c>
      <c r="L4924" s="6">
        <v>2.62</v>
      </c>
    </row>
    <row r="4925" spans="1:12" x14ac:dyDescent="0.25">
      <c r="A4925" s="1">
        <v>4924</v>
      </c>
      <c r="B4925" s="4">
        <v>35043</v>
      </c>
      <c r="C4925" s="5">
        <v>40378</v>
      </c>
      <c r="D4925" s="3" t="s">
        <v>86</v>
      </c>
      <c r="E4925" s="1" t="s">
        <v>1308</v>
      </c>
      <c r="F4925" s="1" t="s">
        <v>37</v>
      </c>
      <c r="G4925" s="2" t="s">
        <v>3</v>
      </c>
      <c r="H4925" s="3" t="s">
        <v>97</v>
      </c>
      <c r="I4925" s="3" t="s">
        <v>92</v>
      </c>
      <c r="J4925" s="3" t="s">
        <v>61</v>
      </c>
      <c r="K4925" s="4">
        <v>924.11149999999998</v>
      </c>
      <c r="L4925" s="6">
        <v>125.99</v>
      </c>
    </row>
    <row r="4926" spans="1:12" x14ac:dyDescent="0.25">
      <c r="A4926" s="1">
        <v>4925</v>
      </c>
      <c r="B4926" s="4">
        <v>35045</v>
      </c>
      <c r="C4926" s="5">
        <v>41001</v>
      </c>
      <c r="D4926" s="3" t="s">
        <v>4</v>
      </c>
      <c r="E4926" s="1" t="s">
        <v>845</v>
      </c>
      <c r="F4926" s="1" t="s">
        <v>23</v>
      </c>
      <c r="G4926" s="2" t="s">
        <v>3</v>
      </c>
      <c r="H4926" s="3" t="s">
        <v>84</v>
      </c>
      <c r="I4926" s="3" t="s">
        <v>85</v>
      </c>
      <c r="J4926" s="3" t="s">
        <v>57</v>
      </c>
      <c r="K4926" s="4">
        <v>565.01</v>
      </c>
      <c r="L4926" s="6">
        <v>13.48</v>
      </c>
    </row>
    <row r="4927" spans="1:12" x14ac:dyDescent="0.25">
      <c r="A4927" s="1">
        <v>4926</v>
      </c>
      <c r="B4927" s="4">
        <v>35046</v>
      </c>
      <c r="C4927" s="5">
        <v>40383</v>
      </c>
      <c r="D4927" s="3" t="s">
        <v>4</v>
      </c>
      <c r="E4927" s="1" t="s">
        <v>900</v>
      </c>
      <c r="F4927" s="1" t="s">
        <v>33</v>
      </c>
      <c r="G4927" s="2" t="s">
        <v>2</v>
      </c>
      <c r="H4927" s="3" t="s">
        <v>88</v>
      </c>
      <c r="I4927" s="3" t="s">
        <v>85</v>
      </c>
      <c r="J4927" s="3" t="s">
        <v>69</v>
      </c>
      <c r="K4927" s="4">
        <v>151.86000000000001</v>
      </c>
      <c r="L4927" s="6">
        <v>7.1</v>
      </c>
    </row>
    <row r="4928" spans="1:12" x14ac:dyDescent="0.25">
      <c r="A4928" s="1">
        <v>4927</v>
      </c>
      <c r="B4928" s="4">
        <v>35046</v>
      </c>
      <c r="C4928" s="5">
        <v>40383</v>
      </c>
      <c r="D4928" s="3" t="s">
        <v>4</v>
      </c>
      <c r="E4928" s="1" t="s">
        <v>900</v>
      </c>
      <c r="F4928" s="1" t="s">
        <v>33</v>
      </c>
      <c r="G4928" s="2" t="s">
        <v>2</v>
      </c>
      <c r="H4928" s="3" t="s">
        <v>88</v>
      </c>
      <c r="I4928" s="3" t="s">
        <v>91</v>
      </c>
      <c r="J4928" s="3" t="s">
        <v>72</v>
      </c>
      <c r="K4928" s="4">
        <v>3583.87</v>
      </c>
      <c r="L4928" s="6">
        <v>284.98</v>
      </c>
    </row>
    <row r="4929" spans="1:12" x14ac:dyDescent="0.25">
      <c r="A4929" s="1">
        <v>4928</v>
      </c>
      <c r="B4929" s="4">
        <v>35046</v>
      </c>
      <c r="C4929" s="5">
        <v>40383</v>
      </c>
      <c r="D4929" s="3" t="s">
        <v>4</v>
      </c>
      <c r="E4929" s="1" t="s">
        <v>900</v>
      </c>
      <c r="F4929" s="1" t="s">
        <v>33</v>
      </c>
      <c r="G4929" s="2" t="s">
        <v>2</v>
      </c>
      <c r="H4929" s="3" t="s">
        <v>88</v>
      </c>
      <c r="I4929" s="3" t="s">
        <v>91</v>
      </c>
      <c r="J4929" s="3" t="s">
        <v>59</v>
      </c>
      <c r="K4929" s="4">
        <v>4951.3599999999997</v>
      </c>
      <c r="L4929" s="6">
        <v>107.53</v>
      </c>
    </row>
    <row r="4930" spans="1:12" x14ac:dyDescent="0.25">
      <c r="A4930" s="1">
        <v>4929</v>
      </c>
      <c r="B4930" s="4">
        <v>35047</v>
      </c>
      <c r="C4930" s="5">
        <v>40338</v>
      </c>
      <c r="D4930" s="3" t="s">
        <v>4</v>
      </c>
      <c r="E4930" s="1" t="s">
        <v>718</v>
      </c>
      <c r="F4930" s="1" t="s">
        <v>8</v>
      </c>
      <c r="G4930" s="2" t="s">
        <v>6</v>
      </c>
      <c r="H4930" s="3" t="s">
        <v>97</v>
      </c>
      <c r="I4930" s="3" t="s">
        <v>85</v>
      </c>
      <c r="J4930" s="3" t="s">
        <v>64</v>
      </c>
      <c r="K4930" s="4">
        <v>148.16999999999999</v>
      </c>
      <c r="L4930" s="6">
        <v>4.71</v>
      </c>
    </row>
    <row r="4931" spans="1:12" x14ac:dyDescent="0.25">
      <c r="A4931" s="1">
        <v>4930</v>
      </c>
      <c r="B4931" s="4">
        <v>35077</v>
      </c>
      <c r="C4931" s="5">
        <v>40823</v>
      </c>
      <c r="D4931" s="3" t="s">
        <v>89</v>
      </c>
      <c r="E4931" s="1" t="s">
        <v>1309</v>
      </c>
      <c r="F4931" s="1" t="s">
        <v>35</v>
      </c>
      <c r="G4931" s="2" t="s">
        <v>1</v>
      </c>
      <c r="H4931" s="3" t="s">
        <v>97</v>
      </c>
      <c r="I4931" s="3" t="s">
        <v>85</v>
      </c>
      <c r="J4931" s="3" t="s">
        <v>63</v>
      </c>
      <c r="K4931" s="4">
        <v>81.099999999999994</v>
      </c>
      <c r="L4931" s="6">
        <v>2.94</v>
      </c>
    </row>
    <row r="4932" spans="1:12" x14ac:dyDescent="0.25">
      <c r="A4932" s="1">
        <v>4931</v>
      </c>
      <c r="B4932" s="4">
        <v>35079</v>
      </c>
      <c r="C4932" s="5">
        <v>40404</v>
      </c>
      <c r="D4932" s="3" t="s">
        <v>89</v>
      </c>
      <c r="E4932" s="1" t="s">
        <v>1112</v>
      </c>
      <c r="F4932" s="1" t="s">
        <v>13</v>
      </c>
      <c r="G4932" s="2" t="s">
        <v>6</v>
      </c>
      <c r="H4932" s="3" t="s">
        <v>100</v>
      </c>
      <c r="I4932" s="3" t="s">
        <v>91</v>
      </c>
      <c r="J4932" s="3" t="s">
        <v>68</v>
      </c>
      <c r="K4932" s="4">
        <v>71.569999999999993</v>
      </c>
      <c r="L4932" s="6">
        <v>4.9800000000000004</v>
      </c>
    </row>
    <row r="4933" spans="1:12" x14ac:dyDescent="0.25">
      <c r="A4933" s="1">
        <v>4932</v>
      </c>
      <c r="B4933" s="4">
        <v>35079</v>
      </c>
      <c r="C4933" s="5">
        <v>40404</v>
      </c>
      <c r="D4933" s="3" t="s">
        <v>89</v>
      </c>
      <c r="E4933" s="1" t="s">
        <v>1310</v>
      </c>
      <c r="F4933" s="1" t="s">
        <v>13</v>
      </c>
      <c r="G4933" s="2" t="s">
        <v>6</v>
      </c>
      <c r="H4933" s="3" t="s">
        <v>100</v>
      </c>
      <c r="I4933" s="3" t="s">
        <v>91</v>
      </c>
      <c r="J4933" s="3" t="s">
        <v>60</v>
      </c>
      <c r="K4933" s="4">
        <v>2062.75</v>
      </c>
      <c r="L4933" s="6">
        <v>60.98</v>
      </c>
    </row>
    <row r="4934" spans="1:12" x14ac:dyDescent="0.25">
      <c r="A4934" s="1">
        <v>4933</v>
      </c>
      <c r="B4934" s="4">
        <v>35104</v>
      </c>
      <c r="C4934" s="5">
        <v>41021</v>
      </c>
      <c r="D4934" s="3" t="s">
        <v>89</v>
      </c>
      <c r="E4934" s="1" t="s">
        <v>1197</v>
      </c>
      <c r="F4934" s="1" t="s">
        <v>46</v>
      </c>
      <c r="G4934" s="2" t="s">
        <v>6</v>
      </c>
      <c r="H4934" s="3" t="s">
        <v>84</v>
      </c>
      <c r="I4934" s="3" t="s">
        <v>92</v>
      </c>
      <c r="J4934" s="3" t="s">
        <v>62</v>
      </c>
      <c r="K4934" s="4">
        <v>36.31</v>
      </c>
      <c r="L4934" s="6">
        <v>29.99</v>
      </c>
    </row>
    <row r="4935" spans="1:12" x14ac:dyDescent="0.25">
      <c r="A4935" s="1">
        <v>4934</v>
      </c>
      <c r="B4935" s="4">
        <v>35104</v>
      </c>
      <c r="C4935" s="5">
        <v>41021</v>
      </c>
      <c r="D4935" s="3" t="s">
        <v>89</v>
      </c>
      <c r="E4935" s="1" t="s">
        <v>1197</v>
      </c>
      <c r="F4935" s="1" t="s">
        <v>46</v>
      </c>
      <c r="G4935" s="2" t="s">
        <v>6</v>
      </c>
      <c r="H4935" s="3" t="s">
        <v>84</v>
      </c>
      <c r="I4935" s="3" t="s">
        <v>91</v>
      </c>
      <c r="J4935" s="3" t="s">
        <v>59</v>
      </c>
      <c r="K4935" s="4">
        <v>388.15</v>
      </c>
      <c r="L4935" s="6">
        <v>19.940000000000001</v>
      </c>
    </row>
    <row r="4936" spans="1:12" x14ac:dyDescent="0.25">
      <c r="A4936" s="1">
        <v>4935</v>
      </c>
      <c r="B4936" s="4">
        <v>35110</v>
      </c>
      <c r="C4936" s="5">
        <v>40834</v>
      </c>
      <c r="D4936" s="3" t="s">
        <v>89</v>
      </c>
      <c r="E4936" s="1" t="s">
        <v>1093</v>
      </c>
      <c r="F4936" s="1" t="s">
        <v>13</v>
      </c>
      <c r="G4936" s="2" t="s">
        <v>6</v>
      </c>
      <c r="H4936" s="3" t="s">
        <v>88</v>
      </c>
      <c r="I4936" s="3" t="s">
        <v>85</v>
      </c>
      <c r="J4936" s="3" t="s">
        <v>69</v>
      </c>
      <c r="K4936" s="4">
        <v>12805.25</v>
      </c>
      <c r="L4936" s="6">
        <v>896.99</v>
      </c>
    </row>
    <row r="4937" spans="1:12" x14ac:dyDescent="0.25">
      <c r="A4937" s="1">
        <v>4936</v>
      </c>
      <c r="B4937" s="4">
        <v>35110</v>
      </c>
      <c r="C4937" s="5">
        <v>40834</v>
      </c>
      <c r="D4937" s="3" t="s">
        <v>89</v>
      </c>
      <c r="E4937" s="1" t="s">
        <v>1093</v>
      </c>
      <c r="F4937" s="1" t="s">
        <v>13</v>
      </c>
      <c r="G4937" s="2" t="s">
        <v>6</v>
      </c>
      <c r="H4937" s="3" t="s">
        <v>88</v>
      </c>
      <c r="I4937" s="3" t="s">
        <v>92</v>
      </c>
      <c r="J4937" s="3" t="s">
        <v>62</v>
      </c>
      <c r="K4937" s="4">
        <v>1435.32</v>
      </c>
      <c r="L4937" s="6">
        <v>29.89</v>
      </c>
    </row>
    <row r="4938" spans="1:12" x14ac:dyDescent="0.25">
      <c r="A4938" s="1">
        <v>4937</v>
      </c>
      <c r="B4938" s="4">
        <v>35111</v>
      </c>
      <c r="C4938" s="5">
        <v>40334</v>
      </c>
      <c r="D4938" s="3" t="s">
        <v>95</v>
      </c>
      <c r="E4938" s="1" t="s">
        <v>644</v>
      </c>
      <c r="F4938" s="1" t="s">
        <v>32</v>
      </c>
      <c r="G4938" s="2" t="s">
        <v>2</v>
      </c>
      <c r="H4938" s="3" t="s">
        <v>84</v>
      </c>
      <c r="I4938" s="3" t="s">
        <v>85</v>
      </c>
      <c r="J4938" s="3" t="s">
        <v>71</v>
      </c>
      <c r="K4938" s="4">
        <v>893.29</v>
      </c>
      <c r="L4938" s="6">
        <v>23.99</v>
      </c>
    </row>
    <row r="4939" spans="1:12" x14ac:dyDescent="0.25">
      <c r="A4939" s="1">
        <v>4938</v>
      </c>
      <c r="B4939" s="4">
        <v>35136</v>
      </c>
      <c r="C4939" s="5">
        <v>40094</v>
      </c>
      <c r="D4939" s="3" t="s">
        <v>95</v>
      </c>
      <c r="E4939" s="1" t="s">
        <v>119</v>
      </c>
      <c r="F4939" s="1" t="s">
        <v>26</v>
      </c>
      <c r="G4939" s="2" t="s">
        <v>3</v>
      </c>
      <c r="H4939" s="3" t="s">
        <v>88</v>
      </c>
      <c r="I4939" s="3" t="s">
        <v>85</v>
      </c>
      <c r="J4939" s="3" t="s">
        <v>63</v>
      </c>
      <c r="K4939" s="4">
        <v>68.73</v>
      </c>
      <c r="L4939" s="6">
        <v>2.94</v>
      </c>
    </row>
    <row r="4940" spans="1:12" x14ac:dyDescent="0.25">
      <c r="A4940" s="1">
        <v>4939</v>
      </c>
      <c r="B4940" s="4">
        <v>35137</v>
      </c>
      <c r="C4940" s="5">
        <v>40376</v>
      </c>
      <c r="D4940" s="3" t="s">
        <v>89</v>
      </c>
      <c r="E4940" s="1" t="s">
        <v>1311</v>
      </c>
      <c r="F4940" s="1" t="s">
        <v>16</v>
      </c>
      <c r="G4940" s="2" t="s">
        <v>3</v>
      </c>
      <c r="H4940" s="3" t="s">
        <v>97</v>
      </c>
      <c r="I4940" s="3" t="s">
        <v>85</v>
      </c>
      <c r="J4940" s="3" t="s">
        <v>69</v>
      </c>
      <c r="K4940" s="4">
        <v>225.06</v>
      </c>
      <c r="L4940" s="6">
        <v>5.34</v>
      </c>
    </row>
    <row r="4941" spans="1:12" x14ac:dyDescent="0.25">
      <c r="A4941" s="1">
        <v>4940</v>
      </c>
      <c r="B4941" s="4">
        <v>35137</v>
      </c>
      <c r="C4941" s="5">
        <v>40376</v>
      </c>
      <c r="D4941" s="3" t="s">
        <v>89</v>
      </c>
      <c r="E4941" s="1" t="s">
        <v>1311</v>
      </c>
      <c r="F4941" s="1" t="s">
        <v>16</v>
      </c>
      <c r="G4941" s="2" t="s">
        <v>3</v>
      </c>
      <c r="H4941" s="3" t="s">
        <v>97</v>
      </c>
      <c r="I4941" s="3" t="s">
        <v>85</v>
      </c>
      <c r="J4941" s="3" t="s">
        <v>71</v>
      </c>
      <c r="K4941" s="4">
        <v>1041.78</v>
      </c>
      <c r="L4941" s="6">
        <v>23.99</v>
      </c>
    </row>
    <row r="4942" spans="1:12" x14ac:dyDescent="0.25">
      <c r="A4942" s="1">
        <v>4941</v>
      </c>
      <c r="B4942" s="4">
        <v>35139</v>
      </c>
      <c r="C4942" s="5">
        <v>40196</v>
      </c>
      <c r="D4942" s="3" t="s">
        <v>89</v>
      </c>
      <c r="E4942" s="1" t="s">
        <v>263</v>
      </c>
      <c r="F4942" s="1" t="s">
        <v>14</v>
      </c>
      <c r="G4942" s="2" t="s">
        <v>2</v>
      </c>
      <c r="H4942" s="3" t="s">
        <v>97</v>
      </c>
      <c r="I4942" s="3" t="s">
        <v>85</v>
      </c>
      <c r="J4942" s="3" t="s">
        <v>69</v>
      </c>
      <c r="K4942" s="4">
        <v>264.77999999999997</v>
      </c>
      <c r="L4942" s="6">
        <v>8.69</v>
      </c>
    </row>
    <row r="4943" spans="1:12" x14ac:dyDescent="0.25">
      <c r="A4943" s="1">
        <v>4942</v>
      </c>
      <c r="B4943" s="4">
        <v>35139</v>
      </c>
      <c r="C4943" s="5">
        <v>40196</v>
      </c>
      <c r="D4943" s="3" t="s">
        <v>89</v>
      </c>
      <c r="E4943" s="1" t="s">
        <v>310</v>
      </c>
      <c r="F4943" s="1" t="s">
        <v>36</v>
      </c>
      <c r="G4943" s="2" t="s">
        <v>2</v>
      </c>
      <c r="H4943" s="3" t="s">
        <v>97</v>
      </c>
      <c r="I4943" s="3" t="s">
        <v>92</v>
      </c>
      <c r="J4943" s="3" t="s">
        <v>67</v>
      </c>
      <c r="K4943" s="4">
        <v>10380.34</v>
      </c>
      <c r="L4943" s="6">
        <v>3502.14</v>
      </c>
    </row>
    <row r="4944" spans="1:12" x14ac:dyDescent="0.25">
      <c r="A4944" s="1">
        <v>4943</v>
      </c>
      <c r="B4944" s="4">
        <v>35139</v>
      </c>
      <c r="C4944" s="5">
        <v>40196</v>
      </c>
      <c r="D4944" s="3" t="s">
        <v>89</v>
      </c>
      <c r="E4944" s="1" t="s">
        <v>310</v>
      </c>
      <c r="F4944" s="1" t="s">
        <v>36</v>
      </c>
      <c r="G4944" s="2" t="s">
        <v>2</v>
      </c>
      <c r="H4944" s="3" t="s">
        <v>97</v>
      </c>
      <c r="I4944" s="3" t="s">
        <v>85</v>
      </c>
      <c r="J4944" s="3" t="s">
        <v>63</v>
      </c>
      <c r="K4944" s="4">
        <v>854.9</v>
      </c>
      <c r="L4944" s="6">
        <v>34.58</v>
      </c>
    </row>
    <row r="4945" spans="1:12" x14ac:dyDescent="0.25">
      <c r="A4945" s="1">
        <v>4944</v>
      </c>
      <c r="B4945" s="4">
        <v>35139</v>
      </c>
      <c r="C4945" s="5">
        <v>40196</v>
      </c>
      <c r="D4945" s="3" t="s">
        <v>89</v>
      </c>
      <c r="E4945" s="1" t="s">
        <v>310</v>
      </c>
      <c r="F4945" s="1" t="s">
        <v>36</v>
      </c>
      <c r="G4945" s="2" t="s">
        <v>2</v>
      </c>
      <c r="H4945" s="3" t="s">
        <v>97</v>
      </c>
      <c r="I4945" s="3" t="s">
        <v>85</v>
      </c>
      <c r="J4945" s="3" t="s">
        <v>57</v>
      </c>
      <c r="K4945" s="4">
        <v>389.98</v>
      </c>
      <c r="L4945" s="6">
        <v>12.21</v>
      </c>
    </row>
    <row r="4946" spans="1:12" x14ac:dyDescent="0.25">
      <c r="A4946" s="1">
        <v>4945</v>
      </c>
      <c r="B4946" s="4">
        <v>35141</v>
      </c>
      <c r="C4946" s="5">
        <v>40432</v>
      </c>
      <c r="D4946" s="3" t="s">
        <v>4</v>
      </c>
      <c r="E4946" s="1" t="s">
        <v>692</v>
      </c>
      <c r="F4946" s="1" t="s">
        <v>38</v>
      </c>
      <c r="G4946" s="2" t="s">
        <v>6</v>
      </c>
      <c r="H4946" s="3" t="s">
        <v>84</v>
      </c>
      <c r="I4946" s="3" t="s">
        <v>85</v>
      </c>
      <c r="J4946" s="3" t="s">
        <v>69</v>
      </c>
      <c r="K4946" s="4">
        <v>2046.81</v>
      </c>
      <c r="L4946" s="6">
        <v>67.28</v>
      </c>
    </row>
    <row r="4947" spans="1:12" x14ac:dyDescent="0.25">
      <c r="A4947" s="1">
        <v>4946</v>
      </c>
      <c r="B4947" s="4">
        <v>35142</v>
      </c>
      <c r="C4947" s="5">
        <v>40290</v>
      </c>
      <c r="D4947" s="3" t="s">
        <v>82</v>
      </c>
      <c r="E4947" s="1" t="s">
        <v>1312</v>
      </c>
      <c r="F4947" s="1" t="s">
        <v>46</v>
      </c>
      <c r="G4947" s="2" t="s">
        <v>6</v>
      </c>
      <c r="H4947" s="3" t="s">
        <v>88</v>
      </c>
      <c r="I4947" s="3" t="s">
        <v>91</v>
      </c>
      <c r="J4947" s="3" t="s">
        <v>59</v>
      </c>
      <c r="K4947" s="4">
        <v>231.27</v>
      </c>
      <c r="L4947" s="6">
        <v>20.239999999999998</v>
      </c>
    </row>
    <row r="4948" spans="1:12" x14ac:dyDescent="0.25">
      <c r="A4948" s="1">
        <v>4947</v>
      </c>
      <c r="B4948" s="4">
        <v>35173</v>
      </c>
      <c r="C4948" s="5">
        <v>40981</v>
      </c>
      <c r="D4948" s="3" t="s">
        <v>86</v>
      </c>
      <c r="E4948" s="1" t="s">
        <v>1185</v>
      </c>
      <c r="F4948" s="1" t="s">
        <v>32</v>
      </c>
      <c r="G4948" s="2" t="s">
        <v>2</v>
      </c>
      <c r="H4948" s="3" t="s">
        <v>88</v>
      </c>
      <c r="I4948" s="3" t="s">
        <v>91</v>
      </c>
      <c r="J4948" s="3" t="s">
        <v>68</v>
      </c>
      <c r="K4948" s="4">
        <v>6483.26</v>
      </c>
      <c r="L4948" s="6">
        <v>240.98</v>
      </c>
    </row>
    <row r="4949" spans="1:12" x14ac:dyDescent="0.25">
      <c r="A4949" s="1">
        <v>4948</v>
      </c>
      <c r="B4949" s="4">
        <v>35173</v>
      </c>
      <c r="C4949" s="5">
        <v>40981</v>
      </c>
      <c r="D4949" s="3" t="s">
        <v>86</v>
      </c>
      <c r="E4949" s="1" t="s">
        <v>1185</v>
      </c>
      <c r="F4949" s="1" t="s">
        <v>32</v>
      </c>
      <c r="G4949" s="2" t="s">
        <v>2</v>
      </c>
      <c r="H4949" s="3" t="s">
        <v>88</v>
      </c>
      <c r="I4949" s="3" t="s">
        <v>92</v>
      </c>
      <c r="J4949" s="3" t="s">
        <v>61</v>
      </c>
      <c r="K4949" s="4">
        <v>1446.2070000000001</v>
      </c>
      <c r="L4949" s="6">
        <v>125.99</v>
      </c>
    </row>
    <row r="4950" spans="1:12" x14ac:dyDescent="0.25">
      <c r="A4950" s="1">
        <v>4949</v>
      </c>
      <c r="B4950" s="4">
        <v>35200</v>
      </c>
      <c r="C4950" s="5">
        <v>39849</v>
      </c>
      <c r="D4950" s="3" t="s">
        <v>4</v>
      </c>
      <c r="E4950" s="1" t="s">
        <v>983</v>
      </c>
      <c r="F4950" s="1" t="s">
        <v>17</v>
      </c>
      <c r="G4950" s="2" t="s">
        <v>2</v>
      </c>
      <c r="H4950" s="3" t="s">
        <v>88</v>
      </c>
      <c r="I4950" s="3" t="s">
        <v>91</v>
      </c>
      <c r="J4950" s="3" t="s">
        <v>59</v>
      </c>
      <c r="K4950" s="4">
        <v>150.24</v>
      </c>
      <c r="L4950" s="6">
        <v>9.98</v>
      </c>
    </row>
    <row r="4951" spans="1:12" x14ac:dyDescent="0.25">
      <c r="A4951" s="1">
        <v>4950</v>
      </c>
      <c r="B4951" s="4">
        <v>35201</v>
      </c>
      <c r="C4951" s="5">
        <v>40333</v>
      </c>
      <c r="D4951" s="3" t="s">
        <v>82</v>
      </c>
      <c r="E4951" s="1" t="s">
        <v>836</v>
      </c>
      <c r="F4951" s="1" t="s">
        <v>27</v>
      </c>
      <c r="G4951" s="2" t="s">
        <v>1</v>
      </c>
      <c r="H4951" s="3" t="s">
        <v>97</v>
      </c>
      <c r="I4951" s="3" t="s">
        <v>92</v>
      </c>
      <c r="J4951" s="3" t="s">
        <v>62</v>
      </c>
      <c r="K4951" s="4">
        <v>211.44</v>
      </c>
      <c r="L4951" s="6">
        <v>10.97</v>
      </c>
    </row>
    <row r="4952" spans="1:12" x14ac:dyDescent="0.25">
      <c r="A4952" s="1">
        <v>4951</v>
      </c>
      <c r="B4952" s="4">
        <v>35238</v>
      </c>
      <c r="C4952" s="5">
        <v>40661</v>
      </c>
      <c r="D4952" s="3" t="s">
        <v>82</v>
      </c>
      <c r="E4952" s="1" t="s">
        <v>733</v>
      </c>
      <c r="F4952" s="1" t="s">
        <v>52</v>
      </c>
      <c r="G4952" s="2" t="s">
        <v>3</v>
      </c>
      <c r="H4952" s="3" t="s">
        <v>84</v>
      </c>
      <c r="I4952" s="3" t="s">
        <v>92</v>
      </c>
      <c r="J4952" s="3" t="s">
        <v>61</v>
      </c>
      <c r="K4952" s="4">
        <v>1403.0269999999998</v>
      </c>
      <c r="L4952" s="6">
        <v>65.989999999999995</v>
      </c>
    </row>
    <row r="4953" spans="1:12" x14ac:dyDescent="0.25">
      <c r="A4953" s="1">
        <v>4952</v>
      </c>
      <c r="B4953" s="4">
        <v>35239</v>
      </c>
      <c r="C4953" s="5">
        <v>40859</v>
      </c>
      <c r="D4953" s="3" t="s">
        <v>95</v>
      </c>
      <c r="E4953" s="1" t="s">
        <v>1313</v>
      </c>
      <c r="F4953" s="1" t="s">
        <v>36</v>
      </c>
      <c r="G4953" s="2" t="s">
        <v>2</v>
      </c>
      <c r="H4953" s="3" t="s">
        <v>84</v>
      </c>
      <c r="I4953" s="3" t="s">
        <v>85</v>
      </c>
      <c r="J4953" s="3" t="s">
        <v>66</v>
      </c>
      <c r="K4953" s="4">
        <v>109.29</v>
      </c>
      <c r="L4953" s="6">
        <v>5.28</v>
      </c>
    </row>
    <row r="4954" spans="1:12" x14ac:dyDescent="0.25">
      <c r="A4954" s="1">
        <v>4953</v>
      </c>
      <c r="B4954" s="4">
        <v>35239</v>
      </c>
      <c r="C4954" s="5">
        <v>40859</v>
      </c>
      <c r="D4954" s="3" t="s">
        <v>95</v>
      </c>
      <c r="E4954" s="1" t="s">
        <v>1313</v>
      </c>
      <c r="F4954" s="1" t="s">
        <v>36</v>
      </c>
      <c r="G4954" s="2" t="s">
        <v>2</v>
      </c>
      <c r="H4954" s="3" t="s">
        <v>84</v>
      </c>
      <c r="I4954" s="3" t="s">
        <v>85</v>
      </c>
      <c r="J4954" s="3" t="s">
        <v>57</v>
      </c>
      <c r="K4954" s="4">
        <v>2257.88</v>
      </c>
      <c r="L4954" s="6">
        <v>59.76</v>
      </c>
    </row>
    <row r="4955" spans="1:12" x14ac:dyDescent="0.25">
      <c r="A4955" s="1">
        <v>4954</v>
      </c>
      <c r="B4955" s="4">
        <v>35265</v>
      </c>
      <c r="C4955" s="5">
        <v>40511</v>
      </c>
      <c r="D4955" s="3" t="s">
        <v>86</v>
      </c>
      <c r="E4955" s="1" t="s">
        <v>121</v>
      </c>
      <c r="F4955" s="1" t="s">
        <v>23</v>
      </c>
      <c r="G4955" s="2" t="s">
        <v>3</v>
      </c>
      <c r="H4955" s="3" t="s">
        <v>84</v>
      </c>
      <c r="I4955" s="3" t="s">
        <v>85</v>
      </c>
      <c r="J4955" s="3" t="s">
        <v>69</v>
      </c>
      <c r="K4955" s="4">
        <v>125.78</v>
      </c>
      <c r="L4955" s="6">
        <v>30.56</v>
      </c>
    </row>
    <row r="4956" spans="1:12" x14ac:dyDescent="0.25">
      <c r="A4956" s="1">
        <v>4955</v>
      </c>
      <c r="B4956" s="4">
        <v>35265</v>
      </c>
      <c r="C4956" s="5">
        <v>40511</v>
      </c>
      <c r="D4956" s="3" t="s">
        <v>86</v>
      </c>
      <c r="E4956" s="1" t="s">
        <v>121</v>
      </c>
      <c r="F4956" s="1" t="s">
        <v>23</v>
      </c>
      <c r="G4956" s="2" t="s">
        <v>3</v>
      </c>
      <c r="H4956" s="3" t="s">
        <v>84</v>
      </c>
      <c r="I4956" s="3" t="s">
        <v>91</v>
      </c>
      <c r="J4956" s="3" t="s">
        <v>72</v>
      </c>
      <c r="K4956" s="4">
        <v>577</v>
      </c>
      <c r="L4956" s="6">
        <v>33.94</v>
      </c>
    </row>
    <row r="4957" spans="1:12" x14ac:dyDescent="0.25">
      <c r="A4957" s="1">
        <v>4956</v>
      </c>
      <c r="B4957" s="4">
        <v>35265</v>
      </c>
      <c r="C4957" s="5">
        <v>40511</v>
      </c>
      <c r="D4957" s="3" t="s">
        <v>86</v>
      </c>
      <c r="E4957" s="1" t="s">
        <v>121</v>
      </c>
      <c r="F4957" s="1" t="s">
        <v>23</v>
      </c>
      <c r="G4957" s="2" t="s">
        <v>3</v>
      </c>
      <c r="H4957" s="3" t="s">
        <v>84</v>
      </c>
      <c r="I4957" s="3" t="s">
        <v>92</v>
      </c>
      <c r="J4957" s="3" t="s">
        <v>67</v>
      </c>
      <c r="K4957" s="4">
        <v>24.53</v>
      </c>
      <c r="L4957" s="6">
        <v>9.49</v>
      </c>
    </row>
    <row r="4958" spans="1:12" x14ac:dyDescent="0.25">
      <c r="A4958" s="1">
        <v>4957</v>
      </c>
      <c r="B4958" s="4">
        <v>35266</v>
      </c>
      <c r="C4958" s="5">
        <v>40553</v>
      </c>
      <c r="D4958" s="3" t="s">
        <v>86</v>
      </c>
      <c r="E4958" s="1" t="s">
        <v>927</v>
      </c>
      <c r="F4958" s="1" t="s">
        <v>8</v>
      </c>
      <c r="G4958" s="2" t="s">
        <v>6</v>
      </c>
      <c r="H4958" s="3" t="s">
        <v>88</v>
      </c>
      <c r="I4958" s="3" t="s">
        <v>85</v>
      </c>
      <c r="J4958" s="3" t="s">
        <v>63</v>
      </c>
      <c r="K4958" s="4">
        <v>217.25</v>
      </c>
      <c r="L4958" s="6">
        <v>5.84</v>
      </c>
    </row>
    <row r="4959" spans="1:12" x14ac:dyDescent="0.25">
      <c r="A4959" s="1">
        <v>4958</v>
      </c>
      <c r="B4959" s="4">
        <v>35266</v>
      </c>
      <c r="C4959" s="5">
        <v>40553</v>
      </c>
      <c r="D4959" s="3" t="s">
        <v>86</v>
      </c>
      <c r="E4959" s="1" t="s">
        <v>927</v>
      </c>
      <c r="F4959" s="1" t="s">
        <v>8</v>
      </c>
      <c r="G4959" s="2" t="s">
        <v>6</v>
      </c>
      <c r="H4959" s="3" t="s">
        <v>88</v>
      </c>
      <c r="I4959" s="3" t="s">
        <v>91</v>
      </c>
      <c r="J4959" s="3" t="s">
        <v>60</v>
      </c>
      <c r="K4959" s="4">
        <v>5993.74</v>
      </c>
      <c r="L4959" s="6">
        <v>218.75</v>
      </c>
    </row>
    <row r="4960" spans="1:12" x14ac:dyDescent="0.25">
      <c r="A4960" s="1">
        <v>4959</v>
      </c>
      <c r="B4960" s="4">
        <v>35271</v>
      </c>
      <c r="C4960" s="5">
        <v>40385</v>
      </c>
      <c r="D4960" s="3" t="s">
        <v>89</v>
      </c>
      <c r="E4960" s="1" t="s">
        <v>381</v>
      </c>
      <c r="F4960" s="1" t="s">
        <v>21</v>
      </c>
      <c r="G4960" s="2" t="s">
        <v>1</v>
      </c>
      <c r="H4960" s="3" t="s">
        <v>97</v>
      </c>
      <c r="I4960" s="3" t="s">
        <v>92</v>
      </c>
      <c r="J4960" s="3" t="s">
        <v>61</v>
      </c>
      <c r="K4960" s="4">
        <v>1083.4014999999999</v>
      </c>
      <c r="L4960" s="6">
        <v>65.989999999999995</v>
      </c>
    </row>
    <row r="4961" spans="1:12" x14ac:dyDescent="0.25">
      <c r="A4961" s="1">
        <v>4960</v>
      </c>
      <c r="B4961" s="4">
        <v>35296</v>
      </c>
      <c r="C4961" s="5">
        <v>40623</v>
      </c>
      <c r="D4961" s="3" t="s">
        <v>82</v>
      </c>
      <c r="E4961" s="1" t="s">
        <v>1160</v>
      </c>
      <c r="F4961" s="1" t="s">
        <v>20</v>
      </c>
      <c r="G4961" s="2" t="s">
        <v>1</v>
      </c>
      <c r="H4961" s="3" t="s">
        <v>88</v>
      </c>
      <c r="I4961" s="3" t="s">
        <v>92</v>
      </c>
      <c r="J4961" s="3" t="s">
        <v>61</v>
      </c>
      <c r="K4961" s="4">
        <v>407.8725</v>
      </c>
      <c r="L4961" s="6">
        <v>65.989999999999995</v>
      </c>
    </row>
    <row r="4962" spans="1:12" x14ac:dyDescent="0.25">
      <c r="A4962" s="1">
        <v>4961</v>
      </c>
      <c r="B4962" s="4">
        <v>35299</v>
      </c>
      <c r="C4962" s="5">
        <v>41131</v>
      </c>
      <c r="D4962" s="3" t="s">
        <v>86</v>
      </c>
      <c r="E4962" s="1" t="s">
        <v>507</v>
      </c>
      <c r="F4962" s="1" t="s">
        <v>26</v>
      </c>
      <c r="G4962" s="2" t="s">
        <v>3</v>
      </c>
      <c r="H4962" s="3" t="s">
        <v>88</v>
      </c>
      <c r="I4962" s="3" t="s">
        <v>92</v>
      </c>
      <c r="J4962" s="3" t="s">
        <v>62</v>
      </c>
      <c r="K4962" s="4">
        <v>4359</v>
      </c>
      <c r="L4962" s="6">
        <v>99.99</v>
      </c>
    </row>
    <row r="4963" spans="1:12" x14ac:dyDescent="0.25">
      <c r="A4963" s="1">
        <v>4962</v>
      </c>
      <c r="B4963" s="4">
        <v>35300</v>
      </c>
      <c r="C4963" s="5">
        <v>40239</v>
      </c>
      <c r="D4963" s="3" t="s">
        <v>4</v>
      </c>
      <c r="E4963" s="1" t="s">
        <v>1314</v>
      </c>
      <c r="F4963" s="1" t="s">
        <v>38</v>
      </c>
      <c r="G4963" s="2" t="s">
        <v>6</v>
      </c>
      <c r="H4963" s="3" t="s">
        <v>88</v>
      </c>
      <c r="I4963" s="3" t="s">
        <v>85</v>
      </c>
      <c r="J4963" s="3" t="s">
        <v>65</v>
      </c>
      <c r="K4963" s="4">
        <v>28.81</v>
      </c>
      <c r="L4963" s="6">
        <v>2.89</v>
      </c>
    </row>
    <row r="4964" spans="1:12" x14ac:dyDescent="0.25">
      <c r="A4964" s="1">
        <v>4963</v>
      </c>
      <c r="B4964" s="4">
        <v>35300</v>
      </c>
      <c r="C4964" s="5">
        <v>40239</v>
      </c>
      <c r="D4964" s="3" t="s">
        <v>4</v>
      </c>
      <c r="E4964" s="1" t="s">
        <v>1314</v>
      </c>
      <c r="F4964" s="1" t="s">
        <v>38</v>
      </c>
      <c r="G4964" s="2" t="s">
        <v>6</v>
      </c>
      <c r="H4964" s="3" t="s">
        <v>88</v>
      </c>
      <c r="I4964" s="3" t="s">
        <v>91</v>
      </c>
      <c r="J4964" s="3" t="s">
        <v>59</v>
      </c>
      <c r="K4964" s="4">
        <v>1445.6</v>
      </c>
      <c r="L4964" s="6">
        <v>41.32</v>
      </c>
    </row>
    <row r="4965" spans="1:12" x14ac:dyDescent="0.25">
      <c r="A4965" s="1">
        <v>4964</v>
      </c>
      <c r="B4965" s="4">
        <v>35300</v>
      </c>
      <c r="C4965" s="5">
        <v>40239</v>
      </c>
      <c r="D4965" s="3" t="s">
        <v>4</v>
      </c>
      <c r="E4965" s="1" t="s">
        <v>1314</v>
      </c>
      <c r="F4965" s="1" t="s">
        <v>38</v>
      </c>
      <c r="G4965" s="2" t="s">
        <v>6</v>
      </c>
      <c r="H4965" s="3" t="s">
        <v>88</v>
      </c>
      <c r="I4965" s="3" t="s">
        <v>85</v>
      </c>
      <c r="J4965" s="3" t="s">
        <v>66</v>
      </c>
      <c r="K4965" s="4">
        <v>119.03</v>
      </c>
      <c r="L4965" s="6">
        <v>8.9499999999999993</v>
      </c>
    </row>
    <row r="4966" spans="1:12" x14ac:dyDescent="0.25">
      <c r="A4966" s="1">
        <v>4965</v>
      </c>
      <c r="B4966" s="4">
        <v>35302</v>
      </c>
      <c r="C4966" s="5">
        <v>40336</v>
      </c>
      <c r="D4966" s="3" t="s">
        <v>4</v>
      </c>
      <c r="E4966" s="1" t="s">
        <v>1168</v>
      </c>
      <c r="F4966" s="1" t="s">
        <v>15</v>
      </c>
      <c r="G4966" s="2" t="s">
        <v>1</v>
      </c>
      <c r="H4966" s="3" t="s">
        <v>84</v>
      </c>
      <c r="I4966" s="3" t="s">
        <v>85</v>
      </c>
      <c r="J4966" s="3" t="s">
        <v>66</v>
      </c>
      <c r="K4966" s="4">
        <v>188.44</v>
      </c>
      <c r="L4966" s="6">
        <v>30.98</v>
      </c>
    </row>
    <row r="4967" spans="1:12" x14ac:dyDescent="0.25">
      <c r="A4967" s="1">
        <v>4966</v>
      </c>
      <c r="B4967" s="4">
        <v>35302</v>
      </c>
      <c r="C4967" s="5">
        <v>40336</v>
      </c>
      <c r="D4967" s="3" t="s">
        <v>4</v>
      </c>
      <c r="E4967" s="1" t="s">
        <v>1168</v>
      </c>
      <c r="F4967" s="1" t="s">
        <v>15</v>
      </c>
      <c r="G4967" s="2" t="s">
        <v>1</v>
      </c>
      <c r="H4967" s="3" t="s">
        <v>84</v>
      </c>
      <c r="I4967" s="3" t="s">
        <v>92</v>
      </c>
      <c r="J4967" s="3" t="s">
        <v>61</v>
      </c>
      <c r="K4967" s="4">
        <v>1265.4969999999998</v>
      </c>
      <c r="L4967" s="6">
        <v>125.99</v>
      </c>
    </row>
    <row r="4968" spans="1:12" x14ac:dyDescent="0.25">
      <c r="A4968" s="1">
        <v>4967</v>
      </c>
      <c r="B4968" s="4">
        <v>35360</v>
      </c>
      <c r="C4968" s="5">
        <v>40651</v>
      </c>
      <c r="D4968" s="3" t="s">
        <v>95</v>
      </c>
      <c r="E4968" s="1" t="s">
        <v>366</v>
      </c>
      <c r="F4968" s="1" t="s">
        <v>27</v>
      </c>
      <c r="G4968" s="2" t="s">
        <v>1</v>
      </c>
      <c r="H4968" s="3" t="s">
        <v>88</v>
      </c>
      <c r="I4968" s="3" t="s">
        <v>85</v>
      </c>
      <c r="J4968" s="3" t="s">
        <v>69</v>
      </c>
      <c r="K4968" s="4">
        <v>41.06</v>
      </c>
      <c r="L4968" s="6">
        <v>8.8800000000000008</v>
      </c>
    </row>
    <row r="4969" spans="1:12" x14ac:dyDescent="0.25">
      <c r="A4969" s="1">
        <v>4968</v>
      </c>
      <c r="B4969" s="4">
        <v>35361</v>
      </c>
      <c r="C4969" s="5">
        <v>39909</v>
      </c>
      <c r="D4969" s="3" t="s">
        <v>4</v>
      </c>
      <c r="E4969" s="1" t="s">
        <v>1285</v>
      </c>
      <c r="F4969" s="1" t="s">
        <v>24</v>
      </c>
      <c r="G4969" s="2" t="s">
        <v>2</v>
      </c>
      <c r="H4969" s="3" t="s">
        <v>97</v>
      </c>
      <c r="I4969" s="3" t="s">
        <v>85</v>
      </c>
      <c r="J4969" s="3" t="s">
        <v>66</v>
      </c>
      <c r="K4969" s="4">
        <v>746.93</v>
      </c>
      <c r="L4969" s="6">
        <v>18.97</v>
      </c>
    </row>
    <row r="4970" spans="1:12" x14ac:dyDescent="0.25">
      <c r="A4970" s="1">
        <v>4969</v>
      </c>
      <c r="B4970" s="4">
        <v>35361</v>
      </c>
      <c r="C4970" s="5">
        <v>39909</v>
      </c>
      <c r="D4970" s="3" t="s">
        <v>4</v>
      </c>
      <c r="E4970" s="1" t="s">
        <v>1285</v>
      </c>
      <c r="F4970" s="1" t="s">
        <v>24</v>
      </c>
      <c r="G4970" s="2" t="s">
        <v>2</v>
      </c>
      <c r="H4970" s="3" t="s">
        <v>97</v>
      </c>
      <c r="I4970" s="3" t="s">
        <v>85</v>
      </c>
      <c r="J4970" s="3" t="s">
        <v>66</v>
      </c>
      <c r="K4970" s="4">
        <v>313.39999999999998</v>
      </c>
      <c r="L4970" s="6">
        <v>8.34</v>
      </c>
    </row>
    <row r="4971" spans="1:12" x14ac:dyDescent="0.25">
      <c r="A4971" s="1">
        <v>4970</v>
      </c>
      <c r="B4971" s="4">
        <v>35364</v>
      </c>
      <c r="C4971" s="5">
        <v>40159</v>
      </c>
      <c r="D4971" s="3" t="s">
        <v>95</v>
      </c>
      <c r="E4971" s="1" t="s">
        <v>1289</v>
      </c>
      <c r="F4971" s="1" t="s">
        <v>28</v>
      </c>
      <c r="G4971" s="2" t="s">
        <v>6</v>
      </c>
      <c r="H4971" s="3" t="s">
        <v>88</v>
      </c>
      <c r="I4971" s="3" t="s">
        <v>85</v>
      </c>
      <c r="J4971" s="3" t="s">
        <v>66</v>
      </c>
      <c r="K4971" s="4">
        <v>72.08</v>
      </c>
      <c r="L4971" s="6">
        <v>4.28</v>
      </c>
    </row>
    <row r="4972" spans="1:12" x14ac:dyDescent="0.25">
      <c r="A4972" s="1">
        <v>4971</v>
      </c>
      <c r="B4972" s="4">
        <v>35364</v>
      </c>
      <c r="C4972" s="5">
        <v>40159</v>
      </c>
      <c r="D4972" s="3" t="s">
        <v>95</v>
      </c>
      <c r="E4972" s="1" t="s">
        <v>1289</v>
      </c>
      <c r="F4972" s="1" t="s">
        <v>28</v>
      </c>
      <c r="G4972" s="2" t="s">
        <v>6</v>
      </c>
      <c r="H4972" s="3" t="s">
        <v>88</v>
      </c>
      <c r="I4972" s="3" t="s">
        <v>91</v>
      </c>
      <c r="J4972" s="3" t="s">
        <v>60</v>
      </c>
      <c r="K4972" s="4">
        <v>10338.93</v>
      </c>
      <c r="L4972" s="6">
        <v>376.13</v>
      </c>
    </row>
    <row r="4973" spans="1:12" x14ac:dyDescent="0.25">
      <c r="A4973" s="1">
        <v>4972</v>
      </c>
      <c r="B4973" s="4">
        <v>35364</v>
      </c>
      <c r="C4973" s="5">
        <v>40159</v>
      </c>
      <c r="D4973" s="3" t="s">
        <v>95</v>
      </c>
      <c r="E4973" s="1" t="s">
        <v>1289</v>
      </c>
      <c r="F4973" s="1" t="s">
        <v>28</v>
      </c>
      <c r="G4973" s="2" t="s">
        <v>6</v>
      </c>
      <c r="H4973" s="3" t="s">
        <v>88</v>
      </c>
      <c r="I4973" s="3" t="s">
        <v>91</v>
      </c>
      <c r="J4973" s="3" t="s">
        <v>60</v>
      </c>
      <c r="K4973" s="4">
        <v>15897.01</v>
      </c>
      <c r="L4973" s="6">
        <v>424.21</v>
      </c>
    </row>
    <row r="4974" spans="1:12" x14ac:dyDescent="0.25">
      <c r="A4974" s="1">
        <v>4973</v>
      </c>
      <c r="B4974" s="4">
        <v>35364</v>
      </c>
      <c r="C4974" s="5">
        <v>40159</v>
      </c>
      <c r="D4974" s="3" t="s">
        <v>95</v>
      </c>
      <c r="E4974" s="1" t="s">
        <v>1289</v>
      </c>
      <c r="F4974" s="1" t="s">
        <v>28</v>
      </c>
      <c r="G4974" s="2" t="s">
        <v>6</v>
      </c>
      <c r="H4974" s="3" t="s">
        <v>88</v>
      </c>
      <c r="I4974" s="3" t="s">
        <v>92</v>
      </c>
      <c r="J4974" s="3" t="s">
        <v>61</v>
      </c>
      <c r="K4974" s="4">
        <v>1265.2929999999999</v>
      </c>
      <c r="L4974" s="6">
        <v>195.99</v>
      </c>
    </row>
    <row r="4975" spans="1:12" x14ac:dyDescent="0.25">
      <c r="A4975" s="1">
        <v>4974</v>
      </c>
      <c r="B4975" s="4">
        <v>35366</v>
      </c>
      <c r="C4975" s="5">
        <v>40736</v>
      </c>
      <c r="D4975" s="3" t="s">
        <v>82</v>
      </c>
      <c r="E4975" s="1" t="s">
        <v>273</v>
      </c>
      <c r="F4975" s="1" t="s">
        <v>9</v>
      </c>
      <c r="G4975" s="2" t="s">
        <v>2</v>
      </c>
      <c r="H4975" s="3" t="s">
        <v>100</v>
      </c>
      <c r="I4975" s="3" t="s">
        <v>85</v>
      </c>
      <c r="J4975" s="3" t="s">
        <v>66</v>
      </c>
      <c r="K4975" s="4">
        <v>149.31</v>
      </c>
      <c r="L4975" s="6">
        <v>6.48</v>
      </c>
    </row>
    <row r="4976" spans="1:12" x14ac:dyDescent="0.25">
      <c r="A4976" s="1">
        <v>4975</v>
      </c>
      <c r="B4976" s="4">
        <v>35392</v>
      </c>
      <c r="C4976" s="5">
        <v>40962</v>
      </c>
      <c r="D4976" s="3" t="s">
        <v>89</v>
      </c>
      <c r="E4976" s="1" t="s">
        <v>212</v>
      </c>
      <c r="F4976" s="1" t="s">
        <v>44</v>
      </c>
      <c r="G4976" s="2" t="s">
        <v>3</v>
      </c>
      <c r="H4976" s="3" t="s">
        <v>84</v>
      </c>
      <c r="I4976" s="3" t="s">
        <v>85</v>
      </c>
      <c r="J4976" s="3" t="s">
        <v>66</v>
      </c>
      <c r="K4976" s="4">
        <v>70.88</v>
      </c>
      <c r="L4976" s="6">
        <v>6.48</v>
      </c>
    </row>
    <row r="4977" spans="1:12" x14ac:dyDescent="0.25">
      <c r="A4977" s="1">
        <v>4976</v>
      </c>
      <c r="B4977" s="4">
        <v>35399</v>
      </c>
      <c r="C4977" s="5">
        <v>40564</v>
      </c>
      <c r="D4977" s="3" t="s">
        <v>82</v>
      </c>
      <c r="E4977" s="1" t="s">
        <v>1237</v>
      </c>
      <c r="F4977" s="1" t="s">
        <v>52</v>
      </c>
      <c r="G4977" s="2" t="s">
        <v>3</v>
      </c>
      <c r="H4977" s="3" t="s">
        <v>88</v>
      </c>
      <c r="I4977" s="3" t="s">
        <v>85</v>
      </c>
      <c r="J4977" s="3" t="s">
        <v>69</v>
      </c>
      <c r="K4977" s="4">
        <v>188.38</v>
      </c>
      <c r="L4977" s="6">
        <v>4.91</v>
      </c>
    </row>
    <row r="4978" spans="1:12" x14ac:dyDescent="0.25">
      <c r="A4978" s="1">
        <v>4977</v>
      </c>
      <c r="B4978" s="4">
        <v>35425</v>
      </c>
      <c r="C4978" s="5">
        <v>40265</v>
      </c>
      <c r="D4978" s="3" t="s">
        <v>86</v>
      </c>
      <c r="E4978" s="1" t="s">
        <v>684</v>
      </c>
      <c r="F4978" s="1" t="s">
        <v>29</v>
      </c>
      <c r="G4978" s="2" t="s">
        <v>3</v>
      </c>
      <c r="H4978" s="3" t="s">
        <v>97</v>
      </c>
      <c r="I4978" s="3" t="s">
        <v>85</v>
      </c>
      <c r="J4978" s="3" t="s">
        <v>69</v>
      </c>
      <c r="K4978" s="4">
        <v>100.34</v>
      </c>
      <c r="L4978" s="6">
        <v>3.58</v>
      </c>
    </row>
    <row r="4979" spans="1:12" x14ac:dyDescent="0.25">
      <c r="A4979" s="1">
        <v>4978</v>
      </c>
      <c r="B4979" s="4">
        <v>35425</v>
      </c>
      <c r="C4979" s="5">
        <v>40265</v>
      </c>
      <c r="D4979" s="3" t="s">
        <v>86</v>
      </c>
      <c r="E4979" s="1" t="s">
        <v>684</v>
      </c>
      <c r="F4979" s="1" t="s">
        <v>29</v>
      </c>
      <c r="G4979" s="2" t="s">
        <v>3</v>
      </c>
      <c r="H4979" s="3" t="s">
        <v>97</v>
      </c>
      <c r="I4979" s="3" t="s">
        <v>85</v>
      </c>
      <c r="J4979" s="3" t="s">
        <v>64</v>
      </c>
      <c r="K4979" s="4">
        <v>75.680000000000007</v>
      </c>
      <c r="L4979" s="6">
        <v>1.81</v>
      </c>
    </row>
    <row r="4980" spans="1:12" x14ac:dyDescent="0.25">
      <c r="A4980" s="1">
        <v>4979</v>
      </c>
      <c r="B4980" s="4">
        <v>35426</v>
      </c>
      <c r="C4980" s="5">
        <v>40454</v>
      </c>
      <c r="D4980" s="3" t="s">
        <v>89</v>
      </c>
      <c r="E4980" s="1" t="s">
        <v>122</v>
      </c>
      <c r="F4980" s="1" t="s">
        <v>9</v>
      </c>
      <c r="G4980" s="2" t="s">
        <v>2</v>
      </c>
      <c r="H4980" s="3" t="s">
        <v>84</v>
      </c>
      <c r="I4980" s="3" t="s">
        <v>85</v>
      </c>
      <c r="J4980" s="3" t="s">
        <v>66</v>
      </c>
      <c r="K4980" s="4">
        <v>53.01</v>
      </c>
      <c r="L4980" s="6">
        <v>10.31</v>
      </c>
    </row>
    <row r="4981" spans="1:12" x14ac:dyDescent="0.25">
      <c r="A4981" s="1">
        <v>4980</v>
      </c>
      <c r="B4981" s="4">
        <v>35430</v>
      </c>
      <c r="C4981" s="5">
        <v>40262</v>
      </c>
      <c r="D4981" s="3" t="s">
        <v>82</v>
      </c>
      <c r="E4981" s="1" t="s">
        <v>124</v>
      </c>
      <c r="F4981" s="1" t="s">
        <v>34</v>
      </c>
      <c r="G4981" s="2" t="s">
        <v>1</v>
      </c>
      <c r="H4981" s="3" t="s">
        <v>97</v>
      </c>
      <c r="I4981" s="3" t="s">
        <v>91</v>
      </c>
      <c r="J4981" s="3" t="s">
        <v>59</v>
      </c>
      <c r="K4981" s="4">
        <v>1835.84</v>
      </c>
      <c r="L4981" s="6">
        <v>110.98</v>
      </c>
    </row>
    <row r="4982" spans="1:12" x14ac:dyDescent="0.25">
      <c r="A4982" s="1">
        <v>4981</v>
      </c>
      <c r="B4982" s="4">
        <v>35430</v>
      </c>
      <c r="C4982" s="5">
        <v>40262</v>
      </c>
      <c r="D4982" s="3" t="s">
        <v>82</v>
      </c>
      <c r="E4982" s="1" t="s">
        <v>124</v>
      </c>
      <c r="F4982" s="1" t="s">
        <v>34</v>
      </c>
      <c r="G4982" s="2" t="s">
        <v>1</v>
      </c>
      <c r="H4982" s="3" t="s">
        <v>97</v>
      </c>
      <c r="I4982" s="3" t="s">
        <v>85</v>
      </c>
      <c r="J4982" s="3" t="s">
        <v>63</v>
      </c>
      <c r="K4982" s="4">
        <v>133.43</v>
      </c>
      <c r="L4982" s="6">
        <v>2.84</v>
      </c>
    </row>
    <row r="4983" spans="1:12" x14ac:dyDescent="0.25">
      <c r="A4983" s="1">
        <v>4982</v>
      </c>
      <c r="B4983" s="4">
        <v>35430</v>
      </c>
      <c r="C4983" s="5">
        <v>40262</v>
      </c>
      <c r="D4983" s="3" t="s">
        <v>82</v>
      </c>
      <c r="E4983" s="1" t="s">
        <v>124</v>
      </c>
      <c r="F4983" s="1" t="s">
        <v>34</v>
      </c>
      <c r="G4983" s="2" t="s">
        <v>1</v>
      </c>
      <c r="H4983" s="3" t="s">
        <v>97</v>
      </c>
      <c r="I4983" s="3" t="s">
        <v>92</v>
      </c>
      <c r="J4983" s="3" t="s">
        <v>61</v>
      </c>
      <c r="K4983" s="4">
        <v>1655.3664999999999</v>
      </c>
      <c r="L4983" s="6">
        <v>65.989999999999995</v>
      </c>
    </row>
    <row r="4984" spans="1:12" x14ac:dyDescent="0.25">
      <c r="A4984" s="1">
        <v>4983</v>
      </c>
      <c r="B4984" s="4">
        <v>35456</v>
      </c>
      <c r="C4984" s="5">
        <v>41214</v>
      </c>
      <c r="D4984" s="3" t="s">
        <v>95</v>
      </c>
      <c r="E4984" s="1" t="s">
        <v>1238</v>
      </c>
      <c r="F4984" s="1" t="s">
        <v>17</v>
      </c>
      <c r="G4984" s="2" t="s">
        <v>2</v>
      </c>
      <c r="H4984" s="3" t="s">
        <v>88</v>
      </c>
      <c r="I4984" s="3" t="s">
        <v>85</v>
      </c>
      <c r="J4984" s="3" t="s">
        <v>64</v>
      </c>
      <c r="K4984" s="4">
        <v>46.37</v>
      </c>
      <c r="L4984" s="6">
        <v>1.26</v>
      </c>
    </row>
    <row r="4985" spans="1:12" x14ac:dyDescent="0.25">
      <c r="A4985" s="1">
        <v>4984</v>
      </c>
      <c r="B4985" s="4">
        <v>35457</v>
      </c>
      <c r="C4985" s="5">
        <v>40154</v>
      </c>
      <c r="D4985" s="3" t="s">
        <v>82</v>
      </c>
      <c r="E4985" s="1" t="s">
        <v>291</v>
      </c>
      <c r="F4985" s="1" t="s">
        <v>42</v>
      </c>
      <c r="G4985" s="2" t="s">
        <v>3</v>
      </c>
      <c r="H4985" s="3" t="s">
        <v>100</v>
      </c>
      <c r="I4985" s="3" t="s">
        <v>85</v>
      </c>
      <c r="J4985" s="3" t="s">
        <v>70</v>
      </c>
      <c r="K4985" s="4">
        <v>3286.27</v>
      </c>
      <c r="L4985" s="6">
        <v>70.97</v>
      </c>
    </row>
    <row r="4986" spans="1:12" x14ac:dyDescent="0.25">
      <c r="A4986" s="1">
        <v>4985</v>
      </c>
      <c r="B4986" s="4">
        <v>35461</v>
      </c>
      <c r="C4986" s="5">
        <v>39965</v>
      </c>
      <c r="D4986" s="3" t="s">
        <v>95</v>
      </c>
      <c r="E4986" s="1" t="s">
        <v>1315</v>
      </c>
      <c r="F4986" s="1" t="s">
        <v>23</v>
      </c>
      <c r="G4986" s="2" t="s">
        <v>3</v>
      </c>
      <c r="H4986" s="3" t="s">
        <v>88</v>
      </c>
      <c r="I4986" s="3" t="s">
        <v>85</v>
      </c>
      <c r="J4986" s="3" t="s">
        <v>69</v>
      </c>
      <c r="K4986" s="4">
        <v>48.75</v>
      </c>
      <c r="L4986" s="6">
        <v>4.49</v>
      </c>
    </row>
    <row r="4987" spans="1:12" x14ac:dyDescent="0.25">
      <c r="A4987" s="1">
        <v>4986</v>
      </c>
      <c r="B4987" s="4">
        <v>35461</v>
      </c>
      <c r="C4987" s="5">
        <v>39965</v>
      </c>
      <c r="D4987" s="3" t="s">
        <v>95</v>
      </c>
      <c r="E4987" s="1" t="s">
        <v>1315</v>
      </c>
      <c r="F4987" s="1" t="s">
        <v>23</v>
      </c>
      <c r="G4987" s="2" t="s">
        <v>3</v>
      </c>
      <c r="H4987" s="3" t="s">
        <v>88</v>
      </c>
      <c r="I4987" s="3" t="s">
        <v>85</v>
      </c>
      <c r="J4987" s="3" t="s">
        <v>58</v>
      </c>
      <c r="K4987" s="4">
        <v>112.6</v>
      </c>
      <c r="L4987" s="6">
        <v>3.68</v>
      </c>
    </row>
    <row r="4988" spans="1:12" x14ac:dyDescent="0.25">
      <c r="A4988" s="1">
        <v>4987</v>
      </c>
      <c r="B4988" s="4">
        <v>35490</v>
      </c>
      <c r="C4988" s="5">
        <v>40519</v>
      </c>
      <c r="D4988" s="3" t="s">
        <v>89</v>
      </c>
      <c r="E4988" s="1" t="s">
        <v>1132</v>
      </c>
      <c r="F4988" s="1" t="s">
        <v>9</v>
      </c>
      <c r="G4988" s="2" t="s">
        <v>2</v>
      </c>
      <c r="H4988" s="3" t="s">
        <v>84</v>
      </c>
      <c r="I4988" s="3" t="s">
        <v>85</v>
      </c>
      <c r="J4988" s="3" t="s">
        <v>63</v>
      </c>
      <c r="K4988" s="4">
        <v>44.64</v>
      </c>
      <c r="L4988" s="6">
        <v>5.84</v>
      </c>
    </row>
    <row r="4989" spans="1:12" x14ac:dyDescent="0.25">
      <c r="A4989" s="1">
        <v>4988</v>
      </c>
      <c r="B4989" s="4">
        <v>35490</v>
      </c>
      <c r="C4989" s="5">
        <v>40519</v>
      </c>
      <c r="D4989" s="3" t="s">
        <v>89</v>
      </c>
      <c r="E4989" s="1" t="s">
        <v>1132</v>
      </c>
      <c r="F4989" s="1" t="s">
        <v>9</v>
      </c>
      <c r="G4989" s="2" t="s">
        <v>2</v>
      </c>
      <c r="H4989" s="3" t="s">
        <v>84</v>
      </c>
      <c r="I4989" s="3" t="s">
        <v>92</v>
      </c>
      <c r="J4989" s="3" t="s">
        <v>61</v>
      </c>
      <c r="K4989" s="4">
        <v>1289.6199999999999</v>
      </c>
      <c r="L4989" s="6">
        <v>35.99</v>
      </c>
    </row>
    <row r="4990" spans="1:12" x14ac:dyDescent="0.25">
      <c r="A4990" s="1">
        <v>4989</v>
      </c>
      <c r="B4990" s="4">
        <v>35492</v>
      </c>
      <c r="C4990" s="5">
        <v>40949</v>
      </c>
      <c r="D4990" s="3" t="s">
        <v>4</v>
      </c>
      <c r="E4990" s="1" t="s">
        <v>1216</v>
      </c>
      <c r="F4990" s="1" t="s">
        <v>27</v>
      </c>
      <c r="G4990" s="2" t="s">
        <v>1</v>
      </c>
      <c r="H4990" s="3" t="s">
        <v>88</v>
      </c>
      <c r="I4990" s="3" t="s">
        <v>91</v>
      </c>
      <c r="J4990" s="3" t="s">
        <v>59</v>
      </c>
      <c r="K4990" s="4">
        <v>455.93</v>
      </c>
      <c r="L4990" s="6">
        <v>12.64</v>
      </c>
    </row>
    <row r="4991" spans="1:12" x14ac:dyDescent="0.25">
      <c r="A4991" s="1">
        <v>4990</v>
      </c>
      <c r="B4991" s="4">
        <v>35494</v>
      </c>
      <c r="C4991" s="5">
        <v>40588</v>
      </c>
      <c r="D4991" s="3" t="s">
        <v>4</v>
      </c>
      <c r="E4991" s="1" t="s">
        <v>626</v>
      </c>
      <c r="F4991" s="1" t="s">
        <v>20</v>
      </c>
      <c r="G4991" s="2" t="s">
        <v>1</v>
      </c>
      <c r="H4991" s="3" t="s">
        <v>100</v>
      </c>
      <c r="I4991" s="3" t="s">
        <v>91</v>
      </c>
      <c r="J4991" s="3" t="s">
        <v>60</v>
      </c>
      <c r="K4991" s="4">
        <v>1731.1040000000003</v>
      </c>
      <c r="L4991" s="6">
        <v>111.96</v>
      </c>
    </row>
    <row r="4992" spans="1:12" x14ac:dyDescent="0.25">
      <c r="A4992" s="1">
        <v>4991</v>
      </c>
      <c r="B4992" s="4">
        <v>35522</v>
      </c>
      <c r="C4992" s="5">
        <v>40476</v>
      </c>
      <c r="D4992" s="3" t="s">
        <v>82</v>
      </c>
      <c r="E4992" s="1" t="s">
        <v>866</v>
      </c>
      <c r="F4992" s="1" t="s">
        <v>25</v>
      </c>
      <c r="G4992" s="2" t="s">
        <v>6</v>
      </c>
      <c r="H4992" s="3" t="s">
        <v>97</v>
      </c>
      <c r="I4992" s="3" t="s">
        <v>92</v>
      </c>
      <c r="J4992" s="3" t="s">
        <v>62</v>
      </c>
      <c r="K4992" s="4">
        <v>2575.0100000000002</v>
      </c>
      <c r="L4992" s="6">
        <v>99.99</v>
      </c>
    </row>
    <row r="4993" spans="1:12" x14ac:dyDescent="0.25">
      <c r="A4993" s="1">
        <v>4992</v>
      </c>
      <c r="B4993" s="4">
        <v>35554</v>
      </c>
      <c r="C4993" s="5">
        <v>41176</v>
      </c>
      <c r="D4993" s="3" t="s">
        <v>86</v>
      </c>
      <c r="E4993" s="1" t="s">
        <v>1310</v>
      </c>
      <c r="F4993" s="1" t="s">
        <v>13</v>
      </c>
      <c r="G4993" s="2" t="s">
        <v>6</v>
      </c>
      <c r="H4993" s="3" t="s">
        <v>100</v>
      </c>
      <c r="I4993" s="3" t="s">
        <v>91</v>
      </c>
      <c r="J4993" s="3" t="s">
        <v>68</v>
      </c>
      <c r="K4993" s="4">
        <v>4581.54</v>
      </c>
      <c r="L4993" s="6">
        <v>130.97999999999999</v>
      </c>
    </row>
    <row r="4994" spans="1:12" x14ac:dyDescent="0.25">
      <c r="A4994" s="1">
        <v>4993</v>
      </c>
      <c r="B4994" s="4">
        <v>35555</v>
      </c>
      <c r="C4994" s="5">
        <v>40606</v>
      </c>
      <c r="D4994" s="3" t="s">
        <v>4</v>
      </c>
      <c r="E4994" s="1" t="s">
        <v>376</v>
      </c>
      <c r="F4994" s="1" t="s">
        <v>13</v>
      </c>
      <c r="G4994" s="2" t="s">
        <v>6</v>
      </c>
      <c r="H4994" s="3" t="s">
        <v>88</v>
      </c>
      <c r="I4994" s="3" t="s">
        <v>91</v>
      </c>
      <c r="J4994" s="3" t="s">
        <v>72</v>
      </c>
      <c r="K4994" s="4">
        <v>11266.4</v>
      </c>
      <c r="L4994" s="6">
        <v>243.98</v>
      </c>
    </row>
    <row r="4995" spans="1:12" x14ac:dyDescent="0.25">
      <c r="A4995" s="1">
        <v>4994</v>
      </c>
      <c r="B4995" s="4">
        <v>35555</v>
      </c>
      <c r="C4995" s="5">
        <v>40606</v>
      </c>
      <c r="D4995" s="3" t="s">
        <v>4</v>
      </c>
      <c r="E4995" s="1" t="s">
        <v>1021</v>
      </c>
      <c r="F4995" s="1" t="s">
        <v>13</v>
      </c>
      <c r="G4995" s="2" t="s">
        <v>6</v>
      </c>
      <c r="H4995" s="3" t="s">
        <v>88</v>
      </c>
      <c r="I4995" s="3" t="s">
        <v>92</v>
      </c>
      <c r="J4995" s="3" t="s">
        <v>62</v>
      </c>
      <c r="K4995" s="4">
        <v>71.61</v>
      </c>
      <c r="L4995" s="6">
        <v>4.8899999999999997</v>
      </c>
    </row>
    <row r="4996" spans="1:12" x14ac:dyDescent="0.25">
      <c r="A4996" s="1">
        <v>4995</v>
      </c>
      <c r="B4996" s="4">
        <v>35555</v>
      </c>
      <c r="C4996" s="5">
        <v>40606</v>
      </c>
      <c r="D4996" s="3" t="s">
        <v>4</v>
      </c>
      <c r="E4996" s="1" t="s">
        <v>1021</v>
      </c>
      <c r="F4996" s="1" t="s">
        <v>13</v>
      </c>
      <c r="G4996" s="2" t="s">
        <v>6</v>
      </c>
      <c r="H4996" s="3" t="s">
        <v>88</v>
      </c>
      <c r="I4996" s="3" t="s">
        <v>85</v>
      </c>
      <c r="J4996" s="3" t="s">
        <v>66</v>
      </c>
      <c r="K4996" s="4">
        <v>10.43</v>
      </c>
      <c r="L4996" s="6">
        <v>4.9800000000000004</v>
      </c>
    </row>
    <row r="4997" spans="1:12" x14ac:dyDescent="0.25">
      <c r="A4997" s="1">
        <v>4996</v>
      </c>
      <c r="B4997" s="4">
        <v>35558</v>
      </c>
      <c r="C4997" s="5">
        <v>40071</v>
      </c>
      <c r="D4997" s="3" t="s">
        <v>95</v>
      </c>
      <c r="E4997" s="1" t="s">
        <v>1158</v>
      </c>
      <c r="F4997" s="1" t="s">
        <v>38</v>
      </c>
      <c r="G4997" s="2" t="s">
        <v>6</v>
      </c>
      <c r="H4997" s="3" t="s">
        <v>100</v>
      </c>
      <c r="I4997" s="3" t="s">
        <v>91</v>
      </c>
      <c r="J4997" s="3" t="s">
        <v>59</v>
      </c>
      <c r="K4997" s="4">
        <v>34.880000000000003</v>
      </c>
      <c r="L4997" s="6">
        <v>13.79</v>
      </c>
    </row>
    <row r="4998" spans="1:12" x14ac:dyDescent="0.25">
      <c r="A4998" s="1">
        <v>4997</v>
      </c>
      <c r="B4998" s="4">
        <v>35584</v>
      </c>
      <c r="C4998" s="5">
        <v>40666</v>
      </c>
      <c r="D4998" s="3" t="s">
        <v>4</v>
      </c>
      <c r="E4998" s="1" t="s">
        <v>1312</v>
      </c>
      <c r="F4998" s="1" t="s">
        <v>46</v>
      </c>
      <c r="G4998" s="2" t="s">
        <v>6</v>
      </c>
      <c r="H4998" s="3" t="s">
        <v>88</v>
      </c>
      <c r="I4998" s="3" t="s">
        <v>85</v>
      </c>
      <c r="J4998" s="3" t="s">
        <v>57</v>
      </c>
      <c r="K4998" s="4">
        <v>150.33000000000001</v>
      </c>
      <c r="L4998" s="6">
        <v>9.7100000000000009</v>
      </c>
    </row>
    <row r="4999" spans="1:12" x14ac:dyDescent="0.25">
      <c r="A4999" s="1">
        <v>4998</v>
      </c>
      <c r="B4999" s="4">
        <v>35587</v>
      </c>
      <c r="C4999" s="5">
        <v>40857</v>
      </c>
      <c r="D4999" s="3" t="s">
        <v>95</v>
      </c>
      <c r="E4999" s="1" t="s">
        <v>669</v>
      </c>
      <c r="F4999" s="1" t="s">
        <v>24</v>
      </c>
      <c r="G4999" s="2" t="s">
        <v>2</v>
      </c>
      <c r="H4999" s="3" t="s">
        <v>100</v>
      </c>
      <c r="I4999" s="3" t="s">
        <v>91</v>
      </c>
      <c r="J4999" s="3" t="s">
        <v>59</v>
      </c>
      <c r="K4999" s="4">
        <v>208.77</v>
      </c>
      <c r="L4999" s="6">
        <v>4.82</v>
      </c>
    </row>
    <row r="5000" spans="1:12" x14ac:dyDescent="0.25">
      <c r="A5000" s="1">
        <v>4999</v>
      </c>
      <c r="B5000" s="4">
        <v>35588</v>
      </c>
      <c r="C5000" s="5">
        <v>40342</v>
      </c>
      <c r="D5000" s="3" t="s">
        <v>82</v>
      </c>
      <c r="E5000" s="1" t="s">
        <v>936</v>
      </c>
      <c r="F5000" s="1" t="s">
        <v>34</v>
      </c>
      <c r="G5000" s="2" t="s">
        <v>1</v>
      </c>
      <c r="H5000" s="3" t="s">
        <v>88</v>
      </c>
      <c r="I5000" s="3" t="s">
        <v>91</v>
      </c>
      <c r="J5000" s="3" t="s">
        <v>68</v>
      </c>
      <c r="K5000" s="4">
        <v>1727.79</v>
      </c>
      <c r="L5000" s="6">
        <v>58.14</v>
      </c>
    </row>
    <row r="5001" spans="1:12" x14ac:dyDescent="0.25">
      <c r="A5001" s="1">
        <v>5000</v>
      </c>
      <c r="B5001" s="4">
        <v>35590</v>
      </c>
      <c r="C5001" s="5">
        <v>41245</v>
      </c>
      <c r="D5001" s="3" t="s">
        <v>95</v>
      </c>
      <c r="E5001" s="1" t="s">
        <v>408</v>
      </c>
      <c r="F5001" s="1" t="s">
        <v>23</v>
      </c>
      <c r="G5001" s="2" t="s">
        <v>3</v>
      </c>
      <c r="H5001" s="3" t="s">
        <v>84</v>
      </c>
      <c r="I5001" s="3" t="s">
        <v>92</v>
      </c>
      <c r="J5001" s="3" t="s">
        <v>62</v>
      </c>
      <c r="K5001" s="4">
        <v>423.95</v>
      </c>
      <c r="L5001" s="6">
        <v>99.99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Home</vt:lpstr>
      <vt:lpstr>SalesByRegion</vt:lpstr>
      <vt:lpstr>SalesByStoreLevel</vt:lpstr>
      <vt:lpstr>Dashboard</vt:lpstr>
      <vt:lpstr>Data</vt:lpstr>
    </vt:vector>
  </TitlesOfParts>
  <Company>pnr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pnr</dc:creator>
  <cp:lastModifiedBy>PNRao</cp:lastModifiedBy>
  <dcterms:created xsi:type="dcterms:W3CDTF">2013-03-09T15:30:03Z</dcterms:created>
  <dcterms:modified xsi:type="dcterms:W3CDTF">2013-03-09T18:19:33Z</dcterms:modified>
</cp:coreProperties>
</file>