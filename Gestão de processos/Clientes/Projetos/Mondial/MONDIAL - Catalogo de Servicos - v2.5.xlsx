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067"/>
  <workbookPr hidePivotFieldList="1" autoCompressPictures="0"/>
  <mc:AlternateContent xmlns:mc="http://schemas.openxmlformats.org/markup-compatibility/2006">
    <mc:Choice Requires="x15">
      <x15ac:absPath xmlns:x15ac="http://schemas.microsoft.com/office/spreadsheetml/2010/11/ac" url="C:\Users\Felipe Lima\Desktop\"/>
    </mc:Choice>
  </mc:AlternateContent>
  <bookViews>
    <workbookView xWindow="0" yWindow="0" windowWidth="38400" windowHeight="21060" tabRatio="714" activeTab="2"/>
  </bookViews>
  <sheets>
    <sheet name="Conteúdo" sheetId="71" r:id="rId1"/>
    <sheet name="Procedimentos Priorizados" sheetId="83" r:id="rId2"/>
    <sheet name="Catálogo Serviços Suporte" sheetId="81" r:id="rId3"/>
    <sheet name="Catálogo Fullfil Mondial Antigo" sheetId="82" r:id="rId4"/>
    <sheet name="Catálogo Serviços Negócio" sheetId="68" r:id="rId5"/>
    <sheet name="Processos de Negócio" sheetId="72" r:id="rId6"/>
    <sheet name="Áreas de Negócio e Sistemas" sheetId="73" r:id="rId7"/>
    <sheet name="Componentes de Serviço" sheetId="77" r:id="rId8"/>
    <sheet name="CMDB" sheetId="80" r:id="rId9"/>
    <sheet name="Localidades" sheetId="74" r:id="rId10"/>
    <sheet name="Localidades de TI" sheetId="76" r:id="rId11"/>
    <sheet name="Fornecedores de TI" sheetId="75" r:id="rId12"/>
  </sheets>
  <externalReferences>
    <externalReference r:id="rId13"/>
    <externalReference r:id="rId14"/>
    <externalReference r:id="rId15"/>
    <externalReference r:id="rId16"/>
    <externalReference r:id="rId17"/>
  </externalReferences>
  <definedNames>
    <definedName name="_xlnm._FilterDatabase" localSheetId="6" hidden="1">'Áreas de Negócio e Sistemas'!$A$1:$H$48</definedName>
    <definedName name="_xlnm._FilterDatabase" localSheetId="3" hidden="1">'Catálogo Fullfil Mondial Antigo'!$A$2:$AD$160</definedName>
    <definedName name="_xlnm._FilterDatabase" localSheetId="4" hidden="1">'Catálogo Serviços Negócio'!$B$2:$S$78</definedName>
    <definedName name="_xlnm._FilterDatabase" localSheetId="2" hidden="1">'Catálogo Serviços Suporte'!$L$1:$P$31</definedName>
    <definedName name="_xlnm._FilterDatabase" localSheetId="8" hidden="1">CMDB!$B$2:$L$77</definedName>
    <definedName name="A" localSheetId="3">#REF!</definedName>
    <definedName name="A" localSheetId="8">#REF!</definedName>
    <definedName name="A" localSheetId="7">#REF!</definedName>
    <definedName name="A" localSheetId="10">#REF!</definedName>
    <definedName name="A">#REF!</definedName>
    <definedName name="AS" localSheetId="3">'[1]Visão Geral'!#REF!</definedName>
    <definedName name="AS" localSheetId="8">'[1]Visão Geral'!#REF!</definedName>
    <definedName name="AS" localSheetId="7">'[1]Visão Geral'!#REF!</definedName>
    <definedName name="AS" localSheetId="10">'[1]Visão Geral'!#REF!</definedName>
    <definedName name="AS">'[1]Visão Geral'!#REF!</definedName>
    <definedName name="CI_SRVCON0001_ApoioGovTI" localSheetId="3">#REF!</definedName>
    <definedName name="CI_SRVCON0001_ApoioGovTI" localSheetId="4">#REF!</definedName>
    <definedName name="CI_SRVCON0001_ApoioGovTI" localSheetId="8">#REF!</definedName>
    <definedName name="CI_SRVCON0001_ApoioGovTI" localSheetId="7">#REF!</definedName>
    <definedName name="CI_SRVCON0001_ApoioGovTI" localSheetId="10">#REF!</definedName>
    <definedName name="CI_SRVCON0001_ApoioGovTI">#REF!</definedName>
    <definedName name="CI_SRVCON0002_ConsGestãoSI" localSheetId="3">#REF!</definedName>
    <definedName name="CI_SRVCON0002_ConsGestãoSI" localSheetId="4">#REF!</definedName>
    <definedName name="CI_SRVCON0002_ConsGestãoSI" localSheetId="8">#REF!</definedName>
    <definedName name="CI_SRVCON0002_ConsGestãoSI" localSheetId="7">#REF!</definedName>
    <definedName name="CI_SRVCON0002_ConsGestãoSI" localSheetId="10">#REF!</definedName>
    <definedName name="CI_SRVCON0002_ConsGestãoSI">#REF!</definedName>
    <definedName name="CI_SRVCON0003_ConsTecAutomação" localSheetId="3">#REF!</definedName>
    <definedName name="CI_SRVCON0003_ConsTecAutomação" localSheetId="4">#REF!</definedName>
    <definedName name="CI_SRVCON0003_ConsTecAutomação" localSheetId="8">#REF!</definedName>
    <definedName name="CI_SRVCON0003_ConsTecAutomação" localSheetId="7">#REF!</definedName>
    <definedName name="CI_SRVCON0003_ConsTecAutomação" localSheetId="10">#REF!</definedName>
    <definedName name="CI_SRVCON0003_ConsTecAutomação">#REF!</definedName>
    <definedName name="CI_SRVCON0004_ConsTécnica" localSheetId="3">#REF!</definedName>
    <definedName name="CI_SRVCON0004_ConsTécnica" localSheetId="4">#REF!</definedName>
    <definedName name="CI_SRVCON0004_ConsTécnica" localSheetId="8">#REF!</definedName>
    <definedName name="CI_SRVCON0004_ConsTécnica" localSheetId="7">#REF!</definedName>
    <definedName name="CI_SRVCON0004_ConsTécnica" localSheetId="10">#REF!</definedName>
    <definedName name="CI_SRVCON0004_ConsTécnica">#REF!</definedName>
    <definedName name="CI_SRVCON0005_ContrataçõesCI" localSheetId="3">#REF!</definedName>
    <definedName name="CI_SRVCON0005_ContrataçõesCI" localSheetId="4">#REF!</definedName>
    <definedName name="CI_SRVCON0005_ContrataçõesCI" localSheetId="8">#REF!</definedName>
    <definedName name="CI_SRVCON0005_ContrataçõesCI" localSheetId="7">#REF!</definedName>
    <definedName name="CI_SRVCON0005_ContrataçõesCI" localSheetId="10">#REF!</definedName>
    <definedName name="CI_SRVCON0005_ContrataçõesCI">#REF!</definedName>
    <definedName name="CI_SRVCON0006_GestãoDemandasTI" localSheetId="3">#REF!</definedName>
    <definedName name="CI_SRVCON0006_GestãoDemandasTI" localSheetId="4">#REF!</definedName>
    <definedName name="CI_SRVCON0006_GestãoDemandasTI" localSheetId="8">#REF!</definedName>
    <definedName name="CI_SRVCON0006_GestãoDemandasTI" localSheetId="7">#REF!</definedName>
    <definedName name="CI_SRVCON0006_GestãoDemandasTI" localSheetId="10">#REF!</definedName>
    <definedName name="CI_SRVCON0006_GestãoDemandasTI">#REF!</definedName>
    <definedName name="CI_SRVCON0007_Treinamento" localSheetId="3">#REF!</definedName>
    <definedName name="CI_SRVCON0007_Treinamento" localSheetId="4">#REF!</definedName>
    <definedName name="CI_SRVCON0007_Treinamento" localSheetId="8">#REF!</definedName>
    <definedName name="CI_SRVCON0007_Treinamento" localSheetId="7">#REF!</definedName>
    <definedName name="CI_SRVCON0007_Treinamento" localSheetId="10">#REF!</definedName>
    <definedName name="CI_SRVCON0007_Treinamento">#REF!</definedName>
    <definedName name="CI_SRVCON0008_DesEstratSistSW" localSheetId="3">#REF!</definedName>
    <definedName name="CI_SRVCON0008_DesEstratSistSW" localSheetId="4">#REF!</definedName>
    <definedName name="CI_SRVCON0008_DesEstratSistSW" localSheetId="8">#REF!</definedName>
    <definedName name="CI_SRVCON0008_DesEstratSistSW" localSheetId="7">#REF!</definedName>
    <definedName name="CI_SRVCON0008_DesEstratSistSW" localSheetId="10">#REF!</definedName>
    <definedName name="CI_SRVCON0008_DesEstratSistSW">#REF!</definedName>
    <definedName name="CI_SRVCON0009_DesEstratInfra" localSheetId="3">#REF!</definedName>
    <definedName name="CI_SRVCON0009_DesEstratInfra" localSheetId="4">#REF!</definedName>
    <definedName name="CI_SRVCON0009_DesEstratInfra" localSheetId="8">#REF!</definedName>
    <definedName name="CI_SRVCON0009_DesEstratInfra" localSheetId="7">#REF!</definedName>
    <definedName name="CI_SRVCON0009_DesEstratInfra" localSheetId="10">#REF!</definedName>
    <definedName name="CI_SRVCON0009_DesEstratInfra">#REF!</definedName>
    <definedName name="CI_SRVCON0010_ModDadosSistemas" localSheetId="3">#REF!</definedName>
    <definedName name="CI_SRVCON0010_ModDadosSistemas" localSheetId="4">#REF!</definedName>
    <definedName name="CI_SRVCON0010_ModDadosSistemas" localSheetId="8">#REF!</definedName>
    <definedName name="CI_SRVCON0010_ModDadosSistemas" localSheetId="7">#REF!</definedName>
    <definedName name="CI_SRVCON0010_ModDadosSistemas" localSheetId="10">#REF!</definedName>
    <definedName name="CI_SRVCON0010_ModDadosSistemas">#REF!</definedName>
    <definedName name="CI_SRVCON0011_ModDadosDiretórios" localSheetId="3">#REF!</definedName>
    <definedName name="CI_SRVCON0011_ModDadosDiretórios" localSheetId="4">#REF!</definedName>
    <definedName name="CI_SRVCON0011_ModDadosDiretórios" localSheetId="8">#REF!</definedName>
    <definedName name="CI_SRVCON0011_ModDadosDiretórios" localSheetId="7">#REF!</definedName>
    <definedName name="CI_SRVCON0011_ModDadosDiretórios" localSheetId="10">#REF!</definedName>
    <definedName name="CI_SRVCON0011_ModDadosDiretórios">#REF!</definedName>
    <definedName name="CI_SRVCON0012_ModDadosISL" localSheetId="3">#REF!</definedName>
    <definedName name="CI_SRVCON0012_ModDadosISL" localSheetId="4">#REF!</definedName>
    <definedName name="CI_SRVCON0012_ModDadosISL" localSheetId="8">#REF!</definedName>
    <definedName name="CI_SRVCON0012_ModDadosISL" localSheetId="7">#REF!</definedName>
    <definedName name="CI_SRVCON0012_ModDadosISL" localSheetId="10">#REF!</definedName>
    <definedName name="CI_SRVCON0012_ModDadosISL">#REF!</definedName>
    <definedName name="CI_SRVGAD0001_ApoioProgComunicCorp" localSheetId="3">#REF!</definedName>
    <definedName name="CI_SRVGAD0001_ApoioProgComunicCorp" localSheetId="4">#REF!</definedName>
    <definedName name="CI_SRVGAD0001_ApoioProgComunicCorp" localSheetId="8">#REF!</definedName>
    <definedName name="CI_SRVGAD0001_ApoioProgComunicCorp" localSheetId="7">#REF!</definedName>
    <definedName name="CI_SRVGAD0001_ApoioProgComunicCorp" localSheetId="10">#REF!</definedName>
    <definedName name="CI_SRVGAD0001_ApoioProgComunicCorp">#REF!</definedName>
    <definedName name="CI_SRVGAD0002_ApoioProgComunicCI" localSheetId="3">#REF!</definedName>
    <definedName name="CI_SRVGAD0002_ApoioProgComunicCI" localSheetId="4">#REF!</definedName>
    <definedName name="CI_SRVGAD0002_ApoioProgComunicCI" localSheetId="8">#REF!</definedName>
    <definedName name="CI_SRVGAD0002_ApoioProgComunicCI" localSheetId="7">#REF!</definedName>
    <definedName name="CI_SRVGAD0002_ApoioProgComunicCI" localSheetId="10">#REF!</definedName>
    <definedName name="CI_SRVGAD0002_ApoioProgComunicCI">#REF!</definedName>
    <definedName name="CI_SRVGAD0003_PublicVeicComunicInt" localSheetId="3">#REF!</definedName>
    <definedName name="CI_SRVGAD0003_PublicVeicComunicInt" localSheetId="4">#REF!</definedName>
    <definedName name="CI_SRVGAD0003_PublicVeicComunicInt" localSheetId="8">#REF!</definedName>
    <definedName name="CI_SRVGAD0003_PublicVeicComunicInt" localSheetId="7">#REF!</definedName>
    <definedName name="CI_SRVGAD0003_PublicVeicComunicInt" localSheetId="10">#REF!</definedName>
    <definedName name="CI_SRVGAD0003_PublicVeicComunicInt">#REF!</definedName>
    <definedName name="CI_SRVGAD0004_ComunicDemanda" localSheetId="3">#REF!</definedName>
    <definedName name="CI_SRVGAD0004_ComunicDemanda" localSheetId="4">#REF!</definedName>
    <definedName name="CI_SRVGAD0004_ComunicDemanda" localSheetId="8">#REF!</definedName>
    <definedName name="CI_SRVGAD0004_ComunicDemanda" localSheetId="7">#REF!</definedName>
    <definedName name="CI_SRVGAD0004_ComunicDemanda" localSheetId="10">#REF!</definedName>
    <definedName name="CI_SRVGAD0004_ComunicDemanda">#REF!</definedName>
    <definedName name="CI_SRVGAD0005_FórunsÁreasNegócio" localSheetId="3">#REF!</definedName>
    <definedName name="CI_SRVGAD0005_FórunsÁreasNegócio" localSheetId="4">#REF!</definedName>
    <definedName name="CI_SRVGAD0005_FórunsÁreasNegócio" localSheetId="8">#REF!</definedName>
    <definedName name="CI_SRVGAD0005_FórunsÁreasNegócio" localSheetId="7">#REF!</definedName>
    <definedName name="CI_SRVGAD0005_FórunsÁreasNegócio" localSheetId="10">#REF!</definedName>
    <definedName name="CI_SRVGAD0005_FórunsÁreasNegócio">#REF!</definedName>
    <definedName name="CI_SRVGAD0006_GestãoFaleConosco" localSheetId="3">#REF!</definedName>
    <definedName name="CI_SRVGAD0006_GestãoFaleConosco" localSheetId="4">#REF!</definedName>
    <definedName name="CI_SRVGAD0006_GestãoFaleConosco" localSheetId="8">#REF!</definedName>
    <definedName name="CI_SRVGAD0006_GestãoFaleConosco" localSheetId="7">#REF!</definedName>
    <definedName name="CI_SRVGAD0006_GestãoFaleConosco" localSheetId="10">#REF!</definedName>
    <definedName name="CI_SRVGAD0006_GestãoFaleConosco">#REF!</definedName>
    <definedName name="CI_SRVGAD0007_OrçamentoCI" localSheetId="3">#REF!</definedName>
    <definedName name="CI_SRVGAD0007_OrçamentoCI" localSheetId="4">#REF!</definedName>
    <definedName name="CI_SRVGAD0007_OrçamentoCI" localSheetId="8">#REF!</definedName>
    <definedName name="CI_SRVGAD0007_OrçamentoCI" localSheetId="7">#REF!</definedName>
    <definedName name="CI_SRVGAD0007_OrçamentoCI" localSheetId="10">#REF!</definedName>
    <definedName name="CI_SRVGAD0007_OrçamentoCI">#REF!</definedName>
    <definedName name="CI_SRVGAD0008_ContrataçõesComprasCI" localSheetId="3">#REF!</definedName>
    <definedName name="CI_SRVGAD0008_ContrataçõesComprasCI" localSheetId="4">#REF!</definedName>
    <definedName name="CI_SRVGAD0008_ContrataçõesComprasCI" localSheetId="8">#REF!</definedName>
    <definedName name="CI_SRVGAD0008_ContrataçõesComprasCI" localSheetId="7">#REF!</definedName>
    <definedName name="CI_SRVGAD0008_ContrataçõesComprasCI" localSheetId="10">#REF!</definedName>
    <definedName name="CI_SRVGAD0008_ContrataçõesComprasCI">#REF!</definedName>
    <definedName name="CI_SRVGAD0009_ContrEstoqBensPatr" localSheetId="3">#REF!</definedName>
    <definedName name="CI_SRVGAD0009_ContrEstoqBensPatr" localSheetId="4">#REF!</definedName>
    <definedName name="CI_SRVGAD0009_ContrEstoqBensPatr" localSheetId="8">#REF!</definedName>
    <definedName name="CI_SRVGAD0009_ContrEstoqBensPatr" localSheetId="7">#REF!</definedName>
    <definedName name="CI_SRVGAD0009_ContrEstoqBensPatr" localSheetId="10">#REF!</definedName>
    <definedName name="CI_SRVGAD0009_ContrEstoqBensPatr">#REF!</definedName>
    <definedName name="CI_SRVGAD0010_EmissãoDocAdmCI" localSheetId="3">#REF!</definedName>
    <definedName name="CI_SRVGAD0010_EmissãoDocAdmCI" localSheetId="4">#REF!</definedName>
    <definedName name="CI_SRVGAD0010_EmissãoDocAdmCI" localSheetId="8">#REF!</definedName>
    <definedName name="CI_SRVGAD0010_EmissãoDocAdmCI" localSheetId="7">#REF!</definedName>
    <definedName name="CI_SRVGAD0010_EmissãoDocAdmCI" localSheetId="10">#REF!</definedName>
    <definedName name="CI_SRVGAD0010_EmissãoDocAdmCI">#REF!</definedName>
    <definedName name="CI_SRVGAD0011_GestãoRHCI" localSheetId="3">#REF!</definedName>
    <definedName name="CI_SRVGAD0011_GestãoRHCI" localSheetId="4">#REF!</definedName>
    <definedName name="CI_SRVGAD0011_GestãoRHCI" localSheetId="8">#REF!</definedName>
    <definedName name="CI_SRVGAD0011_GestãoRHCI" localSheetId="7">#REF!</definedName>
    <definedName name="CI_SRVGAD0011_GestãoRHCI" localSheetId="10">#REF!</definedName>
    <definedName name="CI_SRVGAD0011_GestãoRHCI">#REF!</definedName>
    <definedName name="CI_SRVGAD0012_PagtoFornecCI" localSheetId="3">#REF!</definedName>
    <definedName name="CI_SRVGAD0012_PagtoFornecCI" localSheetId="4">#REF!</definedName>
    <definedName name="CI_SRVGAD0012_PagtoFornecCI" localSheetId="8">#REF!</definedName>
    <definedName name="CI_SRVGAD0012_PagtoFornecCI" localSheetId="7">#REF!</definedName>
    <definedName name="CI_SRVGAD0012_PagtoFornecCI" localSheetId="10">#REF!</definedName>
    <definedName name="CI_SRVGAD0012_PagtoFornecCI">#REF!</definedName>
    <definedName name="CI_SRVGAD0013_FundoRotativoCI" localSheetId="3">#REF!</definedName>
    <definedName name="CI_SRVGAD0013_FundoRotativoCI" localSheetId="4">#REF!</definedName>
    <definedName name="CI_SRVGAD0013_FundoRotativoCI" localSheetId="8">#REF!</definedName>
    <definedName name="CI_SRVGAD0013_FundoRotativoCI" localSheetId="7">#REF!</definedName>
    <definedName name="CI_SRVGAD0013_FundoRotativoCI" localSheetId="10">#REF!</definedName>
    <definedName name="CI_SRVGAD0013_FundoRotativoCI">#REF!</definedName>
    <definedName name="CI_SRVGAD0014_HomologFormulários" localSheetId="3">#REF!</definedName>
    <definedName name="CI_SRVGAD0014_HomologFormulários" localSheetId="4">#REF!</definedName>
    <definedName name="CI_SRVGAD0014_HomologFormulários" localSheetId="8">#REF!</definedName>
    <definedName name="CI_SRVGAD0014_HomologFormulários" localSheetId="7">#REF!</definedName>
    <definedName name="CI_SRVGAD0014_HomologFormulários" localSheetId="10">#REF!</definedName>
    <definedName name="CI_SRVGAD0014_HomologFormulários">#REF!</definedName>
    <definedName name="CI_SRVGAD0015_ApoioAdm" localSheetId="3">#REF!</definedName>
    <definedName name="CI_SRVGAD0015_ApoioAdm" localSheetId="4">#REF!</definedName>
    <definedName name="CI_SRVGAD0015_ApoioAdm" localSheetId="8">#REF!</definedName>
    <definedName name="CI_SRVGAD0015_ApoioAdm" localSheetId="7">#REF!</definedName>
    <definedName name="CI_SRVGAD0015_ApoioAdm" localSheetId="10">#REF!</definedName>
    <definedName name="CI_SRVGAD0015_ApoioAdm">#REF!</definedName>
    <definedName name="CI_SRVINF0001_ServiçosProdução" localSheetId="3">#REF!</definedName>
    <definedName name="CI_SRVINF0001_ServiçosProdução" localSheetId="4">#REF!</definedName>
    <definedName name="CI_SRVINF0001_ServiçosProdução" localSheetId="8">#REF!</definedName>
    <definedName name="CI_SRVINF0001_ServiçosProdução" localSheetId="7">#REF!</definedName>
    <definedName name="CI_SRVINF0001_ServiçosProdução" localSheetId="10">#REF!</definedName>
    <definedName name="CI_SRVINF0001_ServiçosProdução">#REF!</definedName>
    <definedName name="CI_SRVINF0002_BancosDados" localSheetId="3">#REF!</definedName>
    <definedName name="CI_SRVINF0002_BancosDados" localSheetId="4">#REF!</definedName>
    <definedName name="CI_SRVINF0002_BancosDados" localSheetId="8">#REF!</definedName>
    <definedName name="CI_SRVINF0002_BancosDados" localSheetId="7">#REF!</definedName>
    <definedName name="CI_SRVINF0002_BancosDados" localSheetId="10">#REF!</definedName>
    <definedName name="CI_SRVINF0002_BancosDados">#REF!</definedName>
    <definedName name="CI_SRVINF0003_ViirtualizaçãoServidores" localSheetId="3">#REF!</definedName>
    <definedName name="CI_SRVINF0003_ViirtualizaçãoServidores" localSheetId="4">#REF!</definedName>
    <definedName name="CI_SRVINF0003_ViirtualizaçãoServidores" localSheetId="8">#REF!</definedName>
    <definedName name="CI_SRVINF0003_ViirtualizaçãoServidores" localSheetId="7">#REF!</definedName>
    <definedName name="CI_SRVINF0003_ViirtualizaçãoServidores" localSheetId="10">#REF!</definedName>
    <definedName name="CI_SRVINF0003_ViirtualizaçãoServidores">#REF!</definedName>
    <definedName name="CI_SRVINF0004_ArmazenamentoStorage" localSheetId="3">#REF!</definedName>
    <definedName name="CI_SRVINF0004_ArmazenamentoStorage" localSheetId="4">#REF!</definedName>
    <definedName name="CI_SRVINF0004_ArmazenamentoStorage" localSheetId="8">#REF!</definedName>
    <definedName name="CI_SRVINF0004_ArmazenamentoStorage" localSheetId="7">#REF!</definedName>
    <definedName name="CI_SRVINF0004_ArmazenamentoStorage" localSheetId="10">#REF!</definedName>
    <definedName name="CI_SRVINF0004_ArmazenamentoStorage">#REF!</definedName>
    <definedName name="CI_SRVINF0005_ServiçosDiretório" localSheetId="3">#REF!</definedName>
    <definedName name="CI_SRVINF0005_ServiçosDiretório" localSheetId="4">#REF!</definedName>
    <definedName name="CI_SRVINF0005_ServiçosDiretório" localSheetId="8">#REF!</definedName>
    <definedName name="CI_SRVINF0005_ServiçosDiretório" localSheetId="7">#REF!</definedName>
    <definedName name="CI_SRVINF0005_ServiçosDiretório" localSheetId="10">#REF!</definedName>
    <definedName name="CI_SRVINF0005_ServiçosDiretório">#REF!</definedName>
    <definedName name="CI_SRVINF0006_DCCostaCarvalho" localSheetId="3">#REF!</definedName>
    <definedName name="CI_SRVINF0006_DCCostaCarvalho" localSheetId="4">#REF!</definedName>
    <definedName name="CI_SRVINF0006_DCCostaCarvalho" localSheetId="8">#REF!</definedName>
    <definedName name="CI_SRVINF0006_DCCostaCarvalho" localSheetId="7">#REF!</definedName>
    <definedName name="CI_SRVINF0006_DCCostaCarvalho" localSheetId="10">#REF!</definedName>
    <definedName name="CI_SRVINF0006_DCCostaCarvalho">#REF!</definedName>
    <definedName name="CI_SRVINF0007_DCPontePequena" localSheetId="3">#REF!</definedName>
    <definedName name="CI_SRVINF0007_DCPontePequena" localSheetId="4">#REF!</definedName>
    <definedName name="CI_SRVINF0007_DCPontePequena" localSheetId="8">#REF!</definedName>
    <definedName name="CI_SRVINF0007_DCPontePequena" localSheetId="7">#REF!</definedName>
    <definedName name="CI_SRVINF0007_DCPontePequena" localSheetId="10">#REF!</definedName>
    <definedName name="CI_SRVINF0007_DCPontePequena">#REF!</definedName>
    <definedName name="CI_SRVINF0008_SiteBackupMF" localSheetId="3">#REF!</definedName>
    <definedName name="CI_SRVINF0008_SiteBackupMF" localSheetId="4">#REF!</definedName>
    <definedName name="CI_SRVINF0008_SiteBackupMF" localSheetId="8">#REF!</definedName>
    <definedName name="CI_SRVINF0008_SiteBackupMF" localSheetId="7">#REF!</definedName>
    <definedName name="CI_SRVINF0008_SiteBackupMF" localSheetId="10">#REF!</definedName>
    <definedName name="CI_SRVINF0008_SiteBackupMF">#REF!</definedName>
    <definedName name="CI_SRVINF0009_CCO" localSheetId="3">#REF!</definedName>
    <definedName name="CI_SRVINF0009_CCO" localSheetId="4">#REF!</definedName>
    <definedName name="CI_SRVINF0009_CCO" localSheetId="8">#REF!</definedName>
    <definedName name="CI_SRVINF0009_CCO" localSheetId="7">#REF!</definedName>
    <definedName name="CI_SRVINF0009_CCO" localSheetId="10">#REF!</definedName>
    <definedName name="CI_SRVINF0009_CCO">#REF!</definedName>
    <definedName name="CI_SRVINF0010_SitesSatSIGNOS" localSheetId="3">#REF!</definedName>
    <definedName name="CI_SRVINF0010_SitesSatSIGNOS" localSheetId="4">#REF!</definedName>
    <definedName name="CI_SRVINF0010_SitesSatSIGNOS" localSheetId="8">#REF!</definedName>
    <definedName name="CI_SRVINF0010_SitesSatSIGNOS" localSheetId="7">#REF!</definedName>
    <definedName name="CI_SRVINF0010_SitesSatSIGNOS" localSheetId="10">#REF!</definedName>
    <definedName name="CI_SRVINF0010_SitesSatSIGNOS">#REF!</definedName>
    <definedName name="CI_SRVINF0011_SitesSatAD" localSheetId="3">#REF!</definedName>
    <definedName name="CI_SRVINF0011_SitesSatAD" localSheetId="4">#REF!</definedName>
    <definedName name="CI_SRVINF0011_SitesSatAD" localSheetId="8">#REF!</definedName>
    <definedName name="CI_SRVINF0011_SitesSatAD" localSheetId="7">#REF!</definedName>
    <definedName name="CI_SRVINF0011_SitesSatAD" localSheetId="10">#REF!</definedName>
    <definedName name="CI_SRVINF0011_SitesSatAD">#REF!</definedName>
    <definedName name="CI_SRVINF0012_SO_Mainframe" localSheetId="3">#REF!</definedName>
    <definedName name="CI_SRVINF0012_SO_Mainframe" localSheetId="4">#REF!</definedName>
    <definedName name="CI_SRVINF0012_SO_Mainframe" localSheetId="8">#REF!</definedName>
    <definedName name="CI_SRVINF0012_SO_Mainframe" localSheetId="7">#REF!</definedName>
    <definedName name="CI_SRVINF0012_SO_Mainframe" localSheetId="10">#REF!</definedName>
    <definedName name="CI_SRVINF0012_SO_Mainframe">#REF!</definedName>
    <definedName name="CI_SRVINF0013_SO_BaixaPlat" localSheetId="3">#REF!</definedName>
    <definedName name="CI_SRVINF0013_SO_BaixaPlat" localSheetId="4">#REF!</definedName>
    <definedName name="CI_SRVINF0013_SO_BaixaPlat" localSheetId="8">#REF!</definedName>
    <definedName name="CI_SRVINF0013_SO_BaixaPlat" localSheetId="7">#REF!</definedName>
    <definedName name="CI_SRVINF0013_SO_BaixaPlat" localSheetId="10">#REF!</definedName>
    <definedName name="CI_SRVINF0013_SO_BaixaPlat">#REF!</definedName>
    <definedName name="CI_SRVINF0014_SO_DNS" localSheetId="3">#REF!</definedName>
    <definedName name="CI_SRVINF0014_SO_DNS" localSheetId="4">#REF!</definedName>
    <definedName name="CI_SRVINF0014_SO_DNS" localSheetId="8">#REF!</definedName>
    <definedName name="CI_SRVINF0014_SO_DNS" localSheetId="7">#REF!</definedName>
    <definedName name="CI_SRVINF0014_SO_DNS" localSheetId="10">#REF!</definedName>
    <definedName name="CI_SRVINF0014_SO_DNS">#REF!</definedName>
    <definedName name="CI_SRVINF0015_SO_DHCP" localSheetId="3">#REF!</definedName>
    <definedName name="CI_SRVINF0015_SO_DHCP" localSheetId="4">#REF!</definedName>
    <definedName name="CI_SRVINF0015_SO_DHCP" localSheetId="8">#REF!</definedName>
    <definedName name="CI_SRVINF0015_SO_DHCP" localSheetId="7">#REF!</definedName>
    <definedName name="CI_SRVINF0015_SO_DHCP" localSheetId="10">#REF!</definedName>
    <definedName name="CI_SRVINF0015_SO_DHCP">#REF!</definedName>
    <definedName name="CI_SRVINF0016_SO_FileServer" localSheetId="3">#REF!</definedName>
    <definedName name="CI_SRVINF0016_SO_FileServer" localSheetId="4">#REF!</definedName>
    <definedName name="CI_SRVINF0016_SO_FileServer" localSheetId="8">#REF!</definedName>
    <definedName name="CI_SRVINF0016_SO_FileServer" localSheetId="7">#REF!</definedName>
    <definedName name="CI_SRVINF0016_SO_FileServer" localSheetId="10">#REF!</definedName>
    <definedName name="CI_SRVINF0016_SO_FileServer">#REF!</definedName>
    <definedName name="CI_SRVINF0017_SO_FTP" localSheetId="3">#REF!</definedName>
    <definedName name="CI_SRVINF0017_SO_FTP" localSheetId="4">#REF!</definedName>
    <definedName name="CI_SRVINF0017_SO_FTP" localSheetId="8">#REF!</definedName>
    <definedName name="CI_SRVINF0017_SO_FTP" localSheetId="7">#REF!</definedName>
    <definedName name="CI_SRVINF0017_SO_FTP" localSheetId="10">#REF!</definedName>
    <definedName name="CI_SRVINF0017_SO_FTP">#REF!</definedName>
    <definedName name="CI_SRVINF0018_Correio" localSheetId="3">#REF!</definedName>
    <definedName name="CI_SRVINF0018_Correio" localSheetId="4">#REF!</definedName>
    <definedName name="CI_SRVINF0018_Correio" localSheetId="8">#REF!</definedName>
    <definedName name="CI_SRVINF0018_Correio" localSheetId="7">#REF!</definedName>
    <definedName name="CI_SRVINF0018_Correio" localSheetId="10">#REF!</definedName>
    <definedName name="CI_SRVINF0018_Correio">#REF!</definedName>
    <definedName name="CI_SRVINF0019_CorreioMóvel" localSheetId="3">#REF!</definedName>
    <definedName name="CI_SRVINF0019_CorreioMóvel" localSheetId="4">#REF!</definedName>
    <definedName name="CI_SRVINF0019_CorreioMóvel" localSheetId="8">#REF!</definedName>
    <definedName name="CI_SRVINF0019_CorreioMóvel" localSheetId="7">#REF!</definedName>
    <definedName name="CI_SRVINF0019_CorreioMóvel" localSheetId="10">#REF!</definedName>
    <definedName name="CI_SRVINF0019_CorreioMóvel">#REF!</definedName>
    <definedName name="CI_SRVINF0020_Mensageria" localSheetId="3">#REF!</definedName>
    <definedName name="CI_SRVINF0020_Mensageria" localSheetId="4">#REF!</definedName>
    <definedName name="CI_SRVINF0020_Mensageria" localSheetId="8">#REF!</definedName>
    <definedName name="CI_SRVINF0020_Mensageria" localSheetId="7">#REF!</definedName>
    <definedName name="CI_SRVINF0020_Mensageria" localSheetId="10">#REF!</definedName>
    <definedName name="CI_SRVINF0020_Mensageria">#REF!</definedName>
    <definedName name="CI_SRVINF0021_ArrobaMail" localSheetId="3">#REF!</definedName>
    <definedName name="CI_SRVINF0021_ArrobaMail" localSheetId="4">#REF!</definedName>
    <definedName name="CI_SRVINF0021_ArrobaMail" localSheetId="8">#REF!</definedName>
    <definedName name="CI_SRVINF0021_ArrobaMail" localSheetId="7">#REF!</definedName>
    <definedName name="CI_SRVINF0021_ArrobaMail" localSheetId="10">#REF!</definedName>
    <definedName name="CI_SRVINF0021_ArrobaMail">#REF!</definedName>
    <definedName name="CI_SRVINF0022_ImpressãoCorporativa" localSheetId="3">#REF!</definedName>
    <definedName name="CI_SRVINF0022_ImpressãoCorporativa" localSheetId="4">#REF!</definedName>
    <definedName name="CI_SRVINF0022_ImpressãoCorporativa" localSheetId="8">#REF!</definedName>
    <definedName name="CI_SRVINF0022_ImpressãoCorporativa" localSheetId="7">#REF!</definedName>
    <definedName name="CI_SRVINF0022_ImpressãoCorporativa" localSheetId="10">#REF!</definedName>
    <definedName name="CI_SRVINF0022_ImpressãoCorporativa">#REF!</definedName>
    <definedName name="CI_SRVINF0023_ImpressãoRemotaEOM" localSheetId="3">#REF!</definedName>
    <definedName name="CI_SRVINF0023_ImpressãoRemotaEOM" localSheetId="4">#REF!</definedName>
    <definedName name="CI_SRVINF0023_ImpressãoRemotaEOM" localSheetId="8">#REF!</definedName>
    <definedName name="CI_SRVINF0023_ImpressãoRemotaEOM" localSheetId="7">#REF!</definedName>
    <definedName name="CI_SRVINF0023_ImpressãoRemotaEOM" localSheetId="10">#REF!</definedName>
    <definedName name="CI_SRVINF0023_ImpressãoRemotaEOM">#REF!</definedName>
    <definedName name="CI_SRVINF0024_Proc_GP_Servidores" localSheetId="3">#REF!</definedName>
    <definedName name="CI_SRVINF0024_Proc_GP_Servidores" localSheetId="4">#REF!</definedName>
    <definedName name="CI_SRVINF0024_Proc_GP_Servidores" localSheetId="8">#REF!</definedName>
    <definedName name="CI_SRVINF0024_Proc_GP_Servidores" localSheetId="7">#REF!</definedName>
    <definedName name="CI_SRVINF0024_Proc_GP_Servidores" localSheetId="10">#REF!</definedName>
    <definedName name="CI_SRVINF0024_Proc_GP_Servidores">#REF!</definedName>
    <definedName name="CI_SRVINF0025_Proc_BP_Serv" localSheetId="3">#REF!</definedName>
    <definedName name="CI_SRVINF0025_Proc_BP_Serv" localSheetId="4">#REF!</definedName>
    <definedName name="CI_SRVINF0025_Proc_BP_Serv" localSheetId="8">#REF!</definedName>
    <definedName name="CI_SRVINF0025_Proc_BP_Serv" localSheetId="7">#REF!</definedName>
    <definedName name="CI_SRVINF0025_Proc_BP_Serv" localSheetId="10">#REF!</definedName>
    <definedName name="CI_SRVINF0025_Proc_BP_Serv">#REF!</definedName>
    <definedName name="CI_SRVINF0026_RedesDados" localSheetId="3">#REF!</definedName>
    <definedName name="CI_SRVINF0026_RedesDados" localSheetId="4">#REF!</definedName>
    <definedName name="CI_SRVINF0026_RedesDados" localSheetId="8">#REF!</definedName>
    <definedName name="CI_SRVINF0026_RedesDados" localSheetId="7">#REF!</definedName>
    <definedName name="CI_SRVINF0026_RedesDados" localSheetId="10">#REF!</definedName>
    <definedName name="CI_SRVINF0026_RedesDados">#REF!</definedName>
    <definedName name="CI_SRVINF0027_RedesVozVoIP" localSheetId="3">#REF!</definedName>
    <definedName name="CI_SRVINF0027_RedesVozVoIP" localSheetId="4">#REF!</definedName>
    <definedName name="CI_SRVINF0027_RedesVozVoIP" localSheetId="8">#REF!</definedName>
    <definedName name="CI_SRVINF0027_RedesVozVoIP" localSheetId="7">#REF!</definedName>
    <definedName name="CI_SRVINF0027_RedesVozVoIP" localSheetId="10">#REF!</definedName>
    <definedName name="CI_SRVINF0027_RedesVozVoIP">#REF!</definedName>
    <definedName name="CI_SRVINF0028_RedesAutomação" localSheetId="3">#REF!</definedName>
    <definedName name="CI_SRVINF0028_RedesAutomação" localSheetId="4">#REF!</definedName>
    <definedName name="CI_SRVINF0028_RedesAutomação" localSheetId="8">#REF!</definedName>
    <definedName name="CI_SRVINF0028_RedesAutomação" localSheetId="7">#REF!</definedName>
    <definedName name="CI_SRVINF0028_RedesAutomação" localSheetId="10">#REF!</definedName>
    <definedName name="CI_SRVINF0028_RedesAutomação">#REF!</definedName>
    <definedName name="CI_SRVINF0029_RedeMainframe" localSheetId="3">#REF!</definedName>
    <definedName name="CI_SRVINF0029_RedeMainframe" localSheetId="4">#REF!</definedName>
    <definedName name="CI_SRVINF0029_RedeMainframe" localSheetId="8">#REF!</definedName>
    <definedName name="CI_SRVINF0029_RedeMainframe" localSheetId="7">#REF!</definedName>
    <definedName name="CI_SRVINF0029_RedeMainframe" localSheetId="10">#REF!</definedName>
    <definedName name="CI_SRVINF0029_RedeMainframe">#REF!</definedName>
    <definedName name="CI_SRVINF0030_GestãoAdmTelecom" localSheetId="3">#REF!</definedName>
    <definedName name="CI_SRVINF0030_GestãoAdmTelecom" localSheetId="4">#REF!</definedName>
    <definedName name="CI_SRVINF0030_GestãoAdmTelecom" localSheetId="8">#REF!</definedName>
    <definedName name="CI_SRVINF0030_GestãoAdmTelecom" localSheetId="7">#REF!</definedName>
    <definedName name="CI_SRVINF0030_GestãoAdmTelecom" localSheetId="10">#REF!</definedName>
    <definedName name="CI_SRVINF0030_GestãoAdmTelecom">#REF!</definedName>
    <definedName name="CI_SRVINF0031_Firewalls" localSheetId="3">#REF!</definedName>
    <definedName name="CI_SRVINF0031_Firewalls" localSheetId="4">#REF!</definedName>
    <definedName name="CI_SRVINF0031_Firewalls" localSheetId="8">#REF!</definedName>
    <definedName name="CI_SRVINF0031_Firewalls" localSheetId="7">#REF!</definedName>
    <definedName name="CI_SRVINF0031_Firewalls" localSheetId="10">#REF!</definedName>
    <definedName name="CI_SRVINF0031_Firewalls">#REF!</definedName>
    <definedName name="CI_SRVINF0032_IPS" localSheetId="3">#REF!</definedName>
    <definedName name="CI_SRVINF0032_IPS" localSheetId="4">#REF!</definedName>
    <definedName name="CI_SRVINF0032_IPS" localSheetId="8">#REF!</definedName>
    <definedName name="CI_SRVINF0032_IPS" localSheetId="7">#REF!</definedName>
    <definedName name="CI_SRVINF0032_IPS" localSheetId="10">#REF!</definedName>
    <definedName name="CI_SRVINF0032_IPS">#REF!</definedName>
    <definedName name="CI_SRVINF0033_AntivirusCorporativo" localSheetId="3">#REF!</definedName>
    <definedName name="CI_SRVINF0033_AntivirusCorporativo" localSheetId="4">#REF!</definedName>
    <definedName name="CI_SRVINF0033_AntivirusCorporativo" localSheetId="8">#REF!</definedName>
    <definedName name="CI_SRVINF0033_AntivirusCorporativo" localSheetId="7">#REF!</definedName>
    <definedName name="CI_SRVINF0033_AntivirusCorporativo" localSheetId="10">#REF!</definedName>
    <definedName name="CI_SRVINF0033_AntivirusCorporativo">#REF!</definedName>
    <definedName name="CI_SRVINF0034_FiltroConteúdo" localSheetId="3">#REF!</definedName>
    <definedName name="CI_SRVINF0034_FiltroConteúdo" localSheetId="4">#REF!</definedName>
    <definedName name="CI_SRVINF0034_FiltroConteúdo" localSheetId="8">#REF!</definedName>
    <definedName name="CI_SRVINF0034_FiltroConteúdo" localSheetId="7">#REF!</definedName>
    <definedName name="CI_SRVINF0034_FiltroConteúdo" localSheetId="10">#REF!</definedName>
    <definedName name="CI_SRVINF0034_FiltroConteúdo">#REF!</definedName>
    <definedName name="CI_SRVINF0035_FiltroEmail" localSheetId="3">#REF!</definedName>
    <definedName name="CI_SRVINF0035_FiltroEmail" localSheetId="4">#REF!</definedName>
    <definedName name="CI_SRVINF0035_FiltroEmail" localSheetId="8">#REF!</definedName>
    <definedName name="CI_SRVINF0035_FiltroEmail" localSheetId="7">#REF!</definedName>
    <definedName name="CI_SRVINF0035_FiltroEmail" localSheetId="10">#REF!</definedName>
    <definedName name="CI_SRVINF0035_FiltroEmail">#REF!</definedName>
    <definedName name="CI_SRVINF0036_AutenticaçãoACS" localSheetId="3">#REF!</definedName>
    <definedName name="CI_SRVINF0036_AutenticaçãoACS" localSheetId="4">#REF!</definedName>
    <definedName name="CI_SRVINF0036_AutenticaçãoACS" localSheetId="8">#REF!</definedName>
    <definedName name="CI_SRVINF0036_AutenticaçãoACS" localSheetId="7">#REF!</definedName>
    <definedName name="CI_SRVINF0036_AutenticaçãoACS" localSheetId="10">#REF!</definedName>
    <definedName name="CI_SRVINF0036_AutenticaçãoACS">#REF!</definedName>
    <definedName name="CI_SRVINF0037_GED" localSheetId="3">#REF!</definedName>
    <definedName name="CI_SRVINF0037_GED" localSheetId="4">#REF!</definedName>
    <definedName name="CI_SRVINF0037_GED" localSheetId="8">#REF!</definedName>
    <definedName name="CI_SRVINF0037_GED" localSheetId="7">#REF!</definedName>
    <definedName name="CI_SRVINF0037_GED" localSheetId="10">#REF!</definedName>
    <definedName name="CI_SRVINF0037_GED">#REF!</definedName>
    <definedName name="CI_SRVINF0038_Publicação" localSheetId="3">#REF!</definedName>
    <definedName name="CI_SRVINF0038_Publicação" localSheetId="4">#REF!</definedName>
    <definedName name="CI_SRVINF0038_Publicação" localSheetId="8">#REF!</definedName>
    <definedName name="CI_SRVINF0038_Publicação" localSheetId="7">#REF!</definedName>
    <definedName name="CI_SRVINF0038_Publicação" localSheetId="10">#REF!</definedName>
    <definedName name="CI_SRVINF0038_Publicação">#REF!</definedName>
    <definedName name="CI_SRVINF0039_FerrDesenvVers" localSheetId="3">#REF!</definedName>
    <definedName name="CI_SRVINF0039_FerrDesenvVers" localSheetId="4">#REF!</definedName>
    <definedName name="CI_SRVINF0039_FerrDesenvVers" localSheetId="8">#REF!</definedName>
    <definedName name="CI_SRVINF0039_FerrDesenvVers" localSheetId="7">#REF!</definedName>
    <definedName name="CI_SRVINF0039_FerrDesenvVers" localSheetId="10">#REF!</definedName>
    <definedName name="CI_SRVINF0039_FerrDesenvVers">#REF!</definedName>
    <definedName name="CI_SRVINF0040_OmniFind" localSheetId="3">#REF!</definedName>
    <definedName name="CI_SRVINF0040_OmniFind" localSheetId="4">#REF!</definedName>
    <definedName name="CI_SRVINF0040_OmniFind" localSheetId="8">#REF!</definedName>
    <definedName name="CI_SRVINF0040_OmniFind" localSheetId="7">#REF!</definedName>
    <definedName name="CI_SRVINF0040_OmniFind" localSheetId="10">#REF!</definedName>
    <definedName name="CI_SRVINF0040_OmniFind">#REF!</definedName>
    <definedName name="CI_SRVINF0041_GerConteúdo" localSheetId="3">#REF!</definedName>
    <definedName name="CI_SRVINF0041_GerConteúdo" localSheetId="4">#REF!</definedName>
    <definedName name="CI_SRVINF0041_GerConteúdo" localSheetId="8">#REF!</definedName>
    <definedName name="CI_SRVINF0041_GerConteúdo" localSheetId="7">#REF!</definedName>
    <definedName name="CI_SRVINF0041_GerConteúdo" localSheetId="10">#REF!</definedName>
    <definedName name="CI_SRVINF0041_GerConteúdo">#REF!</definedName>
    <definedName name="CI_SRVINF0042_Monitoradores" localSheetId="3">#REF!</definedName>
    <definedName name="CI_SRVINF0042_Monitoradores" localSheetId="4">#REF!</definedName>
    <definedName name="CI_SRVINF0042_Monitoradores" localSheetId="8">#REF!</definedName>
    <definedName name="CI_SRVINF0042_Monitoradores" localSheetId="7">#REF!</definedName>
    <definedName name="CI_SRVINF0042_Monitoradores" localSheetId="10">#REF!</definedName>
    <definedName name="CI_SRVINF0042_Monitoradores">#REF!</definedName>
    <definedName name="CI_SRVINF0043_SincronismoTempo" localSheetId="3">#REF!</definedName>
    <definedName name="CI_SRVINF0043_SincronismoTempo" localSheetId="4">#REF!</definedName>
    <definedName name="CI_SRVINF0043_SincronismoTempo" localSheetId="8">#REF!</definedName>
    <definedName name="CI_SRVINF0043_SincronismoTempo" localSheetId="7">#REF!</definedName>
    <definedName name="CI_SRVINF0043_SincronismoTempo" localSheetId="10">#REF!</definedName>
    <definedName name="CI_SRVINF0043_SincronismoTempo">#REF!</definedName>
    <definedName name="CI_SRVINF0044_AppServer" localSheetId="3">#REF!</definedName>
    <definedName name="CI_SRVINF0044_AppServer" localSheetId="4">#REF!</definedName>
    <definedName name="CI_SRVINF0044_AppServer" localSheetId="8">#REF!</definedName>
    <definedName name="CI_SRVINF0044_AppServer" localSheetId="7">#REF!</definedName>
    <definedName name="CI_SRVINF0044_AppServer" localSheetId="10">#REF!</definedName>
    <definedName name="CI_SRVINF0044_AppServer">#REF!</definedName>
    <definedName name="CI_SRVINF0045_BarramentoServiços" localSheetId="3">#REF!</definedName>
    <definedName name="CI_SRVINF0045_BarramentoServiços" localSheetId="4">#REF!</definedName>
    <definedName name="CI_SRVINF0045_BarramentoServiços" localSheetId="8">#REF!</definedName>
    <definedName name="CI_SRVINF0045_BarramentoServiços" localSheetId="7">#REF!</definedName>
    <definedName name="CI_SRVINF0045_BarramentoServiços" localSheetId="10">#REF!</definedName>
    <definedName name="CI_SRVINF0045_BarramentoServiços">#REF!</definedName>
    <definedName name="CI_SRVINF0046_MiddlewareColaboração" localSheetId="3">#REF!</definedName>
    <definedName name="CI_SRVINF0046_MiddlewareColaboração" localSheetId="4">#REF!</definedName>
    <definedName name="CI_SRVINF0046_MiddlewareColaboração" localSheetId="8">#REF!</definedName>
    <definedName name="CI_SRVINF0046_MiddlewareColaboração" localSheetId="7">#REF!</definedName>
    <definedName name="CI_SRVINF0046_MiddlewareColaboração" localSheetId="10">#REF!</definedName>
    <definedName name="CI_SRVINF0046_MiddlewareColaboração">#REF!</definedName>
    <definedName name="CI_SRVSIS0001_TabelasCSI" localSheetId="3">'[2]Catálogo Geral'!#REF!</definedName>
    <definedName name="CI_SRVSIS0001_TabelasCSI" localSheetId="4">'Catálogo Serviços Negócio'!#REF!</definedName>
    <definedName name="CI_SRVSIS0001_TabelasCSI" localSheetId="8">CMDB!#REF!</definedName>
    <definedName name="CI_SRVSIS0001_TabelasCSI" localSheetId="7">'Componentes de Serviço'!#REF!</definedName>
    <definedName name="CI_SRVSIS0001_TabelasCSI" localSheetId="10">#REF!</definedName>
    <definedName name="CI_SRVSIS0001_TabelasCSI">#REF!</definedName>
    <definedName name="CI_SRVSIS0002_ArrecadaçãoCSI" localSheetId="3">'[2]Catálogo Geral'!#REF!</definedName>
    <definedName name="CI_SRVSIS0002_ArrecadaçãoCSI" localSheetId="4">'Catálogo Serviços Negócio'!#REF!</definedName>
    <definedName name="CI_SRVSIS0002_ArrecadaçãoCSI" localSheetId="8">CMDB!#REF!</definedName>
    <definedName name="CI_SRVSIS0002_ArrecadaçãoCSI" localSheetId="7">'Componentes de Serviço'!#REF!</definedName>
    <definedName name="CI_SRVSIS0002_ArrecadaçãoCSI" localSheetId="10">#REF!</definedName>
    <definedName name="CI_SRVSIS0002_ArrecadaçãoCSI">#REF!</definedName>
    <definedName name="CI_SRVSIS0003_DebAutomCSI" localSheetId="3">'[2]Catálogo Geral'!#REF!</definedName>
    <definedName name="CI_SRVSIS0003_DebAutomCSI" localSheetId="4">'Catálogo Serviços Negócio'!#REF!</definedName>
    <definedName name="CI_SRVSIS0003_DebAutomCSI" localSheetId="8">CMDB!#REF!</definedName>
    <definedName name="CI_SRVSIS0003_DebAutomCSI" localSheetId="7">'Componentes de Serviço'!#REF!</definedName>
    <definedName name="CI_SRVSIS0003_DebAutomCSI" localSheetId="10">#REF!</definedName>
    <definedName name="CI_SRVSIS0003_DebAutomCSI">#REF!</definedName>
    <definedName name="CI_SRVSIS0004_CadastroCSIRC" localSheetId="3">#REF!</definedName>
    <definedName name="CI_SRVSIS0004_CadastroCSIRC" localSheetId="4">#REF!</definedName>
    <definedName name="CI_SRVSIS0004_CadastroCSIRC" localSheetId="8">#REF!</definedName>
    <definedName name="CI_SRVSIS0004_CadastroCSIRC" localSheetId="7">#REF!</definedName>
    <definedName name="CI_SRVSIS0004_CadastroCSIRC" localSheetId="10">#REF!</definedName>
    <definedName name="CI_SRVSIS0004_CadastroCSIRC">#REF!</definedName>
    <definedName name="CI_SRVSIS0005_FaturamentoCSIRC" localSheetId="3">#REF!</definedName>
    <definedName name="CI_SRVSIS0005_FaturamentoCSIRC" localSheetId="4">#REF!</definedName>
    <definedName name="CI_SRVSIS0005_FaturamentoCSIRC" localSheetId="8">#REF!</definedName>
    <definedName name="CI_SRVSIS0005_FaturamentoCSIRC" localSheetId="7">#REF!</definedName>
    <definedName name="CI_SRVSIS0005_FaturamentoCSIRC" localSheetId="10">#REF!</definedName>
    <definedName name="CI_SRVSIS0005_FaturamentoCSIRC">#REF!</definedName>
    <definedName name="CI_SRVSIS0006_FiscalizaçãoCSIRC" localSheetId="3">#REF!</definedName>
    <definedName name="CI_SRVSIS0006_FiscalizaçãoCSIRC" localSheetId="4">#REF!</definedName>
    <definedName name="CI_SRVSIS0006_FiscalizaçãoCSIRC" localSheetId="8">#REF!</definedName>
    <definedName name="CI_SRVSIS0006_FiscalizaçãoCSIRC" localSheetId="7">#REF!</definedName>
    <definedName name="CI_SRVSIS0006_FiscalizaçãoCSIRC" localSheetId="10">#REF!</definedName>
    <definedName name="CI_SRVSIS0006_FiscalizaçãoCSIRC">#REF!</definedName>
    <definedName name="CI_SRVSIS0007_SACE_RC" localSheetId="3">#REF!</definedName>
    <definedName name="CI_SRVSIS0007_SACE_RC" localSheetId="4">#REF!</definedName>
    <definedName name="CI_SRVSIS0007_SACE_RC" localSheetId="8">#REF!</definedName>
    <definedName name="CI_SRVSIS0007_SACE_RC" localSheetId="7">#REF!</definedName>
    <definedName name="CI_SRVSIS0007_SACE_RC" localSheetId="10">#REF!</definedName>
    <definedName name="CI_SRVSIS0007_SACE_RC">#REF!</definedName>
    <definedName name="CI_SRVSIS0008_CobAdmCSI_RC" localSheetId="3">#REF!</definedName>
    <definedName name="CI_SRVSIS0008_CobAdmCSI_RC" localSheetId="4">#REF!</definedName>
    <definedName name="CI_SRVSIS0008_CobAdmCSI_RC" localSheetId="8">#REF!</definedName>
    <definedName name="CI_SRVSIS0008_CobAdmCSI_RC" localSheetId="7">#REF!</definedName>
    <definedName name="CI_SRVSIS0008_CobAdmCSI_RC" localSheetId="10">#REF!</definedName>
    <definedName name="CI_SRVSIS0008_CobAdmCSI_RC">#REF!</definedName>
    <definedName name="CI_SRVSIS0009_CobJurCSI_RC" localSheetId="3">#REF!</definedName>
    <definedName name="CI_SRVSIS0009_CobJurCSI_RC" localSheetId="4">#REF!</definedName>
    <definedName name="CI_SRVSIS0009_CobJurCSI_RC" localSheetId="8">#REF!</definedName>
    <definedName name="CI_SRVSIS0009_CobJurCSI_RC" localSheetId="7">#REF!</definedName>
    <definedName name="CI_SRVSIS0009_CobJurCSI_RC" localSheetId="10">#REF!</definedName>
    <definedName name="CI_SRVSIS0009_CobJurCSI_RC">#REF!</definedName>
    <definedName name="CI_SRVSIS0010_CIRC_RC" localSheetId="3">#REF!</definedName>
    <definedName name="CI_SRVSIS0010_CIRC_RC" localSheetId="4">#REF!</definedName>
    <definedName name="CI_SRVSIS0010_CIRC_RC" localSheetId="8">#REF!</definedName>
    <definedName name="CI_SRVSIS0010_CIRC_RC" localSheetId="7">#REF!</definedName>
    <definedName name="CI_SRVSIS0010_CIRC_RC" localSheetId="10">#REF!</definedName>
    <definedName name="CI_SRVSIS0010_CIRC_RC">#REF!</definedName>
    <definedName name="CI_SRVSIS0011_CIRAC_RC" localSheetId="3">#REF!</definedName>
    <definedName name="CI_SRVSIS0011_CIRAC_RC" localSheetId="4">#REF!</definedName>
    <definedName name="CI_SRVSIS0011_CIRAC_RC" localSheetId="8">#REF!</definedName>
    <definedName name="CI_SRVSIS0011_CIRAC_RC" localSheetId="7">#REF!</definedName>
    <definedName name="CI_SRVSIS0011_CIRAC_RC" localSheetId="10">#REF!</definedName>
    <definedName name="CI_SRVSIS0011_CIRAC_RC">#REF!</definedName>
    <definedName name="CI_SRVSIS0012_BaixaContasCSI_RC" localSheetId="3">#REF!</definedName>
    <definedName name="CI_SRVSIS0012_BaixaContasCSI_RC" localSheetId="4">#REF!</definedName>
    <definedName name="CI_SRVSIS0012_BaixaContasCSI_RC" localSheetId="8">#REF!</definedName>
    <definedName name="CI_SRVSIS0012_BaixaContasCSI_RC" localSheetId="7">#REF!</definedName>
    <definedName name="CI_SRVSIS0012_BaixaContasCSI_RC" localSheetId="10">#REF!</definedName>
    <definedName name="CI_SRVSIS0012_BaixaContasCSI_RC">#REF!</definedName>
    <definedName name="CI_SRVSIS0013_ContasAbertoCSI_RC" localSheetId="3">#REF!</definedName>
    <definedName name="CI_SRVSIS0013_ContasAbertoCSI_RC" localSheetId="4">#REF!</definedName>
    <definedName name="CI_SRVSIS0013_ContasAbertoCSI_RC" localSheetId="8">#REF!</definedName>
    <definedName name="CI_SRVSIS0013_ContasAbertoCSI_RC" localSheetId="7">#REF!</definedName>
    <definedName name="CI_SRVSIS0013_ContasAbertoCSI_RC" localSheetId="10">#REF!</definedName>
    <definedName name="CI_SRVSIS0013_ContasAbertoCSI_RC">#REF!</definedName>
    <definedName name="CI_SRVSIS0014_EmissãoContasCSI_RC" localSheetId="3">#REF!</definedName>
    <definedName name="CI_SRVSIS0014_EmissãoContasCSI_RC" localSheetId="4">#REF!</definedName>
    <definedName name="CI_SRVSIS0014_EmissãoContasCSI_RC" localSheetId="8">#REF!</definedName>
    <definedName name="CI_SRVSIS0014_EmissãoContasCSI_RC" localSheetId="7">#REF!</definedName>
    <definedName name="CI_SRVSIS0014_EmissãoContasCSI_RC" localSheetId="10">#REF!</definedName>
    <definedName name="CI_SRVSIS0014_EmissãoContasCSI_RC">#REF!</definedName>
    <definedName name="CI_SRVSIS0015_Emissão2ViaCSI_RC" localSheetId="3">#REF!</definedName>
    <definedName name="CI_SRVSIS0015_Emissão2ViaCSI_RC" localSheetId="4">#REF!</definedName>
    <definedName name="CI_SRVSIS0015_Emissão2ViaCSI_RC" localSheetId="8">#REF!</definedName>
    <definedName name="CI_SRVSIS0015_Emissão2ViaCSI_RC" localSheetId="7">#REF!</definedName>
    <definedName name="CI_SRVSIS0015_Emissão2ViaCSI_RC" localSheetId="10">#REF!</definedName>
    <definedName name="CI_SRVSIS0015_Emissão2ViaCSI_RC">#REF!</definedName>
    <definedName name="CI_SRVSIS0016_ParcelamentoCSI_RC" localSheetId="3">#REF!</definedName>
    <definedName name="CI_SRVSIS0016_ParcelamentoCSI_RC" localSheetId="4">#REF!</definedName>
    <definedName name="CI_SRVSIS0016_ParcelamentoCSI_RC" localSheetId="8">#REF!</definedName>
    <definedName name="CI_SRVSIS0016_ParcelamentoCSI_RC" localSheetId="7">#REF!</definedName>
    <definedName name="CI_SRVSIS0016_ParcelamentoCSI_RC" localSheetId="10">#REF!</definedName>
    <definedName name="CI_SRVSIS0016_ParcelamentoCSI_RC">#REF!</definedName>
    <definedName name="CI_SRVSIS0017_QuitaçãoCSI_RC" localSheetId="3">#REF!</definedName>
    <definedName name="CI_SRVSIS0017_QuitaçãoCSI_RC" localSheetId="4">#REF!</definedName>
    <definedName name="CI_SRVSIS0017_QuitaçãoCSI_RC" localSheetId="8">#REF!</definedName>
    <definedName name="CI_SRVSIS0017_QuitaçãoCSI_RC" localSheetId="7">#REF!</definedName>
    <definedName name="CI_SRVSIS0017_QuitaçãoCSI_RC" localSheetId="10">#REF!</definedName>
    <definedName name="CI_SRVSIS0017_QuitaçãoCSI_RC">#REF!</definedName>
    <definedName name="CI_SRVSIS0018_ReformaCSI_RC" localSheetId="3">#REF!</definedName>
    <definedName name="CI_SRVSIS0018_ReformaCSI_RC" localSheetId="4">#REF!</definedName>
    <definedName name="CI_SRVSIS0018_ReformaCSI_RC" localSheetId="8">#REF!</definedName>
    <definedName name="CI_SRVSIS0018_ReformaCSI_RC" localSheetId="7">#REF!</definedName>
    <definedName name="CI_SRVSIS0018_ReformaCSI_RC" localSheetId="10">#REF!</definedName>
    <definedName name="CI_SRVSIS0018_ReformaCSI_RC">#REF!</definedName>
    <definedName name="CI_SRVSIS0019_CadastroCSI_RE" localSheetId="3">#REF!</definedName>
    <definedName name="CI_SRVSIS0019_CadastroCSI_RE" localSheetId="4">#REF!</definedName>
    <definedName name="CI_SRVSIS0019_CadastroCSI_RE" localSheetId="8">#REF!</definedName>
    <definedName name="CI_SRVSIS0019_CadastroCSI_RE" localSheetId="7">#REF!</definedName>
    <definedName name="CI_SRVSIS0019_CadastroCSI_RE" localSheetId="10">#REF!</definedName>
    <definedName name="CI_SRVSIS0019_CadastroCSI_RE">#REF!</definedName>
    <definedName name="CI_SRVSIS0020_FaturEmisCSI_RE" localSheetId="3">#REF!</definedName>
    <definedName name="CI_SRVSIS0020_FaturEmisCSI_RE" localSheetId="4">#REF!</definedName>
    <definedName name="CI_SRVSIS0020_FaturEmisCSI_RE" localSheetId="8">#REF!</definedName>
    <definedName name="CI_SRVSIS0020_FaturEmisCSI_RE" localSheetId="7">#REF!</definedName>
    <definedName name="CI_SRVSIS0020_FaturEmisCSI_RE" localSheetId="10">#REF!</definedName>
    <definedName name="CI_SRVSIS0020_FaturEmisCSI_RE">#REF!</definedName>
    <definedName name="CI_SRVSIS0021_SACEE_RE" localSheetId="3">#REF!</definedName>
    <definedName name="CI_SRVSIS0021_SACEE_RE" localSheetId="4">#REF!</definedName>
    <definedName name="CI_SRVSIS0021_SACEE_RE" localSheetId="8">#REF!</definedName>
    <definedName name="CI_SRVSIS0021_SACEE_RE" localSheetId="7">#REF!</definedName>
    <definedName name="CI_SRVSIS0021_SACEE_RE" localSheetId="10">#REF!</definedName>
    <definedName name="CI_SRVSIS0021_SACEE_RE">#REF!</definedName>
    <definedName name="CI_SRVSIS0022_BaixaContasCSI_RE" localSheetId="3">#REF!</definedName>
    <definedName name="CI_SRVSIS0022_BaixaContasCSI_RE" localSheetId="4">#REF!</definedName>
    <definedName name="CI_SRVSIS0022_BaixaContasCSI_RE" localSheetId="8">#REF!</definedName>
    <definedName name="CI_SRVSIS0022_BaixaContasCSI_RE" localSheetId="7">#REF!</definedName>
    <definedName name="CI_SRVSIS0022_BaixaContasCSI_RE" localSheetId="10">#REF!</definedName>
    <definedName name="CI_SRVSIS0022_BaixaContasCSI_RE">#REF!</definedName>
    <definedName name="CI_SRVSIS0023_ContasAbertoCSI_RE" localSheetId="3">#REF!</definedName>
    <definedName name="CI_SRVSIS0023_ContasAbertoCSI_RE" localSheetId="4">#REF!</definedName>
    <definedName name="CI_SRVSIS0023_ContasAbertoCSI_RE" localSheetId="8">#REF!</definedName>
    <definedName name="CI_SRVSIS0023_ContasAbertoCSI_RE" localSheetId="7">#REF!</definedName>
    <definedName name="CI_SRVSIS0023_ContasAbertoCSI_RE" localSheetId="10">#REF!</definedName>
    <definedName name="CI_SRVSIS0023_ContasAbertoCSI_RE">#REF!</definedName>
    <definedName name="CI_SRVSIS0024_Emissão2ViaCSI_RE" localSheetId="3">#REF!</definedName>
    <definedName name="CI_SRVSIS0024_Emissão2ViaCSI_RE" localSheetId="4">#REF!</definedName>
    <definedName name="CI_SRVSIS0024_Emissão2ViaCSI_RE" localSheetId="8">#REF!</definedName>
    <definedName name="CI_SRVSIS0024_Emissão2ViaCSI_RE" localSheetId="7">#REF!</definedName>
    <definedName name="CI_SRVSIS0024_Emissão2ViaCSI_RE" localSheetId="10">#REF!</definedName>
    <definedName name="CI_SRVSIS0024_Emissão2ViaCSI_RE">#REF!</definedName>
    <definedName name="CI_SRVSIS0025_Parcelamento_RE" localSheetId="3">#REF!</definedName>
    <definedName name="CI_SRVSIS0025_Parcelamento_RE" localSheetId="4">#REF!</definedName>
    <definedName name="CI_SRVSIS0025_Parcelamento_RE" localSheetId="8">#REF!</definedName>
    <definedName name="CI_SRVSIS0025_Parcelamento_RE" localSheetId="7">#REF!</definedName>
    <definedName name="CI_SRVSIS0025_Parcelamento_RE" localSheetId="10">#REF!</definedName>
    <definedName name="CI_SRVSIS0025_Parcelamento_RE">#REF!</definedName>
    <definedName name="CI_SRVSIS0026_ReformaCSI_RE" localSheetId="3">#REF!</definedName>
    <definedName name="CI_SRVSIS0026_ReformaCSI_RE" localSheetId="4">#REF!</definedName>
    <definedName name="CI_SRVSIS0026_ReformaCSI_RE" localSheetId="8">#REF!</definedName>
    <definedName name="CI_SRVSIS0026_ReformaCSI_RE" localSheetId="7">#REF!</definedName>
    <definedName name="CI_SRVSIS0026_ReformaCSI_RE" localSheetId="10">#REF!</definedName>
    <definedName name="CI_SRVSIS0026_ReformaCSI_RE">#REF!</definedName>
    <definedName name="CI_SRVSIS0027_AgVirtual" localSheetId="3">#REF!</definedName>
    <definedName name="CI_SRVSIS0027_AgVirtual" localSheetId="4">#REF!</definedName>
    <definedName name="CI_SRVSIS0027_AgVirtual" localSheetId="8">#REF!</definedName>
    <definedName name="CI_SRVSIS0027_AgVirtual" localSheetId="7">#REF!</definedName>
    <definedName name="CI_SRVSIS0027_AgVirtual" localSheetId="10">#REF!</definedName>
    <definedName name="CI_SRVSIS0027_AgVirtual">#REF!</definedName>
    <definedName name="CI_SRVSIS0028_FaleConosco" localSheetId="3">#REF!</definedName>
    <definedName name="CI_SRVSIS0028_FaleConosco" localSheetId="4">#REF!</definedName>
    <definedName name="CI_SRVSIS0028_FaleConosco" localSheetId="8">#REF!</definedName>
    <definedName name="CI_SRVSIS0028_FaleConosco" localSheetId="7">#REF!</definedName>
    <definedName name="CI_SRVSIS0028_FaleConosco" localSheetId="10">#REF!</definedName>
    <definedName name="CI_SRVSIS0028_FaleConosco">#REF!</definedName>
    <definedName name="CI_SRVSIS0029_SiteRelInvest" localSheetId="3">#REF!</definedName>
    <definedName name="CI_SRVSIS0029_SiteRelInvest" localSheetId="4">#REF!</definedName>
    <definedName name="CI_SRVSIS0029_SiteRelInvest" localSheetId="8">#REF!</definedName>
    <definedName name="CI_SRVSIS0029_SiteRelInvest" localSheetId="7">#REF!</definedName>
    <definedName name="CI_SRVSIS0029_SiteRelInvest" localSheetId="10">#REF!</definedName>
    <definedName name="CI_SRVSIS0029_SiteRelInvest">#REF!</definedName>
    <definedName name="CI_SRVSIS0030_AutoAtTotem" localSheetId="3">#REF!</definedName>
    <definedName name="CI_SRVSIS0030_AutoAtTotem" localSheetId="4">#REF!</definedName>
    <definedName name="CI_SRVSIS0030_AutoAtTotem" localSheetId="8">#REF!</definedName>
    <definedName name="CI_SRVSIS0030_AutoAtTotem" localSheetId="7">#REF!</definedName>
    <definedName name="CI_SRVSIS0030_AutoAtTotem" localSheetId="10">#REF!</definedName>
    <definedName name="CI_SRVSIS0030_AutoAtTotem">#REF!</definedName>
    <definedName name="CI_SRVSIS0031_PortalAplNeg" localSheetId="3">#REF!</definedName>
    <definedName name="CI_SRVSIS0031_PortalAplNeg" localSheetId="4">#REF!</definedName>
    <definedName name="CI_SRVSIS0031_PortalAplNeg" localSheetId="8">#REF!</definedName>
    <definedName name="CI_SRVSIS0031_PortalAplNeg" localSheetId="7">#REF!</definedName>
    <definedName name="CI_SRVSIS0031_PortalAplNeg" localSheetId="10">#REF!</definedName>
    <definedName name="CI_SRVSIS0031_PortalAplNeg">#REF!</definedName>
    <definedName name="CI_SRVSIS0032_PortalCorporativo" localSheetId="3">#REF!</definedName>
    <definedName name="CI_SRVSIS0032_PortalCorporativo" localSheetId="4">#REF!</definedName>
    <definedName name="CI_SRVSIS0032_PortalCorporativo" localSheetId="8">#REF!</definedName>
    <definedName name="CI_SRVSIS0032_PortalCorporativo" localSheetId="7">#REF!</definedName>
    <definedName name="CI_SRVSIS0032_PortalCorporativo" localSheetId="10">#REF!</definedName>
    <definedName name="CI_SRVSIS0032_PortalCorporativo">#REF!</definedName>
    <definedName name="CI_SRVSIS0033_AtendOnline" localSheetId="3">#REF!</definedName>
    <definedName name="CI_SRVSIS0033_AtendOnline" localSheetId="4">#REF!</definedName>
    <definedName name="CI_SRVSIS0033_AtendOnline" localSheetId="8">#REF!</definedName>
    <definedName name="CI_SRVSIS0033_AtendOnline" localSheetId="7">#REF!</definedName>
    <definedName name="CI_SRVSIS0033_AtendOnline" localSheetId="10">#REF!</definedName>
    <definedName name="CI_SRVSIS0033_AtendOnline">#REF!</definedName>
    <definedName name="CI_SRVSIS0034_CRMOuvidoria" localSheetId="3">#REF!</definedName>
    <definedName name="CI_SRVSIS0034_CRMOuvidoria" localSheetId="4">#REF!</definedName>
    <definedName name="CI_SRVSIS0034_CRMOuvidoria" localSheetId="8">#REF!</definedName>
    <definedName name="CI_SRVSIS0034_CRMOuvidoria" localSheetId="7">#REF!</definedName>
    <definedName name="CI_SRVSIS0034_CRMOuvidoria" localSheetId="10">#REF!</definedName>
    <definedName name="CI_SRVSIS0034_CRMOuvidoria">#REF!</definedName>
    <definedName name="CI_SRVSIS0035_SiteSabesp" localSheetId="3">#REF!</definedName>
    <definedName name="CI_SRVSIS0035_SiteSabesp" localSheetId="4">#REF!</definedName>
    <definedName name="CI_SRVSIS0035_SiteSabesp" localSheetId="8">#REF!</definedName>
    <definedName name="CI_SRVSIS0035_SiteSabesp" localSheetId="7">#REF!</definedName>
    <definedName name="CI_SRVSIS0035_SiteSabesp" localSheetId="10">#REF!</definedName>
    <definedName name="CI_SRVSIS0035_SiteSabesp">#REF!</definedName>
    <definedName name="CI_SRVSIS0036_SiteClubinhoSabesp" localSheetId="3">#REF!</definedName>
    <definedName name="CI_SRVSIS0036_SiteClubinhoSabesp" localSheetId="4">#REF!</definedName>
    <definedName name="CI_SRVSIS0036_SiteClubinhoSabesp" localSheetId="8">#REF!</definedName>
    <definedName name="CI_SRVSIS0036_SiteClubinhoSabesp" localSheetId="7">#REF!</definedName>
    <definedName name="CI_SRVSIS0036_SiteClubinhoSabesp" localSheetId="10">#REF!</definedName>
    <definedName name="CI_SRVSIS0036_SiteClubinhoSabesp">#REF!</definedName>
    <definedName name="CI_SRVSIS0037_SitesProgEventInstit" localSheetId="3">#REF!</definedName>
    <definedName name="CI_SRVSIS0037_SitesProgEventInstit" localSheetId="4">#REF!</definedName>
    <definedName name="CI_SRVSIS0037_SitesProgEventInstit" localSheetId="8">#REF!</definedName>
    <definedName name="CI_SRVSIS0037_SitesProgEventInstit" localSheetId="7">#REF!</definedName>
    <definedName name="CI_SRVSIS0037_SitesProgEventInstit" localSheetId="10">#REF!</definedName>
    <definedName name="CI_SRVSIS0037_SitesProgEventInstit">#REF!</definedName>
    <definedName name="CI_SRVSIS0038_InformesPagamento" localSheetId="3">'Catálogo Fullfil Mondial Antigo'!#REF!</definedName>
    <definedName name="CI_SRVSIS0038_InformesPagamento" localSheetId="4">#REF!</definedName>
    <definedName name="CI_SRVSIS0038_InformesPagamento" localSheetId="8">#REF!</definedName>
    <definedName name="CI_SRVSIS0038_InformesPagamento" localSheetId="7">#REF!</definedName>
    <definedName name="CI_SRVSIS0038_InformesPagamento" localSheetId="10">#REF!</definedName>
    <definedName name="CI_SRVSIS0038_InformesPagamento">#REF!</definedName>
    <definedName name="CI_SRVSIS0039_InformesRetenção" localSheetId="3">'Catálogo Fullfil Mondial Antigo'!#REF!</definedName>
    <definedName name="CI_SRVSIS0039_InformesRetenção" localSheetId="4">#REF!</definedName>
    <definedName name="CI_SRVSIS0039_InformesRetenção" localSheetId="8">#REF!</definedName>
    <definedName name="CI_SRVSIS0039_InformesRetenção" localSheetId="7">#REF!</definedName>
    <definedName name="CI_SRVSIS0039_InformesRetenção" localSheetId="10">#REF!</definedName>
    <definedName name="CI_SRVSIS0039_InformesRetenção">#REF!</definedName>
    <definedName name="CI_SRVSIS0040_LicitaçõesEletrônicas" localSheetId="3">'Catálogo Fullfil Mondial Antigo'!#REF!</definedName>
    <definedName name="CI_SRVSIS0040_LicitaçõesEletrônicas" localSheetId="4">#REF!</definedName>
    <definedName name="CI_SRVSIS0040_LicitaçõesEletrônicas" localSheetId="8">#REF!</definedName>
    <definedName name="CI_SRVSIS0040_LicitaçõesEletrônicas" localSheetId="7">#REF!</definedName>
    <definedName name="CI_SRVSIS0040_LicitaçõesEletrônicas" localSheetId="10">#REF!</definedName>
    <definedName name="CI_SRVSIS0040_LicitaçõesEletrônicas">#REF!</definedName>
    <definedName name="CI_SRVSIS0041_NormasTécnicas" localSheetId="3">'Catálogo Fullfil Mondial Antigo'!#REF!</definedName>
    <definedName name="CI_SRVSIS0041_NormasTécnicas" localSheetId="4">#REF!</definedName>
    <definedName name="CI_SRVSIS0041_NormasTécnicas" localSheetId="8">#REF!</definedName>
    <definedName name="CI_SRVSIS0041_NormasTécnicas" localSheetId="7">#REF!</definedName>
    <definedName name="CI_SRVSIS0041_NormasTécnicas" localSheetId="10">#REF!</definedName>
    <definedName name="CI_SRVSIS0041_NormasTécnicas">#REF!</definedName>
    <definedName name="CI_SRVSIS0042_DesenhoPadrão" localSheetId="3">'Catálogo Fullfil Mondial Antigo'!#REF!</definedName>
    <definedName name="CI_SRVSIS0042_DesenhoPadrão" localSheetId="4">#REF!</definedName>
    <definedName name="CI_SRVSIS0042_DesenhoPadrão" localSheetId="8">#REF!</definedName>
    <definedName name="CI_SRVSIS0042_DesenhoPadrão" localSheetId="7">#REF!</definedName>
    <definedName name="CI_SRVSIS0042_DesenhoPadrão" localSheetId="10">#REF!</definedName>
    <definedName name="CI_SRVSIS0042_DesenhoPadrão">#REF!</definedName>
    <definedName name="CI_SRVSIS0043_SIGAO" localSheetId="3">#REF!</definedName>
    <definedName name="CI_SRVSIS0043_SIGAO" localSheetId="4">#REF!</definedName>
    <definedName name="CI_SRVSIS0043_SIGAO" localSheetId="8">#REF!</definedName>
    <definedName name="CI_SRVSIS0043_SIGAO" localSheetId="7">#REF!</definedName>
    <definedName name="CI_SRVSIS0043_SIGAO" localSheetId="10">#REF!</definedName>
    <definedName name="CI_SRVSIS0043_SIGAO">#REF!</definedName>
    <definedName name="CI_SRVSIS0044_PROTONET" localSheetId="3">#REF!</definedName>
    <definedName name="CI_SRVSIS0044_PROTONET" localSheetId="4">#REF!</definedName>
    <definedName name="CI_SRVSIS0044_PROTONET" localSheetId="8">#REF!</definedName>
    <definedName name="CI_SRVSIS0044_PROTONET" localSheetId="7">#REF!</definedName>
    <definedName name="CI_SRVSIS0044_PROTONET" localSheetId="10">#REF!</definedName>
    <definedName name="CI_SRVSIS0044_PROTONET">#REF!</definedName>
    <definedName name="CI_SRVSIS0045_SIGES" localSheetId="3">#REF!</definedName>
    <definedName name="CI_SRVSIS0045_SIGES" localSheetId="4">#REF!</definedName>
    <definedName name="CI_SRVSIS0045_SIGES" localSheetId="8">#REF!</definedName>
    <definedName name="CI_SRVSIS0045_SIGES" localSheetId="7">#REF!</definedName>
    <definedName name="CI_SRVSIS0045_SIGES" localSheetId="10">#REF!</definedName>
    <definedName name="CI_SRVSIS0045_SIGES">#REF!</definedName>
    <definedName name="CI_SRVSIS0046_SGM" localSheetId="3">#REF!</definedName>
    <definedName name="CI_SRVSIS0046_SGM" localSheetId="4">#REF!</definedName>
    <definedName name="CI_SRVSIS0046_SGM" localSheetId="8">#REF!</definedName>
    <definedName name="CI_SRVSIS0046_SGM" localSheetId="7">#REF!</definedName>
    <definedName name="CI_SRVSIS0046_SGM" localSheetId="10">#REF!</definedName>
    <definedName name="CI_SRVSIS0046_SGM">#REF!</definedName>
    <definedName name="CI_SRVSIS0047_Netcontrol" localSheetId="3">#REF!</definedName>
    <definedName name="CI_SRVSIS0047_Netcontrol" localSheetId="4">#REF!</definedName>
    <definedName name="CI_SRVSIS0047_Netcontrol" localSheetId="8">#REF!</definedName>
    <definedName name="CI_SRVSIS0047_Netcontrol" localSheetId="7">#REF!</definedName>
    <definedName name="CI_SRVSIS0047_Netcontrol" localSheetId="10">#REF!</definedName>
    <definedName name="CI_SRVSIS0047_Netcontrol">#REF!</definedName>
    <definedName name="CI_SRVSIS0048_ServiçosCSI" localSheetId="3">#REF!</definedName>
    <definedName name="CI_SRVSIS0048_ServiçosCSI" localSheetId="4">#REF!</definedName>
    <definedName name="CI_SRVSIS0048_ServiçosCSI" localSheetId="8">#REF!</definedName>
    <definedName name="CI_SRVSIS0048_ServiçosCSI" localSheetId="7">#REF!</definedName>
    <definedName name="CI_SRVSIS0048_ServiçosCSI" localSheetId="10">#REF!</definedName>
    <definedName name="CI_SRVSIS0048_ServiçosCSI">#REF!</definedName>
    <definedName name="CI_SRVSIS0049_SGH" localSheetId="3">#REF!</definedName>
    <definedName name="CI_SRVSIS0049_SGH" localSheetId="4">#REF!</definedName>
    <definedName name="CI_SRVSIS0049_SGH" localSheetId="8">#REF!</definedName>
    <definedName name="CI_SRVSIS0049_SGH" localSheetId="7">#REF!</definedName>
    <definedName name="CI_SRVSIS0049_SGH" localSheetId="10">#REF!</definedName>
    <definedName name="CI_SRVSIS0049_SGH">#REF!</definedName>
    <definedName name="CI_SRVSIS0050_SCOA" localSheetId="3">#REF!</definedName>
    <definedName name="CI_SRVSIS0050_SCOA" localSheetId="4">#REF!</definedName>
    <definedName name="CI_SRVSIS0050_SCOA" localSheetId="8">#REF!</definedName>
    <definedName name="CI_SRVSIS0050_SCOA" localSheetId="7">#REF!</definedName>
    <definedName name="CI_SRVSIS0050_SCOA" localSheetId="10">#REF!</definedName>
    <definedName name="CI_SRVSIS0050_SCOA">#REF!</definedName>
    <definedName name="CI_SRVSIS0051_IntegraçãoSGA" localSheetId="3">#REF!</definedName>
    <definedName name="CI_SRVSIS0051_IntegraçãoSGA" localSheetId="4">#REF!</definedName>
    <definedName name="CI_SRVSIS0051_IntegraçãoSGA" localSheetId="8">#REF!</definedName>
    <definedName name="CI_SRVSIS0051_IntegraçãoSGA" localSheetId="7">#REF!</definedName>
    <definedName name="CI_SRVSIS0051_IntegraçãoSGA" localSheetId="10">#REF!</definedName>
    <definedName name="CI_SRVSIS0051_IntegraçãoSGA">#REF!</definedName>
    <definedName name="CI_SRVSIS0052_SIGNOS" localSheetId="3">#REF!</definedName>
    <definedName name="CI_SRVSIS0052_SIGNOS" localSheetId="4">#REF!</definedName>
    <definedName name="CI_SRVSIS0052_SIGNOS" localSheetId="8">#REF!</definedName>
    <definedName name="CI_SRVSIS0052_SIGNOS" localSheetId="7">#REF!</definedName>
    <definedName name="CI_SRVSIS0052_SIGNOS" localSheetId="10">#REF!</definedName>
    <definedName name="CI_SRVSIS0052_SIGNOS">#REF!</definedName>
    <definedName name="CI_SRVSIS0053_SIGNOSnet" localSheetId="3">#REF!</definedName>
    <definedName name="CI_SRVSIS0053_SIGNOSnet" localSheetId="4">#REF!</definedName>
    <definedName name="CI_SRVSIS0053_SIGNOSnet" localSheetId="8">#REF!</definedName>
    <definedName name="CI_SRVSIS0053_SIGNOSnet" localSheetId="7">#REF!</definedName>
    <definedName name="CI_SRVSIS0053_SIGNOSnet" localSheetId="10">#REF!</definedName>
    <definedName name="CI_SRVSIS0053_SIGNOSnet">#REF!</definedName>
    <definedName name="CI_SRVSIS0054_SIGNOSnetInternet" localSheetId="3">#REF!</definedName>
    <definedName name="CI_SRVSIS0054_SIGNOSnetInternet" localSheetId="4">#REF!</definedName>
    <definedName name="CI_SRVSIS0054_SIGNOSnetInternet" localSheetId="8">#REF!</definedName>
    <definedName name="CI_SRVSIS0054_SIGNOSnetInternet" localSheetId="7">#REF!</definedName>
    <definedName name="CI_SRVSIS0054_SIGNOSnetInternet" localSheetId="10">#REF!</definedName>
    <definedName name="CI_SRVSIS0054_SIGNOSnetInternet">#REF!</definedName>
    <definedName name="CI_SRVSIS0055_MapasTemáticos" localSheetId="3">#REF!</definedName>
    <definedName name="CI_SRVSIS0055_MapasTemáticos" localSheetId="4">#REF!</definedName>
    <definedName name="CI_SRVSIS0055_MapasTemáticos" localSheetId="8">#REF!</definedName>
    <definedName name="CI_SRVSIS0055_MapasTemáticos" localSheetId="7">#REF!</definedName>
    <definedName name="CI_SRVSIS0055_MapasTemáticos" localSheetId="10">#REF!</definedName>
    <definedName name="CI_SRVSIS0055_MapasTemáticos">#REF!</definedName>
    <definedName name="CI_SRVSIS0056_SIGNOSFaltaDágua" localSheetId="3">#REF!</definedName>
    <definedName name="CI_SRVSIS0056_SIGNOSFaltaDágua" localSheetId="4">#REF!</definedName>
    <definedName name="CI_SRVSIS0056_SIGNOSFaltaDágua" localSheetId="8">#REF!</definedName>
    <definedName name="CI_SRVSIS0056_SIGNOSFaltaDágua" localSheetId="7">#REF!</definedName>
    <definedName name="CI_SRVSIS0056_SIGNOSFaltaDágua" localSheetId="10">#REF!</definedName>
    <definedName name="CI_SRVSIS0056_SIGNOSFaltaDágua">#REF!</definedName>
    <definedName name="CI_SRVSIS0057_BancoIntermediário" localSheetId="3">#REF!</definedName>
    <definedName name="CI_SRVSIS0057_BancoIntermediário" localSheetId="4">#REF!</definedName>
    <definedName name="CI_SRVSIS0057_BancoIntermediário" localSheetId="8">#REF!</definedName>
    <definedName name="CI_SRVSIS0057_BancoIntermediário" localSheetId="7">#REF!</definedName>
    <definedName name="CI_SRVSIS0057_BancoIntermediário" localSheetId="10">#REF!</definedName>
    <definedName name="CI_SRVSIS0057_BancoIntermediário">#REF!</definedName>
    <definedName name="CI_SRVSIS0058_GES_CIG" localSheetId="3">#REF!</definedName>
    <definedName name="CI_SRVSIS0058_GES_CIG" localSheetId="4">#REF!</definedName>
    <definedName name="CI_SRVSIS0058_GES_CIG" localSheetId="8">#REF!</definedName>
    <definedName name="CI_SRVSIS0058_GES_CIG" localSheetId="7">#REF!</definedName>
    <definedName name="CI_SRVSIS0058_GES_CIG" localSheetId="10">#REF!</definedName>
    <definedName name="CI_SRVSIS0058_GES_CIG">#REF!</definedName>
    <definedName name="CI_SRVSIS0059_GES_GVA" localSheetId="3">#REF!</definedName>
    <definedName name="CI_SRVSIS0059_GES_GVA" localSheetId="4">#REF!</definedName>
    <definedName name="CI_SRVSIS0059_GES_GVA" localSheetId="8">#REF!</definedName>
    <definedName name="CI_SRVSIS0059_GES_GVA" localSheetId="7">#REF!</definedName>
    <definedName name="CI_SRVSIS0059_GES_GVA" localSheetId="10">#REF!</definedName>
    <definedName name="CI_SRVSIS0059_GES_GVA">#REF!</definedName>
    <definedName name="CI_SRVSIS0060_ACR" localSheetId="3">#REF!</definedName>
    <definedName name="CI_SRVSIS0060_ACR" localSheetId="4">#REF!</definedName>
    <definedName name="CI_SRVSIS0060_ACR" localSheetId="8">#REF!</definedName>
    <definedName name="CI_SRVSIS0060_ACR" localSheetId="7">#REF!</definedName>
    <definedName name="CI_SRVSIS0060_ACR" localSheetId="10">#REF!</definedName>
    <definedName name="CI_SRVSIS0060_ACR">#REF!</definedName>
    <definedName name="CI_SRVSIS0061_InfoGES" localSheetId="3">#REF!</definedName>
    <definedName name="CI_SRVSIS0061_InfoGES" localSheetId="4">#REF!</definedName>
    <definedName name="CI_SRVSIS0061_InfoGES" localSheetId="8">#REF!</definedName>
    <definedName name="CI_SRVSIS0061_InfoGES" localSheetId="7">#REF!</definedName>
    <definedName name="CI_SRVSIS0061_InfoGES" localSheetId="10">#REF!</definedName>
    <definedName name="CI_SRVSIS0061_InfoGES">#REF!</definedName>
    <definedName name="CI_SRVSIS0062_DWAnalítico" localSheetId="3">#REF!</definedName>
    <definedName name="CI_SRVSIS0062_DWAnalítico" localSheetId="4">#REF!</definedName>
    <definedName name="CI_SRVSIS0062_DWAnalítico" localSheetId="8">#REF!</definedName>
    <definedName name="CI_SRVSIS0062_DWAnalítico" localSheetId="7">#REF!</definedName>
    <definedName name="CI_SRVSIS0062_DWAnalítico" localSheetId="10">#REF!</definedName>
    <definedName name="CI_SRVSIS0062_DWAnalítico">#REF!</definedName>
    <definedName name="CI_SRVSIS0063_GES_GFF" localSheetId="3">#REF!</definedName>
    <definedName name="CI_SRVSIS0063_GES_GFF" localSheetId="4">#REF!</definedName>
    <definedName name="CI_SRVSIS0063_GES_GFF" localSheetId="8">#REF!</definedName>
    <definedName name="CI_SRVSIS0063_GES_GFF" localSheetId="7">#REF!</definedName>
    <definedName name="CI_SRVSIS0063_GES_GFF" localSheetId="10">#REF!</definedName>
    <definedName name="CI_SRVSIS0063_GES_GFF">#REF!</definedName>
    <definedName name="CI_SRVSIS0064_GES_GIF" localSheetId="3">#REF!</definedName>
    <definedName name="CI_SRVSIS0064_GES_GIF" localSheetId="4">#REF!</definedName>
    <definedName name="CI_SRVSIS0064_GES_GIF" localSheetId="8">#REF!</definedName>
    <definedName name="CI_SRVSIS0064_GES_GIF" localSheetId="7">#REF!</definedName>
    <definedName name="CI_SRVSIS0064_GES_GIF" localSheetId="10">#REF!</definedName>
    <definedName name="CI_SRVSIS0064_GES_GIF">#REF!</definedName>
    <definedName name="CI_SRVSIS0065_GES_SGF" localSheetId="3">#REF!</definedName>
    <definedName name="CI_SRVSIS0065_GES_SGF" localSheetId="4">#REF!</definedName>
    <definedName name="CI_SRVSIS0065_GES_SGF" localSheetId="8">#REF!</definedName>
    <definedName name="CI_SRVSIS0065_GES_SGF" localSheetId="7">#REF!</definedName>
    <definedName name="CI_SRVSIS0065_GES_SGF" localSheetId="10">#REF!</definedName>
    <definedName name="CI_SRVSIS0065_GES_SGF">#REF!</definedName>
    <definedName name="CI_SRVSIS0066_GES_SGS" localSheetId="3">#REF!</definedName>
    <definedName name="CI_SRVSIS0066_GES_SGS" localSheetId="4">#REF!</definedName>
    <definedName name="CI_SRVSIS0066_GES_SGS" localSheetId="8">#REF!</definedName>
    <definedName name="CI_SRVSIS0066_GES_SGS" localSheetId="7">#REF!</definedName>
    <definedName name="CI_SRVSIS0066_GES_SGS" localSheetId="10">#REF!</definedName>
    <definedName name="CI_SRVSIS0066_GES_SGS">#REF!</definedName>
    <definedName name="CI_SRVSIS0067_FDA" localSheetId="3">#REF!</definedName>
    <definedName name="CI_SRVSIS0067_FDA" localSheetId="4">#REF!</definedName>
    <definedName name="CI_SRVSIS0067_FDA" localSheetId="8">#REF!</definedName>
    <definedName name="CI_SRVSIS0067_FDA" localSheetId="7">#REF!</definedName>
    <definedName name="CI_SRVSIS0067_FDA" localSheetId="10">#REF!</definedName>
    <definedName name="CI_SRVSIS0067_FDA">#REF!</definedName>
    <definedName name="CI_SRVSIS0068_GES_SGO" localSheetId="3">#REF!</definedName>
    <definedName name="CI_SRVSIS0068_GES_SGO" localSheetId="4">#REF!</definedName>
    <definedName name="CI_SRVSIS0068_GES_SGO" localSheetId="8">#REF!</definedName>
    <definedName name="CI_SRVSIS0068_GES_SGO" localSheetId="7">#REF!</definedName>
    <definedName name="CI_SRVSIS0068_GES_SGO" localSheetId="10">#REF!</definedName>
    <definedName name="CI_SRVSIS0068_GES_SGO">#REF!</definedName>
    <definedName name="CI_SRVSIS0069_BaseAtivos" localSheetId="3">#REF!</definedName>
    <definedName name="CI_SRVSIS0069_BaseAtivos" localSheetId="4">#REF!</definedName>
    <definedName name="CI_SRVSIS0069_BaseAtivos" localSheetId="8">#REF!</definedName>
    <definedName name="CI_SRVSIS0069_BaseAtivos" localSheetId="7">#REF!</definedName>
    <definedName name="CI_SRVSIS0069_BaseAtivos" localSheetId="10">#REF!</definedName>
    <definedName name="CI_SRVSIS0069_BaseAtivos">#REF!</definedName>
    <definedName name="CI_SRVSIS0070_FGF" localSheetId="3">#REF!</definedName>
    <definedName name="CI_SRVSIS0070_FGF" localSheetId="4">#REF!</definedName>
    <definedName name="CI_SRVSIS0070_FGF" localSheetId="8">#REF!</definedName>
    <definedName name="CI_SRVSIS0070_FGF" localSheetId="7">#REF!</definedName>
    <definedName name="CI_SRVSIS0070_FGF" localSheetId="10">#REF!</definedName>
    <definedName name="CI_SRVSIS0070_FGF">#REF!</definedName>
    <definedName name="CI_SRVSIS0071_GES_FIN" localSheetId="3">#REF!</definedName>
    <definedName name="CI_SRVSIS0071_GES_FIN" localSheetId="4">#REF!</definedName>
    <definedName name="CI_SRVSIS0071_GES_FIN" localSheetId="8">#REF!</definedName>
    <definedName name="CI_SRVSIS0071_GES_FIN" localSheetId="7">#REF!</definedName>
    <definedName name="CI_SRVSIS0071_GES_FIN" localSheetId="10">#REF!</definedName>
    <definedName name="CI_SRVSIS0071_GES_FIN">#REF!</definedName>
    <definedName name="CI_SRVSIS0072_GES_FCC" localSheetId="3">#REF!</definedName>
    <definedName name="CI_SRVSIS0072_GES_FCC" localSheetId="4">#REF!</definedName>
    <definedName name="CI_SRVSIS0072_GES_FCC" localSheetId="8">#REF!</definedName>
    <definedName name="CI_SRVSIS0072_GES_FCC" localSheetId="7">#REF!</definedName>
    <definedName name="CI_SRVSIS0072_GES_FCC" localSheetId="10">#REF!</definedName>
    <definedName name="CI_SRVSIS0072_GES_FCC">#REF!</definedName>
    <definedName name="CI_SRVSIS0073_SPEDFiscal" localSheetId="3">#REF!</definedName>
    <definedName name="CI_SRVSIS0073_SPEDFiscal" localSheetId="4">#REF!</definedName>
    <definedName name="CI_SRVSIS0073_SPEDFiscal" localSheetId="8">#REF!</definedName>
    <definedName name="CI_SRVSIS0073_SPEDFiscal" localSheetId="7">#REF!</definedName>
    <definedName name="CI_SRVSIS0073_SPEDFiscal" localSheetId="10">#REF!</definedName>
    <definedName name="CI_SRVSIS0073_SPEDFiscal">#REF!</definedName>
    <definedName name="CI_SRVSIS0074_SPEDContábil" localSheetId="3">#REF!</definedName>
    <definedName name="CI_SRVSIS0074_SPEDContábil" localSheetId="4">#REF!</definedName>
    <definedName name="CI_SRVSIS0074_SPEDContábil" localSheetId="8">#REF!</definedName>
    <definedName name="CI_SRVSIS0074_SPEDContábil" localSheetId="7">#REF!</definedName>
    <definedName name="CI_SRVSIS0074_SPEDContábil" localSheetId="10">#REF!</definedName>
    <definedName name="CI_SRVSIS0074_SPEDContábil">#REF!</definedName>
    <definedName name="CI_SRVSIS0075_DIF" localSheetId="3">#REF!</definedName>
    <definedName name="CI_SRVSIS0075_DIF" localSheetId="4">#REF!</definedName>
    <definedName name="CI_SRVSIS0075_DIF" localSheetId="8">#REF!</definedName>
    <definedName name="CI_SRVSIS0075_DIF" localSheetId="7">#REF!</definedName>
    <definedName name="CI_SRVSIS0075_DIF" localSheetId="10">#REF!</definedName>
    <definedName name="CI_SRVSIS0075_DIF">#REF!</definedName>
    <definedName name="CI_SRVSIS0076_GES_SPA" localSheetId="3">#REF!</definedName>
    <definedName name="CI_SRVSIS0076_GES_SPA" localSheetId="4">#REF!</definedName>
    <definedName name="CI_SRVSIS0076_GES_SPA" localSheetId="8">#REF!</definedName>
    <definedName name="CI_SRVSIS0076_GES_SPA" localSheetId="7">#REF!</definedName>
    <definedName name="CI_SRVSIS0076_GES_SPA" localSheetId="10">#REF!</definedName>
    <definedName name="CI_SRVSIS0076_GES_SPA">#REF!</definedName>
    <definedName name="CI_SRVSIS0077_AMB" localSheetId="3">#REF!</definedName>
    <definedName name="CI_SRVSIS0077_AMB" localSheetId="4">#REF!</definedName>
    <definedName name="CI_SRVSIS0077_AMB" localSheetId="8">#REF!</definedName>
    <definedName name="CI_SRVSIS0077_AMB" localSheetId="7">#REF!</definedName>
    <definedName name="CI_SRVSIS0077_AMB" localSheetId="10">#REF!</definedName>
    <definedName name="CI_SRVSIS0077_AMB">#REF!</definedName>
    <definedName name="CI_SRVSIS0078_FACMat" localSheetId="3">#REF!</definedName>
    <definedName name="CI_SRVSIS0078_FACMat" localSheetId="4">#REF!</definedName>
    <definedName name="CI_SRVSIS0078_FACMat" localSheetId="8">#REF!</definedName>
    <definedName name="CI_SRVSIS0078_FACMat" localSheetId="7">#REF!</definedName>
    <definedName name="CI_SRVSIS0078_FACMat" localSheetId="10">#REF!</definedName>
    <definedName name="CI_SRVSIS0078_FACMat">#REF!</definedName>
    <definedName name="CI_SRVSIS0079_SGL" localSheetId="3">#REF!</definedName>
    <definedName name="CI_SRVSIS0079_SGL" localSheetId="4">#REF!</definedName>
    <definedName name="CI_SRVSIS0079_SGL" localSheetId="8">#REF!</definedName>
    <definedName name="CI_SRVSIS0079_SGL" localSheetId="7">#REF!</definedName>
    <definedName name="CI_SRVSIS0079_SGL" localSheetId="10">#REF!</definedName>
    <definedName name="CI_SRVSIS0079_SGL">#REF!</definedName>
    <definedName name="CI_SRVSIS0080_GES_ATL" localSheetId="3">#REF!</definedName>
    <definedName name="CI_SRVSIS0080_GES_ATL" localSheetId="4">#REF!</definedName>
    <definedName name="CI_SRVSIS0080_GES_ATL" localSheetId="8">#REF!</definedName>
    <definedName name="CI_SRVSIS0080_GES_ATL" localSheetId="7">#REF!</definedName>
    <definedName name="CI_SRVSIS0080_GES_ATL" localSheetId="10">#REF!</definedName>
    <definedName name="CI_SRVSIS0080_GES_ATL">#REF!</definedName>
    <definedName name="CI_SRVSIS0081_CEL" localSheetId="3">#REF!</definedName>
    <definedName name="CI_SRVSIS0081_CEL" localSheetId="4">#REF!</definedName>
    <definedName name="CI_SRVSIS0081_CEL" localSheetId="8">#REF!</definedName>
    <definedName name="CI_SRVSIS0081_CEL" localSheetId="7">#REF!</definedName>
    <definedName name="CI_SRVSIS0081_CEL" localSheetId="10">#REF!</definedName>
    <definedName name="CI_SRVSIS0081_CEL">#REF!</definedName>
    <definedName name="CI_SRVSIS0082_GES_SGE" localSheetId="3">#REF!</definedName>
    <definedName name="CI_SRVSIS0082_GES_SGE" localSheetId="4">#REF!</definedName>
    <definedName name="CI_SRVSIS0082_GES_SGE" localSheetId="8">#REF!</definedName>
    <definedName name="CI_SRVSIS0082_GES_SGE" localSheetId="7">#REF!</definedName>
    <definedName name="CI_SRVSIS0082_GES_SGE" localSheetId="10">#REF!</definedName>
    <definedName name="CI_SRVSIS0082_GES_SGE">#REF!</definedName>
    <definedName name="CI_SRVSIS0083_GerProjEmpreend" localSheetId="3">#REF!</definedName>
    <definedName name="CI_SRVSIS0083_GerProjEmpreend" localSheetId="4">#REF!</definedName>
    <definedName name="CI_SRVSIS0083_GerProjEmpreend" localSheetId="8">#REF!</definedName>
    <definedName name="CI_SRVSIS0083_GerProjEmpreend" localSheetId="7">#REF!</definedName>
    <definedName name="CI_SRVSIS0083_GerProjEmpreend" localSheetId="10">#REF!</definedName>
    <definedName name="CI_SRVSIS0083_GerProjEmpreend">#REF!</definedName>
    <definedName name="CI_SRVSIS0084_GES_SGT" localSheetId="3">#REF!</definedName>
    <definedName name="CI_SRVSIS0084_GES_SGT" localSheetId="4">#REF!</definedName>
    <definedName name="CI_SRVSIS0084_GES_SGT" localSheetId="8">#REF!</definedName>
    <definedName name="CI_SRVSIS0084_GES_SGT" localSheetId="7">#REF!</definedName>
    <definedName name="CI_SRVSIS0084_GES_SGT" localSheetId="10">#REF!</definedName>
    <definedName name="CI_SRVSIS0084_GES_SGT">#REF!</definedName>
    <definedName name="CI_SRVSIS0085_GES_FAP" localSheetId="3">#REF!</definedName>
    <definedName name="CI_SRVSIS0085_GES_FAP" localSheetId="4">#REF!</definedName>
    <definedName name="CI_SRVSIS0085_GES_FAP" localSheetId="8">#REF!</definedName>
    <definedName name="CI_SRVSIS0085_GES_FAP" localSheetId="7">#REF!</definedName>
    <definedName name="CI_SRVSIS0085_GES_FAP" localSheetId="10">#REF!</definedName>
    <definedName name="CI_SRVSIS0085_GES_FAP">#REF!</definedName>
    <definedName name="CI_SRVSIS0086_SURICATO" localSheetId="3">#REF!</definedName>
    <definedName name="CI_SRVSIS0086_SURICATO" localSheetId="4">#REF!</definedName>
    <definedName name="CI_SRVSIS0086_SURICATO" localSheetId="8">#REF!</definedName>
    <definedName name="CI_SRVSIS0086_SURICATO" localSheetId="7">#REF!</definedName>
    <definedName name="CI_SRVSIS0086_SURICATO" localSheetId="10">#REF!</definedName>
    <definedName name="CI_SRVSIS0086_SURICATO">#REF!</definedName>
    <definedName name="CI_SRVSIS0087_SRH" localSheetId="3">#REF!</definedName>
    <definedName name="CI_SRVSIS0087_SRH" localSheetId="4">#REF!</definedName>
    <definedName name="CI_SRVSIS0087_SRH" localSheetId="8">#REF!</definedName>
    <definedName name="CI_SRVSIS0087_SRH" localSheetId="7">#REF!</definedName>
    <definedName name="CI_SRVSIS0087_SRH" localSheetId="10">#REF!</definedName>
    <definedName name="CI_SRVSIS0087_SRH">#REF!</definedName>
    <definedName name="CI_SRVSIS0088_COBJUD" localSheetId="3">#REF!</definedName>
    <definedName name="CI_SRVSIS0088_COBJUD" localSheetId="4">#REF!</definedName>
    <definedName name="CI_SRVSIS0088_COBJUD" localSheetId="8">#REF!</definedName>
    <definedName name="CI_SRVSIS0088_COBJUD" localSheetId="7">#REF!</definedName>
    <definedName name="CI_SRVSIS0088_COBJUD" localSheetId="10">#REF!</definedName>
    <definedName name="CI_SRVSIS0088_COBJUD">#REF!</definedName>
    <definedName name="CI_SRVSIS0089_SISJURweb" localSheetId="3">#REF!</definedName>
    <definedName name="CI_SRVSIS0089_SISJURweb" localSheetId="4">#REF!</definedName>
    <definedName name="CI_SRVSIS0089_SISJURweb" localSheetId="8">#REF!</definedName>
    <definedName name="CI_SRVSIS0089_SISJURweb" localSheetId="7">#REF!</definedName>
    <definedName name="CI_SRVSIS0089_SISJURweb" localSheetId="10">#REF!</definedName>
    <definedName name="CI_SRVSIS0089_SISJURweb">#REF!</definedName>
    <definedName name="CI_SRVSIS0090_SIGA" localSheetId="3">#REF!</definedName>
    <definedName name="CI_SRVSIS0090_SIGA" localSheetId="4">#REF!</definedName>
    <definedName name="CI_SRVSIS0090_SIGA" localSheetId="8">#REF!</definedName>
    <definedName name="CI_SRVSIS0090_SIGA" localSheetId="7">#REF!</definedName>
    <definedName name="CI_SRVSIS0090_SIGA" localSheetId="10">#REF!</definedName>
    <definedName name="CI_SRVSIS0090_SIGA">#REF!</definedName>
    <definedName name="CI_SRVSIS0091_SistContratosConcessão" localSheetId="3">#REF!</definedName>
    <definedName name="CI_SRVSIS0091_SistContratosConcessão" localSheetId="4">#REF!</definedName>
    <definedName name="CI_SRVSIS0091_SistContratosConcessão" localSheetId="8">#REF!</definedName>
    <definedName name="CI_SRVSIS0091_SistContratosConcessão" localSheetId="7">#REF!</definedName>
    <definedName name="CI_SRVSIS0091_SistContratosConcessão" localSheetId="10">#REF!</definedName>
    <definedName name="CI_SRVSIS0091_SistContratosConcessão">#REF!</definedName>
    <definedName name="CI_SRVSIS0092_SAT" localSheetId="3">#REF!</definedName>
    <definedName name="CI_SRVSIS0092_SAT" localSheetId="4">#REF!</definedName>
    <definedName name="CI_SRVSIS0092_SAT" localSheetId="8">#REF!</definedName>
    <definedName name="CI_SRVSIS0092_SAT" localSheetId="7">#REF!</definedName>
    <definedName name="CI_SRVSIS0092_SAT" localSheetId="10">#REF!</definedName>
    <definedName name="CI_SRVSIS0092_SAT">#REF!</definedName>
    <definedName name="CI_SRVSIS0093_FLY" localSheetId="3">#REF!</definedName>
    <definedName name="CI_SRVSIS0093_FLY" localSheetId="4">#REF!</definedName>
    <definedName name="CI_SRVSIS0093_FLY" localSheetId="8">#REF!</definedName>
    <definedName name="CI_SRVSIS0093_FLY" localSheetId="7">#REF!</definedName>
    <definedName name="CI_SRVSIS0093_FLY" localSheetId="10">#REF!</definedName>
    <definedName name="CI_SRVSIS0093_FLY">#REF!</definedName>
    <definedName name="CI_SRVSIS0094_EDOC" localSheetId="3">#REF!</definedName>
    <definedName name="CI_SRVSIS0094_EDOC" localSheetId="4">#REF!</definedName>
    <definedName name="CI_SRVSIS0094_EDOC" localSheetId="8">#REF!</definedName>
    <definedName name="CI_SRVSIS0094_EDOC" localSheetId="7">#REF!</definedName>
    <definedName name="CI_SRVSIS0094_EDOC" localSheetId="10">#REF!</definedName>
    <definedName name="CI_SRVSIS0094_EDOC">#REF!</definedName>
    <definedName name="CI_SRVSIS0095_IMPRENSA" localSheetId="3">#REF!</definedName>
    <definedName name="CI_SRVSIS0095_IMPRENSA" localSheetId="4">#REF!</definedName>
    <definedName name="CI_SRVSIS0095_IMPRENSA" localSheetId="8">#REF!</definedName>
    <definedName name="CI_SRVSIS0095_IMPRENSA" localSheetId="7">#REF!</definedName>
    <definedName name="CI_SRVSIS0095_IMPRENSA" localSheetId="10">#REF!</definedName>
    <definedName name="CI_SRVSIS0095_IMPRENSA">#REF!</definedName>
    <definedName name="CI_SRVSIS0096_SOE" localSheetId="3">#REF!</definedName>
    <definedName name="CI_SRVSIS0096_SOE" localSheetId="4">#REF!</definedName>
    <definedName name="CI_SRVSIS0096_SOE" localSheetId="8">#REF!</definedName>
    <definedName name="CI_SRVSIS0096_SOE" localSheetId="7">#REF!</definedName>
    <definedName name="CI_SRVSIS0096_SOE" localSheetId="10">#REF!</definedName>
    <definedName name="CI_SRVSIS0096_SOE">#REF!</definedName>
    <definedName name="CI_SRVSIS0097_GEDOC" localSheetId="3">#REF!</definedName>
    <definedName name="CI_SRVSIS0097_GEDOC" localSheetId="4">#REF!</definedName>
    <definedName name="CI_SRVSIS0097_GEDOC" localSheetId="8">#REF!</definedName>
    <definedName name="CI_SRVSIS0097_GEDOC" localSheetId="7">#REF!</definedName>
    <definedName name="CI_SRVSIS0097_GEDOC" localSheetId="10">#REF!</definedName>
    <definedName name="CI_SRVSIS0097_GEDOC">#REF!</definedName>
    <definedName name="CI_SRVSIS0098_GGRUPOS" localSheetId="3">#REF!</definedName>
    <definedName name="CI_SRVSIS0098_GGRUPOS" localSheetId="4">#REF!</definedName>
    <definedName name="CI_SRVSIS0098_GGRUPOS" localSheetId="8">#REF!</definedName>
    <definedName name="CI_SRVSIS0098_GGRUPOS" localSheetId="7">#REF!</definedName>
    <definedName name="CI_SRVSIS0098_GGRUPOS" localSheetId="10">#REF!</definedName>
    <definedName name="CI_SRVSIS0098_GGRUPOS">#REF!</definedName>
    <definedName name="CI_SRVSIS0099_SIA" localSheetId="3">#REF!</definedName>
    <definedName name="CI_SRVSIS0099_SIA" localSheetId="4">#REF!</definedName>
    <definedName name="CI_SRVSIS0099_SIA" localSheetId="8">#REF!</definedName>
    <definedName name="CI_SRVSIS0099_SIA" localSheetId="7">#REF!</definedName>
    <definedName name="CI_SRVSIS0099_SIA" localSheetId="10">#REF!</definedName>
    <definedName name="CI_SRVSIS0099_SIA">#REF!</definedName>
    <definedName name="CI_SRVSIS0100_DD" localSheetId="3">#REF!</definedName>
    <definedName name="CI_SRVSIS0100_DD" localSheetId="4">#REF!</definedName>
    <definedName name="CI_SRVSIS0100_DD" localSheetId="8">#REF!</definedName>
    <definedName name="CI_SRVSIS0100_DD" localSheetId="7">#REF!</definedName>
    <definedName name="CI_SRVSIS0100_DD" localSheetId="10">#REF!</definedName>
    <definedName name="CI_SRVSIS0100_DD">#REF!</definedName>
    <definedName name="CI_SRVSIS0101_NR10" localSheetId="3">#REF!</definedName>
    <definedName name="CI_SRVSIS0101_NR10" localSheetId="4">#REF!</definedName>
    <definedName name="CI_SRVSIS0101_NR10" localSheetId="8">#REF!</definedName>
    <definedName name="CI_SRVSIS0101_NR10" localSheetId="7">#REF!</definedName>
    <definedName name="CI_SRVSIS0101_NR10" localSheetId="10">#REF!</definedName>
    <definedName name="CI_SRVSIS0101_NR10">#REF!</definedName>
    <definedName name="CI_SRVSIS0102_GestãoFatosRelevantes" localSheetId="3">#REF!</definedName>
    <definedName name="CI_SRVSIS0102_GestãoFatosRelevantes" localSheetId="4">#REF!</definedName>
    <definedName name="CI_SRVSIS0102_GestãoFatosRelevantes" localSheetId="8">#REF!</definedName>
    <definedName name="CI_SRVSIS0102_GestãoFatosRelevantes" localSheetId="7">#REF!</definedName>
    <definedName name="CI_SRVSIS0102_GestãoFatosRelevantes" localSheetId="10">#REF!</definedName>
    <definedName name="CI_SRVSIS0102_GestãoFatosRelevantes">#REF!</definedName>
    <definedName name="CI_SRVSIS0103_ReservaRecursos" localSheetId="3">#REF!</definedName>
    <definedName name="CI_SRVSIS0103_ReservaRecursos" localSheetId="4">#REF!</definedName>
    <definedName name="CI_SRVSIS0103_ReservaRecursos" localSheetId="8">#REF!</definedName>
    <definedName name="CI_SRVSIS0103_ReservaRecursos" localSheetId="7">#REF!</definedName>
    <definedName name="CI_SRVSIS0103_ReservaRecursos" localSheetId="10">#REF!</definedName>
    <definedName name="CI_SRVSIS0103_ReservaRecursos">#REF!</definedName>
    <definedName name="CI_SRVSIS0104_AgendaPresidência" localSheetId="3">#REF!</definedName>
    <definedName name="CI_SRVSIS0104_AgendaPresidência" localSheetId="4">#REF!</definedName>
    <definedName name="CI_SRVSIS0104_AgendaPresidência" localSheetId="8">#REF!</definedName>
    <definedName name="CI_SRVSIS0104_AgendaPresidência" localSheetId="7">#REF!</definedName>
    <definedName name="CI_SRVSIS0104_AgendaPresidência" localSheetId="10">#REF!</definedName>
    <definedName name="CI_SRVSIS0104_AgendaPresidência">#REF!</definedName>
    <definedName name="CI_SRVSIS0105_SOMPS" localSheetId="3">#REF!</definedName>
    <definedName name="CI_SRVSIS0105_SOMPS" localSheetId="4">#REF!</definedName>
    <definedName name="CI_SRVSIS0105_SOMPS" localSheetId="8">#REF!</definedName>
    <definedName name="CI_SRVSIS0105_SOMPS" localSheetId="7">#REF!</definedName>
    <definedName name="CI_SRVSIS0105_SOMPS" localSheetId="10">#REF!</definedName>
    <definedName name="CI_SRVSIS0105_SOMPS">#REF!</definedName>
    <definedName name="CI_SRVSIS0106_SISPAR" localSheetId="3">#REF!</definedName>
    <definedName name="CI_SRVSIS0106_SISPAR" localSheetId="4">#REF!</definedName>
    <definedName name="CI_SRVSIS0106_SISPAR" localSheetId="8">#REF!</definedName>
    <definedName name="CI_SRVSIS0106_SISPAR" localSheetId="7">#REF!</definedName>
    <definedName name="CI_SRVSIS0106_SISPAR" localSheetId="10">#REF!</definedName>
    <definedName name="CI_SRVSIS0106_SISPAR">#REF!</definedName>
    <definedName name="CI_SRVSIS0107_IGI" localSheetId="3">#REF!</definedName>
    <definedName name="CI_SRVSIS0107_IGI" localSheetId="4">#REF!</definedName>
    <definedName name="CI_SRVSIS0107_IGI" localSheetId="8">#REF!</definedName>
    <definedName name="CI_SRVSIS0107_IGI" localSheetId="7">#REF!</definedName>
    <definedName name="CI_SRVSIS0107_IGI" localSheetId="10">#REF!</definedName>
    <definedName name="CI_SRVSIS0107_IGI">#REF!</definedName>
    <definedName name="CI_SRVSIS0108_ISL" localSheetId="3">#REF!</definedName>
    <definedName name="CI_SRVSIS0108_ISL" localSheetId="4">#REF!</definedName>
    <definedName name="CI_SRVSIS0108_ISL" localSheetId="8">#REF!</definedName>
    <definedName name="CI_SRVSIS0108_ISL" localSheetId="7">#REF!</definedName>
    <definedName name="CI_SRVSIS0108_ISL" localSheetId="10">#REF!</definedName>
    <definedName name="CI_SRVSIS0108_ISL">#REF!</definedName>
    <definedName name="CI_SRVSIS0109_RVS" localSheetId="3">#REF!</definedName>
    <definedName name="CI_SRVSIS0109_RVS" localSheetId="4">#REF!</definedName>
    <definedName name="CI_SRVSIS0109_RVS" localSheetId="8">#REF!</definedName>
    <definedName name="CI_SRVSIS0109_RVS" localSheetId="7">#REF!</definedName>
    <definedName name="CI_SRVSIS0109_RVS" localSheetId="10">#REF!</definedName>
    <definedName name="CI_SRVSIS0109_RVS">#REF!</definedName>
    <definedName name="CI_SRVSIS0110_DID" localSheetId="3">#REF!</definedName>
    <definedName name="CI_SRVSIS0110_DID" localSheetId="4">#REF!</definedName>
    <definedName name="CI_SRVSIS0110_DID" localSheetId="8">#REF!</definedName>
    <definedName name="CI_SRVSIS0110_DID" localSheetId="7">#REF!</definedName>
    <definedName name="CI_SRVSIS0110_DID" localSheetId="10">#REF!</definedName>
    <definedName name="CI_SRVSIS0110_DID">#REF!</definedName>
    <definedName name="CI_SRVSIS0111_IGE" localSheetId="3">#REF!</definedName>
    <definedName name="CI_SRVSIS0111_IGE" localSheetId="4">#REF!</definedName>
    <definedName name="CI_SRVSIS0111_IGE" localSheetId="8">#REF!</definedName>
    <definedName name="CI_SRVSIS0111_IGE" localSheetId="7">#REF!</definedName>
    <definedName name="CI_SRVSIS0111_IGE" localSheetId="10">#REF!</definedName>
    <definedName name="CI_SRVSIS0111_IGE">#REF!</definedName>
    <definedName name="CI_SRVSIS0112_KGR" localSheetId="3">#REF!</definedName>
    <definedName name="CI_SRVSIS0112_KGR" localSheetId="4">#REF!</definedName>
    <definedName name="CI_SRVSIS0112_KGR" localSheetId="8">#REF!</definedName>
    <definedName name="CI_SRVSIS0112_KGR" localSheetId="7">#REF!</definedName>
    <definedName name="CI_SRVSIS0112_KGR" localSheetId="10">#REF!</definedName>
    <definedName name="CI_SRVSIS0112_KGR">#REF!</definedName>
    <definedName name="CI_SRVSIS0113_ISC" localSheetId="3">#REF!</definedName>
    <definedName name="CI_SRVSIS0113_ISC" localSheetId="4">#REF!</definedName>
    <definedName name="CI_SRVSIS0113_ISC" localSheetId="8">#REF!</definedName>
    <definedName name="CI_SRVSIS0113_ISC" localSheetId="7">#REF!</definedName>
    <definedName name="CI_SRVSIS0113_ISC" localSheetId="10">#REF!</definedName>
    <definedName name="CI_SRVSIS0113_ISC">#REF!</definedName>
    <definedName name="CI_SRVSIS0116_SDP" localSheetId="3">#REF!</definedName>
    <definedName name="CI_SRVSIS0116_SDP" localSheetId="4">#REF!</definedName>
    <definedName name="CI_SRVSIS0116_SDP" localSheetId="8">#REF!</definedName>
    <definedName name="CI_SRVSIS0116_SDP" localSheetId="7">#REF!</definedName>
    <definedName name="CI_SRVSIS0116_SDP" localSheetId="10">#REF!</definedName>
    <definedName name="CI_SRVSIS0116_SDP">#REF!</definedName>
    <definedName name="CI_SRVSIS0117_SERC" localSheetId="3">#REF!</definedName>
    <definedName name="CI_SRVSIS0117_SERC" localSheetId="4">#REF!</definedName>
    <definedName name="CI_SRVSIS0117_SERC" localSheetId="8">#REF!</definedName>
    <definedName name="CI_SRVSIS0117_SERC" localSheetId="7">#REF!</definedName>
    <definedName name="CI_SRVSIS0117_SERC" localSheetId="10">#REF!</definedName>
    <definedName name="CI_SRVSIS0117_SERC">#REF!</definedName>
    <definedName name="CI_SRVSIS0118_SFF" localSheetId="3">#REF!</definedName>
    <definedName name="CI_SRVSIS0118_SFF" localSheetId="4">#REF!</definedName>
    <definedName name="CI_SRVSIS0118_SFF" localSheetId="8">#REF!</definedName>
    <definedName name="CI_SRVSIS0118_SFF" localSheetId="7">#REF!</definedName>
    <definedName name="CI_SRVSIS0118_SFF" localSheetId="10">#REF!</definedName>
    <definedName name="CI_SRVSIS0118_SFF">#REF!</definedName>
    <definedName name="CI_SRVSIS0119_ProtocoloWeb" localSheetId="3">#REF!</definedName>
    <definedName name="CI_SRVSIS0119_ProtocoloWeb" localSheetId="4">#REF!</definedName>
    <definedName name="CI_SRVSIS0119_ProtocoloWeb" localSheetId="8">#REF!</definedName>
    <definedName name="CI_SRVSIS0119_ProtocoloWeb" localSheetId="7">#REF!</definedName>
    <definedName name="CI_SRVSIS0119_ProtocoloWeb" localSheetId="10">#REF!</definedName>
    <definedName name="CI_SRVSIS0119_ProtocoloWeb">#REF!</definedName>
    <definedName name="CI_SRVSIS0120_GTIS" localSheetId="3">#REF!</definedName>
    <definedName name="CI_SRVSIS0120_GTIS" localSheetId="4">#REF!</definedName>
    <definedName name="CI_SRVSIS0120_GTIS" localSheetId="8">#REF!</definedName>
    <definedName name="CI_SRVSIS0120_GTIS" localSheetId="7">#REF!</definedName>
    <definedName name="CI_SRVSIS0120_GTIS" localSheetId="10">#REF!</definedName>
    <definedName name="CI_SRVSIS0120_GTIS">#REF!</definedName>
    <definedName name="col_nd" localSheetId="3">#REF!</definedName>
    <definedName name="col_nd" localSheetId="8">#REF!</definedName>
    <definedName name="col_nd" localSheetId="7">#REF!</definedName>
    <definedName name="col_nd" localSheetId="10">#REF!</definedName>
    <definedName name="col_nd">#REF!</definedName>
    <definedName name="col_nd2" localSheetId="3">#REF!</definedName>
    <definedName name="col_nd2" localSheetId="8">#REF!</definedName>
    <definedName name="col_nd2" localSheetId="7">#REF!</definedName>
    <definedName name="col_nd2" localSheetId="10">#REF!</definedName>
    <definedName name="col_nd2">#REF!</definedName>
    <definedName name="col_server" localSheetId="3">#REF!</definedName>
    <definedName name="col_server" localSheetId="8">#REF!</definedName>
    <definedName name="col_server" localSheetId="7">#REF!</definedName>
    <definedName name="col_server" localSheetId="10">#REF!</definedName>
    <definedName name="col_server">#REF!</definedName>
    <definedName name="col_server1" localSheetId="3">#REF!</definedName>
    <definedName name="col_server1" localSheetId="8">#REF!</definedName>
    <definedName name="col_server1" localSheetId="7">#REF!</definedName>
    <definedName name="col_server1" localSheetId="10">#REF!</definedName>
    <definedName name="col_server1">#REF!</definedName>
    <definedName name="col_server2" localSheetId="3">#REF!</definedName>
    <definedName name="col_server2" localSheetId="8">#REF!</definedName>
    <definedName name="col_server2" localSheetId="7">#REF!</definedName>
    <definedName name="col_server2" localSheetId="10">#REF!</definedName>
    <definedName name="col_server2">#REF!</definedName>
    <definedName name="col_ws" localSheetId="3">#REF!</definedName>
    <definedName name="col_ws" localSheetId="8">#REF!</definedName>
    <definedName name="col_ws" localSheetId="7">#REF!</definedName>
    <definedName name="col_ws" localSheetId="10">#REF!</definedName>
    <definedName name="col_ws">#REF!</definedName>
    <definedName name="col_ws1" localSheetId="3">#REF!</definedName>
    <definedName name="col_ws1" localSheetId="8">#REF!</definedName>
    <definedName name="col_ws1" localSheetId="7">#REF!</definedName>
    <definedName name="col_ws1" localSheetId="10">#REF!</definedName>
    <definedName name="col_ws1">#REF!</definedName>
    <definedName name="Criticidade" localSheetId="3">'[3]COBERTURA NACIONAL'!#REF!</definedName>
    <definedName name="Criticidade" localSheetId="8">'[3]COBERTURA NACIONAL'!#REF!</definedName>
    <definedName name="Criticidade" localSheetId="7">'[3]COBERTURA NACIONAL'!#REF!</definedName>
    <definedName name="Criticidade" localSheetId="10">'[3]COBERTURA NACIONAL'!#REF!</definedName>
    <definedName name="Criticidade">'[3]COBERTURA NACIONAL'!#REF!</definedName>
    <definedName name="D" localSheetId="3">#REF!</definedName>
    <definedName name="D" localSheetId="8">#REF!</definedName>
    <definedName name="D" localSheetId="7">#REF!</definedName>
    <definedName name="D" localSheetId="10">#REF!</definedName>
    <definedName name="D">#REF!</definedName>
    <definedName name="Foco_Serviço" localSheetId="3">[4]!Tabela3[Foco Serviço]</definedName>
    <definedName name="Foco_Serviço" localSheetId="4">#REF!</definedName>
    <definedName name="Foco_Serviço" localSheetId="8">#REF!</definedName>
    <definedName name="Foco_Serviço" localSheetId="7">#REF!</definedName>
    <definedName name="Foco_Serviço" localSheetId="10">#REF!</definedName>
    <definedName name="Foco_Serviço">#REF!</definedName>
    <definedName name="Formas_Acionamento" localSheetId="3">[4]!Tabela5[Formas de Acionamento]</definedName>
    <definedName name="Formas_Acionamento" localSheetId="4">#REF!</definedName>
    <definedName name="Formas_Acionamento" localSheetId="8">#REF!</definedName>
    <definedName name="Formas_Acionamento" localSheetId="7">#REF!</definedName>
    <definedName name="Formas_Acionamento" localSheetId="10">#REF!</definedName>
    <definedName name="Formas_Acionamento">#REF!</definedName>
    <definedName name="Grupos_Solucionadores" localSheetId="3">[4]!Tabela4[Grupos Solucionadores]</definedName>
    <definedName name="Grupos_Solucionadores" localSheetId="4">#REF!</definedName>
    <definedName name="Grupos_Solucionadores" localSheetId="8">#REF!</definedName>
    <definedName name="Grupos_Solucionadores" localSheetId="7">#REF!</definedName>
    <definedName name="Grupos_Solucionadores" localSheetId="10">#REF!</definedName>
    <definedName name="Grupos_Solucionadores">#REF!</definedName>
    <definedName name="local" localSheetId="3">'[3]COBERTURA NACIONAL'!#REF!</definedName>
    <definedName name="local" localSheetId="8">'[3]COBERTURA NACIONAL'!#REF!</definedName>
    <definedName name="local" localSheetId="7">'[3]COBERTURA NACIONAL'!#REF!</definedName>
    <definedName name="local" localSheetId="10">'[3]COBERTURA NACIONAL'!#REF!</definedName>
    <definedName name="local">'[3]COBERTURA NACIONAL'!#REF!</definedName>
    <definedName name="Periodicidade" localSheetId="3">[4]!Tabela6[Periodicidade]</definedName>
    <definedName name="Periodicidade" localSheetId="4">#REF!</definedName>
    <definedName name="Periodicidade" localSheetId="8">#REF!</definedName>
    <definedName name="Periodicidade" localSheetId="7">#REF!</definedName>
    <definedName name="Periodicidade" localSheetId="10">#REF!</definedName>
    <definedName name="Periodicidade">#REF!</definedName>
    <definedName name="peso_nd2" localSheetId="3">#REF!</definedName>
    <definedName name="peso_nd2" localSheetId="8">#REF!</definedName>
    <definedName name="peso_nd2" localSheetId="7">#REF!</definedName>
    <definedName name="peso_nd2" localSheetId="10">#REF!</definedName>
    <definedName name="peso_nd2">#REF!</definedName>
    <definedName name="peso_server" localSheetId="3">'[1]Visão Geral'!#REF!</definedName>
    <definedName name="peso_server" localSheetId="8">'[1]Visão Geral'!#REF!</definedName>
    <definedName name="peso_server" localSheetId="7">'[1]Visão Geral'!#REF!</definedName>
    <definedName name="peso_server" localSheetId="10">'[1]Visão Geral'!#REF!</definedName>
    <definedName name="peso_server">'[1]Visão Geral'!#REF!</definedName>
    <definedName name="peso_server2" localSheetId="3">#REF!</definedName>
    <definedName name="peso_server2" localSheetId="8">#REF!</definedName>
    <definedName name="peso_server2" localSheetId="7">#REF!</definedName>
    <definedName name="peso_server2" localSheetId="10">#REF!</definedName>
    <definedName name="peso_server2">#REF!</definedName>
    <definedName name="peso_ws" localSheetId="3">'[1]Visão Geral'!#REF!</definedName>
    <definedName name="peso_ws" localSheetId="8">'[1]Visão Geral'!#REF!</definedName>
    <definedName name="peso_ws" localSheetId="7">'[1]Visão Geral'!#REF!</definedName>
    <definedName name="peso_ws" localSheetId="10">'[1]Visão Geral'!#REF!</definedName>
    <definedName name="peso_ws">'[1]Visão Geral'!#REF!</definedName>
    <definedName name="peso_ws2" localSheetId="3">#REF!</definedName>
    <definedName name="peso_ws2" localSheetId="8">#REF!</definedName>
    <definedName name="peso_ws2" localSheetId="7">#REF!</definedName>
    <definedName name="peso_ws2" localSheetId="10">#REF!</definedName>
    <definedName name="peso_ws2">#REF!</definedName>
    <definedName name="Responsável" localSheetId="3">[4]!Tabela1[Responsável]</definedName>
    <definedName name="Responsável" localSheetId="4">#REF!</definedName>
    <definedName name="Responsável" localSheetId="8">#REF!</definedName>
    <definedName name="Responsável" localSheetId="7">#REF!</definedName>
    <definedName name="Responsável" localSheetId="10">#REF!</definedName>
    <definedName name="Responsável">#REF!</definedName>
    <definedName name="sdfsdfsdf" localSheetId="3">'[1]Visão Geral'!#REF!</definedName>
    <definedName name="sdfsdfsdf" localSheetId="8">'[1]Visão Geral'!#REF!</definedName>
    <definedName name="sdfsdfsdf" localSheetId="7">'[1]Visão Geral'!#REF!</definedName>
    <definedName name="sdfsdfsdf" localSheetId="10">'[1]Visão Geral'!#REF!</definedName>
    <definedName name="sdfsdfsdf">'[1]Visão Geral'!#REF!</definedName>
    <definedName name="SINAL" localSheetId="3">'[3]QUALIDADE DE SINAL'!#REF!</definedName>
    <definedName name="SINAL" localSheetId="8">'[3]QUALIDADE DE SINAL'!#REF!</definedName>
    <definedName name="SINAL" localSheetId="7">'[3]QUALIDADE DE SINAL'!#REF!</definedName>
    <definedName name="SINAL" localSheetId="10">'[3]QUALIDADE DE SINAL'!#REF!</definedName>
    <definedName name="SINAL">'[3]QUALIDADE DE SINAL'!#REF!</definedName>
    <definedName name="Status_Serviço" localSheetId="3">[4]!Tabela8[Status Serviço]</definedName>
    <definedName name="Status_Serviço" localSheetId="4">#REF!</definedName>
    <definedName name="Status_Serviço" localSheetId="8">#REF!</definedName>
    <definedName name="Status_Serviço" localSheetId="7">#REF!</definedName>
    <definedName name="Status_Serviço" localSheetId="10">#REF!</definedName>
    <definedName name="Status_Serviço">#REF!</definedName>
    <definedName name="Tipo_Atividade_Serviço" localSheetId="3">[4]!Tabela2[Tipo Atividade Serviço]</definedName>
    <definedName name="Tipo_Atividade_Serviço" localSheetId="4">#REF!</definedName>
    <definedName name="Tipo_Atividade_Serviço" localSheetId="8">#REF!</definedName>
    <definedName name="Tipo_Atividade_Serviço" localSheetId="7">#REF!</definedName>
    <definedName name="Tipo_Atividade_Serviço" localSheetId="10">#REF!</definedName>
    <definedName name="Tipo_Atividade_Serviço">#REF!</definedName>
    <definedName name="Torres_Serviços" localSheetId="3">[4]!Tabela7[Torres de Serviços]</definedName>
    <definedName name="Torres_Serviços" localSheetId="4">#REF!</definedName>
    <definedName name="Torres_Serviços" localSheetId="8">#REF!</definedName>
    <definedName name="Torres_Serviços" localSheetId="7">#REF!</definedName>
    <definedName name="Torres_Serviços" localSheetId="10">#REF!</definedName>
    <definedName name="Torres_Serviços">#REF!</definedName>
  </definedNames>
  <calcPr calcId="171027" concurrentCalc="0"/>
  <pivotCaches>
    <pivotCache cacheId="0" r:id="rId18"/>
  </pivotCaches>
  <extLst>
    <ext xmlns:mx="http://schemas.microsoft.com/office/mac/excel/2008/main" uri="{7523E5D3-25F3-A5E0-1632-64F254C22452}">
      <mx:ArchID Flags="2"/>
    </ext>
  </extLst>
</workbook>
</file>

<file path=xl/calcChain.xml><?xml version="1.0" encoding="utf-8"?>
<calcChain xmlns="http://schemas.openxmlformats.org/spreadsheetml/2006/main">
  <c r="L332" i="82" l="1"/>
  <c r="K332" i="82"/>
  <c r="Q332" i="82"/>
  <c r="L331" i="82"/>
  <c r="K331" i="82"/>
  <c r="Q331" i="82"/>
  <c r="K330" i="82"/>
  <c r="Q330" i="82"/>
  <c r="L330" i="82"/>
  <c r="K329" i="82"/>
  <c r="Q329" i="82"/>
  <c r="L329" i="82"/>
  <c r="K328" i="82"/>
  <c r="Q328" i="82"/>
  <c r="L328" i="82"/>
  <c r="K327" i="82"/>
  <c r="Q327" i="82"/>
  <c r="L327" i="82"/>
  <c r="K326" i="82"/>
  <c r="Q326" i="82"/>
  <c r="L326" i="82"/>
  <c r="K325" i="82"/>
  <c r="Q325" i="82"/>
  <c r="L325" i="82"/>
  <c r="K324" i="82"/>
  <c r="Q324" i="82"/>
  <c r="L324" i="82"/>
  <c r="K323" i="82"/>
  <c r="Q323" i="82"/>
  <c r="L323" i="82"/>
  <c r="K322" i="82"/>
  <c r="Q322" i="82"/>
  <c r="L322" i="82"/>
  <c r="K321" i="82"/>
  <c r="Q321" i="82"/>
  <c r="L321" i="82"/>
  <c r="K320" i="82"/>
  <c r="Q320" i="82"/>
  <c r="L320" i="82"/>
  <c r="K319" i="82"/>
  <c r="Q319" i="82"/>
  <c r="L319" i="82"/>
  <c r="K318" i="82"/>
  <c r="Q318" i="82"/>
  <c r="L318" i="82"/>
  <c r="K317" i="82"/>
  <c r="Q317" i="82"/>
  <c r="L317" i="82"/>
  <c r="K316" i="82"/>
  <c r="Q316" i="82"/>
  <c r="L316" i="82"/>
  <c r="K315" i="82"/>
  <c r="Q315" i="82"/>
  <c r="L315" i="82"/>
  <c r="K314" i="82"/>
  <c r="Q314" i="82"/>
  <c r="L314" i="82"/>
  <c r="K313" i="82"/>
  <c r="Q313" i="82"/>
  <c r="L313" i="82"/>
  <c r="K312" i="82"/>
  <c r="Q312" i="82"/>
  <c r="L312" i="82"/>
  <c r="K311" i="82"/>
  <c r="Q311" i="82"/>
  <c r="L311" i="82"/>
  <c r="K310" i="82"/>
  <c r="Q310" i="82"/>
  <c r="L310" i="82"/>
  <c r="K309" i="82"/>
  <c r="Q309" i="82"/>
  <c r="L309" i="82"/>
  <c r="K308" i="82"/>
  <c r="Q308" i="82"/>
  <c r="L308" i="82"/>
  <c r="K307" i="82"/>
  <c r="Q307" i="82"/>
  <c r="L307" i="82"/>
  <c r="K306" i="82"/>
  <c r="Q306" i="82"/>
  <c r="L306" i="82"/>
  <c r="K305" i="82"/>
  <c r="Q305" i="82"/>
  <c r="L305" i="82"/>
  <c r="K304" i="82"/>
  <c r="Q304" i="82"/>
  <c r="L304" i="82"/>
  <c r="K303" i="82"/>
  <c r="Q303" i="82"/>
  <c r="L303" i="82"/>
  <c r="K302" i="82"/>
  <c r="Q302" i="82"/>
  <c r="L302" i="82"/>
  <c r="K301" i="82"/>
  <c r="Q301" i="82"/>
  <c r="L301" i="82"/>
  <c r="K300" i="82"/>
  <c r="Q300" i="82"/>
  <c r="L300" i="82"/>
  <c r="K299" i="82"/>
  <c r="Q299" i="82"/>
  <c r="L299" i="82"/>
  <c r="K298" i="82"/>
  <c r="Q298" i="82"/>
  <c r="L298" i="82"/>
  <c r="K297" i="82"/>
  <c r="Q297" i="82"/>
  <c r="L297" i="82"/>
  <c r="K296" i="82"/>
  <c r="Q296" i="82"/>
  <c r="L296" i="82"/>
  <c r="K295" i="82"/>
  <c r="Q295" i="82"/>
  <c r="L295" i="82"/>
  <c r="K294" i="82"/>
  <c r="Q294" i="82"/>
  <c r="L294" i="82"/>
  <c r="K293" i="82"/>
  <c r="Q293" i="82"/>
  <c r="L293" i="82"/>
  <c r="K292" i="82"/>
  <c r="Q292" i="82"/>
  <c r="L292" i="82"/>
  <c r="K291" i="82"/>
  <c r="Q291" i="82"/>
  <c r="L291" i="82"/>
  <c r="K290" i="82"/>
  <c r="Q290" i="82"/>
  <c r="L290" i="82"/>
  <c r="K289" i="82"/>
  <c r="Q289" i="82"/>
  <c r="L289" i="82"/>
  <c r="K288" i="82"/>
  <c r="Q288" i="82"/>
  <c r="L288" i="82"/>
  <c r="K287" i="82"/>
  <c r="Q287" i="82"/>
  <c r="L287" i="82"/>
  <c r="K286" i="82"/>
  <c r="Q286" i="82"/>
  <c r="L286" i="82"/>
  <c r="K285" i="82"/>
  <c r="Q285" i="82"/>
  <c r="L285" i="82"/>
  <c r="K284" i="82"/>
  <c r="Q284" i="82"/>
  <c r="L284" i="82"/>
  <c r="K283" i="82"/>
  <c r="Q283" i="82"/>
  <c r="L283" i="82"/>
  <c r="K282" i="82"/>
  <c r="Q282" i="82"/>
  <c r="L282" i="82"/>
  <c r="K281" i="82"/>
  <c r="Q281" i="82"/>
  <c r="L281" i="82"/>
  <c r="K280" i="82"/>
  <c r="Q280" i="82"/>
  <c r="L280" i="82"/>
  <c r="K279" i="82"/>
  <c r="Q279" i="82"/>
  <c r="L279" i="82"/>
  <c r="L278" i="82"/>
  <c r="K278" i="82"/>
  <c r="Q278" i="82"/>
  <c r="U278" i="82"/>
  <c r="K277" i="82"/>
  <c r="Q277" i="82"/>
  <c r="L277" i="82"/>
  <c r="L276" i="82"/>
  <c r="K276" i="82"/>
  <c r="Q276" i="82"/>
  <c r="K275" i="82"/>
  <c r="Q275" i="82"/>
  <c r="L275" i="82"/>
  <c r="K274" i="82"/>
  <c r="Q274" i="82"/>
  <c r="L274" i="82"/>
  <c r="K273" i="82"/>
  <c r="Q273" i="82"/>
  <c r="L273" i="82"/>
  <c r="K272" i="82"/>
  <c r="Q272" i="82"/>
  <c r="L272" i="82"/>
  <c r="K271" i="82"/>
  <c r="Q271" i="82"/>
  <c r="L271" i="82"/>
  <c r="K270" i="82"/>
  <c r="Q270" i="82"/>
  <c r="L270" i="82"/>
  <c r="K269" i="82"/>
  <c r="Q269" i="82"/>
  <c r="L269" i="82"/>
  <c r="K268" i="82"/>
  <c r="Q268" i="82"/>
  <c r="L268" i="82"/>
  <c r="K267" i="82"/>
  <c r="Q267" i="82"/>
  <c r="L267" i="82"/>
  <c r="K266" i="82"/>
  <c r="Q266" i="82"/>
  <c r="L266" i="82"/>
  <c r="L265" i="82"/>
  <c r="K265" i="82"/>
  <c r="Q265" i="82"/>
  <c r="L264" i="82"/>
  <c r="K264" i="82"/>
  <c r="Q264" i="82"/>
  <c r="L263" i="82"/>
  <c r="K263" i="82"/>
  <c r="Q263" i="82"/>
  <c r="L262" i="82"/>
  <c r="K262" i="82"/>
  <c r="Q262" i="82"/>
  <c r="L261" i="82"/>
  <c r="K261" i="82"/>
  <c r="Q261" i="82"/>
  <c r="L260" i="82"/>
  <c r="K260" i="82"/>
  <c r="Q260" i="82"/>
  <c r="L259" i="82"/>
  <c r="K259" i="82"/>
  <c r="Q259" i="82"/>
  <c r="L258" i="82"/>
  <c r="K258" i="82"/>
  <c r="Q258" i="82"/>
  <c r="L257" i="82"/>
  <c r="K257" i="82"/>
  <c r="Q257" i="82"/>
  <c r="L256" i="82"/>
  <c r="K256" i="82"/>
  <c r="Q256" i="82"/>
  <c r="L255" i="82"/>
  <c r="K255" i="82"/>
  <c r="Q255" i="82"/>
  <c r="L254" i="82"/>
  <c r="K254" i="82"/>
  <c r="Q254" i="82"/>
  <c r="L253" i="82"/>
  <c r="K253" i="82"/>
  <c r="Q253" i="82"/>
  <c r="L252" i="82"/>
  <c r="K252" i="82"/>
  <c r="Q252" i="82"/>
  <c r="L251" i="82"/>
  <c r="K251" i="82"/>
  <c r="Q251" i="82"/>
  <c r="L250" i="82"/>
  <c r="K250" i="82"/>
  <c r="Q250" i="82"/>
  <c r="L249" i="82"/>
  <c r="K249" i="82"/>
  <c r="Q249" i="82"/>
  <c r="L248" i="82"/>
  <c r="K248" i="82"/>
  <c r="Q248" i="82"/>
  <c r="L247" i="82"/>
  <c r="K247" i="82"/>
  <c r="Q247" i="82"/>
  <c r="L246" i="82"/>
  <c r="K246" i="82"/>
  <c r="Q246" i="82"/>
  <c r="K245" i="82"/>
  <c r="Q245" i="82"/>
  <c r="L245" i="82"/>
  <c r="K244" i="82"/>
  <c r="Q244" i="82"/>
  <c r="L244" i="82"/>
  <c r="K243" i="82"/>
  <c r="Q243" i="82"/>
  <c r="L243" i="82"/>
  <c r="K242" i="82"/>
  <c r="Q242" i="82"/>
  <c r="L242" i="82"/>
  <c r="K241" i="82"/>
  <c r="Q241" i="82"/>
  <c r="L241" i="82"/>
  <c r="K240" i="82"/>
  <c r="Q240" i="82"/>
  <c r="L240" i="82"/>
  <c r="K239" i="82"/>
  <c r="Q239" i="82"/>
  <c r="L239" i="82"/>
  <c r="K238" i="82"/>
  <c r="Q238" i="82"/>
  <c r="L238" i="82"/>
  <c r="K237" i="82"/>
  <c r="Q237" i="82"/>
  <c r="L237" i="82"/>
  <c r="K236" i="82"/>
  <c r="Q236" i="82"/>
  <c r="L236" i="82"/>
  <c r="K235" i="82"/>
  <c r="Q235" i="82"/>
  <c r="L235" i="82"/>
  <c r="K234" i="82"/>
  <c r="Q234" i="82"/>
  <c r="L234" i="82"/>
  <c r="K233" i="82"/>
  <c r="Q233" i="82"/>
  <c r="L233" i="82"/>
  <c r="K232" i="82"/>
  <c r="Q232" i="82"/>
  <c r="L232" i="82"/>
  <c r="K231" i="82"/>
  <c r="Q231" i="82"/>
  <c r="L231" i="82"/>
  <c r="K230" i="82"/>
  <c r="Q230" i="82"/>
  <c r="L230" i="82"/>
  <c r="K229" i="82"/>
  <c r="Q229" i="82"/>
  <c r="L229" i="82"/>
  <c r="K228" i="82"/>
  <c r="Q228" i="82"/>
  <c r="L228" i="82"/>
  <c r="K227" i="82"/>
  <c r="Q227" i="82"/>
  <c r="L227" i="82"/>
  <c r="K226" i="82"/>
  <c r="Q226" i="82"/>
  <c r="L226" i="82"/>
  <c r="K225" i="82"/>
  <c r="Q225" i="82"/>
  <c r="L225" i="82"/>
  <c r="K224" i="82"/>
  <c r="Q224" i="82"/>
  <c r="L224" i="82"/>
  <c r="K223" i="82"/>
  <c r="Q223" i="82"/>
  <c r="L223" i="82"/>
  <c r="K222" i="82"/>
  <c r="Q222" i="82"/>
  <c r="L222" i="82"/>
  <c r="K221" i="82"/>
  <c r="Q221" i="82"/>
  <c r="L221" i="82"/>
  <c r="K220" i="82"/>
  <c r="Q220" i="82"/>
  <c r="L220" i="82"/>
  <c r="K219" i="82"/>
  <c r="Q219" i="82"/>
  <c r="L219" i="82"/>
  <c r="K218" i="82"/>
  <c r="Q218" i="82"/>
  <c r="L218" i="82"/>
  <c r="K217" i="82"/>
  <c r="Q217" i="82"/>
  <c r="L217" i="82"/>
  <c r="K216" i="82"/>
  <c r="Q216" i="82"/>
  <c r="L216" i="82"/>
  <c r="K215" i="82"/>
  <c r="Q215" i="82"/>
  <c r="L215" i="82"/>
  <c r="K214" i="82"/>
  <c r="Q214" i="82"/>
  <c r="L214" i="82"/>
  <c r="K213" i="82"/>
  <c r="Q213" i="82"/>
  <c r="L213" i="82"/>
  <c r="K212" i="82"/>
  <c r="Q212" i="82"/>
  <c r="L212" i="82"/>
  <c r="K211" i="82"/>
  <c r="Q211" i="82"/>
  <c r="L211" i="82"/>
  <c r="K210" i="82"/>
  <c r="Q210" i="82"/>
  <c r="L210" i="82"/>
  <c r="K209" i="82"/>
  <c r="Q209" i="82"/>
  <c r="L209" i="82"/>
  <c r="K208" i="82"/>
  <c r="Q208" i="82"/>
  <c r="L208" i="82"/>
  <c r="K207" i="82"/>
  <c r="Q207" i="82"/>
  <c r="L207" i="82"/>
  <c r="K206" i="82"/>
  <c r="Q206" i="82"/>
  <c r="L206" i="82"/>
  <c r="K205" i="82"/>
  <c r="Q205" i="82"/>
  <c r="L205" i="82"/>
  <c r="K204" i="82"/>
  <c r="Q204" i="82"/>
  <c r="L204" i="82"/>
  <c r="K203" i="82"/>
  <c r="Q203" i="82"/>
  <c r="L203" i="82"/>
  <c r="K202" i="82"/>
  <c r="Q202" i="82"/>
  <c r="L202" i="82"/>
  <c r="K201" i="82"/>
  <c r="Q201" i="82"/>
  <c r="L201" i="82"/>
  <c r="K200" i="82"/>
  <c r="Q200" i="82"/>
  <c r="L200" i="82"/>
  <c r="K199" i="82"/>
  <c r="Q199" i="82"/>
  <c r="L199" i="82"/>
  <c r="K198" i="82"/>
  <c r="Q198" i="82"/>
  <c r="L198" i="82"/>
  <c r="K197" i="82"/>
  <c r="Q197" i="82"/>
  <c r="L197" i="82"/>
  <c r="K196" i="82"/>
  <c r="Q196" i="82"/>
  <c r="L196" i="82"/>
  <c r="K195" i="82"/>
  <c r="Q195" i="82"/>
  <c r="L195" i="82"/>
  <c r="K194" i="82"/>
  <c r="Q194" i="82"/>
  <c r="L194" i="82"/>
  <c r="K193" i="82"/>
  <c r="Q193" i="82"/>
  <c r="L193" i="82"/>
  <c r="K192" i="82"/>
  <c r="Q192" i="82"/>
  <c r="L192" i="82"/>
  <c r="K191" i="82"/>
  <c r="Q191" i="82"/>
  <c r="L191" i="82"/>
  <c r="K190" i="82"/>
  <c r="Q190" i="82"/>
  <c r="L190" i="82"/>
  <c r="K189" i="82"/>
  <c r="Q189" i="82"/>
  <c r="L189" i="82"/>
  <c r="K188" i="82"/>
  <c r="Q188" i="82"/>
  <c r="L188" i="82"/>
  <c r="K187" i="82"/>
  <c r="Q187" i="82"/>
  <c r="L187" i="82"/>
  <c r="K186" i="82"/>
  <c r="Q186" i="82"/>
  <c r="L186" i="82"/>
  <c r="K185" i="82"/>
  <c r="Q185" i="82"/>
  <c r="L185" i="82"/>
  <c r="K184" i="82"/>
  <c r="Q184" i="82"/>
  <c r="L184" i="82"/>
  <c r="K183" i="82"/>
  <c r="Q183" i="82"/>
  <c r="L183" i="82"/>
  <c r="K182" i="82"/>
  <c r="Q182" i="82"/>
  <c r="L182" i="82"/>
  <c r="K181" i="82"/>
  <c r="Q181" i="82"/>
  <c r="L181" i="82"/>
  <c r="K180" i="82"/>
  <c r="Q180" i="82"/>
  <c r="L180" i="82"/>
  <c r="K179" i="82"/>
  <c r="Q179" i="82"/>
  <c r="L179" i="82"/>
  <c r="K178" i="82"/>
  <c r="Q178" i="82"/>
  <c r="L178" i="82"/>
  <c r="K177" i="82"/>
  <c r="Q177" i="82"/>
  <c r="L177" i="82"/>
  <c r="K176" i="82"/>
  <c r="Q176" i="82"/>
  <c r="L176" i="82"/>
  <c r="K175" i="82"/>
  <c r="Q175" i="82"/>
  <c r="L175" i="82"/>
  <c r="K174" i="82"/>
  <c r="Q174" i="82"/>
  <c r="L174" i="82"/>
  <c r="K173" i="82"/>
  <c r="Q173" i="82"/>
  <c r="L173" i="82"/>
  <c r="K172" i="82"/>
  <c r="Q172" i="82"/>
  <c r="L172" i="82"/>
  <c r="K171" i="82"/>
  <c r="Q171" i="82"/>
  <c r="L171" i="82"/>
  <c r="K170" i="82"/>
  <c r="Q170" i="82"/>
  <c r="L170" i="82"/>
  <c r="K169" i="82"/>
  <c r="Q169" i="82"/>
  <c r="L169" i="82"/>
  <c r="K168" i="82"/>
  <c r="Q168" i="82"/>
  <c r="L168" i="82"/>
  <c r="K167" i="82"/>
  <c r="Q167" i="82"/>
  <c r="L167" i="82"/>
  <c r="K166" i="82"/>
  <c r="Q166" i="82"/>
  <c r="L166" i="82"/>
  <c r="K165" i="82"/>
  <c r="Q165" i="82"/>
  <c r="L165" i="82"/>
  <c r="L164" i="82"/>
  <c r="K164" i="82"/>
  <c r="Q164" i="82"/>
  <c r="U164" i="82"/>
  <c r="T164" i="82"/>
  <c r="L163" i="82"/>
  <c r="K163" i="82"/>
  <c r="Q163" i="82"/>
  <c r="L162" i="82"/>
  <c r="K162" i="82"/>
  <c r="Q162" i="82"/>
  <c r="L161" i="82"/>
  <c r="K161" i="82"/>
  <c r="Q161" i="82"/>
  <c r="K160" i="82"/>
  <c r="Q160" i="82"/>
  <c r="L160" i="82"/>
  <c r="K159" i="82"/>
  <c r="Q159" i="82"/>
  <c r="L159" i="82"/>
  <c r="K158" i="82"/>
  <c r="Q158" i="82"/>
  <c r="L158" i="82"/>
  <c r="K157" i="82"/>
  <c r="Q157" i="82"/>
  <c r="L157" i="82"/>
  <c r="K156" i="82"/>
  <c r="Q156" i="82"/>
  <c r="L156" i="82"/>
  <c r="K155" i="82"/>
  <c r="Q155" i="82"/>
  <c r="L155" i="82"/>
  <c r="K154" i="82"/>
  <c r="Q154" i="82"/>
  <c r="L154" i="82"/>
  <c r="K153" i="82"/>
  <c r="Q153" i="82"/>
  <c r="L153" i="82"/>
  <c r="K152" i="82"/>
  <c r="Q152" i="82"/>
  <c r="L152" i="82"/>
  <c r="K151" i="82"/>
  <c r="Q151" i="82"/>
  <c r="L151" i="82"/>
  <c r="K150" i="82"/>
  <c r="Q150" i="82"/>
  <c r="L150" i="82"/>
  <c r="K149" i="82"/>
  <c r="Q149" i="82"/>
  <c r="L149" i="82"/>
  <c r="K148" i="82"/>
  <c r="Q148" i="82"/>
  <c r="L148" i="82"/>
  <c r="K147" i="82"/>
  <c r="Q147" i="82"/>
  <c r="L147" i="82"/>
  <c r="K146" i="82"/>
  <c r="Q146" i="82"/>
  <c r="L146" i="82"/>
  <c r="K145" i="82"/>
  <c r="Q145" i="82"/>
  <c r="L145" i="82"/>
  <c r="K144" i="82"/>
  <c r="Q144" i="82"/>
  <c r="L144" i="82"/>
  <c r="K143" i="82"/>
  <c r="Q143" i="82"/>
  <c r="L143" i="82"/>
  <c r="K142" i="82"/>
  <c r="Q142" i="82"/>
  <c r="L142" i="82"/>
  <c r="K141" i="82"/>
  <c r="Q141" i="82"/>
  <c r="L141" i="82"/>
  <c r="K140" i="82"/>
  <c r="Q140" i="82"/>
  <c r="L140" i="82"/>
  <c r="K139" i="82"/>
  <c r="Q139" i="82"/>
  <c r="L139" i="82"/>
  <c r="K138" i="82"/>
  <c r="Q138" i="82"/>
  <c r="L138" i="82"/>
  <c r="K137" i="82"/>
  <c r="Q137" i="82"/>
  <c r="L137" i="82"/>
  <c r="K136" i="82"/>
  <c r="Q136" i="82"/>
  <c r="L136" i="82"/>
  <c r="K135" i="82"/>
  <c r="Q135" i="82"/>
  <c r="L135" i="82"/>
  <c r="K134" i="82"/>
  <c r="Q134" i="82"/>
  <c r="L134" i="82"/>
  <c r="K133" i="82"/>
  <c r="Q133" i="82"/>
  <c r="L133" i="82"/>
  <c r="K132" i="82"/>
  <c r="Q132" i="82"/>
  <c r="L132" i="82"/>
  <c r="K131" i="82"/>
  <c r="Q131" i="82"/>
  <c r="L131" i="82"/>
  <c r="K130" i="82"/>
  <c r="Q130" i="82"/>
  <c r="L130" i="82"/>
  <c r="K129" i="82"/>
  <c r="Q129" i="82"/>
  <c r="L129" i="82"/>
  <c r="K128" i="82"/>
  <c r="Q128" i="82"/>
  <c r="L128" i="82"/>
  <c r="K127" i="82"/>
  <c r="Q127" i="82"/>
  <c r="L127" i="82"/>
  <c r="K126" i="82"/>
  <c r="Q126" i="82"/>
  <c r="L126" i="82"/>
  <c r="K125" i="82"/>
  <c r="Q125" i="82"/>
  <c r="L125" i="82"/>
  <c r="K124" i="82"/>
  <c r="Q124" i="82"/>
  <c r="L124" i="82"/>
  <c r="K123" i="82"/>
  <c r="Q123" i="82"/>
  <c r="L123" i="82"/>
  <c r="K122" i="82"/>
  <c r="Q122" i="82"/>
  <c r="L122" i="82"/>
  <c r="K121" i="82"/>
  <c r="Q121" i="82"/>
  <c r="L121" i="82"/>
  <c r="K120" i="82"/>
  <c r="Q120" i="82"/>
  <c r="L120" i="82"/>
  <c r="K119" i="82"/>
  <c r="Q119" i="82"/>
  <c r="L119" i="82"/>
  <c r="K118" i="82"/>
  <c r="Q118" i="82"/>
  <c r="L118" i="82"/>
  <c r="K117" i="82"/>
  <c r="Q117" i="82"/>
  <c r="L117" i="82"/>
  <c r="K116" i="82"/>
  <c r="Q116" i="82"/>
  <c r="L116" i="82"/>
  <c r="L115" i="82"/>
  <c r="K115" i="82"/>
  <c r="Q115" i="82"/>
  <c r="U115" i="82"/>
  <c r="L114" i="82"/>
  <c r="K114" i="82"/>
  <c r="Q114" i="82"/>
  <c r="L113" i="82"/>
  <c r="K113" i="82"/>
  <c r="Q113" i="82"/>
  <c r="L112" i="82"/>
  <c r="K112" i="82"/>
  <c r="Q112" i="82"/>
  <c r="U112" i="82"/>
  <c r="L111" i="82"/>
  <c r="K111" i="82"/>
  <c r="Q111" i="82"/>
  <c r="L110" i="82"/>
  <c r="K110" i="82"/>
  <c r="Q110" i="82"/>
  <c r="U110" i="82"/>
  <c r="L109" i="82"/>
  <c r="K109" i="82"/>
  <c r="Q109" i="82"/>
  <c r="L108" i="82"/>
  <c r="K108" i="82"/>
  <c r="Q108" i="82"/>
  <c r="U108" i="82"/>
  <c r="L107" i="82"/>
  <c r="K107" i="82"/>
  <c r="Q107" i="82"/>
  <c r="L106" i="82"/>
  <c r="K106" i="82"/>
  <c r="Q106" i="82"/>
  <c r="U106" i="82"/>
  <c r="L105" i="82"/>
  <c r="K105" i="82"/>
  <c r="Q105" i="82"/>
  <c r="K104" i="82"/>
  <c r="Q104" i="82"/>
  <c r="L104" i="82"/>
  <c r="K103" i="82"/>
  <c r="Q103" i="82"/>
  <c r="L103" i="82"/>
  <c r="K102" i="82"/>
  <c r="Q102" i="82"/>
  <c r="L102" i="82"/>
  <c r="K101" i="82"/>
  <c r="Q101" i="82"/>
  <c r="L101" i="82"/>
  <c r="K100" i="82"/>
  <c r="Q100" i="82"/>
  <c r="L100" i="82"/>
  <c r="K99" i="82"/>
  <c r="Q99" i="82"/>
  <c r="L99" i="82"/>
  <c r="K98" i="82"/>
  <c r="Q98" i="82"/>
  <c r="L98" i="82"/>
  <c r="K97" i="82"/>
  <c r="Q97" i="82"/>
  <c r="L97" i="82"/>
  <c r="K96" i="82"/>
  <c r="Q96" i="82"/>
  <c r="L96" i="82"/>
  <c r="L95" i="82"/>
  <c r="K95" i="82"/>
  <c r="Q95" i="82"/>
  <c r="K94" i="82"/>
  <c r="Q94" i="82"/>
  <c r="L94" i="82"/>
  <c r="K93" i="82"/>
  <c r="Q93" i="82"/>
  <c r="L93" i="82"/>
  <c r="L92" i="82"/>
  <c r="K92" i="82"/>
  <c r="Q92" i="82"/>
  <c r="K91" i="82"/>
  <c r="Q91" i="82"/>
  <c r="L91" i="82"/>
  <c r="K90" i="82"/>
  <c r="Q90" i="82"/>
  <c r="L90" i="82"/>
  <c r="K89" i="82"/>
  <c r="Q89" i="82"/>
  <c r="L89" i="82"/>
  <c r="K88" i="82"/>
  <c r="Q88" i="82"/>
  <c r="L88" i="82"/>
  <c r="K87" i="82"/>
  <c r="Q87" i="82"/>
  <c r="L87" i="82"/>
  <c r="K86" i="82"/>
  <c r="Q86" i="82"/>
  <c r="L86" i="82"/>
  <c r="K85" i="82"/>
  <c r="Q85" i="82"/>
  <c r="L85" i="82"/>
  <c r="K84" i="82"/>
  <c r="Q84" i="82"/>
  <c r="L84" i="82"/>
  <c r="K83" i="82"/>
  <c r="Q83" i="82"/>
  <c r="L83" i="82"/>
  <c r="L82" i="82"/>
  <c r="K82" i="82"/>
  <c r="Q82" i="82"/>
  <c r="K81" i="82"/>
  <c r="Q81" i="82"/>
  <c r="L81" i="82"/>
  <c r="K80" i="82"/>
  <c r="Q80" i="82"/>
  <c r="L80" i="82"/>
  <c r="L79" i="82"/>
  <c r="K79" i="82"/>
  <c r="Q79" i="82"/>
  <c r="U79" i="82"/>
  <c r="K78" i="82"/>
  <c r="Q78" i="82"/>
  <c r="L78" i="82"/>
  <c r="K77" i="82"/>
  <c r="Q77" i="82"/>
  <c r="L77" i="82"/>
  <c r="L76" i="82"/>
  <c r="K76" i="82"/>
  <c r="Q76" i="82"/>
  <c r="K75" i="82"/>
  <c r="Q75" i="82"/>
  <c r="L75" i="82"/>
  <c r="K74" i="82"/>
  <c r="Q74" i="82"/>
  <c r="L74" i="82"/>
  <c r="K73" i="82"/>
  <c r="Q73" i="82"/>
  <c r="L73" i="82"/>
  <c r="K72" i="82"/>
  <c r="Q72" i="82"/>
  <c r="L72" i="82"/>
  <c r="K71" i="82"/>
  <c r="Q71" i="82"/>
  <c r="L71" i="82"/>
  <c r="L70" i="82"/>
  <c r="K70" i="82"/>
  <c r="Q70" i="82"/>
  <c r="K69" i="82"/>
  <c r="Q69" i="82"/>
  <c r="L69" i="82"/>
  <c r="K68" i="82"/>
  <c r="Q68" i="82"/>
  <c r="L68" i="82"/>
  <c r="K67" i="82"/>
  <c r="Q67" i="82"/>
  <c r="L67" i="82"/>
  <c r="K66" i="82"/>
  <c r="Q66" i="82"/>
  <c r="L66" i="82"/>
  <c r="L65" i="82"/>
  <c r="K65" i="82"/>
  <c r="Q65" i="82"/>
  <c r="U65" i="82"/>
  <c r="K64" i="82"/>
  <c r="Q64" i="82"/>
  <c r="L64" i="82"/>
  <c r="K63" i="82"/>
  <c r="Q63" i="82"/>
  <c r="L63" i="82"/>
  <c r="K62" i="82"/>
  <c r="Q62" i="82"/>
  <c r="L62" i="82"/>
  <c r="K61" i="82"/>
  <c r="Q61" i="82"/>
  <c r="L61" i="82"/>
  <c r="K60" i="82"/>
  <c r="Q60" i="82"/>
  <c r="L60" i="82"/>
  <c r="K59" i="82"/>
  <c r="Q59" i="82"/>
  <c r="L59" i="82"/>
  <c r="K58" i="82"/>
  <c r="Q58" i="82"/>
  <c r="L58" i="82"/>
  <c r="K57" i="82"/>
  <c r="Q57" i="82"/>
  <c r="L57" i="82"/>
  <c r="K56" i="82"/>
  <c r="Q56" i="82"/>
  <c r="L56" i="82"/>
  <c r="K55" i="82"/>
  <c r="Q55" i="82"/>
  <c r="L55" i="82"/>
  <c r="K54" i="82"/>
  <c r="Q54" i="82"/>
  <c r="L54" i="82"/>
  <c r="K53" i="82"/>
  <c r="Q53" i="82"/>
  <c r="L53" i="82"/>
  <c r="K52" i="82"/>
  <c r="Q52" i="82"/>
  <c r="L52" i="82"/>
  <c r="K51" i="82"/>
  <c r="Q51" i="82"/>
  <c r="L51" i="82"/>
  <c r="L50" i="82"/>
  <c r="K50" i="82"/>
  <c r="Q50" i="82"/>
  <c r="U50" i="82"/>
  <c r="L49" i="82"/>
  <c r="K49" i="82"/>
  <c r="Q49" i="82"/>
  <c r="L48" i="82"/>
  <c r="K48" i="82"/>
  <c r="Q48" i="82"/>
  <c r="U48" i="82"/>
  <c r="L47" i="82"/>
  <c r="K47" i="82"/>
  <c r="Q47" i="82"/>
  <c r="L46" i="82"/>
  <c r="K46" i="82"/>
  <c r="Q46" i="82"/>
  <c r="U46" i="82"/>
  <c r="K45" i="82"/>
  <c r="Q45" i="82"/>
  <c r="L45" i="82"/>
  <c r="K44" i="82"/>
  <c r="Q44" i="82"/>
  <c r="L44" i="82"/>
  <c r="K43" i="82"/>
  <c r="Q43" i="82"/>
  <c r="L43" i="82"/>
  <c r="L42" i="82"/>
  <c r="K42" i="82"/>
  <c r="Q42" i="82"/>
  <c r="L41" i="82"/>
  <c r="K41" i="82"/>
  <c r="Q41" i="82"/>
  <c r="T40" i="82"/>
  <c r="K40" i="82"/>
  <c r="Q40" i="82"/>
  <c r="L40" i="82"/>
  <c r="T39" i="82"/>
  <c r="K39" i="82"/>
  <c r="Q39" i="82"/>
  <c r="L39" i="82"/>
  <c r="T38" i="82"/>
  <c r="K38" i="82"/>
  <c r="Q38" i="82"/>
  <c r="L38" i="82"/>
  <c r="T37" i="82"/>
  <c r="K37" i="82"/>
  <c r="Q37" i="82"/>
  <c r="L37" i="82"/>
  <c r="K36" i="82"/>
  <c r="Q36" i="82"/>
  <c r="L36" i="82"/>
  <c r="K35" i="82"/>
  <c r="Q35" i="82"/>
  <c r="L35" i="82"/>
  <c r="L34" i="82"/>
  <c r="K34" i="82"/>
  <c r="Q34" i="82"/>
  <c r="L33" i="82"/>
  <c r="K33" i="82"/>
  <c r="Q33" i="82"/>
  <c r="U33" i="82"/>
  <c r="T33" i="82"/>
  <c r="L32" i="82"/>
  <c r="K32" i="82"/>
  <c r="Q32" i="82"/>
  <c r="L31" i="82"/>
  <c r="K31" i="82"/>
  <c r="Q31" i="82"/>
  <c r="K30" i="82"/>
  <c r="Q30" i="82"/>
  <c r="L30" i="82"/>
  <c r="K29" i="82"/>
  <c r="Q29" i="82"/>
  <c r="L29" i="82"/>
  <c r="K28" i="82"/>
  <c r="Q28" i="82"/>
  <c r="L28" i="82"/>
  <c r="L27" i="82"/>
  <c r="Q27" i="82"/>
  <c r="K27" i="82"/>
  <c r="L26" i="82"/>
  <c r="Q26" i="82"/>
  <c r="K26" i="82"/>
  <c r="L25" i="82"/>
  <c r="Q25" i="82"/>
  <c r="K25" i="82"/>
  <c r="L24" i="82"/>
  <c r="Q24" i="82"/>
  <c r="K24" i="82"/>
  <c r="L23" i="82"/>
  <c r="K23" i="82"/>
  <c r="Q23" i="82"/>
  <c r="U23" i="82"/>
  <c r="T23" i="82"/>
  <c r="K22" i="82"/>
  <c r="Q22" i="82"/>
  <c r="L22" i="82"/>
  <c r="K21" i="82"/>
  <c r="Q21" i="82"/>
  <c r="L21" i="82"/>
  <c r="L20" i="82"/>
  <c r="K20" i="82"/>
  <c r="Q20" i="82"/>
  <c r="U20" i="82"/>
  <c r="T20" i="82"/>
  <c r="L19" i="82"/>
  <c r="K19" i="82"/>
  <c r="Q19" i="82"/>
  <c r="U19" i="82"/>
  <c r="T19" i="82"/>
  <c r="L18" i="82"/>
  <c r="K18" i="82"/>
  <c r="Q18" i="82"/>
  <c r="L17" i="82"/>
  <c r="K17" i="82"/>
  <c r="Q17" i="82"/>
  <c r="U17" i="82"/>
  <c r="T17" i="82"/>
  <c r="L16" i="82"/>
  <c r="K16" i="82"/>
  <c r="Q16" i="82"/>
  <c r="U16" i="82"/>
  <c r="T16" i="82"/>
  <c r="K15" i="82"/>
  <c r="Q15" i="82"/>
  <c r="L15" i="82"/>
  <c r="K14" i="82"/>
  <c r="Q14" i="82"/>
  <c r="L14" i="82"/>
  <c r="K13" i="82"/>
  <c r="Q13" i="82"/>
  <c r="L13" i="82"/>
  <c r="K12" i="82"/>
  <c r="Q12" i="82"/>
  <c r="L12" i="82"/>
  <c r="L11" i="82"/>
  <c r="K11" i="82"/>
  <c r="Q11" i="82"/>
  <c r="L10" i="82"/>
  <c r="K10" i="82"/>
  <c r="Q10" i="82"/>
  <c r="L9" i="82"/>
  <c r="K9" i="82"/>
  <c r="Q9" i="82"/>
  <c r="U9" i="82"/>
  <c r="T9" i="82"/>
  <c r="L8" i="82"/>
  <c r="K8" i="82"/>
  <c r="Q8" i="82"/>
  <c r="L7" i="82"/>
  <c r="K7" i="82"/>
  <c r="Q7" i="82"/>
  <c r="L6" i="82"/>
  <c r="K6" i="82"/>
  <c r="Q6" i="82"/>
  <c r="L5" i="82"/>
  <c r="K5" i="82"/>
  <c r="Q5" i="82"/>
  <c r="L4" i="82"/>
  <c r="K4" i="82"/>
  <c r="Q4" i="82"/>
  <c r="AA8" i="82"/>
  <c r="U8" i="82"/>
  <c r="T8" i="82"/>
  <c r="U163" i="82"/>
  <c r="T163" i="82"/>
  <c r="U331" i="82"/>
  <c r="X79" i="82"/>
  <c r="U32" i="82"/>
  <c r="T32" i="82"/>
  <c r="X95" i="82"/>
  <c r="U7" i="82"/>
  <c r="U18" i="82"/>
  <c r="T18" i="82"/>
  <c r="U42" i="82"/>
  <c r="U95" i="82"/>
  <c r="U6" i="82"/>
  <c r="T6" i="82"/>
  <c r="U161" i="82"/>
  <c r="T161" i="82"/>
  <c r="U114" i="82"/>
  <c r="U4" i="82"/>
  <c r="T4" i="82"/>
  <c r="U162" i="82"/>
  <c r="T162" i="82"/>
  <c r="AA11" i="82"/>
  <c r="U41" i="82"/>
  <c r="X65" i="82"/>
  <c r="U11" i="82"/>
  <c r="T11" i="82"/>
  <c r="AA16" i="82"/>
  <c r="AA17" i="82"/>
  <c r="AA18" i="82"/>
  <c r="AA19" i="82"/>
  <c r="AA20" i="82"/>
  <c r="U47" i="82"/>
  <c r="U49" i="82"/>
  <c r="U332" i="82"/>
  <c r="U5" i="82"/>
  <c r="AA6" i="82"/>
  <c r="U10" i="82"/>
  <c r="T10" i="82"/>
  <c r="U34" i="82"/>
  <c r="T34" i="82"/>
  <c r="U31" i="82"/>
  <c r="T31" i="82"/>
  <c r="U70" i="82"/>
  <c r="T70" i="82"/>
  <c r="U105" i="82"/>
  <c r="U107" i="82"/>
  <c r="U109" i="82"/>
  <c r="U111" i="82"/>
  <c r="U113" i="82"/>
  <c r="U76" i="82"/>
  <c r="X76" i="82"/>
  <c r="U82" i="82"/>
  <c r="X82" i="82"/>
  <c r="U92" i="82"/>
  <c r="X92" i="82"/>
  <c r="U246" i="82"/>
  <c r="U248" i="82"/>
  <c r="U250" i="82"/>
  <c r="U252" i="82"/>
  <c r="U254" i="82"/>
  <c r="U256" i="82"/>
  <c r="U258" i="82"/>
  <c r="U260" i="82"/>
  <c r="U262" i="82"/>
  <c r="U264" i="82"/>
  <c r="U247" i="82"/>
  <c r="U249" i="82"/>
  <c r="U251" i="82"/>
  <c r="U253" i="82"/>
  <c r="U255" i="82"/>
  <c r="U257" i="82"/>
  <c r="U259" i="82"/>
  <c r="U261" i="82"/>
  <c r="U263" i="82"/>
  <c r="U265" i="82"/>
  <c r="U276" i="82"/>
</calcChain>
</file>

<file path=xl/comments1.xml><?xml version="1.0" encoding="utf-8"?>
<comments xmlns="http://schemas.openxmlformats.org/spreadsheetml/2006/main">
  <authors>
    <author>Vladimir Ferraz de Abreu</author>
    <author>André</author>
  </authors>
  <commentList>
    <comment ref="F1" authorId="0" shapeId="0">
      <text>
        <r>
          <rPr>
            <b/>
            <sz val="9"/>
            <color indexed="81"/>
            <rFont val="Tahoma"/>
            <family val="2"/>
          </rPr>
          <t>Características da Atividade:</t>
        </r>
        <r>
          <rPr>
            <sz val="9"/>
            <color indexed="81"/>
            <rFont val="Tahoma"/>
            <family val="2"/>
          </rPr>
          <t xml:space="preserve">
Esta seção contém características de cada atividade que geralmente são levantadas junto ao cliente durante a modelagem dos processos de Gerenciamento de Incidentes, Cumprimento de Requisições e Gerenciamento de Mudanças.  
Algumas dessas características aplicam-se a todos os tipos de atividades, outras a somente algumas delas.
</t>
        </r>
      </text>
    </comment>
    <comment ref="M2" authorId="0" shapeId="0">
      <text>
        <r>
          <rPr>
            <b/>
            <sz val="9"/>
            <color indexed="81"/>
            <rFont val="Tahoma"/>
            <family val="2"/>
          </rPr>
          <t>Critérios de Aprovação:</t>
        </r>
        <r>
          <rPr>
            <sz val="9"/>
            <color indexed="81"/>
            <rFont val="Tahoma"/>
            <family val="2"/>
          </rPr>
          <t xml:space="preserve">
Descrição de critérios a serem utilizados para a aprovação inicial de Requisições de Serviço e Demandas / Projetos (que geralmente são implementadas como Requisições de Mudança).</t>
        </r>
      </text>
    </comment>
    <comment ref="P2" authorId="0" shapeId="0">
      <text>
        <r>
          <rPr>
            <b/>
            <sz val="9"/>
            <color indexed="81"/>
            <rFont val="Tahoma"/>
            <family val="2"/>
          </rPr>
          <t>Grupo(s) Solucionador(es):</t>
        </r>
        <r>
          <rPr>
            <sz val="9"/>
            <color indexed="81"/>
            <rFont val="Tahoma"/>
            <family val="2"/>
          </rPr>
          <t xml:space="preserve">
Informações sobre a(s) equipe(s) responsáveis pela execução das atividades de serviço.  
Há 2 possibilidades:  um grupo principal (responsável primário) e um grupo secundário (opcional, que pode ser acionado se o grupo principal não conseguir solucionar a tempo).
A passagem da responsabilidade do Grupo Principal para o Grupo Secundário chama-se "Escalada Funcional".
O prazo máximo para esta passagem e o tempo máximo que o Grupo Secundário terá para executar a atividade poderão ser colocados em um OLA ou Contrato de Apoio.</t>
        </r>
      </text>
    </comment>
    <comment ref="AC2" authorId="0" shapeId="0">
      <text>
        <r>
          <rPr>
            <b/>
            <sz val="9"/>
            <color indexed="81"/>
            <rFont val="Tahoma"/>
            <family val="2"/>
          </rPr>
          <t>Critérios Escalada Hierárquica:</t>
        </r>
        <r>
          <rPr>
            <sz val="9"/>
            <color indexed="81"/>
            <rFont val="Tahoma"/>
            <family val="2"/>
          </rPr>
          <t xml:space="preserve">
Descrever aqui os critérios a serem utilizados para escalar níveis superiores da hierarquia caso o Tempo Máximo Total de Resolução esteja próximo de ser atingido sem que a atividade tenha sido executada.</t>
        </r>
      </text>
    </comment>
    <comment ref="A3" authorId="0" shapeId="0">
      <text>
        <r>
          <rPr>
            <b/>
            <sz val="9"/>
            <color indexed="81"/>
            <rFont val="Tahoma"/>
            <family val="2"/>
          </rPr>
          <t>Tipo da Atividade de Serviço:</t>
        </r>
        <r>
          <rPr>
            <sz val="9"/>
            <color indexed="81"/>
            <rFont val="Tahoma"/>
            <family val="2"/>
          </rPr>
          <t xml:space="preserve">
Indicar o tipo da atividade por meio da qual o serviço pode ser acionado.  Há 6 opções:
  - Resolução de INCIDENTE;
  - Cumprimento de REQUISIÇÃO DE SERVIÇO;
  - Resolução de PROBLEMA;
  - Execução de MUDANÇA;
  - Execução de DEMANDA / PROJETO;
  - Execução de atividade de ROTINA.</t>
        </r>
      </text>
    </comment>
    <comment ref="C3" authorId="0" shapeId="0">
      <text>
        <r>
          <rPr>
            <b/>
            <sz val="9"/>
            <color indexed="81"/>
            <rFont val="Tahoma"/>
            <family val="2"/>
          </rPr>
          <t>Tipo da Atividade de Serviço:</t>
        </r>
        <r>
          <rPr>
            <sz val="9"/>
            <color indexed="81"/>
            <rFont val="Tahoma"/>
            <family val="2"/>
          </rPr>
          <t xml:space="preserve">
Indicar o tipo da atividade por meio da qual o serviço pode ser acionado.  Há 6 opções:
  - Resolução de INCIDENTE;
  - Cumprimento de REQUISIÇÃO DE SERVIÇO;
  - Resolução de PROBLEMA;
  - Execução de MUDANÇA;
  - Execução de DEMANDA / PROJETO;
  - Execução de atividade de ROTINA.</t>
        </r>
      </text>
    </comment>
    <comment ref="D3" authorId="0" shapeId="0">
      <text>
        <r>
          <rPr>
            <b/>
            <sz val="9"/>
            <color indexed="81"/>
            <rFont val="Tahoma"/>
            <family val="2"/>
          </rPr>
          <t>Nome da Atividade:</t>
        </r>
        <r>
          <rPr>
            <sz val="9"/>
            <color indexed="81"/>
            <rFont val="Tahoma"/>
            <family val="2"/>
          </rPr>
          <t xml:space="preserve">
Nome sucinto que identifica a atividade por meio da qual o serviço pode ser acionado.
OBS.:  Este nome será idêntico à descrição das categorias de incidentes / requisições de serviço / problemas / requisições de mudança correspondentes.</t>
        </r>
      </text>
    </comment>
    <comment ref="E3" authorId="0" shapeId="0">
      <text>
        <r>
          <rPr>
            <b/>
            <sz val="9"/>
            <color indexed="81"/>
            <rFont val="Tahoma"/>
            <family val="2"/>
          </rPr>
          <t>Descrição da Atividade:</t>
        </r>
        <r>
          <rPr>
            <sz val="9"/>
            <color indexed="81"/>
            <rFont val="Tahoma"/>
            <family val="2"/>
          </rPr>
          <t xml:space="preserve">
Quando aplicável, este atributo deve descrever em que consiste a atividade em questão.
</t>
        </r>
        <r>
          <rPr>
            <b/>
            <sz val="9"/>
            <color indexed="81"/>
            <rFont val="Tahoma"/>
            <family val="2"/>
          </rPr>
          <t xml:space="preserve">OBS.: </t>
        </r>
        <r>
          <rPr>
            <sz val="9"/>
            <color indexed="81"/>
            <rFont val="Tahoma"/>
            <family val="2"/>
          </rPr>
          <t xml:space="preserve"> Por exemplo, este detalhamento pode ser útil para deixar mais específica a condição que identifica uma indisponibilidade ou erro crítico (incidente) ou clarificar melhor o objetivo de uma categoria de requisição de serviço.</t>
        </r>
      </text>
    </comment>
    <comment ref="F3" authorId="0" shapeId="0">
      <text>
        <r>
          <rPr>
            <b/>
            <sz val="9"/>
            <color indexed="81"/>
            <rFont val="Tahoma"/>
            <family val="2"/>
          </rPr>
          <t xml:space="preserve">Elegível a Resolução em 1o. Nível ?
</t>
        </r>
        <r>
          <rPr>
            <sz val="9"/>
            <color indexed="81"/>
            <rFont val="Tahoma"/>
            <family val="2"/>
          </rPr>
          <t xml:space="preserve">Indica se a atividade pode ser delegada para resolução direta pelo 1o. Nível (Service Desk), sem a necessidade de repassar para um grupo solucionador especialista.
OBS.: Uma condição para esta elegibilidade é que exista um script ou instrução de trabalho para orientar o atendente.
</t>
        </r>
        <r>
          <rPr>
            <b/>
            <i/>
            <sz val="9"/>
            <color indexed="81"/>
            <rFont val="Tahoma"/>
            <family val="2"/>
          </rPr>
          <t>Aplicabilidade em cada Tipo de Atividade:</t>
        </r>
        <r>
          <rPr>
            <i/>
            <sz val="9"/>
            <color indexed="81"/>
            <rFont val="Tahoma"/>
            <family val="2"/>
          </rPr>
          <t xml:space="preserve">
  - Incidente:  SIM
  - Requisição de Serviço:  SIM
  - Problema:  NÃO
  - Demanda / Projeto / Mudança:  NÃO
  - Rotina:  NÃO</t>
        </r>
      </text>
    </comment>
    <comment ref="G3" authorId="0" shapeId="0">
      <text>
        <r>
          <rPr>
            <b/>
            <sz val="9"/>
            <color indexed="81"/>
            <rFont val="Tahoma"/>
            <family val="2"/>
          </rPr>
          <t>Possui Script ?</t>
        </r>
        <r>
          <rPr>
            <sz val="9"/>
            <color indexed="81"/>
            <rFont val="Tahoma"/>
            <family val="2"/>
          </rPr>
          <t xml:space="preserve">
Indica se existe algum script ou procedimento de atendimento para esta atividade.
</t>
        </r>
        <r>
          <rPr>
            <b/>
            <i/>
            <sz val="9"/>
            <color indexed="81"/>
            <rFont val="Tahoma"/>
            <family val="2"/>
          </rPr>
          <t>Aplicabilidade em cada Tipo de Atividade:</t>
        </r>
        <r>
          <rPr>
            <i/>
            <sz val="9"/>
            <color indexed="81"/>
            <rFont val="Tahoma"/>
            <family val="2"/>
          </rPr>
          <t xml:space="preserve">
  - Incidente:  SIM
  - Requisição de Serviço:  SIM
  - Problema:  SIM
  - Demanda / Projeto / Mudança:  NÃO
  - Rotina:  NÃO</t>
        </r>
      </text>
    </comment>
    <comment ref="H3" authorId="0" shapeId="0">
      <text>
        <r>
          <rPr>
            <b/>
            <sz val="9"/>
            <color indexed="81"/>
            <rFont val="Tahoma"/>
            <family val="2"/>
          </rPr>
          <t>Formas de Acionamento:</t>
        </r>
        <r>
          <rPr>
            <sz val="9"/>
            <color indexed="81"/>
            <rFont val="Tahoma"/>
            <family val="2"/>
          </rPr>
          <t xml:space="preserve">
Indica por quais formas a atividade do serviço pode ser acionada.
Há 4 possibilidades:
  - Usuário Direto (Portal, Service Desk, Telefone, E-mail);
  - Evento Monitorado (ferramenta);
  - Tempo Decorrido (periodicidade ou frequência programada);
  - Notificação de Sistema (automática).
</t>
        </r>
        <r>
          <rPr>
            <b/>
            <i/>
            <sz val="9"/>
            <color indexed="81"/>
            <rFont val="Tahoma"/>
            <family val="2"/>
          </rPr>
          <t>Aplicabilidade em cada Tipo de Atividade:</t>
        </r>
        <r>
          <rPr>
            <i/>
            <sz val="9"/>
            <color indexed="81"/>
            <rFont val="Tahoma"/>
            <family val="2"/>
          </rPr>
          <t xml:space="preserve">
  - Incidente:  SIM
  - Requisição de Serviço:  SIM
  - Problema:  SIM
  - Demanda / Projeto / Mudança:  SIM
  - Rotina:  SIM</t>
        </r>
      </text>
    </comment>
    <comment ref="I3" authorId="0" shapeId="0">
      <text>
        <r>
          <rPr>
            <b/>
            <sz val="9"/>
            <color indexed="81"/>
            <rFont val="Tahoma"/>
            <family val="2"/>
          </rPr>
          <t>Quem pode acionar ?</t>
        </r>
        <r>
          <rPr>
            <sz val="9"/>
            <color indexed="81"/>
            <rFont val="Tahoma"/>
            <family val="2"/>
          </rPr>
          <t xml:space="preserve">
Deve ser preenchido somente se houver alguma restrição acerca dos usuários que podem acionar o serviço por meio desta atividade (por exemplo, se somente alguns dos usuários do serviço podem visualizar esta atividade e estão autorizados a acioná-la na sua tela do Service Desk).
</t>
        </r>
        <r>
          <rPr>
            <b/>
            <i/>
            <sz val="9"/>
            <color indexed="81"/>
            <rFont val="Tahoma"/>
            <family val="2"/>
          </rPr>
          <t>Aplicabilidade em cada Tipo de Atividade:</t>
        </r>
        <r>
          <rPr>
            <i/>
            <sz val="9"/>
            <color indexed="81"/>
            <rFont val="Tahoma"/>
            <family val="2"/>
          </rPr>
          <t xml:space="preserve">
  - Incidente:  SIM
  - Requisição de Serviço:  SIM
  - Problema:  SIM
  - Demanda / Projeto / Mudança:  SIM
  - Rotina:  SIM</t>
        </r>
      </text>
    </comment>
    <comment ref="K3" authorId="0" shapeId="0">
      <text>
        <r>
          <rPr>
            <b/>
            <sz val="9"/>
            <color indexed="81"/>
            <rFont val="Tahoma"/>
            <family val="2"/>
          </rPr>
          <t>Tempo Máximo Atendimento:</t>
        </r>
        <r>
          <rPr>
            <sz val="9"/>
            <color indexed="81"/>
            <rFont val="Tahoma"/>
            <family val="2"/>
          </rPr>
          <t xml:space="preserve">
Indica o tempo máximo dentro do qual o atendente de 1o. nível deverá realizar o primeiro atendimento para registro e qualificação da atividade.
OBS.:  Comumente chamado de "</t>
        </r>
        <r>
          <rPr>
            <b/>
            <u/>
            <sz val="9"/>
            <color indexed="81"/>
            <rFont val="Tahoma"/>
            <family val="2"/>
          </rPr>
          <t>SLA de Atendimento</t>
        </r>
        <r>
          <rPr>
            <sz val="9"/>
            <color indexed="81"/>
            <rFont val="Tahoma"/>
            <family val="2"/>
          </rPr>
          <t xml:space="preserve">".
</t>
        </r>
        <r>
          <rPr>
            <b/>
            <i/>
            <sz val="9"/>
            <color indexed="81"/>
            <rFont val="Tahoma"/>
            <family val="2"/>
          </rPr>
          <t>Aplicabilidade em cada Tipo de Atividade:</t>
        </r>
        <r>
          <rPr>
            <i/>
            <sz val="9"/>
            <color indexed="81"/>
            <rFont val="Tahoma"/>
            <family val="2"/>
          </rPr>
          <t xml:space="preserve">
  - Incidente:  SIM
  - Requisição de Serviço:  SIM
  - Problema:  SIM
  - Demanda / Projeto / Mudança:  SIM
  - Rotina:  NÃO</t>
        </r>
      </text>
    </comment>
    <comment ref="L3" authorId="0" shapeId="0">
      <text>
        <r>
          <rPr>
            <b/>
            <sz val="9"/>
            <color indexed="81"/>
            <rFont val="Tahoma"/>
            <family val="2"/>
          </rPr>
          <t>Tempo Máximo Resolução:</t>
        </r>
        <r>
          <rPr>
            <sz val="9"/>
            <color indexed="81"/>
            <rFont val="Tahoma"/>
            <family val="2"/>
          </rPr>
          <t xml:space="preserve">
Indica o tempo máximo dentro do qual a atividade deverá ser concluída.
OBS.:  Comumente chamado de "</t>
        </r>
        <r>
          <rPr>
            <b/>
            <u/>
            <sz val="9"/>
            <color indexed="81"/>
            <rFont val="Tahoma"/>
            <family val="2"/>
          </rPr>
          <t>SLA de Resolução</t>
        </r>
        <r>
          <rPr>
            <sz val="9"/>
            <color indexed="81"/>
            <rFont val="Tahoma"/>
            <family val="2"/>
          </rPr>
          <t xml:space="preserve">".
</t>
        </r>
        <r>
          <rPr>
            <b/>
            <i/>
            <sz val="9"/>
            <color indexed="81"/>
            <rFont val="Tahoma"/>
            <family val="2"/>
          </rPr>
          <t>Aplicabilidade em cada Tipo de Atividade:</t>
        </r>
        <r>
          <rPr>
            <i/>
            <sz val="9"/>
            <color indexed="81"/>
            <rFont val="Tahoma"/>
            <family val="2"/>
          </rPr>
          <t xml:space="preserve">
  - Incidente:  SIM
  - Requisição de Serviço:  SIM
  - Problema:  SIM
  - Demanda / Projeto / Mudança:  NÃO
  - Rotina:  NÃO</t>
        </r>
      </text>
    </comment>
    <comment ref="M3" authorId="0" shapeId="0">
      <text>
        <r>
          <rPr>
            <b/>
            <sz val="9"/>
            <color indexed="81"/>
            <rFont val="Tahoma"/>
            <family val="2"/>
          </rPr>
          <t>Pré-Aprovada:</t>
        </r>
        <r>
          <rPr>
            <sz val="9"/>
            <color indexed="81"/>
            <rFont val="Tahoma"/>
            <family val="2"/>
          </rPr>
          <t xml:space="preserve">
Esta condição é aplicável a algumas Requisições de Serviço (mais simples) e a algumas Demandas / Projetos que se convertem em "Mudanças Padrão". 
</t>
        </r>
        <r>
          <rPr>
            <b/>
            <i/>
            <sz val="9"/>
            <color indexed="81"/>
            <rFont val="Tahoma"/>
            <family val="2"/>
          </rPr>
          <t>Aplicabilidade em cada Tipo de Atividade:</t>
        </r>
        <r>
          <rPr>
            <i/>
            <sz val="9"/>
            <color indexed="81"/>
            <rFont val="Tahoma"/>
            <family val="2"/>
          </rPr>
          <t xml:space="preserve">
  - Incidente:  NÃO
  - Requisição de Serviço:  SIM
  - Problema:  NÃO
  - Demanda / Projeto / Mudança:  SIM
  - Rotina:  NÃO</t>
        </r>
      </text>
    </comment>
    <comment ref="N3" authorId="0" shapeId="0">
      <text>
        <r>
          <rPr>
            <b/>
            <sz val="9"/>
            <color indexed="81"/>
            <rFont val="Tahoma"/>
            <family val="2"/>
          </rPr>
          <t>Quem Aprova ?</t>
        </r>
        <r>
          <rPr>
            <sz val="9"/>
            <color indexed="81"/>
            <rFont val="Tahoma"/>
            <family val="2"/>
          </rPr>
          <t xml:space="preserve">
Indica quem deve ser o aprovador de uma Requisição de Serviço, Resolução de Problema ou Demanda / Projeto que não é pré-aprovada. 
</t>
        </r>
        <r>
          <rPr>
            <b/>
            <i/>
            <sz val="9"/>
            <color indexed="81"/>
            <rFont val="Tahoma"/>
            <family val="2"/>
          </rPr>
          <t>Aplicabilidade em cada Tipo de Atividade:</t>
        </r>
        <r>
          <rPr>
            <i/>
            <sz val="9"/>
            <color indexed="81"/>
            <rFont val="Tahoma"/>
            <family val="2"/>
          </rPr>
          <t xml:space="preserve">
  - Incidente:  NÃO
  - Requisição de Serviço:  SIM
  - Problema:  SIM
  - Demanda / Projeto / Mudança:  SIM
  - Rotina:  NÃO</t>
        </r>
      </text>
    </comment>
    <comment ref="O3" authorId="0" shapeId="0">
      <text>
        <r>
          <rPr>
            <b/>
            <sz val="9"/>
            <color indexed="81"/>
            <rFont val="Tahoma"/>
            <family val="2"/>
          </rPr>
          <t>Prazo Máximo:</t>
        </r>
        <r>
          <rPr>
            <sz val="9"/>
            <color indexed="81"/>
            <rFont val="Tahoma"/>
            <family val="2"/>
          </rPr>
          <t xml:space="preserve">
Indica o prazo máximo em que o aprovador deve aprovar uma Requisição de Serviço, Resolução de Problema ou Demanda / Projeto. 
</t>
        </r>
        <r>
          <rPr>
            <b/>
            <i/>
            <sz val="9"/>
            <color indexed="81"/>
            <rFont val="Tahoma"/>
            <family val="2"/>
          </rPr>
          <t>Aplicabilidade em cada Tipo de Atividade:</t>
        </r>
        <r>
          <rPr>
            <i/>
            <sz val="9"/>
            <color indexed="81"/>
            <rFont val="Tahoma"/>
            <family val="2"/>
          </rPr>
          <t xml:space="preserve">
  - Incidente:  NÃO
  - Requisição de Serviço:  SIM
  - Problema:  SIM
  - Demanda / Projeto / Mudança:  SIM
  - Rotina:  NÃO</t>
        </r>
      </text>
    </comment>
    <comment ref="P3" authorId="0" shapeId="0">
      <text>
        <r>
          <rPr>
            <b/>
            <sz val="9"/>
            <color indexed="81"/>
            <rFont val="Tahoma"/>
            <family val="2"/>
          </rPr>
          <t>Grupo Solucionador Principal:</t>
        </r>
        <r>
          <rPr>
            <sz val="9"/>
            <color indexed="81"/>
            <rFont val="Tahoma"/>
            <family val="2"/>
          </rPr>
          <t xml:space="preserve">
Identificação da equipe especialista responsável primariamente por executar a atividade de serviço em questão. 
</t>
        </r>
        <r>
          <rPr>
            <b/>
            <i/>
            <sz val="9"/>
            <color indexed="81"/>
            <rFont val="Tahoma"/>
            <family val="2"/>
          </rPr>
          <t>Aplicabilidade em cada Tipo de Atividade:</t>
        </r>
        <r>
          <rPr>
            <i/>
            <sz val="9"/>
            <color indexed="81"/>
            <rFont val="Tahoma"/>
            <family val="2"/>
          </rPr>
          <t xml:space="preserve">
  - Incidente:  SIM
  - Requisição de Serviço:  SIM
  - Problema:  SIM
  - Demanda / Projeto / Mudança:  SIM
  - Rotina:  SIM</t>
        </r>
      </text>
    </comment>
    <comment ref="Q3" authorId="0" shapeId="0">
      <text>
        <r>
          <rPr>
            <b/>
            <sz val="9"/>
            <color indexed="81"/>
            <rFont val="Tahoma"/>
            <family val="2"/>
          </rPr>
          <t>Tempo Máximo Escalada Funcional:</t>
        </r>
        <r>
          <rPr>
            <sz val="9"/>
            <color indexed="81"/>
            <rFont val="Tahoma"/>
            <family val="2"/>
          </rPr>
          <t xml:space="preserve">
Indica o tempo máximo após o qual o grupo solucionador secundário deve ser acionado para executar a atividade de serviço em questão, caso o grupo solucionador principal não tenha sido bem sucedido. 
</t>
        </r>
        <r>
          <rPr>
            <b/>
            <i/>
            <sz val="9"/>
            <color indexed="81"/>
            <rFont val="Tahoma"/>
            <family val="2"/>
          </rPr>
          <t>Aplicabilidade em cada Tipo de Atividade:</t>
        </r>
        <r>
          <rPr>
            <i/>
            <sz val="9"/>
            <color indexed="81"/>
            <rFont val="Tahoma"/>
            <family val="2"/>
          </rPr>
          <t xml:space="preserve">
  - Incidente:  SIM
  - Requisição de Serviço:  SIM
  - Problema:  SIM
  - Demanda / Projeto / Mudança:  NÃO
  - Rotina:  NÃO</t>
        </r>
      </text>
    </comment>
    <comment ref="R3" authorId="0" shapeId="0">
      <text>
        <r>
          <rPr>
            <b/>
            <sz val="9"/>
            <color indexed="81"/>
            <rFont val="Tahoma"/>
            <family val="2"/>
          </rPr>
          <t>Situações que justificam escalada:</t>
        </r>
        <r>
          <rPr>
            <sz val="9"/>
            <color indexed="81"/>
            <rFont val="Tahoma"/>
            <family val="2"/>
          </rPr>
          <t xml:space="preserve">
Descrever em quais situações uma escalada funcional pode ser necessária para a execução da atividade. 
</t>
        </r>
        <r>
          <rPr>
            <b/>
            <i/>
            <sz val="9"/>
            <color indexed="81"/>
            <rFont val="Tahoma"/>
            <family val="2"/>
          </rPr>
          <t>Aplicabilidade em cada Tipo de Atividade:</t>
        </r>
        <r>
          <rPr>
            <i/>
            <sz val="9"/>
            <color indexed="81"/>
            <rFont val="Tahoma"/>
            <family val="2"/>
          </rPr>
          <t xml:space="preserve">
  - Incidente:  SIM
  - Requisição de Serviço:  SIM
  - Problema:  SIM
  - Demanda / Projeto / Mudança:  NÃO
  - Rotina:  NÃO</t>
        </r>
      </text>
    </comment>
    <comment ref="S3" authorId="0" shapeId="0">
      <text>
        <r>
          <rPr>
            <b/>
            <sz val="9"/>
            <color indexed="81"/>
            <rFont val="Tahoma"/>
            <family val="2"/>
          </rPr>
          <t>Grupo Solucionador Secundário:</t>
        </r>
        <r>
          <rPr>
            <sz val="9"/>
            <color indexed="81"/>
            <rFont val="Tahoma"/>
            <family val="2"/>
          </rPr>
          <t xml:space="preserve">
Identificação da equipe que será acionada para executar a atividade de serviço em questão, caso a equipe principal não tenha conseguido sucesso. 
</t>
        </r>
        <r>
          <rPr>
            <b/>
            <i/>
            <sz val="9"/>
            <color indexed="81"/>
            <rFont val="Tahoma"/>
            <family val="2"/>
          </rPr>
          <t>Aplicabilidade em cada Tipo de Atividade:</t>
        </r>
        <r>
          <rPr>
            <i/>
            <sz val="9"/>
            <color indexed="81"/>
            <rFont val="Tahoma"/>
            <family val="2"/>
          </rPr>
          <t xml:space="preserve">
  - Incidente:  SIM
  - Requisição de Serviço:  SIM
  - Problema:  SIM
  - Demanda / Projeto / Mudança:  NÃO
  - Rotina:  NÃO</t>
        </r>
      </text>
    </comment>
    <comment ref="T3" authorId="0" shapeId="0">
      <text>
        <r>
          <rPr>
            <b/>
            <sz val="9"/>
            <color indexed="81"/>
            <rFont val="Tahoma"/>
            <family val="2"/>
          </rPr>
          <t>Tempo Máximo Escalada Funcional:</t>
        </r>
        <r>
          <rPr>
            <sz val="9"/>
            <color indexed="81"/>
            <rFont val="Tahoma"/>
            <family val="2"/>
          </rPr>
          <t xml:space="preserve">
Indica o tempo máximo após o qual o grupo solucionador secundário deve ser acionado para executar a atividade de serviço em questão, caso o grupo solucionador principal não tenha sido bem sucedido. 
</t>
        </r>
        <r>
          <rPr>
            <b/>
            <i/>
            <sz val="9"/>
            <color indexed="81"/>
            <rFont val="Tahoma"/>
            <family val="2"/>
          </rPr>
          <t>Aplicabilidade em cada Tipo de Atividade:</t>
        </r>
        <r>
          <rPr>
            <i/>
            <sz val="9"/>
            <color indexed="81"/>
            <rFont val="Tahoma"/>
            <family val="2"/>
          </rPr>
          <t xml:space="preserve">
  - Incidente:  SIM
  - Requisição de Serviço:  SIM
  - Problema:  SIM
  - Demanda / Projeto / Mudança:  NÃO
  - Rotina:  NÃO</t>
        </r>
      </text>
    </comment>
    <comment ref="U3" authorId="0" shapeId="0">
      <text>
        <r>
          <rPr>
            <b/>
            <sz val="9"/>
            <color indexed="81"/>
            <rFont val="Tahoma"/>
            <family val="2"/>
          </rPr>
          <t>Tempo Máximo Resolução:</t>
        </r>
        <r>
          <rPr>
            <sz val="9"/>
            <color indexed="81"/>
            <rFont val="Tahoma"/>
            <family val="2"/>
          </rPr>
          <t xml:space="preserve">
Indica o tempo máximo que o grupo solucionador secundário tem para executar a atividade de serviço em questão, caso o grupo solucionador principal não tenha sido bem sucedido. 
OBS.:  Este tempo máximo deve ser menor do que o Tempo Máximo Total de Resolução estabelecido no SLA.
</t>
        </r>
        <r>
          <rPr>
            <b/>
            <i/>
            <sz val="9"/>
            <color indexed="81"/>
            <rFont val="Tahoma"/>
            <family val="2"/>
          </rPr>
          <t>Aplicabilidade em cada Tipo de Atividade:</t>
        </r>
        <r>
          <rPr>
            <i/>
            <sz val="9"/>
            <color indexed="81"/>
            <rFont val="Tahoma"/>
            <family val="2"/>
          </rPr>
          <t xml:space="preserve">
  - Incidente:  SIM
  - Requisição de Serviço:  SIM
  - Problema:  SIM
  - Demanda / Projeto / Mudança:  NÃO
  - Rotina:  NÃO</t>
        </r>
      </text>
    </comment>
    <comment ref="W3" authorId="0" shapeId="0">
      <text>
        <r>
          <rPr>
            <b/>
            <sz val="9"/>
            <color indexed="81"/>
            <rFont val="Tahoma"/>
            <family val="2"/>
          </rPr>
          <t>Grupo Solucionador Secundário:</t>
        </r>
        <r>
          <rPr>
            <sz val="9"/>
            <color indexed="81"/>
            <rFont val="Tahoma"/>
            <family val="2"/>
          </rPr>
          <t xml:space="preserve">
Identificação da equipe que será acionada para executar a atividade de serviço em questão, caso a equipe principal não tenha conseguido sucesso. 
</t>
        </r>
        <r>
          <rPr>
            <b/>
            <i/>
            <sz val="9"/>
            <color indexed="81"/>
            <rFont val="Tahoma"/>
            <family val="2"/>
          </rPr>
          <t>Aplicabilidade em cada Tipo de Atividade:</t>
        </r>
        <r>
          <rPr>
            <i/>
            <sz val="9"/>
            <color indexed="81"/>
            <rFont val="Tahoma"/>
            <family val="2"/>
          </rPr>
          <t xml:space="preserve">
  - Incidente:  SIM
  - Requisição de Serviço:  SIM
  - Problema:  SIM
  - Demanda / Projeto / Mudança:  NÃO
  - Rotina:  NÃO</t>
        </r>
      </text>
    </comment>
    <comment ref="X3" authorId="0" shapeId="0">
      <text>
        <r>
          <rPr>
            <b/>
            <sz val="9"/>
            <color indexed="81"/>
            <rFont val="Tahoma"/>
            <family val="2"/>
          </rPr>
          <t>Tempo Máximo Resolução:</t>
        </r>
        <r>
          <rPr>
            <sz val="9"/>
            <color indexed="81"/>
            <rFont val="Tahoma"/>
            <family val="2"/>
          </rPr>
          <t xml:space="preserve">
Indica o tempo máximo que o grupo solucionador secundário tem para executar a atividade de serviço em questão, caso o grupo solucionador principal não tenha sido bem sucedido. 
OBS.:  Este tempo máximo deve ser menor do que o Tempo Máximo Total de Resolução estabelecido no SLA.
</t>
        </r>
        <r>
          <rPr>
            <b/>
            <i/>
            <sz val="9"/>
            <color indexed="81"/>
            <rFont val="Tahoma"/>
            <family val="2"/>
          </rPr>
          <t>Aplicabilidade em cada Tipo de Atividade:</t>
        </r>
        <r>
          <rPr>
            <i/>
            <sz val="9"/>
            <color indexed="81"/>
            <rFont val="Tahoma"/>
            <family val="2"/>
          </rPr>
          <t xml:space="preserve">
  - Incidente:  SIM
  - Requisição de Serviço:  SIM
  - Problema:  SIM
  - Demanda / Projeto / Mudança:  NÃO
  - Rotina:  NÃO</t>
        </r>
      </text>
    </comment>
    <comment ref="AC3" authorId="0" shapeId="0">
      <text>
        <r>
          <rPr>
            <b/>
            <sz val="9"/>
            <color indexed="81"/>
            <rFont val="Tahoma"/>
            <family val="2"/>
          </rPr>
          <t>Para quem escalar:</t>
        </r>
        <r>
          <rPr>
            <sz val="9"/>
            <color indexed="81"/>
            <rFont val="Tahoma"/>
            <family val="2"/>
          </rPr>
          <t xml:space="preserve">
Identificação do papel, pessoa ou equipe que deve ser escalada hierarquicamente, caso haja risco de violação do SLA de Atendimento ou de Resolução. 
</t>
        </r>
        <r>
          <rPr>
            <b/>
            <i/>
            <sz val="9"/>
            <color indexed="81"/>
            <rFont val="Tahoma"/>
            <family val="2"/>
          </rPr>
          <t>Aplicabilidade em cada Tipo de Atividade:</t>
        </r>
        <r>
          <rPr>
            <i/>
            <sz val="9"/>
            <color indexed="81"/>
            <rFont val="Tahoma"/>
            <family val="2"/>
          </rPr>
          <t xml:space="preserve">
  - Incidente:  SIM
  - Requisição de Serviço:  SIM
  - Problema:  SIM
  - Demanda / Projeto / Mudança:  SIM
  - Rotina:  SIM</t>
        </r>
      </text>
    </comment>
    <comment ref="AD3" authorId="0" shapeId="0">
      <text>
        <r>
          <rPr>
            <b/>
            <sz val="9"/>
            <color indexed="81"/>
            <rFont val="Tahoma"/>
            <family val="2"/>
          </rPr>
          <t>Em quanto tempo ?</t>
        </r>
        <r>
          <rPr>
            <sz val="9"/>
            <color indexed="81"/>
            <rFont val="Tahoma"/>
            <family val="2"/>
          </rPr>
          <t xml:space="preserve">
Indica o tempo máximo após o qual deve ser acionada a escalada hierárquica para o grupo ou pessoa citado na coluna anterior.
Em geral, este tempo é representado como um percentual do Tempo Máximo Total para Resolução estabelecido no SLA. 
</t>
        </r>
        <r>
          <rPr>
            <b/>
            <i/>
            <sz val="9"/>
            <color indexed="81"/>
            <rFont val="Tahoma"/>
            <family val="2"/>
          </rPr>
          <t>Aplicabilidade em cada Tipo de Atividade:</t>
        </r>
        <r>
          <rPr>
            <i/>
            <sz val="9"/>
            <color indexed="81"/>
            <rFont val="Tahoma"/>
            <family val="2"/>
          </rPr>
          <t xml:space="preserve">
  - Incidente:  SIM
  - Requisição de Serviço:  SIM
  - Problema: SIM
  - Demanda / Projeto / Mudança:  SIM
  - Rotina:  SIM</t>
        </r>
      </text>
    </comment>
    <comment ref="F143" authorId="1" shapeId="0">
      <text>
        <r>
          <rPr>
            <b/>
            <sz val="9"/>
            <color indexed="81"/>
            <rFont val="Tahoma"/>
            <family val="2"/>
          </rPr>
          <t xml:space="preserve">Poderia ser tratado pelo primeiro nível.
</t>
        </r>
        <r>
          <rPr>
            <sz val="9"/>
            <color indexed="81"/>
            <rFont val="Tahoma"/>
            <family val="2"/>
          </rPr>
          <t xml:space="preserve">
</t>
        </r>
      </text>
    </comment>
  </commentList>
</comments>
</file>

<file path=xl/comments2.xml><?xml version="1.0" encoding="utf-8"?>
<comments xmlns="http://schemas.openxmlformats.org/spreadsheetml/2006/main">
  <authors>
    <author>Vladimir Ferraz de Abreu</author>
  </authors>
  <commentList>
    <comment ref="B2" authorId="0" shapeId="0">
      <text>
        <r>
          <rPr>
            <b/>
            <sz val="9"/>
            <color indexed="81"/>
            <rFont val="Tahoma"/>
            <family val="2"/>
          </rPr>
          <t>Foco do Serviço:</t>
        </r>
        <r>
          <rPr>
            <sz val="9"/>
            <color indexed="81"/>
            <rFont val="Tahoma"/>
            <family val="2"/>
          </rPr>
          <t xml:space="preserve">
Negócio (Externo)
TI (Interno)</t>
        </r>
      </text>
    </comment>
    <comment ref="C2" authorId="0" shapeId="0">
      <text>
        <r>
          <rPr>
            <sz val="9"/>
            <color indexed="81"/>
            <rFont val="Tahoma"/>
            <family val="2"/>
          </rPr>
          <t>Nome do serviço que aparecerá no Catálogo.</t>
        </r>
      </text>
    </comment>
    <comment ref="E2" authorId="0" shapeId="0">
      <text>
        <r>
          <rPr>
            <b/>
            <sz val="9"/>
            <color indexed="81"/>
            <rFont val="Tahoma"/>
            <family val="2"/>
          </rPr>
          <t>Descrição Detalhada do Serviço:</t>
        </r>
        <r>
          <rPr>
            <sz val="9"/>
            <color indexed="81"/>
            <rFont val="Tahoma"/>
            <family val="2"/>
          </rPr>
          <t xml:space="preserve">
Aqui o serviço deve ser descrito em um nível de detalhamento maior, de forma a qualificá-lo melhor, em termos dos seus objetivos e entregáveis.</t>
        </r>
      </text>
    </comment>
    <comment ref="F2" authorId="0" shapeId="0">
      <text>
        <r>
          <rPr>
            <b/>
            <sz val="9"/>
            <color indexed="81"/>
            <rFont val="Tahoma"/>
            <family val="2"/>
          </rPr>
          <t>Horários de Funcionamento:</t>
        </r>
        <r>
          <rPr>
            <sz val="9"/>
            <color indexed="81"/>
            <rFont val="Tahoma"/>
            <family val="2"/>
          </rPr>
          <t xml:space="preserve">
Descrição dos horários em que o serviço está disponível para os usuários.</t>
        </r>
      </text>
    </comment>
    <comment ref="G2" authorId="0" shapeId="0">
      <text>
        <r>
          <rPr>
            <b/>
            <sz val="9"/>
            <color indexed="81"/>
            <rFont val="Tahoma"/>
            <family val="2"/>
          </rPr>
          <t>Criticidade de Horários:</t>
        </r>
        <r>
          <rPr>
            <sz val="9"/>
            <color indexed="81"/>
            <rFont val="Tahoma"/>
            <family val="2"/>
          </rPr>
          <t xml:space="preserve">
Períodos em que a demanda pelo serviço é mais crítica.</t>
        </r>
      </text>
    </comment>
    <comment ref="H2" authorId="0" shapeId="0">
      <text>
        <r>
          <rPr>
            <b/>
            <sz val="9"/>
            <color indexed="81"/>
            <rFont val="Tahoma"/>
            <family val="2"/>
          </rPr>
          <t>Clientes do Serviço:</t>
        </r>
        <r>
          <rPr>
            <sz val="9"/>
            <color indexed="81"/>
            <rFont val="Tahoma"/>
            <family val="2"/>
          </rPr>
          <t xml:space="preserve">
Relação das áreas ou processos de negócio da empresa que contrataram (e utilizam) o serviço.</t>
        </r>
      </text>
    </comment>
    <comment ref="I2" authorId="0" shapeId="0">
      <text>
        <r>
          <rPr>
            <b/>
            <sz val="9"/>
            <color indexed="81"/>
            <rFont val="Tahoma"/>
            <family val="2"/>
          </rPr>
          <t>Clientes do Serviço:</t>
        </r>
        <r>
          <rPr>
            <sz val="9"/>
            <color indexed="81"/>
            <rFont val="Tahoma"/>
            <family val="2"/>
          </rPr>
          <t xml:space="preserve">
Relação das áreas ou processos de negócio da empresa que contrataram (e utilizam) o serviço.</t>
        </r>
      </text>
    </comment>
    <comment ref="J2" authorId="0" shapeId="0">
      <text>
        <r>
          <rPr>
            <b/>
            <sz val="9"/>
            <color indexed="81"/>
            <rFont val="Tahoma"/>
            <family val="2"/>
          </rPr>
          <t>Clientes do Serviço:</t>
        </r>
        <r>
          <rPr>
            <sz val="9"/>
            <color indexed="81"/>
            <rFont val="Tahoma"/>
            <family val="2"/>
          </rPr>
          <t xml:space="preserve">
Relação das áreas ou processos de negócio da empresa que contrataram (e utilizam) o serviço.</t>
        </r>
      </text>
    </comment>
    <comment ref="K2" authorId="0" shapeId="0">
      <text>
        <r>
          <rPr>
            <b/>
            <sz val="9"/>
            <color indexed="81"/>
            <rFont val="Tahoma"/>
            <family val="2"/>
          </rPr>
          <t>Usuários (Identificação e informações gerais):</t>
        </r>
        <r>
          <rPr>
            <sz val="9"/>
            <color indexed="81"/>
            <rFont val="Tahoma"/>
            <family val="2"/>
          </rPr>
          <t xml:space="preserve">
Relação dos usuários que podem requisitar o serviço, ou que recebem os resultados da execução do serviço.
Incluir aqui quaisquer informações adicionais dos usuários que forem relevantes para a descrição do serviço (por exemplo, que grupos de usuários são VIPs para este serviço, ou se há algum nível de serviço diferenciado para algum grupo de usuários etc.).</t>
        </r>
      </text>
    </comment>
    <comment ref="L2" authorId="0" shapeId="0">
      <text>
        <r>
          <rPr>
            <b/>
            <sz val="9"/>
            <color indexed="81"/>
            <rFont val="Tahoma"/>
            <family val="2"/>
          </rPr>
          <t>Dono do Serviço:</t>
        </r>
        <r>
          <rPr>
            <sz val="9"/>
            <color indexed="81"/>
            <rFont val="Tahoma"/>
            <family val="2"/>
          </rPr>
          <t xml:space="preserve">
Responsável do provedor por garantir que os serviços sejam entregues conforme acordado.
</t>
        </r>
      </text>
    </comment>
    <comment ref="N2" authorId="0" shapeId="0">
      <text>
        <r>
          <rPr>
            <b/>
            <sz val="9"/>
            <color indexed="81"/>
            <rFont val="Tahoma"/>
            <family val="2"/>
          </rPr>
          <t>Grupo Solucionador Principal (Autoridade Operacional):</t>
        </r>
        <r>
          <rPr>
            <sz val="9"/>
            <color indexed="81"/>
            <rFont val="Tahoma"/>
            <family val="2"/>
          </rPr>
          <t xml:space="preserve">
Grupo de técnicos que atua primariamente na resolução das solicitações e chamados relacionados ao serviço.
"Autoridade Operacional" pode ser considerado o responsável pela entrega do serviço de ponta a ponta (podendo inclusive delegar partes específicas do trabalho para outros grupos mais especializados).</t>
        </r>
      </text>
    </comment>
  </commentList>
</comments>
</file>

<file path=xl/comments3.xml><?xml version="1.0" encoding="utf-8"?>
<comments xmlns="http://schemas.openxmlformats.org/spreadsheetml/2006/main">
  <authors>
    <author>Vladimir Ferraz de Abreu</author>
  </authors>
  <commentList>
    <comment ref="D2" authorId="0" shapeId="0">
      <text>
        <r>
          <rPr>
            <b/>
            <sz val="9"/>
            <color indexed="81"/>
            <rFont val="Tahoma"/>
            <family val="2"/>
          </rPr>
          <t>Descrição Detalhada do Serviço:</t>
        </r>
        <r>
          <rPr>
            <sz val="9"/>
            <color indexed="81"/>
            <rFont val="Tahoma"/>
            <family val="2"/>
          </rPr>
          <t xml:space="preserve">
Aqui o serviço deve ser descrito em um nível de detalhamento maior, de forma a qualificá-lo melhor, em termos dos seus objetivos e entregáveis.</t>
        </r>
      </text>
    </comment>
    <comment ref="B3" authorId="0" shapeId="0">
      <text>
        <r>
          <rPr>
            <b/>
            <sz val="9"/>
            <color indexed="81"/>
            <rFont val="Tahoma"/>
            <family val="2"/>
          </rPr>
          <t>Foco do Serviço:</t>
        </r>
        <r>
          <rPr>
            <sz val="9"/>
            <color indexed="81"/>
            <rFont val="Tahoma"/>
            <family val="2"/>
          </rPr>
          <t xml:space="preserve">
Negócio (Externo)
TI (Interno)</t>
        </r>
      </text>
    </comment>
    <comment ref="C3" authorId="0" shapeId="0">
      <text>
        <r>
          <rPr>
            <sz val="9"/>
            <color indexed="81"/>
            <rFont val="Tahoma"/>
            <family val="2"/>
          </rPr>
          <t>Nome do serviço que aparecerá no Catálogo.</t>
        </r>
      </text>
    </comment>
    <comment ref="E3" authorId="0" shapeId="0">
      <text>
        <r>
          <rPr>
            <b/>
            <sz val="9"/>
            <color indexed="81"/>
            <rFont val="Tahoma"/>
            <family val="2"/>
          </rPr>
          <t>Horários de Funcionamento:</t>
        </r>
        <r>
          <rPr>
            <sz val="9"/>
            <color indexed="81"/>
            <rFont val="Tahoma"/>
            <family val="2"/>
          </rPr>
          <t xml:space="preserve">
Descrição dos horários em que o serviço está disponível para os usuários.</t>
        </r>
      </text>
    </comment>
    <comment ref="F3" authorId="0" shapeId="0">
      <text>
        <r>
          <rPr>
            <b/>
            <sz val="9"/>
            <color indexed="81"/>
            <rFont val="Tahoma"/>
            <family val="2"/>
          </rPr>
          <t>Criticidade de Horários:</t>
        </r>
        <r>
          <rPr>
            <sz val="9"/>
            <color indexed="81"/>
            <rFont val="Tahoma"/>
            <family val="2"/>
          </rPr>
          <t xml:space="preserve">
Períodos em que a demanda pelo serviço é mais crítica.</t>
        </r>
      </text>
    </comment>
    <comment ref="G3" authorId="0" shapeId="0">
      <text>
        <r>
          <rPr>
            <b/>
            <sz val="9"/>
            <color indexed="81"/>
            <rFont val="Tahoma"/>
            <family val="2"/>
          </rPr>
          <t>Clientes do Serviço:</t>
        </r>
        <r>
          <rPr>
            <sz val="9"/>
            <color indexed="81"/>
            <rFont val="Tahoma"/>
            <family val="2"/>
          </rPr>
          <t xml:space="preserve">
Relação das áreas ou processos de negócio da empresa que contrataram (e utilizam) o serviço.</t>
        </r>
      </text>
    </comment>
    <comment ref="H3" authorId="0" shapeId="0">
      <text>
        <r>
          <rPr>
            <b/>
            <sz val="9"/>
            <color indexed="81"/>
            <rFont val="Tahoma"/>
            <family val="2"/>
          </rPr>
          <t>Clientes do Serviço:</t>
        </r>
        <r>
          <rPr>
            <sz val="9"/>
            <color indexed="81"/>
            <rFont val="Tahoma"/>
            <family val="2"/>
          </rPr>
          <t xml:space="preserve">
Relação das áreas ou processos de negócio da empresa que contrataram (e utilizam) o serviço.</t>
        </r>
      </text>
    </comment>
    <comment ref="I3" authorId="0" shapeId="0">
      <text>
        <r>
          <rPr>
            <b/>
            <sz val="9"/>
            <color indexed="81"/>
            <rFont val="Tahoma"/>
            <family val="2"/>
          </rPr>
          <t>Clientes do Serviço:</t>
        </r>
        <r>
          <rPr>
            <sz val="9"/>
            <color indexed="81"/>
            <rFont val="Tahoma"/>
            <family val="2"/>
          </rPr>
          <t xml:space="preserve">
Relação das áreas ou processos de negócio da empresa que contrataram (e utilizam) o serviço.</t>
        </r>
      </text>
    </comment>
    <comment ref="J3" authorId="0" shapeId="0">
      <text>
        <r>
          <rPr>
            <b/>
            <sz val="9"/>
            <color indexed="81"/>
            <rFont val="Tahoma"/>
            <family val="2"/>
          </rPr>
          <t>Usuários (Identificação e informações gerais):</t>
        </r>
        <r>
          <rPr>
            <sz val="9"/>
            <color indexed="81"/>
            <rFont val="Tahoma"/>
            <family val="2"/>
          </rPr>
          <t xml:space="preserve">
Relação dos usuários que podem requisitar o serviço, ou que recebem os resultados da execução do serviço.
Incluir aqui quaisquer informações adicionais dos usuários que forem relevantes para a descrição do serviço (por exemplo, que grupos de usuários são VIPs para este serviço, ou se há algum nível de serviço diferenciado para algum grupo de usuários etc.).</t>
        </r>
      </text>
    </comment>
    <comment ref="K3" authorId="0" shapeId="0">
      <text>
        <r>
          <rPr>
            <b/>
            <sz val="9"/>
            <color indexed="81"/>
            <rFont val="Tahoma"/>
            <family val="2"/>
          </rPr>
          <t>Dono do Serviço:</t>
        </r>
        <r>
          <rPr>
            <sz val="9"/>
            <color indexed="81"/>
            <rFont val="Tahoma"/>
            <family val="2"/>
          </rPr>
          <t xml:space="preserve">
Responsável do provedor por garantir que os serviços sejam entregues conforme acordado.
</t>
        </r>
      </text>
    </comment>
    <comment ref="L3" authorId="0" shapeId="0">
      <text>
        <r>
          <rPr>
            <b/>
            <sz val="9"/>
            <color indexed="81"/>
            <rFont val="Tahoma"/>
            <family val="2"/>
          </rPr>
          <t>Grupo Solucionador Principal (Autoridade Operacional):</t>
        </r>
        <r>
          <rPr>
            <sz val="9"/>
            <color indexed="81"/>
            <rFont val="Tahoma"/>
            <family val="2"/>
          </rPr>
          <t xml:space="preserve">
Grupo de técnicos que atua primariamente na resolução das solicitações e chamados relacionados ao serviço.
"Autoridade Operacional" pode ser considerado o responsável pela entrega do serviço de ponta a ponta (podendo inclusive delegar partes específicas do trabalho para outros grupos mais especializados).</t>
        </r>
      </text>
    </comment>
  </commentList>
</comments>
</file>

<file path=xl/comments4.xml><?xml version="1.0" encoding="utf-8"?>
<comments xmlns="http://schemas.openxmlformats.org/spreadsheetml/2006/main">
  <authors>
    <author>Vladimir Ferraz de Abreu</author>
  </authors>
  <commentList>
    <comment ref="B2" authorId="0" shapeId="0">
      <text>
        <r>
          <rPr>
            <b/>
            <sz val="9"/>
            <color indexed="81"/>
            <rFont val="Tahoma"/>
            <family val="2"/>
          </rPr>
          <t>Foco do Serviço:</t>
        </r>
        <r>
          <rPr>
            <sz val="9"/>
            <color indexed="81"/>
            <rFont val="Tahoma"/>
            <family val="2"/>
          </rPr>
          <t xml:space="preserve">
Negócio (Externo)
TI (Interno)</t>
        </r>
      </text>
    </comment>
    <comment ref="C2" authorId="0" shapeId="0">
      <text>
        <r>
          <rPr>
            <sz val="9"/>
            <color indexed="81"/>
            <rFont val="Tahoma"/>
            <family val="2"/>
          </rPr>
          <t>Nome do serviço que aparecerá no Catálogo.</t>
        </r>
      </text>
    </comment>
    <comment ref="D2" authorId="0" shapeId="0">
      <text>
        <r>
          <rPr>
            <b/>
            <sz val="9"/>
            <color indexed="81"/>
            <rFont val="Tahoma"/>
            <family val="2"/>
          </rPr>
          <t>Clientes do Serviço:</t>
        </r>
        <r>
          <rPr>
            <sz val="9"/>
            <color indexed="81"/>
            <rFont val="Tahoma"/>
            <family val="2"/>
          </rPr>
          <t xml:space="preserve">
Relação das áreas ou processos de negócio da empresa que contrataram (e utilizam) o serviço.</t>
        </r>
      </text>
    </comment>
    <comment ref="E2" authorId="0" shapeId="0">
      <text>
        <r>
          <rPr>
            <b/>
            <sz val="9"/>
            <color indexed="81"/>
            <rFont val="Tahoma"/>
            <family val="2"/>
          </rPr>
          <t>Clientes do Serviço:</t>
        </r>
        <r>
          <rPr>
            <sz val="9"/>
            <color indexed="81"/>
            <rFont val="Tahoma"/>
            <family val="2"/>
          </rPr>
          <t xml:space="preserve">
Relação das áreas ou processos de negócio da empresa que contrataram (e utilizam) o serviço.</t>
        </r>
      </text>
    </comment>
  </commentList>
</comments>
</file>

<file path=xl/sharedStrings.xml><?xml version="1.0" encoding="utf-8"?>
<sst xmlns="http://schemas.openxmlformats.org/spreadsheetml/2006/main" count="13447" uniqueCount="1420">
  <si>
    <t>Dados Básicos do Serviço</t>
  </si>
  <si>
    <t>Descrição Detalhada do Serviço</t>
  </si>
  <si>
    <t>Usuários do Serviço</t>
  </si>
  <si>
    <t>Matriz de Responsabilidades</t>
  </si>
  <si>
    <t>Foco</t>
  </si>
  <si>
    <t>Nome do Serviço</t>
  </si>
  <si>
    <t>Grupo Solucionador Principal
(Aut. Operacional)</t>
  </si>
  <si>
    <t>Períodos Críticos</t>
  </si>
  <si>
    <t>Dono do Serviço</t>
  </si>
  <si>
    <t>Depedências de Grupos Internos</t>
  </si>
  <si>
    <t>Dependências de Grupos Externos</t>
  </si>
  <si>
    <t>Existem ANOs?</t>
  </si>
  <si>
    <t>Existem Contratos?</t>
  </si>
  <si>
    <t>SLA´s</t>
  </si>
  <si>
    <t>Negócio</t>
  </si>
  <si>
    <t>Conteúdo</t>
  </si>
  <si>
    <t>controle de versão deste documento</t>
  </si>
  <si>
    <t>Versão</t>
  </si>
  <si>
    <t>Data</t>
  </si>
  <si>
    <t>Autor</t>
  </si>
  <si>
    <t>Catálogo de Serviços</t>
  </si>
  <si>
    <t>v1.0</t>
  </si>
  <si>
    <t>Código do Projeto : MONDIAL005</t>
  </si>
  <si>
    <t>Macro Processo</t>
  </si>
  <si>
    <t>Subprocesso</t>
  </si>
  <si>
    <t>Área Responsável</t>
  </si>
  <si>
    <t>Área</t>
  </si>
  <si>
    <t>Planejamento</t>
  </si>
  <si>
    <t>Controladoria</t>
  </si>
  <si>
    <t>Trade Marketing</t>
  </si>
  <si>
    <t>Almoxarifado</t>
  </si>
  <si>
    <t>Comex</t>
  </si>
  <si>
    <t>Jurídico</t>
  </si>
  <si>
    <t>PPI</t>
  </si>
  <si>
    <t>Compras</t>
  </si>
  <si>
    <t>Engenharia</t>
  </si>
  <si>
    <t>Clientes do Serviço - Processo de Negócio</t>
  </si>
  <si>
    <t>Clientes do Serviço - Área da Empresa</t>
  </si>
  <si>
    <t>Comercial</t>
  </si>
  <si>
    <t>Produtos</t>
  </si>
  <si>
    <t>Projetos</t>
  </si>
  <si>
    <t>Operação TI</t>
  </si>
  <si>
    <t>Gerenciamento de Hosting</t>
  </si>
  <si>
    <t>Operações IDC</t>
  </si>
  <si>
    <t>Ativação</t>
  </si>
  <si>
    <t>Infraestrutura Básica</t>
  </si>
  <si>
    <t>Faturametno</t>
  </si>
  <si>
    <t>Suporte Técnico e Monitoramento</t>
  </si>
  <si>
    <t>Gestão da Qualidade</t>
  </si>
  <si>
    <t>Alta Direção</t>
  </si>
  <si>
    <t>Recursos Humanos</t>
  </si>
  <si>
    <t>Subárea</t>
  </si>
  <si>
    <t>Projetos e Processos</t>
  </si>
  <si>
    <t>Contabilidade</t>
  </si>
  <si>
    <t>Recebimento Fiscal</t>
  </si>
  <si>
    <t>Sistema de Materiais/Custo</t>
  </si>
  <si>
    <t>Rogério Florencio</t>
  </si>
  <si>
    <t>Deise Amorim</t>
  </si>
  <si>
    <t>Marketing Institucional</t>
  </si>
  <si>
    <t>Marketing de Produto</t>
  </si>
  <si>
    <t>Gil Rafael</t>
  </si>
  <si>
    <t>Diretoria</t>
  </si>
  <si>
    <t>Alberto</t>
  </si>
  <si>
    <t>Gestão Corporativa</t>
  </si>
  <si>
    <t>Diretoria Técnica/Comex</t>
  </si>
  <si>
    <t>Contas a Pagar</t>
  </si>
  <si>
    <t>Contas e Receber</t>
  </si>
  <si>
    <t>Tesouraria</t>
  </si>
  <si>
    <t>Crédito</t>
  </si>
  <si>
    <t>Diretoria Administrativo Financeiro</t>
  </si>
  <si>
    <t>Gerencia Administrativo Financeiro</t>
  </si>
  <si>
    <t>Gerencia de Sistemas</t>
  </si>
  <si>
    <t>Gerencia de Infraestrutura</t>
  </si>
  <si>
    <t>Diretoria Comercial</t>
  </si>
  <si>
    <t>Diretoria Industrial</t>
  </si>
  <si>
    <t>Produção Ventilação (80)</t>
  </si>
  <si>
    <t>Produção Cozinha (70)</t>
  </si>
  <si>
    <t>Diretoria de Pós Venda</t>
  </si>
  <si>
    <t>Coordenação de Pós Venda</t>
  </si>
  <si>
    <t>Gerência de Rede Autorizada</t>
  </si>
  <si>
    <t>Adm. Vendas</t>
  </si>
  <si>
    <t>Engenharia de Produto</t>
  </si>
  <si>
    <t>Engenharia de Processo</t>
  </si>
  <si>
    <t>Sistema de Gestão da Qualidade (SGI)</t>
  </si>
  <si>
    <t>Controle de Qualidade</t>
  </si>
  <si>
    <t>Manutenção</t>
  </si>
  <si>
    <t>Ferramentaria</t>
  </si>
  <si>
    <t>RH Bahia</t>
  </si>
  <si>
    <t>RH SP</t>
  </si>
  <si>
    <t>Melhoria Contínua</t>
  </si>
  <si>
    <t>CD Expedição</t>
  </si>
  <si>
    <t>CD Armazenagem</t>
  </si>
  <si>
    <t>Medicina do Trabalho</t>
  </si>
  <si>
    <t>Segurança do Trabalho</t>
  </si>
  <si>
    <t>Segurança</t>
  </si>
  <si>
    <t>CD Manaus</t>
  </si>
  <si>
    <t>CD Araçariguama</t>
  </si>
  <si>
    <t>Administração Central - Head Office (Barueri / SP)</t>
  </si>
  <si>
    <t>Centro de Apoio de Serviços (Araçariguama / SP)</t>
  </si>
  <si>
    <t>Central de Comércio Exterior / Engenharia de Produto (Salvador / BA)</t>
  </si>
  <si>
    <t>Complexo Industrial e Logístico (Conceição do Jacuípe / BA)</t>
  </si>
  <si>
    <t>Centro de Desenvolvimento de Produtos Norte (Ningbo/Zhejiang)</t>
  </si>
  <si>
    <t>Centro de Desenvolvimento de Produtos Leste (Zahnjiang/Gaungdong)</t>
  </si>
  <si>
    <t>Centro de Desenvolvimento de Produtos Sul (Guangzhou/Gaungdong)</t>
  </si>
  <si>
    <t>Distribuidor Autorizado (Barcelona)</t>
  </si>
  <si>
    <t>Distribuidor Autorizado (Cidade do Panamá)</t>
  </si>
  <si>
    <t>Distribuidor Autorizado (Miami / Flórida)</t>
  </si>
  <si>
    <t>Distribuidor Autorizado (Ciudad Del Este / Alto Paraná)</t>
  </si>
  <si>
    <t>Centro de Apoio de Serviços (Manaus / AM)</t>
  </si>
  <si>
    <t>Contabilidade (Tatuapé, São Paulo / SP)</t>
  </si>
  <si>
    <t>Unidade Jundiaí (Casas Bahia)</t>
  </si>
  <si>
    <t>Localidades de Negócio</t>
  </si>
  <si>
    <t>Camaçari/BA</t>
  </si>
  <si>
    <t>Sistemas</t>
  </si>
  <si>
    <t>ERP (SIS), SEFAZ</t>
  </si>
  <si>
    <t>ERP (SIS)</t>
  </si>
  <si>
    <t>Alessandra Moret</t>
  </si>
  <si>
    <t>Solange</t>
  </si>
  <si>
    <t>Jaciara</t>
  </si>
  <si>
    <t>Cristiane Rocha</t>
  </si>
  <si>
    <t>Responsável / Key User</t>
  </si>
  <si>
    <t>Luciano Mucha</t>
  </si>
  <si>
    <t>Giovane Souza</t>
  </si>
  <si>
    <t>Zenaide</t>
  </si>
  <si>
    <t>Lurdes</t>
  </si>
  <si>
    <t>ERP (SIS), Sistemas de Banco</t>
  </si>
  <si>
    <t>ERP (SIS), Empresas de Análise de Crédito</t>
  </si>
  <si>
    <t>Theo Sampaio</t>
  </si>
  <si>
    <t>Marcos Armene</t>
  </si>
  <si>
    <t>ERP (SIS), Projuris, CPJ (vai ficar obsoleto)</t>
  </si>
  <si>
    <t>ERP (SIS), Totvs</t>
  </si>
  <si>
    <t>Janete</t>
  </si>
  <si>
    <t>?</t>
  </si>
  <si>
    <t>ERP (SIS), Ecommerce (Storad, vai mudar), Domínios de Produtos, Sites</t>
  </si>
  <si>
    <t>Shirlei</t>
  </si>
  <si>
    <t>Contratos</t>
  </si>
  <si>
    <t>ERP (SIS), Gerencial (extranet)</t>
  </si>
  <si>
    <t>José Carlos</t>
  </si>
  <si>
    <t>Elias</t>
  </si>
  <si>
    <t>Luis Américo</t>
  </si>
  <si>
    <t>Lourivaldo (Grilo)</t>
  </si>
  <si>
    <t>ERP (SIS), Sistema do Correio (Sigep/Sigep Web)</t>
  </si>
  <si>
    <t>Zózimo</t>
  </si>
  <si>
    <t>Gualberto</t>
  </si>
  <si>
    <t>ERP (SIS), Injet</t>
  </si>
  <si>
    <t>Décio</t>
  </si>
  <si>
    <t>ERP (SIS), Sistema para Fazer Moldes (Solid Works)</t>
  </si>
  <si>
    <t>ERP (SIS), ECM (Totvs), SOGI</t>
  </si>
  <si>
    <t>Sara</t>
  </si>
  <si>
    <t>Luis Andrade</t>
  </si>
  <si>
    <t>André Chiela</t>
  </si>
  <si>
    <t>Massao</t>
  </si>
  <si>
    <t>ERP (SIS), ? (Sistema de Manutenção)</t>
  </si>
  <si>
    <t>Wanderson</t>
  </si>
  <si>
    <t>ERP (SIS), ?</t>
  </si>
  <si>
    <t>Roberval</t>
  </si>
  <si>
    <t>Danilo</t>
  </si>
  <si>
    <t>ERP (SIS), WMS (vai entrar ainda)</t>
  </si>
  <si>
    <t>ERP (SIS), Pamcardi (Sistema pra pagamento de motoristas, transporte), Serviço de 0800, WMS (vai entrar ainda)</t>
  </si>
  <si>
    <t>ERP (SIS), SADIG, WMS (vai entrar ainda)</t>
  </si>
  <si>
    <t>Compras (Suprimentos)</t>
  </si>
  <si>
    <t>Eduardo</t>
  </si>
  <si>
    <t>Tiago</t>
  </si>
  <si>
    <t>Ailson Marques</t>
  </si>
  <si>
    <t>Controle de Qualidade de Importados</t>
  </si>
  <si>
    <t>Flávia</t>
  </si>
  <si>
    <t>Glória</t>
  </si>
  <si>
    <t>Ronilson</t>
  </si>
  <si>
    <t>Sistema de Monitoramente, Sistema das Catracas</t>
  </si>
  <si>
    <t>Monique Aranda</t>
  </si>
  <si>
    <t>ERP (SIS), Salvador (sistemas do governo, Inmetro, Siscomex), São Paulo (somente Siscomex e ERP)</t>
  </si>
  <si>
    <t>Faturamento de Peças</t>
  </si>
  <si>
    <t>ERP (SIS), Telecontrol, SADIG</t>
  </si>
  <si>
    <t>SAC</t>
  </si>
  <si>
    <t>Arnaldo</t>
  </si>
  <si>
    <t>ERP (SIS), Callflex, ?Telecontrol</t>
  </si>
  <si>
    <t>SAR</t>
  </si>
  <si>
    <t>Risiane</t>
  </si>
  <si>
    <t>ERP (SIS), Telecontrol</t>
  </si>
  <si>
    <t>Flávio/Jeferson</t>
  </si>
  <si>
    <t>Leon</t>
  </si>
  <si>
    <t>Rogério Soares (Gestor do Telecontrol)</t>
  </si>
  <si>
    <t>ERP (SIS), BPMS (GXFLOW)</t>
  </si>
  <si>
    <t>ERP Módulos</t>
  </si>
  <si>
    <t>Livros Fiscais, Contablidade, Patrimonial, Faturamento</t>
  </si>
  <si>
    <t>Recebimento, Faturamento, Estoque</t>
  </si>
  <si>
    <t>Custos, Recebimento, Estoque, Faturamento, Inventário</t>
  </si>
  <si>
    <t>Contas a pagar</t>
  </si>
  <si>
    <t>SPD - Solicitação de Pagamento de Depesas</t>
  </si>
  <si>
    <t>Faturamento, Contas a receber</t>
  </si>
  <si>
    <t>Vandré</t>
  </si>
  <si>
    <t>Totvs Módulos</t>
  </si>
  <si>
    <t>Faturamento</t>
  </si>
  <si>
    <t>Engenharia, ?</t>
  </si>
  <si>
    <t>Faturamento, Cadastro Corporativo, Vendas</t>
  </si>
  <si>
    <t>Faturamento, Vendas</t>
  </si>
  <si>
    <t>PPCP, Estoque, Compras</t>
  </si>
  <si>
    <t>Engenharia, Estoque</t>
  </si>
  <si>
    <t>ECM (gestora do sistema)</t>
  </si>
  <si>
    <t>PPCP, Estoque</t>
  </si>
  <si>
    <t>SPD - Solicitação de Pagamento de Depesas, Compras</t>
  </si>
  <si>
    <t>Estoque</t>
  </si>
  <si>
    <t>Faturamento, Estoque</t>
  </si>
  <si>
    <t>PPCP, Estoque, Faturamento</t>
  </si>
  <si>
    <t>Compras, Engenharia/Improdutivos</t>
  </si>
  <si>
    <t>Segurança e Medicina do Trabalho</t>
  </si>
  <si>
    <t>Folha de Pagamento, Automação de Ponto, Portal Totvs</t>
  </si>
  <si>
    <t>Importação, Faturamento, SPD</t>
  </si>
  <si>
    <t>SPD - Solicitação de Pagamento de Depesas, Estoque</t>
  </si>
  <si>
    <t>Controle de Despesas Operacionais, Planejamento de Importação</t>
  </si>
  <si>
    <t>Localidades de TI</t>
  </si>
  <si>
    <t>ALOG</t>
  </si>
  <si>
    <t>(blank)</t>
  </si>
  <si>
    <t>DataCenter</t>
  </si>
  <si>
    <t>CPD</t>
  </si>
  <si>
    <t>ADM 1o Andar</t>
  </si>
  <si>
    <t>ADM Terreo</t>
  </si>
  <si>
    <t>Almoxarifado 70</t>
  </si>
  <si>
    <t>Autoportante-02</t>
  </si>
  <si>
    <t>Autoportante-03</t>
  </si>
  <si>
    <t>cd 80</t>
  </si>
  <si>
    <t>CD Atras do Prédio ADM</t>
  </si>
  <si>
    <t>cd autoportante</t>
  </si>
  <si>
    <t>CD01 (Mezanino)</t>
  </si>
  <si>
    <t>cd01 rack 01</t>
  </si>
  <si>
    <t>cd01 rack 02</t>
  </si>
  <si>
    <t>cd02 rack 01</t>
  </si>
  <si>
    <t>CD03 (Sala de Ed)</t>
  </si>
  <si>
    <t>cd03 rack 01</t>
  </si>
  <si>
    <t>cd03 rack 02</t>
  </si>
  <si>
    <t>cd03 rack 03</t>
  </si>
  <si>
    <t>cd04 rack 01</t>
  </si>
  <si>
    <t>CD05 (Autoportante)</t>
  </si>
  <si>
    <t>Estacionamento</t>
  </si>
  <si>
    <t>injeção 80</t>
  </si>
  <si>
    <t>Loja</t>
  </si>
  <si>
    <t>Mesanino CD WMS</t>
  </si>
  <si>
    <t>Mezanino Autoportante</t>
  </si>
  <si>
    <t>Moinho</t>
  </si>
  <si>
    <t>Montagem 70</t>
  </si>
  <si>
    <t>Montagem 80</t>
  </si>
  <si>
    <t>PCP</t>
  </si>
  <si>
    <t>portaria 70</t>
  </si>
  <si>
    <t>Portaria 80</t>
  </si>
  <si>
    <t>portaria autoportante</t>
  </si>
  <si>
    <t>RH 80</t>
  </si>
  <si>
    <t>Service</t>
  </si>
  <si>
    <t>CEA - Barueri Headoffice</t>
  </si>
  <si>
    <t>ITS - Datacenter Salvador</t>
  </si>
  <si>
    <t>Jacuipe - Fábrica</t>
  </si>
  <si>
    <t>MAO - Manaus</t>
  </si>
  <si>
    <t>ARA - Araçariguama</t>
  </si>
  <si>
    <t>TAT - Tatuapé</t>
  </si>
  <si>
    <t>TKT - Escritório Salvador</t>
  </si>
  <si>
    <t>Jundiaí - Casas Bahia Cliente</t>
  </si>
  <si>
    <t>Camaçari - BA</t>
  </si>
  <si>
    <t>Localidade do Responsável/Key User</t>
  </si>
  <si>
    <t>ERP-SIS : Controle de Despesas Operacionais</t>
  </si>
  <si>
    <t>ERP-SIS : Planejamento de Importação</t>
  </si>
  <si>
    <t>Clientes do Serviço - Diretoria</t>
  </si>
  <si>
    <t>BPMS-GXFLOW</t>
  </si>
  <si>
    <t>Sistemas SEFAZ</t>
  </si>
  <si>
    <t>ERP-SIS : Livros Fiscais</t>
  </si>
  <si>
    <t>ERP-SIS : Faturamento</t>
  </si>
  <si>
    <t>ERP-SIS : Contablidade Patrimonial</t>
  </si>
  <si>
    <t>ERP-SIS : Recebimento</t>
  </si>
  <si>
    <t>ERP-SIS : Estoque</t>
  </si>
  <si>
    <t>ERP-SIS : Custos</t>
  </si>
  <si>
    <t>ERP-SIS : Inventário</t>
  </si>
  <si>
    <t>Controle de Processos</t>
  </si>
  <si>
    <t>Secretaria da Fazenda</t>
  </si>
  <si>
    <t>Warehouse Management System</t>
  </si>
  <si>
    <t>Contas a receber, Contas a pagar</t>
  </si>
  <si>
    <t>ERP-SIS : Contas a receber</t>
  </si>
  <si>
    <t>ERP-SIS : Contas a pagar</t>
  </si>
  <si>
    <t>Sistemas de Banco</t>
  </si>
  <si>
    <t>ERP-SIS : SPD - Solicitação de Pagamento de Depesas</t>
  </si>
  <si>
    <t>Local</t>
  </si>
  <si>
    <t>SP</t>
  </si>
  <si>
    <t>BA</t>
  </si>
  <si>
    <t>AM</t>
  </si>
  <si>
    <t>Acesso Recursos de TI</t>
  </si>
  <si>
    <t>Internet</t>
  </si>
  <si>
    <t>Rede</t>
  </si>
  <si>
    <t>Microinformática - Sofware</t>
  </si>
  <si>
    <t>Telefonia Fixa</t>
  </si>
  <si>
    <t>Telefonia Celular</t>
  </si>
  <si>
    <t>Vídeo Conferência</t>
  </si>
  <si>
    <t>TI</t>
  </si>
  <si>
    <t>Server</t>
  </si>
  <si>
    <t>Database</t>
  </si>
  <si>
    <t>Datacenter</t>
  </si>
  <si>
    <t>Cabeamento</t>
  </si>
  <si>
    <t>Rede LAN</t>
  </si>
  <si>
    <t xml:space="preserve">Correio Eletrônico </t>
  </si>
  <si>
    <t xml:space="preserve">Impressão </t>
  </si>
  <si>
    <t>Microinformática - Hardware</t>
  </si>
  <si>
    <t>Rede WAN</t>
  </si>
  <si>
    <t>IC</t>
  </si>
  <si>
    <t>Infraestrutura de Voz</t>
  </si>
  <si>
    <t>Componentes</t>
  </si>
  <si>
    <t>Tipo</t>
  </si>
  <si>
    <t>ID</t>
  </si>
  <si>
    <t>Telefonia VOIP</t>
  </si>
  <si>
    <t>PABX - Contrato de Manutenção</t>
  </si>
  <si>
    <t>Aparelhos Telefônicos - (Aparelho fixo e Ascon)</t>
  </si>
  <si>
    <t>Aparelhos Telefônicos - (Celular)</t>
  </si>
  <si>
    <t>Acessos a redes publicas (Tronco Chave Telefonica)</t>
  </si>
  <si>
    <t>Acesso a rede via 0800</t>
  </si>
  <si>
    <t xml:space="preserve">Acessos a redes publicas (Embratel e Telefonica) </t>
  </si>
  <si>
    <t>Central Telefonica dos ramais móveis (Ascon)</t>
  </si>
  <si>
    <t>Cabeamento da Infra-estrutura de telefonia</t>
  </si>
  <si>
    <t>Central de comunicação dos Pagers</t>
  </si>
  <si>
    <t>Acesso a telefonia Movel</t>
  </si>
  <si>
    <t>Redirecionador de chamada fixo/móvel I(hardware)</t>
  </si>
  <si>
    <t>Antenas dos Ascon</t>
  </si>
  <si>
    <t>Antenas dos Pagers</t>
  </si>
  <si>
    <t>Infrastructure Software</t>
  </si>
  <si>
    <t>Software que suportam a infra-estrutura de TI e software de uso geral.</t>
  </si>
  <si>
    <t>Equipamentos para comunicação de voz: Central, telefones e links</t>
  </si>
  <si>
    <t>Licença de Software</t>
  </si>
  <si>
    <t>MQ-Series</t>
  </si>
  <si>
    <t>Metaframe</t>
  </si>
  <si>
    <t>.Net</t>
  </si>
  <si>
    <t>SAP</t>
  </si>
  <si>
    <t>CICS Mainframe</t>
  </si>
  <si>
    <t>CICS TXSeries (Unix)</t>
  </si>
  <si>
    <t>GED</t>
  </si>
  <si>
    <t>Emulador de mainframe (Hod)</t>
  </si>
  <si>
    <t>Gerenciamento do Emulador de mainframe (Extra)</t>
  </si>
  <si>
    <t>WebSphere (RAD)</t>
  </si>
  <si>
    <t>Lybrarian (Usado p/ guardar fonte)</t>
  </si>
  <si>
    <t>Cognos (BI)</t>
  </si>
  <si>
    <t>VPN</t>
  </si>
  <si>
    <t>Tívoli (Usado p/ backup)</t>
  </si>
  <si>
    <t>Visual Studio</t>
  </si>
  <si>
    <t>PeopleSoft</t>
  </si>
  <si>
    <t>Notes</t>
  </si>
  <si>
    <t>Cold Fusion</t>
  </si>
  <si>
    <t>Cobol</t>
  </si>
  <si>
    <t>Java</t>
  </si>
  <si>
    <t>NDM</t>
  </si>
  <si>
    <t>FTP</t>
  </si>
  <si>
    <t>Net QOS (Monitoramento de Redes)</t>
  </si>
  <si>
    <t>Solar Winds</t>
  </si>
  <si>
    <t>Open View</t>
  </si>
  <si>
    <t>Cisco Works</t>
  </si>
  <si>
    <t>Software da Avaya (Ver o nome)</t>
  </si>
  <si>
    <t>Help Desk</t>
  </si>
  <si>
    <t>Contact Center</t>
  </si>
  <si>
    <t>Pessoas (Atendente)</t>
  </si>
  <si>
    <t>Contac Center</t>
  </si>
  <si>
    <t>Field Service</t>
  </si>
  <si>
    <t>O serviço EDI (Electronic Data Interchange ou Intercâmbio Eletrônico de Dados) consiste na transferência eletrônica de dados entre a Empresa e seus parceiros de negócio, estruturados segundo um padrão definido.</t>
  </si>
  <si>
    <t>Software de EDI</t>
  </si>
  <si>
    <t>Guidelines - Padrão EDI</t>
  </si>
  <si>
    <t>Software Aventail (Solução da corporação)</t>
  </si>
  <si>
    <t>Widesoft-Contrato</t>
  </si>
  <si>
    <t>Easylink-Contrato</t>
  </si>
  <si>
    <t>Mailbox-Chargeback</t>
  </si>
  <si>
    <t>Atendimento aos usuários de negócio sobre incidentes e requisições de serviço de TI</t>
  </si>
  <si>
    <t>Atendimento aos clientes da Empresa</t>
  </si>
  <si>
    <t>Atendimento aos usuários de negócio sobre incidentes e requisições de serviço de TI que precisam de intervenções presenciais.</t>
  </si>
  <si>
    <t>EDI - Eletronic Data Interchange</t>
  </si>
  <si>
    <t>Fornecedores de serviços e produtos de TI que suportam parcialmente um serviço de Portifolio</t>
  </si>
  <si>
    <t>Provedor de Serviço de TI</t>
  </si>
  <si>
    <t>Contrato de Provisonamento de Serviço</t>
  </si>
  <si>
    <t>Contrato de Provisonamento de Serviço de telefonia móvel (Celular - TIM - Dados)</t>
  </si>
  <si>
    <t>Contrato de Provisonamento de Serviço de telefonia móvel (Celular - TIM - Voz)</t>
  </si>
  <si>
    <t>Contrato de Provisonamento de Serviço de telefonia móvel (Celular - Vivo - Dados)</t>
  </si>
  <si>
    <t>Contrato de Provisonamento de Serviço de telefonia móvel (Celular - Vivo - Voz)</t>
  </si>
  <si>
    <t>Contrato de Provisionamento de recursos de Help Desk(Stefanini/TSS)</t>
  </si>
  <si>
    <t>Contrato de Provisionamento de recursos EDI</t>
  </si>
  <si>
    <t>Contrato de Provisonamento de Serviço de telefonia fixa (Embratel)</t>
  </si>
  <si>
    <t>Contrato de Provisonamento de Serviço de telefonia fixa (Telefonica)</t>
  </si>
  <si>
    <t>Contrato de manutenção de servidores (IBM)</t>
  </si>
  <si>
    <t>Contrato de manutenção de PC's (Sibra)</t>
  </si>
  <si>
    <t>Contrato de manutenção de Shark (IBM)</t>
  </si>
  <si>
    <t>Contrato de circuitos de dados (AT&amp;T, Interlig e Telefonica)</t>
  </si>
  <si>
    <t>Contrato de Provisonamento de Serviço de Impressão e Copias (HP)</t>
  </si>
  <si>
    <t>Disponibilização de aplicativos necessários para a operação dos trabalhos das diversas áreas.</t>
  </si>
  <si>
    <t xml:space="preserve">Licenças de Software </t>
  </si>
  <si>
    <t>Peregrine</t>
  </si>
  <si>
    <t>4 Tell (Four Tell)</t>
  </si>
  <si>
    <t>Adaytum</t>
  </si>
  <si>
    <t>Adobe Acrobat Reader</t>
  </si>
  <si>
    <t>Adobe Acrobat Standard</t>
  </si>
  <si>
    <t>Adobe Photodeluxe</t>
  </si>
  <si>
    <t>Adobe Photoshop</t>
  </si>
  <si>
    <t>Arena</t>
  </si>
  <si>
    <t>Autocad 2000</t>
  </si>
  <si>
    <t>Biblioteca Eletronica - Libbs</t>
  </si>
  <si>
    <t>Catalogos Eletronicos Weg</t>
  </si>
  <si>
    <t>Cics Client For Windows</t>
  </si>
  <si>
    <t>Cics Universal Client</t>
  </si>
  <si>
    <t>Cics-Client</t>
  </si>
  <si>
    <t>Cognos Management Series</t>
  </si>
  <si>
    <t>Cognos Planning</t>
  </si>
  <si>
    <t>Corel Draw</t>
  </si>
  <si>
    <t>Corel Photo Paint</t>
  </si>
  <si>
    <t>Crystal Ball</t>
  </si>
  <si>
    <t>Crystal Report</t>
  </si>
  <si>
    <t>Crystal Reports Developers</t>
  </si>
  <si>
    <t>Crystal Reports For Track-It</t>
  </si>
  <si>
    <t>Crystal Reports Professional Edition</t>
  </si>
  <si>
    <t>Dicionário Eletrônico Aurelio</t>
  </si>
  <si>
    <t>Dicmax  Portugues</t>
  </si>
  <si>
    <t>Extra</t>
  </si>
  <si>
    <t>Lotus Dominio Server</t>
  </si>
  <si>
    <t>Mp2 Enterprise For Oracle</t>
  </si>
  <si>
    <t>Mq Series Client</t>
  </si>
  <si>
    <t>MS Access</t>
  </si>
  <si>
    <t>Ms Office 2000 Standard           (Usamos A Versão Profissional)</t>
  </si>
  <si>
    <t>Ms-Access</t>
  </si>
  <si>
    <t>Ms-Project2000</t>
  </si>
  <si>
    <t>Office Xp</t>
  </si>
  <si>
    <t>Paintshop Pro</t>
  </si>
  <si>
    <t>Visio2000</t>
  </si>
  <si>
    <t xml:space="preserve">Chat (adiconal da licença Notes - Sametime?) </t>
  </si>
  <si>
    <t>Winzip</t>
  </si>
  <si>
    <t>Hardware (Laptop, Desktop e Workstation)</t>
  </si>
  <si>
    <t>Dispositivos (Mouse, teclado, etc)</t>
  </si>
  <si>
    <t>Disponibilização de equipamentos necessários para a operação dos trabalhos das diversas áreas.</t>
  </si>
  <si>
    <t>Administração de servidores UNIX/RISC/ALPHA</t>
  </si>
  <si>
    <t>Servidor</t>
  </si>
  <si>
    <t>SAN (Software)</t>
  </si>
  <si>
    <t>Administração de discos e fitas</t>
  </si>
  <si>
    <t>Storage</t>
  </si>
  <si>
    <t>Storage Device (Shark, Fitas)</t>
  </si>
  <si>
    <t>Switch - SAN</t>
  </si>
  <si>
    <t>Robot</t>
  </si>
  <si>
    <t>Swtiches - Depreciação</t>
  </si>
  <si>
    <t>Swtiches - Manutenção</t>
  </si>
  <si>
    <t>Routers - Depreciação</t>
  </si>
  <si>
    <t>Routers - Manutenção</t>
  </si>
  <si>
    <t>Access Point (Wireless)</t>
  </si>
  <si>
    <t>ISA Server (Servidor de Autenticação) - Depreciação</t>
  </si>
  <si>
    <t>ISA Server (Servidor de Autenticação) - Manutenção</t>
  </si>
  <si>
    <t>Analisador de protocolo (Fluke)</t>
  </si>
  <si>
    <t xml:space="preserve">IDS  (Hardware para detecção de intrusão) </t>
  </si>
  <si>
    <t>Circuits (WAN)</t>
  </si>
  <si>
    <t>Rede Local</t>
  </si>
  <si>
    <t>DB Hardware - Já contemplado em servidores</t>
  </si>
  <si>
    <t>DB Software (Licença) - Já contemplado em software especializado</t>
  </si>
  <si>
    <t>ODBC's</t>
  </si>
  <si>
    <t>DB2 Connect</t>
  </si>
  <si>
    <t>Bancos de Dados</t>
  </si>
  <si>
    <t>Sistema de Ar Condicionado</t>
  </si>
  <si>
    <t>No breaks</t>
  </si>
  <si>
    <t>Piso Elevado</t>
  </si>
  <si>
    <t>Parte elétrica</t>
  </si>
  <si>
    <t>Facilities para hospedagem de servidores e storage</t>
  </si>
  <si>
    <t>Datacenter DR (Disaster Recovery)</t>
  </si>
  <si>
    <t>Facilities para hospedagem de servidores e storage em caso de Desastre, como site backup.</t>
  </si>
  <si>
    <t>Servidor Físico</t>
  </si>
  <si>
    <t>Servidor Virtual</t>
  </si>
  <si>
    <t>Firewall</t>
  </si>
  <si>
    <t>Roteador de Borda</t>
  </si>
  <si>
    <t>v1.1</t>
  </si>
  <si>
    <t>Bruno</t>
  </si>
  <si>
    <t>Theo e Bruno</t>
  </si>
  <si>
    <t>Deve ser descontinuado</t>
  </si>
  <si>
    <t>Domínios de Produtos</t>
  </si>
  <si>
    <t>Ecommerce</t>
  </si>
  <si>
    <t>Em fase de transição de software. Vão sair do Storad.</t>
  </si>
  <si>
    <t>ERP-SIS : Cadastro Corporativo</t>
  </si>
  <si>
    <t>ERP-SIS : Vendas</t>
  </si>
  <si>
    <t>Adm. Vendas, PPI</t>
  </si>
  <si>
    <t>ERP-SIS : Engenharia</t>
  </si>
  <si>
    <t>ERP-SIS : PPCP</t>
  </si>
  <si>
    <t>Diretoria Administrativo Financeiro, Diretoria Técnica/Comex</t>
  </si>
  <si>
    <t>Engenharia, Recebimento, Estoque, PPCP, Faturamento, SPD</t>
  </si>
  <si>
    <t>Controladoria, CD Manaus, CD Araçariguama</t>
  </si>
  <si>
    <t>Recebimento, Estoque, PPCP, Faturamento, SPD</t>
  </si>
  <si>
    <t>Sistema do Correio (Sigep/Sigep Web)</t>
  </si>
  <si>
    <t>ERP-SIS : Compras</t>
  </si>
  <si>
    <t>Sistema Gerencial</t>
  </si>
  <si>
    <t>Sistema Injet</t>
  </si>
  <si>
    <t>Sistema Totvs : Folha de Pagamento</t>
  </si>
  <si>
    <t>Sistema CPJ</t>
  </si>
  <si>
    <t>Sistema Projuris</t>
  </si>
  <si>
    <t>Sistema WMS</t>
  </si>
  <si>
    <t>Sistema SADIG</t>
  </si>
  <si>
    <t>Sites Web</t>
  </si>
  <si>
    <t>Produção Ventilação (80), Produção Cozinha (70)</t>
  </si>
  <si>
    <t xml:space="preserve">Sistema Solid Works </t>
  </si>
  <si>
    <t>Sistema para Fazer Moldes</t>
  </si>
  <si>
    <t>Marketing de Produto, Engenharia de Produto, Engenharia de Produto</t>
  </si>
  <si>
    <t>ECM (Totvs)</t>
  </si>
  <si>
    <t>Sistema SOGI</t>
  </si>
  <si>
    <t>Sistema de Manutenção Industrial (?)</t>
  </si>
  <si>
    <t>Serviço de 0800</t>
  </si>
  <si>
    <t xml:space="preserve">Sistema Pamcardi </t>
  </si>
  <si>
    <t>Sistema para pagamento de motoristas, transporte.</t>
  </si>
  <si>
    <t>Diretoria Administrativo Financeiro, Diretoria Técnica/Comex, Gestão Corporativa</t>
  </si>
  <si>
    <t>CD Manaus, CD Araçariguama, Controle de Qualidade de Importados, Almoxarifado, Produção Ventilação (80), Produção Cozinha (70), Controle de Qualidade, CD Armazenagem</t>
  </si>
  <si>
    <t>Diretoria Técnica/Comex, Diretoria Industrial, Gestão Corporativa</t>
  </si>
  <si>
    <t>Controladoria, Controle de Qualidade de Importados, CD Expedição, CD Armazenagem</t>
  </si>
  <si>
    <t>Controle de Qualidade de Importados, Almoxarifado, Produção Ventilação (80), Produção Cozinha (70), Manutenção, Compras (Suprimentos)</t>
  </si>
  <si>
    <t>ERP-SIS : Engenharia/Improdutivos</t>
  </si>
  <si>
    <t>Sistema Totvs : Segurança e Medicina do Trabalho</t>
  </si>
  <si>
    <t>Medicina do Trabalho, Segurança do Trabalho</t>
  </si>
  <si>
    <t>RH SP, RH Bahia</t>
  </si>
  <si>
    <t>Diretoria Administrativo Financeiro, Gestão Corporativa</t>
  </si>
  <si>
    <t>Sistema das Catracas</t>
  </si>
  <si>
    <t>Sistema de Monitoramente</t>
  </si>
  <si>
    <t>Comex Salvador, Comex São Paulo</t>
  </si>
  <si>
    <t>Sistema Siscomex</t>
  </si>
  <si>
    <t>Comex Salvador</t>
  </si>
  <si>
    <t>Sistema Inmetro</t>
  </si>
  <si>
    <t>Sistemas do Governo da Bahia</t>
  </si>
  <si>
    <t>ERP-SIS : Importação</t>
  </si>
  <si>
    <t>Sistema Telecontrol</t>
  </si>
  <si>
    <t>Diretoria Administrativo Financeiro, Diretoria de Pós Venda</t>
  </si>
  <si>
    <t>Controladoria, Coordenação de Pós Venda</t>
  </si>
  <si>
    <t>Diretoria Administrativo Financeiro, Diretoria Comercial, Diretoria Técnica/Comex, Gestão Corporativa, Diretoria de Pós Venda</t>
  </si>
  <si>
    <t>Diretoria Administrativo Financeiro, Diretoria Técnica/Comex, Diretoria Industrial, Gestão Corporativa, Diretoria de Pós Venda</t>
  </si>
  <si>
    <t>Controladoria, Adm. Vendas, PPI, CD Manaus, CD Expedição, CD Armazenagem, Comex, Coordenação de Pós Venda</t>
  </si>
  <si>
    <t>Diretoria Administrativo Financeiro, Diretoria Industrial, Gestão Corporativa, Diretoria Técnica/Comex, Diretoria de Pós Venda</t>
  </si>
  <si>
    <t>Sistema Callflex</t>
  </si>
  <si>
    <t>Coordenação de Pós Venda, Gerência de Rede Autorizada</t>
  </si>
  <si>
    <t>Gerencia Administrativo Financeiro, Jurídico, CD Manaus, CD Araçariguama, Manutenção, Medicina do Trabalho, Segurança do Trabalho, RH Bahia, Comex, Coordenação de Pós Venda, Gerência de Rede Autorizada</t>
  </si>
  <si>
    <t>Controladoria, CD Manaus, CD Araçariguama, Controle de Qualidade de Importados, Almoxarifado, Produção Ventilação (80), Produção Cozinha (70), Engenharia de Produto, Controle de Qualidade, Ferramentaria, CD Expedição, CD Armazenagem, Coordenação de Pós Venda, Gerência de Rede Autorizada</t>
  </si>
  <si>
    <t>Corporativo</t>
  </si>
  <si>
    <t>Infraestrutura</t>
  </si>
  <si>
    <t>Horário de Funcionamento</t>
  </si>
  <si>
    <t>Cluster</t>
  </si>
  <si>
    <t>Banco de Dados</t>
  </si>
  <si>
    <t>Contrato</t>
  </si>
  <si>
    <t>Servidor Terminal Services</t>
  </si>
  <si>
    <t>Servidor Terminal Service</t>
  </si>
  <si>
    <t>Grupo de Atendimento N1</t>
  </si>
  <si>
    <t>Grupo Solucionador Principal
(Aut. Operacional) N2</t>
  </si>
  <si>
    <t>Dependências de Grupos Externos N3</t>
  </si>
  <si>
    <t>É Crítico? (Sim/ Não)</t>
  </si>
  <si>
    <t>SIM</t>
  </si>
  <si>
    <t>Sistema Totvs : Automação de Ponto</t>
  </si>
  <si>
    <t>SISTEMAS</t>
  </si>
  <si>
    <t>Sistema Mac Active</t>
  </si>
  <si>
    <t>PROJURIS</t>
  </si>
  <si>
    <t>SISTEMAS/TOTVS</t>
  </si>
  <si>
    <t>TOTVS</t>
  </si>
  <si>
    <t>STORED</t>
  </si>
  <si>
    <t>MIRAIWEB</t>
  </si>
  <si>
    <t>TELECONTROL</t>
  </si>
  <si>
    <t>SISTEMAS/TELECONTROL</t>
  </si>
  <si>
    <t>SEND</t>
  </si>
  <si>
    <t>SADIG</t>
  </si>
  <si>
    <t>NÃO</t>
  </si>
  <si>
    <t>SYTHEX</t>
  </si>
  <si>
    <t>Infraestrutura(REDE e DBA)</t>
  </si>
  <si>
    <t>Infraestrutura(REDE)</t>
  </si>
  <si>
    <t>DESCONHEÇO</t>
  </si>
  <si>
    <t>Controladoria/Financeiro</t>
  </si>
  <si>
    <t>Tipo do chamado:</t>
  </si>
  <si>
    <t>Serviço</t>
  </si>
  <si>
    <t>Área de Atuação</t>
  </si>
  <si>
    <t>SLA 1o Atendimento</t>
  </si>
  <si>
    <t>SLA Resolução</t>
  </si>
  <si>
    <t>Prioridade</t>
  </si>
  <si>
    <t>Exige Item de Configuração?</t>
  </si>
  <si>
    <t>Incidente</t>
  </si>
  <si>
    <t>Aplicação</t>
  </si>
  <si>
    <t>Desktop Services</t>
  </si>
  <si>
    <t>N2</t>
  </si>
  <si>
    <t>Indisponibilidade Total</t>
  </si>
  <si>
    <t>Indisponibilidade Parcial</t>
  </si>
  <si>
    <t>Req. Serviço</t>
  </si>
  <si>
    <t>Configuração</t>
  </si>
  <si>
    <t>N1</t>
  </si>
  <si>
    <t>Instalação</t>
  </si>
  <si>
    <t>Remoção</t>
  </si>
  <si>
    <t>Proxy - Indisponibilidade Total</t>
  </si>
  <si>
    <t>Proxy - Indisponibilidade Parcial</t>
  </si>
  <si>
    <t>Proxy - Lentidão</t>
  </si>
  <si>
    <t>Proxy - Liberação/Bloqueio de Sites</t>
  </si>
  <si>
    <t>Proxy - Geração de Relatórios</t>
  </si>
  <si>
    <t>Firewall - Ativação de Licença</t>
  </si>
  <si>
    <t>Firewall - Criação de Política</t>
  </si>
  <si>
    <t>Firewall - Remoção de Política</t>
  </si>
  <si>
    <t>Firewall - Alteração de Política</t>
  </si>
  <si>
    <t>Firewall - Ativação de VPN</t>
  </si>
  <si>
    <t>Firewall - Remoção de VPN</t>
  </si>
  <si>
    <t>Firewall - Desativação de Link</t>
  </si>
  <si>
    <t>Firewall - Instalação de novo link</t>
  </si>
  <si>
    <t>Firewall - Alteração de prioridades dos links</t>
  </si>
  <si>
    <t>Firewall - Criação de rotas</t>
  </si>
  <si>
    <t>Firewall - Alteração de rotas</t>
  </si>
  <si>
    <t>Firewall - Removação de rotas</t>
  </si>
  <si>
    <t>Firewall - Solicitação de Acesso</t>
  </si>
  <si>
    <t>Firewall - Indisponibilidade Total</t>
  </si>
  <si>
    <t>Firewall - Indisponibilidade Parcial</t>
  </si>
  <si>
    <t>Firewall - Lentidão</t>
  </si>
  <si>
    <t>Firewall - Bloqueio Indevido</t>
  </si>
  <si>
    <t>Firewall - Expiração de Licença</t>
  </si>
  <si>
    <t>SDM</t>
  </si>
  <si>
    <t>Anti-Vírus - Indisponibilidade Total</t>
  </si>
  <si>
    <t>Anti-Vírus - Erro de Atualização</t>
  </si>
  <si>
    <t>Anti-Vírus - Erro de Verificação (Scan)</t>
  </si>
  <si>
    <t>Anti-Vírus - Detecção de Vírus</t>
  </si>
  <si>
    <t>Anti-Vírus - Erro de Licenciamento</t>
  </si>
  <si>
    <t>Anti-Vírus - Atualização</t>
  </si>
  <si>
    <t>Anti-Vírus - Verificação de Vírus (Scan)</t>
  </si>
  <si>
    <t>Anti-Vírus - Instalação</t>
  </si>
  <si>
    <t>Anti-Vírus - Desinstalação</t>
  </si>
  <si>
    <t>Anti-Vírus - Configuração</t>
  </si>
  <si>
    <t>Anti-Vírus - Remoção de Vírus</t>
  </si>
  <si>
    <t>Switch - Ativação de Porta</t>
  </si>
  <si>
    <t>Switch - Desativação de Porta</t>
  </si>
  <si>
    <t>Switch - Configuração de Porta</t>
  </si>
  <si>
    <t>Switch - Indisponibilidade Total</t>
  </si>
  <si>
    <t>Switch - Erro</t>
  </si>
  <si>
    <t>Switch - Lentidão</t>
  </si>
  <si>
    <t>Wireless - Indisponibilidade Total</t>
  </si>
  <si>
    <t>Wireless - Erro</t>
  </si>
  <si>
    <t>Wireless - Lentidão</t>
  </si>
  <si>
    <t>Wireless - Requisição de Acesso</t>
  </si>
  <si>
    <t>Wireless - Bloqueio de Acesso</t>
  </si>
  <si>
    <t>Wireless - Remoção de Acesso</t>
  </si>
  <si>
    <t>802.1x - Ativação de porta 802.1x</t>
  </si>
  <si>
    <t>802.1x - Desabilitar porta 802.1x</t>
  </si>
  <si>
    <t>Roteador - Ativação de Porta</t>
  </si>
  <si>
    <t>Roteador - Desativação de Porta</t>
  </si>
  <si>
    <t>Roteador - Configuração de Porta</t>
  </si>
  <si>
    <t>Roteador - Criação de Rota</t>
  </si>
  <si>
    <t>Roteador - Remoção de Rota</t>
  </si>
  <si>
    <t>Roteador - Indisponibilidade Total</t>
  </si>
  <si>
    <t>Roteador - Indisponibilidade Parcial</t>
  </si>
  <si>
    <t>Roteador - Erro</t>
  </si>
  <si>
    <t>Roteador - Lentidão</t>
  </si>
  <si>
    <t>Link - Indisponibilidade Total</t>
  </si>
  <si>
    <t>Link - Indisponibilidade Parcial</t>
  </si>
  <si>
    <t>Link - Erro</t>
  </si>
  <si>
    <t>Link - Lentidão</t>
  </si>
  <si>
    <t>Movimentar ponto de rede</t>
  </si>
  <si>
    <t>FS</t>
  </si>
  <si>
    <t>Instalar novo ponto de rede</t>
  </si>
  <si>
    <t>DHCP - Criação de Escopo</t>
  </si>
  <si>
    <t>DHCP - Alteração de Escopo</t>
  </si>
  <si>
    <t>DHCP - Remoção de Escopo</t>
  </si>
  <si>
    <t>DHCP - Criação de Pools</t>
  </si>
  <si>
    <t>DHCP - Alteração de Pools</t>
  </si>
  <si>
    <t>DHCP - Remoção de Pools</t>
  </si>
  <si>
    <t>DHCP - Criação de Reservas</t>
  </si>
  <si>
    <t>DHCP - Alteração de Reservas</t>
  </si>
  <si>
    <t>DHCP - Remoção de Reservas</t>
  </si>
  <si>
    <t>DHCP - Criação de Filtros</t>
  </si>
  <si>
    <t>DHCP - Alteração de Filtros</t>
  </si>
  <si>
    <t>DHCP - Remoção de Filtros</t>
  </si>
  <si>
    <t>Computação Pessoal</t>
  </si>
  <si>
    <t>Formatação</t>
  </si>
  <si>
    <t>Performance degradada</t>
  </si>
  <si>
    <t>Não Inicia</t>
  </si>
  <si>
    <t>Reinicialização ininterrupta</t>
  </si>
  <si>
    <t>CD - Gravação</t>
  </si>
  <si>
    <t>Desktop - Instalação</t>
  </si>
  <si>
    <t>Desktop - Movimentação</t>
  </si>
  <si>
    <t>Desktop - Adição de Componentes</t>
  </si>
  <si>
    <t>Desktop - Remoção</t>
  </si>
  <si>
    <t>Desktop - Troca</t>
  </si>
  <si>
    <t>Notebook - Instalação</t>
  </si>
  <si>
    <t>Notebook - Adição de Componentes</t>
  </si>
  <si>
    <t>Notebook - Remoção</t>
  </si>
  <si>
    <t>Notebook - Troca</t>
  </si>
  <si>
    <t>Notebook - Devolução</t>
  </si>
  <si>
    <t>Notebook - Troca de bateria</t>
  </si>
  <si>
    <t>Notebook - Perda de acessórios (carregador, cd, etc)</t>
  </si>
  <si>
    <t>Scanner - Instalação</t>
  </si>
  <si>
    <t>Scanner - Movimentação</t>
  </si>
  <si>
    <t>Scanner - Configuração</t>
  </si>
  <si>
    <t>Scanner - Remoção</t>
  </si>
  <si>
    <t>Thin Client - Instalação de Máquina Virtual</t>
  </si>
  <si>
    <t>Thin Client - Remoção de Máquina Virtual</t>
  </si>
  <si>
    <t>Thin Client - Configuração de Máquina Virtual</t>
  </si>
  <si>
    <t>Teclado - Requisição</t>
  </si>
  <si>
    <t>Teclado - Devolução</t>
  </si>
  <si>
    <t>Teclado - Troca</t>
  </si>
  <si>
    <t>Mouse - Requisição</t>
  </si>
  <si>
    <t>Mouse - Devolução</t>
  </si>
  <si>
    <t>Mouse - Troca</t>
  </si>
  <si>
    <t>Dockstation - Requisição</t>
  </si>
  <si>
    <t>Dockstation - Devolução</t>
  </si>
  <si>
    <t>Dockstation - Troca</t>
  </si>
  <si>
    <t>HeadSet - Requisição</t>
  </si>
  <si>
    <t>HeadSet - Devolução</t>
  </si>
  <si>
    <t>HeadSet - Troca</t>
  </si>
  <si>
    <t>Impressão</t>
  </si>
  <si>
    <t>Aquisição</t>
  </si>
  <si>
    <t>Troca de Insumos (papel, toner, etc)</t>
  </si>
  <si>
    <t>Informação</t>
  </si>
  <si>
    <t>Substituição/Troca</t>
  </si>
  <si>
    <t>Erros de Impressão</t>
  </si>
  <si>
    <t>Impressão manchada</t>
  </si>
  <si>
    <t>Atolamento de Papel</t>
  </si>
  <si>
    <t>Limpeza</t>
  </si>
  <si>
    <t>Software</t>
  </si>
  <si>
    <t>Aquisição de Licença</t>
  </si>
  <si>
    <t>Servidor de Arquivos</t>
  </si>
  <si>
    <t>Criação de Novo Diretório</t>
  </si>
  <si>
    <t>Exclusão de Diretório</t>
  </si>
  <si>
    <t>Remoção de acesso</t>
  </si>
  <si>
    <t>Inclusão de Proprietário</t>
  </si>
  <si>
    <t>Renomeação de Diretório</t>
  </si>
  <si>
    <t>Erro de acesso a arquivos</t>
  </si>
  <si>
    <t>Erro de acesso a diretórios</t>
  </si>
  <si>
    <t>Mapeamento de unidade</t>
  </si>
  <si>
    <t>Tarifador - Inclusão</t>
  </si>
  <si>
    <t>Tarifador - Alteração de Cadastro</t>
  </si>
  <si>
    <t>Tarifador - Exclusão</t>
  </si>
  <si>
    <t>Ramal - Inclusão</t>
  </si>
  <si>
    <t>Ramal - Programação</t>
  </si>
  <si>
    <t>Ramal - Desativação</t>
  </si>
  <si>
    <t>Ramal - Alteração</t>
  </si>
  <si>
    <t>Caixa Postal - Inclusão</t>
  </si>
  <si>
    <t>Caixa Postal - Exclusão</t>
  </si>
  <si>
    <t>Caixa Postal - Alteração</t>
  </si>
  <si>
    <t>Não completa chamada</t>
  </si>
  <si>
    <t>Não recebe chamada</t>
  </si>
  <si>
    <t>Mudo</t>
  </si>
  <si>
    <t>Display Apagado</t>
  </si>
  <si>
    <t>Ligação com ruído</t>
  </si>
  <si>
    <t>Ligação cortando</t>
  </si>
  <si>
    <t>Telefonia Móvel</t>
  </si>
  <si>
    <t>Requisição de Aparelho/Linha</t>
  </si>
  <si>
    <t>Devolução de Aparelho/Linha</t>
  </si>
  <si>
    <t>Perda/Furto/Roubo</t>
  </si>
  <si>
    <t>Roaming Nacional</t>
  </si>
  <si>
    <t>Roaming Internacional</t>
  </si>
  <si>
    <t>Plano de Dados - Ampliação</t>
  </si>
  <si>
    <t>Outras Solicitações</t>
  </si>
  <si>
    <t>Servidor de Impressão</t>
  </si>
  <si>
    <t>Alterar Configuração</t>
  </si>
  <si>
    <t>Alterar Driver</t>
  </si>
  <si>
    <t>Alterar Endereço IP</t>
  </si>
  <si>
    <t>Alterar Nome da Fila</t>
  </si>
  <si>
    <t>Apagar Fila de Impressão</t>
  </si>
  <si>
    <t>Remover Acesso Fila de Impressão</t>
  </si>
  <si>
    <t>Segurança de Acesso</t>
  </si>
  <si>
    <t>Active Directory - Criação de Grupos de Acesso</t>
  </si>
  <si>
    <t>Active Directory - Remoção de Grupos de Acesso</t>
  </si>
  <si>
    <t>Active Directory - Alteração de Grupos de Acesso</t>
  </si>
  <si>
    <t>Active Directory - Criação de GPO</t>
  </si>
  <si>
    <t>Active Directory - Remoção de GPO</t>
  </si>
  <si>
    <t>Active Directory - Alteração de GPO</t>
  </si>
  <si>
    <t>Active Directory - Criação de OU</t>
  </si>
  <si>
    <t>Active Directory - Remoção de OU</t>
  </si>
  <si>
    <t>Active Directory - Alteração de OU</t>
  </si>
  <si>
    <t>Active Directory - Criação de Usuário</t>
  </si>
  <si>
    <t>Active Directory - Remoção de Usuário</t>
  </si>
  <si>
    <t>Active Directory - Alteração de Usuário</t>
  </si>
  <si>
    <t>DNS</t>
  </si>
  <si>
    <t>Criação de Zona</t>
  </si>
  <si>
    <t>Remoção de Zona</t>
  </si>
  <si>
    <t>Alteração de Zona</t>
  </si>
  <si>
    <t>Criação de Registro</t>
  </si>
  <si>
    <t>Alteração de Registro</t>
  </si>
  <si>
    <t>Remoção de Registro</t>
  </si>
  <si>
    <t>Telefone VOIP</t>
  </si>
  <si>
    <t>Alteração de Ramal</t>
  </si>
  <si>
    <t>Desativação de Ramal</t>
  </si>
  <si>
    <t>Inclusão de Ramal</t>
  </si>
  <si>
    <t>Inclusão de Programação</t>
  </si>
  <si>
    <t>Oracle - Indisponibilidade Total</t>
  </si>
  <si>
    <t>Oracle - Indisponibilidade Parcial</t>
  </si>
  <si>
    <t>Oracle - Erro</t>
  </si>
  <si>
    <t>Oracle - Performance</t>
  </si>
  <si>
    <t>Oracle - Atualização de Patches</t>
  </si>
  <si>
    <t>Oracle - Cópia de Dados</t>
  </si>
  <si>
    <t>Oracle - Backup</t>
  </si>
  <si>
    <t>Oracle - Importação / Exportação de dados</t>
  </si>
  <si>
    <t>Oracle - Execução de Script</t>
  </si>
  <si>
    <t>Oracle - Inclusão de acesso</t>
  </si>
  <si>
    <t>Oracle - Instalação / Desinstalação</t>
  </si>
  <si>
    <t>Oracle - Reorganização</t>
  </si>
  <si>
    <t>Oracle - Análise de ambiente</t>
  </si>
  <si>
    <t>Oracle - Criação de Index e Estatísticas</t>
  </si>
  <si>
    <t>Oracle - Exclusão de acesso</t>
  </si>
  <si>
    <t>SQL Server - Indisponibilidade Total</t>
  </si>
  <si>
    <t>SQL Server - Indisponibilidade Parcial</t>
  </si>
  <si>
    <t>SQL Server - Erro</t>
  </si>
  <si>
    <t>SQL Server - Performance</t>
  </si>
  <si>
    <t>SQL Server - Atualização de Patches</t>
  </si>
  <si>
    <t>SQL Server - Cópia de Dados</t>
  </si>
  <si>
    <t>SQL Server - Backup</t>
  </si>
  <si>
    <t>SQL Server - Importação / Exportação de dados</t>
  </si>
  <si>
    <t>SQL Server - Execução de Script</t>
  </si>
  <si>
    <t>SQL Server - Inclusão de acesso</t>
  </si>
  <si>
    <t>SQL Server - Instalação / Desinstalação</t>
  </si>
  <si>
    <t>SQL Server - Reorganização</t>
  </si>
  <si>
    <t>SQL Server - Análise de ambiente</t>
  </si>
  <si>
    <t>SQL Server - Exclusão de acesso</t>
  </si>
  <si>
    <t>SQL Server - Criação de Index e Estatísticas</t>
  </si>
  <si>
    <t>Virtualizador</t>
  </si>
  <si>
    <t>VMWare - Falta de recursos (disco, memória, etc)</t>
  </si>
  <si>
    <t>VMWare - Indisponibilidade Total</t>
  </si>
  <si>
    <t>VMWare - Indisponibilidade Parcial</t>
  </si>
  <si>
    <t>VMWare - Performance</t>
  </si>
  <si>
    <t>VMWare - Erro</t>
  </si>
  <si>
    <t>VMWare - Configuração de novos recursos físicos</t>
  </si>
  <si>
    <t>VMWare - Alocação de espaço em disco</t>
  </si>
  <si>
    <t>VMWare - Análise de Performance</t>
  </si>
  <si>
    <t>VMWare - Aumento de capacidade</t>
  </si>
  <si>
    <t>VMWare - Instalação de novo equipamento</t>
  </si>
  <si>
    <t>VMWare - Monitoração</t>
  </si>
  <si>
    <t>VMWare - Relatório de Capacity Plan</t>
  </si>
  <si>
    <t xml:space="preserve">VMWare - Atualização de versão </t>
  </si>
  <si>
    <t>VMWare - Aplicação de Patch</t>
  </si>
  <si>
    <t>VMWare - Levantamento de aplicação de pacthes necessários</t>
  </si>
  <si>
    <t>VMWare - Instalação de Máquina Virtual</t>
  </si>
  <si>
    <t>VMWare - Remoção de Máquina Virtual</t>
  </si>
  <si>
    <t>VMWare - Configuração de Máquina Virtual</t>
  </si>
  <si>
    <t>VMWare - Gerar Snapshot de Máquina Virtual</t>
  </si>
  <si>
    <t>HyperV - Falta de recursos (disco, memória, etc)</t>
  </si>
  <si>
    <t>HyperV - Indisponibilidade Total</t>
  </si>
  <si>
    <t>HyperV - Indisponibilidade Parcial</t>
  </si>
  <si>
    <t>HyperV - Performance</t>
  </si>
  <si>
    <t>HyperV - Erro</t>
  </si>
  <si>
    <t>HyperV - Configuração de novos recursos físicos</t>
  </si>
  <si>
    <t>HyperV - Alocação de espaço em disco</t>
  </si>
  <si>
    <t>HyperV - Análise de Performance</t>
  </si>
  <si>
    <t>HyperV - Aumento de capacidade</t>
  </si>
  <si>
    <t>HyperV - Instalação de novo equipamento</t>
  </si>
  <si>
    <t>HyperV - Monitoração</t>
  </si>
  <si>
    <t>HyperV - Relatório de Capacity Plan</t>
  </si>
  <si>
    <t xml:space="preserve">HyperV - Atualização de versão </t>
  </si>
  <si>
    <t>HyperV - Aplicação de Patch</t>
  </si>
  <si>
    <t>HyperV - Levantamento de aplicação de pacthes necessários</t>
  </si>
  <si>
    <t>HyperV - Instalação de Máquina Virtual</t>
  </si>
  <si>
    <t>HyperV - Remoção de Máquina Virtual</t>
  </si>
  <si>
    <t>HyperV - Configuração de Máquina Virtual</t>
  </si>
  <si>
    <t>HyperV - Gerar Snapshot de Máquina Virtual</t>
  </si>
  <si>
    <t>Backup</t>
  </si>
  <si>
    <t>Tape Library - Atualização de firmware</t>
  </si>
  <si>
    <t>Tape Library - Indisponibilidade Total</t>
  </si>
  <si>
    <t>Tape Library - Indisponibilidade Parcial</t>
  </si>
  <si>
    <t>Tape Library - Erro</t>
  </si>
  <si>
    <t>Tape Library - Performance</t>
  </si>
  <si>
    <t>Tape Library - Inventário</t>
  </si>
  <si>
    <t xml:space="preserve">Tape Library - Restore </t>
  </si>
  <si>
    <t>HD Externo - Troca de Disco</t>
  </si>
  <si>
    <t>HD Externo - Falta de capacidade</t>
  </si>
  <si>
    <t>Solicitação de Restore</t>
  </si>
  <si>
    <t>Solicitação de Backup</t>
  </si>
  <si>
    <t>Configuração de agente/cliente</t>
  </si>
  <si>
    <t>Configuração de job</t>
  </si>
  <si>
    <t>Atualização do Servidor de Backup</t>
  </si>
  <si>
    <t>Recuperação de e-mail PST</t>
  </si>
  <si>
    <t>Recuperação de e-mail OST</t>
  </si>
  <si>
    <t>E-mail</t>
  </si>
  <si>
    <t>Não envia/recebe e-mails</t>
  </si>
  <si>
    <t>Aumento de capacidade</t>
  </si>
  <si>
    <t>Criação de conta</t>
  </si>
  <si>
    <t>Bloqueio de conta</t>
  </si>
  <si>
    <t>Exclusão de conta</t>
  </si>
  <si>
    <t>Reset de senha</t>
  </si>
  <si>
    <t>Contato não aparece na lista de catalogo global</t>
  </si>
  <si>
    <t>Não envia emails externos</t>
  </si>
  <si>
    <t>Não envia emails internos</t>
  </si>
  <si>
    <t>Não recebe emails externos</t>
  </si>
  <si>
    <t>Não recebe emails internos</t>
  </si>
  <si>
    <t>Lista de Distribuição - Criação de Lista</t>
  </si>
  <si>
    <t>Lista de Distribuição - Exclusão de Lista</t>
  </si>
  <si>
    <t>Lista de Distribuição - Inclusão de usuário na Lista</t>
  </si>
  <si>
    <t>Lista de Distribuição - Exclusão  de usuário na Lista</t>
  </si>
  <si>
    <t>Lista de Distribuição - Renomear Lista</t>
  </si>
  <si>
    <t>Compartilhar Agenda</t>
  </si>
  <si>
    <t>Compartilhar Contatos</t>
  </si>
  <si>
    <t>Compartilhar E-mails</t>
  </si>
  <si>
    <t>Compartilhar Tarefas</t>
  </si>
  <si>
    <t>Configuração de Conta</t>
  </si>
  <si>
    <t>Configuração de Assinatura</t>
  </si>
  <si>
    <t>Configuração de regras ou alertas</t>
  </si>
  <si>
    <t>Configuração de resposta automática</t>
  </si>
  <si>
    <t>Criptografia</t>
  </si>
  <si>
    <t>Email - Solicitação/Renovação de certificado</t>
  </si>
  <si>
    <t>Email - Instalação de certificado</t>
  </si>
  <si>
    <t>Email - Dúvidas</t>
  </si>
  <si>
    <t>Iphone - Solicitação/Renovação de certificado</t>
  </si>
  <si>
    <t>Iphone - Instalação de certificado</t>
  </si>
  <si>
    <t>Iphone - Dúvidas</t>
  </si>
  <si>
    <t>Servidor WEB</t>
  </si>
  <si>
    <t>Renovação de Certificado Digital</t>
  </si>
  <si>
    <t>Criação de Pools</t>
  </si>
  <si>
    <t>Alteração de Pools</t>
  </si>
  <si>
    <t>Remoção de Pools</t>
  </si>
  <si>
    <t>Criação de Site</t>
  </si>
  <si>
    <t>Alteração de Site</t>
  </si>
  <si>
    <t>Remoção de Site</t>
  </si>
  <si>
    <t>Criação de Diretórios Virtuais</t>
  </si>
  <si>
    <t>Alteração de Diretórios Virtuais</t>
  </si>
  <si>
    <t>Remoção de Diretórios Virtuais</t>
  </si>
  <si>
    <t>Expiração de Certificado Digital</t>
  </si>
  <si>
    <t>Salas de Reunião</t>
  </si>
  <si>
    <t>Projetor - Aquisição</t>
  </si>
  <si>
    <t>Projetor - Substituição/Troca</t>
  </si>
  <si>
    <t>Projetor - Reparo</t>
  </si>
  <si>
    <t>Projetor - Remoção</t>
  </si>
  <si>
    <t>Projetor - Configuração</t>
  </si>
  <si>
    <t>Cabeamento - Teste/Reparo</t>
  </si>
  <si>
    <t>TV - Aquisição</t>
  </si>
  <si>
    <t>TV - Substituição/Troca</t>
  </si>
  <si>
    <t>TV - Reparo</t>
  </si>
  <si>
    <t>TV - Remoção</t>
  </si>
  <si>
    <t>TV - Informações</t>
  </si>
  <si>
    <t>VideoConferência - Aquisição</t>
  </si>
  <si>
    <t>VideoConferência - Substituição/Troca</t>
  </si>
  <si>
    <t>VideoConferência - Reparo</t>
  </si>
  <si>
    <t>VideoConferência - Remoção</t>
  </si>
  <si>
    <t>VideoConferência - Configuração</t>
  </si>
  <si>
    <t>Audio - Aquisição</t>
  </si>
  <si>
    <t>Audio - Substituição/Troca</t>
  </si>
  <si>
    <t>Audio - Reparo</t>
  </si>
  <si>
    <t>Audio - Remoção</t>
  </si>
  <si>
    <t>Audio - Configuração</t>
  </si>
  <si>
    <t>Teste dos recursos disponíveis na sala</t>
  </si>
  <si>
    <t>Catraca/Cancela/Porta/Controle de acesso</t>
  </si>
  <si>
    <t>Ponto Eletrônico</t>
  </si>
  <si>
    <t>Manutenção Predial</t>
  </si>
  <si>
    <t>Iluminação/Lâmpadas</t>
  </si>
  <si>
    <t>Interruptor de Energia</t>
  </si>
  <si>
    <t>Quadro Elétrico</t>
  </si>
  <si>
    <t>Sensores</t>
  </si>
  <si>
    <t>Tomadas</t>
  </si>
  <si>
    <t>Funcionalidades Principais (Atividades do Serviço)</t>
  </si>
  <si>
    <t>Características da Atividade</t>
  </si>
  <si>
    <t>Critérios de Aprovação</t>
  </si>
  <si>
    <t>Grupo(s) Solucionador(es)</t>
  </si>
  <si>
    <t>Critérios Escalada Hierárquica</t>
  </si>
  <si>
    <t>Tipo da Atividade</t>
  </si>
  <si>
    <t>Nome da Atividade</t>
  </si>
  <si>
    <t>Descrição da Atividade (quando aplicável)</t>
  </si>
  <si>
    <t>Elegível a Resolução em 1o. Nível ?</t>
  </si>
  <si>
    <r>
      <t xml:space="preserve">Possui </t>
    </r>
    <r>
      <rPr>
        <b/>
        <i/>
        <sz val="11"/>
        <rFont val="Calibri"/>
        <family val="2"/>
        <scheme val="minor"/>
      </rPr>
      <t>Script</t>
    </r>
    <r>
      <rPr>
        <b/>
        <sz val="11"/>
        <rFont val="Calibri"/>
        <family val="2"/>
        <scheme val="minor"/>
      </rPr>
      <t xml:space="preserve"> ?</t>
    </r>
  </si>
  <si>
    <t>Formas de Acionamento</t>
  </si>
  <si>
    <t>Quem pode acionar ?</t>
  </si>
  <si>
    <t>Tempo Máximo Atendimento</t>
  </si>
  <si>
    <t>Tempo Máximo Total Resolução</t>
  </si>
  <si>
    <t>Pré-Aprovada ?</t>
  </si>
  <si>
    <t>Quem Aprova ?</t>
  </si>
  <si>
    <t>Prazo Máximo</t>
  </si>
  <si>
    <t>Grupo Principal</t>
  </si>
  <si>
    <t>Tempo Máximo Escalada Funcional</t>
  </si>
  <si>
    <t>Situações que justificam escalada</t>
  </si>
  <si>
    <t>Grupo Secundário</t>
  </si>
  <si>
    <t>Tempo Máximo Escalada Funcional2</t>
  </si>
  <si>
    <t>Tempo Máximo Resolução</t>
  </si>
  <si>
    <t>Existem ANO´s ou Contratos de Apoio?</t>
  </si>
  <si>
    <t>Grupo Secundário2</t>
  </si>
  <si>
    <t>Tempo Máximo Resolução3</t>
  </si>
  <si>
    <t>Existem ANO´s ou Contratos de Apoio?4</t>
  </si>
  <si>
    <t>Grupo Secundário3</t>
  </si>
  <si>
    <t>Tempo Máximo Resolução2</t>
  </si>
  <si>
    <t>Existem ANO´s ou Contratos de Apoio?2</t>
  </si>
  <si>
    <t>Para quem escalar ?</t>
  </si>
  <si>
    <t>Em quanto tempo ?</t>
  </si>
  <si>
    <t>(SEND / SISWEB)</t>
  </si>
  <si>
    <t>Interno TI</t>
  </si>
  <si>
    <t>RS</t>
  </si>
  <si>
    <t>Atualizar versão</t>
  </si>
  <si>
    <t>Atualizar versão do sistema. Mudança Padrão.</t>
  </si>
  <si>
    <t>Não</t>
  </si>
  <si>
    <t>Usuário Direto</t>
  </si>
  <si>
    <t>Projetos; TI</t>
  </si>
  <si>
    <t>Sim</t>
  </si>
  <si>
    <t>N/A</t>
  </si>
  <si>
    <t>Service Desk</t>
  </si>
  <si>
    <t>Service Desk atua apenas como dispatcher</t>
  </si>
  <si>
    <t>N2 - Sistemas</t>
  </si>
  <si>
    <t>N3 - SEND</t>
  </si>
  <si>
    <t>- Resolução em ate 2 horas para chamados classificados como "Criticos";
- Resolução em ate 4 horas para chamados classificados com prioridade "Alta";
- Resolução em ate 6 horas para chamados classificados com prioridade "Media";
- Resolução em ate 8 horas para chamados classificados com prioridade "Baixa";
- Resolução em ate 48 horas para chamados classificados com prioridade "Planejada";</t>
  </si>
  <si>
    <t>Coordenador do Suporte</t>
  </si>
  <si>
    <t>80% do prazo total</t>
  </si>
  <si>
    <t>Enviar backup para SEND</t>
  </si>
  <si>
    <t>Envio da Mídia com backup mais recente para SEND</t>
  </si>
  <si>
    <t>SEND e TI</t>
  </si>
  <si>
    <t>N2 - Field</t>
  </si>
  <si>
    <t>RI</t>
  </si>
  <si>
    <t>Erro/Falha/BUG</t>
  </si>
  <si>
    <t>Erro apresentado pelo Sistema durante execução</t>
  </si>
  <si>
    <t>Se a informação não estiver disponível para o Service Desk (Base de Conhecimento) o chamado deve ser Escalado para o Grupo Secundário. Se estiver claro que a causa está na infraestrutura o chamado deve ser escalado diretamente para N2 - Infraestrutura</t>
  </si>
  <si>
    <t>N2 - Infraestrutura</t>
  </si>
  <si>
    <t>Importar Fornecedor</t>
  </si>
  <si>
    <t>Compras; Projetos; TI</t>
  </si>
  <si>
    <t>Coordenador ou Gerente do colaborador solicitante</t>
  </si>
  <si>
    <t>Indisponibilidade do sistema para Grupo de Pessoas</t>
  </si>
  <si>
    <t>Evento Monitorado; Usuário Direto</t>
  </si>
  <si>
    <t>Indisponibilidade do sistema para um usuário</t>
  </si>
  <si>
    <t>Lentidão</t>
  </si>
  <si>
    <t>Lentidão afetando um ou mais usuários ou grupo</t>
  </si>
  <si>
    <t>Sanar Dúvida</t>
  </si>
  <si>
    <t>Dúvidas sobre a utilização e procedimentos básicos do sistema.</t>
  </si>
  <si>
    <t>Se a informação não estiver disponível para o Service Desk (Base de Conhecimento) o chamado deve ser Escalado para o Grupo Secundário.</t>
  </si>
  <si>
    <t>(SEND / SISWIN)</t>
  </si>
  <si>
    <t>Clientes que homologaram a nova versão</t>
  </si>
  <si>
    <t>Rotina</t>
  </si>
  <si>
    <t>Configurar NFe</t>
  </si>
  <si>
    <t>Configuração dos Parâmetros para trasmissão e impressão de nota fiscal eletronica</t>
  </si>
  <si>
    <t>8 horas</t>
  </si>
  <si>
    <t>Configurar Sistema</t>
  </si>
  <si>
    <t>Configuração de parametros gerais do sistema (conexões, regras, etc.)</t>
  </si>
  <si>
    <t>Gestores de TI</t>
  </si>
  <si>
    <t>Tempo Decorrido</t>
  </si>
  <si>
    <t>Instalar Certificado Digital</t>
  </si>
  <si>
    <t>Instalação do Certificado Digital para transmissão de Nfe</t>
  </si>
  <si>
    <t>Realizar Backup</t>
  </si>
  <si>
    <t>Vendor</t>
  </si>
  <si>
    <t>Renovar Licença de Uso</t>
  </si>
  <si>
    <t>Renovação da licença de sistema (tarefa anual)</t>
  </si>
  <si>
    <t>Falta de informação na Base de Conhecimento</t>
  </si>
  <si>
    <t>ARQUITETURA DE REDE</t>
  </si>
  <si>
    <t>Aquisição de Servidor</t>
  </si>
  <si>
    <t>Inclusão de Solicitação de Compras no sisweb, acompanhamento, recebimento e conferencia.</t>
  </si>
  <si>
    <t>Responsável pelo Centro de Custo</t>
  </si>
  <si>
    <t>Aquisição de Switch</t>
  </si>
  <si>
    <t>Inclusão de Solicitação de Compras no sisweb, acompanhamento, recebimento w conferencia.</t>
  </si>
  <si>
    <t>Aquisição de Roteador</t>
  </si>
  <si>
    <t>Inclusão de Solicitação de Compras no sisweb, acompanhamento, recebimento o conferencia.</t>
  </si>
  <si>
    <t>Aquisição de Storage</t>
  </si>
  <si>
    <t>Inclusão de Solicitação de Compras no sisweb, acompanhamento, recebimento t conferencia.</t>
  </si>
  <si>
    <t>ATG</t>
  </si>
  <si>
    <t>Homologadores da nova versão</t>
  </si>
  <si>
    <t>Em caso de falha na atualização deve-se escalar o N3 ou N2-Infraestrutura</t>
  </si>
  <si>
    <t>Configurar conexão com Banco de Dados</t>
  </si>
  <si>
    <t>Configurar conexão com banco do SIS</t>
  </si>
  <si>
    <t>Configurar servidor de e-mail</t>
  </si>
  <si>
    <t>Configurar aplicação para envio de e-mail</t>
  </si>
  <si>
    <t>AVG</t>
  </si>
  <si>
    <t>Instalar Servidor</t>
  </si>
  <si>
    <t>Configurar Servidor</t>
  </si>
  <si>
    <t>Atualizar Cliente</t>
  </si>
  <si>
    <t>Remover Cliente</t>
  </si>
  <si>
    <t>Remover Vírus</t>
  </si>
  <si>
    <t>Usuário Direto; Notificação de Sistema</t>
  </si>
  <si>
    <t>BACKUP</t>
  </si>
  <si>
    <t>Realizar backup de arquivos ou pastas</t>
  </si>
  <si>
    <t>Realizar restore de arquivos ou pastas</t>
  </si>
  <si>
    <t>Instalar agente bacula</t>
  </si>
  <si>
    <t>Remover agente bacula</t>
  </si>
  <si>
    <t>Configurar agente bacula</t>
  </si>
  <si>
    <t>Trocar fita</t>
  </si>
  <si>
    <t>Realizar limpeza do drive</t>
  </si>
  <si>
    <t>BYYOU ECM WEBDESK</t>
  </si>
  <si>
    <t>N3 - TOTVS</t>
  </si>
  <si>
    <t>Instalar</t>
  </si>
  <si>
    <t>Instalar e configurar sistema e componentes</t>
  </si>
  <si>
    <t>CFTV</t>
  </si>
  <si>
    <t>CONTROLE DE ACESSO</t>
  </si>
  <si>
    <t>Controle de Acesso a Banco de Dados</t>
  </si>
  <si>
    <t>Controle de Acesso AKIVA</t>
  </si>
  <si>
    <t>Pos-vendas</t>
  </si>
  <si>
    <t>Controle de Acesso SISWIN</t>
  </si>
  <si>
    <t>Na ausencia do Gerente o Coordenador pode autorizar;
Acesso a SPD liberado para alguns usuários;
Acesso a Almoxarifados deve ser autorizado pela Controladoria</t>
  </si>
  <si>
    <t>Controle de Acesso SISWEB</t>
  </si>
  <si>
    <t>Na ausencia do Gerente o Coordenador pode autorizar;</t>
  </si>
  <si>
    <t>Controle de Acesso Rede</t>
  </si>
  <si>
    <t>Controle de Acesso E-mail</t>
  </si>
  <si>
    <t>Controle de Acesso ATG</t>
  </si>
  <si>
    <t>Controle de Acesso Biometria</t>
  </si>
  <si>
    <t>Controle de Acesso CFTV</t>
  </si>
  <si>
    <t>Controle de Acesso Ferramentas de TI</t>
  </si>
  <si>
    <t>Controle de Acesso FTP</t>
  </si>
  <si>
    <t>Controle de Acesso GAC</t>
  </si>
  <si>
    <t>Controle de Acesso Gerencial</t>
  </si>
  <si>
    <t>Controle de Acesso Impressão</t>
  </si>
  <si>
    <t>Controle de Acesso INJET</t>
  </si>
  <si>
    <t>Eng de Processos (Leon)</t>
  </si>
  <si>
    <t>Controle de Acesso Internet</t>
  </si>
  <si>
    <t>Controle de Acesso Intranet</t>
  </si>
  <si>
    <t>Controle de Acesso MAC Active</t>
  </si>
  <si>
    <t>Manutenção e Ferramentaria (Murilo/Wanderson)</t>
  </si>
  <si>
    <t>Controle de Acesso RM TOTVS</t>
  </si>
  <si>
    <t>Controle de Acesso SADIG/BI</t>
  </si>
  <si>
    <t>Controle de Acesso Servidor de Terminal</t>
  </si>
  <si>
    <t>Controle de Acesso SOTI</t>
  </si>
  <si>
    <t>Controle de Acesso Telecontrol</t>
  </si>
  <si>
    <t>Controle de Acesso Telefonia</t>
  </si>
  <si>
    <t>Controle de Acesso WEBDESK</t>
  </si>
  <si>
    <t>SGI (Sara)</t>
  </si>
  <si>
    <t>Controle de Acesso Wifi</t>
  </si>
  <si>
    <t>Controle de Acesso WIS</t>
  </si>
  <si>
    <t>Controle de Acesso XGEN</t>
  </si>
  <si>
    <t>Pos-vendas (Rogério Soares)</t>
  </si>
  <si>
    <t>O Service Desk faz apenas o registro do chamado e escala para o proximo grupo</t>
  </si>
  <si>
    <t>PPI (José Carlos)</t>
  </si>
  <si>
    <t>CD/ADM (Danilo/Ronilson)</t>
  </si>
  <si>
    <t>Controle de Acesso Conta Corporativa</t>
  </si>
  <si>
    <t>CPJ</t>
  </si>
  <si>
    <t>E-MAIL</t>
  </si>
  <si>
    <t>Atualizar versão do servidor</t>
  </si>
  <si>
    <t>Configurar assinatura de e-mail</t>
  </si>
  <si>
    <t>Configurar Catálogo de Endereços</t>
  </si>
  <si>
    <t>Configurar respostas automática</t>
  </si>
  <si>
    <t>Criar grupo de distribuição de e-mail</t>
  </si>
  <si>
    <t>Incluir de dominio web na Lista de Controle</t>
  </si>
  <si>
    <t>Inclusão na blacklist ou whitelist</t>
  </si>
  <si>
    <t>Limpar e organizar caixa postal</t>
  </si>
  <si>
    <t>ERP - TOTVS</t>
  </si>
  <si>
    <t>Configurar licenciamento</t>
  </si>
  <si>
    <t>Configurar relatórios</t>
  </si>
  <si>
    <t>Instalar sistema</t>
  </si>
  <si>
    <t>FREENAS</t>
  </si>
  <si>
    <t>Upload de Arquivos</t>
  </si>
  <si>
    <t>Disponibilizar arquivos para download</t>
  </si>
  <si>
    <t>Limpar repositório de dados</t>
  </si>
  <si>
    <t>Excluir arquivos não mais utilizados</t>
  </si>
  <si>
    <t>GAC</t>
  </si>
  <si>
    <t>Gerencial</t>
  </si>
  <si>
    <t>N3 - Miraweb</t>
  </si>
  <si>
    <t>Instalação do sistema e componentes</t>
  </si>
  <si>
    <t>GESTÃO DE APLICATIVOS</t>
  </si>
  <si>
    <t>Configurar</t>
  </si>
  <si>
    <t>Desinstalar</t>
  </si>
  <si>
    <t>IMPRESSÃO</t>
  </si>
  <si>
    <t>INJET</t>
  </si>
  <si>
    <t>N3 - MAP</t>
  </si>
  <si>
    <t>INTERNET</t>
  </si>
  <si>
    <t>INTRANET</t>
  </si>
  <si>
    <t>MAC ACTIVE</t>
  </si>
  <si>
    <t>OCS INVENTORY</t>
  </si>
  <si>
    <t>Instalar Agente</t>
  </si>
  <si>
    <t>Remover duplicatas</t>
  </si>
  <si>
    <t>Instalar servidor</t>
  </si>
  <si>
    <t>N3 - Projuris</t>
  </si>
  <si>
    <t>PROXY REVERSO</t>
  </si>
  <si>
    <t>Cadastrar nosso site</t>
  </si>
  <si>
    <t>Remover site</t>
  </si>
  <si>
    <t>REDE CORPORATIVA</t>
  </si>
  <si>
    <t>Instalar ponto de rede</t>
  </si>
  <si>
    <t>Configuração de ponto de rede</t>
  </si>
  <si>
    <t>Configurar rede wifi</t>
  </si>
  <si>
    <t>Criar repositório de dados na rede</t>
  </si>
  <si>
    <t>Limpar e organizar repositório de rede</t>
  </si>
  <si>
    <t>Redimensionar repositório de dados</t>
  </si>
  <si>
    <t>Criar rede VPN</t>
  </si>
  <si>
    <t>Desativar/Remover rede VPN</t>
  </si>
  <si>
    <t>Configurar/Atualizar rede VPN</t>
  </si>
  <si>
    <t>Configurar regras de roteamento</t>
  </si>
  <si>
    <t>Configuração de Switch</t>
  </si>
  <si>
    <t>VLAN, agrupamentos, etc.</t>
  </si>
  <si>
    <t>REDMINE</t>
  </si>
  <si>
    <t>N3 - SADIG</t>
  </si>
  <si>
    <t>Carga de dados</t>
  </si>
  <si>
    <t>Carga de dados manual</t>
  </si>
  <si>
    <t>Carga de dados automatizada</t>
  </si>
  <si>
    <t>Configurar carga (período corrente)</t>
  </si>
  <si>
    <t>Configurar parametros de carga para o mês corrente</t>
  </si>
  <si>
    <t>SAM - SOFTWAREONE</t>
  </si>
  <si>
    <t>Cadastrar Licença/Contrato</t>
  </si>
  <si>
    <t>SERVIÇOS DE ESTAÇÕES DE TRABALHO</t>
  </si>
  <si>
    <t>Aquisição de Desktop</t>
  </si>
  <si>
    <t>Inclusão de Solicitação de Compras io sisweb, acompanhamento, recebimento e conferencia.</t>
  </si>
  <si>
    <t>Equipamento Padrão descontinuado ou não encontrado. Escalar chamado para alternativas.</t>
  </si>
  <si>
    <t>Rs</t>
  </si>
  <si>
    <t>Aquisição de Notebook</t>
  </si>
  <si>
    <t>Inclusão de Solicitação de Compras io sisweb, acompanhamento, recebimento o conferencia.</t>
  </si>
  <si>
    <t>Aquisição de Impressora</t>
  </si>
  <si>
    <t>Inclusão de Solicitação de Compras io sisweb, acompanhamento, recebimento m conferencia.</t>
  </si>
  <si>
    <t>Aquisição de Celular</t>
  </si>
  <si>
    <t>Aquisição de Scanner</t>
  </si>
  <si>
    <t>Inclusão de Solicitação de Compras io sisweb, acompanhamento, recebimento c conferencia.</t>
  </si>
  <si>
    <t>Aquisição de Coletor</t>
  </si>
  <si>
    <t>Área de Projetos de TI</t>
  </si>
  <si>
    <t>Aquisição de Licença de Software</t>
  </si>
  <si>
    <t>Aquisição de periféricos</t>
  </si>
  <si>
    <t>Mouse, teclado, HD externo, Pendrive, Mochilas, Base, Monitor, etc.</t>
  </si>
  <si>
    <t>Aquisição de nobreak e estabilizador</t>
  </si>
  <si>
    <t>Inclusão e Solicitação e Compras io sisweb, acompanhamento, recebimento q conferencia.</t>
  </si>
  <si>
    <t>Aquisição de telefone</t>
  </si>
  <si>
    <t>Inclusão de Solicitação de Compras io sisweb, acompanhamento, recebimento q conferencia.</t>
  </si>
  <si>
    <t>Aquisição de cabeamento estruturado</t>
  </si>
  <si>
    <t>Tomadas, Patch Panel, cabos, conectores, etc.</t>
  </si>
  <si>
    <t>Aquisição de Equipamento de Controle de Acesso</t>
  </si>
  <si>
    <t>Equipamentos de biometria, controle de senhas</t>
  </si>
  <si>
    <t>Manutenção de Impressora</t>
  </si>
  <si>
    <t>Manutenção de Desktop</t>
  </si>
  <si>
    <t>Manutenção de Notebook</t>
  </si>
  <si>
    <t>Manutenção de noBreak e estabilizador</t>
  </si>
  <si>
    <t>Equipamentos exclusivos para alimentação dos componentes de TI (switches, desktops)</t>
  </si>
  <si>
    <t>Manuntenção de Monitor</t>
  </si>
  <si>
    <t>Manutenção de Aparelho Telefonico</t>
  </si>
  <si>
    <t>Manutenção de Celular</t>
  </si>
  <si>
    <t>Troca de equipamento em garantia</t>
  </si>
  <si>
    <t>Trocar equipamento defeituoso e em garantia com o fabricante.</t>
  </si>
  <si>
    <t>Remanejamento de desktop</t>
  </si>
  <si>
    <t>Instalar Desktop</t>
  </si>
  <si>
    <t>Instalar Impressora</t>
  </si>
  <si>
    <t>Instalar Aparelho Telefônico</t>
  </si>
  <si>
    <t>Instalar Monitor</t>
  </si>
  <si>
    <t>Instalar Periféricos</t>
  </si>
  <si>
    <t>Instalar Scanner</t>
  </si>
  <si>
    <t>Instalar Coletor</t>
  </si>
  <si>
    <t>Instalar nobreak e estabilizador</t>
  </si>
  <si>
    <t>Instalar leitor biométrico</t>
  </si>
  <si>
    <t>Aquisição de Relógio de Ponto</t>
  </si>
  <si>
    <t>Instalação de Relógio de Ponto</t>
  </si>
  <si>
    <t>Troca de equipamento</t>
  </si>
  <si>
    <t>Trocar equipamento</t>
  </si>
  <si>
    <t>SIGEP</t>
  </si>
  <si>
    <t>N3 - Correios</t>
  </si>
  <si>
    <t>TELEFONIA</t>
  </si>
  <si>
    <t>Criar ramal</t>
  </si>
  <si>
    <t>Configurar ramal</t>
  </si>
  <si>
    <t>Transferir ramal</t>
  </si>
  <si>
    <t>Criar sala de reunião/conferencia</t>
  </si>
  <si>
    <t>Configurar EBS Khomp</t>
  </si>
  <si>
    <t>Instalar Central Asterisk</t>
  </si>
  <si>
    <t>Configuração da Central Asterisk</t>
  </si>
  <si>
    <t>Configurações gerais da plataforma de voz asterisk</t>
  </si>
  <si>
    <t>Mudança</t>
  </si>
  <si>
    <t>Remover/desativar link de voz</t>
  </si>
  <si>
    <t>Criar URA</t>
  </si>
  <si>
    <t>Configurar URA</t>
  </si>
  <si>
    <t>Modificações complexas como integração a outros sistemas/fontes de dados.</t>
  </si>
  <si>
    <t>Modificar URA</t>
  </si>
  <si>
    <t>Modificações simples de opções, fraseologia, horários de funcionamento, etc.</t>
  </si>
  <si>
    <t>Contratar operadora de telefonia</t>
  </si>
  <si>
    <t>WIS - WMS</t>
  </si>
  <si>
    <t>N3 - Sythex</t>
  </si>
  <si>
    <t>Cadastrar impressora</t>
  </si>
  <si>
    <t>Cadastrar impressora no WIS</t>
  </si>
  <si>
    <t>Configurar coletor</t>
  </si>
  <si>
    <t>Configuração geral do coletor (perfil de conexão, telas, leitor, etc.)</t>
  </si>
  <si>
    <t>Configurar WEB Service</t>
  </si>
  <si>
    <t>Configurar web services</t>
  </si>
  <si>
    <t>Instalar aplicação WIS</t>
  </si>
  <si>
    <t>Instalação e configuração da aplicação WIS no window ou servidor de coletores</t>
  </si>
  <si>
    <t>XGEN</t>
  </si>
  <si>
    <t>ZABBIX</t>
  </si>
  <si>
    <t>Remover host</t>
  </si>
  <si>
    <t>Incluir monitoração</t>
  </si>
  <si>
    <t>Remover monitoração</t>
  </si>
  <si>
    <t>Instalar servidor zabbix</t>
  </si>
  <si>
    <t>Configurar servidor zabbix</t>
  </si>
  <si>
    <t>Desativar serivdor zabbix</t>
  </si>
  <si>
    <t>Modificar monitoração</t>
  </si>
  <si>
    <t>Falha</t>
  </si>
  <si>
    <t>Alterar regra de gerenciamento</t>
  </si>
  <si>
    <t>Realizar restore de gravações CFTV</t>
  </si>
  <si>
    <t>Controle de Acesso Catracas</t>
  </si>
  <si>
    <t>Administrativo</t>
  </si>
  <si>
    <t>Serviço (issue)</t>
  </si>
  <si>
    <t>Sub-Serviço (Sub-issue)</t>
  </si>
  <si>
    <t>Application Services</t>
  </si>
  <si>
    <t>Rotina Operacional</t>
  </si>
  <si>
    <t>Switch - Aquisição</t>
  </si>
  <si>
    <t>Roteador - Aquisição</t>
  </si>
  <si>
    <t>Erro</t>
  </si>
  <si>
    <t>Performance</t>
  </si>
  <si>
    <t>Anti-Vírus - Instalar Servidor</t>
  </si>
  <si>
    <t>Anti-Vírus - Configurar Servidor</t>
  </si>
  <si>
    <t>Instalação de agente/cliente</t>
  </si>
  <si>
    <t>Desinstalação de agente/cliente</t>
  </si>
  <si>
    <t>Troca de Fita</t>
  </si>
  <si>
    <t>Realizar Limpeza de Drive</t>
  </si>
  <si>
    <t>Security Services</t>
  </si>
  <si>
    <t>SOTI</t>
  </si>
  <si>
    <t>WIS</t>
  </si>
  <si>
    <t>Configurar catálogo de endereços</t>
  </si>
  <si>
    <t>Intranet</t>
  </si>
  <si>
    <t>Wireless - Configurar rede</t>
  </si>
  <si>
    <t>Redimensionar Diretório</t>
  </si>
  <si>
    <t>Limpar e Organizar Diretório</t>
  </si>
  <si>
    <t>Firewall - Criação de VPN</t>
  </si>
  <si>
    <t>Firewall - Configuração de VPN</t>
  </si>
  <si>
    <t>Desktop - Aquisição</t>
  </si>
  <si>
    <t>Notebook - Aquisição</t>
  </si>
  <si>
    <t>Scanner - Aquisição</t>
  </si>
  <si>
    <t>Coletor - Aquisição</t>
  </si>
  <si>
    <t>Coletor - Instalação</t>
  </si>
  <si>
    <t>Coletor - Movimentação</t>
  </si>
  <si>
    <t>Coletor - Configuração</t>
  </si>
  <si>
    <t>Coletor - Remoção</t>
  </si>
  <si>
    <t>Periféricos - Aquisição</t>
  </si>
  <si>
    <t>Nobreaks e Estabilizadores - Aquisição</t>
  </si>
  <si>
    <t>Desktop - Manutenção</t>
  </si>
  <si>
    <t>Notebook - Manutenção</t>
  </si>
  <si>
    <t>Nobreaks e Estabilizadores - Manutenção</t>
  </si>
  <si>
    <t>Monitor - Manutenção</t>
  </si>
  <si>
    <t>Manutenção de celular</t>
  </si>
  <si>
    <t>Aparelho Telefônico - Manutenção</t>
  </si>
  <si>
    <t>Monitor - Instalação</t>
  </si>
  <si>
    <t>Nobreaks e Estabilizadores - Instalação</t>
  </si>
  <si>
    <t>Aparelho Telefônico - Instalação</t>
  </si>
  <si>
    <t>Sala de Reunão/Conferência - Criar</t>
  </si>
  <si>
    <t>EBS Khomp - Configurar</t>
  </si>
  <si>
    <t>Central Asterisk - Instalar</t>
  </si>
  <si>
    <t>Central Asterisk - Configurar</t>
  </si>
  <si>
    <t>Link de Voz - Remover/desativar</t>
  </si>
  <si>
    <t>URA - Criar</t>
  </si>
  <si>
    <t>URA - Configurar</t>
  </si>
  <si>
    <t>URA - Modificar</t>
  </si>
  <si>
    <t>Operadora de Telefonia - Contratar</t>
  </si>
  <si>
    <t>Telecom Services</t>
  </si>
  <si>
    <t>Facilities Services</t>
  </si>
  <si>
    <t>Database Services</t>
  </si>
  <si>
    <t>Microsoft Outlook</t>
  </si>
  <si>
    <t>Microsoft Word</t>
  </si>
  <si>
    <t>Microsoft Excel</t>
  </si>
  <si>
    <t>Microsoft PowerPoint</t>
  </si>
  <si>
    <t>Microsoft Project</t>
  </si>
  <si>
    <t>Microsoft Visio</t>
  </si>
  <si>
    <t>Oracle Client</t>
  </si>
  <si>
    <t>Acesso Remoto</t>
  </si>
  <si>
    <t>Acrobat Reader/Writer</t>
  </si>
  <si>
    <t>FlashPlayer</t>
  </si>
  <si>
    <t>7Zip</t>
  </si>
  <si>
    <t>VPNClient</t>
  </si>
  <si>
    <t>Google Chrome</t>
  </si>
  <si>
    <t>Mozilla Firefox</t>
  </si>
  <si>
    <t>Autodesk/Autocad</t>
  </si>
  <si>
    <t>Skype</t>
  </si>
  <si>
    <t>Bancos</t>
  </si>
  <si>
    <t>Governo</t>
  </si>
  <si>
    <t>Conversor PDF</t>
  </si>
  <si>
    <t>Codecs/Players</t>
  </si>
  <si>
    <t>Itunes</t>
  </si>
  <si>
    <t>Citrix</t>
  </si>
  <si>
    <t>Google Earth</t>
  </si>
  <si>
    <t>Windows</t>
  </si>
  <si>
    <t>Internet Explorer</t>
  </si>
  <si>
    <t>Desinstalação</t>
  </si>
  <si>
    <t>Atualização</t>
  </si>
  <si>
    <t>Active Directory</t>
  </si>
  <si>
    <t>Terminal Service</t>
  </si>
  <si>
    <t>Email</t>
  </si>
  <si>
    <t>Biometria</t>
  </si>
  <si>
    <t>Ferramentas de TI</t>
  </si>
  <si>
    <t>Telefonia</t>
  </si>
  <si>
    <t>Wifi</t>
  </si>
  <si>
    <t>Upload de arquivos</t>
  </si>
  <si>
    <t>Controle de acesso</t>
  </si>
  <si>
    <t>Liberação de acesso</t>
  </si>
  <si>
    <t>Alteração de privilégios</t>
  </si>
  <si>
    <t>Exclusão de acesso</t>
  </si>
  <si>
    <t>Nível</t>
  </si>
  <si>
    <t>Grupo - Fila</t>
  </si>
  <si>
    <t>Mondial_Sistemas</t>
  </si>
  <si>
    <t xml:space="preserve">Mondial_Sistemas </t>
  </si>
  <si>
    <t>Mondial_Atendimento_SP</t>
  </si>
  <si>
    <t>Grupo - Fila2</t>
  </si>
  <si>
    <t xml:space="preserve">Mondial_Atendimento_BA </t>
  </si>
  <si>
    <t>UDF</t>
  </si>
  <si>
    <t>SUBISSUE</t>
  </si>
  <si>
    <t>ERP-SISWIN</t>
  </si>
  <si>
    <t>ERP-SISWEB</t>
  </si>
  <si>
    <t>SEFAZ</t>
  </si>
  <si>
    <t>WMS</t>
  </si>
  <si>
    <t>Projuris</t>
  </si>
  <si>
    <t>PCJ</t>
  </si>
  <si>
    <t>Sites WEB</t>
  </si>
  <si>
    <t>Injet</t>
  </si>
  <si>
    <t>Solid Works</t>
  </si>
  <si>
    <t>ECM</t>
  </si>
  <si>
    <t>SOGI</t>
  </si>
  <si>
    <t>Mac Active</t>
  </si>
  <si>
    <t>Pamcardi</t>
  </si>
  <si>
    <t>Sistema 0800</t>
  </si>
  <si>
    <t>Siscomex</t>
  </si>
  <si>
    <t>Inmetro</t>
  </si>
  <si>
    <t>Governo da Bahia</t>
  </si>
  <si>
    <t>Telecontrol</t>
  </si>
  <si>
    <t>Callflex</t>
  </si>
  <si>
    <t>AKIVA</t>
  </si>
  <si>
    <t>Correios</t>
  </si>
  <si>
    <t>Reset de Senha</t>
  </si>
  <si>
    <t>Alteração de Perfil</t>
  </si>
  <si>
    <t>Carga de Dados</t>
  </si>
  <si>
    <t>Envio de Backup para Externo</t>
  </si>
  <si>
    <t>Configurar Nfe</t>
  </si>
  <si>
    <t>High</t>
  </si>
  <si>
    <t>Medium</t>
  </si>
  <si>
    <t>Critical</t>
  </si>
  <si>
    <t>Low</t>
  </si>
  <si>
    <t>Aplicações de Negócio - Projeto</t>
  </si>
  <si>
    <t>Aplicações de Negócio - Melhoria</t>
  </si>
  <si>
    <t>Aplicações de Negócio - Correção</t>
  </si>
  <si>
    <t>Change Request</t>
  </si>
  <si>
    <t>Change Request Emergencial</t>
  </si>
  <si>
    <t>Infraestrutura - Projeto</t>
  </si>
  <si>
    <t>Infraestrutura - Melhoria</t>
  </si>
  <si>
    <t>Infraestrutura - Correção</t>
  </si>
  <si>
    <t>Switch - Indisponibilidade Parcial</t>
  </si>
  <si>
    <t>low</t>
  </si>
  <si>
    <t>UDF - SISTEMAS</t>
  </si>
  <si>
    <t>UDF - SOFTWARE</t>
  </si>
  <si>
    <t>UDF - SEGURANÇA</t>
  </si>
  <si>
    <t>Diego</t>
  </si>
  <si>
    <t>v1.9 a v2.3 - Consolidação dentro do Autotask</t>
  </si>
  <si>
    <t>v1.8 - Unificação do Catálogo de Serviços</t>
  </si>
  <si>
    <t>v2.4 - Versão inicial para Operação</t>
  </si>
  <si>
    <t>Bruno, Diego</t>
  </si>
  <si>
    <t>4 horas</t>
  </si>
  <si>
    <t>16 horas</t>
  </si>
  <si>
    <t>24 horas</t>
  </si>
  <si>
    <t>72 horas</t>
  </si>
  <si>
    <t>120 horas</t>
  </si>
  <si>
    <t>Row Labels</t>
  </si>
  <si>
    <t>Grand Total</t>
  </si>
  <si>
    <t>Values</t>
  </si>
  <si>
    <t>Tem Procedimento?</t>
  </si>
  <si>
    <t>Count of Prioridade</t>
  </si>
  <si>
    <t>(Multiple Items)</t>
  </si>
  <si>
    <t>Count of Sub-Serviço (Sub-issue)</t>
  </si>
  <si>
    <t>_INS-GINCRS 0047-BN Instrução para Instalação do Certificado Digital-20161117</t>
  </si>
  <si>
    <t>INS-GINCRS 0002-BN Instrução de Instalação de Impressora (Escritório)-20161108</t>
  </si>
  <si>
    <t>INS-GINCRS 0003-BN Instrução de Controle de Equipamentos e Periféricos-20161103</t>
  </si>
  <si>
    <t>INS-GINCRS 0004-BN Instrução de Desinstalação de Software-20161103</t>
  </si>
  <si>
    <t>INS-GINCRS 0006-BN Instrução de Solicitação de Insumos de Impressão-20161104 / INS-GINCRS 0007-BN Instrução de Acionamento de Fornecedor de Impressão-20161104</t>
  </si>
  <si>
    <t>INS-GINCRS 0005-BN Instrução de Instalação do Modem 3G-20161103 / INS-GINCRS 0016-BN Instrução para Instalação de Software (Checklist)-20161108</t>
  </si>
  <si>
    <t>INS-GINCRS 0019-BN Instrução para Devolução de Notebook-20161108</t>
  </si>
  <si>
    <t>INS-GINCRS 0020-BN Instrução para Devolução de Celular Corporativo-20161108</t>
  </si>
  <si>
    <t>INS-GINCRS 0021-BN Instrução para Entrega de Celular Corporativo (Iphone)-20161108</t>
  </si>
  <si>
    <t>INS-GINCRS 0022-BN Instrução para Configuração de E-mail de Celular Corporativo (Iphone)-20161108</t>
  </si>
  <si>
    <t>INS-GINCRS 0017-BN Instrução para Formatar Desktop e Notebook (Checklist)-20161108 / INS-GINCRS 0027-BN Instrução para Formatar Notebook-20161111</t>
  </si>
  <si>
    <t>INS-GINCRS 0028-BN Instrução para Recuperação de Iphone-20161111</t>
  </si>
  <si>
    <t>INS-GINCRS 0024-BN Instrução para Redirecionamento de E-mail (Office 365)-20161109</t>
  </si>
  <si>
    <t>INS-GINCRS 0030-BN Instrução para Efetuar Backup Dados do Colaborador-20161111</t>
  </si>
  <si>
    <t>INS-GINCRS 0034-BN Instrução para Mapear Unidade de Rede-20161116</t>
  </si>
  <si>
    <t>INS-GINCRS 0037-BN Instrução de Instalação de VPN-20161117</t>
  </si>
  <si>
    <t>INS-GINCRS 0038-BN Instrução de Acesso a VPN-20161117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</si>
</sst>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quot;R$&quot;* #,##0.00_);_(&quot;R$&quot;* \(#,##0.00\);_(&quot;R$&quot;* &quot;-&quot;??_);_(@_)"/>
    <numFmt numFmtId="165" formatCode="_(&quot;R$&quot;* #,##0.00_);_(&quot;R$&quot;* \(#,##0.00\);_(&quot;R$&quot;* \-??_);_(@_)"/>
    <numFmt numFmtId="166" formatCode="[h]:mm;@"/>
    <numFmt numFmtId="167" formatCode="[$-F400]h:mm"/>
    <numFmt numFmtId="168" formatCode="[h]:mm:ss;@"/>
  </numFmts>
  <fonts count="40">
    <font>
      <sz val="11"/>
      <color theme="1"/>
      <name val="Calibri"/>
      <family val="2"/>
      <scheme val="minor"/>
    </font>
    <font>
      <sz val="12"/>
      <color theme="1"/>
      <name val="Calibri"/>
      <family val="2"/>
      <charset val="128"/>
      <scheme val="minor"/>
    </font>
    <font>
      <b/>
      <sz val="11"/>
      <color rgb="FF0000CC"/>
      <name val="Calibri"/>
      <family val="2"/>
      <scheme val="minor"/>
    </font>
    <font>
      <b/>
      <sz val="11"/>
      <color theme="1"/>
      <name val="Calibri"/>
      <family val="2"/>
      <scheme val="minor"/>
    </font>
    <font>
      <sz val="9"/>
      <color theme="1"/>
      <name val="Calibri"/>
      <family val="2"/>
      <scheme val="minor"/>
    </font>
    <font>
      <b/>
      <sz val="9"/>
      <color indexed="81"/>
      <name val="Tahoma"/>
      <family val="2"/>
    </font>
    <font>
      <sz val="9"/>
      <color indexed="81"/>
      <name val="Tahoma"/>
      <family val="2"/>
    </font>
    <font>
      <b/>
      <sz val="11"/>
      <color rgb="FFFF0000"/>
      <name val="Calibri"/>
      <family val="2"/>
      <scheme val="minor"/>
    </font>
    <font>
      <sz val="11"/>
      <color indexed="8"/>
      <name val="Calibri"/>
      <family val="2"/>
      <charset val="1"/>
    </font>
    <font>
      <sz val="11"/>
      <color rgb="FFFF0000"/>
      <name val="Calibri"/>
      <family val="2"/>
      <scheme val="minor"/>
    </font>
    <font>
      <sz val="11"/>
      <name val="Calibri"/>
      <family val="2"/>
      <scheme val="minor"/>
    </font>
    <font>
      <sz val="10"/>
      <name val="Arial"/>
      <family val="2"/>
    </font>
    <font>
      <b/>
      <sz val="18"/>
      <name val="Arial"/>
      <family val="2"/>
    </font>
    <font>
      <b/>
      <sz val="14"/>
      <name val="Arial"/>
      <family val="2"/>
    </font>
    <font>
      <u/>
      <sz val="12"/>
      <color indexed="63"/>
      <name val="Arial"/>
      <family val="2"/>
    </font>
    <font>
      <b/>
      <sz val="10"/>
      <color indexed="9"/>
      <name val="Arial"/>
      <family val="2"/>
    </font>
    <font>
      <sz val="12"/>
      <color rgb="FF000000"/>
      <name val="Calibri"/>
      <family val="2"/>
      <charset val="1"/>
    </font>
    <font>
      <u/>
      <sz val="11"/>
      <color theme="10"/>
      <name val="Calibri"/>
      <family val="2"/>
    </font>
    <font>
      <sz val="10"/>
      <color indexed="8"/>
      <name val="Arial"/>
      <family val="2"/>
    </font>
    <font>
      <u/>
      <sz val="11"/>
      <color theme="11"/>
      <name val="Calibri"/>
      <family val="2"/>
      <scheme val="minor"/>
    </font>
    <font>
      <u/>
      <sz val="11"/>
      <color theme="10"/>
      <name val="Calibri"/>
      <family val="2"/>
      <scheme val="minor"/>
    </font>
    <font>
      <b/>
      <sz val="11"/>
      <color theme="1"/>
      <name val="Liberation Sans"/>
    </font>
    <font>
      <b/>
      <sz val="11"/>
      <color rgb="FF0000CC"/>
      <name val="Calibri"/>
      <family val="2"/>
    </font>
    <font>
      <sz val="9"/>
      <name val="Arial"/>
      <family val="2"/>
    </font>
    <font>
      <sz val="11"/>
      <color rgb="FF000000"/>
      <name val="Calibri"/>
      <family val="2"/>
      <scheme val="minor"/>
    </font>
    <font>
      <b/>
      <sz val="11"/>
      <color theme="0"/>
      <name val="Calibri"/>
      <family val="2"/>
      <scheme val="minor"/>
    </font>
    <font>
      <b/>
      <sz val="10"/>
      <color theme="0"/>
      <name val="Calibri"/>
      <family val="2"/>
      <scheme val="minor"/>
    </font>
    <font>
      <sz val="10"/>
      <color theme="1"/>
      <name val="Calibri"/>
      <family val="2"/>
      <scheme val="minor"/>
    </font>
    <font>
      <b/>
      <sz val="26"/>
      <name val="Calibri"/>
      <family val="2"/>
      <scheme val="minor"/>
    </font>
    <font>
      <b/>
      <sz val="11"/>
      <name val="Calibri"/>
      <family val="2"/>
      <scheme val="minor"/>
    </font>
    <font>
      <b/>
      <sz val="12"/>
      <name val="Calibri"/>
      <family val="2"/>
      <scheme val="minor"/>
    </font>
    <font>
      <b/>
      <i/>
      <sz val="11"/>
      <name val="Calibri"/>
      <family val="2"/>
      <scheme val="minor"/>
    </font>
    <font>
      <sz val="9"/>
      <name val="Calibri"/>
      <family val="2"/>
      <scheme val="minor"/>
    </font>
    <font>
      <sz val="12"/>
      <name val="Calibri"/>
      <family val="2"/>
      <scheme val="minor"/>
    </font>
    <font>
      <b/>
      <i/>
      <sz val="9"/>
      <color indexed="81"/>
      <name val="Tahoma"/>
      <family val="2"/>
    </font>
    <font>
      <i/>
      <sz val="9"/>
      <color indexed="81"/>
      <name val="Tahoma"/>
      <family val="2"/>
    </font>
    <font>
      <b/>
      <u/>
      <sz val="9"/>
      <color indexed="81"/>
      <name val="Tahoma"/>
      <family val="2"/>
    </font>
    <font>
      <b/>
      <sz val="10"/>
      <color theme="1"/>
      <name val="Calibri"/>
      <family val="2"/>
      <scheme val="minor"/>
    </font>
    <font>
      <b/>
      <sz val="11"/>
      <color rgb="FF000000"/>
      <name val="Calibri"/>
      <family val="2"/>
    </font>
    <font>
      <sz val="11"/>
      <color rgb="FF000000"/>
      <name val="Calibri"/>
      <family val="2"/>
    </font>
  </fonts>
  <fills count="16">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0" tint="-0.34998626667073579"/>
        <bgColor indexed="64"/>
      </patternFill>
    </fill>
    <fill>
      <patternFill patternType="solid">
        <fgColor indexed="22"/>
        <bgColor indexed="64"/>
      </patternFill>
    </fill>
    <fill>
      <patternFill patternType="solid">
        <fgColor theme="9"/>
        <bgColor indexed="64"/>
      </patternFill>
    </fill>
    <fill>
      <patternFill patternType="solid">
        <fgColor rgb="FFFF0000"/>
        <bgColor indexed="64"/>
      </patternFill>
    </fill>
    <fill>
      <patternFill patternType="solid">
        <fgColor rgb="FFFFFFFF"/>
        <bgColor rgb="FF000000"/>
      </patternFill>
    </fill>
    <fill>
      <patternFill patternType="solid">
        <fgColor rgb="FFFFFF00"/>
        <bgColor indexed="64"/>
      </patternFill>
    </fill>
    <fill>
      <patternFill patternType="solid">
        <fgColor rgb="FF00B0F0"/>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theme="9" tint="0.79998168889431442"/>
        <bgColor indexed="64"/>
      </patternFill>
    </fill>
  </fills>
  <borders count="22">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right style="medium">
        <color auto="1"/>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bottom style="thin">
        <color theme="4" tint="0.39997558519241921"/>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medium">
        <color auto="1"/>
      </left>
      <right style="thin">
        <color auto="1"/>
      </right>
      <top style="thin">
        <color auto="1"/>
      </top>
      <bottom/>
      <diagonal/>
    </border>
    <border>
      <left/>
      <right/>
      <top style="thin">
        <color theme="8" tint="0.39997558519241921"/>
      </top>
      <bottom style="thin">
        <color theme="8" tint="0.39997558519241921"/>
      </bottom>
      <diagonal/>
    </border>
    <border>
      <left/>
      <right/>
      <top style="thin">
        <color theme="8" tint="0.39997558519241921"/>
      </top>
      <bottom/>
      <diagonal/>
    </border>
  </borders>
  <cellStyleXfs count="717">
    <xf numFmtId="0" fontId="0" fillId="0" borderId="0"/>
    <xf numFmtId="0" fontId="8" fillId="0" borderId="0"/>
    <xf numFmtId="0" fontId="11" fillId="0" borderId="0"/>
    <xf numFmtId="0" fontId="14" fillId="0" borderId="0" applyNumberFormat="0" applyFill="0" applyBorder="0" applyAlignment="0" applyProtection="0">
      <alignment vertical="top"/>
      <protection locked="0"/>
    </xf>
    <xf numFmtId="0" fontId="11" fillId="0" borderId="0"/>
    <xf numFmtId="164" fontId="1" fillId="0" borderId="0" applyFont="0" applyFill="0" applyBorder="0" applyAlignment="0" applyProtection="0"/>
    <xf numFmtId="165" fontId="16" fillId="0" borderId="0" applyBorder="0" applyProtection="0"/>
    <xf numFmtId="164" fontId="1" fillId="0" borderId="0" applyFont="0" applyFill="0" applyBorder="0" applyAlignment="0" applyProtection="0"/>
    <xf numFmtId="0" fontId="17" fillId="0" borderId="0" applyNumberFormat="0" applyFill="0" applyBorder="0" applyAlignment="0" applyProtection="0">
      <alignment vertical="top"/>
      <protection locked="0"/>
    </xf>
    <xf numFmtId="0" fontId="18" fillId="0" borderId="0">
      <alignment vertical="top"/>
    </xf>
    <xf numFmtId="0" fontId="16" fillId="0" borderId="0"/>
    <xf numFmtId="0" fontId="11" fillId="0" borderId="0"/>
    <xf numFmtId="9" fontId="8" fillId="0" borderId="0" applyFon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cellStyleXfs>
  <cellXfs count="138">
    <xf numFmtId="0" fontId="0" fillId="0" borderId="0" xfId="0"/>
    <xf numFmtId="0" fontId="3" fillId="0" borderId="0" xfId="0" applyFont="1" applyFill="1" applyAlignment="1">
      <alignment horizontal="center" vertical="center" wrapText="1"/>
    </xf>
    <xf numFmtId="0" fontId="4" fillId="0" borderId="0" xfId="0" applyFont="1" applyAlignment="1">
      <alignment horizontal="left" vertical="center" wrapText="1"/>
    </xf>
    <xf numFmtId="0" fontId="3" fillId="0" borderId="10" xfId="0" applyFont="1" applyFill="1" applyBorder="1" applyAlignment="1">
      <alignment horizontal="center" vertical="center" wrapText="1"/>
    </xf>
    <xf numFmtId="0" fontId="0" fillId="0" borderId="0" xfId="0" applyAlignment="1">
      <alignment horizontal="center" vertical="center" wrapText="1"/>
    </xf>
    <xf numFmtId="0" fontId="0" fillId="0" borderId="0" xfId="0"/>
    <xf numFmtId="0" fontId="3" fillId="0" borderId="0" xfId="0" applyFont="1" applyAlignment="1">
      <alignment horizontal="center" vertical="center" wrapText="1"/>
    </xf>
    <xf numFmtId="0" fontId="4" fillId="0" borderId="9" xfId="0" applyFont="1" applyBorder="1" applyAlignment="1" applyProtection="1">
      <alignment vertical="center" wrapText="1"/>
      <protection locked="0"/>
    </xf>
    <xf numFmtId="0" fontId="0" fillId="0" borderId="0" xfId="0" applyFill="1"/>
    <xf numFmtId="0" fontId="0" fillId="0" borderId="2" xfId="0" applyBorder="1" applyAlignment="1">
      <alignment vertical="center" wrapText="1"/>
    </xf>
    <xf numFmtId="0" fontId="2" fillId="0" borderId="3" xfId="0" applyFont="1" applyFill="1" applyBorder="1" applyAlignment="1">
      <alignment vertical="center" wrapText="1"/>
    </xf>
    <xf numFmtId="0" fontId="0" fillId="0" borderId="3" xfId="0" applyBorder="1" applyAlignment="1">
      <alignment vertical="center" wrapText="1"/>
    </xf>
    <xf numFmtId="0" fontId="0" fillId="0" borderId="5" xfId="0" applyBorder="1" applyAlignment="1">
      <alignment vertical="center" wrapText="1"/>
    </xf>
    <xf numFmtId="0" fontId="2" fillId="0" borderId="1" xfId="0" applyFont="1" applyFill="1" applyBorder="1" applyAlignment="1">
      <alignment vertical="center" wrapText="1"/>
    </xf>
    <xf numFmtId="0" fontId="0" fillId="0" borderId="1" xfId="0" applyNumberFormat="1" applyBorder="1" applyAlignment="1">
      <alignment vertical="center" wrapText="1"/>
    </xf>
    <xf numFmtId="0" fontId="0" fillId="0" borderId="1" xfId="0" applyBorder="1" applyAlignment="1">
      <alignment vertical="center" wrapText="1"/>
    </xf>
    <xf numFmtId="0" fontId="7" fillId="0" borderId="1" xfId="0" applyFont="1" applyBorder="1" applyAlignment="1">
      <alignment vertical="center" wrapText="1"/>
    </xf>
    <xf numFmtId="0" fontId="7" fillId="2" borderId="1" xfId="0" applyFont="1" applyFill="1" applyBorder="1" applyAlignment="1">
      <alignment vertical="center" wrapText="1"/>
    </xf>
    <xf numFmtId="0" fontId="9" fillId="0" borderId="1" xfId="0" applyFont="1" applyBorder="1" applyAlignment="1">
      <alignment vertical="center" wrapText="1"/>
    </xf>
    <xf numFmtId="0" fontId="7" fillId="0" borderId="6" xfId="0" applyFont="1" applyBorder="1" applyAlignment="1">
      <alignment vertical="center" wrapText="1"/>
    </xf>
    <xf numFmtId="0" fontId="9" fillId="0" borderId="3" xfId="0" applyFont="1" applyBorder="1" applyAlignment="1">
      <alignment vertical="center" wrapText="1"/>
    </xf>
    <xf numFmtId="0" fontId="10" fillId="0" borderId="1" xfId="0" applyFont="1" applyBorder="1" applyAlignment="1">
      <alignment vertical="center" wrapText="1"/>
    </xf>
    <xf numFmtId="0" fontId="10" fillId="0" borderId="4" xfId="0" applyFont="1" applyBorder="1" applyAlignment="1">
      <alignment vertical="center" wrapText="1"/>
    </xf>
    <xf numFmtId="0" fontId="10" fillId="0" borderId="6" xfId="0" applyFont="1" applyBorder="1" applyAlignment="1">
      <alignment vertical="center" wrapText="1"/>
    </xf>
    <xf numFmtId="0" fontId="0" fillId="0" borderId="3" xfId="0" applyNumberFormat="1" applyBorder="1" applyAlignment="1">
      <alignment vertical="center" wrapText="1"/>
    </xf>
    <xf numFmtId="0" fontId="10" fillId="0" borderId="3" xfId="0" applyFont="1" applyBorder="1" applyAlignment="1">
      <alignment vertical="center" wrapText="1"/>
    </xf>
    <xf numFmtId="0" fontId="11" fillId="3" borderId="0" xfId="2" applyFill="1"/>
    <xf numFmtId="0" fontId="11" fillId="3" borderId="0" xfId="2" applyFill="1" applyAlignment="1">
      <alignment horizontal="left" vertical="center"/>
    </xf>
    <xf numFmtId="0" fontId="11" fillId="3" borderId="0" xfId="2" applyFill="1" applyAlignment="1">
      <alignment vertical="center"/>
    </xf>
    <xf numFmtId="0" fontId="11" fillId="4" borderId="0" xfId="2" applyFill="1"/>
    <xf numFmtId="0" fontId="11" fillId="4" borderId="0" xfId="2" applyFill="1" applyAlignment="1">
      <alignment horizontal="left" vertical="center"/>
    </xf>
    <xf numFmtId="0" fontId="11" fillId="4" borderId="0" xfId="2" applyFill="1" applyAlignment="1">
      <alignment vertical="center"/>
    </xf>
    <xf numFmtId="0" fontId="11" fillId="0" borderId="0" xfId="2"/>
    <xf numFmtId="0" fontId="12" fillId="0" borderId="0" xfId="2" applyFont="1"/>
    <xf numFmtId="0" fontId="11" fillId="0" borderId="0" xfId="2" applyAlignment="1">
      <alignment horizontal="left" vertical="center"/>
    </xf>
    <xf numFmtId="0" fontId="11" fillId="0" borderId="0" xfId="2" applyAlignment="1">
      <alignment vertical="center"/>
    </xf>
    <xf numFmtId="0" fontId="13" fillId="0" borderId="0" xfId="2" applyFont="1"/>
    <xf numFmtId="0" fontId="11" fillId="5" borderId="0" xfId="2" applyFill="1" applyAlignment="1">
      <alignment horizontal="left" vertical="center"/>
    </xf>
    <xf numFmtId="0" fontId="13" fillId="5" borderId="0" xfId="2" applyFont="1" applyFill="1"/>
    <xf numFmtId="0" fontId="11" fillId="5" borderId="0" xfId="2" applyFill="1" applyAlignment="1">
      <alignment vertical="center"/>
    </xf>
    <xf numFmtId="17" fontId="14" fillId="5" borderId="0" xfId="3" quotePrefix="1" applyNumberFormat="1" applyFill="1" applyAlignment="1" applyProtection="1">
      <alignment horizontal="left" vertical="center"/>
    </xf>
    <xf numFmtId="0" fontId="14" fillId="5" borderId="0" xfId="3" quotePrefix="1" applyFill="1" applyAlignment="1" applyProtection="1">
      <alignment horizontal="left" vertical="center"/>
    </xf>
    <xf numFmtId="17" fontId="14" fillId="5" borderId="0" xfId="3" applyNumberFormat="1" applyFill="1" applyAlignment="1" applyProtection="1">
      <alignment horizontal="left" vertical="center"/>
    </xf>
    <xf numFmtId="17" fontId="14" fillId="5" borderId="0" xfId="3" quotePrefix="1" applyNumberFormat="1" applyFill="1" applyAlignment="1" applyProtection="1"/>
    <xf numFmtId="0" fontId="11" fillId="5" borderId="0" xfId="2" applyFont="1" applyFill="1" applyAlignment="1">
      <alignment horizontal="left"/>
    </xf>
    <xf numFmtId="0" fontId="14" fillId="5" borderId="0" xfId="3" applyFont="1" applyFill="1" applyAlignment="1" applyProtection="1"/>
    <xf numFmtId="0" fontId="14" fillId="0" borderId="0" xfId="3" applyAlignment="1" applyProtection="1">
      <alignment vertical="center"/>
    </xf>
    <xf numFmtId="0" fontId="11" fillId="0" borderId="0" xfId="2" applyFont="1"/>
    <xf numFmtId="0" fontId="15" fillId="3" borderId="1" xfId="2" applyFont="1" applyFill="1" applyBorder="1" applyAlignment="1">
      <alignment horizontal="left" vertical="center" wrapText="1"/>
    </xf>
    <xf numFmtId="0" fontId="11" fillId="0" borderId="1" xfId="2" applyFont="1" applyBorder="1" applyAlignment="1">
      <alignment horizontal="left" vertical="top" wrapText="1"/>
    </xf>
    <xf numFmtId="14" fontId="11" fillId="0" borderId="1" xfId="2" applyNumberFormat="1" applyBorder="1" applyAlignment="1">
      <alignment horizontal="left" vertical="top" wrapText="1"/>
    </xf>
    <xf numFmtId="0" fontId="11" fillId="0" borderId="1" xfId="2" applyBorder="1" applyAlignment="1">
      <alignment horizontal="left" vertical="top" wrapText="1"/>
    </xf>
    <xf numFmtId="0" fontId="0" fillId="0" borderId="11" xfId="0" applyBorder="1" applyAlignment="1">
      <alignment vertical="center" wrapText="1"/>
    </xf>
    <xf numFmtId="0" fontId="2" fillId="0" borderId="12" xfId="0" applyFont="1" applyFill="1" applyBorder="1" applyAlignment="1">
      <alignment vertical="center" wrapText="1"/>
    </xf>
    <xf numFmtId="0" fontId="0" fillId="0" borderId="12" xfId="0" applyNumberFormat="1" applyBorder="1" applyAlignment="1">
      <alignment vertical="center" wrapText="1"/>
    </xf>
    <xf numFmtId="0" fontId="0" fillId="0" borderId="12" xfId="0" applyBorder="1" applyAlignment="1">
      <alignment vertical="center" wrapText="1"/>
    </xf>
    <xf numFmtId="0" fontId="10" fillId="0" borderId="12" xfId="0" applyFont="1" applyBorder="1" applyAlignment="1">
      <alignment vertical="center" wrapText="1"/>
    </xf>
    <xf numFmtId="0" fontId="9" fillId="0" borderId="12" xfId="0" applyFont="1" applyBorder="1" applyAlignment="1">
      <alignment vertical="center" wrapText="1"/>
    </xf>
    <xf numFmtId="0" fontId="10" fillId="0" borderId="13" xfId="0" applyFont="1" applyBorder="1" applyAlignment="1">
      <alignment vertical="center" wrapText="1"/>
    </xf>
    <xf numFmtId="0" fontId="0" fillId="0" borderId="0" xfId="0" applyAlignment="1">
      <alignment wrapText="1"/>
    </xf>
    <xf numFmtId="0" fontId="0" fillId="6" borderId="0" xfId="0" applyFill="1"/>
    <xf numFmtId="0" fontId="0" fillId="0" borderId="0" xfId="0" applyAlignment="1">
      <alignment horizontal="left"/>
    </xf>
    <xf numFmtId="0" fontId="0" fillId="7" borderId="0" xfId="0" applyFill="1" applyAlignment="1">
      <alignment horizontal="left"/>
    </xf>
    <xf numFmtId="0" fontId="0" fillId="6" borderId="0" xfId="0" applyFill="1" applyAlignment="1">
      <alignment wrapText="1"/>
    </xf>
    <xf numFmtId="0" fontId="21" fillId="0" borderId="14" xfId="0" applyFont="1" applyBorder="1" applyAlignment="1">
      <alignment horizontal="left"/>
    </xf>
    <xf numFmtId="0" fontId="0" fillId="0" borderId="0" xfId="0" applyAlignment="1">
      <alignment horizontal="left" indent="1"/>
    </xf>
    <xf numFmtId="0" fontId="0" fillId="0" borderId="15" xfId="0" applyFont="1" applyFill="1" applyBorder="1" applyAlignment="1">
      <alignment vertical="center" wrapText="1"/>
    </xf>
    <xf numFmtId="0" fontId="22" fillId="0" borderId="17" xfId="0" applyFont="1" applyFill="1" applyBorder="1" applyAlignment="1">
      <alignment vertical="center" wrapText="1"/>
    </xf>
    <xf numFmtId="0" fontId="0" fillId="0" borderId="16" xfId="0" applyFont="1" applyFill="1" applyBorder="1" applyAlignment="1">
      <alignment vertical="center" wrapText="1"/>
    </xf>
    <xf numFmtId="0" fontId="23" fillId="8" borderId="1" xfId="0" applyFont="1" applyFill="1" applyBorder="1" applyAlignment="1">
      <alignment horizontal="left" vertical="center" wrapText="1"/>
    </xf>
    <xf numFmtId="0" fontId="23" fillId="8" borderId="12" xfId="0" applyFont="1" applyFill="1" applyBorder="1" applyAlignment="1">
      <alignment horizontal="left" vertical="center" wrapText="1"/>
    </xf>
    <xf numFmtId="0" fontId="24" fillId="0" borderId="0" xfId="0" applyFont="1"/>
    <xf numFmtId="0" fontId="3" fillId="0" borderId="9" xfId="0" applyFont="1" applyFill="1" applyBorder="1" applyAlignment="1">
      <alignment vertical="center" wrapText="1"/>
    </xf>
    <xf numFmtId="0" fontId="3" fillId="0" borderId="19" xfId="0" applyFont="1" applyFill="1" applyBorder="1" applyAlignment="1">
      <alignment vertical="center" wrapText="1"/>
    </xf>
    <xf numFmtId="0" fontId="3" fillId="0" borderId="18" xfId="0" applyFont="1" applyFill="1" applyBorder="1" applyAlignment="1">
      <alignment vertical="center" wrapText="1"/>
    </xf>
    <xf numFmtId="0" fontId="3" fillId="9" borderId="18" xfId="0" applyFont="1" applyFill="1" applyBorder="1" applyAlignment="1">
      <alignment vertical="center" wrapText="1"/>
    </xf>
    <xf numFmtId="0" fontId="26" fillId="10" borderId="0" xfId="0" applyFont="1" applyFill="1" applyAlignment="1">
      <alignment vertical="center"/>
    </xf>
    <xf numFmtId="0" fontId="26" fillId="10" borderId="0" xfId="0" applyFont="1" applyFill="1" applyAlignment="1">
      <alignment vertical="center" wrapText="1"/>
    </xf>
    <xf numFmtId="0" fontId="27" fillId="0" borderId="0" xfId="0" applyFont="1" applyAlignment="1">
      <alignment vertical="center"/>
    </xf>
    <xf numFmtId="0" fontId="27" fillId="0" borderId="0" xfId="0" applyFont="1" applyFill="1"/>
    <xf numFmtId="0" fontId="27" fillId="0" borderId="0" xfId="0" applyFont="1"/>
    <xf numFmtId="0" fontId="29" fillId="0" borderId="0" xfId="0" applyFont="1" applyFill="1" applyBorder="1" applyAlignment="1">
      <alignment horizontal="center" vertical="center" wrapText="1"/>
    </xf>
    <xf numFmtId="166" fontId="29" fillId="0" borderId="0" xfId="0" applyNumberFormat="1" applyFont="1" applyFill="1" applyBorder="1" applyAlignment="1">
      <alignment horizontal="center" vertical="center" wrapText="1"/>
    </xf>
    <xf numFmtId="0" fontId="29" fillId="0" borderId="0" xfId="0" applyFont="1" applyFill="1" applyBorder="1" applyAlignment="1">
      <alignment vertical="center" wrapText="1"/>
    </xf>
    <xf numFmtId="0" fontId="10" fillId="0" borderId="0" xfId="0" applyFont="1" applyFill="1" applyBorder="1" applyAlignment="1">
      <alignment vertical="center" wrapText="1"/>
    </xf>
    <xf numFmtId="167" fontId="10" fillId="0" borderId="0" xfId="0" applyNumberFormat="1" applyFont="1" applyFill="1" applyBorder="1" applyAlignment="1">
      <alignment vertical="center" wrapText="1"/>
    </xf>
    <xf numFmtId="0" fontId="10" fillId="0" borderId="0" xfId="0" applyFont="1" applyFill="1" applyBorder="1" applyAlignment="1">
      <alignment horizontal="left" vertical="center" wrapText="1"/>
    </xf>
    <xf numFmtId="0" fontId="30" fillId="0" borderId="0" xfId="0" applyFont="1" applyFill="1" applyBorder="1" applyAlignment="1">
      <alignment horizontal="center" vertical="center" wrapText="1"/>
    </xf>
    <xf numFmtId="0" fontId="29" fillId="11" borderId="0" xfId="0" applyFont="1" applyFill="1" applyBorder="1" applyAlignment="1">
      <alignment horizontal="center" vertical="center" wrapText="1"/>
    </xf>
    <xf numFmtId="0" fontId="29" fillId="12" borderId="0" xfId="0" applyFont="1" applyFill="1" applyBorder="1" applyAlignment="1">
      <alignment horizontal="center" vertical="center" wrapText="1"/>
    </xf>
    <xf numFmtId="167" fontId="29" fillId="12" borderId="0" xfId="0" applyNumberFormat="1" applyFont="1" applyFill="1" applyBorder="1" applyAlignment="1">
      <alignment horizontal="center" vertical="center" wrapText="1"/>
    </xf>
    <xf numFmtId="0" fontId="29" fillId="13" borderId="0" xfId="0" applyFont="1" applyFill="1" applyBorder="1" applyAlignment="1">
      <alignment horizontal="center" vertical="center" wrapText="1"/>
    </xf>
    <xf numFmtId="0" fontId="29" fillId="13" borderId="0" xfId="0" applyFont="1" applyFill="1" applyBorder="1" applyAlignment="1">
      <alignment horizontal="left" vertical="center" wrapText="1"/>
    </xf>
    <xf numFmtId="0" fontId="25" fillId="14" borderId="0" xfId="0" applyFont="1" applyFill="1" applyBorder="1" applyAlignment="1">
      <alignment horizontal="center" vertical="center" wrapText="1"/>
    </xf>
    <xf numFmtId="0" fontId="32" fillId="0" borderId="0" xfId="0" applyFont="1" applyFill="1" applyBorder="1" applyAlignment="1" applyProtection="1">
      <alignment horizontal="center" vertical="center" wrapText="1"/>
      <protection locked="0"/>
    </xf>
    <xf numFmtId="0" fontId="32" fillId="0" borderId="0" xfId="0" applyFont="1" applyFill="1" applyBorder="1" applyAlignment="1" applyProtection="1">
      <alignment horizontal="left" vertical="center" wrapText="1"/>
      <protection locked="0"/>
    </xf>
    <xf numFmtId="166" fontId="32" fillId="0" borderId="0" xfId="0" applyNumberFormat="1" applyFont="1" applyFill="1" applyBorder="1" applyAlignment="1" applyProtection="1">
      <alignment horizontal="center" vertical="center" wrapText="1"/>
      <protection locked="0"/>
    </xf>
    <xf numFmtId="168" fontId="32" fillId="0" borderId="0" xfId="0" applyNumberFormat="1" applyFont="1" applyFill="1" applyBorder="1" applyAlignment="1" applyProtection="1">
      <alignment horizontal="center" vertical="center" wrapText="1"/>
      <protection locked="0"/>
    </xf>
    <xf numFmtId="167" fontId="32" fillId="0" borderId="0" xfId="0" applyNumberFormat="1" applyFont="1" applyFill="1" applyBorder="1" applyAlignment="1" applyProtection="1">
      <alignment horizontal="center" vertical="center" wrapText="1"/>
      <protection locked="0"/>
    </xf>
    <xf numFmtId="20" fontId="32" fillId="0" borderId="0" xfId="0" applyNumberFormat="1" applyFont="1" applyFill="1" applyBorder="1" applyAlignment="1" applyProtection="1">
      <alignment horizontal="center" vertical="center" wrapText="1"/>
      <protection locked="0"/>
    </xf>
    <xf numFmtId="0" fontId="32" fillId="0" borderId="0" xfId="0" quotePrefix="1" applyFont="1" applyFill="1" applyBorder="1" applyAlignment="1" applyProtection="1">
      <alignment horizontal="left" vertical="center" wrapText="1"/>
      <protection locked="0"/>
    </xf>
    <xf numFmtId="9" fontId="32" fillId="0" borderId="0" xfId="0" applyNumberFormat="1" applyFont="1" applyFill="1" applyBorder="1" applyAlignment="1" applyProtection="1">
      <alignment horizontal="center" vertical="center" wrapText="1"/>
      <protection locked="0"/>
    </xf>
    <xf numFmtId="0" fontId="32" fillId="0" borderId="0" xfId="0" applyFont="1" applyFill="1" applyBorder="1" applyAlignment="1">
      <alignment horizontal="center" vertical="center" wrapText="1"/>
    </xf>
    <xf numFmtId="0" fontId="32" fillId="0" borderId="0" xfId="0" applyFont="1" applyFill="1" applyBorder="1" applyAlignment="1" applyProtection="1">
      <alignment horizontal="left" vertical="center"/>
      <protection locked="0"/>
    </xf>
    <xf numFmtId="0" fontId="32" fillId="0" borderId="0" xfId="0" applyFont="1" applyFill="1" applyBorder="1" applyAlignment="1">
      <alignment horizontal="left" vertical="center" wrapText="1"/>
    </xf>
    <xf numFmtId="0" fontId="32" fillId="0" borderId="0" xfId="0" applyFont="1" applyFill="1" applyBorder="1" applyAlignment="1">
      <alignment horizontal="left" vertical="center"/>
    </xf>
    <xf numFmtId="46" fontId="32" fillId="0" borderId="0" xfId="0" applyNumberFormat="1" applyFont="1" applyFill="1" applyBorder="1" applyAlignment="1" applyProtection="1">
      <alignment horizontal="center" vertical="center" wrapText="1"/>
      <protection locked="0"/>
    </xf>
    <xf numFmtId="0" fontId="10" fillId="0" borderId="0" xfId="0" applyFont="1" applyFill="1" applyBorder="1"/>
    <xf numFmtId="0" fontId="32" fillId="15" borderId="0" xfId="0" applyFont="1" applyFill="1" applyBorder="1" applyAlignment="1" applyProtection="1">
      <alignment horizontal="center" vertical="center" wrapText="1"/>
      <protection locked="0"/>
    </xf>
    <xf numFmtId="0" fontId="32" fillId="0" borderId="20" xfId="0" applyFont="1" applyFill="1" applyBorder="1" applyAlignment="1" applyProtection="1">
      <alignment horizontal="center" vertical="center" wrapText="1"/>
      <protection locked="0"/>
    </xf>
    <xf numFmtId="0" fontId="32" fillId="0" borderId="20" xfId="0" applyFont="1" applyFill="1" applyBorder="1" applyAlignment="1">
      <alignment horizontal="left" vertical="center"/>
    </xf>
    <xf numFmtId="0" fontId="32" fillId="0" borderId="20" xfId="0" applyFont="1" applyFill="1" applyBorder="1" applyAlignment="1" applyProtection="1">
      <alignment horizontal="left" vertical="center"/>
      <protection locked="0"/>
    </xf>
    <xf numFmtId="0" fontId="32" fillId="0" borderId="20" xfId="0" applyFont="1" applyFill="1" applyBorder="1" applyAlignment="1" applyProtection="1">
      <alignment horizontal="left" vertical="center" wrapText="1"/>
      <protection locked="0"/>
    </xf>
    <xf numFmtId="0" fontId="33" fillId="0" borderId="0" xfId="0" applyFont="1" applyFill="1" applyBorder="1" applyAlignment="1">
      <alignment horizontal="center"/>
    </xf>
    <xf numFmtId="166" fontId="10" fillId="0" borderId="0" xfId="0" applyNumberFormat="1" applyFont="1" applyFill="1" applyBorder="1"/>
    <xf numFmtId="167" fontId="10" fillId="0" borderId="0" xfId="0" applyNumberFormat="1" applyFont="1" applyFill="1" applyBorder="1"/>
    <xf numFmtId="0" fontId="10" fillId="0" borderId="0" xfId="0" applyFont="1" applyFill="1" applyBorder="1" applyAlignment="1">
      <alignment horizontal="left"/>
    </xf>
    <xf numFmtId="0" fontId="37" fillId="0" borderId="0" xfId="0" applyFont="1"/>
    <xf numFmtId="0" fontId="38" fillId="0" borderId="0" xfId="0" applyFont="1" applyAlignment="1">
      <alignment vertical="center"/>
    </xf>
    <xf numFmtId="0" fontId="39" fillId="0" borderId="0" xfId="0" applyFont="1" applyAlignment="1">
      <alignment vertical="center"/>
    </xf>
    <xf numFmtId="0" fontId="32" fillId="0" borderId="21" xfId="0" applyFont="1" applyFill="1" applyBorder="1" applyAlignment="1" applyProtection="1">
      <alignment horizontal="center" vertical="center" wrapText="1"/>
      <protection locked="0"/>
    </xf>
    <xf numFmtId="0" fontId="32" fillId="0" borderId="21" xfId="0" applyFont="1" applyFill="1" applyBorder="1" applyAlignment="1" applyProtection="1">
      <alignment horizontal="left" vertical="center"/>
      <protection locked="0"/>
    </xf>
    <xf numFmtId="0" fontId="26" fillId="0" borderId="0" xfId="0" applyFont="1" applyFill="1" applyAlignment="1">
      <alignment vertical="center"/>
    </xf>
    <xf numFmtId="0" fontId="0" fillId="0" borderId="0" xfId="0" pivotButton="1"/>
    <xf numFmtId="0" fontId="0" fillId="0" borderId="0" xfId="0" applyNumberFormat="1"/>
    <xf numFmtId="0" fontId="0" fillId="2" borderId="0" xfId="0" applyFill="1" applyAlignment="1">
      <alignment horizontal="left" indent="1"/>
    </xf>
    <xf numFmtId="0" fontId="3" fillId="9" borderId="0" xfId="0" applyFont="1" applyFill="1" applyAlignment="1">
      <alignment horizontal="left" indent="1"/>
    </xf>
    <xf numFmtId="0" fontId="28" fillId="0" borderId="0" xfId="0" applyFont="1" applyFill="1" applyBorder="1" applyAlignment="1">
      <alignment horizontal="center" vertical="center" wrapText="1"/>
    </xf>
    <xf numFmtId="0" fontId="29" fillId="0" borderId="0"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0" fillId="0" borderId="8" xfId="0" applyFill="1" applyBorder="1" applyAlignment="1">
      <alignment horizontal="center" vertical="center" wrapText="1"/>
    </xf>
    <xf numFmtId="0" fontId="3" fillId="0" borderId="2" xfId="0" applyFont="1" applyFill="1" applyBorder="1" applyAlignment="1">
      <alignment horizontal="center" vertical="center" wrapText="1"/>
    </xf>
    <xf numFmtId="0" fontId="0" fillId="0" borderId="3" xfId="0"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0" fillId="0" borderId="7" xfId="0" applyFill="1" applyBorder="1" applyAlignment="1">
      <alignment horizontal="center" vertical="center" wrapText="1"/>
    </xf>
    <xf numFmtId="0" fontId="3" fillId="0" borderId="8" xfId="0" applyFont="1" applyFill="1" applyBorder="1" applyAlignment="1">
      <alignment horizontal="center" vertical="center" wrapText="1"/>
    </xf>
  </cellXfs>
  <cellStyles count="717">
    <cellStyle name="AFE" xfId="4"/>
    <cellStyle name="Currency 2" xfId="5"/>
    <cellStyle name="Currency 3" xfId="6"/>
    <cellStyle name="Currency 3 2" xfId="7"/>
    <cellStyle name="Excel Built-in Normal" xfId="1"/>
    <cellStyle name="Hiperlink" xfId="15" builtinId="8" hidden="1"/>
    <cellStyle name="Hiperlink" xfId="17" builtinId="8" hidden="1"/>
    <cellStyle name="Hiperlink" xfId="19" builtinId="8" hidden="1"/>
    <cellStyle name="Hiperlink" xfId="21" builtinId="8" hidden="1"/>
    <cellStyle name="Hiperlink" xfId="23" builtinId="8" hidden="1"/>
    <cellStyle name="Hiperlink" xfId="25" builtinId="8" hidden="1"/>
    <cellStyle name="Hiperlink" xfId="27" builtinId="8" hidden="1"/>
    <cellStyle name="Hiperlink" xfId="29" builtinId="8" hidden="1"/>
    <cellStyle name="Hiperlink" xfId="31" builtinId="8" hidden="1"/>
    <cellStyle name="Hiperlink" xfId="33" builtinId="8" hidden="1"/>
    <cellStyle name="Hiperlink" xfId="35" builtinId="8" hidden="1"/>
    <cellStyle name="Hiperlink" xfId="37" builtinId="8" hidden="1"/>
    <cellStyle name="Hiperlink" xfId="39" builtinId="8" hidden="1"/>
    <cellStyle name="Hiperlink" xfId="41" builtinId="8" hidden="1"/>
    <cellStyle name="Hiperlink" xfId="43" builtinId="8" hidden="1"/>
    <cellStyle name="Hiperlink" xfId="45" builtinId="8" hidden="1"/>
    <cellStyle name="Hiperlink" xfId="47" builtinId="8" hidden="1"/>
    <cellStyle name="Hiperlink" xfId="49" builtinId="8" hidden="1"/>
    <cellStyle name="Hiperlink" xfId="51" builtinId="8" hidden="1"/>
    <cellStyle name="Hiperlink" xfId="53" builtinId="8" hidden="1"/>
    <cellStyle name="Hiperlink" xfId="55" builtinId="8" hidden="1"/>
    <cellStyle name="Hiperlink" xfId="57" builtinId="8" hidden="1"/>
    <cellStyle name="Hiperlink" xfId="59" builtinId="8" hidden="1"/>
    <cellStyle name="Hiperlink" xfId="61" builtinId="8" hidden="1"/>
    <cellStyle name="Hiperlink" xfId="63" builtinId="8" hidden="1"/>
    <cellStyle name="Hiperlink" xfId="65" builtinId="8" hidden="1"/>
    <cellStyle name="Hiperlink" xfId="67" builtinId="8" hidden="1"/>
    <cellStyle name="Hiperlink" xfId="69" builtinId="8" hidden="1"/>
    <cellStyle name="Hiperlink" xfId="71" builtinId="8" hidden="1"/>
    <cellStyle name="Hiperlink" xfId="73" builtinId="8" hidden="1"/>
    <cellStyle name="Hiperlink" xfId="75" builtinId="8" hidden="1"/>
    <cellStyle name="Hiperlink" xfId="77" builtinId="8" hidden="1"/>
    <cellStyle name="Hiperlink" xfId="79" builtinId="8" hidden="1"/>
    <cellStyle name="Hiperlink" xfId="81" builtinId="8" hidden="1"/>
    <cellStyle name="Hiperlink" xfId="83" builtinId="8" hidden="1"/>
    <cellStyle name="Hiperlink" xfId="85" builtinId="8" hidden="1"/>
    <cellStyle name="Hiperlink" xfId="87" builtinId="8" hidden="1"/>
    <cellStyle name="Hiperlink" xfId="89" builtinId="8" hidden="1"/>
    <cellStyle name="Hiperlink" xfId="91" builtinId="8" hidden="1"/>
    <cellStyle name="Hiperlink" xfId="93" builtinId="8" hidden="1"/>
    <cellStyle name="Hiperlink" xfId="95" builtinId="8" hidden="1"/>
    <cellStyle name="Hiperlink" xfId="97" builtinId="8" hidden="1"/>
    <cellStyle name="Hiperlink" xfId="99" builtinId="8" hidden="1"/>
    <cellStyle name="Hiperlink" xfId="101" builtinId="8" hidden="1"/>
    <cellStyle name="Hiperlink" xfId="103" builtinId="8" hidden="1"/>
    <cellStyle name="Hiperlink" xfId="105" builtinId="8" hidden="1"/>
    <cellStyle name="Hiperlink" xfId="107" builtinId="8" hidden="1"/>
    <cellStyle name="Hiperlink" xfId="109" builtinId="8" hidden="1"/>
    <cellStyle name="Hiperlink" xfId="111" builtinId="8" hidden="1"/>
    <cellStyle name="Hiperlink" xfId="113" builtinId="8" hidden="1"/>
    <cellStyle name="Hiperlink" xfId="115" builtinId="8" hidden="1"/>
    <cellStyle name="Hiperlink" xfId="117" builtinId="8" hidden="1"/>
    <cellStyle name="Hiperlink" xfId="119" builtinId="8" hidden="1"/>
    <cellStyle name="Hiperlink" xfId="121" builtinId="8" hidden="1"/>
    <cellStyle name="Hiperlink" xfId="123" builtinId="8" hidden="1"/>
    <cellStyle name="Hiperlink" xfId="125" builtinId="8" hidden="1"/>
    <cellStyle name="Hiperlink" xfId="127" builtinId="8" hidden="1"/>
    <cellStyle name="Hiperlink" xfId="129" builtinId="8" hidden="1"/>
    <cellStyle name="Hiperlink" xfId="131" builtinId="8" hidden="1"/>
    <cellStyle name="Hiperlink" xfId="133" builtinId="8" hidden="1"/>
    <cellStyle name="Hiperlink" xfId="135" builtinId="8" hidden="1"/>
    <cellStyle name="Hiperlink" xfId="137" builtinId="8" hidden="1"/>
    <cellStyle name="Hiperlink" xfId="139" builtinId="8" hidden="1"/>
    <cellStyle name="Hiperlink" xfId="141" builtinId="8" hidden="1"/>
    <cellStyle name="Hiperlink" xfId="143" builtinId="8" hidden="1"/>
    <cellStyle name="Hiperlink" xfId="145" builtinId="8" hidden="1"/>
    <cellStyle name="Hiperlink" xfId="147" builtinId="8" hidden="1"/>
    <cellStyle name="Hiperlink" xfId="149" builtinId="8" hidden="1"/>
    <cellStyle name="Hiperlink" xfId="151" builtinId="8" hidden="1"/>
    <cellStyle name="Hiperlink" xfId="153" builtinId="8" hidden="1"/>
    <cellStyle name="Hiperlink" xfId="155" builtinId="8" hidden="1"/>
    <cellStyle name="Hiperlink" xfId="157" builtinId="8" hidden="1"/>
    <cellStyle name="Hiperlink" xfId="159" builtinId="8" hidden="1"/>
    <cellStyle name="Hiperlink" xfId="161" builtinId="8" hidden="1"/>
    <cellStyle name="Hiperlink" xfId="163" builtinId="8" hidden="1"/>
    <cellStyle name="Hiperlink" xfId="165" builtinId="8" hidden="1"/>
    <cellStyle name="Hiperlink" xfId="167" builtinId="8" hidden="1"/>
    <cellStyle name="Hiperlink" xfId="169" builtinId="8" hidden="1"/>
    <cellStyle name="Hiperlink" xfId="171" builtinId="8" hidden="1"/>
    <cellStyle name="Hiperlink" xfId="173" builtinId="8" hidden="1"/>
    <cellStyle name="Hiperlink" xfId="175" builtinId="8" hidden="1"/>
    <cellStyle name="Hiperlink" xfId="177" builtinId="8" hidden="1"/>
    <cellStyle name="Hiperlink" xfId="179" builtinId="8" hidden="1"/>
    <cellStyle name="Hiperlink" xfId="181" builtinId="8" hidden="1"/>
    <cellStyle name="Hiperlink" xfId="183" builtinId="8" hidden="1"/>
    <cellStyle name="Hiperlink" xfId="185" builtinId="8" hidden="1"/>
    <cellStyle name="Hiperlink" xfId="187" builtinId="8" hidden="1"/>
    <cellStyle name="Hiperlink" xfId="189" builtinId="8" hidden="1"/>
    <cellStyle name="Hiperlink" xfId="191" builtinId="8" hidden="1"/>
    <cellStyle name="Hiperlink" xfId="193" builtinId="8" hidden="1"/>
    <cellStyle name="Hiperlink" xfId="195" builtinId="8" hidden="1"/>
    <cellStyle name="Hiperlink" xfId="197" builtinId="8" hidden="1"/>
    <cellStyle name="Hiperlink" xfId="199" builtinId="8" hidden="1"/>
    <cellStyle name="Hiperlink" xfId="201" builtinId="8" hidden="1"/>
    <cellStyle name="Hiperlink" xfId="203" builtinId="8" hidden="1"/>
    <cellStyle name="Hiperlink" xfId="205" builtinId="8" hidden="1"/>
    <cellStyle name="Hiperlink" xfId="207" builtinId="8" hidden="1"/>
    <cellStyle name="Hiperlink" xfId="209" builtinId="8" hidden="1"/>
    <cellStyle name="Hiperlink" xfId="211" builtinId="8" hidden="1"/>
    <cellStyle name="Hiperlink" xfId="213" builtinId="8" hidden="1"/>
    <cellStyle name="Hiperlink" xfId="215" builtinId="8" hidden="1"/>
    <cellStyle name="Hiperlink" xfId="217" builtinId="8" hidden="1"/>
    <cellStyle name="Hiperlink" xfId="219" builtinId="8" hidden="1"/>
    <cellStyle name="Hiperlink" xfId="221" builtinId="8" hidden="1"/>
    <cellStyle name="Hiperlink" xfId="223" builtinId="8" hidden="1"/>
    <cellStyle name="Hiperlink" xfId="225" builtinId="8" hidden="1"/>
    <cellStyle name="Hiperlink" xfId="227" builtinId="8" hidden="1"/>
    <cellStyle name="Hiperlink" xfId="229" builtinId="8" hidden="1"/>
    <cellStyle name="Hiperlink" xfId="231" builtinId="8" hidden="1"/>
    <cellStyle name="Hiperlink" xfId="233" builtinId="8" hidden="1"/>
    <cellStyle name="Hiperlink" xfId="235" builtinId="8" hidden="1"/>
    <cellStyle name="Hiperlink" xfId="237" builtinId="8" hidden="1"/>
    <cellStyle name="Hiperlink" xfId="239" builtinId="8" hidden="1"/>
    <cellStyle name="Hiperlink" xfId="241" builtinId="8" hidden="1"/>
    <cellStyle name="Hiperlink" xfId="243" builtinId="8" hidden="1"/>
    <cellStyle name="Hiperlink" xfId="245" builtinId="8" hidden="1"/>
    <cellStyle name="Hiperlink" xfId="247" builtinId="8" hidden="1"/>
    <cellStyle name="Hiperlink" xfId="249" builtinId="8" hidden="1"/>
    <cellStyle name="Hiperlink" xfId="251" builtinId="8" hidden="1"/>
    <cellStyle name="Hiperlink" xfId="253" builtinId="8" hidden="1"/>
    <cellStyle name="Hiperlink" xfId="255" builtinId="8" hidden="1"/>
    <cellStyle name="Hiperlink" xfId="257" builtinId="8" hidden="1"/>
    <cellStyle name="Hiperlink" xfId="259" builtinId="8" hidden="1"/>
    <cellStyle name="Hiperlink" xfId="261" builtinId="8" hidden="1"/>
    <cellStyle name="Hiperlink" xfId="263" builtinId="8" hidden="1"/>
    <cellStyle name="Hiperlink" xfId="265" builtinId="8" hidden="1"/>
    <cellStyle name="Hiperlink" xfId="267" builtinId="8" hidden="1"/>
    <cellStyle name="Hiperlink" xfId="269" builtinId="8" hidden="1"/>
    <cellStyle name="Hiperlink" xfId="271" builtinId="8" hidden="1"/>
    <cellStyle name="Hiperlink" xfId="273" builtinId="8" hidden="1"/>
    <cellStyle name="Hiperlink" xfId="275" builtinId="8" hidden="1"/>
    <cellStyle name="Hiperlink" xfId="277" builtinId="8" hidden="1"/>
    <cellStyle name="Hiperlink" xfId="279" builtinId="8" hidden="1"/>
    <cellStyle name="Hiperlink" xfId="281" builtinId="8" hidden="1"/>
    <cellStyle name="Hiperlink" xfId="283" builtinId="8" hidden="1"/>
    <cellStyle name="Hiperlink" xfId="285" builtinId="8" hidden="1"/>
    <cellStyle name="Hiperlink" xfId="287" builtinId="8" hidden="1"/>
    <cellStyle name="Hiperlink" xfId="289" builtinId="8" hidden="1"/>
    <cellStyle name="Hiperlink" xfId="291" builtinId="8" hidden="1"/>
    <cellStyle name="Hiperlink" xfId="293" builtinId="8" hidden="1"/>
    <cellStyle name="Hiperlink" xfId="295" builtinId="8" hidden="1"/>
    <cellStyle name="Hiperlink" xfId="297" builtinId="8" hidden="1"/>
    <cellStyle name="Hiperlink" xfId="299" builtinId="8" hidden="1"/>
    <cellStyle name="Hiperlink" xfId="301" builtinId="8" hidden="1"/>
    <cellStyle name="Hiperlink" xfId="303" builtinId="8" hidden="1"/>
    <cellStyle name="Hiperlink" xfId="305" builtinId="8" hidden="1"/>
    <cellStyle name="Hiperlink" xfId="307" builtinId="8" hidden="1"/>
    <cellStyle name="Hiperlink" xfId="309" builtinId="8" hidden="1"/>
    <cellStyle name="Hiperlink" xfId="311" builtinId="8" hidden="1"/>
    <cellStyle name="Hiperlink" xfId="313" builtinId="8" hidden="1"/>
    <cellStyle name="Hiperlink" xfId="315" builtinId="8" hidden="1"/>
    <cellStyle name="Hiperlink" xfId="317" builtinId="8" hidden="1"/>
    <cellStyle name="Hiperlink" xfId="319" builtinId="8" hidden="1"/>
    <cellStyle name="Hiperlink" xfId="321" builtinId="8" hidden="1"/>
    <cellStyle name="Hiperlink" xfId="323" builtinId="8" hidden="1"/>
    <cellStyle name="Hiperlink" xfId="325" builtinId="8" hidden="1"/>
    <cellStyle name="Hiperlink" xfId="327" builtinId="8" hidden="1"/>
    <cellStyle name="Hiperlink" xfId="329" builtinId="8" hidden="1"/>
    <cellStyle name="Hiperlink" xfId="331" builtinId="8" hidden="1"/>
    <cellStyle name="Hiperlink" xfId="333" builtinId="8" hidden="1"/>
    <cellStyle name="Hiperlink" xfId="335" builtinId="8" hidden="1"/>
    <cellStyle name="Hiperlink" xfId="337" builtinId="8" hidden="1"/>
    <cellStyle name="Hiperlink" xfId="339" builtinId="8" hidden="1"/>
    <cellStyle name="Hiperlink" xfId="341" builtinId="8" hidden="1"/>
    <cellStyle name="Hiperlink" xfId="343" builtinId="8" hidden="1"/>
    <cellStyle name="Hiperlink" xfId="345" builtinId="8" hidden="1"/>
    <cellStyle name="Hiperlink" xfId="347" builtinId="8" hidden="1"/>
    <cellStyle name="Hiperlink" xfId="349" builtinId="8" hidden="1"/>
    <cellStyle name="Hiperlink" xfId="351" builtinId="8" hidden="1"/>
    <cellStyle name="Hiperlink" xfId="353" builtinId="8" hidden="1"/>
    <cellStyle name="Hiperlink" xfId="355" builtinId="8" hidden="1"/>
    <cellStyle name="Hiperlink" xfId="357" builtinId="8" hidden="1"/>
    <cellStyle name="Hiperlink" xfId="359" builtinId="8" hidden="1"/>
    <cellStyle name="Hiperlink" xfId="361" builtinId="8" hidden="1"/>
    <cellStyle name="Hiperlink" xfId="363" builtinId="8" hidden="1"/>
    <cellStyle name="Hiperlink" xfId="365" builtinId="8" hidden="1"/>
    <cellStyle name="Hiperlink" xfId="367" builtinId="8" hidden="1"/>
    <cellStyle name="Hiperlink" xfId="369" builtinId="8" hidden="1"/>
    <cellStyle name="Hiperlink" xfId="371" builtinId="8" hidden="1"/>
    <cellStyle name="Hiperlink" xfId="373" builtinId="8" hidden="1"/>
    <cellStyle name="Hiperlink" xfId="375" builtinId="8" hidden="1"/>
    <cellStyle name="Hiperlink" xfId="377" builtinId="8" hidden="1"/>
    <cellStyle name="Hiperlink" xfId="379" builtinId="8" hidden="1"/>
    <cellStyle name="Hiperlink" xfId="381" builtinId="8" hidden="1"/>
    <cellStyle name="Hiperlink" xfId="383" builtinId="8" hidden="1"/>
    <cellStyle name="Hiperlink" xfId="385" builtinId="8" hidden="1"/>
    <cellStyle name="Hiperlink" xfId="387" builtinId="8" hidden="1"/>
    <cellStyle name="Hiperlink" xfId="389" builtinId="8" hidden="1"/>
    <cellStyle name="Hiperlink" xfId="391" builtinId="8" hidden="1"/>
    <cellStyle name="Hiperlink" xfId="393" builtinId="8" hidden="1"/>
    <cellStyle name="Hiperlink" xfId="395" builtinId="8" hidden="1"/>
    <cellStyle name="Hiperlink" xfId="397" builtinId="8" hidden="1"/>
    <cellStyle name="Hiperlink" xfId="399" builtinId="8" hidden="1"/>
    <cellStyle name="Hiperlink" xfId="401" builtinId="8" hidden="1"/>
    <cellStyle name="Hiperlink" xfId="403" builtinId="8" hidden="1"/>
    <cellStyle name="Hiperlink" xfId="405" builtinId="8" hidden="1"/>
    <cellStyle name="Hiperlink" xfId="407" builtinId="8" hidden="1"/>
    <cellStyle name="Hiperlink" xfId="409" builtinId="8" hidden="1"/>
    <cellStyle name="Hiperlink" xfId="411" builtinId="8" hidden="1"/>
    <cellStyle name="Hiperlink" xfId="413" builtinId="8" hidden="1"/>
    <cellStyle name="Hiperlink" xfId="415" builtinId="8" hidden="1"/>
    <cellStyle name="Hiperlink" xfId="417" builtinId="8" hidden="1"/>
    <cellStyle name="Hiperlink" xfId="419" builtinId="8" hidden="1"/>
    <cellStyle name="Hiperlink" xfId="421" builtinId="8" hidden="1"/>
    <cellStyle name="Hiperlink" xfId="423" builtinId="8" hidden="1"/>
    <cellStyle name="Hiperlink" xfId="425" builtinId="8" hidden="1"/>
    <cellStyle name="Hiperlink" xfId="427" builtinId="8" hidden="1"/>
    <cellStyle name="Hiperlink" xfId="429" builtinId="8" hidden="1"/>
    <cellStyle name="Hiperlink" xfId="431" builtinId="8" hidden="1"/>
    <cellStyle name="Hiperlink" xfId="433" builtinId="8" hidden="1"/>
    <cellStyle name="Hiperlink" xfId="435" builtinId="8" hidden="1"/>
    <cellStyle name="Hiperlink" xfId="437" builtinId="8" hidden="1"/>
    <cellStyle name="Hiperlink" xfId="439" builtinId="8" hidden="1"/>
    <cellStyle name="Hiperlink" xfId="441" builtinId="8" hidden="1"/>
    <cellStyle name="Hiperlink" xfId="443" builtinId="8" hidden="1"/>
    <cellStyle name="Hiperlink" xfId="445" builtinId="8" hidden="1"/>
    <cellStyle name="Hiperlink" xfId="447" builtinId="8" hidden="1"/>
    <cellStyle name="Hiperlink" xfId="449" builtinId="8" hidden="1"/>
    <cellStyle name="Hiperlink" xfId="451" builtinId="8" hidden="1"/>
    <cellStyle name="Hiperlink" xfId="453" builtinId="8" hidden="1"/>
    <cellStyle name="Hiperlink" xfId="455" builtinId="8" hidden="1"/>
    <cellStyle name="Hiperlink" xfId="457" builtinId="8" hidden="1"/>
    <cellStyle name="Hiperlink" xfId="459" builtinId="8" hidden="1"/>
    <cellStyle name="Hiperlink" xfId="461" builtinId="8" hidden="1"/>
    <cellStyle name="Hiperlink" xfId="463" builtinId="8" hidden="1"/>
    <cellStyle name="Hiperlink" xfId="465" builtinId="8" hidden="1"/>
    <cellStyle name="Hiperlink" xfId="467" builtinId="8" hidden="1"/>
    <cellStyle name="Hiperlink" xfId="469" builtinId="8" hidden="1"/>
    <cellStyle name="Hiperlink" xfId="471" builtinId="8" hidden="1"/>
    <cellStyle name="Hiperlink" xfId="473" builtinId="8" hidden="1"/>
    <cellStyle name="Hiperlink" xfId="475" builtinId="8" hidden="1"/>
    <cellStyle name="Hiperlink" xfId="477" builtinId="8" hidden="1"/>
    <cellStyle name="Hiperlink" xfId="479" builtinId="8" hidden="1"/>
    <cellStyle name="Hiperlink" xfId="481" builtinId="8" hidden="1"/>
    <cellStyle name="Hiperlink" xfId="483" builtinId="8" hidden="1"/>
    <cellStyle name="Hiperlink" xfId="485" builtinId="8" hidden="1"/>
    <cellStyle name="Hiperlink" xfId="487" builtinId="8" hidden="1"/>
    <cellStyle name="Hiperlink" xfId="489" builtinId="8" hidden="1"/>
    <cellStyle name="Hiperlink" xfId="491" builtinId="8" hidden="1"/>
    <cellStyle name="Hiperlink" xfId="493" builtinId="8" hidden="1"/>
    <cellStyle name="Hiperlink" xfId="495" builtinId="8" hidden="1"/>
    <cellStyle name="Hiperlink" xfId="497" builtinId="8" hidden="1"/>
    <cellStyle name="Hiperlink" xfId="499" builtinId="8" hidden="1"/>
    <cellStyle name="Hiperlink" xfId="501" builtinId="8" hidden="1"/>
    <cellStyle name="Hiperlink" xfId="503" builtinId="8" hidden="1"/>
    <cellStyle name="Hiperlink" xfId="505" builtinId="8" hidden="1"/>
    <cellStyle name="Hiperlink" xfId="507" builtinId="8" hidden="1"/>
    <cellStyle name="Hiperlink" xfId="509" builtinId="8" hidden="1"/>
    <cellStyle name="Hiperlink" xfId="511" builtinId="8" hidden="1"/>
    <cellStyle name="Hiperlink" xfId="513" builtinId="8" hidden="1"/>
    <cellStyle name="Hiperlink" xfId="515" builtinId="8" hidden="1"/>
    <cellStyle name="Hiperlink" xfId="517" builtinId="8" hidden="1"/>
    <cellStyle name="Hiperlink" xfId="519" builtinId="8" hidden="1"/>
    <cellStyle name="Hiperlink" xfId="521" builtinId="8" hidden="1"/>
    <cellStyle name="Hiperlink" xfId="523" builtinId="8" hidden="1"/>
    <cellStyle name="Hiperlink" xfId="525" builtinId="8" hidden="1"/>
    <cellStyle name="Hiperlink" xfId="527" builtinId="8" hidden="1"/>
    <cellStyle name="Hiperlink" xfId="529" builtinId="8" hidden="1"/>
    <cellStyle name="Hiperlink" xfId="531" builtinId="8" hidden="1"/>
    <cellStyle name="Hiperlink" xfId="533" builtinId="8" hidden="1"/>
    <cellStyle name="Hiperlink" xfId="535" builtinId="8" hidden="1"/>
    <cellStyle name="Hiperlink" xfId="537" builtinId="8" hidden="1"/>
    <cellStyle name="Hiperlink" xfId="539" builtinId="8" hidden="1"/>
    <cellStyle name="Hiperlink" xfId="541" builtinId="8" hidden="1"/>
    <cellStyle name="Hiperlink" xfId="543" builtinId="8" hidden="1"/>
    <cellStyle name="Hiperlink" xfId="545" builtinId="8" hidden="1"/>
    <cellStyle name="Hiperlink" xfId="547" builtinId="8" hidden="1"/>
    <cellStyle name="Hiperlink" xfId="549" builtinId="8" hidden="1"/>
    <cellStyle name="Hiperlink" xfId="551" builtinId="8" hidden="1"/>
    <cellStyle name="Hiperlink" xfId="553" builtinId="8" hidden="1"/>
    <cellStyle name="Hiperlink" xfId="555" builtinId="8" hidden="1"/>
    <cellStyle name="Hiperlink" xfId="557" builtinId="8" hidden="1"/>
    <cellStyle name="Hiperlink" xfId="559" builtinId="8" hidden="1"/>
    <cellStyle name="Hiperlink" xfId="561" builtinId="8" hidden="1"/>
    <cellStyle name="Hiperlink" xfId="563" builtinId="8" hidden="1"/>
    <cellStyle name="Hiperlink" xfId="565" builtinId="8" hidden="1"/>
    <cellStyle name="Hiperlink" xfId="567" builtinId="8" hidden="1"/>
    <cellStyle name="Hiperlink" xfId="569" builtinId="8" hidden="1"/>
    <cellStyle name="Hiperlink" xfId="571" builtinId="8" hidden="1"/>
    <cellStyle name="Hiperlink" xfId="573" builtinId="8" hidden="1"/>
    <cellStyle name="Hiperlink" xfId="575" builtinId="8" hidden="1"/>
    <cellStyle name="Hiperlink" xfId="577" builtinId="8" hidden="1"/>
    <cellStyle name="Hiperlink" xfId="579" builtinId="8" hidden="1"/>
    <cellStyle name="Hiperlink" xfId="581" builtinId="8" hidden="1"/>
    <cellStyle name="Hiperlink" xfId="583" builtinId="8" hidden="1"/>
    <cellStyle name="Hiperlink" xfId="585" builtinId="8" hidden="1"/>
    <cellStyle name="Hiperlink" xfId="587" builtinId="8" hidden="1"/>
    <cellStyle name="Hiperlink" xfId="589" builtinId="8" hidden="1"/>
    <cellStyle name="Hiperlink" xfId="591" builtinId="8" hidden="1"/>
    <cellStyle name="Hiperlink" xfId="593" builtinId="8" hidden="1"/>
    <cellStyle name="Hiperlink" xfId="595" builtinId="8" hidden="1"/>
    <cellStyle name="Hiperlink" xfId="597" builtinId="8" hidden="1"/>
    <cellStyle name="Hiperlink" xfId="599" builtinId="8" hidden="1"/>
    <cellStyle name="Hiperlink" xfId="601" builtinId="8" hidden="1"/>
    <cellStyle name="Hiperlink" xfId="603" builtinId="8" hidden="1"/>
    <cellStyle name="Hiperlink" xfId="605" builtinId="8" hidden="1"/>
    <cellStyle name="Hiperlink" xfId="607" builtinId="8" hidden="1"/>
    <cellStyle name="Hiperlink" xfId="609" builtinId="8" hidden="1"/>
    <cellStyle name="Hiperlink" xfId="611" builtinId="8" hidden="1"/>
    <cellStyle name="Hiperlink" xfId="613" builtinId="8" hidden="1"/>
    <cellStyle name="Hiperlink" xfId="615" builtinId="8" hidden="1"/>
    <cellStyle name="Hiperlink" xfId="617" builtinId="8" hidden="1"/>
    <cellStyle name="Hiperlink" xfId="619" builtinId="8" hidden="1"/>
    <cellStyle name="Hiperlink" xfId="621" builtinId="8" hidden="1"/>
    <cellStyle name="Hiperlink" xfId="623" builtinId="8" hidden="1"/>
    <cellStyle name="Hiperlink" xfId="625" builtinId="8" hidden="1"/>
    <cellStyle name="Hiperlink" xfId="627" builtinId="8" hidden="1"/>
    <cellStyle name="Hiperlink" xfId="629" builtinId="8" hidden="1"/>
    <cellStyle name="Hiperlink" xfId="631" builtinId="8" hidden="1"/>
    <cellStyle name="Hiperlink" xfId="633" builtinId="8" hidden="1"/>
    <cellStyle name="Hiperlink" xfId="635" builtinId="8" hidden="1"/>
    <cellStyle name="Hiperlink" xfId="637" builtinId="8" hidden="1"/>
    <cellStyle name="Hiperlink" xfId="639" builtinId="8" hidden="1"/>
    <cellStyle name="Hiperlink" xfId="641" builtinId="8" hidden="1"/>
    <cellStyle name="Hiperlink" xfId="643" builtinId="8" hidden="1"/>
    <cellStyle name="Hiperlink" xfId="645" builtinId="8" hidden="1"/>
    <cellStyle name="Hiperlink" xfId="647" builtinId="8" hidden="1"/>
    <cellStyle name="Hiperlink" xfId="649" builtinId="8" hidden="1"/>
    <cellStyle name="Hiperlink" xfId="651" builtinId="8" hidden="1"/>
    <cellStyle name="Hiperlink" xfId="653" builtinId="8" hidden="1"/>
    <cellStyle name="Hiperlink" xfId="655" builtinId="8" hidden="1"/>
    <cellStyle name="Hiperlink" xfId="657" builtinId="8" hidden="1"/>
    <cellStyle name="Hiperlink" xfId="659" builtinId="8" hidden="1"/>
    <cellStyle name="Hiperlink" xfId="661" builtinId="8" hidden="1"/>
    <cellStyle name="Hiperlink" xfId="663" builtinId="8" hidden="1"/>
    <cellStyle name="Hiperlink" xfId="665" builtinId="8" hidden="1"/>
    <cellStyle name="Hiperlink" xfId="667" builtinId="8" hidden="1"/>
    <cellStyle name="Hiperlink" xfId="669" builtinId="8" hidden="1"/>
    <cellStyle name="Hiperlink" xfId="671" builtinId="8" hidden="1"/>
    <cellStyle name="Hiperlink" xfId="673" builtinId="8" hidden="1"/>
    <cellStyle name="Hiperlink" xfId="675" builtinId="8" hidden="1"/>
    <cellStyle name="Hiperlink" xfId="677" builtinId="8" hidden="1"/>
    <cellStyle name="Hiperlink" xfId="679" builtinId="8" hidden="1"/>
    <cellStyle name="Hiperlink" xfId="681" builtinId="8" hidden="1"/>
    <cellStyle name="Hiperlink" xfId="683" builtinId="8" hidden="1"/>
    <cellStyle name="Hiperlink" xfId="685" builtinId="8" hidden="1"/>
    <cellStyle name="Hiperlink" xfId="687" builtinId="8" hidden="1"/>
    <cellStyle name="Hiperlink" xfId="689" builtinId="8" hidden="1"/>
    <cellStyle name="Hiperlink" xfId="691" builtinId="8" hidden="1"/>
    <cellStyle name="Hiperlink" xfId="693" builtinId="8" hidden="1"/>
    <cellStyle name="Hiperlink" xfId="695" builtinId="8" hidden="1"/>
    <cellStyle name="Hiperlink" xfId="697" builtinId="8" hidden="1"/>
    <cellStyle name="Hiperlink" xfId="699" builtinId="8" hidden="1"/>
    <cellStyle name="Hiperlink" xfId="701" builtinId="8" hidden="1"/>
    <cellStyle name="Hiperlink" xfId="703" builtinId="8" hidden="1"/>
    <cellStyle name="Hiperlink" xfId="705" builtinId="8" hidden="1"/>
    <cellStyle name="Hiperlink" xfId="707" builtinId="8" hidden="1"/>
    <cellStyle name="Hiperlink" xfId="709" builtinId="8" hidden="1"/>
    <cellStyle name="Hiperlink" xfId="711" builtinId="8" hidden="1"/>
    <cellStyle name="Hiperlink" xfId="713" builtinId="8" hidden="1"/>
    <cellStyle name="Hiperlink" xfId="715" builtinId="8" hidden="1"/>
    <cellStyle name="Hiperlink 2" xfId="8"/>
    <cellStyle name="Hiperlink Visitado" xfId="13" builtinId="9" hidden="1"/>
    <cellStyle name="Hiperlink Visitado" xfId="14" builtinId="9" hidden="1"/>
    <cellStyle name="Hiperlink Visitado" xfId="16" builtinId="9" hidden="1"/>
    <cellStyle name="Hiperlink Visitado" xfId="18" builtinId="9" hidden="1"/>
    <cellStyle name="Hiperlink Visitado" xfId="20" builtinId="9" hidden="1"/>
    <cellStyle name="Hiperlink Visitado" xfId="22" builtinId="9" hidden="1"/>
    <cellStyle name="Hiperlink Visitado" xfId="24" builtinId="9" hidden="1"/>
    <cellStyle name="Hiperlink Visitado" xfId="26" builtinId="9" hidden="1"/>
    <cellStyle name="Hiperlink Visitado" xfId="28" builtinId="9" hidden="1"/>
    <cellStyle name="Hiperlink Visitado" xfId="30" builtinId="9" hidden="1"/>
    <cellStyle name="Hiperlink Visitado" xfId="32" builtinId="9" hidden="1"/>
    <cellStyle name="Hiperlink Visitado" xfId="34" builtinId="9" hidden="1"/>
    <cellStyle name="Hiperlink Visitado" xfId="36" builtinId="9" hidden="1"/>
    <cellStyle name="Hiperlink Visitado" xfId="38" builtinId="9" hidden="1"/>
    <cellStyle name="Hiperlink Visitado" xfId="40" builtinId="9" hidden="1"/>
    <cellStyle name="Hiperlink Visitado" xfId="42" builtinId="9" hidden="1"/>
    <cellStyle name="Hiperlink Visitado" xfId="44" builtinId="9" hidden="1"/>
    <cellStyle name="Hiperlink Visitado" xfId="46" builtinId="9" hidden="1"/>
    <cellStyle name="Hiperlink Visitado" xfId="48" builtinId="9" hidden="1"/>
    <cellStyle name="Hiperlink Visitado" xfId="50" builtinId="9" hidden="1"/>
    <cellStyle name="Hiperlink Visitado" xfId="52" builtinId="9" hidden="1"/>
    <cellStyle name="Hiperlink Visitado" xfId="54" builtinId="9" hidden="1"/>
    <cellStyle name="Hiperlink Visitado" xfId="56" builtinId="9" hidden="1"/>
    <cellStyle name="Hiperlink Visitado" xfId="58" builtinId="9" hidden="1"/>
    <cellStyle name="Hiperlink Visitado" xfId="60" builtinId="9" hidden="1"/>
    <cellStyle name="Hiperlink Visitado" xfId="62" builtinId="9" hidden="1"/>
    <cellStyle name="Hiperlink Visitado" xfId="64" builtinId="9" hidden="1"/>
    <cellStyle name="Hiperlink Visitado" xfId="66" builtinId="9" hidden="1"/>
    <cellStyle name="Hiperlink Visitado" xfId="68" builtinId="9" hidden="1"/>
    <cellStyle name="Hiperlink Visitado" xfId="70" builtinId="9" hidden="1"/>
    <cellStyle name="Hiperlink Visitado" xfId="72" builtinId="9" hidden="1"/>
    <cellStyle name="Hiperlink Visitado" xfId="74" builtinId="9" hidden="1"/>
    <cellStyle name="Hiperlink Visitado" xfId="76" builtinId="9" hidden="1"/>
    <cellStyle name="Hiperlink Visitado" xfId="78" builtinId="9" hidden="1"/>
    <cellStyle name="Hiperlink Visitado" xfId="80" builtinId="9" hidden="1"/>
    <cellStyle name="Hiperlink Visitado" xfId="82" builtinId="9" hidden="1"/>
    <cellStyle name="Hiperlink Visitado" xfId="84" builtinId="9" hidden="1"/>
    <cellStyle name="Hiperlink Visitado" xfId="86" builtinId="9" hidden="1"/>
    <cellStyle name="Hiperlink Visitado" xfId="88" builtinId="9" hidden="1"/>
    <cellStyle name="Hiperlink Visitado" xfId="90" builtinId="9" hidden="1"/>
    <cellStyle name="Hiperlink Visitado" xfId="92" builtinId="9" hidden="1"/>
    <cellStyle name="Hiperlink Visitado" xfId="94" builtinId="9" hidden="1"/>
    <cellStyle name="Hiperlink Visitado" xfId="96" builtinId="9" hidden="1"/>
    <cellStyle name="Hiperlink Visitado" xfId="98" builtinId="9" hidden="1"/>
    <cellStyle name="Hiperlink Visitado" xfId="100" builtinId="9" hidden="1"/>
    <cellStyle name="Hiperlink Visitado" xfId="102" builtinId="9" hidden="1"/>
    <cellStyle name="Hiperlink Visitado" xfId="104" builtinId="9" hidden="1"/>
    <cellStyle name="Hiperlink Visitado" xfId="106" builtinId="9" hidden="1"/>
    <cellStyle name="Hiperlink Visitado" xfId="108" builtinId="9" hidden="1"/>
    <cellStyle name="Hiperlink Visitado" xfId="110" builtinId="9" hidden="1"/>
    <cellStyle name="Hiperlink Visitado" xfId="112" builtinId="9" hidden="1"/>
    <cellStyle name="Hiperlink Visitado" xfId="114" builtinId="9" hidden="1"/>
    <cellStyle name="Hiperlink Visitado" xfId="116" builtinId="9" hidden="1"/>
    <cellStyle name="Hiperlink Visitado" xfId="118" builtinId="9" hidden="1"/>
    <cellStyle name="Hiperlink Visitado" xfId="120" builtinId="9" hidden="1"/>
    <cellStyle name="Hiperlink Visitado" xfId="122" builtinId="9" hidden="1"/>
    <cellStyle name="Hiperlink Visitado" xfId="124" builtinId="9" hidden="1"/>
    <cellStyle name="Hiperlink Visitado" xfId="126" builtinId="9" hidden="1"/>
    <cellStyle name="Hiperlink Visitado" xfId="128" builtinId="9" hidden="1"/>
    <cellStyle name="Hiperlink Visitado" xfId="130" builtinId="9" hidden="1"/>
    <cellStyle name="Hiperlink Visitado" xfId="132" builtinId="9" hidden="1"/>
    <cellStyle name="Hiperlink Visitado" xfId="134" builtinId="9" hidden="1"/>
    <cellStyle name="Hiperlink Visitado" xfId="136" builtinId="9" hidden="1"/>
    <cellStyle name="Hiperlink Visitado" xfId="138" builtinId="9" hidden="1"/>
    <cellStyle name="Hiperlink Visitado" xfId="140" builtinId="9" hidden="1"/>
    <cellStyle name="Hiperlink Visitado" xfId="142" builtinId="9" hidden="1"/>
    <cellStyle name="Hiperlink Visitado" xfId="144" builtinId="9" hidden="1"/>
    <cellStyle name="Hiperlink Visitado" xfId="146" builtinId="9" hidden="1"/>
    <cellStyle name="Hiperlink Visitado" xfId="148" builtinId="9" hidden="1"/>
    <cellStyle name="Hiperlink Visitado" xfId="150" builtinId="9" hidden="1"/>
    <cellStyle name="Hiperlink Visitado" xfId="152" builtinId="9" hidden="1"/>
    <cellStyle name="Hiperlink Visitado" xfId="154" builtinId="9" hidden="1"/>
    <cellStyle name="Hiperlink Visitado" xfId="156" builtinId="9" hidden="1"/>
    <cellStyle name="Hiperlink Visitado" xfId="158" builtinId="9" hidden="1"/>
    <cellStyle name="Hiperlink Visitado" xfId="160" builtinId="9" hidden="1"/>
    <cellStyle name="Hiperlink Visitado" xfId="162" builtinId="9" hidden="1"/>
    <cellStyle name="Hiperlink Visitado" xfId="164" builtinId="9" hidden="1"/>
    <cellStyle name="Hiperlink Visitado" xfId="166" builtinId="9" hidden="1"/>
    <cellStyle name="Hiperlink Visitado" xfId="168" builtinId="9" hidden="1"/>
    <cellStyle name="Hiperlink Visitado" xfId="170" builtinId="9" hidden="1"/>
    <cellStyle name="Hiperlink Visitado" xfId="172" builtinId="9" hidden="1"/>
    <cellStyle name="Hiperlink Visitado" xfId="174" builtinId="9" hidden="1"/>
    <cellStyle name="Hiperlink Visitado" xfId="176" builtinId="9" hidden="1"/>
    <cellStyle name="Hiperlink Visitado" xfId="178" builtinId="9" hidden="1"/>
    <cellStyle name="Hiperlink Visitado" xfId="180" builtinId="9" hidden="1"/>
    <cellStyle name="Hiperlink Visitado" xfId="182" builtinId="9" hidden="1"/>
    <cellStyle name="Hiperlink Visitado" xfId="184" builtinId="9" hidden="1"/>
    <cellStyle name="Hiperlink Visitado" xfId="186" builtinId="9" hidden="1"/>
    <cellStyle name="Hiperlink Visitado" xfId="188" builtinId="9" hidden="1"/>
    <cellStyle name="Hiperlink Visitado" xfId="190" builtinId="9" hidden="1"/>
    <cellStyle name="Hiperlink Visitado" xfId="192" builtinId="9" hidden="1"/>
    <cellStyle name="Hiperlink Visitado" xfId="194" builtinId="9" hidden="1"/>
    <cellStyle name="Hiperlink Visitado" xfId="196" builtinId="9" hidden="1"/>
    <cellStyle name="Hiperlink Visitado" xfId="198" builtinId="9" hidden="1"/>
    <cellStyle name="Hiperlink Visitado" xfId="200" builtinId="9" hidden="1"/>
    <cellStyle name="Hiperlink Visitado" xfId="202" builtinId="9" hidden="1"/>
    <cellStyle name="Hiperlink Visitado" xfId="204" builtinId="9" hidden="1"/>
    <cellStyle name="Hiperlink Visitado" xfId="206" builtinId="9" hidden="1"/>
    <cellStyle name="Hiperlink Visitado" xfId="208" builtinId="9" hidden="1"/>
    <cellStyle name="Hiperlink Visitado" xfId="210" builtinId="9" hidden="1"/>
    <cellStyle name="Hiperlink Visitado" xfId="212" builtinId="9" hidden="1"/>
    <cellStyle name="Hiperlink Visitado" xfId="214" builtinId="9" hidden="1"/>
    <cellStyle name="Hiperlink Visitado" xfId="216" builtinId="9" hidden="1"/>
    <cellStyle name="Hiperlink Visitado" xfId="218" builtinId="9" hidden="1"/>
    <cellStyle name="Hiperlink Visitado" xfId="220" builtinId="9" hidden="1"/>
    <cellStyle name="Hiperlink Visitado" xfId="222" builtinId="9" hidden="1"/>
    <cellStyle name="Hiperlink Visitado" xfId="224" builtinId="9" hidden="1"/>
    <cellStyle name="Hiperlink Visitado" xfId="226" builtinId="9" hidden="1"/>
    <cellStyle name="Hiperlink Visitado" xfId="228" builtinId="9" hidden="1"/>
    <cellStyle name="Hiperlink Visitado" xfId="230" builtinId="9" hidden="1"/>
    <cellStyle name="Hiperlink Visitado" xfId="232" builtinId="9" hidden="1"/>
    <cellStyle name="Hiperlink Visitado" xfId="234" builtinId="9" hidden="1"/>
    <cellStyle name="Hiperlink Visitado" xfId="236" builtinId="9" hidden="1"/>
    <cellStyle name="Hiperlink Visitado" xfId="238" builtinId="9" hidden="1"/>
    <cellStyle name="Hiperlink Visitado" xfId="240" builtinId="9" hidden="1"/>
    <cellStyle name="Hiperlink Visitado" xfId="242" builtinId="9" hidden="1"/>
    <cellStyle name="Hiperlink Visitado" xfId="244" builtinId="9" hidden="1"/>
    <cellStyle name="Hiperlink Visitado" xfId="246" builtinId="9" hidden="1"/>
    <cellStyle name="Hiperlink Visitado" xfId="248" builtinId="9" hidden="1"/>
    <cellStyle name="Hiperlink Visitado" xfId="250" builtinId="9" hidden="1"/>
    <cellStyle name="Hiperlink Visitado" xfId="252" builtinId="9" hidden="1"/>
    <cellStyle name="Hiperlink Visitado" xfId="254" builtinId="9" hidden="1"/>
    <cellStyle name="Hiperlink Visitado" xfId="256" builtinId="9" hidden="1"/>
    <cellStyle name="Hiperlink Visitado" xfId="258" builtinId="9" hidden="1"/>
    <cellStyle name="Hiperlink Visitado" xfId="260" builtinId="9" hidden="1"/>
    <cellStyle name="Hiperlink Visitado" xfId="262" builtinId="9" hidden="1"/>
    <cellStyle name="Hiperlink Visitado" xfId="264" builtinId="9" hidden="1"/>
    <cellStyle name="Hiperlink Visitado" xfId="266" builtinId="9" hidden="1"/>
    <cellStyle name="Hiperlink Visitado" xfId="268" builtinId="9" hidden="1"/>
    <cellStyle name="Hiperlink Visitado" xfId="270" builtinId="9" hidden="1"/>
    <cellStyle name="Hiperlink Visitado" xfId="272" builtinId="9" hidden="1"/>
    <cellStyle name="Hiperlink Visitado" xfId="274" builtinId="9" hidden="1"/>
    <cellStyle name="Hiperlink Visitado" xfId="276" builtinId="9" hidden="1"/>
    <cellStyle name="Hiperlink Visitado" xfId="278" builtinId="9" hidden="1"/>
    <cellStyle name="Hiperlink Visitado" xfId="280" builtinId="9" hidden="1"/>
    <cellStyle name="Hiperlink Visitado" xfId="282" builtinId="9" hidden="1"/>
    <cellStyle name="Hiperlink Visitado" xfId="284" builtinId="9" hidden="1"/>
    <cellStyle name="Hiperlink Visitado" xfId="286" builtinId="9" hidden="1"/>
    <cellStyle name="Hiperlink Visitado" xfId="288" builtinId="9" hidden="1"/>
    <cellStyle name="Hiperlink Visitado" xfId="290" builtinId="9" hidden="1"/>
    <cellStyle name="Hiperlink Visitado" xfId="292" builtinId="9" hidden="1"/>
    <cellStyle name="Hiperlink Visitado" xfId="294" builtinId="9" hidden="1"/>
    <cellStyle name="Hiperlink Visitado" xfId="296" builtinId="9" hidden="1"/>
    <cellStyle name="Hiperlink Visitado" xfId="298" builtinId="9" hidden="1"/>
    <cellStyle name="Hiperlink Visitado" xfId="300" builtinId="9" hidden="1"/>
    <cellStyle name="Hiperlink Visitado" xfId="302" builtinId="9" hidden="1"/>
    <cellStyle name="Hiperlink Visitado" xfId="304" builtinId="9" hidden="1"/>
    <cellStyle name="Hiperlink Visitado" xfId="306" builtinId="9" hidden="1"/>
    <cellStyle name="Hiperlink Visitado" xfId="308" builtinId="9" hidden="1"/>
    <cellStyle name="Hiperlink Visitado" xfId="310" builtinId="9" hidden="1"/>
    <cellStyle name="Hiperlink Visitado" xfId="312" builtinId="9" hidden="1"/>
    <cellStyle name="Hiperlink Visitado" xfId="314" builtinId="9" hidden="1"/>
    <cellStyle name="Hiperlink Visitado" xfId="316" builtinId="9" hidden="1"/>
    <cellStyle name="Hiperlink Visitado" xfId="318" builtinId="9" hidden="1"/>
    <cellStyle name="Hiperlink Visitado" xfId="320" builtinId="9" hidden="1"/>
    <cellStyle name="Hiperlink Visitado" xfId="322" builtinId="9" hidden="1"/>
    <cellStyle name="Hiperlink Visitado" xfId="324" builtinId="9" hidden="1"/>
    <cellStyle name="Hiperlink Visitado" xfId="326" builtinId="9" hidden="1"/>
    <cellStyle name="Hiperlink Visitado" xfId="328" builtinId="9" hidden="1"/>
    <cellStyle name="Hiperlink Visitado" xfId="330" builtinId="9" hidden="1"/>
    <cellStyle name="Hiperlink Visitado" xfId="332" builtinId="9" hidden="1"/>
    <cellStyle name="Hiperlink Visitado" xfId="334" builtinId="9" hidden="1"/>
    <cellStyle name="Hiperlink Visitado" xfId="336" builtinId="9" hidden="1"/>
    <cellStyle name="Hiperlink Visitado" xfId="338" builtinId="9" hidden="1"/>
    <cellStyle name="Hiperlink Visitado" xfId="340" builtinId="9" hidden="1"/>
    <cellStyle name="Hiperlink Visitado" xfId="342" builtinId="9" hidden="1"/>
    <cellStyle name="Hiperlink Visitado" xfId="344" builtinId="9" hidden="1"/>
    <cellStyle name="Hiperlink Visitado" xfId="346" builtinId="9" hidden="1"/>
    <cellStyle name="Hiperlink Visitado" xfId="348" builtinId="9" hidden="1"/>
    <cellStyle name="Hiperlink Visitado" xfId="350" builtinId="9" hidden="1"/>
    <cellStyle name="Hiperlink Visitado" xfId="352" builtinId="9" hidden="1"/>
    <cellStyle name="Hiperlink Visitado" xfId="354" builtinId="9" hidden="1"/>
    <cellStyle name="Hiperlink Visitado" xfId="356" builtinId="9" hidden="1"/>
    <cellStyle name="Hiperlink Visitado" xfId="358" builtinId="9" hidden="1"/>
    <cellStyle name="Hiperlink Visitado" xfId="360" builtinId="9" hidden="1"/>
    <cellStyle name="Hiperlink Visitado" xfId="362" builtinId="9" hidden="1"/>
    <cellStyle name="Hiperlink Visitado" xfId="364" builtinId="9" hidden="1"/>
    <cellStyle name="Hiperlink Visitado" xfId="366" builtinId="9" hidden="1"/>
    <cellStyle name="Hiperlink Visitado" xfId="368" builtinId="9" hidden="1"/>
    <cellStyle name="Hiperlink Visitado" xfId="370" builtinId="9" hidden="1"/>
    <cellStyle name="Hiperlink Visitado" xfId="372" builtinId="9" hidden="1"/>
    <cellStyle name="Hiperlink Visitado" xfId="374" builtinId="9" hidden="1"/>
    <cellStyle name="Hiperlink Visitado" xfId="376" builtinId="9" hidden="1"/>
    <cellStyle name="Hiperlink Visitado" xfId="378" builtinId="9" hidden="1"/>
    <cellStyle name="Hiperlink Visitado" xfId="380" builtinId="9" hidden="1"/>
    <cellStyle name="Hiperlink Visitado" xfId="382" builtinId="9" hidden="1"/>
    <cellStyle name="Hiperlink Visitado" xfId="384" builtinId="9" hidden="1"/>
    <cellStyle name="Hiperlink Visitado" xfId="386" builtinId="9" hidden="1"/>
    <cellStyle name="Hiperlink Visitado" xfId="388" builtinId="9" hidden="1"/>
    <cellStyle name="Hiperlink Visitado" xfId="390" builtinId="9" hidden="1"/>
    <cellStyle name="Hiperlink Visitado" xfId="392" builtinId="9" hidden="1"/>
    <cellStyle name="Hiperlink Visitado" xfId="394" builtinId="9" hidden="1"/>
    <cellStyle name="Hiperlink Visitado" xfId="396" builtinId="9" hidden="1"/>
    <cellStyle name="Hiperlink Visitado" xfId="398" builtinId="9" hidden="1"/>
    <cellStyle name="Hiperlink Visitado" xfId="400" builtinId="9" hidden="1"/>
    <cellStyle name="Hiperlink Visitado" xfId="402" builtinId="9" hidden="1"/>
    <cellStyle name="Hiperlink Visitado" xfId="404" builtinId="9" hidden="1"/>
    <cellStyle name="Hiperlink Visitado" xfId="406" builtinId="9" hidden="1"/>
    <cellStyle name="Hiperlink Visitado" xfId="408" builtinId="9" hidden="1"/>
    <cellStyle name="Hiperlink Visitado" xfId="410" builtinId="9" hidden="1"/>
    <cellStyle name="Hiperlink Visitado" xfId="412" builtinId="9" hidden="1"/>
    <cellStyle name="Hiperlink Visitado" xfId="414" builtinId="9" hidden="1"/>
    <cellStyle name="Hiperlink Visitado" xfId="416" builtinId="9" hidden="1"/>
    <cellStyle name="Hiperlink Visitado" xfId="418" builtinId="9" hidden="1"/>
    <cellStyle name="Hiperlink Visitado" xfId="420" builtinId="9" hidden="1"/>
    <cellStyle name="Hiperlink Visitado" xfId="422" builtinId="9" hidden="1"/>
    <cellStyle name="Hiperlink Visitado" xfId="424" builtinId="9" hidden="1"/>
    <cellStyle name="Hiperlink Visitado" xfId="426" builtinId="9" hidden="1"/>
    <cellStyle name="Hiperlink Visitado" xfId="428" builtinId="9" hidden="1"/>
    <cellStyle name="Hiperlink Visitado" xfId="430" builtinId="9" hidden="1"/>
    <cellStyle name="Hiperlink Visitado" xfId="432" builtinId="9" hidden="1"/>
    <cellStyle name="Hiperlink Visitado" xfId="434" builtinId="9" hidden="1"/>
    <cellStyle name="Hiperlink Visitado" xfId="436" builtinId="9" hidden="1"/>
    <cellStyle name="Hiperlink Visitado" xfId="438" builtinId="9" hidden="1"/>
    <cellStyle name="Hiperlink Visitado" xfId="440" builtinId="9" hidden="1"/>
    <cellStyle name="Hiperlink Visitado" xfId="442" builtinId="9" hidden="1"/>
    <cellStyle name="Hiperlink Visitado" xfId="444" builtinId="9" hidden="1"/>
    <cellStyle name="Hiperlink Visitado" xfId="446" builtinId="9" hidden="1"/>
    <cellStyle name="Hiperlink Visitado" xfId="448" builtinId="9" hidden="1"/>
    <cellStyle name="Hiperlink Visitado" xfId="450" builtinId="9" hidden="1"/>
    <cellStyle name="Hiperlink Visitado" xfId="452" builtinId="9" hidden="1"/>
    <cellStyle name="Hiperlink Visitado" xfId="454" builtinId="9" hidden="1"/>
    <cellStyle name="Hiperlink Visitado" xfId="456" builtinId="9" hidden="1"/>
    <cellStyle name="Hiperlink Visitado" xfId="458" builtinId="9" hidden="1"/>
    <cellStyle name="Hiperlink Visitado" xfId="460" builtinId="9" hidden="1"/>
    <cellStyle name="Hiperlink Visitado" xfId="462" builtinId="9" hidden="1"/>
    <cellStyle name="Hiperlink Visitado" xfId="464" builtinId="9" hidden="1"/>
    <cellStyle name="Hiperlink Visitado" xfId="466" builtinId="9" hidden="1"/>
    <cellStyle name="Hiperlink Visitado" xfId="468" builtinId="9" hidden="1"/>
    <cellStyle name="Hiperlink Visitado" xfId="470" builtinId="9" hidden="1"/>
    <cellStyle name="Hiperlink Visitado" xfId="472" builtinId="9" hidden="1"/>
    <cellStyle name="Hiperlink Visitado" xfId="474" builtinId="9" hidden="1"/>
    <cellStyle name="Hiperlink Visitado" xfId="476" builtinId="9" hidden="1"/>
    <cellStyle name="Hiperlink Visitado" xfId="478" builtinId="9" hidden="1"/>
    <cellStyle name="Hiperlink Visitado" xfId="480" builtinId="9" hidden="1"/>
    <cellStyle name="Hiperlink Visitado" xfId="482" builtinId="9" hidden="1"/>
    <cellStyle name="Hiperlink Visitado" xfId="484" builtinId="9" hidden="1"/>
    <cellStyle name="Hiperlink Visitado" xfId="486" builtinId="9" hidden="1"/>
    <cellStyle name="Hiperlink Visitado" xfId="488" builtinId="9" hidden="1"/>
    <cellStyle name="Hiperlink Visitado" xfId="490" builtinId="9" hidden="1"/>
    <cellStyle name="Hiperlink Visitado" xfId="492" builtinId="9" hidden="1"/>
    <cellStyle name="Hiperlink Visitado" xfId="494" builtinId="9" hidden="1"/>
    <cellStyle name="Hiperlink Visitado" xfId="496" builtinId="9" hidden="1"/>
    <cellStyle name="Hiperlink Visitado" xfId="498" builtinId="9" hidden="1"/>
    <cellStyle name="Hiperlink Visitado" xfId="500" builtinId="9" hidden="1"/>
    <cellStyle name="Hiperlink Visitado" xfId="502" builtinId="9" hidden="1"/>
    <cellStyle name="Hiperlink Visitado" xfId="504" builtinId="9" hidden="1"/>
    <cellStyle name="Hiperlink Visitado" xfId="506" builtinId="9" hidden="1"/>
    <cellStyle name="Hiperlink Visitado" xfId="508" builtinId="9" hidden="1"/>
    <cellStyle name="Hiperlink Visitado" xfId="510" builtinId="9" hidden="1"/>
    <cellStyle name="Hiperlink Visitado" xfId="512" builtinId="9" hidden="1"/>
    <cellStyle name="Hiperlink Visitado" xfId="514" builtinId="9" hidden="1"/>
    <cellStyle name="Hiperlink Visitado" xfId="516" builtinId="9" hidden="1"/>
    <cellStyle name="Hiperlink Visitado" xfId="518" builtinId="9" hidden="1"/>
    <cellStyle name="Hiperlink Visitado" xfId="520" builtinId="9" hidden="1"/>
    <cellStyle name="Hiperlink Visitado" xfId="522" builtinId="9" hidden="1"/>
    <cellStyle name="Hiperlink Visitado" xfId="524" builtinId="9" hidden="1"/>
    <cellStyle name="Hiperlink Visitado" xfId="526" builtinId="9" hidden="1"/>
    <cellStyle name="Hiperlink Visitado" xfId="528" builtinId="9" hidden="1"/>
    <cellStyle name="Hiperlink Visitado" xfId="530" builtinId="9" hidden="1"/>
    <cellStyle name="Hiperlink Visitado" xfId="532" builtinId="9" hidden="1"/>
    <cellStyle name="Hiperlink Visitado" xfId="534" builtinId="9" hidden="1"/>
    <cellStyle name="Hiperlink Visitado" xfId="536" builtinId="9" hidden="1"/>
    <cellStyle name="Hiperlink Visitado" xfId="538" builtinId="9" hidden="1"/>
    <cellStyle name="Hiperlink Visitado" xfId="540" builtinId="9" hidden="1"/>
    <cellStyle name="Hiperlink Visitado" xfId="542" builtinId="9" hidden="1"/>
    <cellStyle name="Hiperlink Visitado" xfId="544" builtinId="9" hidden="1"/>
    <cellStyle name="Hiperlink Visitado" xfId="546" builtinId="9" hidden="1"/>
    <cellStyle name="Hiperlink Visitado" xfId="548" builtinId="9" hidden="1"/>
    <cellStyle name="Hiperlink Visitado" xfId="550" builtinId="9" hidden="1"/>
    <cellStyle name="Hiperlink Visitado" xfId="552" builtinId="9" hidden="1"/>
    <cellStyle name="Hiperlink Visitado" xfId="554" builtinId="9" hidden="1"/>
    <cellStyle name="Hiperlink Visitado" xfId="556" builtinId="9" hidden="1"/>
    <cellStyle name="Hiperlink Visitado" xfId="558" builtinId="9" hidden="1"/>
    <cellStyle name="Hiperlink Visitado" xfId="560" builtinId="9" hidden="1"/>
    <cellStyle name="Hiperlink Visitado" xfId="562" builtinId="9" hidden="1"/>
    <cellStyle name="Hiperlink Visitado" xfId="564" builtinId="9" hidden="1"/>
    <cellStyle name="Hiperlink Visitado" xfId="566" builtinId="9" hidden="1"/>
    <cellStyle name="Hiperlink Visitado" xfId="568" builtinId="9" hidden="1"/>
    <cellStyle name="Hiperlink Visitado" xfId="570" builtinId="9" hidden="1"/>
    <cellStyle name="Hiperlink Visitado" xfId="572" builtinId="9" hidden="1"/>
    <cellStyle name="Hiperlink Visitado" xfId="574" builtinId="9" hidden="1"/>
    <cellStyle name="Hiperlink Visitado" xfId="576" builtinId="9" hidden="1"/>
    <cellStyle name="Hiperlink Visitado" xfId="578" builtinId="9" hidden="1"/>
    <cellStyle name="Hiperlink Visitado" xfId="580" builtinId="9" hidden="1"/>
    <cellStyle name="Hiperlink Visitado" xfId="582" builtinId="9" hidden="1"/>
    <cellStyle name="Hiperlink Visitado" xfId="584" builtinId="9" hidden="1"/>
    <cellStyle name="Hiperlink Visitado" xfId="586" builtinId="9" hidden="1"/>
    <cellStyle name="Hiperlink Visitado" xfId="588" builtinId="9" hidden="1"/>
    <cellStyle name="Hiperlink Visitado" xfId="590" builtinId="9" hidden="1"/>
    <cellStyle name="Hiperlink Visitado" xfId="592" builtinId="9" hidden="1"/>
    <cellStyle name="Hiperlink Visitado" xfId="594" builtinId="9" hidden="1"/>
    <cellStyle name="Hiperlink Visitado" xfId="596" builtinId="9" hidden="1"/>
    <cellStyle name="Hiperlink Visitado" xfId="598" builtinId="9" hidden="1"/>
    <cellStyle name="Hiperlink Visitado" xfId="600" builtinId="9" hidden="1"/>
    <cellStyle name="Hiperlink Visitado" xfId="602" builtinId="9" hidden="1"/>
    <cellStyle name="Hiperlink Visitado" xfId="604" builtinId="9" hidden="1"/>
    <cellStyle name="Hiperlink Visitado" xfId="606" builtinId="9" hidden="1"/>
    <cellStyle name="Hiperlink Visitado" xfId="608" builtinId="9" hidden="1"/>
    <cellStyle name="Hiperlink Visitado" xfId="610" builtinId="9" hidden="1"/>
    <cellStyle name="Hiperlink Visitado" xfId="612" builtinId="9" hidden="1"/>
    <cellStyle name="Hiperlink Visitado" xfId="614" builtinId="9" hidden="1"/>
    <cellStyle name="Hiperlink Visitado" xfId="616" builtinId="9" hidden="1"/>
    <cellStyle name="Hiperlink Visitado" xfId="618" builtinId="9" hidden="1"/>
    <cellStyle name="Hiperlink Visitado" xfId="620" builtinId="9" hidden="1"/>
    <cellStyle name="Hiperlink Visitado" xfId="622" builtinId="9" hidden="1"/>
    <cellStyle name="Hiperlink Visitado" xfId="624" builtinId="9" hidden="1"/>
    <cellStyle name="Hiperlink Visitado" xfId="626" builtinId="9" hidden="1"/>
    <cellStyle name="Hiperlink Visitado" xfId="628" builtinId="9" hidden="1"/>
    <cellStyle name="Hiperlink Visitado" xfId="630" builtinId="9" hidden="1"/>
    <cellStyle name="Hiperlink Visitado" xfId="632" builtinId="9" hidden="1"/>
    <cellStyle name="Hiperlink Visitado" xfId="634" builtinId="9" hidden="1"/>
    <cellStyle name="Hiperlink Visitado" xfId="636" builtinId="9" hidden="1"/>
    <cellStyle name="Hiperlink Visitado" xfId="638" builtinId="9" hidden="1"/>
    <cellStyle name="Hiperlink Visitado" xfId="640" builtinId="9" hidden="1"/>
    <cellStyle name="Hiperlink Visitado" xfId="642" builtinId="9" hidden="1"/>
    <cellStyle name="Hiperlink Visitado" xfId="644" builtinId="9" hidden="1"/>
    <cellStyle name="Hiperlink Visitado" xfId="646" builtinId="9" hidden="1"/>
    <cellStyle name="Hiperlink Visitado" xfId="648" builtinId="9" hidden="1"/>
    <cellStyle name="Hiperlink Visitado" xfId="650" builtinId="9" hidden="1"/>
    <cellStyle name="Hiperlink Visitado" xfId="652" builtinId="9" hidden="1"/>
    <cellStyle name="Hiperlink Visitado" xfId="654" builtinId="9" hidden="1"/>
    <cellStyle name="Hiperlink Visitado" xfId="656" builtinId="9" hidden="1"/>
    <cellStyle name="Hiperlink Visitado" xfId="658" builtinId="9" hidden="1"/>
    <cellStyle name="Hiperlink Visitado" xfId="660" builtinId="9" hidden="1"/>
    <cellStyle name="Hiperlink Visitado" xfId="662" builtinId="9" hidden="1"/>
    <cellStyle name="Hiperlink Visitado" xfId="664" builtinId="9" hidden="1"/>
    <cellStyle name="Hiperlink Visitado" xfId="666" builtinId="9" hidden="1"/>
    <cellStyle name="Hiperlink Visitado" xfId="668" builtinId="9" hidden="1"/>
    <cellStyle name="Hiperlink Visitado" xfId="670" builtinId="9" hidden="1"/>
    <cellStyle name="Hiperlink Visitado" xfId="672" builtinId="9" hidden="1"/>
    <cellStyle name="Hiperlink Visitado" xfId="674" builtinId="9" hidden="1"/>
    <cellStyle name="Hiperlink Visitado" xfId="676" builtinId="9" hidden="1"/>
    <cellStyle name="Hiperlink Visitado" xfId="678" builtinId="9" hidden="1"/>
    <cellStyle name="Hiperlink Visitado" xfId="680" builtinId="9" hidden="1"/>
    <cellStyle name="Hiperlink Visitado" xfId="682" builtinId="9" hidden="1"/>
    <cellStyle name="Hiperlink Visitado" xfId="684" builtinId="9" hidden="1"/>
    <cellStyle name="Hiperlink Visitado" xfId="686" builtinId="9" hidden="1"/>
    <cellStyle name="Hiperlink Visitado" xfId="688" builtinId="9" hidden="1"/>
    <cellStyle name="Hiperlink Visitado" xfId="690" builtinId="9" hidden="1"/>
    <cellStyle name="Hiperlink Visitado" xfId="692" builtinId="9" hidden="1"/>
    <cellStyle name="Hiperlink Visitado" xfId="694" builtinId="9" hidden="1"/>
    <cellStyle name="Hiperlink Visitado" xfId="696" builtinId="9" hidden="1"/>
    <cellStyle name="Hiperlink Visitado" xfId="698" builtinId="9" hidden="1"/>
    <cellStyle name="Hiperlink Visitado" xfId="700" builtinId="9" hidden="1"/>
    <cellStyle name="Hiperlink Visitado" xfId="702" builtinId="9" hidden="1"/>
    <cellStyle name="Hiperlink Visitado" xfId="704" builtinId="9" hidden="1"/>
    <cellStyle name="Hiperlink Visitado" xfId="706" builtinId="9" hidden="1"/>
    <cellStyle name="Hiperlink Visitado" xfId="708" builtinId="9" hidden="1"/>
    <cellStyle name="Hiperlink Visitado" xfId="710" builtinId="9" hidden="1"/>
    <cellStyle name="Hiperlink Visitado" xfId="712" builtinId="9" hidden="1"/>
    <cellStyle name="Hiperlink Visitado" xfId="714" builtinId="9" hidden="1"/>
    <cellStyle name="Hiperlink Visitado" xfId="716" builtinId="9" hidden="1"/>
    <cellStyle name="Hyperlink 2" xfId="3"/>
    <cellStyle name="Norm੎੎" xfId="11"/>
    <cellStyle name="Normal" xfId="0" builtinId="0"/>
    <cellStyle name="Normal 2" xfId="2"/>
    <cellStyle name="Normal 3" xfId="9"/>
    <cellStyle name="Normal 4" xfId="10"/>
    <cellStyle name="Porcentagem 2" xfId="12"/>
  </cellStyles>
  <dxfs count="110">
    <dxf>
      <font>
        <color theme="0"/>
      </font>
      <fill>
        <patternFill>
          <fgColor rgb="FFFF0000"/>
          <bgColor rgb="FFFF0000"/>
        </patternFill>
      </fill>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numFmt numFmtId="167" formatCode="[$-F400]h:mm"/>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numFmt numFmtId="168" formatCode="[h]:mm:ss;@"/>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numFmt numFmtId="166" formatCode="[h]:mm;@"/>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numFmt numFmtId="166" formatCode="[h]:mm;@"/>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center" vertical="center" textRotation="0" wrapText="1" indent="0" justifyLastLine="0" shrinkToFit="0" readingOrder="0"/>
      <protection locked="0" hidden="0"/>
    </dxf>
    <dxf>
      <border outline="0">
        <bottom style="medium">
          <color auto="1"/>
        </bottom>
      </border>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center" vertical="center" textRotation="0" wrapText="1" indent="0" justifyLastLine="0" shrinkToFit="0" readingOrder="0"/>
      <protection locked="0" hidden="0"/>
    </dxf>
    <dxf>
      <font>
        <b/>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dxf>
    <dxf>
      <font>
        <b val="0"/>
        <i val="0"/>
        <strike val="0"/>
        <condense val="0"/>
        <extend val="0"/>
        <outline val="0"/>
        <shadow val="0"/>
        <u val="none"/>
        <vertAlign val="baseline"/>
        <sz val="10"/>
        <color theme="1"/>
        <name val="Calibri"/>
        <scheme val="minor"/>
      </font>
      <fill>
        <patternFill patternType="none">
          <fgColor indexed="64"/>
          <bgColor indexed="65"/>
        </patternFill>
      </fill>
    </dxf>
    <dxf>
      <font>
        <sz val="10"/>
      </font>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0"/>
        <color theme="1"/>
        <name val="Calibri"/>
        <scheme val="minor"/>
      </font>
      <fill>
        <patternFill patternType="solid">
          <fgColor indexed="64"/>
          <bgColor theme="0"/>
        </patternFill>
      </fill>
    </dxf>
    <dxf>
      <font>
        <b val="0"/>
        <i val="0"/>
        <strike val="0"/>
        <condense val="0"/>
        <extend val="0"/>
        <outline val="0"/>
        <shadow val="0"/>
        <u val="none"/>
        <vertAlign val="baseline"/>
        <sz val="10"/>
        <color theme="1"/>
        <name val="Calibri"/>
        <scheme val="minor"/>
      </font>
      <fill>
        <patternFill patternType="solid">
          <fgColor indexed="64"/>
          <bgColor theme="0"/>
        </patternFill>
      </fill>
    </dxf>
    <dxf>
      <font>
        <b val="0"/>
        <i val="0"/>
        <strike val="0"/>
        <condense val="0"/>
        <extend val="0"/>
        <outline val="0"/>
        <shadow val="0"/>
        <u val="none"/>
        <vertAlign val="baseline"/>
        <sz val="10"/>
        <color theme="1"/>
        <name val="Calibri"/>
        <scheme val="minor"/>
      </font>
      <fill>
        <patternFill patternType="solid">
          <fgColor indexed="64"/>
          <bgColor theme="0"/>
        </patternFill>
      </fill>
    </dxf>
    <dxf>
      <font>
        <b val="0"/>
        <i val="0"/>
        <strike val="0"/>
        <condense val="0"/>
        <extend val="0"/>
        <outline val="0"/>
        <shadow val="0"/>
        <u val="none"/>
        <vertAlign val="baseline"/>
        <sz val="10"/>
        <color theme="1"/>
        <name val="Calibri"/>
        <scheme val="minor"/>
      </font>
      <fill>
        <patternFill patternType="solid">
          <fgColor indexed="64"/>
          <bgColor theme="0"/>
        </patternFill>
      </fill>
    </dxf>
    <dxf>
      <font>
        <b/>
        <i val="0"/>
        <strike val="0"/>
        <condense val="0"/>
        <extend val="0"/>
        <outline val="0"/>
        <shadow val="0"/>
        <u val="none"/>
        <vertAlign val="baseline"/>
        <sz val="10"/>
        <color theme="0"/>
        <name val="Calibri"/>
        <scheme val="minor"/>
      </font>
      <fill>
        <patternFill patternType="solid">
          <fgColor indexed="64"/>
          <bgColor rgb="FF00B0F0"/>
        </patternFill>
      </fill>
      <alignment horizontal="general" vertical="center" textRotation="0" wrapText="0" indent="0" justifyLastLine="0" shrinkToFit="0" readingOrder="0"/>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theme="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s>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389465</xdr:colOff>
      <xdr:row>2</xdr:row>
      <xdr:rowOff>16266</xdr:rowOff>
    </xdr:from>
    <xdr:to>
      <xdr:col>6</xdr:col>
      <xdr:colOff>7194</xdr:colOff>
      <xdr:row>2</xdr:row>
      <xdr:rowOff>722906</xdr:rowOff>
    </xdr:to>
    <xdr:pic>
      <xdr:nvPicPr>
        <xdr:cNvPr id="2" name="Picture 1" descr="padrao ILUMNA consulting.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45665" y="321066"/>
          <a:ext cx="1522729" cy="7066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at&#225;logo%20de%20Servi&#231;o%20-%20Mobilit_21082014%20Servicos%20v1.0.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Pearson001%20-%20Catalogo%20de%20Servicos%20-%20v1.1.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Anexo_I_RFP%20Telecom.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IASMEP-TF2-Cat&#225;logoServi&#231;os-Consolidado%20(V00).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MODIAL005%20-%20Levantamento%20Fulfillment%20v1-emAndament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udo"/>
      <sheetName val="Visão Geral"/>
      <sheetName val="Descricao dos Serviços"/>
      <sheetName val="Descricao dos Sub-serviços"/>
      <sheetName val="Descricao das Tecnologias"/>
      <sheetName val="Requisição de Serviços"/>
      <sheetName val="RDS"/>
      <sheetName val="RDS Programadas"/>
      <sheetName val="RDM"/>
      <sheetName val="Recuperacao de Incidentes"/>
      <sheetName val="Volumetria BaseLine"/>
      <sheetName val="CMDB BaseLine"/>
      <sheetName val="Fornecedores"/>
      <sheetName val="ETG-01-S"/>
      <sheetName val="ETG-02"/>
      <sheetName val="ETG-03"/>
      <sheetName val="ETG-04"/>
      <sheetName val="ETG-05"/>
      <sheetName val="ETG-08-S"/>
      <sheetName val="ETG-08-C"/>
      <sheetName val="ETG-15-C"/>
      <sheetName val="ETG-15-S"/>
      <sheetName val="ETG-16-C"/>
      <sheetName val="ETG-16-S"/>
      <sheetName val="ETG-17-S"/>
      <sheetName val="ETG-17-C"/>
      <sheetName val="ETG-21-S"/>
      <sheetName val="ETG-24-S"/>
      <sheetName val="ETG-24-C"/>
      <sheetName val="ETG-22"/>
      <sheetName val="ETG-2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udo"/>
      <sheetName val="Catálogo Geral"/>
      <sheetName val="Catálogo Sistemas"/>
      <sheetName val="Catálogo PMO"/>
      <sheetName val="Priorização Service Now"/>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BERTURA NACIONAL"/>
      <sheetName val="QUALIDADE DE SINAL"/>
      <sheetName val="PREÇOS_CENÁRIO_1"/>
      <sheetName val="PERFIL APARELHOS_CENÁRIO_1"/>
      <sheetName val="SLA"/>
      <sheetName val="REQUERIMENTOS"/>
      <sheetName val="REFERÊNCIAS"/>
      <sheetName val="EQUIPE_ATENDIMENTO"/>
      <sheetName val="SISTEMA_GESTÃO"/>
      <sheetName val="PLANO_PORTABILIDADE"/>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iz"/>
      <sheetName val="Torre1"/>
      <sheetName val="Torre2"/>
      <sheetName val="Torre3"/>
      <sheetName val="Torre4"/>
      <sheetName val="Torre5"/>
      <sheetName val="T1.1-SistCom"/>
      <sheetName val="T1.1.1-RolComum"/>
      <sheetName val="T1.1.1.1-Cobrança"/>
      <sheetName val="T1.1.1.2-Contas"/>
      <sheetName val="T1.1.2-RolEspecial"/>
      <sheetName val="T1.1.2.1-Cobrança"/>
      <sheetName val="T1.1.2.1-Contas"/>
      <sheetName val="T1.2-SistRel"/>
      <sheetName val="T1.2.1-Fornecedores"/>
      <sheetName val="T1.3-SistSO"/>
      <sheetName val="T1.3.1-SIGNOS"/>
      <sheetName val="T1.4-SistApDec"/>
      <sheetName val="T1.4.1-NívelII"/>
      <sheetName val="T1.4.2-NívelIII"/>
      <sheetName val="T1.5-SistGesEmp"/>
      <sheetName val="T1.5.1-EconFin"/>
      <sheetName val="T1.5.2-ContabFisc"/>
      <sheetName val="T1.5.3-ContrMatForn"/>
      <sheetName val="T1.5.4-EnergTel"/>
      <sheetName val="T1.5.5-Empr"/>
      <sheetName val="T1.5.6-PatrTransp"/>
      <sheetName val="T1.5.7-RH"/>
      <sheetName val="T1.5.8-Jur"/>
      <sheetName val="T1.5.9-Planej"/>
      <sheetName val="T1.6-SistApoio"/>
      <sheetName val="T1.7-SistTI"/>
      <sheetName val="T1.8-SistDep"/>
      <sheetName val="T2.1-Facilities"/>
      <sheetName val="T2.2-ServiçosSO"/>
      <sheetName val="T2.3-Comunicação"/>
      <sheetName val="T2.4-Impressão"/>
      <sheetName val="T2.5-Processamento"/>
      <sheetName val="T2.6-Conectividade"/>
      <sheetName val="T2.7-SegOperTI"/>
      <sheetName val="T2.8-Software"/>
      <sheetName val="T2.8.1-Middleware"/>
      <sheetName val="T3.1-Software"/>
      <sheetName val="T3.1.1-Aplicativos"/>
      <sheetName val="T3.2-Hardware"/>
      <sheetName val="T3.3-Comunicação"/>
      <sheetName val="T3.4-Rede"/>
      <sheetName val="T3.5-Segurança"/>
      <sheetName val="T4.1-PeD"/>
      <sheetName val="T4.2-AdmDados"/>
      <sheetName val="T5.1-RelacCI"/>
      <sheetName val="T5.2-GesAdm"/>
      <sheetName val="T5.3-ApAdm"/>
      <sheetName val="ContrVersões"/>
      <sheetName val="ManualCatálogo"/>
      <sheetName val="Processo de Gestão"/>
      <sheetName val="Serviços no Pipeline"/>
      <sheetName val="Serviços Desativados"/>
      <sheetName val="Tabelas"/>
      <sheetName val="IASMEP-TF2-CatálogoServiços-Con"/>
      <sheetName val="IASMEP-TF2-Cat%C3%A1logoServi%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udo"/>
      <sheetName val="Atividades por Grupo"/>
      <sheetName val="Levantamento Fulfillment Suport"/>
      <sheetName val="Equipes"/>
      <sheetName val="Prioridades"/>
      <sheetName val="PrioridadeServico"/>
      <sheetName val="MODIAL005 - Levantamento Fulfil"/>
      <sheetName val="MODIAL005%20-%20Levantamento%20"/>
    </sheetNames>
    <sheetDataSet>
      <sheetData sheetId="0" refreshError="1"/>
      <sheetData sheetId="1" refreshError="1"/>
      <sheetData sheetId="2"/>
      <sheetData sheetId="3" refreshError="1"/>
      <sheetData sheetId="4"/>
      <sheetData sheetId="5" refreshError="1"/>
      <sheetData sheetId="6" refreshError="1"/>
      <sheetData sheetId="7"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runo Aguirre" refreshedDate="42879.514266666665" createdVersion="4" refreshedVersion="4" minRefreshableVersion="3" recordCount="478">
  <cacheSource type="worksheet">
    <worksheetSource name="Tabela1"/>
  </cacheSource>
  <cacheFields count="11">
    <cacheField name="Tipo do chamado:" numFmtId="0">
      <sharedItems count="3">
        <s v="Incidente"/>
        <s v="Mudança"/>
        <s v="Req. Serviço"/>
      </sharedItems>
    </cacheField>
    <cacheField name="Serviço (issue)" numFmtId="0">
      <sharedItems count="28">
        <s v="Aplicação"/>
        <s v="Banco de Dados"/>
        <s v="DNS"/>
        <s v="E-mail"/>
        <s v="Segurança"/>
        <s v="Servidor WEB"/>
        <s v="Storage"/>
        <s v="Virtualizador"/>
        <s v="Backup"/>
        <s v="Catraca/Cancela/Porta/Controle de acesso"/>
        <s v="Computação Pessoal"/>
        <s v="Impressão"/>
        <s v="Internet"/>
        <s v="Intranet"/>
        <s v="Ponto Eletrônico"/>
        <s v="Rede"/>
        <s v="Segurança de Acesso"/>
        <s v="Servidor de Arquivos"/>
        <s v="Telefone VOIP"/>
        <s v="Telefonia Fixa"/>
        <s v="Telefonia Móvel"/>
        <s v="Software"/>
        <s v="Change Request"/>
        <s v="Change Request Emergencial"/>
        <s v="Criptografia"/>
        <s v="Salas de Reunião"/>
        <s v="Servidor de Impressão"/>
        <s v="Manutenção Predial"/>
      </sharedItems>
    </cacheField>
    <cacheField name="Sub-Serviço (Sub-issue)" numFmtId="0">
      <sharedItems count="408">
        <s v="Indisponibilidade Total"/>
        <s v="Oracle - Indisponibilidade Total"/>
        <s v="SQL Server - Indisponibilidade Total"/>
        <s v="Firewall - Expiração de Licença"/>
        <s v="Firewall - Indisponibilidade Total"/>
        <s v="Expiração de Certificado Digital"/>
        <s v="HyperV - Indisponibilidade Total"/>
        <s v="VMWare - Indisponibilidade Total"/>
        <s v="Erro"/>
        <s v="Indisponibilidade Parcial"/>
        <s v="HD Externo - Falta de capacidade"/>
        <s v="Tape Library - Erro"/>
        <s v="Tape Library - Indisponibilidade Total"/>
        <s v="Oracle - Erro"/>
        <s v="Oracle - Indisponibilidade Parcial"/>
        <s v="SQL Server - Erro"/>
        <s v="SQL Server - Indisponibilidade Parcial"/>
        <s v="Não Inicia"/>
        <s v="Reinicialização ininterrupta"/>
        <s v="Atolamento de Papel"/>
        <s v="Link - Indisponibilidade Total"/>
        <s v="Roteador - Indisponibilidade Total"/>
        <s v="Switch - Indisponibilidade Total"/>
        <s v="Wireless - Indisponibilidade Total"/>
        <s v="Anti-Vírus - Detecção de Vírus"/>
        <s v="Anti-Vírus - Erro de Licenciamento"/>
        <s v="Anti-Vírus - Indisponibilidade Total"/>
        <s v="Firewall - Bloqueio Indevido"/>
        <s v="Firewall - Indisponibilidade Parcial"/>
        <s v="Proxy - Indisponibilidade Total"/>
        <s v="Alteração de privilégios"/>
        <s v="Controle de acesso"/>
        <s v="Liberação de acesso"/>
        <s v="Erro de acesso a diretórios"/>
        <s v="Não recebe chamada"/>
        <s v="HyperV - Indisponibilidade Parcial"/>
        <s v="VMWare - Indisponibilidade Parcial"/>
        <s v="Tape Library - Performance"/>
        <s v="Performance"/>
        <s v="Tape Library - Indisponibilidade Parcial"/>
        <s v="Oracle - Performance"/>
        <s v="SQL Server - Performance"/>
        <s v="Performance degradada"/>
        <s v="Contato não aparece na lista de catalogo global"/>
        <s v="Não envia emails externos"/>
        <s v="Não envia emails internos"/>
        <s v="Não envia/recebe e-mails"/>
        <s v="Não recebe emails externos"/>
        <s v="Não recebe emails internos"/>
        <s v="Erros de Impressão"/>
        <s v="Impressão manchada"/>
        <s v="Lentidão"/>
        <s v="Link - Erro"/>
        <s v="Link - Indisponibilidade Parcial"/>
        <s v="Link - Lentidão"/>
        <s v="Roteador - Erro"/>
        <s v="Roteador - Indisponibilidade Parcial"/>
        <s v="Roteador - Lentidão"/>
        <s v="Switch - Erro"/>
        <s v="Switch - Indisponibilidade Parcial"/>
        <s v="Switch - Lentidão"/>
        <s v="Wireless - Erro"/>
        <s v="Wireless - Lentidão"/>
        <s v="Anti-Vírus - Erro de Atualização"/>
        <s v="Anti-Vírus - Erro de Verificação (Scan)"/>
        <s v="Firewall - Lentidão"/>
        <s v="Proxy - Indisponibilidade Parcial"/>
        <s v="Proxy - Lentidão"/>
        <s v="Erro de acesso a arquivos"/>
        <s v="Mapeamento de unidade"/>
        <s v="Display Apagado"/>
        <s v="Ligação com ruído"/>
        <s v="Ligação cortando"/>
        <s v="Mudo"/>
        <s v="Não completa chamada"/>
        <s v="HyperV - Erro"/>
        <s v="HyperV - Falta de recursos (disco, memória, etc)"/>
        <s v="HyperV - Performance"/>
        <s v="VMWare - Erro"/>
        <s v="VMWare - Falta de recursos (disco, memória, etc)"/>
        <s v="VMWare - Performance"/>
        <s v="Aplicações de Negócio - Melhoria"/>
        <s v="Aplicações de Negócio - Projeto"/>
        <s v="Infraestrutura - Melhoria"/>
        <s v="Infraestrutura - Projeto"/>
        <s v="Aplicações de Negócio - Correção"/>
        <s v="Infraestrutura - Correção"/>
        <s v="Alteração de Perfil"/>
        <s v="Atualização"/>
        <s v="Carga de Dados"/>
        <s v="Configurar Nfe"/>
        <s v="Importar Fornecedor"/>
        <s v="Instalação"/>
        <s v="Instalar Certificado Digital"/>
        <s v="Sanar Dúvida"/>
        <s v="Configuração de agente/cliente"/>
        <s v="Configuração de job"/>
        <s v="Desinstalação de agente/cliente"/>
        <s v="HD Externo - Troca de Disco"/>
        <s v="Oracle - Backup"/>
        <s v="Oracle - Importação / Exportação de dados"/>
        <s v="SQL Server - Backup"/>
        <s v="SQL Server - Importação / Exportação de dados"/>
        <s v="Substituição/Troca"/>
        <s v="Coletor - Configuração"/>
        <s v="Coletor - Instalação"/>
        <s v="Coletor - Movimentação"/>
        <s v="Coletor - Remoção"/>
        <s v="Desktop - Instalação"/>
        <s v="Desktop - Manutenção"/>
        <s v="Desktop - Movimentação"/>
        <s v="Desktop - Remoção"/>
        <s v="Desktop - Troca"/>
        <s v="Dockstation - Requisição"/>
        <s v="Dockstation - Troca"/>
        <s v="Formatação"/>
        <s v="Monitor - Instalação"/>
        <s v="Monitor - Manutenção"/>
        <s v="Mouse - Troca"/>
        <s v="Nobreaks e Estabilizadores - Instalação"/>
        <s v="Nobreaks e Estabilizadores - Manutenção"/>
        <s v="Notebook - Instalação"/>
        <s v="Notebook - Manutenção"/>
        <s v="Notebook - Perda de acessórios (carregador, cd, etc)"/>
        <s v="Notebook - Remoção"/>
        <s v="Notebook - Troca"/>
        <s v="Notebook - Troca de bateria"/>
        <s v="Teclado - Devolução"/>
        <s v="Teclado - Requisição"/>
        <s v="Teclado - Troca"/>
        <s v="Email - Dúvidas"/>
        <s v="Email - Instalação de certificado"/>
        <s v="Email - Solicitação/Renovação de certificado"/>
        <s v="Iphone - Instalação de certificado"/>
        <s v="Iphone - Solicitação/Renovação de certificado"/>
        <s v="Alteração de Registro"/>
        <s v="Alteração de Zona"/>
        <s v="Criação de Registro"/>
        <s v="Criação de Zona"/>
        <s v="Remoção de Registro"/>
        <s v="Remoção de Zona"/>
        <s v="Aumento de capacidade"/>
        <s v="Compartilhar Agenda"/>
        <s v="Compartilhar Contatos"/>
        <s v="Compartilhar E-mails"/>
        <s v="Compartilhar Tarefas"/>
        <s v="Configuração de Assinatura"/>
        <s v="Configuração de Conta"/>
        <s v="Configuração de regras ou alertas"/>
        <s v="Configuração de resposta automática"/>
        <s v="Configurar catálogo de endereços"/>
        <s v="Criação de conta"/>
        <s v="Limpar e organizar caixa postal"/>
        <s v="Lista de Distribuição - Criação de Lista"/>
        <s v="Lista de Distribuição - Exclusão  de usuário na Lista"/>
        <s v="Lista de Distribuição - Exclusão de Lista"/>
        <s v="Lista de Distribuição - Inclusão de usuário na Lista"/>
        <s v="Lista de Distribuição - Renomear Lista"/>
        <s v="Informação"/>
        <s v="Limpeza"/>
        <s v="Manutenção"/>
        <s v="Remoção"/>
        <s v="Troca de Insumos (papel, toner, etc)"/>
        <s v="Configuração"/>
        <s v="802.1x - Ativação de porta 802.1x"/>
        <s v="802.1x - Desabilitar porta 802.1x"/>
        <s v="DHCP - Alteração de Escopo"/>
        <s v="DHCP - Alteração de Filtros"/>
        <s v="DHCP - Alteração de Pools"/>
        <s v="DHCP - Criação de Escopo"/>
        <s v="DHCP - Criação de Filtros"/>
        <s v="DHCP - Criação de Pools"/>
        <s v="DHCP - Remoção de Escopo"/>
        <s v="DHCP - Remoção de Filtros"/>
        <s v="DHCP - Remoção de Pools"/>
        <s v="Instalar novo ponto de rede"/>
        <s v="Movimentar ponto de rede"/>
        <s v="Roteador - Ativação de Porta"/>
        <s v="Roteador - Configuração de Porta"/>
        <s v="Roteador - Criação de Rota"/>
        <s v="Roteador - Desativação de Porta"/>
        <s v="Roteador - Remoção de Rota"/>
        <s v="Switch - Ativação de Porta"/>
        <s v="Switch - Configuração de Porta"/>
        <s v="Switch - Desativação de Porta"/>
        <s v="Wireless - Configurar rede"/>
        <s v="Wireless - Requisição de Acesso"/>
        <s v="Audio - Configuração"/>
        <s v="Audio - Remoção"/>
        <s v="Audio - Reparo"/>
        <s v="Audio - Substituição/Troca"/>
        <s v="Cabeamento - Teste/Reparo"/>
        <s v="Projetor - Configuração"/>
        <s v="Projetor - Remoção"/>
        <s v="Projetor - Substituição/Troca"/>
        <s v="Teste dos recursos disponíveis na sala"/>
        <s v="TV - Informações"/>
        <s v="TV - Remoção"/>
        <s v="TV - Substituição/Troca"/>
        <s v="VideoConferência - Configuração"/>
        <s v="VideoConferência - Remoção"/>
        <s v="VideoConferência - Substituição/Troca"/>
        <s v="Anti-Vírus - Atualização"/>
        <s v="Anti-Vírus - Configuração"/>
        <s v="Anti-Vírus - Configurar Servidor"/>
        <s v="Anti-Vírus - Desinstalação"/>
        <s v="Anti-Vírus - Instalação"/>
        <s v="Anti-Vírus - Instalar Servidor"/>
        <s v="Anti-Vírus - Verificação de Vírus (Scan)"/>
        <s v="Firewall - Alteração de Política"/>
        <s v="Firewall - Alteração de rotas"/>
        <s v="Firewall - Ativação de VPN"/>
        <s v="Firewall - Configuração de VPN"/>
        <s v="Firewall - Criação de Política"/>
        <s v="Firewall - Criação de rotas"/>
        <s v="Firewall - Criação de VPN"/>
        <s v="Firewall - Solicitação de Acesso"/>
        <s v="Proxy - Liberação/Bloqueio de Sites"/>
        <s v="Active Directory - Alteração de GPO"/>
        <s v="Active Directory - Alteração de Grupos de Acesso"/>
        <s v="Active Directory - Alteração de Usuário"/>
        <s v="Active Directory - Criação de Grupos de Acesso"/>
        <s v="Active Directory - Remoção de Grupos de Acesso"/>
        <s v="Criação de Novo Diretório"/>
        <s v="Exclusão de Diretório"/>
        <s v="Inclusão de Proprietário"/>
        <s v="Redimensionar Diretório"/>
        <s v="Remoção de acesso"/>
        <s v="Renomeação de Diretório"/>
        <s v="Alterar Configuração"/>
        <s v="Alterar Driver"/>
        <s v="Alterar Endereço IP"/>
        <s v="Alterar Nome da Fila"/>
        <s v="Apagar Fila de Impressão"/>
        <s v="Remover Acesso Fila de Impressão"/>
        <s v="Alteração de Diretórios Virtuais"/>
        <s v="Alteração de Pools"/>
        <s v="Alteração de Site"/>
        <s v="Criação de Diretórios Virtuais"/>
        <s v="Criação de Pools"/>
        <s v="Criação de Site"/>
        <s v="Remoção de Diretórios Virtuais"/>
        <s v="Remoção de Pools"/>
        <s v="Remoção de Site"/>
        <s v="Desinstalação"/>
        <s v="Alteração de Ramal"/>
        <s v="Inclusão de Programação"/>
        <s v="Inclusão de Ramal"/>
        <s v="Aparelho Telefônico - Instalação"/>
        <s v="Caixa Postal - Alteração"/>
        <s v="Caixa Postal - Exclusão"/>
        <s v="Caixa Postal - Inclusão"/>
        <s v="Central Asterisk - Configurar"/>
        <s v="Central Asterisk - Instalar"/>
        <s v="EBS Khomp - Configurar"/>
        <s v="Link de Voz - Remover/desativar"/>
        <s v="Operadora de Telefonia - Contratar"/>
        <s v="Ramal - Alteração"/>
        <s v="Ramal - Inclusão"/>
        <s v="Ramal - Programação"/>
        <s v="Tarifador - Alteração de Cadastro"/>
        <s v="Tarifador - Exclusão"/>
        <s v="URA - Configurar"/>
        <s v="URA - Criar"/>
        <s v="URA - Modificar"/>
        <s v="Devolução de Aparelho/Linha"/>
        <s v="Manutenção de celular"/>
        <s v="Outras Solicitações"/>
        <s v="Plano de Dados - Ampliação"/>
        <s v="Requisição de Aparelho/Linha"/>
        <s v="Roaming Internacional"/>
        <s v="Roaming Nacional"/>
        <s v="HyperV - Alocação de espaço em disco"/>
        <s v="HyperV - Análise de Performance"/>
        <s v="HyperV - Aplicação de Patch"/>
        <s v="HyperV - Atualização de versão "/>
        <s v="HyperV - Aumento de capacidade"/>
        <s v="HyperV - Configuração de Máquina Virtual"/>
        <s v="HyperV - Configuração de novos recursos físicos"/>
        <s v="HyperV - Gerar Snapshot de Máquina Virtual"/>
        <s v="HyperV - Instalação de Máquina Virtual"/>
        <s v="HyperV - Levantamento de aplicação de pacthes necessários"/>
        <s v="HyperV - Monitoração"/>
        <s v="HyperV - Remoção de Máquina Virtual"/>
        <s v="VMWare - Alocação de espaço em disco"/>
        <s v="VMWare - Análise de Performance"/>
        <s v="VMWare - Aplicação de Patch"/>
        <s v="VMWare - Atualização de versão "/>
        <s v="VMWare - Aumento de capacidade"/>
        <s v="VMWare - Configuração de Máquina Virtual"/>
        <s v="VMWare - Configuração de novos recursos físicos"/>
        <s v="VMWare - Gerar Snapshot de Máquina Virtual"/>
        <s v="VMWare - Instalação de Máquina Virtual"/>
        <s v="VMWare - Monitoração"/>
        <s v="VMWare - Remoção de Máquina Virtual"/>
        <s v="Configurar relatórios"/>
        <s v="Envio de Backup para Externo"/>
        <s v="Atualização do Servidor de Backup"/>
        <s v="Instalação de agente/cliente"/>
        <s v="Realizar backup de arquivos ou pastas"/>
        <s v="Realizar Limpeza de Drive"/>
        <s v="Recuperação de e-mail OST"/>
        <s v="Recuperação de e-mail PST"/>
        <s v="Solicitação de Backup"/>
        <s v="Tape Library - Atualização de firmware"/>
        <s v="Oracle - Análise de ambiente"/>
        <s v="Oracle - Atualização de Patches"/>
        <s v="Oracle - Cópia de Dados"/>
        <s v="Oracle - Criação de Index e Estatísticas"/>
        <s v="Oracle - Execução de Script"/>
        <s v="Oracle - Instalação / Desinstalação"/>
        <s v="Oracle - Reorganização"/>
        <s v="SQL Server - Análise de ambiente"/>
        <s v="SQL Server - Atualização de Patches"/>
        <s v="SQL Server - Cópia de Dados"/>
        <s v="SQL Server - Criação de Index e Estatísticas"/>
        <s v="SQL Server - Execução de Script"/>
        <s v="SQL Server - Instalação / Desinstalação"/>
        <s v="SQL Server - Reorganização"/>
        <s v="CD - Gravação"/>
        <s v="Coletor - Aquisição"/>
        <s v="Desktop - Adição de Componentes"/>
        <s v="Desktop - Aquisição"/>
        <s v="Dockstation - Devolução"/>
        <s v="HeadSet - Devolução"/>
        <s v="HeadSet - Requisição"/>
        <s v="HeadSet - Troca"/>
        <s v="Mouse - Devolução"/>
        <s v="Mouse - Requisição"/>
        <s v="Nobreaks e Estabilizadores - Aquisição"/>
        <s v="Notebook - Adição de Componentes"/>
        <s v="Notebook - Aquisição"/>
        <s v="Notebook - Devolução"/>
        <s v="Periféricos - Aquisição"/>
        <s v="Scanner - Aquisição"/>
        <s v="Scanner - Configuração"/>
        <s v="Scanner - Instalação"/>
        <s v="Scanner - Movimentação"/>
        <s v="Scanner - Remoção"/>
        <s v="Thin Client - Configuração de Máquina Virtual"/>
        <s v="Thin Client - Instalação de Máquina Virtual"/>
        <s v="Thin Client - Remoção de Máquina Virtual"/>
        <s v="Iphone - Dúvidas"/>
        <s v="Atualizar versão do servidor"/>
        <s v="Aquisição"/>
        <s v="Iluminação/Lâmpadas"/>
        <s v="Interruptor de Energia"/>
        <s v="Quadro Elétrico"/>
        <s v="Sensores"/>
        <s v="Tomadas"/>
        <s v="Roteador - Aquisição"/>
        <s v="Switch - Aquisição"/>
        <s v="Audio - Aquisição"/>
        <s v="Projetor - Aquisição"/>
        <s v="TV - Aquisição"/>
        <s v="VideoConferência - Aquisição"/>
        <s v="Firewall - Desativação de Link"/>
        <s v="Firewall - Instalação de novo link"/>
        <s v="Firewall - Remoção de Política"/>
        <s v="Firewall - Remoção de VPN"/>
        <s v="Firewall - Removação de rotas"/>
        <s v="Proxy - Geração de Relatórios"/>
        <s v="Active Directory - Alteração de OU"/>
        <s v="Active Directory - Criação de GPO"/>
        <s v="Active Directory - Criação de OU"/>
        <s v="Active Directory - Remoção de GPO"/>
        <s v="Active Directory - Remoção de OU"/>
        <s v="Limpar e Organizar Diretório"/>
        <s v="Aquisição de Licença"/>
        <s v="Desativação de Ramal"/>
        <s v="Aparelho Telefônico - Manutenção"/>
        <s v="Ramal - Desativação"/>
        <s v="Tarifador - Inclusão"/>
        <s v="HyperV - Instalação de novo equipamento"/>
        <s v="HyperV - Relatório de Capacity Plan"/>
        <s v="VMWare - Instalação de novo equipamento"/>
        <s v="VMWare - Levantamento de aplicação de pacthes necessários"/>
        <s v="VMWare - Relatório de Capacity Plan"/>
        <s v="Configurar licenciamento"/>
        <s v="Renovar Licença de Uso"/>
        <s v="Reset de Senha"/>
        <s v="Solicitação de Restore"/>
        <s v="Tape Library - Inventário"/>
        <s v="Tape Library - Restore "/>
        <s v="Troca de Fita"/>
        <s v="Oracle - Exclusão de acesso"/>
        <s v="Oracle - Inclusão de acesso"/>
        <s v="SQL Server - Exclusão de acesso"/>
        <s v="SQL Server - Inclusão de acesso"/>
        <s v="Bloqueio de conta"/>
        <s v="Exclusão de conta"/>
        <s v="DHCP - Alteração de Reservas"/>
        <s v="DHCP - Criação de Reservas"/>
        <s v="DHCP - Remoção de Reservas"/>
        <s v="Wireless - Bloqueio de Acesso"/>
        <s v="Wireless - Remoção de Acesso"/>
        <s v="Projetor - Reparo"/>
        <s v="TV - Reparo"/>
        <s v="VideoConferência - Reparo"/>
        <s v="Anti-Vírus - Remoção de Vírus"/>
        <s v="Firewall - Alteração de prioridades dos links"/>
        <s v="Firewall - Ativação de Licença"/>
        <s v="Active Directory - Criação de Usuário"/>
        <s v="Active Directory - Remoção de Usuário"/>
        <s v="Exclusão de acesso"/>
        <s v="Renovação de Certificado Digital"/>
        <s v="Sala de Reunão/Conferência - Criar"/>
        <s v="Perda/Furto/Roubo"/>
      </sharedItems>
    </cacheField>
    <cacheField name="Área de Atuação" numFmtId="0">
      <sharedItems count="7">
        <s v="Application Services"/>
        <s v="Database Services"/>
        <s v="Infraestrutura"/>
        <s v="Security Services"/>
        <s v="Facilities Services"/>
        <s v="Desktop Services"/>
        <s v="Telecom Services"/>
      </sharedItems>
    </cacheField>
    <cacheField name="SLA 1o Atendimento" numFmtId="0">
      <sharedItems containsNonDate="0" containsString="0" containsBlank="1"/>
    </cacheField>
    <cacheField name="SLA Resolução" numFmtId="0">
      <sharedItems containsBlank="1"/>
    </cacheField>
    <cacheField name="Nível" numFmtId="0">
      <sharedItems/>
    </cacheField>
    <cacheField name="Grupo - Fila" numFmtId="0">
      <sharedItems count="5">
        <s v="Mondial_Sistemas"/>
        <s v="Infraestrutura"/>
        <s v="Mondial_Sistemas "/>
        <s v="Mondial_Atendimento_SP"/>
        <s v="SDM"/>
      </sharedItems>
    </cacheField>
    <cacheField name="Grupo - Fila2" numFmtId="0">
      <sharedItems containsBlank="1" count="2">
        <m/>
        <s v="Mondial_Atendimento_BA "/>
      </sharedItems>
    </cacheField>
    <cacheField name="UDF" numFmtId="0">
      <sharedItems containsNonDate="0" containsString="0" containsBlank="1"/>
    </cacheField>
    <cacheField name="Prioridade" numFmtId="0">
      <sharedItems count="4">
        <s v="Critical"/>
        <s v="High"/>
        <s v="Low"/>
        <s v="Mediu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78">
  <r>
    <x v="0"/>
    <x v="0"/>
    <x v="0"/>
    <x v="0"/>
    <m/>
    <s v="4 horas"/>
    <s v="N2"/>
    <x v="0"/>
    <x v="0"/>
    <m/>
    <x v="0"/>
  </r>
  <r>
    <x v="0"/>
    <x v="1"/>
    <x v="1"/>
    <x v="1"/>
    <m/>
    <s v="4 horas"/>
    <s v="N2"/>
    <x v="1"/>
    <x v="0"/>
    <m/>
    <x v="0"/>
  </r>
  <r>
    <x v="0"/>
    <x v="1"/>
    <x v="2"/>
    <x v="1"/>
    <m/>
    <s v="4 horas"/>
    <s v="N2"/>
    <x v="1"/>
    <x v="0"/>
    <m/>
    <x v="0"/>
  </r>
  <r>
    <x v="0"/>
    <x v="2"/>
    <x v="0"/>
    <x v="2"/>
    <m/>
    <s v="4 horas"/>
    <s v="N2"/>
    <x v="1"/>
    <x v="0"/>
    <m/>
    <x v="0"/>
  </r>
  <r>
    <x v="0"/>
    <x v="3"/>
    <x v="0"/>
    <x v="2"/>
    <m/>
    <s v="4 horas"/>
    <s v="N2"/>
    <x v="1"/>
    <x v="0"/>
    <m/>
    <x v="0"/>
  </r>
  <r>
    <x v="0"/>
    <x v="4"/>
    <x v="3"/>
    <x v="3"/>
    <m/>
    <s v="4 horas"/>
    <s v="SDM"/>
    <x v="1"/>
    <x v="0"/>
    <m/>
    <x v="0"/>
  </r>
  <r>
    <x v="0"/>
    <x v="4"/>
    <x v="4"/>
    <x v="3"/>
    <m/>
    <s v="4 horas"/>
    <s v="N2"/>
    <x v="1"/>
    <x v="0"/>
    <m/>
    <x v="0"/>
  </r>
  <r>
    <x v="0"/>
    <x v="5"/>
    <x v="5"/>
    <x v="2"/>
    <m/>
    <s v="4 horas"/>
    <s v="N2"/>
    <x v="1"/>
    <x v="0"/>
    <m/>
    <x v="0"/>
  </r>
  <r>
    <x v="0"/>
    <x v="6"/>
    <x v="0"/>
    <x v="2"/>
    <m/>
    <s v="4 horas"/>
    <s v="N2"/>
    <x v="1"/>
    <x v="0"/>
    <m/>
    <x v="0"/>
  </r>
  <r>
    <x v="0"/>
    <x v="7"/>
    <x v="6"/>
    <x v="2"/>
    <m/>
    <s v="4 horas"/>
    <s v="N2"/>
    <x v="1"/>
    <x v="0"/>
    <m/>
    <x v="0"/>
  </r>
  <r>
    <x v="0"/>
    <x v="7"/>
    <x v="7"/>
    <x v="2"/>
    <m/>
    <s v="4 horas"/>
    <s v="N2"/>
    <x v="1"/>
    <x v="0"/>
    <m/>
    <x v="0"/>
  </r>
  <r>
    <x v="0"/>
    <x v="0"/>
    <x v="8"/>
    <x v="0"/>
    <m/>
    <s v="8 horas"/>
    <s v="N2"/>
    <x v="0"/>
    <x v="0"/>
    <m/>
    <x v="1"/>
  </r>
  <r>
    <x v="0"/>
    <x v="0"/>
    <x v="9"/>
    <x v="0"/>
    <m/>
    <s v="8 horas"/>
    <s v="N2"/>
    <x v="2"/>
    <x v="0"/>
    <m/>
    <x v="1"/>
  </r>
  <r>
    <x v="0"/>
    <x v="8"/>
    <x v="8"/>
    <x v="2"/>
    <m/>
    <s v="8 horas"/>
    <s v="N2"/>
    <x v="1"/>
    <x v="0"/>
    <m/>
    <x v="1"/>
  </r>
  <r>
    <x v="0"/>
    <x v="8"/>
    <x v="10"/>
    <x v="2"/>
    <m/>
    <s v="8 horas"/>
    <s v="N1"/>
    <x v="1"/>
    <x v="0"/>
    <m/>
    <x v="1"/>
  </r>
  <r>
    <x v="0"/>
    <x v="8"/>
    <x v="0"/>
    <x v="2"/>
    <m/>
    <s v="8 horas"/>
    <s v="N2"/>
    <x v="1"/>
    <x v="0"/>
    <m/>
    <x v="1"/>
  </r>
  <r>
    <x v="0"/>
    <x v="8"/>
    <x v="11"/>
    <x v="2"/>
    <m/>
    <s v="8 horas"/>
    <s v="N2"/>
    <x v="1"/>
    <x v="0"/>
    <m/>
    <x v="1"/>
  </r>
  <r>
    <x v="0"/>
    <x v="8"/>
    <x v="12"/>
    <x v="2"/>
    <m/>
    <s v="8 horas"/>
    <s v="N2"/>
    <x v="1"/>
    <x v="0"/>
    <m/>
    <x v="1"/>
  </r>
  <r>
    <x v="0"/>
    <x v="1"/>
    <x v="13"/>
    <x v="1"/>
    <m/>
    <s v="8 horas"/>
    <s v="N2"/>
    <x v="1"/>
    <x v="0"/>
    <m/>
    <x v="1"/>
  </r>
  <r>
    <x v="0"/>
    <x v="1"/>
    <x v="14"/>
    <x v="1"/>
    <m/>
    <s v="8 horas"/>
    <s v="N2"/>
    <x v="1"/>
    <x v="0"/>
    <m/>
    <x v="1"/>
  </r>
  <r>
    <x v="0"/>
    <x v="1"/>
    <x v="15"/>
    <x v="1"/>
    <m/>
    <s v="8 horas"/>
    <s v="N2"/>
    <x v="1"/>
    <x v="0"/>
    <m/>
    <x v="1"/>
  </r>
  <r>
    <x v="0"/>
    <x v="1"/>
    <x v="16"/>
    <x v="1"/>
    <m/>
    <s v="8 horas"/>
    <s v="N2"/>
    <x v="1"/>
    <x v="0"/>
    <m/>
    <x v="1"/>
  </r>
  <r>
    <x v="0"/>
    <x v="9"/>
    <x v="0"/>
    <x v="4"/>
    <m/>
    <s v="8 horas"/>
    <s v="FS"/>
    <x v="3"/>
    <x v="1"/>
    <m/>
    <x v="1"/>
  </r>
  <r>
    <x v="0"/>
    <x v="10"/>
    <x v="17"/>
    <x v="5"/>
    <m/>
    <s v="8 horas"/>
    <s v="FS"/>
    <x v="3"/>
    <x v="1"/>
    <m/>
    <x v="1"/>
  </r>
  <r>
    <x v="0"/>
    <x v="10"/>
    <x v="18"/>
    <x v="5"/>
    <m/>
    <s v="8 horas"/>
    <s v="FS"/>
    <x v="3"/>
    <x v="1"/>
    <m/>
    <x v="1"/>
  </r>
  <r>
    <x v="0"/>
    <x v="2"/>
    <x v="8"/>
    <x v="2"/>
    <m/>
    <s v="8 horas"/>
    <s v="N1"/>
    <x v="1"/>
    <x v="0"/>
    <m/>
    <x v="1"/>
  </r>
  <r>
    <x v="0"/>
    <x v="2"/>
    <x v="9"/>
    <x v="2"/>
    <m/>
    <s v="8 horas"/>
    <s v="N1"/>
    <x v="1"/>
    <x v="0"/>
    <m/>
    <x v="1"/>
  </r>
  <r>
    <x v="0"/>
    <x v="3"/>
    <x v="9"/>
    <x v="2"/>
    <m/>
    <s v="8 horas"/>
    <s v="N2"/>
    <x v="1"/>
    <x v="0"/>
    <m/>
    <x v="1"/>
  </r>
  <r>
    <x v="0"/>
    <x v="11"/>
    <x v="19"/>
    <x v="5"/>
    <m/>
    <s v="8 horas"/>
    <s v="FS"/>
    <x v="3"/>
    <x v="1"/>
    <m/>
    <x v="1"/>
  </r>
  <r>
    <x v="0"/>
    <x v="11"/>
    <x v="0"/>
    <x v="5"/>
    <m/>
    <s v="8 horas"/>
    <s v="FS"/>
    <x v="3"/>
    <x v="1"/>
    <m/>
    <x v="1"/>
  </r>
  <r>
    <x v="0"/>
    <x v="12"/>
    <x v="8"/>
    <x v="2"/>
    <m/>
    <s v="8 horas"/>
    <s v="N1"/>
    <x v="1"/>
    <x v="0"/>
    <m/>
    <x v="1"/>
  </r>
  <r>
    <x v="0"/>
    <x v="12"/>
    <x v="0"/>
    <x v="2"/>
    <m/>
    <s v="8 horas"/>
    <s v="N1"/>
    <x v="1"/>
    <x v="0"/>
    <m/>
    <x v="1"/>
  </r>
  <r>
    <x v="0"/>
    <x v="13"/>
    <x v="9"/>
    <x v="2"/>
    <m/>
    <s v="8 horas"/>
    <s v="N1"/>
    <x v="1"/>
    <x v="0"/>
    <m/>
    <x v="1"/>
  </r>
  <r>
    <x v="0"/>
    <x v="13"/>
    <x v="0"/>
    <x v="2"/>
    <m/>
    <s v="8 horas"/>
    <s v="N1"/>
    <x v="1"/>
    <x v="0"/>
    <m/>
    <x v="1"/>
  </r>
  <r>
    <x v="0"/>
    <x v="14"/>
    <x v="0"/>
    <x v="4"/>
    <m/>
    <s v="8 horas"/>
    <s v="FS"/>
    <x v="3"/>
    <x v="1"/>
    <m/>
    <x v="1"/>
  </r>
  <r>
    <x v="0"/>
    <x v="15"/>
    <x v="0"/>
    <x v="2"/>
    <m/>
    <s v="8 horas"/>
    <s v="N1"/>
    <x v="1"/>
    <x v="0"/>
    <m/>
    <x v="1"/>
  </r>
  <r>
    <x v="0"/>
    <x v="15"/>
    <x v="20"/>
    <x v="2"/>
    <m/>
    <s v="8 horas"/>
    <s v="N2"/>
    <x v="1"/>
    <x v="0"/>
    <m/>
    <x v="1"/>
  </r>
  <r>
    <x v="0"/>
    <x v="15"/>
    <x v="21"/>
    <x v="2"/>
    <m/>
    <s v="8 horas"/>
    <s v="N2"/>
    <x v="1"/>
    <x v="0"/>
    <m/>
    <x v="1"/>
  </r>
  <r>
    <x v="0"/>
    <x v="15"/>
    <x v="22"/>
    <x v="2"/>
    <m/>
    <s v="8 horas"/>
    <s v="N2"/>
    <x v="1"/>
    <x v="0"/>
    <m/>
    <x v="1"/>
  </r>
  <r>
    <x v="0"/>
    <x v="15"/>
    <x v="23"/>
    <x v="2"/>
    <m/>
    <s v="8 horas"/>
    <s v="N2"/>
    <x v="1"/>
    <x v="0"/>
    <m/>
    <x v="1"/>
  </r>
  <r>
    <x v="0"/>
    <x v="4"/>
    <x v="24"/>
    <x v="3"/>
    <m/>
    <s v="8 horas"/>
    <s v="N2"/>
    <x v="1"/>
    <x v="0"/>
    <m/>
    <x v="1"/>
  </r>
  <r>
    <x v="0"/>
    <x v="4"/>
    <x v="25"/>
    <x v="3"/>
    <m/>
    <s v="8 horas"/>
    <s v="N2"/>
    <x v="1"/>
    <x v="0"/>
    <m/>
    <x v="1"/>
  </r>
  <r>
    <x v="0"/>
    <x v="4"/>
    <x v="26"/>
    <x v="3"/>
    <m/>
    <s v="8 horas"/>
    <s v="N2"/>
    <x v="1"/>
    <x v="0"/>
    <m/>
    <x v="1"/>
  </r>
  <r>
    <x v="0"/>
    <x v="4"/>
    <x v="27"/>
    <x v="3"/>
    <m/>
    <s v="8 horas"/>
    <s v="N2"/>
    <x v="1"/>
    <x v="0"/>
    <m/>
    <x v="1"/>
  </r>
  <r>
    <x v="0"/>
    <x v="4"/>
    <x v="28"/>
    <x v="3"/>
    <m/>
    <s v="8 horas"/>
    <s v="N2"/>
    <x v="1"/>
    <x v="0"/>
    <m/>
    <x v="1"/>
  </r>
  <r>
    <x v="0"/>
    <x v="4"/>
    <x v="29"/>
    <x v="3"/>
    <m/>
    <s v="8 horas"/>
    <s v="N2"/>
    <x v="1"/>
    <x v="0"/>
    <m/>
    <x v="1"/>
  </r>
  <r>
    <x v="0"/>
    <x v="16"/>
    <x v="30"/>
    <x v="3"/>
    <m/>
    <s v="8 horas"/>
    <s v="N1"/>
    <x v="1"/>
    <x v="0"/>
    <m/>
    <x v="1"/>
  </r>
  <r>
    <x v="0"/>
    <x v="16"/>
    <x v="31"/>
    <x v="3"/>
    <m/>
    <s v="8 horas"/>
    <s v="N1"/>
    <x v="1"/>
    <x v="0"/>
    <m/>
    <x v="1"/>
  </r>
  <r>
    <x v="0"/>
    <x v="16"/>
    <x v="32"/>
    <x v="3"/>
    <m/>
    <s v="8 horas"/>
    <s v="N1"/>
    <x v="1"/>
    <x v="0"/>
    <m/>
    <x v="1"/>
  </r>
  <r>
    <x v="0"/>
    <x v="17"/>
    <x v="33"/>
    <x v="2"/>
    <m/>
    <s v="8 horas"/>
    <s v="N1"/>
    <x v="1"/>
    <x v="0"/>
    <m/>
    <x v="1"/>
  </r>
  <r>
    <x v="0"/>
    <x v="6"/>
    <x v="8"/>
    <x v="2"/>
    <m/>
    <s v="8 horas"/>
    <s v="N2"/>
    <x v="1"/>
    <x v="0"/>
    <m/>
    <x v="1"/>
  </r>
  <r>
    <x v="0"/>
    <x v="6"/>
    <x v="9"/>
    <x v="2"/>
    <m/>
    <s v="8 horas"/>
    <s v="N2"/>
    <x v="1"/>
    <x v="0"/>
    <m/>
    <x v="1"/>
  </r>
  <r>
    <x v="0"/>
    <x v="18"/>
    <x v="34"/>
    <x v="6"/>
    <m/>
    <s v="8 horas"/>
    <s v="N1"/>
    <x v="1"/>
    <x v="0"/>
    <m/>
    <x v="1"/>
  </r>
  <r>
    <x v="0"/>
    <x v="19"/>
    <x v="34"/>
    <x v="6"/>
    <m/>
    <s v="8 horas"/>
    <s v="N1"/>
    <x v="1"/>
    <x v="0"/>
    <m/>
    <x v="1"/>
  </r>
  <r>
    <x v="0"/>
    <x v="20"/>
    <x v="34"/>
    <x v="6"/>
    <m/>
    <s v="8 horas"/>
    <s v="N1"/>
    <x v="3"/>
    <x v="1"/>
    <m/>
    <x v="1"/>
  </r>
  <r>
    <x v="0"/>
    <x v="7"/>
    <x v="35"/>
    <x v="2"/>
    <m/>
    <s v="8 horas"/>
    <s v="N2"/>
    <x v="1"/>
    <x v="0"/>
    <m/>
    <x v="1"/>
  </r>
  <r>
    <x v="0"/>
    <x v="7"/>
    <x v="36"/>
    <x v="2"/>
    <m/>
    <s v="8 horas"/>
    <s v="N2"/>
    <x v="1"/>
    <x v="0"/>
    <m/>
    <x v="1"/>
  </r>
  <r>
    <x v="0"/>
    <x v="8"/>
    <x v="37"/>
    <x v="2"/>
    <m/>
    <s v="24 horas"/>
    <s v="N2"/>
    <x v="1"/>
    <x v="0"/>
    <m/>
    <x v="2"/>
  </r>
  <r>
    <x v="0"/>
    <x v="11"/>
    <x v="38"/>
    <x v="5"/>
    <m/>
    <s v="24 horas"/>
    <s v="FS"/>
    <x v="3"/>
    <x v="1"/>
    <m/>
    <x v="2"/>
  </r>
  <r>
    <x v="0"/>
    <x v="13"/>
    <x v="38"/>
    <x v="2"/>
    <m/>
    <s v="24 horas"/>
    <s v="N1"/>
    <x v="1"/>
    <x v="0"/>
    <m/>
    <x v="2"/>
  </r>
  <r>
    <x v="0"/>
    <x v="21"/>
    <x v="9"/>
    <x v="5"/>
    <m/>
    <s v="24 horas"/>
    <s v="FS"/>
    <x v="3"/>
    <x v="1"/>
    <m/>
    <x v="2"/>
  </r>
  <r>
    <x v="0"/>
    <x v="21"/>
    <x v="38"/>
    <x v="5"/>
    <m/>
    <s v="24 horas"/>
    <s v="FS"/>
    <x v="3"/>
    <x v="1"/>
    <m/>
    <x v="2"/>
  </r>
  <r>
    <x v="0"/>
    <x v="0"/>
    <x v="38"/>
    <x v="0"/>
    <m/>
    <s v="16 horas"/>
    <s v="N2"/>
    <x v="2"/>
    <x v="0"/>
    <m/>
    <x v="3"/>
  </r>
  <r>
    <x v="0"/>
    <x v="8"/>
    <x v="9"/>
    <x v="2"/>
    <m/>
    <s v="16 horas"/>
    <s v="N2"/>
    <x v="1"/>
    <x v="0"/>
    <m/>
    <x v="3"/>
  </r>
  <r>
    <x v="0"/>
    <x v="8"/>
    <x v="38"/>
    <x v="2"/>
    <m/>
    <s v="16 horas"/>
    <s v="N2"/>
    <x v="1"/>
    <x v="0"/>
    <m/>
    <x v="3"/>
  </r>
  <r>
    <x v="0"/>
    <x v="8"/>
    <x v="39"/>
    <x v="2"/>
    <m/>
    <s v="16 horas"/>
    <s v="N2"/>
    <x v="1"/>
    <x v="0"/>
    <m/>
    <x v="3"/>
  </r>
  <r>
    <x v="0"/>
    <x v="1"/>
    <x v="40"/>
    <x v="1"/>
    <m/>
    <s v="16 horas"/>
    <s v="N2"/>
    <x v="1"/>
    <x v="0"/>
    <m/>
    <x v="3"/>
  </r>
  <r>
    <x v="0"/>
    <x v="1"/>
    <x v="41"/>
    <x v="1"/>
    <m/>
    <s v="16 horas"/>
    <s v="N2"/>
    <x v="1"/>
    <x v="0"/>
    <m/>
    <x v="3"/>
  </r>
  <r>
    <x v="0"/>
    <x v="9"/>
    <x v="9"/>
    <x v="4"/>
    <m/>
    <s v="16 horas"/>
    <s v="FS"/>
    <x v="3"/>
    <x v="1"/>
    <m/>
    <x v="3"/>
  </r>
  <r>
    <x v="0"/>
    <x v="10"/>
    <x v="42"/>
    <x v="5"/>
    <m/>
    <s v="16 horas"/>
    <s v="FS"/>
    <x v="3"/>
    <x v="1"/>
    <m/>
    <x v="3"/>
  </r>
  <r>
    <x v="0"/>
    <x v="2"/>
    <x v="38"/>
    <x v="2"/>
    <m/>
    <s v="16 horas"/>
    <s v="N1"/>
    <x v="1"/>
    <x v="0"/>
    <m/>
    <x v="3"/>
  </r>
  <r>
    <x v="0"/>
    <x v="3"/>
    <x v="43"/>
    <x v="2"/>
    <m/>
    <s v="16 horas"/>
    <s v="N1"/>
    <x v="1"/>
    <x v="0"/>
    <m/>
    <x v="3"/>
  </r>
  <r>
    <x v="0"/>
    <x v="3"/>
    <x v="8"/>
    <x v="2"/>
    <m/>
    <s v="16 horas"/>
    <s v="N2"/>
    <x v="1"/>
    <x v="0"/>
    <m/>
    <x v="3"/>
  </r>
  <r>
    <x v="0"/>
    <x v="3"/>
    <x v="44"/>
    <x v="5"/>
    <m/>
    <s v="16 horas"/>
    <s v="N1"/>
    <x v="3"/>
    <x v="1"/>
    <m/>
    <x v="3"/>
  </r>
  <r>
    <x v="0"/>
    <x v="3"/>
    <x v="45"/>
    <x v="5"/>
    <m/>
    <s v="16 horas"/>
    <s v="N1"/>
    <x v="3"/>
    <x v="1"/>
    <m/>
    <x v="3"/>
  </r>
  <r>
    <x v="0"/>
    <x v="3"/>
    <x v="46"/>
    <x v="2"/>
    <m/>
    <s v="16 horas"/>
    <s v="N1"/>
    <x v="1"/>
    <x v="0"/>
    <m/>
    <x v="3"/>
  </r>
  <r>
    <x v="0"/>
    <x v="3"/>
    <x v="47"/>
    <x v="5"/>
    <m/>
    <s v="16 horas"/>
    <s v="N1"/>
    <x v="3"/>
    <x v="1"/>
    <m/>
    <x v="3"/>
  </r>
  <r>
    <x v="0"/>
    <x v="3"/>
    <x v="48"/>
    <x v="5"/>
    <m/>
    <s v="16 horas"/>
    <s v="N1"/>
    <x v="3"/>
    <x v="1"/>
    <m/>
    <x v="3"/>
  </r>
  <r>
    <x v="0"/>
    <x v="3"/>
    <x v="38"/>
    <x v="2"/>
    <m/>
    <s v="16 horas"/>
    <s v="N2"/>
    <x v="1"/>
    <x v="0"/>
    <m/>
    <x v="3"/>
  </r>
  <r>
    <x v="0"/>
    <x v="11"/>
    <x v="49"/>
    <x v="5"/>
    <m/>
    <s v="16 horas"/>
    <s v="FS"/>
    <x v="3"/>
    <x v="1"/>
    <m/>
    <x v="3"/>
  </r>
  <r>
    <x v="0"/>
    <x v="11"/>
    <x v="50"/>
    <x v="5"/>
    <m/>
    <s v="16 horas"/>
    <s v="FS"/>
    <x v="3"/>
    <x v="1"/>
    <m/>
    <x v="3"/>
  </r>
  <r>
    <x v="0"/>
    <x v="11"/>
    <x v="9"/>
    <x v="5"/>
    <m/>
    <s v="16 horas"/>
    <s v="FS"/>
    <x v="3"/>
    <x v="1"/>
    <m/>
    <x v="3"/>
  </r>
  <r>
    <x v="0"/>
    <x v="12"/>
    <x v="9"/>
    <x v="2"/>
    <m/>
    <s v="16 horas"/>
    <s v="N1"/>
    <x v="1"/>
    <x v="0"/>
    <m/>
    <x v="3"/>
  </r>
  <r>
    <x v="0"/>
    <x v="12"/>
    <x v="38"/>
    <x v="2"/>
    <m/>
    <s v="16 horas"/>
    <s v="N1"/>
    <x v="1"/>
    <x v="0"/>
    <m/>
    <x v="3"/>
  </r>
  <r>
    <x v="0"/>
    <x v="13"/>
    <x v="8"/>
    <x v="2"/>
    <m/>
    <s v="16 horas"/>
    <s v="N1"/>
    <x v="1"/>
    <x v="0"/>
    <m/>
    <x v="3"/>
  </r>
  <r>
    <x v="0"/>
    <x v="14"/>
    <x v="9"/>
    <x v="4"/>
    <m/>
    <s v="16 horas"/>
    <s v="FS"/>
    <x v="3"/>
    <x v="1"/>
    <m/>
    <x v="3"/>
  </r>
  <r>
    <x v="0"/>
    <x v="15"/>
    <x v="8"/>
    <x v="2"/>
    <m/>
    <s v="16 horas"/>
    <s v="N1"/>
    <x v="1"/>
    <x v="0"/>
    <m/>
    <x v="3"/>
  </r>
  <r>
    <x v="0"/>
    <x v="15"/>
    <x v="9"/>
    <x v="2"/>
    <m/>
    <s v="16 horas"/>
    <s v="N1"/>
    <x v="1"/>
    <x v="0"/>
    <m/>
    <x v="3"/>
  </r>
  <r>
    <x v="0"/>
    <x v="15"/>
    <x v="51"/>
    <x v="2"/>
    <m/>
    <s v="16 horas"/>
    <s v="N2"/>
    <x v="1"/>
    <x v="0"/>
    <m/>
    <x v="3"/>
  </r>
  <r>
    <x v="0"/>
    <x v="15"/>
    <x v="52"/>
    <x v="2"/>
    <m/>
    <s v="16 horas"/>
    <s v="N2"/>
    <x v="1"/>
    <x v="0"/>
    <m/>
    <x v="3"/>
  </r>
  <r>
    <x v="0"/>
    <x v="15"/>
    <x v="53"/>
    <x v="2"/>
    <m/>
    <s v="16 horas"/>
    <s v="N2"/>
    <x v="1"/>
    <x v="0"/>
    <m/>
    <x v="3"/>
  </r>
  <r>
    <x v="0"/>
    <x v="15"/>
    <x v="54"/>
    <x v="2"/>
    <m/>
    <s v="16 horas"/>
    <s v="N2"/>
    <x v="1"/>
    <x v="0"/>
    <m/>
    <x v="3"/>
  </r>
  <r>
    <x v="0"/>
    <x v="15"/>
    <x v="55"/>
    <x v="2"/>
    <m/>
    <s v="16 horas"/>
    <s v="N2"/>
    <x v="1"/>
    <x v="0"/>
    <m/>
    <x v="3"/>
  </r>
  <r>
    <x v="0"/>
    <x v="15"/>
    <x v="56"/>
    <x v="2"/>
    <m/>
    <s v="16 horas"/>
    <s v="N2"/>
    <x v="1"/>
    <x v="0"/>
    <m/>
    <x v="3"/>
  </r>
  <r>
    <x v="0"/>
    <x v="15"/>
    <x v="57"/>
    <x v="2"/>
    <m/>
    <s v="16 horas"/>
    <s v="N2"/>
    <x v="1"/>
    <x v="0"/>
    <m/>
    <x v="3"/>
  </r>
  <r>
    <x v="0"/>
    <x v="15"/>
    <x v="58"/>
    <x v="2"/>
    <m/>
    <s v="16 horas"/>
    <s v="N2"/>
    <x v="1"/>
    <x v="0"/>
    <m/>
    <x v="3"/>
  </r>
  <r>
    <x v="0"/>
    <x v="15"/>
    <x v="59"/>
    <x v="2"/>
    <m/>
    <s v="16 horas"/>
    <s v="N2"/>
    <x v="1"/>
    <x v="0"/>
    <m/>
    <x v="3"/>
  </r>
  <r>
    <x v="0"/>
    <x v="15"/>
    <x v="60"/>
    <x v="2"/>
    <m/>
    <s v="16 horas"/>
    <s v="N2"/>
    <x v="1"/>
    <x v="0"/>
    <m/>
    <x v="3"/>
  </r>
  <r>
    <x v="0"/>
    <x v="15"/>
    <x v="61"/>
    <x v="2"/>
    <m/>
    <s v="16 horas"/>
    <s v="N2"/>
    <x v="1"/>
    <x v="0"/>
    <m/>
    <x v="3"/>
  </r>
  <r>
    <x v="0"/>
    <x v="15"/>
    <x v="23"/>
    <x v="2"/>
    <m/>
    <s v="16 horas"/>
    <s v="N2"/>
    <x v="1"/>
    <x v="0"/>
    <m/>
    <x v="3"/>
  </r>
  <r>
    <x v="0"/>
    <x v="15"/>
    <x v="62"/>
    <x v="2"/>
    <m/>
    <s v="16 horas"/>
    <s v="N2"/>
    <x v="1"/>
    <x v="0"/>
    <m/>
    <x v="3"/>
  </r>
  <r>
    <x v="0"/>
    <x v="4"/>
    <x v="63"/>
    <x v="3"/>
    <m/>
    <s v="16 horas"/>
    <s v="N1"/>
    <x v="1"/>
    <x v="0"/>
    <m/>
    <x v="3"/>
  </r>
  <r>
    <x v="0"/>
    <x v="4"/>
    <x v="64"/>
    <x v="3"/>
    <m/>
    <s v="16 horas"/>
    <s v="N1"/>
    <x v="1"/>
    <x v="0"/>
    <m/>
    <x v="3"/>
  </r>
  <r>
    <x v="0"/>
    <x v="4"/>
    <x v="65"/>
    <x v="3"/>
    <m/>
    <s v="16 horas"/>
    <s v="N2"/>
    <x v="1"/>
    <x v="0"/>
    <m/>
    <x v="3"/>
  </r>
  <r>
    <x v="0"/>
    <x v="4"/>
    <x v="66"/>
    <x v="3"/>
    <m/>
    <s v="16 horas"/>
    <s v="N2"/>
    <x v="1"/>
    <x v="0"/>
    <m/>
    <x v="3"/>
  </r>
  <r>
    <x v="0"/>
    <x v="4"/>
    <x v="67"/>
    <x v="3"/>
    <m/>
    <s v="16 horas"/>
    <s v="N2"/>
    <x v="1"/>
    <x v="0"/>
    <m/>
    <x v="3"/>
  </r>
  <r>
    <x v="0"/>
    <x v="17"/>
    <x v="68"/>
    <x v="2"/>
    <m/>
    <s v="16 horas"/>
    <s v="N1"/>
    <x v="1"/>
    <x v="0"/>
    <m/>
    <x v="3"/>
  </r>
  <r>
    <x v="0"/>
    <x v="17"/>
    <x v="69"/>
    <x v="2"/>
    <m/>
    <s v="16 horas"/>
    <s v="N1"/>
    <x v="1"/>
    <x v="0"/>
    <m/>
    <x v="3"/>
  </r>
  <r>
    <x v="0"/>
    <x v="21"/>
    <x v="8"/>
    <x v="5"/>
    <m/>
    <s v="16 horas"/>
    <s v="FS"/>
    <x v="3"/>
    <x v="1"/>
    <m/>
    <x v="3"/>
  </r>
  <r>
    <x v="0"/>
    <x v="21"/>
    <x v="0"/>
    <x v="5"/>
    <m/>
    <s v="16 horas"/>
    <s v="FS"/>
    <x v="3"/>
    <x v="1"/>
    <m/>
    <x v="3"/>
  </r>
  <r>
    <x v="0"/>
    <x v="6"/>
    <x v="38"/>
    <x v="2"/>
    <m/>
    <s v="16 horas"/>
    <s v="N2"/>
    <x v="1"/>
    <x v="0"/>
    <m/>
    <x v="3"/>
  </r>
  <r>
    <x v="0"/>
    <x v="18"/>
    <x v="70"/>
    <x v="6"/>
    <m/>
    <s v="16 horas"/>
    <s v="N1"/>
    <x v="1"/>
    <x v="0"/>
    <m/>
    <x v="3"/>
  </r>
  <r>
    <x v="0"/>
    <x v="18"/>
    <x v="71"/>
    <x v="6"/>
    <m/>
    <s v="16 horas"/>
    <s v="N1"/>
    <x v="1"/>
    <x v="0"/>
    <m/>
    <x v="3"/>
  </r>
  <r>
    <x v="0"/>
    <x v="18"/>
    <x v="72"/>
    <x v="6"/>
    <m/>
    <s v="16 horas"/>
    <s v="N1"/>
    <x v="1"/>
    <x v="0"/>
    <m/>
    <x v="3"/>
  </r>
  <r>
    <x v="0"/>
    <x v="18"/>
    <x v="73"/>
    <x v="6"/>
    <m/>
    <s v="16 horas"/>
    <s v="N1"/>
    <x v="1"/>
    <x v="0"/>
    <m/>
    <x v="3"/>
  </r>
  <r>
    <x v="0"/>
    <x v="18"/>
    <x v="74"/>
    <x v="6"/>
    <m/>
    <s v="16 horas"/>
    <s v="N1"/>
    <x v="1"/>
    <x v="0"/>
    <m/>
    <x v="3"/>
  </r>
  <r>
    <x v="0"/>
    <x v="19"/>
    <x v="70"/>
    <x v="6"/>
    <m/>
    <s v="16 horas"/>
    <s v="N1"/>
    <x v="1"/>
    <x v="0"/>
    <m/>
    <x v="3"/>
  </r>
  <r>
    <x v="0"/>
    <x v="19"/>
    <x v="71"/>
    <x v="6"/>
    <m/>
    <s v="16 horas"/>
    <s v="N1"/>
    <x v="1"/>
    <x v="0"/>
    <m/>
    <x v="3"/>
  </r>
  <r>
    <x v="0"/>
    <x v="19"/>
    <x v="72"/>
    <x v="6"/>
    <m/>
    <s v="16 horas"/>
    <s v="N1"/>
    <x v="1"/>
    <x v="0"/>
    <m/>
    <x v="3"/>
  </r>
  <r>
    <x v="0"/>
    <x v="19"/>
    <x v="73"/>
    <x v="6"/>
    <m/>
    <s v="16 horas"/>
    <s v="N1"/>
    <x v="1"/>
    <x v="0"/>
    <m/>
    <x v="3"/>
  </r>
  <r>
    <x v="0"/>
    <x v="19"/>
    <x v="74"/>
    <x v="6"/>
    <m/>
    <s v="16 horas"/>
    <s v="N1"/>
    <x v="1"/>
    <x v="0"/>
    <m/>
    <x v="3"/>
  </r>
  <r>
    <x v="0"/>
    <x v="20"/>
    <x v="74"/>
    <x v="6"/>
    <m/>
    <s v="16 horas"/>
    <s v="N1"/>
    <x v="3"/>
    <x v="1"/>
    <m/>
    <x v="3"/>
  </r>
  <r>
    <x v="0"/>
    <x v="7"/>
    <x v="75"/>
    <x v="2"/>
    <m/>
    <s v="16 horas"/>
    <s v="N2"/>
    <x v="1"/>
    <x v="0"/>
    <m/>
    <x v="3"/>
  </r>
  <r>
    <x v="0"/>
    <x v="7"/>
    <x v="76"/>
    <x v="2"/>
    <m/>
    <s v="16 horas"/>
    <s v="N2"/>
    <x v="1"/>
    <x v="0"/>
    <m/>
    <x v="3"/>
  </r>
  <r>
    <x v="0"/>
    <x v="7"/>
    <x v="77"/>
    <x v="2"/>
    <m/>
    <s v="16 horas"/>
    <s v="N2"/>
    <x v="1"/>
    <x v="0"/>
    <m/>
    <x v="3"/>
  </r>
  <r>
    <x v="0"/>
    <x v="7"/>
    <x v="78"/>
    <x v="2"/>
    <m/>
    <s v="16 horas"/>
    <s v="N2"/>
    <x v="1"/>
    <x v="0"/>
    <m/>
    <x v="3"/>
  </r>
  <r>
    <x v="0"/>
    <x v="7"/>
    <x v="79"/>
    <x v="2"/>
    <m/>
    <s v="16 horas"/>
    <s v="N2"/>
    <x v="1"/>
    <x v="0"/>
    <m/>
    <x v="3"/>
  </r>
  <r>
    <x v="0"/>
    <x v="7"/>
    <x v="80"/>
    <x v="2"/>
    <m/>
    <s v="16 horas"/>
    <s v="N2"/>
    <x v="1"/>
    <x v="0"/>
    <m/>
    <x v="3"/>
  </r>
  <r>
    <x v="1"/>
    <x v="22"/>
    <x v="81"/>
    <x v="0"/>
    <m/>
    <m/>
    <s v="N2"/>
    <x v="0"/>
    <x v="0"/>
    <m/>
    <x v="2"/>
  </r>
  <r>
    <x v="1"/>
    <x v="22"/>
    <x v="82"/>
    <x v="0"/>
    <m/>
    <m/>
    <s v="N2"/>
    <x v="0"/>
    <x v="0"/>
    <m/>
    <x v="2"/>
  </r>
  <r>
    <x v="1"/>
    <x v="22"/>
    <x v="83"/>
    <x v="2"/>
    <m/>
    <m/>
    <s v="N2"/>
    <x v="1"/>
    <x v="0"/>
    <m/>
    <x v="2"/>
  </r>
  <r>
    <x v="1"/>
    <x v="22"/>
    <x v="84"/>
    <x v="2"/>
    <m/>
    <m/>
    <s v="N2"/>
    <x v="1"/>
    <x v="0"/>
    <m/>
    <x v="2"/>
  </r>
  <r>
    <x v="1"/>
    <x v="23"/>
    <x v="85"/>
    <x v="0"/>
    <m/>
    <m/>
    <s v="N2"/>
    <x v="0"/>
    <x v="0"/>
    <m/>
    <x v="1"/>
  </r>
  <r>
    <x v="1"/>
    <x v="23"/>
    <x v="86"/>
    <x v="2"/>
    <m/>
    <m/>
    <s v="N2"/>
    <x v="1"/>
    <x v="0"/>
    <m/>
    <x v="1"/>
  </r>
  <r>
    <x v="2"/>
    <x v="0"/>
    <x v="87"/>
    <x v="0"/>
    <m/>
    <s v="72 horas"/>
    <s v="N1"/>
    <x v="0"/>
    <x v="0"/>
    <m/>
    <x v="3"/>
  </r>
  <r>
    <x v="2"/>
    <x v="0"/>
    <x v="88"/>
    <x v="0"/>
    <m/>
    <s v="72 horas"/>
    <s v="N1"/>
    <x v="2"/>
    <x v="0"/>
    <m/>
    <x v="3"/>
  </r>
  <r>
    <x v="2"/>
    <x v="0"/>
    <x v="89"/>
    <x v="0"/>
    <m/>
    <s v="72 horas"/>
    <s v="N2"/>
    <x v="0"/>
    <x v="0"/>
    <m/>
    <x v="3"/>
  </r>
  <r>
    <x v="2"/>
    <x v="0"/>
    <x v="90"/>
    <x v="0"/>
    <m/>
    <s v="72 horas"/>
    <s v="N2"/>
    <x v="2"/>
    <x v="0"/>
    <m/>
    <x v="3"/>
  </r>
  <r>
    <x v="2"/>
    <x v="0"/>
    <x v="91"/>
    <x v="0"/>
    <m/>
    <s v="72 horas"/>
    <s v="N1"/>
    <x v="0"/>
    <x v="0"/>
    <m/>
    <x v="3"/>
  </r>
  <r>
    <x v="2"/>
    <x v="0"/>
    <x v="92"/>
    <x v="0"/>
    <m/>
    <s v="72 horas"/>
    <s v="N1"/>
    <x v="2"/>
    <x v="0"/>
    <m/>
    <x v="3"/>
  </r>
  <r>
    <x v="2"/>
    <x v="0"/>
    <x v="93"/>
    <x v="0"/>
    <m/>
    <s v="72 horas"/>
    <s v="N1"/>
    <x v="0"/>
    <x v="0"/>
    <m/>
    <x v="3"/>
  </r>
  <r>
    <x v="2"/>
    <x v="0"/>
    <x v="94"/>
    <x v="0"/>
    <m/>
    <s v="72 horas"/>
    <s v="N1"/>
    <x v="0"/>
    <x v="0"/>
    <m/>
    <x v="3"/>
  </r>
  <r>
    <x v="2"/>
    <x v="8"/>
    <x v="95"/>
    <x v="2"/>
    <m/>
    <s v="72 horas"/>
    <s v="N1"/>
    <x v="1"/>
    <x v="0"/>
    <m/>
    <x v="3"/>
  </r>
  <r>
    <x v="2"/>
    <x v="8"/>
    <x v="96"/>
    <x v="2"/>
    <m/>
    <s v="72 horas"/>
    <s v="N1"/>
    <x v="1"/>
    <x v="0"/>
    <m/>
    <x v="3"/>
  </r>
  <r>
    <x v="2"/>
    <x v="8"/>
    <x v="97"/>
    <x v="2"/>
    <m/>
    <s v="72 horas"/>
    <s v="N1"/>
    <x v="1"/>
    <x v="0"/>
    <m/>
    <x v="3"/>
  </r>
  <r>
    <x v="2"/>
    <x v="8"/>
    <x v="98"/>
    <x v="2"/>
    <m/>
    <s v="72 horas"/>
    <s v="N1"/>
    <x v="1"/>
    <x v="0"/>
    <m/>
    <x v="3"/>
  </r>
  <r>
    <x v="2"/>
    <x v="1"/>
    <x v="99"/>
    <x v="1"/>
    <m/>
    <s v="72 horas"/>
    <s v="N2"/>
    <x v="1"/>
    <x v="0"/>
    <m/>
    <x v="3"/>
  </r>
  <r>
    <x v="2"/>
    <x v="1"/>
    <x v="100"/>
    <x v="1"/>
    <m/>
    <s v="72 horas"/>
    <s v="N2"/>
    <x v="1"/>
    <x v="0"/>
    <m/>
    <x v="3"/>
  </r>
  <r>
    <x v="2"/>
    <x v="1"/>
    <x v="101"/>
    <x v="1"/>
    <m/>
    <s v="72 horas"/>
    <s v="N2"/>
    <x v="1"/>
    <x v="0"/>
    <m/>
    <x v="3"/>
  </r>
  <r>
    <x v="2"/>
    <x v="1"/>
    <x v="102"/>
    <x v="1"/>
    <m/>
    <s v="72 horas"/>
    <s v="N2"/>
    <x v="1"/>
    <x v="0"/>
    <m/>
    <x v="3"/>
  </r>
  <r>
    <x v="2"/>
    <x v="9"/>
    <x v="103"/>
    <x v="4"/>
    <m/>
    <s v="72 horas"/>
    <s v="FS"/>
    <x v="3"/>
    <x v="1"/>
    <m/>
    <x v="3"/>
  </r>
  <r>
    <x v="2"/>
    <x v="10"/>
    <x v="104"/>
    <x v="5"/>
    <m/>
    <s v="72 horas"/>
    <s v="FS"/>
    <x v="3"/>
    <x v="1"/>
    <m/>
    <x v="3"/>
  </r>
  <r>
    <x v="2"/>
    <x v="10"/>
    <x v="105"/>
    <x v="5"/>
    <m/>
    <s v="72 horas"/>
    <s v="FS"/>
    <x v="3"/>
    <x v="1"/>
    <m/>
    <x v="3"/>
  </r>
  <r>
    <x v="2"/>
    <x v="10"/>
    <x v="106"/>
    <x v="5"/>
    <m/>
    <s v="72 horas"/>
    <s v="FS"/>
    <x v="3"/>
    <x v="1"/>
    <m/>
    <x v="3"/>
  </r>
  <r>
    <x v="2"/>
    <x v="10"/>
    <x v="107"/>
    <x v="5"/>
    <m/>
    <s v="72 horas"/>
    <s v="FS"/>
    <x v="3"/>
    <x v="1"/>
    <m/>
    <x v="3"/>
  </r>
  <r>
    <x v="2"/>
    <x v="10"/>
    <x v="108"/>
    <x v="5"/>
    <m/>
    <s v="72 horas"/>
    <s v="FS"/>
    <x v="3"/>
    <x v="1"/>
    <m/>
    <x v="3"/>
  </r>
  <r>
    <x v="2"/>
    <x v="10"/>
    <x v="109"/>
    <x v="5"/>
    <m/>
    <s v="72 horas"/>
    <s v="FS"/>
    <x v="3"/>
    <x v="1"/>
    <m/>
    <x v="3"/>
  </r>
  <r>
    <x v="2"/>
    <x v="10"/>
    <x v="110"/>
    <x v="5"/>
    <m/>
    <s v="72 horas"/>
    <s v="FS"/>
    <x v="3"/>
    <x v="1"/>
    <m/>
    <x v="3"/>
  </r>
  <r>
    <x v="2"/>
    <x v="10"/>
    <x v="111"/>
    <x v="5"/>
    <m/>
    <s v="72 horas"/>
    <s v="FS"/>
    <x v="3"/>
    <x v="1"/>
    <m/>
    <x v="3"/>
  </r>
  <r>
    <x v="2"/>
    <x v="10"/>
    <x v="112"/>
    <x v="5"/>
    <m/>
    <s v="72 horas"/>
    <s v="FS"/>
    <x v="3"/>
    <x v="1"/>
    <m/>
    <x v="3"/>
  </r>
  <r>
    <x v="2"/>
    <x v="10"/>
    <x v="113"/>
    <x v="5"/>
    <m/>
    <s v="72 horas"/>
    <s v="FS"/>
    <x v="3"/>
    <x v="1"/>
    <m/>
    <x v="3"/>
  </r>
  <r>
    <x v="2"/>
    <x v="10"/>
    <x v="114"/>
    <x v="5"/>
    <m/>
    <s v="72 horas"/>
    <s v="FS"/>
    <x v="3"/>
    <x v="1"/>
    <m/>
    <x v="3"/>
  </r>
  <r>
    <x v="2"/>
    <x v="10"/>
    <x v="115"/>
    <x v="5"/>
    <m/>
    <s v="72 horas"/>
    <s v="FS"/>
    <x v="3"/>
    <x v="1"/>
    <m/>
    <x v="3"/>
  </r>
  <r>
    <x v="2"/>
    <x v="10"/>
    <x v="116"/>
    <x v="5"/>
    <m/>
    <s v="72 horas"/>
    <s v="FS"/>
    <x v="3"/>
    <x v="1"/>
    <m/>
    <x v="3"/>
  </r>
  <r>
    <x v="2"/>
    <x v="10"/>
    <x v="117"/>
    <x v="5"/>
    <m/>
    <s v="72 horas"/>
    <s v="FS"/>
    <x v="3"/>
    <x v="1"/>
    <m/>
    <x v="3"/>
  </r>
  <r>
    <x v="2"/>
    <x v="10"/>
    <x v="118"/>
    <x v="5"/>
    <m/>
    <s v="72 horas"/>
    <s v="FS"/>
    <x v="3"/>
    <x v="1"/>
    <m/>
    <x v="3"/>
  </r>
  <r>
    <x v="2"/>
    <x v="10"/>
    <x v="119"/>
    <x v="5"/>
    <m/>
    <s v="72 horas"/>
    <s v="FS"/>
    <x v="3"/>
    <x v="1"/>
    <m/>
    <x v="3"/>
  </r>
  <r>
    <x v="2"/>
    <x v="10"/>
    <x v="120"/>
    <x v="5"/>
    <m/>
    <s v="72 horas"/>
    <s v="FS"/>
    <x v="3"/>
    <x v="1"/>
    <m/>
    <x v="3"/>
  </r>
  <r>
    <x v="2"/>
    <x v="10"/>
    <x v="121"/>
    <x v="5"/>
    <m/>
    <s v="72 horas"/>
    <s v="FS"/>
    <x v="3"/>
    <x v="1"/>
    <m/>
    <x v="3"/>
  </r>
  <r>
    <x v="2"/>
    <x v="10"/>
    <x v="122"/>
    <x v="5"/>
    <m/>
    <s v="72 horas"/>
    <s v="FS"/>
    <x v="3"/>
    <x v="1"/>
    <m/>
    <x v="3"/>
  </r>
  <r>
    <x v="2"/>
    <x v="10"/>
    <x v="123"/>
    <x v="5"/>
    <m/>
    <s v="72 horas"/>
    <s v="FS"/>
    <x v="3"/>
    <x v="1"/>
    <m/>
    <x v="3"/>
  </r>
  <r>
    <x v="2"/>
    <x v="10"/>
    <x v="124"/>
    <x v="5"/>
    <m/>
    <s v="72 horas"/>
    <s v="FS"/>
    <x v="3"/>
    <x v="1"/>
    <m/>
    <x v="3"/>
  </r>
  <r>
    <x v="2"/>
    <x v="10"/>
    <x v="125"/>
    <x v="5"/>
    <m/>
    <s v="72 horas"/>
    <s v="FS"/>
    <x v="3"/>
    <x v="1"/>
    <m/>
    <x v="3"/>
  </r>
  <r>
    <x v="2"/>
    <x v="10"/>
    <x v="126"/>
    <x v="5"/>
    <m/>
    <s v="72 horas"/>
    <s v="FS"/>
    <x v="3"/>
    <x v="1"/>
    <m/>
    <x v="3"/>
  </r>
  <r>
    <x v="2"/>
    <x v="10"/>
    <x v="127"/>
    <x v="5"/>
    <m/>
    <s v="72 horas"/>
    <s v="FS"/>
    <x v="3"/>
    <x v="1"/>
    <m/>
    <x v="3"/>
  </r>
  <r>
    <x v="2"/>
    <x v="10"/>
    <x v="128"/>
    <x v="5"/>
    <m/>
    <s v="72 horas"/>
    <s v="FS"/>
    <x v="3"/>
    <x v="1"/>
    <m/>
    <x v="3"/>
  </r>
  <r>
    <x v="2"/>
    <x v="10"/>
    <x v="129"/>
    <x v="5"/>
    <m/>
    <s v="72 horas"/>
    <s v="FS"/>
    <x v="3"/>
    <x v="1"/>
    <m/>
    <x v="3"/>
  </r>
  <r>
    <x v="2"/>
    <x v="24"/>
    <x v="130"/>
    <x v="2"/>
    <m/>
    <s v="72 horas"/>
    <s v="N1"/>
    <x v="1"/>
    <x v="0"/>
    <m/>
    <x v="3"/>
  </r>
  <r>
    <x v="2"/>
    <x v="24"/>
    <x v="131"/>
    <x v="2"/>
    <m/>
    <s v="72 horas"/>
    <s v="N1"/>
    <x v="1"/>
    <x v="0"/>
    <m/>
    <x v="3"/>
  </r>
  <r>
    <x v="2"/>
    <x v="24"/>
    <x v="132"/>
    <x v="2"/>
    <m/>
    <s v="72 horas"/>
    <s v="N1"/>
    <x v="1"/>
    <x v="0"/>
    <m/>
    <x v="3"/>
  </r>
  <r>
    <x v="2"/>
    <x v="24"/>
    <x v="133"/>
    <x v="5"/>
    <m/>
    <s v="72 horas"/>
    <s v="N1"/>
    <x v="3"/>
    <x v="1"/>
    <m/>
    <x v="3"/>
  </r>
  <r>
    <x v="2"/>
    <x v="24"/>
    <x v="134"/>
    <x v="5"/>
    <m/>
    <s v="72 horas"/>
    <s v="N1"/>
    <x v="3"/>
    <x v="1"/>
    <m/>
    <x v="3"/>
  </r>
  <r>
    <x v="2"/>
    <x v="2"/>
    <x v="135"/>
    <x v="2"/>
    <m/>
    <s v="72 horas"/>
    <s v="N2"/>
    <x v="1"/>
    <x v="0"/>
    <m/>
    <x v="3"/>
  </r>
  <r>
    <x v="2"/>
    <x v="2"/>
    <x v="136"/>
    <x v="2"/>
    <m/>
    <s v="72 horas"/>
    <s v="N2"/>
    <x v="1"/>
    <x v="0"/>
    <m/>
    <x v="3"/>
  </r>
  <r>
    <x v="2"/>
    <x v="2"/>
    <x v="137"/>
    <x v="2"/>
    <m/>
    <s v="72 horas"/>
    <s v="N2"/>
    <x v="1"/>
    <x v="0"/>
    <m/>
    <x v="3"/>
  </r>
  <r>
    <x v="2"/>
    <x v="2"/>
    <x v="138"/>
    <x v="2"/>
    <m/>
    <s v="72 horas"/>
    <s v="N2"/>
    <x v="1"/>
    <x v="0"/>
    <m/>
    <x v="3"/>
  </r>
  <r>
    <x v="2"/>
    <x v="2"/>
    <x v="139"/>
    <x v="2"/>
    <m/>
    <s v="72 horas"/>
    <s v="N2"/>
    <x v="1"/>
    <x v="0"/>
    <m/>
    <x v="3"/>
  </r>
  <r>
    <x v="2"/>
    <x v="2"/>
    <x v="140"/>
    <x v="2"/>
    <m/>
    <s v="72 horas"/>
    <s v="N2"/>
    <x v="1"/>
    <x v="0"/>
    <m/>
    <x v="3"/>
  </r>
  <r>
    <x v="2"/>
    <x v="3"/>
    <x v="141"/>
    <x v="2"/>
    <m/>
    <s v="72 horas"/>
    <s v="N1"/>
    <x v="1"/>
    <x v="0"/>
    <m/>
    <x v="3"/>
  </r>
  <r>
    <x v="2"/>
    <x v="3"/>
    <x v="142"/>
    <x v="5"/>
    <m/>
    <s v="72 horas"/>
    <s v="N1"/>
    <x v="3"/>
    <x v="1"/>
    <m/>
    <x v="3"/>
  </r>
  <r>
    <x v="2"/>
    <x v="3"/>
    <x v="143"/>
    <x v="5"/>
    <m/>
    <s v="72 horas"/>
    <s v="N1"/>
    <x v="3"/>
    <x v="1"/>
    <m/>
    <x v="3"/>
  </r>
  <r>
    <x v="2"/>
    <x v="3"/>
    <x v="144"/>
    <x v="2"/>
    <m/>
    <s v="72 horas"/>
    <s v="N1"/>
    <x v="1"/>
    <x v="0"/>
    <m/>
    <x v="3"/>
  </r>
  <r>
    <x v="2"/>
    <x v="3"/>
    <x v="145"/>
    <x v="5"/>
    <m/>
    <s v="72 horas"/>
    <s v="N1"/>
    <x v="3"/>
    <x v="1"/>
    <m/>
    <x v="3"/>
  </r>
  <r>
    <x v="2"/>
    <x v="3"/>
    <x v="146"/>
    <x v="5"/>
    <m/>
    <s v="72 horas"/>
    <s v="N1"/>
    <x v="3"/>
    <x v="1"/>
    <m/>
    <x v="3"/>
  </r>
  <r>
    <x v="2"/>
    <x v="3"/>
    <x v="147"/>
    <x v="5"/>
    <m/>
    <s v="72 horas"/>
    <s v="N1"/>
    <x v="3"/>
    <x v="1"/>
    <m/>
    <x v="3"/>
  </r>
  <r>
    <x v="2"/>
    <x v="3"/>
    <x v="148"/>
    <x v="5"/>
    <m/>
    <s v="72 horas"/>
    <s v="N1"/>
    <x v="3"/>
    <x v="1"/>
    <m/>
    <x v="3"/>
  </r>
  <r>
    <x v="2"/>
    <x v="3"/>
    <x v="149"/>
    <x v="5"/>
    <m/>
    <s v="72 horas"/>
    <s v="N1"/>
    <x v="3"/>
    <x v="1"/>
    <m/>
    <x v="3"/>
  </r>
  <r>
    <x v="2"/>
    <x v="3"/>
    <x v="150"/>
    <x v="5"/>
    <m/>
    <s v="72 horas"/>
    <s v="N1"/>
    <x v="3"/>
    <x v="1"/>
    <m/>
    <x v="3"/>
  </r>
  <r>
    <x v="2"/>
    <x v="3"/>
    <x v="151"/>
    <x v="2"/>
    <m/>
    <s v="72 horas"/>
    <s v="N1"/>
    <x v="1"/>
    <x v="0"/>
    <m/>
    <x v="3"/>
  </r>
  <r>
    <x v="2"/>
    <x v="3"/>
    <x v="152"/>
    <x v="5"/>
    <m/>
    <s v="72 horas"/>
    <s v="N1"/>
    <x v="3"/>
    <x v="1"/>
    <m/>
    <x v="3"/>
  </r>
  <r>
    <x v="2"/>
    <x v="3"/>
    <x v="153"/>
    <x v="2"/>
    <m/>
    <s v="72 horas"/>
    <s v="N1"/>
    <x v="1"/>
    <x v="0"/>
    <m/>
    <x v="3"/>
  </r>
  <r>
    <x v="2"/>
    <x v="3"/>
    <x v="154"/>
    <x v="2"/>
    <m/>
    <s v="72 horas"/>
    <s v="N1"/>
    <x v="1"/>
    <x v="0"/>
    <m/>
    <x v="3"/>
  </r>
  <r>
    <x v="2"/>
    <x v="3"/>
    <x v="155"/>
    <x v="2"/>
    <m/>
    <s v="72 horas"/>
    <s v="N1"/>
    <x v="1"/>
    <x v="0"/>
    <m/>
    <x v="3"/>
  </r>
  <r>
    <x v="2"/>
    <x v="3"/>
    <x v="156"/>
    <x v="2"/>
    <m/>
    <s v="72 horas"/>
    <s v="N1"/>
    <x v="1"/>
    <x v="0"/>
    <m/>
    <x v="3"/>
  </r>
  <r>
    <x v="2"/>
    <x v="3"/>
    <x v="157"/>
    <x v="2"/>
    <m/>
    <s v="72 horas"/>
    <s v="N1"/>
    <x v="1"/>
    <x v="0"/>
    <m/>
    <x v="3"/>
  </r>
  <r>
    <x v="2"/>
    <x v="11"/>
    <x v="158"/>
    <x v="5"/>
    <m/>
    <s v="72 horas"/>
    <s v="FS"/>
    <x v="3"/>
    <x v="1"/>
    <m/>
    <x v="3"/>
  </r>
  <r>
    <x v="2"/>
    <x v="11"/>
    <x v="92"/>
    <x v="5"/>
    <m/>
    <s v="72 horas"/>
    <s v="FS"/>
    <x v="3"/>
    <x v="1"/>
    <m/>
    <x v="3"/>
  </r>
  <r>
    <x v="2"/>
    <x v="11"/>
    <x v="159"/>
    <x v="5"/>
    <m/>
    <s v="72 horas"/>
    <s v="FS"/>
    <x v="3"/>
    <x v="1"/>
    <m/>
    <x v="3"/>
  </r>
  <r>
    <x v="2"/>
    <x v="11"/>
    <x v="160"/>
    <x v="5"/>
    <m/>
    <s v="72 horas"/>
    <s v="FS"/>
    <x v="3"/>
    <x v="1"/>
    <m/>
    <x v="3"/>
  </r>
  <r>
    <x v="2"/>
    <x v="11"/>
    <x v="161"/>
    <x v="5"/>
    <m/>
    <s v="72 horas"/>
    <s v="FS"/>
    <x v="3"/>
    <x v="1"/>
    <m/>
    <x v="3"/>
  </r>
  <r>
    <x v="2"/>
    <x v="11"/>
    <x v="103"/>
    <x v="5"/>
    <m/>
    <s v="72 horas"/>
    <s v="FS"/>
    <x v="3"/>
    <x v="1"/>
    <m/>
    <x v="3"/>
  </r>
  <r>
    <x v="2"/>
    <x v="11"/>
    <x v="162"/>
    <x v="5"/>
    <m/>
    <s v="72 horas"/>
    <s v="FS"/>
    <x v="3"/>
    <x v="1"/>
    <m/>
    <x v="3"/>
  </r>
  <r>
    <x v="2"/>
    <x v="14"/>
    <x v="163"/>
    <x v="4"/>
    <m/>
    <s v="72 horas"/>
    <s v="FS"/>
    <x v="3"/>
    <x v="1"/>
    <m/>
    <x v="3"/>
  </r>
  <r>
    <x v="2"/>
    <x v="14"/>
    <x v="92"/>
    <x v="4"/>
    <m/>
    <s v="72 horas"/>
    <s v="FS"/>
    <x v="3"/>
    <x v="1"/>
    <m/>
    <x v="3"/>
  </r>
  <r>
    <x v="2"/>
    <x v="14"/>
    <x v="161"/>
    <x v="4"/>
    <m/>
    <s v="72 horas"/>
    <s v="FS"/>
    <x v="3"/>
    <x v="1"/>
    <m/>
    <x v="3"/>
  </r>
  <r>
    <x v="2"/>
    <x v="14"/>
    <x v="103"/>
    <x v="4"/>
    <m/>
    <s v="72 horas"/>
    <s v="FS"/>
    <x v="3"/>
    <x v="1"/>
    <m/>
    <x v="3"/>
  </r>
  <r>
    <x v="2"/>
    <x v="15"/>
    <x v="164"/>
    <x v="2"/>
    <m/>
    <s v="72 horas"/>
    <s v="N2"/>
    <x v="1"/>
    <x v="0"/>
    <m/>
    <x v="3"/>
  </r>
  <r>
    <x v="2"/>
    <x v="15"/>
    <x v="165"/>
    <x v="2"/>
    <m/>
    <s v="72 horas"/>
    <s v="N2"/>
    <x v="1"/>
    <x v="0"/>
    <m/>
    <x v="3"/>
  </r>
  <r>
    <x v="2"/>
    <x v="15"/>
    <x v="166"/>
    <x v="2"/>
    <m/>
    <s v="72 horas"/>
    <s v="N2"/>
    <x v="1"/>
    <x v="0"/>
    <m/>
    <x v="3"/>
  </r>
  <r>
    <x v="2"/>
    <x v="15"/>
    <x v="167"/>
    <x v="2"/>
    <m/>
    <s v="72 horas"/>
    <s v="N2"/>
    <x v="1"/>
    <x v="0"/>
    <m/>
    <x v="3"/>
  </r>
  <r>
    <x v="2"/>
    <x v="15"/>
    <x v="168"/>
    <x v="2"/>
    <m/>
    <s v="72 horas"/>
    <s v="N2"/>
    <x v="1"/>
    <x v="0"/>
    <m/>
    <x v="3"/>
  </r>
  <r>
    <x v="2"/>
    <x v="15"/>
    <x v="169"/>
    <x v="2"/>
    <m/>
    <s v="72 horas"/>
    <s v="N2"/>
    <x v="1"/>
    <x v="0"/>
    <m/>
    <x v="3"/>
  </r>
  <r>
    <x v="2"/>
    <x v="15"/>
    <x v="170"/>
    <x v="2"/>
    <m/>
    <s v="72 horas"/>
    <s v="N2"/>
    <x v="1"/>
    <x v="0"/>
    <m/>
    <x v="3"/>
  </r>
  <r>
    <x v="2"/>
    <x v="15"/>
    <x v="171"/>
    <x v="2"/>
    <m/>
    <s v="72 horas"/>
    <s v="N2"/>
    <x v="1"/>
    <x v="0"/>
    <m/>
    <x v="3"/>
  </r>
  <r>
    <x v="2"/>
    <x v="15"/>
    <x v="172"/>
    <x v="2"/>
    <m/>
    <s v="72 horas"/>
    <s v="N2"/>
    <x v="1"/>
    <x v="0"/>
    <m/>
    <x v="3"/>
  </r>
  <r>
    <x v="2"/>
    <x v="15"/>
    <x v="173"/>
    <x v="2"/>
    <m/>
    <s v="72 horas"/>
    <s v="N2"/>
    <x v="1"/>
    <x v="0"/>
    <m/>
    <x v="3"/>
  </r>
  <r>
    <x v="2"/>
    <x v="15"/>
    <x v="174"/>
    <x v="2"/>
    <m/>
    <s v="72 horas"/>
    <s v="N2"/>
    <x v="1"/>
    <x v="0"/>
    <m/>
    <x v="3"/>
  </r>
  <r>
    <x v="2"/>
    <x v="15"/>
    <x v="175"/>
    <x v="2"/>
    <m/>
    <s v="72 horas"/>
    <s v="FS"/>
    <x v="1"/>
    <x v="0"/>
    <m/>
    <x v="3"/>
  </r>
  <r>
    <x v="2"/>
    <x v="15"/>
    <x v="176"/>
    <x v="2"/>
    <m/>
    <s v="72 horas"/>
    <s v="FS"/>
    <x v="1"/>
    <x v="0"/>
    <m/>
    <x v="3"/>
  </r>
  <r>
    <x v="2"/>
    <x v="15"/>
    <x v="177"/>
    <x v="2"/>
    <m/>
    <s v="72 horas"/>
    <s v="N2"/>
    <x v="1"/>
    <x v="0"/>
    <m/>
    <x v="3"/>
  </r>
  <r>
    <x v="2"/>
    <x v="15"/>
    <x v="178"/>
    <x v="2"/>
    <m/>
    <s v="72 horas"/>
    <s v="N2"/>
    <x v="1"/>
    <x v="0"/>
    <m/>
    <x v="3"/>
  </r>
  <r>
    <x v="2"/>
    <x v="15"/>
    <x v="179"/>
    <x v="2"/>
    <m/>
    <s v="72 horas"/>
    <s v="N2"/>
    <x v="1"/>
    <x v="0"/>
    <m/>
    <x v="3"/>
  </r>
  <r>
    <x v="2"/>
    <x v="15"/>
    <x v="180"/>
    <x v="2"/>
    <m/>
    <s v="72 horas"/>
    <s v="N2"/>
    <x v="1"/>
    <x v="0"/>
    <m/>
    <x v="3"/>
  </r>
  <r>
    <x v="2"/>
    <x v="15"/>
    <x v="181"/>
    <x v="2"/>
    <m/>
    <s v="72 horas"/>
    <s v="N2"/>
    <x v="1"/>
    <x v="0"/>
    <m/>
    <x v="3"/>
  </r>
  <r>
    <x v="2"/>
    <x v="15"/>
    <x v="182"/>
    <x v="2"/>
    <m/>
    <s v="72 horas"/>
    <s v="N2"/>
    <x v="1"/>
    <x v="0"/>
    <m/>
    <x v="3"/>
  </r>
  <r>
    <x v="2"/>
    <x v="15"/>
    <x v="183"/>
    <x v="2"/>
    <m/>
    <s v="72 horas"/>
    <s v="N2"/>
    <x v="1"/>
    <x v="0"/>
    <m/>
    <x v="3"/>
  </r>
  <r>
    <x v="2"/>
    <x v="15"/>
    <x v="184"/>
    <x v="2"/>
    <m/>
    <s v="72 horas"/>
    <s v="N2"/>
    <x v="1"/>
    <x v="0"/>
    <m/>
    <x v="3"/>
  </r>
  <r>
    <x v="2"/>
    <x v="15"/>
    <x v="185"/>
    <x v="3"/>
    <m/>
    <s v="72 horas"/>
    <s v="N2"/>
    <x v="1"/>
    <x v="0"/>
    <m/>
    <x v="3"/>
  </r>
  <r>
    <x v="2"/>
    <x v="15"/>
    <x v="186"/>
    <x v="3"/>
    <m/>
    <s v="72 horas"/>
    <s v="N1"/>
    <x v="1"/>
    <x v="0"/>
    <m/>
    <x v="3"/>
  </r>
  <r>
    <x v="2"/>
    <x v="25"/>
    <x v="187"/>
    <x v="4"/>
    <m/>
    <s v="72 horas"/>
    <s v="FS"/>
    <x v="3"/>
    <x v="1"/>
    <m/>
    <x v="3"/>
  </r>
  <r>
    <x v="2"/>
    <x v="25"/>
    <x v="188"/>
    <x v="4"/>
    <m/>
    <s v="72 horas"/>
    <s v="FS"/>
    <x v="3"/>
    <x v="1"/>
    <m/>
    <x v="3"/>
  </r>
  <r>
    <x v="2"/>
    <x v="25"/>
    <x v="189"/>
    <x v="4"/>
    <m/>
    <s v="72 horas"/>
    <s v="FS"/>
    <x v="3"/>
    <x v="1"/>
    <m/>
    <x v="3"/>
  </r>
  <r>
    <x v="2"/>
    <x v="25"/>
    <x v="190"/>
    <x v="4"/>
    <m/>
    <s v="72 horas"/>
    <s v="FS"/>
    <x v="3"/>
    <x v="1"/>
    <m/>
    <x v="3"/>
  </r>
  <r>
    <x v="2"/>
    <x v="25"/>
    <x v="191"/>
    <x v="4"/>
    <m/>
    <s v="72 horas"/>
    <s v="FS"/>
    <x v="3"/>
    <x v="1"/>
    <m/>
    <x v="3"/>
  </r>
  <r>
    <x v="2"/>
    <x v="25"/>
    <x v="192"/>
    <x v="4"/>
    <m/>
    <s v="72 horas"/>
    <s v="FS"/>
    <x v="3"/>
    <x v="1"/>
    <m/>
    <x v="3"/>
  </r>
  <r>
    <x v="2"/>
    <x v="25"/>
    <x v="193"/>
    <x v="4"/>
    <m/>
    <s v="72 horas"/>
    <s v="FS"/>
    <x v="3"/>
    <x v="1"/>
    <m/>
    <x v="3"/>
  </r>
  <r>
    <x v="2"/>
    <x v="25"/>
    <x v="194"/>
    <x v="4"/>
    <m/>
    <s v="72 horas"/>
    <s v="FS"/>
    <x v="3"/>
    <x v="1"/>
    <m/>
    <x v="3"/>
  </r>
  <r>
    <x v="2"/>
    <x v="25"/>
    <x v="195"/>
    <x v="4"/>
    <m/>
    <s v="72 horas"/>
    <s v="FS"/>
    <x v="3"/>
    <x v="1"/>
    <m/>
    <x v="3"/>
  </r>
  <r>
    <x v="2"/>
    <x v="25"/>
    <x v="196"/>
    <x v="4"/>
    <m/>
    <s v="72 horas"/>
    <s v="FS"/>
    <x v="3"/>
    <x v="1"/>
    <m/>
    <x v="3"/>
  </r>
  <r>
    <x v="2"/>
    <x v="25"/>
    <x v="197"/>
    <x v="4"/>
    <m/>
    <s v="72 horas"/>
    <s v="FS"/>
    <x v="3"/>
    <x v="1"/>
    <m/>
    <x v="3"/>
  </r>
  <r>
    <x v="2"/>
    <x v="25"/>
    <x v="198"/>
    <x v="4"/>
    <m/>
    <s v="72 horas"/>
    <s v="FS"/>
    <x v="3"/>
    <x v="1"/>
    <m/>
    <x v="3"/>
  </r>
  <r>
    <x v="2"/>
    <x v="25"/>
    <x v="199"/>
    <x v="4"/>
    <m/>
    <s v="72 horas"/>
    <s v="FS"/>
    <x v="3"/>
    <x v="1"/>
    <m/>
    <x v="3"/>
  </r>
  <r>
    <x v="2"/>
    <x v="25"/>
    <x v="200"/>
    <x v="4"/>
    <m/>
    <s v="72 horas"/>
    <s v="FS"/>
    <x v="3"/>
    <x v="1"/>
    <m/>
    <x v="3"/>
  </r>
  <r>
    <x v="2"/>
    <x v="25"/>
    <x v="201"/>
    <x v="4"/>
    <m/>
    <s v="72 horas"/>
    <s v="FS"/>
    <x v="3"/>
    <x v="1"/>
    <m/>
    <x v="3"/>
  </r>
  <r>
    <x v="2"/>
    <x v="4"/>
    <x v="202"/>
    <x v="3"/>
    <m/>
    <s v="72 horas"/>
    <s v="N1"/>
    <x v="1"/>
    <x v="0"/>
    <m/>
    <x v="3"/>
  </r>
  <r>
    <x v="2"/>
    <x v="4"/>
    <x v="203"/>
    <x v="3"/>
    <m/>
    <s v="72 horas"/>
    <s v="N1"/>
    <x v="1"/>
    <x v="0"/>
    <m/>
    <x v="3"/>
  </r>
  <r>
    <x v="2"/>
    <x v="4"/>
    <x v="204"/>
    <x v="3"/>
    <m/>
    <s v="72 horas"/>
    <s v="N2"/>
    <x v="1"/>
    <x v="0"/>
    <m/>
    <x v="3"/>
  </r>
  <r>
    <x v="2"/>
    <x v="4"/>
    <x v="205"/>
    <x v="3"/>
    <m/>
    <s v="72 horas"/>
    <s v="N1"/>
    <x v="1"/>
    <x v="0"/>
    <m/>
    <x v="3"/>
  </r>
  <r>
    <x v="2"/>
    <x v="4"/>
    <x v="206"/>
    <x v="3"/>
    <m/>
    <s v="72 horas"/>
    <s v="N1"/>
    <x v="1"/>
    <x v="0"/>
    <m/>
    <x v="3"/>
  </r>
  <r>
    <x v="2"/>
    <x v="4"/>
    <x v="207"/>
    <x v="3"/>
    <m/>
    <s v="72 horas"/>
    <s v="N2"/>
    <x v="1"/>
    <x v="0"/>
    <m/>
    <x v="3"/>
  </r>
  <r>
    <x v="2"/>
    <x v="4"/>
    <x v="208"/>
    <x v="3"/>
    <m/>
    <s v="72 horas"/>
    <s v="N1"/>
    <x v="1"/>
    <x v="0"/>
    <m/>
    <x v="3"/>
  </r>
  <r>
    <x v="2"/>
    <x v="4"/>
    <x v="209"/>
    <x v="3"/>
    <m/>
    <s v="72 horas"/>
    <s v="N2"/>
    <x v="1"/>
    <x v="0"/>
    <m/>
    <x v="3"/>
  </r>
  <r>
    <x v="2"/>
    <x v="4"/>
    <x v="210"/>
    <x v="3"/>
    <m/>
    <s v="72 horas"/>
    <s v="N2"/>
    <x v="1"/>
    <x v="0"/>
    <m/>
    <x v="3"/>
  </r>
  <r>
    <x v="2"/>
    <x v="4"/>
    <x v="211"/>
    <x v="3"/>
    <m/>
    <s v="72 horas"/>
    <s v="N2"/>
    <x v="1"/>
    <x v="0"/>
    <m/>
    <x v="3"/>
  </r>
  <r>
    <x v="2"/>
    <x v="4"/>
    <x v="212"/>
    <x v="3"/>
    <m/>
    <s v="72 horas"/>
    <s v="N2"/>
    <x v="1"/>
    <x v="0"/>
    <m/>
    <x v="3"/>
  </r>
  <r>
    <x v="2"/>
    <x v="4"/>
    <x v="213"/>
    <x v="3"/>
    <m/>
    <s v="72 horas"/>
    <s v="N2"/>
    <x v="1"/>
    <x v="0"/>
    <m/>
    <x v="3"/>
  </r>
  <r>
    <x v="2"/>
    <x v="4"/>
    <x v="214"/>
    <x v="3"/>
    <m/>
    <s v="72 horas"/>
    <s v="N2"/>
    <x v="1"/>
    <x v="0"/>
    <m/>
    <x v="3"/>
  </r>
  <r>
    <x v="2"/>
    <x v="4"/>
    <x v="215"/>
    <x v="3"/>
    <m/>
    <s v="72 horas"/>
    <s v="N2"/>
    <x v="1"/>
    <x v="0"/>
    <m/>
    <x v="3"/>
  </r>
  <r>
    <x v="2"/>
    <x v="4"/>
    <x v="216"/>
    <x v="3"/>
    <m/>
    <s v="72 horas"/>
    <s v="N2"/>
    <x v="1"/>
    <x v="0"/>
    <m/>
    <x v="3"/>
  </r>
  <r>
    <x v="2"/>
    <x v="4"/>
    <x v="217"/>
    <x v="3"/>
    <m/>
    <s v="72 horas"/>
    <s v="N1"/>
    <x v="1"/>
    <x v="0"/>
    <m/>
    <x v="3"/>
  </r>
  <r>
    <x v="2"/>
    <x v="16"/>
    <x v="218"/>
    <x v="3"/>
    <m/>
    <s v="72 horas"/>
    <s v="N2"/>
    <x v="1"/>
    <x v="0"/>
    <m/>
    <x v="3"/>
  </r>
  <r>
    <x v="2"/>
    <x v="16"/>
    <x v="219"/>
    <x v="3"/>
    <m/>
    <s v="72 horas"/>
    <s v="N2"/>
    <x v="1"/>
    <x v="0"/>
    <m/>
    <x v="3"/>
  </r>
  <r>
    <x v="2"/>
    <x v="16"/>
    <x v="220"/>
    <x v="3"/>
    <m/>
    <s v="72 horas"/>
    <s v="N1"/>
    <x v="1"/>
    <x v="0"/>
    <m/>
    <x v="3"/>
  </r>
  <r>
    <x v="2"/>
    <x v="16"/>
    <x v="221"/>
    <x v="3"/>
    <m/>
    <s v="72 horas"/>
    <s v="N2"/>
    <x v="1"/>
    <x v="0"/>
    <m/>
    <x v="3"/>
  </r>
  <r>
    <x v="2"/>
    <x v="16"/>
    <x v="222"/>
    <x v="3"/>
    <m/>
    <s v="72 horas"/>
    <s v="N2"/>
    <x v="1"/>
    <x v="0"/>
    <m/>
    <x v="3"/>
  </r>
  <r>
    <x v="2"/>
    <x v="17"/>
    <x v="223"/>
    <x v="2"/>
    <m/>
    <s v="72 horas"/>
    <s v="N2"/>
    <x v="1"/>
    <x v="0"/>
    <m/>
    <x v="3"/>
  </r>
  <r>
    <x v="2"/>
    <x v="17"/>
    <x v="224"/>
    <x v="2"/>
    <m/>
    <s v="72 horas"/>
    <s v="N2"/>
    <x v="1"/>
    <x v="0"/>
    <m/>
    <x v="3"/>
  </r>
  <r>
    <x v="2"/>
    <x v="17"/>
    <x v="225"/>
    <x v="2"/>
    <m/>
    <s v="72 horas"/>
    <s v="N1"/>
    <x v="1"/>
    <x v="0"/>
    <m/>
    <x v="3"/>
  </r>
  <r>
    <x v="2"/>
    <x v="17"/>
    <x v="226"/>
    <x v="2"/>
    <m/>
    <s v="72 horas"/>
    <s v="N2"/>
    <x v="1"/>
    <x v="0"/>
    <m/>
    <x v="3"/>
  </r>
  <r>
    <x v="2"/>
    <x v="17"/>
    <x v="227"/>
    <x v="2"/>
    <m/>
    <s v="72 horas"/>
    <s v="N1"/>
    <x v="1"/>
    <x v="0"/>
    <m/>
    <x v="3"/>
  </r>
  <r>
    <x v="2"/>
    <x v="17"/>
    <x v="228"/>
    <x v="2"/>
    <m/>
    <s v="72 horas"/>
    <s v="N2"/>
    <x v="1"/>
    <x v="0"/>
    <m/>
    <x v="3"/>
  </r>
  <r>
    <x v="2"/>
    <x v="26"/>
    <x v="229"/>
    <x v="2"/>
    <m/>
    <s v="72 horas"/>
    <s v="N2"/>
    <x v="1"/>
    <x v="0"/>
    <m/>
    <x v="3"/>
  </r>
  <r>
    <x v="2"/>
    <x v="26"/>
    <x v="230"/>
    <x v="2"/>
    <m/>
    <s v="72 horas"/>
    <s v="N2"/>
    <x v="1"/>
    <x v="0"/>
    <m/>
    <x v="3"/>
  </r>
  <r>
    <x v="2"/>
    <x v="26"/>
    <x v="231"/>
    <x v="2"/>
    <m/>
    <s v="72 horas"/>
    <s v="N2"/>
    <x v="1"/>
    <x v="0"/>
    <m/>
    <x v="3"/>
  </r>
  <r>
    <x v="2"/>
    <x v="26"/>
    <x v="232"/>
    <x v="2"/>
    <m/>
    <s v="72 horas"/>
    <s v="N2"/>
    <x v="1"/>
    <x v="0"/>
    <m/>
    <x v="3"/>
  </r>
  <r>
    <x v="2"/>
    <x v="26"/>
    <x v="233"/>
    <x v="2"/>
    <m/>
    <s v="72 horas"/>
    <s v="N2"/>
    <x v="1"/>
    <x v="0"/>
    <m/>
    <x v="3"/>
  </r>
  <r>
    <x v="2"/>
    <x v="26"/>
    <x v="234"/>
    <x v="2"/>
    <m/>
    <s v="72 horas"/>
    <s v="N2"/>
    <x v="1"/>
    <x v="0"/>
    <m/>
    <x v="3"/>
  </r>
  <r>
    <x v="2"/>
    <x v="5"/>
    <x v="235"/>
    <x v="2"/>
    <m/>
    <s v="72 horas"/>
    <s v="N2"/>
    <x v="1"/>
    <x v="0"/>
    <m/>
    <x v="3"/>
  </r>
  <r>
    <x v="2"/>
    <x v="5"/>
    <x v="236"/>
    <x v="2"/>
    <m/>
    <s v="72 horas"/>
    <s v="N2"/>
    <x v="1"/>
    <x v="0"/>
    <m/>
    <x v="3"/>
  </r>
  <r>
    <x v="2"/>
    <x v="5"/>
    <x v="237"/>
    <x v="2"/>
    <m/>
    <s v="72 horas"/>
    <s v="N2"/>
    <x v="1"/>
    <x v="0"/>
    <m/>
    <x v="3"/>
  </r>
  <r>
    <x v="2"/>
    <x v="5"/>
    <x v="238"/>
    <x v="2"/>
    <m/>
    <s v="72 horas"/>
    <s v="N2"/>
    <x v="1"/>
    <x v="0"/>
    <m/>
    <x v="3"/>
  </r>
  <r>
    <x v="2"/>
    <x v="5"/>
    <x v="239"/>
    <x v="2"/>
    <m/>
    <s v="72 horas"/>
    <s v="N2"/>
    <x v="1"/>
    <x v="0"/>
    <m/>
    <x v="3"/>
  </r>
  <r>
    <x v="2"/>
    <x v="5"/>
    <x v="240"/>
    <x v="2"/>
    <m/>
    <s v="72 horas"/>
    <s v="N2"/>
    <x v="1"/>
    <x v="0"/>
    <m/>
    <x v="3"/>
  </r>
  <r>
    <x v="2"/>
    <x v="5"/>
    <x v="241"/>
    <x v="2"/>
    <m/>
    <s v="72 horas"/>
    <s v="N2"/>
    <x v="1"/>
    <x v="0"/>
    <m/>
    <x v="3"/>
  </r>
  <r>
    <x v="2"/>
    <x v="5"/>
    <x v="242"/>
    <x v="2"/>
    <m/>
    <s v="72 horas"/>
    <s v="N2"/>
    <x v="1"/>
    <x v="0"/>
    <m/>
    <x v="3"/>
  </r>
  <r>
    <x v="2"/>
    <x v="5"/>
    <x v="243"/>
    <x v="2"/>
    <m/>
    <s v="72 horas"/>
    <s v="N2"/>
    <x v="1"/>
    <x v="0"/>
    <m/>
    <x v="3"/>
  </r>
  <r>
    <x v="2"/>
    <x v="21"/>
    <x v="88"/>
    <x v="5"/>
    <m/>
    <s v="72 horas"/>
    <s v="FS"/>
    <x v="3"/>
    <x v="1"/>
    <m/>
    <x v="3"/>
  </r>
  <r>
    <x v="2"/>
    <x v="21"/>
    <x v="163"/>
    <x v="5"/>
    <m/>
    <s v="72 horas"/>
    <s v="FS"/>
    <x v="3"/>
    <x v="1"/>
    <m/>
    <x v="3"/>
  </r>
  <r>
    <x v="2"/>
    <x v="21"/>
    <x v="244"/>
    <x v="5"/>
    <m/>
    <s v="72 horas"/>
    <s v="FS"/>
    <x v="3"/>
    <x v="1"/>
    <m/>
    <x v="3"/>
  </r>
  <r>
    <x v="2"/>
    <x v="21"/>
    <x v="158"/>
    <x v="5"/>
    <m/>
    <s v="72 horas"/>
    <s v="FS"/>
    <x v="3"/>
    <x v="1"/>
    <m/>
    <x v="3"/>
  </r>
  <r>
    <x v="2"/>
    <x v="21"/>
    <x v="92"/>
    <x v="5"/>
    <m/>
    <s v="72 horas"/>
    <s v="FS"/>
    <x v="3"/>
    <x v="1"/>
    <m/>
    <x v="3"/>
  </r>
  <r>
    <x v="2"/>
    <x v="18"/>
    <x v="245"/>
    <x v="6"/>
    <m/>
    <s v="72 horas"/>
    <s v="N1"/>
    <x v="1"/>
    <x v="0"/>
    <m/>
    <x v="3"/>
  </r>
  <r>
    <x v="2"/>
    <x v="18"/>
    <x v="246"/>
    <x v="6"/>
    <m/>
    <s v="72 horas"/>
    <s v="N1"/>
    <x v="1"/>
    <x v="0"/>
    <m/>
    <x v="3"/>
  </r>
  <r>
    <x v="2"/>
    <x v="18"/>
    <x v="247"/>
    <x v="6"/>
    <m/>
    <s v="72 horas"/>
    <s v="N1"/>
    <x v="1"/>
    <x v="0"/>
    <m/>
    <x v="3"/>
  </r>
  <r>
    <x v="2"/>
    <x v="19"/>
    <x v="248"/>
    <x v="6"/>
    <m/>
    <s v="72 horas"/>
    <s v="N2"/>
    <x v="1"/>
    <x v="0"/>
    <m/>
    <x v="3"/>
  </r>
  <r>
    <x v="2"/>
    <x v="19"/>
    <x v="249"/>
    <x v="6"/>
    <m/>
    <s v="72 horas"/>
    <s v="N1"/>
    <x v="1"/>
    <x v="0"/>
    <m/>
    <x v="3"/>
  </r>
  <r>
    <x v="2"/>
    <x v="19"/>
    <x v="250"/>
    <x v="6"/>
    <m/>
    <s v="72 horas"/>
    <s v="N1"/>
    <x v="1"/>
    <x v="0"/>
    <m/>
    <x v="3"/>
  </r>
  <r>
    <x v="2"/>
    <x v="19"/>
    <x v="251"/>
    <x v="6"/>
    <m/>
    <s v="72 horas"/>
    <s v="N1"/>
    <x v="1"/>
    <x v="0"/>
    <m/>
    <x v="3"/>
  </r>
  <r>
    <x v="2"/>
    <x v="19"/>
    <x v="252"/>
    <x v="6"/>
    <m/>
    <s v="72 horas"/>
    <s v="N2"/>
    <x v="1"/>
    <x v="0"/>
    <m/>
    <x v="3"/>
  </r>
  <r>
    <x v="2"/>
    <x v="19"/>
    <x v="253"/>
    <x v="6"/>
    <m/>
    <s v="72 horas"/>
    <s v="N2"/>
    <x v="1"/>
    <x v="0"/>
    <m/>
    <x v="3"/>
  </r>
  <r>
    <x v="2"/>
    <x v="19"/>
    <x v="254"/>
    <x v="6"/>
    <m/>
    <s v="72 horas"/>
    <s v="N2"/>
    <x v="1"/>
    <x v="0"/>
    <m/>
    <x v="3"/>
  </r>
  <r>
    <x v="2"/>
    <x v="19"/>
    <x v="255"/>
    <x v="6"/>
    <m/>
    <s v="72 horas"/>
    <s v="N2"/>
    <x v="1"/>
    <x v="0"/>
    <m/>
    <x v="3"/>
  </r>
  <r>
    <x v="2"/>
    <x v="19"/>
    <x v="256"/>
    <x v="6"/>
    <m/>
    <s v="72 horas"/>
    <s v="N2"/>
    <x v="1"/>
    <x v="0"/>
    <m/>
    <x v="3"/>
  </r>
  <r>
    <x v="2"/>
    <x v="19"/>
    <x v="257"/>
    <x v="6"/>
    <m/>
    <s v="72 horas"/>
    <s v="N1"/>
    <x v="1"/>
    <x v="0"/>
    <m/>
    <x v="3"/>
  </r>
  <r>
    <x v="2"/>
    <x v="19"/>
    <x v="258"/>
    <x v="6"/>
    <m/>
    <s v="72 horas"/>
    <s v="N1"/>
    <x v="1"/>
    <x v="0"/>
    <m/>
    <x v="3"/>
  </r>
  <r>
    <x v="2"/>
    <x v="19"/>
    <x v="259"/>
    <x v="6"/>
    <m/>
    <s v="72 horas"/>
    <s v="N1"/>
    <x v="1"/>
    <x v="0"/>
    <m/>
    <x v="3"/>
  </r>
  <r>
    <x v="2"/>
    <x v="19"/>
    <x v="260"/>
    <x v="6"/>
    <m/>
    <s v="72 horas"/>
    <s v="N2"/>
    <x v="1"/>
    <x v="0"/>
    <m/>
    <x v="3"/>
  </r>
  <r>
    <x v="2"/>
    <x v="19"/>
    <x v="261"/>
    <x v="6"/>
    <m/>
    <s v="72 horas"/>
    <s v="N2"/>
    <x v="1"/>
    <x v="0"/>
    <m/>
    <x v="3"/>
  </r>
  <r>
    <x v="2"/>
    <x v="19"/>
    <x v="262"/>
    <x v="6"/>
    <m/>
    <s v="72 horas"/>
    <s v="N2"/>
    <x v="1"/>
    <x v="0"/>
    <m/>
    <x v="3"/>
  </r>
  <r>
    <x v="2"/>
    <x v="19"/>
    <x v="263"/>
    <x v="6"/>
    <m/>
    <s v="72 horas"/>
    <s v="N2"/>
    <x v="1"/>
    <x v="0"/>
    <m/>
    <x v="3"/>
  </r>
  <r>
    <x v="2"/>
    <x v="19"/>
    <x v="264"/>
    <x v="6"/>
    <m/>
    <s v="72 horas"/>
    <s v="N2"/>
    <x v="1"/>
    <x v="0"/>
    <m/>
    <x v="3"/>
  </r>
  <r>
    <x v="2"/>
    <x v="20"/>
    <x v="249"/>
    <x v="6"/>
    <m/>
    <s v="72 horas"/>
    <s v="N1"/>
    <x v="3"/>
    <x v="1"/>
    <m/>
    <x v="3"/>
  </r>
  <r>
    <x v="2"/>
    <x v="20"/>
    <x v="250"/>
    <x v="6"/>
    <m/>
    <s v="72 horas"/>
    <s v="N1"/>
    <x v="3"/>
    <x v="1"/>
    <m/>
    <x v="3"/>
  </r>
  <r>
    <x v="2"/>
    <x v="20"/>
    <x v="251"/>
    <x v="6"/>
    <m/>
    <s v="72 horas"/>
    <s v="N1"/>
    <x v="3"/>
    <x v="1"/>
    <m/>
    <x v="3"/>
  </r>
  <r>
    <x v="2"/>
    <x v="20"/>
    <x v="265"/>
    <x v="6"/>
    <m/>
    <s v="72 horas"/>
    <s v="FS"/>
    <x v="3"/>
    <x v="1"/>
    <m/>
    <x v="3"/>
  </r>
  <r>
    <x v="2"/>
    <x v="20"/>
    <x v="266"/>
    <x v="6"/>
    <m/>
    <s v="72 horas"/>
    <s v="N1"/>
    <x v="3"/>
    <x v="1"/>
    <m/>
    <x v="3"/>
  </r>
  <r>
    <x v="2"/>
    <x v="20"/>
    <x v="267"/>
    <x v="6"/>
    <m/>
    <s v="72 horas"/>
    <s v="N1"/>
    <x v="3"/>
    <x v="1"/>
    <m/>
    <x v="3"/>
  </r>
  <r>
    <x v="2"/>
    <x v="20"/>
    <x v="268"/>
    <x v="6"/>
    <m/>
    <s v="72 horas"/>
    <s v="N1"/>
    <x v="3"/>
    <x v="1"/>
    <m/>
    <x v="3"/>
  </r>
  <r>
    <x v="2"/>
    <x v="20"/>
    <x v="269"/>
    <x v="6"/>
    <m/>
    <s v="72 horas"/>
    <s v="N1"/>
    <x v="3"/>
    <x v="1"/>
    <m/>
    <x v="3"/>
  </r>
  <r>
    <x v="2"/>
    <x v="20"/>
    <x v="270"/>
    <x v="6"/>
    <m/>
    <s v="72 horas"/>
    <s v="N1"/>
    <x v="3"/>
    <x v="1"/>
    <m/>
    <x v="3"/>
  </r>
  <r>
    <x v="2"/>
    <x v="20"/>
    <x v="271"/>
    <x v="6"/>
    <m/>
    <s v="72 horas"/>
    <s v="N1"/>
    <x v="3"/>
    <x v="1"/>
    <m/>
    <x v="3"/>
  </r>
  <r>
    <x v="2"/>
    <x v="7"/>
    <x v="272"/>
    <x v="2"/>
    <m/>
    <s v="72 horas"/>
    <s v="N2"/>
    <x v="1"/>
    <x v="0"/>
    <m/>
    <x v="3"/>
  </r>
  <r>
    <x v="2"/>
    <x v="7"/>
    <x v="273"/>
    <x v="2"/>
    <m/>
    <s v="72 horas"/>
    <s v="N2"/>
    <x v="1"/>
    <x v="0"/>
    <m/>
    <x v="3"/>
  </r>
  <r>
    <x v="2"/>
    <x v="7"/>
    <x v="274"/>
    <x v="2"/>
    <m/>
    <s v="72 horas"/>
    <s v="N2"/>
    <x v="1"/>
    <x v="0"/>
    <m/>
    <x v="3"/>
  </r>
  <r>
    <x v="2"/>
    <x v="7"/>
    <x v="275"/>
    <x v="2"/>
    <m/>
    <s v="72 horas"/>
    <s v="N2"/>
    <x v="1"/>
    <x v="0"/>
    <m/>
    <x v="3"/>
  </r>
  <r>
    <x v="2"/>
    <x v="7"/>
    <x v="276"/>
    <x v="2"/>
    <m/>
    <s v="72 horas"/>
    <s v="N2"/>
    <x v="1"/>
    <x v="0"/>
    <m/>
    <x v="3"/>
  </r>
  <r>
    <x v="2"/>
    <x v="7"/>
    <x v="277"/>
    <x v="2"/>
    <m/>
    <s v="72 horas"/>
    <s v="N2"/>
    <x v="1"/>
    <x v="0"/>
    <m/>
    <x v="3"/>
  </r>
  <r>
    <x v="2"/>
    <x v="7"/>
    <x v="278"/>
    <x v="2"/>
    <m/>
    <s v="72 horas"/>
    <s v="N2"/>
    <x v="1"/>
    <x v="0"/>
    <m/>
    <x v="3"/>
  </r>
  <r>
    <x v="2"/>
    <x v="7"/>
    <x v="279"/>
    <x v="2"/>
    <m/>
    <s v="72 horas"/>
    <s v="N2"/>
    <x v="1"/>
    <x v="0"/>
    <m/>
    <x v="3"/>
  </r>
  <r>
    <x v="2"/>
    <x v="7"/>
    <x v="280"/>
    <x v="2"/>
    <m/>
    <s v="72 horas"/>
    <s v="N2"/>
    <x v="1"/>
    <x v="0"/>
    <m/>
    <x v="3"/>
  </r>
  <r>
    <x v="2"/>
    <x v="7"/>
    <x v="281"/>
    <x v="2"/>
    <m/>
    <s v="72 horas"/>
    <s v="N2"/>
    <x v="1"/>
    <x v="0"/>
    <m/>
    <x v="3"/>
  </r>
  <r>
    <x v="2"/>
    <x v="7"/>
    <x v="282"/>
    <x v="2"/>
    <m/>
    <s v="72 horas"/>
    <s v="N2"/>
    <x v="1"/>
    <x v="0"/>
    <m/>
    <x v="3"/>
  </r>
  <r>
    <x v="2"/>
    <x v="7"/>
    <x v="283"/>
    <x v="2"/>
    <m/>
    <s v="72 horas"/>
    <s v="N2"/>
    <x v="1"/>
    <x v="0"/>
    <m/>
    <x v="3"/>
  </r>
  <r>
    <x v="2"/>
    <x v="7"/>
    <x v="284"/>
    <x v="2"/>
    <m/>
    <s v="72 horas"/>
    <s v="N2"/>
    <x v="1"/>
    <x v="0"/>
    <m/>
    <x v="3"/>
  </r>
  <r>
    <x v="2"/>
    <x v="7"/>
    <x v="285"/>
    <x v="2"/>
    <m/>
    <s v="72 horas"/>
    <s v="N2"/>
    <x v="1"/>
    <x v="0"/>
    <m/>
    <x v="3"/>
  </r>
  <r>
    <x v="2"/>
    <x v="7"/>
    <x v="286"/>
    <x v="2"/>
    <m/>
    <s v="72 horas"/>
    <s v="N2"/>
    <x v="1"/>
    <x v="0"/>
    <m/>
    <x v="3"/>
  </r>
  <r>
    <x v="2"/>
    <x v="7"/>
    <x v="287"/>
    <x v="2"/>
    <m/>
    <s v="72 horas"/>
    <s v="N2"/>
    <x v="1"/>
    <x v="0"/>
    <m/>
    <x v="3"/>
  </r>
  <r>
    <x v="2"/>
    <x v="7"/>
    <x v="288"/>
    <x v="2"/>
    <m/>
    <s v="72 horas"/>
    <s v="N2"/>
    <x v="1"/>
    <x v="0"/>
    <m/>
    <x v="3"/>
  </r>
  <r>
    <x v="2"/>
    <x v="7"/>
    <x v="289"/>
    <x v="2"/>
    <m/>
    <s v="72 horas"/>
    <s v="N2"/>
    <x v="1"/>
    <x v="0"/>
    <m/>
    <x v="3"/>
  </r>
  <r>
    <x v="2"/>
    <x v="7"/>
    <x v="290"/>
    <x v="2"/>
    <m/>
    <s v="72 horas"/>
    <s v="N2"/>
    <x v="1"/>
    <x v="0"/>
    <m/>
    <x v="3"/>
  </r>
  <r>
    <x v="2"/>
    <x v="7"/>
    <x v="291"/>
    <x v="2"/>
    <m/>
    <s v="72 horas"/>
    <s v="N2"/>
    <x v="1"/>
    <x v="0"/>
    <m/>
    <x v="3"/>
  </r>
  <r>
    <x v="2"/>
    <x v="7"/>
    <x v="292"/>
    <x v="2"/>
    <m/>
    <s v="72 horas"/>
    <s v="N2"/>
    <x v="1"/>
    <x v="0"/>
    <m/>
    <x v="3"/>
  </r>
  <r>
    <x v="2"/>
    <x v="7"/>
    <x v="293"/>
    <x v="2"/>
    <m/>
    <s v="72 horas"/>
    <s v="N2"/>
    <x v="1"/>
    <x v="0"/>
    <m/>
    <x v="3"/>
  </r>
  <r>
    <x v="2"/>
    <x v="7"/>
    <x v="294"/>
    <x v="2"/>
    <m/>
    <s v="72 horas"/>
    <s v="N2"/>
    <x v="1"/>
    <x v="0"/>
    <m/>
    <x v="3"/>
  </r>
  <r>
    <x v="2"/>
    <x v="0"/>
    <x v="163"/>
    <x v="0"/>
    <m/>
    <s v="120 horas"/>
    <s v="N1"/>
    <x v="0"/>
    <x v="0"/>
    <m/>
    <x v="2"/>
  </r>
  <r>
    <x v="2"/>
    <x v="0"/>
    <x v="295"/>
    <x v="0"/>
    <m/>
    <s v="120 horas"/>
    <s v="N2"/>
    <x v="2"/>
    <x v="0"/>
    <m/>
    <x v="2"/>
  </r>
  <r>
    <x v="2"/>
    <x v="0"/>
    <x v="296"/>
    <x v="0"/>
    <m/>
    <s v="120 horas"/>
    <s v="N2"/>
    <x v="2"/>
    <x v="0"/>
    <m/>
    <x v="2"/>
  </r>
  <r>
    <x v="2"/>
    <x v="0"/>
    <x v="161"/>
    <x v="0"/>
    <m/>
    <s v="120 horas"/>
    <s v="N1"/>
    <x v="0"/>
    <x v="0"/>
    <m/>
    <x v="2"/>
  </r>
  <r>
    <x v="2"/>
    <x v="8"/>
    <x v="297"/>
    <x v="2"/>
    <m/>
    <s v="120 horas"/>
    <s v="N2"/>
    <x v="1"/>
    <x v="0"/>
    <m/>
    <x v="2"/>
  </r>
  <r>
    <x v="2"/>
    <x v="8"/>
    <x v="298"/>
    <x v="2"/>
    <m/>
    <s v="120 horas"/>
    <s v="N1"/>
    <x v="1"/>
    <x v="0"/>
    <m/>
    <x v="2"/>
  </r>
  <r>
    <x v="2"/>
    <x v="8"/>
    <x v="299"/>
    <x v="5"/>
    <m/>
    <s v="120 horas"/>
    <s v="N2"/>
    <x v="3"/>
    <x v="1"/>
    <m/>
    <x v="2"/>
  </r>
  <r>
    <x v="2"/>
    <x v="8"/>
    <x v="300"/>
    <x v="2"/>
    <m/>
    <s v="120 horas"/>
    <s v="N2"/>
    <x v="1"/>
    <x v="0"/>
    <m/>
    <x v="2"/>
  </r>
  <r>
    <x v="2"/>
    <x v="8"/>
    <x v="301"/>
    <x v="5"/>
    <m/>
    <s v="120 horas"/>
    <s v="N1"/>
    <x v="3"/>
    <x v="1"/>
    <m/>
    <x v="2"/>
  </r>
  <r>
    <x v="2"/>
    <x v="8"/>
    <x v="302"/>
    <x v="5"/>
    <m/>
    <s v="120 horas"/>
    <s v="N1"/>
    <x v="3"/>
    <x v="1"/>
    <m/>
    <x v="2"/>
  </r>
  <r>
    <x v="2"/>
    <x v="8"/>
    <x v="303"/>
    <x v="2"/>
    <m/>
    <s v="120 horas"/>
    <s v="N1"/>
    <x v="1"/>
    <x v="0"/>
    <m/>
    <x v="2"/>
  </r>
  <r>
    <x v="2"/>
    <x v="8"/>
    <x v="304"/>
    <x v="2"/>
    <m/>
    <s v="120 horas"/>
    <s v="N2"/>
    <x v="1"/>
    <x v="0"/>
    <m/>
    <x v="2"/>
  </r>
  <r>
    <x v="2"/>
    <x v="1"/>
    <x v="305"/>
    <x v="1"/>
    <m/>
    <s v="120 horas"/>
    <s v="N2"/>
    <x v="1"/>
    <x v="0"/>
    <m/>
    <x v="2"/>
  </r>
  <r>
    <x v="2"/>
    <x v="1"/>
    <x v="306"/>
    <x v="1"/>
    <m/>
    <s v="120 horas"/>
    <s v="N2"/>
    <x v="1"/>
    <x v="0"/>
    <m/>
    <x v="2"/>
  </r>
  <r>
    <x v="2"/>
    <x v="1"/>
    <x v="307"/>
    <x v="1"/>
    <m/>
    <s v="120 horas"/>
    <s v="N2"/>
    <x v="1"/>
    <x v="0"/>
    <m/>
    <x v="2"/>
  </r>
  <r>
    <x v="2"/>
    <x v="1"/>
    <x v="308"/>
    <x v="1"/>
    <m/>
    <s v="120 horas"/>
    <s v="N2"/>
    <x v="1"/>
    <x v="0"/>
    <m/>
    <x v="2"/>
  </r>
  <r>
    <x v="2"/>
    <x v="1"/>
    <x v="309"/>
    <x v="1"/>
    <m/>
    <s v="120 horas"/>
    <s v="N2"/>
    <x v="1"/>
    <x v="0"/>
    <m/>
    <x v="2"/>
  </r>
  <r>
    <x v="2"/>
    <x v="1"/>
    <x v="310"/>
    <x v="1"/>
    <m/>
    <s v="120 horas"/>
    <s v="N2"/>
    <x v="1"/>
    <x v="0"/>
    <m/>
    <x v="2"/>
  </r>
  <r>
    <x v="2"/>
    <x v="1"/>
    <x v="311"/>
    <x v="1"/>
    <m/>
    <s v="120 horas"/>
    <s v="N2"/>
    <x v="1"/>
    <x v="0"/>
    <m/>
    <x v="2"/>
  </r>
  <r>
    <x v="2"/>
    <x v="1"/>
    <x v="312"/>
    <x v="1"/>
    <m/>
    <s v="120 horas"/>
    <s v="N2"/>
    <x v="1"/>
    <x v="0"/>
    <m/>
    <x v="2"/>
  </r>
  <r>
    <x v="2"/>
    <x v="1"/>
    <x v="313"/>
    <x v="1"/>
    <m/>
    <s v="120 horas"/>
    <s v="N2"/>
    <x v="1"/>
    <x v="0"/>
    <m/>
    <x v="2"/>
  </r>
  <r>
    <x v="2"/>
    <x v="1"/>
    <x v="314"/>
    <x v="1"/>
    <m/>
    <s v="120 horas"/>
    <s v="N2"/>
    <x v="1"/>
    <x v="0"/>
    <m/>
    <x v="2"/>
  </r>
  <r>
    <x v="2"/>
    <x v="1"/>
    <x v="315"/>
    <x v="1"/>
    <m/>
    <s v="120 horas"/>
    <s v="N2"/>
    <x v="1"/>
    <x v="0"/>
    <m/>
    <x v="2"/>
  </r>
  <r>
    <x v="2"/>
    <x v="1"/>
    <x v="316"/>
    <x v="1"/>
    <m/>
    <s v="120 horas"/>
    <s v="N2"/>
    <x v="1"/>
    <x v="0"/>
    <m/>
    <x v="2"/>
  </r>
  <r>
    <x v="2"/>
    <x v="1"/>
    <x v="317"/>
    <x v="1"/>
    <m/>
    <s v="120 horas"/>
    <s v="N2"/>
    <x v="1"/>
    <x v="0"/>
    <m/>
    <x v="2"/>
  </r>
  <r>
    <x v="2"/>
    <x v="1"/>
    <x v="318"/>
    <x v="1"/>
    <m/>
    <s v="120 horas"/>
    <s v="N2"/>
    <x v="1"/>
    <x v="0"/>
    <m/>
    <x v="2"/>
  </r>
  <r>
    <x v="2"/>
    <x v="9"/>
    <x v="92"/>
    <x v="4"/>
    <m/>
    <s v="120 horas"/>
    <s v="FS"/>
    <x v="3"/>
    <x v="1"/>
    <m/>
    <x v="2"/>
  </r>
  <r>
    <x v="2"/>
    <x v="9"/>
    <x v="161"/>
    <x v="4"/>
    <m/>
    <s v="120 horas"/>
    <s v="FS"/>
    <x v="3"/>
    <x v="1"/>
    <m/>
    <x v="2"/>
  </r>
  <r>
    <x v="2"/>
    <x v="10"/>
    <x v="319"/>
    <x v="5"/>
    <m/>
    <s v="120 horas"/>
    <s v="FS"/>
    <x v="3"/>
    <x v="1"/>
    <m/>
    <x v="2"/>
  </r>
  <r>
    <x v="2"/>
    <x v="10"/>
    <x v="320"/>
    <x v="5"/>
    <m/>
    <s v="120 horas"/>
    <s v="FS"/>
    <x v="3"/>
    <x v="1"/>
    <m/>
    <x v="2"/>
  </r>
  <r>
    <x v="2"/>
    <x v="10"/>
    <x v="321"/>
    <x v="5"/>
    <m/>
    <s v="120 horas"/>
    <s v="FS"/>
    <x v="3"/>
    <x v="1"/>
    <m/>
    <x v="2"/>
  </r>
  <r>
    <x v="2"/>
    <x v="10"/>
    <x v="322"/>
    <x v="5"/>
    <m/>
    <s v="120 horas"/>
    <s v="FS"/>
    <x v="3"/>
    <x v="1"/>
    <m/>
    <x v="2"/>
  </r>
  <r>
    <x v="2"/>
    <x v="10"/>
    <x v="323"/>
    <x v="5"/>
    <m/>
    <s v="120 horas"/>
    <s v="FS"/>
    <x v="3"/>
    <x v="1"/>
    <m/>
    <x v="2"/>
  </r>
  <r>
    <x v="2"/>
    <x v="10"/>
    <x v="324"/>
    <x v="5"/>
    <m/>
    <s v="120 horas"/>
    <s v="FS"/>
    <x v="3"/>
    <x v="1"/>
    <m/>
    <x v="2"/>
  </r>
  <r>
    <x v="2"/>
    <x v="10"/>
    <x v="325"/>
    <x v="5"/>
    <m/>
    <s v="120 horas"/>
    <s v="FS"/>
    <x v="3"/>
    <x v="1"/>
    <m/>
    <x v="2"/>
  </r>
  <r>
    <x v="2"/>
    <x v="10"/>
    <x v="326"/>
    <x v="5"/>
    <m/>
    <s v="120 horas"/>
    <s v="FS"/>
    <x v="3"/>
    <x v="1"/>
    <m/>
    <x v="2"/>
  </r>
  <r>
    <x v="2"/>
    <x v="10"/>
    <x v="327"/>
    <x v="5"/>
    <m/>
    <s v="120 horas"/>
    <s v="FS"/>
    <x v="3"/>
    <x v="1"/>
    <m/>
    <x v="2"/>
  </r>
  <r>
    <x v="2"/>
    <x v="10"/>
    <x v="328"/>
    <x v="5"/>
    <m/>
    <s v="120 horas"/>
    <s v="FS"/>
    <x v="3"/>
    <x v="1"/>
    <m/>
    <x v="2"/>
  </r>
  <r>
    <x v="2"/>
    <x v="10"/>
    <x v="329"/>
    <x v="5"/>
    <m/>
    <s v="120 horas"/>
    <s v="FS"/>
    <x v="3"/>
    <x v="1"/>
    <m/>
    <x v="2"/>
  </r>
  <r>
    <x v="2"/>
    <x v="10"/>
    <x v="330"/>
    <x v="5"/>
    <m/>
    <s v="120 horas"/>
    <s v="FS"/>
    <x v="3"/>
    <x v="1"/>
    <m/>
    <x v="2"/>
  </r>
  <r>
    <x v="2"/>
    <x v="10"/>
    <x v="331"/>
    <x v="5"/>
    <m/>
    <s v="120 horas"/>
    <s v="FS"/>
    <x v="3"/>
    <x v="1"/>
    <m/>
    <x v="2"/>
  </r>
  <r>
    <x v="2"/>
    <x v="10"/>
    <x v="332"/>
    <x v="5"/>
    <m/>
    <s v="120 horas"/>
    <s v="FS"/>
    <x v="3"/>
    <x v="1"/>
    <m/>
    <x v="2"/>
  </r>
  <r>
    <x v="2"/>
    <x v="10"/>
    <x v="333"/>
    <x v="5"/>
    <m/>
    <s v="120 horas"/>
    <s v="FS"/>
    <x v="3"/>
    <x v="1"/>
    <m/>
    <x v="2"/>
  </r>
  <r>
    <x v="2"/>
    <x v="10"/>
    <x v="334"/>
    <x v="5"/>
    <m/>
    <s v="120 horas"/>
    <s v="FS"/>
    <x v="3"/>
    <x v="1"/>
    <m/>
    <x v="2"/>
  </r>
  <r>
    <x v="2"/>
    <x v="10"/>
    <x v="335"/>
    <x v="5"/>
    <m/>
    <s v="120 horas"/>
    <s v="FS"/>
    <x v="3"/>
    <x v="1"/>
    <m/>
    <x v="2"/>
  </r>
  <r>
    <x v="2"/>
    <x v="10"/>
    <x v="336"/>
    <x v="5"/>
    <m/>
    <s v="120 horas"/>
    <s v="FS"/>
    <x v="3"/>
    <x v="1"/>
    <m/>
    <x v="2"/>
  </r>
  <r>
    <x v="2"/>
    <x v="10"/>
    <x v="337"/>
    <x v="5"/>
    <m/>
    <s v="120 horas"/>
    <s v="FS"/>
    <x v="3"/>
    <x v="1"/>
    <m/>
    <x v="2"/>
  </r>
  <r>
    <x v="2"/>
    <x v="10"/>
    <x v="338"/>
    <x v="5"/>
    <m/>
    <s v="120 horas"/>
    <s v="FS"/>
    <x v="3"/>
    <x v="1"/>
    <m/>
    <x v="2"/>
  </r>
  <r>
    <x v="2"/>
    <x v="10"/>
    <x v="339"/>
    <x v="2"/>
    <m/>
    <s v="120 horas"/>
    <s v="N2"/>
    <x v="1"/>
    <x v="0"/>
    <m/>
    <x v="2"/>
  </r>
  <r>
    <x v="2"/>
    <x v="10"/>
    <x v="340"/>
    <x v="2"/>
    <m/>
    <s v="120 horas"/>
    <s v="N2"/>
    <x v="1"/>
    <x v="0"/>
    <m/>
    <x v="2"/>
  </r>
  <r>
    <x v="2"/>
    <x v="10"/>
    <x v="341"/>
    <x v="2"/>
    <m/>
    <s v="120 horas"/>
    <s v="N2"/>
    <x v="1"/>
    <x v="0"/>
    <m/>
    <x v="2"/>
  </r>
  <r>
    <x v="2"/>
    <x v="24"/>
    <x v="342"/>
    <x v="5"/>
    <m/>
    <s v="120 horas"/>
    <s v="N1"/>
    <x v="3"/>
    <x v="1"/>
    <m/>
    <x v="2"/>
  </r>
  <r>
    <x v="2"/>
    <x v="3"/>
    <x v="343"/>
    <x v="2"/>
    <m/>
    <s v="120 horas"/>
    <s v="N1"/>
    <x v="1"/>
    <x v="0"/>
    <m/>
    <x v="2"/>
  </r>
  <r>
    <x v="2"/>
    <x v="11"/>
    <x v="344"/>
    <x v="5"/>
    <m/>
    <s v="120 horas"/>
    <s v="FS"/>
    <x v="3"/>
    <x v="1"/>
    <m/>
    <x v="2"/>
  </r>
  <r>
    <x v="2"/>
    <x v="27"/>
    <x v="345"/>
    <x v="4"/>
    <m/>
    <s v="120 horas"/>
    <s v="FS"/>
    <x v="3"/>
    <x v="1"/>
    <m/>
    <x v="2"/>
  </r>
  <r>
    <x v="2"/>
    <x v="27"/>
    <x v="346"/>
    <x v="4"/>
    <m/>
    <s v="120 horas"/>
    <s v="FS"/>
    <x v="3"/>
    <x v="1"/>
    <m/>
    <x v="2"/>
  </r>
  <r>
    <x v="2"/>
    <x v="27"/>
    <x v="347"/>
    <x v="4"/>
    <m/>
    <s v="120 horas"/>
    <s v="FS"/>
    <x v="3"/>
    <x v="1"/>
    <m/>
    <x v="2"/>
  </r>
  <r>
    <x v="2"/>
    <x v="27"/>
    <x v="348"/>
    <x v="4"/>
    <m/>
    <s v="120 horas"/>
    <s v="FS"/>
    <x v="3"/>
    <x v="1"/>
    <m/>
    <x v="2"/>
  </r>
  <r>
    <x v="2"/>
    <x v="27"/>
    <x v="349"/>
    <x v="4"/>
    <m/>
    <s v="120 horas"/>
    <s v="FS"/>
    <x v="3"/>
    <x v="1"/>
    <m/>
    <x v="2"/>
  </r>
  <r>
    <x v="2"/>
    <x v="14"/>
    <x v="344"/>
    <x v="4"/>
    <m/>
    <s v="120 horas"/>
    <s v="SDM"/>
    <x v="4"/>
    <x v="0"/>
    <m/>
    <x v="2"/>
  </r>
  <r>
    <x v="2"/>
    <x v="15"/>
    <x v="350"/>
    <x v="2"/>
    <m/>
    <s v="120 horas"/>
    <s v="SDM"/>
    <x v="4"/>
    <x v="0"/>
    <m/>
    <x v="2"/>
  </r>
  <r>
    <x v="2"/>
    <x v="15"/>
    <x v="351"/>
    <x v="2"/>
    <m/>
    <s v="120 horas"/>
    <s v="SDM"/>
    <x v="4"/>
    <x v="0"/>
    <m/>
    <x v="2"/>
  </r>
  <r>
    <x v="2"/>
    <x v="25"/>
    <x v="352"/>
    <x v="4"/>
    <m/>
    <s v="120 horas"/>
    <s v="SDM"/>
    <x v="4"/>
    <x v="0"/>
    <m/>
    <x v="2"/>
  </r>
  <r>
    <x v="2"/>
    <x v="25"/>
    <x v="353"/>
    <x v="4"/>
    <m/>
    <s v="120 horas"/>
    <s v="SDM"/>
    <x v="4"/>
    <x v="0"/>
    <m/>
    <x v="2"/>
  </r>
  <r>
    <x v="2"/>
    <x v="25"/>
    <x v="354"/>
    <x v="4"/>
    <m/>
    <s v="120 horas"/>
    <s v="SDM"/>
    <x v="4"/>
    <x v="0"/>
    <m/>
    <x v="2"/>
  </r>
  <r>
    <x v="2"/>
    <x v="25"/>
    <x v="355"/>
    <x v="4"/>
    <m/>
    <s v="120 horas"/>
    <s v="SDM"/>
    <x v="4"/>
    <x v="0"/>
    <m/>
    <x v="2"/>
  </r>
  <r>
    <x v="2"/>
    <x v="4"/>
    <x v="356"/>
    <x v="3"/>
    <m/>
    <s v="120 horas"/>
    <s v="N2"/>
    <x v="1"/>
    <x v="0"/>
    <m/>
    <x v="2"/>
  </r>
  <r>
    <x v="2"/>
    <x v="4"/>
    <x v="357"/>
    <x v="3"/>
    <m/>
    <s v="120 horas"/>
    <s v="N2"/>
    <x v="1"/>
    <x v="0"/>
    <m/>
    <x v="2"/>
  </r>
  <r>
    <x v="2"/>
    <x v="4"/>
    <x v="358"/>
    <x v="3"/>
    <m/>
    <s v="120 horas"/>
    <s v="N2"/>
    <x v="1"/>
    <x v="0"/>
    <m/>
    <x v="2"/>
  </r>
  <r>
    <x v="2"/>
    <x v="4"/>
    <x v="359"/>
    <x v="3"/>
    <m/>
    <s v="120 horas"/>
    <s v="N2"/>
    <x v="1"/>
    <x v="0"/>
    <m/>
    <x v="2"/>
  </r>
  <r>
    <x v="2"/>
    <x v="4"/>
    <x v="360"/>
    <x v="3"/>
    <m/>
    <s v="120 horas"/>
    <s v="N2"/>
    <x v="1"/>
    <x v="0"/>
    <m/>
    <x v="2"/>
  </r>
  <r>
    <x v="2"/>
    <x v="4"/>
    <x v="361"/>
    <x v="3"/>
    <m/>
    <s v="120 horas"/>
    <s v="N1"/>
    <x v="1"/>
    <x v="0"/>
    <m/>
    <x v="2"/>
  </r>
  <r>
    <x v="2"/>
    <x v="16"/>
    <x v="362"/>
    <x v="3"/>
    <m/>
    <s v="120 horas"/>
    <s v="N2"/>
    <x v="1"/>
    <x v="0"/>
    <m/>
    <x v="2"/>
  </r>
  <r>
    <x v="2"/>
    <x v="16"/>
    <x v="363"/>
    <x v="3"/>
    <m/>
    <s v="120 horas"/>
    <s v="N2"/>
    <x v="1"/>
    <x v="0"/>
    <m/>
    <x v="2"/>
  </r>
  <r>
    <x v="2"/>
    <x v="16"/>
    <x v="364"/>
    <x v="3"/>
    <m/>
    <s v="120 horas"/>
    <s v="N2"/>
    <x v="1"/>
    <x v="0"/>
    <m/>
    <x v="2"/>
  </r>
  <r>
    <x v="2"/>
    <x v="16"/>
    <x v="365"/>
    <x v="3"/>
    <m/>
    <s v="120 horas"/>
    <s v="N2"/>
    <x v="1"/>
    <x v="0"/>
    <m/>
    <x v="2"/>
  </r>
  <r>
    <x v="2"/>
    <x v="16"/>
    <x v="366"/>
    <x v="3"/>
    <m/>
    <s v="120 horas"/>
    <s v="N2"/>
    <x v="1"/>
    <x v="0"/>
    <m/>
    <x v="2"/>
  </r>
  <r>
    <x v="2"/>
    <x v="17"/>
    <x v="158"/>
    <x v="2"/>
    <m/>
    <s v="120 horas"/>
    <s v="N1"/>
    <x v="1"/>
    <x v="0"/>
    <m/>
    <x v="2"/>
  </r>
  <r>
    <x v="2"/>
    <x v="17"/>
    <x v="367"/>
    <x v="2"/>
    <m/>
    <s v="120 horas"/>
    <s v="N2"/>
    <x v="1"/>
    <x v="0"/>
    <m/>
    <x v="2"/>
  </r>
  <r>
    <x v="2"/>
    <x v="26"/>
    <x v="158"/>
    <x v="2"/>
    <m/>
    <s v="120 horas"/>
    <s v="N2"/>
    <x v="1"/>
    <x v="0"/>
    <m/>
    <x v="2"/>
  </r>
  <r>
    <x v="2"/>
    <x v="21"/>
    <x v="368"/>
    <x v="5"/>
    <m/>
    <s v="120 horas"/>
    <s v="SDM"/>
    <x v="4"/>
    <x v="0"/>
    <m/>
    <x v="2"/>
  </r>
  <r>
    <x v="2"/>
    <x v="6"/>
    <x v="344"/>
    <x v="2"/>
    <m/>
    <s v="120 horas"/>
    <s v="SDM"/>
    <x v="4"/>
    <x v="0"/>
    <m/>
    <x v="2"/>
  </r>
  <r>
    <x v="2"/>
    <x v="18"/>
    <x v="369"/>
    <x v="6"/>
    <m/>
    <s v="120 horas"/>
    <s v="N1"/>
    <x v="1"/>
    <x v="0"/>
    <m/>
    <x v="2"/>
  </r>
  <r>
    <x v="2"/>
    <x v="19"/>
    <x v="370"/>
    <x v="6"/>
    <m/>
    <s v="120 horas"/>
    <s v="N2"/>
    <x v="1"/>
    <x v="0"/>
    <m/>
    <x v="2"/>
  </r>
  <r>
    <x v="2"/>
    <x v="19"/>
    <x v="371"/>
    <x v="6"/>
    <m/>
    <s v="120 horas"/>
    <s v="N1"/>
    <x v="1"/>
    <x v="0"/>
    <m/>
    <x v="2"/>
  </r>
  <r>
    <x v="2"/>
    <x v="19"/>
    <x v="372"/>
    <x v="6"/>
    <m/>
    <s v="120 horas"/>
    <s v="N2"/>
    <x v="1"/>
    <x v="0"/>
    <m/>
    <x v="2"/>
  </r>
  <r>
    <x v="2"/>
    <x v="7"/>
    <x v="373"/>
    <x v="2"/>
    <m/>
    <s v="120 horas"/>
    <s v="N2"/>
    <x v="1"/>
    <x v="0"/>
    <m/>
    <x v="2"/>
  </r>
  <r>
    <x v="2"/>
    <x v="7"/>
    <x v="374"/>
    <x v="2"/>
    <m/>
    <s v="120 horas"/>
    <s v="N2"/>
    <x v="1"/>
    <x v="0"/>
    <m/>
    <x v="2"/>
  </r>
  <r>
    <x v="2"/>
    <x v="7"/>
    <x v="375"/>
    <x v="2"/>
    <m/>
    <s v="120 horas"/>
    <s v="N2"/>
    <x v="1"/>
    <x v="0"/>
    <m/>
    <x v="2"/>
  </r>
  <r>
    <x v="2"/>
    <x v="7"/>
    <x v="376"/>
    <x v="2"/>
    <m/>
    <s v="120 horas"/>
    <s v="N2"/>
    <x v="1"/>
    <x v="0"/>
    <m/>
    <x v="2"/>
  </r>
  <r>
    <x v="2"/>
    <x v="7"/>
    <x v="377"/>
    <x v="2"/>
    <m/>
    <s v="120 horas"/>
    <s v="N2"/>
    <x v="1"/>
    <x v="0"/>
    <m/>
    <x v="2"/>
  </r>
  <r>
    <x v="2"/>
    <x v="0"/>
    <x v="378"/>
    <x v="0"/>
    <m/>
    <s v="8 horas"/>
    <s v="N2"/>
    <x v="0"/>
    <x v="0"/>
    <m/>
    <x v="1"/>
  </r>
  <r>
    <x v="2"/>
    <x v="0"/>
    <x v="379"/>
    <x v="0"/>
    <m/>
    <s v="8 horas"/>
    <s v="N2"/>
    <x v="2"/>
    <x v="0"/>
    <m/>
    <x v="1"/>
  </r>
  <r>
    <x v="2"/>
    <x v="0"/>
    <x v="379"/>
    <x v="0"/>
    <m/>
    <s v="8 horas"/>
    <s v="N2"/>
    <x v="2"/>
    <x v="0"/>
    <m/>
    <x v="1"/>
  </r>
  <r>
    <x v="2"/>
    <x v="0"/>
    <x v="380"/>
    <x v="0"/>
    <m/>
    <s v="8 horas"/>
    <s v="N1"/>
    <x v="2"/>
    <x v="0"/>
    <m/>
    <x v="1"/>
  </r>
  <r>
    <x v="2"/>
    <x v="8"/>
    <x v="381"/>
    <x v="2"/>
    <m/>
    <s v="8 horas"/>
    <s v="N1"/>
    <x v="1"/>
    <x v="0"/>
    <m/>
    <x v="1"/>
  </r>
  <r>
    <x v="2"/>
    <x v="8"/>
    <x v="382"/>
    <x v="2"/>
    <m/>
    <s v="8 horas"/>
    <s v="N1"/>
    <x v="1"/>
    <x v="0"/>
    <m/>
    <x v="1"/>
  </r>
  <r>
    <x v="2"/>
    <x v="8"/>
    <x v="383"/>
    <x v="2"/>
    <m/>
    <s v="8 horas"/>
    <s v="N1"/>
    <x v="1"/>
    <x v="0"/>
    <m/>
    <x v="1"/>
  </r>
  <r>
    <x v="2"/>
    <x v="8"/>
    <x v="384"/>
    <x v="2"/>
    <m/>
    <s v="8 horas"/>
    <s v="N2"/>
    <x v="1"/>
    <x v="0"/>
    <m/>
    <x v="1"/>
  </r>
  <r>
    <x v="2"/>
    <x v="1"/>
    <x v="385"/>
    <x v="1"/>
    <m/>
    <s v="8 horas"/>
    <s v="N2"/>
    <x v="1"/>
    <x v="0"/>
    <m/>
    <x v="1"/>
  </r>
  <r>
    <x v="2"/>
    <x v="1"/>
    <x v="386"/>
    <x v="1"/>
    <m/>
    <s v="8 horas"/>
    <s v="N2"/>
    <x v="1"/>
    <x v="0"/>
    <m/>
    <x v="1"/>
  </r>
  <r>
    <x v="2"/>
    <x v="1"/>
    <x v="387"/>
    <x v="1"/>
    <m/>
    <s v="8 horas"/>
    <s v="N2"/>
    <x v="1"/>
    <x v="0"/>
    <m/>
    <x v="1"/>
  </r>
  <r>
    <x v="2"/>
    <x v="1"/>
    <x v="388"/>
    <x v="1"/>
    <m/>
    <s v="8 horas"/>
    <s v="N2"/>
    <x v="1"/>
    <x v="0"/>
    <m/>
    <x v="1"/>
  </r>
  <r>
    <x v="2"/>
    <x v="3"/>
    <x v="389"/>
    <x v="2"/>
    <m/>
    <s v="8 horas"/>
    <s v="N1"/>
    <x v="1"/>
    <x v="0"/>
    <m/>
    <x v="1"/>
  </r>
  <r>
    <x v="2"/>
    <x v="3"/>
    <x v="390"/>
    <x v="2"/>
    <m/>
    <s v="8 horas"/>
    <s v="N1"/>
    <x v="1"/>
    <x v="0"/>
    <m/>
    <x v="1"/>
  </r>
  <r>
    <x v="2"/>
    <x v="3"/>
    <x v="380"/>
    <x v="5"/>
    <m/>
    <s v="8 horas"/>
    <s v="N1"/>
    <x v="3"/>
    <x v="1"/>
    <m/>
    <x v="1"/>
  </r>
  <r>
    <x v="2"/>
    <x v="15"/>
    <x v="391"/>
    <x v="2"/>
    <m/>
    <s v="8 horas"/>
    <s v="N1"/>
    <x v="1"/>
    <x v="0"/>
    <m/>
    <x v="1"/>
  </r>
  <r>
    <x v="2"/>
    <x v="15"/>
    <x v="392"/>
    <x v="2"/>
    <m/>
    <s v="8 horas"/>
    <s v="N1"/>
    <x v="1"/>
    <x v="0"/>
    <m/>
    <x v="1"/>
  </r>
  <r>
    <x v="2"/>
    <x v="15"/>
    <x v="393"/>
    <x v="2"/>
    <m/>
    <s v="8 horas"/>
    <s v="N1"/>
    <x v="1"/>
    <x v="0"/>
    <m/>
    <x v="1"/>
  </r>
  <r>
    <x v="2"/>
    <x v="15"/>
    <x v="394"/>
    <x v="3"/>
    <m/>
    <s v="8 horas"/>
    <s v="N1"/>
    <x v="1"/>
    <x v="0"/>
    <m/>
    <x v="1"/>
  </r>
  <r>
    <x v="2"/>
    <x v="15"/>
    <x v="395"/>
    <x v="3"/>
    <m/>
    <s v="8 horas"/>
    <s v="N1"/>
    <x v="1"/>
    <x v="0"/>
    <m/>
    <x v="1"/>
  </r>
  <r>
    <x v="2"/>
    <x v="25"/>
    <x v="396"/>
    <x v="4"/>
    <m/>
    <s v="8 horas"/>
    <s v="FS"/>
    <x v="3"/>
    <x v="1"/>
    <m/>
    <x v="1"/>
  </r>
  <r>
    <x v="2"/>
    <x v="25"/>
    <x v="397"/>
    <x v="4"/>
    <m/>
    <s v="8 horas"/>
    <s v="FS"/>
    <x v="3"/>
    <x v="1"/>
    <m/>
    <x v="1"/>
  </r>
  <r>
    <x v="2"/>
    <x v="25"/>
    <x v="398"/>
    <x v="4"/>
    <m/>
    <s v="8 horas"/>
    <s v="FS"/>
    <x v="3"/>
    <x v="1"/>
    <m/>
    <x v="1"/>
  </r>
  <r>
    <x v="2"/>
    <x v="4"/>
    <x v="399"/>
    <x v="3"/>
    <m/>
    <s v="8 horas"/>
    <s v="N1"/>
    <x v="1"/>
    <x v="0"/>
    <m/>
    <x v="1"/>
  </r>
  <r>
    <x v="2"/>
    <x v="4"/>
    <x v="400"/>
    <x v="3"/>
    <m/>
    <s v="8 horas"/>
    <s v="N2"/>
    <x v="1"/>
    <x v="0"/>
    <m/>
    <x v="1"/>
  </r>
  <r>
    <x v="2"/>
    <x v="4"/>
    <x v="401"/>
    <x v="3"/>
    <m/>
    <s v="8 horas"/>
    <s v="N2"/>
    <x v="1"/>
    <x v="0"/>
    <m/>
    <x v="1"/>
  </r>
  <r>
    <x v="2"/>
    <x v="16"/>
    <x v="402"/>
    <x v="3"/>
    <m/>
    <s v="8 horas"/>
    <s v="N1"/>
    <x v="1"/>
    <x v="0"/>
    <m/>
    <x v="1"/>
  </r>
  <r>
    <x v="2"/>
    <x v="16"/>
    <x v="403"/>
    <x v="3"/>
    <m/>
    <s v="8 horas"/>
    <s v="N1"/>
    <x v="1"/>
    <x v="0"/>
    <m/>
    <x v="1"/>
  </r>
  <r>
    <x v="2"/>
    <x v="16"/>
    <x v="31"/>
    <x v="3"/>
    <m/>
    <s v="8 horas"/>
    <s v="N1"/>
    <x v="1"/>
    <x v="0"/>
    <m/>
    <x v="1"/>
  </r>
  <r>
    <x v="2"/>
    <x v="16"/>
    <x v="404"/>
    <x v="3"/>
    <m/>
    <s v="8 horas"/>
    <s v="N1"/>
    <x v="1"/>
    <x v="0"/>
    <m/>
    <x v="1"/>
  </r>
  <r>
    <x v="2"/>
    <x v="5"/>
    <x v="405"/>
    <x v="2"/>
    <m/>
    <s v="8 horas"/>
    <s v="N2"/>
    <x v="1"/>
    <x v="0"/>
    <m/>
    <x v="1"/>
  </r>
  <r>
    <x v="2"/>
    <x v="19"/>
    <x v="406"/>
    <x v="6"/>
    <m/>
    <s v="8 horas"/>
    <s v="N1"/>
    <x v="1"/>
    <x v="0"/>
    <m/>
    <x v="1"/>
  </r>
  <r>
    <x v="2"/>
    <x v="20"/>
    <x v="407"/>
    <x v="6"/>
    <m/>
    <s v="8 horas"/>
    <s v="N1"/>
    <x v="3"/>
    <x v="1"/>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gridDropZones="1" multipleFieldFilters="0">
  <location ref="A4:C373" firstHeaderRow="1" firstDataRow="2" firstDataCol="1" rowPageCount="2" colPageCount="1"/>
  <pivotFields count="11">
    <pivotField axis="axisPage" multipleItemSelectionAllowed="1" showAll="0">
      <items count="4">
        <item h="1" x="0"/>
        <item h="1" x="1"/>
        <item x="2"/>
        <item t="default"/>
      </items>
    </pivotField>
    <pivotField axis="axisRow" showAll="0">
      <items count="29">
        <item x="0"/>
        <item x="8"/>
        <item x="1"/>
        <item x="9"/>
        <item x="22"/>
        <item x="23"/>
        <item x="10"/>
        <item x="24"/>
        <item x="2"/>
        <item x="3"/>
        <item x="11"/>
        <item x="12"/>
        <item x="13"/>
        <item x="27"/>
        <item x="14"/>
        <item x="15"/>
        <item x="25"/>
        <item x="4"/>
        <item x="16"/>
        <item x="17"/>
        <item x="26"/>
        <item x="5"/>
        <item x="21"/>
        <item x="6"/>
        <item x="18"/>
        <item x="19"/>
        <item x="20"/>
        <item x="7"/>
        <item t="default"/>
      </items>
    </pivotField>
    <pivotField axis="axisRow" dataField="1" showAll="0">
      <items count="409">
        <item x="164"/>
        <item x="165"/>
        <item x="218"/>
        <item x="219"/>
        <item x="362"/>
        <item x="220"/>
        <item x="363"/>
        <item x="221"/>
        <item x="364"/>
        <item x="402"/>
        <item x="365"/>
        <item x="222"/>
        <item x="366"/>
        <item x="403"/>
        <item x="235"/>
        <item x="87"/>
        <item x="236"/>
        <item x="30"/>
        <item x="245"/>
        <item x="135"/>
        <item x="237"/>
        <item x="136"/>
        <item x="229"/>
        <item x="230"/>
        <item x="231"/>
        <item x="232"/>
        <item x="202"/>
        <item x="203"/>
        <item x="204"/>
        <item x="205"/>
        <item x="24"/>
        <item x="63"/>
        <item x="25"/>
        <item x="64"/>
        <item x="26"/>
        <item x="206"/>
        <item x="207"/>
        <item x="399"/>
        <item x="208"/>
        <item x="233"/>
        <item x="248"/>
        <item x="370"/>
        <item x="85"/>
        <item x="81"/>
        <item x="82"/>
        <item x="344"/>
        <item x="368"/>
        <item x="19"/>
        <item x="88"/>
        <item x="297"/>
        <item x="343"/>
        <item x="352"/>
        <item x="187"/>
        <item x="188"/>
        <item x="189"/>
        <item x="190"/>
        <item x="141"/>
        <item x="389"/>
        <item x="191"/>
        <item x="249"/>
        <item x="250"/>
        <item x="251"/>
        <item x="89"/>
        <item x="319"/>
        <item x="252"/>
        <item x="253"/>
        <item x="320"/>
        <item x="104"/>
        <item x="105"/>
        <item x="106"/>
        <item x="107"/>
        <item x="142"/>
        <item x="143"/>
        <item x="144"/>
        <item x="145"/>
        <item x="163"/>
        <item x="95"/>
        <item x="146"/>
        <item x="147"/>
        <item x="96"/>
        <item x="148"/>
        <item x="149"/>
        <item x="150"/>
        <item x="378"/>
        <item x="90"/>
        <item x="295"/>
        <item x="43"/>
        <item x="31"/>
        <item x="151"/>
        <item x="238"/>
        <item x="223"/>
        <item x="239"/>
        <item x="137"/>
        <item x="240"/>
        <item x="138"/>
        <item x="369"/>
        <item x="244"/>
        <item x="97"/>
        <item x="321"/>
        <item x="322"/>
        <item x="108"/>
        <item x="109"/>
        <item x="110"/>
        <item x="111"/>
        <item x="112"/>
        <item x="265"/>
        <item x="166"/>
        <item x="167"/>
        <item x="168"/>
        <item x="391"/>
        <item x="169"/>
        <item x="170"/>
        <item x="171"/>
        <item x="392"/>
        <item x="172"/>
        <item x="173"/>
        <item x="174"/>
        <item x="393"/>
        <item x="70"/>
        <item x="323"/>
        <item x="113"/>
        <item x="114"/>
        <item x="254"/>
        <item x="130"/>
        <item x="131"/>
        <item x="132"/>
        <item x="296"/>
        <item x="8"/>
        <item x="68"/>
        <item x="33"/>
        <item x="49"/>
        <item x="404"/>
        <item x="390"/>
        <item x="224"/>
        <item x="5"/>
        <item x="209"/>
        <item x="400"/>
        <item x="210"/>
        <item x="401"/>
        <item x="211"/>
        <item x="27"/>
        <item x="212"/>
        <item x="213"/>
        <item x="214"/>
        <item x="215"/>
        <item x="356"/>
        <item x="3"/>
        <item x="28"/>
        <item x="4"/>
        <item x="357"/>
        <item x="65"/>
        <item x="358"/>
        <item x="359"/>
        <item x="360"/>
        <item x="216"/>
        <item x="115"/>
        <item x="10"/>
        <item x="98"/>
        <item x="324"/>
        <item x="325"/>
        <item x="326"/>
        <item x="272"/>
        <item x="273"/>
        <item x="274"/>
        <item x="275"/>
        <item x="276"/>
        <item x="277"/>
        <item x="278"/>
        <item x="75"/>
        <item x="76"/>
        <item x="279"/>
        <item x="35"/>
        <item x="6"/>
        <item x="280"/>
        <item x="373"/>
        <item x="281"/>
        <item x="282"/>
        <item x="77"/>
        <item x="374"/>
        <item x="283"/>
        <item x="345"/>
        <item x="91"/>
        <item x="50"/>
        <item x="246"/>
        <item x="225"/>
        <item x="247"/>
        <item x="9"/>
        <item x="0"/>
        <item x="158"/>
        <item x="86"/>
        <item x="83"/>
        <item x="84"/>
        <item x="92"/>
        <item x="298"/>
        <item x="93"/>
        <item x="175"/>
        <item x="346"/>
        <item x="342"/>
        <item x="133"/>
        <item x="134"/>
        <item x="51"/>
        <item x="32"/>
        <item x="71"/>
        <item x="72"/>
        <item x="152"/>
        <item x="367"/>
        <item x="159"/>
        <item x="52"/>
        <item x="53"/>
        <item x="20"/>
        <item x="54"/>
        <item x="255"/>
        <item x="153"/>
        <item x="154"/>
        <item x="155"/>
        <item x="156"/>
        <item x="157"/>
        <item x="160"/>
        <item x="266"/>
        <item x="69"/>
        <item x="116"/>
        <item x="117"/>
        <item x="327"/>
        <item x="328"/>
        <item x="118"/>
        <item x="176"/>
        <item x="73"/>
        <item x="74"/>
        <item x="44"/>
        <item x="45"/>
        <item x="46"/>
        <item x="17"/>
        <item x="34"/>
        <item x="47"/>
        <item x="48"/>
        <item x="329"/>
        <item x="119"/>
        <item x="120"/>
        <item x="330"/>
        <item x="331"/>
        <item x="332"/>
        <item x="121"/>
        <item x="122"/>
        <item x="123"/>
        <item x="124"/>
        <item x="125"/>
        <item x="126"/>
        <item x="256"/>
        <item x="305"/>
        <item x="306"/>
        <item x="99"/>
        <item x="307"/>
        <item x="308"/>
        <item x="13"/>
        <item x="385"/>
        <item x="309"/>
        <item x="100"/>
        <item x="386"/>
        <item x="14"/>
        <item x="1"/>
        <item x="310"/>
        <item x="40"/>
        <item x="311"/>
        <item x="267"/>
        <item x="407"/>
        <item x="38"/>
        <item x="42"/>
        <item x="333"/>
        <item x="268"/>
        <item x="353"/>
        <item x="192"/>
        <item x="193"/>
        <item x="396"/>
        <item x="194"/>
        <item x="361"/>
        <item x="66"/>
        <item x="29"/>
        <item x="67"/>
        <item x="217"/>
        <item x="347"/>
        <item x="257"/>
        <item x="371"/>
        <item x="258"/>
        <item x="259"/>
        <item x="299"/>
        <item x="300"/>
        <item x="301"/>
        <item x="302"/>
        <item x="226"/>
        <item x="18"/>
        <item x="161"/>
        <item x="227"/>
        <item x="241"/>
        <item x="242"/>
        <item x="139"/>
        <item x="243"/>
        <item x="140"/>
        <item x="234"/>
        <item x="228"/>
        <item x="405"/>
        <item x="379"/>
        <item x="269"/>
        <item x="380"/>
        <item x="270"/>
        <item x="271"/>
        <item x="350"/>
        <item x="177"/>
        <item x="178"/>
        <item x="179"/>
        <item x="180"/>
        <item x="55"/>
        <item x="56"/>
        <item x="21"/>
        <item x="57"/>
        <item x="181"/>
        <item x="406"/>
        <item x="94"/>
        <item x="334"/>
        <item x="335"/>
        <item x="336"/>
        <item x="337"/>
        <item x="338"/>
        <item x="348"/>
        <item x="303"/>
        <item x="381"/>
        <item x="312"/>
        <item x="313"/>
        <item x="101"/>
        <item x="314"/>
        <item x="315"/>
        <item x="15"/>
        <item x="387"/>
        <item x="316"/>
        <item x="102"/>
        <item x="388"/>
        <item x="16"/>
        <item x="2"/>
        <item x="317"/>
        <item x="41"/>
        <item x="318"/>
        <item x="103"/>
        <item x="351"/>
        <item x="182"/>
        <item x="183"/>
        <item x="184"/>
        <item x="58"/>
        <item x="59"/>
        <item x="22"/>
        <item x="60"/>
        <item x="304"/>
        <item x="11"/>
        <item x="39"/>
        <item x="12"/>
        <item x="382"/>
        <item x="37"/>
        <item x="383"/>
        <item x="260"/>
        <item x="261"/>
        <item x="372"/>
        <item x="127"/>
        <item x="128"/>
        <item x="129"/>
        <item x="195"/>
        <item x="339"/>
        <item x="340"/>
        <item x="341"/>
        <item x="349"/>
        <item x="384"/>
        <item x="162"/>
        <item x="354"/>
        <item x="196"/>
        <item x="197"/>
        <item x="397"/>
        <item x="198"/>
        <item x="262"/>
        <item x="263"/>
        <item x="264"/>
        <item x="355"/>
        <item x="199"/>
        <item x="200"/>
        <item x="398"/>
        <item x="201"/>
        <item x="284"/>
        <item x="285"/>
        <item x="286"/>
        <item x="287"/>
        <item x="288"/>
        <item x="289"/>
        <item x="290"/>
        <item x="78"/>
        <item x="79"/>
        <item x="291"/>
        <item x="36"/>
        <item x="7"/>
        <item x="292"/>
        <item x="375"/>
        <item x="376"/>
        <item x="293"/>
        <item x="80"/>
        <item x="377"/>
        <item x="294"/>
        <item x="394"/>
        <item x="185"/>
        <item x="61"/>
        <item x="23"/>
        <item x="62"/>
        <item x="395"/>
        <item x="186"/>
        <item t="default"/>
      </items>
    </pivotField>
    <pivotField showAll="0">
      <items count="8">
        <item x="0"/>
        <item x="1"/>
        <item x="5"/>
        <item x="4"/>
        <item x="2"/>
        <item x="3"/>
        <item x="6"/>
        <item t="default"/>
      </items>
    </pivotField>
    <pivotField showAll="0"/>
    <pivotField showAll="0"/>
    <pivotField showAll="0"/>
    <pivotField showAll="0">
      <items count="6">
        <item x="1"/>
        <item x="3"/>
        <item x="0"/>
        <item x="2"/>
        <item x="4"/>
        <item t="default"/>
      </items>
    </pivotField>
    <pivotField showAll="0">
      <items count="3">
        <item x="1"/>
        <item x="0"/>
        <item t="default"/>
      </items>
    </pivotField>
    <pivotField showAll="0"/>
    <pivotField axis="axisPage" dataField="1" multipleItemSelectionAllowed="1" showAll="0">
      <items count="5">
        <item h="1" x="0"/>
        <item x="1"/>
        <item x="2"/>
        <item x="3"/>
        <item t="default"/>
      </items>
    </pivotField>
  </pivotFields>
  <rowFields count="2">
    <field x="1"/>
    <field x="2"/>
  </rowFields>
  <rowItems count="368">
    <i>
      <x/>
    </i>
    <i r="1">
      <x v="15"/>
    </i>
    <i r="1">
      <x v="48"/>
    </i>
    <i r="1">
      <x v="62"/>
    </i>
    <i r="1">
      <x v="75"/>
    </i>
    <i r="1">
      <x v="83"/>
    </i>
    <i r="1">
      <x v="84"/>
    </i>
    <i r="1">
      <x v="85"/>
    </i>
    <i r="1">
      <x v="126"/>
    </i>
    <i r="1">
      <x v="181"/>
    </i>
    <i r="1">
      <x v="192"/>
    </i>
    <i r="1">
      <x v="194"/>
    </i>
    <i r="1">
      <x v="290"/>
    </i>
    <i r="1">
      <x v="300"/>
    </i>
    <i r="1">
      <x v="302"/>
    </i>
    <i r="1">
      <x v="316"/>
    </i>
    <i>
      <x v="1"/>
    </i>
    <i r="1">
      <x v="49"/>
    </i>
    <i r="1">
      <x v="76"/>
    </i>
    <i r="1">
      <x v="79"/>
    </i>
    <i r="1">
      <x v="97"/>
    </i>
    <i r="1">
      <x v="157"/>
    </i>
    <i r="1">
      <x v="193"/>
    </i>
    <i r="1">
      <x v="284"/>
    </i>
    <i r="1">
      <x v="285"/>
    </i>
    <i r="1">
      <x v="286"/>
    </i>
    <i r="1">
      <x v="287"/>
    </i>
    <i r="1">
      <x v="323"/>
    </i>
    <i r="1">
      <x v="324"/>
    </i>
    <i r="1">
      <x v="349"/>
    </i>
    <i r="1">
      <x v="353"/>
    </i>
    <i r="1">
      <x v="355"/>
    </i>
    <i r="1">
      <x v="367"/>
    </i>
    <i>
      <x v="2"/>
    </i>
    <i r="1">
      <x v="248"/>
    </i>
    <i r="1">
      <x v="249"/>
    </i>
    <i r="1">
      <x v="250"/>
    </i>
    <i r="1">
      <x v="251"/>
    </i>
    <i r="1">
      <x v="252"/>
    </i>
    <i r="1">
      <x v="254"/>
    </i>
    <i r="1">
      <x v="255"/>
    </i>
    <i r="1">
      <x v="256"/>
    </i>
    <i r="1">
      <x v="257"/>
    </i>
    <i r="1">
      <x v="260"/>
    </i>
    <i r="1">
      <x v="262"/>
    </i>
    <i r="1">
      <x v="325"/>
    </i>
    <i r="1">
      <x v="326"/>
    </i>
    <i r="1">
      <x v="327"/>
    </i>
    <i r="1">
      <x v="328"/>
    </i>
    <i r="1">
      <x v="329"/>
    </i>
    <i r="1">
      <x v="331"/>
    </i>
    <i r="1">
      <x v="332"/>
    </i>
    <i r="1">
      <x v="333"/>
    </i>
    <i r="1">
      <x v="334"/>
    </i>
    <i r="1">
      <x v="337"/>
    </i>
    <i r="1">
      <x v="339"/>
    </i>
    <i>
      <x v="3"/>
    </i>
    <i r="1">
      <x v="192"/>
    </i>
    <i r="1">
      <x v="290"/>
    </i>
    <i r="1">
      <x v="340"/>
    </i>
    <i>
      <x v="6"/>
    </i>
    <i r="1">
      <x v="63"/>
    </i>
    <i r="1">
      <x v="66"/>
    </i>
    <i r="1">
      <x v="67"/>
    </i>
    <i r="1">
      <x v="68"/>
    </i>
    <i r="1">
      <x v="69"/>
    </i>
    <i r="1">
      <x v="70"/>
    </i>
    <i r="1">
      <x v="98"/>
    </i>
    <i r="1">
      <x v="99"/>
    </i>
    <i r="1">
      <x v="100"/>
    </i>
    <i r="1">
      <x v="101"/>
    </i>
    <i r="1">
      <x v="102"/>
    </i>
    <i r="1">
      <x v="103"/>
    </i>
    <i r="1">
      <x v="104"/>
    </i>
    <i r="1">
      <x v="119"/>
    </i>
    <i r="1">
      <x v="120"/>
    </i>
    <i r="1">
      <x v="121"/>
    </i>
    <i r="1">
      <x v="155"/>
    </i>
    <i r="1">
      <x v="158"/>
    </i>
    <i r="1">
      <x v="159"/>
    </i>
    <i r="1">
      <x v="160"/>
    </i>
    <i r="1">
      <x v="220"/>
    </i>
    <i r="1">
      <x v="221"/>
    </i>
    <i r="1">
      <x v="222"/>
    </i>
    <i r="1">
      <x v="223"/>
    </i>
    <i r="1">
      <x v="224"/>
    </i>
    <i r="1">
      <x v="235"/>
    </i>
    <i r="1">
      <x v="236"/>
    </i>
    <i r="1">
      <x v="237"/>
    </i>
    <i r="1">
      <x v="238"/>
    </i>
    <i r="1">
      <x v="239"/>
    </i>
    <i r="1">
      <x v="240"/>
    </i>
    <i r="1">
      <x v="241"/>
    </i>
    <i r="1">
      <x v="242"/>
    </i>
    <i r="1">
      <x v="243"/>
    </i>
    <i r="1">
      <x v="244"/>
    </i>
    <i r="1">
      <x v="245"/>
    </i>
    <i r="1">
      <x v="246"/>
    </i>
    <i r="1">
      <x v="267"/>
    </i>
    <i r="1">
      <x v="317"/>
    </i>
    <i r="1">
      <x v="318"/>
    </i>
    <i r="1">
      <x v="319"/>
    </i>
    <i r="1">
      <x v="320"/>
    </i>
    <i r="1">
      <x v="321"/>
    </i>
    <i r="1">
      <x v="359"/>
    </i>
    <i r="1">
      <x v="360"/>
    </i>
    <i r="1">
      <x v="361"/>
    </i>
    <i r="1">
      <x v="363"/>
    </i>
    <i r="1">
      <x v="364"/>
    </i>
    <i r="1">
      <x v="365"/>
    </i>
    <i>
      <x v="7"/>
    </i>
    <i r="1">
      <x v="123"/>
    </i>
    <i r="1">
      <x v="124"/>
    </i>
    <i r="1">
      <x v="125"/>
    </i>
    <i r="1">
      <x v="197"/>
    </i>
    <i r="1">
      <x v="198"/>
    </i>
    <i r="1">
      <x v="199"/>
    </i>
    <i>
      <x v="8"/>
    </i>
    <i r="1">
      <x v="19"/>
    </i>
    <i r="1">
      <x v="21"/>
    </i>
    <i r="1">
      <x v="92"/>
    </i>
    <i r="1">
      <x v="94"/>
    </i>
    <i r="1">
      <x v="294"/>
    </i>
    <i r="1">
      <x v="296"/>
    </i>
    <i>
      <x v="9"/>
    </i>
    <i r="1">
      <x v="50"/>
    </i>
    <i r="1">
      <x v="56"/>
    </i>
    <i r="1">
      <x v="57"/>
    </i>
    <i r="1">
      <x v="71"/>
    </i>
    <i r="1">
      <x v="72"/>
    </i>
    <i r="1">
      <x v="73"/>
    </i>
    <i r="1">
      <x v="74"/>
    </i>
    <i r="1">
      <x v="77"/>
    </i>
    <i r="1">
      <x v="78"/>
    </i>
    <i r="1">
      <x v="80"/>
    </i>
    <i r="1">
      <x v="81"/>
    </i>
    <i r="1">
      <x v="82"/>
    </i>
    <i r="1">
      <x v="88"/>
    </i>
    <i r="1">
      <x v="132"/>
    </i>
    <i r="1">
      <x v="204"/>
    </i>
    <i r="1">
      <x v="212"/>
    </i>
    <i r="1">
      <x v="213"/>
    </i>
    <i r="1">
      <x v="214"/>
    </i>
    <i r="1">
      <x v="215"/>
    </i>
    <i r="1">
      <x v="216"/>
    </i>
    <i r="1">
      <x v="302"/>
    </i>
    <i>
      <x v="10"/>
    </i>
    <i r="1">
      <x v="45"/>
    </i>
    <i r="1">
      <x v="188"/>
    </i>
    <i r="1">
      <x v="192"/>
    </i>
    <i r="1">
      <x v="206"/>
    </i>
    <i r="1">
      <x v="217"/>
    </i>
    <i r="1">
      <x v="290"/>
    </i>
    <i r="1">
      <x v="340"/>
    </i>
    <i r="1">
      <x v="368"/>
    </i>
    <i>
      <x v="13"/>
    </i>
    <i r="1">
      <x v="180"/>
    </i>
    <i r="1">
      <x v="196"/>
    </i>
    <i r="1">
      <x v="279"/>
    </i>
    <i r="1">
      <x v="322"/>
    </i>
    <i r="1">
      <x v="366"/>
    </i>
    <i>
      <x v="14"/>
    </i>
    <i r="1">
      <x v="45"/>
    </i>
    <i r="1">
      <x v="75"/>
    </i>
    <i r="1">
      <x v="192"/>
    </i>
    <i r="1">
      <x v="290"/>
    </i>
    <i r="1">
      <x v="340"/>
    </i>
    <i>
      <x v="15"/>
    </i>
    <i r="1">
      <x/>
    </i>
    <i r="1">
      <x v="1"/>
    </i>
    <i r="1">
      <x v="106"/>
    </i>
    <i r="1">
      <x v="107"/>
    </i>
    <i r="1">
      <x v="108"/>
    </i>
    <i r="1">
      <x v="109"/>
    </i>
    <i r="1">
      <x v="110"/>
    </i>
    <i r="1">
      <x v="111"/>
    </i>
    <i r="1">
      <x v="112"/>
    </i>
    <i r="1">
      <x v="113"/>
    </i>
    <i r="1">
      <x v="114"/>
    </i>
    <i r="1">
      <x v="115"/>
    </i>
    <i r="1">
      <x v="116"/>
    </i>
    <i r="1">
      <x v="117"/>
    </i>
    <i r="1">
      <x v="195"/>
    </i>
    <i r="1">
      <x v="225"/>
    </i>
    <i r="1">
      <x v="305"/>
    </i>
    <i r="1">
      <x v="306"/>
    </i>
    <i r="1">
      <x v="307"/>
    </i>
    <i r="1">
      <x v="308"/>
    </i>
    <i r="1">
      <x v="309"/>
    </i>
    <i r="1">
      <x v="314"/>
    </i>
    <i r="1">
      <x v="341"/>
    </i>
    <i r="1">
      <x v="342"/>
    </i>
    <i r="1">
      <x v="343"/>
    </i>
    <i r="1">
      <x v="344"/>
    </i>
    <i r="1">
      <x v="401"/>
    </i>
    <i r="1">
      <x v="402"/>
    </i>
    <i r="1">
      <x v="406"/>
    </i>
    <i r="1">
      <x v="407"/>
    </i>
    <i>
      <x v="16"/>
    </i>
    <i r="1">
      <x v="51"/>
    </i>
    <i r="1">
      <x v="52"/>
    </i>
    <i r="1">
      <x v="53"/>
    </i>
    <i r="1">
      <x v="54"/>
    </i>
    <i r="1">
      <x v="55"/>
    </i>
    <i r="1">
      <x v="58"/>
    </i>
    <i r="1">
      <x v="269"/>
    </i>
    <i r="1">
      <x v="270"/>
    </i>
    <i r="1">
      <x v="271"/>
    </i>
    <i r="1">
      <x v="272"/>
    </i>
    <i r="1">
      <x v="273"/>
    </i>
    <i r="1">
      <x v="362"/>
    </i>
    <i r="1">
      <x v="369"/>
    </i>
    <i r="1">
      <x v="370"/>
    </i>
    <i r="1">
      <x v="371"/>
    </i>
    <i r="1">
      <x v="372"/>
    </i>
    <i r="1">
      <x v="373"/>
    </i>
    <i r="1">
      <x v="377"/>
    </i>
    <i r="1">
      <x v="378"/>
    </i>
    <i r="1">
      <x v="379"/>
    </i>
    <i r="1">
      <x v="380"/>
    </i>
    <i r="1">
      <x v="381"/>
    </i>
    <i>
      <x v="17"/>
    </i>
    <i r="1">
      <x v="26"/>
    </i>
    <i r="1">
      <x v="27"/>
    </i>
    <i r="1">
      <x v="28"/>
    </i>
    <i r="1">
      <x v="29"/>
    </i>
    <i r="1">
      <x v="35"/>
    </i>
    <i r="1">
      <x v="36"/>
    </i>
    <i r="1">
      <x v="37"/>
    </i>
    <i r="1">
      <x v="38"/>
    </i>
    <i r="1">
      <x v="135"/>
    </i>
    <i r="1">
      <x v="136"/>
    </i>
    <i r="1">
      <x v="137"/>
    </i>
    <i r="1">
      <x v="138"/>
    </i>
    <i r="1">
      <x v="139"/>
    </i>
    <i r="1">
      <x v="141"/>
    </i>
    <i r="1">
      <x v="142"/>
    </i>
    <i r="1">
      <x v="143"/>
    </i>
    <i r="1">
      <x v="144"/>
    </i>
    <i r="1">
      <x v="145"/>
    </i>
    <i r="1">
      <x v="149"/>
    </i>
    <i r="1">
      <x v="151"/>
    </i>
    <i r="1">
      <x v="152"/>
    </i>
    <i r="1">
      <x v="153"/>
    </i>
    <i r="1">
      <x v="154"/>
    </i>
    <i r="1">
      <x v="274"/>
    </i>
    <i r="1">
      <x v="278"/>
    </i>
    <i>
      <x v="18"/>
    </i>
    <i r="1">
      <x v="2"/>
    </i>
    <i r="1">
      <x v="3"/>
    </i>
    <i r="1">
      <x v="4"/>
    </i>
    <i r="1">
      <x v="5"/>
    </i>
    <i r="1">
      <x v="6"/>
    </i>
    <i r="1">
      <x v="7"/>
    </i>
    <i r="1">
      <x v="8"/>
    </i>
    <i r="1">
      <x v="9"/>
    </i>
    <i r="1">
      <x v="10"/>
    </i>
    <i r="1">
      <x v="11"/>
    </i>
    <i r="1">
      <x v="12"/>
    </i>
    <i r="1">
      <x v="13"/>
    </i>
    <i r="1">
      <x v="87"/>
    </i>
    <i r="1">
      <x v="131"/>
    </i>
    <i>
      <x v="19"/>
    </i>
    <i r="1">
      <x v="90"/>
    </i>
    <i r="1">
      <x v="133"/>
    </i>
    <i r="1">
      <x v="184"/>
    </i>
    <i r="1">
      <x v="188"/>
    </i>
    <i r="1">
      <x v="205"/>
    </i>
    <i r="1">
      <x v="288"/>
    </i>
    <i r="1">
      <x v="291"/>
    </i>
    <i r="1">
      <x v="298"/>
    </i>
    <i>
      <x v="20"/>
    </i>
    <i r="1">
      <x v="22"/>
    </i>
    <i r="1">
      <x v="23"/>
    </i>
    <i r="1">
      <x v="24"/>
    </i>
    <i r="1">
      <x v="25"/>
    </i>
    <i r="1">
      <x v="39"/>
    </i>
    <i r="1">
      <x v="188"/>
    </i>
    <i r="1">
      <x v="297"/>
    </i>
    <i>
      <x v="21"/>
    </i>
    <i r="1">
      <x v="14"/>
    </i>
    <i r="1">
      <x v="16"/>
    </i>
    <i r="1">
      <x v="20"/>
    </i>
    <i r="1">
      <x v="89"/>
    </i>
    <i r="1">
      <x v="91"/>
    </i>
    <i r="1">
      <x v="93"/>
    </i>
    <i r="1">
      <x v="292"/>
    </i>
    <i r="1">
      <x v="293"/>
    </i>
    <i r="1">
      <x v="295"/>
    </i>
    <i r="1">
      <x v="299"/>
    </i>
    <i>
      <x v="22"/>
    </i>
    <i r="1">
      <x v="46"/>
    </i>
    <i r="1">
      <x v="48"/>
    </i>
    <i r="1">
      <x v="75"/>
    </i>
    <i r="1">
      <x v="96"/>
    </i>
    <i r="1">
      <x v="188"/>
    </i>
    <i r="1">
      <x v="192"/>
    </i>
    <i>
      <x v="23"/>
    </i>
    <i r="1">
      <x v="45"/>
    </i>
    <i>
      <x v="24"/>
    </i>
    <i r="1">
      <x v="18"/>
    </i>
    <i r="1">
      <x v="95"/>
    </i>
    <i r="1">
      <x v="183"/>
    </i>
    <i r="1">
      <x v="185"/>
    </i>
    <i>
      <x v="25"/>
    </i>
    <i r="1">
      <x v="40"/>
    </i>
    <i r="1">
      <x v="41"/>
    </i>
    <i r="1">
      <x v="59"/>
    </i>
    <i r="1">
      <x v="60"/>
    </i>
    <i r="1">
      <x v="61"/>
    </i>
    <i r="1">
      <x v="64"/>
    </i>
    <i r="1">
      <x v="65"/>
    </i>
    <i r="1">
      <x v="122"/>
    </i>
    <i r="1">
      <x v="211"/>
    </i>
    <i r="1">
      <x v="247"/>
    </i>
    <i r="1">
      <x v="280"/>
    </i>
    <i r="1">
      <x v="281"/>
    </i>
    <i r="1">
      <x v="282"/>
    </i>
    <i r="1">
      <x v="283"/>
    </i>
    <i r="1">
      <x v="315"/>
    </i>
    <i r="1">
      <x v="356"/>
    </i>
    <i r="1">
      <x v="357"/>
    </i>
    <i r="1">
      <x v="358"/>
    </i>
    <i r="1">
      <x v="374"/>
    </i>
    <i r="1">
      <x v="375"/>
    </i>
    <i r="1">
      <x v="376"/>
    </i>
    <i>
      <x v="26"/>
    </i>
    <i r="1">
      <x v="59"/>
    </i>
    <i r="1">
      <x v="60"/>
    </i>
    <i r="1">
      <x v="61"/>
    </i>
    <i r="1">
      <x v="105"/>
    </i>
    <i r="1">
      <x v="218"/>
    </i>
    <i r="1">
      <x v="263"/>
    </i>
    <i r="1">
      <x v="264"/>
    </i>
    <i r="1">
      <x v="268"/>
    </i>
    <i r="1">
      <x v="301"/>
    </i>
    <i r="1">
      <x v="303"/>
    </i>
    <i r="1">
      <x v="304"/>
    </i>
    <i>
      <x v="27"/>
    </i>
    <i r="1">
      <x v="161"/>
    </i>
    <i r="1">
      <x v="162"/>
    </i>
    <i r="1">
      <x v="163"/>
    </i>
    <i r="1">
      <x v="164"/>
    </i>
    <i r="1">
      <x v="165"/>
    </i>
    <i r="1">
      <x v="166"/>
    </i>
    <i r="1">
      <x v="167"/>
    </i>
    <i r="1">
      <x v="170"/>
    </i>
    <i r="1">
      <x v="173"/>
    </i>
    <i r="1">
      <x v="174"/>
    </i>
    <i r="1">
      <x v="175"/>
    </i>
    <i r="1">
      <x v="176"/>
    </i>
    <i r="1">
      <x v="178"/>
    </i>
    <i r="1">
      <x v="179"/>
    </i>
    <i r="1">
      <x v="382"/>
    </i>
    <i r="1">
      <x v="383"/>
    </i>
    <i r="1">
      <x v="384"/>
    </i>
    <i r="1">
      <x v="385"/>
    </i>
    <i r="1">
      <x v="386"/>
    </i>
    <i r="1">
      <x v="387"/>
    </i>
    <i r="1">
      <x v="388"/>
    </i>
    <i r="1">
      <x v="391"/>
    </i>
    <i r="1">
      <x v="394"/>
    </i>
    <i r="1">
      <x v="395"/>
    </i>
    <i r="1">
      <x v="396"/>
    </i>
    <i r="1">
      <x v="397"/>
    </i>
    <i r="1">
      <x v="399"/>
    </i>
    <i r="1">
      <x v="400"/>
    </i>
    <i t="grand">
      <x/>
    </i>
  </rowItems>
  <colFields count="1">
    <field x="-2"/>
  </colFields>
  <colItems count="2">
    <i>
      <x/>
    </i>
    <i i="1">
      <x v="1"/>
    </i>
  </colItems>
  <pageFields count="2">
    <pageField fld="0" hier="-1"/>
    <pageField fld="10" hier="-1"/>
  </pageFields>
  <dataFields count="2">
    <dataField name="Count of Prioridade" fld="10" subtotal="count" baseField="0" baseItem="0"/>
    <dataField name="Count of Sub-Serviço (Sub-issue)" fld="2" subtotal="count" baseField="0" baseItem="0"/>
  </dataFields>
  <formats count="67">
    <format dxfId="109">
      <pivotArea dataOnly="0" labelOnly="1" fieldPosition="0">
        <references count="2">
          <reference field="1" count="1" selected="0">
            <x v="0"/>
          </reference>
          <reference field="2" count="1">
            <x v="302"/>
          </reference>
        </references>
      </pivotArea>
    </format>
    <format dxfId="108">
      <pivotArea dataOnly="0" labelOnly="1" fieldPosition="0">
        <references count="2">
          <reference field="1" count="1" selected="0">
            <x v="9"/>
          </reference>
          <reference field="2" count="3">
            <x v="57"/>
            <x v="132"/>
            <x v="302"/>
          </reference>
        </references>
      </pivotArea>
    </format>
    <format dxfId="107">
      <pivotArea dataOnly="0" labelOnly="1" fieldPosition="0">
        <references count="2">
          <reference field="1" count="1" selected="0">
            <x v="18"/>
          </reference>
          <reference field="2" count="2">
            <x v="9"/>
            <x v="13"/>
          </reference>
        </references>
      </pivotArea>
    </format>
    <format dxfId="106">
      <pivotArea dataOnly="0" labelOnly="1" fieldPosition="0">
        <references count="2">
          <reference field="1" count="1" selected="0">
            <x v="26"/>
          </reference>
          <reference field="2" count="1">
            <x v="264"/>
          </reference>
        </references>
      </pivotArea>
    </format>
    <format dxfId="105">
      <pivotArea dataOnly="0" labelOnly="1" fieldPosition="0">
        <references count="2">
          <reference field="1" count="1" selected="0">
            <x v="1"/>
          </reference>
          <reference field="2" count="1">
            <x v="324"/>
          </reference>
        </references>
      </pivotArea>
    </format>
    <format dxfId="104">
      <pivotArea dataOnly="0" labelOnly="1" fieldPosition="0">
        <references count="2">
          <reference field="1" count="1" selected="0">
            <x v="0"/>
          </reference>
          <reference field="2" count="1">
            <x v="15"/>
          </reference>
        </references>
      </pivotArea>
    </format>
    <format dxfId="103">
      <pivotArea dataOnly="0" labelOnly="1" fieldPosition="0">
        <references count="2">
          <reference field="1" count="1" selected="0">
            <x v="6"/>
          </reference>
          <reference field="2" count="1">
            <x v="100"/>
          </reference>
        </references>
      </pivotArea>
    </format>
    <format dxfId="102">
      <pivotArea dataOnly="0" labelOnly="1" fieldPosition="0">
        <references count="2">
          <reference field="1" count="1" selected="0">
            <x v="6"/>
          </reference>
          <reference field="2" count="1">
            <x v="241"/>
          </reference>
        </references>
      </pivotArea>
    </format>
    <format dxfId="101">
      <pivotArea dataOnly="0" labelOnly="1" fieldPosition="0">
        <references count="2">
          <reference field="1" count="1" selected="0">
            <x v="1"/>
          </reference>
          <reference field="2" count="1">
            <x v="284"/>
          </reference>
        </references>
      </pivotArea>
    </format>
    <format dxfId="100">
      <pivotArea dataOnly="0" labelOnly="1" fieldPosition="0">
        <references count="2">
          <reference field="1" count="1" selected="0">
            <x v="6"/>
          </reference>
          <reference field="2" count="1">
            <x v="102"/>
          </reference>
        </references>
      </pivotArea>
    </format>
    <format dxfId="99">
      <pivotArea dataOnly="0" labelOnly="1" fieldPosition="0">
        <references count="2">
          <reference field="1" count="1" selected="0">
            <x v="6"/>
          </reference>
          <reference field="2" count="1">
            <x v="104"/>
          </reference>
        </references>
      </pivotArea>
    </format>
    <format dxfId="98">
      <pivotArea dataOnly="0" labelOnly="1" fieldPosition="0">
        <references count="2">
          <reference field="1" count="1" selected="0">
            <x v="6"/>
          </reference>
          <reference field="2" count="1">
            <x v="245"/>
          </reference>
        </references>
      </pivotArea>
    </format>
    <format dxfId="97">
      <pivotArea dataOnly="0" labelOnly="1" fieldPosition="0">
        <references count="2">
          <reference field="1" count="1" selected="0">
            <x v="9"/>
          </reference>
          <reference field="2" count="1">
            <x v="88"/>
          </reference>
        </references>
      </pivotArea>
    </format>
    <format dxfId="96">
      <pivotArea dataOnly="0" labelOnly="1" fieldPosition="0">
        <references count="2">
          <reference field="1" count="1" selected="0">
            <x v="9"/>
          </reference>
          <reference field="2" count="1">
            <x v="78"/>
          </reference>
        </references>
      </pivotArea>
    </format>
    <format dxfId="95">
      <pivotArea dataOnly="0" labelOnly="1" fieldPosition="0">
        <references count="2">
          <reference field="1" count="1" selected="0">
            <x v="10"/>
          </reference>
          <reference field="2" count="1">
            <x v="368"/>
          </reference>
        </references>
      </pivotArea>
    </format>
    <format dxfId="94">
      <pivotArea dataOnly="0" labelOnly="1" fieldPosition="0">
        <references count="2">
          <reference field="1" count="1" selected="0">
            <x v="10"/>
          </reference>
          <reference field="2" count="1">
            <x v="192"/>
          </reference>
        </references>
      </pivotArea>
    </format>
    <format dxfId="93">
      <pivotArea dataOnly="0" labelOnly="1" fieldPosition="0">
        <references count="2">
          <reference field="1" count="1" selected="0">
            <x v="15"/>
          </reference>
          <reference field="2" count="1">
            <x v="407"/>
          </reference>
        </references>
      </pivotArea>
    </format>
    <format dxfId="92">
      <pivotArea dataOnly="0" labelOnly="1" fieldPosition="0">
        <references count="2">
          <reference field="1" count="1" selected="0">
            <x v="15"/>
          </reference>
          <reference field="2" count="1">
            <x v="406"/>
          </reference>
        </references>
      </pivotArea>
    </format>
    <format dxfId="91">
      <pivotArea dataOnly="0" labelOnly="1" fieldPosition="0">
        <references count="2">
          <reference field="1" count="1" selected="0">
            <x v="15"/>
          </reference>
          <reference field="2" count="1">
            <x v="401"/>
          </reference>
        </references>
      </pivotArea>
    </format>
    <format dxfId="90">
      <pivotArea dataOnly="0" labelOnly="1" fieldPosition="0">
        <references count="2">
          <reference field="1" count="1" selected="0">
            <x v="15"/>
          </reference>
          <reference field="2" count="1">
            <x v="402"/>
          </reference>
        </references>
      </pivotArea>
    </format>
    <format dxfId="89">
      <pivotArea dataOnly="0" labelOnly="1" fieldPosition="0">
        <references count="2">
          <reference field="1" count="1" selected="0">
            <x v="16"/>
          </reference>
          <reference field="2" count="1">
            <x v="52"/>
          </reference>
        </references>
      </pivotArea>
    </format>
    <format dxfId="88">
      <pivotArea dataOnly="0" labelOnly="1" fieldPosition="0">
        <references count="2">
          <reference field="1" count="1" selected="0">
            <x v="18"/>
          </reference>
          <reference field="2" count="1">
            <x v="5"/>
          </reference>
        </references>
      </pivotArea>
    </format>
    <format dxfId="87">
      <pivotArea dataOnly="0" labelOnly="1" fieldPosition="0">
        <references count="2">
          <reference field="1" count="1" selected="0">
            <x v="18"/>
          </reference>
          <reference field="2" count="1">
            <x v="87"/>
          </reference>
        </references>
      </pivotArea>
    </format>
    <format dxfId="86">
      <pivotArea dataOnly="0" labelOnly="1" fieldPosition="0">
        <references count="2">
          <reference field="1" count="1" selected="0">
            <x v="18"/>
          </reference>
          <reference field="2" count="1">
            <x v="131"/>
          </reference>
        </references>
      </pivotArea>
    </format>
    <format dxfId="85">
      <pivotArea dataOnly="0" labelOnly="1" fieldPosition="0">
        <references count="2">
          <reference field="1" count="1" selected="0">
            <x v="19"/>
          </reference>
          <reference field="2" count="1">
            <x v="90"/>
          </reference>
        </references>
      </pivotArea>
    </format>
    <format dxfId="84">
      <pivotArea dataOnly="0" labelOnly="1" fieldPosition="0">
        <references count="2">
          <reference field="1" count="1" selected="0">
            <x v="19"/>
          </reference>
          <reference field="2" count="1">
            <x v="291"/>
          </reference>
        </references>
      </pivotArea>
    </format>
    <format dxfId="83">
      <pivotArea dataOnly="0" labelOnly="1" fieldPosition="0">
        <references count="2">
          <reference field="1" count="1" selected="0">
            <x v="19"/>
          </reference>
          <reference field="2" count="1">
            <x v="184"/>
          </reference>
        </references>
      </pivotArea>
    </format>
    <format dxfId="82">
      <pivotArea dataOnly="0" labelOnly="1" fieldPosition="0">
        <references count="2">
          <reference field="1" count="1" selected="0">
            <x v="22"/>
          </reference>
          <reference field="2" count="1">
            <x v="75"/>
          </reference>
        </references>
      </pivotArea>
    </format>
    <format dxfId="81">
      <pivotArea dataOnly="0" labelOnly="1" fieldPosition="0">
        <references count="2">
          <reference field="1" count="1" selected="0">
            <x v="22"/>
          </reference>
          <reference field="2" count="1">
            <x v="192"/>
          </reference>
        </references>
      </pivotArea>
    </format>
    <format dxfId="80">
      <pivotArea dataOnly="0" labelOnly="1" fieldPosition="0">
        <references count="2">
          <reference field="1" count="1" selected="0">
            <x v="22"/>
          </reference>
          <reference field="2" count="1">
            <x v="46"/>
          </reference>
        </references>
      </pivotArea>
    </format>
    <format dxfId="79">
      <pivotArea dataOnly="0" labelOnly="1" fieldPosition="0">
        <references count="2">
          <reference field="1" count="1" selected="0">
            <x v="24"/>
          </reference>
          <reference field="2" count="1">
            <x v="18"/>
          </reference>
        </references>
      </pivotArea>
    </format>
    <format dxfId="78">
      <pivotArea dataOnly="0" labelOnly="1" fieldPosition="0">
        <references count="2">
          <reference field="1" count="1" selected="0">
            <x v="24"/>
          </reference>
          <reference field="2" count="1">
            <x v="185"/>
          </reference>
        </references>
      </pivotArea>
    </format>
    <format dxfId="77">
      <pivotArea dataOnly="0" labelOnly="1" fieldPosition="0">
        <references count="2">
          <reference field="1" count="1" selected="0">
            <x v="25"/>
          </reference>
          <reference field="2" count="1">
            <x v="280"/>
          </reference>
        </references>
      </pivotArea>
    </format>
    <format dxfId="76">
      <pivotArea dataOnly="0" labelOnly="1" fieldPosition="0">
        <references count="2">
          <reference field="1" count="1" selected="0">
            <x v="25"/>
          </reference>
          <reference field="2" count="1">
            <x v="282"/>
          </reference>
        </references>
      </pivotArea>
    </format>
    <format dxfId="75">
      <pivotArea dataOnly="0" labelOnly="1" fieldPosition="0">
        <references count="2">
          <reference field="1" count="1" selected="0">
            <x v="25"/>
          </reference>
          <reference field="2" count="1">
            <x v="283"/>
          </reference>
        </references>
      </pivotArea>
    </format>
    <format dxfId="74">
      <pivotArea dataOnly="0" labelOnly="1" fieldPosition="0">
        <references count="2">
          <reference field="1" count="1" selected="0">
            <x v="0"/>
          </reference>
          <reference field="2" count="1">
            <x v="15"/>
          </reference>
        </references>
      </pivotArea>
    </format>
    <format dxfId="73">
      <pivotArea dataOnly="0" labelOnly="1" fieldPosition="0">
        <references count="2">
          <reference field="1" count="1" selected="0">
            <x v="0"/>
          </reference>
          <reference field="2" count="1">
            <x v="302"/>
          </reference>
        </references>
      </pivotArea>
    </format>
    <format dxfId="72">
      <pivotArea dataOnly="0" labelOnly="1" fieldPosition="0">
        <references count="2">
          <reference field="1" count="1" selected="0">
            <x v="1"/>
          </reference>
          <reference field="2" count="1">
            <x v="284"/>
          </reference>
        </references>
      </pivotArea>
    </format>
    <format dxfId="71">
      <pivotArea dataOnly="0" labelOnly="1" fieldPosition="0">
        <references count="2">
          <reference field="1" count="1" selected="0">
            <x v="1"/>
          </reference>
          <reference field="2" count="1">
            <x v="324"/>
          </reference>
        </references>
      </pivotArea>
    </format>
    <format dxfId="70">
      <pivotArea dataOnly="0" labelOnly="1" fieldPosition="0">
        <references count="2">
          <reference field="1" count="1" selected="0">
            <x v="6"/>
          </reference>
          <reference field="2" count="1">
            <x v="100"/>
          </reference>
        </references>
      </pivotArea>
    </format>
    <format dxfId="69">
      <pivotArea dataOnly="0" labelOnly="1" fieldPosition="0">
        <references count="2">
          <reference field="1" count="1" selected="0">
            <x v="6"/>
          </reference>
          <reference field="2" count="1">
            <x v="104"/>
          </reference>
        </references>
      </pivotArea>
    </format>
    <format dxfId="68">
      <pivotArea dataOnly="0" labelOnly="1" fieldPosition="0">
        <references count="2">
          <reference field="1" count="1" selected="0">
            <x v="6"/>
          </reference>
          <reference field="2" count="1">
            <x v="241"/>
          </reference>
        </references>
      </pivotArea>
    </format>
    <format dxfId="67">
      <pivotArea dataOnly="0" labelOnly="1" fieldPosition="0">
        <references count="2">
          <reference field="1" count="1" selected="0">
            <x v="6"/>
          </reference>
          <reference field="2" count="1">
            <x v="245"/>
          </reference>
        </references>
      </pivotArea>
    </format>
    <format dxfId="66">
      <pivotArea dataOnly="0" labelOnly="1" fieldPosition="0">
        <references count="2">
          <reference field="1" count="1" selected="0">
            <x v="9"/>
          </reference>
          <reference field="2" count="1">
            <x v="57"/>
          </reference>
        </references>
      </pivotArea>
    </format>
    <format dxfId="65">
      <pivotArea dataOnly="0" labelOnly="1" fieldPosition="0">
        <references count="2">
          <reference field="1" count="1" selected="0">
            <x v="9"/>
          </reference>
          <reference field="2" count="1">
            <x v="78"/>
          </reference>
        </references>
      </pivotArea>
    </format>
    <format dxfId="64">
      <pivotArea dataOnly="0" labelOnly="1" fieldPosition="0">
        <references count="2">
          <reference field="1" count="1" selected="0">
            <x v="9"/>
          </reference>
          <reference field="2" count="1">
            <x v="88"/>
          </reference>
        </references>
      </pivotArea>
    </format>
    <format dxfId="63">
      <pivotArea dataOnly="0" labelOnly="1" fieldPosition="0">
        <references count="2">
          <reference field="1" count="1" selected="0">
            <x v="9"/>
          </reference>
          <reference field="2" count="1">
            <x v="132"/>
          </reference>
        </references>
      </pivotArea>
    </format>
    <format dxfId="62">
      <pivotArea dataOnly="0" labelOnly="1" fieldPosition="0">
        <references count="2">
          <reference field="1" count="1" selected="0">
            <x v="9"/>
          </reference>
          <reference field="2" count="1">
            <x v="302"/>
          </reference>
        </references>
      </pivotArea>
    </format>
    <format dxfId="61">
      <pivotArea dataOnly="0" labelOnly="1" fieldPosition="0">
        <references count="2">
          <reference field="1" count="1" selected="0">
            <x v="10"/>
          </reference>
          <reference field="2" count="1">
            <x v="192"/>
          </reference>
        </references>
      </pivotArea>
    </format>
    <format dxfId="60">
      <pivotArea dataOnly="0" labelOnly="1" fieldPosition="0">
        <references count="2">
          <reference field="1" count="1" selected="0">
            <x v="10"/>
          </reference>
          <reference field="2" count="1">
            <x v="368"/>
          </reference>
        </references>
      </pivotArea>
    </format>
    <format dxfId="59">
      <pivotArea dataOnly="0" labelOnly="1" fieldPosition="0">
        <references count="2">
          <reference field="1" count="1" selected="0">
            <x v="15"/>
          </reference>
          <reference field="2" count="4">
            <x v="401"/>
            <x v="402"/>
            <x v="406"/>
            <x v="407"/>
          </reference>
        </references>
      </pivotArea>
    </format>
    <format dxfId="58">
      <pivotArea dataOnly="0" labelOnly="1" fieldPosition="0">
        <references count="2">
          <reference field="1" count="1" selected="0">
            <x v="16"/>
          </reference>
          <reference field="2" count="1">
            <x v="52"/>
          </reference>
        </references>
      </pivotArea>
    </format>
    <format dxfId="57">
      <pivotArea dataOnly="0" labelOnly="1" fieldPosition="0">
        <references count="2">
          <reference field="1" count="1" selected="0">
            <x v="18"/>
          </reference>
          <reference field="2" count="1">
            <x v="5"/>
          </reference>
        </references>
      </pivotArea>
    </format>
    <format dxfId="56">
      <pivotArea dataOnly="0" labelOnly="1" fieldPosition="0">
        <references count="2">
          <reference field="1" count="1" selected="0">
            <x v="18"/>
          </reference>
          <reference field="2" count="1">
            <x v="9"/>
          </reference>
        </references>
      </pivotArea>
    </format>
    <format dxfId="55">
      <pivotArea dataOnly="0" labelOnly="1" fieldPosition="0">
        <references count="2">
          <reference field="1" count="1" selected="0">
            <x v="18"/>
          </reference>
          <reference field="2" count="3">
            <x v="13"/>
            <x v="87"/>
            <x v="131"/>
          </reference>
        </references>
      </pivotArea>
    </format>
    <format dxfId="54">
      <pivotArea dataOnly="0" labelOnly="1" fieldPosition="0">
        <references count="2">
          <reference field="1" count="1" selected="0">
            <x v="19"/>
          </reference>
          <reference field="2" count="1">
            <x v="90"/>
          </reference>
        </references>
      </pivotArea>
    </format>
    <format dxfId="53">
      <pivotArea dataOnly="0" labelOnly="1" fieldPosition="0">
        <references count="2">
          <reference field="1" count="1" selected="0">
            <x v="19"/>
          </reference>
          <reference field="2" count="1">
            <x v="184"/>
          </reference>
        </references>
      </pivotArea>
    </format>
    <format dxfId="52">
      <pivotArea dataOnly="0" labelOnly="1" fieldPosition="0">
        <references count="2">
          <reference field="1" count="1" selected="0">
            <x v="19"/>
          </reference>
          <reference field="2" count="1">
            <x v="291"/>
          </reference>
        </references>
      </pivotArea>
    </format>
    <format dxfId="51">
      <pivotArea dataOnly="0" labelOnly="1" fieldPosition="0">
        <references count="2">
          <reference field="1" count="1" selected="0">
            <x v="22"/>
          </reference>
          <reference field="2" count="1">
            <x v="46"/>
          </reference>
        </references>
      </pivotArea>
    </format>
    <format dxfId="50">
      <pivotArea dataOnly="0" labelOnly="1" fieldPosition="0">
        <references count="2">
          <reference field="1" count="1" selected="0">
            <x v="22"/>
          </reference>
          <reference field="2" count="1">
            <x v="75"/>
          </reference>
        </references>
      </pivotArea>
    </format>
    <format dxfId="49">
      <pivotArea dataOnly="0" labelOnly="1" fieldPosition="0">
        <references count="2">
          <reference field="1" count="1" selected="0">
            <x v="22"/>
          </reference>
          <reference field="2" count="1">
            <x v="192"/>
          </reference>
        </references>
      </pivotArea>
    </format>
    <format dxfId="48">
      <pivotArea dataOnly="0" labelOnly="1" fieldPosition="0">
        <references count="2">
          <reference field="1" count="1" selected="0">
            <x v="24"/>
          </reference>
          <reference field="2" count="1">
            <x v="18"/>
          </reference>
        </references>
      </pivotArea>
    </format>
    <format dxfId="47">
      <pivotArea dataOnly="0" labelOnly="1" fieldPosition="0">
        <references count="2">
          <reference field="1" count="1" selected="0">
            <x v="24"/>
          </reference>
          <reference field="2" count="1">
            <x v="185"/>
          </reference>
        </references>
      </pivotArea>
    </format>
    <format dxfId="46">
      <pivotArea dataOnly="0" labelOnly="1" fieldPosition="0">
        <references count="2">
          <reference field="1" count="1" selected="0">
            <x v="25"/>
          </reference>
          <reference field="2" count="1">
            <x v="280"/>
          </reference>
        </references>
      </pivotArea>
    </format>
    <format dxfId="45">
      <pivotArea dataOnly="0" labelOnly="1" fieldPosition="0">
        <references count="2">
          <reference field="1" count="1" selected="0">
            <x v="25"/>
          </reference>
          <reference field="2" count="1">
            <x v="282"/>
          </reference>
        </references>
      </pivotArea>
    </format>
    <format dxfId="44">
      <pivotArea dataOnly="0" labelOnly="1" fieldPosition="0">
        <references count="2">
          <reference field="1" count="1" selected="0">
            <x v="25"/>
          </reference>
          <reference field="2" count="1">
            <x v="283"/>
          </reference>
        </references>
      </pivotArea>
    </format>
    <format dxfId="43">
      <pivotArea dataOnly="0" labelOnly="1" fieldPosition="0">
        <references count="2">
          <reference field="1" count="1" selected="0">
            <x v="26"/>
          </reference>
          <reference field="2" count="1">
            <x v="26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1" name="Tabela1" displayName="Tabela1" ref="A1:K479" totalsRowShown="0" headerRowDxfId="42">
  <autoFilter ref="A1:K479"/>
  <sortState ref="A2:K479">
    <sortCondition ref="A1"/>
  </sortState>
  <tableColumns count="11">
    <tableColumn id="2" name="Tipo do chamado:" dataDxfId="41"/>
    <tableColumn id="3" name="Serviço (issue)" dataDxfId="40"/>
    <tableColumn id="4" name="Sub-Serviço (Sub-issue)" dataDxfId="39"/>
    <tableColumn id="5" name="Área de Atuação" dataDxfId="38"/>
    <tableColumn id="6" name="SLA 1o Atendimento"/>
    <tableColumn id="7" name="SLA Resolução"/>
    <tableColumn id="8" name="Nível"/>
    <tableColumn id="9" name="Grupo - Fila" dataDxfId="37"/>
    <tableColumn id="10" name="Grupo - Fila2" dataDxfId="36"/>
    <tableColumn id="13" name="UDF" dataDxfId="35"/>
    <tableColumn id="1" name="Prioridade" dataDxfId="34"/>
  </tableColumns>
  <tableStyleInfo name="TableStyleMedium2" showFirstColumn="0" showLastColumn="0" showRowStripes="1" showColumnStripes="0"/>
</table>
</file>

<file path=xl/tables/table2.xml><?xml version="1.0" encoding="utf-8"?>
<table xmlns="http://schemas.openxmlformats.org/spreadsheetml/2006/main" id="2" name="Tabela13" displayName="Tabela13" ref="A3:AD332" totalsRowShown="0" headerRowDxfId="33" dataDxfId="32" tableBorderDxfId="31">
  <autoFilter ref="A3:AD332">
    <filterColumn colId="9">
      <filters>
        <filter val="1"/>
      </filters>
    </filterColumn>
  </autoFilter>
  <sortState ref="A4:AA346">
    <sortCondition ref="A3:A346"/>
  </sortState>
  <tableColumns count="30">
    <tableColumn id="1" name="Serviço" dataDxfId="30"/>
    <tableColumn id="2" name="Foco" dataDxfId="29"/>
    <tableColumn id="3" name="Tipo da Atividade" dataDxfId="28"/>
    <tableColumn id="4" name="Nome da Atividade" dataDxfId="27"/>
    <tableColumn id="5" name="Descrição da Atividade (quando aplicável)" dataDxfId="26"/>
    <tableColumn id="6" name="Elegível a Resolução em 1o. Nível ?" dataDxfId="25"/>
    <tableColumn id="7" name="Possui Script ?" dataDxfId="24"/>
    <tableColumn id="8" name="Formas de Acionamento" dataDxfId="23"/>
    <tableColumn id="9" name="Quem pode acionar ?" dataDxfId="22"/>
    <tableColumn id="28" name="Prioridade" dataDxfId="21"/>
    <tableColumn id="10" name="Tempo Máximo Atendimento" dataDxfId="20">
      <calculatedColumnFormula>VLOOKUP(Tabela13[[#This Row],[Prioridade]],[5]!TabelaPrioridade[#Data],2,FALSE)</calculatedColumnFormula>
    </tableColumn>
    <tableColumn id="11" name="Tempo Máximo Total Resolução" dataDxfId="19">
      <calculatedColumnFormula>VLOOKUP(Tabela13[[#This Row],[Prioridade]],[5]!TabelaPrioridade[#Data],3,FALSE)</calculatedColumnFormula>
    </tableColumn>
    <tableColumn id="12" name="Pré-Aprovada ?" dataDxfId="18"/>
    <tableColumn id="13" name="Quem Aprova ?" dataDxfId="17"/>
    <tableColumn id="14" name="Prazo Máximo" dataDxfId="16"/>
    <tableColumn id="15" name="Grupo Principal" dataDxfId="15"/>
    <tableColumn id="16" name="Tempo Máximo Escalada Funcional" dataDxfId="14">
      <calculatedColumnFormula>Tabela13[[#This Row],[Tempo Máximo Atendimento]]+"00:20:00"</calculatedColumnFormula>
    </tableColumn>
    <tableColumn id="17" name="Situações que justificam escalada" dataDxfId="13"/>
    <tableColumn id="18" name="Grupo Secundário" dataDxfId="12"/>
    <tableColumn id="27" name="Tempo Máximo Escalada Funcional2" dataDxfId="11"/>
    <tableColumn id="19" name="Tempo Máximo Resolução" dataDxfId="10"/>
    <tableColumn id="20" name="Existem ANO´s ou Contratos de Apoio?" dataDxfId="9"/>
    <tableColumn id="26" name="Grupo Secundário2" dataDxfId="8"/>
    <tableColumn id="25" name="Tempo Máximo Resolução3" dataDxfId="7"/>
    <tableColumn id="24" name="Existem ANO´s ou Contratos de Apoio?4" dataDxfId="6"/>
    <tableColumn id="23" name="Grupo Secundário3" dataDxfId="5"/>
    <tableColumn id="29" name="Tempo Máximo Resolução2" dataDxfId="4"/>
    <tableColumn id="30" name="Existem ANO´s ou Contratos de Apoio?2" dataDxfId="3"/>
    <tableColumn id="21" name="Para quem escalar ?" dataDxfId="2"/>
    <tableColumn id="22" name="Em quanto tempo ?" dataDxfId="1"/>
  </tableColumns>
  <tableStyleInfo name="TableStyleMedium6" showFirstColumn="0" showLastColumn="0" showRowStripes="1"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F27"/>
  <sheetViews>
    <sheetView showGridLines="0" showRowColHeaders="0" zoomScaleNormal="100" zoomScalePageLayoutView="150" workbookViewId="0"/>
  </sheetViews>
  <sheetFormatPr defaultColWidth="8.85546875" defaultRowHeight="12.75"/>
  <cols>
    <col min="1" max="1" width="4.42578125" style="26" customWidth="1"/>
    <col min="2" max="2" width="3.7109375" style="32" customWidth="1"/>
    <col min="3" max="3" width="47.42578125" style="32" bestFit="1" customWidth="1"/>
    <col min="4" max="4" width="12" style="34" customWidth="1"/>
    <col min="5" max="5" width="16.140625" style="35" customWidth="1"/>
    <col min="6" max="16384" width="8.85546875" style="32"/>
  </cols>
  <sheetData>
    <row r="1" spans="2:6" s="26" customFormat="1">
      <c r="D1" s="27"/>
      <c r="E1" s="28"/>
    </row>
    <row r="2" spans="2:6">
      <c r="B2" s="29"/>
      <c r="C2" s="29"/>
      <c r="D2" s="30"/>
      <c r="E2" s="31"/>
      <c r="F2" s="31"/>
    </row>
    <row r="3" spans="2:6" ht="60.95" customHeight="1">
      <c r="C3" s="33"/>
    </row>
    <row r="4" spans="2:6" ht="26.25" customHeight="1">
      <c r="C4" s="36" t="s">
        <v>20</v>
      </c>
    </row>
    <row r="5" spans="2:6" ht="34.5" customHeight="1">
      <c r="C5" s="36" t="s">
        <v>22</v>
      </c>
    </row>
    <row r="6" spans="2:6" ht="24" customHeight="1">
      <c r="B6" s="37"/>
      <c r="C6" s="38" t="s">
        <v>15</v>
      </c>
      <c r="D6" s="39"/>
      <c r="E6" s="39"/>
      <c r="F6" s="39"/>
    </row>
    <row r="7" spans="2:6" ht="15">
      <c r="B7" s="37"/>
      <c r="C7" s="40"/>
      <c r="D7" s="41"/>
      <c r="E7" s="41"/>
      <c r="F7" s="37"/>
    </row>
    <row r="8" spans="2:6" ht="15">
      <c r="B8" s="37"/>
      <c r="C8" s="42"/>
      <c r="D8" s="41"/>
      <c r="E8" s="41"/>
      <c r="F8" s="37"/>
    </row>
    <row r="9" spans="2:6" ht="15">
      <c r="B9" s="37"/>
      <c r="C9" s="42"/>
      <c r="D9" s="41"/>
      <c r="E9" s="41"/>
      <c r="F9" s="37"/>
    </row>
    <row r="10" spans="2:6" ht="15">
      <c r="B10" s="37"/>
      <c r="C10" s="42"/>
      <c r="D10" s="37"/>
      <c r="E10" s="37"/>
      <c r="F10" s="37"/>
    </row>
    <row r="11" spans="2:6" ht="15">
      <c r="B11" s="37"/>
      <c r="C11" s="40"/>
      <c r="D11" s="37"/>
      <c r="E11" s="37"/>
      <c r="F11" s="37"/>
    </row>
    <row r="12" spans="2:6" ht="15">
      <c r="B12" s="37"/>
      <c r="C12" s="41"/>
      <c r="D12" s="37"/>
      <c r="E12" s="37"/>
      <c r="F12" s="37"/>
    </row>
    <row r="13" spans="2:6" ht="15">
      <c r="B13" s="37"/>
      <c r="C13" s="40"/>
      <c r="D13" s="37"/>
      <c r="E13" s="37"/>
      <c r="F13" s="37"/>
    </row>
    <row r="14" spans="2:6" ht="15">
      <c r="B14" s="37"/>
      <c r="C14" s="43"/>
      <c r="D14" s="44"/>
      <c r="E14" s="39"/>
      <c r="F14" s="39"/>
    </row>
    <row r="15" spans="2:6" ht="15">
      <c r="B15" s="37"/>
      <c r="C15" s="45"/>
      <c r="D15" s="37"/>
      <c r="E15" s="39"/>
      <c r="F15" s="39"/>
    </row>
    <row r="16" spans="2:6" ht="15">
      <c r="C16" s="34"/>
      <c r="E16" s="46"/>
    </row>
    <row r="17" spans="3:5">
      <c r="C17" s="47" t="s">
        <v>16</v>
      </c>
    </row>
    <row r="18" spans="3:5">
      <c r="C18" s="48" t="s">
        <v>17</v>
      </c>
      <c r="D18" s="48" t="s">
        <v>18</v>
      </c>
      <c r="E18" s="48" t="s">
        <v>19</v>
      </c>
    </row>
    <row r="19" spans="3:5">
      <c r="C19" s="49" t="s">
        <v>21</v>
      </c>
      <c r="D19" s="50">
        <v>42751</v>
      </c>
      <c r="E19" s="51" t="s">
        <v>460</v>
      </c>
    </row>
    <row r="20" spans="3:5">
      <c r="C20" s="49" t="s">
        <v>458</v>
      </c>
      <c r="D20" s="50">
        <v>42755</v>
      </c>
      <c r="E20" s="51" t="s">
        <v>459</v>
      </c>
    </row>
    <row r="21" spans="3:5">
      <c r="C21" s="49" t="s">
        <v>1388</v>
      </c>
      <c r="D21" s="50">
        <v>42844</v>
      </c>
      <c r="E21" s="51" t="s">
        <v>459</v>
      </c>
    </row>
    <row r="22" spans="3:5">
      <c r="C22" s="49" t="s">
        <v>1387</v>
      </c>
      <c r="D22" s="50">
        <v>42872</v>
      </c>
      <c r="E22" s="51" t="s">
        <v>1386</v>
      </c>
    </row>
    <row r="23" spans="3:5">
      <c r="C23" s="49" t="s">
        <v>1389</v>
      </c>
      <c r="D23" s="50">
        <v>42872</v>
      </c>
      <c r="E23" s="51" t="s">
        <v>1390</v>
      </c>
    </row>
    <row r="24" spans="3:5">
      <c r="C24" s="49"/>
      <c r="D24" s="50"/>
      <c r="E24" s="51"/>
    </row>
    <row r="25" spans="3:5">
      <c r="C25" s="49"/>
      <c r="D25" s="50"/>
      <c r="E25" s="51"/>
    </row>
    <row r="26" spans="3:5">
      <c r="C26" s="49"/>
      <c r="D26" s="50"/>
      <c r="E26" s="51"/>
    </row>
    <row r="27" spans="3:5">
      <c r="C27" s="49"/>
      <c r="D27" s="50"/>
      <c r="E27" s="49"/>
    </row>
  </sheetData>
  <pageMargins left="0.78740157499999996" right="0.78740157499999996" top="0.984251969" bottom="0.984251969" header="0.5" footer="0.5"/>
  <pageSetup orientation="portrait" horizontalDpi="4294967293" verticalDpi="4294967293"/>
  <headerFooter alignWithMargins="0"/>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3"/>
  <sheetViews>
    <sheetView showGridLines="0" zoomScaleNormal="100" zoomScalePageLayoutView="200" workbookViewId="0"/>
  </sheetViews>
  <sheetFormatPr defaultColWidth="11.42578125" defaultRowHeight="15"/>
  <cols>
    <col min="1" max="1" width="53.7109375" bestFit="1" customWidth="1"/>
    <col min="2" max="2" width="16.140625" customWidth="1"/>
    <col min="3" max="3" width="26" customWidth="1"/>
    <col min="4" max="4" width="14.140625" bestFit="1" customWidth="1"/>
    <col min="5" max="5" width="14.42578125" bestFit="1" customWidth="1"/>
    <col min="6" max="6" width="12" bestFit="1" customWidth="1"/>
    <col min="7" max="7" width="14" bestFit="1" customWidth="1"/>
    <col min="8" max="8" width="14.28515625" bestFit="1" customWidth="1"/>
    <col min="9" max="9" width="10.140625" customWidth="1"/>
  </cols>
  <sheetData>
    <row r="1" spans="1:3">
      <c r="A1" s="123" t="s">
        <v>554</v>
      </c>
      <c r="B1" s="5" t="s">
        <v>567</v>
      </c>
    </row>
    <row r="2" spans="1:3">
      <c r="A2" s="123" t="s">
        <v>559</v>
      </c>
      <c r="B2" s="5" t="s">
        <v>1401</v>
      </c>
    </row>
    <row r="4" spans="1:3">
      <c r="B4" s="123" t="s">
        <v>1398</v>
      </c>
    </row>
    <row r="5" spans="1:3">
      <c r="A5" s="123" t="s">
        <v>1396</v>
      </c>
      <c r="B5" s="5" t="s">
        <v>1400</v>
      </c>
      <c r="C5" s="5" t="s">
        <v>1402</v>
      </c>
    </row>
    <row r="6" spans="1:3">
      <c r="A6" s="61" t="s">
        <v>562</v>
      </c>
      <c r="B6" s="124">
        <v>16</v>
      </c>
      <c r="C6" s="124">
        <v>16</v>
      </c>
    </row>
    <row r="7" spans="1:3">
      <c r="A7" s="126" t="s">
        <v>1365</v>
      </c>
      <c r="B7" s="124">
        <v>1</v>
      </c>
      <c r="C7" s="124">
        <v>1</v>
      </c>
    </row>
    <row r="8" spans="1:3">
      <c r="A8" s="65" t="s">
        <v>1321</v>
      </c>
      <c r="B8" s="124">
        <v>1</v>
      </c>
      <c r="C8" s="124">
        <v>1</v>
      </c>
    </row>
    <row r="9" spans="1:3">
      <c r="A9" s="65" t="s">
        <v>1366</v>
      </c>
      <c r="B9" s="124">
        <v>1</v>
      </c>
      <c r="C9" s="124">
        <v>1</v>
      </c>
    </row>
    <row r="10" spans="1:3">
      <c r="A10" s="65" t="s">
        <v>568</v>
      </c>
      <c r="B10" s="124">
        <v>1</v>
      </c>
      <c r="C10" s="124">
        <v>1</v>
      </c>
    </row>
    <row r="11" spans="1:3">
      <c r="A11" s="65" t="s">
        <v>1097</v>
      </c>
      <c r="B11" s="124">
        <v>1</v>
      </c>
      <c r="C11" s="124">
        <v>1</v>
      </c>
    </row>
    <row r="12" spans="1:3">
      <c r="A12" s="65" t="s">
        <v>1368</v>
      </c>
      <c r="B12" s="124">
        <v>1</v>
      </c>
      <c r="C12" s="124">
        <v>1</v>
      </c>
    </row>
    <row r="13" spans="1:3">
      <c r="A13" s="65" t="s">
        <v>1098</v>
      </c>
      <c r="B13" s="124">
        <v>1</v>
      </c>
      <c r="C13" s="124">
        <v>1</v>
      </c>
    </row>
    <row r="14" spans="1:3">
      <c r="A14" s="65" t="s">
        <v>1367</v>
      </c>
      <c r="B14" s="124">
        <v>1</v>
      </c>
      <c r="C14" s="124">
        <v>1</v>
      </c>
    </row>
    <row r="15" spans="1:3">
      <c r="A15" s="65" t="s">
        <v>981</v>
      </c>
      <c r="B15" s="124">
        <v>1</v>
      </c>
      <c r="C15" s="124">
        <v>1</v>
      </c>
    </row>
    <row r="16" spans="1:3">
      <c r="A16" s="65" t="s">
        <v>570</v>
      </c>
      <c r="B16" s="124">
        <v>1</v>
      </c>
      <c r="C16" s="124">
        <v>1</v>
      </c>
    </row>
    <row r="17" spans="1:3">
      <c r="A17" s="65" t="s">
        <v>1002</v>
      </c>
      <c r="B17" s="124">
        <v>1</v>
      </c>
      <c r="C17" s="124">
        <v>1</v>
      </c>
    </row>
    <row r="18" spans="1:3">
      <c r="A18" s="65" t="s">
        <v>571</v>
      </c>
      <c r="B18" s="124">
        <v>1</v>
      </c>
      <c r="C18" s="124">
        <v>1</v>
      </c>
    </row>
    <row r="19" spans="1:3">
      <c r="A19" s="65" t="s">
        <v>1006</v>
      </c>
      <c r="B19" s="124">
        <v>2</v>
      </c>
      <c r="C19" s="124">
        <v>2</v>
      </c>
    </row>
    <row r="20" spans="1:3">
      <c r="A20" s="126" t="s">
        <v>1364</v>
      </c>
      <c r="B20" s="124">
        <v>1</v>
      </c>
      <c r="C20" s="124">
        <v>1</v>
      </c>
    </row>
    <row r="21" spans="1:3">
      <c r="A21" s="65" t="s">
        <v>989</v>
      </c>
      <c r="B21" s="124">
        <v>1</v>
      </c>
      <c r="C21" s="124">
        <v>1</v>
      </c>
    </row>
    <row r="22" spans="1:3">
      <c r="A22" s="61" t="s">
        <v>831</v>
      </c>
      <c r="B22" s="124">
        <v>16</v>
      </c>
      <c r="C22" s="124">
        <v>16</v>
      </c>
    </row>
    <row r="23" spans="1:3">
      <c r="A23" s="65" t="s">
        <v>845</v>
      </c>
      <c r="B23" s="124">
        <v>1</v>
      </c>
      <c r="C23" s="124">
        <v>1</v>
      </c>
    </row>
    <row r="24" spans="1:3">
      <c r="A24" s="65" t="s">
        <v>843</v>
      </c>
      <c r="B24" s="124">
        <v>1</v>
      </c>
      <c r="C24" s="124">
        <v>1</v>
      </c>
    </row>
    <row r="25" spans="1:3">
      <c r="A25" s="65" t="s">
        <v>844</v>
      </c>
      <c r="B25" s="124">
        <v>1</v>
      </c>
      <c r="C25" s="124">
        <v>1</v>
      </c>
    </row>
    <row r="26" spans="1:3">
      <c r="A26" s="65" t="s">
        <v>1251</v>
      </c>
      <c r="B26" s="124">
        <v>1</v>
      </c>
      <c r="C26" s="124">
        <v>1</v>
      </c>
    </row>
    <row r="27" spans="1:3">
      <c r="A27" s="65" t="s">
        <v>839</v>
      </c>
      <c r="B27" s="124">
        <v>1</v>
      </c>
      <c r="C27" s="124">
        <v>1</v>
      </c>
    </row>
    <row r="28" spans="1:3">
      <c r="A28" s="65" t="s">
        <v>1250</v>
      </c>
      <c r="B28" s="124">
        <v>1</v>
      </c>
      <c r="C28" s="124">
        <v>1</v>
      </c>
    </row>
    <row r="29" spans="1:3">
      <c r="A29" s="126" t="s">
        <v>1034</v>
      </c>
      <c r="B29" s="124">
        <v>1</v>
      </c>
      <c r="C29" s="124">
        <v>1</v>
      </c>
    </row>
    <row r="30" spans="1:3">
      <c r="A30" s="65" t="s">
        <v>1253</v>
      </c>
      <c r="B30" s="124">
        <v>1</v>
      </c>
      <c r="C30" s="124">
        <v>1</v>
      </c>
    </row>
    <row r="31" spans="1:3">
      <c r="A31" s="65" t="s">
        <v>847</v>
      </c>
      <c r="B31" s="124">
        <v>1</v>
      </c>
      <c r="C31" s="124">
        <v>1</v>
      </c>
    </row>
    <row r="32" spans="1:3">
      <c r="A32" s="65" t="s">
        <v>846</v>
      </c>
      <c r="B32" s="124">
        <v>1</v>
      </c>
      <c r="C32" s="124">
        <v>1</v>
      </c>
    </row>
    <row r="33" spans="1:3">
      <c r="A33" s="65" t="s">
        <v>842</v>
      </c>
      <c r="B33" s="124">
        <v>1</v>
      </c>
      <c r="C33" s="124">
        <v>1</v>
      </c>
    </row>
    <row r="34" spans="1:3">
      <c r="A34" s="126" t="s">
        <v>841</v>
      </c>
      <c r="B34" s="124">
        <v>1</v>
      </c>
      <c r="C34" s="124">
        <v>1</v>
      </c>
    </row>
    <row r="35" spans="1:3">
      <c r="A35" s="65" t="s">
        <v>832</v>
      </c>
      <c r="B35" s="124">
        <v>1</v>
      </c>
      <c r="C35" s="124">
        <v>1</v>
      </c>
    </row>
    <row r="36" spans="1:3">
      <c r="A36" s="65" t="s">
        <v>837</v>
      </c>
      <c r="B36" s="124">
        <v>1</v>
      </c>
      <c r="C36" s="124">
        <v>1</v>
      </c>
    </row>
    <row r="37" spans="1:3">
      <c r="A37" s="65" t="s">
        <v>838</v>
      </c>
      <c r="B37" s="124">
        <v>1</v>
      </c>
      <c r="C37" s="124">
        <v>1</v>
      </c>
    </row>
    <row r="38" spans="1:3">
      <c r="A38" s="65" t="s">
        <v>1252</v>
      </c>
      <c r="B38" s="124">
        <v>1</v>
      </c>
      <c r="C38" s="124">
        <v>1</v>
      </c>
    </row>
    <row r="39" spans="1:3">
      <c r="A39" s="61" t="s">
        <v>527</v>
      </c>
      <c r="B39" s="124">
        <v>22</v>
      </c>
      <c r="C39" s="124">
        <v>22</v>
      </c>
    </row>
    <row r="40" spans="1:3">
      <c r="A40" s="65" t="s">
        <v>774</v>
      </c>
      <c r="B40" s="124">
        <v>1</v>
      </c>
      <c r="C40" s="124">
        <v>1</v>
      </c>
    </row>
    <row r="41" spans="1:3">
      <c r="A41" s="65" t="s">
        <v>766</v>
      </c>
      <c r="B41" s="124">
        <v>1</v>
      </c>
      <c r="C41" s="124">
        <v>1</v>
      </c>
    </row>
    <row r="42" spans="1:3">
      <c r="A42" s="65" t="s">
        <v>768</v>
      </c>
      <c r="B42" s="124">
        <v>1</v>
      </c>
      <c r="C42" s="124">
        <v>1</v>
      </c>
    </row>
    <row r="43" spans="1:3">
      <c r="A43" s="65" t="s">
        <v>767</v>
      </c>
      <c r="B43" s="124">
        <v>1</v>
      </c>
      <c r="C43" s="124">
        <v>1</v>
      </c>
    </row>
    <row r="44" spans="1:3">
      <c r="A44" s="65" t="s">
        <v>775</v>
      </c>
      <c r="B44" s="124">
        <v>1</v>
      </c>
      <c r="C44" s="124">
        <v>1</v>
      </c>
    </row>
    <row r="45" spans="1:3">
      <c r="A45" s="65" t="s">
        <v>776</v>
      </c>
      <c r="B45" s="124">
        <v>1</v>
      </c>
      <c r="C45" s="124">
        <v>1</v>
      </c>
    </row>
    <row r="46" spans="1:3">
      <c r="A46" s="65" t="s">
        <v>770</v>
      </c>
      <c r="B46" s="124">
        <v>1</v>
      </c>
      <c r="C46" s="124">
        <v>1</v>
      </c>
    </row>
    <row r="47" spans="1:3">
      <c r="A47" s="65" t="s">
        <v>769</v>
      </c>
      <c r="B47" s="124">
        <v>1</v>
      </c>
      <c r="C47" s="124">
        <v>1</v>
      </c>
    </row>
    <row r="48" spans="1:3">
      <c r="A48" s="65" t="s">
        <v>771</v>
      </c>
      <c r="B48" s="124">
        <v>1</v>
      </c>
      <c r="C48" s="124">
        <v>1</v>
      </c>
    </row>
    <row r="49" spans="1:3">
      <c r="A49" s="65" t="s">
        <v>772</v>
      </c>
      <c r="B49" s="124">
        <v>1</v>
      </c>
      <c r="C49" s="124">
        <v>1</v>
      </c>
    </row>
    <row r="50" spans="1:3">
      <c r="A50" s="65" t="s">
        <v>773</v>
      </c>
      <c r="B50" s="124">
        <v>1</v>
      </c>
      <c r="C50" s="124">
        <v>1</v>
      </c>
    </row>
    <row r="51" spans="1:3">
      <c r="A51" s="65" t="s">
        <v>789</v>
      </c>
      <c r="B51" s="124">
        <v>1</v>
      </c>
      <c r="C51" s="124">
        <v>1</v>
      </c>
    </row>
    <row r="52" spans="1:3">
      <c r="A52" s="65" t="s">
        <v>781</v>
      </c>
      <c r="B52" s="124">
        <v>1</v>
      </c>
      <c r="C52" s="124">
        <v>1</v>
      </c>
    </row>
    <row r="53" spans="1:3">
      <c r="A53" s="65" t="s">
        <v>783</v>
      </c>
      <c r="B53" s="124">
        <v>1</v>
      </c>
      <c r="C53" s="124">
        <v>1</v>
      </c>
    </row>
    <row r="54" spans="1:3">
      <c r="A54" s="65" t="s">
        <v>782</v>
      </c>
      <c r="B54" s="124">
        <v>1</v>
      </c>
      <c r="C54" s="124">
        <v>1</v>
      </c>
    </row>
    <row r="55" spans="1:3">
      <c r="A55" s="65" t="s">
        <v>791</v>
      </c>
      <c r="B55" s="124">
        <v>1</v>
      </c>
      <c r="C55" s="124">
        <v>1</v>
      </c>
    </row>
    <row r="56" spans="1:3">
      <c r="A56" s="65" t="s">
        <v>790</v>
      </c>
      <c r="B56" s="124">
        <v>1</v>
      </c>
      <c r="C56" s="124">
        <v>1</v>
      </c>
    </row>
    <row r="57" spans="1:3">
      <c r="A57" s="65" t="s">
        <v>785</v>
      </c>
      <c r="B57" s="124">
        <v>1</v>
      </c>
      <c r="C57" s="124">
        <v>1</v>
      </c>
    </row>
    <row r="58" spans="1:3">
      <c r="A58" s="65" t="s">
        <v>784</v>
      </c>
      <c r="B58" s="124">
        <v>1</v>
      </c>
      <c r="C58" s="124">
        <v>1</v>
      </c>
    </row>
    <row r="59" spans="1:3">
      <c r="A59" s="65" t="s">
        <v>786</v>
      </c>
      <c r="B59" s="124">
        <v>1</v>
      </c>
      <c r="C59" s="124">
        <v>1</v>
      </c>
    </row>
    <row r="60" spans="1:3">
      <c r="A60" s="65" t="s">
        <v>787</v>
      </c>
      <c r="B60" s="124">
        <v>1</v>
      </c>
      <c r="C60" s="124">
        <v>1</v>
      </c>
    </row>
    <row r="61" spans="1:3">
      <c r="A61" s="65" t="s">
        <v>788</v>
      </c>
      <c r="B61" s="124">
        <v>1</v>
      </c>
      <c r="C61" s="124">
        <v>1</v>
      </c>
    </row>
    <row r="62" spans="1:3">
      <c r="A62" s="61" t="s">
        <v>915</v>
      </c>
      <c r="B62" s="124">
        <v>3</v>
      </c>
      <c r="C62" s="124">
        <v>3</v>
      </c>
    </row>
    <row r="63" spans="1:3">
      <c r="A63" s="65" t="s">
        <v>570</v>
      </c>
      <c r="B63" s="124">
        <v>1</v>
      </c>
      <c r="C63" s="124">
        <v>1</v>
      </c>
    </row>
    <row r="64" spans="1:3">
      <c r="A64" s="65" t="s">
        <v>571</v>
      </c>
      <c r="B64" s="124">
        <v>1</v>
      </c>
      <c r="C64" s="124">
        <v>1</v>
      </c>
    </row>
    <row r="65" spans="1:3">
      <c r="A65" s="65" t="s">
        <v>690</v>
      </c>
      <c r="B65" s="124">
        <v>1</v>
      </c>
      <c r="C65" s="124">
        <v>1</v>
      </c>
    </row>
    <row r="66" spans="1:3">
      <c r="A66" s="61" t="s">
        <v>649</v>
      </c>
      <c r="B66" s="124">
        <v>49</v>
      </c>
      <c r="C66" s="124">
        <v>49</v>
      </c>
    </row>
    <row r="67" spans="1:3">
      <c r="A67" s="65" t="s">
        <v>654</v>
      </c>
      <c r="B67" s="124">
        <v>1</v>
      </c>
      <c r="C67" s="124">
        <v>1</v>
      </c>
    </row>
    <row r="68" spans="1:3">
      <c r="A68" s="65" t="s">
        <v>1267</v>
      </c>
      <c r="B68" s="124">
        <v>1</v>
      </c>
      <c r="C68" s="124">
        <v>1</v>
      </c>
    </row>
    <row r="69" spans="1:3">
      <c r="A69" s="65" t="s">
        <v>1270</v>
      </c>
      <c r="B69" s="124">
        <v>1</v>
      </c>
      <c r="C69" s="124">
        <v>1</v>
      </c>
    </row>
    <row r="70" spans="1:3">
      <c r="A70" s="65" t="s">
        <v>1268</v>
      </c>
      <c r="B70" s="124">
        <v>1</v>
      </c>
      <c r="C70" s="124">
        <v>1</v>
      </c>
    </row>
    <row r="71" spans="1:3">
      <c r="A71" s="65" t="s">
        <v>1269</v>
      </c>
      <c r="B71" s="124">
        <v>1</v>
      </c>
      <c r="C71" s="124">
        <v>1</v>
      </c>
    </row>
    <row r="72" spans="1:3">
      <c r="A72" s="65" t="s">
        <v>1271</v>
      </c>
      <c r="B72" s="124">
        <v>1</v>
      </c>
      <c r="C72" s="124">
        <v>1</v>
      </c>
    </row>
    <row r="73" spans="1:3">
      <c r="A73" s="65" t="s">
        <v>657</v>
      </c>
      <c r="B73" s="124">
        <v>1</v>
      </c>
      <c r="C73" s="124">
        <v>1</v>
      </c>
    </row>
    <row r="74" spans="1:3">
      <c r="A74" s="65" t="s">
        <v>1264</v>
      </c>
      <c r="B74" s="124">
        <v>1</v>
      </c>
      <c r="C74" s="124">
        <v>1</v>
      </c>
    </row>
    <row r="75" spans="1:3">
      <c r="A75" s="126" t="s">
        <v>655</v>
      </c>
      <c r="B75" s="124">
        <v>1</v>
      </c>
      <c r="C75" s="124">
        <v>1</v>
      </c>
    </row>
    <row r="76" spans="1:3">
      <c r="A76" s="65" t="s">
        <v>1274</v>
      </c>
      <c r="B76" s="124">
        <v>1</v>
      </c>
      <c r="C76" s="124">
        <v>1</v>
      </c>
    </row>
    <row r="77" spans="1:3">
      <c r="A77" s="125" t="s">
        <v>656</v>
      </c>
      <c r="B77" s="124">
        <v>1</v>
      </c>
      <c r="C77" s="124">
        <v>1</v>
      </c>
    </row>
    <row r="78" spans="1:3">
      <c r="A78" s="65" t="s">
        <v>658</v>
      </c>
      <c r="B78" s="124">
        <v>1</v>
      </c>
      <c r="C78" s="124">
        <v>1</v>
      </c>
    </row>
    <row r="79" spans="1:3">
      <c r="A79" s="126" t="s">
        <v>659</v>
      </c>
      <c r="B79" s="124">
        <v>1</v>
      </c>
      <c r="C79" s="124">
        <v>1</v>
      </c>
    </row>
    <row r="80" spans="1:3">
      <c r="A80" s="65" t="s">
        <v>681</v>
      </c>
      <c r="B80" s="124">
        <v>1</v>
      </c>
      <c r="C80" s="124">
        <v>1</v>
      </c>
    </row>
    <row r="81" spans="1:3">
      <c r="A81" s="65" t="s">
        <v>680</v>
      </c>
      <c r="B81" s="124">
        <v>1</v>
      </c>
      <c r="C81" s="124">
        <v>1</v>
      </c>
    </row>
    <row r="82" spans="1:3">
      <c r="A82" s="65" t="s">
        <v>682</v>
      </c>
      <c r="B82" s="124">
        <v>1</v>
      </c>
      <c r="C82" s="124">
        <v>1</v>
      </c>
    </row>
    <row r="83" spans="1:3">
      <c r="A83" s="65" t="s">
        <v>650</v>
      </c>
      <c r="B83" s="124">
        <v>1</v>
      </c>
      <c r="C83" s="124">
        <v>1</v>
      </c>
    </row>
    <row r="84" spans="1:3">
      <c r="A84" s="65" t="s">
        <v>684</v>
      </c>
      <c r="B84" s="124">
        <v>1</v>
      </c>
      <c r="C84" s="124">
        <v>1</v>
      </c>
    </row>
    <row r="85" spans="1:3">
      <c r="A85" s="65" t="s">
        <v>683</v>
      </c>
      <c r="B85" s="124">
        <v>1</v>
      </c>
      <c r="C85" s="124">
        <v>1</v>
      </c>
    </row>
    <row r="86" spans="1:3">
      <c r="A86" s="65" t="s">
        <v>685</v>
      </c>
      <c r="B86" s="124">
        <v>1</v>
      </c>
      <c r="C86" s="124">
        <v>1</v>
      </c>
    </row>
    <row r="87" spans="1:3">
      <c r="A87" s="65" t="s">
        <v>1280</v>
      </c>
      <c r="B87" s="124">
        <v>1</v>
      </c>
      <c r="C87" s="124">
        <v>1</v>
      </c>
    </row>
    <row r="88" spans="1:3">
      <c r="A88" s="65" t="s">
        <v>1277</v>
      </c>
      <c r="B88" s="124">
        <v>1</v>
      </c>
      <c r="C88" s="124">
        <v>1</v>
      </c>
    </row>
    <row r="89" spans="1:3">
      <c r="A89" s="65" t="s">
        <v>678</v>
      </c>
      <c r="B89" s="124">
        <v>1</v>
      </c>
      <c r="C89" s="124">
        <v>1</v>
      </c>
    </row>
    <row r="90" spans="1:3">
      <c r="A90" s="65" t="s">
        <v>677</v>
      </c>
      <c r="B90" s="124">
        <v>1</v>
      </c>
      <c r="C90" s="124">
        <v>1</v>
      </c>
    </row>
    <row r="91" spans="1:3">
      <c r="A91" s="65" t="s">
        <v>679</v>
      </c>
      <c r="B91" s="124">
        <v>1</v>
      </c>
      <c r="C91" s="124">
        <v>1</v>
      </c>
    </row>
    <row r="92" spans="1:3">
      <c r="A92" s="65" t="s">
        <v>1273</v>
      </c>
      <c r="B92" s="124">
        <v>1</v>
      </c>
      <c r="C92" s="124">
        <v>1</v>
      </c>
    </row>
    <row r="93" spans="1:3">
      <c r="A93" s="65" t="s">
        <v>1281</v>
      </c>
      <c r="B93" s="124">
        <v>1</v>
      </c>
      <c r="C93" s="124">
        <v>1</v>
      </c>
    </row>
    <row r="94" spans="1:3">
      <c r="A94" s="65" t="s">
        <v>1276</v>
      </c>
      <c r="B94" s="124">
        <v>1</v>
      </c>
      <c r="C94" s="124">
        <v>1</v>
      </c>
    </row>
    <row r="95" spans="1:3">
      <c r="A95" s="65" t="s">
        <v>661</v>
      </c>
      <c r="B95" s="124">
        <v>1</v>
      </c>
      <c r="C95" s="124">
        <v>1</v>
      </c>
    </row>
    <row r="96" spans="1:3">
      <c r="A96" s="65" t="s">
        <v>1265</v>
      </c>
      <c r="B96" s="124">
        <v>1</v>
      </c>
      <c r="C96" s="124">
        <v>1</v>
      </c>
    </row>
    <row r="97" spans="1:3">
      <c r="A97" s="65" t="s">
        <v>664</v>
      </c>
      <c r="B97" s="124">
        <v>1</v>
      </c>
      <c r="C97" s="124">
        <v>1</v>
      </c>
    </row>
    <row r="98" spans="1:3">
      <c r="A98" s="126" t="s">
        <v>660</v>
      </c>
      <c r="B98" s="124">
        <v>1</v>
      </c>
      <c r="C98" s="124">
        <v>1</v>
      </c>
    </row>
    <row r="99" spans="1:3">
      <c r="A99" s="65" t="s">
        <v>1275</v>
      </c>
      <c r="B99" s="124">
        <v>1</v>
      </c>
      <c r="C99" s="124">
        <v>1</v>
      </c>
    </row>
    <row r="100" spans="1:3">
      <c r="A100" s="65" t="s">
        <v>666</v>
      </c>
      <c r="B100" s="124">
        <v>1</v>
      </c>
      <c r="C100" s="124">
        <v>1</v>
      </c>
    </row>
    <row r="101" spans="1:3">
      <c r="A101" s="65" t="s">
        <v>662</v>
      </c>
      <c r="B101" s="124">
        <v>1</v>
      </c>
      <c r="C101" s="124">
        <v>1</v>
      </c>
    </row>
    <row r="102" spans="1:3">
      <c r="A102" s="126" t="s">
        <v>663</v>
      </c>
      <c r="B102" s="124">
        <v>1</v>
      </c>
      <c r="C102" s="124">
        <v>1</v>
      </c>
    </row>
    <row r="103" spans="1:3">
      <c r="A103" s="65" t="s">
        <v>665</v>
      </c>
      <c r="B103" s="124">
        <v>1</v>
      </c>
      <c r="C103" s="124">
        <v>1</v>
      </c>
    </row>
    <row r="104" spans="1:3">
      <c r="A104" s="65" t="s">
        <v>1272</v>
      </c>
      <c r="B104" s="124">
        <v>1</v>
      </c>
      <c r="C104" s="124">
        <v>1</v>
      </c>
    </row>
    <row r="105" spans="1:3">
      <c r="A105" s="65" t="s">
        <v>1266</v>
      </c>
      <c r="B105" s="124">
        <v>1</v>
      </c>
      <c r="C105" s="124">
        <v>1</v>
      </c>
    </row>
    <row r="106" spans="1:3">
      <c r="A106" s="65" t="s">
        <v>669</v>
      </c>
      <c r="B106" s="124">
        <v>1</v>
      </c>
      <c r="C106" s="124">
        <v>1</v>
      </c>
    </row>
    <row r="107" spans="1:3">
      <c r="A107" s="65" t="s">
        <v>667</v>
      </c>
      <c r="B107" s="124">
        <v>1</v>
      </c>
      <c r="C107" s="124">
        <v>1</v>
      </c>
    </row>
    <row r="108" spans="1:3">
      <c r="A108" s="65" t="s">
        <v>668</v>
      </c>
      <c r="B108" s="124">
        <v>1</v>
      </c>
      <c r="C108" s="124">
        <v>1</v>
      </c>
    </row>
    <row r="109" spans="1:3">
      <c r="A109" s="65" t="s">
        <v>670</v>
      </c>
      <c r="B109" s="124">
        <v>1</v>
      </c>
      <c r="C109" s="124">
        <v>1</v>
      </c>
    </row>
    <row r="110" spans="1:3">
      <c r="A110" s="65" t="s">
        <v>675</v>
      </c>
      <c r="B110" s="124">
        <v>1</v>
      </c>
      <c r="C110" s="124">
        <v>1</v>
      </c>
    </row>
    <row r="111" spans="1:3">
      <c r="A111" s="65" t="s">
        <v>674</v>
      </c>
      <c r="B111" s="124">
        <v>1</v>
      </c>
      <c r="C111" s="124">
        <v>1</v>
      </c>
    </row>
    <row r="112" spans="1:3">
      <c r="A112" s="65" t="s">
        <v>676</v>
      </c>
      <c r="B112" s="124">
        <v>1</v>
      </c>
      <c r="C112" s="124">
        <v>1</v>
      </c>
    </row>
    <row r="113" spans="1:3">
      <c r="A113" s="65" t="s">
        <v>673</v>
      </c>
      <c r="B113" s="124">
        <v>1</v>
      </c>
      <c r="C113" s="124">
        <v>1</v>
      </c>
    </row>
    <row r="114" spans="1:3">
      <c r="A114" s="65" t="s">
        <v>671</v>
      </c>
      <c r="B114" s="124">
        <v>1</v>
      </c>
      <c r="C114" s="124">
        <v>1</v>
      </c>
    </row>
    <row r="115" spans="1:3">
      <c r="A115" s="65" t="s">
        <v>672</v>
      </c>
      <c r="B115" s="124">
        <v>1</v>
      </c>
      <c r="C115" s="124">
        <v>1</v>
      </c>
    </row>
    <row r="116" spans="1:3">
      <c r="A116" s="61" t="s">
        <v>873</v>
      </c>
      <c r="B116" s="124">
        <v>6</v>
      </c>
      <c r="C116" s="124">
        <v>6</v>
      </c>
    </row>
    <row r="117" spans="1:3">
      <c r="A117" s="65" t="s">
        <v>876</v>
      </c>
      <c r="B117" s="124">
        <v>1</v>
      </c>
      <c r="C117" s="124">
        <v>1</v>
      </c>
    </row>
    <row r="118" spans="1:3">
      <c r="A118" s="65" t="s">
        <v>875</v>
      </c>
      <c r="B118" s="124">
        <v>1</v>
      </c>
      <c r="C118" s="124">
        <v>1</v>
      </c>
    </row>
    <row r="119" spans="1:3">
      <c r="A119" s="65" t="s">
        <v>874</v>
      </c>
      <c r="B119" s="124">
        <v>1</v>
      </c>
      <c r="C119" s="124">
        <v>1</v>
      </c>
    </row>
    <row r="120" spans="1:3">
      <c r="A120" s="65" t="s">
        <v>879</v>
      </c>
      <c r="B120" s="124">
        <v>1</v>
      </c>
      <c r="C120" s="124">
        <v>1</v>
      </c>
    </row>
    <row r="121" spans="1:3">
      <c r="A121" s="65" t="s">
        <v>878</v>
      </c>
      <c r="B121" s="124">
        <v>1</v>
      </c>
      <c r="C121" s="124">
        <v>1</v>
      </c>
    </row>
    <row r="122" spans="1:3">
      <c r="A122" s="65" t="s">
        <v>877</v>
      </c>
      <c r="B122" s="124">
        <v>1</v>
      </c>
      <c r="C122" s="124">
        <v>1</v>
      </c>
    </row>
    <row r="123" spans="1:3">
      <c r="A123" s="61" t="s">
        <v>750</v>
      </c>
      <c r="B123" s="124">
        <v>6</v>
      </c>
      <c r="C123" s="124">
        <v>6</v>
      </c>
    </row>
    <row r="124" spans="1:3">
      <c r="A124" s="65" t="s">
        <v>755</v>
      </c>
      <c r="B124" s="124">
        <v>1</v>
      </c>
      <c r="C124" s="124">
        <v>1</v>
      </c>
    </row>
    <row r="125" spans="1:3">
      <c r="A125" s="65" t="s">
        <v>753</v>
      </c>
      <c r="B125" s="124">
        <v>1</v>
      </c>
      <c r="C125" s="124">
        <v>1</v>
      </c>
    </row>
    <row r="126" spans="1:3">
      <c r="A126" s="65" t="s">
        <v>754</v>
      </c>
      <c r="B126" s="124">
        <v>1</v>
      </c>
      <c r="C126" s="124">
        <v>1</v>
      </c>
    </row>
    <row r="127" spans="1:3">
      <c r="A127" s="65" t="s">
        <v>751</v>
      </c>
      <c r="B127" s="124">
        <v>1</v>
      </c>
      <c r="C127" s="124">
        <v>1</v>
      </c>
    </row>
    <row r="128" spans="1:3">
      <c r="A128" s="65" t="s">
        <v>756</v>
      </c>
      <c r="B128" s="124">
        <v>1</v>
      </c>
      <c r="C128" s="124">
        <v>1</v>
      </c>
    </row>
    <row r="129" spans="1:3">
      <c r="A129" s="65" t="s">
        <v>752</v>
      </c>
      <c r="B129" s="124">
        <v>1</v>
      </c>
      <c r="C129" s="124">
        <v>1</v>
      </c>
    </row>
    <row r="130" spans="1:3">
      <c r="A130" s="61" t="s">
        <v>848</v>
      </c>
      <c r="B130" s="124">
        <v>21</v>
      </c>
      <c r="C130" s="124">
        <v>21</v>
      </c>
    </row>
    <row r="131" spans="1:3">
      <c r="A131" s="65" t="s">
        <v>1088</v>
      </c>
      <c r="B131" s="124">
        <v>1</v>
      </c>
      <c r="C131" s="124">
        <v>1</v>
      </c>
    </row>
    <row r="132" spans="1:3">
      <c r="A132" s="65" t="s">
        <v>850</v>
      </c>
      <c r="B132" s="124">
        <v>1</v>
      </c>
      <c r="C132" s="124">
        <v>1</v>
      </c>
    </row>
    <row r="133" spans="1:3">
      <c r="A133" s="126" t="s">
        <v>852</v>
      </c>
      <c r="B133" s="124">
        <v>1</v>
      </c>
      <c r="C133" s="124">
        <v>1</v>
      </c>
    </row>
    <row r="134" spans="1:3">
      <c r="A134" s="65" t="s">
        <v>865</v>
      </c>
      <c r="B134" s="124">
        <v>1</v>
      </c>
      <c r="C134" s="124">
        <v>1</v>
      </c>
    </row>
    <row r="135" spans="1:3">
      <c r="A135" s="65" t="s">
        <v>866</v>
      </c>
      <c r="B135" s="124">
        <v>1</v>
      </c>
      <c r="C135" s="124">
        <v>1</v>
      </c>
    </row>
    <row r="136" spans="1:3">
      <c r="A136" s="65" t="s">
        <v>867</v>
      </c>
      <c r="B136" s="124">
        <v>1</v>
      </c>
      <c r="C136" s="124">
        <v>1</v>
      </c>
    </row>
    <row r="137" spans="1:3">
      <c r="A137" s="65" t="s">
        <v>868</v>
      </c>
      <c r="B137" s="124">
        <v>1</v>
      </c>
      <c r="C137" s="124">
        <v>1</v>
      </c>
    </row>
    <row r="138" spans="1:3">
      <c r="A138" s="65" t="s">
        <v>870</v>
      </c>
      <c r="B138" s="124">
        <v>1</v>
      </c>
      <c r="C138" s="124">
        <v>1</v>
      </c>
    </row>
    <row r="139" spans="1:3">
      <c r="A139" s="126" t="s">
        <v>869</v>
      </c>
      <c r="B139" s="124">
        <v>1</v>
      </c>
      <c r="C139" s="124">
        <v>1</v>
      </c>
    </row>
    <row r="140" spans="1:3">
      <c r="A140" s="65" t="s">
        <v>871</v>
      </c>
      <c r="B140" s="124">
        <v>1</v>
      </c>
      <c r="C140" s="124">
        <v>1</v>
      </c>
    </row>
    <row r="141" spans="1:3">
      <c r="A141" s="65" t="s">
        <v>872</v>
      </c>
      <c r="B141" s="124">
        <v>1</v>
      </c>
      <c r="C141" s="124">
        <v>1</v>
      </c>
    </row>
    <row r="142" spans="1:3">
      <c r="A142" s="65" t="s">
        <v>1257</v>
      </c>
      <c r="B142" s="124">
        <v>1</v>
      </c>
      <c r="C142" s="124">
        <v>1</v>
      </c>
    </row>
    <row r="143" spans="1:3">
      <c r="A143" s="126" t="s">
        <v>851</v>
      </c>
      <c r="B143" s="124">
        <v>1</v>
      </c>
      <c r="C143" s="124">
        <v>1</v>
      </c>
    </row>
    <row r="144" spans="1:3">
      <c r="A144" s="126" t="s">
        <v>853</v>
      </c>
      <c r="B144" s="124">
        <v>1</v>
      </c>
      <c r="C144" s="124">
        <v>1</v>
      </c>
    </row>
    <row r="145" spans="1:3">
      <c r="A145" s="65" t="s">
        <v>1095</v>
      </c>
      <c r="B145" s="124">
        <v>1</v>
      </c>
      <c r="C145" s="124">
        <v>1</v>
      </c>
    </row>
    <row r="146" spans="1:3">
      <c r="A146" s="65" t="s">
        <v>860</v>
      </c>
      <c r="B146" s="124">
        <v>1</v>
      </c>
      <c r="C146" s="124">
        <v>1</v>
      </c>
    </row>
    <row r="147" spans="1:3">
      <c r="A147" s="65" t="s">
        <v>863</v>
      </c>
      <c r="B147" s="124">
        <v>1</v>
      </c>
      <c r="C147" s="124">
        <v>1</v>
      </c>
    </row>
    <row r="148" spans="1:3">
      <c r="A148" s="65" t="s">
        <v>861</v>
      </c>
      <c r="B148" s="124">
        <v>1</v>
      </c>
      <c r="C148" s="124">
        <v>1</v>
      </c>
    </row>
    <row r="149" spans="1:3">
      <c r="A149" s="65" t="s">
        <v>862</v>
      </c>
      <c r="B149" s="124">
        <v>1</v>
      </c>
      <c r="C149" s="124">
        <v>1</v>
      </c>
    </row>
    <row r="150" spans="1:3">
      <c r="A150" s="65" t="s">
        <v>864</v>
      </c>
      <c r="B150" s="124">
        <v>1</v>
      </c>
      <c r="C150" s="124">
        <v>1</v>
      </c>
    </row>
    <row r="151" spans="1:3">
      <c r="A151" s="126" t="s">
        <v>1364</v>
      </c>
      <c r="B151" s="124">
        <v>1</v>
      </c>
      <c r="C151" s="124">
        <v>1</v>
      </c>
    </row>
    <row r="152" spans="1:3">
      <c r="A152" s="61" t="s">
        <v>686</v>
      </c>
      <c r="B152" s="124">
        <v>8</v>
      </c>
      <c r="C152" s="124">
        <v>8</v>
      </c>
    </row>
    <row r="153" spans="1:3">
      <c r="A153" s="65" t="s">
        <v>687</v>
      </c>
      <c r="B153" s="124">
        <v>1</v>
      </c>
      <c r="C153" s="124">
        <v>1</v>
      </c>
    </row>
    <row r="154" spans="1:3">
      <c r="A154" s="65" t="s">
        <v>689</v>
      </c>
      <c r="B154" s="124">
        <v>1</v>
      </c>
      <c r="C154" s="124">
        <v>1</v>
      </c>
    </row>
    <row r="155" spans="1:3">
      <c r="A155" s="126" t="s">
        <v>570</v>
      </c>
      <c r="B155" s="124">
        <v>1</v>
      </c>
      <c r="C155" s="124">
        <v>1</v>
      </c>
    </row>
    <row r="156" spans="1:3">
      <c r="A156" s="65" t="s">
        <v>694</v>
      </c>
      <c r="B156" s="124">
        <v>1</v>
      </c>
      <c r="C156" s="124">
        <v>1</v>
      </c>
    </row>
    <row r="157" spans="1:3">
      <c r="A157" s="65" t="s">
        <v>85</v>
      </c>
      <c r="B157" s="124">
        <v>1</v>
      </c>
      <c r="C157" s="124">
        <v>1</v>
      </c>
    </row>
    <row r="158" spans="1:3">
      <c r="A158" s="65" t="s">
        <v>571</v>
      </c>
      <c r="B158" s="124">
        <v>1</v>
      </c>
      <c r="C158" s="124">
        <v>1</v>
      </c>
    </row>
    <row r="159" spans="1:3">
      <c r="A159" s="65" t="s">
        <v>690</v>
      </c>
      <c r="B159" s="124">
        <v>1</v>
      </c>
      <c r="C159" s="124">
        <v>1</v>
      </c>
    </row>
    <row r="160" spans="1:3">
      <c r="A160" s="126" t="s">
        <v>688</v>
      </c>
      <c r="B160" s="124">
        <v>1</v>
      </c>
      <c r="C160" s="124">
        <v>1</v>
      </c>
    </row>
    <row r="161" spans="1:3">
      <c r="A161" s="61" t="s">
        <v>917</v>
      </c>
      <c r="B161" s="124">
        <v>5</v>
      </c>
      <c r="C161" s="124">
        <v>5</v>
      </c>
    </row>
    <row r="162" spans="1:3">
      <c r="A162" s="65" t="s">
        <v>918</v>
      </c>
      <c r="B162" s="124">
        <v>1</v>
      </c>
      <c r="C162" s="124">
        <v>1</v>
      </c>
    </row>
    <row r="163" spans="1:3">
      <c r="A163" s="65" t="s">
        <v>919</v>
      </c>
      <c r="B163" s="124">
        <v>1</v>
      </c>
      <c r="C163" s="124">
        <v>1</v>
      </c>
    </row>
    <row r="164" spans="1:3">
      <c r="A164" s="65" t="s">
        <v>920</v>
      </c>
      <c r="B164" s="124">
        <v>1</v>
      </c>
      <c r="C164" s="124">
        <v>1</v>
      </c>
    </row>
    <row r="165" spans="1:3">
      <c r="A165" s="65" t="s">
        <v>921</v>
      </c>
      <c r="B165" s="124">
        <v>1</v>
      </c>
      <c r="C165" s="124">
        <v>1</v>
      </c>
    </row>
    <row r="166" spans="1:3">
      <c r="A166" s="65" t="s">
        <v>922</v>
      </c>
      <c r="B166" s="124">
        <v>1</v>
      </c>
      <c r="C166" s="124">
        <v>1</v>
      </c>
    </row>
    <row r="167" spans="1:3">
      <c r="A167" s="61" t="s">
        <v>916</v>
      </c>
      <c r="B167" s="124">
        <v>5</v>
      </c>
      <c r="C167" s="124">
        <v>5</v>
      </c>
    </row>
    <row r="168" spans="1:3">
      <c r="A168" s="65" t="s">
        <v>687</v>
      </c>
      <c r="B168" s="124">
        <v>1</v>
      </c>
      <c r="C168" s="124">
        <v>1</v>
      </c>
    </row>
    <row r="169" spans="1:3">
      <c r="A169" s="65" t="s">
        <v>568</v>
      </c>
      <c r="B169" s="124">
        <v>1</v>
      </c>
      <c r="C169" s="124">
        <v>1</v>
      </c>
    </row>
    <row r="170" spans="1:3">
      <c r="A170" s="65" t="s">
        <v>570</v>
      </c>
      <c r="B170" s="124">
        <v>1</v>
      </c>
      <c r="C170" s="124">
        <v>1</v>
      </c>
    </row>
    <row r="171" spans="1:3">
      <c r="A171" s="65" t="s">
        <v>571</v>
      </c>
      <c r="B171" s="124">
        <v>1</v>
      </c>
      <c r="C171" s="124">
        <v>1</v>
      </c>
    </row>
    <row r="172" spans="1:3">
      <c r="A172" s="65" t="s">
        <v>690</v>
      </c>
      <c r="B172" s="124">
        <v>1</v>
      </c>
      <c r="C172" s="124">
        <v>1</v>
      </c>
    </row>
    <row r="173" spans="1:3">
      <c r="A173" s="61" t="s">
        <v>283</v>
      </c>
      <c r="B173" s="124">
        <v>30</v>
      </c>
      <c r="C173" s="124">
        <v>30</v>
      </c>
    </row>
    <row r="174" spans="1:3">
      <c r="A174" s="65" t="s">
        <v>619</v>
      </c>
      <c r="B174" s="124">
        <v>1</v>
      </c>
      <c r="C174" s="124">
        <v>1</v>
      </c>
    </row>
    <row r="175" spans="1:3">
      <c r="A175" s="65" t="s">
        <v>620</v>
      </c>
      <c r="B175" s="124">
        <v>1</v>
      </c>
      <c r="C175" s="124">
        <v>1</v>
      </c>
    </row>
    <row r="176" spans="1:3">
      <c r="A176" s="65" t="s">
        <v>638</v>
      </c>
      <c r="B176" s="124">
        <v>1</v>
      </c>
      <c r="C176" s="124">
        <v>1</v>
      </c>
    </row>
    <row r="177" spans="1:3">
      <c r="A177" s="65" t="s">
        <v>647</v>
      </c>
      <c r="B177" s="124">
        <v>1</v>
      </c>
      <c r="C177" s="124">
        <v>1</v>
      </c>
    </row>
    <row r="178" spans="1:3">
      <c r="A178" s="65" t="s">
        <v>641</v>
      </c>
      <c r="B178" s="124">
        <v>1</v>
      </c>
      <c r="C178" s="124">
        <v>1</v>
      </c>
    </row>
    <row r="179" spans="1:3">
      <c r="A179" s="65" t="s">
        <v>644</v>
      </c>
      <c r="B179" s="124">
        <v>1</v>
      </c>
      <c r="C179" s="124">
        <v>1</v>
      </c>
    </row>
    <row r="180" spans="1:3">
      <c r="A180" s="65" t="s">
        <v>637</v>
      </c>
      <c r="B180" s="124">
        <v>1</v>
      </c>
      <c r="C180" s="124">
        <v>1</v>
      </c>
    </row>
    <row r="181" spans="1:3">
      <c r="A181" s="65" t="s">
        <v>646</v>
      </c>
      <c r="B181" s="124">
        <v>1</v>
      </c>
      <c r="C181" s="124">
        <v>1</v>
      </c>
    </row>
    <row r="182" spans="1:3">
      <c r="A182" s="65" t="s">
        <v>640</v>
      </c>
      <c r="B182" s="124">
        <v>1</v>
      </c>
      <c r="C182" s="124">
        <v>1</v>
      </c>
    </row>
    <row r="183" spans="1:3">
      <c r="A183" s="65" t="s">
        <v>643</v>
      </c>
      <c r="B183" s="124">
        <v>1</v>
      </c>
      <c r="C183" s="124">
        <v>1</v>
      </c>
    </row>
    <row r="184" spans="1:3">
      <c r="A184" s="65" t="s">
        <v>639</v>
      </c>
      <c r="B184" s="124">
        <v>1</v>
      </c>
      <c r="C184" s="124">
        <v>1</v>
      </c>
    </row>
    <row r="185" spans="1:3">
      <c r="A185" s="65" t="s">
        <v>648</v>
      </c>
      <c r="B185" s="124">
        <v>1</v>
      </c>
      <c r="C185" s="124">
        <v>1</v>
      </c>
    </row>
    <row r="186" spans="1:3">
      <c r="A186" s="65" t="s">
        <v>642</v>
      </c>
      <c r="B186" s="124">
        <v>1</v>
      </c>
      <c r="C186" s="124">
        <v>1</v>
      </c>
    </row>
    <row r="187" spans="1:3">
      <c r="A187" s="65" t="s">
        <v>645</v>
      </c>
      <c r="B187" s="124">
        <v>1</v>
      </c>
      <c r="C187" s="124">
        <v>1</v>
      </c>
    </row>
    <row r="188" spans="1:3">
      <c r="A188" s="65" t="s">
        <v>636</v>
      </c>
      <c r="B188" s="124">
        <v>1</v>
      </c>
      <c r="C188" s="124">
        <v>1</v>
      </c>
    </row>
    <row r="189" spans="1:3">
      <c r="A189" s="65" t="s">
        <v>634</v>
      </c>
      <c r="B189" s="124">
        <v>1</v>
      </c>
      <c r="C189" s="124">
        <v>1</v>
      </c>
    </row>
    <row r="190" spans="1:3">
      <c r="A190" s="65" t="s">
        <v>1245</v>
      </c>
      <c r="B190" s="124">
        <v>1</v>
      </c>
      <c r="C190" s="124">
        <v>1</v>
      </c>
    </row>
    <row r="191" spans="1:3">
      <c r="A191" s="65" t="s">
        <v>621</v>
      </c>
      <c r="B191" s="124">
        <v>1</v>
      </c>
      <c r="C191" s="124">
        <v>1</v>
      </c>
    </row>
    <row r="192" spans="1:3">
      <c r="A192" s="65" t="s">
        <v>623</v>
      </c>
      <c r="B192" s="124">
        <v>1</v>
      </c>
      <c r="C192" s="124">
        <v>1</v>
      </c>
    </row>
    <row r="193" spans="1:3">
      <c r="A193" s="65" t="s">
        <v>624</v>
      </c>
      <c r="B193" s="124">
        <v>1</v>
      </c>
      <c r="C193" s="124">
        <v>1</v>
      </c>
    </row>
    <row r="194" spans="1:3">
      <c r="A194" s="65" t="s">
        <v>622</v>
      </c>
      <c r="B194" s="124">
        <v>1</v>
      </c>
      <c r="C194" s="124">
        <v>1</v>
      </c>
    </row>
    <row r="195" spans="1:3">
      <c r="A195" s="65" t="s">
        <v>625</v>
      </c>
      <c r="B195" s="124">
        <v>1</v>
      </c>
      <c r="C195" s="124">
        <v>1</v>
      </c>
    </row>
    <row r="196" spans="1:3">
      <c r="A196" s="65" t="s">
        <v>1244</v>
      </c>
      <c r="B196" s="124">
        <v>1</v>
      </c>
      <c r="C196" s="124">
        <v>1</v>
      </c>
    </row>
    <row r="197" spans="1:3">
      <c r="A197" s="65" t="s">
        <v>607</v>
      </c>
      <c r="B197" s="124">
        <v>1</v>
      </c>
      <c r="C197" s="124">
        <v>1</v>
      </c>
    </row>
    <row r="198" spans="1:3">
      <c r="A198" s="65" t="s">
        <v>609</v>
      </c>
      <c r="B198" s="124">
        <v>1</v>
      </c>
      <c r="C198" s="124">
        <v>1</v>
      </c>
    </row>
    <row r="199" spans="1:3">
      <c r="A199" s="65" t="s">
        <v>608</v>
      </c>
      <c r="B199" s="124">
        <v>1</v>
      </c>
      <c r="C199" s="124">
        <v>1</v>
      </c>
    </row>
    <row r="200" spans="1:3">
      <c r="A200" s="126" t="s">
        <v>617</v>
      </c>
      <c r="B200" s="124">
        <v>1</v>
      </c>
      <c r="C200" s="124">
        <v>1</v>
      </c>
    </row>
    <row r="201" spans="1:3">
      <c r="A201" s="126" t="s">
        <v>1259</v>
      </c>
      <c r="B201" s="124">
        <v>1</v>
      </c>
      <c r="C201" s="124">
        <v>1</v>
      </c>
    </row>
    <row r="202" spans="1:3">
      <c r="A202" s="126" t="s">
        <v>618</v>
      </c>
      <c r="B202" s="124">
        <v>1</v>
      </c>
      <c r="C202" s="124">
        <v>1</v>
      </c>
    </row>
    <row r="203" spans="1:3">
      <c r="A203" s="126" t="s">
        <v>616</v>
      </c>
      <c r="B203" s="124">
        <v>1</v>
      </c>
      <c r="C203" s="124">
        <v>1</v>
      </c>
    </row>
    <row r="204" spans="1:3">
      <c r="A204" s="61" t="s">
        <v>892</v>
      </c>
      <c r="B204" s="124">
        <v>22</v>
      </c>
      <c r="C204" s="124">
        <v>22</v>
      </c>
    </row>
    <row r="205" spans="1:3">
      <c r="A205" s="65" t="s">
        <v>909</v>
      </c>
      <c r="B205" s="124">
        <v>1</v>
      </c>
      <c r="C205" s="124">
        <v>1</v>
      </c>
    </row>
    <row r="206" spans="1:3">
      <c r="A206" s="126" t="s">
        <v>913</v>
      </c>
      <c r="B206" s="124">
        <v>1</v>
      </c>
      <c r="C206" s="124">
        <v>1</v>
      </c>
    </row>
    <row r="207" spans="1:3">
      <c r="A207" s="65" t="s">
        <v>912</v>
      </c>
      <c r="B207" s="124">
        <v>1</v>
      </c>
      <c r="C207" s="124">
        <v>1</v>
      </c>
    </row>
    <row r="208" spans="1:3">
      <c r="A208" s="65" t="s">
        <v>911</v>
      </c>
      <c r="B208" s="124">
        <v>1</v>
      </c>
      <c r="C208" s="124">
        <v>1</v>
      </c>
    </row>
    <row r="209" spans="1:3">
      <c r="A209" s="65" t="s">
        <v>910</v>
      </c>
      <c r="B209" s="124">
        <v>1</v>
      </c>
      <c r="C209" s="124">
        <v>1</v>
      </c>
    </row>
    <row r="210" spans="1:3">
      <c r="A210" s="65" t="s">
        <v>898</v>
      </c>
      <c r="B210" s="124">
        <v>1</v>
      </c>
      <c r="C210" s="124">
        <v>1</v>
      </c>
    </row>
    <row r="211" spans="1:3">
      <c r="A211" s="65" t="s">
        <v>893</v>
      </c>
      <c r="B211" s="124">
        <v>1</v>
      </c>
      <c r="C211" s="124">
        <v>1</v>
      </c>
    </row>
    <row r="212" spans="1:3">
      <c r="A212" s="65" t="s">
        <v>897</v>
      </c>
      <c r="B212" s="124">
        <v>1</v>
      </c>
      <c r="C212" s="124">
        <v>1</v>
      </c>
    </row>
    <row r="213" spans="1:3">
      <c r="A213" s="65" t="s">
        <v>896</v>
      </c>
      <c r="B213" s="124">
        <v>1</v>
      </c>
      <c r="C213" s="124">
        <v>1</v>
      </c>
    </row>
    <row r="214" spans="1:3">
      <c r="A214" s="65" t="s">
        <v>895</v>
      </c>
      <c r="B214" s="124">
        <v>1</v>
      </c>
      <c r="C214" s="124">
        <v>1</v>
      </c>
    </row>
    <row r="215" spans="1:3">
      <c r="A215" s="65" t="s">
        <v>894</v>
      </c>
      <c r="B215" s="124">
        <v>1</v>
      </c>
      <c r="C215" s="124">
        <v>1</v>
      </c>
    </row>
    <row r="216" spans="1:3">
      <c r="A216" s="65" t="s">
        <v>914</v>
      </c>
      <c r="B216" s="124">
        <v>1</v>
      </c>
      <c r="C216" s="124">
        <v>1</v>
      </c>
    </row>
    <row r="217" spans="1:3">
      <c r="A217" s="65" t="s">
        <v>899</v>
      </c>
      <c r="B217" s="124">
        <v>1</v>
      </c>
      <c r="C217" s="124">
        <v>1</v>
      </c>
    </row>
    <row r="218" spans="1:3">
      <c r="A218" s="65" t="s">
        <v>903</v>
      </c>
      <c r="B218" s="124">
        <v>1</v>
      </c>
      <c r="C218" s="124">
        <v>1</v>
      </c>
    </row>
    <row r="219" spans="1:3">
      <c r="A219" s="65" t="s">
        <v>902</v>
      </c>
      <c r="B219" s="124">
        <v>1</v>
      </c>
      <c r="C219" s="124">
        <v>1</v>
      </c>
    </row>
    <row r="220" spans="1:3">
      <c r="A220" s="65" t="s">
        <v>901</v>
      </c>
      <c r="B220" s="124">
        <v>1</v>
      </c>
      <c r="C220" s="124">
        <v>1</v>
      </c>
    </row>
    <row r="221" spans="1:3">
      <c r="A221" s="65" t="s">
        <v>900</v>
      </c>
      <c r="B221" s="124">
        <v>1</v>
      </c>
      <c r="C221" s="124">
        <v>1</v>
      </c>
    </row>
    <row r="222" spans="1:3">
      <c r="A222" s="65" t="s">
        <v>904</v>
      </c>
      <c r="B222" s="124">
        <v>1</v>
      </c>
      <c r="C222" s="124">
        <v>1</v>
      </c>
    </row>
    <row r="223" spans="1:3">
      <c r="A223" s="65" t="s">
        <v>908</v>
      </c>
      <c r="B223" s="124">
        <v>1</v>
      </c>
      <c r="C223" s="124">
        <v>1</v>
      </c>
    </row>
    <row r="224" spans="1:3">
      <c r="A224" s="65" t="s">
        <v>907</v>
      </c>
      <c r="B224" s="124">
        <v>1</v>
      </c>
      <c r="C224" s="124">
        <v>1</v>
      </c>
    </row>
    <row r="225" spans="1:3">
      <c r="A225" s="65" t="s">
        <v>906</v>
      </c>
      <c r="B225" s="124">
        <v>1</v>
      </c>
      <c r="C225" s="124">
        <v>1</v>
      </c>
    </row>
    <row r="226" spans="1:3">
      <c r="A226" s="65" t="s">
        <v>905</v>
      </c>
      <c r="B226" s="124">
        <v>1</v>
      </c>
      <c r="C226" s="124">
        <v>1</v>
      </c>
    </row>
    <row r="227" spans="1:3">
      <c r="A227" s="61" t="s">
        <v>94</v>
      </c>
      <c r="B227" s="124">
        <v>25</v>
      </c>
      <c r="C227" s="124">
        <v>25</v>
      </c>
    </row>
    <row r="228" spans="1:3">
      <c r="A228" s="65" t="s">
        <v>601</v>
      </c>
      <c r="B228" s="124">
        <v>1</v>
      </c>
      <c r="C228" s="124">
        <v>1</v>
      </c>
    </row>
    <row r="229" spans="1:3">
      <c r="A229" s="65" t="s">
        <v>605</v>
      </c>
      <c r="B229" s="124">
        <v>1</v>
      </c>
      <c r="C229" s="124">
        <v>1</v>
      </c>
    </row>
    <row r="230" spans="1:3">
      <c r="A230" s="65" t="s">
        <v>1249</v>
      </c>
      <c r="B230" s="124">
        <v>1</v>
      </c>
      <c r="C230" s="124">
        <v>1</v>
      </c>
    </row>
    <row r="231" spans="1:3">
      <c r="A231" s="65" t="s">
        <v>604</v>
      </c>
      <c r="B231" s="124">
        <v>1</v>
      </c>
      <c r="C231" s="124">
        <v>1</v>
      </c>
    </row>
    <row r="232" spans="1:3">
      <c r="A232" s="65" t="s">
        <v>603</v>
      </c>
      <c r="B232" s="124">
        <v>1</v>
      </c>
      <c r="C232" s="124">
        <v>1</v>
      </c>
    </row>
    <row r="233" spans="1:3">
      <c r="A233" s="65" t="s">
        <v>1248</v>
      </c>
      <c r="B233" s="124">
        <v>1</v>
      </c>
      <c r="C233" s="124">
        <v>1</v>
      </c>
    </row>
    <row r="234" spans="1:3">
      <c r="A234" s="65" t="s">
        <v>606</v>
      </c>
      <c r="B234" s="124">
        <v>1</v>
      </c>
      <c r="C234" s="124">
        <v>1</v>
      </c>
    </row>
    <row r="235" spans="1:3">
      <c r="A235" s="65" t="s">
        <v>602</v>
      </c>
      <c r="B235" s="124">
        <v>1</v>
      </c>
      <c r="C235" s="124">
        <v>1</v>
      </c>
    </row>
    <row r="236" spans="1:3">
      <c r="A236" s="65" t="s">
        <v>580</v>
      </c>
      <c r="B236" s="124">
        <v>1</v>
      </c>
      <c r="C236" s="124">
        <v>1</v>
      </c>
    </row>
    <row r="237" spans="1:3">
      <c r="A237" s="65" t="s">
        <v>585</v>
      </c>
      <c r="B237" s="124">
        <v>1</v>
      </c>
      <c r="C237" s="124">
        <v>1</v>
      </c>
    </row>
    <row r="238" spans="1:3">
      <c r="A238" s="65" t="s">
        <v>587</v>
      </c>
      <c r="B238" s="124">
        <v>1</v>
      </c>
      <c r="C238" s="124">
        <v>1</v>
      </c>
    </row>
    <row r="239" spans="1:3">
      <c r="A239" s="65" t="s">
        <v>577</v>
      </c>
      <c r="B239" s="124">
        <v>1</v>
      </c>
      <c r="C239" s="124">
        <v>1</v>
      </c>
    </row>
    <row r="240" spans="1:3">
      <c r="A240" s="65" t="s">
        <v>581</v>
      </c>
      <c r="B240" s="124">
        <v>1</v>
      </c>
      <c r="C240" s="124">
        <v>1</v>
      </c>
    </row>
    <row r="241" spans="1:3">
      <c r="A241" s="65" t="s">
        <v>1263</v>
      </c>
      <c r="B241" s="124">
        <v>1</v>
      </c>
      <c r="C241" s="124">
        <v>1</v>
      </c>
    </row>
    <row r="242" spans="1:3">
      <c r="A242" s="65" t="s">
        <v>578</v>
      </c>
      <c r="B242" s="124">
        <v>1</v>
      </c>
      <c r="C242" s="124">
        <v>1</v>
      </c>
    </row>
    <row r="243" spans="1:3">
      <c r="A243" s="65" t="s">
        <v>586</v>
      </c>
      <c r="B243" s="124">
        <v>1</v>
      </c>
      <c r="C243" s="124">
        <v>1</v>
      </c>
    </row>
    <row r="244" spans="1:3">
      <c r="A244" s="65" t="s">
        <v>1262</v>
      </c>
      <c r="B244" s="124">
        <v>1</v>
      </c>
      <c r="C244" s="124">
        <v>1</v>
      </c>
    </row>
    <row r="245" spans="1:3">
      <c r="A245" s="65" t="s">
        <v>583</v>
      </c>
      <c r="B245" s="124">
        <v>1</v>
      </c>
      <c r="C245" s="124">
        <v>1</v>
      </c>
    </row>
    <row r="246" spans="1:3">
      <c r="A246" s="65" t="s">
        <v>584</v>
      </c>
      <c r="B246" s="124">
        <v>1</v>
      </c>
      <c r="C246" s="124">
        <v>1</v>
      </c>
    </row>
    <row r="247" spans="1:3">
      <c r="A247" s="65" t="s">
        <v>579</v>
      </c>
      <c r="B247" s="124">
        <v>1</v>
      </c>
      <c r="C247" s="124">
        <v>1</v>
      </c>
    </row>
    <row r="248" spans="1:3">
      <c r="A248" s="65" t="s">
        <v>582</v>
      </c>
      <c r="B248" s="124">
        <v>1</v>
      </c>
      <c r="C248" s="124">
        <v>1</v>
      </c>
    </row>
    <row r="249" spans="1:3">
      <c r="A249" s="65" t="s">
        <v>588</v>
      </c>
      <c r="B249" s="124">
        <v>1</v>
      </c>
      <c r="C249" s="124">
        <v>1</v>
      </c>
    </row>
    <row r="250" spans="1:3">
      <c r="A250" s="65" t="s">
        <v>589</v>
      </c>
      <c r="B250" s="124">
        <v>1</v>
      </c>
      <c r="C250" s="124">
        <v>1</v>
      </c>
    </row>
    <row r="251" spans="1:3">
      <c r="A251" s="65" t="s">
        <v>576</v>
      </c>
      <c r="B251" s="124">
        <v>1</v>
      </c>
      <c r="C251" s="124">
        <v>1</v>
      </c>
    </row>
    <row r="252" spans="1:3">
      <c r="A252" s="65" t="s">
        <v>575</v>
      </c>
      <c r="B252" s="124">
        <v>1</v>
      </c>
      <c r="C252" s="124">
        <v>1</v>
      </c>
    </row>
    <row r="253" spans="1:3">
      <c r="A253" s="61" t="s">
        <v>737</v>
      </c>
      <c r="B253" s="124">
        <v>14</v>
      </c>
      <c r="C253" s="124">
        <v>14</v>
      </c>
    </row>
    <row r="254" spans="1:3">
      <c r="A254" s="65" t="s">
        <v>743</v>
      </c>
      <c r="B254" s="124">
        <v>1</v>
      </c>
      <c r="C254" s="124">
        <v>1</v>
      </c>
    </row>
    <row r="255" spans="1:3">
      <c r="A255" s="65" t="s">
        <v>740</v>
      </c>
      <c r="B255" s="124">
        <v>1</v>
      </c>
      <c r="C255" s="124">
        <v>1</v>
      </c>
    </row>
    <row r="256" spans="1:3">
      <c r="A256" s="65" t="s">
        <v>746</v>
      </c>
      <c r="B256" s="124">
        <v>1</v>
      </c>
      <c r="C256" s="124">
        <v>1</v>
      </c>
    </row>
    <row r="257" spans="1:3">
      <c r="A257" s="126" t="s">
        <v>749</v>
      </c>
      <c r="B257" s="124">
        <v>1</v>
      </c>
      <c r="C257" s="124">
        <v>1</v>
      </c>
    </row>
    <row r="258" spans="1:3">
      <c r="A258" s="65" t="s">
        <v>741</v>
      </c>
      <c r="B258" s="124">
        <v>1</v>
      </c>
      <c r="C258" s="124">
        <v>1</v>
      </c>
    </row>
    <row r="259" spans="1:3">
      <c r="A259" s="65" t="s">
        <v>738</v>
      </c>
      <c r="B259" s="124">
        <v>1</v>
      </c>
      <c r="C259" s="124">
        <v>1</v>
      </c>
    </row>
    <row r="260" spans="1:3">
      <c r="A260" s="65" t="s">
        <v>744</v>
      </c>
      <c r="B260" s="124">
        <v>1</v>
      </c>
      <c r="C260" s="124">
        <v>1</v>
      </c>
    </row>
    <row r="261" spans="1:3">
      <c r="A261" s="126" t="s">
        <v>747</v>
      </c>
      <c r="B261" s="124">
        <v>1</v>
      </c>
      <c r="C261" s="124">
        <v>1</v>
      </c>
    </row>
    <row r="262" spans="1:3">
      <c r="A262" s="65" t="s">
        <v>742</v>
      </c>
      <c r="B262" s="124">
        <v>1</v>
      </c>
      <c r="C262" s="124">
        <v>1</v>
      </c>
    </row>
    <row r="263" spans="1:3">
      <c r="A263" s="65" t="s">
        <v>739</v>
      </c>
      <c r="B263" s="124">
        <v>1</v>
      </c>
      <c r="C263" s="124">
        <v>1</v>
      </c>
    </row>
    <row r="264" spans="1:3">
      <c r="A264" s="65" t="s">
        <v>745</v>
      </c>
      <c r="B264" s="124">
        <v>1</v>
      </c>
      <c r="C264" s="124">
        <v>1</v>
      </c>
    </row>
    <row r="265" spans="1:3">
      <c r="A265" s="126" t="s">
        <v>748</v>
      </c>
      <c r="B265" s="124">
        <v>1</v>
      </c>
      <c r="C265" s="124">
        <v>1</v>
      </c>
    </row>
    <row r="266" spans="1:3">
      <c r="A266" s="126" t="s">
        <v>1330</v>
      </c>
      <c r="B266" s="124">
        <v>1</v>
      </c>
      <c r="C266" s="124">
        <v>1</v>
      </c>
    </row>
    <row r="267" spans="1:3">
      <c r="A267" s="126" t="s">
        <v>1333</v>
      </c>
      <c r="B267" s="124">
        <v>1</v>
      </c>
      <c r="C267" s="124">
        <v>1</v>
      </c>
    </row>
    <row r="268" spans="1:3">
      <c r="A268" s="61" t="s">
        <v>697</v>
      </c>
      <c r="B268" s="124">
        <v>8</v>
      </c>
      <c r="C268" s="124">
        <v>8</v>
      </c>
    </row>
    <row r="269" spans="1:3">
      <c r="A269" s="126" t="s">
        <v>698</v>
      </c>
      <c r="B269" s="124">
        <v>1</v>
      </c>
      <c r="C269" s="124">
        <v>1</v>
      </c>
    </row>
    <row r="270" spans="1:3">
      <c r="A270" s="65" t="s">
        <v>699</v>
      </c>
      <c r="B270" s="124">
        <v>1</v>
      </c>
      <c r="C270" s="124">
        <v>1</v>
      </c>
    </row>
    <row r="271" spans="1:3">
      <c r="A271" s="126" t="s">
        <v>701</v>
      </c>
      <c r="B271" s="124">
        <v>1</v>
      </c>
      <c r="C271" s="124">
        <v>1</v>
      </c>
    </row>
    <row r="272" spans="1:3">
      <c r="A272" s="65" t="s">
        <v>689</v>
      </c>
      <c r="B272" s="124">
        <v>1</v>
      </c>
      <c r="C272" s="124">
        <v>1</v>
      </c>
    </row>
    <row r="273" spans="1:3">
      <c r="A273" s="65" t="s">
        <v>1261</v>
      </c>
      <c r="B273" s="124">
        <v>1</v>
      </c>
      <c r="C273" s="124">
        <v>1</v>
      </c>
    </row>
    <row r="274" spans="1:3">
      <c r="A274" s="65" t="s">
        <v>1260</v>
      </c>
      <c r="B274" s="124">
        <v>1</v>
      </c>
      <c r="C274" s="124">
        <v>1</v>
      </c>
    </row>
    <row r="275" spans="1:3">
      <c r="A275" s="126" t="s">
        <v>700</v>
      </c>
      <c r="B275" s="124">
        <v>1</v>
      </c>
      <c r="C275" s="124">
        <v>1</v>
      </c>
    </row>
    <row r="276" spans="1:3">
      <c r="A276" s="65" t="s">
        <v>702</v>
      </c>
      <c r="B276" s="124">
        <v>1</v>
      </c>
      <c r="C276" s="124">
        <v>1</v>
      </c>
    </row>
    <row r="277" spans="1:3">
      <c r="A277" s="61" t="s">
        <v>730</v>
      </c>
      <c r="B277" s="124">
        <v>7</v>
      </c>
      <c r="C277" s="124">
        <v>7</v>
      </c>
    </row>
    <row r="278" spans="1:3">
      <c r="A278" s="65" t="s">
        <v>731</v>
      </c>
      <c r="B278" s="124">
        <v>1</v>
      </c>
      <c r="C278" s="124">
        <v>1</v>
      </c>
    </row>
    <row r="279" spans="1:3">
      <c r="A279" s="65" t="s">
        <v>732</v>
      </c>
      <c r="B279" s="124">
        <v>1</v>
      </c>
      <c r="C279" s="124">
        <v>1</v>
      </c>
    </row>
    <row r="280" spans="1:3">
      <c r="A280" s="65" t="s">
        <v>733</v>
      </c>
      <c r="B280" s="124">
        <v>1</v>
      </c>
      <c r="C280" s="124">
        <v>1</v>
      </c>
    </row>
    <row r="281" spans="1:3">
      <c r="A281" s="65" t="s">
        <v>734</v>
      </c>
      <c r="B281" s="124">
        <v>1</v>
      </c>
      <c r="C281" s="124">
        <v>1</v>
      </c>
    </row>
    <row r="282" spans="1:3">
      <c r="A282" s="65" t="s">
        <v>735</v>
      </c>
      <c r="B282" s="124">
        <v>1</v>
      </c>
      <c r="C282" s="124">
        <v>1</v>
      </c>
    </row>
    <row r="283" spans="1:3">
      <c r="A283" s="65" t="s">
        <v>689</v>
      </c>
      <c r="B283" s="124">
        <v>1</v>
      </c>
      <c r="C283" s="124">
        <v>1</v>
      </c>
    </row>
    <row r="284" spans="1:3">
      <c r="A284" s="65" t="s">
        <v>736</v>
      </c>
      <c r="B284" s="124">
        <v>1</v>
      </c>
      <c r="C284" s="124">
        <v>1</v>
      </c>
    </row>
    <row r="285" spans="1:3">
      <c r="A285" s="61" t="s">
        <v>880</v>
      </c>
      <c r="B285" s="124">
        <v>10</v>
      </c>
      <c r="C285" s="124">
        <v>10</v>
      </c>
    </row>
    <row r="286" spans="1:3">
      <c r="A286" s="65" t="s">
        <v>889</v>
      </c>
      <c r="B286" s="124">
        <v>1</v>
      </c>
      <c r="C286" s="124">
        <v>1</v>
      </c>
    </row>
    <row r="287" spans="1:3">
      <c r="A287" s="65" t="s">
        <v>883</v>
      </c>
      <c r="B287" s="124">
        <v>1</v>
      </c>
      <c r="C287" s="124">
        <v>1</v>
      </c>
    </row>
    <row r="288" spans="1:3">
      <c r="A288" s="65" t="s">
        <v>886</v>
      </c>
      <c r="B288" s="124">
        <v>1</v>
      </c>
      <c r="C288" s="124">
        <v>1</v>
      </c>
    </row>
    <row r="289" spans="1:3">
      <c r="A289" s="65" t="s">
        <v>888</v>
      </c>
      <c r="B289" s="124">
        <v>1</v>
      </c>
      <c r="C289" s="124">
        <v>1</v>
      </c>
    </row>
    <row r="290" spans="1:3">
      <c r="A290" s="65" t="s">
        <v>882</v>
      </c>
      <c r="B290" s="124">
        <v>1</v>
      </c>
      <c r="C290" s="124">
        <v>1</v>
      </c>
    </row>
    <row r="291" spans="1:3">
      <c r="A291" s="65" t="s">
        <v>885</v>
      </c>
      <c r="B291" s="124">
        <v>1</v>
      </c>
      <c r="C291" s="124">
        <v>1</v>
      </c>
    </row>
    <row r="292" spans="1:3">
      <c r="A292" s="65" t="s">
        <v>890</v>
      </c>
      <c r="B292" s="124">
        <v>1</v>
      </c>
      <c r="C292" s="124">
        <v>1</v>
      </c>
    </row>
    <row r="293" spans="1:3">
      <c r="A293" s="65" t="s">
        <v>884</v>
      </c>
      <c r="B293" s="124">
        <v>1</v>
      </c>
      <c r="C293" s="124">
        <v>1</v>
      </c>
    </row>
    <row r="294" spans="1:3">
      <c r="A294" s="65" t="s">
        <v>887</v>
      </c>
      <c r="B294" s="124">
        <v>1</v>
      </c>
      <c r="C294" s="124">
        <v>1</v>
      </c>
    </row>
    <row r="295" spans="1:3">
      <c r="A295" s="65" t="s">
        <v>881</v>
      </c>
      <c r="B295" s="124">
        <v>1</v>
      </c>
      <c r="C295" s="124">
        <v>1</v>
      </c>
    </row>
    <row r="296" spans="1:3">
      <c r="A296" s="61" t="s">
        <v>695</v>
      </c>
      <c r="B296" s="124">
        <v>6</v>
      </c>
      <c r="C296" s="124">
        <v>6</v>
      </c>
    </row>
    <row r="297" spans="1:3">
      <c r="A297" s="126" t="s">
        <v>696</v>
      </c>
      <c r="B297" s="124">
        <v>1</v>
      </c>
      <c r="C297" s="124">
        <v>1</v>
      </c>
    </row>
    <row r="298" spans="1:3">
      <c r="A298" s="65" t="s">
        <v>1321</v>
      </c>
      <c r="B298" s="124">
        <v>1</v>
      </c>
      <c r="C298" s="124">
        <v>1</v>
      </c>
    </row>
    <row r="299" spans="1:3">
      <c r="A299" s="126" t="s">
        <v>568</v>
      </c>
      <c r="B299" s="124">
        <v>1</v>
      </c>
      <c r="C299" s="124">
        <v>1</v>
      </c>
    </row>
    <row r="300" spans="1:3">
      <c r="A300" s="65" t="s">
        <v>1320</v>
      </c>
      <c r="B300" s="124">
        <v>1</v>
      </c>
      <c r="C300" s="124">
        <v>1</v>
      </c>
    </row>
    <row r="301" spans="1:3">
      <c r="A301" s="65" t="s">
        <v>689</v>
      </c>
      <c r="B301" s="124">
        <v>1</v>
      </c>
      <c r="C301" s="124">
        <v>1</v>
      </c>
    </row>
    <row r="302" spans="1:3">
      <c r="A302" s="126" t="s">
        <v>570</v>
      </c>
      <c r="B302" s="124">
        <v>1</v>
      </c>
      <c r="C302" s="124">
        <v>1</v>
      </c>
    </row>
    <row r="303" spans="1:3">
      <c r="A303" s="61" t="s">
        <v>427</v>
      </c>
      <c r="B303" s="124">
        <v>1</v>
      </c>
      <c r="C303" s="124">
        <v>1</v>
      </c>
    </row>
    <row r="304" spans="1:3">
      <c r="A304" s="65" t="s">
        <v>687</v>
      </c>
      <c r="B304" s="124">
        <v>1</v>
      </c>
      <c r="C304" s="124">
        <v>1</v>
      </c>
    </row>
    <row r="305" spans="1:3">
      <c r="A305" s="61" t="s">
        <v>757</v>
      </c>
      <c r="B305" s="124">
        <v>4</v>
      </c>
      <c r="C305" s="124">
        <v>4</v>
      </c>
    </row>
    <row r="306" spans="1:3">
      <c r="A306" s="126" t="s">
        <v>758</v>
      </c>
      <c r="B306" s="124">
        <v>1</v>
      </c>
      <c r="C306" s="124">
        <v>1</v>
      </c>
    </row>
    <row r="307" spans="1:3">
      <c r="A307" s="65" t="s">
        <v>759</v>
      </c>
      <c r="B307" s="124">
        <v>1</v>
      </c>
      <c r="C307" s="124">
        <v>1</v>
      </c>
    </row>
    <row r="308" spans="1:3">
      <c r="A308" s="65" t="s">
        <v>761</v>
      </c>
      <c r="B308" s="124">
        <v>1</v>
      </c>
      <c r="C308" s="124">
        <v>1</v>
      </c>
    </row>
    <row r="309" spans="1:3">
      <c r="A309" s="126" t="s">
        <v>760</v>
      </c>
      <c r="B309" s="124">
        <v>1</v>
      </c>
      <c r="C309" s="124">
        <v>1</v>
      </c>
    </row>
    <row r="310" spans="1:3">
      <c r="A310" s="61" t="s">
        <v>285</v>
      </c>
      <c r="B310" s="124">
        <v>21</v>
      </c>
      <c r="C310" s="124">
        <v>21</v>
      </c>
    </row>
    <row r="311" spans="1:3">
      <c r="A311" s="65" t="s">
        <v>1282</v>
      </c>
      <c r="B311" s="124">
        <v>1</v>
      </c>
      <c r="C311" s="124">
        <v>1</v>
      </c>
    </row>
    <row r="312" spans="1:3">
      <c r="A312" s="65" t="s">
        <v>1279</v>
      </c>
      <c r="B312" s="124">
        <v>1</v>
      </c>
      <c r="C312" s="124">
        <v>1</v>
      </c>
    </row>
    <row r="313" spans="1:3">
      <c r="A313" s="65" t="s">
        <v>715</v>
      </c>
      <c r="B313" s="124">
        <v>1</v>
      </c>
      <c r="C313" s="124">
        <v>1</v>
      </c>
    </row>
    <row r="314" spans="1:3">
      <c r="A314" s="65" t="s">
        <v>714</v>
      </c>
      <c r="B314" s="124">
        <v>1</v>
      </c>
      <c r="C314" s="124">
        <v>1</v>
      </c>
    </row>
    <row r="315" spans="1:3">
      <c r="A315" s="65" t="s">
        <v>713</v>
      </c>
      <c r="B315" s="124">
        <v>1</v>
      </c>
      <c r="C315" s="124">
        <v>1</v>
      </c>
    </row>
    <row r="316" spans="1:3">
      <c r="A316" s="65" t="s">
        <v>1286</v>
      </c>
      <c r="B316" s="124">
        <v>1</v>
      </c>
      <c r="C316" s="124">
        <v>1</v>
      </c>
    </row>
    <row r="317" spans="1:3">
      <c r="A317" s="65" t="s">
        <v>1285</v>
      </c>
      <c r="B317" s="124">
        <v>1</v>
      </c>
      <c r="C317" s="124">
        <v>1</v>
      </c>
    </row>
    <row r="318" spans="1:3">
      <c r="A318" s="65" t="s">
        <v>1284</v>
      </c>
      <c r="B318" s="124">
        <v>1</v>
      </c>
      <c r="C318" s="124">
        <v>1</v>
      </c>
    </row>
    <row r="319" spans="1:3">
      <c r="A319" s="65" t="s">
        <v>1287</v>
      </c>
      <c r="B319" s="124">
        <v>1</v>
      </c>
      <c r="C319" s="124">
        <v>1</v>
      </c>
    </row>
    <row r="320" spans="1:3">
      <c r="A320" s="65" t="s">
        <v>1291</v>
      </c>
      <c r="B320" s="124">
        <v>1</v>
      </c>
      <c r="C320" s="124">
        <v>1</v>
      </c>
    </row>
    <row r="321" spans="1:3">
      <c r="A321" s="126" t="s">
        <v>712</v>
      </c>
      <c r="B321" s="124">
        <v>1</v>
      </c>
      <c r="C321" s="124">
        <v>1</v>
      </c>
    </row>
    <row r="322" spans="1:3">
      <c r="A322" s="65" t="s">
        <v>711</v>
      </c>
      <c r="B322" s="124">
        <v>1</v>
      </c>
      <c r="C322" s="124">
        <v>1</v>
      </c>
    </row>
    <row r="323" spans="1:3">
      <c r="A323" s="126" t="s">
        <v>709</v>
      </c>
      <c r="B323" s="124">
        <v>1</v>
      </c>
      <c r="C323" s="124">
        <v>1</v>
      </c>
    </row>
    <row r="324" spans="1:3">
      <c r="A324" s="126" t="s">
        <v>710</v>
      </c>
      <c r="B324" s="124">
        <v>1</v>
      </c>
      <c r="C324" s="124">
        <v>1</v>
      </c>
    </row>
    <row r="325" spans="1:3">
      <c r="A325" s="65" t="s">
        <v>1283</v>
      </c>
      <c r="B325" s="124">
        <v>1</v>
      </c>
      <c r="C325" s="124">
        <v>1</v>
      </c>
    </row>
    <row r="326" spans="1:3">
      <c r="A326" s="65" t="s">
        <v>707</v>
      </c>
      <c r="B326" s="124">
        <v>1</v>
      </c>
      <c r="C326" s="124">
        <v>1</v>
      </c>
    </row>
    <row r="327" spans="1:3">
      <c r="A327" s="65" t="s">
        <v>708</v>
      </c>
      <c r="B327" s="124">
        <v>1</v>
      </c>
      <c r="C327" s="124">
        <v>1</v>
      </c>
    </row>
    <row r="328" spans="1:3">
      <c r="A328" s="65" t="s">
        <v>706</v>
      </c>
      <c r="B328" s="124">
        <v>1</v>
      </c>
      <c r="C328" s="124">
        <v>1</v>
      </c>
    </row>
    <row r="329" spans="1:3">
      <c r="A329" s="65" t="s">
        <v>1289</v>
      </c>
      <c r="B329" s="124">
        <v>1</v>
      </c>
      <c r="C329" s="124">
        <v>1</v>
      </c>
    </row>
    <row r="330" spans="1:3">
      <c r="A330" s="65" t="s">
        <v>1288</v>
      </c>
      <c r="B330" s="124">
        <v>1</v>
      </c>
      <c r="C330" s="124">
        <v>1</v>
      </c>
    </row>
    <row r="331" spans="1:3">
      <c r="A331" s="65" t="s">
        <v>1290</v>
      </c>
      <c r="B331" s="124">
        <v>1</v>
      </c>
      <c r="C331" s="124">
        <v>1</v>
      </c>
    </row>
    <row r="332" spans="1:3">
      <c r="A332" s="61" t="s">
        <v>722</v>
      </c>
      <c r="B332" s="124">
        <v>11</v>
      </c>
      <c r="C332" s="124">
        <v>11</v>
      </c>
    </row>
    <row r="333" spans="1:3">
      <c r="A333" s="65" t="s">
        <v>715</v>
      </c>
      <c r="B333" s="124">
        <v>1</v>
      </c>
      <c r="C333" s="124">
        <v>1</v>
      </c>
    </row>
    <row r="334" spans="1:3">
      <c r="A334" s="65" t="s">
        <v>714</v>
      </c>
      <c r="B334" s="124">
        <v>1</v>
      </c>
      <c r="C334" s="124">
        <v>1</v>
      </c>
    </row>
    <row r="335" spans="1:3">
      <c r="A335" s="65" t="s">
        <v>713</v>
      </c>
      <c r="B335" s="124">
        <v>1</v>
      </c>
      <c r="C335" s="124">
        <v>1</v>
      </c>
    </row>
    <row r="336" spans="1:3">
      <c r="A336" s="65" t="s">
        <v>724</v>
      </c>
      <c r="B336" s="124">
        <v>1</v>
      </c>
      <c r="C336" s="124">
        <v>1</v>
      </c>
    </row>
    <row r="337" spans="1:3">
      <c r="A337" s="65" t="s">
        <v>1278</v>
      </c>
      <c r="B337" s="124">
        <v>1</v>
      </c>
      <c r="C337" s="124">
        <v>1</v>
      </c>
    </row>
    <row r="338" spans="1:3">
      <c r="A338" s="65" t="s">
        <v>729</v>
      </c>
      <c r="B338" s="124">
        <v>1</v>
      </c>
      <c r="C338" s="124">
        <v>1</v>
      </c>
    </row>
    <row r="339" spans="1:3">
      <c r="A339" s="126" t="s">
        <v>725</v>
      </c>
      <c r="B339" s="124">
        <v>1</v>
      </c>
      <c r="C339" s="124">
        <v>1</v>
      </c>
    </row>
    <row r="340" spans="1:3">
      <c r="A340" s="65" t="s">
        <v>728</v>
      </c>
      <c r="B340" s="124">
        <v>1</v>
      </c>
      <c r="C340" s="124">
        <v>1</v>
      </c>
    </row>
    <row r="341" spans="1:3">
      <c r="A341" s="65" t="s">
        <v>723</v>
      </c>
      <c r="B341" s="124">
        <v>1</v>
      </c>
      <c r="C341" s="124">
        <v>1</v>
      </c>
    </row>
    <row r="342" spans="1:3">
      <c r="A342" s="65" t="s">
        <v>727</v>
      </c>
      <c r="B342" s="124">
        <v>1</v>
      </c>
      <c r="C342" s="124">
        <v>1</v>
      </c>
    </row>
    <row r="343" spans="1:3">
      <c r="A343" s="65" t="s">
        <v>726</v>
      </c>
      <c r="B343" s="124">
        <v>1</v>
      </c>
      <c r="C343" s="124">
        <v>1</v>
      </c>
    </row>
    <row r="344" spans="1:3">
      <c r="A344" s="61" t="s">
        <v>792</v>
      </c>
      <c r="B344" s="124">
        <v>28</v>
      </c>
      <c r="C344" s="124">
        <v>28</v>
      </c>
    </row>
    <row r="345" spans="1:3">
      <c r="A345" s="65" t="s">
        <v>818</v>
      </c>
      <c r="B345" s="124">
        <v>1</v>
      </c>
      <c r="C345" s="124">
        <v>1</v>
      </c>
    </row>
    <row r="346" spans="1:3">
      <c r="A346" s="65" t="s">
        <v>819</v>
      </c>
      <c r="B346" s="124">
        <v>1</v>
      </c>
      <c r="C346" s="124">
        <v>1</v>
      </c>
    </row>
    <row r="347" spans="1:3">
      <c r="A347" s="65" t="s">
        <v>825</v>
      </c>
      <c r="B347" s="124">
        <v>1</v>
      </c>
      <c r="C347" s="124">
        <v>1</v>
      </c>
    </row>
    <row r="348" spans="1:3">
      <c r="A348" s="65" t="s">
        <v>824</v>
      </c>
      <c r="B348" s="124">
        <v>1</v>
      </c>
      <c r="C348" s="124">
        <v>1</v>
      </c>
    </row>
    <row r="349" spans="1:3">
      <c r="A349" s="65" t="s">
        <v>820</v>
      </c>
      <c r="B349" s="124">
        <v>1</v>
      </c>
      <c r="C349" s="124">
        <v>1</v>
      </c>
    </row>
    <row r="350" spans="1:3">
      <c r="A350" s="65" t="s">
        <v>829</v>
      </c>
      <c r="B350" s="124">
        <v>1</v>
      </c>
      <c r="C350" s="124">
        <v>1</v>
      </c>
    </row>
    <row r="351" spans="1:3">
      <c r="A351" s="65" t="s">
        <v>817</v>
      </c>
      <c r="B351" s="124">
        <v>1</v>
      </c>
      <c r="C351" s="124">
        <v>1</v>
      </c>
    </row>
    <row r="352" spans="1:3">
      <c r="A352" s="65" t="s">
        <v>830</v>
      </c>
      <c r="B352" s="124">
        <v>1</v>
      </c>
      <c r="C352" s="124">
        <v>1</v>
      </c>
    </row>
    <row r="353" spans="1:3">
      <c r="A353" s="65" t="s">
        <v>827</v>
      </c>
      <c r="B353" s="124">
        <v>1</v>
      </c>
      <c r="C353" s="124">
        <v>1</v>
      </c>
    </row>
    <row r="354" spans="1:3">
      <c r="A354" s="65" t="s">
        <v>821</v>
      </c>
      <c r="B354" s="124">
        <v>1</v>
      </c>
      <c r="C354" s="124">
        <v>1</v>
      </c>
    </row>
    <row r="355" spans="1:3">
      <c r="A355" s="65" t="s">
        <v>826</v>
      </c>
      <c r="B355" s="124">
        <v>1</v>
      </c>
      <c r="C355" s="124">
        <v>1</v>
      </c>
    </row>
    <row r="356" spans="1:3">
      <c r="A356" s="65" t="s">
        <v>822</v>
      </c>
      <c r="B356" s="124">
        <v>1</v>
      </c>
      <c r="C356" s="124">
        <v>1</v>
      </c>
    </row>
    <row r="357" spans="1:3">
      <c r="A357" s="65" t="s">
        <v>823</v>
      </c>
      <c r="B357" s="124">
        <v>1</v>
      </c>
      <c r="C357" s="124">
        <v>1</v>
      </c>
    </row>
    <row r="358" spans="1:3">
      <c r="A358" s="65" t="s">
        <v>828</v>
      </c>
      <c r="B358" s="124">
        <v>1</v>
      </c>
      <c r="C358" s="124">
        <v>1</v>
      </c>
    </row>
    <row r="359" spans="1:3">
      <c r="A359" s="65" t="s">
        <v>799</v>
      </c>
      <c r="B359" s="124">
        <v>1</v>
      </c>
      <c r="C359" s="124">
        <v>1</v>
      </c>
    </row>
    <row r="360" spans="1:3">
      <c r="A360" s="65" t="s">
        <v>800</v>
      </c>
      <c r="B360" s="124">
        <v>1</v>
      </c>
      <c r="C360" s="124">
        <v>1</v>
      </c>
    </row>
    <row r="361" spans="1:3">
      <c r="A361" s="65" t="s">
        <v>806</v>
      </c>
      <c r="B361" s="124">
        <v>1</v>
      </c>
      <c r="C361" s="124">
        <v>1</v>
      </c>
    </row>
    <row r="362" spans="1:3">
      <c r="A362" s="65" t="s">
        <v>805</v>
      </c>
      <c r="B362" s="124">
        <v>1</v>
      </c>
      <c r="C362" s="124">
        <v>1</v>
      </c>
    </row>
    <row r="363" spans="1:3">
      <c r="A363" s="65" t="s">
        <v>801</v>
      </c>
      <c r="B363" s="124">
        <v>1</v>
      </c>
      <c r="C363" s="124">
        <v>1</v>
      </c>
    </row>
    <row r="364" spans="1:3">
      <c r="A364" s="65" t="s">
        <v>810</v>
      </c>
      <c r="B364" s="124">
        <v>1</v>
      </c>
      <c r="C364" s="124">
        <v>1</v>
      </c>
    </row>
    <row r="365" spans="1:3">
      <c r="A365" s="65" t="s">
        <v>798</v>
      </c>
      <c r="B365" s="124">
        <v>1</v>
      </c>
      <c r="C365" s="124">
        <v>1</v>
      </c>
    </row>
    <row r="366" spans="1:3">
      <c r="A366" s="65" t="s">
        <v>811</v>
      </c>
      <c r="B366" s="124">
        <v>1</v>
      </c>
      <c r="C366" s="124">
        <v>1</v>
      </c>
    </row>
    <row r="367" spans="1:3">
      <c r="A367" s="65" t="s">
        <v>808</v>
      </c>
      <c r="B367" s="124">
        <v>1</v>
      </c>
      <c r="C367" s="124">
        <v>1</v>
      </c>
    </row>
    <row r="368" spans="1:3">
      <c r="A368" s="65" t="s">
        <v>802</v>
      </c>
      <c r="B368" s="124">
        <v>1</v>
      </c>
      <c r="C368" s="124">
        <v>1</v>
      </c>
    </row>
    <row r="369" spans="1:3">
      <c r="A369" s="65" t="s">
        <v>807</v>
      </c>
      <c r="B369" s="124">
        <v>1</v>
      </c>
      <c r="C369" s="124">
        <v>1</v>
      </c>
    </row>
    <row r="370" spans="1:3">
      <c r="A370" s="65" t="s">
        <v>803</v>
      </c>
      <c r="B370" s="124">
        <v>1</v>
      </c>
      <c r="C370" s="124">
        <v>1</v>
      </c>
    </row>
    <row r="371" spans="1:3">
      <c r="A371" s="65" t="s">
        <v>804</v>
      </c>
      <c r="B371" s="124">
        <v>1</v>
      </c>
      <c r="C371" s="124">
        <v>1</v>
      </c>
    </row>
    <row r="372" spans="1:3">
      <c r="A372" s="65" t="s">
        <v>809</v>
      </c>
      <c r="B372" s="124">
        <v>1</v>
      </c>
      <c r="C372" s="124">
        <v>1</v>
      </c>
    </row>
    <row r="373" spans="1:3">
      <c r="A373" s="61" t="s">
        <v>1397</v>
      </c>
      <c r="B373" s="124">
        <v>344</v>
      </c>
      <c r="C373" s="124">
        <v>344</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P558"/>
  <sheetViews>
    <sheetView showGridLines="0" tabSelected="1" zoomScaleNormal="100" zoomScalePageLayoutView="200" workbookViewId="0">
      <selection activeCell="A2" sqref="A2"/>
    </sheetView>
  </sheetViews>
  <sheetFormatPr defaultColWidth="8.85546875" defaultRowHeight="15"/>
  <cols>
    <col min="1" max="1" width="20.7109375" style="5" bestFit="1" customWidth="1"/>
    <col min="2" max="2" width="19.85546875" style="5" customWidth="1"/>
    <col min="3" max="3" width="43.28515625" style="5" bestFit="1" customWidth="1"/>
    <col min="4" max="4" width="19.140625" style="5" customWidth="1"/>
    <col min="5" max="5" width="19" style="5" hidden="1" customWidth="1"/>
    <col min="6" max="6" width="13.7109375" style="5" hidden="1" customWidth="1"/>
    <col min="7" max="7" width="7.28515625" style="5" hidden="1" customWidth="1"/>
    <col min="8" max="9" width="21.140625" style="5" hidden="1" customWidth="1"/>
    <col min="10" max="10" width="8.85546875" hidden="1" customWidth="1"/>
    <col min="11" max="11" width="8.85546875" style="5" hidden="1" customWidth="1"/>
    <col min="12" max="12" width="22.7109375" style="5" hidden="1" customWidth="1"/>
    <col min="13" max="13" width="15.85546875" style="5" hidden="1" customWidth="1"/>
    <col min="14" max="14" width="25" style="5" customWidth="1"/>
    <col min="15" max="16" width="30.7109375" style="5" hidden="1" customWidth="1"/>
    <col min="17" max="16384" width="8.85546875" style="5"/>
  </cols>
  <sheetData>
    <row r="1" spans="1:16" s="78" customFormat="1">
      <c r="A1" s="76" t="s">
        <v>554</v>
      </c>
      <c r="B1" s="76" t="s">
        <v>1240</v>
      </c>
      <c r="C1" s="76" t="s">
        <v>1241</v>
      </c>
      <c r="D1" s="76" t="s">
        <v>556</v>
      </c>
      <c r="E1" s="76" t="s">
        <v>557</v>
      </c>
      <c r="F1" s="76" t="s">
        <v>558</v>
      </c>
      <c r="G1" s="77" t="s">
        <v>1334</v>
      </c>
      <c r="H1" s="77" t="s">
        <v>1335</v>
      </c>
      <c r="I1" s="77" t="s">
        <v>1339</v>
      </c>
      <c r="J1" s="77" t="s">
        <v>1341</v>
      </c>
      <c r="K1" s="76" t="s">
        <v>559</v>
      </c>
      <c r="L1" s="76" t="s">
        <v>560</v>
      </c>
      <c r="M1" s="76" t="s">
        <v>1243</v>
      </c>
      <c r="N1" s="76" t="s">
        <v>1399</v>
      </c>
      <c r="O1" s="118" t="s">
        <v>1383</v>
      </c>
      <c r="P1" s="117" t="s">
        <v>1342</v>
      </c>
    </row>
    <row r="2" spans="1:16" s="78" customFormat="1">
      <c r="A2" s="79" t="s">
        <v>561</v>
      </c>
      <c r="B2" s="79" t="s">
        <v>562</v>
      </c>
      <c r="C2" s="79" t="s">
        <v>565</v>
      </c>
      <c r="D2" s="79" t="s">
        <v>1242</v>
      </c>
      <c r="E2" s="79"/>
      <c r="F2" s="79" t="s">
        <v>1391</v>
      </c>
      <c r="G2" s="79" t="s">
        <v>564</v>
      </c>
      <c r="H2" s="79" t="s">
        <v>1336</v>
      </c>
      <c r="I2" s="79"/>
      <c r="J2" s="79"/>
      <c r="K2" s="79" t="s">
        <v>1371</v>
      </c>
      <c r="L2" s="122"/>
      <c r="M2" s="122"/>
      <c r="O2" s="119" t="s">
        <v>1343</v>
      </c>
      <c r="P2" s="80" t="s">
        <v>1246</v>
      </c>
    </row>
    <row r="3" spans="1:16" s="78" customFormat="1">
      <c r="A3" s="79" t="s">
        <v>561</v>
      </c>
      <c r="B3" s="79" t="s">
        <v>527</v>
      </c>
      <c r="C3" s="79" t="s">
        <v>762</v>
      </c>
      <c r="D3" s="79" t="s">
        <v>1294</v>
      </c>
      <c r="E3" s="79"/>
      <c r="F3" s="79" t="s">
        <v>1391</v>
      </c>
      <c r="G3" s="79" t="s">
        <v>564</v>
      </c>
      <c r="H3" s="79" t="s">
        <v>524</v>
      </c>
      <c r="I3" s="79"/>
      <c r="J3" s="79"/>
      <c r="K3" s="79" t="s">
        <v>1371</v>
      </c>
      <c r="L3" s="122"/>
      <c r="M3" s="122"/>
      <c r="O3" s="119" t="s">
        <v>1344</v>
      </c>
      <c r="P3" s="80" t="s">
        <v>1247</v>
      </c>
    </row>
    <row r="4" spans="1:16" s="78" customFormat="1">
      <c r="A4" s="79" t="s">
        <v>561</v>
      </c>
      <c r="B4" s="79" t="s">
        <v>527</v>
      </c>
      <c r="C4" s="79" t="s">
        <v>777</v>
      </c>
      <c r="D4" s="79" t="s">
        <v>1294</v>
      </c>
      <c r="E4" s="79"/>
      <c r="F4" s="79" t="s">
        <v>1391</v>
      </c>
      <c r="G4" s="79" t="s">
        <v>564</v>
      </c>
      <c r="H4" s="79" t="s">
        <v>524</v>
      </c>
      <c r="I4" s="79"/>
      <c r="J4" s="79"/>
      <c r="K4" s="79" t="s">
        <v>1371</v>
      </c>
      <c r="L4" s="122"/>
      <c r="M4" s="122"/>
      <c r="O4" s="119" t="s">
        <v>260</v>
      </c>
      <c r="P4" s="80" t="s">
        <v>565</v>
      </c>
    </row>
    <row r="5" spans="1:16" s="78" customFormat="1">
      <c r="A5" s="79" t="s">
        <v>561</v>
      </c>
      <c r="B5" s="79" t="s">
        <v>750</v>
      </c>
      <c r="C5" s="79" t="s">
        <v>565</v>
      </c>
      <c r="D5" s="79" t="s">
        <v>524</v>
      </c>
      <c r="E5" s="79"/>
      <c r="F5" s="79" t="s">
        <v>1391</v>
      </c>
      <c r="G5" s="79" t="s">
        <v>564</v>
      </c>
      <c r="H5" s="79" t="s">
        <v>524</v>
      </c>
      <c r="I5" s="79"/>
      <c r="J5" s="79"/>
      <c r="K5" s="79" t="s">
        <v>1371</v>
      </c>
      <c r="L5" s="122"/>
      <c r="M5" s="122"/>
      <c r="O5" s="119" t="s">
        <v>1345</v>
      </c>
      <c r="P5" s="80" t="s">
        <v>566</v>
      </c>
    </row>
    <row r="6" spans="1:16" s="78" customFormat="1">
      <c r="A6" s="79" t="s">
        <v>561</v>
      </c>
      <c r="B6" s="79" t="s">
        <v>848</v>
      </c>
      <c r="C6" s="79" t="s">
        <v>565</v>
      </c>
      <c r="D6" s="79" t="s">
        <v>524</v>
      </c>
      <c r="E6" s="79"/>
      <c r="F6" s="79" t="s">
        <v>1391</v>
      </c>
      <c r="G6" s="79" t="s">
        <v>564</v>
      </c>
      <c r="H6" s="79" t="s">
        <v>524</v>
      </c>
      <c r="I6" s="79"/>
      <c r="J6" s="79"/>
      <c r="K6" s="79" t="s">
        <v>1371</v>
      </c>
      <c r="L6" s="122"/>
      <c r="M6" s="122"/>
      <c r="O6" s="119" t="s">
        <v>547</v>
      </c>
      <c r="P6" s="80" t="s">
        <v>568</v>
      </c>
    </row>
    <row r="7" spans="1:16" s="78" customFormat="1">
      <c r="A7" s="79" t="s">
        <v>561</v>
      </c>
      <c r="B7" s="79" t="s">
        <v>94</v>
      </c>
      <c r="C7" s="79" t="s">
        <v>594</v>
      </c>
      <c r="D7" s="79" t="s">
        <v>1254</v>
      </c>
      <c r="E7" s="79"/>
      <c r="F7" s="79" t="s">
        <v>1391</v>
      </c>
      <c r="G7" s="79" t="s">
        <v>595</v>
      </c>
      <c r="H7" s="79" t="s">
        <v>524</v>
      </c>
      <c r="I7" s="79"/>
      <c r="J7" s="79"/>
      <c r="K7" s="79" t="s">
        <v>1371</v>
      </c>
      <c r="L7" s="122"/>
      <c r="M7" s="122"/>
      <c r="O7" s="119" t="s">
        <v>1346</v>
      </c>
      <c r="P7" s="80" t="s">
        <v>1364</v>
      </c>
    </row>
    <row r="8" spans="1:16" s="80" customFormat="1">
      <c r="A8" s="79" t="s">
        <v>561</v>
      </c>
      <c r="B8" s="79" t="s">
        <v>94</v>
      </c>
      <c r="C8" s="79" t="s">
        <v>590</v>
      </c>
      <c r="D8" s="79" t="s">
        <v>1254</v>
      </c>
      <c r="E8" s="79"/>
      <c r="F8" s="79" t="s">
        <v>1391</v>
      </c>
      <c r="G8" s="79" t="s">
        <v>564</v>
      </c>
      <c r="H8" s="79" t="s">
        <v>524</v>
      </c>
      <c r="I8" s="79"/>
      <c r="J8" s="79"/>
      <c r="K8" s="79" t="s">
        <v>1371</v>
      </c>
      <c r="L8" s="79"/>
      <c r="M8" s="79"/>
      <c r="N8" s="117"/>
      <c r="O8" s="119" t="s">
        <v>1347</v>
      </c>
      <c r="P8" s="80" t="s">
        <v>1365</v>
      </c>
    </row>
    <row r="9" spans="1:16" s="80" customFormat="1">
      <c r="A9" s="79" t="s">
        <v>561</v>
      </c>
      <c r="B9" s="79" t="s">
        <v>880</v>
      </c>
      <c r="C9" s="79" t="s">
        <v>891</v>
      </c>
      <c r="D9" s="79" t="s">
        <v>524</v>
      </c>
      <c r="E9" s="79"/>
      <c r="F9" s="79" t="s">
        <v>1391</v>
      </c>
      <c r="G9" s="79" t="s">
        <v>564</v>
      </c>
      <c r="H9" s="79" t="s">
        <v>524</v>
      </c>
      <c r="I9" s="79"/>
      <c r="J9" s="79"/>
      <c r="K9" s="79" t="s">
        <v>1371</v>
      </c>
      <c r="L9" s="79"/>
      <c r="O9" s="119" t="s">
        <v>1348</v>
      </c>
      <c r="P9" s="80" t="s">
        <v>570</v>
      </c>
    </row>
    <row r="10" spans="1:16" s="80" customFormat="1">
      <c r="A10" s="79" t="s">
        <v>561</v>
      </c>
      <c r="B10" s="79" t="s">
        <v>427</v>
      </c>
      <c r="C10" s="79" t="s">
        <v>565</v>
      </c>
      <c r="D10" s="79" t="s">
        <v>524</v>
      </c>
      <c r="E10" s="79"/>
      <c r="F10" s="79" t="s">
        <v>1391</v>
      </c>
      <c r="G10" s="79" t="s">
        <v>564</v>
      </c>
      <c r="H10" s="79" t="s">
        <v>524</v>
      </c>
      <c r="I10" s="79"/>
      <c r="J10" s="79"/>
      <c r="K10" s="79" t="s">
        <v>1371</v>
      </c>
      <c r="L10" s="79"/>
      <c r="O10" s="119" t="s">
        <v>541</v>
      </c>
      <c r="P10" s="80" t="s">
        <v>571</v>
      </c>
    </row>
    <row r="11" spans="1:16" s="80" customFormat="1">
      <c r="A11" s="79" t="s">
        <v>561</v>
      </c>
      <c r="B11" s="79" t="s">
        <v>792</v>
      </c>
      <c r="C11" s="79" t="s">
        <v>813</v>
      </c>
      <c r="D11" s="79" t="s">
        <v>524</v>
      </c>
      <c r="E11" s="79"/>
      <c r="F11" s="79" t="s">
        <v>1391</v>
      </c>
      <c r="G11" s="79" t="s">
        <v>564</v>
      </c>
      <c r="H11" s="79" t="s">
        <v>524</v>
      </c>
      <c r="I11" s="79"/>
      <c r="J11" s="79"/>
      <c r="K11" s="79" t="s">
        <v>1371</v>
      </c>
      <c r="L11" s="79"/>
      <c r="O11" s="119" t="s">
        <v>463</v>
      </c>
      <c r="P11" s="80" t="s">
        <v>1321</v>
      </c>
    </row>
    <row r="12" spans="1:16" s="80" customFormat="1">
      <c r="A12" s="79" t="s">
        <v>561</v>
      </c>
      <c r="B12" s="79" t="s">
        <v>792</v>
      </c>
      <c r="C12" s="79" t="s">
        <v>794</v>
      </c>
      <c r="D12" s="79" t="s">
        <v>524</v>
      </c>
      <c r="E12" s="79"/>
      <c r="F12" s="79" t="s">
        <v>1391</v>
      </c>
      <c r="G12" s="79" t="s">
        <v>564</v>
      </c>
      <c r="H12" s="79" t="s">
        <v>524</v>
      </c>
      <c r="I12" s="79"/>
      <c r="J12" s="79"/>
      <c r="K12" s="79" t="s">
        <v>1371</v>
      </c>
      <c r="L12" s="79"/>
      <c r="O12" s="119" t="s">
        <v>1349</v>
      </c>
      <c r="P12" s="80" t="s">
        <v>989</v>
      </c>
    </row>
    <row r="13" spans="1:16" s="80" customFormat="1">
      <c r="A13" s="79" t="s">
        <v>561</v>
      </c>
      <c r="B13" s="79" t="s">
        <v>562</v>
      </c>
      <c r="C13" s="79" t="s">
        <v>1246</v>
      </c>
      <c r="D13" s="79" t="s">
        <v>1242</v>
      </c>
      <c r="E13" s="79"/>
      <c r="F13" s="79" t="s">
        <v>997</v>
      </c>
      <c r="G13" s="79" t="s">
        <v>564</v>
      </c>
      <c r="H13" s="79" t="s">
        <v>1336</v>
      </c>
      <c r="I13" s="79"/>
      <c r="J13" s="79"/>
      <c r="K13" s="79" t="s">
        <v>1369</v>
      </c>
      <c r="L13" s="79"/>
      <c r="O13" s="119" t="s">
        <v>1106</v>
      </c>
      <c r="P13" s="80" t="s">
        <v>1006</v>
      </c>
    </row>
    <row r="14" spans="1:16" s="80" customFormat="1">
      <c r="A14" s="79" t="s">
        <v>561</v>
      </c>
      <c r="B14" s="79" t="s">
        <v>562</v>
      </c>
      <c r="C14" s="79" t="s">
        <v>566</v>
      </c>
      <c r="D14" s="79" t="s">
        <v>1242</v>
      </c>
      <c r="E14" s="79"/>
      <c r="F14" s="79" t="s">
        <v>997</v>
      </c>
      <c r="G14" s="79" t="s">
        <v>564</v>
      </c>
      <c r="H14" s="79" t="s">
        <v>1337</v>
      </c>
      <c r="I14" s="79"/>
      <c r="J14" s="79"/>
      <c r="K14" s="79" t="s">
        <v>1369</v>
      </c>
      <c r="L14" s="79"/>
      <c r="O14" s="119" t="s">
        <v>1350</v>
      </c>
      <c r="P14" s="80" t="s">
        <v>1097</v>
      </c>
    </row>
    <row r="15" spans="1:16" s="80" customFormat="1">
      <c r="A15" s="79" t="s">
        <v>561</v>
      </c>
      <c r="B15" s="79" t="s">
        <v>831</v>
      </c>
      <c r="C15" s="79" t="s">
        <v>1246</v>
      </c>
      <c r="D15" s="79" t="s">
        <v>524</v>
      </c>
      <c r="E15" s="79"/>
      <c r="F15" s="79" t="s">
        <v>997</v>
      </c>
      <c r="G15" s="79" t="s">
        <v>564</v>
      </c>
      <c r="H15" s="79" t="s">
        <v>524</v>
      </c>
      <c r="I15" s="79"/>
      <c r="J15" s="79"/>
      <c r="K15" s="79" t="s">
        <v>1369</v>
      </c>
      <c r="L15" s="79"/>
      <c r="O15" s="119" t="s">
        <v>1351</v>
      </c>
      <c r="P15" s="80" t="s">
        <v>1098</v>
      </c>
    </row>
    <row r="16" spans="1:16" s="80" customFormat="1">
      <c r="A16" s="79" t="s">
        <v>561</v>
      </c>
      <c r="B16" s="79" t="s">
        <v>831</v>
      </c>
      <c r="C16" s="79" t="s">
        <v>840</v>
      </c>
      <c r="D16" s="79" t="s">
        <v>524</v>
      </c>
      <c r="E16" s="79"/>
      <c r="F16" s="79" t="s">
        <v>997</v>
      </c>
      <c r="G16" s="79" t="s">
        <v>569</v>
      </c>
      <c r="H16" s="79" t="s">
        <v>524</v>
      </c>
      <c r="I16" s="79"/>
      <c r="J16" s="79"/>
      <c r="K16" s="79" t="s">
        <v>1369</v>
      </c>
      <c r="L16" s="79"/>
      <c r="O16" s="119" t="s">
        <v>1352</v>
      </c>
      <c r="P16" s="80" t="s">
        <v>1366</v>
      </c>
    </row>
    <row r="17" spans="1:16" s="80" customFormat="1">
      <c r="A17" s="79" t="s">
        <v>561</v>
      </c>
      <c r="B17" s="79" t="s">
        <v>831</v>
      </c>
      <c r="C17" s="79" t="s">
        <v>565</v>
      </c>
      <c r="D17" s="79" t="s">
        <v>524</v>
      </c>
      <c r="E17" s="79"/>
      <c r="F17" s="79" t="s">
        <v>997</v>
      </c>
      <c r="G17" s="79" t="s">
        <v>564</v>
      </c>
      <c r="H17" s="79" t="s">
        <v>524</v>
      </c>
      <c r="I17" s="79"/>
      <c r="J17" s="79"/>
      <c r="K17" s="79" t="s">
        <v>1369</v>
      </c>
      <c r="L17" s="79"/>
      <c r="O17" s="119" t="s">
        <v>1353</v>
      </c>
      <c r="P17" s="80" t="s">
        <v>1367</v>
      </c>
    </row>
    <row r="18" spans="1:16" s="80" customFormat="1">
      <c r="A18" s="79" t="s">
        <v>561</v>
      </c>
      <c r="B18" s="79" t="s">
        <v>831</v>
      </c>
      <c r="C18" s="79" t="s">
        <v>835</v>
      </c>
      <c r="D18" s="79" t="s">
        <v>524</v>
      </c>
      <c r="E18" s="79"/>
      <c r="F18" s="79" t="s">
        <v>997</v>
      </c>
      <c r="G18" s="79" t="s">
        <v>564</v>
      </c>
      <c r="H18" s="79" t="s">
        <v>524</v>
      </c>
      <c r="I18" s="79"/>
      <c r="J18" s="79"/>
      <c r="K18" s="79" t="s">
        <v>1369</v>
      </c>
      <c r="L18" s="79"/>
      <c r="O18" s="119" t="s">
        <v>1354</v>
      </c>
      <c r="P18" s="80" t="s">
        <v>981</v>
      </c>
    </row>
    <row r="19" spans="1:16" s="80" customFormat="1">
      <c r="A19" s="79" t="s">
        <v>561</v>
      </c>
      <c r="B19" s="79" t="s">
        <v>831</v>
      </c>
      <c r="C19" s="79" t="s">
        <v>833</v>
      </c>
      <c r="D19" s="79" t="s">
        <v>524</v>
      </c>
      <c r="E19" s="79"/>
      <c r="F19" s="79" t="s">
        <v>997</v>
      </c>
      <c r="G19" s="79" t="s">
        <v>564</v>
      </c>
      <c r="H19" s="79" t="s">
        <v>524</v>
      </c>
      <c r="I19" s="79"/>
      <c r="J19" s="79"/>
      <c r="K19" s="79" t="s">
        <v>1369</v>
      </c>
      <c r="L19" s="79"/>
      <c r="M19" s="80" t="s">
        <v>963</v>
      </c>
      <c r="O19" s="119" t="s">
        <v>1355</v>
      </c>
      <c r="P19" s="80" t="s">
        <v>1368</v>
      </c>
    </row>
    <row r="20" spans="1:16" s="80" customFormat="1">
      <c r="A20" s="79" t="s">
        <v>561</v>
      </c>
      <c r="B20" s="79" t="s">
        <v>527</v>
      </c>
      <c r="C20" s="79" t="s">
        <v>764</v>
      </c>
      <c r="D20" s="79" t="s">
        <v>1294</v>
      </c>
      <c r="E20" s="79"/>
      <c r="F20" s="79" t="s">
        <v>997</v>
      </c>
      <c r="G20" s="79" t="s">
        <v>564</v>
      </c>
      <c r="H20" s="79" t="s">
        <v>524</v>
      </c>
      <c r="I20" s="79"/>
      <c r="J20" s="79"/>
      <c r="K20" s="79" t="s">
        <v>1369</v>
      </c>
      <c r="L20" s="79"/>
      <c r="O20" s="119" t="s">
        <v>1356</v>
      </c>
      <c r="P20" s="80" t="s">
        <v>1002</v>
      </c>
    </row>
    <row r="21" spans="1:16" s="80" customFormat="1">
      <c r="A21" s="79" t="s">
        <v>561</v>
      </c>
      <c r="B21" s="79" t="s">
        <v>527</v>
      </c>
      <c r="C21" s="79" t="s">
        <v>763</v>
      </c>
      <c r="D21" s="79" t="s">
        <v>1294</v>
      </c>
      <c r="E21" s="79"/>
      <c r="F21" s="79" t="s">
        <v>997</v>
      </c>
      <c r="G21" s="79" t="s">
        <v>564</v>
      </c>
      <c r="H21" s="79" t="s">
        <v>524</v>
      </c>
      <c r="I21" s="79"/>
      <c r="J21" s="79"/>
      <c r="K21" s="79" t="s">
        <v>1369</v>
      </c>
      <c r="L21" s="79"/>
      <c r="O21" s="119" t="s">
        <v>1357</v>
      </c>
      <c r="P21" s="80" t="s">
        <v>1006</v>
      </c>
    </row>
    <row r="22" spans="1:16" s="80" customFormat="1">
      <c r="A22" s="79" t="s">
        <v>561</v>
      </c>
      <c r="B22" s="79" t="s">
        <v>527</v>
      </c>
      <c r="C22" s="79" t="s">
        <v>779</v>
      </c>
      <c r="D22" s="79" t="s">
        <v>1294</v>
      </c>
      <c r="E22" s="79"/>
      <c r="F22" s="79" t="s">
        <v>997</v>
      </c>
      <c r="G22" s="79" t="s">
        <v>564</v>
      </c>
      <c r="H22" s="79" t="s">
        <v>524</v>
      </c>
      <c r="I22" s="79"/>
      <c r="J22" s="79"/>
      <c r="K22" s="79" t="s">
        <v>1369</v>
      </c>
      <c r="L22" s="79"/>
      <c r="O22" s="119" t="s">
        <v>1358</v>
      </c>
    </row>
    <row r="23" spans="1:16" s="80" customFormat="1">
      <c r="A23" s="79" t="s">
        <v>561</v>
      </c>
      <c r="B23" s="79" t="s">
        <v>527</v>
      </c>
      <c r="C23" s="79" t="s">
        <v>778</v>
      </c>
      <c r="D23" s="79" t="s">
        <v>1294</v>
      </c>
      <c r="E23" s="79"/>
      <c r="F23" s="79" t="s">
        <v>997</v>
      </c>
      <c r="G23" s="79" t="s">
        <v>564</v>
      </c>
      <c r="H23" s="79" t="s">
        <v>524</v>
      </c>
      <c r="I23" s="79"/>
      <c r="J23" s="79"/>
      <c r="K23" s="79" t="s">
        <v>1369</v>
      </c>
      <c r="L23" s="79"/>
      <c r="M23" s="80" t="s">
        <v>963</v>
      </c>
      <c r="O23" s="119" t="s">
        <v>1359</v>
      </c>
    </row>
    <row r="24" spans="1:16" s="80" customFormat="1">
      <c r="A24" s="79" t="s">
        <v>561</v>
      </c>
      <c r="B24" s="79" t="s">
        <v>915</v>
      </c>
      <c r="C24" s="79" t="s">
        <v>565</v>
      </c>
      <c r="D24" s="79" t="s">
        <v>1293</v>
      </c>
      <c r="E24" s="79"/>
      <c r="F24" s="79" t="s">
        <v>997</v>
      </c>
      <c r="G24" s="79" t="s">
        <v>635</v>
      </c>
      <c r="H24" s="79" t="s">
        <v>1338</v>
      </c>
      <c r="I24" s="79" t="s">
        <v>1340</v>
      </c>
      <c r="J24" s="79"/>
      <c r="K24" s="79" t="s">
        <v>1369</v>
      </c>
      <c r="L24" s="79"/>
      <c r="O24" s="119" t="s">
        <v>1360</v>
      </c>
    </row>
    <row r="25" spans="1:16" s="80" customFormat="1">
      <c r="A25" s="79" t="s">
        <v>561</v>
      </c>
      <c r="B25" s="79" t="s">
        <v>649</v>
      </c>
      <c r="C25" s="79" t="s">
        <v>652</v>
      </c>
      <c r="D25" s="79" t="s">
        <v>563</v>
      </c>
      <c r="E25" s="79"/>
      <c r="F25" s="79" t="s">
        <v>997</v>
      </c>
      <c r="G25" s="79" t="s">
        <v>635</v>
      </c>
      <c r="H25" s="79" t="s">
        <v>1338</v>
      </c>
      <c r="I25" s="79" t="s">
        <v>1340</v>
      </c>
      <c r="J25" s="79"/>
      <c r="K25" s="79" t="s">
        <v>1369</v>
      </c>
      <c r="L25" s="79"/>
      <c r="M25" s="80" t="s">
        <v>963</v>
      </c>
      <c r="O25" s="119" t="s">
        <v>1361</v>
      </c>
    </row>
    <row r="26" spans="1:16" s="80" customFormat="1">
      <c r="A26" s="79" t="s">
        <v>561</v>
      </c>
      <c r="B26" s="79" t="s">
        <v>649</v>
      </c>
      <c r="C26" s="79" t="s">
        <v>653</v>
      </c>
      <c r="D26" s="79" t="s">
        <v>563</v>
      </c>
      <c r="E26" s="79"/>
      <c r="F26" s="79" t="s">
        <v>997</v>
      </c>
      <c r="G26" s="79" t="s">
        <v>635</v>
      </c>
      <c r="H26" s="79" t="s">
        <v>1338</v>
      </c>
      <c r="I26" s="79" t="s">
        <v>1340</v>
      </c>
      <c r="J26" s="79"/>
      <c r="K26" s="79" t="s">
        <v>1369</v>
      </c>
      <c r="L26" s="79"/>
      <c r="O26" s="119" t="s">
        <v>1105</v>
      </c>
    </row>
    <row r="27" spans="1:16" s="80" customFormat="1">
      <c r="A27" s="79" t="s">
        <v>561</v>
      </c>
      <c r="B27" s="79" t="s">
        <v>750</v>
      </c>
      <c r="C27" s="79" t="s">
        <v>1246</v>
      </c>
      <c r="D27" s="79" t="s">
        <v>524</v>
      </c>
      <c r="E27" s="79"/>
      <c r="F27" s="79" t="s">
        <v>997</v>
      </c>
      <c r="G27" s="79" t="s">
        <v>569</v>
      </c>
      <c r="H27" s="79" t="s">
        <v>524</v>
      </c>
      <c r="I27" s="79"/>
      <c r="J27" s="79"/>
      <c r="K27" s="79" t="s">
        <v>1369</v>
      </c>
      <c r="L27" s="79"/>
      <c r="M27" s="80" t="s">
        <v>963</v>
      </c>
      <c r="O27" s="119" t="s">
        <v>1255</v>
      </c>
    </row>
    <row r="28" spans="1:16" s="80" customFormat="1">
      <c r="A28" s="79" t="s">
        <v>561</v>
      </c>
      <c r="B28" s="79" t="s">
        <v>750</v>
      </c>
      <c r="C28" s="79" t="s">
        <v>566</v>
      </c>
      <c r="D28" s="79" t="s">
        <v>524</v>
      </c>
      <c r="E28" s="79"/>
      <c r="F28" s="79" t="s">
        <v>997</v>
      </c>
      <c r="G28" s="79" t="s">
        <v>569</v>
      </c>
      <c r="H28" s="79" t="s">
        <v>524</v>
      </c>
      <c r="I28" s="79"/>
      <c r="J28" s="79"/>
      <c r="K28" s="79" t="s">
        <v>1369</v>
      </c>
      <c r="L28" s="79"/>
      <c r="O28" s="119" t="s">
        <v>1256</v>
      </c>
    </row>
    <row r="29" spans="1:16" s="80" customFormat="1">
      <c r="A29" s="79" t="s">
        <v>561</v>
      </c>
      <c r="B29" s="79" t="s">
        <v>848</v>
      </c>
      <c r="C29" s="79" t="s">
        <v>566</v>
      </c>
      <c r="D29" s="79" t="s">
        <v>524</v>
      </c>
      <c r="E29" s="79"/>
      <c r="F29" s="79" t="s">
        <v>997</v>
      </c>
      <c r="G29" s="79" t="s">
        <v>564</v>
      </c>
      <c r="H29" s="79" t="s">
        <v>524</v>
      </c>
      <c r="I29" s="79"/>
      <c r="J29" s="79"/>
      <c r="K29" s="79" t="s">
        <v>1369</v>
      </c>
      <c r="L29" s="79"/>
      <c r="O29" s="119" t="s">
        <v>1226</v>
      </c>
    </row>
    <row r="30" spans="1:16" s="80" customFormat="1">
      <c r="A30" s="79" t="s">
        <v>561</v>
      </c>
      <c r="B30" s="79" t="s">
        <v>686</v>
      </c>
      <c r="C30" s="79" t="s">
        <v>693</v>
      </c>
      <c r="D30" s="79" t="s">
        <v>563</v>
      </c>
      <c r="E30" s="79"/>
      <c r="F30" s="79" t="s">
        <v>997</v>
      </c>
      <c r="G30" s="79" t="s">
        <v>635</v>
      </c>
      <c r="H30" s="79" t="s">
        <v>1338</v>
      </c>
      <c r="I30" s="79" t="s">
        <v>1340</v>
      </c>
      <c r="J30" s="79"/>
      <c r="K30" s="79" t="s">
        <v>1369</v>
      </c>
      <c r="L30" s="79"/>
      <c r="O30" s="119" t="s">
        <v>1362</v>
      </c>
    </row>
    <row r="31" spans="1:16" s="80" customFormat="1">
      <c r="A31" s="79" t="s">
        <v>561</v>
      </c>
      <c r="B31" s="79" t="s">
        <v>686</v>
      </c>
      <c r="C31" s="79" t="s">
        <v>565</v>
      </c>
      <c r="D31" s="79" t="s">
        <v>563</v>
      </c>
      <c r="E31" s="79"/>
      <c r="F31" s="79" t="s">
        <v>997</v>
      </c>
      <c r="G31" s="79" t="s">
        <v>635</v>
      </c>
      <c r="H31" s="79" t="s">
        <v>1338</v>
      </c>
      <c r="I31" s="79" t="s">
        <v>1340</v>
      </c>
      <c r="J31" s="79"/>
      <c r="K31" s="79" t="s">
        <v>1369</v>
      </c>
      <c r="L31" s="79"/>
      <c r="O31" s="119" t="s">
        <v>1363</v>
      </c>
    </row>
    <row r="32" spans="1:16" s="80" customFormat="1" ht="12.75">
      <c r="A32" s="79" t="s">
        <v>561</v>
      </c>
      <c r="B32" s="79" t="s">
        <v>282</v>
      </c>
      <c r="C32" s="79" t="s">
        <v>1246</v>
      </c>
      <c r="D32" s="79" t="s">
        <v>524</v>
      </c>
      <c r="E32" s="79"/>
      <c r="F32" s="79" t="s">
        <v>997</v>
      </c>
      <c r="G32" s="79" t="s">
        <v>569</v>
      </c>
      <c r="H32" s="79" t="s">
        <v>524</v>
      </c>
      <c r="I32" s="79"/>
      <c r="J32" s="79"/>
      <c r="K32" s="79" t="s">
        <v>1369</v>
      </c>
      <c r="L32" s="79"/>
    </row>
    <row r="33" spans="1:16" s="80" customFormat="1" ht="12.75">
      <c r="A33" s="79" t="s">
        <v>561</v>
      </c>
      <c r="B33" s="79" t="s">
        <v>282</v>
      </c>
      <c r="C33" s="79" t="s">
        <v>565</v>
      </c>
      <c r="D33" s="79" t="s">
        <v>524</v>
      </c>
      <c r="E33" s="79"/>
      <c r="F33" s="79" t="s">
        <v>997</v>
      </c>
      <c r="G33" s="79" t="s">
        <v>569</v>
      </c>
      <c r="H33" s="79" t="s">
        <v>524</v>
      </c>
      <c r="I33" s="79"/>
      <c r="J33" s="79"/>
      <c r="K33" s="79" t="s">
        <v>1369</v>
      </c>
      <c r="L33" s="79"/>
      <c r="O33" s="117" t="s">
        <v>1384</v>
      </c>
      <c r="P33" s="117" t="s">
        <v>1342</v>
      </c>
    </row>
    <row r="34" spans="1:16" s="80" customFormat="1" ht="12.75">
      <c r="A34" s="79" t="s">
        <v>561</v>
      </c>
      <c r="B34" s="79" t="s">
        <v>1258</v>
      </c>
      <c r="C34" s="79" t="s">
        <v>566</v>
      </c>
      <c r="D34" s="79" t="s">
        <v>524</v>
      </c>
      <c r="E34" s="79"/>
      <c r="F34" s="79" t="s">
        <v>997</v>
      </c>
      <c r="G34" s="79" t="s">
        <v>569</v>
      </c>
      <c r="H34" s="79" t="s">
        <v>524</v>
      </c>
      <c r="I34" s="79"/>
      <c r="J34" s="79"/>
      <c r="K34" s="79" t="s">
        <v>1369</v>
      </c>
      <c r="L34" s="79"/>
      <c r="O34" s="80" t="s">
        <v>1295</v>
      </c>
      <c r="P34" s="80" t="s">
        <v>696</v>
      </c>
    </row>
    <row r="35" spans="1:16" s="80" customFormat="1" ht="12.75">
      <c r="A35" s="79" t="s">
        <v>561</v>
      </c>
      <c r="B35" s="79" t="s">
        <v>1258</v>
      </c>
      <c r="C35" s="79" t="s">
        <v>565</v>
      </c>
      <c r="D35" s="79" t="s">
        <v>524</v>
      </c>
      <c r="E35" s="79"/>
      <c r="F35" s="79" t="s">
        <v>997</v>
      </c>
      <c r="G35" s="79" t="s">
        <v>569</v>
      </c>
      <c r="H35" s="79" t="s">
        <v>524</v>
      </c>
      <c r="I35" s="79"/>
      <c r="J35" s="79"/>
      <c r="K35" s="79" t="s">
        <v>1369</v>
      </c>
      <c r="L35" s="79"/>
      <c r="O35" s="80" t="s">
        <v>1296</v>
      </c>
      <c r="P35" s="80" t="s">
        <v>570</v>
      </c>
    </row>
    <row r="36" spans="1:16" s="80" customFormat="1" ht="12.75">
      <c r="A36" s="79" t="s">
        <v>561</v>
      </c>
      <c r="B36" s="79" t="s">
        <v>916</v>
      </c>
      <c r="C36" s="79" t="s">
        <v>565</v>
      </c>
      <c r="D36" s="79" t="s">
        <v>1293</v>
      </c>
      <c r="E36" s="79"/>
      <c r="F36" s="79" t="s">
        <v>997</v>
      </c>
      <c r="G36" s="79" t="s">
        <v>635</v>
      </c>
      <c r="H36" s="79" t="s">
        <v>1338</v>
      </c>
      <c r="I36" s="79" t="s">
        <v>1340</v>
      </c>
      <c r="J36" s="79"/>
      <c r="K36" s="79" t="s">
        <v>1369</v>
      </c>
      <c r="L36" s="79"/>
      <c r="O36" s="80" t="s">
        <v>1297</v>
      </c>
      <c r="P36" s="80" t="s">
        <v>1320</v>
      </c>
    </row>
    <row r="37" spans="1:16" s="80" customFormat="1" ht="12.75">
      <c r="A37" s="79" t="s">
        <v>561</v>
      </c>
      <c r="B37" s="79" t="s">
        <v>283</v>
      </c>
      <c r="C37" s="79" t="s">
        <v>565</v>
      </c>
      <c r="D37" s="79" t="s">
        <v>524</v>
      </c>
      <c r="E37" s="79"/>
      <c r="F37" s="79" t="s">
        <v>997</v>
      </c>
      <c r="G37" s="79" t="s">
        <v>569</v>
      </c>
      <c r="H37" s="79" t="s">
        <v>524</v>
      </c>
      <c r="I37" s="79"/>
      <c r="J37" s="79"/>
      <c r="K37" s="79" t="s">
        <v>1369</v>
      </c>
      <c r="L37" s="79"/>
      <c r="O37" s="80" t="s">
        <v>1298</v>
      </c>
      <c r="P37" s="80" t="s">
        <v>689</v>
      </c>
    </row>
    <row r="38" spans="1:16" s="80" customFormat="1" ht="12.75">
      <c r="A38" s="79" t="s">
        <v>561</v>
      </c>
      <c r="B38" s="79" t="s">
        <v>283</v>
      </c>
      <c r="C38" s="79" t="s">
        <v>630</v>
      </c>
      <c r="D38" s="79" t="s">
        <v>524</v>
      </c>
      <c r="E38" s="79"/>
      <c r="F38" s="79" t="s">
        <v>997</v>
      </c>
      <c r="G38" s="79" t="s">
        <v>564</v>
      </c>
      <c r="H38" s="79" t="s">
        <v>524</v>
      </c>
      <c r="I38" s="79"/>
      <c r="J38" s="79"/>
      <c r="K38" s="79" t="s">
        <v>1369</v>
      </c>
      <c r="L38" s="79"/>
      <c r="O38" s="80" t="s">
        <v>1299</v>
      </c>
      <c r="P38" s="80" t="s">
        <v>568</v>
      </c>
    </row>
    <row r="39" spans="1:16" s="80" customFormat="1">
      <c r="A39" s="79" t="s">
        <v>561</v>
      </c>
      <c r="B39" s="79" t="s">
        <v>283</v>
      </c>
      <c r="C39" s="79" t="s">
        <v>626</v>
      </c>
      <c r="D39" s="79" t="s">
        <v>524</v>
      </c>
      <c r="E39" s="79"/>
      <c r="F39" s="79" t="s">
        <v>997</v>
      </c>
      <c r="G39" s="79" t="s">
        <v>564</v>
      </c>
      <c r="H39" s="79" t="s">
        <v>524</v>
      </c>
      <c r="I39" s="79"/>
      <c r="J39" s="79"/>
      <c r="K39" s="79" t="s">
        <v>1369</v>
      </c>
      <c r="L39" s="79"/>
      <c r="M39" s="80" t="s">
        <v>963</v>
      </c>
      <c r="N39" s="5"/>
      <c r="O39" s="80" t="s">
        <v>1300</v>
      </c>
      <c r="P39" s="80" t="s">
        <v>1321</v>
      </c>
    </row>
    <row r="40" spans="1:16" s="80" customFormat="1">
      <c r="A40" s="79" t="s">
        <v>561</v>
      </c>
      <c r="B40" s="79" t="s">
        <v>283</v>
      </c>
      <c r="C40" s="79" t="s">
        <v>610</v>
      </c>
      <c r="D40" s="79" t="s">
        <v>524</v>
      </c>
      <c r="E40" s="79"/>
      <c r="F40" s="79" t="s">
        <v>997</v>
      </c>
      <c r="G40" s="79" t="s">
        <v>564</v>
      </c>
      <c r="H40" s="79" t="s">
        <v>524</v>
      </c>
      <c r="I40" s="79"/>
      <c r="J40" s="79"/>
      <c r="K40" s="79" t="s">
        <v>1369</v>
      </c>
      <c r="L40" s="79"/>
      <c r="M40" s="80" t="s">
        <v>963</v>
      </c>
      <c r="N40" s="5"/>
      <c r="O40" s="80" t="s">
        <v>1301</v>
      </c>
      <c r="P40" s="80" t="s">
        <v>1246</v>
      </c>
    </row>
    <row r="41" spans="1:16" s="80" customFormat="1" ht="12.75">
      <c r="A41" s="79" t="s">
        <v>561</v>
      </c>
      <c r="B41" s="79" t="s">
        <v>283</v>
      </c>
      <c r="C41" s="79" t="s">
        <v>613</v>
      </c>
      <c r="D41" s="79" t="s">
        <v>524</v>
      </c>
      <c r="E41" s="79"/>
      <c r="F41" s="79" t="s">
        <v>997</v>
      </c>
      <c r="G41" s="79" t="s">
        <v>564</v>
      </c>
      <c r="H41" s="79" t="s">
        <v>524</v>
      </c>
      <c r="I41" s="79"/>
      <c r="J41" s="79"/>
      <c r="K41" s="79" t="s">
        <v>1369</v>
      </c>
      <c r="L41" s="79"/>
      <c r="O41" s="80" t="s">
        <v>1302</v>
      </c>
      <c r="P41" s="80" t="s">
        <v>1247</v>
      </c>
    </row>
    <row r="42" spans="1:16" s="80" customFormat="1" ht="12.75">
      <c r="A42" s="79" t="s">
        <v>561</v>
      </c>
      <c r="B42" s="79" t="s">
        <v>94</v>
      </c>
      <c r="C42" s="79" t="s">
        <v>599</v>
      </c>
      <c r="D42" s="79" t="s">
        <v>1254</v>
      </c>
      <c r="E42" s="79"/>
      <c r="F42" s="79" t="s">
        <v>997</v>
      </c>
      <c r="G42" s="79" t="s">
        <v>564</v>
      </c>
      <c r="H42" s="79" t="s">
        <v>524</v>
      </c>
      <c r="I42" s="79"/>
      <c r="J42" s="79"/>
      <c r="K42" s="79" t="s">
        <v>1369</v>
      </c>
      <c r="L42" s="79"/>
      <c r="O42" s="80" t="s">
        <v>1303</v>
      </c>
      <c r="P42" s="80" t="s">
        <v>565</v>
      </c>
    </row>
    <row r="43" spans="1:16" s="80" customFormat="1" ht="12.75">
      <c r="A43" s="79" t="s">
        <v>561</v>
      </c>
      <c r="B43" s="79" t="s">
        <v>94</v>
      </c>
      <c r="C43" s="79" t="s">
        <v>600</v>
      </c>
      <c r="D43" s="79" t="s">
        <v>1254</v>
      </c>
      <c r="E43" s="79"/>
      <c r="F43" s="79" t="s">
        <v>997</v>
      </c>
      <c r="G43" s="79" t="s">
        <v>564</v>
      </c>
      <c r="H43" s="79" t="s">
        <v>524</v>
      </c>
      <c r="I43" s="79"/>
      <c r="J43" s="79"/>
      <c r="K43" s="79" t="s">
        <v>1369</v>
      </c>
      <c r="L43" s="79"/>
      <c r="O43" s="80" t="s">
        <v>1304</v>
      </c>
      <c r="P43" s="80" t="s">
        <v>566</v>
      </c>
    </row>
    <row r="44" spans="1:16" s="80" customFormat="1" ht="12.75">
      <c r="A44" s="79" t="s">
        <v>561</v>
      </c>
      <c r="B44" s="79" t="s">
        <v>94</v>
      </c>
      <c r="C44" s="79" t="s">
        <v>596</v>
      </c>
      <c r="D44" s="79" t="s">
        <v>1254</v>
      </c>
      <c r="E44" s="79"/>
      <c r="F44" s="79" t="s">
        <v>997</v>
      </c>
      <c r="G44" s="79" t="s">
        <v>564</v>
      </c>
      <c r="H44" s="79" t="s">
        <v>524</v>
      </c>
      <c r="I44" s="79"/>
      <c r="J44" s="79"/>
      <c r="K44" s="79" t="s">
        <v>1369</v>
      </c>
      <c r="L44" s="79"/>
      <c r="O44" s="80" t="s">
        <v>340</v>
      </c>
      <c r="P44" s="80" t="s">
        <v>1329</v>
      </c>
    </row>
    <row r="45" spans="1:16" s="80" customFormat="1" ht="12.75">
      <c r="A45" s="79" t="s">
        <v>561</v>
      </c>
      <c r="B45" s="79" t="s">
        <v>94</v>
      </c>
      <c r="C45" s="79" t="s">
        <v>593</v>
      </c>
      <c r="D45" s="79" t="s">
        <v>1254</v>
      </c>
      <c r="E45" s="79"/>
      <c r="F45" s="79" t="s">
        <v>997</v>
      </c>
      <c r="G45" s="79" t="s">
        <v>564</v>
      </c>
      <c r="H45" s="79" t="s">
        <v>524</v>
      </c>
      <c r="I45" s="79"/>
      <c r="J45" s="79"/>
      <c r="K45" s="79" t="s">
        <v>1369</v>
      </c>
      <c r="L45" s="79"/>
      <c r="O45" s="80" t="s">
        <v>1305</v>
      </c>
      <c r="P45" s="80" t="s">
        <v>1102</v>
      </c>
    </row>
    <row r="46" spans="1:16" s="80" customFormat="1" ht="12.75">
      <c r="A46" s="79" t="s">
        <v>561</v>
      </c>
      <c r="B46" s="79" t="s">
        <v>94</v>
      </c>
      <c r="C46" s="79" t="s">
        <v>591</v>
      </c>
      <c r="D46" s="79" t="s">
        <v>1254</v>
      </c>
      <c r="E46" s="79"/>
      <c r="F46" s="79" t="s">
        <v>997</v>
      </c>
      <c r="G46" s="79" t="s">
        <v>564</v>
      </c>
      <c r="H46" s="79" t="s">
        <v>524</v>
      </c>
      <c r="I46" s="79"/>
      <c r="J46" s="79"/>
      <c r="K46" s="79" t="s">
        <v>1369</v>
      </c>
      <c r="L46" s="79"/>
      <c r="O46" s="80" t="s">
        <v>419</v>
      </c>
      <c r="P46" s="80" t="s">
        <v>1103</v>
      </c>
    </row>
    <row r="47" spans="1:16" s="80" customFormat="1" ht="12.75">
      <c r="A47" s="79" t="s">
        <v>561</v>
      </c>
      <c r="B47" s="79" t="s">
        <v>94</v>
      </c>
      <c r="C47" s="79" t="s">
        <v>572</v>
      </c>
      <c r="D47" s="79" t="s">
        <v>1254</v>
      </c>
      <c r="E47" s="79"/>
      <c r="F47" s="79" t="s">
        <v>997</v>
      </c>
      <c r="G47" s="79" t="s">
        <v>564</v>
      </c>
      <c r="H47" s="79" t="s">
        <v>524</v>
      </c>
      <c r="I47" s="79"/>
      <c r="J47" s="79"/>
      <c r="K47" s="79" t="s">
        <v>1369</v>
      </c>
      <c r="L47" s="79"/>
      <c r="O47" s="80" t="s">
        <v>1306</v>
      </c>
    </row>
    <row r="48" spans="1:16" s="80" customFormat="1" ht="12.75">
      <c r="A48" s="79" t="s">
        <v>561</v>
      </c>
      <c r="B48" s="79" t="s">
        <v>737</v>
      </c>
      <c r="C48" s="79" t="s">
        <v>1332</v>
      </c>
      <c r="D48" s="79" t="s">
        <v>1254</v>
      </c>
      <c r="E48" s="79"/>
      <c r="F48" s="79" t="s">
        <v>997</v>
      </c>
      <c r="G48" s="79" t="s">
        <v>569</v>
      </c>
      <c r="H48" s="79" t="s">
        <v>524</v>
      </c>
      <c r="I48" s="79"/>
      <c r="J48" s="79"/>
      <c r="K48" s="79" t="s">
        <v>1369</v>
      </c>
      <c r="L48" s="79"/>
      <c r="O48" s="80" t="s">
        <v>1319</v>
      </c>
    </row>
    <row r="49" spans="1:15" s="80" customFormat="1" ht="12.75">
      <c r="A49" s="79" t="s">
        <v>561</v>
      </c>
      <c r="B49" s="79" t="s">
        <v>737</v>
      </c>
      <c r="C49" s="79" t="s">
        <v>1330</v>
      </c>
      <c r="D49" s="79" t="s">
        <v>1254</v>
      </c>
      <c r="E49" s="79"/>
      <c r="F49" s="79" t="s">
        <v>997</v>
      </c>
      <c r="G49" s="79" t="s">
        <v>569</v>
      </c>
      <c r="H49" s="79" t="s">
        <v>524</v>
      </c>
      <c r="I49" s="79"/>
      <c r="J49" s="79"/>
      <c r="K49" s="79" t="s">
        <v>1369</v>
      </c>
      <c r="L49" s="79"/>
      <c r="O49" s="80" t="s">
        <v>1307</v>
      </c>
    </row>
    <row r="50" spans="1:15" s="80" customFormat="1" ht="12.75">
      <c r="A50" s="79" t="s">
        <v>561</v>
      </c>
      <c r="B50" s="79" t="s">
        <v>737</v>
      </c>
      <c r="C50" s="79" t="s">
        <v>1331</v>
      </c>
      <c r="D50" s="79" t="s">
        <v>1254</v>
      </c>
      <c r="E50" s="79"/>
      <c r="F50" s="79" t="s">
        <v>997</v>
      </c>
      <c r="G50" s="79" t="s">
        <v>569</v>
      </c>
      <c r="H50" s="79" t="s">
        <v>524</v>
      </c>
      <c r="I50" s="79"/>
      <c r="J50" s="79"/>
      <c r="K50" s="79" t="s">
        <v>1369</v>
      </c>
      <c r="L50" s="79"/>
      <c r="O50" s="80" t="s">
        <v>1308</v>
      </c>
    </row>
    <row r="51" spans="1:15" s="80" customFormat="1" ht="12.75">
      <c r="A51" s="79" t="s">
        <v>561</v>
      </c>
      <c r="B51" s="79" t="s">
        <v>697</v>
      </c>
      <c r="C51" s="79" t="s">
        <v>704</v>
      </c>
      <c r="D51" s="79" t="s">
        <v>524</v>
      </c>
      <c r="E51" s="79"/>
      <c r="F51" s="79" t="s">
        <v>997</v>
      </c>
      <c r="G51" s="79" t="s">
        <v>569</v>
      </c>
      <c r="H51" s="79" t="s">
        <v>524</v>
      </c>
      <c r="I51" s="79"/>
      <c r="J51" s="79"/>
      <c r="K51" s="79" t="s">
        <v>1369</v>
      </c>
      <c r="L51" s="79"/>
      <c r="O51" s="80" t="s">
        <v>1309</v>
      </c>
    </row>
    <row r="52" spans="1:15" s="80" customFormat="1" ht="12.75">
      <c r="A52" s="79" t="s">
        <v>561</v>
      </c>
      <c r="B52" s="79" t="s">
        <v>427</v>
      </c>
      <c r="C52" s="79" t="s">
        <v>1246</v>
      </c>
      <c r="D52" s="79" t="s">
        <v>524</v>
      </c>
      <c r="E52" s="79"/>
      <c r="F52" s="79" t="s">
        <v>997</v>
      </c>
      <c r="G52" s="79" t="s">
        <v>564</v>
      </c>
      <c r="H52" s="79" t="s">
        <v>524</v>
      </c>
      <c r="I52" s="79"/>
      <c r="J52" s="79"/>
      <c r="K52" s="79" t="s">
        <v>1369</v>
      </c>
      <c r="L52" s="79"/>
      <c r="M52" s="80" t="s">
        <v>963</v>
      </c>
      <c r="O52" s="80" t="s">
        <v>1310</v>
      </c>
    </row>
    <row r="53" spans="1:15" s="80" customFormat="1" ht="12.75">
      <c r="A53" s="79" t="s">
        <v>561</v>
      </c>
      <c r="B53" s="79" t="s">
        <v>427</v>
      </c>
      <c r="C53" s="79" t="s">
        <v>566</v>
      </c>
      <c r="D53" s="79" t="s">
        <v>524</v>
      </c>
      <c r="E53" s="79"/>
      <c r="F53" s="79" t="s">
        <v>997</v>
      </c>
      <c r="G53" s="79" t="s">
        <v>564</v>
      </c>
      <c r="H53" s="79" t="s">
        <v>524</v>
      </c>
      <c r="I53" s="79"/>
      <c r="J53" s="79"/>
      <c r="K53" s="79" t="s">
        <v>1369</v>
      </c>
      <c r="L53" s="79"/>
      <c r="O53" s="80" t="s">
        <v>1311</v>
      </c>
    </row>
    <row r="54" spans="1:15" s="80" customFormat="1" ht="12.75">
      <c r="A54" s="79" t="s">
        <v>561</v>
      </c>
      <c r="B54" s="79" t="s">
        <v>757</v>
      </c>
      <c r="C54" s="79" t="s">
        <v>717</v>
      </c>
      <c r="D54" s="79" t="s">
        <v>1292</v>
      </c>
      <c r="E54" s="79"/>
      <c r="F54" s="79" t="s">
        <v>997</v>
      </c>
      <c r="G54" s="79" t="s">
        <v>569</v>
      </c>
      <c r="H54" s="79" t="s">
        <v>524</v>
      </c>
      <c r="I54" s="79"/>
      <c r="J54" s="79"/>
      <c r="K54" s="79" t="s">
        <v>1369</v>
      </c>
      <c r="L54" s="79"/>
      <c r="O54" s="80" t="s">
        <v>1312</v>
      </c>
    </row>
    <row r="55" spans="1:15" s="80" customFormat="1" ht="12.75">
      <c r="A55" s="79" t="s">
        <v>561</v>
      </c>
      <c r="B55" s="79" t="s">
        <v>285</v>
      </c>
      <c r="C55" s="79" t="s">
        <v>717</v>
      </c>
      <c r="D55" s="79" t="s">
        <v>1292</v>
      </c>
      <c r="E55" s="79"/>
      <c r="F55" s="79" t="s">
        <v>997</v>
      </c>
      <c r="G55" s="79" t="s">
        <v>569</v>
      </c>
      <c r="H55" s="79" t="s">
        <v>524</v>
      </c>
      <c r="I55" s="79"/>
      <c r="J55" s="79"/>
      <c r="K55" s="79" t="s">
        <v>1369</v>
      </c>
      <c r="L55" s="79"/>
      <c r="O55" s="80" t="s">
        <v>1313</v>
      </c>
    </row>
    <row r="56" spans="1:15" s="80" customFormat="1" ht="12.75">
      <c r="A56" s="79" t="s">
        <v>561</v>
      </c>
      <c r="B56" s="79" t="s">
        <v>722</v>
      </c>
      <c r="C56" s="79" t="s">
        <v>717</v>
      </c>
      <c r="D56" s="79" t="s">
        <v>1292</v>
      </c>
      <c r="E56" s="79"/>
      <c r="F56" s="79" t="s">
        <v>997</v>
      </c>
      <c r="G56" s="79" t="s">
        <v>569</v>
      </c>
      <c r="H56" s="79" t="s">
        <v>1338</v>
      </c>
      <c r="I56" s="79" t="s">
        <v>1340</v>
      </c>
      <c r="J56" s="79"/>
      <c r="K56" s="79" t="s">
        <v>1369</v>
      </c>
      <c r="L56" s="79"/>
      <c r="O56" s="80" t="s">
        <v>1314</v>
      </c>
    </row>
    <row r="57" spans="1:15" s="80" customFormat="1" ht="12.75">
      <c r="A57" s="79" t="s">
        <v>561</v>
      </c>
      <c r="B57" s="79" t="s">
        <v>792</v>
      </c>
      <c r="C57" s="79" t="s">
        <v>814</v>
      </c>
      <c r="D57" s="79" t="s">
        <v>524</v>
      </c>
      <c r="E57" s="79"/>
      <c r="F57" s="79" t="s">
        <v>997</v>
      </c>
      <c r="G57" s="79" t="s">
        <v>564</v>
      </c>
      <c r="H57" s="79" t="s">
        <v>524</v>
      </c>
      <c r="I57" s="79"/>
      <c r="J57" s="79"/>
      <c r="K57" s="79" t="s">
        <v>1369</v>
      </c>
      <c r="L57" s="79"/>
      <c r="O57" s="80" t="s">
        <v>1315</v>
      </c>
    </row>
    <row r="58" spans="1:15" s="80" customFormat="1" ht="12.75">
      <c r="A58" s="79" t="s">
        <v>561</v>
      </c>
      <c r="B58" s="79" t="s">
        <v>792</v>
      </c>
      <c r="C58" s="79" t="s">
        <v>795</v>
      </c>
      <c r="D58" s="79" t="s">
        <v>524</v>
      </c>
      <c r="E58" s="79"/>
      <c r="F58" s="79" t="s">
        <v>997</v>
      </c>
      <c r="G58" s="79" t="s">
        <v>564</v>
      </c>
      <c r="H58" s="79" t="s">
        <v>524</v>
      </c>
      <c r="I58" s="79"/>
      <c r="J58" s="79"/>
      <c r="K58" s="79" t="s">
        <v>1369</v>
      </c>
      <c r="L58" s="79"/>
      <c r="O58" s="80" t="s">
        <v>1316</v>
      </c>
    </row>
    <row r="59" spans="1:15" s="80" customFormat="1" ht="12.75">
      <c r="A59" s="79" t="s">
        <v>561</v>
      </c>
      <c r="B59" s="79" t="s">
        <v>831</v>
      </c>
      <c r="C59" s="79" t="s">
        <v>836</v>
      </c>
      <c r="D59" s="79" t="s">
        <v>524</v>
      </c>
      <c r="E59" s="79"/>
      <c r="F59" s="79" t="s">
        <v>1393</v>
      </c>
      <c r="G59" s="79" t="s">
        <v>564</v>
      </c>
      <c r="H59" s="79" t="s">
        <v>524</v>
      </c>
      <c r="I59" s="79"/>
      <c r="J59" s="79"/>
      <c r="K59" s="79" t="s">
        <v>1372</v>
      </c>
      <c r="L59" s="79"/>
      <c r="O59" s="80" t="s">
        <v>1317</v>
      </c>
    </row>
    <row r="60" spans="1:15" s="80" customFormat="1" ht="12.75">
      <c r="A60" s="79" t="s">
        <v>561</v>
      </c>
      <c r="B60" s="79" t="s">
        <v>686</v>
      </c>
      <c r="C60" s="79" t="s">
        <v>1247</v>
      </c>
      <c r="D60" s="79" t="s">
        <v>563</v>
      </c>
      <c r="E60" s="79"/>
      <c r="F60" s="79" t="s">
        <v>1393</v>
      </c>
      <c r="G60" s="79" t="s">
        <v>635</v>
      </c>
      <c r="H60" s="79" t="s">
        <v>1338</v>
      </c>
      <c r="I60" s="79" t="s">
        <v>1340</v>
      </c>
      <c r="J60" s="79"/>
      <c r="K60" s="79" t="s">
        <v>1372</v>
      </c>
      <c r="L60" s="79"/>
      <c r="O60" s="80" t="s">
        <v>1318</v>
      </c>
    </row>
    <row r="61" spans="1:15" s="80" customFormat="1" ht="12.75">
      <c r="A61" s="79" t="s">
        <v>561</v>
      </c>
      <c r="B61" s="79" t="s">
        <v>1258</v>
      </c>
      <c r="C61" s="79" t="s">
        <v>1247</v>
      </c>
      <c r="D61" s="79" t="s">
        <v>524</v>
      </c>
      <c r="E61" s="79"/>
      <c r="F61" s="79" t="s">
        <v>1393</v>
      </c>
      <c r="G61" s="79" t="s">
        <v>569</v>
      </c>
      <c r="H61" s="79" t="s">
        <v>524</v>
      </c>
      <c r="I61" s="79"/>
      <c r="J61" s="79"/>
      <c r="K61" s="79" t="s">
        <v>1372</v>
      </c>
      <c r="L61" s="79"/>
      <c r="O61" s="80" t="s">
        <v>1019</v>
      </c>
    </row>
    <row r="62" spans="1:15" s="80" customFormat="1" ht="12.75">
      <c r="A62" s="79" t="s">
        <v>561</v>
      </c>
      <c r="B62" s="79" t="s">
        <v>695</v>
      </c>
      <c r="C62" s="79" t="s">
        <v>566</v>
      </c>
      <c r="D62" s="79" t="s">
        <v>563</v>
      </c>
      <c r="E62" s="79"/>
      <c r="F62" s="79" t="s">
        <v>1393</v>
      </c>
      <c r="G62" s="79" t="s">
        <v>635</v>
      </c>
      <c r="H62" s="79" t="s">
        <v>1338</v>
      </c>
      <c r="I62" s="79" t="s">
        <v>1340</v>
      </c>
      <c r="J62" s="79"/>
      <c r="K62" s="79" t="s">
        <v>1372</v>
      </c>
      <c r="L62" s="79"/>
      <c r="O62" s="80" t="s">
        <v>1100</v>
      </c>
    </row>
    <row r="63" spans="1:15" s="80" customFormat="1" ht="12.75">
      <c r="A63" s="79" t="s">
        <v>561</v>
      </c>
      <c r="B63" s="79" t="s">
        <v>695</v>
      </c>
      <c r="C63" s="79" t="s">
        <v>1247</v>
      </c>
      <c r="D63" s="79" t="s">
        <v>563</v>
      </c>
      <c r="E63" s="79"/>
      <c r="F63" s="79" t="s">
        <v>1393</v>
      </c>
      <c r="G63" s="79" t="s">
        <v>635</v>
      </c>
      <c r="H63" s="79" t="s">
        <v>1338</v>
      </c>
      <c r="I63" s="79" t="s">
        <v>1340</v>
      </c>
      <c r="J63" s="79"/>
      <c r="K63" s="79" t="s">
        <v>1372</v>
      </c>
      <c r="L63" s="79"/>
      <c r="O63" s="80" t="s">
        <v>1086</v>
      </c>
    </row>
    <row r="64" spans="1:15" s="80" customFormat="1" ht="12.75">
      <c r="A64" s="79" t="s">
        <v>561</v>
      </c>
      <c r="B64" s="79" t="s">
        <v>562</v>
      </c>
      <c r="C64" s="79" t="s">
        <v>1247</v>
      </c>
      <c r="D64" s="79" t="s">
        <v>1242</v>
      </c>
      <c r="E64" s="79"/>
      <c r="F64" s="79" t="s">
        <v>1392</v>
      </c>
      <c r="G64" s="79" t="s">
        <v>564</v>
      </c>
      <c r="H64" s="79" t="s">
        <v>1337</v>
      </c>
      <c r="I64" s="79"/>
      <c r="J64" s="79"/>
      <c r="K64" s="79" t="s">
        <v>1370</v>
      </c>
      <c r="L64" s="79"/>
      <c r="O64" s="80" t="s">
        <v>342</v>
      </c>
    </row>
    <row r="65" spans="1:16" s="80" customFormat="1" ht="12.75">
      <c r="A65" s="79" t="s">
        <v>561</v>
      </c>
      <c r="B65" s="79" t="s">
        <v>831</v>
      </c>
      <c r="C65" s="79" t="s">
        <v>566</v>
      </c>
      <c r="D65" s="79" t="s">
        <v>524</v>
      </c>
      <c r="E65" s="79"/>
      <c r="F65" s="79" t="s">
        <v>1392</v>
      </c>
      <c r="G65" s="79" t="s">
        <v>564</v>
      </c>
      <c r="H65" s="79" t="s">
        <v>524</v>
      </c>
      <c r="I65" s="79"/>
      <c r="J65" s="79"/>
      <c r="K65" s="79" t="s">
        <v>1370</v>
      </c>
      <c r="L65" s="79"/>
      <c r="O65" s="80" t="s">
        <v>1139</v>
      </c>
    </row>
    <row r="66" spans="1:16" s="80" customFormat="1" ht="12.75">
      <c r="A66" s="79" t="s">
        <v>561</v>
      </c>
      <c r="B66" s="79" t="s">
        <v>831</v>
      </c>
      <c r="C66" s="79" t="s">
        <v>1247</v>
      </c>
      <c r="D66" s="79" t="s">
        <v>524</v>
      </c>
      <c r="E66" s="79"/>
      <c r="F66" s="79" t="s">
        <v>1392</v>
      </c>
      <c r="G66" s="79" t="s">
        <v>564</v>
      </c>
      <c r="H66" s="79" t="s">
        <v>524</v>
      </c>
      <c r="I66" s="79"/>
      <c r="J66" s="79"/>
      <c r="K66" s="79" t="s">
        <v>1370</v>
      </c>
      <c r="L66" s="79"/>
      <c r="O66" s="80" t="s">
        <v>1197</v>
      </c>
    </row>
    <row r="67" spans="1:16" s="80" customFormat="1" ht="12.75">
      <c r="A67" s="79" t="s">
        <v>561</v>
      </c>
      <c r="B67" s="79" t="s">
        <v>831</v>
      </c>
      <c r="C67" s="79" t="s">
        <v>834</v>
      </c>
      <c r="D67" s="79" t="s">
        <v>524</v>
      </c>
      <c r="E67" s="79"/>
      <c r="F67" s="79" t="s">
        <v>1392</v>
      </c>
      <c r="G67" s="79" t="s">
        <v>564</v>
      </c>
      <c r="H67" s="79" t="s">
        <v>524</v>
      </c>
      <c r="I67" s="79"/>
      <c r="J67" s="79"/>
      <c r="K67" s="79" t="s">
        <v>1370</v>
      </c>
      <c r="L67" s="79"/>
    </row>
    <row r="68" spans="1:16" s="80" customFormat="1" ht="12.75">
      <c r="A68" s="79" t="s">
        <v>561</v>
      </c>
      <c r="B68" s="79" t="s">
        <v>527</v>
      </c>
      <c r="C68" s="79" t="s">
        <v>765</v>
      </c>
      <c r="D68" s="79" t="s">
        <v>1294</v>
      </c>
      <c r="E68" s="79"/>
      <c r="F68" s="79" t="s">
        <v>1392</v>
      </c>
      <c r="G68" s="79" t="s">
        <v>564</v>
      </c>
      <c r="H68" s="79" t="s">
        <v>524</v>
      </c>
      <c r="I68" s="79"/>
      <c r="J68" s="79"/>
      <c r="K68" s="79" t="s">
        <v>1370</v>
      </c>
      <c r="L68" s="79"/>
      <c r="O68" s="117" t="s">
        <v>1385</v>
      </c>
      <c r="P68" s="117" t="s">
        <v>1342</v>
      </c>
    </row>
    <row r="69" spans="1:16" s="80" customFormat="1" ht="12.75">
      <c r="A69" s="79" t="s">
        <v>561</v>
      </c>
      <c r="B69" s="79" t="s">
        <v>527</v>
      </c>
      <c r="C69" s="79" t="s">
        <v>780</v>
      </c>
      <c r="D69" s="79" t="s">
        <v>1294</v>
      </c>
      <c r="E69" s="79"/>
      <c r="F69" s="79" t="s">
        <v>1392</v>
      </c>
      <c r="G69" s="79" t="s">
        <v>564</v>
      </c>
      <c r="H69" s="79" t="s">
        <v>524</v>
      </c>
      <c r="I69" s="79"/>
      <c r="J69" s="79"/>
      <c r="K69" s="79" t="s">
        <v>1370</v>
      </c>
      <c r="L69" s="79"/>
      <c r="O69" s="80" t="s">
        <v>1322</v>
      </c>
      <c r="P69" s="80" t="s">
        <v>1330</v>
      </c>
    </row>
    <row r="70" spans="1:16" s="80" customFormat="1" ht="12.75">
      <c r="A70" s="79" t="s">
        <v>561</v>
      </c>
      <c r="B70" s="79" t="s">
        <v>915</v>
      </c>
      <c r="C70" s="79" t="s">
        <v>566</v>
      </c>
      <c r="D70" s="79" t="s">
        <v>1293</v>
      </c>
      <c r="E70" s="79"/>
      <c r="F70" s="79" t="s">
        <v>1392</v>
      </c>
      <c r="G70" s="79" t="s">
        <v>635</v>
      </c>
      <c r="H70" s="79" t="s">
        <v>1338</v>
      </c>
      <c r="I70" s="79" t="s">
        <v>1340</v>
      </c>
      <c r="J70" s="79"/>
      <c r="K70" s="79" t="s">
        <v>1370</v>
      </c>
      <c r="L70" s="79"/>
      <c r="O70" s="80" t="s">
        <v>1323</v>
      </c>
      <c r="P70" s="80" t="s">
        <v>1331</v>
      </c>
    </row>
    <row r="71" spans="1:16" s="80" customFormat="1" ht="12.75">
      <c r="A71" s="79" t="s">
        <v>561</v>
      </c>
      <c r="B71" s="79" t="s">
        <v>649</v>
      </c>
      <c r="C71" s="79" t="s">
        <v>651</v>
      </c>
      <c r="D71" s="79" t="s">
        <v>563</v>
      </c>
      <c r="E71" s="79"/>
      <c r="F71" s="79" t="s">
        <v>1392</v>
      </c>
      <c r="G71" s="79" t="s">
        <v>635</v>
      </c>
      <c r="H71" s="79" t="s">
        <v>1338</v>
      </c>
      <c r="I71" s="79" t="s">
        <v>1340</v>
      </c>
      <c r="J71" s="79"/>
      <c r="K71" s="79" t="s">
        <v>1370</v>
      </c>
      <c r="L71" s="79"/>
      <c r="O71" s="80" t="s">
        <v>562</v>
      </c>
      <c r="P71" s="80" t="s">
        <v>1332</v>
      </c>
    </row>
    <row r="72" spans="1:16" s="80" customFormat="1" ht="12.75">
      <c r="A72" s="79" t="s">
        <v>561</v>
      </c>
      <c r="B72" s="79" t="s">
        <v>750</v>
      </c>
      <c r="C72" s="79" t="s">
        <v>1247</v>
      </c>
      <c r="D72" s="79" t="s">
        <v>524</v>
      </c>
      <c r="E72" s="79"/>
      <c r="F72" s="79" t="s">
        <v>1392</v>
      </c>
      <c r="G72" s="79" t="s">
        <v>569</v>
      </c>
      <c r="H72" s="79" t="s">
        <v>524</v>
      </c>
      <c r="I72" s="79"/>
      <c r="J72" s="79"/>
      <c r="K72" s="79" t="s">
        <v>1370</v>
      </c>
      <c r="L72" s="79"/>
      <c r="O72" s="80" t="s">
        <v>527</v>
      </c>
      <c r="P72" s="80" t="s">
        <v>1333</v>
      </c>
    </row>
    <row r="73" spans="1:16" s="80" customFormat="1" ht="12.75">
      <c r="A73" s="79" t="s">
        <v>561</v>
      </c>
      <c r="B73" s="79" t="s">
        <v>848</v>
      </c>
      <c r="C73" s="79" t="s">
        <v>855</v>
      </c>
      <c r="D73" s="79" t="s">
        <v>524</v>
      </c>
      <c r="E73" s="79"/>
      <c r="F73" s="79" t="s">
        <v>1392</v>
      </c>
      <c r="G73" s="79" t="s">
        <v>569</v>
      </c>
      <c r="H73" s="79" t="s">
        <v>524</v>
      </c>
      <c r="I73" s="79"/>
      <c r="J73" s="79"/>
      <c r="K73" s="79" t="s">
        <v>1370</v>
      </c>
      <c r="L73" s="79"/>
      <c r="O73" s="80" t="s">
        <v>283</v>
      </c>
    </row>
    <row r="74" spans="1:16" s="80" customFormat="1" ht="12.75">
      <c r="A74" s="79" t="s">
        <v>561</v>
      </c>
      <c r="B74" s="79" t="s">
        <v>848</v>
      </c>
      <c r="C74" s="79" t="s">
        <v>1246</v>
      </c>
      <c r="D74" s="79" t="s">
        <v>524</v>
      </c>
      <c r="E74" s="79"/>
      <c r="F74" s="79" t="s">
        <v>1392</v>
      </c>
      <c r="G74" s="79" t="s">
        <v>564</v>
      </c>
      <c r="H74" s="79" t="s">
        <v>524</v>
      </c>
      <c r="I74" s="79"/>
      <c r="J74" s="79"/>
      <c r="K74" s="79" t="s">
        <v>1370</v>
      </c>
      <c r="L74" s="79"/>
      <c r="O74" s="80" t="s">
        <v>1324</v>
      </c>
    </row>
    <row r="75" spans="1:16" s="80" customFormat="1" ht="12.75">
      <c r="A75" s="79" t="s">
        <v>561</v>
      </c>
      <c r="B75" s="79" t="s">
        <v>848</v>
      </c>
      <c r="C75" s="79" t="s">
        <v>856</v>
      </c>
      <c r="D75" s="79" t="s">
        <v>563</v>
      </c>
      <c r="E75" s="79"/>
      <c r="F75" s="79" t="s">
        <v>1392</v>
      </c>
      <c r="G75" s="79" t="s">
        <v>569</v>
      </c>
      <c r="H75" s="79" t="s">
        <v>1338</v>
      </c>
      <c r="I75" s="79" t="s">
        <v>1340</v>
      </c>
      <c r="J75" s="79"/>
      <c r="K75" s="79" t="s">
        <v>1370</v>
      </c>
      <c r="L75" s="79"/>
      <c r="O75" s="80" t="s">
        <v>1325</v>
      </c>
    </row>
    <row r="76" spans="1:16" s="80" customFormat="1" ht="12.75">
      <c r="A76" s="79" t="s">
        <v>561</v>
      </c>
      <c r="B76" s="79" t="s">
        <v>848</v>
      </c>
      <c r="C76" s="79" t="s">
        <v>857</v>
      </c>
      <c r="D76" s="79" t="s">
        <v>563</v>
      </c>
      <c r="E76" s="79"/>
      <c r="F76" s="79" t="s">
        <v>1392</v>
      </c>
      <c r="G76" s="79" t="s">
        <v>569</v>
      </c>
      <c r="H76" s="79" t="s">
        <v>1338</v>
      </c>
      <c r="I76" s="79" t="s">
        <v>1340</v>
      </c>
      <c r="J76" s="79"/>
      <c r="K76" s="79" t="s">
        <v>1370</v>
      </c>
      <c r="L76" s="79"/>
      <c r="O76" s="80" t="s">
        <v>1045</v>
      </c>
    </row>
    <row r="77" spans="1:16" s="80" customFormat="1" ht="12.75">
      <c r="A77" s="79" t="s">
        <v>561</v>
      </c>
      <c r="B77" s="79" t="s">
        <v>848</v>
      </c>
      <c r="C77" s="79" t="s">
        <v>849</v>
      </c>
      <c r="D77" s="79" t="s">
        <v>524</v>
      </c>
      <c r="E77" s="79"/>
      <c r="F77" s="79" t="s">
        <v>1392</v>
      </c>
      <c r="G77" s="79" t="s">
        <v>569</v>
      </c>
      <c r="H77" s="79" t="s">
        <v>524</v>
      </c>
      <c r="I77" s="79"/>
      <c r="J77" s="79"/>
      <c r="K77" s="79" t="s">
        <v>1370</v>
      </c>
      <c r="L77" s="79"/>
      <c r="O77" s="80" t="s">
        <v>1326</v>
      </c>
    </row>
    <row r="78" spans="1:16" s="80" customFormat="1" ht="12.75">
      <c r="A78" s="79" t="s">
        <v>561</v>
      </c>
      <c r="B78" s="79" t="s">
        <v>848</v>
      </c>
      <c r="C78" s="79" t="s">
        <v>858</v>
      </c>
      <c r="D78" s="79" t="s">
        <v>563</v>
      </c>
      <c r="E78" s="79"/>
      <c r="F78" s="79" t="s">
        <v>1392</v>
      </c>
      <c r="G78" s="79" t="s">
        <v>569</v>
      </c>
      <c r="H78" s="79" t="s">
        <v>1338</v>
      </c>
      <c r="I78" s="79" t="s">
        <v>1340</v>
      </c>
      <c r="J78" s="79"/>
      <c r="K78" s="79" t="s">
        <v>1370</v>
      </c>
      <c r="L78" s="79"/>
      <c r="O78" s="80" t="s">
        <v>342</v>
      </c>
    </row>
    <row r="79" spans="1:16" s="80" customFormat="1" ht="12.75">
      <c r="A79" s="79" t="s">
        <v>561</v>
      </c>
      <c r="B79" s="79" t="s">
        <v>848</v>
      </c>
      <c r="C79" s="79" t="s">
        <v>859</v>
      </c>
      <c r="D79" s="79" t="s">
        <v>563</v>
      </c>
      <c r="E79" s="79"/>
      <c r="F79" s="79" t="s">
        <v>1392</v>
      </c>
      <c r="G79" s="79" t="s">
        <v>569</v>
      </c>
      <c r="H79" s="79" t="s">
        <v>1338</v>
      </c>
      <c r="I79" s="79" t="s">
        <v>1340</v>
      </c>
      <c r="J79" s="79"/>
      <c r="K79" s="79" t="s">
        <v>1370</v>
      </c>
      <c r="L79" s="79"/>
      <c r="O79" s="80" t="s">
        <v>686</v>
      </c>
    </row>
    <row r="80" spans="1:16" s="80" customFormat="1" ht="12.75">
      <c r="A80" s="79" t="s">
        <v>561</v>
      </c>
      <c r="B80" s="79" t="s">
        <v>848</v>
      </c>
      <c r="C80" s="79" t="s">
        <v>1247</v>
      </c>
      <c r="D80" s="79" t="s">
        <v>524</v>
      </c>
      <c r="E80" s="79"/>
      <c r="F80" s="79" t="s">
        <v>1392</v>
      </c>
      <c r="G80" s="79" t="s">
        <v>564</v>
      </c>
      <c r="H80" s="79" t="s">
        <v>524</v>
      </c>
      <c r="I80" s="79"/>
      <c r="J80" s="79"/>
      <c r="K80" s="79" t="s">
        <v>1370</v>
      </c>
      <c r="L80" s="79"/>
      <c r="O80" s="80" t="s">
        <v>282</v>
      </c>
    </row>
    <row r="81" spans="1:15" s="80" customFormat="1" ht="12.75">
      <c r="A81" s="79" t="s">
        <v>561</v>
      </c>
      <c r="B81" s="79" t="s">
        <v>686</v>
      </c>
      <c r="C81" s="79" t="s">
        <v>691</v>
      </c>
      <c r="D81" s="79" t="s">
        <v>563</v>
      </c>
      <c r="E81" s="79"/>
      <c r="F81" s="79" t="s">
        <v>1392</v>
      </c>
      <c r="G81" s="79" t="s">
        <v>635</v>
      </c>
      <c r="H81" s="79" t="s">
        <v>1338</v>
      </c>
      <c r="I81" s="79" t="s">
        <v>1340</v>
      </c>
      <c r="J81" s="79"/>
      <c r="K81" s="79" t="s">
        <v>1370</v>
      </c>
      <c r="L81" s="79"/>
      <c r="O81" s="80" t="s">
        <v>1258</v>
      </c>
    </row>
    <row r="82" spans="1:15" s="80" customFormat="1" ht="12.75">
      <c r="A82" s="79" t="s">
        <v>561</v>
      </c>
      <c r="B82" s="79" t="s">
        <v>686</v>
      </c>
      <c r="C82" s="79" t="s">
        <v>692</v>
      </c>
      <c r="D82" s="79" t="s">
        <v>563</v>
      </c>
      <c r="E82" s="79"/>
      <c r="F82" s="79" t="s">
        <v>1392</v>
      </c>
      <c r="G82" s="79" t="s">
        <v>635</v>
      </c>
      <c r="H82" s="79" t="s">
        <v>1338</v>
      </c>
      <c r="I82" s="79" t="s">
        <v>1340</v>
      </c>
      <c r="J82" s="79"/>
      <c r="K82" s="79" t="s">
        <v>1370</v>
      </c>
      <c r="L82" s="79"/>
      <c r="O82" s="80" t="s">
        <v>1327</v>
      </c>
    </row>
    <row r="83" spans="1:15" s="80" customFormat="1" ht="12.75">
      <c r="A83" s="79" t="s">
        <v>561</v>
      </c>
      <c r="B83" s="79" t="s">
        <v>686</v>
      </c>
      <c r="C83" s="79" t="s">
        <v>566</v>
      </c>
      <c r="D83" s="79" t="s">
        <v>563</v>
      </c>
      <c r="E83" s="79"/>
      <c r="F83" s="79" t="s">
        <v>1392</v>
      </c>
      <c r="G83" s="79" t="s">
        <v>635</v>
      </c>
      <c r="H83" s="79" t="s">
        <v>1338</v>
      </c>
      <c r="I83" s="79" t="s">
        <v>1340</v>
      </c>
      <c r="J83" s="79"/>
      <c r="K83" s="79" t="s">
        <v>1370</v>
      </c>
      <c r="L83" s="79"/>
      <c r="O83" s="80" t="s">
        <v>1328</v>
      </c>
    </row>
    <row r="84" spans="1:15" s="80" customFormat="1" ht="12.75">
      <c r="A84" s="79" t="s">
        <v>561</v>
      </c>
      <c r="B84" s="79" t="s">
        <v>282</v>
      </c>
      <c r="C84" s="79" t="s">
        <v>566</v>
      </c>
      <c r="D84" s="79" t="s">
        <v>524</v>
      </c>
      <c r="E84" s="79"/>
      <c r="F84" s="79" t="s">
        <v>1392</v>
      </c>
      <c r="G84" s="79" t="s">
        <v>569</v>
      </c>
      <c r="H84" s="79" t="s">
        <v>524</v>
      </c>
      <c r="I84" s="79"/>
      <c r="J84" s="79"/>
      <c r="K84" s="79" t="s">
        <v>1370</v>
      </c>
      <c r="L84" s="79"/>
    </row>
    <row r="85" spans="1:15" s="80" customFormat="1" ht="12.75">
      <c r="A85" s="79" t="s">
        <v>561</v>
      </c>
      <c r="B85" s="79" t="s">
        <v>282</v>
      </c>
      <c r="C85" s="79" t="s">
        <v>1247</v>
      </c>
      <c r="D85" s="79" t="s">
        <v>524</v>
      </c>
      <c r="E85" s="79"/>
      <c r="F85" s="79" t="s">
        <v>1392</v>
      </c>
      <c r="G85" s="79" t="s">
        <v>569</v>
      </c>
      <c r="H85" s="79" t="s">
        <v>524</v>
      </c>
      <c r="I85" s="79"/>
      <c r="J85" s="79"/>
      <c r="K85" s="79" t="s">
        <v>1370</v>
      </c>
      <c r="L85" s="79"/>
    </row>
    <row r="86" spans="1:15" s="80" customFormat="1" ht="12.75">
      <c r="A86" s="79" t="s">
        <v>561</v>
      </c>
      <c r="B86" s="79" t="s">
        <v>1258</v>
      </c>
      <c r="C86" s="79" t="s">
        <v>1246</v>
      </c>
      <c r="D86" s="79" t="s">
        <v>524</v>
      </c>
      <c r="E86" s="79"/>
      <c r="F86" s="79" t="s">
        <v>1392</v>
      </c>
      <c r="G86" s="79" t="s">
        <v>569</v>
      </c>
      <c r="H86" s="79" t="s">
        <v>524</v>
      </c>
      <c r="I86" s="79"/>
      <c r="J86" s="79"/>
      <c r="K86" s="79" t="s">
        <v>1370</v>
      </c>
      <c r="L86" s="79"/>
    </row>
    <row r="87" spans="1:15" s="80" customFormat="1" ht="12.75">
      <c r="A87" s="79" t="s">
        <v>561</v>
      </c>
      <c r="B87" s="79" t="s">
        <v>916</v>
      </c>
      <c r="C87" s="79" t="s">
        <v>566</v>
      </c>
      <c r="D87" s="79" t="s">
        <v>1293</v>
      </c>
      <c r="E87" s="79"/>
      <c r="F87" s="79" t="s">
        <v>1392</v>
      </c>
      <c r="G87" s="79" t="s">
        <v>635</v>
      </c>
      <c r="H87" s="79" t="s">
        <v>1338</v>
      </c>
      <c r="I87" s="79" t="s">
        <v>1340</v>
      </c>
      <c r="J87" s="79"/>
      <c r="K87" s="79" t="s">
        <v>1370</v>
      </c>
      <c r="L87" s="79"/>
    </row>
    <row r="88" spans="1:15" s="80" customFormat="1" ht="12.75">
      <c r="A88" s="79" t="s">
        <v>561</v>
      </c>
      <c r="B88" s="79" t="s">
        <v>283</v>
      </c>
      <c r="C88" s="79" t="s">
        <v>1246</v>
      </c>
      <c r="D88" s="79" t="s">
        <v>524</v>
      </c>
      <c r="E88" s="79"/>
      <c r="F88" s="79" t="s">
        <v>1392</v>
      </c>
      <c r="G88" s="79" t="s">
        <v>569</v>
      </c>
      <c r="H88" s="79" t="s">
        <v>524</v>
      </c>
      <c r="I88" s="79"/>
      <c r="J88" s="79"/>
      <c r="K88" s="79" t="s">
        <v>1370</v>
      </c>
      <c r="L88" s="79"/>
    </row>
    <row r="89" spans="1:15" s="80" customFormat="1" ht="12.75">
      <c r="A89" s="79" t="s">
        <v>561</v>
      </c>
      <c r="B89" s="79" t="s">
        <v>283</v>
      </c>
      <c r="C89" s="79" t="s">
        <v>566</v>
      </c>
      <c r="D89" s="79" t="s">
        <v>524</v>
      </c>
      <c r="E89" s="79"/>
      <c r="F89" s="79" t="s">
        <v>1392</v>
      </c>
      <c r="G89" s="79" t="s">
        <v>569</v>
      </c>
      <c r="H89" s="79" t="s">
        <v>524</v>
      </c>
      <c r="I89" s="79"/>
      <c r="J89" s="79"/>
      <c r="K89" s="79" t="s">
        <v>1370</v>
      </c>
      <c r="L89" s="79"/>
    </row>
    <row r="90" spans="1:15" s="80" customFormat="1" ht="12.75">
      <c r="A90" s="79" t="s">
        <v>561</v>
      </c>
      <c r="B90" s="79" t="s">
        <v>283</v>
      </c>
      <c r="C90" s="79" t="s">
        <v>987</v>
      </c>
      <c r="D90" s="79" t="s">
        <v>524</v>
      </c>
      <c r="E90" s="79"/>
      <c r="F90" s="79" t="s">
        <v>1392</v>
      </c>
      <c r="G90" s="79" t="s">
        <v>564</v>
      </c>
      <c r="H90" s="79" t="s">
        <v>524</v>
      </c>
      <c r="I90" s="79"/>
      <c r="J90" s="79"/>
      <c r="K90" s="79" t="s">
        <v>1370</v>
      </c>
      <c r="L90" s="79"/>
    </row>
    <row r="91" spans="1:15" s="80" customFormat="1" ht="12.75">
      <c r="A91" s="79" t="s">
        <v>561</v>
      </c>
      <c r="B91" s="79" t="s">
        <v>283</v>
      </c>
      <c r="C91" s="79" t="s">
        <v>632</v>
      </c>
      <c r="D91" s="79" t="s">
        <v>524</v>
      </c>
      <c r="E91" s="79"/>
      <c r="F91" s="79" t="s">
        <v>1392</v>
      </c>
      <c r="G91" s="79" t="s">
        <v>564</v>
      </c>
      <c r="H91" s="79" t="s">
        <v>524</v>
      </c>
      <c r="I91" s="79"/>
      <c r="J91" s="79"/>
      <c r="K91" s="79" t="s">
        <v>1370</v>
      </c>
      <c r="L91" s="79"/>
    </row>
    <row r="92" spans="1:15" s="80" customFormat="1" ht="12.75">
      <c r="A92" s="79" t="s">
        <v>561</v>
      </c>
      <c r="B92" s="79" t="s">
        <v>283</v>
      </c>
      <c r="C92" s="79" t="s">
        <v>631</v>
      </c>
      <c r="D92" s="79" t="s">
        <v>524</v>
      </c>
      <c r="E92" s="79"/>
      <c r="F92" s="79" t="s">
        <v>1392</v>
      </c>
      <c r="G92" s="79" t="s">
        <v>564</v>
      </c>
      <c r="H92" s="79" t="s">
        <v>524</v>
      </c>
      <c r="I92" s="79"/>
      <c r="J92" s="79"/>
      <c r="K92" s="79" t="s">
        <v>1370</v>
      </c>
      <c r="L92" s="79"/>
    </row>
    <row r="93" spans="1:15" s="80" customFormat="1" ht="12.75">
      <c r="A93" s="79" t="s">
        <v>561</v>
      </c>
      <c r="B93" s="79" t="s">
        <v>283</v>
      </c>
      <c r="C93" s="79" t="s">
        <v>633</v>
      </c>
      <c r="D93" s="79" t="s">
        <v>524</v>
      </c>
      <c r="E93" s="79"/>
      <c r="F93" s="79" t="s">
        <v>1392</v>
      </c>
      <c r="G93" s="79" t="s">
        <v>564</v>
      </c>
      <c r="H93" s="79" t="s">
        <v>524</v>
      </c>
      <c r="I93" s="79"/>
      <c r="J93" s="79"/>
      <c r="K93" s="79" t="s">
        <v>1370</v>
      </c>
      <c r="L93" s="79"/>
    </row>
    <row r="94" spans="1:15" s="80" customFormat="1" ht="12.75">
      <c r="A94" s="79" t="s">
        <v>561</v>
      </c>
      <c r="B94" s="79" t="s">
        <v>283</v>
      </c>
      <c r="C94" s="79" t="s">
        <v>628</v>
      </c>
      <c r="D94" s="79" t="s">
        <v>524</v>
      </c>
      <c r="E94" s="79"/>
      <c r="F94" s="79" t="s">
        <v>1392</v>
      </c>
      <c r="G94" s="79" t="s">
        <v>564</v>
      </c>
      <c r="H94" s="79" t="s">
        <v>524</v>
      </c>
      <c r="I94" s="79"/>
      <c r="J94" s="79"/>
      <c r="K94" s="79" t="s">
        <v>1370</v>
      </c>
      <c r="L94" s="79"/>
    </row>
    <row r="95" spans="1:15" s="80" customFormat="1" ht="12.75">
      <c r="A95" s="79" t="s">
        <v>561</v>
      </c>
      <c r="B95" s="79" t="s">
        <v>283</v>
      </c>
      <c r="C95" s="79" t="s">
        <v>627</v>
      </c>
      <c r="D95" s="79" t="s">
        <v>524</v>
      </c>
      <c r="E95" s="79"/>
      <c r="F95" s="79" t="s">
        <v>1392</v>
      </c>
      <c r="G95" s="79" t="s">
        <v>564</v>
      </c>
      <c r="H95" s="79" t="s">
        <v>524</v>
      </c>
      <c r="I95" s="79"/>
      <c r="J95" s="79"/>
      <c r="K95" s="79" t="s">
        <v>1370</v>
      </c>
      <c r="L95" s="79"/>
    </row>
    <row r="96" spans="1:15" s="80" customFormat="1" ht="12.75">
      <c r="A96" s="79" t="s">
        <v>561</v>
      </c>
      <c r="B96" s="79" t="s">
        <v>283</v>
      </c>
      <c r="C96" s="79" t="s">
        <v>629</v>
      </c>
      <c r="D96" s="79" t="s">
        <v>524</v>
      </c>
      <c r="E96" s="79"/>
      <c r="F96" s="79" t="s">
        <v>1392</v>
      </c>
      <c r="G96" s="79" t="s">
        <v>564</v>
      </c>
      <c r="H96" s="79" t="s">
        <v>524</v>
      </c>
      <c r="I96" s="79"/>
      <c r="J96" s="79"/>
      <c r="K96" s="79" t="s">
        <v>1370</v>
      </c>
      <c r="L96" s="79"/>
    </row>
    <row r="97" spans="1:14" s="80" customFormat="1" ht="12.75">
      <c r="A97" s="79" t="s">
        <v>561</v>
      </c>
      <c r="B97" s="79" t="s">
        <v>283</v>
      </c>
      <c r="C97" s="79" t="s">
        <v>611</v>
      </c>
      <c r="D97" s="79" t="s">
        <v>524</v>
      </c>
      <c r="E97" s="79"/>
      <c r="F97" s="79" t="s">
        <v>1392</v>
      </c>
      <c r="G97" s="79" t="s">
        <v>564</v>
      </c>
      <c r="H97" s="79" t="s">
        <v>524</v>
      </c>
      <c r="I97" s="79"/>
      <c r="J97" s="79"/>
      <c r="K97" s="79" t="s">
        <v>1370</v>
      </c>
      <c r="L97" s="79"/>
    </row>
    <row r="98" spans="1:14" s="80" customFormat="1" ht="12.75">
      <c r="A98" s="79" t="s">
        <v>561</v>
      </c>
      <c r="B98" s="79" t="s">
        <v>283</v>
      </c>
      <c r="C98" s="79" t="s">
        <v>1381</v>
      </c>
      <c r="D98" s="79" t="s">
        <v>524</v>
      </c>
      <c r="E98" s="79"/>
      <c r="F98" s="79" t="s">
        <v>1392</v>
      </c>
      <c r="G98" s="79" t="s">
        <v>564</v>
      </c>
      <c r="H98" s="79" t="s">
        <v>524</v>
      </c>
      <c r="I98" s="79"/>
      <c r="J98" s="79"/>
      <c r="K98" s="79" t="s">
        <v>1370</v>
      </c>
      <c r="L98" s="79"/>
    </row>
    <row r="99" spans="1:14" s="80" customFormat="1" ht="12.75">
      <c r="A99" s="79" t="s">
        <v>561</v>
      </c>
      <c r="B99" s="79" t="s">
        <v>283</v>
      </c>
      <c r="C99" s="79" t="s">
        <v>612</v>
      </c>
      <c r="D99" s="79" t="s">
        <v>524</v>
      </c>
      <c r="E99" s="79"/>
      <c r="F99" s="79" t="s">
        <v>1392</v>
      </c>
      <c r="G99" s="79" t="s">
        <v>564</v>
      </c>
      <c r="H99" s="79" t="s">
        <v>524</v>
      </c>
      <c r="I99" s="79"/>
      <c r="J99" s="79"/>
      <c r="K99" s="79" t="s">
        <v>1370</v>
      </c>
      <c r="L99" s="79"/>
    </row>
    <row r="100" spans="1:14" s="80" customFormat="1" ht="12.75">
      <c r="A100" s="79" t="s">
        <v>561</v>
      </c>
      <c r="B100" s="79" t="s">
        <v>283</v>
      </c>
      <c r="C100" s="79" t="s">
        <v>614</v>
      </c>
      <c r="D100" s="79" t="s">
        <v>524</v>
      </c>
      <c r="E100" s="79"/>
      <c r="F100" s="79" t="s">
        <v>1392</v>
      </c>
      <c r="G100" s="79" t="s">
        <v>564</v>
      </c>
      <c r="H100" s="79" t="s">
        <v>524</v>
      </c>
      <c r="I100" s="79"/>
      <c r="J100" s="79"/>
      <c r="K100" s="79" t="s">
        <v>1370</v>
      </c>
      <c r="L100" s="79"/>
    </row>
    <row r="101" spans="1:14" s="80" customFormat="1" ht="12.75">
      <c r="A101" s="79" t="s">
        <v>561</v>
      </c>
      <c r="B101" s="79" t="s">
        <v>283</v>
      </c>
      <c r="C101" s="79" t="s">
        <v>613</v>
      </c>
      <c r="D101" s="79" t="s">
        <v>524</v>
      </c>
      <c r="E101" s="79"/>
      <c r="F101" s="79" t="s">
        <v>1392</v>
      </c>
      <c r="G101" s="79" t="s">
        <v>564</v>
      </c>
      <c r="H101" s="79" t="s">
        <v>524</v>
      </c>
      <c r="I101" s="79"/>
      <c r="J101" s="79"/>
      <c r="K101" s="79" t="s">
        <v>1370</v>
      </c>
      <c r="L101" s="79"/>
    </row>
    <row r="102" spans="1:14" s="80" customFormat="1" ht="12.75">
      <c r="A102" s="79" t="s">
        <v>561</v>
      </c>
      <c r="B102" s="79" t="s">
        <v>283</v>
      </c>
      <c r="C102" s="79" t="s">
        <v>615</v>
      </c>
      <c r="D102" s="79" t="s">
        <v>524</v>
      </c>
      <c r="E102" s="79"/>
      <c r="F102" s="79" t="s">
        <v>1392</v>
      </c>
      <c r="G102" s="79" t="s">
        <v>564</v>
      </c>
      <c r="H102" s="79" t="s">
        <v>524</v>
      </c>
      <c r="I102" s="79"/>
      <c r="J102" s="79"/>
      <c r="K102" s="79" t="s">
        <v>1370</v>
      </c>
      <c r="L102" s="79"/>
    </row>
    <row r="103" spans="1:14" s="80" customFormat="1" ht="12.75">
      <c r="A103" s="79" t="s">
        <v>561</v>
      </c>
      <c r="B103" s="79" t="s">
        <v>94</v>
      </c>
      <c r="C103" s="79" t="s">
        <v>597</v>
      </c>
      <c r="D103" s="79" t="s">
        <v>1254</v>
      </c>
      <c r="E103" s="79"/>
      <c r="F103" s="79" t="s">
        <v>1392</v>
      </c>
      <c r="G103" s="79" t="s">
        <v>569</v>
      </c>
      <c r="H103" s="79" t="s">
        <v>524</v>
      </c>
      <c r="I103" s="79"/>
      <c r="J103" s="79"/>
      <c r="K103" s="79" t="s">
        <v>1370</v>
      </c>
      <c r="L103" s="79"/>
    </row>
    <row r="104" spans="1:14" s="80" customFormat="1" ht="12.75">
      <c r="A104" s="79" t="s">
        <v>561</v>
      </c>
      <c r="B104" s="79" t="s">
        <v>94</v>
      </c>
      <c r="C104" s="79" t="s">
        <v>598</v>
      </c>
      <c r="D104" s="79" t="s">
        <v>1254</v>
      </c>
      <c r="E104" s="79"/>
      <c r="F104" s="79" t="s">
        <v>1392</v>
      </c>
      <c r="G104" s="79" t="s">
        <v>569</v>
      </c>
      <c r="H104" s="79" t="s">
        <v>524</v>
      </c>
      <c r="I104" s="79"/>
      <c r="J104" s="79"/>
      <c r="K104" s="79" t="s">
        <v>1370</v>
      </c>
      <c r="L104" s="79"/>
    </row>
    <row r="105" spans="1:14" s="80" customFormat="1" ht="12.75">
      <c r="A105" s="79" t="s">
        <v>561</v>
      </c>
      <c r="B105" s="79" t="s">
        <v>94</v>
      </c>
      <c r="C105" s="79" t="s">
        <v>592</v>
      </c>
      <c r="D105" s="79" t="s">
        <v>1254</v>
      </c>
      <c r="E105" s="79"/>
      <c r="F105" s="79" t="s">
        <v>1392</v>
      </c>
      <c r="G105" s="79" t="s">
        <v>564</v>
      </c>
      <c r="H105" s="79" t="s">
        <v>524</v>
      </c>
      <c r="I105" s="79"/>
      <c r="J105" s="79"/>
      <c r="K105" s="79" t="s">
        <v>1370</v>
      </c>
      <c r="L105" s="79"/>
    </row>
    <row r="106" spans="1:14" s="80" customFormat="1" ht="12.75">
      <c r="A106" s="79" t="s">
        <v>561</v>
      </c>
      <c r="B106" s="79" t="s">
        <v>94</v>
      </c>
      <c r="C106" s="79" t="s">
        <v>573</v>
      </c>
      <c r="D106" s="79" t="s">
        <v>1254</v>
      </c>
      <c r="E106" s="79"/>
      <c r="F106" s="79" t="s">
        <v>1392</v>
      </c>
      <c r="G106" s="79" t="s">
        <v>564</v>
      </c>
      <c r="H106" s="79" t="s">
        <v>524</v>
      </c>
      <c r="I106" s="79"/>
      <c r="J106" s="79"/>
      <c r="K106" s="79" t="s">
        <v>1370</v>
      </c>
      <c r="L106" s="79"/>
    </row>
    <row r="107" spans="1:14" s="80" customFormat="1" ht="12.75">
      <c r="A107" s="79" t="s">
        <v>561</v>
      </c>
      <c r="B107" s="79" t="s">
        <v>94</v>
      </c>
      <c r="C107" s="79" t="s">
        <v>574</v>
      </c>
      <c r="D107" s="79" t="s">
        <v>1254</v>
      </c>
      <c r="E107" s="79"/>
      <c r="F107" s="79" t="s">
        <v>1392</v>
      </c>
      <c r="G107" s="79" t="s">
        <v>564</v>
      </c>
      <c r="H107" s="79" t="s">
        <v>524</v>
      </c>
      <c r="I107" s="79"/>
      <c r="J107" s="79"/>
      <c r="K107" s="79" t="s">
        <v>1370</v>
      </c>
      <c r="L107" s="79"/>
    </row>
    <row r="108" spans="1:14" s="80" customFormat="1" ht="12.75">
      <c r="A108" s="79" t="s">
        <v>561</v>
      </c>
      <c r="B108" s="79" t="s">
        <v>697</v>
      </c>
      <c r="C108" s="79" t="s">
        <v>703</v>
      </c>
      <c r="D108" s="79" t="s">
        <v>524</v>
      </c>
      <c r="E108" s="79"/>
      <c r="F108" s="79" t="s">
        <v>1392</v>
      </c>
      <c r="G108" s="79" t="s">
        <v>569</v>
      </c>
      <c r="H108" s="79" t="s">
        <v>524</v>
      </c>
      <c r="I108" s="79"/>
      <c r="J108" s="79"/>
      <c r="K108" s="79" t="s">
        <v>1370</v>
      </c>
      <c r="L108" s="79"/>
    </row>
    <row r="109" spans="1:14" s="80" customFormat="1" ht="12.75">
      <c r="A109" s="79" t="s">
        <v>561</v>
      </c>
      <c r="B109" s="79" t="s">
        <v>697</v>
      </c>
      <c r="C109" s="79" t="s">
        <v>705</v>
      </c>
      <c r="D109" s="79" t="s">
        <v>524</v>
      </c>
      <c r="E109" s="79"/>
      <c r="F109" s="79" t="s">
        <v>1392</v>
      </c>
      <c r="G109" s="79" t="s">
        <v>569</v>
      </c>
      <c r="H109" s="79" t="s">
        <v>524</v>
      </c>
      <c r="I109" s="79"/>
      <c r="J109" s="79"/>
      <c r="K109" s="79" t="s">
        <v>1370</v>
      </c>
      <c r="L109" s="79"/>
      <c r="N109" s="80" t="s">
        <v>1417</v>
      </c>
    </row>
    <row r="110" spans="1:14" s="80" customFormat="1" ht="12.75">
      <c r="A110" s="79" t="s">
        <v>561</v>
      </c>
      <c r="B110" s="79" t="s">
        <v>695</v>
      </c>
      <c r="C110" s="79" t="s">
        <v>1246</v>
      </c>
      <c r="D110" s="79" t="s">
        <v>563</v>
      </c>
      <c r="E110" s="79"/>
      <c r="F110" s="79" t="s">
        <v>1392</v>
      </c>
      <c r="G110" s="79" t="s">
        <v>635</v>
      </c>
      <c r="H110" s="79" t="s">
        <v>1338</v>
      </c>
      <c r="I110" s="79" t="s">
        <v>1340</v>
      </c>
      <c r="J110" s="79"/>
      <c r="K110" s="79" t="s">
        <v>1370</v>
      </c>
      <c r="L110" s="79"/>
    </row>
    <row r="111" spans="1:14" s="80" customFormat="1" ht="12.75">
      <c r="A111" s="79" t="s">
        <v>561</v>
      </c>
      <c r="B111" s="79" t="s">
        <v>695</v>
      </c>
      <c r="C111" s="79" t="s">
        <v>565</v>
      </c>
      <c r="D111" s="79" t="s">
        <v>563</v>
      </c>
      <c r="E111" s="79"/>
      <c r="F111" s="79" t="s">
        <v>1392</v>
      </c>
      <c r="G111" s="79" t="s">
        <v>635</v>
      </c>
      <c r="H111" s="79" t="s">
        <v>1338</v>
      </c>
      <c r="I111" s="79" t="s">
        <v>1340</v>
      </c>
      <c r="J111" s="79"/>
      <c r="K111" s="79" t="s">
        <v>1370</v>
      </c>
      <c r="L111" s="79"/>
    </row>
    <row r="112" spans="1:14" s="80" customFormat="1" ht="12.75">
      <c r="A112" s="79" t="s">
        <v>561</v>
      </c>
      <c r="B112" s="79" t="s">
        <v>427</v>
      </c>
      <c r="C112" s="79" t="s">
        <v>1247</v>
      </c>
      <c r="D112" s="79" t="s">
        <v>524</v>
      </c>
      <c r="E112" s="79"/>
      <c r="F112" s="79" t="s">
        <v>1392</v>
      </c>
      <c r="G112" s="79" t="s">
        <v>564</v>
      </c>
      <c r="H112" s="79" t="s">
        <v>524</v>
      </c>
      <c r="I112" s="79"/>
      <c r="J112" s="79"/>
      <c r="K112" s="79" t="s">
        <v>1370</v>
      </c>
      <c r="L112" s="79"/>
    </row>
    <row r="113" spans="1:12" s="80" customFormat="1" ht="12.75">
      <c r="A113" s="79" t="s">
        <v>561</v>
      </c>
      <c r="B113" s="79" t="s">
        <v>757</v>
      </c>
      <c r="C113" s="79" t="s">
        <v>719</v>
      </c>
      <c r="D113" s="79" t="s">
        <v>1292</v>
      </c>
      <c r="E113" s="79"/>
      <c r="F113" s="79" t="s">
        <v>1392</v>
      </c>
      <c r="G113" s="79" t="s">
        <v>569</v>
      </c>
      <c r="H113" s="79" t="s">
        <v>524</v>
      </c>
      <c r="I113" s="79"/>
      <c r="J113" s="79"/>
      <c r="K113" s="79" t="s">
        <v>1370</v>
      </c>
      <c r="L113" s="79"/>
    </row>
    <row r="114" spans="1:12" s="80" customFormat="1" ht="12.75">
      <c r="A114" s="79" t="s">
        <v>561</v>
      </c>
      <c r="B114" s="79" t="s">
        <v>757</v>
      </c>
      <c r="C114" s="79" t="s">
        <v>720</v>
      </c>
      <c r="D114" s="79" t="s">
        <v>1292</v>
      </c>
      <c r="E114" s="79"/>
      <c r="F114" s="79" t="s">
        <v>1392</v>
      </c>
      <c r="G114" s="79" t="s">
        <v>569</v>
      </c>
      <c r="H114" s="79" t="s">
        <v>524</v>
      </c>
      <c r="I114" s="79"/>
      <c r="J114" s="79"/>
      <c r="K114" s="79" t="s">
        <v>1370</v>
      </c>
      <c r="L114" s="79"/>
    </row>
    <row r="115" spans="1:12" s="80" customFormat="1" ht="12.75">
      <c r="A115" s="79" t="s">
        <v>561</v>
      </c>
      <c r="B115" s="79" t="s">
        <v>757</v>
      </c>
      <c r="C115" s="79" t="s">
        <v>721</v>
      </c>
      <c r="D115" s="79" t="s">
        <v>1292</v>
      </c>
      <c r="E115" s="79"/>
      <c r="F115" s="79" t="s">
        <v>1392</v>
      </c>
      <c r="G115" s="79" t="s">
        <v>569</v>
      </c>
      <c r="H115" s="79" t="s">
        <v>524</v>
      </c>
      <c r="I115" s="79"/>
      <c r="J115" s="79"/>
      <c r="K115" s="79" t="s">
        <v>1370</v>
      </c>
      <c r="L115" s="79"/>
    </row>
    <row r="116" spans="1:12" s="80" customFormat="1" ht="12.75">
      <c r="A116" s="79" t="s">
        <v>561</v>
      </c>
      <c r="B116" s="79" t="s">
        <v>757</v>
      </c>
      <c r="C116" s="79" t="s">
        <v>718</v>
      </c>
      <c r="D116" s="79" t="s">
        <v>1292</v>
      </c>
      <c r="E116" s="79"/>
      <c r="F116" s="79" t="s">
        <v>1392</v>
      </c>
      <c r="G116" s="79" t="s">
        <v>569</v>
      </c>
      <c r="H116" s="79" t="s">
        <v>524</v>
      </c>
      <c r="I116" s="79"/>
      <c r="J116" s="79"/>
      <c r="K116" s="79" t="s">
        <v>1370</v>
      </c>
      <c r="L116" s="79"/>
    </row>
    <row r="117" spans="1:12" s="80" customFormat="1" ht="12.75">
      <c r="A117" s="79" t="s">
        <v>561</v>
      </c>
      <c r="B117" s="79" t="s">
        <v>757</v>
      </c>
      <c r="C117" s="79" t="s">
        <v>716</v>
      </c>
      <c r="D117" s="79" t="s">
        <v>1292</v>
      </c>
      <c r="E117" s="79"/>
      <c r="F117" s="79" t="s">
        <v>1392</v>
      </c>
      <c r="G117" s="79" t="s">
        <v>569</v>
      </c>
      <c r="H117" s="79" t="s">
        <v>524</v>
      </c>
      <c r="I117" s="79"/>
      <c r="J117" s="79"/>
      <c r="K117" s="79" t="s">
        <v>1370</v>
      </c>
      <c r="L117" s="79"/>
    </row>
    <row r="118" spans="1:12" s="80" customFormat="1" ht="12.75">
      <c r="A118" s="79" t="s">
        <v>561</v>
      </c>
      <c r="B118" s="79" t="s">
        <v>285</v>
      </c>
      <c r="C118" s="79" t="s">
        <v>719</v>
      </c>
      <c r="D118" s="79" t="s">
        <v>1292</v>
      </c>
      <c r="E118" s="79"/>
      <c r="F118" s="79" t="s">
        <v>1392</v>
      </c>
      <c r="G118" s="79" t="s">
        <v>569</v>
      </c>
      <c r="H118" s="79" t="s">
        <v>524</v>
      </c>
      <c r="I118" s="79"/>
      <c r="J118" s="79"/>
      <c r="K118" s="79" t="s">
        <v>1370</v>
      </c>
      <c r="L118" s="79"/>
    </row>
    <row r="119" spans="1:12" s="80" customFormat="1" ht="12.75">
      <c r="A119" s="79" t="s">
        <v>561</v>
      </c>
      <c r="B119" s="79" t="s">
        <v>285</v>
      </c>
      <c r="C119" s="79" t="s">
        <v>720</v>
      </c>
      <c r="D119" s="79" t="s">
        <v>1292</v>
      </c>
      <c r="E119" s="79"/>
      <c r="F119" s="79" t="s">
        <v>1392</v>
      </c>
      <c r="G119" s="79" t="s">
        <v>569</v>
      </c>
      <c r="H119" s="79" t="s">
        <v>524</v>
      </c>
      <c r="I119" s="79"/>
      <c r="J119" s="79"/>
      <c r="K119" s="79" t="s">
        <v>1370</v>
      </c>
      <c r="L119" s="79"/>
    </row>
    <row r="120" spans="1:12" s="80" customFormat="1" ht="12.75">
      <c r="A120" s="79" t="s">
        <v>561</v>
      </c>
      <c r="B120" s="79" t="s">
        <v>285</v>
      </c>
      <c r="C120" s="79" t="s">
        <v>721</v>
      </c>
      <c r="D120" s="79" t="s">
        <v>1292</v>
      </c>
      <c r="E120" s="79"/>
      <c r="F120" s="79" t="s">
        <v>1392</v>
      </c>
      <c r="G120" s="79" t="s">
        <v>569</v>
      </c>
      <c r="H120" s="79" t="s">
        <v>524</v>
      </c>
      <c r="I120" s="79"/>
      <c r="J120" s="79"/>
      <c r="K120" s="79" t="s">
        <v>1370</v>
      </c>
      <c r="L120" s="79"/>
    </row>
    <row r="121" spans="1:12" s="80" customFormat="1" ht="12.75">
      <c r="A121" s="79" t="s">
        <v>561</v>
      </c>
      <c r="B121" s="79" t="s">
        <v>285</v>
      </c>
      <c r="C121" s="79" t="s">
        <v>718</v>
      </c>
      <c r="D121" s="79" t="s">
        <v>1292</v>
      </c>
      <c r="E121" s="79"/>
      <c r="F121" s="79" t="s">
        <v>1392</v>
      </c>
      <c r="G121" s="79" t="s">
        <v>569</v>
      </c>
      <c r="H121" s="79" t="s">
        <v>524</v>
      </c>
      <c r="I121" s="79"/>
      <c r="J121" s="79"/>
      <c r="K121" s="79" t="s">
        <v>1370</v>
      </c>
      <c r="L121" s="79"/>
    </row>
    <row r="122" spans="1:12" s="80" customFormat="1" ht="12.75">
      <c r="A122" s="79" t="s">
        <v>561</v>
      </c>
      <c r="B122" s="79" t="s">
        <v>285</v>
      </c>
      <c r="C122" s="79" t="s">
        <v>716</v>
      </c>
      <c r="D122" s="79" t="s">
        <v>1292</v>
      </c>
      <c r="E122" s="79"/>
      <c r="F122" s="79" t="s">
        <v>1392</v>
      </c>
      <c r="G122" s="79" t="s">
        <v>569</v>
      </c>
      <c r="H122" s="79" t="s">
        <v>524</v>
      </c>
      <c r="I122" s="79"/>
      <c r="J122" s="79"/>
      <c r="K122" s="79" t="s">
        <v>1370</v>
      </c>
      <c r="L122" s="79"/>
    </row>
    <row r="123" spans="1:12" s="80" customFormat="1" ht="12.75">
      <c r="A123" s="79" t="s">
        <v>561</v>
      </c>
      <c r="B123" s="79" t="s">
        <v>722</v>
      </c>
      <c r="C123" s="79" t="s">
        <v>716</v>
      </c>
      <c r="D123" s="79" t="s">
        <v>1292</v>
      </c>
      <c r="E123" s="79"/>
      <c r="F123" s="79" t="s">
        <v>1392</v>
      </c>
      <c r="G123" s="79" t="s">
        <v>569</v>
      </c>
      <c r="H123" s="79" t="s">
        <v>1338</v>
      </c>
      <c r="I123" s="79" t="s">
        <v>1340</v>
      </c>
      <c r="J123" s="79"/>
      <c r="K123" s="79" t="s">
        <v>1370</v>
      </c>
      <c r="L123" s="79"/>
    </row>
    <row r="124" spans="1:12" s="80" customFormat="1" ht="12.75">
      <c r="A124" s="79" t="s">
        <v>561</v>
      </c>
      <c r="B124" s="79" t="s">
        <v>792</v>
      </c>
      <c r="C124" s="79" t="s">
        <v>816</v>
      </c>
      <c r="D124" s="79" t="s">
        <v>524</v>
      </c>
      <c r="E124" s="79"/>
      <c r="F124" s="79" t="s">
        <v>1392</v>
      </c>
      <c r="G124" s="79" t="s">
        <v>564</v>
      </c>
      <c r="H124" s="79" t="s">
        <v>524</v>
      </c>
      <c r="I124" s="79"/>
      <c r="J124" s="79"/>
      <c r="K124" s="79" t="s">
        <v>1370</v>
      </c>
      <c r="L124" s="79"/>
    </row>
    <row r="125" spans="1:12" s="80" customFormat="1" ht="12.75">
      <c r="A125" s="79" t="s">
        <v>561</v>
      </c>
      <c r="B125" s="79" t="s">
        <v>792</v>
      </c>
      <c r="C125" s="79" t="s">
        <v>812</v>
      </c>
      <c r="D125" s="79" t="s">
        <v>524</v>
      </c>
      <c r="E125" s="79"/>
      <c r="F125" s="79" t="s">
        <v>1392</v>
      </c>
      <c r="G125" s="79" t="s">
        <v>564</v>
      </c>
      <c r="H125" s="79" t="s">
        <v>524</v>
      </c>
      <c r="I125" s="79"/>
      <c r="J125" s="79"/>
      <c r="K125" s="79" t="s">
        <v>1370</v>
      </c>
      <c r="L125" s="79"/>
    </row>
    <row r="126" spans="1:12" s="80" customFormat="1" ht="12.75">
      <c r="A126" s="79" t="s">
        <v>561</v>
      </c>
      <c r="B126" s="79" t="s">
        <v>792</v>
      </c>
      <c r="C126" s="79" t="s">
        <v>815</v>
      </c>
      <c r="D126" s="79" t="s">
        <v>524</v>
      </c>
      <c r="E126" s="79"/>
      <c r="F126" s="79" t="s">
        <v>1392</v>
      </c>
      <c r="G126" s="79" t="s">
        <v>564</v>
      </c>
      <c r="H126" s="79" t="s">
        <v>524</v>
      </c>
      <c r="I126" s="79"/>
      <c r="J126" s="79"/>
      <c r="K126" s="79" t="s">
        <v>1370</v>
      </c>
      <c r="L126" s="79"/>
    </row>
    <row r="127" spans="1:12" s="80" customFormat="1" ht="12.75">
      <c r="A127" s="79" t="s">
        <v>561</v>
      </c>
      <c r="B127" s="79" t="s">
        <v>792</v>
      </c>
      <c r="C127" s="79" t="s">
        <v>797</v>
      </c>
      <c r="D127" s="79" t="s">
        <v>524</v>
      </c>
      <c r="E127" s="79"/>
      <c r="F127" s="79" t="s">
        <v>1392</v>
      </c>
      <c r="G127" s="79" t="s">
        <v>564</v>
      </c>
      <c r="H127" s="79" t="s">
        <v>524</v>
      </c>
      <c r="I127" s="79"/>
      <c r="J127" s="79"/>
      <c r="K127" s="79" t="s">
        <v>1370</v>
      </c>
      <c r="L127" s="79"/>
    </row>
    <row r="128" spans="1:12" s="80" customFormat="1" ht="12.75">
      <c r="A128" s="79" t="s">
        <v>561</v>
      </c>
      <c r="B128" s="79" t="s">
        <v>792</v>
      </c>
      <c r="C128" s="79" t="s">
        <v>793</v>
      </c>
      <c r="D128" s="79" t="s">
        <v>524</v>
      </c>
      <c r="E128" s="79"/>
      <c r="F128" s="79" t="s">
        <v>1392</v>
      </c>
      <c r="G128" s="79" t="s">
        <v>564</v>
      </c>
      <c r="H128" s="79" t="s">
        <v>524</v>
      </c>
      <c r="I128" s="79"/>
      <c r="J128" s="79"/>
      <c r="K128" s="79" t="s">
        <v>1370</v>
      </c>
      <c r="L128" s="79"/>
    </row>
    <row r="129" spans="1:14" s="80" customFormat="1" ht="12.75">
      <c r="A129" s="79" t="s">
        <v>561</v>
      </c>
      <c r="B129" s="79" t="s">
        <v>792</v>
      </c>
      <c r="C129" s="79" t="s">
        <v>796</v>
      </c>
      <c r="D129" s="79" t="s">
        <v>524</v>
      </c>
      <c r="E129" s="79"/>
      <c r="F129" s="79" t="s">
        <v>1392</v>
      </c>
      <c r="G129" s="79" t="s">
        <v>564</v>
      </c>
      <c r="H129" s="79" t="s">
        <v>524</v>
      </c>
      <c r="I129" s="79"/>
      <c r="J129" s="79"/>
      <c r="K129" s="79" t="s">
        <v>1370</v>
      </c>
      <c r="L129" s="79"/>
    </row>
    <row r="130" spans="1:14" s="80" customFormat="1" ht="12.75">
      <c r="A130" s="79" t="s">
        <v>1208</v>
      </c>
      <c r="B130" s="79" t="s">
        <v>1376</v>
      </c>
      <c r="C130" s="79" t="s">
        <v>1374</v>
      </c>
      <c r="D130" s="79" t="s">
        <v>1242</v>
      </c>
      <c r="E130" s="79"/>
      <c r="F130" s="79"/>
      <c r="G130" s="79" t="s">
        <v>564</v>
      </c>
      <c r="H130" s="79" t="s">
        <v>1336</v>
      </c>
      <c r="I130" s="79"/>
      <c r="J130" s="79"/>
      <c r="K130" s="79" t="s">
        <v>1372</v>
      </c>
      <c r="L130" s="79"/>
    </row>
    <row r="131" spans="1:14" s="80" customFormat="1" ht="12.75">
      <c r="A131" s="79" t="s">
        <v>1208</v>
      </c>
      <c r="B131" s="79" t="s">
        <v>1376</v>
      </c>
      <c r="C131" s="79" t="s">
        <v>1373</v>
      </c>
      <c r="D131" s="79" t="s">
        <v>1242</v>
      </c>
      <c r="E131" s="79"/>
      <c r="F131" s="79"/>
      <c r="G131" s="79" t="s">
        <v>564</v>
      </c>
      <c r="H131" s="79" t="s">
        <v>1336</v>
      </c>
      <c r="I131" s="79"/>
      <c r="J131" s="79"/>
      <c r="K131" s="79" t="s">
        <v>1372</v>
      </c>
      <c r="L131" s="79"/>
    </row>
    <row r="132" spans="1:14" s="80" customFormat="1" ht="12.75">
      <c r="A132" s="79" t="s">
        <v>1208</v>
      </c>
      <c r="B132" s="79" t="s">
        <v>1376</v>
      </c>
      <c r="C132" s="79" t="s">
        <v>1379</v>
      </c>
      <c r="D132" s="79" t="s">
        <v>524</v>
      </c>
      <c r="E132" s="79"/>
      <c r="F132" s="79"/>
      <c r="G132" s="79" t="s">
        <v>564</v>
      </c>
      <c r="H132" s="79" t="s">
        <v>524</v>
      </c>
      <c r="I132" s="79"/>
      <c r="J132" s="79"/>
      <c r="K132" s="79" t="s">
        <v>1372</v>
      </c>
      <c r="L132" s="79"/>
    </row>
    <row r="133" spans="1:14" s="80" customFormat="1" ht="12.75">
      <c r="A133" s="79" t="s">
        <v>1208</v>
      </c>
      <c r="B133" s="79" t="s">
        <v>1376</v>
      </c>
      <c r="C133" s="79" t="s">
        <v>1378</v>
      </c>
      <c r="D133" s="79" t="s">
        <v>524</v>
      </c>
      <c r="E133" s="79"/>
      <c r="F133" s="79"/>
      <c r="G133" s="79" t="s">
        <v>564</v>
      </c>
      <c r="H133" s="79" t="s">
        <v>524</v>
      </c>
      <c r="I133" s="79"/>
      <c r="J133" s="79"/>
      <c r="K133" s="79" t="s">
        <v>1372</v>
      </c>
      <c r="L133" s="79"/>
    </row>
    <row r="134" spans="1:14" s="80" customFormat="1" ht="12.75">
      <c r="A134" s="79" t="s">
        <v>1208</v>
      </c>
      <c r="B134" s="79" t="s">
        <v>1377</v>
      </c>
      <c r="C134" s="79" t="s">
        <v>1375</v>
      </c>
      <c r="D134" s="79" t="s">
        <v>1242</v>
      </c>
      <c r="E134" s="79"/>
      <c r="F134" s="79"/>
      <c r="G134" s="79" t="s">
        <v>564</v>
      </c>
      <c r="H134" s="79" t="s">
        <v>1336</v>
      </c>
      <c r="I134" s="79"/>
      <c r="J134" s="79"/>
      <c r="K134" s="79" t="s">
        <v>1369</v>
      </c>
      <c r="L134" s="79"/>
    </row>
    <row r="135" spans="1:14" s="80" customFormat="1" ht="12.75">
      <c r="A135" s="79" t="s">
        <v>1208</v>
      </c>
      <c r="B135" s="79" t="s">
        <v>1377</v>
      </c>
      <c r="C135" s="79" t="s">
        <v>1380</v>
      </c>
      <c r="D135" s="79" t="s">
        <v>524</v>
      </c>
      <c r="E135" s="79"/>
      <c r="F135" s="79"/>
      <c r="G135" s="79" t="s">
        <v>564</v>
      </c>
      <c r="H135" s="79" t="s">
        <v>524</v>
      </c>
      <c r="I135" s="79"/>
      <c r="J135" s="79"/>
      <c r="K135" s="79" t="s">
        <v>1369</v>
      </c>
      <c r="L135" s="79"/>
    </row>
    <row r="136" spans="1:14" s="80" customFormat="1" ht="12.75">
      <c r="A136" s="79" t="s">
        <v>567</v>
      </c>
      <c r="B136" s="79" t="s">
        <v>562</v>
      </c>
      <c r="C136" s="79" t="s">
        <v>1365</v>
      </c>
      <c r="D136" s="79" t="s">
        <v>1242</v>
      </c>
      <c r="E136" s="79"/>
      <c r="F136" s="79" t="s">
        <v>1394</v>
      </c>
      <c r="G136" s="79" t="s">
        <v>569</v>
      </c>
      <c r="H136" s="79" t="s">
        <v>1336</v>
      </c>
      <c r="I136" s="79"/>
      <c r="J136" s="79"/>
      <c r="K136" s="79" t="s">
        <v>1370</v>
      </c>
      <c r="L136" s="79"/>
    </row>
    <row r="137" spans="1:14" s="80" customFormat="1" ht="12.75">
      <c r="A137" s="79" t="s">
        <v>567</v>
      </c>
      <c r="B137" s="79" t="s">
        <v>562</v>
      </c>
      <c r="C137" s="79" t="s">
        <v>1321</v>
      </c>
      <c r="D137" s="79" t="s">
        <v>1242</v>
      </c>
      <c r="E137" s="79"/>
      <c r="F137" s="79" t="s">
        <v>1394</v>
      </c>
      <c r="G137" s="79" t="s">
        <v>569</v>
      </c>
      <c r="H137" s="79" t="s">
        <v>1337</v>
      </c>
      <c r="I137" s="79"/>
      <c r="J137" s="79"/>
      <c r="K137" s="79" t="s">
        <v>1370</v>
      </c>
      <c r="L137" s="79"/>
    </row>
    <row r="138" spans="1:14" s="80" customFormat="1" ht="12.75">
      <c r="A138" s="79" t="s">
        <v>567</v>
      </c>
      <c r="B138" s="79" t="s">
        <v>562</v>
      </c>
      <c r="C138" s="79" t="s">
        <v>1366</v>
      </c>
      <c r="D138" s="79" t="s">
        <v>1242</v>
      </c>
      <c r="E138" s="79"/>
      <c r="F138" s="79" t="s">
        <v>1394</v>
      </c>
      <c r="G138" s="79" t="s">
        <v>564</v>
      </c>
      <c r="H138" s="79" t="s">
        <v>1336</v>
      </c>
      <c r="I138" s="79"/>
      <c r="J138" s="79"/>
      <c r="K138" s="79" t="s">
        <v>1370</v>
      </c>
      <c r="L138" s="79"/>
    </row>
    <row r="139" spans="1:14" s="80" customFormat="1" ht="12.75">
      <c r="A139" s="79" t="s">
        <v>567</v>
      </c>
      <c r="B139" s="79" t="s">
        <v>562</v>
      </c>
      <c r="C139" s="79" t="s">
        <v>1368</v>
      </c>
      <c r="D139" s="79" t="s">
        <v>1242</v>
      </c>
      <c r="E139" s="79"/>
      <c r="F139" s="79" t="s">
        <v>1394</v>
      </c>
      <c r="G139" s="79" t="s">
        <v>564</v>
      </c>
      <c r="H139" s="79" t="s">
        <v>1337</v>
      </c>
      <c r="I139" s="79"/>
      <c r="J139" s="79"/>
      <c r="K139" s="79" t="s">
        <v>1370</v>
      </c>
      <c r="L139" s="79"/>
    </row>
    <row r="140" spans="1:14" s="80" customFormat="1" ht="12.75">
      <c r="A140" s="79" t="s">
        <v>567</v>
      </c>
      <c r="B140" s="79" t="s">
        <v>562</v>
      </c>
      <c r="C140" s="79" t="s">
        <v>981</v>
      </c>
      <c r="D140" s="79" t="s">
        <v>1242</v>
      </c>
      <c r="E140" s="79"/>
      <c r="F140" s="79" t="s">
        <v>1394</v>
      </c>
      <c r="G140" s="79" t="s">
        <v>569</v>
      </c>
      <c r="H140" s="79" t="s">
        <v>1336</v>
      </c>
      <c r="I140" s="79"/>
      <c r="J140" s="79"/>
      <c r="K140" s="79" t="s">
        <v>1370</v>
      </c>
      <c r="L140" s="79"/>
    </row>
    <row r="141" spans="1:14" s="80" customFormat="1" ht="12.75">
      <c r="A141" s="79" t="s">
        <v>567</v>
      </c>
      <c r="B141" s="79" t="s">
        <v>562</v>
      </c>
      <c r="C141" s="79" t="s">
        <v>570</v>
      </c>
      <c r="D141" s="79" t="s">
        <v>1242</v>
      </c>
      <c r="E141" s="79"/>
      <c r="F141" s="79" t="s">
        <v>1394</v>
      </c>
      <c r="G141" s="79" t="s">
        <v>569</v>
      </c>
      <c r="H141" s="79" t="s">
        <v>1337</v>
      </c>
      <c r="I141" s="79"/>
      <c r="J141" s="79"/>
      <c r="K141" s="79" t="s">
        <v>1370</v>
      </c>
      <c r="L141" s="79"/>
    </row>
    <row r="142" spans="1:14" s="80" customFormat="1" ht="12.75">
      <c r="A142" s="79" t="s">
        <v>567</v>
      </c>
      <c r="B142" s="79" t="s">
        <v>562</v>
      </c>
      <c r="C142" s="79" t="s">
        <v>1002</v>
      </c>
      <c r="D142" s="79" t="s">
        <v>1242</v>
      </c>
      <c r="E142" s="79"/>
      <c r="F142" s="79" t="s">
        <v>1394</v>
      </c>
      <c r="G142" s="79" t="s">
        <v>569</v>
      </c>
      <c r="H142" s="79" t="s">
        <v>1336</v>
      </c>
      <c r="I142" s="79"/>
      <c r="J142" s="79"/>
      <c r="K142" s="79" t="s">
        <v>1370</v>
      </c>
      <c r="L142" s="79"/>
      <c r="N142" s="80" t="s">
        <v>1403</v>
      </c>
    </row>
    <row r="143" spans="1:14" s="80" customFormat="1" ht="12.75">
      <c r="A143" s="79" t="s">
        <v>567</v>
      </c>
      <c r="B143" s="79" t="s">
        <v>562</v>
      </c>
      <c r="C143" s="79" t="s">
        <v>989</v>
      </c>
      <c r="D143" s="79" t="s">
        <v>1242</v>
      </c>
      <c r="E143" s="79"/>
      <c r="F143" s="79" t="s">
        <v>1394</v>
      </c>
      <c r="G143" s="79" t="s">
        <v>569</v>
      </c>
      <c r="H143" s="79" t="s">
        <v>1336</v>
      </c>
      <c r="I143" s="79"/>
      <c r="J143" s="79"/>
      <c r="K143" s="79" t="s">
        <v>1370</v>
      </c>
      <c r="L143" s="79"/>
    </row>
    <row r="144" spans="1:14" s="80" customFormat="1" ht="12.75">
      <c r="A144" s="79" t="s">
        <v>567</v>
      </c>
      <c r="B144" s="79" t="s">
        <v>831</v>
      </c>
      <c r="C144" s="79" t="s">
        <v>843</v>
      </c>
      <c r="D144" s="79" t="s">
        <v>524</v>
      </c>
      <c r="E144" s="79"/>
      <c r="F144" s="79" t="s">
        <v>1394</v>
      </c>
      <c r="G144" s="79" t="s">
        <v>569</v>
      </c>
      <c r="H144" s="79" t="s">
        <v>524</v>
      </c>
      <c r="I144" s="79"/>
      <c r="J144" s="79"/>
      <c r="K144" s="79" t="s">
        <v>1370</v>
      </c>
      <c r="L144" s="79"/>
      <c r="N144" s="80" t="s">
        <v>1416</v>
      </c>
    </row>
    <row r="145" spans="1:12" s="80" customFormat="1" ht="12.75">
      <c r="A145" s="79" t="s">
        <v>567</v>
      </c>
      <c r="B145" s="79" t="s">
        <v>831</v>
      </c>
      <c r="C145" s="79" t="s">
        <v>844</v>
      </c>
      <c r="D145" s="79" t="s">
        <v>524</v>
      </c>
      <c r="E145" s="79"/>
      <c r="F145" s="79" t="s">
        <v>1394</v>
      </c>
      <c r="G145" s="79" t="s">
        <v>569</v>
      </c>
      <c r="H145" s="79" t="s">
        <v>524</v>
      </c>
      <c r="I145" s="79"/>
      <c r="J145" s="79"/>
      <c r="K145" s="79" t="s">
        <v>1370</v>
      </c>
      <c r="L145" s="79"/>
    </row>
    <row r="146" spans="1:12" s="80" customFormat="1" ht="12.75">
      <c r="A146" s="79" t="s">
        <v>567</v>
      </c>
      <c r="B146" s="79" t="s">
        <v>831</v>
      </c>
      <c r="C146" s="79" t="s">
        <v>1251</v>
      </c>
      <c r="D146" s="79" t="s">
        <v>524</v>
      </c>
      <c r="E146" s="79"/>
      <c r="F146" s="79" t="s">
        <v>1394</v>
      </c>
      <c r="G146" s="79" t="s">
        <v>569</v>
      </c>
      <c r="H146" s="79" t="s">
        <v>524</v>
      </c>
      <c r="I146" s="79"/>
      <c r="J146" s="79"/>
      <c r="K146" s="79" t="s">
        <v>1370</v>
      </c>
      <c r="L146" s="79"/>
    </row>
    <row r="147" spans="1:12" s="80" customFormat="1" ht="12.75">
      <c r="A147" s="79" t="s">
        <v>567</v>
      </c>
      <c r="B147" s="79" t="s">
        <v>831</v>
      </c>
      <c r="C147" s="79" t="s">
        <v>839</v>
      </c>
      <c r="D147" s="79" t="s">
        <v>524</v>
      </c>
      <c r="E147" s="79"/>
      <c r="F147" s="79" t="s">
        <v>1394</v>
      </c>
      <c r="G147" s="79" t="s">
        <v>569</v>
      </c>
      <c r="H147" s="79" t="s">
        <v>524</v>
      </c>
      <c r="I147" s="79"/>
      <c r="J147" s="79"/>
      <c r="K147" s="79" t="s">
        <v>1370</v>
      </c>
      <c r="L147" s="79"/>
    </row>
    <row r="148" spans="1:12" s="80" customFormat="1" ht="12.75">
      <c r="A148" s="79" t="s">
        <v>567</v>
      </c>
      <c r="B148" s="79" t="s">
        <v>527</v>
      </c>
      <c r="C148" s="79" t="s">
        <v>768</v>
      </c>
      <c r="D148" s="79" t="s">
        <v>1294</v>
      </c>
      <c r="E148" s="79"/>
      <c r="F148" s="79" t="s">
        <v>1394</v>
      </c>
      <c r="G148" s="79" t="s">
        <v>564</v>
      </c>
      <c r="H148" s="79" t="s">
        <v>524</v>
      </c>
      <c r="I148" s="79"/>
      <c r="J148" s="79"/>
      <c r="K148" s="79" t="s">
        <v>1370</v>
      </c>
      <c r="L148" s="79"/>
    </row>
    <row r="149" spans="1:12" s="80" customFormat="1" ht="12.75">
      <c r="A149" s="79" t="s">
        <v>567</v>
      </c>
      <c r="B149" s="79" t="s">
        <v>527</v>
      </c>
      <c r="C149" s="79" t="s">
        <v>769</v>
      </c>
      <c r="D149" s="79" t="s">
        <v>1294</v>
      </c>
      <c r="E149" s="79"/>
      <c r="F149" s="79" t="s">
        <v>1394</v>
      </c>
      <c r="G149" s="79" t="s">
        <v>564</v>
      </c>
      <c r="H149" s="79" t="s">
        <v>524</v>
      </c>
      <c r="I149" s="79"/>
      <c r="J149" s="79"/>
      <c r="K149" s="79" t="s">
        <v>1370</v>
      </c>
      <c r="L149" s="79"/>
    </row>
    <row r="150" spans="1:12" s="80" customFormat="1" ht="12.75">
      <c r="A150" s="79" t="s">
        <v>567</v>
      </c>
      <c r="B150" s="79" t="s">
        <v>527</v>
      </c>
      <c r="C150" s="79" t="s">
        <v>783</v>
      </c>
      <c r="D150" s="79" t="s">
        <v>1294</v>
      </c>
      <c r="E150" s="79"/>
      <c r="F150" s="79" t="s">
        <v>1394</v>
      </c>
      <c r="G150" s="79" t="s">
        <v>564</v>
      </c>
      <c r="H150" s="79" t="s">
        <v>524</v>
      </c>
      <c r="I150" s="79"/>
      <c r="J150" s="79"/>
      <c r="K150" s="79" t="s">
        <v>1370</v>
      </c>
      <c r="L150" s="79"/>
    </row>
    <row r="151" spans="1:12" s="80" customFormat="1" ht="12.75">
      <c r="A151" s="79" t="s">
        <v>567</v>
      </c>
      <c r="B151" s="79" t="s">
        <v>527</v>
      </c>
      <c r="C151" s="79" t="s">
        <v>784</v>
      </c>
      <c r="D151" s="79" t="s">
        <v>1294</v>
      </c>
      <c r="E151" s="79"/>
      <c r="F151" s="79" t="s">
        <v>1394</v>
      </c>
      <c r="G151" s="79" t="s">
        <v>564</v>
      </c>
      <c r="H151" s="79" t="s">
        <v>524</v>
      </c>
      <c r="I151" s="79"/>
      <c r="J151" s="79"/>
      <c r="K151" s="79" t="s">
        <v>1370</v>
      </c>
      <c r="L151" s="79"/>
    </row>
    <row r="152" spans="1:12" s="80" customFormat="1" ht="12.75">
      <c r="A152" s="79" t="s">
        <v>567</v>
      </c>
      <c r="B152" s="79" t="s">
        <v>915</v>
      </c>
      <c r="C152" s="79" t="s">
        <v>690</v>
      </c>
      <c r="D152" s="79" t="s">
        <v>1293</v>
      </c>
      <c r="E152" s="79"/>
      <c r="F152" s="79" t="s">
        <v>1394</v>
      </c>
      <c r="G152" s="79" t="s">
        <v>635</v>
      </c>
      <c r="H152" s="79" t="s">
        <v>1338</v>
      </c>
      <c r="I152" s="79" t="s">
        <v>1340</v>
      </c>
      <c r="J152" s="79"/>
      <c r="K152" s="79" t="s">
        <v>1370</v>
      </c>
      <c r="L152" s="79"/>
    </row>
    <row r="153" spans="1:12" s="80" customFormat="1" ht="12.75">
      <c r="A153" s="79" t="s">
        <v>567</v>
      </c>
      <c r="B153" s="79" t="s">
        <v>649</v>
      </c>
      <c r="C153" s="79" t="s">
        <v>1270</v>
      </c>
      <c r="D153" s="79" t="s">
        <v>563</v>
      </c>
      <c r="E153" s="79"/>
      <c r="F153" s="79" t="s">
        <v>1394</v>
      </c>
      <c r="G153" s="79" t="s">
        <v>635</v>
      </c>
      <c r="H153" s="79" t="s">
        <v>1338</v>
      </c>
      <c r="I153" s="79" t="s">
        <v>1340</v>
      </c>
      <c r="J153" s="79"/>
      <c r="K153" s="79" t="s">
        <v>1370</v>
      </c>
      <c r="L153" s="79"/>
    </row>
    <row r="154" spans="1:12" s="80" customFormat="1" ht="12.75">
      <c r="A154" s="79" t="s">
        <v>567</v>
      </c>
      <c r="B154" s="79" t="s">
        <v>649</v>
      </c>
      <c r="C154" s="79" t="s">
        <v>1268</v>
      </c>
      <c r="D154" s="79" t="s">
        <v>563</v>
      </c>
      <c r="E154" s="79"/>
      <c r="F154" s="79" t="s">
        <v>1394</v>
      </c>
      <c r="G154" s="79" t="s">
        <v>635</v>
      </c>
      <c r="H154" s="79" t="s">
        <v>1338</v>
      </c>
      <c r="I154" s="79" t="s">
        <v>1340</v>
      </c>
      <c r="J154" s="79"/>
      <c r="K154" s="79" t="s">
        <v>1370</v>
      </c>
      <c r="L154" s="79"/>
    </row>
    <row r="155" spans="1:12" s="80" customFormat="1" ht="12.75">
      <c r="A155" s="79" t="s">
        <v>567</v>
      </c>
      <c r="B155" s="79" t="s">
        <v>649</v>
      </c>
      <c r="C155" s="79" t="s">
        <v>1269</v>
      </c>
      <c r="D155" s="79" t="s">
        <v>563</v>
      </c>
      <c r="E155" s="79"/>
      <c r="F155" s="79" t="s">
        <v>1394</v>
      </c>
      <c r="G155" s="79" t="s">
        <v>635</v>
      </c>
      <c r="H155" s="79" t="s">
        <v>1338</v>
      </c>
      <c r="I155" s="79" t="s">
        <v>1340</v>
      </c>
      <c r="J155" s="79"/>
      <c r="K155" s="79" t="s">
        <v>1370</v>
      </c>
      <c r="L155" s="79"/>
    </row>
    <row r="156" spans="1:12" s="80" customFormat="1" ht="12.75">
      <c r="A156" s="79" t="s">
        <v>567</v>
      </c>
      <c r="B156" s="79" t="s">
        <v>649</v>
      </c>
      <c r="C156" s="79" t="s">
        <v>1271</v>
      </c>
      <c r="D156" s="79" t="s">
        <v>563</v>
      </c>
      <c r="E156" s="79"/>
      <c r="F156" s="79" t="s">
        <v>1394</v>
      </c>
      <c r="G156" s="79" t="s">
        <v>635</v>
      </c>
      <c r="H156" s="79" t="s">
        <v>1338</v>
      </c>
      <c r="I156" s="79" t="s">
        <v>1340</v>
      </c>
      <c r="J156" s="79"/>
      <c r="K156" s="79" t="s">
        <v>1370</v>
      </c>
      <c r="L156" s="79"/>
    </row>
    <row r="157" spans="1:12" s="80" customFormat="1" ht="12.75">
      <c r="A157" s="79" t="s">
        <v>567</v>
      </c>
      <c r="B157" s="79" t="s">
        <v>649</v>
      </c>
      <c r="C157" s="79" t="s">
        <v>655</v>
      </c>
      <c r="D157" s="79" t="s">
        <v>563</v>
      </c>
      <c r="E157" s="79"/>
      <c r="F157" s="79" t="s">
        <v>1394</v>
      </c>
      <c r="G157" s="79" t="s">
        <v>635</v>
      </c>
      <c r="H157" s="79" t="s">
        <v>1338</v>
      </c>
      <c r="I157" s="79" t="s">
        <v>1340</v>
      </c>
      <c r="J157" s="79"/>
      <c r="K157" s="79" t="s">
        <v>1370</v>
      </c>
      <c r="L157" s="79"/>
    </row>
    <row r="158" spans="1:12" s="80" customFormat="1" ht="12.75">
      <c r="A158" s="79" t="s">
        <v>567</v>
      </c>
      <c r="B158" s="79" t="s">
        <v>649</v>
      </c>
      <c r="C158" s="79" t="s">
        <v>1274</v>
      </c>
      <c r="D158" s="79" t="s">
        <v>563</v>
      </c>
      <c r="E158" s="79"/>
      <c r="F158" s="79" t="s">
        <v>1394</v>
      </c>
      <c r="G158" s="79" t="s">
        <v>635</v>
      </c>
      <c r="H158" s="79" t="s">
        <v>1338</v>
      </c>
      <c r="I158" s="79" t="s">
        <v>1340</v>
      </c>
      <c r="J158" s="79"/>
      <c r="K158" s="79" t="s">
        <v>1370</v>
      </c>
      <c r="L158" s="79"/>
    </row>
    <row r="159" spans="1:12" s="80" customFormat="1" ht="12.75">
      <c r="A159" s="79" t="s">
        <v>567</v>
      </c>
      <c r="B159" s="79" t="s">
        <v>649</v>
      </c>
      <c r="C159" s="79" t="s">
        <v>656</v>
      </c>
      <c r="D159" s="79" t="s">
        <v>563</v>
      </c>
      <c r="E159" s="79"/>
      <c r="F159" s="79" t="s">
        <v>1394</v>
      </c>
      <c r="G159" s="79" t="s">
        <v>635</v>
      </c>
      <c r="H159" s="79" t="s">
        <v>1338</v>
      </c>
      <c r="I159" s="79" t="s">
        <v>1340</v>
      </c>
      <c r="J159" s="79"/>
      <c r="K159" s="79" t="s">
        <v>1370</v>
      </c>
      <c r="L159" s="79"/>
    </row>
    <row r="160" spans="1:12" s="80" customFormat="1" ht="12.75">
      <c r="A160" s="79" t="s">
        <v>567</v>
      </c>
      <c r="B160" s="79" t="s">
        <v>649</v>
      </c>
      <c r="C160" s="79" t="s">
        <v>658</v>
      </c>
      <c r="D160" s="79" t="s">
        <v>563</v>
      </c>
      <c r="E160" s="79"/>
      <c r="F160" s="79" t="s">
        <v>1394</v>
      </c>
      <c r="G160" s="79" t="s">
        <v>635</v>
      </c>
      <c r="H160" s="79" t="s">
        <v>1338</v>
      </c>
      <c r="I160" s="79" t="s">
        <v>1340</v>
      </c>
      <c r="J160" s="79"/>
      <c r="K160" s="79" t="s">
        <v>1370</v>
      </c>
      <c r="L160" s="79"/>
    </row>
    <row r="161" spans="1:14" s="80" customFormat="1" ht="12.75">
      <c r="A161" s="79" t="s">
        <v>567</v>
      </c>
      <c r="B161" s="79" t="s">
        <v>649</v>
      </c>
      <c r="C161" s="79" t="s">
        <v>659</v>
      </c>
      <c r="D161" s="79" t="s">
        <v>563</v>
      </c>
      <c r="E161" s="79"/>
      <c r="F161" s="79" t="s">
        <v>1394</v>
      </c>
      <c r="G161" s="79" t="s">
        <v>635</v>
      </c>
      <c r="H161" s="79" t="s">
        <v>1338</v>
      </c>
      <c r="I161" s="79" t="s">
        <v>1340</v>
      </c>
      <c r="J161" s="79"/>
      <c r="K161" s="79" t="s">
        <v>1370</v>
      </c>
      <c r="L161" s="79"/>
    </row>
    <row r="162" spans="1:14" s="80" customFormat="1" ht="12.75">
      <c r="A162" s="79" t="s">
        <v>567</v>
      </c>
      <c r="B162" s="79" t="s">
        <v>649</v>
      </c>
      <c r="C162" s="79" t="s">
        <v>680</v>
      </c>
      <c r="D162" s="79" t="s">
        <v>563</v>
      </c>
      <c r="E162" s="79"/>
      <c r="F162" s="79" t="s">
        <v>1394</v>
      </c>
      <c r="G162" s="79" t="s">
        <v>635</v>
      </c>
      <c r="H162" s="79" t="s">
        <v>1338</v>
      </c>
      <c r="I162" s="79" t="s">
        <v>1340</v>
      </c>
      <c r="J162" s="79"/>
      <c r="K162" s="79" t="s">
        <v>1370</v>
      </c>
      <c r="L162" s="79"/>
    </row>
    <row r="163" spans="1:14" s="80" customFormat="1" ht="12.75">
      <c r="A163" s="79" t="s">
        <v>567</v>
      </c>
      <c r="B163" s="79" t="s">
        <v>649</v>
      </c>
      <c r="C163" s="79" t="s">
        <v>682</v>
      </c>
      <c r="D163" s="79" t="s">
        <v>563</v>
      </c>
      <c r="E163" s="79"/>
      <c r="F163" s="79" t="s">
        <v>1394</v>
      </c>
      <c r="G163" s="79" t="s">
        <v>635</v>
      </c>
      <c r="H163" s="79" t="s">
        <v>1338</v>
      </c>
      <c r="I163" s="79" t="s">
        <v>1340</v>
      </c>
      <c r="J163" s="79"/>
      <c r="K163" s="79" t="s">
        <v>1370</v>
      </c>
      <c r="L163" s="79"/>
    </row>
    <row r="164" spans="1:14" s="80" customFormat="1" ht="12.75">
      <c r="A164" s="79" t="s">
        <v>567</v>
      </c>
      <c r="B164" s="79" t="s">
        <v>649</v>
      </c>
      <c r="C164" s="79" t="s">
        <v>650</v>
      </c>
      <c r="D164" s="79" t="s">
        <v>563</v>
      </c>
      <c r="E164" s="79"/>
      <c r="F164" s="79" t="s">
        <v>1394</v>
      </c>
      <c r="G164" s="79" t="s">
        <v>635</v>
      </c>
      <c r="H164" s="79" t="s">
        <v>1338</v>
      </c>
      <c r="I164" s="79" t="s">
        <v>1340</v>
      </c>
      <c r="J164" s="79"/>
      <c r="K164" s="79" t="s">
        <v>1370</v>
      </c>
      <c r="L164" s="79"/>
      <c r="N164" s="80" t="s">
        <v>1413</v>
      </c>
    </row>
    <row r="165" spans="1:14" s="80" customFormat="1" ht="12.75">
      <c r="A165" s="79" t="s">
        <v>567</v>
      </c>
      <c r="B165" s="79" t="s">
        <v>649</v>
      </c>
      <c r="C165" s="79" t="s">
        <v>1280</v>
      </c>
      <c r="D165" s="79" t="s">
        <v>563</v>
      </c>
      <c r="E165" s="79"/>
      <c r="F165" s="79" t="s">
        <v>1394</v>
      </c>
      <c r="G165" s="79" t="s">
        <v>635</v>
      </c>
      <c r="H165" s="79" t="s">
        <v>1338</v>
      </c>
      <c r="I165" s="79" t="s">
        <v>1340</v>
      </c>
      <c r="J165" s="79"/>
      <c r="K165" s="79" t="s">
        <v>1370</v>
      </c>
      <c r="L165" s="79"/>
    </row>
    <row r="166" spans="1:14" s="80" customFormat="1" ht="12.75">
      <c r="A166" s="79" t="s">
        <v>567</v>
      </c>
      <c r="B166" s="79" t="s">
        <v>649</v>
      </c>
      <c r="C166" s="79" t="s">
        <v>1277</v>
      </c>
      <c r="D166" s="79" t="s">
        <v>563</v>
      </c>
      <c r="E166" s="79"/>
      <c r="F166" s="79" t="s">
        <v>1394</v>
      </c>
      <c r="G166" s="79" t="s">
        <v>635</v>
      </c>
      <c r="H166" s="79" t="s">
        <v>1338</v>
      </c>
      <c r="I166" s="79" t="s">
        <v>1340</v>
      </c>
      <c r="J166" s="79"/>
      <c r="K166" s="79" t="s">
        <v>1370</v>
      </c>
      <c r="L166" s="79"/>
    </row>
    <row r="167" spans="1:14" s="80" customFormat="1" ht="12.75">
      <c r="A167" s="79" t="s">
        <v>567</v>
      </c>
      <c r="B167" s="79" t="s">
        <v>649</v>
      </c>
      <c r="C167" s="79" t="s">
        <v>679</v>
      </c>
      <c r="D167" s="79" t="s">
        <v>563</v>
      </c>
      <c r="E167" s="79"/>
      <c r="F167" s="79" t="s">
        <v>1394</v>
      </c>
      <c r="G167" s="79" t="s">
        <v>635</v>
      </c>
      <c r="H167" s="79" t="s">
        <v>1338</v>
      </c>
      <c r="I167" s="79" t="s">
        <v>1340</v>
      </c>
      <c r="J167" s="79"/>
      <c r="K167" s="79" t="s">
        <v>1370</v>
      </c>
      <c r="L167" s="79"/>
    </row>
    <row r="168" spans="1:14" s="80" customFormat="1" ht="12.75">
      <c r="A168" s="79" t="s">
        <v>567</v>
      </c>
      <c r="B168" s="79" t="s">
        <v>649</v>
      </c>
      <c r="C168" s="79" t="s">
        <v>1281</v>
      </c>
      <c r="D168" s="79" t="s">
        <v>563</v>
      </c>
      <c r="E168" s="79"/>
      <c r="F168" s="79" t="s">
        <v>1394</v>
      </c>
      <c r="G168" s="79" t="s">
        <v>635</v>
      </c>
      <c r="H168" s="79" t="s">
        <v>1338</v>
      </c>
      <c r="I168" s="79" t="s">
        <v>1340</v>
      </c>
      <c r="J168" s="79"/>
      <c r="K168" s="79" t="s">
        <v>1370</v>
      </c>
      <c r="L168" s="79"/>
    </row>
    <row r="169" spans="1:14" s="80" customFormat="1" ht="12.75">
      <c r="A169" s="79" t="s">
        <v>567</v>
      </c>
      <c r="B169" s="79" t="s">
        <v>649</v>
      </c>
      <c r="C169" s="79" t="s">
        <v>1276</v>
      </c>
      <c r="D169" s="79" t="s">
        <v>563</v>
      </c>
      <c r="E169" s="79"/>
      <c r="F169" s="79" t="s">
        <v>1394</v>
      </c>
      <c r="G169" s="79" t="s">
        <v>635</v>
      </c>
      <c r="H169" s="79" t="s">
        <v>1338</v>
      </c>
      <c r="I169" s="79" t="s">
        <v>1340</v>
      </c>
      <c r="J169" s="79"/>
      <c r="K169" s="79" t="s">
        <v>1370</v>
      </c>
      <c r="L169" s="79"/>
    </row>
    <row r="170" spans="1:14" s="80" customFormat="1" ht="12.75">
      <c r="A170" s="79" t="s">
        <v>567</v>
      </c>
      <c r="B170" s="79" t="s">
        <v>649</v>
      </c>
      <c r="C170" s="79" t="s">
        <v>660</v>
      </c>
      <c r="D170" s="79" t="s">
        <v>563</v>
      </c>
      <c r="E170" s="79"/>
      <c r="F170" s="79" t="s">
        <v>1394</v>
      </c>
      <c r="G170" s="79" t="s">
        <v>635</v>
      </c>
      <c r="H170" s="79" t="s">
        <v>1338</v>
      </c>
      <c r="I170" s="79" t="s">
        <v>1340</v>
      </c>
      <c r="J170" s="79"/>
      <c r="K170" s="79" t="s">
        <v>1370</v>
      </c>
      <c r="L170" s="79"/>
    </row>
    <row r="171" spans="1:14" s="80" customFormat="1" ht="12.75">
      <c r="A171" s="79" t="s">
        <v>567</v>
      </c>
      <c r="B171" s="79" t="s">
        <v>649</v>
      </c>
      <c r="C171" s="79" t="s">
        <v>1275</v>
      </c>
      <c r="D171" s="79" t="s">
        <v>563</v>
      </c>
      <c r="E171" s="79"/>
      <c r="F171" s="79" t="s">
        <v>1394</v>
      </c>
      <c r="G171" s="79" t="s">
        <v>635</v>
      </c>
      <c r="H171" s="79" t="s">
        <v>1338</v>
      </c>
      <c r="I171" s="79" t="s">
        <v>1340</v>
      </c>
      <c r="J171" s="79"/>
      <c r="K171" s="79" t="s">
        <v>1370</v>
      </c>
      <c r="L171" s="79"/>
    </row>
    <row r="172" spans="1:14" s="80" customFormat="1" ht="12.75">
      <c r="A172" s="79" t="s">
        <v>567</v>
      </c>
      <c r="B172" s="79" t="s">
        <v>649</v>
      </c>
      <c r="C172" s="79" t="s">
        <v>666</v>
      </c>
      <c r="D172" s="79" t="s">
        <v>563</v>
      </c>
      <c r="E172" s="79"/>
      <c r="F172" s="79" t="s">
        <v>1394</v>
      </c>
      <c r="G172" s="79" t="s">
        <v>635</v>
      </c>
      <c r="H172" s="79" t="s">
        <v>1338</v>
      </c>
      <c r="I172" s="79" t="s">
        <v>1340</v>
      </c>
      <c r="J172" s="79"/>
      <c r="K172" s="79" t="s">
        <v>1370</v>
      </c>
      <c r="L172" s="79"/>
    </row>
    <row r="173" spans="1:14" s="80" customFormat="1" ht="12.75">
      <c r="A173" s="79" t="s">
        <v>567</v>
      </c>
      <c r="B173" s="79" t="s">
        <v>649</v>
      </c>
      <c r="C173" s="79" t="s">
        <v>662</v>
      </c>
      <c r="D173" s="79" t="s">
        <v>563</v>
      </c>
      <c r="E173" s="79"/>
      <c r="F173" s="79" t="s">
        <v>1394</v>
      </c>
      <c r="G173" s="79" t="s">
        <v>635</v>
      </c>
      <c r="H173" s="79" t="s">
        <v>1338</v>
      </c>
      <c r="I173" s="79" t="s">
        <v>1340</v>
      </c>
      <c r="J173" s="79"/>
      <c r="K173" s="79" t="s">
        <v>1370</v>
      </c>
      <c r="L173" s="79"/>
    </row>
    <row r="174" spans="1:14" s="80" customFormat="1" ht="12.75">
      <c r="A174" s="79" t="s">
        <v>567</v>
      </c>
      <c r="B174" s="79" t="s">
        <v>649</v>
      </c>
      <c r="C174" s="79" t="s">
        <v>663</v>
      </c>
      <c r="D174" s="79" t="s">
        <v>563</v>
      </c>
      <c r="E174" s="79"/>
      <c r="F174" s="79" t="s">
        <v>1394</v>
      </c>
      <c r="G174" s="79" t="s">
        <v>635</v>
      </c>
      <c r="H174" s="79" t="s">
        <v>1338</v>
      </c>
      <c r="I174" s="79" t="s">
        <v>1340</v>
      </c>
      <c r="J174" s="79"/>
      <c r="K174" s="79" t="s">
        <v>1370</v>
      </c>
      <c r="L174" s="79"/>
    </row>
    <row r="175" spans="1:14" s="80" customFormat="1" ht="12.75">
      <c r="A175" s="79" t="s">
        <v>567</v>
      </c>
      <c r="B175" s="79" t="s">
        <v>649</v>
      </c>
      <c r="C175" s="79" t="s">
        <v>665</v>
      </c>
      <c r="D175" s="79" t="s">
        <v>563</v>
      </c>
      <c r="E175" s="79"/>
      <c r="F175" s="79" t="s">
        <v>1394</v>
      </c>
      <c r="G175" s="79" t="s">
        <v>635</v>
      </c>
      <c r="H175" s="79" t="s">
        <v>1338</v>
      </c>
      <c r="I175" s="79" t="s">
        <v>1340</v>
      </c>
      <c r="J175" s="79"/>
      <c r="K175" s="79" t="s">
        <v>1370</v>
      </c>
      <c r="L175" s="79"/>
    </row>
    <row r="176" spans="1:14" s="80" customFormat="1" ht="12.75">
      <c r="A176" s="79" t="s">
        <v>567</v>
      </c>
      <c r="B176" s="79" t="s">
        <v>649</v>
      </c>
      <c r="C176" s="79" t="s">
        <v>675</v>
      </c>
      <c r="D176" s="79" t="s">
        <v>563</v>
      </c>
      <c r="E176" s="79"/>
      <c r="F176" s="79" t="s">
        <v>1394</v>
      </c>
      <c r="G176" s="79" t="s">
        <v>635</v>
      </c>
      <c r="H176" s="79" t="s">
        <v>1338</v>
      </c>
      <c r="I176" s="79" t="s">
        <v>1340</v>
      </c>
      <c r="J176" s="79"/>
      <c r="K176" s="79" t="s">
        <v>1370</v>
      </c>
      <c r="L176" s="79"/>
    </row>
    <row r="177" spans="1:15" s="80" customFormat="1" ht="12.75">
      <c r="A177" s="79" t="s">
        <v>567</v>
      </c>
      <c r="B177" s="79" t="s">
        <v>649</v>
      </c>
      <c r="C177" s="79" t="s">
        <v>674</v>
      </c>
      <c r="D177" s="79" t="s">
        <v>563</v>
      </c>
      <c r="E177" s="79"/>
      <c r="F177" s="79" t="s">
        <v>1394</v>
      </c>
      <c r="G177" s="79" t="s">
        <v>635</v>
      </c>
      <c r="H177" s="79" t="s">
        <v>1338</v>
      </c>
      <c r="I177" s="79" t="s">
        <v>1340</v>
      </c>
      <c r="J177" s="79"/>
      <c r="K177" s="79" t="s">
        <v>1370</v>
      </c>
      <c r="L177" s="79"/>
    </row>
    <row r="178" spans="1:15" s="80" customFormat="1" ht="12.75">
      <c r="A178" s="79" t="s">
        <v>567</v>
      </c>
      <c r="B178" s="79" t="s">
        <v>649</v>
      </c>
      <c r="C178" s="79" t="s">
        <v>676</v>
      </c>
      <c r="D178" s="79" t="s">
        <v>563</v>
      </c>
      <c r="E178" s="79"/>
      <c r="F178" s="79" t="s">
        <v>1394</v>
      </c>
      <c r="G178" s="79" t="s">
        <v>635</v>
      </c>
      <c r="H178" s="79" t="s">
        <v>1338</v>
      </c>
      <c r="I178" s="79" t="s">
        <v>1340</v>
      </c>
      <c r="J178" s="79"/>
      <c r="K178" s="79" t="s">
        <v>1370</v>
      </c>
      <c r="L178" s="79"/>
    </row>
    <row r="179" spans="1:15" s="80" customFormat="1" ht="12.75">
      <c r="A179" s="79" t="s">
        <v>567</v>
      </c>
      <c r="B179" s="79" t="s">
        <v>873</v>
      </c>
      <c r="C179" s="79" t="s">
        <v>876</v>
      </c>
      <c r="D179" s="79" t="s">
        <v>524</v>
      </c>
      <c r="E179" s="79"/>
      <c r="F179" s="79" t="s">
        <v>1394</v>
      </c>
      <c r="G179" s="79" t="s">
        <v>569</v>
      </c>
      <c r="H179" s="79" t="s">
        <v>524</v>
      </c>
      <c r="I179" s="79"/>
      <c r="J179" s="79"/>
      <c r="K179" s="79" t="s">
        <v>1370</v>
      </c>
      <c r="L179" s="79"/>
    </row>
    <row r="180" spans="1:15" s="80" customFormat="1" ht="12.75">
      <c r="A180" s="79" t="s">
        <v>567</v>
      </c>
      <c r="B180" s="79" t="s">
        <v>873</v>
      </c>
      <c r="C180" s="79" t="s">
        <v>875</v>
      </c>
      <c r="D180" s="79" t="s">
        <v>524</v>
      </c>
      <c r="E180" s="79"/>
      <c r="F180" s="79" t="s">
        <v>1394</v>
      </c>
      <c r="G180" s="79" t="s">
        <v>569</v>
      </c>
      <c r="H180" s="79" t="s">
        <v>524</v>
      </c>
      <c r="I180" s="79"/>
      <c r="J180" s="79"/>
      <c r="K180" s="79" t="s">
        <v>1370</v>
      </c>
      <c r="L180" s="79"/>
    </row>
    <row r="181" spans="1:15" s="80" customFormat="1" ht="12.75">
      <c r="A181" s="79" t="s">
        <v>567</v>
      </c>
      <c r="B181" s="79" t="s">
        <v>873</v>
      </c>
      <c r="C181" s="79" t="s">
        <v>874</v>
      </c>
      <c r="D181" s="79" t="s">
        <v>524</v>
      </c>
      <c r="E181" s="79"/>
      <c r="F181" s="79" t="s">
        <v>1394</v>
      </c>
      <c r="G181" s="79" t="s">
        <v>569</v>
      </c>
      <c r="H181" s="79" t="s">
        <v>524</v>
      </c>
      <c r="I181" s="79"/>
      <c r="J181" s="79"/>
      <c r="K181" s="79" t="s">
        <v>1370</v>
      </c>
      <c r="L181" s="79"/>
    </row>
    <row r="182" spans="1:15" s="80" customFormat="1" ht="12.75">
      <c r="A182" s="79" t="s">
        <v>567</v>
      </c>
      <c r="B182" s="79" t="s">
        <v>873</v>
      </c>
      <c r="C182" s="79" t="s">
        <v>878</v>
      </c>
      <c r="D182" s="79" t="s">
        <v>563</v>
      </c>
      <c r="E182" s="79"/>
      <c r="F182" s="79" t="s">
        <v>1394</v>
      </c>
      <c r="G182" s="79" t="s">
        <v>569</v>
      </c>
      <c r="H182" s="79" t="s">
        <v>1338</v>
      </c>
      <c r="I182" s="79" t="s">
        <v>1340</v>
      </c>
      <c r="J182" s="79"/>
      <c r="K182" s="79" t="s">
        <v>1370</v>
      </c>
      <c r="L182" s="79"/>
      <c r="O182" s="117"/>
    </row>
    <row r="183" spans="1:15" s="80" customFormat="1" ht="12.75">
      <c r="A183" s="79" t="s">
        <v>567</v>
      </c>
      <c r="B183" s="79" t="s">
        <v>873</v>
      </c>
      <c r="C183" s="79" t="s">
        <v>877</v>
      </c>
      <c r="D183" s="79" t="s">
        <v>563</v>
      </c>
      <c r="E183" s="79"/>
      <c r="F183" s="79" t="s">
        <v>1394</v>
      </c>
      <c r="G183" s="79" t="s">
        <v>569</v>
      </c>
      <c r="H183" s="79" t="s">
        <v>1338</v>
      </c>
      <c r="I183" s="79" t="s">
        <v>1340</v>
      </c>
      <c r="J183" s="79"/>
      <c r="K183" s="79" t="s">
        <v>1370</v>
      </c>
      <c r="L183" s="79"/>
    </row>
    <row r="184" spans="1:15" s="80" customFormat="1" ht="12.75">
      <c r="A184" s="79" t="s">
        <v>567</v>
      </c>
      <c r="B184" s="79" t="s">
        <v>750</v>
      </c>
      <c r="C184" s="79" t="s">
        <v>755</v>
      </c>
      <c r="D184" s="79" t="s">
        <v>524</v>
      </c>
      <c r="E184" s="79"/>
      <c r="F184" s="79" t="s">
        <v>1394</v>
      </c>
      <c r="G184" s="79" t="s">
        <v>564</v>
      </c>
      <c r="H184" s="79" t="s">
        <v>524</v>
      </c>
      <c r="I184" s="79"/>
      <c r="J184" s="79"/>
      <c r="K184" s="79" t="s">
        <v>1370</v>
      </c>
      <c r="L184" s="79"/>
    </row>
    <row r="185" spans="1:15" s="80" customFormat="1" ht="12.75">
      <c r="A185" s="79" t="s">
        <v>567</v>
      </c>
      <c r="B185" s="79" t="s">
        <v>750</v>
      </c>
      <c r="C185" s="79" t="s">
        <v>753</v>
      </c>
      <c r="D185" s="79" t="s">
        <v>524</v>
      </c>
      <c r="E185" s="79"/>
      <c r="F185" s="79" t="s">
        <v>1394</v>
      </c>
      <c r="G185" s="79" t="s">
        <v>564</v>
      </c>
      <c r="H185" s="79" t="s">
        <v>524</v>
      </c>
      <c r="I185" s="79"/>
      <c r="J185" s="79"/>
      <c r="K185" s="79" t="s">
        <v>1370</v>
      </c>
      <c r="L185" s="79"/>
    </row>
    <row r="186" spans="1:15" s="80" customFormat="1" ht="12.75">
      <c r="A186" s="79" t="s">
        <v>567</v>
      </c>
      <c r="B186" s="79" t="s">
        <v>750</v>
      </c>
      <c r="C186" s="79" t="s">
        <v>754</v>
      </c>
      <c r="D186" s="79" t="s">
        <v>524</v>
      </c>
      <c r="E186" s="79"/>
      <c r="F186" s="79" t="s">
        <v>1394</v>
      </c>
      <c r="G186" s="79" t="s">
        <v>564</v>
      </c>
      <c r="H186" s="79" t="s">
        <v>524</v>
      </c>
      <c r="I186" s="79"/>
      <c r="J186" s="79"/>
      <c r="K186" s="79" t="s">
        <v>1370</v>
      </c>
      <c r="L186" s="79"/>
    </row>
    <row r="187" spans="1:15" s="80" customFormat="1" ht="12.75">
      <c r="A187" s="79" t="s">
        <v>567</v>
      </c>
      <c r="B187" s="79" t="s">
        <v>750</v>
      </c>
      <c r="C187" s="79" t="s">
        <v>751</v>
      </c>
      <c r="D187" s="79" t="s">
        <v>524</v>
      </c>
      <c r="E187" s="79"/>
      <c r="F187" s="79" t="s">
        <v>1394</v>
      </c>
      <c r="G187" s="79" t="s">
        <v>564</v>
      </c>
      <c r="H187" s="79" t="s">
        <v>524</v>
      </c>
      <c r="I187" s="79"/>
      <c r="J187" s="79"/>
      <c r="K187" s="79" t="s">
        <v>1370</v>
      </c>
      <c r="L187" s="79"/>
    </row>
    <row r="188" spans="1:15" s="80" customFormat="1" ht="12.75">
      <c r="A188" s="79" t="s">
        <v>567</v>
      </c>
      <c r="B188" s="79" t="s">
        <v>750</v>
      </c>
      <c r="C188" s="79" t="s">
        <v>756</v>
      </c>
      <c r="D188" s="79" t="s">
        <v>524</v>
      </c>
      <c r="E188" s="79"/>
      <c r="F188" s="79" t="s">
        <v>1394</v>
      </c>
      <c r="G188" s="79" t="s">
        <v>564</v>
      </c>
      <c r="H188" s="79" t="s">
        <v>524</v>
      </c>
      <c r="I188" s="79"/>
      <c r="J188" s="79"/>
      <c r="K188" s="79" t="s">
        <v>1370</v>
      </c>
      <c r="L188" s="79"/>
    </row>
    <row r="189" spans="1:15" s="80" customFormat="1" ht="12.75">
      <c r="A189" s="79" t="s">
        <v>567</v>
      </c>
      <c r="B189" s="79" t="s">
        <v>750</v>
      </c>
      <c r="C189" s="79" t="s">
        <v>752</v>
      </c>
      <c r="D189" s="79" t="s">
        <v>524</v>
      </c>
      <c r="E189" s="79"/>
      <c r="F189" s="79" t="s">
        <v>1394</v>
      </c>
      <c r="G189" s="79" t="s">
        <v>564</v>
      </c>
      <c r="H189" s="79" t="s">
        <v>524</v>
      </c>
      <c r="I189" s="79"/>
      <c r="J189" s="79"/>
      <c r="K189" s="79" t="s">
        <v>1370</v>
      </c>
      <c r="L189" s="79"/>
    </row>
    <row r="190" spans="1:15" s="80" customFormat="1" ht="12.75">
      <c r="A190" s="79" t="s">
        <v>567</v>
      </c>
      <c r="B190" s="79" t="s">
        <v>848</v>
      </c>
      <c r="C190" s="79" t="s">
        <v>850</v>
      </c>
      <c r="D190" s="79" t="s">
        <v>524</v>
      </c>
      <c r="E190" s="79"/>
      <c r="F190" s="79" t="s">
        <v>1394</v>
      </c>
      <c r="G190" s="79" t="s">
        <v>569</v>
      </c>
      <c r="H190" s="79" t="s">
        <v>524</v>
      </c>
      <c r="I190" s="79"/>
      <c r="J190" s="79"/>
      <c r="K190" s="79" t="s">
        <v>1370</v>
      </c>
      <c r="L190" s="79"/>
    </row>
    <row r="191" spans="1:15" s="80" customFormat="1" ht="12.75">
      <c r="A191" s="79" t="s">
        <v>567</v>
      </c>
      <c r="B191" s="79" t="s">
        <v>848</v>
      </c>
      <c r="C191" s="79" t="s">
        <v>865</v>
      </c>
      <c r="D191" s="79" t="s">
        <v>563</v>
      </c>
      <c r="E191" s="79"/>
      <c r="F191" s="79" t="s">
        <v>1394</v>
      </c>
      <c r="G191" s="79" t="s">
        <v>569</v>
      </c>
      <c r="H191" s="79" t="s">
        <v>1338</v>
      </c>
      <c r="I191" s="79" t="s">
        <v>1340</v>
      </c>
      <c r="J191" s="79"/>
      <c r="K191" s="79" t="s">
        <v>1370</v>
      </c>
      <c r="L191" s="79"/>
    </row>
    <row r="192" spans="1:15" s="80" customFormat="1" ht="12.75">
      <c r="A192" s="79" t="s">
        <v>567</v>
      </c>
      <c r="B192" s="79" t="s">
        <v>848</v>
      </c>
      <c r="C192" s="79" t="s">
        <v>866</v>
      </c>
      <c r="D192" s="79" t="s">
        <v>563</v>
      </c>
      <c r="E192" s="79"/>
      <c r="F192" s="79" t="s">
        <v>1394</v>
      </c>
      <c r="G192" s="79" t="s">
        <v>569</v>
      </c>
      <c r="H192" s="79" t="s">
        <v>1338</v>
      </c>
      <c r="I192" s="79" t="s">
        <v>1340</v>
      </c>
      <c r="J192" s="79"/>
      <c r="K192" s="79" t="s">
        <v>1370</v>
      </c>
      <c r="L192" s="79"/>
    </row>
    <row r="193" spans="1:14" s="80" customFormat="1" ht="12.75">
      <c r="A193" s="79" t="s">
        <v>567</v>
      </c>
      <c r="B193" s="79" t="s">
        <v>848</v>
      </c>
      <c r="C193" s="79" t="s">
        <v>867</v>
      </c>
      <c r="D193" s="79" t="s">
        <v>524</v>
      </c>
      <c r="E193" s="79"/>
      <c r="F193" s="79" t="s">
        <v>1394</v>
      </c>
      <c r="G193" s="79" t="s">
        <v>569</v>
      </c>
      <c r="H193" s="79" t="s">
        <v>524</v>
      </c>
      <c r="I193" s="79"/>
      <c r="J193" s="79"/>
      <c r="K193" s="79" t="s">
        <v>1370</v>
      </c>
      <c r="L193" s="79"/>
    </row>
    <row r="194" spans="1:14" s="80" customFormat="1" ht="12.75">
      <c r="A194" s="79" t="s">
        <v>567</v>
      </c>
      <c r="B194" s="79" t="s">
        <v>848</v>
      </c>
      <c r="C194" s="79" t="s">
        <v>868</v>
      </c>
      <c r="D194" s="79" t="s">
        <v>563</v>
      </c>
      <c r="E194" s="79"/>
      <c r="F194" s="79" t="s">
        <v>1394</v>
      </c>
      <c r="G194" s="79" t="s">
        <v>569</v>
      </c>
      <c r="H194" s="79" t="s">
        <v>1338</v>
      </c>
      <c r="I194" s="79" t="s">
        <v>1340</v>
      </c>
      <c r="J194" s="79"/>
      <c r="K194" s="79" t="s">
        <v>1370</v>
      </c>
      <c r="L194" s="79"/>
    </row>
    <row r="195" spans="1:14" s="80" customFormat="1" ht="12.75">
      <c r="A195" s="79" t="s">
        <v>567</v>
      </c>
      <c r="B195" s="79" t="s">
        <v>848</v>
      </c>
      <c r="C195" s="79" t="s">
        <v>870</v>
      </c>
      <c r="D195" s="79" t="s">
        <v>563</v>
      </c>
      <c r="E195" s="79"/>
      <c r="F195" s="79" t="s">
        <v>1394</v>
      </c>
      <c r="G195" s="79" t="s">
        <v>569</v>
      </c>
      <c r="H195" s="79" t="s">
        <v>1338</v>
      </c>
      <c r="I195" s="79" t="s">
        <v>1340</v>
      </c>
      <c r="J195" s="79"/>
      <c r="K195" s="79" t="s">
        <v>1370</v>
      </c>
      <c r="L195" s="79"/>
    </row>
    <row r="196" spans="1:14" s="80" customFormat="1" ht="12.75">
      <c r="A196" s="79" t="s">
        <v>567</v>
      </c>
      <c r="B196" s="79" t="s">
        <v>848</v>
      </c>
      <c r="C196" s="79" t="s">
        <v>869</v>
      </c>
      <c r="D196" s="79" t="s">
        <v>563</v>
      </c>
      <c r="E196" s="79"/>
      <c r="F196" s="79" t="s">
        <v>1394</v>
      </c>
      <c r="G196" s="79" t="s">
        <v>569</v>
      </c>
      <c r="H196" s="79" t="s">
        <v>1338</v>
      </c>
      <c r="I196" s="79" t="s">
        <v>1340</v>
      </c>
      <c r="J196" s="79"/>
      <c r="K196" s="79" t="s">
        <v>1370</v>
      </c>
      <c r="L196" s="79"/>
    </row>
    <row r="197" spans="1:14" s="80" customFormat="1" ht="12.75">
      <c r="A197" s="79" t="s">
        <v>567</v>
      </c>
      <c r="B197" s="79" t="s">
        <v>848</v>
      </c>
      <c r="C197" s="79" t="s">
        <v>871</v>
      </c>
      <c r="D197" s="79" t="s">
        <v>563</v>
      </c>
      <c r="E197" s="79"/>
      <c r="F197" s="79" t="s">
        <v>1394</v>
      </c>
      <c r="G197" s="79" t="s">
        <v>569</v>
      </c>
      <c r="H197" s="79" t="s">
        <v>1338</v>
      </c>
      <c r="I197" s="79" t="s">
        <v>1340</v>
      </c>
      <c r="J197" s="79"/>
      <c r="K197" s="79" t="s">
        <v>1370</v>
      </c>
      <c r="L197" s="79"/>
    </row>
    <row r="198" spans="1:14" s="80" customFormat="1" ht="12.75">
      <c r="A198" s="79" t="s">
        <v>567</v>
      </c>
      <c r="B198" s="79" t="s">
        <v>848</v>
      </c>
      <c r="C198" s="79" t="s">
        <v>872</v>
      </c>
      <c r="D198" s="79" t="s">
        <v>563</v>
      </c>
      <c r="E198" s="79"/>
      <c r="F198" s="79" t="s">
        <v>1394</v>
      </c>
      <c r="G198" s="79" t="s">
        <v>569</v>
      </c>
      <c r="H198" s="79" t="s">
        <v>1338</v>
      </c>
      <c r="I198" s="79" t="s">
        <v>1340</v>
      </c>
      <c r="J198" s="79"/>
      <c r="K198" s="79" t="s">
        <v>1370</v>
      </c>
      <c r="L198" s="79"/>
      <c r="N198" s="80" t="s">
        <v>1415</v>
      </c>
    </row>
    <row r="199" spans="1:14" s="80" customFormat="1" ht="12.75">
      <c r="A199" s="79" t="s">
        <v>567</v>
      </c>
      <c r="B199" s="79" t="s">
        <v>848</v>
      </c>
      <c r="C199" s="79" t="s">
        <v>1257</v>
      </c>
      <c r="D199" s="79" t="s">
        <v>563</v>
      </c>
      <c r="E199" s="79"/>
      <c r="F199" s="79" t="s">
        <v>1394</v>
      </c>
      <c r="G199" s="79" t="s">
        <v>569</v>
      </c>
      <c r="H199" s="79" t="s">
        <v>1338</v>
      </c>
      <c r="I199" s="79" t="s">
        <v>1340</v>
      </c>
      <c r="J199" s="79"/>
      <c r="K199" s="79" t="s">
        <v>1370</v>
      </c>
      <c r="L199" s="79"/>
    </row>
    <row r="200" spans="1:14" s="80" customFormat="1" ht="12.75">
      <c r="A200" s="79" t="s">
        <v>567</v>
      </c>
      <c r="B200" s="79" t="s">
        <v>848</v>
      </c>
      <c r="C200" s="79" t="s">
        <v>851</v>
      </c>
      <c r="D200" s="79" t="s">
        <v>524</v>
      </c>
      <c r="E200" s="79"/>
      <c r="F200" s="79" t="s">
        <v>1394</v>
      </c>
      <c r="G200" s="79" t="s">
        <v>569</v>
      </c>
      <c r="H200" s="79" t="s">
        <v>524</v>
      </c>
      <c r="I200" s="79"/>
      <c r="J200" s="79"/>
      <c r="K200" s="79" t="s">
        <v>1370</v>
      </c>
      <c r="L200" s="79"/>
    </row>
    <row r="201" spans="1:14" s="79" customFormat="1" ht="12.75">
      <c r="A201" s="79" t="s">
        <v>567</v>
      </c>
      <c r="B201" s="79" t="s">
        <v>848</v>
      </c>
      <c r="C201" s="79" t="s">
        <v>1095</v>
      </c>
      <c r="D201" s="79" t="s">
        <v>563</v>
      </c>
      <c r="F201" s="79" t="s">
        <v>1394</v>
      </c>
      <c r="G201" s="79" t="s">
        <v>569</v>
      </c>
      <c r="H201" s="79" t="s">
        <v>1338</v>
      </c>
      <c r="I201" s="79" t="s">
        <v>1340</v>
      </c>
      <c r="K201" s="79" t="s">
        <v>1370</v>
      </c>
      <c r="M201" s="80"/>
      <c r="N201" s="80"/>
    </row>
    <row r="202" spans="1:14" s="79" customFormat="1" ht="12.75">
      <c r="A202" s="79" t="s">
        <v>567</v>
      </c>
      <c r="B202" s="79" t="s">
        <v>848</v>
      </c>
      <c r="C202" s="79" t="s">
        <v>860</v>
      </c>
      <c r="D202" s="79" t="s">
        <v>524</v>
      </c>
      <c r="F202" s="79" t="s">
        <v>1394</v>
      </c>
      <c r="G202" s="79" t="s">
        <v>569</v>
      </c>
      <c r="H202" s="79" t="s">
        <v>524</v>
      </c>
      <c r="K202" s="79" t="s">
        <v>1370</v>
      </c>
      <c r="M202" s="80"/>
      <c r="N202" s="80"/>
    </row>
    <row r="203" spans="1:14" s="79" customFormat="1" ht="12.75">
      <c r="A203" s="79" t="s">
        <v>567</v>
      </c>
      <c r="B203" s="79" t="s">
        <v>848</v>
      </c>
      <c r="C203" s="79" t="s">
        <v>863</v>
      </c>
      <c r="D203" s="79" t="s">
        <v>524</v>
      </c>
      <c r="F203" s="79" t="s">
        <v>1394</v>
      </c>
      <c r="G203" s="79" t="s">
        <v>569</v>
      </c>
      <c r="H203" s="79" t="s">
        <v>524</v>
      </c>
      <c r="K203" s="79" t="s">
        <v>1370</v>
      </c>
      <c r="M203" s="80"/>
      <c r="N203" s="80"/>
    </row>
    <row r="204" spans="1:14" s="79" customFormat="1" ht="12.75">
      <c r="A204" s="79" t="s">
        <v>567</v>
      </c>
      <c r="B204" s="79" t="s">
        <v>848</v>
      </c>
      <c r="C204" s="79" t="s">
        <v>861</v>
      </c>
      <c r="D204" s="79" t="s">
        <v>524</v>
      </c>
      <c r="F204" s="79" t="s">
        <v>1394</v>
      </c>
      <c r="G204" s="79" t="s">
        <v>569</v>
      </c>
      <c r="H204" s="79" t="s">
        <v>524</v>
      </c>
      <c r="K204" s="79" t="s">
        <v>1370</v>
      </c>
      <c r="M204" s="80"/>
      <c r="N204" s="80"/>
    </row>
    <row r="205" spans="1:14" s="79" customFormat="1" ht="12.75">
      <c r="A205" s="79" t="s">
        <v>567</v>
      </c>
      <c r="B205" s="79" t="s">
        <v>848</v>
      </c>
      <c r="C205" s="79" t="s">
        <v>862</v>
      </c>
      <c r="D205" s="79" t="s">
        <v>524</v>
      </c>
      <c r="F205" s="79" t="s">
        <v>1394</v>
      </c>
      <c r="G205" s="79" t="s">
        <v>569</v>
      </c>
      <c r="H205" s="79" t="s">
        <v>524</v>
      </c>
      <c r="K205" s="79" t="s">
        <v>1370</v>
      </c>
      <c r="M205" s="80"/>
      <c r="N205" s="80"/>
    </row>
    <row r="206" spans="1:14" s="79" customFormat="1" ht="12.75">
      <c r="A206" s="79" t="s">
        <v>567</v>
      </c>
      <c r="B206" s="79" t="s">
        <v>848</v>
      </c>
      <c r="C206" s="79" t="s">
        <v>864</v>
      </c>
      <c r="D206" s="79" t="s">
        <v>524</v>
      </c>
      <c r="F206" s="79" t="s">
        <v>1394</v>
      </c>
      <c r="G206" s="79" t="s">
        <v>569</v>
      </c>
      <c r="H206" s="79" t="s">
        <v>524</v>
      </c>
      <c r="K206" s="79" t="s">
        <v>1370</v>
      </c>
      <c r="M206" s="80"/>
      <c r="N206" s="80"/>
    </row>
    <row r="207" spans="1:14" s="79" customFormat="1" ht="12.75">
      <c r="A207" s="79" t="s">
        <v>567</v>
      </c>
      <c r="B207" s="79" t="s">
        <v>686</v>
      </c>
      <c r="C207" s="79" t="s">
        <v>689</v>
      </c>
      <c r="D207" s="79" t="s">
        <v>563</v>
      </c>
      <c r="F207" s="79" t="s">
        <v>1394</v>
      </c>
      <c r="G207" s="79" t="s">
        <v>635</v>
      </c>
      <c r="H207" s="79" t="s">
        <v>1338</v>
      </c>
      <c r="I207" s="79" t="s">
        <v>1340</v>
      </c>
      <c r="K207" s="79" t="s">
        <v>1370</v>
      </c>
      <c r="M207" s="80"/>
      <c r="N207" s="80"/>
    </row>
    <row r="208" spans="1:14" s="79" customFormat="1" ht="12.75">
      <c r="A208" s="79" t="s">
        <v>567</v>
      </c>
      <c r="B208" s="79" t="s">
        <v>686</v>
      </c>
      <c r="C208" s="79" t="s">
        <v>570</v>
      </c>
      <c r="D208" s="79" t="s">
        <v>563</v>
      </c>
      <c r="F208" s="79" t="s">
        <v>1394</v>
      </c>
      <c r="G208" s="79" t="s">
        <v>635</v>
      </c>
      <c r="H208" s="79" t="s">
        <v>1338</v>
      </c>
      <c r="I208" s="79" t="s">
        <v>1340</v>
      </c>
      <c r="K208" s="79" t="s">
        <v>1370</v>
      </c>
      <c r="M208" s="80"/>
      <c r="N208" s="80" t="s">
        <v>1404</v>
      </c>
    </row>
    <row r="209" spans="1:14" s="79" customFormat="1" ht="12.75">
      <c r="A209" s="79" t="s">
        <v>567</v>
      </c>
      <c r="B209" s="79" t="s">
        <v>686</v>
      </c>
      <c r="C209" s="79" t="s">
        <v>694</v>
      </c>
      <c r="D209" s="79" t="s">
        <v>563</v>
      </c>
      <c r="F209" s="79" t="s">
        <v>1394</v>
      </c>
      <c r="G209" s="79" t="s">
        <v>635</v>
      </c>
      <c r="H209" s="79" t="s">
        <v>1338</v>
      </c>
      <c r="I209" s="79" t="s">
        <v>1340</v>
      </c>
      <c r="K209" s="79" t="s">
        <v>1370</v>
      </c>
      <c r="M209" s="80"/>
      <c r="N209" s="80"/>
    </row>
    <row r="210" spans="1:14" s="79" customFormat="1" ht="12.75">
      <c r="A210" s="79" t="s">
        <v>567</v>
      </c>
      <c r="B210" s="79" t="s">
        <v>686</v>
      </c>
      <c r="C210" s="79" t="s">
        <v>85</v>
      </c>
      <c r="D210" s="79" t="s">
        <v>563</v>
      </c>
      <c r="F210" s="79" t="s">
        <v>1394</v>
      </c>
      <c r="G210" s="79" t="s">
        <v>635</v>
      </c>
      <c r="H210" s="79" t="s">
        <v>1338</v>
      </c>
      <c r="I210" s="79" t="s">
        <v>1340</v>
      </c>
      <c r="K210" s="79" t="s">
        <v>1370</v>
      </c>
      <c r="M210" s="80"/>
      <c r="N210" s="80"/>
    </row>
    <row r="211" spans="1:14" s="79" customFormat="1" ht="12.75">
      <c r="A211" s="79" t="s">
        <v>567</v>
      </c>
      <c r="B211" s="79" t="s">
        <v>686</v>
      </c>
      <c r="C211" s="79" t="s">
        <v>571</v>
      </c>
      <c r="D211" s="79" t="s">
        <v>563</v>
      </c>
      <c r="F211" s="79" t="s">
        <v>1394</v>
      </c>
      <c r="G211" s="79" t="s">
        <v>635</v>
      </c>
      <c r="H211" s="79" t="s">
        <v>1338</v>
      </c>
      <c r="I211" s="79" t="s">
        <v>1340</v>
      </c>
      <c r="K211" s="79" t="s">
        <v>1370</v>
      </c>
      <c r="M211" s="80"/>
      <c r="N211" s="80"/>
    </row>
    <row r="212" spans="1:14" s="79" customFormat="1" ht="12.75">
      <c r="A212" s="79" t="s">
        <v>567</v>
      </c>
      <c r="B212" s="79" t="s">
        <v>686</v>
      </c>
      <c r="C212" s="79" t="s">
        <v>690</v>
      </c>
      <c r="D212" s="79" t="s">
        <v>563</v>
      </c>
      <c r="F212" s="79" t="s">
        <v>1394</v>
      </c>
      <c r="G212" s="79" t="s">
        <v>635</v>
      </c>
      <c r="H212" s="79" t="s">
        <v>1338</v>
      </c>
      <c r="I212" s="79" t="s">
        <v>1340</v>
      </c>
      <c r="K212" s="79" t="s">
        <v>1370</v>
      </c>
      <c r="M212" s="80"/>
      <c r="N212" s="80"/>
    </row>
    <row r="213" spans="1:14" s="79" customFormat="1" ht="12.75">
      <c r="A213" s="79" t="s">
        <v>567</v>
      </c>
      <c r="B213" s="79" t="s">
        <v>686</v>
      </c>
      <c r="C213" s="79" t="s">
        <v>688</v>
      </c>
      <c r="D213" s="79" t="s">
        <v>563</v>
      </c>
      <c r="F213" s="79" t="s">
        <v>1394</v>
      </c>
      <c r="G213" s="79" t="s">
        <v>635</v>
      </c>
      <c r="H213" s="79" t="s">
        <v>1338</v>
      </c>
      <c r="I213" s="79" t="s">
        <v>1340</v>
      </c>
      <c r="K213" s="79" t="s">
        <v>1370</v>
      </c>
      <c r="M213" s="80"/>
      <c r="N213" s="80" t="s">
        <v>1407</v>
      </c>
    </row>
    <row r="214" spans="1:14" s="79" customFormat="1" ht="12.75">
      <c r="A214" s="79" t="s">
        <v>567</v>
      </c>
      <c r="B214" s="79" t="s">
        <v>916</v>
      </c>
      <c r="C214" s="79" t="s">
        <v>568</v>
      </c>
      <c r="D214" s="79" t="s">
        <v>1293</v>
      </c>
      <c r="F214" s="79" t="s">
        <v>1394</v>
      </c>
      <c r="G214" s="79" t="s">
        <v>635</v>
      </c>
      <c r="H214" s="79" t="s">
        <v>1338</v>
      </c>
      <c r="I214" s="79" t="s">
        <v>1340</v>
      </c>
      <c r="K214" s="79" t="s">
        <v>1370</v>
      </c>
      <c r="M214" s="80"/>
      <c r="N214" s="80"/>
    </row>
    <row r="215" spans="1:14" s="79" customFormat="1" ht="12.75">
      <c r="A215" s="79" t="s">
        <v>567</v>
      </c>
      <c r="B215" s="79" t="s">
        <v>916</v>
      </c>
      <c r="C215" s="79" t="s">
        <v>570</v>
      </c>
      <c r="D215" s="79" t="s">
        <v>1293</v>
      </c>
      <c r="F215" s="79" t="s">
        <v>1394</v>
      </c>
      <c r="G215" s="79" t="s">
        <v>635</v>
      </c>
      <c r="H215" s="79" t="s">
        <v>1338</v>
      </c>
      <c r="I215" s="79" t="s">
        <v>1340</v>
      </c>
      <c r="K215" s="79" t="s">
        <v>1370</v>
      </c>
      <c r="M215" s="80"/>
      <c r="N215" s="80"/>
    </row>
    <row r="216" spans="1:14" s="79" customFormat="1" ht="12.75">
      <c r="A216" s="79" t="s">
        <v>567</v>
      </c>
      <c r="B216" s="79" t="s">
        <v>916</v>
      </c>
      <c r="C216" s="79" t="s">
        <v>571</v>
      </c>
      <c r="D216" s="79" t="s">
        <v>1293</v>
      </c>
      <c r="F216" s="79" t="s">
        <v>1394</v>
      </c>
      <c r="G216" s="79" t="s">
        <v>635</v>
      </c>
      <c r="H216" s="79" t="s">
        <v>1338</v>
      </c>
      <c r="I216" s="79" t="s">
        <v>1340</v>
      </c>
      <c r="K216" s="79" t="s">
        <v>1370</v>
      </c>
      <c r="M216" s="80"/>
      <c r="N216" s="80"/>
    </row>
    <row r="217" spans="1:14" s="79" customFormat="1" ht="12.75">
      <c r="A217" s="79" t="s">
        <v>567</v>
      </c>
      <c r="B217" s="79" t="s">
        <v>916</v>
      </c>
      <c r="C217" s="79" t="s">
        <v>690</v>
      </c>
      <c r="D217" s="79" t="s">
        <v>1293</v>
      </c>
      <c r="F217" s="79" t="s">
        <v>1394</v>
      </c>
      <c r="G217" s="79" t="s">
        <v>635</v>
      </c>
      <c r="H217" s="79" t="s">
        <v>1338</v>
      </c>
      <c r="I217" s="79" t="s">
        <v>1340</v>
      </c>
      <c r="K217" s="79" t="s">
        <v>1370</v>
      </c>
      <c r="M217" s="80"/>
      <c r="N217" s="80"/>
    </row>
    <row r="218" spans="1:14" s="79" customFormat="1" ht="12.75">
      <c r="A218" s="79" t="s">
        <v>567</v>
      </c>
      <c r="B218" s="79" t="s">
        <v>283</v>
      </c>
      <c r="C218" s="79" t="s">
        <v>619</v>
      </c>
      <c r="D218" s="79" t="s">
        <v>524</v>
      </c>
      <c r="F218" s="79" t="s">
        <v>1394</v>
      </c>
      <c r="G218" s="79" t="s">
        <v>564</v>
      </c>
      <c r="H218" s="79" t="s">
        <v>524</v>
      </c>
      <c r="K218" s="79" t="s">
        <v>1370</v>
      </c>
      <c r="M218" s="80"/>
      <c r="N218" s="80"/>
    </row>
    <row r="219" spans="1:14" s="79" customFormat="1" ht="12.75">
      <c r="A219" s="79" t="s">
        <v>567</v>
      </c>
      <c r="B219" s="79" t="s">
        <v>283</v>
      </c>
      <c r="C219" s="79" t="s">
        <v>620</v>
      </c>
      <c r="D219" s="79" t="s">
        <v>524</v>
      </c>
      <c r="F219" s="79" t="s">
        <v>1394</v>
      </c>
      <c r="G219" s="79" t="s">
        <v>564</v>
      </c>
      <c r="H219" s="79" t="s">
        <v>524</v>
      </c>
      <c r="K219" s="79" t="s">
        <v>1370</v>
      </c>
      <c r="M219" s="80"/>
      <c r="N219" s="80"/>
    </row>
    <row r="220" spans="1:14" s="79" customFormat="1" ht="12.75">
      <c r="A220" s="79" t="s">
        <v>567</v>
      </c>
      <c r="B220" s="79" t="s">
        <v>283</v>
      </c>
      <c r="C220" s="79" t="s">
        <v>638</v>
      </c>
      <c r="D220" s="79" t="s">
        <v>524</v>
      </c>
      <c r="F220" s="79" t="s">
        <v>1394</v>
      </c>
      <c r="G220" s="79" t="s">
        <v>564</v>
      </c>
      <c r="H220" s="79" t="s">
        <v>524</v>
      </c>
      <c r="K220" s="79" t="s">
        <v>1370</v>
      </c>
      <c r="M220" s="80"/>
      <c r="N220" s="80"/>
    </row>
    <row r="221" spans="1:14" s="79" customFormat="1" ht="12.75">
      <c r="A221" s="79" t="s">
        <v>567</v>
      </c>
      <c r="B221" s="79" t="s">
        <v>283</v>
      </c>
      <c r="C221" s="79" t="s">
        <v>647</v>
      </c>
      <c r="D221" s="79" t="s">
        <v>524</v>
      </c>
      <c r="F221" s="79" t="s">
        <v>1394</v>
      </c>
      <c r="G221" s="79" t="s">
        <v>564</v>
      </c>
      <c r="H221" s="79" t="s">
        <v>524</v>
      </c>
      <c r="K221" s="79" t="s">
        <v>1370</v>
      </c>
      <c r="M221" s="80"/>
      <c r="N221" s="80"/>
    </row>
    <row r="222" spans="1:14" s="79" customFormat="1" ht="12.75">
      <c r="A222" s="79" t="s">
        <v>567</v>
      </c>
      <c r="B222" s="79" t="s">
        <v>283</v>
      </c>
      <c r="C222" s="79" t="s">
        <v>641</v>
      </c>
      <c r="D222" s="79" t="s">
        <v>524</v>
      </c>
      <c r="F222" s="79" t="s">
        <v>1394</v>
      </c>
      <c r="G222" s="79" t="s">
        <v>564</v>
      </c>
      <c r="H222" s="79" t="s">
        <v>524</v>
      </c>
      <c r="K222" s="79" t="s">
        <v>1370</v>
      </c>
      <c r="M222" s="80"/>
      <c r="N222" s="80"/>
    </row>
    <row r="223" spans="1:14" s="79" customFormat="1" ht="12.75">
      <c r="A223" s="79" t="s">
        <v>567</v>
      </c>
      <c r="B223" s="79" t="s">
        <v>283</v>
      </c>
      <c r="C223" s="79" t="s">
        <v>637</v>
      </c>
      <c r="D223" s="79" t="s">
        <v>524</v>
      </c>
      <c r="F223" s="79" t="s">
        <v>1394</v>
      </c>
      <c r="G223" s="79" t="s">
        <v>564</v>
      </c>
      <c r="H223" s="79" t="s">
        <v>524</v>
      </c>
      <c r="K223" s="79" t="s">
        <v>1370</v>
      </c>
      <c r="M223" s="80"/>
      <c r="N223" s="80"/>
    </row>
    <row r="224" spans="1:14" s="79" customFormat="1" ht="12.75">
      <c r="A224" s="79" t="s">
        <v>567</v>
      </c>
      <c r="B224" s="79" t="s">
        <v>283</v>
      </c>
      <c r="C224" s="79" t="s">
        <v>646</v>
      </c>
      <c r="D224" s="79" t="s">
        <v>524</v>
      </c>
      <c r="F224" s="79" t="s">
        <v>1394</v>
      </c>
      <c r="G224" s="79" t="s">
        <v>564</v>
      </c>
      <c r="H224" s="79" t="s">
        <v>524</v>
      </c>
      <c r="K224" s="79" t="s">
        <v>1370</v>
      </c>
      <c r="M224" s="80"/>
      <c r="N224" s="80"/>
    </row>
    <row r="225" spans="1:14" s="79" customFormat="1" ht="12.75">
      <c r="A225" s="79" t="s">
        <v>567</v>
      </c>
      <c r="B225" s="79" t="s">
        <v>283</v>
      </c>
      <c r="C225" s="79" t="s">
        <v>640</v>
      </c>
      <c r="D225" s="79" t="s">
        <v>524</v>
      </c>
      <c r="F225" s="79" t="s">
        <v>1394</v>
      </c>
      <c r="G225" s="79" t="s">
        <v>564</v>
      </c>
      <c r="H225" s="79" t="s">
        <v>524</v>
      </c>
      <c r="K225" s="79" t="s">
        <v>1370</v>
      </c>
      <c r="M225" s="80"/>
      <c r="N225" s="80"/>
    </row>
    <row r="226" spans="1:14" s="79" customFormat="1" ht="12.75">
      <c r="A226" s="79" t="s">
        <v>567</v>
      </c>
      <c r="B226" s="79" t="s">
        <v>283</v>
      </c>
      <c r="C226" s="79" t="s">
        <v>639</v>
      </c>
      <c r="D226" s="79" t="s">
        <v>524</v>
      </c>
      <c r="F226" s="79" t="s">
        <v>1394</v>
      </c>
      <c r="G226" s="79" t="s">
        <v>564</v>
      </c>
      <c r="H226" s="79" t="s">
        <v>524</v>
      </c>
      <c r="K226" s="79" t="s">
        <v>1370</v>
      </c>
      <c r="M226" s="80"/>
      <c r="N226" s="80"/>
    </row>
    <row r="227" spans="1:14" s="79" customFormat="1" ht="12.75">
      <c r="A227" s="79" t="s">
        <v>567</v>
      </c>
      <c r="B227" s="79" t="s">
        <v>283</v>
      </c>
      <c r="C227" s="79" t="s">
        <v>648</v>
      </c>
      <c r="D227" s="79" t="s">
        <v>524</v>
      </c>
      <c r="F227" s="79" t="s">
        <v>1394</v>
      </c>
      <c r="G227" s="79" t="s">
        <v>564</v>
      </c>
      <c r="H227" s="79" t="s">
        <v>524</v>
      </c>
      <c r="K227" s="79" t="s">
        <v>1370</v>
      </c>
      <c r="M227" s="80"/>
      <c r="N227" s="80"/>
    </row>
    <row r="228" spans="1:14" s="79" customFormat="1" ht="12.75">
      <c r="A228" s="79" t="s">
        <v>567</v>
      </c>
      <c r="B228" s="79" t="s">
        <v>283</v>
      </c>
      <c r="C228" s="79" t="s">
        <v>642</v>
      </c>
      <c r="D228" s="79" t="s">
        <v>524</v>
      </c>
      <c r="F228" s="79" t="s">
        <v>1394</v>
      </c>
      <c r="G228" s="79" t="s">
        <v>564</v>
      </c>
      <c r="H228" s="79" t="s">
        <v>524</v>
      </c>
      <c r="K228" s="79" t="s">
        <v>1370</v>
      </c>
      <c r="M228" s="80"/>
      <c r="N228" s="80"/>
    </row>
    <row r="229" spans="1:14" s="79" customFormat="1" ht="12.75">
      <c r="A229" s="79" t="s">
        <v>567</v>
      </c>
      <c r="B229" s="79" t="s">
        <v>283</v>
      </c>
      <c r="C229" s="79" t="s">
        <v>636</v>
      </c>
      <c r="D229" s="79" t="s">
        <v>524</v>
      </c>
      <c r="F229" s="79" t="s">
        <v>1394</v>
      </c>
      <c r="G229" s="79" t="s">
        <v>635</v>
      </c>
      <c r="H229" s="79" t="s">
        <v>524</v>
      </c>
      <c r="K229" s="79" t="s">
        <v>1370</v>
      </c>
      <c r="M229" s="80"/>
      <c r="N229" s="80"/>
    </row>
    <row r="230" spans="1:14" s="79" customFormat="1" ht="12.75">
      <c r="A230" s="79" t="s">
        <v>567</v>
      </c>
      <c r="B230" s="79" t="s">
        <v>283</v>
      </c>
      <c r="C230" s="79" t="s">
        <v>634</v>
      </c>
      <c r="D230" s="79" t="s">
        <v>524</v>
      </c>
      <c r="F230" s="79" t="s">
        <v>1394</v>
      </c>
      <c r="G230" s="79" t="s">
        <v>635</v>
      </c>
      <c r="H230" s="79" t="s">
        <v>524</v>
      </c>
      <c r="K230" s="79" t="s">
        <v>1370</v>
      </c>
      <c r="M230" s="80"/>
      <c r="N230" s="80"/>
    </row>
    <row r="231" spans="1:14" s="79" customFormat="1" ht="12.75">
      <c r="A231" s="79" t="s">
        <v>567</v>
      </c>
      <c r="B231" s="79" t="s">
        <v>283</v>
      </c>
      <c r="C231" s="79" t="s">
        <v>621</v>
      </c>
      <c r="D231" s="79" t="s">
        <v>524</v>
      </c>
      <c r="F231" s="79" t="s">
        <v>1394</v>
      </c>
      <c r="G231" s="79" t="s">
        <v>564</v>
      </c>
      <c r="H231" s="79" t="s">
        <v>524</v>
      </c>
      <c r="K231" s="79" t="s">
        <v>1370</v>
      </c>
      <c r="M231" s="80"/>
      <c r="N231" s="80"/>
    </row>
    <row r="232" spans="1:14" s="79" customFormat="1" ht="12.75">
      <c r="A232" s="79" t="s">
        <v>567</v>
      </c>
      <c r="B232" s="79" t="s">
        <v>283</v>
      </c>
      <c r="C232" s="79" t="s">
        <v>623</v>
      </c>
      <c r="D232" s="79" t="s">
        <v>524</v>
      </c>
      <c r="F232" s="79" t="s">
        <v>1394</v>
      </c>
      <c r="G232" s="79" t="s">
        <v>564</v>
      </c>
      <c r="H232" s="79" t="s">
        <v>524</v>
      </c>
      <c r="K232" s="79" t="s">
        <v>1370</v>
      </c>
      <c r="M232" s="80"/>
      <c r="N232" s="80"/>
    </row>
    <row r="233" spans="1:14" s="79" customFormat="1" ht="12.75">
      <c r="A233" s="79" t="s">
        <v>567</v>
      </c>
      <c r="B233" s="79" t="s">
        <v>283</v>
      </c>
      <c r="C233" s="79" t="s">
        <v>624</v>
      </c>
      <c r="D233" s="79" t="s">
        <v>524</v>
      </c>
      <c r="F233" s="79" t="s">
        <v>1394</v>
      </c>
      <c r="G233" s="79" t="s">
        <v>564</v>
      </c>
      <c r="H233" s="79" t="s">
        <v>524</v>
      </c>
      <c r="K233" s="79" t="s">
        <v>1370</v>
      </c>
      <c r="M233" s="80"/>
      <c r="N233" s="80"/>
    </row>
    <row r="234" spans="1:14" s="79" customFormat="1" ht="12.75">
      <c r="A234" s="79" t="s">
        <v>567</v>
      </c>
      <c r="B234" s="79" t="s">
        <v>283</v>
      </c>
      <c r="C234" s="79" t="s">
        <v>622</v>
      </c>
      <c r="D234" s="79" t="s">
        <v>524</v>
      </c>
      <c r="F234" s="79" t="s">
        <v>1394</v>
      </c>
      <c r="G234" s="79" t="s">
        <v>564</v>
      </c>
      <c r="H234" s="79" t="s">
        <v>524</v>
      </c>
      <c r="K234" s="79" t="s">
        <v>1370</v>
      </c>
      <c r="M234" s="80"/>
      <c r="N234" s="80"/>
    </row>
    <row r="235" spans="1:14" s="79" customFormat="1" ht="12.75">
      <c r="A235" s="79" t="s">
        <v>567</v>
      </c>
      <c r="B235" s="79" t="s">
        <v>283</v>
      </c>
      <c r="C235" s="79" t="s">
        <v>625</v>
      </c>
      <c r="D235" s="79" t="s">
        <v>524</v>
      </c>
      <c r="F235" s="79" t="s">
        <v>1394</v>
      </c>
      <c r="G235" s="79" t="s">
        <v>564</v>
      </c>
      <c r="H235" s="79" t="s">
        <v>524</v>
      </c>
      <c r="K235" s="79" t="s">
        <v>1370</v>
      </c>
      <c r="M235" s="80"/>
      <c r="N235" s="80"/>
    </row>
    <row r="236" spans="1:14" s="79" customFormat="1" ht="12.75">
      <c r="A236" s="79" t="s">
        <v>567</v>
      </c>
      <c r="B236" s="79" t="s">
        <v>283</v>
      </c>
      <c r="C236" s="79" t="s">
        <v>607</v>
      </c>
      <c r="D236" s="79" t="s">
        <v>524</v>
      </c>
      <c r="F236" s="79" t="s">
        <v>1394</v>
      </c>
      <c r="G236" s="79" t="s">
        <v>564</v>
      </c>
      <c r="H236" s="79" t="s">
        <v>524</v>
      </c>
      <c r="K236" s="79" t="s">
        <v>1370</v>
      </c>
      <c r="M236" s="80"/>
      <c r="N236" s="80"/>
    </row>
    <row r="237" spans="1:14" s="79" customFormat="1" ht="12.75">
      <c r="A237" s="79" t="s">
        <v>567</v>
      </c>
      <c r="B237" s="79" t="s">
        <v>283</v>
      </c>
      <c r="C237" s="79" t="s">
        <v>609</v>
      </c>
      <c r="D237" s="79" t="s">
        <v>524</v>
      </c>
      <c r="F237" s="79" t="s">
        <v>1394</v>
      </c>
      <c r="G237" s="79" t="s">
        <v>564</v>
      </c>
      <c r="H237" s="79" t="s">
        <v>524</v>
      </c>
      <c r="K237" s="79" t="s">
        <v>1370</v>
      </c>
      <c r="M237" s="80"/>
      <c r="N237" s="80"/>
    </row>
    <row r="238" spans="1:14" s="79" customFormat="1" ht="12.75">
      <c r="A238" s="79" t="s">
        <v>567</v>
      </c>
      <c r="B238" s="79" t="s">
        <v>283</v>
      </c>
      <c r="C238" s="79" t="s">
        <v>608</v>
      </c>
      <c r="D238" s="79" t="s">
        <v>524</v>
      </c>
      <c r="F238" s="79" t="s">
        <v>1394</v>
      </c>
      <c r="G238" s="79" t="s">
        <v>564</v>
      </c>
      <c r="H238" s="79" t="s">
        <v>524</v>
      </c>
      <c r="K238" s="79" t="s">
        <v>1370</v>
      </c>
      <c r="M238" s="80"/>
      <c r="N238" s="80"/>
    </row>
    <row r="239" spans="1:14" s="79" customFormat="1" ht="12.75">
      <c r="A239" s="79" t="s">
        <v>567</v>
      </c>
      <c r="B239" s="79" t="s">
        <v>283</v>
      </c>
      <c r="C239" s="79" t="s">
        <v>1259</v>
      </c>
      <c r="D239" s="79" t="s">
        <v>1254</v>
      </c>
      <c r="F239" s="79" t="s">
        <v>1394</v>
      </c>
      <c r="G239" s="79" t="s">
        <v>564</v>
      </c>
      <c r="H239" s="79" t="s">
        <v>524</v>
      </c>
      <c r="K239" s="79" t="s">
        <v>1370</v>
      </c>
      <c r="M239" s="80"/>
      <c r="N239" s="80"/>
    </row>
    <row r="240" spans="1:14" s="79" customFormat="1" ht="12.75">
      <c r="A240" s="79" t="s">
        <v>567</v>
      </c>
      <c r="B240" s="79" t="s">
        <v>283</v>
      </c>
      <c r="C240" s="79" t="s">
        <v>616</v>
      </c>
      <c r="D240" s="79" t="s">
        <v>1254</v>
      </c>
      <c r="F240" s="79" t="s">
        <v>1394</v>
      </c>
      <c r="G240" s="79" t="s">
        <v>569</v>
      </c>
      <c r="H240" s="79" t="s">
        <v>524</v>
      </c>
      <c r="K240" s="79" t="s">
        <v>1370</v>
      </c>
      <c r="M240" s="80"/>
      <c r="N240" s="80"/>
    </row>
    <row r="241" spans="1:14" s="79" customFormat="1" ht="12.75">
      <c r="A241" s="79" t="s">
        <v>567</v>
      </c>
      <c r="B241" s="79" t="s">
        <v>892</v>
      </c>
      <c r="C241" s="79" t="s">
        <v>913</v>
      </c>
      <c r="D241" s="79" t="s">
        <v>1293</v>
      </c>
      <c r="F241" s="79" t="s">
        <v>1394</v>
      </c>
      <c r="G241" s="79" t="s">
        <v>635</v>
      </c>
      <c r="H241" s="79" t="s">
        <v>1338</v>
      </c>
      <c r="I241" s="79" t="s">
        <v>1340</v>
      </c>
      <c r="K241" s="79" t="s">
        <v>1370</v>
      </c>
      <c r="M241" s="80"/>
      <c r="N241" s="80"/>
    </row>
    <row r="242" spans="1:14" s="79" customFormat="1" ht="12.75">
      <c r="A242" s="79" t="s">
        <v>567</v>
      </c>
      <c r="B242" s="79" t="s">
        <v>892</v>
      </c>
      <c r="C242" s="79" t="s">
        <v>912</v>
      </c>
      <c r="D242" s="79" t="s">
        <v>1293</v>
      </c>
      <c r="F242" s="79" t="s">
        <v>1394</v>
      </c>
      <c r="G242" s="79" t="s">
        <v>635</v>
      </c>
      <c r="H242" s="79" t="s">
        <v>1338</v>
      </c>
      <c r="I242" s="79" t="s">
        <v>1340</v>
      </c>
      <c r="K242" s="79" t="s">
        <v>1370</v>
      </c>
      <c r="M242" s="80"/>
      <c r="N242" s="80"/>
    </row>
    <row r="243" spans="1:14" s="79" customFormat="1" ht="12.75">
      <c r="A243" s="79" t="s">
        <v>567</v>
      </c>
      <c r="B243" s="79" t="s">
        <v>892</v>
      </c>
      <c r="C243" s="79" t="s">
        <v>911</v>
      </c>
      <c r="D243" s="79" t="s">
        <v>1293</v>
      </c>
      <c r="F243" s="79" t="s">
        <v>1394</v>
      </c>
      <c r="G243" s="79" t="s">
        <v>635</v>
      </c>
      <c r="H243" s="79" t="s">
        <v>1338</v>
      </c>
      <c r="I243" s="79" t="s">
        <v>1340</v>
      </c>
      <c r="K243" s="79" t="s">
        <v>1370</v>
      </c>
      <c r="M243" s="80"/>
      <c r="N243" s="80"/>
    </row>
    <row r="244" spans="1:14" s="79" customFormat="1" ht="12.75">
      <c r="A244" s="79" t="s">
        <v>567</v>
      </c>
      <c r="B244" s="79" t="s">
        <v>892</v>
      </c>
      <c r="C244" s="79" t="s">
        <v>910</v>
      </c>
      <c r="D244" s="79" t="s">
        <v>1293</v>
      </c>
      <c r="F244" s="79" t="s">
        <v>1394</v>
      </c>
      <c r="G244" s="79" t="s">
        <v>635</v>
      </c>
      <c r="H244" s="79" t="s">
        <v>1338</v>
      </c>
      <c r="I244" s="79" t="s">
        <v>1340</v>
      </c>
      <c r="K244" s="79" t="s">
        <v>1370</v>
      </c>
      <c r="M244" s="80"/>
      <c r="N244" s="80"/>
    </row>
    <row r="245" spans="1:14" s="79" customFormat="1" ht="12.75">
      <c r="A245" s="79" t="s">
        <v>567</v>
      </c>
      <c r="B245" s="79" t="s">
        <v>892</v>
      </c>
      <c r="C245" s="79" t="s">
        <v>898</v>
      </c>
      <c r="D245" s="79" t="s">
        <v>1293</v>
      </c>
      <c r="F245" s="79" t="s">
        <v>1394</v>
      </c>
      <c r="G245" s="79" t="s">
        <v>635</v>
      </c>
      <c r="H245" s="79" t="s">
        <v>1338</v>
      </c>
      <c r="I245" s="79" t="s">
        <v>1340</v>
      </c>
      <c r="K245" s="79" t="s">
        <v>1370</v>
      </c>
      <c r="M245" s="80"/>
      <c r="N245" s="80"/>
    </row>
    <row r="246" spans="1:14" s="79" customFormat="1" ht="12.75">
      <c r="A246" s="79" t="s">
        <v>567</v>
      </c>
      <c r="B246" s="79" t="s">
        <v>892</v>
      </c>
      <c r="C246" s="79" t="s">
        <v>897</v>
      </c>
      <c r="D246" s="79" t="s">
        <v>1293</v>
      </c>
      <c r="F246" s="79" t="s">
        <v>1394</v>
      </c>
      <c r="G246" s="79" t="s">
        <v>635</v>
      </c>
      <c r="H246" s="79" t="s">
        <v>1338</v>
      </c>
      <c r="I246" s="79" t="s">
        <v>1340</v>
      </c>
      <c r="K246" s="79" t="s">
        <v>1370</v>
      </c>
      <c r="M246" s="80"/>
      <c r="N246" s="80"/>
    </row>
    <row r="247" spans="1:14" s="80" customFormat="1" ht="12.75">
      <c r="A247" s="79" t="s">
        <v>567</v>
      </c>
      <c r="B247" s="79" t="s">
        <v>892</v>
      </c>
      <c r="C247" s="79" t="s">
        <v>896</v>
      </c>
      <c r="D247" s="79" t="s">
        <v>1293</v>
      </c>
      <c r="E247" s="79"/>
      <c r="F247" s="79" t="s">
        <v>1394</v>
      </c>
      <c r="G247" s="79" t="s">
        <v>635</v>
      </c>
      <c r="H247" s="79" t="s">
        <v>1338</v>
      </c>
      <c r="I247" s="79" t="s">
        <v>1340</v>
      </c>
      <c r="J247" s="79"/>
      <c r="K247" s="79" t="s">
        <v>1370</v>
      </c>
      <c r="L247" s="79"/>
    </row>
    <row r="248" spans="1:14" s="80" customFormat="1" ht="12.75">
      <c r="A248" s="79" t="s">
        <v>567</v>
      </c>
      <c r="B248" s="79" t="s">
        <v>892</v>
      </c>
      <c r="C248" s="79" t="s">
        <v>894</v>
      </c>
      <c r="D248" s="79" t="s">
        <v>1293</v>
      </c>
      <c r="E248" s="79"/>
      <c r="F248" s="79" t="s">
        <v>1394</v>
      </c>
      <c r="G248" s="79" t="s">
        <v>635</v>
      </c>
      <c r="H248" s="79" t="s">
        <v>1338</v>
      </c>
      <c r="I248" s="79" t="s">
        <v>1340</v>
      </c>
      <c r="J248" s="79"/>
      <c r="K248" s="79" t="s">
        <v>1370</v>
      </c>
      <c r="L248" s="79"/>
    </row>
    <row r="249" spans="1:14" s="80" customFormat="1" ht="12.75">
      <c r="A249" s="79" t="s">
        <v>567</v>
      </c>
      <c r="B249" s="79" t="s">
        <v>892</v>
      </c>
      <c r="C249" s="79" t="s">
        <v>914</v>
      </c>
      <c r="D249" s="79" t="s">
        <v>1293</v>
      </c>
      <c r="E249" s="79"/>
      <c r="F249" s="79" t="s">
        <v>1394</v>
      </c>
      <c r="G249" s="79" t="s">
        <v>635</v>
      </c>
      <c r="H249" s="79" t="s">
        <v>1338</v>
      </c>
      <c r="I249" s="79" t="s">
        <v>1340</v>
      </c>
      <c r="J249" s="79"/>
      <c r="K249" s="79" t="s">
        <v>1370</v>
      </c>
      <c r="L249" s="79"/>
    </row>
    <row r="250" spans="1:14" s="80" customFormat="1" ht="12.75">
      <c r="A250" s="79" t="s">
        <v>567</v>
      </c>
      <c r="B250" s="79" t="s">
        <v>892</v>
      </c>
      <c r="C250" s="79" t="s">
        <v>903</v>
      </c>
      <c r="D250" s="79" t="s">
        <v>1293</v>
      </c>
      <c r="E250" s="79"/>
      <c r="F250" s="79" t="s">
        <v>1394</v>
      </c>
      <c r="G250" s="79" t="s">
        <v>635</v>
      </c>
      <c r="H250" s="79" t="s">
        <v>1338</v>
      </c>
      <c r="I250" s="79" t="s">
        <v>1340</v>
      </c>
      <c r="J250" s="79"/>
      <c r="K250" s="79" t="s">
        <v>1370</v>
      </c>
      <c r="L250" s="79"/>
    </row>
    <row r="251" spans="1:14" s="80" customFormat="1" ht="12.75">
      <c r="A251" s="79" t="s">
        <v>567</v>
      </c>
      <c r="B251" s="79" t="s">
        <v>892</v>
      </c>
      <c r="C251" s="79" t="s">
        <v>902</v>
      </c>
      <c r="D251" s="79" t="s">
        <v>1293</v>
      </c>
      <c r="E251" s="79"/>
      <c r="F251" s="79" t="s">
        <v>1394</v>
      </c>
      <c r="G251" s="79" t="s">
        <v>635</v>
      </c>
      <c r="H251" s="79" t="s">
        <v>1338</v>
      </c>
      <c r="I251" s="79" t="s">
        <v>1340</v>
      </c>
      <c r="J251" s="79"/>
      <c r="K251" s="79" t="s">
        <v>1370</v>
      </c>
      <c r="L251" s="79"/>
    </row>
    <row r="252" spans="1:14" s="80" customFormat="1" ht="12.75">
      <c r="A252" s="79" t="s">
        <v>567</v>
      </c>
      <c r="B252" s="79" t="s">
        <v>892</v>
      </c>
      <c r="C252" s="79" t="s">
        <v>900</v>
      </c>
      <c r="D252" s="79" t="s">
        <v>1293</v>
      </c>
      <c r="E252" s="79"/>
      <c r="F252" s="79" t="s">
        <v>1394</v>
      </c>
      <c r="G252" s="79" t="s">
        <v>635</v>
      </c>
      <c r="H252" s="79" t="s">
        <v>1338</v>
      </c>
      <c r="I252" s="79" t="s">
        <v>1340</v>
      </c>
      <c r="J252" s="79"/>
      <c r="K252" s="79" t="s">
        <v>1370</v>
      </c>
      <c r="L252" s="79"/>
    </row>
    <row r="253" spans="1:14" s="80" customFormat="1" ht="12.75">
      <c r="A253" s="79" t="s">
        <v>567</v>
      </c>
      <c r="B253" s="79" t="s">
        <v>892</v>
      </c>
      <c r="C253" s="79" t="s">
        <v>908</v>
      </c>
      <c r="D253" s="79" t="s">
        <v>1293</v>
      </c>
      <c r="E253" s="79"/>
      <c r="F253" s="79" t="s">
        <v>1394</v>
      </c>
      <c r="G253" s="79" t="s">
        <v>635</v>
      </c>
      <c r="H253" s="79" t="s">
        <v>1338</v>
      </c>
      <c r="I253" s="79" t="s">
        <v>1340</v>
      </c>
      <c r="J253" s="79"/>
      <c r="K253" s="79" t="s">
        <v>1370</v>
      </c>
      <c r="L253" s="79"/>
    </row>
    <row r="254" spans="1:14" s="80" customFormat="1" ht="12.75">
      <c r="A254" s="79" t="s">
        <v>567</v>
      </c>
      <c r="B254" s="79" t="s">
        <v>892</v>
      </c>
      <c r="C254" s="79" t="s">
        <v>907</v>
      </c>
      <c r="D254" s="79" t="s">
        <v>1293</v>
      </c>
      <c r="E254" s="79"/>
      <c r="F254" s="79" t="s">
        <v>1394</v>
      </c>
      <c r="G254" s="79" t="s">
        <v>635</v>
      </c>
      <c r="H254" s="79" t="s">
        <v>1338</v>
      </c>
      <c r="I254" s="79" t="s">
        <v>1340</v>
      </c>
      <c r="J254" s="79"/>
      <c r="K254" s="79" t="s">
        <v>1370</v>
      </c>
      <c r="L254" s="79"/>
    </row>
    <row r="255" spans="1:14" s="80" customFormat="1" ht="12.75">
      <c r="A255" s="79" t="s">
        <v>567</v>
      </c>
      <c r="B255" s="79" t="s">
        <v>892</v>
      </c>
      <c r="C255" s="79" t="s">
        <v>905</v>
      </c>
      <c r="D255" s="79" t="s">
        <v>1293</v>
      </c>
      <c r="E255" s="79"/>
      <c r="F255" s="79" t="s">
        <v>1394</v>
      </c>
      <c r="G255" s="79" t="s">
        <v>635</v>
      </c>
      <c r="H255" s="79" t="s">
        <v>1338</v>
      </c>
      <c r="I255" s="79" t="s">
        <v>1340</v>
      </c>
      <c r="J255" s="79"/>
      <c r="K255" s="79" t="s">
        <v>1370</v>
      </c>
      <c r="L255" s="79"/>
    </row>
    <row r="256" spans="1:14" s="80" customFormat="1" ht="12.75">
      <c r="A256" s="79" t="s">
        <v>567</v>
      </c>
      <c r="B256" s="79" t="s">
        <v>94</v>
      </c>
      <c r="C256" s="79" t="s">
        <v>601</v>
      </c>
      <c r="D256" s="79" t="s">
        <v>1254</v>
      </c>
      <c r="E256" s="79"/>
      <c r="F256" s="79" t="s">
        <v>1394</v>
      </c>
      <c r="G256" s="79" t="s">
        <v>569</v>
      </c>
      <c r="H256" s="79" t="s">
        <v>524</v>
      </c>
      <c r="I256" s="79"/>
      <c r="J256" s="79"/>
      <c r="K256" s="79" t="s">
        <v>1370</v>
      </c>
      <c r="L256" s="79"/>
    </row>
    <row r="257" spans="1:14" s="80" customFormat="1" ht="12.75">
      <c r="A257" s="79" t="s">
        <v>567</v>
      </c>
      <c r="B257" s="79" t="s">
        <v>94</v>
      </c>
      <c r="C257" s="79" t="s">
        <v>605</v>
      </c>
      <c r="D257" s="79" t="s">
        <v>1254</v>
      </c>
      <c r="E257" s="79"/>
      <c r="F257" s="79" t="s">
        <v>1394</v>
      </c>
      <c r="G257" s="79" t="s">
        <v>569</v>
      </c>
      <c r="H257" s="79" t="s">
        <v>524</v>
      </c>
      <c r="I257" s="79"/>
      <c r="J257" s="79"/>
      <c r="K257" s="79" t="s">
        <v>1370</v>
      </c>
      <c r="L257" s="79"/>
    </row>
    <row r="258" spans="1:14" s="80" customFormat="1" ht="12.75">
      <c r="A258" s="79" t="s">
        <v>567</v>
      </c>
      <c r="B258" s="79" t="s">
        <v>94</v>
      </c>
      <c r="C258" s="79" t="s">
        <v>1249</v>
      </c>
      <c r="D258" s="79" t="s">
        <v>1254</v>
      </c>
      <c r="E258" s="79"/>
      <c r="F258" s="79" t="s">
        <v>1394</v>
      </c>
      <c r="G258" s="79" t="s">
        <v>564</v>
      </c>
      <c r="H258" s="79" t="s">
        <v>524</v>
      </c>
      <c r="I258" s="79"/>
      <c r="J258" s="79"/>
      <c r="K258" s="79" t="s">
        <v>1370</v>
      </c>
      <c r="L258" s="79"/>
    </row>
    <row r="259" spans="1:14" s="80" customFormat="1" ht="12.75">
      <c r="A259" s="79" t="s">
        <v>567</v>
      </c>
      <c r="B259" s="79" t="s">
        <v>94</v>
      </c>
      <c r="C259" s="79" t="s">
        <v>604</v>
      </c>
      <c r="D259" s="79" t="s">
        <v>1254</v>
      </c>
      <c r="E259" s="79"/>
      <c r="F259" s="79" t="s">
        <v>1394</v>
      </c>
      <c r="G259" s="79" t="s">
        <v>569</v>
      </c>
      <c r="H259" s="79" t="s">
        <v>524</v>
      </c>
      <c r="I259" s="79"/>
      <c r="J259" s="79"/>
      <c r="K259" s="79" t="s">
        <v>1370</v>
      </c>
      <c r="L259" s="79"/>
    </row>
    <row r="260" spans="1:14" s="80" customFormat="1" ht="12.75">
      <c r="A260" s="79" t="s">
        <v>567</v>
      </c>
      <c r="B260" s="79" t="s">
        <v>94</v>
      </c>
      <c r="C260" s="79" t="s">
        <v>603</v>
      </c>
      <c r="D260" s="79" t="s">
        <v>1254</v>
      </c>
      <c r="E260" s="79"/>
      <c r="F260" s="79" t="s">
        <v>1394</v>
      </c>
      <c r="G260" s="79" t="s">
        <v>569</v>
      </c>
      <c r="H260" s="79" t="s">
        <v>524</v>
      </c>
      <c r="I260" s="79"/>
      <c r="J260" s="79"/>
      <c r="K260" s="79" t="s">
        <v>1370</v>
      </c>
      <c r="L260" s="79"/>
    </row>
    <row r="261" spans="1:14" s="80" customFormat="1" ht="12.75">
      <c r="A261" s="79" t="s">
        <v>567</v>
      </c>
      <c r="B261" s="79" t="s">
        <v>94</v>
      </c>
      <c r="C261" s="79" t="s">
        <v>1248</v>
      </c>
      <c r="D261" s="79" t="s">
        <v>1254</v>
      </c>
      <c r="E261" s="79"/>
      <c r="F261" s="79" t="s">
        <v>1394</v>
      </c>
      <c r="G261" s="79" t="s">
        <v>564</v>
      </c>
      <c r="H261" s="79" t="s">
        <v>524</v>
      </c>
      <c r="I261" s="79"/>
      <c r="J261" s="79"/>
      <c r="K261" s="79" t="s">
        <v>1370</v>
      </c>
      <c r="L261" s="79"/>
    </row>
    <row r="262" spans="1:14" s="80" customFormat="1" ht="12.75">
      <c r="A262" s="79" t="s">
        <v>567</v>
      </c>
      <c r="B262" s="79" t="s">
        <v>94</v>
      </c>
      <c r="C262" s="79" t="s">
        <v>602</v>
      </c>
      <c r="D262" s="79" t="s">
        <v>1254</v>
      </c>
      <c r="E262" s="79"/>
      <c r="F262" s="79" t="s">
        <v>1394</v>
      </c>
      <c r="G262" s="79" t="s">
        <v>569</v>
      </c>
      <c r="H262" s="79" t="s">
        <v>524</v>
      </c>
      <c r="I262" s="79"/>
      <c r="J262" s="79"/>
      <c r="K262" s="79" t="s">
        <v>1370</v>
      </c>
      <c r="L262" s="79"/>
    </row>
    <row r="263" spans="1:14" s="80" customFormat="1" ht="12.75">
      <c r="A263" s="79" t="s">
        <v>567</v>
      </c>
      <c r="B263" s="79" t="s">
        <v>94</v>
      </c>
      <c r="C263" s="79" t="s">
        <v>580</v>
      </c>
      <c r="D263" s="79" t="s">
        <v>1254</v>
      </c>
      <c r="E263" s="79"/>
      <c r="F263" s="79" t="s">
        <v>1394</v>
      </c>
      <c r="G263" s="79" t="s">
        <v>564</v>
      </c>
      <c r="H263" s="79" t="s">
        <v>524</v>
      </c>
      <c r="I263" s="79"/>
      <c r="J263" s="79"/>
      <c r="K263" s="79" t="s">
        <v>1370</v>
      </c>
      <c r="L263" s="79"/>
    </row>
    <row r="264" spans="1:14" s="80" customFormat="1" ht="12.75">
      <c r="A264" s="79" t="s">
        <v>567</v>
      </c>
      <c r="B264" s="79" t="s">
        <v>94</v>
      </c>
      <c r="C264" s="79" t="s">
        <v>587</v>
      </c>
      <c r="D264" s="79" t="s">
        <v>1254</v>
      </c>
      <c r="E264" s="79"/>
      <c r="F264" s="79" t="s">
        <v>1394</v>
      </c>
      <c r="G264" s="79" t="s">
        <v>564</v>
      </c>
      <c r="H264" s="79" t="s">
        <v>524</v>
      </c>
      <c r="I264" s="79"/>
      <c r="J264" s="79"/>
      <c r="K264" s="79" t="s">
        <v>1370</v>
      </c>
      <c r="L264" s="79"/>
    </row>
    <row r="265" spans="1:14" s="80" customFormat="1" ht="12.75">
      <c r="A265" s="79" t="s">
        <v>567</v>
      </c>
      <c r="B265" s="79" t="s">
        <v>94</v>
      </c>
      <c r="C265" s="79" t="s">
        <v>581</v>
      </c>
      <c r="D265" s="79" t="s">
        <v>1254</v>
      </c>
      <c r="E265" s="79"/>
      <c r="F265" s="79" t="s">
        <v>1394</v>
      </c>
      <c r="G265" s="79" t="s">
        <v>564</v>
      </c>
      <c r="H265" s="79" t="s">
        <v>524</v>
      </c>
      <c r="I265" s="79"/>
      <c r="J265" s="79"/>
      <c r="K265" s="79" t="s">
        <v>1370</v>
      </c>
      <c r="L265" s="79"/>
      <c r="N265" s="80" t="s">
        <v>1419</v>
      </c>
    </row>
    <row r="266" spans="1:14" s="80" customFormat="1" ht="12.75">
      <c r="A266" s="79" t="s">
        <v>567</v>
      </c>
      <c r="B266" s="79" t="s">
        <v>94</v>
      </c>
      <c r="C266" s="79" t="s">
        <v>1263</v>
      </c>
      <c r="D266" s="79" t="s">
        <v>1254</v>
      </c>
      <c r="E266" s="79"/>
      <c r="F266" s="79" t="s">
        <v>1394</v>
      </c>
      <c r="G266" s="79" t="s">
        <v>564</v>
      </c>
      <c r="H266" s="79" t="s">
        <v>524</v>
      </c>
      <c r="I266" s="79"/>
      <c r="J266" s="79"/>
      <c r="K266" s="79" t="s">
        <v>1370</v>
      </c>
      <c r="L266" s="79"/>
    </row>
    <row r="267" spans="1:14" s="80" customFormat="1" ht="12.75">
      <c r="A267" s="79" t="s">
        <v>567</v>
      </c>
      <c r="B267" s="79" t="s">
        <v>94</v>
      </c>
      <c r="C267" s="79" t="s">
        <v>578</v>
      </c>
      <c r="D267" s="79" t="s">
        <v>1254</v>
      </c>
      <c r="E267" s="79"/>
      <c r="F267" s="79" t="s">
        <v>1394</v>
      </c>
      <c r="G267" s="79" t="s">
        <v>564</v>
      </c>
      <c r="H267" s="79" t="s">
        <v>524</v>
      </c>
      <c r="I267" s="79"/>
      <c r="J267" s="79"/>
      <c r="K267" s="79" t="s">
        <v>1370</v>
      </c>
      <c r="L267" s="79"/>
    </row>
    <row r="268" spans="1:14" s="80" customFormat="1" ht="12.75">
      <c r="A268" s="79" t="s">
        <v>567</v>
      </c>
      <c r="B268" s="79" t="s">
        <v>94</v>
      </c>
      <c r="C268" s="79" t="s">
        <v>586</v>
      </c>
      <c r="D268" s="79" t="s">
        <v>1254</v>
      </c>
      <c r="E268" s="79"/>
      <c r="F268" s="79" t="s">
        <v>1394</v>
      </c>
      <c r="G268" s="79" t="s">
        <v>564</v>
      </c>
      <c r="H268" s="79" t="s">
        <v>524</v>
      </c>
      <c r="I268" s="79"/>
      <c r="J268" s="79"/>
      <c r="K268" s="79" t="s">
        <v>1370</v>
      </c>
      <c r="L268" s="79"/>
    </row>
    <row r="269" spans="1:14" s="80" customFormat="1" ht="12.75">
      <c r="A269" s="79" t="s">
        <v>567</v>
      </c>
      <c r="B269" s="79" t="s">
        <v>94</v>
      </c>
      <c r="C269" s="79" t="s">
        <v>1262</v>
      </c>
      <c r="D269" s="79" t="s">
        <v>1254</v>
      </c>
      <c r="E269" s="79"/>
      <c r="F269" s="79" t="s">
        <v>1394</v>
      </c>
      <c r="G269" s="79" t="s">
        <v>564</v>
      </c>
      <c r="H269" s="79" t="s">
        <v>524</v>
      </c>
      <c r="I269" s="79"/>
      <c r="J269" s="79"/>
      <c r="K269" s="79" t="s">
        <v>1370</v>
      </c>
      <c r="L269" s="79"/>
      <c r="N269" s="80" t="s">
        <v>1418</v>
      </c>
    </row>
    <row r="270" spans="1:14" s="80" customFormat="1" ht="12.75">
      <c r="A270" s="79" t="s">
        <v>567</v>
      </c>
      <c r="B270" s="79" t="s">
        <v>94</v>
      </c>
      <c r="C270" s="79" t="s">
        <v>589</v>
      </c>
      <c r="D270" s="79" t="s">
        <v>1254</v>
      </c>
      <c r="E270" s="79"/>
      <c r="F270" s="79" t="s">
        <v>1394</v>
      </c>
      <c r="G270" s="79" t="s">
        <v>564</v>
      </c>
      <c r="H270" s="79" t="s">
        <v>524</v>
      </c>
      <c r="I270" s="79"/>
      <c r="J270" s="79"/>
      <c r="K270" s="79" t="s">
        <v>1370</v>
      </c>
      <c r="L270" s="79"/>
    </row>
    <row r="271" spans="1:14" s="80" customFormat="1" ht="12.75">
      <c r="A271" s="79" t="s">
        <v>567</v>
      </c>
      <c r="B271" s="79" t="s">
        <v>94</v>
      </c>
      <c r="C271" s="79" t="s">
        <v>575</v>
      </c>
      <c r="D271" s="79" t="s">
        <v>1254</v>
      </c>
      <c r="E271" s="79"/>
      <c r="F271" s="79" t="s">
        <v>1394</v>
      </c>
      <c r="G271" s="79" t="s">
        <v>569</v>
      </c>
      <c r="H271" s="79" t="s">
        <v>524</v>
      </c>
      <c r="I271" s="79"/>
      <c r="J271" s="79"/>
      <c r="K271" s="79" t="s">
        <v>1370</v>
      </c>
      <c r="L271" s="79"/>
    </row>
    <row r="272" spans="1:14" s="80" customFormat="1" ht="12.75">
      <c r="A272" s="79" t="s">
        <v>567</v>
      </c>
      <c r="B272" s="79" t="s">
        <v>737</v>
      </c>
      <c r="C272" s="79" t="s">
        <v>743</v>
      </c>
      <c r="D272" s="79" t="s">
        <v>1254</v>
      </c>
      <c r="E272" s="79"/>
      <c r="F272" s="79" t="s">
        <v>1394</v>
      </c>
      <c r="G272" s="79" t="s">
        <v>564</v>
      </c>
      <c r="H272" s="79" t="s">
        <v>524</v>
      </c>
      <c r="I272" s="79"/>
      <c r="J272" s="79"/>
      <c r="K272" s="79" t="s">
        <v>1370</v>
      </c>
      <c r="L272" s="79"/>
    </row>
    <row r="273" spans="1:12" s="80" customFormat="1" ht="12.75">
      <c r="A273" s="79" t="s">
        <v>567</v>
      </c>
      <c r="B273" s="79" t="s">
        <v>737</v>
      </c>
      <c r="C273" s="79" t="s">
        <v>740</v>
      </c>
      <c r="D273" s="79" t="s">
        <v>1254</v>
      </c>
      <c r="E273" s="79"/>
      <c r="F273" s="79" t="s">
        <v>1394</v>
      </c>
      <c r="G273" s="79" t="s">
        <v>564</v>
      </c>
      <c r="H273" s="79" t="s">
        <v>524</v>
      </c>
      <c r="I273" s="79"/>
      <c r="J273" s="79"/>
      <c r="K273" s="79" t="s">
        <v>1370</v>
      </c>
      <c r="L273" s="79"/>
    </row>
    <row r="274" spans="1:12" s="80" customFormat="1" ht="12.75">
      <c r="A274" s="79" t="s">
        <v>567</v>
      </c>
      <c r="B274" s="79" t="s">
        <v>737</v>
      </c>
      <c r="C274" s="79" t="s">
        <v>749</v>
      </c>
      <c r="D274" s="79" t="s">
        <v>1254</v>
      </c>
      <c r="E274" s="79"/>
      <c r="F274" s="79" t="s">
        <v>1394</v>
      </c>
      <c r="G274" s="79" t="s">
        <v>569</v>
      </c>
      <c r="H274" s="79" t="s">
        <v>524</v>
      </c>
      <c r="I274" s="79"/>
      <c r="J274" s="79"/>
      <c r="K274" s="79" t="s">
        <v>1370</v>
      </c>
      <c r="L274" s="79"/>
    </row>
    <row r="275" spans="1:12" s="80" customFormat="1" ht="12.75">
      <c r="A275" s="79" t="s">
        <v>567</v>
      </c>
      <c r="B275" s="79" t="s">
        <v>737</v>
      </c>
      <c r="C275" s="79" t="s">
        <v>738</v>
      </c>
      <c r="D275" s="79" t="s">
        <v>1254</v>
      </c>
      <c r="E275" s="79"/>
      <c r="F275" s="79" t="s">
        <v>1394</v>
      </c>
      <c r="G275" s="79" t="s">
        <v>564</v>
      </c>
      <c r="H275" s="79" t="s">
        <v>524</v>
      </c>
      <c r="I275" s="79"/>
      <c r="J275" s="79"/>
      <c r="K275" s="79" t="s">
        <v>1370</v>
      </c>
      <c r="L275" s="79"/>
    </row>
    <row r="276" spans="1:12" s="80" customFormat="1" ht="12.75">
      <c r="A276" s="79" t="s">
        <v>567</v>
      </c>
      <c r="B276" s="79" t="s">
        <v>737</v>
      </c>
      <c r="C276" s="79" t="s">
        <v>739</v>
      </c>
      <c r="D276" s="79" t="s">
        <v>1254</v>
      </c>
      <c r="E276" s="79"/>
      <c r="F276" s="79" t="s">
        <v>1394</v>
      </c>
      <c r="G276" s="79" t="s">
        <v>564</v>
      </c>
      <c r="H276" s="79" t="s">
        <v>524</v>
      </c>
      <c r="I276" s="79"/>
      <c r="J276" s="79"/>
      <c r="K276" s="79" t="s">
        <v>1370</v>
      </c>
      <c r="L276" s="79"/>
    </row>
    <row r="277" spans="1:12" s="80" customFormat="1" ht="12.75">
      <c r="A277" s="79" t="s">
        <v>567</v>
      </c>
      <c r="B277" s="79" t="s">
        <v>697</v>
      </c>
      <c r="C277" s="79" t="s">
        <v>698</v>
      </c>
      <c r="D277" s="79" t="s">
        <v>524</v>
      </c>
      <c r="E277" s="79"/>
      <c r="F277" s="79" t="s">
        <v>1394</v>
      </c>
      <c r="G277" s="79" t="s">
        <v>564</v>
      </c>
      <c r="H277" s="79" t="s">
        <v>524</v>
      </c>
      <c r="I277" s="79"/>
      <c r="J277" s="79"/>
      <c r="K277" s="79" t="s">
        <v>1370</v>
      </c>
      <c r="L277" s="79"/>
    </row>
    <row r="278" spans="1:12" s="80" customFormat="1" ht="12.75">
      <c r="A278" s="79" t="s">
        <v>567</v>
      </c>
      <c r="B278" s="79" t="s">
        <v>697</v>
      </c>
      <c r="C278" s="79" t="s">
        <v>699</v>
      </c>
      <c r="D278" s="79" t="s">
        <v>524</v>
      </c>
      <c r="E278" s="79"/>
      <c r="F278" s="79" t="s">
        <v>1394</v>
      </c>
      <c r="G278" s="79" t="s">
        <v>564</v>
      </c>
      <c r="H278" s="79" t="s">
        <v>524</v>
      </c>
      <c r="I278" s="79"/>
      <c r="J278" s="79"/>
      <c r="K278" s="79" t="s">
        <v>1370</v>
      </c>
      <c r="L278" s="79"/>
    </row>
    <row r="279" spans="1:12" s="80" customFormat="1" ht="12.75">
      <c r="A279" s="79" t="s">
        <v>567</v>
      </c>
      <c r="B279" s="79" t="s">
        <v>697</v>
      </c>
      <c r="C279" s="79" t="s">
        <v>701</v>
      </c>
      <c r="D279" s="79" t="s">
        <v>524</v>
      </c>
      <c r="E279" s="79"/>
      <c r="F279" s="79" t="s">
        <v>1394</v>
      </c>
      <c r="G279" s="79" t="s">
        <v>569</v>
      </c>
      <c r="H279" s="79" t="s">
        <v>524</v>
      </c>
      <c r="I279" s="79"/>
      <c r="J279" s="79"/>
      <c r="K279" s="79" t="s">
        <v>1370</v>
      </c>
      <c r="L279" s="79"/>
    </row>
    <row r="280" spans="1:12" s="80" customFormat="1" ht="12.75">
      <c r="A280" s="79" t="s">
        <v>567</v>
      </c>
      <c r="B280" s="79" t="s">
        <v>697</v>
      </c>
      <c r="C280" s="79" t="s">
        <v>1260</v>
      </c>
      <c r="D280" s="79" t="s">
        <v>524</v>
      </c>
      <c r="E280" s="79"/>
      <c r="F280" s="79" t="s">
        <v>1394</v>
      </c>
      <c r="G280" s="79" t="s">
        <v>564</v>
      </c>
      <c r="H280" s="79" t="s">
        <v>524</v>
      </c>
      <c r="I280" s="79"/>
      <c r="J280" s="79"/>
      <c r="K280" s="79" t="s">
        <v>1370</v>
      </c>
      <c r="L280" s="79"/>
    </row>
    <row r="281" spans="1:12" s="80" customFormat="1" ht="12.75">
      <c r="A281" s="79" t="s">
        <v>567</v>
      </c>
      <c r="B281" s="79" t="s">
        <v>697</v>
      </c>
      <c r="C281" s="79" t="s">
        <v>700</v>
      </c>
      <c r="D281" s="79" t="s">
        <v>524</v>
      </c>
      <c r="E281" s="79"/>
      <c r="F281" s="79" t="s">
        <v>1394</v>
      </c>
      <c r="G281" s="79" t="s">
        <v>569</v>
      </c>
      <c r="H281" s="79" t="s">
        <v>524</v>
      </c>
      <c r="I281" s="79"/>
      <c r="J281" s="79"/>
      <c r="K281" s="79" t="s">
        <v>1370</v>
      </c>
      <c r="L281" s="79"/>
    </row>
    <row r="282" spans="1:12" s="80" customFormat="1" ht="12.75">
      <c r="A282" s="79" t="s">
        <v>567</v>
      </c>
      <c r="B282" s="79" t="s">
        <v>697</v>
      </c>
      <c r="C282" s="79" t="s">
        <v>702</v>
      </c>
      <c r="D282" s="79" t="s">
        <v>524</v>
      </c>
      <c r="E282" s="79"/>
      <c r="F282" s="79" t="s">
        <v>1394</v>
      </c>
      <c r="G282" s="79" t="s">
        <v>564</v>
      </c>
      <c r="H282" s="79" t="s">
        <v>524</v>
      </c>
      <c r="I282" s="79"/>
      <c r="J282" s="79"/>
      <c r="K282" s="79" t="s">
        <v>1370</v>
      </c>
      <c r="L282" s="79"/>
    </row>
    <row r="283" spans="1:12" s="80" customFormat="1" ht="12.75">
      <c r="A283" s="79" t="s">
        <v>567</v>
      </c>
      <c r="B283" s="79" t="s">
        <v>730</v>
      </c>
      <c r="C283" s="79" t="s">
        <v>731</v>
      </c>
      <c r="D283" s="79" t="s">
        <v>524</v>
      </c>
      <c r="E283" s="79"/>
      <c r="F283" s="79" t="s">
        <v>1394</v>
      </c>
      <c r="G283" s="79" t="s">
        <v>564</v>
      </c>
      <c r="H283" s="79" t="s">
        <v>524</v>
      </c>
      <c r="I283" s="79"/>
      <c r="J283" s="79"/>
      <c r="K283" s="79" t="s">
        <v>1370</v>
      </c>
      <c r="L283" s="79"/>
    </row>
    <row r="284" spans="1:12" s="80" customFormat="1" ht="12.75">
      <c r="A284" s="79" t="s">
        <v>567</v>
      </c>
      <c r="B284" s="79" t="s">
        <v>730</v>
      </c>
      <c r="C284" s="79" t="s">
        <v>732</v>
      </c>
      <c r="D284" s="79" t="s">
        <v>524</v>
      </c>
      <c r="E284" s="79"/>
      <c r="F284" s="79" t="s">
        <v>1394</v>
      </c>
      <c r="G284" s="79" t="s">
        <v>564</v>
      </c>
      <c r="H284" s="79" t="s">
        <v>524</v>
      </c>
      <c r="I284" s="79"/>
      <c r="J284" s="79"/>
      <c r="K284" s="79" t="s">
        <v>1370</v>
      </c>
      <c r="L284" s="79"/>
    </row>
    <row r="285" spans="1:12" s="80" customFormat="1" ht="12.75">
      <c r="A285" s="79" t="s">
        <v>567</v>
      </c>
      <c r="B285" s="79" t="s">
        <v>730</v>
      </c>
      <c r="C285" s="79" t="s">
        <v>733</v>
      </c>
      <c r="D285" s="79" t="s">
        <v>524</v>
      </c>
      <c r="E285" s="79"/>
      <c r="F285" s="79" t="s">
        <v>1394</v>
      </c>
      <c r="G285" s="79" t="s">
        <v>564</v>
      </c>
      <c r="H285" s="79" t="s">
        <v>524</v>
      </c>
      <c r="I285" s="79"/>
      <c r="J285" s="79"/>
      <c r="K285" s="79" t="s">
        <v>1370</v>
      </c>
      <c r="L285" s="79"/>
    </row>
    <row r="286" spans="1:12" s="80" customFormat="1" ht="12.75">
      <c r="A286" s="79" t="s">
        <v>567</v>
      </c>
      <c r="B286" s="79" t="s">
        <v>730</v>
      </c>
      <c r="C286" s="79" t="s">
        <v>734</v>
      </c>
      <c r="D286" s="79" t="s">
        <v>524</v>
      </c>
      <c r="E286" s="79"/>
      <c r="F286" s="79" t="s">
        <v>1394</v>
      </c>
      <c r="G286" s="79" t="s">
        <v>564</v>
      </c>
      <c r="H286" s="79" t="s">
        <v>524</v>
      </c>
      <c r="I286" s="79"/>
      <c r="J286" s="79"/>
      <c r="K286" s="79" t="s">
        <v>1370</v>
      </c>
      <c r="L286" s="79"/>
    </row>
    <row r="287" spans="1:12" s="80" customFormat="1" ht="12.75">
      <c r="A287" s="79" t="s">
        <v>567</v>
      </c>
      <c r="B287" s="79" t="s">
        <v>730</v>
      </c>
      <c r="C287" s="79" t="s">
        <v>735</v>
      </c>
      <c r="D287" s="79" t="s">
        <v>524</v>
      </c>
      <c r="E287" s="79"/>
      <c r="F287" s="79" t="s">
        <v>1394</v>
      </c>
      <c r="G287" s="79" t="s">
        <v>564</v>
      </c>
      <c r="H287" s="79" t="s">
        <v>524</v>
      </c>
      <c r="I287" s="79"/>
      <c r="J287" s="79"/>
      <c r="K287" s="79" t="s">
        <v>1370</v>
      </c>
      <c r="L287" s="79"/>
    </row>
    <row r="288" spans="1:12" s="80" customFormat="1" ht="12.75">
      <c r="A288" s="79" t="s">
        <v>567</v>
      </c>
      <c r="B288" s="79" t="s">
        <v>730</v>
      </c>
      <c r="C288" s="79" t="s">
        <v>736</v>
      </c>
      <c r="D288" s="79" t="s">
        <v>524</v>
      </c>
      <c r="E288" s="79"/>
      <c r="F288" s="79" t="s">
        <v>1394</v>
      </c>
      <c r="G288" s="79" t="s">
        <v>564</v>
      </c>
      <c r="H288" s="79" t="s">
        <v>524</v>
      </c>
      <c r="I288" s="79"/>
      <c r="J288" s="79"/>
      <c r="K288" s="79" t="s">
        <v>1370</v>
      </c>
      <c r="L288" s="79"/>
    </row>
    <row r="289" spans="1:14" s="80" customFormat="1" ht="12.75">
      <c r="A289" s="79" t="s">
        <v>567</v>
      </c>
      <c r="B289" s="79" t="s">
        <v>880</v>
      </c>
      <c r="C289" s="79" t="s">
        <v>889</v>
      </c>
      <c r="D289" s="79" t="s">
        <v>524</v>
      </c>
      <c r="E289" s="79"/>
      <c r="F289" s="79" t="s">
        <v>1394</v>
      </c>
      <c r="G289" s="79" t="s">
        <v>564</v>
      </c>
      <c r="H289" s="79" t="s">
        <v>524</v>
      </c>
      <c r="I289" s="79"/>
      <c r="J289" s="79"/>
      <c r="K289" s="79" t="s">
        <v>1370</v>
      </c>
      <c r="L289" s="79"/>
    </row>
    <row r="290" spans="1:14" s="80" customFormat="1" ht="12.75">
      <c r="A290" s="79" t="s">
        <v>567</v>
      </c>
      <c r="B290" s="79" t="s">
        <v>880</v>
      </c>
      <c r="C290" s="79" t="s">
        <v>883</v>
      </c>
      <c r="D290" s="79" t="s">
        <v>524</v>
      </c>
      <c r="E290" s="79"/>
      <c r="F290" s="79" t="s">
        <v>1394</v>
      </c>
      <c r="G290" s="79" t="s">
        <v>564</v>
      </c>
      <c r="H290" s="79" t="s">
        <v>524</v>
      </c>
      <c r="I290" s="79"/>
      <c r="J290" s="79"/>
      <c r="K290" s="79" t="s">
        <v>1370</v>
      </c>
      <c r="L290" s="79"/>
    </row>
    <row r="291" spans="1:14" s="80" customFormat="1" ht="12.75">
      <c r="A291" s="79" t="s">
        <v>567</v>
      </c>
      <c r="B291" s="79" t="s">
        <v>880</v>
      </c>
      <c r="C291" s="79" t="s">
        <v>886</v>
      </c>
      <c r="D291" s="79" t="s">
        <v>524</v>
      </c>
      <c r="E291" s="79"/>
      <c r="F291" s="79" t="s">
        <v>1394</v>
      </c>
      <c r="G291" s="79" t="s">
        <v>564</v>
      </c>
      <c r="H291" s="79" t="s">
        <v>524</v>
      </c>
      <c r="I291" s="79"/>
      <c r="J291" s="79"/>
      <c r="K291" s="79" t="s">
        <v>1370</v>
      </c>
      <c r="L291" s="79"/>
    </row>
    <row r="292" spans="1:14" s="80" customFormat="1" ht="12.75">
      <c r="A292" s="79" t="s">
        <v>567</v>
      </c>
      <c r="B292" s="79" t="s">
        <v>880</v>
      </c>
      <c r="C292" s="79" t="s">
        <v>888</v>
      </c>
      <c r="D292" s="79" t="s">
        <v>524</v>
      </c>
      <c r="E292" s="79"/>
      <c r="F292" s="79" t="s">
        <v>1394</v>
      </c>
      <c r="G292" s="79" t="s">
        <v>564</v>
      </c>
      <c r="H292" s="79" t="s">
        <v>524</v>
      </c>
      <c r="I292" s="79"/>
      <c r="J292" s="79"/>
      <c r="K292" s="79" t="s">
        <v>1370</v>
      </c>
      <c r="L292" s="79"/>
    </row>
    <row r="293" spans="1:14" s="80" customFormat="1" ht="12.75">
      <c r="A293" s="79" t="s">
        <v>567</v>
      </c>
      <c r="B293" s="79" t="s">
        <v>880</v>
      </c>
      <c r="C293" s="79" t="s">
        <v>882</v>
      </c>
      <c r="D293" s="79" t="s">
        <v>524</v>
      </c>
      <c r="E293" s="79"/>
      <c r="F293" s="79" t="s">
        <v>1394</v>
      </c>
      <c r="G293" s="79" t="s">
        <v>564</v>
      </c>
      <c r="H293" s="79" t="s">
        <v>524</v>
      </c>
      <c r="I293" s="79"/>
      <c r="J293" s="79"/>
      <c r="K293" s="79" t="s">
        <v>1370</v>
      </c>
      <c r="L293" s="79"/>
    </row>
    <row r="294" spans="1:14" s="80" customFormat="1" ht="12.75">
      <c r="A294" s="79" t="s">
        <v>567</v>
      </c>
      <c r="B294" s="79" t="s">
        <v>880</v>
      </c>
      <c r="C294" s="79" t="s">
        <v>885</v>
      </c>
      <c r="D294" s="79" t="s">
        <v>524</v>
      </c>
      <c r="E294" s="79"/>
      <c r="F294" s="79" t="s">
        <v>1394</v>
      </c>
      <c r="G294" s="79" t="s">
        <v>564</v>
      </c>
      <c r="H294" s="79" t="s">
        <v>524</v>
      </c>
      <c r="I294" s="79"/>
      <c r="J294" s="79"/>
      <c r="K294" s="79" t="s">
        <v>1370</v>
      </c>
      <c r="L294" s="79"/>
    </row>
    <row r="295" spans="1:14" s="80" customFormat="1" ht="12.75">
      <c r="A295" s="79" t="s">
        <v>567</v>
      </c>
      <c r="B295" s="79" t="s">
        <v>880</v>
      </c>
      <c r="C295" s="79" t="s">
        <v>890</v>
      </c>
      <c r="D295" s="79" t="s">
        <v>524</v>
      </c>
      <c r="E295" s="79"/>
      <c r="F295" s="79" t="s">
        <v>1394</v>
      </c>
      <c r="G295" s="79" t="s">
        <v>564</v>
      </c>
      <c r="H295" s="79" t="s">
        <v>524</v>
      </c>
      <c r="I295" s="79"/>
      <c r="J295" s="79"/>
      <c r="K295" s="79" t="s">
        <v>1370</v>
      </c>
      <c r="L295" s="79"/>
    </row>
    <row r="296" spans="1:14" s="80" customFormat="1" ht="12.75">
      <c r="A296" s="79" t="s">
        <v>567</v>
      </c>
      <c r="B296" s="79" t="s">
        <v>880</v>
      </c>
      <c r="C296" s="79" t="s">
        <v>884</v>
      </c>
      <c r="D296" s="79" t="s">
        <v>524</v>
      </c>
      <c r="E296" s="79"/>
      <c r="F296" s="79" t="s">
        <v>1394</v>
      </c>
      <c r="G296" s="79" t="s">
        <v>564</v>
      </c>
      <c r="H296" s="79" t="s">
        <v>524</v>
      </c>
      <c r="I296" s="79"/>
      <c r="J296" s="79"/>
      <c r="K296" s="79" t="s">
        <v>1370</v>
      </c>
      <c r="L296" s="79"/>
    </row>
    <row r="297" spans="1:14" s="80" customFormat="1" ht="12.75">
      <c r="A297" s="79" t="s">
        <v>567</v>
      </c>
      <c r="B297" s="79" t="s">
        <v>880</v>
      </c>
      <c r="C297" s="79" t="s">
        <v>887</v>
      </c>
      <c r="D297" s="79" t="s">
        <v>524</v>
      </c>
      <c r="E297" s="79"/>
      <c r="F297" s="79" t="s">
        <v>1394</v>
      </c>
      <c r="G297" s="79" t="s">
        <v>564</v>
      </c>
      <c r="H297" s="79" t="s">
        <v>524</v>
      </c>
      <c r="I297" s="79"/>
      <c r="J297" s="79"/>
      <c r="K297" s="79" t="s">
        <v>1370</v>
      </c>
      <c r="L297" s="79"/>
    </row>
    <row r="298" spans="1:14" s="80" customFormat="1" ht="12.75">
      <c r="A298" s="79" t="s">
        <v>567</v>
      </c>
      <c r="B298" s="79" t="s">
        <v>695</v>
      </c>
      <c r="C298" s="79" t="s">
        <v>1321</v>
      </c>
      <c r="D298" s="79" t="s">
        <v>563</v>
      </c>
      <c r="E298" s="79"/>
      <c r="F298" s="79" t="s">
        <v>1394</v>
      </c>
      <c r="G298" s="79" t="s">
        <v>635</v>
      </c>
      <c r="H298" s="79" t="s">
        <v>1338</v>
      </c>
      <c r="I298" s="79" t="s">
        <v>1340</v>
      </c>
      <c r="J298" s="79"/>
      <c r="K298" s="79" t="s">
        <v>1370</v>
      </c>
      <c r="L298" s="79"/>
    </row>
    <row r="299" spans="1:14" s="80" customFormat="1" ht="12.75">
      <c r="A299" s="79" t="s">
        <v>567</v>
      </c>
      <c r="B299" s="79" t="s">
        <v>695</v>
      </c>
      <c r="C299" s="79" t="s">
        <v>568</v>
      </c>
      <c r="D299" s="79" t="s">
        <v>563</v>
      </c>
      <c r="E299" s="79"/>
      <c r="F299" s="79" t="s">
        <v>1394</v>
      </c>
      <c r="G299" s="79" t="s">
        <v>635</v>
      </c>
      <c r="H299" s="79" t="s">
        <v>1338</v>
      </c>
      <c r="I299" s="79" t="s">
        <v>1340</v>
      </c>
      <c r="J299" s="79"/>
      <c r="K299" s="79" t="s">
        <v>1370</v>
      </c>
      <c r="L299" s="79"/>
    </row>
    <row r="300" spans="1:14" s="80" customFormat="1" ht="12.75">
      <c r="A300" s="79" t="s">
        <v>567</v>
      </c>
      <c r="B300" s="79" t="s">
        <v>695</v>
      </c>
      <c r="C300" s="79" t="s">
        <v>1320</v>
      </c>
      <c r="D300" s="79" t="s">
        <v>563</v>
      </c>
      <c r="E300" s="79"/>
      <c r="F300" s="79" t="s">
        <v>1394</v>
      </c>
      <c r="G300" s="79" t="s">
        <v>635</v>
      </c>
      <c r="H300" s="79" t="s">
        <v>1338</v>
      </c>
      <c r="I300" s="79" t="s">
        <v>1340</v>
      </c>
      <c r="J300" s="79"/>
      <c r="K300" s="79" t="s">
        <v>1370</v>
      </c>
      <c r="L300" s="79"/>
      <c r="N300" s="80" t="s">
        <v>1406</v>
      </c>
    </row>
    <row r="301" spans="1:14" s="80" customFormat="1" ht="12.75">
      <c r="A301" s="79" t="s">
        <v>567</v>
      </c>
      <c r="B301" s="79" t="s">
        <v>695</v>
      </c>
      <c r="C301" s="79" t="s">
        <v>689</v>
      </c>
      <c r="D301" s="79" t="s">
        <v>563</v>
      </c>
      <c r="E301" s="79"/>
      <c r="F301" s="79" t="s">
        <v>1394</v>
      </c>
      <c r="G301" s="79" t="s">
        <v>635</v>
      </c>
      <c r="H301" s="79" t="s">
        <v>1338</v>
      </c>
      <c r="I301" s="79" t="s">
        <v>1340</v>
      </c>
      <c r="J301" s="79"/>
      <c r="K301" s="79" t="s">
        <v>1370</v>
      </c>
      <c r="L301" s="79"/>
    </row>
    <row r="302" spans="1:14" s="80" customFormat="1" ht="12.75">
      <c r="A302" s="79" t="s">
        <v>567</v>
      </c>
      <c r="B302" s="79" t="s">
        <v>695</v>
      </c>
      <c r="C302" s="79" t="s">
        <v>570</v>
      </c>
      <c r="D302" s="79" t="s">
        <v>563</v>
      </c>
      <c r="E302" s="79"/>
      <c r="F302" s="79" t="s">
        <v>1394</v>
      </c>
      <c r="G302" s="79" t="s">
        <v>635</v>
      </c>
      <c r="H302" s="79" t="s">
        <v>1338</v>
      </c>
      <c r="I302" s="79" t="s">
        <v>1340</v>
      </c>
      <c r="J302" s="79"/>
      <c r="K302" s="79" t="s">
        <v>1370</v>
      </c>
      <c r="L302" s="79"/>
      <c r="N302" s="80" t="s">
        <v>1408</v>
      </c>
    </row>
    <row r="303" spans="1:14" s="80" customFormat="1" ht="12.75">
      <c r="A303" s="79" t="s">
        <v>567</v>
      </c>
      <c r="B303" s="79" t="s">
        <v>757</v>
      </c>
      <c r="C303" s="79" t="s">
        <v>758</v>
      </c>
      <c r="D303" s="79" t="s">
        <v>1292</v>
      </c>
      <c r="E303" s="79"/>
      <c r="F303" s="79" t="s">
        <v>1394</v>
      </c>
      <c r="G303" s="79" t="s">
        <v>569</v>
      </c>
      <c r="H303" s="79" t="s">
        <v>524</v>
      </c>
      <c r="I303" s="79"/>
      <c r="J303" s="79"/>
      <c r="K303" s="79" t="s">
        <v>1370</v>
      </c>
      <c r="L303" s="79"/>
    </row>
    <row r="304" spans="1:14" s="80" customFormat="1" ht="12.75">
      <c r="A304" s="79" t="s">
        <v>567</v>
      </c>
      <c r="B304" s="79" t="s">
        <v>757</v>
      </c>
      <c r="C304" s="79" t="s">
        <v>761</v>
      </c>
      <c r="D304" s="79" t="s">
        <v>1292</v>
      </c>
      <c r="E304" s="79"/>
      <c r="F304" s="79" t="s">
        <v>1394</v>
      </c>
      <c r="G304" s="79" t="s">
        <v>569</v>
      </c>
      <c r="H304" s="79" t="s">
        <v>524</v>
      </c>
      <c r="I304" s="79"/>
      <c r="J304" s="79"/>
      <c r="K304" s="79" t="s">
        <v>1370</v>
      </c>
      <c r="L304" s="79"/>
    </row>
    <row r="305" spans="1:12" s="80" customFormat="1" ht="12.75">
      <c r="A305" s="79" t="s">
        <v>567</v>
      </c>
      <c r="B305" s="79" t="s">
        <v>757</v>
      </c>
      <c r="C305" s="79" t="s">
        <v>760</v>
      </c>
      <c r="D305" s="79" t="s">
        <v>1292</v>
      </c>
      <c r="E305" s="79"/>
      <c r="F305" s="79" t="s">
        <v>1394</v>
      </c>
      <c r="G305" s="79" t="s">
        <v>569</v>
      </c>
      <c r="H305" s="79" t="s">
        <v>524</v>
      </c>
      <c r="I305" s="79"/>
      <c r="J305" s="79"/>
      <c r="K305" s="79" t="s">
        <v>1370</v>
      </c>
      <c r="L305" s="79"/>
    </row>
    <row r="306" spans="1:12" s="80" customFormat="1" ht="12.75">
      <c r="A306" s="79" t="s">
        <v>567</v>
      </c>
      <c r="B306" s="79" t="s">
        <v>285</v>
      </c>
      <c r="C306" s="79" t="s">
        <v>1282</v>
      </c>
      <c r="D306" s="79" t="s">
        <v>1292</v>
      </c>
      <c r="E306" s="79"/>
      <c r="F306" s="79" t="s">
        <v>1394</v>
      </c>
      <c r="G306" s="79" t="s">
        <v>564</v>
      </c>
      <c r="H306" s="79" t="s">
        <v>524</v>
      </c>
      <c r="I306" s="79"/>
      <c r="J306" s="79"/>
      <c r="K306" s="79" t="s">
        <v>1370</v>
      </c>
      <c r="L306" s="79"/>
    </row>
    <row r="307" spans="1:12" s="80" customFormat="1" ht="12.75">
      <c r="A307" s="79" t="s">
        <v>567</v>
      </c>
      <c r="B307" s="79" t="s">
        <v>285</v>
      </c>
      <c r="C307" s="79" t="s">
        <v>715</v>
      </c>
      <c r="D307" s="79" t="s">
        <v>1292</v>
      </c>
      <c r="E307" s="79"/>
      <c r="F307" s="79" t="s">
        <v>1394</v>
      </c>
      <c r="G307" s="79" t="s">
        <v>569</v>
      </c>
      <c r="H307" s="79" t="s">
        <v>524</v>
      </c>
      <c r="I307" s="79"/>
      <c r="J307" s="79"/>
      <c r="K307" s="79" t="s">
        <v>1370</v>
      </c>
      <c r="L307" s="79"/>
    </row>
    <row r="308" spans="1:12" s="80" customFormat="1" ht="12.75">
      <c r="A308" s="79" t="s">
        <v>567</v>
      </c>
      <c r="B308" s="79" t="s">
        <v>285</v>
      </c>
      <c r="C308" s="79" t="s">
        <v>714</v>
      </c>
      <c r="D308" s="79" t="s">
        <v>1292</v>
      </c>
      <c r="E308" s="79"/>
      <c r="F308" s="79" t="s">
        <v>1394</v>
      </c>
      <c r="G308" s="79" t="s">
        <v>569</v>
      </c>
      <c r="H308" s="79" t="s">
        <v>524</v>
      </c>
      <c r="I308" s="79"/>
      <c r="J308" s="79"/>
      <c r="K308" s="79" t="s">
        <v>1370</v>
      </c>
      <c r="L308" s="79"/>
    </row>
    <row r="309" spans="1:12" s="80" customFormat="1" ht="12.75">
      <c r="A309" s="79" t="s">
        <v>567</v>
      </c>
      <c r="B309" s="79" t="s">
        <v>285</v>
      </c>
      <c r="C309" s="79" t="s">
        <v>713</v>
      </c>
      <c r="D309" s="79" t="s">
        <v>1292</v>
      </c>
      <c r="E309" s="79"/>
      <c r="F309" s="79" t="s">
        <v>1394</v>
      </c>
      <c r="G309" s="79" t="s">
        <v>569</v>
      </c>
      <c r="H309" s="79" t="s">
        <v>524</v>
      </c>
      <c r="I309" s="79"/>
      <c r="J309" s="79"/>
      <c r="K309" s="79" t="s">
        <v>1370</v>
      </c>
      <c r="L309" s="79"/>
    </row>
    <row r="310" spans="1:12" s="80" customFormat="1" ht="12.75">
      <c r="A310" s="79" t="s">
        <v>567</v>
      </c>
      <c r="B310" s="79" t="s">
        <v>285</v>
      </c>
      <c r="C310" s="79" t="s">
        <v>1286</v>
      </c>
      <c r="D310" s="79" t="s">
        <v>1292</v>
      </c>
      <c r="E310" s="79"/>
      <c r="F310" s="79" t="s">
        <v>1394</v>
      </c>
      <c r="G310" s="79" t="s">
        <v>564</v>
      </c>
      <c r="H310" s="79" t="s">
        <v>524</v>
      </c>
      <c r="I310" s="79"/>
      <c r="J310" s="79"/>
      <c r="K310" s="79" t="s">
        <v>1370</v>
      </c>
      <c r="L310" s="79"/>
    </row>
    <row r="311" spans="1:12" s="80" customFormat="1" ht="12.75">
      <c r="A311" s="79" t="s">
        <v>567</v>
      </c>
      <c r="B311" s="79" t="s">
        <v>285</v>
      </c>
      <c r="C311" s="79" t="s">
        <v>1285</v>
      </c>
      <c r="D311" s="79" t="s">
        <v>1292</v>
      </c>
      <c r="E311" s="79"/>
      <c r="F311" s="79" t="s">
        <v>1394</v>
      </c>
      <c r="G311" s="79" t="s">
        <v>564</v>
      </c>
      <c r="H311" s="79" t="s">
        <v>524</v>
      </c>
      <c r="I311" s="79"/>
      <c r="J311" s="79"/>
      <c r="K311" s="79" t="s">
        <v>1370</v>
      </c>
      <c r="L311" s="79"/>
    </row>
    <row r="312" spans="1:12" s="80" customFormat="1" ht="12.75">
      <c r="A312" s="79" t="s">
        <v>567</v>
      </c>
      <c r="B312" s="79" t="s">
        <v>285</v>
      </c>
      <c r="C312" s="79" t="s">
        <v>1284</v>
      </c>
      <c r="D312" s="79" t="s">
        <v>1292</v>
      </c>
      <c r="E312" s="79"/>
      <c r="F312" s="79" t="s">
        <v>1394</v>
      </c>
      <c r="G312" s="79" t="s">
        <v>564</v>
      </c>
      <c r="H312" s="79" t="s">
        <v>524</v>
      </c>
      <c r="I312" s="79"/>
      <c r="J312" s="79"/>
      <c r="K312" s="79" t="s">
        <v>1370</v>
      </c>
      <c r="L312" s="79"/>
    </row>
    <row r="313" spans="1:12" s="80" customFormat="1" ht="12.75">
      <c r="A313" s="79" t="s">
        <v>567</v>
      </c>
      <c r="B313" s="79" t="s">
        <v>285</v>
      </c>
      <c r="C313" s="79" t="s">
        <v>1287</v>
      </c>
      <c r="D313" s="79" t="s">
        <v>1292</v>
      </c>
      <c r="E313" s="79"/>
      <c r="F313" s="79" t="s">
        <v>1394</v>
      </c>
      <c r="G313" s="79" t="s">
        <v>564</v>
      </c>
      <c r="H313" s="79" t="s">
        <v>524</v>
      </c>
      <c r="I313" s="79"/>
      <c r="J313" s="79"/>
      <c r="K313" s="79" t="s">
        <v>1370</v>
      </c>
      <c r="L313" s="79"/>
    </row>
    <row r="314" spans="1:12" s="80" customFormat="1" ht="12.75">
      <c r="A314" s="79" t="s">
        <v>567</v>
      </c>
      <c r="B314" s="79" t="s">
        <v>285</v>
      </c>
      <c r="C314" s="79" t="s">
        <v>1291</v>
      </c>
      <c r="D314" s="79" t="s">
        <v>1292</v>
      </c>
      <c r="E314" s="79"/>
      <c r="F314" s="79" t="s">
        <v>1394</v>
      </c>
      <c r="G314" s="79" t="s">
        <v>564</v>
      </c>
      <c r="H314" s="79" t="s">
        <v>524</v>
      </c>
      <c r="I314" s="79"/>
      <c r="J314" s="79"/>
      <c r="K314" s="79" t="s">
        <v>1370</v>
      </c>
      <c r="L314" s="79"/>
    </row>
    <row r="315" spans="1:12" s="80" customFormat="1" ht="12.75">
      <c r="A315" s="79" t="s">
        <v>567</v>
      </c>
      <c r="B315" s="79" t="s">
        <v>285</v>
      </c>
      <c r="C315" s="79" t="s">
        <v>712</v>
      </c>
      <c r="D315" s="79" t="s">
        <v>1292</v>
      </c>
      <c r="E315" s="79"/>
      <c r="F315" s="79" t="s">
        <v>1394</v>
      </c>
      <c r="G315" s="79" t="s">
        <v>569</v>
      </c>
      <c r="H315" s="79" t="s">
        <v>524</v>
      </c>
      <c r="I315" s="79"/>
      <c r="J315" s="79"/>
      <c r="K315" s="79" t="s">
        <v>1370</v>
      </c>
      <c r="L315" s="79"/>
    </row>
    <row r="316" spans="1:12" s="80" customFormat="1" ht="12.75">
      <c r="A316" s="79" t="s">
        <v>567</v>
      </c>
      <c r="B316" s="79" t="s">
        <v>285</v>
      </c>
      <c r="C316" s="79" t="s">
        <v>709</v>
      </c>
      <c r="D316" s="79" t="s">
        <v>1292</v>
      </c>
      <c r="E316" s="79"/>
      <c r="F316" s="79" t="s">
        <v>1394</v>
      </c>
      <c r="G316" s="79" t="s">
        <v>569</v>
      </c>
      <c r="H316" s="79" t="s">
        <v>524</v>
      </c>
      <c r="I316" s="79"/>
      <c r="J316" s="79"/>
      <c r="K316" s="79" t="s">
        <v>1370</v>
      </c>
      <c r="L316" s="79"/>
    </row>
    <row r="317" spans="1:12" s="80" customFormat="1" ht="12.75">
      <c r="A317" s="79" t="s">
        <v>567</v>
      </c>
      <c r="B317" s="79" t="s">
        <v>285</v>
      </c>
      <c r="C317" s="79" t="s">
        <v>710</v>
      </c>
      <c r="D317" s="79" t="s">
        <v>1292</v>
      </c>
      <c r="E317" s="79"/>
      <c r="F317" s="79" t="s">
        <v>1394</v>
      </c>
      <c r="G317" s="79" t="s">
        <v>569</v>
      </c>
      <c r="H317" s="79" t="s">
        <v>524</v>
      </c>
      <c r="I317" s="79"/>
      <c r="J317" s="79"/>
      <c r="K317" s="79" t="s">
        <v>1370</v>
      </c>
      <c r="L317" s="79"/>
    </row>
    <row r="318" spans="1:12" s="80" customFormat="1" ht="12.75">
      <c r="A318" s="79" t="s">
        <v>567</v>
      </c>
      <c r="B318" s="79" t="s">
        <v>285</v>
      </c>
      <c r="C318" s="79" t="s">
        <v>707</v>
      </c>
      <c r="D318" s="79" t="s">
        <v>1292</v>
      </c>
      <c r="E318" s="79"/>
      <c r="F318" s="79" t="s">
        <v>1394</v>
      </c>
      <c r="G318" s="79" t="s">
        <v>564</v>
      </c>
      <c r="H318" s="79" t="s">
        <v>524</v>
      </c>
      <c r="I318" s="79"/>
      <c r="J318" s="79"/>
      <c r="K318" s="79" t="s">
        <v>1370</v>
      </c>
      <c r="L318" s="79"/>
    </row>
    <row r="319" spans="1:12" s="80" customFormat="1" ht="12.75">
      <c r="A319" s="79" t="s">
        <v>567</v>
      </c>
      <c r="B319" s="79" t="s">
        <v>285</v>
      </c>
      <c r="C319" s="79" t="s">
        <v>708</v>
      </c>
      <c r="D319" s="79" t="s">
        <v>1292</v>
      </c>
      <c r="E319" s="79"/>
      <c r="F319" s="79" t="s">
        <v>1394</v>
      </c>
      <c r="G319" s="79" t="s">
        <v>564</v>
      </c>
      <c r="H319" s="79" t="s">
        <v>524</v>
      </c>
      <c r="I319" s="79"/>
      <c r="J319" s="79"/>
      <c r="K319" s="79" t="s">
        <v>1370</v>
      </c>
      <c r="L319" s="79"/>
    </row>
    <row r="320" spans="1:12" s="80" customFormat="1" ht="12.75">
      <c r="A320" s="79" t="s">
        <v>567</v>
      </c>
      <c r="B320" s="79" t="s">
        <v>285</v>
      </c>
      <c r="C320" s="79" t="s">
        <v>1289</v>
      </c>
      <c r="D320" s="79" t="s">
        <v>1292</v>
      </c>
      <c r="E320" s="79"/>
      <c r="F320" s="79" t="s">
        <v>1394</v>
      </c>
      <c r="G320" s="79" t="s">
        <v>564</v>
      </c>
      <c r="H320" s="79" t="s">
        <v>524</v>
      </c>
      <c r="I320" s="79"/>
      <c r="J320" s="79"/>
      <c r="K320" s="79" t="s">
        <v>1370</v>
      </c>
      <c r="L320" s="79"/>
    </row>
    <row r="321" spans="1:14" s="80" customFormat="1" ht="12.75">
      <c r="A321" s="79" t="s">
        <v>567</v>
      </c>
      <c r="B321" s="79" t="s">
        <v>285</v>
      </c>
      <c r="C321" s="79" t="s">
        <v>1288</v>
      </c>
      <c r="D321" s="79" t="s">
        <v>1292</v>
      </c>
      <c r="E321" s="79"/>
      <c r="F321" s="79" t="s">
        <v>1394</v>
      </c>
      <c r="G321" s="79" t="s">
        <v>564</v>
      </c>
      <c r="H321" s="79" t="s">
        <v>524</v>
      </c>
      <c r="I321" s="79"/>
      <c r="J321" s="79"/>
      <c r="K321" s="79" t="s">
        <v>1370</v>
      </c>
      <c r="L321" s="79"/>
    </row>
    <row r="322" spans="1:14" s="80" customFormat="1" ht="12.75">
      <c r="A322" s="79" t="s">
        <v>567</v>
      </c>
      <c r="B322" s="79" t="s">
        <v>285</v>
      </c>
      <c r="C322" s="79" t="s">
        <v>1290</v>
      </c>
      <c r="D322" s="79" t="s">
        <v>1292</v>
      </c>
      <c r="E322" s="79"/>
      <c r="F322" s="79" t="s">
        <v>1394</v>
      </c>
      <c r="G322" s="79" t="s">
        <v>564</v>
      </c>
      <c r="H322" s="79" t="s">
        <v>524</v>
      </c>
      <c r="I322" s="79"/>
      <c r="J322" s="79"/>
      <c r="K322" s="79" t="s">
        <v>1370</v>
      </c>
      <c r="L322" s="79"/>
    </row>
    <row r="323" spans="1:14" s="80" customFormat="1" ht="12.75">
      <c r="A323" s="79" t="s">
        <v>567</v>
      </c>
      <c r="B323" s="79" t="s">
        <v>722</v>
      </c>
      <c r="C323" s="79" t="s">
        <v>715</v>
      </c>
      <c r="D323" s="79" t="s">
        <v>1292</v>
      </c>
      <c r="E323" s="79"/>
      <c r="F323" s="79" t="s">
        <v>1394</v>
      </c>
      <c r="G323" s="79" t="s">
        <v>569</v>
      </c>
      <c r="H323" s="79" t="s">
        <v>1338</v>
      </c>
      <c r="I323" s="79" t="s">
        <v>1340</v>
      </c>
      <c r="J323" s="79"/>
      <c r="K323" s="79" t="s">
        <v>1370</v>
      </c>
      <c r="L323" s="79"/>
    </row>
    <row r="324" spans="1:14" s="80" customFormat="1" ht="12.75">
      <c r="A324" s="79" t="s">
        <v>567</v>
      </c>
      <c r="B324" s="79" t="s">
        <v>722</v>
      </c>
      <c r="C324" s="79" t="s">
        <v>714</v>
      </c>
      <c r="D324" s="79" t="s">
        <v>1292</v>
      </c>
      <c r="E324" s="79"/>
      <c r="F324" s="79" t="s">
        <v>1394</v>
      </c>
      <c r="G324" s="79" t="s">
        <v>569</v>
      </c>
      <c r="H324" s="79" t="s">
        <v>1338</v>
      </c>
      <c r="I324" s="79" t="s">
        <v>1340</v>
      </c>
      <c r="J324" s="79"/>
      <c r="K324" s="79" t="s">
        <v>1370</v>
      </c>
      <c r="L324" s="79"/>
    </row>
    <row r="325" spans="1:14" s="80" customFormat="1" ht="12.75">
      <c r="A325" s="79" t="s">
        <v>567</v>
      </c>
      <c r="B325" s="79" t="s">
        <v>722</v>
      </c>
      <c r="C325" s="79" t="s">
        <v>713</v>
      </c>
      <c r="D325" s="79" t="s">
        <v>1292</v>
      </c>
      <c r="E325" s="79"/>
      <c r="F325" s="79" t="s">
        <v>1394</v>
      </c>
      <c r="G325" s="79" t="s">
        <v>569</v>
      </c>
      <c r="H325" s="79" t="s">
        <v>1338</v>
      </c>
      <c r="I325" s="79" t="s">
        <v>1340</v>
      </c>
      <c r="J325" s="79"/>
      <c r="K325" s="79" t="s">
        <v>1370</v>
      </c>
      <c r="L325" s="79"/>
    </row>
    <row r="326" spans="1:14" s="80" customFormat="1" ht="12.75">
      <c r="A326" s="79" t="s">
        <v>567</v>
      </c>
      <c r="B326" s="79" t="s">
        <v>722</v>
      </c>
      <c r="C326" s="79" t="s">
        <v>724</v>
      </c>
      <c r="D326" s="79" t="s">
        <v>1292</v>
      </c>
      <c r="E326" s="79"/>
      <c r="F326" s="79" t="s">
        <v>1394</v>
      </c>
      <c r="G326" s="79" t="s">
        <v>635</v>
      </c>
      <c r="H326" s="79" t="s">
        <v>1338</v>
      </c>
      <c r="I326" s="79" t="s">
        <v>1340</v>
      </c>
      <c r="J326" s="79"/>
      <c r="K326" s="79" t="s">
        <v>1370</v>
      </c>
      <c r="L326" s="79"/>
      <c r="N326" s="80" t="s">
        <v>1410</v>
      </c>
    </row>
    <row r="327" spans="1:14" s="80" customFormat="1" ht="12.75">
      <c r="A327" s="79" t="s">
        <v>567</v>
      </c>
      <c r="B327" s="79" t="s">
        <v>722</v>
      </c>
      <c r="C327" s="79" t="s">
        <v>1278</v>
      </c>
      <c r="D327" s="79" t="s">
        <v>1292</v>
      </c>
      <c r="E327" s="79"/>
      <c r="F327" s="79" t="s">
        <v>1394</v>
      </c>
      <c r="G327" s="79" t="s">
        <v>569</v>
      </c>
      <c r="H327" s="79" t="s">
        <v>1338</v>
      </c>
      <c r="I327" s="79" t="s">
        <v>1340</v>
      </c>
      <c r="J327" s="79"/>
      <c r="K327" s="79" t="s">
        <v>1370</v>
      </c>
      <c r="L327" s="79"/>
      <c r="N327" s="80" t="s">
        <v>1414</v>
      </c>
    </row>
    <row r="328" spans="1:14" s="80" customFormat="1" ht="12.75">
      <c r="A328" s="79" t="s">
        <v>567</v>
      </c>
      <c r="B328" s="79" t="s">
        <v>722</v>
      </c>
      <c r="C328" s="79" t="s">
        <v>729</v>
      </c>
      <c r="D328" s="79" t="s">
        <v>1292</v>
      </c>
      <c r="E328" s="79"/>
      <c r="F328" s="79" t="s">
        <v>1394</v>
      </c>
      <c r="G328" s="79" t="s">
        <v>569</v>
      </c>
      <c r="H328" s="79" t="s">
        <v>1338</v>
      </c>
      <c r="I328" s="79" t="s">
        <v>1340</v>
      </c>
      <c r="J328" s="79"/>
      <c r="K328" s="79" t="s">
        <v>1370</v>
      </c>
      <c r="L328" s="79"/>
      <c r="N328" s="80" t="s">
        <v>1412</v>
      </c>
    </row>
    <row r="329" spans="1:14" s="80" customFormat="1" ht="12.75">
      <c r="A329" s="79" t="s">
        <v>567</v>
      </c>
      <c r="B329" s="79" t="s">
        <v>722</v>
      </c>
      <c r="C329" s="79" t="s">
        <v>728</v>
      </c>
      <c r="D329" s="79" t="s">
        <v>1292</v>
      </c>
      <c r="E329" s="79"/>
      <c r="F329" s="79" t="s">
        <v>1394</v>
      </c>
      <c r="G329" s="79" t="s">
        <v>569</v>
      </c>
      <c r="H329" s="79" t="s">
        <v>1338</v>
      </c>
      <c r="I329" s="79" t="s">
        <v>1340</v>
      </c>
      <c r="J329" s="79"/>
      <c r="K329" s="79" t="s">
        <v>1370</v>
      </c>
      <c r="L329" s="79"/>
    </row>
    <row r="330" spans="1:14" s="80" customFormat="1" ht="12.75">
      <c r="A330" s="79" t="s">
        <v>567</v>
      </c>
      <c r="B330" s="79" t="s">
        <v>722</v>
      </c>
      <c r="C330" s="79" t="s">
        <v>723</v>
      </c>
      <c r="D330" s="79" t="s">
        <v>1292</v>
      </c>
      <c r="E330" s="79"/>
      <c r="F330" s="79" t="s">
        <v>1394</v>
      </c>
      <c r="G330" s="79" t="s">
        <v>569</v>
      </c>
      <c r="H330" s="79" t="s">
        <v>1338</v>
      </c>
      <c r="I330" s="79" t="s">
        <v>1340</v>
      </c>
      <c r="J330" s="79"/>
      <c r="K330" s="79" t="s">
        <v>1370</v>
      </c>
      <c r="L330" s="79"/>
      <c r="N330" s="80" t="s">
        <v>1411</v>
      </c>
    </row>
    <row r="331" spans="1:14" s="80" customFormat="1" ht="12.75">
      <c r="A331" s="79" t="s">
        <v>567</v>
      </c>
      <c r="B331" s="79" t="s">
        <v>722</v>
      </c>
      <c r="C331" s="79" t="s">
        <v>727</v>
      </c>
      <c r="D331" s="79" t="s">
        <v>1292</v>
      </c>
      <c r="E331" s="79"/>
      <c r="F331" s="79" t="s">
        <v>1394</v>
      </c>
      <c r="G331" s="79" t="s">
        <v>569</v>
      </c>
      <c r="H331" s="79" t="s">
        <v>1338</v>
      </c>
      <c r="I331" s="79" t="s">
        <v>1340</v>
      </c>
      <c r="J331" s="79"/>
      <c r="K331" s="79" t="s">
        <v>1370</v>
      </c>
      <c r="L331" s="79"/>
    </row>
    <row r="332" spans="1:14" s="80" customFormat="1" ht="12.75">
      <c r="A332" s="79" t="s">
        <v>567</v>
      </c>
      <c r="B332" s="79" t="s">
        <v>722</v>
      </c>
      <c r="C332" s="79" t="s">
        <v>726</v>
      </c>
      <c r="D332" s="79" t="s">
        <v>1292</v>
      </c>
      <c r="E332" s="79"/>
      <c r="F332" s="79" t="s">
        <v>1394</v>
      </c>
      <c r="G332" s="79" t="s">
        <v>569</v>
      </c>
      <c r="H332" s="79" t="s">
        <v>1338</v>
      </c>
      <c r="I332" s="79" t="s">
        <v>1340</v>
      </c>
      <c r="J332" s="79"/>
      <c r="K332" s="79" t="s">
        <v>1370</v>
      </c>
      <c r="L332" s="79"/>
    </row>
    <row r="333" spans="1:14" s="80" customFormat="1" ht="12.75">
      <c r="A333" s="79" t="s">
        <v>567</v>
      </c>
      <c r="B333" s="79" t="s">
        <v>792</v>
      </c>
      <c r="C333" s="79" t="s">
        <v>818</v>
      </c>
      <c r="D333" s="79" t="s">
        <v>524</v>
      </c>
      <c r="E333" s="79"/>
      <c r="F333" s="79" t="s">
        <v>1394</v>
      </c>
      <c r="G333" s="79" t="s">
        <v>564</v>
      </c>
      <c r="H333" s="79" t="s">
        <v>524</v>
      </c>
      <c r="I333" s="79"/>
      <c r="J333" s="79"/>
      <c r="K333" s="79" t="s">
        <v>1370</v>
      </c>
      <c r="L333" s="79"/>
    </row>
    <row r="334" spans="1:14" s="80" customFormat="1" ht="12.75">
      <c r="A334" s="79" t="s">
        <v>567</v>
      </c>
      <c r="B334" s="79" t="s">
        <v>792</v>
      </c>
      <c r="C334" s="79" t="s">
        <v>819</v>
      </c>
      <c r="D334" s="79" t="s">
        <v>524</v>
      </c>
      <c r="E334" s="79"/>
      <c r="F334" s="79" t="s">
        <v>1394</v>
      </c>
      <c r="G334" s="79" t="s">
        <v>564</v>
      </c>
      <c r="H334" s="79" t="s">
        <v>524</v>
      </c>
      <c r="I334" s="79"/>
      <c r="J334" s="79"/>
      <c r="K334" s="79" t="s">
        <v>1370</v>
      </c>
      <c r="L334" s="79"/>
    </row>
    <row r="335" spans="1:14" s="80" customFormat="1" ht="12.75">
      <c r="A335" s="79" t="s">
        <v>567</v>
      </c>
      <c r="B335" s="79" t="s">
        <v>792</v>
      </c>
      <c r="C335" s="79" t="s">
        <v>825</v>
      </c>
      <c r="D335" s="79" t="s">
        <v>524</v>
      </c>
      <c r="E335" s="79"/>
      <c r="F335" s="79" t="s">
        <v>1394</v>
      </c>
      <c r="G335" s="79" t="s">
        <v>564</v>
      </c>
      <c r="H335" s="79" t="s">
        <v>524</v>
      </c>
      <c r="I335" s="79"/>
      <c r="J335" s="79"/>
      <c r="K335" s="79" t="s">
        <v>1370</v>
      </c>
      <c r="L335" s="79"/>
    </row>
    <row r="336" spans="1:14" s="80" customFormat="1" ht="12.75">
      <c r="A336" s="79" t="s">
        <v>567</v>
      </c>
      <c r="B336" s="79" t="s">
        <v>792</v>
      </c>
      <c r="C336" s="79" t="s">
        <v>824</v>
      </c>
      <c r="D336" s="79" t="s">
        <v>524</v>
      </c>
      <c r="E336" s="79"/>
      <c r="F336" s="79" t="s">
        <v>1394</v>
      </c>
      <c r="G336" s="79" t="s">
        <v>564</v>
      </c>
      <c r="H336" s="79" t="s">
        <v>524</v>
      </c>
      <c r="I336" s="79"/>
      <c r="J336" s="79"/>
      <c r="K336" s="79" t="s">
        <v>1370</v>
      </c>
      <c r="L336" s="79"/>
    </row>
    <row r="337" spans="1:12" s="80" customFormat="1" ht="12.75">
      <c r="A337" s="79" t="s">
        <v>567</v>
      </c>
      <c r="B337" s="79" t="s">
        <v>792</v>
      </c>
      <c r="C337" s="79" t="s">
        <v>820</v>
      </c>
      <c r="D337" s="79" t="s">
        <v>524</v>
      </c>
      <c r="E337" s="79"/>
      <c r="F337" s="79" t="s">
        <v>1394</v>
      </c>
      <c r="G337" s="79" t="s">
        <v>564</v>
      </c>
      <c r="H337" s="79" t="s">
        <v>524</v>
      </c>
      <c r="I337" s="79"/>
      <c r="J337" s="79"/>
      <c r="K337" s="79" t="s">
        <v>1370</v>
      </c>
      <c r="L337" s="79"/>
    </row>
    <row r="338" spans="1:12" s="80" customFormat="1" ht="12.75">
      <c r="A338" s="79" t="s">
        <v>567</v>
      </c>
      <c r="B338" s="79" t="s">
        <v>792</v>
      </c>
      <c r="C338" s="79" t="s">
        <v>829</v>
      </c>
      <c r="D338" s="79" t="s">
        <v>524</v>
      </c>
      <c r="E338" s="79"/>
      <c r="F338" s="79" t="s">
        <v>1394</v>
      </c>
      <c r="G338" s="79" t="s">
        <v>564</v>
      </c>
      <c r="H338" s="79" t="s">
        <v>524</v>
      </c>
      <c r="I338" s="79"/>
      <c r="J338" s="79"/>
      <c r="K338" s="79" t="s">
        <v>1370</v>
      </c>
      <c r="L338" s="79"/>
    </row>
    <row r="339" spans="1:12" s="80" customFormat="1" ht="12.75">
      <c r="A339" s="79" t="s">
        <v>567</v>
      </c>
      <c r="B339" s="79" t="s">
        <v>792</v>
      </c>
      <c r="C339" s="79" t="s">
        <v>817</v>
      </c>
      <c r="D339" s="79" t="s">
        <v>524</v>
      </c>
      <c r="E339" s="79"/>
      <c r="F339" s="79" t="s">
        <v>1394</v>
      </c>
      <c r="G339" s="79" t="s">
        <v>564</v>
      </c>
      <c r="H339" s="79" t="s">
        <v>524</v>
      </c>
      <c r="I339" s="79"/>
      <c r="J339" s="79"/>
      <c r="K339" s="79" t="s">
        <v>1370</v>
      </c>
      <c r="L339" s="79"/>
    </row>
    <row r="340" spans="1:12" s="80" customFormat="1" ht="12.75">
      <c r="A340" s="79" t="s">
        <v>567</v>
      </c>
      <c r="B340" s="79" t="s">
        <v>792</v>
      </c>
      <c r="C340" s="79" t="s">
        <v>830</v>
      </c>
      <c r="D340" s="79" t="s">
        <v>524</v>
      </c>
      <c r="E340" s="79"/>
      <c r="F340" s="79" t="s">
        <v>1394</v>
      </c>
      <c r="G340" s="79" t="s">
        <v>564</v>
      </c>
      <c r="H340" s="79" t="s">
        <v>524</v>
      </c>
      <c r="I340" s="79"/>
      <c r="J340" s="79"/>
      <c r="K340" s="79" t="s">
        <v>1370</v>
      </c>
      <c r="L340" s="79"/>
    </row>
    <row r="341" spans="1:12" s="80" customFormat="1" ht="12.75">
      <c r="A341" s="79" t="s">
        <v>567</v>
      </c>
      <c r="B341" s="79" t="s">
        <v>792</v>
      </c>
      <c r="C341" s="79" t="s">
        <v>827</v>
      </c>
      <c r="D341" s="79" t="s">
        <v>524</v>
      </c>
      <c r="E341" s="79"/>
      <c r="F341" s="79" t="s">
        <v>1394</v>
      </c>
      <c r="G341" s="79" t="s">
        <v>564</v>
      </c>
      <c r="H341" s="79" t="s">
        <v>524</v>
      </c>
      <c r="I341" s="79"/>
      <c r="J341" s="79"/>
      <c r="K341" s="79" t="s">
        <v>1370</v>
      </c>
      <c r="L341" s="79"/>
    </row>
    <row r="342" spans="1:12" s="80" customFormat="1" ht="12.75">
      <c r="A342" s="79" t="s">
        <v>567</v>
      </c>
      <c r="B342" s="79" t="s">
        <v>792</v>
      </c>
      <c r="C342" s="79" t="s">
        <v>826</v>
      </c>
      <c r="D342" s="79" t="s">
        <v>524</v>
      </c>
      <c r="E342" s="79"/>
      <c r="F342" s="79" t="s">
        <v>1394</v>
      </c>
      <c r="G342" s="79" t="s">
        <v>564</v>
      </c>
      <c r="H342" s="79" t="s">
        <v>524</v>
      </c>
      <c r="I342" s="79"/>
      <c r="J342" s="79"/>
      <c r="K342" s="79" t="s">
        <v>1370</v>
      </c>
      <c r="L342" s="79"/>
    </row>
    <row r="343" spans="1:12" s="80" customFormat="1" ht="12.75">
      <c r="A343" s="79" t="s">
        <v>567</v>
      </c>
      <c r="B343" s="79" t="s">
        <v>792</v>
      </c>
      <c r="C343" s="79" t="s">
        <v>822</v>
      </c>
      <c r="D343" s="79" t="s">
        <v>524</v>
      </c>
      <c r="E343" s="79"/>
      <c r="F343" s="79" t="s">
        <v>1394</v>
      </c>
      <c r="G343" s="79" t="s">
        <v>564</v>
      </c>
      <c r="H343" s="79" t="s">
        <v>524</v>
      </c>
      <c r="I343" s="79"/>
      <c r="J343" s="79"/>
      <c r="K343" s="79" t="s">
        <v>1370</v>
      </c>
      <c r="L343" s="79"/>
    </row>
    <row r="344" spans="1:12" s="80" customFormat="1" ht="12.75">
      <c r="A344" s="79" t="s">
        <v>567</v>
      </c>
      <c r="B344" s="79" t="s">
        <v>792</v>
      </c>
      <c r="C344" s="79" t="s">
        <v>828</v>
      </c>
      <c r="D344" s="79" t="s">
        <v>524</v>
      </c>
      <c r="E344" s="79"/>
      <c r="F344" s="79" t="s">
        <v>1394</v>
      </c>
      <c r="G344" s="79" t="s">
        <v>564</v>
      </c>
      <c r="H344" s="79" t="s">
        <v>524</v>
      </c>
      <c r="I344" s="79"/>
      <c r="J344" s="79"/>
      <c r="K344" s="79" t="s">
        <v>1370</v>
      </c>
      <c r="L344" s="79"/>
    </row>
    <row r="345" spans="1:12" s="80" customFormat="1" ht="12.75">
      <c r="A345" s="79" t="s">
        <v>567</v>
      </c>
      <c r="B345" s="79" t="s">
        <v>792</v>
      </c>
      <c r="C345" s="79" t="s">
        <v>799</v>
      </c>
      <c r="D345" s="79" t="s">
        <v>524</v>
      </c>
      <c r="E345" s="79"/>
      <c r="F345" s="79" t="s">
        <v>1394</v>
      </c>
      <c r="G345" s="79" t="s">
        <v>564</v>
      </c>
      <c r="H345" s="79" t="s">
        <v>524</v>
      </c>
      <c r="I345" s="79"/>
      <c r="J345" s="79"/>
      <c r="K345" s="79" t="s">
        <v>1370</v>
      </c>
      <c r="L345" s="79"/>
    </row>
    <row r="346" spans="1:12" s="80" customFormat="1" ht="12.75">
      <c r="A346" s="79" t="s">
        <v>567</v>
      </c>
      <c r="B346" s="79" t="s">
        <v>792</v>
      </c>
      <c r="C346" s="79" t="s">
        <v>800</v>
      </c>
      <c r="D346" s="79" t="s">
        <v>524</v>
      </c>
      <c r="E346" s="79"/>
      <c r="F346" s="79" t="s">
        <v>1394</v>
      </c>
      <c r="G346" s="79" t="s">
        <v>564</v>
      </c>
      <c r="H346" s="79" t="s">
        <v>524</v>
      </c>
      <c r="I346" s="79"/>
      <c r="J346" s="79"/>
      <c r="K346" s="79" t="s">
        <v>1370</v>
      </c>
      <c r="L346" s="79"/>
    </row>
    <row r="347" spans="1:12" s="80" customFormat="1" ht="12.75">
      <c r="A347" s="79" t="s">
        <v>567</v>
      </c>
      <c r="B347" s="79" t="s">
        <v>792</v>
      </c>
      <c r="C347" s="79" t="s">
        <v>806</v>
      </c>
      <c r="D347" s="79" t="s">
        <v>524</v>
      </c>
      <c r="E347" s="79"/>
      <c r="F347" s="79" t="s">
        <v>1394</v>
      </c>
      <c r="G347" s="79" t="s">
        <v>564</v>
      </c>
      <c r="H347" s="79" t="s">
        <v>524</v>
      </c>
      <c r="I347" s="79"/>
      <c r="J347" s="79"/>
      <c r="K347" s="79" t="s">
        <v>1370</v>
      </c>
      <c r="L347" s="79"/>
    </row>
    <row r="348" spans="1:12" s="80" customFormat="1" ht="12.75">
      <c r="A348" s="79" t="s">
        <v>567</v>
      </c>
      <c r="B348" s="79" t="s">
        <v>792</v>
      </c>
      <c r="C348" s="79" t="s">
        <v>805</v>
      </c>
      <c r="D348" s="79" t="s">
        <v>524</v>
      </c>
      <c r="E348" s="79"/>
      <c r="F348" s="79" t="s">
        <v>1394</v>
      </c>
      <c r="G348" s="79" t="s">
        <v>564</v>
      </c>
      <c r="H348" s="79" t="s">
        <v>524</v>
      </c>
      <c r="I348" s="79"/>
      <c r="J348" s="79"/>
      <c r="K348" s="79" t="s">
        <v>1370</v>
      </c>
      <c r="L348" s="79"/>
    </row>
    <row r="349" spans="1:12" s="80" customFormat="1" ht="12.75">
      <c r="A349" s="79" t="s">
        <v>567</v>
      </c>
      <c r="B349" s="79" t="s">
        <v>792</v>
      </c>
      <c r="C349" s="79" t="s">
        <v>801</v>
      </c>
      <c r="D349" s="79" t="s">
        <v>524</v>
      </c>
      <c r="E349" s="79"/>
      <c r="F349" s="79" t="s">
        <v>1394</v>
      </c>
      <c r="G349" s="79" t="s">
        <v>564</v>
      </c>
      <c r="H349" s="79" t="s">
        <v>524</v>
      </c>
      <c r="I349" s="79"/>
      <c r="J349" s="79"/>
      <c r="K349" s="79" t="s">
        <v>1370</v>
      </c>
      <c r="L349" s="79"/>
    </row>
    <row r="350" spans="1:12" s="80" customFormat="1" ht="12.75">
      <c r="A350" s="79" t="s">
        <v>567</v>
      </c>
      <c r="B350" s="79" t="s">
        <v>792</v>
      </c>
      <c r="C350" s="79" t="s">
        <v>810</v>
      </c>
      <c r="D350" s="79" t="s">
        <v>524</v>
      </c>
      <c r="E350" s="79"/>
      <c r="F350" s="79" t="s">
        <v>1394</v>
      </c>
      <c r="G350" s="79" t="s">
        <v>564</v>
      </c>
      <c r="H350" s="79" t="s">
        <v>524</v>
      </c>
      <c r="I350" s="79"/>
      <c r="J350" s="79"/>
      <c r="K350" s="79" t="s">
        <v>1370</v>
      </c>
      <c r="L350" s="79" t="s">
        <v>963</v>
      </c>
    </row>
    <row r="351" spans="1:12" s="80" customFormat="1" ht="12.75">
      <c r="A351" s="79" t="s">
        <v>567</v>
      </c>
      <c r="B351" s="79" t="s">
        <v>792</v>
      </c>
      <c r="C351" s="79" t="s">
        <v>798</v>
      </c>
      <c r="D351" s="79" t="s">
        <v>524</v>
      </c>
      <c r="E351" s="79"/>
      <c r="F351" s="79" t="s">
        <v>1394</v>
      </c>
      <c r="G351" s="79" t="s">
        <v>564</v>
      </c>
      <c r="H351" s="79" t="s">
        <v>524</v>
      </c>
      <c r="I351" s="79"/>
      <c r="J351" s="79"/>
      <c r="K351" s="79" t="s">
        <v>1370</v>
      </c>
      <c r="L351" s="79"/>
    </row>
    <row r="352" spans="1:12" s="80" customFormat="1" ht="12.75">
      <c r="A352" s="79" t="s">
        <v>567</v>
      </c>
      <c r="B352" s="79" t="s">
        <v>792</v>
      </c>
      <c r="C352" s="79" t="s">
        <v>811</v>
      </c>
      <c r="D352" s="79" t="s">
        <v>524</v>
      </c>
      <c r="E352" s="79"/>
      <c r="F352" s="79" t="s">
        <v>1394</v>
      </c>
      <c r="G352" s="79" t="s">
        <v>564</v>
      </c>
      <c r="H352" s="79" t="s">
        <v>524</v>
      </c>
      <c r="I352" s="79"/>
      <c r="J352" s="79"/>
      <c r="K352" s="79" t="s">
        <v>1370</v>
      </c>
      <c r="L352" s="79"/>
    </row>
    <row r="353" spans="1:12" s="80" customFormat="1" ht="12.75">
      <c r="A353" s="79" t="s">
        <v>567</v>
      </c>
      <c r="B353" s="79" t="s">
        <v>792</v>
      </c>
      <c r="C353" s="79" t="s">
        <v>808</v>
      </c>
      <c r="D353" s="79" t="s">
        <v>524</v>
      </c>
      <c r="E353" s="79"/>
      <c r="F353" s="79" t="s">
        <v>1394</v>
      </c>
      <c r="G353" s="79" t="s">
        <v>564</v>
      </c>
      <c r="H353" s="79" t="s">
        <v>524</v>
      </c>
      <c r="I353" s="79"/>
      <c r="J353" s="79"/>
      <c r="K353" s="79" t="s">
        <v>1370</v>
      </c>
      <c r="L353" s="79"/>
    </row>
    <row r="354" spans="1:12" s="80" customFormat="1" ht="12.75">
      <c r="A354" s="79" t="s">
        <v>567</v>
      </c>
      <c r="B354" s="79" t="s">
        <v>792</v>
      </c>
      <c r="C354" s="79" t="s">
        <v>803</v>
      </c>
      <c r="D354" s="79" t="s">
        <v>524</v>
      </c>
      <c r="E354" s="79"/>
      <c r="F354" s="79" t="s">
        <v>1394</v>
      </c>
      <c r="G354" s="79" t="s">
        <v>564</v>
      </c>
      <c r="H354" s="79" t="s">
        <v>524</v>
      </c>
      <c r="I354" s="79"/>
      <c r="J354" s="79"/>
      <c r="K354" s="79" t="s">
        <v>1370</v>
      </c>
      <c r="L354" s="79"/>
    </row>
    <row r="355" spans="1:12" s="80" customFormat="1" ht="12.75">
      <c r="A355" s="79" t="s">
        <v>567</v>
      </c>
      <c r="B355" s="79" t="s">
        <v>792</v>
      </c>
      <c r="C355" s="79" t="s">
        <v>809</v>
      </c>
      <c r="D355" s="79" t="s">
        <v>524</v>
      </c>
      <c r="E355" s="79"/>
      <c r="F355" s="79" t="s">
        <v>1394</v>
      </c>
      <c r="G355" s="79" t="s">
        <v>564</v>
      </c>
      <c r="H355" s="79" t="s">
        <v>524</v>
      </c>
      <c r="I355" s="79"/>
      <c r="J355" s="79"/>
      <c r="K355" s="79" t="s">
        <v>1370</v>
      </c>
      <c r="L355" s="79"/>
    </row>
    <row r="356" spans="1:12" s="80" customFormat="1" ht="12.75">
      <c r="A356" s="79" t="s">
        <v>567</v>
      </c>
      <c r="B356" s="79" t="s">
        <v>562</v>
      </c>
      <c r="C356" s="79" t="s">
        <v>568</v>
      </c>
      <c r="D356" s="79" t="s">
        <v>1242</v>
      </c>
      <c r="E356" s="79"/>
      <c r="F356" s="79" t="s">
        <v>1395</v>
      </c>
      <c r="G356" s="79" t="s">
        <v>569</v>
      </c>
      <c r="H356" s="79" t="s">
        <v>1336</v>
      </c>
      <c r="I356" s="79"/>
      <c r="J356" s="79"/>
      <c r="K356" s="79" t="s">
        <v>1372</v>
      </c>
      <c r="L356" s="79"/>
    </row>
    <row r="357" spans="1:12" s="80" customFormat="1" ht="12.75">
      <c r="A357" s="79" t="s">
        <v>567</v>
      </c>
      <c r="B357" s="79" t="s">
        <v>562</v>
      </c>
      <c r="C357" s="79" t="s">
        <v>1098</v>
      </c>
      <c r="D357" s="79" t="s">
        <v>1242</v>
      </c>
      <c r="E357" s="79"/>
      <c r="F357" s="79" t="s">
        <v>1395</v>
      </c>
      <c r="G357" s="79" t="s">
        <v>564</v>
      </c>
      <c r="H357" s="79" t="s">
        <v>1337</v>
      </c>
      <c r="I357" s="79"/>
      <c r="J357" s="79"/>
      <c r="K357" s="79" t="s">
        <v>1372</v>
      </c>
      <c r="L357" s="79"/>
    </row>
    <row r="358" spans="1:12" s="80" customFormat="1" ht="12.75">
      <c r="A358" s="79" t="s">
        <v>567</v>
      </c>
      <c r="B358" s="79" t="s">
        <v>562</v>
      </c>
      <c r="C358" s="79" t="s">
        <v>1367</v>
      </c>
      <c r="D358" s="79" t="s">
        <v>1242</v>
      </c>
      <c r="E358" s="79"/>
      <c r="F358" s="79" t="s">
        <v>1395</v>
      </c>
      <c r="G358" s="79" t="s">
        <v>564</v>
      </c>
      <c r="H358" s="79" t="s">
        <v>1337</v>
      </c>
      <c r="I358" s="79"/>
      <c r="J358" s="79"/>
      <c r="K358" s="79" t="s">
        <v>1372</v>
      </c>
      <c r="L358" s="79"/>
    </row>
    <row r="359" spans="1:12" s="80" customFormat="1" ht="12.75">
      <c r="A359" s="79" t="s">
        <v>567</v>
      </c>
      <c r="B359" s="79" t="s">
        <v>562</v>
      </c>
      <c r="C359" s="79" t="s">
        <v>571</v>
      </c>
      <c r="D359" s="79" t="s">
        <v>1242</v>
      </c>
      <c r="E359" s="79"/>
      <c r="F359" s="79" t="s">
        <v>1395</v>
      </c>
      <c r="G359" s="79" t="s">
        <v>569</v>
      </c>
      <c r="H359" s="79" t="s">
        <v>1336</v>
      </c>
      <c r="I359" s="79"/>
      <c r="J359" s="79"/>
      <c r="K359" s="79" t="s">
        <v>1372</v>
      </c>
      <c r="L359" s="79"/>
    </row>
    <row r="360" spans="1:12" s="80" customFormat="1" ht="12.75">
      <c r="A360" s="79" t="s">
        <v>567</v>
      </c>
      <c r="B360" s="79" t="s">
        <v>831</v>
      </c>
      <c r="C360" s="79" t="s">
        <v>845</v>
      </c>
      <c r="D360" s="79" t="s">
        <v>524</v>
      </c>
      <c r="E360" s="79"/>
      <c r="F360" s="79" t="s">
        <v>1395</v>
      </c>
      <c r="G360" s="79" t="s">
        <v>564</v>
      </c>
      <c r="H360" s="79" t="s">
        <v>524</v>
      </c>
      <c r="I360" s="79"/>
      <c r="J360" s="79"/>
      <c r="K360" s="79" t="s">
        <v>1372</v>
      </c>
      <c r="L360" s="79"/>
    </row>
    <row r="361" spans="1:12" s="80" customFormat="1" ht="12.75">
      <c r="A361" s="79" t="s">
        <v>567</v>
      </c>
      <c r="B361" s="79" t="s">
        <v>831</v>
      </c>
      <c r="C361" s="79" t="s">
        <v>1250</v>
      </c>
      <c r="D361" s="79" t="s">
        <v>524</v>
      </c>
      <c r="E361" s="79"/>
      <c r="F361" s="79" t="s">
        <v>1395</v>
      </c>
      <c r="G361" s="79" t="s">
        <v>569</v>
      </c>
      <c r="H361" s="79" t="s">
        <v>524</v>
      </c>
      <c r="I361" s="79"/>
      <c r="J361" s="79"/>
      <c r="K361" s="79" t="s">
        <v>1372</v>
      </c>
      <c r="L361" s="79"/>
    </row>
    <row r="362" spans="1:12" s="80" customFormat="1" ht="12.75">
      <c r="A362" s="79" t="s">
        <v>567</v>
      </c>
      <c r="B362" s="79" t="s">
        <v>831</v>
      </c>
      <c r="C362" s="79" t="s">
        <v>1034</v>
      </c>
      <c r="D362" s="79" t="s">
        <v>563</v>
      </c>
      <c r="E362" s="79"/>
      <c r="F362" s="79" t="s">
        <v>1395</v>
      </c>
      <c r="G362" s="79" t="s">
        <v>564</v>
      </c>
      <c r="H362" s="79" t="s">
        <v>1338</v>
      </c>
      <c r="I362" s="79" t="s">
        <v>1340</v>
      </c>
      <c r="J362" s="79"/>
      <c r="K362" s="79" t="s">
        <v>1372</v>
      </c>
      <c r="L362" s="79"/>
    </row>
    <row r="363" spans="1:12" s="80" customFormat="1" ht="12.75">
      <c r="A363" s="79" t="s">
        <v>567</v>
      </c>
      <c r="B363" s="79" t="s">
        <v>831</v>
      </c>
      <c r="C363" s="79" t="s">
        <v>1253</v>
      </c>
      <c r="D363" s="79" t="s">
        <v>524</v>
      </c>
      <c r="E363" s="79"/>
      <c r="F363" s="79" t="s">
        <v>1395</v>
      </c>
      <c r="G363" s="79" t="s">
        <v>564</v>
      </c>
      <c r="H363" s="79" t="s">
        <v>524</v>
      </c>
      <c r="I363" s="79"/>
      <c r="J363" s="79"/>
      <c r="K363" s="79" t="s">
        <v>1372</v>
      </c>
      <c r="L363" s="79"/>
    </row>
    <row r="364" spans="1:12" s="80" customFormat="1" ht="12.75">
      <c r="A364" s="79" t="s">
        <v>567</v>
      </c>
      <c r="B364" s="79" t="s">
        <v>831</v>
      </c>
      <c r="C364" s="79" t="s">
        <v>847</v>
      </c>
      <c r="D364" s="79" t="s">
        <v>563</v>
      </c>
      <c r="E364" s="79"/>
      <c r="F364" s="79" t="s">
        <v>1395</v>
      </c>
      <c r="G364" s="79" t="s">
        <v>569</v>
      </c>
      <c r="H364" s="79" t="s">
        <v>1338</v>
      </c>
      <c r="I364" s="79" t="s">
        <v>1340</v>
      </c>
      <c r="J364" s="79"/>
      <c r="K364" s="79" t="s">
        <v>1372</v>
      </c>
      <c r="L364" s="79"/>
    </row>
    <row r="365" spans="1:12" s="80" customFormat="1" ht="12.75">
      <c r="A365" s="79" t="s">
        <v>567</v>
      </c>
      <c r="B365" s="79" t="s">
        <v>831</v>
      </c>
      <c r="C365" s="79" t="s">
        <v>846</v>
      </c>
      <c r="D365" s="79" t="s">
        <v>563</v>
      </c>
      <c r="E365" s="79"/>
      <c r="F365" s="79" t="s">
        <v>1395</v>
      </c>
      <c r="G365" s="79" t="s">
        <v>569</v>
      </c>
      <c r="H365" s="79" t="s">
        <v>1338</v>
      </c>
      <c r="I365" s="79" t="s">
        <v>1340</v>
      </c>
      <c r="J365" s="79"/>
      <c r="K365" s="79" t="s">
        <v>1372</v>
      </c>
      <c r="L365" s="79"/>
    </row>
    <row r="366" spans="1:12" s="80" customFormat="1" ht="12.75">
      <c r="A366" s="79" t="s">
        <v>567</v>
      </c>
      <c r="B366" s="79" t="s">
        <v>831</v>
      </c>
      <c r="C366" s="79" t="s">
        <v>842</v>
      </c>
      <c r="D366" s="79" t="s">
        <v>524</v>
      </c>
      <c r="E366" s="79"/>
      <c r="F366" s="79" t="s">
        <v>1395</v>
      </c>
      <c r="G366" s="79" t="s">
        <v>569</v>
      </c>
      <c r="H366" s="79" t="s">
        <v>524</v>
      </c>
      <c r="I366" s="79"/>
      <c r="J366" s="79"/>
      <c r="K366" s="79" t="s">
        <v>1372</v>
      </c>
      <c r="L366" s="79"/>
    </row>
    <row r="367" spans="1:12" s="80" customFormat="1" ht="12.75">
      <c r="A367" s="79" t="s">
        <v>567</v>
      </c>
      <c r="B367" s="79" t="s">
        <v>831</v>
      </c>
      <c r="C367" s="79" t="s">
        <v>832</v>
      </c>
      <c r="D367" s="79" t="s">
        <v>524</v>
      </c>
      <c r="E367" s="79"/>
      <c r="F367" s="79" t="s">
        <v>1395</v>
      </c>
      <c r="G367" s="79" t="s">
        <v>564</v>
      </c>
      <c r="H367" s="79" t="s">
        <v>524</v>
      </c>
      <c r="I367" s="79"/>
      <c r="J367" s="79"/>
      <c r="K367" s="79" t="s">
        <v>1372</v>
      </c>
      <c r="L367" s="79"/>
    </row>
    <row r="368" spans="1:12" s="80" customFormat="1" ht="12.75">
      <c r="A368" s="79" t="s">
        <v>567</v>
      </c>
      <c r="B368" s="79" t="s">
        <v>527</v>
      </c>
      <c r="C368" s="79" t="s">
        <v>774</v>
      </c>
      <c r="D368" s="79" t="s">
        <v>1294</v>
      </c>
      <c r="E368" s="79"/>
      <c r="F368" s="79" t="s">
        <v>1395</v>
      </c>
      <c r="G368" s="79" t="s">
        <v>564</v>
      </c>
      <c r="H368" s="79" t="s">
        <v>524</v>
      </c>
      <c r="I368" s="79"/>
      <c r="J368" s="79"/>
      <c r="K368" s="79" t="s">
        <v>1372</v>
      </c>
      <c r="L368" s="79"/>
    </row>
    <row r="369" spans="1:12" s="80" customFormat="1" ht="12.75">
      <c r="A369" s="79" t="s">
        <v>567</v>
      </c>
      <c r="B369" s="79" t="s">
        <v>527</v>
      </c>
      <c r="C369" s="79" t="s">
        <v>766</v>
      </c>
      <c r="D369" s="79" t="s">
        <v>1294</v>
      </c>
      <c r="E369" s="79"/>
      <c r="F369" s="79" t="s">
        <v>1395</v>
      </c>
      <c r="G369" s="79" t="s">
        <v>564</v>
      </c>
      <c r="H369" s="79" t="s">
        <v>524</v>
      </c>
      <c r="I369" s="79"/>
      <c r="J369" s="79"/>
      <c r="K369" s="79" t="s">
        <v>1372</v>
      </c>
      <c r="L369" s="79"/>
    </row>
    <row r="370" spans="1:12" s="80" customFormat="1" ht="12.75">
      <c r="A370" s="79" t="s">
        <v>567</v>
      </c>
      <c r="B370" s="79" t="s">
        <v>527</v>
      </c>
      <c r="C370" s="79" t="s">
        <v>767</v>
      </c>
      <c r="D370" s="79" t="s">
        <v>1294</v>
      </c>
      <c r="E370" s="79"/>
      <c r="F370" s="79" t="s">
        <v>1395</v>
      </c>
      <c r="G370" s="79" t="s">
        <v>564</v>
      </c>
      <c r="H370" s="79" t="s">
        <v>524</v>
      </c>
      <c r="I370" s="79"/>
      <c r="J370" s="79"/>
      <c r="K370" s="79" t="s">
        <v>1372</v>
      </c>
      <c r="L370" s="79"/>
    </row>
    <row r="371" spans="1:12" s="80" customFormat="1" ht="12.75">
      <c r="A371" s="79" t="s">
        <v>567</v>
      </c>
      <c r="B371" s="79" t="s">
        <v>527</v>
      </c>
      <c r="C371" s="79" t="s">
        <v>775</v>
      </c>
      <c r="D371" s="79" t="s">
        <v>1294</v>
      </c>
      <c r="E371" s="79"/>
      <c r="F371" s="79" t="s">
        <v>1395</v>
      </c>
      <c r="G371" s="79" t="s">
        <v>564</v>
      </c>
      <c r="H371" s="79" t="s">
        <v>524</v>
      </c>
      <c r="I371" s="79"/>
      <c r="J371" s="79"/>
      <c r="K371" s="79" t="s">
        <v>1372</v>
      </c>
      <c r="L371" s="79"/>
    </row>
    <row r="372" spans="1:12" s="80" customFormat="1" ht="12.75">
      <c r="A372" s="79" t="s">
        <v>567</v>
      </c>
      <c r="B372" s="79" t="s">
        <v>527</v>
      </c>
      <c r="C372" s="79" t="s">
        <v>770</v>
      </c>
      <c r="D372" s="79" t="s">
        <v>1294</v>
      </c>
      <c r="E372" s="79"/>
      <c r="F372" s="79" t="s">
        <v>1395</v>
      </c>
      <c r="G372" s="79" t="s">
        <v>564</v>
      </c>
      <c r="H372" s="79" t="s">
        <v>524</v>
      </c>
      <c r="I372" s="79"/>
      <c r="J372" s="79"/>
      <c r="K372" s="79" t="s">
        <v>1372</v>
      </c>
      <c r="L372" s="79"/>
    </row>
    <row r="373" spans="1:12" s="80" customFormat="1" ht="12.75">
      <c r="A373" s="79" t="s">
        <v>567</v>
      </c>
      <c r="B373" s="79" t="s">
        <v>527</v>
      </c>
      <c r="C373" s="79" t="s">
        <v>772</v>
      </c>
      <c r="D373" s="79" t="s">
        <v>1294</v>
      </c>
      <c r="E373" s="79"/>
      <c r="F373" s="79" t="s">
        <v>1395</v>
      </c>
      <c r="G373" s="79" t="s">
        <v>564</v>
      </c>
      <c r="H373" s="79" t="s">
        <v>524</v>
      </c>
      <c r="I373" s="79"/>
      <c r="J373" s="79"/>
      <c r="K373" s="79" t="s">
        <v>1372</v>
      </c>
      <c r="L373" s="79"/>
    </row>
    <row r="374" spans="1:12" s="80" customFormat="1" ht="12.75">
      <c r="A374" s="79" t="s">
        <v>567</v>
      </c>
      <c r="B374" s="79" t="s">
        <v>527</v>
      </c>
      <c r="C374" s="79" t="s">
        <v>773</v>
      </c>
      <c r="D374" s="79" t="s">
        <v>1294</v>
      </c>
      <c r="E374" s="79"/>
      <c r="F374" s="79" t="s">
        <v>1395</v>
      </c>
      <c r="G374" s="79" t="s">
        <v>564</v>
      </c>
      <c r="H374" s="79" t="s">
        <v>524</v>
      </c>
      <c r="I374" s="79"/>
      <c r="J374" s="79"/>
      <c r="K374" s="79" t="s">
        <v>1372</v>
      </c>
      <c r="L374" s="79"/>
    </row>
    <row r="375" spans="1:12" s="80" customFormat="1" ht="12.75">
      <c r="A375" s="79" t="s">
        <v>567</v>
      </c>
      <c r="B375" s="79" t="s">
        <v>527</v>
      </c>
      <c r="C375" s="79" t="s">
        <v>789</v>
      </c>
      <c r="D375" s="79" t="s">
        <v>1294</v>
      </c>
      <c r="E375" s="79"/>
      <c r="F375" s="79" t="s">
        <v>1395</v>
      </c>
      <c r="G375" s="79" t="s">
        <v>564</v>
      </c>
      <c r="H375" s="79" t="s">
        <v>524</v>
      </c>
      <c r="I375" s="79"/>
      <c r="J375" s="79"/>
      <c r="K375" s="79" t="s">
        <v>1372</v>
      </c>
      <c r="L375" s="79"/>
    </row>
    <row r="376" spans="1:12" s="80" customFormat="1" ht="12.75">
      <c r="A376" s="79" t="s">
        <v>567</v>
      </c>
      <c r="B376" s="79" t="s">
        <v>527</v>
      </c>
      <c r="C376" s="79" t="s">
        <v>781</v>
      </c>
      <c r="D376" s="79" t="s">
        <v>1294</v>
      </c>
      <c r="E376" s="79"/>
      <c r="F376" s="79" t="s">
        <v>1395</v>
      </c>
      <c r="G376" s="79" t="s">
        <v>564</v>
      </c>
      <c r="H376" s="79" t="s">
        <v>524</v>
      </c>
      <c r="I376" s="79"/>
      <c r="J376" s="79"/>
      <c r="K376" s="79" t="s">
        <v>1372</v>
      </c>
      <c r="L376" s="79"/>
    </row>
    <row r="377" spans="1:12" s="80" customFormat="1" ht="12.75">
      <c r="A377" s="79" t="s">
        <v>567</v>
      </c>
      <c r="B377" s="79" t="s">
        <v>527</v>
      </c>
      <c r="C377" s="79" t="s">
        <v>782</v>
      </c>
      <c r="D377" s="79" t="s">
        <v>1294</v>
      </c>
      <c r="E377" s="79"/>
      <c r="F377" s="79" t="s">
        <v>1395</v>
      </c>
      <c r="G377" s="79" t="s">
        <v>564</v>
      </c>
      <c r="H377" s="79" t="s">
        <v>524</v>
      </c>
      <c r="I377" s="79"/>
      <c r="J377" s="79"/>
      <c r="K377" s="79" t="s">
        <v>1372</v>
      </c>
      <c r="L377" s="79"/>
    </row>
    <row r="378" spans="1:12" s="80" customFormat="1" ht="12.75">
      <c r="A378" s="79" t="s">
        <v>567</v>
      </c>
      <c r="B378" s="79" t="s">
        <v>527</v>
      </c>
      <c r="C378" s="79" t="s">
        <v>791</v>
      </c>
      <c r="D378" s="79" t="s">
        <v>1294</v>
      </c>
      <c r="E378" s="79"/>
      <c r="F378" s="79" t="s">
        <v>1395</v>
      </c>
      <c r="G378" s="79" t="s">
        <v>564</v>
      </c>
      <c r="H378" s="79" t="s">
        <v>524</v>
      </c>
      <c r="I378" s="79"/>
      <c r="J378" s="79"/>
      <c r="K378" s="79" t="s">
        <v>1372</v>
      </c>
      <c r="L378" s="79"/>
    </row>
    <row r="379" spans="1:12" s="80" customFormat="1" ht="12.75">
      <c r="A379" s="79" t="s">
        <v>567</v>
      </c>
      <c r="B379" s="79" t="s">
        <v>527</v>
      </c>
      <c r="C379" s="79" t="s">
        <v>785</v>
      </c>
      <c r="D379" s="79" t="s">
        <v>1294</v>
      </c>
      <c r="E379" s="79"/>
      <c r="F379" s="79" t="s">
        <v>1395</v>
      </c>
      <c r="G379" s="79" t="s">
        <v>564</v>
      </c>
      <c r="H379" s="79" t="s">
        <v>524</v>
      </c>
      <c r="I379" s="79"/>
      <c r="J379" s="79"/>
      <c r="K379" s="79" t="s">
        <v>1372</v>
      </c>
      <c r="L379" s="79"/>
    </row>
    <row r="380" spans="1:12" s="80" customFormat="1" ht="12.75">
      <c r="A380" s="79" t="s">
        <v>567</v>
      </c>
      <c r="B380" s="79" t="s">
        <v>527</v>
      </c>
      <c r="C380" s="79" t="s">
        <v>787</v>
      </c>
      <c r="D380" s="79" t="s">
        <v>1294</v>
      </c>
      <c r="E380" s="79"/>
      <c r="F380" s="79" t="s">
        <v>1395</v>
      </c>
      <c r="G380" s="79" t="s">
        <v>564</v>
      </c>
      <c r="H380" s="79" t="s">
        <v>524</v>
      </c>
      <c r="I380" s="79"/>
      <c r="J380" s="79"/>
      <c r="K380" s="79" t="s">
        <v>1372</v>
      </c>
      <c r="L380" s="79"/>
    </row>
    <row r="381" spans="1:12" s="80" customFormat="1" ht="12.75">
      <c r="A381" s="79" t="s">
        <v>567</v>
      </c>
      <c r="B381" s="79" t="s">
        <v>527</v>
      </c>
      <c r="C381" s="79" t="s">
        <v>788</v>
      </c>
      <c r="D381" s="79" t="s">
        <v>1294</v>
      </c>
      <c r="E381" s="79"/>
      <c r="F381" s="79" t="s">
        <v>1395</v>
      </c>
      <c r="G381" s="79" t="s">
        <v>564</v>
      </c>
      <c r="H381" s="79" t="s">
        <v>524</v>
      </c>
      <c r="I381" s="79"/>
      <c r="J381" s="79"/>
      <c r="K381" s="79" t="s">
        <v>1372</v>
      </c>
      <c r="L381" s="79"/>
    </row>
    <row r="382" spans="1:12" s="80" customFormat="1" ht="12.75">
      <c r="A382" s="79" t="s">
        <v>567</v>
      </c>
      <c r="B382" s="79" t="s">
        <v>915</v>
      </c>
      <c r="C382" s="79" t="s">
        <v>570</v>
      </c>
      <c r="D382" s="79" t="s">
        <v>1293</v>
      </c>
      <c r="E382" s="79"/>
      <c r="F382" s="79" t="s">
        <v>1395</v>
      </c>
      <c r="G382" s="79" t="s">
        <v>635</v>
      </c>
      <c r="H382" s="79" t="s">
        <v>1338</v>
      </c>
      <c r="I382" s="79" t="s">
        <v>1340</v>
      </c>
      <c r="J382" s="79"/>
      <c r="K382" s="79" t="s">
        <v>1372</v>
      </c>
      <c r="L382" s="79"/>
    </row>
    <row r="383" spans="1:12" s="80" customFormat="1" ht="12.75">
      <c r="A383" s="79" t="s">
        <v>567</v>
      </c>
      <c r="B383" s="79" t="s">
        <v>915</v>
      </c>
      <c r="C383" s="79" t="s">
        <v>571</v>
      </c>
      <c r="D383" s="79" t="s">
        <v>1293</v>
      </c>
      <c r="E383" s="79"/>
      <c r="F383" s="79" t="s">
        <v>1395</v>
      </c>
      <c r="G383" s="79" t="s">
        <v>635</v>
      </c>
      <c r="H383" s="79" t="s">
        <v>1338</v>
      </c>
      <c r="I383" s="79" t="s">
        <v>1340</v>
      </c>
      <c r="J383" s="79"/>
      <c r="K383" s="79" t="s">
        <v>1372</v>
      </c>
      <c r="L383" s="79"/>
    </row>
    <row r="384" spans="1:12" s="80" customFormat="1" ht="12.75">
      <c r="A384" s="79" t="s">
        <v>567</v>
      </c>
      <c r="B384" s="79" t="s">
        <v>649</v>
      </c>
      <c r="C384" s="79" t="s">
        <v>654</v>
      </c>
      <c r="D384" s="79" t="s">
        <v>563</v>
      </c>
      <c r="E384" s="79"/>
      <c r="F384" s="79" t="s">
        <v>1395</v>
      </c>
      <c r="G384" s="79" t="s">
        <v>635</v>
      </c>
      <c r="H384" s="79" t="s">
        <v>1338</v>
      </c>
      <c r="I384" s="79" t="s">
        <v>1340</v>
      </c>
      <c r="J384" s="79"/>
      <c r="K384" s="79" t="s">
        <v>1372</v>
      </c>
      <c r="L384" s="79"/>
    </row>
    <row r="385" spans="1:16" s="80" customFormat="1" ht="12.75">
      <c r="A385" s="79" t="s">
        <v>567</v>
      </c>
      <c r="B385" s="79" t="s">
        <v>649</v>
      </c>
      <c r="C385" s="79" t="s">
        <v>1267</v>
      </c>
      <c r="D385" s="79" t="s">
        <v>563</v>
      </c>
      <c r="E385" s="79"/>
      <c r="F385" s="79" t="s">
        <v>1395</v>
      </c>
      <c r="G385" s="79" t="s">
        <v>635</v>
      </c>
      <c r="H385" s="79" t="s">
        <v>1338</v>
      </c>
      <c r="I385" s="79" t="s">
        <v>1340</v>
      </c>
      <c r="J385" s="79"/>
      <c r="K385" s="79" t="s">
        <v>1372</v>
      </c>
      <c r="L385" s="79"/>
    </row>
    <row r="386" spans="1:16" s="80" customFormat="1" ht="12.75">
      <c r="A386" s="79" t="s">
        <v>567</v>
      </c>
      <c r="B386" s="79" t="s">
        <v>649</v>
      </c>
      <c r="C386" s="79" t="s">
        <v>657</v>
      </c>
      <c r="D386" s="79" t="s">
        <v>563</v>
      </c>
      <c r="E386" s="79"/>
      <c r="F386" s="79" t="s">
        <v>1395</v>
      </c>
      <c r="G386" s="79" t="s">
        <v>635</v>
      </c>
      <c r="H386" s="79" t="s">
        <v>1338</v>
      </c>
      <c r="I386" s="79" t="s">
        <v>1340</v>
      </c>
      <c r="J386" s="79"/>
      <c r="K386" s="79" t="s">
        <v>1382</v>
      </c>
      <c r="L386" s="79"/>
    </row>
    <row r="387" spans="1:16">
      <c r="A387" s="79" t="s">
        <v>567</v>
      </c>
      <c r="B387" s="79" t="s">
        <v>649</v>
      </c>
      <c r="C387" s="79" t="s">
        <v>1264</v>
      </c>
      <c r="D387" s="79" t="s">
        <v>563</v>
      </c>
      <c r="E387" s="79"/>
      <c r="F387" s="79" t="s">
        <v>1395</v>
      </c>
      <c r="G387" s="79" t="s">
        <v>635</v>
      </c>
      <c r="H387" s="79" t="s">
        <v>1338</v>
      </c>
      <c r="I387" s="79" t="s">
        <v>1340</v>
      </c>
      <c r="J387" s="79"/>
      <c r="K387" s="79" t="s">
        <v>1372</v>
      </c>
      <c r="L387" s="79"/>
      <c r="M387" s="80"/>
      <c r="N387" s="80"/>
      <c r="O387" s="80"/>
      <c r="P387" s="80"/>
    </row>
    <row r="388" spans="1:16">
      <c r="A388" s="79" t="s">
        <v>567</v>
      </c>
      <c r="B388" s="79" t="s">
        <v>649</v>
      </c>
      <c r="C388" s="79" t="s">
        <v>681</v>
      </c>
      <c r="D388" s="79" t="s">
        <v>563</v>
      </c>
      <c r="E388" s="79"/>
      <c r="F388" s="79" t="s">
        <v>1395</v>
      </c>
      <c r="G388" s="79" t="s">
        <v>635</v>
      </c>
      <c r="H388" s="79" t="s">
        <v>1338</v>
      </c>
      <c r="I388" s="79" t="s">
        <v>1340</v>
      </c>
      <c r="J388" s="79"/>
      <c r="K388" s="79" t="s">
        <v>1372</v>
      </c>
      <c r="L388" s="79"/>
      <c r="M388" s="80"/>
      <c r="N388" s="80"/>
      <c r="O388" s="80"/>
      <c r="P388" s="80"/>
    </row>
    <row r="389" spans="1:16">
      <c r="A389" s="79" t="s">
        <v>567</v>
      </c>
      <c r="B389" s="79" t="s">
        <v>649</v>
      </c>
      <c r="C389" s="79" t="s">
        <v>684</v>
      </c>
      <c r="D389" s="79" t="s">
        <v>563</v>
      </c>
      <c r="E389" s="79"/>
      <c r="F389" s="79" t="s">
        <v>1395</v>
      </c>
      <c r="G389" s="79" t="s">
        <v>635</v>
      </c>
      <c r="H389" s="79" t="s">
        <v>1338</v>
      </c>
      <c r="I389" s="79" t="s">
        <v>1340</v>
      </c>
      <c r="J389" s="79"/>
      <c r="K389" s="79" t="s">
        <v>1372</v>
      </c>
      <c r="L389" s="79"/>
      <c r="M389" s="80"/>
      <c r="N389" s="80"/>
      <c r="O389" s="80"/>
      <c r="P389" s="80"/>
    </row>
    <row r="390" spans="1:16">
      <c r="A390" s="79" t="s">
        <v>567</v>
      </c>
      <c r="B390" s="79" t="s">
        <v>649</v>
      </c>
      <c r="C390" s="79" t="s">
        <v>683</v>
      </c>
      <c r="D390" s="79" t="s">
        <v>563</v>
      </c>
      <c r="E390" s="79"/>
      <c r="F390" s="79" t="s">
        <v>1395</v>
      </c>
      <c r="G390" s="79" t="s">
        <v>635</v>
      </c>
      <c r="H390" s="79" t="s">
        <v>1338</v>
      </c>
      <c r="I390" s="79" t="s">
        <v>1340</v>
      </c>
      <c r="J390" s="79"/>
      <c r="K390" s="79" t="s">
        <v>1372</v>
      </c>
      <c r="L390" s="79"/>
      <c r="M390" s="80"/>
      <c r="N390" s="80"/>
      <c r="O390" s="80"/>
      <c r="P390" s="80"/>
    </row>
    <row r="391" spans="1:16">
      <c r="A391" s="79" t="s">
        <v>567</v>
      </c>
      <c r="B391" s="79" t="s">
        <v>649</v>
      </c>
      <c r="C391" s="79" t="s">
        <v>685</v>
      </c>
      <c r="D391" s="79" t="s">
        <v>563</v>
      </c>
      <c r="E391" s="79"/>
      <c r="F391" s="79" t="s">
        <v>1395</v>
      </c>
      <c r="G391" s="79" t="s">
        <v>635</v>
      </c>
      <c r="H391" s="79" t="s">
        <v>1338</v>
      </c>
      <c r="I391" s="79" t="s">
        <v>1340</v>
      </c>
      <c r="J391" s="79"/>
      <c r="K391" s="79" t="s">
        <v>1382</v>
      </c>
      <c r="L391" s="79"/>
      <c r="M391" s="80"/>
      <c r="N391" s="80"/>
      <c r="O391" s="80"/>
      <c r="P391" s="80"/>
    </row>
    <row r="392" spans="1:16">
      <c r="A392" s="79" t="s">
        <v>567</v>
      </c>
      <c r="B392" s="79" t="s">
        <v>649</v>
      </c>
      <c r="C392" s="79" t="s">
        <v>678</v>
      </c>
      <c r="D392" s="79" t="s">
        <v>563</v>
      </c>
      <c r="E392" s="79"/>
      <c r="F392" s="79" t="s">
        <v>1395</v>
      </c>
      <c r="G392" s="79" t="s">
        <v>635</v>
      </c>
      <c r="H392" s="79" t="s">
        <v>1338</v>
      </c>
      <c r="I392" s="79" t="s">
        <v>1340</v>
      </c>
      <c r="J392" s="79"/>
      <c r="K392" s="79" t="s">
        <v>1372</v>
      </c>
      <c r="L392" s="79"/>
      <c r="M392" s="80"/>
      <c r="N392" s="80"/>
      <c r="O392" s="80"/>
      <c r="P392" s="80"/>
    </row>
    <row r="393" spans="1:16">
      <c r="A393" s="79" t="s">
        <v>567</v>
      </c>
      <c r="B393" s="79" t="s">
        <v>649</v>
      </c>
      <c r="C393" s="79" t="s">
        <v>677</v>
      </c>
      <c r="D393" s="79" t="s">
        <v>563</v>
      </c>
      <c r="E393" s="79"/>
      <c r="F393" s="79" t="s">
        <v>1395</v>
      </c>
      <c r="G393" s="79" t="s">
        <v>635</v>
      </c>
      <c r="H393" s="79" t="s">
        <v>1338</v>
      </c>
      <c r="I393" s="79" t="s">
        <v>1340</v>
      </c>
      <c r="J393" s="79"/>
      <c r="K393" s="79" t="s">
        <v>1372</v>
      </c>
      <c r="L393" s="79"/>
      <c r="M393" s="80"/>
      <c r="N393" s="80"/>
      <c r="O393" s="80"/>
      <c r="P393" s="80"/>
    </row>
    <row r="394" spans="1:16">
      <c r="A394" s="79" t="s">
        <v>567</v>
      </c>
      <c r="B394" s="79" t="s">
        <v>649</v>
      </c>
      <c r="C394" s="79" t="s">
        <v>1273</v>
      </c>
      <c r="D394" s="79" t="s">
        <v>563</v>
      </c>
      <c r="E394" s="79"/>
      <c r="F394" s="79" t="s">
        <v>1395</v>
      </c>
      <c r="G394" s="79" t="s">
        <v>635</v>
      </c>
      <c r="H394" s="79" t="s">
        <v>1338</v>
      </c>
      <c r="I394" s="79" t="s">
        <v>1340</v>
      </c>
      <c r="J394" s="79"/>
      <c r="K394" s="79" t="s">
        <v>1372</v>
      </c>
      <c r="L394" s="79"/>
      <c r="M394" s="80"/>
      <c r="N394" s="80"/>
      <c r="O394" s="80"/>
      <c r="P394" s="80"/>
    </row>
    <row r="395" spans="1:16">
      <c r="A395" s="79" t="s">
        <v>567</v>
      </c>
      <c r="B395" s="79" t="s">
        <v>649</v>
      </c>
      <c r="C395" s="79" t="s">
        <v>661</v>
      </c>
      <c r="D395" s="79" t="s">
        <v>563</v>
      </c>
      <c r="E395" s="79"/>
      <c r="F395" s="79" t="s">
        <v>1395</v>
      </c>
      <c r="G395" s="79" t="s">
        <v>635</v>
      </c>
      <c r="H395" s="79" t="s">
        <v>1338</v>
      </c>
      <c r="I395" s="79" t="s">
        <v>1340</v>
      </c>
      <c r="J395" s="79"/>
      <c r="K395" s="79" t="s">
        <v>1382</v>
      </c>
      <c r="L395" s="79"/>
      <c r="M395" s="80"/>
      <c r="N395" s="80"/>
      <c r="O395" s="80"/>
      <c r="P395" s="80"/>
    </row>
    <row r="396" spans="1:16">
      <c r="A396" s="79" t="s">
        <v>567</v>
      </c>
      <c r="B396" s="79" t="s">
        <v>649</v>
      </c>
      <c r="C396" s="79" t="s">
        <v>1265</v>
      </c>
      <c r="D396" s="79" t="s">
        <v>563</v>
      </c>
      <c r="E396" s="79"/>
      <c r="F396" s="79" t="s">
        <v>1395</v>
      </c>
      <c r="G396" s="79" t="s">
        <v>635</v>
      </c>
      <c r="H396" s="79" t="s">
        <v>1338</v>
      </c>
      <c r="I396" s="79" t="s">
        <v>1340</v>
      </c>
      <c r="J396" s="79"/>
      <c r="K396" s="79" t="s">
        <v>1372</v>
      </c>
      <c r="L396" s="79"/>
      <c r="M396" s="80"/>
      <c r="N396" s="80"/>
      <c r="O396" s="80"/>
      <c r="P396" s="80"/>
    </row>
    <row r="397" spans="1:16">
      <c r="A397" s="79" t="s">
        <v>567</v>
      </c>
      <c r="B397" s="79" t="s">
        <v>649</v>
      </c>
      <c r="C397" s="79" t="s">
        <v>664</v>
      </c>
      <c r="D397" s="79" t="s">
        <v>563</v>
      </c>
      <c r="E397" s="79"/>
      <c r="F397" s="79" t="s">
        <v>1395</v>
      </c>
      <c r="G397" s="79" t="s">
        <v>635</v>
      </c>
      <c r="H397" s="79" t="s">
        <v>1338</v>
      </c>
      <c r="I397" s="79" t="s">
        <v>1340</v>
      </c>
      <c r="J397" s="79"/>
      <c r="K397" s="79" t="s">
        <v>1372</v>
      </c>
      <c r="L397" s="79"/>
      <c r="M397" s="80"/>
      <c r="N397" s="80" t="s">
        <v>1409</v>
      </c>
      <c r="O397" s="80"/>
      <c r="P397" s="80"/>
    </row>
    <row r="398" spans="1:16">
      <c r="A398" s="79" t="s">
        <v>567</v>
      </c>
      <c r="B398" s="79" t="s">
        <v>649</v>
      </c>
      <c r="C398" s="79" t="s">
        <v>1272</v>
      </c>
      <c r="D398" s="79" t="s">
        <v>563</v>
      </c>
      <c r="E398" s="79"/>
      <c r="F398" s="79" t="s">
        <v>1395</v>
      </c>
      <c r="G398" s="79" t="s">
        <v>635</v>
      </c>
      <c r="H398" s="79" t="s">
        <v>1338</v>
      </c>
      <c r="I398" s="79" t="s">
        <v>1340</v>
      </c>
      <c r="J398" s="79"/>
      <c r="K398" s="79" t="s">
        <v>1372</v>
      </c>
      <c r="L398" s="79"/>
      <c r="M398" s="80"/>
      <c r="N398" s="80" t="s">
        <v>1405</v>
      </c>
      <c r="O398" s="80"/>
      <c r="P398" s="80"/>
    </row>
    <row r="399" spans="1:16">
      <c r="A399" s="79" t="s">
        <v>567</v>
      </c>
      <c r="B399" s="79" t="s">
        <v>649</v>
      </c>
      <c r="C399" s="79" t="s">
        <v>1266</v>
      </c>
      <c r="D399" s="79" t="s">
        <v>563</v>
      </c>
      <c r="E399" s="79"/>
      <c r="F399" s="79" t="s">
        <v>1395</v>
      </c>
      <c r="G399" s="79" t="s">
        <v>635</v>
      </c>
      <c r="H399" s="79" t="s">
        <v>1338</v>
      </c>
      <c r="I399" s="79" t="s">
        <v>1340</v>
      </c>
      <c r="J399" s="79"/>
      <c r="K399" s="79" t="s">
        <v>1372</v>
      </c>
      <c r="L399" s="79"/>
      <c r="M399" s="80"/>
      <c r="N399" s="80"/>
      <c r="O399" s="80"/>
      <c r="P399" s="80"/>
    </row>
    <row r="400" spans="1:16">
      <c r="A400" s="79" t="s">
        <v>567</v>
      </c>
      <c r="B400" s="79" t="s">
        <v>649</v>
      </c>
      <c r="C400" s="79" t="s">
        <v>669</v>
      </c>
      <c r="D400" s="79" t="s">
        <v>563</v>
      </c>
      <c r="E400" s="79"/>
      <c r="F400" s="79" t="s">
        <v>1395</v>
      </c>
      <c r="G400" s="79" t="s">
        <v>635</v>
      </c>
      <c r="H400" s="79" t="s">
        <v>1338</v>
      </c>
      <c r="I400" s="79" t="s">
        <v>1340</v>
      </c>
      <c r="J400" s="79"/>
      <c r="K400" s="79" t="s">
        <v>1382</v>
      </c>
      <c r="L400" s="79"/>
      <c r="M400" s="80"/>
      <c r="N400" s="80"/>
      <c r="O400" s="80"/>
      <c r="P400" s="80"/>
    </row>
    <row r="401" spans="1:16">
      <c r="A401" s="79" t="s">
        <v>567</v>
      </c>
      <c r="B401" s="79" t="s">
        <v>649</v>
      </c>
      <c r="C401" s="79" t="s">
        <v>667</v>
      </c>
      <c r="D401" s="79" t="s">
        <v>563</v>
      </c>
      <c r="E401" s="79"/>
      <c r="F401" s="79" t="s">
        <v>1395</v>
      </c>
      <c r="G401" s="79" t="s">
        <v>635</v>
      </c>
      <c r="H401" s="79" t="s">
        <v>1338</v>
      </c>
      <c r="I401" s="79" t="s">
        <v>1340</v>
      </c>
      <c r="J401" s="79"/>
      <c r="K401" s="79" t="s">
        <v>1382</v>
      </c>
      <c r="L401" s="79"/>
      <c r="M401" s="80"/>
      <c r="N401" s="80"/>
      <c r="O401" s="80"/>
      <c r="P401" s="80"/>
    </row>
    <row r="402" spans="1:16">
      <c r="A402" s="79" t="s">
        <v>567</v>
      </c>
      <c r="B402" s="79" t="s">
        <v>649</v>
      </c>
      <c r="C402" s="79" t="s">
        <v>668</v>
      </c>
      <c r="D402" s="79" t="s">
        <v>563</v>
      </c>
      <c r="E402" s="79"/>
      <c r="F402" s="79" t="s">
        <v>1395</v>
      </c>
      <c r="G402" s="79" t="s">
        <v>635</v>
      </c>
      <c r="H402" s="79" t="s">
        <v>1338</v>
      </c>
      <c r="I402" s="79" t="s">
        <v>1340</v>
      </c>
      <c r="J402" s="79"/>
      <c r="K402" s="79" t="s">
        <v>1382</v>
      </c>
      <c r="L402" s="79"/>
      <c r="M402" s="80"/>
      <c r="N402" s="80"/>
      <c r="O402" s="80"/>
      <c r="P402" s="80"/>
    </row>
    <row r="403" spans="1:16">
      <c r="A403" s="79" t="s">
        <v>567</v>
      </c>
      <c r="B403" s="79" t="s">
        <v>649</v>
      </c>
      <c r="C403" s="79" t="s">
        <v>670</v>
      </c>
      <c r="D403" s="79" t="s">
        <v>563</v>
      </c>
      <c r="E403" s="79"/>
      <c r="F403" s="79" t="s">
        <v>1395</v>
      </c>
      <c r="G403" s="79" t="s">
        <v>635</v>
      </c>
      <c r="H403" s="79" t="s">
        <v>1338</v>
      </c>
      <c r="I403" s="79" t="s">
        <v>1340</v>
      </c>
      <c r="J403" s="79"/>
      <c r="K403" s="79" t="s">
        <v>1382</v>
      </c>
      <c r="L403" s="79"/>
      <c r="M403" s="80"/>
      <c r="N403" s="80"/>
      <c r="O403" s="80"/>
      <c r="P403" s="80"/>
    </row>
    <row r="404" spans="1:16">
      <c r="A404" s="79" t="s">
        <v>567</v>
      </c>
      <c r="B404" s="79" t="s">
        <v>649</v>
      </c>
      <c r="C404" s="79" t="s">
        <v>673</v>
      </c>
      <c r="D404" s="79" t="s">
        <v>524</v>
      </c>
      <c r="E404" s="79"/>
      <c r="F404" s="79" t="s">
        <v>1395</v>
      </c>
      <c r="G404" s="79" t="s">
        <v>564</v>
      </c>
      <c r="H404" s="79" t="s">
        <v>524</v>
      </c>
      <c r="I404" s="79"/>
      <c r="J404" s="79"/>
      <c r="K404" s="79" t="s">
        <v>1372</v>
      </c>
      <c r="L404" s="79"/>
      <c r="M404" s="80"/>
      <c r="N404" s="80"/>
      <c r="O404" s="80"/>
      <c r="P404" s="80"/>
    </row>
    <row r="405" spans="1:16">
      <c r="A405" s="79" t="s">
        <v>567</v>
      </c>
      <c r="B405" s="79" t="s">
        <v>649</v>
      </c>
      <c r="C405" s="79" t="s">
        <v>671</v>
      </c>
      <c r="D405" s="79" t="s">
        <v>524</v>
      </c>
      <c r="E405" s="79"/>
      <c r="F405" s="79" t="s">
        <v>1395</v>
      </c>
      <c r="G405" s="79" t="s">
        <v>564</v>
      </c>
      <c r="H405" s="79" t="s">
        <v>524</v>
      </c>
      <c r="I405" s="79"/>
      <c r="J405" s="79"/>
      <c r="K405" s="79" t="s">
        <v>1372</v>
      </c>
      <c r="L405" s="79"/>
      <c r="M405" s="80"/>
      <c r="N405" s="80"/>
      <c r="O405" s="80"/>
      <c r="P405" s="80"/>
    </row>
    <row r="406" spans="1:16">
      <c r="A406" s="79" t="s">
        <v>567</v>
      </c>
      <c r="B406" s="79" t="s">
        <v>649</v>
      </c>
      <c r="C406" s="79" t="s">
        <v>672</v>
      </c>
      <c r="D406" s="79" t="s">
        <v>524</v>
      </c>
      <c r="E406" s="79"/>
      <c r="F406" s="79" t="s">
        <v>1395</v>
      </c>
      <c r="G406" s="79" t="s">
        <v>564</v>
      </c>
      <c r="H406" s="79" t="s">
        <v>524</v>
      </c>
      <c r="I406" s="79"/>
      <c r="J406" s="79"/>
      <c r="K406" s="79" t="s">
        <v>1372</v>
      </c>
      <c r="L406" s="79"/>
      <c r="M406" s="80"/>
      <c r="N406" s="80"/>
      <c r="O406" s="80"/>
      <c r="P406" s="80"/>
    </row>
    <row r="407" spans="1:16">
      <c r="A407" s="79" t="s">
        <v>567</v>
      </c>
      <c r="B407" s="79" t="s">
        <v>873</v>
      </c>
      <c r="C407" s="79" t="s">
        <v>879</v>
      </c>
      <c r="D407" s="79" t="s">
        <v>563</v>
      </c>
      <c r="E407" s="79"/>
      <c r="F407" s="79" t="s">
        <v>1395</v>
      </c>
      <c r="G407" s="79" t="s">
        <v>569</v>
      </c>
      <c r="H407" s="79" t="s">
        <v>1338</v>
      </c>
      <c r="I407" s="79" t="s">
        <v>1340</v>
      </c>
      <c r="J407" s="79"/>
      <c r="K407" s="79" t="s">
        <v>1372</v>
      </c>
      <c r="L407" s="79"/>
      <c r="M407" s="80"/>
      <c r="N407" s="80"/>
      <c r="O407" s="80"/>
      <c r="P407" s="80"/>
    </row>
    <row r="408" spans="1:16">
      <c r="A408" s="79" t="s">
        <v>567</v>
      </c>
      <c r="B408" s="79" t="s">
        <v>848</v>
      </c>
      <c r="C408" s="79" t="s">
        <v>1088</v>
      </c>
      <c r="D408" s="79" t="s">
        <v>524</v>
      </c>
      <c r="E408" s="79"/>
      <c r="F408" s="79" t="s">
        <v>1395</v>
      </c>
      <c r="G408" s="79" t="s">
        <v>569</v>
      </c>
      <c r="H408" s="79" t="s">
        <v>524</v>
      </c>
      <c r="I408" s="79"/>
      <c r="J408" s="79"/>
      <c r="K408" s="79" t="s">
        <v>1372</v>
      </c>
      <c r="L408" s="79"/>
      <c r="M408" s="80"/>
      <c r="N408" s="80"/>
      <c r="O408" s="80"/>
      <c r="P408" s="80"/>
    </row>
    <row r="409" spans="1:16">
      <c r="A409" s="79" t="s">
        <v>567</v>
      </c>
      <c r="B409" s="79" t="s">
        <v>686</v>
      </c>
      <c r="C409" s="79" t="s">
        <v>687</v>
      </c>
      <c r="D409" s="79" t="s">
        <v>563</v>
      </c>
      <c r="E409" s="79"/>
      <c r="F409" s="79" t="s">
        <v>1395</v>
      </c>
      <c r="G409" s="79" t="s">
        <v>635</v>
      </c>
      <c r="H409" s="79" t="s">
        <v>1338</v>
      </c>
      <c r="I409" s="79" t="s">
        <v>1340</v>
      </c>
      <c r="J409" s="79"/>
      <c r="K409" s="79" t="s">
        <v>1372</v>
      </c>
      <c r="L409" s="79"/>
      <c r="M409" s="80"/>
      <c r="N409" s="80"/>
      <c r="O409" s="80"/>
      <c r="P409" s="80"/>
    </row>
    <row r="410" spans="1:16">
      <c r="A410" s="79" t="s">
        <v>567</v>
      </c>
      <c r="B410" s="79" t="s">
        <v>917</v>
      </c>
      <c r="C410" s="79" t="s">
        <v>918</v>
      </c>
      <c r="D410" s="79" t="s">
        <v>1293</v>
      </c>
      <c r="E410" s="79"/>
      <c r="F410" s="79" t="s">
        <v>1395</v>
      </c>
      <c r="G410" s="79" t="s">
        <v>635</v>
      </c>
      <c r="H410" s="79" t="s">
        <v>1338</v>
      </c>
      <c r="I410" s="79" t="s">
        <v>1340</v>
      </c>
      <c r="J410" s="79"/>
      <c r="K410" s="79" t="s">
        <v>1382</v>
      </c>
      <c r="L410" s="79"/>
      <c r="M410" s="80"/>
      <c r="N410" s="80"/>
      <c r="O410" s="80"/>
      <c r="P410" s="80"/>
    </row>
    <row r="411" spans="1:16">
      <c r="A411" s="79" t="s">
        <v>567</v>
      </c>
      <c r="B411" s="79" t="s">
        <v>917</v>
      </c>
      <c r="C411" s="79" t="s">
        <v>919</v>
      </c>
      <c r="D411" s="79" t="s">
        <v>1293</v>
      </c>
      <c r="E411" s="79"/>
      <c r="F411" s="79" t="s">
        <v>1395</v>
      </c>
      <c r="G411" s="79" t="s">
        <v>635</v>
      </c>
      <c r="H411" s="79" t="s">
        <v>1338</v>
      </c>
      <c r="I411" s="79" t="s">
        <v>1340</v>
      </c>
      <c r="J411" s="79"/>
      <c r="K411" s="79" t="s">
        <v>1382</v>
      </c>
      <c r="L411" s="79"/>
      <c r="M411" s="80"/>
      <c r="N411" s="80"/>
      <c r="O411" s="80"/>
      <c r="P411" s="80"/>
    </row>
    <row r="412" spans="1:16">
      <c r="A412" s="79" t="s">
        <v>567</v>
      </c>
      <c r="B412" s="79" t="s">
        <v>917</v>
      </c>
      <c r="C412" s="79" t="s">
        <v>920</v>
      </c>
      <c r="D412" s="79" t="s">
        <v>1293</v>
      </c>
      <c r="E412" s="79"/>
      <c r="F412" s="79" t="s">
        <v>1395</v>
      </c>
      <c r="G412" s="79" t="s">
        <v>635</v>
      </c>
      <c r="H412" s="79" t="s">
        <v>1338</v>
      </c>
      <c r="I412" s="79" t="s">
        <v>1340</v>
      </c>
      <c r="J412" s="79"/>
      <c r="K412" s="79" t="s">
        <v>1382</v>
      </c>
      <c r="L412" s="79"/>
      <c r="M412" s="80"/>
      <c r="N412" s="80"/>
      <c r="O412" s="80"/>
      <c r="P412" s="80"/>
    </row>
    <row r="413" spans="1:16">
      <c r="A413" s="79" t="s">
        <v>567</v>
      </c>
      <c r="B413" s="79" t="s">
        <v>917</v>
      </c>
      <c r="C413" s="79" t="s">
        <v>921</v>
      </c>
      <c r="D413" s="79" t="s">
        <v>1293</v>
      </c>
      <c r="E413" s="79"/>
      <c r="F413" s="79" t="s">
        <v>1395</v>
      </c>
      <c r="G413" s="79" t="s">
        <v>635</v>
      </c>
      <c r="H413" s="79" t="s">
        <v>1338</v>
      </c>
      <c r="I413" s="79" t="s">
        <v>1340</v>
      </c>
      <c r="J413" s="79"/>
      <c r="K413" s="79" t="s">
        <v>1382</v>
      </c>
      <c r="L413" s="79"/>
      <c r="M413" s="80"/>
      <c r="N413" s="80"/>
      <c r="O413" s="80"/>
      <c r="P413" s="80"/>
    </row>
    <row r="414" spans="1:16">
      <c r="A414" s="79" t="s">
        <v>567</v>
      </c>
      <c r="B414" s="79" t="s">
        <v>917</v>
      </c>
      <c r="C414" s="79" t="s">
        <v>922</v>
      </c>
      <c r="D414" s="79" t="s">
        <v>1293</v>
      </c>
      <c r="E414" s="79"/>
      <c r="F414" s="79" t="s">
        <v>1395</v>
      </c>
      <c r="G414" s="79" t="s">
        <v>635</v>
      </c>
      <c r="H414" s="79" t="s">
        <v>1338</v>
      </c>
      <c r="I414" s="79" t="s">
        <v>1340</v>
      </c>
      <c r="J414" s="79"/>
      <c r="K414" s="79" t="s">
        <v>1382</v>
      </c>
      <c r="L414" s="79"/>
      <c r="M414" s="80"/>
      <c r="N414" s="80"/>
      <c r="O414" s="80"/>
      <c r="P414" s="80"/>
    </row>
    <row r="415" spans="1:16">
      <c r="A415" s="79" t="s">
        <v>567</v>
      </c>
      <c r="B415" s="79" t="s">
        <v>916</v>
      </c>
      <c r="C415" s="79" t="s">
        <v>687</v>
      </c>
      <c r="D415" s="79" t="s">
        <v>1293</v>
      </c>
      <c r="E415" s="79"/>
      <c r="F415" s="79" t="s">
        <v>1395</v>
      </c>
      <c r="G415" s="79" t="s">
        <v>595</v>
      </c>
      <c r="H415" s="79" t="s">
        <v>595</v>
      </c>
      <c r="I415" s="79"/>
      <c r="J415" s="79"/>
      <c r="K415" s="79" t="s">
        <v>1372</v>
      </c>
      <c r="L415" s="79"/>
      <c r="M415" s="80"/>
      <c r="N415" s="80"/>
      <c r="O415" s="80"/>
      <c r="P415" s="80"/>
    </row>
    <row r="416" spans="1:16">
      <c r="A416" s="79" t="s">
        <v>567</v>
      </c>
      <c r="B416" s="79" t="s">
        <v>283</v>
      </c>
      <c r="C416" s="79" t="s">
        <v>1245</v>
      </c>
      <c r="D416" s="79" t="s">
        <v>524</v>
      </c>
      <c r="E416" s="79"/>
      <c r="F416" s="79" t="s">
        <v>1395</v>
      </c>
      <c r="G416" s="79" t="s">
        <v>595</v>
      </c>
      <c r="H416" s="79" t="s">
        <v>595</v>
      </c>
      <c r="I416" s="79"/>
      <c r="J416" s="79"/>
      <c r="K416" s="79" t="s">
        <v>1372</v>
      </c>
      <c r="L416" s="79"/>
      <c r="M416" s="80"/>
      <c r="N416" s="80"/>
      <c r="O416" s="80"/>
      <c r="P416" s="80"/>
    </row>
    <row r="417" spans="1:16">
      <c r="A417" s="79" t="s">
        <v>567</v>
      </c>
      <c r="B417" s="79" t="s">
        <v>283</v>
      </c>
      <c r="C417" s="79" t="s">
        <v>1244</v>
      </c>
      <c r="D417" s="79" t="s">
        <v>524</v>
      </c>
      <c r="E417" s="79"/>
      <c r="F417" s="79" t="s">
        <v>1395</v>
      </c>
      <c r="G417" s="79" t="s">
        <v>595</v>
      </c>
      <c r="H417" s="79" t="s">
        <v>595</v>
      </c>
      <c r="I417" s="79"/>
      <c r="J417" s="79"/>
      <c r="K417" s="79" t="s">
        <v>1372</v>
      </c>
      <c r="L417" s="79"/>
      <c r="M417" s="80"/>
      <c r="N417" s="80"/>
      <c r="O417" s="80"/>
      <c r="P417" s="80"/>
    </row>
    <row r="418" spans="1:16">
      <c r="A418" s="79" t="s">
        <v>567</v>
      </c>
      <c r="B418" s="79" t="s">
        <v>892</v>
      </c>
      <c r="C418" s="79" t="s">
        <v>909</v>
      </c>
      <c r="D418" s="79" t="s">
        <v>1293</v>
      </c>
      <c r="E418" s="79"/>
      <c r="F418" s="79" t="s">
        <v>1395</v>
      </c>
      <c r="G418" s="79" t="s">
        <v>595</v>
      </c>
      <c r="H418" s="79" t="s">
        <v>595</v>
      </c>
      <c r="I418" s="79"/>
      <c r="J418" s="79"/>
      <c r="K418" s="79" t="s">
        <v>1372</v>
      </c>
      <c r="L418" s="79"/>
      <c r="M418" s="80"/>
      <c r="N418" s="80"/>
      <c r="O418" s="80"/>
      <c r="P418" s="80"/>
    </row>
    <row r="419" spans="1:16">
      <c r="A419" s="79" t="s">
        <v>567</v>
      </c>
      <c r="B419" s="79" t="s">
        <v>892</v>
      </c>
      <c r="C419" s="79" t="s">
        <v>893</v>
      </c>
      <c r="D419" s="79" t="s">
        <v>1293</v>
      </c>
      <c r="E419" s="79"/>
      <c r="F419" s="79" t="s">
        <v>1395</v>
      </c>
      <c r="G419" s="79" t="s">
        <v>595</v>
      </c>
      <c r="H419" s="79" t="s">
        <v>595</v>
      </c>
      <c r="I419" s="79"/>
      <c r="J419" s="79"/>
      <c r="K419" s="79" t="s">
        <v>1372</v>
      </c>
      <c r="L419" s="79"/>
      <c r="M419" s="80"/>
      <c r="N419" s="80"/>
      <c r="O419" s="80"/>
      <c r="P419" s="80"/>
    </row>
    <row r="420" spans="1:16">
      <c r="A420" s="79" t="s">
        <v>567</v>
      </c>
      <c r="B420" s="79" t="s">
        <v>892</v>
      </c>
      <c r="C420" s="79" t="s">
        <v>899</v>
      </c>
      <c r="D420" s="79" t="s">
        <v>1293</v>
      </c>
      <c r="E420" s="79"/>
      <c r="F420" s="79" t="s">
        <v>1395</v>
      </c>
      <c r="G420" s="79" t="s">
        <v>595</v>
      </c>
      <c r="H420" s="79" t="s">
        <v>595</v>
      </c>
      <c r="I420" s="79"/>
      <c r="J420" s="79"/>
      <c r="K420" s="79" t="s">
        <v>1372</v>
      </c>
      <c r="L420" s="79"/>
      <c r="M420" s="80"/>
      <c r="N420" s="80"/>
      <c r="O420" s="80"/>
      <c r="P420" s="80"/>
    </row>
    <row r="421" spans="1:16">
      <c r="A421" s="79" t="s">
        <v>567</v>
      </c>
      <c r="B421" s="79" t="s">
        <v>892</v>
      </c>
      <c r="C421" s="79" t="s">
        <v>904</v>
      </c>
      <c r="D421" s="79" t="s">
        <v>1293</v>
      </c>
      <c r="E421" s="79"/>
      <c r="F421" s="79" t="s">
        <v>1395</v>
      </c>
      <c r="G421" s="79" t="s">
        <v>595</v>
      </c>
      <c r="H421" s="79" t="s">
        <v>595</v>
      </c>
      <c r="I421" s="79"/>
      <c r="J421" s="79"/>
      <c r="K421" s="79" t="s">
        <v>1372</v>
      </c>
      <c r="L421" s="79"/>
      <c r="M421" s="80"/>
      <c r="N421" s="80"/>
      <c r="O421" s="80"/>
      <c r="P421" s="80"/>
    </row>
    <row r="422" spans="1:16">
      <c r="A422" s="79" t="s">
        <v>567</v>
      </c>
      <c r="B422" s="79" t="s">
        <v>94</v>
      </c>
      <c r="C422" s="79" t="s">
        <v>583</v>
      </c>
      <c r="D422" s="79" t="s">
        <v>1254</v>
      </c>
      <c r="E422" s="79"/>
      <c r="F422" s="79" t="s">
        <v>1395</v>
      </c>
      <c r="G422" s="79" t="s">
        <v>564</v>
      </c>
      <c r="H422" s="79" t="s">
        <v>524</v>
      </c>
      <c r="I422" s="79"/>
      <c r="J422" s="79"/>
      <c r="K422" s="79" t="s">
        <v>1372</v>
      </c>
      <c r="L422" s="79"/>
      <c r="M422" s="80"/>
      <c r="N422" s="80"/>
      <c r="O422" s="80"/>
      <c r="P422" s="80"/>
    </row>
    <row r="423" spans="1:16">
      <c r="A423" s="79" t="s">
        <v>567</v>
      </c>
      <c r="B423" s="79" t="s">
        <v>94</v>
      </c>
      <c r="C423" s="79" t="s">
        <v>584</v>
      </c>
      <c r="D423" s="79" t="s">
        <v>1254</v>
      </c>
      <c r="E423" s="79"/>
      <c r="F423" s="79" t="s">
        <v>1395</v>
      </c>
      <c r="G423" s="79" t="s">
        <v>564</v>
      </c>
      <c r="H423" s="79" t="s">
        <v>524</v>
      </c>
      <c r="I423" s="79"/>
      <c r="J423" s="79"/>
      <c r="K423" s="79" t="s">
        <v>1372</v>
      </c>
      <c r="L423" s="79"/>
      <c r="M423" s="80"/>
      <c r="N423" s="80"/>
      <c r="O423" s="80"/>
      <c r="P423" s="80"/>
    </row>
    <row r="424" spans="1:16">
      <c r="A424" s="79" t="s">
        <v>567</v>
      </c>
      <c r="B424" s="79" t="s">
        <v>94</v>
      </c>
      <c r="C424" s="79" t="s">
        <v>579</v>
      </c>
      <c r="D424" s="79" t="s">
        <v>1254</v>
      </c>
      <c r="E424" s="79"/>
      <c r="F424" s="79" t="s">
        <v>1395</v>
      </c>
      <c r="G424" s="79" t="s">
        <v>564</v>
      </c>
      <c r="H424" s="79" t="s">
        <v>524</v>
      </c>
      <c r="I424" s="79"/>
      <c r="J424" s="79"/>
      <c r="K424" s="79" t="s">
        <v>1372</v>
      </c>
      <c r="L424" s="79"/>
      <c r="M424" s="80"/>
      <c r="N424" s="80"/>
      <c r="O424" s="80"/>
      <c r="P424" s="80"/>
    </row>
    <row r="425" spans="1:16">
      <c r="A425" s="79" t="s">
        <v>567</v>
      </c>
      <c r="B425" s="79" t="s">
        <v>94</v>
      </c>
      <c r="C425" s="79" t="s">
        <v>582</v>
      </c>
      <c r="D425" s="79" t="s">
        <v>1254</v>
      </c>
      <c r="E425" s="79"/>
      <c r="F425" s="79" t="s">
        <v>1395</v>
      </c>
      <c r="G425" s="79" t="s">
        <v>564</v>
      </c>
      <c r="H425" s="79" t="s">
        <v>524</v>
      </c>
      <c r="I425" s="79"/>
      <c r="J425" s="79"/>
      <c r="K425" s="79" t="s">
        <v>1372</v>
      </c>
      <c r="L425" s="79"/>
      <c r="M425" s="80"/>
      <c r="N425" s="80"/>
      <c r="O425" s="80"/>
      <c r="P425" s="80"/>
    </row>
    <row r="426" spans="1:16">
      <c r="A426" s="79" t="s">
        <v>567</v>
      </c>
      <c r="B426" s="79" t="s">
        <v>94</v>
      </c>
      <c r="C426" s="79" t="s">
        <v>588</v>
      </c>
      <c r="D426" s="79" t="s">
        <v>1254</v>
      </c>
      <c r="E426" s="79"/>
      <c r="F426" s="79" t="s">
        <v>1395</v>
      </c>
      <c r="G426" s="79" t="s">
        <v>564</v>
      </c>
      <c r="H426" s="79" t="s">
        <v>524</v>
      </c>
      <c r="I426" s="79"/>
      <c r="J426" s="79"/>
      <c r="K426" s="79" t="s">
        <v>1372</v>
      </c>
      <c r="L426" s="79"/>
      <c r="M426" s="80"/>
      <c r="N426" s="80"/>
      <c r="O426" s="80"/>
      <c r="P426" s="80"/>
    </row>
    <row r="427" spans="1:16">
      <c r="A427" s="79" t="s">
        <v>567</v>
      </c>
      <c r="B427" s="79" t="s">
        <v>94</v>
      </c>
      <c r="C427" s="79" t="s">
        <v>576</v>
      </c>
      <c r="D427" s="79" t="s">
        <v>1254</v>
      </c>
      <c r="E427" s="79"/>
      <c r="F427" s="79" t="s">
        <v>1395</v>
      </c>
      <c r="G427" s="79" t="s">
        <v>569</v>
      </c>
      <c r="H427" s="79" t="s">
        <v>524</v>
      </c>
      <c r="I427" s="79"/>
      <c r="J427" s="79"/>
      <c r="K427" s="79" t="s">
        <v>1372</v>
      </c>
      <c r="L427" s="79"/>
      <c r="M427" s="80"/>
      <c r="N427" s="80"/>
      <c r="O427" s="80"/>
      <c r="P427" s="80"/>
    </row>
    <row r="428" spans="1:16">
      <c r="A428" s="79" t="s">
        <v>567</v>
      </c>
      <c r="B428" s="79" t="s">
        <v>737</v>
      </c>
      <c r="C428" s="79" t="s">
        <v>746</v>
      </c>
      <c r="D428" s="79" t="s">
        <v>1254</v>
      </c>
      <c r="E428" s="79"/>
      <c r="F428" s="79" t="s">
        <v>1395</v>
      </c>
      <c r="G428" s="79" t="s">
        <v>564</v>
      </c>
      <c r="H428" s="79" t="s">
        <v>524</v>
      </c>
      <c r="I428" s="79"/>
      <c r="J428" s="79"/>
      <c r="K428" s="79" t="s">
        <v>1372</v>
      </c>
      <c r="L428" s="79"/>
      <c r="M428" s="80"/>
      <c r="N428" s="80"/>
      <c r="O428" s="80"/>
      <c r="P428" s="80"/>
    </row>
    <row r="429" spans="1:16">
      <c r="A429" s="79" t="s">
        <v>567</v>
      </c>
      <c r="B429" s="79" t="s">
        <v>737</v>
      </c>
      <c r="C429" s="79" t="s">
        <v>741</v>
      </c>
      <c r="D429" s="79" t="s">
        <v>1254</v>
      </c>
      <c r="E429" s="79"/>
      <c r="F429" s="79" t="s">
        <v>1395</v>
      </c>
      <c r="G429" s="79" t="s">
        <v>564</v>
      </c>
      <c r="H429" s="79" t="s">
        <v>524</v>
      </c>
      <c r="I429" s="79"/>
      <c r="J429" s="79"/>
      <c r="K429" s="79" t="s">
        <v>1372</v>
      </c>
      <c r="L429" s="79"/>
      <c r="M429" s="80"/>
      <c r="N429" s="80"/>
      <c r="O429" s="80"/>
      <c r="P429" s="80"/>
    </row>
    <row r="430" spans="1:16">
      <c r="A430" s="79" t="s">
        <v>567</v>
      </c>
      <c r="B430" s="79" t="s">
        <v>737</v>
      </c>
      <c r="C430" s="79" t="s">
        <v>744</v>
      </c>
      <c r="D430" s="79" t="s">
        <v>1254</v>
      </c>
      <c r="E430" s="79"/>
      <c r="F430" s="79" t="s">
        <v>1395</v>
      </c>
      <c r="G430" s="79" t="s">
        <v>564</v>
      </c>
      <c r="H430" s="79" t="s">
        <v>524</v>
      </c>
      <c r="I430" s="79"/>
      <c r="J430" s="79"/>
      <c r="K430" s="79" t="s">
        <v>1372</v>
      </c>
      <c r="L430" s="79"/>
      <c r="M430" s="80"/>
      <c r="N430" s="80"/>
      <c r="O430" s="80"/>
      <c r="P430" s="80"/>
    </row>
    <row r="431" spans="1:16">
      <c r="A431" s="79" t="s">
        <v>567</v>
      </c>
      <c r="B431" s="79" t="s">
        <v>737</v>
      </c>
      <c r="C431" s="79" t="s">
        <v>742</v>
      </c>
      <c r="D431" s="79" t="s">
        <v>1254</v>
      </c>
      <c r="E431" s="79"/>
      <c r="F431" s="79" t="s">
        <v>1395</v>
      </c>
      <c r="G431" s="79" t="s">
        <v>564</v>
      </c>
      <c r="H431" s="79" t="s">
        <v>524</v>
      </c>
      <c r="I431" s="79"/>
      <c r="J431" s="79"/>
      <c r="K431" s="79" t="s">
        <v>1372</v>
      </c>
      <c r="L431" s="79"/>
      <c r="M431" s="80"/>
      <c r="N431" s="80"/>
      <c r="O431" s="80"/>
      <c r="P431" s="80"/>
    </row>
    <row r="432" spans="1:16">
      <c r="A432" s="79" t="s">
        <v>567</v>
      </c>
      <c r="B432" s="79" t="s">
        <v>737</v>
      </c>
      <c r="C432" s="79" t="s">
        <v>745</v>
      </c>
      <c r="D432" s="79" t="s">
        <v>1254</v>
      </c>
      <c r="E432" s="79"/>
      <c r="F432" s="79" t="s">
        <v>1395</v>
      </c>
      <c r="G432" s="79" t="s">
        <v>564</v>
      </c>
      <c r="H432" s="79" t="s">
        <v>524</v>
      </c>
      <c r="I432" s="79"/>
      <c r="J432" s="79"/>
      <c r="K432" s="79" t="s">
        <v>1372</v>
      </c>
      <c r="L432" s="79"/>
      <c r="M432" s="80"/>
      <c r="N432" s="80"/>
      <c r="O432" s="80"/>
      <c r="P432" s="80"/>
    </row>
    <row r="433" spans="1:16">
      <c r="A433" s="79" t="s">
        <v>567</v>
      </c>
      <c r="B433" s="79" t="s">
        <v>697</v>
      </c>
      <c r="C433" s="79" t="s">
        <v>689</v>
      </c>
      <c r="D433" s="79" t="s">
        <v>524</v>
      </c>
      <c r="E433" s="79"/>
      <c r="F433" s="79" t="s">
        <v>1395</v>
      </c>
      <c r="G433" s="79" t="s">
        <v>569</v>
      </c>
      <c r="H433" s="79" t="s">
        <v>524</v>
      </c>
      <c r="I433" s="79"/>
      <c r="J433" s="79"/>
      <c r="K433" s="79" t="s">
        <v>1372</v>
      </c>
      <c r="L433" s="79"/>
      <c r="M433" s="80"/>
      <c r="N433" s="80"/>
      <c r="O433" s="80"/>
      <c r="P433" s="80"/>
    </row>
    <row r="434" spans="1:16">
      <c r="A434" s="79" t="s">
        <v>567</v>
      </c>
      <c r="B434" s="79" t="s">
        <v>697</v>
      </c>
      <c r="C434" s="79" t="s">
        <v>1261</v>
      </c>
      <c r="D434" s="79" t="s">
        <v>524</v>
      </c>
      <c r="E434" s="79"/>
      <c r="F434" s="79" t="s">
        <v>1395</v>
      </c>
      <c r="G434" s="79" t="s">
        <v>564</v>
      </c>
      <c r="H434" s="79" t="s">
        <v>524</v>
      </c>
      <c r="I434" s="79"/>
      <c r="J434" s="79"/>
      <c r="K434" s="79" t="s">
        <v>1372</v>
      </c>
      <c r="L434" s="79"/>
      <c r="M434" s="80"/>
      <c r="N434" s="80"/>
      <c r="O434" s="80"/>
      <c r="P434" s="80"/>
    </row>
    <row r="435" spans="1:16">
      <c r="A435" s="79" t="s">
        <v>567</v>
      </c>
      <c r="B435" s="79" t="s">
        <v>730</v>
      </c>
      <c r="C435" s="79" t="s">
        <v>689</v>
      </c>
      <c r="D435" s="79" t="s">
        <v>524</v>
      </c>
      <c r="E435" s="79"/>
      <c r="F435" s="79" t="s">
        <v>1395</v>
      </c>
      <c r="G435" s="79" t="s">
        <v>564</v>
      </c>
      <c r="H435" s="79" t="s">
        <v>524</v>
      </c>
      <c r="I435" s="79"/>
      <c r="J435" s="79"/>
      <c r="K435" s="79" t="s">
        <v>1372</v>
      </c>
      <c r="L435" s="79"/>
      <c r="M435" s="80"/>
      <c r="N435" s="80"/>
      <c r="O435" s="80"/>
      <c r="P435" s="80"/>
    </row>
    <row r="436" spans="1:16">
      <c r="A436" s="79" t="s">
        <v>567</v>
      </c>
      <c r="B436" s="79" t="s">
        <v>695</v>
      </c>
      <c r="C436" s="79" t="s">
        <v>696</v>
      </c>
      <c r="D436" s="79" t="s">
        <v>563</v>
      </c>
      <c r="E436" s="79"/>
      <c r="F436" s="79" t="s">
        <v>1395</v>
      </c>
      <c r="G436" s="79" t="s">
        <v>595</v>
      </c>
      <c r="H436" s="79" t="s">
        <v>595</v>
      </c>
      <c r="I436" s="79"/>
      <c r="J436" s="79"/>
      <c r="K436" s="79" t="s">
        <v>1372</v>
      </c>
      <c r="L436" s="79"/>
      <c r="M436" s="80"/>
      <c r="N436" s="80"/>
      <c r="O436" s="80"/>
      <c r="P436" s="80"/>
    </row>
    <row r="437" spans="1:16">
      <c r="A437" s="79" t="s">
        <v>567</v>
      </c>
      <c r="B437" s="79" t="s">
        <v>427</v>
      </c>
      <c r="C437" s="79" t="s">
        <v>687</v>
      </c>
      <c r="D437" s="79" t="s">
        <v>524</v>
      </c>
      <c r="E437" s="79"/>
      <c r="F437" s="79" t="s">
        <v>1395</v>
      </c>
      <c r="G437" s="79" t="s">
        <v>595</v>
      </c>
      <c r="H437" s="79" t="s">
        <v>595</v>
      </c>
      <c r="I437" s="79"/>
      <c r="J437" s="79"/>
      <c r="K437" s="79" t="s">
        <v>1372</v>
      </c>
      <c r="L437" s="79"/>
      <c r="M437" s="80"/>
      <c r="N437" s="80"/>
      <c r="O437" s="80"/>
      <c r="P437" s="80"/>
    </row>
    <row r="438" spans="1:16">
      <c r="A438" s="79" t="s">
        <v>567</v>
      </c>
      <c r="B438" s="79" t="s">
        <v>757</v>
      </c>
      <c r="C438" s="79" t="s">
        <v>759</v>
      </c>
      <c r="D438" s="79" t="s">
        <v>1292</v>
      </c>
      <c r="E438" s="79"/>
      <c r="F438" s="79" t="s">
        <v>1395</v>
      </c>
      <c r="G438" s="79" t="s">
        <v>569</v>
      </c>
      <c r="H438" s="79" t="s">
        <v>524</v>
      </c>
      <c r="I438" s="79"/>
      <c r="J438" s="79"/>
      <c r="K438" s="79" t="s">
        <v>1372</v>
      </c>
      <c r="L438" s="79"/>
      <c r="M438" s="80"/>
      <c r="N438" s="80"/>
      <c r="O438" s="80"/>
      <c r="P438" s="80"/>
    </row>
    <row r="439" spans="1:16">
      <c r="A439" s="79" t="s">
        <v>567</v>
      </c>
      <c r="B439" s="79" t="s">
        <v>285</v>
      </c>
      <c r="C439" s="79" t="s">
        <v>1279</v>
      </c>
      <c r="D439" s="79" t="s">
        <v>1292</v>
      </c>
      <c r="E439" s="79"/>
      <c r="F439" s="79" t="s">
        <v>1395</v>
      </c>
      <c r="G439" s="79" t="s">
        <v>564</v>
      </c>
      <c r="H439" s="79" t="s">
        <v>524</v>
      </c>
      <c r="I439" s="79"/>
      <c r="J439" s="79"/>
      <c r="K439" s="79" t="s">
        <v>1372</v>
      </c>
      <c r="L439" s="79"/>
      <c r="M439" s="80"/>
      <c r="N439" s="80"/>
      <c r="O439" s="80"/>
      <c r="P439" s="80"/>
    </row>
    <row r="440" spans="1:16">
      <c r="A440" s="79" t="s">
        <v>567</v>
      </c>
      <c r="B440" s="79" t="s">
        <v>285</v>
      </c>
      <c r="C440" s="79" t="s">
        <v>711</v>
      </c>
      <c r="D440" s="79" t="s">
        <v>1292</v>
      </c>
      <c r="E440" s="79"/>
      <c r="F440" s="79" t="s">
        <v>1395</v>
      </c>
      <c r="G440" s="79" t="s">
        <v>569</v>
      </c>
      <c r="H440" s="79" t="s">
        <v>524</v>
      </c>
      <c r="I440" s="79"/>
      <c r="J440" s="79"/>
      <c r="K440" s="79" t="s">
        <v>1372</v>
      </c>
      <c r="L440" s="79"/>
      <c r="M440" s="80"/>
      <c r="N440" s="80"/>
      <c r="O440" s="80"/>
      <c r="P440" s="80"/>
    </row>
    <row r="441" spans="1:16">
      <c r="A441" s="79" t="s">
        <v>567</v>
      </c>
      <c r="B441" s="79" t="s">
        <v>285</v>
      </c>
      <c r="C441" s="79" t="s">
        <v>706</v>
      </c>
      <c r="D441" s="79" t="s">
        <v>1292</v>
      </c>
      <c r="E441" s="79"/>
      <c r="F441" s="79" t="s">
        <v>1395</v>
      </c>
      <c r="G441" s="79" t="s">
        <v>564</v>
      </c>
      <c r="H441" s="79" t="s">
        <v>524</v>
      </c>
      <c r="I441" s="79"/>
      <c r="J441" s="79"/>
      <c r="K441" s="79" t="s">
        <v>1372</v>
      </c>
      <c r="L441" s="79"/>
      <c r="M441" s="80"/>
      <c r="N441" s="80"/>
      <c r="O441" s="80"/>
      <c r="P441" s="80"/>
    </row>
    <row r="442" spans="1:16">
      <c r="A442" s="79" t="s">
        <v>567</v>
      </c>
      <c r="B442" s="79" t="s">
        <v>792</v>
      </c>
      <c r="C442" s="79" t="s">
        <v>821</v>
      </c>
      <c r="D442" s="79" t="s">
        <v>524</v>
      </c>
      <c r="E442" s="79"/>
      <c r="F442" s="79" t="s">
        <v>1395</v>
      </c>
      <c r="G442" s="79" t="s">
        <v>564</v>
      </c>
      <c r="H442" s="79" t="s">
        <v>524</v>
      </c>
      <c r="I442" s="79"/>
      <c r="J442" s="79"/>
      <c r="K442" s="79" t="s">
        <v>1372</v>
      </c>
      <c r="L442" s="79"/>
      <c r="M442" s="80"/>
      <c r="N442" s="80"/>
      <c r="O442" s="80"/>
      <c r="P442" s="80"/>
    </row>
    <row r="443" spans="1:16">
      <c r="A443" s="79" t="s">
        <v>567</v>
      </c>
      <c r="B443" s="79" t="s">
        <v>792</v>
      </c>
      <c r="C443" s="79" t="s">
        <v>823</v>
      </c>
      <c r="D443" s="79" t="s">
        <v>524</v>
      </c>
      <c r="E443" s="79"/>
      <c r="F443" s="79" t="s">
        <v>1395</v>
      </c>
      <c r="G443" s="79" t="s">
        <v>564</v>
      </c>
      <c r="H443" s="79" t="s">
        <v>524</v>
      </c>
      <c r="I443" s="79"/>
      <c r="J443" s="79"/>
      <c r="K443" s="79" t="s">
        <v>1372</v>
      </c>
      <c r="L443" s="79"/>
      <c r="M443" s="80"/>
      <c r="N443" s="80"/>
      <c r="O443" s="80"/>
      <c r="P443" s="80"/>
    </row>
    <row r="444" spans="1:16">
      <c r="A444" s="79" t="s">
        <v>567</v>
      </c>
      <c r="B444" s="79" t="s">
        <v>792</v>
      </c>
      <c r="C444" s="79" t="s">
        <v>802</v>
      </c>
      <c r="D444" s="79" t="s">
        <v>524</v>
      </c>
      <c r="E444" s="79"/>
      <c r="F444" s="79" t="s">
        <v>1395</v>
      </c>
      <c r="G444" s="79" t="s">
        <v>564</v>
      </c>
      <c r="H444" s="79" t="s">
        <v>524</v>
      </c>
      <c r="I444" s="79"/>
      <c r="J444" s="79"/>
      <c r="K444" s="79" t="s">
        <v>1372</v>
      </c>
      <c r="L444" s="79"/>
      <c r="M444" s="80"/>
      <c r="N444" s="80"/>
      <c r="O444" s="80"/>
      <c r="P444" s="80"/>
    </row>
    <row r="445" spans="1:16">
      <c r="A445" s="79" t="s">
        <v>567</v>
      </c>
      <c r="B445" s="79" t="s">
        <v>792</v>
      </c>
      <c r="C445" s="79" t="s">
        <v>807</v>
      </c>
      <c r="D445" s="79" t="s">
        <v>524</v>
      </c>
      <c r="E445" s="79"/>
      <c r="F445" s="79" t="s">
        <v>1395</v>
      </c>
      <c r="G445" s="79" t="s">
        <v>564</v>
      </c>
      <c r="H445" s="79" t="s">
        <v>524</v>
      </c>
      <c r="I445" s="79"/>
      <c r="J445" s="79"/>
      <c r="K445" s="79" t="s">
        <v>1372</v>
      </c>
      <c r="L445" s="79"/>
      <c r="M445" s="80"/>
      <c r="N445" s="80"/>
      <c r="O445" s="80"/>
      <c r="P445" s="80"/>
    </row>
    <row r="446" spans="1:16">
      <c r="A446" s="79" t="s">
        <v>567</v>
      </c>
      <c r="B446" s="79" t="s">
        <v>792</v>
      </c>
      <c r="C446" s="79" t="s">
        <v>804</v>
      </c>
      <c r="D446" s="79" t="s">
        <v>524</v>
      </c>
      <c r="E446" s="79"/>
      <c r="F446" s="79" t="s">
        <v>1395</v>
      </c>
      <c r="G446" s="79" t="s">
        <v>564</v>
      </c>
      <c r="H446" s="79" t="s">
        <v>524</v>
      </c>
      <c r="I446" s="79"/>
      <c r="J446" s="79"/>
      <c r="K446" s="79" t="s">
        <v>1372</v>
      </c>
      <c r="L446" s="79"/>
      <c r="M446" s="80"/>
      <c r="N446" s="80"/>
      <c r="O446" s="80"/>
      <c r="P446" s="80"/>
    </row>
    <row r="447" spans="1:16">
      <c r="A447" s="79" t="s">
        <v>567</v>
      </c>
      <c r="B447" s="79" t="s">
        <v>562</v>
      </c>
      <c r="C447" s="79" t="s">
        <v>1097</v>
      </c>
      <c r="D447" s="79" t="s">
        <v>1242</v>
      </c>
      <c r="E447" s="79"/>
      <c r="F447" s="79" t="s">
        <v>997</v>
      </c>
      <c r="G447" s="79" t="s">
        <v>564</v>
      </c>
      <c r="H447" s="79" t="s">
        <v>1336</v>
      </c>
      <c r="I447" s="79"/>
      <c r="J447" s="79"/>
      <c r="K447" s="79" t="s">
        <v>1369</v>
      </c>
      <c r="L447" s="79"/>
      <c r="M447" s="80"/>
      <c r="N447" s="80"/>
      <c r="O447" s="80"/>
      <c r="P447" s="80"/>
    </row>
    <row r="448" spans="1:16">
      <c r="A448" s="79" t="s">
        <v>567</v>
      </c>
      <c r="B448" s="79" t="s">
        <v>562</v>
      </c>
      <c r="C448" s="79" t="s">
        <v>1006</v>
      </c>
      <c r="D448" s="79" t="s">
        <v>1242</v>
      </c>
      <c r="E448" s="79"/>
      <c r="F448" s="79" t="s">
        <v>997</v>
      </c>
      <c r="G448" s="79" t="s">
        <v>564</v>
      </c>
      <c r="H448" s="79" t="s">
        <v>1337</v>
      </c>
      <c r="I448" s="79"/>
      <c r="J448" s="79"/>
      <c r="K448" s="79" t="s">
        <v>1369</v>
      </c>
      <c r="L448" s="79"/>
      <c r="M448" s="80"/>
      <c r="N448" s="80"/>
      <c r="O448" s="80"/>
      <c r="P448" s="80"/>
    </row>
    <row r="449" spans="1:16">
      <c r="A449" s="79" t="s">
        <v>567</v>
      </c>
      <c r="B449" s="79" t="s">
        <v>562</v>
      </c>
      <c r="C449" s="79" t="s">
        <v>1006</v>
      </c>
      <c r="D449" s="79" t="s">
        <v>1242</v>
      </c>
      <c r="E449" s="79"/>
      <c r="F449" s="79" t="s">
        <v>997</v>
      </c>
      <c r="G449" s="79" t="s">
        <v>564</v>
      </c>
      <c r="H449" s="79" t="s">
        <v>1337</v>
      </c>
      <c r="I449" s="79"/>
      <c r="J449" s="79"/>
      <c r="K449" s="79" t="s">
        <v>1369</v>
      </c>
      <c r="L449" s="79"/>
      <c r="M449" s="80"/>
      <c r="N449" s="80"/>
      <c r="O449" s="80"/>
      <c r="P449" s="80"/>
    </row>
    <row r="450" spans="1:16">
      <c r="A450" s="79" t="s">
        <v>567</v>
      </c>
      <c r="B450" s="79" t="s">
        <v>562</v>
      </c>
      <c r="C450" s="79" t="s">
        <v>1364</v>
      </c>
      <c r="D450" s="79" t="s">
        <v>1242</v>
      </c>
      <c r="E450" s="79"/>
      <c r="F450" s="79" t="s">
        <v>997</v>
      </c>
      <c r="G450" s="79" t="s">
        <v>569</v>
      </c>
      <c r="H450" s="79" t="s">
        <v>1337</v>
      </c>
      <c r="I450" s="79"/>
      <c r="J450" s="79"/>
      <c r="K450" s="79" t="s">
        <v>1369</v>
      </c>
      <c r="L450" s="79"/>
      <c r="M450" s="80"/>
      <c r="N450" s="80"/>
      <c r="O450" s="80"/>
      <c r="P450" s="80"/>
    </row>
    <row r="451" spans="1:16">
      <c r="A451" s="79" t="s">
        <v>567</v>
      </c>
      <c r="B451" s="79" t="s">
        <v>831</v>
      </c>
      <c r="C451" s="79" t="s">
        <v>841</v>
      </c>
      <c r="D451" s="79" t="s">
        <v>524</v>
      </c>
      <c r="E451" s="79"/>
      <c r="F451" s="79" t="s">
        <v>997</v>
      </c>
      <c r="G451" s="79" t="s">
        <v>569</v>
      </c>
      <c r="H451" s="79" t="s">
        <v>524</v>
      </c>
      <c r="I451" s="79"/>
      <c r="J451" s="79"/>
      <c r="K451" s="79" t="s">
        <v>1369</v>
      </c>
      <c r="L451" s="79"/>
      <c r="M451" s="80"/>
      <c r="N451" s="80"/>
      <c r="O451" s="80"/>
      <c r="P451" s="80"/>
    </row>
    <row r="452" spans="1:16">
      <c r="A452" s="79" t="s">
        <v>567</v>
      </c>
      <c r="B452" s="79" t="s">
        <v>831</v>
      </c>
      <c r="C452" s="79" t="s">
        <v>837</v>
      </c>
      <c r="D452" s="79" t="s">
        <v>524</v>
      </c>
      <c r="E452" s="79"/>
      <c r="F452" s="79" t="s">
        <v>997</v>
      </c>
      <c r="G452" s="79" t="s">
        <v>569</v>
      </c>
      <c r="H452" s="79" t="s">
        <v>524</v>
      </c>
      <c r="I452" s="79"/>
      <c r="J452" s="79"/>
      <c r="K452" s="79" t="s">
        <v>1369</v>
      </c>
      <c r="L452" s="79"/>
      <c r="M452" s="80"/>
      <c r="N452" s="80"/>
      <c r="O452" s="80"/>
      <c r="P452" s="80"/>
    </row>
    <row r="453" spans="1:16">
      <c r="A453" s="79" t="s">
        <v>567</v>
      </c>
      <c r="B453" s="79" t="s">
        <v>831</v>
      </c>
      <c r="C453" s="79" t="s">
        <v>838</v>
      </c>
      <c r="D453" s="79" t="s">
        <v>524</v>
      </c>
      <c r="E453" s="79"/>
      <c r="F453" s="79" t="s">
        <v>997</v>
      </c>
      <c r="G453" s="79" t="s">
        <v>569</v>
      </c>
      <c r="H453" s="79" t="s">
        <v>524</v>
      </c>
      <c r="I453" s="79"/>
      <c r="J453" s="79"/>
      <c r="K453" s="79" t="s">
        <v>1369</v>
      </c>
      <c r="L453" s="79"/>
      <c r="M453" s="80"/>
      <c r="N453" s="80"/>
      <c r="O453" s="80"/>
      <c r="P453" s="80"/>
    </row>
    <row r="454" spans="1:16">
      <c r="A454" s="79" t="s">
        <v>567</v>
      </c>
      <c r="B454" s="79" t="s">
        <v>831</v>
      </c>
      <c r="C454" s="79" t="s">
        <v>1252</v>
      </c>
      <c r="D454" s="79" t="s">
        <v>524</v>
      </c>
      <c r="E454" s="79"/>
      <c r="F454" s="79" t="s">
        <v>997</v>
      </c>
      <c r="G454" s="79" t="s">
        <v>564</v>
      </c>
      <c r="H454" s="79" t="s">
        <v>524</v>
      </c>
      <c r="I454" s="79"/>
      <c r="J454" s="79"/>
      <c r="K454" s="79" t="s">
        <v>1369</v>
      </c>
      <c r="L454" s="79"/>
      <c r="M454" s="80"/>
      <c r="N454" s="80"/>
      <c r="O454" s="80"/>
      <c r="P454" s="80"/>
    </row>
    <row r="455" spans="1:16">
      <c r="A455" s="79" t="s">
        <v>567</v>
      </c>
      <c r="B455" s="79" t="s">
        <v>527</v>
      </c>
      <c r="C455" s="79" t="s">
        <v>776</v>
      </c>
      <c r="D455" s="79" t="s">
        <v>1294</v>
      </c>
      <c r="E455" s="79"/>
      <c r="F455" s="79" t="s">
        <v>997</v>
      </c>
      <c r="G455" s="79" t="s">
        <v>564</v>
      </c>
      <c r="H455" s="79" t="s">
        <v>524</v>
      </c>
      <c r="I455" s="79"/>
      <c r="J455" s="79"/>
      <c r="K455" s="79" t="s">
        <v>1369</v>
      </c>
      <c r="L455" s="79"/>
      <c r="M455" s="80"/>
      <c r="N455" s="80"/>
      <c r="O455" s="80"/>
      <c r="P455" s="80"/>
    </row>
    <row r="456" spans="1:16">
      <c r="A456" s="79" t="s">
        <v>567</v>
      </c>
      <c r="B456" s="79" t="s">
        <v>527</v>
      </c>
      <c r="C456" s="79" t="s">
        <v>771</v>
      </c>
      <c r="D456" s="79" t="s">
        <v>1294</v>
      </c>
      <c r="E456" s="79"/>
      <c r="F456" s="79" t="s">
        <v>997</v>
      </c>
      <c r="G456" s="79" t="s">
        <v>564</v>
      </c>
      <c r="H456" s="79" t="s">
        <v>524</v>
      </c>
      <c r="I456" s="79"/>
      <c r="J456" s="79"/>
      <c r="K456" s="79" t="s">
        <v>1369</v>
      </c>
      <c r="L456" s="79"/>
      <c r="M456" s="80"/>
      <c r="N456" s="80"/>
      <c r="O456" s="80"/>
      <c r="P456" s="80"/>
    </row>
    <row r="457" spans="1:16">
      <c r="A457" s="79" t="s">
        <v>567</v>
      </c>
      <c r="B457" s="79" t="s">
        <v>527</v>
      </c>
      <c r="C457" s="79" t="s">
        <v>790</v>
      </c>
      <c r="D457" s="79" t="s">
        <v>1294</v>
      </c>
      <c r="E457" s="79"/>
      <c r="F457" s="79" t="s">
        <v>997</v>
      </c>
      <c r="G457" s="79" t="s">
        <v>564</v>
      </c>
      <c r="H457" s="79" t="s">
        <v>524</v>
      </c>
      <c r="I457" s="79"/>
      <c r="J457" s="79"/>
      <c r="K457" s="79" t="s">
        <v>1369</v>
      </c>
      <c r="L457" s="79"/>
      <c r="M457" s="80"/>
      <c r="N457" s="80"/>
      <c r="O457" s="80"/>
      <c r="P457" s="80"/>
    </row>
    <row r="458" spans="1:16">
      <c r="A458" s="79" t="s">
        <v>567</v>
      </c>
      <c r="B458" s="79" t="s">
        <v>527</v>
      </c>
      <c r="C458" s="79" t="s">
        <v>786</v>
      </c>
      <c r="D458" s="79" t="s">
        <v>1294</v>
      </c>
      <c r="E458" s="79"/>
      <c r="F458" s="79" t="s">
        <v>997</v>
      </c>
      <c r="G458" s="79" t="s">
        <v>564</v>
      </c>
      <c r="H458" s="79" t="s">
        <v>524</v>
      </c>
      <c r="I458" s="79"/>
      <c r="J458" s="79"/>
      <c r="K458" s="79" t="s">
        <v>1369</v>
      </c>
      <c r="L458" s="79"/>
      <c r="M458" s="80"/>
      <c r="N458" s="80"/>
      <c r="O458" s="80"/>
      <c r="P458" s="80"/>
    </row>
    <row r="459" spans="1:16">
      <c r="A459" s="79" t="s">
        <v>567</v>
      </c>
      <c r="B459" s="79" t="s">
        <v>848</v>
      </c>
      <c r="C459" s="79" t="s">
        <v>852</v>
      </c>
      <c r="D459" s="79" t="s">
        <v>524</v>
      </c>
      <c r="E459" s="79"/>
      <c r="F459" s="79" t="s">
        <v>997</v>
      </c>
      <c r="G459" s="79" t="s">
        <v>569</v>
      </c>
      <c r="H459" s="79" t="s">
        <v>524</v>
      </c>
      <c r="I459" s="79"/>
      <c r="J459" s="79"/>
      <c r="K459" s="79" t="s">
        <v>1369</v>
      </c>
      <c r="L459" s="79"/>
      <c r="M459" s="80"/>
      <c r="N459" s="80"/>
      <c r="O459" s="80"/>
      <c r="P459" s="80"/>
    </row>
    <row r="460" spans="1:16">
      <c r="A460" s="79" t="s">
        <v>567</v>
      </c>
      <c r="B460" s="79" t="s">
        <v>848</v>
      </c>
      <c r="C460" s="79" t="s">
        <v>853</v>
      </c>
      <c r="D460" s="79" t="s">
        <v>524</v>
      </c>
      <c r="E460" s="79"/>
      <c r="F460" s="79" t="s">
        <v>997</v>
      </c>
      <c r="G460" s="79" t="s">
        <v>569</v>
      </c>
      <c r="H460" s="79" t="s">
        <v>524</v>
      </c>
      <c r="I460" s="79"/>
      <c r="J460" s="79"/>
      <c r="K460" s="79" t="s">
        <v>1369</v>
      </c>
      <c r="L460" s="79"/>
      <c r="M460" s="80"/>
      <c r="N460" s="80"/>
      <c r="O460" s="80"/>
      <c r="P460" s="80"/>
    </row>
    <row r="461" spans="1:16">
      <c r="A461" s="79" t="s">
        <v>567</v>
      </c>
      <c r="B461" s="79" t="s">
        <v>848</v>
      </c>
      <c r="C461" s="79" t="s">
        <v>854</v>
      </c>
      <c r="D461" s="79" t="s">
        <v>563</v>
      </c>
      <c r="E461" s="79"/>
      <c r="F461" s="79" t="s">
        <v>997</v>
      </c>
      <c r="G461" s="79" t="s">
        <v>569</v>
      </c>
      <c r="H461" s="79" t="s">
        <v>1338</v>
      </c>
      <c r="I461" s="79" t="s">
        <v>1340</v>
      </c>
      <c r="J461" s="79"/>
      <c r="K461" s="79" t="s">
        <v>1369</v>
      </c>
      <c r="L461" s="79"/>
      <c r="M461" s="80"/>
      <c r="N461" s="80"/>
      <c r="O461" s="80"/>
      <c r="P461" s="80"/>
    </row>
    <row r="462" spans="1:16">
      <c r="A462" s="79" t="s">
        <v>567</v>
      </c>
      <c r="B462" s="79" t="s">
        <v>283</v>
      </c>
      <c r="C462" s="79" t="s">
        <v>644</v>
      </c>
      <c r="D462" s="79" t="s">
        <v>524</v>
      </c>
      <c r="E462" s="79"/>
      <c r="F462" s="79" t="s">
        <v>997</v>
      </c>
      <c r="G462" s="79" t="s">
        <v>569</v>
      </c>
      <c r="H462" s="79" t="s">
        <v>524</v>
      </c>
      <c r="I462" s="79"/>
      <c r="J462" s="79"/>
      <c r="K462" s="79" t="s">
        <v>1369</v>
      </c>
      <c r="L462" s="79"/>
      <c r="M462" s="80"/>
      <c r="N462" s="80"/>
      <c r="O462" s="80"/>
      <c r="P462" s="80"/>
    </row>
    <row r="463" spans="1:16">
      <c r="A463" s="79" t="s">
        <v>567</v>
      </c>
      <c r="B463" s="79" t="s">
        <v>283</v>
      </c>
      <c r="C463" s="79" t="s">
        <v>643</v>
      </c>
      <c r="D463" s="79" t="s">
        <v>524</v>
      </c>
      <c r="E463" s="79"/>
      <c r="F463" s="79" t="s">
        <v>997</v>
      </c>
      <c r="G463" s="79" t="s">
        <v>569</v>
      </c>
      <c r="H463" s="79" t="s">
        <v>524</v>
      </c>
      <c r="I463" s="79"/>
      <c r="J463" s="79"/>
      <c r="K463" s="79" t="s">
        <v>1369</v>
      </c>
      <c r="L463" s="79"/>
      <c r="M463" s="80"/>
      <c r="N463" s="80"/>
      <c r="O463" s="80"/>
      <c r="P463" s="80"/>
    </row>
    <row r="464" spans="1:16">
      <c r="A464" s="79" t="s">
        <v>567</v>
      </c>
      <c r="B464" s="79" t="s">
        <v>283</v>
      </c>
      <c r="C464" s="79" t="s">
        <v>645</v>
      </c>
      <c r="D464" s="79" t="s">
        <v>524</v>
      </c>
      <c r="E464" s="79"/>
      <c r="F464" s="79" t="s">
        <v>997</v>
      </c>
      <c r="G464" s="79" t="s">
        <v>569</v>
      </c>
      <c r="H464" s="79" t="s">
        <v>524</v>
      </c>
      <c r="I464" s="79"/>
      <c r="J464" s="79"/>
      <c r="K464" s="79" t="s">
        <v>1369</v>
      </c>
      <c r="L464" s="79"/>
      <c r="M464" s="80"/>
      <c r="N464" s="80"/>
      <c r="O464" s="80"/>
      <c r="P464" s="80"/>
    </row>
    <row r="465" spans="1:16">
      <c r="A465" s="79" t="s">
        <v>567</v>
      </c>
      <c r="B465" s="79" t="s">
        <v>283</v>
      </c>
      <c r="C465" s="79" t="s">
        <v>617</v>
      </c>
      <c r="D465" s="79" t="s">
        <v>1254</v>
      </c>
      <c r="E465" s="79"/>
      <c r="F465" s="79" t="s">
        <v>997</v>
      </c>
      <c r="G465" s="79" t="s">
        <v>569</v>
      </c>
      <c r="H465" s="79" t="s">
        <v>524</v>
      </c>
      <c r="I465" s="79"/>
      <c r="J465" s="79"/>
      <c r="K465" s="79" t="s">
        <v>1369</v>
      </c>
      <c r="L465" s="79"/>
      <c r="M465" s="80"/>
      <c r="N465" s="80"/>
      <c r="O465" s="80"/>
      <c r="P465" s="80"/>
    </row>
    <row r="466" spans="1:16">
      <c r="A466" s="79" t="s">
        <v>567</v>
      </c>
      <c r="B466" s="79" t="s">
        <v>283</v>
      </c>
      <c r="C466" s="79" t="s">
        <v>618</v>
      </c>
      <c r="D466" s="79" t="s">
        <v>1254</v>
      </c>
      <c r="E466" s="79"/>
      <c r="F466" s="79" t="s">
        <v>997</v>
      </c>
      <c r="G466" s="79" t="s">
        <v>569</v>
      </c>
      <c r="H466" s="79" t="s">
        <v>524</v>
      </c>
      <c r="I466" s="79"/>
      <c r="J466" s="79"/>
      <c r="K466" s="79" t="s">
        <v>1369</v>
      </c>
      <c r="L466" s="79"/>
      <c r="M466" s="80"/>
      <c r="N466" s="80"/>
      <c r="O466" s="80"/>
      <c r="P466" s="80"/>
    </row>
    <row r="467" spans="1:16">
      <c r="A467" s="79" t="s">
        <v>567</v>
      </c>
      <c r="B467" s="79" t="s">
        <v>892</v>
      </c>
      <c r="C467" s="79" t="s">
        <v>895</v>
      </c>
      <c r="D467" s="79" t="s">
        <v>1293</v>
      </c>
      <c r="E467" s="79"/>
      <c r="F467" s="79" t="s">
        <v>997</v>
      </c>
      <c r="G467" s="79" t="s">
        <v>635</v>
      </c>
      <c r="H467" s="79" t="s">
        <v>1338</v>
      </c>
      <c r="I467" s="79" t="s">
        <v>1340</v>
      </c>
      <c r="J467" s="79"/>
      <c r="K467" s="79" t="s">
        <v>1369</v>
      </c>
      <c r="L467" s="79"/>
      <c r="M467" s="80"/>
      <c r="N467" s="80"/>
      <c r="O467" s="80"/>
      <c r="P467" s="80"/>
    </row>
    <row r="468" spans="1:16">
      <c r="A468" s="79" t="s">
        <v>567</v>
      </c>
      <c r="B468" s="79" t="s">
        <v>892</v>
      </c>
      <c r="C468" s="79" t="s">
        <v>901</v>
      </c>
      <c r="D468" s="79" t="s">
        <v>1293</v>
      </c>
      <c r="E468" s="79"/>
      <c r="F468" s="79" t="s">
        <v>997</v>
      </c>
      <c r="G468" s="79" t="s">
        <v>635</v>
      </c>
      <c r="H468" s="79" t="s">
        <v>1338</v>
      </c>
      <c r="I468" s="79" t="s">
        <v>1340</v>
      </c>
      <c r="J468" s="79"/>
      <c r="K468" s="79" t="s">
        <v>1369</v>
      </c>
      <c r="L468" s="79"/>
      <c r="M468" s="80"/>
      <c r="N468" s="80"/>
      <c r="O468" s="80"/>
      <c r="P468" s="80"/>
    </row>
    <row r="469" spans="1:16">
      <c r="A469" s="79" t="s">
        <v>567</v>
      </c>
      <c r="B469" s="79" t="s">
        <v>892</v>
      </c>
      <c r="C469" s="79" t="s">
        <v>906</v>
      </c>
      <c r="D469" s="79" t="s">
        <v>1293</v>
      </c>
      <c r="E469" s="79"/>
      <c r="F469" s="79" t="s">
        <v>997</v>
      </c>
      <c r="G469" s="79" t="s">
        <v>635</v>
      </c>
      <c r="H469" s="79" t="s">
        <v>1338</v>
      </c>
      <c r="I469" s="79" t="s">
        <v>1340</v>
      </c>
      <c r="J469" s="79"/>
      <c r="K469" s="79" t="s">
        <v>1369</v>
      </c>
      <c r="L469" s="79"/>
      <c r="M469" s="80"/>
      <c r="N469" s="80"/>
      <c r="O469" s="80"/>
      <c r="P469" s="80"/>
    </row>
    <row r="470" spans="1:16">
      <c r="A470" s="79" t="s">
        <v>567</v>
      </c>
      <c r="B470" s="79" t="s">
        <v>94</v>
      </c>
      <c r="C470" s="79" t="s">
        <v>606</v>
      </c>
      <c r="D470" s="79" t="s">
        <v>1254</v>
      </c>
      <c r="E470" s="79"/>
      <c r="F470" s="79" t="s">
        <v>997</v>
      </c>
      <c r="G470" s="79" t="s">
        <v>569</v>
      </c>
      <c r="H470" s="79" t="s">
        <v>524</v>
      </c>
      <c r="I470" s="79"/>
      <c r="J470" s="79"/>
      <c r="K470" s="79" t="s">
        <v>1369</v>
      </c>
      <c r="L470" s="79"/>
      <c r="M470" s="80"/>
      <c r="N470" s="80"/>
      <c r="O470" s="80"/>
      <c r="P470" s="80"/>
    </row>
    <row r="471" spans="1:16">
      <c r="A471" s="79" t="s">
        <v>567</v>
      </c>
      <c r="B471" s="79" t="s">
        <v>94</v>
      </c>
      <c r="C471" s="79" t="s">
        <v>585</v>
      </c>
      <c r="D471" s="79" t="s">
        <v>1254</v>
      </c>
      <c r="E471" s="79"/>
      <c r="F471" s="79" t="s">
        <v>997</v>
      </c>
      <c r="G471" s="79" t="s">
        <v>564</v>
      </c>
      <c r="H471" s="79" t="s">
        <v>524</v>
      </c>
      <c r="I471" s="79"/>
      <c r="J471" s="79"/>
      <c r="K471" s="79" t="s">
        <v>1369</v>
      </c>
      <c r="L471" s="79"/>
      <c r="M471" s="80"/>
      <c r="N471" s="80"/>
      <c r="O471" s="80"/>
      <c r="P471" s="80"/>
    </row>
    <row r="472" spans="1:16">
      <c r="A472" s="79" t="s">
        <v>567</v>
      </c>
      <c r="B472" s="79" t="s">
        <v>94</v>
      </c>
      <c r="C472" s="79" t="s">
        <v>577</v>
      </c>
      <c r="D472" s="79" t="s">
        <v>1254</v>
      </c>
      <c r="E472" s="79"/>
      <c r="F472" s="79" t="s">
        <v>997</v>
      </c>
      <c r="G472" s="79" t="s">
        <v>564</v>
      </c>
      <c r="H472" s="79" t="s">
        <v>524</v>
      </c>
      <c r="I472" s="79"/>
      <c r="J472" s="79"/>
      <c r="K472" s="79" t="s">
        <v>1369</v>
      </c>
      <c r="L472" s="79"/>
      <c r="M472" s="80"/>
      <c r="N472" s="80"/>
      <c r="O472" s="80"/>
      <c r="P472" s="80"/>
    </row>
    <row r="473" spans="1:16">
      <c r="A473" s="79" t="s">
        <v>567</v>
      </c>
      <c r="B473" s="79" t="s">
        <v>737</v>
      </c>
      <c r="C473" s="79" t="s">
        <v>747</v>
      </c>
      <c r="D473" s="79" t="s">
        <v>1254</v>
      </c>
      <c r="E473" s="79"/>
      <c r="F473" s="79" t="s">
        <v>997</v>
      </c>
      <c r="G473" s="79" t="s">
        <v>569</v>
      </c>
      <c r="H473" s="79" t="s">
        <v>524</v>
      </c>
      <c r="I473" s="79"/>
      <c r="J473" s="79"/>
      <c r="K473" s="79" t="s">
        <v>1369</v>
      </c>
      <c r="L473" s="79"/>
      <c r="M473" s="80"/>
      <c r="N473" s="80"/>
      <c r="O473" s="80"/>
      <c r="P473" s="80"/>
    </row>
    <row r="474" spans="1:16">
      <c r="A474" s="79" t="s">
        <v>567</v>
      </c>
      <c r="B474" s="79" t="s">
        <v>737</v>
      </c>
      <c r="C474" s="79" t="s">
        <v>748</v>
      </c>
      <c r="D474" s="79" t="s">
        <v>1254</v>
      </c>
      <c r="E474" s="79"/>
      <c r="F474" s="79" t="s">
        <v>997</v>
      </c>
      <c r="G474" s="79" t="s">
        <v>569</v>
      </c>
      <c r="H474" s="79" t="s">
        <v>524</v>
      </c>
      <c r="I474" s="79"/>
      <c r="J474" s="79"/>
      <c r="K474" s="79" t="s">
        <v>1369</v>
      </c>
      <c r="L474" s="79"/>
      <c r="M474" s="80"/>
      <c r="N474" s="80"/>
      <c r="O474" s="80"/>
      <c r="P474" s="80"/>
    </row>
    <row r="475" spans="1:16">
      <c r="A475" s="79" t="s">
        <v>567</v>
      </c>
      <c r="B475" s="79" t="s">
        <v>737</v>
      </c>
      <c r="C475" s="79" t="s">
        <v>1330</v>
      </c>
      <c r="D475" s="79" t="s">
        <v>1254</v>
      </c>
      <c r="E475" s="79"/>
      <c r="F475" s="79" t="s">
        <v>997</v>
      </c>
      <c r="G475" s="79" t="s">
        <v>569</v>
      </c>
      <c r="H475" s="79" t="s">
        <v>524</v>
      </c>
      <c r="I475" s="79"/>
      <c r="J475" s="79"/>
      <c r="K475" s="79" t="s">
        <v>1369</v>
      </c>
      <c r="L475" s="79"/>
      <c r="M475" s="80"/>
      <c r="N475" s="80"/>
      <c r="O475" s="80"/>
      <c r="P475" s="80"/>
    </row>
    <row r="476" spans="1:16">
      <c r="A476" s="79" t="s">
        <v>567</v>
      </c>
      <c r="B476" s="79" t="s">
        <v>737</v>
      </c>
      <c r="C476" s="79" t="s">
        <v>1333</v>
      </c>
      <c r="D476" s="79" t="s">
        <v>1254</v>
      </c>
      <c r="E476" s="79"/>
      <c r="F476" s="79" t="s">
        <v>997</v>
      </c>
      <c r="G476" s="79" t="s">
        <v>569</v>
      </c>
      <c r="H476" s="79" t="s">
        <v>524</v>
      </c>
      <c r="I476" s="79"/>
      <c r="J476" s="79"/>
      <c r="K476" s="79" t="s">
        <v>1369</v>
      </c>
      <c r="L476" s="79"/>
      <c r="M476" s="80"/>
      <c r="N476" s="80"/>
      <c r="O476" s="80"/>
      <c r="P476" s="80"/>
    </row>
    <row r="477" spans="1:16">
      <c r="A477" s="79" t="s">
        <v>567</v>
      </c>
      <c r="B477" s="79" t="s">
        <v>880</v>
      </c>
      <c r="C477" s="79" t="s">
        <v>881</v>
      </c>
      <c r="D477" s="79" t="s">
        <v>524</v>
      </c>
      <c r="E477" s="79"/>
      <c r="F477" s="79" t="s">
        <v>997</v>
      </c>
      <c r="G477" s="79" t="s">
        <v>564</v>
      </c>
      <c r="H477" s="79" t="s">
        <v>524</v>
      </c>
      <c r="I477" s="79"/>
      <c r="J477" s="79"/>
      <c r="K477" s="79" t="s">
        <v>1369</v>
      </c>
      <c r="L477" s="79"/>
      <c r="M477" s="80"/>
      <c r="N477" s="80"/>
      <c r="O477" s="80"/>
      <c r="P477" s="80"/>
    </row>
    <row r="478" spans="1:16">
      <c r="A478" s="79" t="s">
        <v>567</v>
      </c>
      <c r="B478" s="79" t="s">
        <v>285</v>
      </c>
      <c r="C478" s="79" t="s">
        <v>1283</v>
      </c>
      <c r="D478" s="79" t="s">
        <v>1292</v>
      </c>
      <c r="E478" s="79"/>
      <c r="F478" s="79" t="s">
        <v>997</v>
      </c>
      <c r="G478" s="79" t="s">
        <v>569</v>
      </c>
      <c r="H478" s="79" t="s">
        <v>524</v>
      </c>
      <c r="I478" s="79"/>
      <c r="J478" s="79"/>
      <c r="K478" s="79" t="s">
        <v>1369</v>
      </c>
      <c r="L478" s="79"/>
      <c r="M478" s="80"/>
      <c r="N478" s="80"/>
      <c r="O478" s="80"/>
      <c r="P478" s="80"/>
    </row>
    <row r="479" spans="1:16">
      <c r="A479" s="79" t="s">
        <v>567</v>
      </c>
      <c r="B479" s="79" t="s">
        <v>722</v>
      </c>
      <c r="C479" s="79" t="s">
        <v>725</v>
      </c>
      <c r="D479" s="79" t="s">
        <v>1292</v>
      </c>
      <c r="E479" s="79"/>
      <c r="F479" s="79" t="s">
        <v>997</v>
      </c>
      <c r="G479" s="79" t="s">
        <v>569</v>
      </c>
      <c r="H479" s="79" t="s">
        <v>1338</v>
      </c>
      <c r="I479" s="79" t="s">
        <v>1340</v>
      </c>
      <c r="J479" s="79"/>
      <c r="K479" s="79" t="s">
        <v>1369</v>
      </c>
      <c r="L479" s="79"/>
      <c r="M479" s="80"/>
      <c r="N479" s="80"/>
      <c r="O479" s="80"/>
      <c r="P479" s="80"/>
    </row>
    <row r="480" spans="1:16">
      <c r="J480" s="5"/>
      <c r="L480" s="79"/>
      <c r="M480" s="80"/>
      <c r="N480" s="80"/>
      <c r="O480" s="80"/>
      <c r="P480" s="80"/>
    </row>
    <row r="481" spans="10:16">
      <c r="J481" s="5"/>
      <c r="L481" s="79"/>
      <c r="M481" s="80"/>
      <c r="N481" s="80"/>
      <c r="O481" s="80"/>
      <c r="P481" s="80"/>
    </row>
    <row r="482" spans="10:16">
      <c r="J482" s="5"/>
      <c r="L482" s="79"/>
      <c r="M482" s="80"/>
      <c r="N482" s="80"/>
      <c r="O482" s="80"/>
      <c r="P482" s="80"/>
    </row>
    <row r="483" spans="10:16">
      <c r="J483" s="5"/>
      <c r="L483" s="79"/>
      <c r="M483" s="80"/>
      <c r="N483" s="80"/>
      <c r="O483" s="80"/>
      <c r="P483" s="80"/>
    </row>
    <row r="484" spans="10:16">
      <c r="J484" s="5"/>
      <c r="L484" s="79"/>
      <c r="M484" s="80"/>
      <c r="N484" s="80"/>
      <c r="O484" s="80"/>
      <c r="P484" s="80"/>
    </row>
    <row r="485" spans="10:16">
      <c r="J485" s="5"/>
      <c r="L485" s="79"/>
      <c r="M485" s="80"/>
      <c r="N485" s="80"/>
      <c r="O485" s="80"/>
      <c r="P485" s="80"/>
    </row>
    <row r="486" spans="10:16">
      <c r="J486" s="5"/>
      <c r="L486" s="79"/>
      <c r="M486" s="80"/>
      <c r="N486" s="80"/>
      <c r="O486" s="80"/>
      <c r="P486" s="80"/>
    </row>
    <row r="487" spans="10:16">
      <c r="J487" s="5"/>
      <c r="L487" s="79"/>
      <c r="M487" s="80"/>
      <c r="N487" s="80"/>
      <c r="O487" s="80"/>
      <c r="P487" s="80"/>
    </row>
    <row r="488" spans="10:16">
      <c r="J488" s="5"/>
      <c r="L488" s="79"/>
      <c r="M488" s="80"/>
      <c r="N488" s="80"/>
      <c r="O488" s="80"/>
      <c r="P488" s="80"/>
    </row>
    <row r="489" spans="10:16">
      <c r="J489" s="5"/>
      <c r="L489" s="79"/>
      <c r="M489" s="80"/>
      <c r="N489" s="80"/>
      <c r="O489" s="80"/>
      <c r="P489" s="80"/>
    </row>
    <row r="490" spans="10:16">
      <c r="J490" s="5"/>
      <c r="L490" s="79"/>
      <c r="M490" s="80"/>
      <c r="N490" s="80"/>
      <c r="O490" s="80"/>
      <c r="P490" s="80"/>
    </row>
    <row r="491" spans="10:16">
      <c r="J491" s="5"/>
      <c r="L491" s="79"/>
      <c r="M491" s="80"/>
      <c r="N491" s="80"/>
      <c r="O491" s="80"/>
      <c r="P491" s="80"/>
    </row>
    <row r="492" spans="10:16">
      <c r="J492" s="5"/>
      <c r="L492" s="79"/>
      <c r="M492" s="80"/>
      <c r="N492" s="80"/>
      <c r="O492" s="80"/>
      <c r="P492" s="80"/>
    </row>
    <row r="493" spans="10:16">
      <c r="J493" s="5"/>
      <c r="L493" s="79"/>
      <c r="M493" s="80"/>
      <c r="N493" s="80"/>
      <c r="O493" s="80"/>
      <c r="P493" s="80"/>
    </row>
    <row r="494" spans="10:16">
      <c r="J494" s="5"/>
      <c r="L494" s="79"/>
      <c r="M494" s="80"/>
      <c r="N494" s="80"/>
      <c r="O494" s="80"/>
      <c r="P494" s="80"/>
    </row>
    <row r="495" spans="10:16">
      <c r="J495" s="5"/>
      <c r="L495" s="79"/>
      <c r="M495" s="80"/>
      <c r="N495" s="80"/>
      <c r="O495" s="80"/>
      <c r="P495" s="80"/>
    </row>
    <row r="496" spans="10:16">
      <c r="J496" s="5"/>
      <c r="L496" s="79"/>
      <c r="M496" s="80"/>
      <c r="N496" s="80"/>
      <c r="O496" s="80"/>
      <c r="P496" s="80"/>
    </row>
    <row r="497" spans="10:16">
      <c r="J497" s="5"/>
      <c r="L497" s="79"/>
      <c r="M497" s="80"/>
      <c r="N497" s="80"/>
      <c r="O497" s="80"/>
      <c r="P497" s="80"/>
    </row>
    <row r="498" spans="10:16">
      <c r="J498" s="5"/>
      <c r="L498" s="79"/>
      <c r="M498" s="80"/>
      <c r="N498" s="80"/>
      <c r="O498" s="80"/>
      <c r="P498" s="80"/>
    </row>
    <row r="499" spans="10:16">
      <c r="J499" s="5"/>
      <c r="L499" s="79"/>
      <c r="M499" s="80"/>
      <c r="N499" s="80"/>
      <c r="O499" s="80"/>
      <c r="P499" s="80"/>
    </row>
    <row r="500" spans="10:16">
      <c r="J500" s="5"/>
      <c r="L500" s="79"/>
      <c r="M500" s="80"/>
      <c r="N500" s="80"/>
      <c r="O500" s="80"/>
      <c r="P500" s="80"/>
    </row>
    <row r="501" spans="10:16">
      <c r="J501" s="5"/>
      <c r="L501" s="79"/>
      <c r="M501" s="80"/>
      <c r="N501" s="80"/>
      <c r="O501" s="80"/>
      <c r="P501" s="80"/>
    </row>
    <row r="502" spans="10:16">
      <c r="J502" s="5"/>
      <c r="L502" s="79"/>
      <c r="M502" s="80"/>
      <c r="N502" s="80"/>
      <c r="O502" s="80"/>
      <c r="P502" s="80"/>
    </row>
    <row r="503" spans="10:16">
      <c r="J503" s="5"/>
      <c r="L503" s="79"/>
      <c r="M503" s="80"/>
      <c r="N503" s="80"/>
      <c r="O503" s="80"/>
      <c r="P503" s="80"/>
    </row>
    <row r="504" spans="10:16">
      <c r="J504" s="5"/>
      <c r="L504" s="79"/>
      <c r="M504" s="80"/>
      <c r="N504" s="80"/>
      <c r="O504" s="80"/>
      <c r="P504" s="80"/>
    </row>
    <row r="505" spans="10:16">
      <c r="J505" s="5"/>
      <c r="L505" s="79"/>
      <c r="M505" s="80"/>
      <c r="N505" s="80"/>
      <c r="O505" s="80"/>
      <c r="P505" s="80"/>
    </row>
    <row r="506" spans="10:16">
      <c r="J506" s="5"/>
      <c r="L506" s="79"/>
      <c r="M506" s="80"/>
      <c r="N506" s="80"/>
      <c r="O506" s="80"/>
      <c r="P506" s="80"/>
    </row>
    <row r="507" spans="10:16">
      <c r="J507" s="5"/>
      <c r="L507" s="79"/>
      <c r="M507" s="80"/>
      <c r="N507" s="80"/>
      <c r="O507" s="80"/>
      <c r="P507" s="80"/>
    </row>
    <row r="508" spans="10:16">
      <c r="J508" s="5"/>
      <c r="L508" s="79"/>
      <c r="M508" s="80"/>
      <c r="N508" s="80"/>
      <c r="O508" s="80"/>
      <c r="P508" s="80"/>
    </row>
    <row r="509" spans="10:16">
      <c r="J509" s="5"/>
      <c r="L509" s="79"/>
      <c r="M509" s="80"/>
      <c r="N509" s="80"/>
      <c r="O509" s="80"/>
      <c r="P509" s="80"/>
    </row>
    <row r="510" spans="10:16">
      <c r="J510" s="5"/>
      <c r="L510" s="79"/>
      <c r="M510" s="80"/>
      <c r="N510" s="80"/>
      <c r="O510" s="80"/>
      <c r="P510" s="80"/>
    </row>
    <row r="511" spans="10:16">
      <c r="J511" s="5"/>
      <c r="L511" s="79"/>
      <c r="M511" s="80"/>
      <c r="N511" s="80"/>
      <c r="O511" s="80"/>
      <c r="P511" s="80"/>
    </row>
    <row r="512" spans="10:16">
      <c r="J512" s="5"/>
      <c r="L512" s="79"/>
      <c r="M512" s="80"/>
      <c r="N512" s="80"/>
      <c r="O512" s="80"/>
      <c r="P512" s="80"/>
    </row>
    <row r="513" spans="10:16">
      <c r="J513" s="5"/>
      <c r="L513" s="79"/>
      <c r="M513" s="80"/>
      <c r="N513" s="80"/>
      <c r="O513" s="80"/>
      <c r="P513" s="80"/>
    </row>
    <row r="514" spans="10:16">
      <c r="J514" s="5"/>
      <c r="L514" s="79"/>
      <c r="M514" s="80"/>
      <c r="N514" s="80"/>
      <c r="O514" s="80"/>
      <c r="P514" s="80"/>
    </row>
    <row r="515" spans="10:16">
      <c r="J515" s="5"/>
      <c r="L515" s="79"/>
      <c r="M515" s="80"/>
      <c r="N515" s="80"/>
      <c r="O515" s="80"/>
      <c r="P515" s="80"/>
    </row>
    <row r="516" spans="10:16">
      <c r="J516" s="5"/>
      <c r="L516" s="79"/>
      <c r="M516" s="80"/>
      <c r="N516" s="80"/>
      <c r="O516" s="80"/>
      <c r="P516" s="80"/>
    </row>
    <row r="517" spans="10:16">
      <c r="J517" s="5"/>
      <c r="L517" s="79"/>
      <c r="M517" s="80"/>
      <c r="N517" s="80"/>
      <c r="O517" s="80"/>
      <c r="P517" s="80"/>
    </row>
    <row r="518" spans="10:16">
      <c r="J518" s="5"/>
      <c r="L518" s="79"/>
      <c r="M518" s="80"/>
      <c r="N518" s="80"/>
      <c r="O518" s="80"/>
      <c r="P518" s="80"/>
    </row>
    <row r="519" spans="10:16">
      <c r="J519" s="5"/>
      <c r="L519" s="79"/>
      <c r="M519" s="80"/>
      <c r="N519" s="80"/>
      <c r="O519" s="80"/>
      <c r="P519" s="80"/>
    </row>
    <row r="520" spans="10:16">
      <c r="J520" s="5"/>
      <c r="L520" s="79"/>
      <c r="M520" s="80"/>
      <c r="N520" s="80"/>
      <c r="O520" s="80"/>
      <c r="P520" s="80"/>
    </row>
    <row r="521" spans="10:16">
      <c r="J521" s="5"/>
      <c r="L521" s="79"/>
      <c r="M521" s="80"/>
      <c r="N521" s="80"/>
      <c r="O521" s="80"/>
      <c r="P521" s="80"/>
    </row>
    <row r="522" spans="10:16">
      <c r="J522" s="5"/>
      <c r="L522" s="79"/>
      <c r="M522" s="80"/>
      <c r="N522" s="80"/>
      <c r="O522" s="80"/>
      <c r="P522" s="80"/>
    </row>
    <row r="523" spans="10:16">
      <c r="J523" s="5"/>
      <c r="L523" s="79"/>
      <c r="M523" s="80"/>
      <c r="N523" s="80"/>
      <c r="O523" s="80"/>
      <c r="P523" s="80"/>
    </row>
    <row r="524" spans="10:16">
      <c r="J524" s="5"/>
      <c r="L524" s="79"/>
      <c r="M524" s="80"/>
      <c r="N524" s="80"/>
      <c r="O524" s="80"/>
      <c r="P524" s="80"/>
    </row>
    <row r="525" spans="10:16">
      <c r="J525" s="5"/>
      <c r="L525" s="79"/>
      <c r="M525" s="80"/>
      <c r="N525" s="80"/>
      <c r="O525" s="80"/>
      <c r="P525" s="80"/>
    </row>
    <row r="526" spans="10:16">
      <c r="J526" s="5"/>
      <c r="L526" s="79"/>
      <c r="M526" s="80"/>
      <c r="N526" s="80"/>
      <c r="O526" s="80"/>
      <c r="P526" s="80"/>
    </row>
    <row r="527" spans="10:16">
      <c r="J527" s="5"/>
      <c r="L527" s="79"/>
      <c r="M527" s="80"/>
      <c r="N527" s="80"/>
      <c r="O527" s="80"/>
      <c r="P527" s="80"/>
    </row>
    <row r="528" spans="10:16">
      <c r="J528" s="5"/>
      <c r="L528" s="79"/>
      <c r="M528" s="80"/>
      <c r="N528" s="80"/>
      <c r="O528" s="80"/>
      <c r="P528" s="80"/>
    </row>
    <row r="529" spans="10:16">
      <c r="J529" s="5"/>
      <c r="L529" s="79"/>
      <c r="M529" s="80"/>
      <c r="N529" s="80"/>
      <c r="O529" s="80"/>
      <c r="P529" s="80"/>
    </row>
    <row r="530" spans="10:16">
      <c r="J530" s="5"/>
      <c r="L530" s="79"/>
      <c r="M530" s="80"/>
      <c r="N530" s="80"/>
      <c r="O530" s="80"/>
      <c r="P530" s="80"/>
    </row>
    <row r="531" spans="10:16">
      <c r="J531" s="5"/>
      <c r="L531" s="79"/>
      <c r="M531" s="80"/>
      <c r="N531" s="80"/>
      <c r="O531" s="80"/>
      <c r="P531" s="80"/>
    </row>
    <row r="532" spans="10:16">
      <c r="J532" s="5"/>
      <c r="L532" s="79"/>
      <c r="M532" s="80"/>
      <c r="N532" s="80"/>
      <c r="O532" s="80"/>
      <c r="P532" s="80"/>
    </row>
    <row r="533" spans="10:16">
      <c r="J533" s="5"/>
      <c r="L533" s="79"/>
      <c r="M533" s="80"/>
      <c r="N533" s="80"/>
      <c r="O533" s="80"/>
      <c r="P533" s="80"/>
    </row>
    <row r="534" spans="10:16">
      <c r="J534" s="5"/>
      <c r="L534" s="79"/>
      <c r="M534" s="80"/>
      <c r="N534" s="80"/>
      <c r="O534" s="80"/>
      <c r="P534" s="80"/>
    </row>
    <row r="535" spans="10:16">
      <c r="J535" s="5"/>
      <c r="L535" s="79"/>
      <c r="M535" s="80"/>
      <c r="N535" s="80"/>
      <c r="O535" s="80"/>
      <c r="P535" s="80"/>
    </row>
    <row r="536" spans="10:16">
      <c r="J536" s="5"/>
      <c r="L536" s="79"/>
      <c r="M536" s="80"/>
      <c r="N536" s="80"/>
      <c r="O536" s="80"/>
      <c r="P536" s="80"/>
    </row>
    <row r="537" spans="10:16">
      <c r="J537" s="5"/>
      <c r="L537" s="79"/>
      <c r="M537" s="80"/>
      <c r="N537" s="80"/>
      <c r="O537" s="80"/>
      <c r="P537" s="80"/>
    </row>
    <row r="538" spans="10:16">
      <c r="J538" s="5"/>
      <c r="L538" s="79"/>
      <c r="M538" s="80"/>
      <c r="O538" s="80"/>
      <c r="P538" s="80"/>
    </row>
    <row r="539" spans="10:16">
      <c r="J539" s="5"/>
      <c r="L539" s="79"/>
      <c r="M539" s="80"/>
      <c r="O539" s="80"/>
      <c r="P539" s="80"/>
    </row>
    <row r="540" spans="10:16">
      <c r="J540" s="5"/>
      <c r="L540" s="79"/>
      <c r="M540" s="80"/>
      <c r="O540" s="80"/>
      <c r="P540" s="80"/>
    </row>
    <row r="541" spans="10:16">
      <c r="J541" s="5"/>
      <c r="L541" s="79"/>
      <c r="M541" s="80"/>
      <c r="O541" s="80"/>
      <c r="P541" s="80"/>
    </row>
    <row r="542" spans="10:16">
      <c r="J542" s="5"/>
      <c r="L542" s="79"/>
      <c r="M542" s="80"/>
      <c r="O542" s="80"/>
      <c r="P542" s="80"/>
    </row>
    <row r="543" spans="10:16">
      <c r="J543" s="5"/>
      <c r="L543" s="79"/>
      <c r="M543" s="80"/>
      <c r="O543" s="80"/>
      <c r="P543" s="80"/>
    </row>
    <row r="544" spans="10:16">
      <c r="J544" s="5"/>
      <c r="L544" s="79"/>
      <c r="M544" s="80"/>
      <c r="O544" s="80"/>
      <c r="P544" s="80"/>
    </row>
    <row r="545" spans="10:16">
      <c r="J545" s="5"/>
      <c r="L545" s="79"/>
      <c r="M545" s="80"/>
      <c r="O545" s="80"/>
      <c r="P545" s="80"/>
    </row>
    <row r="546" spans="10:16">
      <c r="J546" s="5"/>
      <c r="L546" s="79"/>
      <c r="M546" s="80"/>
      <c r="O546" s="80"/>
      <c r="P546" s="80"/>
    </row>
    <row r="547" spans="10:16">
      <c r="J547" s="5"/>
      <c r="O547" s="80"/>
      <c r="P547" s="80"/>
    </row>
    <row r="548" spans="10:16">
      <c r="J548" s="5"/>
      <c r="O548" s="80"/>
      <c r="P548" s="80"/>
    </row>
    <row r="549" spans="10:16">
      <c r="J549" s="5"/>
      <c r="O549" s="80"/>
      <c r="P549" s="80"/>
    </row>
    <row r="550" spans="10:16">
      <c r="J550" s="5"/>
      <c r="O550" s="80"/>
      <c r="P550" s="80"/>
    </row>
    <row r="551" spans="10:16">
      <c r="J551" s="5"/>
      <c r="O551" s="80"/>
      <c r="P551" s="80"/>
    </row>
    <row r="552" spans="10:16">
      <c r="J552" s="5"/>
      <c r="O552" s="80"/>
      <c r="P552" s="80"/>
    </row>
    <row r="553" spans="10:16">
      <c r="J553" s="5"/>
      <c r="O553" s="80"/>
      <c r="P553" s="80"/>
    </row>
    <row r="554" spans="10:16">
      <c r="J554" s="5"/>
      <c r="O554" s="80"/>
      <c r="P554" s="80"/>
    </row>
    <row r="555" spans="10:16">
      <c r="J555" s="5"/>
      <c r="O555" s="80"/>
      <c r="P555" s="80"/>
    </row>
    <row r="556" spans="10:16">
      <c r="J556" s="5"/>
      <c r="O556" s="80"/>
      <c r="P556" s="80"/>
    </row>
    <row r="557" spans="10:16">
      <c r="J557" s="5"/>
      <c r="O557" s="80"/>
      <c r="P557" s="80"/>
    </row>
    <row r="558" spans="10:16">
      <c r="J558" s="5"/>
      <c r="O558" s="80"/>
      <c r="P558" s="80"/>
    </row>
  </sheetData>
  <autoFilter ref="L1:P31"/>
  <pageMargins left="0.7" right="0.7" top="0.75" bottom="0.75" header="0.3" footer="0.3"/>
  <pageSetup paperSize="9" orientation="portrait" horizontalDpi="4294967292" verticalDpi="4294967292"/>
  <tableParts count="1">
    <tablePart r:id="rId1"/>
  </tableParts>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rgb="FFFFFF00"/>
  </sheetPr>
  <dimension ref="A1:AD332"/>
  <sheetViews>
    <sheetView showGridLines="0" zoomScaleNormal="100" zoomScalePageLayoutView="150" workbookViewId="0">
      <selection sqref="A1:E1"/>
    </sheetView>
  </sheetViews>
  <sheetFormatPr defaultColWidth="8.85546875" defaultRowHeight="15.75"/>
  <cols>
    <col min="1" max="1" width="29.7109375" style="113" bestFit="1" customWidth="1"/>
    <col min="2" max="2" width="9.7109375" style="107" bestFit="1" customWidth="1"/>
    <col min="3" max="3" width="14.140625" style="107" bestFit="1" customWidth="1"/>
    <col min="4" max="4" width="40.7109375" style="107" bestFit="1" customWidth="1"/>
    <col min="5" max="5" width="45.28515625" style="107" bestFit="1" customWidth="1"/>
    <col min="6" max="6" width="37.140625" style="107" bestFit="1" customWidth="1"/>
    <col min="7" max="7" width="16.28515625" style="107" bestFit="1" customWidth="1"/>
    <col min="8" max="8" width="25.140625" style="107" bestFit="1" customWidth="1"/>
    <col min="9" max="9" width="22.28515625" style="107" bestFit="1" customWidth="1"/>
    <col min="10" max="10" width="12.42578125" style="107" customWidth="1"/>
    <col min="11" max="12" width="19.42578125" style="114" bestFit="1" customWidth="1"/>
    <col min="13" max="13" width="21.42578125" style="107" bestFit="1" customWidth="1"/>
    <col min="14" max="14" width="52" style="107" bestFit="1" customWidth="1"/>
    <col min="15" max="15" width="18.28515625" style="107" bestFit="1" customWidth="1"/>
    <col min="16" max="16" width="24.7109375" style="107" bestFit="1" customWidth="1"/>
    <col min="17" max="17" width="19.42578125" style="107" bestFit="1" customWidth="1"/>
    <col min="18" max="18" width="105.42578125" style="107" bestFit="1" customWidth="1"/>
    <col min="19" max="19" width="24.140625" style="107" bestFit="1" customWidth="1"/>
    <col min="20" max="20" width="27.7109375" style="107" bestFit="1" customWidth="1"/>
    <col min="21" max="21" width="29.28515625" style="115" bestFit="1" customWidth="1"/>
    <col min="22" max="22" width="40.7109375" style="107" bestFit="1" customWidth="1"/>
    <col min="23" max="23" width="22.7109375" style="107" bestFit="1" customWidth="1"/>
    <col min="24" max="24" width="30.42578125" style="107" bestFit="1" customWidth="1"/>
    <col min="25" max="25" width="70.42578125" style="116" bestFit="1" customWidth="1"/>
    <col min="26" max="26" width="22.7109375" style="107" bestFit="1" customWidth="1"/>
    <col min="27" max="27" width="30.42578125" style="107" bestFit="1" customWidth="1"/>
    <col min="28" max="28" width="41.7109375" style="107" customWidth="1"/>
    <col min="29" max="29" width="27.42578125" style="107" bestFit="1" customWidth="1"/>
    <col min="30" max="30" width="23" style="107" bestFit="1" customWidth="1"/>
    <col min="31" max="31" width="0.7109375" style="107" customWidth="1"/>
    <col min="32" max="16384" width="8.85546875" style="107"/>
  </cols>
  <sheetData>
    <row r="1" spans="1:30" s="81" customFormat="1" ht="33.75">
      <c r="A1" s="127" t="s">
        <v>923</v>
      </c>
      <c r="B1" s="127"/>
      <c r="C1" s="127"/>
      <c r="D1" s="127"/>
      <c r="E1" s="127"/>
      <c r="F1" s="128" t="s">
        <v>924</v>
      </c>
      <c r="G1" s="128"/>
      <c r="H1" s="129"/>
      <c r="I1" s="129"/>
      <c r="J1" s="129"/>
      <c r="K1" s="129"/>
      <c r="L1" s="129"/>
      <c r="M1" s="129"/>
      <c r="N1" s="129"/>
      <c r="O1" s="129"/>
      <c r="P1" s="129"/>
      <c r="Q1" s="129"/>
      <c r="R1" s="129"/>
      <c r="S1" s="129"/>
      <c r="T1" s="129"/>
      <c r="U1" s="129"/>
      <c r="V1" s="129"/>
      <c r="W1" s="129"/>
      <c r="X1" s="129"/>
      <c r="Y1" s="129"/>
      <c r="Z1" s="129"/>
      <c r="AA1" s="129"/>
      <c r="AB1" s="129"/>
      <c r="AC1" s="129"/>
      <c r="AD1" s="129"/>
    </row>
    <row r="2" spans="1:30" s="81" customFormat="1" ht="30">
      <c r="K2" s="82"/>
      <c r="L2" s="82"/>
      <c r="M2" s="83" t="s">
        <v>925</v>
      </c>
      <c r="N2" s="84"/>
      <c r="O2" s="84"/>
      <c r="P2" s="83" t="s">
        <v>926</v>
      </c>
      <c r="Q2" s="84"/>
      <c r="R2" s="84"/>
      <c r="S2" s="84"/>
      <c r="T2" s="84"/>
      <c r="U2" s="85"/>
      <c r="V2" s="84"/>
      <c r="W2" s="84"/>
      <c r="X2" s="84"/>
      <c r="Y2" s="86"/>
      <c r="Z2" s="84"/>
      <c r="AA2" s="84"/>
      <c r="AB2" s="84"/>
      <c r="AC2" s="83" t="s">
        <v>927</v>
      </c>
      <c r="AD2" s="84"/>
    </row>
    <row r="3" spans="1:30" s="81" customFormat="1" ht="30">
      <c r="A3" s="87" t="s">
        <v>555</v>
      </c>
      <c r="B3" s="81" t="s">
        <v>4</v>
      </c>
      <c r="C3" s="81" t="s">
        <v>928</v>
      </c>
      <c r="D3" s="81" t="s">
        <v>929</v>
      </c>
      <c r="E3" s="81" t="s">
        <v>930</v>
      </c>
      <c r="F3" s="81" t="s">
        <v>931</v>
      </c>
      <c r="G3" s="83" t="s">
        <v>932</v>
      </c>
      <c r="H3" s="83" t="s">
        <v>933</v>
      </c>
      <c r="I3" s="83" t="s">
        <v>934</v>
      </c>
      <c r="J3" s="83" t="s">
        <v>559</v>
      </c>
      <c r="K3" s="82" t="s">
        <v>935</v>
      </c>
      <c r="L3" s="82" t="s">
        <v>936</v>
      </c>
      <c r="M3" s="81" t="s">
        <v>937</v>
      </c>
      <c r="N3" s="81" t="s">
        <v>938</v>
      </c>
      <c r="O3" s="81" t="s">
        <v>939</v>
      </c>
      <c r="P3" s="88" t="s">
        <v>940</v>
      </c>
      <c r="Q3" s="88" t="s">
        <v>941</v>
      </c>
      <c r="R3" s="81" t="s">
        <v>942</v>
      </c>
      <c r="S3" s="89" t="s">
        <v>943</v>
      </c>
      <c r="T3" s="89" t="s">
        <v>944</v>
      </c>
      <c r="U3" s="90" t="s">
        <v>945</v>
      </c>
      <c r="V3" s="81" t="s">
        <v>946</v>
      </c>
      <c r="W3" s="91" t="s">
        <v>947</v>
      </c>
      <c r="X3" s="91" t="s">
        <v>948</v>
      </c>
      <c r="Y3" s="92" t="s">
        <v>949</v>
      </c>
      <c r="Z3" s="93" t="s">
        <v>950</v>
      </c>
      <c r="AA3" s="93" t="s">
        <v>951</v>
      </c>
      <c r="AB3" s="93" t="s">
        <v>952</v>
      </c>
      <c r="AC3" s="81" t="s">
        <v>953</v>
      </c>
      <c r="AD3" s="81" t="s">
        <v>954</v>
      </c>
    </row>
    <row r="4" spans="1:30" s="102" customFormat="1" ht="72" hidden="1">
      <c r="A4" s="94" t="s">
        <v>955</v>
      </c>
      <c r="B4" s="94" t="s">
        <v>956</v>
      </c>
      <c r="C4" s="94" t="s">
        <v>957</v>
      </c>
      <c r="D4" s="95" t="s">
        <v>958</v>
      </c>
      <c r="E4" s="95" t="s">
        <v>959</v>
      </c>
      <c r="F4" s="94" t="s">
        <v>960</v>
      </c>
      <c r="G4" s="94" t="s">
        <v>960</v>
      </c>
      <c r="H4" s="94" t="s">
        <v>961</v>
      </c>
      <c r="I4" s="94" t="s">
        <v>962</v>
      </c>
      <c r="J4" s="94">
        <v>4</v>
      </c>
      <c r="K4" s="96" t="e">
        <f>VLOOKUP(Tabela13[[#This Row],[Prioridade]],[5]!TabelaPrioridade[#Data],2,FALSE)</f>
        <v>#REF!</v>
      </c>
      <c r="L4" s="96" t="e">
        <f>VLOOKUP(Tabela13[[#This Row],[Prioridade]],[5]!TabelaPrioridade[#Data],3,FALSE)</f>
        <v>#REF!</v>
      </c>
      <c r="M4" s="94" t="s">
        <v>963</v>
      </c>
      <c r="N4" s="94" t="s">
        <v>964</v>
      </c>
      <c r="O4" s="94" t="s">
        <v>964</v>
      </c>
      <c r="P4" s="94" t="s">
        <v>965</v>
      </c>
      <c r="Q4" s="97" t="e">
        <f>Tabela13[[#This Row],[Tempo Máximo Atendimento]]+"00:20:00"</f>
        <v>#REF!</v>
      </c>
      <c r="R4" s="94" t="s">
        <v>966</v>
      </c>
      <c r="S4" s="94" t="s">
        <v>967</v>
      </c>
      <c r="T4" s="97" t="e">
        <f>Tabela13[[#This Row],[Tempo Máximo Resolução]]-Tabela13[[#This Row],[Tempo Máximo Resolução3]]</f>
        <v>#REF!</v>
      </c>
      <c r="U4" s="98" t="e">
        <f>Tabela13[[#This Row],[Tempo Máximo Total Resolução]]-Tabela13[[#This Row],[Tempo Máximo Escalada Funcional]]</f>
        <v>#REF!</v>
      </c>
      <c r="V4" s="94" t="s">
        <v>960</v>
      </c>
      <c r="W4" s="94" t="s">
        <v>968</v>
      </c>
      <c r="X4" s="99">
        <v>0.33333333333333331</v>
      </c>
      <c r="Y4" s="100" t="s">
        <v>969</v>
      </c>
      <c r="Z4" s="94" t="s">
        <v>964</v>
      </c>
      <c r="AA4" s="94" t="s">
        <v>964</v>
      </c>
      <c r="AB4" s="94" t="s">
        <v>964</v>
      </c>
      <c r="AC4" s="94" t="s">
        <v>970</v>
      </c>
      <c r="AD4" s="101" t="s">
        <v>971</v>
      </c>
    </row>
    <row r="5" spans="1:30" s="104" customFormat="1" ht="45.75" hidden="1" customHeight="1">
      <c r="A5" s="94" t="s">
        <v>955</v>
      </c>
      <c r="B5" s="94" t="s">
        <v>14</v>
      </c>
      <c r="C5" s="94" t="s">
        <v>957</v>
      </c>
      <c r="D5" s="103" t="s">
        <v>972</v>
      </c>
      <c r="E5" s="95" t="s">
        <v>973</v>
      </c>
      <c r="F5" s="94" t="s">
        <v>960</v>
      </c>
      <c r="G5" s="94" t="s">
        <v>963</v>
      </c>
      <c r="H5" s="94" t="s">
        <v>961</v>
      </c>
      <c r="I5" s="94" t="s">
        <v>974</v>
      </c>
      <c r="J5" s="94">
        <v>4</v>
      </c>
      <c r="K5" s="96" t="e">
        <f>VLOOKUP(Tabela13[[#This Row],[Prioridade]],[5]!TabelaPrioridade[#Data],2,FALSE)</f>
        <v>#REF!</v>
      </c>
      <c r="L5" s="96" t="e">
        <f>VLOOKUP(Tabela13[[#This Row],[Prioridade]],[5]!TabelaPrioridade[#Data],3,FALSE)</f>
        <v>#REF!</v>
      </c>
      <c r="M5" s="94" t="s">
        <v>963</v>
      </c>
      <c r="N5" s="94" t="s">
        <v>964</v>
      </c>
      <c r="O5" s="94" t="s">
        <v>964</v>
      </c>
      <c r="P5" s="94" t="s">
        <v>965</v>
      </c>
      <c r="Q5" s="97" t="e">
        <f>Tabela13[[#This Row],[Tempo Máximo Atendimento]]+"00:20:00"</f>
        <v>#REF!</v>
      </c>
      <c r="R5" s="94" t="s">
        <v>966</v>
      </c>
      <c r="S5" s="94" t="s">
        <v>975</v>
      </c>
      <c r="T5" s="97" t="s">
        <v>964</v>
      </c>
      <c r="U5" s="98" t="e">
        <f>Tabela13[[#This Row],[Tempo Máximo Total Resolução]]-Tabela13[[#This Row],[Tempo Máximo Escalada Funcional]]</f>
        <v>#REF!</v>
      </c>
      <c r="V5" s="94"/>
      <c r="W5" s="94" t="s">
        <v>964</v>
      </c>
      <c r="X5" s="94" t="s">
        <v>964</v>
      </c>
      <c r="Y5" s="95" t="s">
        <v>964</v>
      </c>
      <c r="Z5" s="94" t="s">
        <v>964</v>
      </c>
      <c r="AA5" s="94" t="s">
        <v>964</v>
      </c>
      <c r="AB5" s="94" t="s">
        <v>964</v>
      </c>
      <c r="AC5" s="94" t="s">
        <v>970</v>
      </c>
      <c r="AD5" s="101" t="s">
        <v>971</v>
      </c>
    </row>
    <row r="6" spans="1:30" s="104" customFormat="1" ht="72" hidden="1">
      <c r="A6" s="94" t="s">
        <v>955</v>
      </c>
      <c r="B6" s="94" t="s">
        <v>14</v>
      </c>
      <c r="C6" s="94" t="s">
        <v>976</v>
      </c>
      <c r="D6" s="103" t="s">
        <v>977</v>
      </c>
      <c r="E6" s="95" t="s">
        <v>978</v>
      </c>
      <c r="F6" s="94" t="s">
        <v>963</v>
      </c>
      <c r="G6" s="94" t="s">
        <v>960</v>
      </c>
      <c r="H6" s="94" t="s">
        <v>961</v>
      </c>
      <c r="I6" s="94"/>
      <c r="J6" s="94">
        <v>2</v>
      </c>
      <c r="K6" s="96" t="e">
        <f>VLOOKUP(Tabela13[[#This Row],[Prioridade]],[5]!TabelaPrioridade[#Data],2,FALSE)</f>
        <v>#REF!</v>
      </c>
      <c r="L6" s="96" t="e">
        <f>VLOOKUP(Tabela13[[#This Row],[Prioridade]],[5]!TabelaPrioridade[#Data],3,FALSE)</f>
        <v>#REF!</v>
      </c>
      <c r="M6" s="94" t="s">
        <v>963</v>
      </c>
      <c r="N6" s="94" t="s">
        <v>964</v>
      </c>
      <c r="O6" s="94" t="s">
        <v>964</v>
      </c>
      <c r="P6" s="94" t="s">
        <v>965</v>
      </c>
      <c r="Q6" s="97" t="e">
        <f>Tabela13[[#This Row],[Tempo Máximo Atendimento]]+"00:20:00"</f>
        <v>#REF!</v>
      </c>
      <c r="R6" s="94" t="s">
        <v>979</v>
      </c>
      <c r="S6" s="94" t="s">
        <v>967</v>
      </c>
      <c r="T6" s="97" t="e">
        <f>Tabela13[[#This Row],[Tempo Máximo Resolução]]-Tabela13[[#This Row],[Tempo Máximo Resolução3]]</f>
        <v>#REF!</v>
      </c>
      <c r="U6" s="98" t="e">
        <f>Tabela13[[#This Row],[Tempo Máximo Total Resolução]]-Tabela13[[#This Row],[Tempo Máximo Escalada Funcional]]</f>
        <v>#REF!</v>
      </c>
      <c r="V6" s="94" t="s">
        <v>960</v>
      </c>
      <c r="W6" s="94" t="s">
        <v>968</v>
      </c>
      <c r="X6" s="99">
        <v>0.125</v>
      </c>
      <c r="Y6" s="100" t="s">
        <v>969</v>
      </c>
      <c r="Z6" s="94" t="s">
        <v>980</v>
      </c>
      <c r="AA6" s="97" t="e">
        <f>Tabela13[[#This Row],[Tempo Máximo Total Resolução]]-Tabela13[[#This Row],[Tempo Máximo Escalada Funcional]]</f>
        <v>#REF!</v>
      </c>
      <c r="AB6" s="94" t="s">
        <v>960</v>
      </c>
      <c r="AC6" s="94" t="s">
        <v>970</v>
      </c>
      <c r="AD6" s="101" t="s">
        <v>971</v>
      </c>
    </row>
    <row r="7" spans="1:30" s="104" customFormat="1" ht="36" hidden="1" customHeight="1">
      <c r="A7" s="94" t="s">
        <v>955</v>
      </c>
      <c r="B7" s="94" t="s">
        <v>14</v>
      </c>
      <c r="C7" s="94" t="s">
        <v>957</v>
      </c>
      <c r="D7" s="103" t="s">
        <v>981</v>
      </c>
      <c r="E7" s="95"/>
      <c r="F7" s="94" t="s">
        <v>963</v>
      </c>
      <c r="G7" s="94" t="s">
        <v>963</v>
      </c>
      <c r="H7" s="94" t="s">
        <v>961</v>
      </c>
      <c r="I7" s="94" t="s">
        <v>982</v>
      </c>
      <c r="J7" s="94">
        <v>4</v>
      </c>
      <c r="K7" s="96" t="e">
        <f>VLOOKUP(Tabela13[[#This Row],[Prioridade]],[5]!TabelaPrioridade[#Data],2,FALSE)</f>
        <v>#REF!</v>
      </c>
      <c r="L7" s="96" t="e">
        <f>VLOOKUP(Tabela13[[#This Row],[Prioridade]],[5]!TabelaPrioridade[#Data],3,FALSE)</f>
        <v>#REF!</v>
      </c>
      <c r="M7" s="94" t="s">
        <v>960</v>
      </c>
      <c r="N7" s="94" t="s">
        <v>983</v>
      </c>
      <c r="O7" s="99">
        <v>0.16666666666666666</v>
      </c>
      <c r="P7" s="94" t="s">
        <v>965</v>
      </c>
      <c r="Q7" s="97" t="e">
        <f>Tabela13[[#This Row],[Tempo Máximo Atendimento]]+"00:20:00"</f>
        <v>#REF!</v>
      </c>
      <c r="R7" s="94"/>
      <c r="S7" s="94" t="s">
        <v>967</v>
      </c>
      <c r="T7" s="97" t="s">
        <v>964</v>
      </c>
      <c r="U7" s="98" t="e">
        <f>Tabela13[[#This Row],[Tempo Máximo Total Resolução]]-Tabela13[[#This Row],[Tempo Máximo Escalada Funcional]]</f>
        <v>#REF!</v>
      </c>
      <c r="V7" s="94"/>
      <c r="W7" s="94" t="s">
        <v>964</v>
      </c>
      <c r="X7" s="94" t="s">
        <v>964</v>
      </c>
      <c r="Y7" s="95" t="s">
        <v>964</v>
      </c>
      <c r="Z7" s="94" t="s">
        <v>964</v>
      </c>
      <c r="AA7" s="94" t="s">
        <v>964</v>
      </c>
      <c r="AB7" s="94" t="s">
        <v>964</v>
      </c>
      <c r="AC7" s="94" t="s">
        <v>970</v>
      </c>
      <c r="AD7" s="101" t="s">
        <v>971</v>
      </c>
    </row>
    <row r="8" spans="1:30" s="104" customFormat="1" ht="72">
      <c r="A8" s="94" t="s">
        <v>955</v>
      </c>
      <c r="B8" s="94" t="s">
        <v>14</v>
      </c>
      <c r="C8" s="94" t="s">
        <v>976</v>
      </c>
      <c r="D8" s="105" t="s">
        <v>565</v>
      </c>
      <c r="E8" s="95" t="s">
        <v>984</v>
      </c>
      <c r="F8" s="94" t="s">
        <v>960</v>
      </c>
      <c r="G8" s="94" t="s">
        <v>960</v>
      </c>
      <c r="H8" s="94" t="s">
        <v>985</v>
      </c>
      <c r="I8" s="94"/>
      <c r="J8" s="94">
        <v>1</v>
      </c>
      <c r="K8" s="96" t="e">
        <f>VLOOKUP(Tabela13[[#This Row],[Prioridade]],[5]!TabelaPrioridade[#Data],2,FALSE)</f>
        <v>#REF!</v>
      </c>
      <c r="L8" s="96" t="e">
        <f>VLOOKUP(Tabela13[[#This Row],[Prioridade]],[5]!TabelaPrioridade[#Data],3,FALSE)</f>
        <v>#REF!</v>
      </c>
      <c r="M8" s="94" t="s">
        <v>963</v>
      </c>
      <c r="N8" s="94" t="s">
        <v>964</v>
      </c>
      <c r="O8" s="94" t="s">
        <v>964</v>
      </c>
      <c r="P8" s="94" t="s">
        <v>965</v>
      </c>
      <c r="Q8" s="97" t="e">
        <f>Tabela13[[#This Row],[Tempo Máximo Atendimento]]+"00:20:00"</f>
        <v>#REF!</v>
      </c>
      <c r="R8" s="94" t="s">
        <v>979</v>
      </c>
      <c r="S8" s="94" t="s">
        <v>967</v>
      </c>
      <c r="T8" s="97" t="e">
        <f>Tabela13[[#This Row],[Tempo Máximo Resolução]]-Tabela13[[#This Row],[Tempo Máximo Resolução3]]</f>
        <v>#REF!</v>
      </c>
      <c r="U8" s="98" t="e">
        <f>Tabela13[[#This Row],[Tempo Máximo Total Resolução]]-Tabela13[[#This Row],[Tempo Máximo Escalada Funcional]]</f>
        <v>#REF!</v>
      </c>
      <c r="V8" s="94" t="s">
        <v>960</v>
      </c>
      <c r="W8" s="94" t="s">
        <v>968</v>
      </c>
      <c r="X8" s="99">
        <v>0.125</v>
      </c>
      <c r="Y8" s="100" t="s">
        <v>969</v>
      </c>
      <c r="Z8" s="94" t="s">
        <v>980</v>
      </c>
      <c r="AA8" s="97" t="e">
        <f>Tabela13[[#This Row],[Tempo Máximo Total Resolução]]-Tabela13[[#This Row],[Tempo Máximo Escalada Funcional]]</f>
        <v>#REF!</v>
      </c>
      <c r="AB8" s="94" t="s">
        <v>960</v>
      </c>
      <c r="AC8" s="94" t="s">
        <v>970</v>
      </c>
      <c r="AD8" s="99">
        <v>2.0833333333333332E-2</v>
      </c>
    </row>
    <row r="9" spans="1:30" s="104" customFormat="1" ht="24" hidden="1">
      <c r="A9" s="94" t="s">
        <v>955</v>
      </c>
      <c r="B9" s="94" t="s">
        <v>14</v>
      </c>
      <c r="C9" s="94" t="s">
        <v>976</v>
      </c>
      <c r="D9" s="105" t="s">
        <v>566</v>
      </c>
      <c r="E9" s="95" t="s">
        <v>986</v>
      </c>
      <c r="F9" s="94" t="s">
        <v>960</v>
      </c>
      <c r="G9" s="94" t="s">
        <v>960</v>
      </c>
      <c r="H9" s="94" t="s">
        <v>985</v>
      </c>
      <c r="I9" s="94"/>
      <c r="J9" s="94">
        <v>2</v>
      </c>
      <c r="K9" s="96" t="e">
        <f>VLOOKUP(Tabela13[[#This Row],[Prioridade]],[5]!TabelaPrioridade[#Data],2,FALSE)</f>
        <v>#REF!</v>
      </c>
      <c r="L9" s="96" t="e">
        <f>VLOOKUP(Tabela13[[#This Row],[Prioridade]],[5]!TabelaPrioridade[#Data],3,FALSE)</f>
        <v>#REF!</v>
      </c>
      <c r="M9" s="94" t="s">
        <v>963</v>
      </c>
      <c r="N9" s="94" t="s">
        <v>964</v>
      </c>
      <c r="O9" s="94" t="s">
        <v>964</v>
      </c>
      <c r="P9" s="94" t="s">
        <v>965</v>
      </c>
      <c r="Q9" s="97" t="e">
        <f>Tabela13[[#This Row],[Tempo Máximo Atendimento]]+"00:20:00"</f>
        <v>#REF!</v>
      </c>
      <c r="R9" s="94"/>
      <c r="S9" s="94" t="s">
        <v>967</v>
      </c>
      <c r="T9" s="97" t="e">
        <f>Tabela13[[#This Row],[Tempo Máximo Resolução]]-Tabela13[[#This Row],[Tempo Máximo Resolução3]]</f>
        <v>#REF!</v>
      </c>
      <c r="U9" s="98" t="e">
        <f>Tabela13[[#This Row],[Tempo Máximo Total Resolução]]-Tabela13[[#This Row],[Tempo Máximo Escalada Funcional]]</f>
        <v>#REF!</v>
      </c>
      <c r="V9" s="94"/>
      <c r="W9" s="94" t="s">
        <v>980</v>
      </c>
      <c r="X9" s="99">
        <v>8.3333333333333329E-2</v>
      </c>
      <c r="Y9" s="95" t="s">
        <v>964</v>
      </c>
      <c r="Z9" s="94" t="s">
        <v>964</v>
      </c>
      <c r="AA9" s="94" t="s">
        <v>964</v>
      </c>
      <c r="AB9" s="94" t="s">
        <v>964</v>
      </c>
      <c r="AC9" s="94" t="s">
        <v>970</v>
      </c>
      <c r="AD9" s="101" t="s">
        <v>971</v>
      </c>
    </row>
    <row r="10" spans="1:30" s="104" customFormat="1" ht="24" hidden="1">
      <c r="A10" s="94" t="s">
        <v>955</v>
      </c>
      <c r="B10" s="94" t="s">
        <v>14</v>
      </c>
      <c r="C10" s="94" t="s">
        <v>976</v>
      </c>
      <c r="D10" s="105" t="s">
        <v>987</v>
      </c>
      <c r="E10" s="95" t="s">
        <v>988</v>
      </c>
      <c r="F10" s="94" t="s">
        <v>960</v>
      </c>
      <c r="G10" s="94" t="s">
        <v>960</v>
      </c>
      <c r="H10" s="94" t="s">
        <v>985</v>
      </c>
      <c r="I10" s="94"/>
      <c r="J10" s="94">
        <v>2</v>
      </c>
      <c r="K10" s="96" t="e">
        <f>VLOOKUP(Tabela13[[#This Row],[Prioridade]],[5]!TabelaPrioridade[#Data],2,FALSE)</f>
        <v>#REF!</v>
      </c>
      <c r="L10" s="96" t="e">
        <f>VLOOKUP(Tabela13[[#This Row],[Prioridade]],[5]!TabelaPrioridade[#Data],3,FALSE)</f>
        <v>#REF!</v>
      </c>
      <c r="M10" s="94" t="s">
        <v>963</v>
      </c>
      <c r="N10" s="94" t="s">
        <v>964</v>
      </c>
      <c r="O10" s="94" t="s">
        <v>964</v>
      </c>
      <c r="P10" s="94" t="s">
        <v>965</v>
      </c>
      <c r="Q10" s="97" t="e">
        <f>Tabela13[[#This Row],[Tempo Máximo Atendimento]]+"00:20:00"</f>
        <v>#REF!</v>
      </c>
      <c r="R10" s="94"/>
      <c r="S10" s="94" t="s">
        <v>967</v>
      </c>
      <c r="T10" s="97" t="e">
        <f>Tabela13[[#This Row],[Tempo Máximo Resolução]]-Tabela13[[#This Row],[Tempo Máximo Resolução3]]</f>
        <v>#REF!</v>
      </c>
      <c r="U10" s="98" t="e">
        <f>Tabela13[[#This Row],[Tempo Máximo Total Resolução]]-Tabela13[[#This Row],[Tempo Máximo Escalada Funcional]]</f>
        <v>#REF!</v>
      </c>
      <c r="V10" s="94"/>
      <c r="W10" s="94" t="s">
        <v>980</v>
      </c>
      <c r="X10" s="99">
        <v>8.3333333333333329E-2</v>
      </c>
      <c r="Y10" s="95" t="s">
        <v>964</v>
      </c>
      <c r="Z10" s="94" t="s">
        <v>964</v>
      </c>
      <c r="AA10" s="94" t="s">
        <v>964</v>
      </c>
      <c r="AB10" s="94" t="s">
        <v>964</v>
      </c>
      <c r="AC10" s="94" t="s">
        <v>970</v>
      </c>
      <c r="AD10" s="101" t="s">
        <v>971</v>
      </c>
    </row>
    <row r="11" spans="1:30" s="104" customFormat="1" ht="72" hidden="1">
      <c r="A11" s="94" t="s">
        <v>955</v>
      </c>
      <c r="B11" s="94" t="s">
        <v>14</v>
      </c>
      <c r="C11" s="94" t="s">
        <v>957</v>
      </c>
      <c r="D11" s="95" t="s">
        <v>989</v>
      </c>
      <c r="E11" s="95" t="s">
        <v>990</v>
      </c>
      <c r="F11" s="94" t="s">
        <v>963</v>
      </c>
      <c r="G11" s="94" t="s">
        <v>960</v>
      </c>
      <c r="H11" s="94" t="s">
        <v>961</v>
      </c>
      <c r="I11" s="94"/>
      <c r="J11" s="94">
        <v>4</v>
      </c>
      <c r="K11" s="96" t="e">
        <f>VLOOKUP(Tabela13[[#This Row],[Prioridade]],[5]!TabelaPrioridade[#Data],2,FALSE)</f>
        <v>#REF!</v>
      </c>
      <c r="L11" s="96" t="e">
        <f>VLOOKUP(Tabela13[[#This Row],[Prioridade]],[5]!TabelaPrioridade[#Data],3,FALSE)</f>
        <v>#REF!</v>
      </c>
      <c r="M11" s="94" t="s">
        <v>963</v>
      </c>
      <c r="N11" s="94" t="s">
        <v>964</v>
      </c>
      <c r="O11" s="94" t="s">
        <v>964</v>
      </c>
      <c r="P11" s="94" t="s">
        <v>965</v>
      </c>
      <c r="Q11" s="97" t="e">
        <f>Tabela13[[#This Row],[Tempo Máximo Atendimento]]+"00:20:00"</f>
        <v>#REF!</v>
      </c>
      <c r="R11" s="94" t="s">
        <v>991</v>
      </c>
      <c r="S11" s="94" t="s">
        <v>967</v>
      </c>
      <c r="T11" s="97" t="e">
        <f>Tabela13[[#This Row],[Tempo Máximo Resolução]]-Tabela13[[#This Row],[Tempo Máximo Resolução3]]</f>
        <v>#REF!</v>
      </c>
      <c r="U11" s="98" t="e">
        <f>Tabela13[[#This Row],[Tempo Máximo Total Resolução]]-Tabela13[[#This Row],[Tempo Máximo Escalada Funcional]]</f>
        <v>#REF!</v>
      </c>
      <c r="V11" s="94" t="s">
        <v>960</v>
      </c>
      <c r="W11" s="94" t="s">
        <v>968</v>
      </c>
      <c r="X11" s="106">
        <v>0.33333333333333331</v>
      </c>
      <c r="Y11" s="100" t="s">
        <v>969</v>
      </c>
      <c r="Z11" s="94" t="s">
        <v>980</v>
      </c>
      <c r="AA11" s="97" t="e">
        <f>Tabela13[[#This Row],[Tempo Máximo Total Resolução]]-Tabela13[[#This Row],[Tempo Máximo Escalada Funcional]]</f>
        <v>#REF!</v>
      </c>
      <c r="AB11" s="94" t="s">
        <v>960</v>
      </c>
      <c r="AC11" s="94" t="s">
        <v>970</v>
      </c>
      <c r="AD11" s="101" t="s">
        <v>971</v>
      </c>
    </row>
    <row r="12" spans="1:30" s="104" customFormat="1" ht="12" hidden="1">
      <c r="A12" s="94" t="s">
        <v>992</v>
      </c>
      <c r="B12" s="94" t="s">
        <v>14</v>
      </c>
      <c r="C12" s="94" t="s">
        <v>957</v>
      </c>
      <c r="D12" s="105" t="s">
        <v>958</v>
      </c>
      <c r="E12" s="95" t="s">
        <v>959</v>
      </c>
      <c r="F12" s="94" t="s">
        <v>960</v>
      </c>
      <c r="G12" s="94" t="s">
        <v>960</v>
      </c>
      <c r="H12" s="94" t="s">
        <v>961</v>
      </c>
      <c r="I12" s="94" t="s">
        <v>962</v>
      </c>
      <c r="J12" s="94">
        <v>4</v>
      </c>
      <c r="K12" s="96" t="e">
        <f>VLOOKUP(Tabela13[[#This Row],[Prioridade]],[5]!TabelaPrioridade[#Data],2,FALSE)</f>
        <v>#REF!</v>
      </c>
      <c r="L12" s="96" t="e">
        <f>VLOOKUP(Tabela13[[#This Row],[Prioridade]],[5]!TabelaPrioridade[#Data],3,FALSE)</f>
        <v>#REF!</v>
      </c>
      <c r="M12" s="94" t="s">
        <v>960</v>
      </c>
      <c r="N12" s="94" t="s">
        <v>993</v>
      </c>
      <c r="O12" s="99">
        <v>0.16666666666666666</v>
      </c>
      <c r="P12" s="94" t="s">
        <v>967</v>
      </c>
      <c r="Q12" s="97" t="e">
        <f>Tabela13[[#This Row],[Tempo Máximo Atendimento]]+"00:20:00"</f>
        <v>#REF!</v>
      </c>
      <c r="R12" s="94"/>
      <c r="S12" s="94" t="s">
        <v>968</v>
      </c>
      <c r="T12" s="97" t="s">
        <v>964</v>
      </c>
      <c r="U12" s="98">
        <v>0.33333333333333331</v>
      </c>
      <c r="V12" s="94"/>
      <c r="W12" s="94" t="s">
        <v>964</v>
      </c>
      <c r="X12" s="94" t="s">
        <v>964</v>
      </c>
      <c r="Y12" s="95" t="s">
        <v>964</v>
      </c>
      <c r="Z12" s="94" t="s">
        <v>964</v>
      </c>
      <c r="AA12" s="94" t="s">
        <v>964</v>
      </c>
      <c r="AB12" s="94" t="s">
        <v>964</v>
      </c>
      <c r="AC12" s="94" t="s">
        <v>970</v>
      </c>
      <c r="AD12" s="101" t="s">
        <v>971</v>
      </c>
    </row>
    <row r="13" spans="1:30" ht="24" hidden="1">
      <c r="A13" s="94" t="s">
        <v>992</v>
      </c>
      <c r="B13" s="94" t="s">
        <v>956</v>
      </c>
      <c r="C13" s="94" t="s">
        <v>994</v>
      </c>
      <c r="D13" s="95" t="s">
        <v>995</v>
      </c>
      <c r="E13" s="95" t="s">
        <v>996</v>
      </c>
      <c r="F13" s="94" t="s">
        <v>960</v>
      </c>
      <c r="G13" s="94" t="s">
        <v>963</v>
      </c>
      <c r="H13" s="94" t="s">
        <v>961</v>
      </c>
      <c r="I13" s="94"/>
      <c r="J13" s="94">
        <v>5</v>
      </c>
      <c r="K13" s="96" t="e">
        <f>VLOOKUP(Tabela13[[#This Row],[Prioridade]],[5]!TabelaPrioridade[#Data],2,FALSE)</f>
        <v>#REF!</v>
      </c>
      <c r="L13" s="96" t="e">
        <f>VLOOKUP(Tabela13[[#This Row],[Prioridade]],[5]!TabelaPrioridade[#Data],3,FALSE)</f>
        <v>#REF!</v>
      </c>
      <c r="M13" s="94" t="s">
        <v>960</v>
      </c>
      <c r="N13" s="94" t="s">
        <v>983</v>
      </c>
      <c r="O13" s="94" t="s">
        <v>997</v>
      </c>
      <c r="P13" s="94" t="s">
        <v>967</v>
      </c>
      <c r="Q13" s="97" t="e">
        <f>Tabela13[[#This Row],[Tempo Máximo Atendimento]]+"00:20:00"</f>
        <v>#REF!</v>
      </c>
      <c r="R13" s="94"/>
      <c r="S13" s="94" t="s">
        <v>968</v>
      </c>
      <c r="T13" s="97" t="s">
        <v>964</v>
      </c>
      <c r="U13" s="98">
        <v>0.33333333333333331</v>
      </c>
      <c r="V13" s="94"/>
      <c r="W13" s="94" t="s">
        <v>964</v>
      </c>
      <c r="X13" s="94" t="s">
        <v>964</v>
      </c>
      <c r="Y13" s="95" t="s">
        <v>964</v>
      </c>
      <c r="Z13" s="94" t="s">
        <v>964</v>
      </c>
      <c r="AA13" s="94" t="s">
        <v>964</v>
      </c>
      <c r="AB13" s="94" t="s">
        <v>964</v>
      </c>
      <c r="AC13" s="94" t="s">
        <v>970</v>
      </c>
      <c r="AD13" s="101" t="s">
        <v>971</v>
      </c>
    </row>
    <row r="14" spans="1:30" ht="24" hidden="1">
      <c r="A14" s="94" t="s">
        <v>992</v>
      </c>
      <c r="B14" s="94" t="s">
        <v>956</v>
      </c>
      <c r="C14" s="94" t="s">
        <v>957</v>
      </c>
      <c r="D14" s="105" t="s">
        <v>998</v>
      </c>
      <c r="E14" s="95" t="s">
        <v>999</v>
      </c>
      <c r="F14" s="94" t="s">
        <v>960</v>
      </c>
      <c r="G14" s="94" t="s">
        <v>960</v>
      </c>
      <c r="H14" s="94" t="s">
        <v>961</v>
      </c>
      <c r="I14" s="94" t="s">
        <v>962</v>
      </c>
      <c r="J14" s="94">
        <v>4</v>
      </c>
      <c r="K14" s="96" t="e">
        <f>VLOOKUP(Tabela13[[#This Row],[Prioridade]],[5]!TabelaPrioridade[#Data],2,FALSE)</f>
        <v>#REF!</v>
      </c>
      <c r="L14" s="96" t="e">
        <f>VLOOKUP(Tabela13[[#This Row],[Prioridade]],[5]!TabelaPrioridade[#Data],3,FALSE)</f>
        <v>#REF!</v>
      </c>
      <c r="M14" s="94" t="s">
        <v>960</v>
      </c>
      <c r="N14" s="94" t="s">
        <v>1000</v>
      </c>
      <c r="O14" s="99">
        <v>0.16666666666666666</v>
      </c>
      <c r="P14" s="94" t="s">
        <v>967</v>
      </c>
      <c r="Q14" s="97" t="e">
        <f>Tabela13[[#This Row],[Tempo Máximo Atendimento]]+"00:20:00"</f>
        <v>#REF!</v>
      </c>
      <c r="R14" s="94"/>
      <c r="S14" s="94" t="s">
        <v>968</v>
      </c>
      <c r="T14" s="97" t="s">
        <v>964</v>
      </c>
      <c r="U14" s="98">
        <v>0.33333333333333331</v>
      </c>
      <c r="V14" s="94"/>
      <c r="W14" s="94" t="s">
        <v>964</v>
      </c>
      <c r="X14" s="94" t="s">
        <v>964</v>
      </c>
      <c r="Y14" s="95" t="s">
        <v>964</v>
      </c>
      <c r="Z14" s="94" t="s">
        <v>964</v>
      </c>
      <c r="AA14" s="94" t="s">
        <v>964</v>
      </c>
      <c r="AB14" s="94" t="s">
        <v>964</v>
      </c>
      <c r="AC14" s="94" t="s">
        <v>970</v>
      </c>
      <c r="AD14" s="101" t="s">
        <v>971</v>
      </c>
    </row>
    <row r="15" spans="1:30" ht="15" hidden="1">
      <c r="A15" s="94" t="s">
        <v>992</v>
      </c>
      <c r="B15" s="94" t="s">
        <v>14</v>
      </c>
      <c r="C15" s="94" t="s">
        <v>994</v>
      </c>
      <c r="D15" s="105" t="s">
        <v>972</v>
      </c>
      <c r="E15" s="95" t="s">
        <v>973</v>
      </c>
      <c r="F15" s="94" t="s">
        <v>960</v>
      </c>
      <c r="G15" s="94" t="s">
        <v>963</v>
      </c>
      <c r="H15" s="94" t="s">
        <v>1001</v>
      </c>
      <c r="I15" s="94"/>
      <c r="J15" s="94">
        <v>5</v>
      </c>
      <c r="K15" s="96" t="e">
        <f>VLOOKUP(Tabela13[[#This Row],[Prioridade]],[5]!TabelaPrioridade[#Data],2,FALSE)</f>
        <v>#REF!</v>
      </c>
      <c r="L15" s="96" t="e">
        <f>VLOOKUP(Tabela13[[#This Row],[Prioridade]],[5]!TabelaPrioridade[#Data],3,FALSE)</f>
        <v>#REF!</v>
      </c>
      <c r="M15" s="94" t="s">
        <v>963</v>
      </c>
      <c r="N15" s="94" t="s">
        <v>964</v>
      </c>
      <c r="O15" s="94" t="s">
        <v>964</v>
      </c>
      <c r="P15" s="94" t="s">
        <v>975</v>
      </c>
      <c r="Q15" s="97" t="e">
        <f>Tabela13[[#This Row],[Tempo Máximo Atendimento]]+"00:20:00"</f>
        <v>#REF!</v>
      </c>
      <c r="R15" s="94"/>
      <c r="S15" s="94" t="s">
        <v>964</v>
      </c>
      <c r="T15" s="97" t="s">
        <v>964</v>
      </c>
      <c r="U15" s="98" t="s">
        <v>964</v>
      </c>
      <c r="V15" s="94"/>
      <c r="W15" s="94" t="s">
        <v>964</v>
      </c>
      <c r="X15" s="94" t="s">
        <v>964</v>
      </c>
      <c r="Y15" s="95" t="s">
        <v>964</v>
      </c>
      <c r="Z15" s="94" t="s">
        <v>964</v>
      </c>
      <c r="AA15" s="94" t="s">
        <v>964</v>
      </c>
      <c r="AB15" s="94" t="s">
        <v>964</v>
      </c>
      <c r="AC15" s="94" t="s">
        <v>970</v>
      </c>
      <c r="AD15" s="101" t="s">
        <v>971</v>
      </c>
    </row>
    <row r="16" spans="1:30" ht="72" hidden="1">
      <c r="A16" s="94" t="s">
        <v>992</v>
      </c>
      <c r="B16" s="94" t="s">
        <v>14</v>
      </c>
      <c r="C16" s="94" t="s">
        <v>976</v>
      </c>
      <c r="D16" s="103" t="s">
        <v>977</v>
      </c>
      <c r="E16" s="95"/>
      <c r="F16" s="94" t="s">
        <v>960</v>
      </c>
      <c r="G16" s="94" t="s">
        <v>960</v>
      </c>
      <c r="H16" s="94" t="s">
        <v>961</v>
      </c>
      <c r="I16" s="94"/>
      <c r="J16" s="94">
        <v>2</v>
      </c>
      <c r="K16" s="96" t="e">
        <f>VLOOKUP(Tabela13[[#This Row],[Prioridade]],[5]!TabelaPrioridade[#Data],2,FALSE)</f>
        <v>#REF!</v>
      </c>
      <c r="L16" s="96" t="e">
        <f>VLOOKUP(Tabela13[[#This Row],[Prioridade]],[5]!TabelaPrioridade[#Data],3,FALSE)</f>
        <v>#REF!</v>
      </c>
      <c r="M16" s="94" t="s">
        <v>963</v>
      </c>
      <c r="N16" s="94" t="s">
        <v>964</v>
      </c>
      <c r="O16" s="94" t="s">
        <v>964</v>
      </c>
      <c r="P16" s="94" t="s">
        <v>965</v>
      </c>
      <c r="Q16" s="97" t="e">
        <f>Tabela13[[#This Row],[Tempo Máximo Atendimento]]+"00:20:00"</f>
        <v>#REF!</v>
      </c>
      <c r="R16" s="94" t="s">
        <v>979</v>
      </c>
      <c r="S16" s="94" t="s">
        <v>967</v>
      </c>
      <c r="T16" s="97" t="e">
        <f>Tabela13[[#This Row],[Tempo Máximo Resolução]]-Tabela13[[#This Row],[Tempo Máximo Resolução3]]</f>
        <v>#REF!</v>
      </c>
      <c r="U16" s="98" t="e">
        <f>Tabela13[[#This Row],[Tempo Máximo Total Resolução]]-Tabela13[[#This Row],[Tempo Máximo Escalada Funcional]]</f>
        <v>#REF!</v>
      </c>
      <c r="V16" s="94" t="s">
        <v>960</v>
      </c>
      <c r="W16" s="94" t="s">
        <v>968</v>
      </c>
      <c r="X16" s="99">
        <v>0.125</v>
      </c>
      <c r="Y16" s="100" t="s">
        <v>969</v>
      </c>
      <c r="Z16" s="94" t="s">
        <v>980</v>
      </c>
      <c r="AA16" s="97" t="e">
        <f>Tabela13[[#This Row],[Tempo Máximo Total Resolução]]-Tabela13[[#This Row],[Tempo Máximo Escalada Funcional]]</f>
        <v>#REF!</v>
      </c>
      <c r="AB16" s="94" t="s">
        <v>960</v>
      </c>
      <c r="AC16" s="94" t="s">
        <v>970</v>
      </c>
      <c r="AD16" s="101" t="s">
        <v>971</v>
      </c>
    </row>
    <row r="17" spans="1:30" ht="72" hidden="1">
      <c r="A17" s="94" t="s">
        <v>992</v>
      </c>
      <c r="B17" s="94" t="s">
        <v>14</v>
      </c>
      <c r="C17" s="94" t="s">
        <v>976</v>
      </c>
      <c r="D17" s="105" t="s">
        <v>566</v>
      </c>
      <c r="E17" s="95"/>
      <c r="F17" s="94" t="s">
        <v>963</v>
      </c>
      <c r="G17" s="94" t="s">
        <v>960</v>
      </c>
      <c r="H17" s="94" t="s">
        <v>961</v>
      </c>
      <c r="I17" s="94"/>
      <c r="J17" s="94">
        <v>2</v>
      </c>
      <c r="K17" s="96" t="e">
        <f>VLOOKUP(Tabela13[[#This Row],[Prioridade]],[5]!TabelaPrioridade[#Data],2,FALSE)</f>
        <v>#REF!</v>
      </c>
      <c r="L17" s="96" t="e">
        <f>VLOOKUP(Tabela13[[#This Row],[Prioridade]],[5]!TabelaPrioridade[#Data],3,FALSE)</f>
        <v>#REF!</v>
      </c>
      <c r="M17" s="94" t="s">
        <v>963</v>
      </c>
      <c r="N17" s="94" t="s">
        <v>964</v>
      </c>
      <c r="O17" s="94" t="s">
        <v>964</v>
      </c>
      <c r="P17" s="94" t="s">
        <v>965</v>
      </c>
      <c r="Q17" s="97" t="e">
        <f>Tabela13[[#This Row],[Tempo Máximo Atendimento]]+"00:20:00"</f>
        <v>#REF!</v>
      </c>
      <c r="R17" s="94" t="s">
        <v>979</v>
      </c>
      <c r="S17" s="94" t="s">
        <v>967</v>
      </c>
      <c r="T17" s="97" t="e">
        <f>Tabela13[[#This Row],[Tempo Máximo Resolução]]-Tabela13[[#This Row],[Tempo Máximo Resolução3]]</f>
        <v>#REF!</v>
      </c>
      <c r="U17" s="98" t="e">
        <f>Tabela13[[#This Row],[Tempo Máximo Total Resolução]]-Tabela13[[#This Row],[Tempo Máximo Escalada Funcional]]</f>
        <v>#REF!</v>
      </c>
      <c r="V17" s="94" t="s">
        <v>960</v>
      </c>
      <c r="W17" s="94" t="s">
        <v>968</v>
      </c>
      <c r="X17" s="99">
        <v>0.125</v>
      </c>
      <c r="Y17" s="100" t="s">
        <v>969</v>
      </c>
      <c r="Z17" s="94" t="s">
        <v>980</v>
      </c>
      <c r="AA17" s="97" t="e">
        <f>Tabela13[[#This Row],[Tempo Máximo Total Resolução]]-Tabela13[[#This Row],[Tempo Máximo Escalada Funcional]]</f>
        <v>#REF!</v>
      </c>
      <c r="AB17" s="94" t="s">
        <v>960</v>
      </c>
      <c r="AC17" s="94" t="s">
        <v>970</v>
      </c>
      <c r="AD17" s="101" t="s">
        <v>971</v>
      </c>
    </row>
    <row r="18" spans="1:30" ht="72">
      <c r="A18" s="94" t="s">
        <v>992</v>
      </c>
      <c r="B18" s="94" t="s">
        <v>14</v>
      </c>
      <c r="C18" s="94" t="s">
        <v>976</v>
      </c>
      <c r="D18" s="105" t="s">
        <v>565</v>
      </c>
      <c r="E18" s="95"/>
      <c r="F18" s="94" t="s">
        <v>960</v>
      </c>
      <c r="G18" s="94" t="s">
        <v>960</v>
      </c>
      <c r="H18" s="94" t="s">
        <v>961</v>
      </c>
      <c r="I18" s="94"/>
      <c r="J18" s="94">
        <v>1</v>
      </c>
      <c r="K18" s="96" t="e">
        <f>VLOOKUP(Tabela13[[#This Row],[Prioridade]],[5]!TabelaPrioridade[#Data],2,FALSE)</f>
        <v>#REF!</v>
      </c>
      <c r="L18" s="96" t="e">
        <f>VLOOKUP(Tabela13[[#This Row],[Prioridade]],[5]!TabelaPrioridade[#Data],3,FALSE)</f>
        <v>#REF!</v>
      </c>
      <c r="M18" s="94" t="s">
        <v>963</v>
      </c>
      <c r="N18" s="94" t="s">
        <v>964</v>
      </c>
      <c r="O18" s="94" t="s">
        <v>964</v>
      </c>
      <c r="P18" s="94" t="s">
        <v>965</v>
      </c>
      <c r="Q18" s="97" t="e">
        <f>Tabela13[[#This Row],[Tempo Máximo Atendimento]]+"00:20:00"</f>
        <v>#REF!</v>
      </c>
      <c r="R18" s="94" t="s">
        <v>979</v>
      </c>
      <c r="S18" s="94" t="s">
        <v>967</v>
      </c>
      <c r="T18" s="97" t="e">
        <f>Tabela13[[#This Row],[Tempo Máximo Resolução]]-Tabela13[[#This Row],[Tempo Máximo Resolução3]]</f>
        <v>#REF!</v>
      </c>
      <c r="U18" s="98" t="e">
        <f>Tabela13[[#This Row],[Tempo Máximo Total Resolução]]-Tabela13[[#This Row],[Tempo Máximo Escalada Funcional]]</f>
        <v>#REF!</v>
      </c>
      <c r="V18" s="94" t="s">
        <v>960</v>
      </c>
      <c r="W18" s="94" t="s">
        <v>968</v>
      </c>
      <c r="X18" s="99">
        <v>0.125</v>
      </c>
      <c r="Y18" s="100" t="s">
        <v>969</v>
      </c>
      <c r="Z18" s="94" t="s">
        <v>980</v>
      </c>
      <c r="AA18" s="97" t="e">
        <f>Tabela13[[#This Row],[Tempo Máximo Total Resolução]]-Tabela13[[#This Row],[Tempo Máximo Escalada Funcional]]</f>
        <v>#REF!</v>
      </c>
      <c r="AB18" s="94" t="s">
        <v>960</v>
      </c>
      <c r="AC18" s="94" t="s">
        <v>970</v>
      </c>
      <c r="AD18" s="99">
        <v>2.0833333333333332E-2</v>
      </c>
    </row>
    <row r="19" spans="1:30" ht="72" hidden="1">
      <c r="A19" s="94" t="s">
        <v>992</v>
      </c>
      <c r="B19" s="94" t="s">
        <v>14</v>
      </c>
      <c r="C19" s="94" t="s">
        <v>957</v>
      </c>
      <c r="D19" s="95" t="s">
        <v>1002</v>
      </c>
      <c r="E19" s="95" t="s">
        <v>1003</v>
      </c>
      <c r="F19" s="94" t="s">
        <v>963</v>
      </c>
      <c r="G19" s="94" t="s">
        <v>963</v>
      </c>
      <c r="H19" s="94" t="s">
        <v>961</v>
      </c>
      <c r="I19" s="94"/>
      <c r="J19" s="94">
        <v>4</v>
      </c>
      <c r="K19" s="96" t="e">
        <f>VLOOKUP(Tabela13[[#This Row],[Prioridade]],[5]!TabelaPrioridade[#Data],2,FALSE)</f>
        <v>#REF!</v>
      </c>
      <c r="L19" s="96" t="e">
        <f>VLOOKUP(Tabela13[[#This Row],[Prioridade]],[5]!TabelaPrioridade[#Data],3,FALSE)</f>
        <v>#REF!</v>
      </c>
      <c r="M19" s="94" t="s">
        <v>963</v>
      </c>
      <c r="N19" s="94" t="s">
        <v>964</v>
      </c>
      <c r="O19" s="94" t="s">
        <v>964</v>
      </c>
      <c r="P19" s="94" t="s">
        <v>965</v>
      </c>
      <c r="Q19" s="97" t="e">
        <f>Tabela13[[#This Row],[Tempo Máximo Atendimento]]+"00:20:00"</f>
        <v>#REF!</v>
      </c>
      <c r="R19" s="94" t="s">
        <v>979</v>
      </c>
      <c r="S19" s="94" t="s">
        <v>967</v>
      </c>
      <c r="T19" s="97" t="e">
        <f>Tabela13[[#This Row],[Tempo Máximo Resolução]]-Tabela13[[#This Row],[Tempo Máximo Resolução3]]</f>
        <v>#REF!</v>
      </c>
      <c r="U19" s="98" t="e">
        <f>Tabela13[[#This Row],[Tempo Máximo Total Resolução]]-Tabela13[[#This Row],[Tempo Máximo Escalada Funcional]]</f>
        <v>#REF!</v>
      </c>
      <c r="V19" s="94" t="s">
        <v>960</v>
      </c>
      <c r="W19" s="94" t="s">
        <v>968</v>
      </c>
      <c r="X19" s="99">
        <v>0.25</v>
      </c>
      <c r="Y19" s="100" t="s">
        <v>969</v>
      </c>
      <c r="Z19" s="94" t="s">
        <v>980</v>
      </c>
      <c r="AA19" s="97" t="e">
        <f>Tabela13[[#This Row],[Tempo Máximo Total Resolução]]-Tabela13[[#This Row],[Tempo Máximo Escalada Funcional]]</f>
        <v>#REF!</v>
      </c>
      <c r="AB19" s="94" t="s">
        <v>960</v>
      </c>
      <c r="AC19" s="94" t="s">
        <v>970</v>
      </c>
      <c r="AD19" s="101" t="s">
        <v>971</v>
      </c>
    </row>
    <row r="20" spans="1:30" s="102" customFormat="1" ht="72" hidden="1">
      <c r="A20" s="94" t="s">
        <v>992</v>
      </c>
      <c r="B20" s="94" t="s">
        <v>14</v>
      </c>
      <c r="C20" s="94" t="s">
        <v>976</v>
      </c>
      <c r="D20" s="105" t="s">
        <v>987</v>
      </c>
      <c r="E20" s="95" t="s">
        <v>988</v>
      </c>
      <c r="F20" s="94" t="s">
        <v>960</v>
      </c>
      <c r="G20" s="94" t="s">
        <v>960</v>
      </c>
      <c r="H20" s="94" t="s">
        <v>961</v>
      </c>
      <c r="I20" s="94"/>
      <c r="J20" s="94">
        <v>2</v>
      </c>
      <c r="K20" s="96" t="e">
        <f>VLOOKUP(Tabela13[[#This Row],[Prioridade]],[5]!TabelaPrioridade[#Data],2,FALSE)</f>
        <v>#REF!</v>
      </c>
      <c r="L20" s="96" t="e">
        <f>VLOOKUP(Tabela13[[#This Row],[Prioridade]],[5]!TabelaPrioridade[#Data],3,FALSE)</f>
        <v>#REF!</v>
      </c>
      <c r="M20" s="94" t="s">
        <v>963</v>
      </c>
      <c r="N20" s="94" t="s">
        <v>964</v>
      </c>
      <c r="O20" s="94" t="s">
        <v>964</v>
      </c>
      <c r="P20" s="94" t="s">
        <v>965</v>
      </c>
      <c r="Q20" s="97" t="e">
        <f>Tabela13[[#This Row],[Tempo Máximo Atendimento]]+"00:20:00"</f>
        <v>#REF!</v>
      </c>
      <c r="R20" s="94" t="s">
        <v>979</v>
      </c>
      <c r="S20" s="94" t="s">
        <v>967</v>
      </c>
      <c r="T20" s="97" t="e">
        <f>Tabela13[[#This Row],[Tempo Máximo Resolução]]-Tabela13[[#This Row],[Tempo Máximo Resolução3]]</f>
        <v>#REF!</v>
      </c>
      <c r="U20" s="98" t="e">
        <f>Tabela13[[#This Row],[Tempo Máximo Total Resolução]]-Tabela13[[#This Row],[Tempo Máximo Escalada Funcional]]</f>
        <v>#REF!</v>
      </c>
      <c r="V20" s="94" t="s">
        <v>960</v>
      </c>
      <c r="W20" s="94" t="s">
        <v>968</v>
      </c>
      <c r="X20" s="99">
        <v>0.125</v>
      </c>
      <c r="Y20" s="100" t="s">
        <v>969</v>
      </c>
      <c r="Z20" s="94" t="s">
        <v>980</v>
      </c>
      <c r="AA20" s="97" t="e">
        <f>Tabela13[[#This Row],[Tempo Máximo Total Resolução]]-Tabela13[[#This Row],[Tempo Máximo Escalada Funcional]]</f>
        <v>#REF!</v>
      </c>
      <c r="AB20" s="94" t="s">
        <v>960</v>
      </c>
      <c r="AC20" s="94" t="s">
        <v>970</v>
      </c>
      <c r="AD20" s="101" t="s">
        <v>971</v>
      </c>
    </row>
    <row r="21" spans="1:30" s="102" customFormat="1" ht="12" hidden="1">
      <c r="A21" s="94" t="s">
        <v>992</v>
      </c>
      <c r="B21" s="94" t="s">
        <v>956</v>
      </c>
      <c r="C21" s="94" t="s">
        <v>994</v>
      </c>
      <c r="D21" s="105" t="s">
        <v>1004</v>
      </c>
      <c r="E21" s="95"/>
      <c r="F21" s="94" t="s">
        <v>960</v>
      </c>
      <c r="G21" s="94" t="s">
        <v>960</v>
      </c>
      <c r="H21" s="94" t="s">
        <v>961</v>
      </c>
      <c r="I21" s="94"/>
      <c r="J21" s="94">
        <v>5</v>
      </c>
      <c r="K21" s="96" t="e">
        <f>VLOOKUP(Tabela13[[#This Row],[Prioridade]],[5]!TabelaPrioridade[#Data],2,FALSE)</f>
        <v>#REF!</v>
      </c>
      <c r="L21" s="96" t="e">
        <f>VLOOKUP(Tabela13[[#This Row],[Prioridade]],[5]!TabelaPrioridade[#Data],3,FALSE)</f>
        <v>#REF!</v>
      </c>
      <c r="M21" s="94" t="s">
        <v>963</v>
      </c>
      <c r="N21" s="94" t="s">
        <v>964</v>
      </c>
      <c r="O21" s="94" t="s">
        <v>964</v>
      </c>
      <c r="P21" s="94" t="s">
        <v>980</v>
      </c>
      <c r="Q21" s="97" t="e">
        <f>Tabela13[[#This Row],[Tempo Máximo Atendimento]]+"00:20:00"</f>
        <v>#REF!</v>
      </c>
      <c r="R21" s="94"/>
      <c r="S21" s="94" t="s">
        <v>1005</v>
      </c>
      <c r="T21" s="97" t="s">
        <v>964</v>
      </c>
      <c r="U21" s="98" t="s">
        <v>964</v>
      </c>
      <c r="V21" s="94"/>
      <c r="W21" s="94" t="s">
        <v>964</v>
      </c>
      <c r="X21" s="94" t="s">
        <v>964</v>
      </c>
      <c r="Y21" s="95" t="s">
        <v>964</v>
      </c>
      <c r="Z21" s="94" t="s">
        <v>964</v>
      </c>
      <c r="AA21" s="94" t="s">
        <v>964</v>
      </c>
      <c r="AB21" s="94" t="s">
        <v>964</v>
      </c>
      <c r="AC21" s="94" t="s">
        <v>970</v>
      </c>
      <c r="AD21" s="101" t="s">
        <v>971</v>
      </c>
    </row>
    <row r="22" spans="1:30" s="104" customFormat="1" ht="12" hidden="1">
      <c r="A22" s="94" t="s">
        <v>992</v>
      </c>
      <c r="B22" s="94" t="s">
        <v>956</v>
      </c>
      <c r="C22" s="94" t="s">
        <v>994</v>
      </c>
      <c r="D22" s="105" t="s">
        <v>1006</v>
      </c>
      <c r="E22" s="95" t="s">
        <v>1007</v>
      </c>
      <c r="F22" s="94" t="s">
        <v>960</v>
      </c>
      <c r="G22" s="94" t="s">
        <v>960</v>
      </c>
      <c r="H22" s="94" t="s">
        <v>962</v>
      </c>
      <c r="I22" s="94"/>
      <c r="J22" s="94">
        <v>5</v>
      </c>
      <c r="K22" s="96" t="e">
        <f>VLOOKUP(Tabela13[[#This Row],[Prioridade]],[5]!TabelaPrioridade[#Data],2,FALSE)</f>
        <v>#REF!</v>
      </c>
      <c r="L22" s="96" t="e">
        <f>VLOOKUP(Tabela13[[#This Row],[Prioridade]],[5]!TabelaPrioridade[#Data],3,FALSE)</f>
        <v>#REF!</v>
      </c>
      <c r="M22" s="94" t="s">
        <v>963</v>
      </c>
      <c r="N22" s="94" t="s">
        <v>964</v>
      </c>
      <c r="O22" s="94" t="s">
        <v>964</v>
      </c>
      <c r="P22" s="94" t="s">
        <v>980</v>
      </c>
      <c r="Q22" s="97" t="e">
        <f>Tabela13[[#This Row],[Tempo Máximo Atendimento]]+"00:20:00"</f>
        <v>#REF!</v>
      </c>
      <c r="R22" s="94"/>
      <c r="S22" s="94" t="s">
        <v>1005</v>
      </c>
      <c r="T22" s="97" t="s">
        <v>964</v>
      </c>
      <c r="U22" s="98" t="s">
        <v>964</v>
      </c>
      <c r="V22" s="94"/>
      <c r="W22" s="94" t="s">
        <v>964</v>
      </c>
      <c r="X22" s="94" t="s">
        <v>964</v>
      </c>
      <c r="Y22" s="95" t="s">
        <v>964</v>
      </c>
      <c r="Z22" s="94" t="s">
        <v>964</v>
      </c>
      <c r="AA22" s="94" t="s">
        <v>964</v>
      </c>
      <c r="AB22" s="94" t="s">
        <v>964</v>
      </c>
      <c r="AC22" s="94" t="s">
        <v>970</v>
      </c>
      <c r="AD22" s="101" t="s">
        <v>971</v>
      </c>
    </row>
    <row r="23" spans="1:30" s="104" customFormat="1" ht="72" hidden="1">
      <c r="A23" s="94" t="s">
        <v>992</v>
      </c>
      <c r="B23" s="94" t="s">
        <v>14</v>
      </c>
      <c r="C23" s="94" t="s">
        <v>957</v>
      </c>
      <c r="D23" s="95" t="s">
        <v>989</v>
      </c>
      <c r="E23" s="95"/>
      <c r="F23" s="94" t="s">
        <v>963</v>
      </c>
      <c r="G23" s="94" t="s">
        <v>960</v>
      </c>
      <c r="H23" s="94" t="s">
        <v>961</v>
      </c>
      <c r="I23" s="94"/>
      <c r="J23" s="94">
        <v>4</v>
      </c>
      <c r="K23" s="96" t="e">
        <f>VLOOKUP(Tabela13[[#This Row],[Prioridade]],[5]!TabelaPrioridade[#Data],2,FALSE)</f>
        <v>#REF!</v>
      </c>
      <c r="L23" s="96" t="e">
        <f>VLOOKUP(Tabela13[[#This Row],[Prioridade]],[5]!TabelaPrioridade[#Data],3,FALSE)</f>
        <v>#REF!</v>
      </c>
      <c r="M23" s="94" t="s">
        <v>963</v>
      </c>
      <c r="N23" s="94" t="s">
        <v>964</v>
      </c>
      <c r="O23" s="94" t="s">
        <v>964</v>
      </c>
      <c r="P23" s="94" t="s">
        <v>965</v>
      </c>
      <c r="Q23" s="97" t="e">
        <f>Tabela13[[#This Row],[Tempo Máximo Atendimento]]+"00:20:00"</f>
        <v>#REF!</v>
      </c>
      <c r="R23" s="94" t="s">
        <v>1008</v>
      </c>
      <c r="S23" s="94" t="s">
        <v>967</v>
      </c>
      <c r="T23" s="97" t="e">
        <f>Tabela13[[#This Row],[Tempo Máximo Resolução]]-Tabela13[[#This Row],[Tempo Máximo Resolução3]]</f>
        <v>#REF!</v>
      </c>
      <c r="U23" s="98" t="e">
        <f>Tabela13[[#This Row],[Tempo Máximo Total Resolução]]-Tabela13[[#This Row],[Tempo Máximo Escalada Funcional]]</f>
        <v>#REF!</v>
      </c>
      <c r="V23" s="94" t="s">
        <v>960</v>
      </c>
      <c r="W23" s="94" t="s">
        <v>968</v>
      </c>
      <c r="X23" s="99">
        <v>0.33333333333333331</v>
      </c>
      <c r="Y23" s="100" t="s">
        <v>969</v>
      </c>
      <c r="Z23" s="94" t="s">
        <v>964</v>
      </c>
      <c r="AA23" s="94" t="s">
        <v>964</v>
      </c>
      <c r="AB23" s="94" t="s">
        <v>964</v>
      </c>
      <c r="AC23" s="94" t="s">
        <v>970</v>
      </c>
      <c r="AD23" s="101" t="s">
        <v>971</v>
      </c>
    </row>
    <row r="24" spans="1:30" s="102" customFormat="1" ht="24" hidden="1">
      <c r="A24" s="94" t="s">
        <v>1009</v>
      </c>
      <c r="B24" s="94" t="s">
        <v>956</v>
      </c>
      <c r="C24" s="94" t="s">
        <v>957</v>
      </c>
      <c r="D24" s="105" t="s">
        <v>1010</v>
      </c>
      <c r="E24" s="95" t="s">
        <v>1011</v>
      </c>
      <c r="F24" s="94" t="s">
        <v>960</v>
      </c>
      <c r="G24" s="94" t="s">
        <v>963</v>
      </c>
      <c r="H24" s="94" t="s">
        <v>961</v>
      </c>
      <c r="I24" s="94" t="s">
        <v>962</v>
      </c>
      <c r="J24" s="94">
        <v>5</v>
      </c>
      <c r="K24" s="96" t="e">
        <f>VLOOKUP(Tabela13[[#This Row],[Prioridade]],[5]!TabelaPrioridade[#Data],2,FALSE)</f>
        <v>#REF!</v>
      </c>
      <c r="L24" s="96" t="e">
        <f>VLOOKUP(Tabela13[[#This Row],[Prioridade]],[5]!TabelaPrioridade[#Data],3,FALSE)</f>
        <v>#REF!</v>
      </c>
      <c r="M24" s="94" t="s">
        <v>960</v>
      </c>
      <c r="N24" s="94" t="s">
        <v>1012</v>
      </c>
      <c r="O24" s="99">
        <v>0.66666666666666663</v>
      </c>
      <c r="P24" s="94" t="s">
        <v>980</v>
      </c>
      <c r="Q24" s="97" t="e">
        <f>Tabela13[[#This Row],[Tempo Máximo Total Resolução]]-Tabela13[[#This Row],[Tempo Máximo Resolução]]</f>
        <v>#REF!</v>
      </c>
      <c r="R24" s="94"/>
      <c r="S24" s="108" t="s">
        <v>34</v>
      </c>
      <c r="T24" s="97" t="s">
        <v>964</v>
      </c>
      <c r="U24" s="97">
        <v>5</v>
      </c>
      <c r="V24" s="94"/>
      <c r="W24" s="94" t="s">
        <v>964</v>
      </c>
      <c r="X24" s="94" t="s">
        <v>964</v>
      </c>
      <c r="Y24" s="95" t="s">
        <v>964</v>
      </c>
      <c r="Z24" s="94" t="s">
        <v>964</v>
      </c>
      <c r="AA24" s="94" t="s">
        <v>964</v>
      </c>
      <c r="AB24" s="94" t="s">
        <v>964</v>
      </c>
      <c r="AC24" s="94" t="s">
        <v>970</v>
      </c>
      <c r="AD24" s="101" t="s">
        <v>971</v>
      </c>
    </row>
    <row r="25" spans="1:30" s="104" customFormat="1" ht="24" hidden="1">
      <c r="A25" s="94" t="s">
        <v>1009</v>
      </c>
      <c r="B25" s="94" t="s">
        <v>956</v>
      </c>
      <c r="C25" s="94" t="s">
        <v>957</v>
      </c>
      <c r="D25" s="105" t="s">
        <v>1013</v>
      </c>
      <c r="E25" s="95" t="s">
        <v>1014</v>
      </c>
      <c r="F25" s="94" t="s">
        <v>960</v>
      </c>
      <c r="G25" s="94" t="s">
        <v>963</v>
      </c>
      <c r="H25" s="94" t="s">
        <v>961</v>
      </c>
      <c r="I25" s="94" t="s">
        <v>962</v>
      </c>
      <c r="J25" s="94">
        <v>5</v>
      </c>
      <c r="K25" s="96" t="e">
        <f>VLOOKUP(Tabela13[[#This Row],[Prioridade]],[5]!TabelaPrioridade[#Data],2,FALSE)</f>
        <v>#REF!</v>
      </c>
      <c r="L25" s="96" t="e">
        <f>VLOOKUP(Tabela13[[#This Row],[Prioridade]],[5]!TabelaPrioridade[#Data],3,FALSE)</f>
        <v>#REF!</v>
      </c>
      <c r="M25" s="94" t="s">
        <v>960</v>
      </c>
      <c r="N25" s="94" t="s">
        <v>1012</v>
      </c>
      <c r="O25" s="99">
        <v>0.66666666666666663</v>
      </c>
      <c r="P25" s="94" t="s">
        <v>980</v>
      </c>
      <c r="Q25" s="97" t="e">
        <f>Tabela13[[#This Row],[Tempo Máximo Total Resolução]]-Tabela13[[#This Row],[Tempo Máximo Resolução]]</f>
        <v>#REF!</v>
      </c>
      <c r="R25" s="94"/>
      <c r="S25" s="108" t="s">
        <v>34</v>
      </c>
      <c r="T25" s="97" t="s">
        <v>964</v>
      </c>
      <c r="U25" s="97">
        <v>5</v>
      </c>
      <c r="V25" s="94"/>
      <c r="W25" s="94" t="s">
        <v>964</v>
      </c>
      <c r="X25" s="94" t="s">
        <v>964</v>
      </c>
      <c r="Y25" s="95" t="s">
        <v>964</v>
      </c>
      <c r="Z25" s="94" t="s">
        <v>964</v>
      </c>
      <c r="AA25" s="94" t="s">
        <v>964</v>
      </c>
      <c r="AB25" s="94" t="s">
        <v>964</v>
      </c>
      <c r="AC25" s="94" t="s">
        <v>970</v>
      </c>
      <c r="AD25" s="101" t="s">
        <v>971</v>
      </c>
    </row>
    <row r="26" spans="1:30" s="104" customFormat="1" ht="24" hidden="1">
      <c r="A26" s="94" t="s">
        <v>1009</v>
      </c>
      <c r="B26" s="94" t="s">
        <v>956</v>
      </c>
      <c r="C26" s="94" t="s">
        <v>957</v>
      </c>
      <c r="D26" s="105" t="s">
        <v>1015</v>
      </c>
      <c r="E26" s="95" t="s">
        <v>1016</v>
      </c>
      <c r="F26" s="94" t="s">
        <v>960</v>
      </c>
      <c r="G26" s="94" t="s">
        <v>963</v>
      </c>
      <c r="H26" s="94" t="s">
        <v>961</v>
      </c>
      <c r="I26" s="94" t="s">
        <v>962</v>
      </c>
      <c r="J26" s="94">
        <v>5</v>
      </c>
      <c r="K26" s="96" t="e">
        <f>VLOOKUP(Tabela13[[#This Row],[Prioridade]],[5]!TabelaPrioridade[#Data],2,FALSE)</f>
        <v>#REF!</v>
      </c>
      <c r="L26" s="96" t="e">
        <f>VLOOKUP(Tabela13[[#This Row],[Prioridade]],[5]!TabelaPrioridade[#Data],3,FALSE)</f>
        <v>#REF!</v>
      </c>
      <c r="M26" s="94" t="s">
        <v>960</v>
      </c>
      <c r="N26" s="94" t="s">
        <v>1012</v>
      </c>
      <c r="O26" s="99">
        <v>0.66666666666666663</v>
      </c>
      <c r="P26" s="94" t="s">
        <v>980</v>
      </c>
      <c r="Q26" s="97" t="e">
        <f>Tabela13[[#This Row],[Tempo Máximo Total Resolução]]-Tabela13[[#This Row],[Tempo Máximo Resolução]]</f>
        <v>#REF!</v>
      </c>
      <c r="R26" s="94"/>
      <c r="S26" s="108" t="s">
        <v>34</v>
      </c>
      <c r="T26" s="97" t="s">
        <v>964</v>
      </c>
      <c r="U26" s="97">
        <v>5</v>
      </c>
      <c r="V26" s="94"/>
      <c r="W26" s="94" t="s">
        <v>964</v>
      </c>
      <c r="X26" s="94" t="s">
        <v>964</v>
      </c>
      <c r="Y26" s="95" t="s">
        <v>964</v>
      </c>
      <c r="Z26" s="94" t="s">
        <v>964</v>
      </c>
      <c r="AA26" s="94" t="s">
        <v>964</v>
      </c>
      <c r="AB26" s="94" t="s">
        <v>964</v>
      </c>
      <c r="AC26" s="94" t="s">
        <v>970</v>
      </c>
      <c r="AD26" s="101" t="s">
        <v>971</v>
      </c>
    </row>
    <row r="27" spans="1:30" s="104" customFormat="1" ht="24" hidden="1">
      <c r="A27" s="94" t="s">
        <v>1009</v>
      </c>
      <c r="B27" s="94" t="s">
        <v>956</v>
      </c>
      <c r="C27" s="94" t="s">
        <v>957</v>
      </c>
      <c r="D27" s="105" t="s">
        <v>1017</v>
      </c>
      <c r="E27" s="95" t="s">
        <v>1018</v>
      </c>
      <c r="F27" s="94" t="s">
        <v>960</v>
      </c>
      <c r="G27" s="94" t="s">
        <v>963</v>
      </c>
      <c r="H27" s="94" t="s">
        <v>961</v>
      </c>
      <c r="I27" s="94" t="s">
        <v>962</v>
      </c>
      <c r="J27" s="94">
        <v>5</v>
      </c>
      <c r="K27" s="96" t="e">
        <f>VLOOKUP(Tabela13[[#This Row],[Prioridade]],[5]!TabelaPrioridade[#Data],2,FALSE)</f>
        <v>#REF!</v>
      </c>
      <c r="L27" s="96" t="e">
        <f>VLOOKUP(Tabela13[[#This Row],[Prioridade]],[5]!TabelaPrioridade[#Data],3,FALSE)</f>
        <v>#REF!</v>
      </c>
      <c r="M27" s="94" t="s">
        <v>960</v>
      </c>
      <c r="N27" s="94" t="s">
        <v>1012</v>
      </c>
      <c r="O27" s="99">
        <v>0.66666666666666663</v>
      </c>
      <c r="P27" s="94" t="s">
        <v>980</v>
      </c>
      <c r="Q27" s="97" t="e">
        <f>Tabela13[[#This Row],[Tempo Máximo Total Resolução]]-Tabela13[[#This Row],[Tempo Máximo Resolução]]</f>
        <v>#REF!</v>
      </c>
      <c r="R27" s="94"/>
      <c r="S27" s="108" t="s">
        <v>34</v>
      </c>
      <c r="T27" s="97" t="s">
        <v>964</v>
      </c>
      <c r="U27" s="97">
        <v>5</v>
      </c>
      <c r="V27" s="94"/>
      <c r="W27" s="94" t="s">
        <v>964</v>
      </c>
      <c r="X27" s="94" t="s">
        <v>964</v>
      </c>
      <c r="Y27" s="95" t="s">
        <v>964</v>
      </c>
      <c r="Z27" s="94" t="s">
        <v>964</v>
      </c>
      <c r="AA27" s="94" t="s">
        <v>964</v>
      </c>
      <c r="AB27" s="94" t="s">
        <v>964</v>
      </c>
      <c r="AC27" s="94" t="s">
        <v>970</v>
      </c>
      <c r="AD27" s="101" t="s">
        <v>971</v>
      </c>
    </row>
    <row r="28" spans="1:30" ht="15" hidden="1">
      <c r="A28" s="94" t="s">
        <v>1019</v>
      </c>
      <c r="B28" s="94" t="s">
        <v>14</v>
      </c>
      <c r="C28" s="94" t="s">
        <v>957</v>
      </c>
      <c r="D28" s="105" t="s">
        <v>958</v>
      </c>
      <c r="E28" s="95" t="s">
        <v>959</v>
      </c>
      <c r="F28" s="94" t="s">
        <v>960</v>
      </c>
      <c r="G28" s="94" t="s">
        <v>960</v>
      </c>
      <c r="H28" s="94" t="s">
        <v>961</v>
      </c>
      <c r="I28" s="94"/>
      <c r="J28" s="94">
        <v>4</v>
      </c>
      <c r="K28" s="96" t="e">
        <f>VLOOKUP(Tabela13[[#This Row],[Prioridade]],[5]!TabelaPrioridade[#Data],2,FALSE)</f>
        <v>#REF!</v>
      </c>
      <c r="L28" s="96" t="e">
        <f>VLOOKUP(Tabela13[[#This Row],[Prioridade]],[5]!TabelaPrioridade[#Data],3,FALSE)</f>
        <v>#REF!</v>
      </c>
      <c r="M28" s="94" t="s">
        <v>960</v>
      </c>
      <c r="N28" s="94" t="s">
        <v>1020</v>
      </c>
      <c r="O28" s="94" t="s">
        <v>997</v>
      </c>
      <c r="P28" s="94" t="s">
        <v>967</v>
      </c>
      <c r="Q28" s="97" t="e">
        <f>Tabela13[[#This Row],[Tempo Máximo Atendimento]]+"00:20:00"</f>
        <v>#REF!</v>
      </c>
      <c r="R28" s="94" t="s">
        <v>1021</v>
      </c>
      <c r="S28" s="94" t="s">
        <v>968</v>
      </c>
      <c r="T28" s="94" t="s">
        <v>964</v>
      </c>
      <c r="U28" s="98">
        <v>0.33333333333333331</v>
      </c>
      <c r="V28" s="94"/>
      <c r="W28" s="94" t="s">
        <v>980</v>
      </c>
      <c r="X28" s="99">
        <v>8.3333333333333329E-2</v>
      </c>
      <c r="Y28" s="95" t="s">
        <v>960</v>
      </c>
      <c r="Z28" s="94" t="s">
        <v>964</v>
      </c>
      <c r="AA28" s="94"/>
      <c r="AB28" s="94"/>
      <c r="AC28" s="94" t="s">
        <v>970</v>
      </c>
      <c r="AD28" s="101" t="s">
        <v>971</v>
      </c>
    </row>
    <row r="29" spans="1:30" ht="15" hidden="1">
      <c r="A29" s="94" t="s">
        <v>1019</v>
      </c>
      <c r="B29" s="94" t="s">
        <v>956</v>
      </c>
      <c r="C29" s="94" t="s">
        <v>957</v>
      </c>
      <c r="D29" s="105" t="s">
        <v>1022</v>
      </c>
      <c r="E29" s="95" t="s">
        <v>1023</v>
      </c>
      <c r="F29" s="94" t="s">
        <v>960</v>
      </c>
      <c r="G29" s="94" t="s">
        <v>960</v>
      </c>
      <c r="H29" s="94" t="s">
        <v>961</v>
      </c>
      <c r="I29" s="94" t="s">
        <v>962</v>
      </c>
      <c r="J29" s="94">
        <v>4</v>
      </c>
      <c r="K29" s="96" t="e">
        <f>VLOOKUP(Tabela13[[#This Row],[Prioridade]],[5]!TabelaPrioridade[#Data],2,FALSE)</f>
        <v>#REF!</v>
      </c>
      <c r="L29" s="96" t="e">
        <f>VLOOKUP(Tabela13[[#This Row],[Prioridade]],[5]!TabelaPrioridade[#Data],3,FALSE)</f>
        <v>#REF!</v>
      </c>
      <c r="M29" s="94" t="s">
        <v>963</v>
      </c>
      <c r="N29" s="94"/>
      <c r="O29" s="94"/>
      <c r="P29" s="94" t="s">
        <v>967</v>
      </c>
      <c r="Q29" s="97" t="e">
        <f>Tabela13[[#This Row],[Tempo Máximo Atendimento]]+"00:20:00"</f>
        <v>#REF!</v>
      </c>
      <c r="R29" s="94"/>
      <c r="S29" s="94" t="s">
        <v>968</v>
      </c>
      <c r="T29" s="94" t="s">
        <v>964</v>
      </c>
      <c r="U29" s="98">
        <v>0.33333333333333331</v>
      </c>
      <c r="V29" s="94"/>
      <c r="W29" s="94" t="s">
        <v>980</v>
      </c>
      <c r="X29" s="99">
        <v>8.3333333333333329E-2</v>
      </c>
      <c r="Y29" s="95" t="s">
        <v>960</v>
      </c>
      <c r="Z29" s="94" t="s">
        <v>964</v>
      </c>
      <c r="AA29" s="94"/>
      <c r="AB29" s="94"/>
      <c r="AC29" s="94" t="s">
        <v>970</v>
      </c>
      <c r="AD29" s="101" t="s">
        <v>971</v>
      </c>
    </row>
    <row r="30" spans="1:30" ht="15" hidden="1">
      <c r="A30" s="94" t="s">
        <v>1019</v>
      </c>
      <c r="B30" s="94" t="s">
        <v>956</v>
      </c>
      <c r="C30" s="94" t="s">
        <v>957</v>
      </c>
      <c r="D30" s="105" t="s">
        <v>1024</v>
      </c>
      <c r="E30" s="95" t="s">
        <v>1025</v>
      </c>
      <c r="F30" s="94" t="s">
        <v>960</v>
      </c>
      <c r="G30" s="94" t="s">
        <v>960</v>
      </c>
      <c r="H30" s="94" t="s">
        <v>961</v>
      </c>
      <c r="I30" s="94" t="s">
        <v>962</v>
      </c>
      <c r="J30" s="94">
        <v>4</v>
      </c>
      <c r="K30" s="96" t="e">
        <f>VLOOKUP(Tabela13[[#This Row],[Prioridade]],[5]!TabelaPrioridade[#Data],2,FALSE)</f>
        <v>#REF!</v>
      </c>
      <c r="L30" s="96" t="e">
        <f>VLOOKUP(Tabela13[[#This Row],[Prioridade]],[5]!TabelaPrioridade[#Data],3,FALSE)</f>
        <v>#REF!</v>
      </c>
      <c r="M30" s="94" t="s">
        <v>963</v>
      </c>
      <c r="N30" s="94"/>
      <c r="O30" s="94"/>
      <c r="P30" s="94" t="s">
        <v>967</v>
      </c>
      <c r="Q30" s="97" t="e">
        <f>Tabela13[[#This Row],[Tempo Máximo Atendimento]]+"00:20:00"</f>
        <v>#REF!</v>
      </c>
      <c r="R30" s="94"/>
      <c r="S30" s="94" t="s">
        <v>968</v>
      </c>
      <c r="T30" s="94" t="s">
        <v>964</v>
      </c>
      <c r="U30" s="98">
        <v>0.33333333333333331</v>
      </c>
      <c r="V30" s="94"/>
      <c r="W30" s="94" t="s">
        <v>980</v>
      </c>
      <c r="X30" s="99">
        <v>8.3333333333333329E-2</v>
      </c>
      <c r="Y30" s="95" t="s">
        <v>960</v>
      </c>
      <c r="Z30" s="94" t="s">
        <v>964</v>
      </c>
      <c r="AA30" s="94"/>
      <c r="AB30" s="94"/>
      <c r="AC30" s="94" t="s">
        <v>970</v>
      </c>
      <c r="AD30" s="101" t="s">
        <v>971</v>
      </c>
    </row>
    <row r="31" spans="1:30" s="102" customFormat="1" ht="72" hidden="1">
      <c r="A31" s="94" t="s">
        <v>1019</v>
      </c>
      <c r="B31" s="94" t="s">
        <v>14</v>
      </c>
      <c r="C31" s="94" t="s">
        <v>976</v>
      </c>
      <c r="D31" s="103" t="s">
        <v>977</v>
      </c>
      <c r="E31" s="95"/>
      <c r="F31" s="94" t="s">
        <v>963</v>
      </c>
      <c r="G31" s="94" t="s">
        <v>960</v>
      </c>
      <c r="H31" s="94" t="s">
        <v>961</v>
      </c>
      <c r="I31" s="94"/>
      <c r="J31" s="94">
        <v>2</v>
      </c>
      <c r="K31" s="96" t="e">
        <f>VLOOKUP(Tabela13[[#This Row],[Prioridade]],[5]!TabelaPrioridade[#Data],2,FALSE)</f>
        <v>#REF!</v>
      </c>
      <c r="L31" s="96" t="e">
        <f>VLOOKUP(Tabela13[[#This Row],[Prioridade]],[5]!TabelaPrioridade[#Data],3,FALSE)</f>
        <v>#REF!</v>
      </c>
      <c r="M31" s="94" t="s">
        <v>963</v>
      </c>
      <c r="N31" s="94" t="s">
        <v>964</v>
      </c>
      <c r="O31" s="94" t="s">
        <v>964</v>
      </c>
      <c r="P31" s="94" t="s">
        <v>965</v>
      </c>
      <c r="Q31" s="97" t="e">
        <f>Tabela13[[#This Row],[Tempo Máximo Atendimento]]+"00:20:00"</f>
        <v>#REF!</v>
      </c>
      <c r="R31" s="94"/>
      <c r="S31" s="94" t="s">
        <v>967</v>
      </c>
      <c r="T31" s="98" t="e">
        <f>Tabela13[[#This Row],[Tempo Máximo Resolução]]-Tabela13[[#This Row],[Tempo Máximo Resolução3]]</f>
        <v>#REF!</v>
      </c>
      <c r="U31" s="98" t="e">
        <f>Tabela13[[#This Row],[Tempo Máximo Total Resolução]]-Tabela13[[#This Row],[Tempo Máximo Escalada Funcional]]</f>
        <v>#REF!</v>
      </c>
      <c r="V31" s="94"/>
      <c r="W31" s="94" t="s">
        <v>968</v>
      </c>
      <c r="X31" s="99">
        <v>0.16666666666666666</v>
      </c>
      <c r="Y31" s="100" t="s">
        <v>969</v>
      </c>
      <c r="Z31" s="94" t="s">
        <v>980</v>
      </c>
      <c r="AA31" s="99"/>
      <c r="AB31" s="94" t="s">
        <v>960</v>
      </c>
      <c r="AC31" s="94" t="s">
        <v>970</v>
      </c>
      <c r="AD31" s="101" t="s">
        <v>971</v>
      </c>
    </row>
    <row r="32" spans="1:30" s="102" customFormat="1" ht="72" hidden="1">
      <c r="A32" s="94" t="s">
        <v>1019</v>
      </c>
      <c r="B32" s="94" t="s">
        <v>14</v>
      </c>
      <c r="C32" s="94" t="s">
        <v>976</v>
      </c>
      <c r="D32" s="105" t="s">
        <v>566</v>
      </c>
      <c r="E32" s="95"/>
      <c r="F32" s="94" t="s">
        <v>963</v>
      </c>
      <c r="G32" s="94" t="s">
        <v>960</v>
      </c>
      <c r="H32" s="94" t="s">
        <v>961</v>
      </c>
      <c r="I32" s="94"/>
      <c r="J32" s="94">
        <v>2</v>
      </c>
      <c r="K32" s="96" t="e">
        <f>VLOOKUP(Tabela13[[#This Row],[Prioridade]],[5]!TabelaPrioridade[#Data],2,FALSE)</f>
        <v>#REF!</v>
      </c>
      <c r="L32" s="96" t="e">
        <f>VLOOKUP(Tabela13[[#This Row],[Prioridade]],[5]!TabelaPrioridade[#Data],3,FALSE)</f>
        <v>#REF!</v>
      </c>
      <c r="M32" s="94" t="s">
        <v>963</v>
      </c>
      <c r="N32" s="94" t="s">
        <v>964</v>
      </c>
      <c r="O32" s="94" t="s">
        <v>964</v>
      </c>
      <c r="P32" s="94" t="s">
        <v>965</v>
      </c>
      <c r="Q32" s="97" t="e">
        <f>Tabela13[[#This Row],[Tempo Máximo Atendimento]]+"00:20:00"</f>
        <v>#REF!</v>
      </c>
      <c r="R32" s="94"/>
      <c r="S32" s="94" t="s">
        <v>967</v>
      </c>
      <c r="T32" s="98" t="e">
        <f>Tabela13[[#This Row],[Tempo Máximo Resolução]]-Tabela13[[#This Row],[Tempo Máximo Resolução3]]</f>
        <v>#REF!</v>
      </c>
      <c r="U32" s="98" t="e">
        <f>Tabela13[[#This Row],[Tempo Máximo Total Resolução]]-Tabela13[[#This Row],[Tempo Máximo Escalada Funcional]]</f>
        <v>#REF!</v>
      </c>
      <c r="V32" s="94"/>
      <c r="W32" s="94" t="s">
        <v>968</v>
      </c>
      <c r="X32" s="99">
        <v>0.16666666666666666</v>
      </c>
      <c r="Y32" s="100" t="s">
        <v>969</v>
      </c>
      <c r="Z32" s="94" t="s">
        <v>980</v>
      </c>
      <c r="AA32" s="99"/>
      <c r="AB32" s="94" t="s">
        <v>960</v>
      </c>
      <c r="AC32" s="94" t="s">
        <v>970</v>
      </c>
      <c r="AD32" s="101" t="s">
        <v>971</v>
      </c>
    </row>
    <row r="33" spans="1:30" s="104" customFormat="1" ht="72">
      <c r="A33" s="94" t="s">
        <v>1019</v>
      </c>
      <c r="B33" s="94" t="s">
        <v>14</v>
      </c>
      <c r="C33" s="94" t="s">
        <v>976</v>
      </c>
      <c r="D33" s="105" t="s">
        <v>565</v>
      </c>
      <c r="E33" s="95"/>
      <c r="F33" s="94" t="s">
        <v>963</v>
      </c>
      <c r="G33" s="94" t="s">
        <v>960</v>
      </c>
      <c r="H33" s="94" t="s">
        <v>961</v>
      </c>
      <c r="I33" s="94"/>
      <c r="J33" s="94">
        <v>1</v>
      </c>
      <c r="K33" s="96" t="e">
        <f>VLOOKUP(Tabela13[[#This Row],[Prioridade]],[5]!TabelaPrioridade[#Data],2,FALSE)</f>
        <v>#REF!</v>
      </c>
      <c r="L33" s="96" t="e">
        <f>VLOOKUP(Tabela13[[#This Row],[Prioridade]],[5]!TabelaPrioridade[#Data],3,FALSE)</f>
        <v>#REF!</v>
      </c>
      <c r="M33" s="94" t="s">
        <v>963</v>
      </c>
      <c r="N33" s="94" t="s">
        <v>964</v>
      </c>
      <c r="O33" s="94" t="s">
        <v>964</v>
      </c>
      <c r="P33" s="94" t="s">
        <v>965</v>
      </c>
      <c r="Q33" s="97" t="e">
        <f>Tabela13[[#This Row],[Tempo Máximo Atendimento]]+"00:20:00"</f>
        <v>#REF!</v>
      </c>
      <c r="R33" s="94"/>
      <c r="S33" s="94" t="s">
        <v>967</v>
      </c>
      <c r="T33" s="98" t="e">
        <f>Tabela13[[#This Row],[Tempo Máximo Resolução]]-Tabela13[[#This Row],[Tempo Máximo Resolução3]]</f>
        <v>#REF!</v>
      </c>
      <c r="U33" s="98" t="e">
        <f>Tabela13[[#This Row],[Tempo Máximo Total Resolução]]-Tabela13[[#This Row],[Tempo Máximo Escalada Funcional]]</f>
        <v>#REF!</v>
      </c>
      <c r="V33" s="94"/>
      <c r="W33" s="94" t="s">
        <v>968</v>
      </c>
      <c r="X33" s="99">
        <v>8.3333333333333329E-2</v>
      </c>
      <c r="Y33" s="100" t="s">
        <v>969</v>
      </c>
      <c r="Z33" s="94" t="s">
        <v>980</v>
      </c>
      <c r="AA33" s="99"/>
      <c r="AB33" s="94" t="s">
        <v>960</v>
      </c>
      <c r="AC33" s="94" t="s">
        <v>970</v>
      </c>
      <c r="AD33" s="99">
        <v>2.0833333333333332E-2</v>
      </c>
    </row>
    <row r="34" spans="1:30" s="104" customFormat="1" ht="72" hidden="1">
      <c r="A34" s="94" t="s">
        <v>1019</v>
      </c>
      <c r="B34" s="94" t="s">
        <v>14</v>
      </c>
      <c r="C34" s="94" t="s">
        <v>976</v>
      </c>
      <c r="D34" s="105" t="s">
        <v>987</v>
      </c>
      <c r="E34" s="95"/>
      <c r="F34" s="94" t="s">
        <v>963</v>
      </c>
      <c r="G34" s="94" t="s">
        <v>960</v>
      </c>
      <c r="H34" s="94" t="s">
        <v>961</v>
      </c>
      <c r="I34" s="94"/>
      <c r="J34" s="94">
        <v>2</v>
      </c>
      <c r="K34" s="96" t="e">
        <f>VLOOKUP(Tabela13[[#This Row],[Prioridade]],[5]!TabelaPrioridade[#Data],2,FALSE)</f>
        <v>#REF!</v>
      </c>
      <c r="L34" s="96" t="e">
        <f>VLOOKUP(Tabela13[[#This Row],[Prioridade]],[5]!TabelaPrioridade[#Data],3,FALSE)</f>
        <v>#REF!</v>
      </c>
      <c r="M34" s="94" t="s">
        <v>963</v>
      </c>
      <c r="N34" s="94" t="s">
        <v>964</v>
      </c>
      <c r="O34" s="94" t="s">
        <v>964</v>
      </c>
      <c r="P34" s="94" t="s">
        <v>965</v>
      </c>
      <c r="Q34" s="97" t="e">
        <f>Tabela13[[#This Row],[Tempo Máximo Atendimento]]+"00:20:00"</f>
        <v>#REF!</v>
      </c>
      <c r="R34" s="94"/>
      <c r="S34" s="94" t="s">
        <v>967</v>
      </c>
      <c r="T34" s="98" t="e">
        <f>Tabela13[[#This Row],[Tempo Máximo Resolução]]-Tabela13[[#This Row],[Tempo Máximo Resolução3]]</f>
        <v>#REF!</v>
      </c>
      <c r="U34" s="98" t="e">
        <f>Tabela13[[#This Row],[Tempo Máximo Total Resolução]]-Tabela13[[#This Row],[Tempo Máximo Escalada Funcional]]</f>
        <v>#REF!</v>
      </c>
      <c r="V34" s="94"/>
      <c r="W34" s="94" t="s">
        <v>968</v>
      </c>
      <c r="X34" s="99">
        <v>0.16666666666666666</v>
      </c>
      <c r="Y34" s="100" t="s">
        <v>969</v>
      </c>
      <c r="Z34" s="94" t="s">
        <v>980</v>
      </c>
      <c r="AA34" s="99"/>
      <c r="AB34" s="94" t="s">
        <v>960</v>
      </c>
      <c r="AC34" s="94" t="s">
        <v>970</v>
      </c>
      <c r="AD34" s="101" t="s">
        <v>971</v>
      </c>
    </row>
    <row r="35" spans="1:30" s="104" customFormat="1" ht="12" hidden="1">
      <c r="A35" s="94" t="s">
        <v>1026</v>
      </c>
      <c r="B35" s="94" t="s">
        <v>956</v>
      </c>
      <c r="C35" s="94" t="s">
        <v>957</v>
      </c>
      <c r="D35" s="95" t="s">
        <v>1027</v>
      </c>
      <c r="E35" s="95"/>
      <c r="F35" s="94" t="s">
        <v>960</v>
      </c>
      <c r="G35" s="94" t="s">
        <v>963</v>
      </c>
      <c r="H35" s="94" t="s">
        <v>961</v>
      </c>
      <c r="I35" s="94" t="s">
        <v>962</v>
      </c>
      <c r="J35" s="94">
        <v>4</v>
      </c>
      <c r="K35" s="96" t="e">
        <f>VLOOKUP(Tabela13[[#This Row],[Prioridade]],[5]!TabelaPrioridade[#Data],2,FALSE)</f>
        <v>#REF!</v>
      </c>
      <c r="L35" s="96" t="e">
        <f>VLOOKUP(Tabela13[[#This Row],[Prioridade]],[5]!TabelaPrioridade[#Data],3,FALSE)</f>
        <v>#REF!</v>
      </c>
      <c r="M35" s="94" t="s">
        <v>963</v>
      </c>
      <c r="N35" s="94" t="s">
        <v>964</v>
      </c>
      <c r="O35" s="94" t="s">
        <v>964</v>
      </c>
      <c r="P35" s="94" t="s">
        <v>980</v>
      </c>
      <c r="Q35" s="97" t="e">
        <f>Tabela13[[#This Row],[Tempo Máximo Atendimento]]+"00:20:00"</f>
        <v>#REF!</v>
      </c>
      <c r="R35" s="94"/>
      <c r="S35" s="94" t="s">
        <v>1005</v>
      </c>
      <c r="T35" s="97" t="s">
        <v>964</v>
      </c>
      <c r="U35" s="98" t="s">
        <v>964</v>
      </c>
      <c r="V35" s="94"/>
      <c r="W35" s="94" t="s">
        <v>964</v>
      </c>
      <c r="X35" s="94" t="s">
        <v>964</v>
      </c>
      <c r="Y35" s="95" t="s">
        <v>964</v>
      </c>
      <c r="Z35" s="94" t="s">
        <v>964</v>
      </c>
      <c r="AA35" s="94" t="s">
        <v>964</v>
      </c>
      <c r="AB35" s="94" t="s">
        <v>964</v>
      </c>
      <c r="AC35" s="94" t="s">
        <v>970</v>
      </c>
      <c r="AD35" s="101" t="s">
        <v>971</v>
      </c>
    </row>
    <row r="36" spans="1:30" ht="15" hidden="1">
      <c r="A36" s="94" t="s">
        <v>1026</v>
      </c>
      <c r="B36" s="94" t="s">
        <v>956</v>
      </c>
      <c r="C36" s="94" t="s">
        <v>957</v>
      </c>
      <c r="D36" s="103" t="s">
        <v>1028</v>
      </c>
      <c r="E36" s="95"/>
      <c r="F36" s="94" t="s">
        <v>960</v>
      </c>
      <c r="G36" s="94" t="s">
        <v>960</v>
      </c>
      <c r="H36" s="94" t="s">
        <v>961</v>
      </c>
      <c r="I36" s="94" t="s">
        <v>962</v>
      </c>
      <c r="J36" s="94">
        <v>4</v>
      </c>
      <c r="K36" s="96" t="e">
        <f>VLOOKUP(Tabela13[[#This Row],[Prioridade]],[5]!TabelaPrioridade[#Data],2,FALSE)</f>
        <v>#REF!</v>
      </c>
      <c r="L36" s="96" t="e">
        <f>VLOOKUP(Tabela13[[#This Row],[Prioridade]],[5]!TabelaPrioridade[#Data],3,FALSE)</f>
        <v>#REF!</v>
      </c>
      <c r="M36" s="94" t="s">
        <v>963</v>
      </c>
      <c r="N36" s="94" t="s">
        <v>964</v>
      </c>
      <c r="O36" s="94" t="s">
        <v>964</v>
      </c>
      <c r="P36" s="94" t="s">
        <v>980</v>
      </c>
      <c r="Q36" s="97" t="e">
        <f>Tabela13[[#This Row],[Tempo Máximo Atendimento]]+"00:20:00"</f>
        <v>#REF!</v>
      </c>
      <c r="R36" s="94"/>
      <c r="S36" s="94" t="s">
        <v>1005</v>
      </c>
      <c r="T36" s="97" t="s">
        <v>964</v>
      </c>
      <c r="U36" s="98" t="s">
        <v>964</v>
      </c>
      <c r="V36" s="94"/>
      <c r="W36" s="94" t="s">
        <v>964</v>
      </c>
      <c r="X36" s="94" t="s">
        <v>964</v>
      </c>
      <c r="Y36" s="95" t="s">
        <v>964</v>
      </c>
      <c r="Z36" s="94" t="s">
        <v>964</v>
      </c>
      <c r="AA36" s="94" t="s">
        <v>964</v>
      </c>
      <c r="AB36" s="94" t="s">
        <v>964</v>
      </c>
      <c r="AC36" s="94" t="s">
        <v>970</v>
      </c>
      <c r="AD36" s="101" t="s">
        <v>971</v>
      </c>
    </row>
    <row r="37" spans="1:30" ht="15" hidden="1">
      <c r="A37" s="94" t="s">
        <v>1026</v>
      </c>
      <c r="B37" s="94" t="s">
        <v>14</v>
      </c>
      <c r="C37" s="94" t="s">
        <v>957</v>
      </c>
      <c r="D37" s="95" t="s">
        <v>1029</v>
      </c>
      <c r="E37" s="95"/>
      <c r="F37" s="94" t="s">
        <v>963</v>
      </c>
      <c r="G37" s="94" t="s">
        <v>963</v>
      </c>
      <c r="H37" s="94" t="s">
        <v>961</v>
      </c>
      <c r="I37" s="94"/>
      <c r="J37" s="94">
        <v>4</v>
      </c>
      <c r="K37" s="96" t="e">
        <f>VLOOKUP(Tabela13[[#This Row],[Prioridade]],[5]!TabelaPrioridade[#Data],2,FALSE)</f>
        <v>#REF!</v>
      </c>
      <c r="L37" s="96" t="e">
        <f>VLOOKUP(Tabela13[[#This Row],[Prioridade]],[5]!TabelaPrioridade[#Data],3,FALSE)</f>
        <v>#REF!</v>
      </c>
      <c r="M37" s="94" t="s">
        <v>963</v>
      </c>
      <c r="N37" s="94"/>
      <c r="O37" s="94"/>
      <c r="P37" s="94" t="s">
        <v>965</v>
      </c>
      <c r="Q37" s="97" t="e">
        <f>Tabela13[[#This Row],[Tempo Máximo Atendimento]]+"00:20:00"</f>
        <v>#REF!</v>
      </c>
      <c r="R37" s="94"/>
      <c r="S37" s="94" t="s">
        <v>975</v>
      </c>
      <c r="T37" s="97">
        <f>Tabela13[[#This Row],[Tempo Máximo Resolução]]-Tabela13[[#This Row],[Tempo Máximo Resolução3]]</f>
        <v>0.16666666666666666</v>
      </c>
      <c r="U37" s="99">
        <v>0.33333333333333331</v>
      </c>
      <c r="V37" s="94"/>
      <c r="W37" s="94" t="s">
        <v>980</v>
      </c>
      <c r="X37" s="97">
        <v>0.16666666666666666</v>
      </c>
      <c r="Y37" s="95" t="s">
        <v>964</v>
      </c>
      <c r="Z37" s="94" t="s">
        <v>1005</v>
      </c>
      <c r="AA37" s="94"/>
      <c r="AB37" s="94"/>
      <c r="AC37" s="94" t="s">
        <v>970</v>
      </c>
      <c r="AD37" s="101" t="s">
        <v>971</v>
      </c>
    </row>
    <row r="38" spans="1:30" s="102" customFormat="1" ht="12" hidden="1">
      <c r="A38" s="94" t="s">
        <v>1026</v>
      </c>
      <c r="B38" s="94" t="s">
        <v>14</v>
      </c>
      <c r="C38" s="94" t="s">
        <v>957</v>
      </c>
      <c r="D38" s="95" t="s">
        <v>1030</v>
      </c>
      <c r="E38" s="95"/>
      <c r="F38" s="94" t="s">
        <v>960</v>
      </c>
      <c r="G38" s="94" t="s">
        <v>963</v>
      </c>
      <c r="H38" s="94" t="s">
        <v>961</v>
      </c>
      <c r="I38" s="94"/>
      <c r="J38" s="94">
        <v>4</v>
      </c>
      <c r="K38" s="96" t="e">
        <f>VLOOKUP(Tabela13[[#This Row],[Prioridade]],[5]!TabelaPrioridade[#Data],2,FALSE)</f>
        <v>#REF!</v>
      </c>
      <c r="L38" s="96" t="e">
        <f>VLOOKUP(Tabela13[[#This Row],[Prioridade]],[5]!TabelaPrioridade[#Data],3,FALSE)</f>
        <v>#REF!</v>
      </c>
      <c r="M38" s="94" t="s">
        <v>963</v>
      </c>
      <c r="N38" s="94"/>
      <c r="O38" s="94"/>
      <c r="P38" s="94" t="s">
        <v>965</v>
      </c>
      <c r="Q38" s="97" t="e">
        <f>Tabela13[[#This Row],[Tempo Máximo Atendimento]]+"00:20:00"</f>
        <v>#REF!</v>
      </c>
      <c r="R38" s="94"/>
      <c r="S38" s="94" t="s">
        <v>975</v>
      </c>
      <c r="T38" s="97">
        <f>Tabela13[[#This Row],[Tempo Máximo Resolução]]-Tabela13[[#This Row],[Tempo Máximo Resolução3]]</f>
        <v>0.16666666666666666</v>
      </c>
      <c r="U38" s="99">
        <v>0.33333333333333331</v>
      </c>
      <c r="V38" s="94"/>
      <c r="W38" s="94" t="s">
        <v>980</v>
      </c>
      <c r="X38" s="97">
        <v>0.16666666666666666</v>
      </c>
      <c r="Y38" s="95" t="s">
        <v>964</v>
      </c>
      <c r="Z38" s="94" t="s">
        <v>1005</v>
      </c>
      <c r="AA38" s="94"/>
      <c r="AB38" s="94"/>
      <c r="AC38" s="94" t="s">
        <v>970</v>
      </c>
      <c r="AD38" s="101" t="s">
        <v>971</v>
      </c>
    </row>
    <row r="39" spans="1:30" s="104" customFormat="1" ht="12" hidden="1">
      <c r="A39" s="94" t="s">
        <v>1026</v>
      </c>
      <c r="B39" s="94" t="s">
        <v>14</v>
      </c>
      <c r="C39" s="94" t="s">
        <v>976</v>
      </c>
      <c r="D39" s="95" t="s">
        <v>977</v>
      </c>
      <c r="E39" s="95"/>
      <c r="F39" s="94" t="s">
        <v>963</v>
      </c>
      <c r="G39" s="94" t="s">
        <v>960</v>
      </c>
      <c r="H39" s="94" t="s">
        <v>961</v>
      </c>
      <c r="I39" s="94"/>
      <c r="J39" s="94">
        <v>4</v>
      </c>
      <c r="K39" s="96" t="e">
        <f>VLOOKUP(Tabela13[[#This Row],[Prioridade]],[5]!TabelaPrioridade[#Data],2,FALSE)</f>
        <v>#REF!</v>
      </c>
      <c r="L39" s="96" t="e">
        <f>VLOOKUP(Tabela13[[#This Row],[Prioridade]],[5]!TabelaPrioridade[#Data],3,FALSE)</f>
        <v>#REF!</v>
      </c>
      <c r="M39" s="94" t="s">
        <v>963</v>
      </c>
      <c r="N39" s="94" t="s">
        <v>964</v>
      </c>
      <c r="O39" s="94" t="s">
        <v>964</v>
      </c>
      <c r="P39" s="94" t="s">
        <v>965</v>
      </c>
      <c r="Q39" s="97" t="e">
        <f>Tabela13[[#This Row],[Tempo Máximo Atendimento]]+"00:20:00"</f>
        <v>#REF!</v>
      </c>
      <c r="R39" s="94"/>
      <c r="S39" s="94" t="s">
        <v>975</v>
      </c>
      <c r="T39" s="97">
        <f>Tabela13[[#This Row],[Tempo Máximo Resolução]]-Tabela13[[#This Row],[Tempo Máximo Resolução3]]</f>
        <v>0.16666666666666666</v>
      </c>
      <c r="U39" s="99">
        <v>0.33333333333333331</v>
      </c>
      <c r="V39" s="94"/>
      <c r="W39" s="94" t="s">
        <v>980</v>
      </c>
      <c r="X39" s="97">
        <v>0.16666666666666666</v>
      </c>
      <c r="Y39" s="95" t="s">
        <v>964</v>
      </c>
      <c r="Z39" s="94" t="s">
        <v>1005</v>
      </c>
      <c r="AA39" s="94"/>
      <c r="AB39" s="94"/>
      <c r="AC39" s="94" t="s">
        <v>970</v>
      </c>
      <c r="AD39" s="101" t="s">
        <v>971</v>
      </c>
    </row>
    <row r="40" spans="1:30" s="104" customFormat="1" ht="24" hidden="1">
      <c r="A40" s="94" t="s">
        <v>1026</v>
      </c>
      <c r="B40" s="94" t="s">
        <v>14</v>
      </c>
      <c r="C40" s="94" t="s">
        <v>976</v>
      </c>
      <c r="D40" s="105" t="s">
        <v>1031</v>
      </c>
      <c r="E40" s="95"/>
      <c r="F40" s="94" t="s">
        <v>963</v>
      </c>
      <c r="G40" s="94" t="s">
        <v>960</v>
      </c>
      <c r="H40" s="94" t="s">
        <v>1032</v>
      </c>
      <c r="I40" s="94"/>
      <c r="J40" s="94">
        <v>3</v>
      </c>
      <c r="K40" s="96" t="e">
        <f>VLOOKUP(Tabela13[[#This Row],[Prioridade]],[5]!TabelaPrioridade[#Data],2,FALSE)</f>
        <v>#REF!</v>
      </c>
      <c r="L40" s="96" t="e">
        <f>VLOOKUP(Tabela13[[#This Row],[Prioridade]],[5]!TabelaPrioridade[#Data],3,FALSE)</f>
        <v>#REF!</v>
      </c>
      <c r="M40" s="94" t="s">
        <v>963</v>
      </c>
      <c r="N40" s="94" t="s">
        <v>964</v>
      </c>
      <c r="O40" s="94" t="s">
        <v>964</v>
      </c>
      <c r="P40" s="94" t="s">
        <v>965</v>
      </c>
      <c r="Q40" s="97" t="e">
        <f>Tabela13[[#This Row],[Tempo Máximo Atendimento]]+"00:20:00"</f>
        <v>#REF!</v>
      </c>
      <c r="R40" s="94"/>
      <c r="S40" s="94" t="s">
        <v>975</v>
      </c>
      <c r="T40" s="97">
        <f>Tabela13[[#This Row],[Tempo Máximo Resolução]]-Tabela13[[#This Row],[Tempo Máximo Resolução3]]</f>
        <v>8.3333333333333329E-2</v>
      </c>
      <c r="U40" s="99">
        <v>0.16666666666666666</v>
      </c>
      <c r="V40" s="94"/>
      <c r="W40" s="94" t="s">
        <v>980</v>
      </c>
      <c r="X40" s="97">
        <v>8.3333333333333329E-2</v>
      </c>
      <c r="Y40" s="95" t="s">
        <v>964</v>
      </c>
      <c r="Z40" s="94" t="s">
        <v>1005</v>
      </c>
      <c r="AA40" s="94"/>
      <c r="AB40" s="94"/>
      <c r="AC40" s="94" t="s">
        <v>970</v>
      </c>
      <c r="AD40" s="101" t="s">
        <v>971</v>
      </c>
    </row>
    <row r="41" spans="1:30" s="104" customFormat="1" ht="12" hidden="1">
      <c r="A41" s="94" t="s">
        <v>1033</v>
      </c>
      <c r="B41" s="94" t="s">
        <v>14</v>
      </c>
      <c r="C41" s="94" t="s">
        <v>957</v>
      </c>
      <c r="D41" s="95" t="s">
        <v>1034</v>
      </c>
      <c r="E41" s="95"/>
      <c r="F41" s="94" t="s">
        <v>960</v>
      </c>
      <c r="G41" s="94" t="s">
        <v>963</v>
      </c>
      <c r="H41" s="94" t="s">
        <v>961</v>
      </c>
      <c r="I41" s="94"/>
      <c r="J41" s="94">
        <v>4</v>
      </c>
      <c r="K41" s="96" t="e">
        <f>VLOOKUP(Tabela13[[#This Row],[Prioridade]],[5]!TabelaPrioridade[#Data],2,FALSE)</f>
        <v>#REF!</v>
      </c>
      <c r="L41" s="96" t="e">
        <f>VLOOKUP(Tabela13[[#This Row],[Prioridade]],[5]!TabelaPrioridade[#Data],3,FALSE)</f>
        <v>#REF!</v>
      </c>
      <c r="M41" s="94" t="s">
        <v>963</v>
      </c>
      <c r="N41" s="94"/>
      <c r="O41" s="94"/>
      <c r="P41" s="94" t="s">
        <v>965</v>
      </c>
      <c r="Q41" s="97" t="e">
        <f>Tabela13[[#This Row],[Tempo Máximo Atendimento]]+"00:20:00"</f>
        <v>#REF!</v>
      </c>
      <c r="R41" s="94"/>
      <c r="S41" s="94" t="s">
        <v>980</v>
      </c>
      <c r="T41" s="97" t="s">
        <v>964</v>
      </c>
      <c r="U41" s="97" t="e">
        <f>Tabela13[[#This Row],[Tempo Máximo Total Resolução]]-Tabela13[[#This Row],[Tempo Máximo Escalada Funcional]]</f>
        <v>#REF!</v>
      </c>
      <c r="V41" s="94"/>
      <c r="W41" s="94" t="s">
        <v>964</v>
      </c>
      <c r="X41" s="94" t="s">
        <v>964</v>
      </c>
      <c r="Y41" s="95" t="s">
        <v>964</v>
      </c>
      <c r="Z41" s="94" t="s">
        <v>964</v>
      </c>
      <c r="AA41" s="94" t="s">
        <v>964</v>
      </c>
      <c r="AB41" s="94" t="s">
        <v>964</v>
      </c>
      <c r="AC41" s="94" t="s">
        <v>970</v>
      </c>
      <c r="AD41" s="101" t="s">
        <v>971</v>
      </c>
    </row>
    <row r="42" spans="1:30" s="104" customFormat="1" ht="12" hidden="1">
      <c r="A42" s="94" t="s">
        <v>1033</v>
      </c>
      <c r="B42" s="94" t="s">
        <v>14</v>
      </c>
      <c r="C42" s="94" t="s">
        <v>957</v>
      </c>
      <c r="D42" s="95" t="s">
        <v>1035</v>
      </c>
      <c r="E42" s="95"/>
      <c r="F42" s="94" t="s">
        <v>960</v>
      </c>
      <c r="G42" s="94" t="s">
        <v>963</v>
      </c>
      <c r="H42" s="94" t="s">
        <v>961</v>
      </c>
      <c r="I42" s="94"/>
      <c r="J42" s="94">
        <v>4</v>
      </c>
      <c r="K42" s="96" t="e">
        <f>VLOOKUP(Tabela13[[#This Row],[Prioridade]],[5]!TabelaPrioridade[#Data],2,FALSE)</f>
        <v>#REF!</v>
      </c>
      <c r="L42" s="96" t="e">
        <f>VLOOKUP(Tabela13[[#This Row],[Prioridade]],[5]!TabelaPrioridade[#Data],3,FALSE)</f>
        <v>#REF!</v>
      </c>
      <c r="M42" s="94" t="s">
        <v>963</v>
      </c>
      <c r="N42" s="94"/>
      <c r="O42" s="94"/>
      <c r="P42" s="94" t="s">
        <v>965</v>
      </c>
      <c r="Q42" s="97" t="e">
        <f>Tabela13[[#This Row],[Tempo Máximo Atendimento]]+"00:20:00"</f>
        <v>#REF!</v>
      </c>
      <c r="R42" s="94"/>
      <c r="S42" s="94" t="s">
        <v>980</v>
      </c>
      <c r="T42" s="97" t="s">
        <v>964</v>
      </c>
      <c r="U42" s="97" t="e">
        <f>Tabela13[[#This Row],[Tempo Máximo Total Resolução]]-Tabela13[[#This Row],[Tempo Máximo Escalada Funcional]]</f>
        <v>#REF!</v>
      </c>
      <c r="V42" s="94"/>
      <c r="W42" s="94" t="s">
        <v>964</v>
      </c>
      <c r="X42" s="94" t="s">
        <v>964</v>
      </c>
      <c r="Y42" s="95" t="s">
        <v>964</v>
      </c>
      <c r="Z42" s="94" t="s">
        <v>964</v>
      </c>
      <c r="AA42" s="94" t="s">
        <v>964</v>
      </c>
      <c r="AB42" s="94" t="s">
        <v>964</v>
      </c>
      <c r="AC42" s="94" t="s">
        <v>970</v>
      </c>
      <c r="AD42" s="101" t="s">
        <v>971</v>
      </c>
    </row>
    <row r="43" spans="1:30" s="104" customFormat="1" ht="12" hidden="1">
      <c r="A43" s="94" t="s">
        <v>1033</v>
      </c>
      <c r="B43" s="94" t="s">
        <v>956</v>
      </c>
      <c r="C43" s="94" t="s">
        <v>957</v>
      </c>
      <c r="D43" s="95" t="s">
        <v>1036</v>
      </c>
      <c r="E43" s="95"/>
      <c r="F43" s="94" t="s">
        <v>960</v>
      </c>
      <c r="G43" s="94" t="s">
        <v>963</v>
      </c>
      <c r="H43" s="94" t="s">
        <v>961</v>
      </c>
      <c r="I43" s="94" t="s">
        <v>962</v>
      </c>
      <c r="J43" s="94">
        <v>4</v>
      </c>
      <c r="K43" s="96" t="e">
        <f>VLOOKUP(Tabela13[[#This Row],[Prioridade]],[5]!TabelaPrioridade[#Data],2,FALSE)</f>
        <v>#REF!</v>
      </c>
      <c r="L43" s="96" t="e">
        <f>VLOOKUP(Tabela13[[#This Row],[Prioridade]],[5]!TabelaPrioridade[#Data],3,FALSE)</f>
        <v>#REF!</v>
      </c>
      <c r="M43" s="94" t="s">
        <v>963</v>
      </c>
      <c r="N43" s="94" t="s">
        <v>964</v>
      </c>
      <c r="O43" s="94" t="s">
        <v>964</v>
      </c>
      <c r="P43" s="94" t="s">
        <v>980</v>
      </c>
      <c r="Q43" s="97" t="e">
        <f>Tabela13[[#This Row],[Tempo Máximo Atendimento]]+"00:20:00"</f>
        <v>#REF!</v>
      </c>
      <c r="R43" s="94"/>
      <c r="S43" s="94" t="s">
        <v>964</v>
      </c>
      <c r="T43" s="97" t="s">
        <v>964</v>
      </c>
      <c r="U43" s="94" t="s">
        <v>964</v>
      </c>
      <c r="V43" s="94" t="s">
        <v>964</v>
      </c>
      <c r="W43" s="94" t="s">
        <v>964</v>
      </c>
      <c r="X43" s="94" t="s">
        <v>964</v>
      </c>
      <c r="Y43" s="95" t="s">
        <v>964</v>
      </c>
      <c r="Z43" s="94" t="s">
        <v>964</v>
      </c>
      <c r="AA43" s="94" t="s">
        <v>964</v>
      </c>
      <c r="AB43" s="94" t="s">
        <v>964</v>
      </c>
      <c r="AC43" s="94" t="s">
        <v>970</v>
      </c>
      <c r="AD43" s="101" t="s">
        <v>971</v>
      </c>
    </row>
    <row r="44" spans="1:30" s="104" customFormat="1" ht="12" hidden="1">
      <c r="A44" s="94" t="s">
        <v>1033</v>
      </c>
      <c r="B44" s="94" t="s">
        <v>956</v>
      </c>
      <c r="C44" s="94" t="s">
        <v>957</v>
      </c>
      <c r="D44" s="95" t="s">
        <v>1037</v>
      </c>
      <c r="E44" s="95"/>
      <c r="F44" s="94" t="s">
        <v>960</v>
      </c>
      <c r="G44" s="94" t="s">
        <v>963</v>
      </c>
      <c r="H44" s="94" t="s">
        <v>961</v>
      </c>
      <c r="I44" s="94" t="s">
        <v>962</v>
      </c>
      <c r="J44" s="94">
        <v>4</v>
      </c>
      <c r="K44" s="96" t="e">
        <f>VLOOKUP(Tabela13[[#This Row],[Prioridade]],[5]!TabelaPrioridade[#Data],2,FALSE)</f>
        <v>#REF!</v>
      </c>
      <c r="L44" s="96" t="e">
        <f>VLOOKUP(Tabela13[[#This Row],[Prioridade]],[5]!TabelaPrioridade[#Data],3,FALSE)</f>
        <v>#REF!</v>
      </c>
      <c r="M44" s="94" t="s">
        <v>963</v>
      </c>
      <c r="N44" s="94" t="s">
        <v>964</v>
      </c>
      <c r="O44" s="94" t="s">
        <v>964</v>
      </c>
      <c r="P44" s="94" t="s">
        <v>980</v>
      </c>
      <c r="Q44" s="97" t="e">
        <f>Tabela13[[#This Row],[Tempo Máximo Atendimento]]+"00:20:00"</f>
        <v>#REF!</v>
      </c>
      <c r="R44" s="94"/>
      <c r="S44" s="94" t="s">
        <v>964</v>
      </c>
      <c r="T44" s="97" t="s">
        <v>964</v>
      </c>
      <c r="U44" s="97" t="s">
        <v>964</v>
      </c>
      <c r="V44" s="94"/>
      <c r="W44" s="94" t="s">
        <v>964</v>
      </c>
      <c r="X44" s="94" t="s">
        <v>964</v>
      </c>
      <c r="Y44" s="95" t="s">
        <v>964</v>
      </c>
      <c r="Z44" s="94" t="s">
        <v>964</v>
      </c>
      <c r="AA44" s="94" t="s">
        <v>964</v>
      </c>
      <c r="AB44" s="94" t="s">
        <v>964</v>
      </c>
      <c r="AC44" s="94" t="s">
        <v>970</v>
      </c>
      <c r="AD44" s="101" t="s">
        <v>971</v>
      </c>
    </row>
    <row r="45" spans="1:30" s="104" customFormat="1" ht="12" hidden="1">
      <c r="A45" s="94" t="s">
        <v>1033</v>
      </c>
      <c r="B45" s="109" t="s">
        <v>956</v>
      </c>
      <c r="C45" s="109" t="s">
        <v>957</v>
      </c>
      <c r="D45" s="105" t="s">
        <v>1038</v>
      </c>
      <c r="E45" s="95"/>
      <c r="F45" s="94" t="s">
        <v>960</v>
      </c>
      <c r="G45" s="94" t="s">
        <v>963</v>
      </c>
      <c r="H45" s="94" t="s">
        <v>961</v>
      </c>
      <c r="I45" s="94" t="s">
        <v>962</v>
      </c>
      <c r="J45" s="94">
        <v>4</v>
      </c>
      <c r="K45" s="96" t="e">
        <f>VLOOKUP(Tabela13[[#This Row],[Prioridade]],[5]!TabelaPrioridade[#Data],2,FALSE)</f>
        <v>#REF!</v>
      </c>
      <c r="L45" s="96" t="e">
        <f>VLOOKUP(Tabela13[[#This Row],[Prioridade]],[5]!TabelaPrioridade[#Data],3,FALSE)</f>
        <v>#REF!</v>
      </c>
      <c r="M45" s="94" t="s">
        <v>963</v>
      </c>
      <c r="N45" s="94" t="s">
        <v>964</v>
      </c>
      <c r="O45" s="94" t="s">
        <v>964</v>
      </c>
      <c r="P45" s="94" t="s">
        <v>980</v>
      </c>
      <c r="Q45" s="97" t="e">
        <f>Tabela13[[#This Row],[Tempo Máximo Atendimento]]+"00:20:00"</f>
        <v>#REF!</v>
      </c>
      <c r="R45" s="94"/>
      <c r="S45" s="94" t="s">
        <v>964</v>
      </c>
      <c r="T45" s="97" t="s">
        <v>964</v>
      </c>
      <c r="U45" s="97" t="s">
        <v>964</v>
      </c>
      <c r="V45" s="94"/>
      <c r="W45" s="94" t="s">
        <v>964</v>
      </c>
      <c r="X45" s="94" t="s">
        <v>964</v>
      </c>
      <c r="Y45" s="95" t="s">
        <v>964</v>
      </c>
      <c r="Z45" s="94" t="s">
        <v>964</v>
      </c>
      <c r="AA45" s="94" t="s">
        <v>964</v>
      </c>
      <c r="AB45" s="94" t="s">
        <v>964</v>
      </c>
      <c r="AC45" s="94" t="s">
        <v>970</v>
      </c>
      <c r="AD45" s="101" t="s">
        <v>971</v>
      </c>
    </row>
    <row r="46" spans="1:30" ht="15" hidden="1">
      <c r="A46" s="94" t="s">
        <v>1033</v>
      </c>
      <c r="B46" s="109" t="s">
        <v>956</v>
      </c>
      <c r="C46" s="109" t="s">
        <v>976</v>
      </c>
      <c r="D46" s="105" t="s">
        <v>977</v>
      </c>
      <c r="E46" s="95"/>
      <c r="F46" s="94" t="s">
        <v>960</v>
      </c>
      <c r="G46" s="94" t="s">
        <v>960</v>
      </c>
      <c r="H46" s="94" t="s">
        <v>961</v>
      </c>
      <c r="I46" s="94" t="s">
        <v>288</v>
      </c>
      <c r="J46" s="94">
        <v>3</v>
      </c>
      <c r="K46" s="96" t="e">
        <f>VLOOKUP(Tabela13[[#This Row],[Prioridade]],[5]!TabelaPrioridade[#Data],2,FALSE)</f>
        <v>#REF!</v>
      </c>
      <c r="L46" s="96" t="e">
        <f>VLOOKUP(Tabela13[[#This Row],[Prioridade]],[5]!TabelaPrioridade[#Data],3,FALSE)</f>
        <v>#REF!</v>
      </c>
      <c r="M46" s="94" t="s">
        <v>963</v>
      </c>
      <c r="N46" s="94" t="s">
        <v>964</v>
      </c>
      <c r="O46" s="94" t="s">
        <v>964</v>
      </c>
      <c r="P46" s="94" t="s">
        <v>965</v>
      </c>
      <c r="Q46" s="97" t="e">
        <f>Tabela13[[#This Row],[Tempo Máximo Atendimento]]+"00:20:00"</f>
        <v>#REF!</v>
      </c>
      <c r="R46" s="94"/>
      <c r="S46" s="94" t="s">
        <v>980</v>
      </c>
      <c r="T46" s="94" t="s">
        <v>964</v>
      </c>
      <c r="U46" s="97" t="e">
        <f>Tabela13[[#This Row],[Tempo Máximo Total Resolução]]-Tabela13[[#This Row],[Tempo Máximo Escalada Funcional]]</f>
        <v>#REF!</v>
      </c>
      <c r="V46" s="94"/>
      <c r="W46" s="94" t="s">
        <v>1005</v>
      </c>
      <c r="X46" s="94" t="s">
        <v>964</v>
      </c>
      <c r="Y46" s="95" t="s">
        <v>964</v>
      </c>
      <c r="Z46" s="94" t="s">
        <v>964</v>
      </c>
      <c r="AA46" s="94" t="s">
        <v>964</v>
      </c>
      <c r="AB46" s="94" t="s">
        <v>964</v>
      </c>
      <c r="AC46" s="94" t="s">
        <v>970</v>
      </c>
      <c r="AD46" s="101" t="s">
        <v>971</v>
      </c>
    </row>
    <row r="47" spans="1:30" ht="15" hidden="1">
      <c r="A47" s="94" t="s">
        <v>1033</v>
      </c>
      <c r="B47" s="109" t="s">
        <v>956</v>
      </c>
      <c r="C47" s="109" t="s">
        <v>976</v>
      </c>
      <c r="D47" s="110" t="s">
        <v>565</v>
      </c>
      <c r="E47" s="95"/>
      <c r="F47" s="94" t="s">
        <v>960</v>
      </c>
      <c r="G47" s="94" t="s">
        <v>960</v>
      </c>
      <c r="H47" s="94" t="s">
        <v>961</v>
      </c>
      <c r="I47" s="94" t="s">
        <v>288</v>
      </c>
      <c r="J47" s="94">
        <v>2</v>
      </c>
      <c r="K47" s="96" t="e">
        <f>VLOOKUP(Tabela13[[#This Row],[Prioridade]],[5]!TabelaPrioridade[#Data],2,FALSE)</f>
        <v>#REF!</v>
      </c>
      <c r="L47" s="96" t="e">
        <f>VLOOKUP(Tabela13[[#This Row],[Prioridade]],[5]!TabelaPrioridade[#Data],3,FALSE)</f>
        <v>#REF!</v>
      </c>
      <c r="M47" s="94" t="s">
        <v>963</v>
      </c>
      <c r="N47" s="94" t="s">
        <v>964</v>
      </c>
      <c r="O47" s="94" t="s">
        <v>964</v>
      </c>
      <c r="P47" s="94" t="s">
        <v>965</v>
      </c>
      <c r="Q47" s="97" t="e">
        <f>Tabela13[[#This Row],[Tempo Máximo Atendimento]]+"00:20:00"</f>
        <v>#REF!</v>
      </c>
      <c r="R47" s="94"/>
      <c r="S47" s="94" t="s">
        <v>980</v>
      </c>
      <c r="T47" s="94" t="s">
        <v>964</v>
      </c>
      <c r="U47" s="97" t="e">
        <f>Tabela13[[#This Row],[Tempo Máximo Total Resolução]]-Tabela13[[#This Row],[Tempo Máximo Escalada Funcional]]</f>
        <v>#REF!</v>
      </c>
      <c r="V47" s="94"/>
      <c r="W47" s="94" t="s">
        <v>1005</v>
      </c>
      <c r="X47" s="94" t="s">
        <v>964</v>
      </c>
      <c r="Y47" s="95" t="s">
        <v>964</v>
      </c>
      <c r="Z47" s="94" t="s">
        <v>964</v>
      </c>
      <c r="AA47" s="94" t="s">
        <v>964</v>
      </c>
      <c r="AB47" s="94" t="s">
        <v>964</v>
      </c>
      <c r="AC47" s="94" t="s">
        <v>970</v>
      </c>
      <c r="AD47" s="99">
        <v>2.0833333333333332E-2</v>
      </c>
    </row>
    <row r="48" spans="1:30" ht="15" hidden="1">
      <c r="A48" s="94" t="s">
        <v>1033</v>
      </c>
      <c r="B48" s="109" t="s">
        <v>956</v>
      </c>
      <c r="C48" s="109" t="s">
        <v>976</v>
      </c>
      <c r="D48" s="110" t="s">
        <v>987</v>
      </c>
      <c r="E48" s="95"/>
      <c r="F48" s="94" t="s">
        <v>960</v>
      </c>
      <c r="G48" s="94" t="s">
        <v>960</v>
      </c>
      <c r="H48" s="94" t="s">
        <v>961</v>
      </c>
      <c r="I48" s="94" t="s">
        <v>288</v>
      </c>
      <c r="J48" s="94">
        <v>3</v>
      </c>
      <c r="K48" s="96" t="e">
        <f>VLOOKUP(Tabela13[[#This Row],[Prioridade]],[5]!TabelaPrioridade[#Data],2,FALSE)</f>
        <v>#REF!</v>
      </c>
      <c r="L48" s="96" t="e">
        <f>VLOOKUP(Tabela13[[#This Row],[Prioridade]],[5]!TabelaPrioridade[#Data],3,FALSE)</f>
        <v>#REF!</v>
      </c>
      <c r="M48" s="94" t="s">
        <v>963</v>
      </c>
      <c r="N48" s="94" t="s">
        <v>964</v>
      </c>
      <c r="O48" s="94" t="s">
        <v>964</v>
      </c>
      <c r="P48" s="94" t="s">
        <v>965</v>
      </c>
      <c r="Q48" s="97" t="e">
        <f>Tabela13[[#This Row],[Tempo Máximo Atendimento]]+"00:20:00"</f>
        <v>#REF!</v>
      </c>
      <c r="R48" s="94"/>
      <c r="S48" s="94" t="s">
        <v>980</v>
      </c>
      <c r="T48" s="94" t="s">
        <v>964</v>
      </c>
      <c r="U48" s="97" t="e">
        <f>Tabela13[[#This Row],[Tempo Máximo Total Resolução]]-Tabela13[[#This Row],[Tempo Máximo Escalada Funcional]]</f>
        <v>#REF!</v>
      </c>
      <c r="V48" s="94"/>
      <c r="W48" s="94" t="s">
        <v>1005</v>
      </c>
      <c r="X48" s="94" t="s">
        <v>964</v>
      </c>
      <c r="Y48" s="95" t="s">
        <v>964</v>
      </c>
      <c r="Z48" s="94" t="s">
        <v>964</v>
      </c>
      <c r="AA48" s="94" t="s">
        <v>964</v>
      </c>
      <c r="AB48" s="94" t="s">
        <v>964</v>
      </c>
      <c r="AC48" s="94" t="s">
        <v>970</v>
      </c>
      <c r="AD48" s="101" t="s">
        <v>971</v>
      </c>
    </row>
    <row r="49" spans="1:30" s="102" customFormat="1" ht="12" hidden="1">
      <c r="A49" s="94" t="s">
        <v>1033</v>
      </c>
      <c r="B49" s="109" t="s">
        <v>956</v>
      </c>
      <c r="C49" s="109" t="s">
        <v>994</v>
      </c>
      <c r="D49" s="110" t="s">
        <v>1039</v>
      </c>
      <c r="E49" s="95"/>
      <c r="F49" s="94" t="s">
        <v>960</v>
      </c>
      <c r="G49" s="94" t="s">
        <v>960</v>
      </c>
      <c r="H49" s="94" t="s">
        <v>961</v>
      </c>
      <c r="I49" s="94"/>
      <c r="J49" s="94">
        <v>5</v>
      </c>
      <c r="K49" s="96" t="e">
        <f>VLOOKUP(Tabela13[[#This Row],[Prioridade]],[5]!TabelaPrioridade[#Data],2,FALSE)</f>
        <v>#REF!</v>
      </c>
      <c r="L49" s="96" t="e">
        <f>VLOOKUP(Tabela13[[#This Row],[Prioridade]],[5]!TabelaPrioridade[#Data],3,FALSE)</f>
        <v>#REF!</v>
      </c>
      <c r="M49" s="94" t="s">
        <v>963</v>
      </c>
      <c r="N49" s="94"/>
      <c r="O49" s="94"/>
      <c r="P49" s="94" t="s">
        <v>975</v>
      </c>
      <c r="Q49" s="97" t="e">
        <f>Tabela13[[#This Row],[Tempo Máximo Atendimento]]+"00:20:00"</f>
        <v>#REF!</v>
      </c>
      <c r="R49" s="94"/>
      <c r="S49" s="94" t="s">
        <v>980</v>
      </c>
      <c r="T49" s="94" t="s">
        <v>964</v>
      </c>
      <c r="U49" s="97" t="e">
        <f>Tabela13[[#This Row],[Tempo Máximo Total Resolução]]-Tabela13[[#This Row],[Tempo Máximo Escalada Funcional]]</f>
        <v>#REF!</v>
      </c>
      <c r="V49" s="94"/>
      <c r="W49" s="94" t="s">
        <v>1005</v>
      </c>
      <c r="X49" s="94" t="s">
        <v>964</v>
      </c>
      <c r="Y49" s="95" t="s">
        <v>964</v>
      </c>
      <c r="Z49" s="94" t="s">
        <v>964</v>
      </c>
      <c r="AA49" s="94" t="s">
        <v>964</v>
      </c>
      <c r="AB49" s="94" t="s">
        <v>964</v>
      </c>
      <c r="AC49" s="94" t="s">
        <v>970</v>
      </c>
      <c r="AD49" s="101" t="s">
        <v>971</v>
      </c>
    </row>
    <row r="50" spans="1:30" s="104" customFormat="1" ht="12" hidden="1">
      <c r="A50" s="94" t="s">
        <v>1033</v>
      </c>
      <c r="B50" s="109" t="s">
        <v>956</v>
      </c>
      <c r="C50" s="109" t="s">
        <v>994</v>
      </c>
      <c r="D50" s="110" t="s">
        <v>1040</v>
      </c>
      <c r="E50" s="95"/>
      <c r="F50" s="94" t="s">
        <v>960</v>
      </c>
      <c r="G50" s="94" t="s">
        <v>960</v>
      </c>
      <c r="H50" s="94" t="s">
        <v>961</v>
      </c>
      <c r="I50" s="94"/>
      <c r="J50" s="94">
        <v>5</v>
      </c>
      <c r="K50" s="96" t="e">
        <f>VLOOKUP(Tabela13[[#This Row],[Prioridade]],[5]!TabelaPrioridade[#Data],2,FALSE)</f>
        <v>#REF!</v>
      </c>
      <c r="L50" s="96" t="e">
        <f>VLOOKUP(Tabela13[[#This Row],[Prioridade]],[5]!TabelaPrioridade[#Data],3,FALSE)</f>
        <v>#REF!</v>
      </c>
      <c r="M50" s="94" t="s">
        <v>963</v>
      </c>
      <c r="N50" s="94"/>
      <c r="O50" s="94"/>
      <c r="P50" s="94" t="s">
        <v>980</v>
      </c>
      <c r="Q50" s="97" t="e">
        <f>Tabela13[[#This Row],[Tempo Máximo Atendimento]]+"00:20:00"</f>
        <v>#REF!</v>
      </c>
      <c r="R50" s="94"/>
      <c r="S50" s="94" t="s">
        <v>975</v>
      </c>
      <c r="T50" s="97" t="s">
        <v>964</v>
      </c>
      <c r="U50" s="97" t="e">
        <f>Tabela13[[#This Row],[Tempo Máximo Total Resolução]]-Tabela13[[#This Row],[Tempo Máximo Escalada Funcional]]</f>
        <v>#REF!</v>
      </c>
      <c r="V50" s="94"/>
      <c r="W50" s="94" t="s">
        <v>964</v>
      </c>
      <c r="X50" s="94" t="s">
        <v>964</v>
      </c>
      <c r="Y50" s="95" t="s">
        <v>964</v>
      </c>
      <c r="Z50" s="94" t="s">
        <v>964</v>
      </c>
      <c r="AA50" s="94" t="s">
        <v>964</v>
      </c>
      <c r="AB50" s="94" t="s">
        <v>964</v>
      </c>
      <c r="AC50" s="94" t="s">
        <v>970</v>
      </c>
      <c r="AD50" s="101" t="s">
        <v>971</v>
      </c>
    </row>
    <row r="51" spans="1:30" s="104" customFormat="1" ht="12" hidden="1">
      <c r="A51" s="94" t="s">
        <v>1033</v>
      </c>
      <c r="B51" s="120" t="s">
        <v>956</v>
      </c>
      <c r="C51" s="120" t="s">
        <v>994</v>
      </c>
      <c r="D51" s="121" t="s">
        <v>1034</v>
      </c>
      <c r="E51" s="95"/>
      <c r="F51" s="94" t="s">
        <v>960</v>
      </c>
      <c r="G51" s="94" t="s">
        <v>960</v>
      </c>
      <c r="H51" s="94" t="s">
        <v>961</v>
      </c>
      <c r="I51" s="94"/>
      <c r="J51" s="94">
        <v>5</v>
      </c>
      <c r="K51" s="96" t="e">
        <f>VLOOKUP(Tabela13[[#This Row],[Prioridade]],[5]!TabelaPrioridade[#Data],2,FALSE)</f>
        <v>#REF!</v>
      </c>
      <c r="L51" s="96" t="e">
        <f>VLOOKUP(Tabela13[[#This Row],[Prioridade]],[5]!TabelaPrioridade[#Data],3,FALSE)</f>
        <v>#REF!</v>
      </c>
      <c r="M51" s="94" t="s">
        <v>963</v>
      </c>
      <c r="N51" s="94" t="s">
        <v>964</v>
      </c>
      <c r="O51" s="94" t="s">
        <v>964</v>
      </c>
      <c r="P51" s="94" t="s">
        <v>980</v>
      </c>
      <c r="Q51" s="97" t="e">
        <f>Tabela13[[#This Row],[Tempo Máximo Atendimento]]+"00:20:00"</f>
        <v>#REF!</v>
      </c>
      <c r="R51" s="94"/>
      <c r="S51" s="94" t="s">
        <v>964</v>
      </c>
      <c r="T51" s="97" t="s">
        <v>964</v>
      </c>
      <c r="U51" s="97" t="s">
        <v>964</v>
      </c>
      <c r="V51" s="94"/>
      <c r="W51" s="94" t="s">
        <v>964</v>
      </c>
      <c r="X51" s="94" t="s">
        <v>964</v>
      </c>
      <c r="Y51" s="95" t="s">
        <v>964</v>
      </c>
      <c r="Z51" s="94" t="s">
        <v>964</v>
      </c>
      <c r="AA51" s="94" t="s">
        <v>964</v>
      </c>
      <c r="AB51" s="94" t="s">
        <v>964</v>
      </c>
      <c r="AC51" s="94" t="s">
        <v>970</v>
      </c>
      <c r="AD51" s="101" t="s">
        <v>971</v>
      </c>
    </row>
    <row r="52" spans="1:30" s="104" customFormat="1" ht="12" hidden="1">
      <c r="A52" s="94" t="s">
        <v>1041</v>
      </c>
      <c r="B52" s="94" t="s">
        <v>14</v>
      </c>
      <c r="C52" s="94" t="s">
        <v>957</v>
      </c>
      <c r="D52" s="105" t="s">
        <v>958</v>
      </c>
      <c r="E52" s="95" t="s">
        <v>959</v>
      </c>
      <c r="F52" s="94" t="s">
        <v>960</v>
      </c>
      <c r="G52" s="94" t="s">
        <v>960</v>
      </c>
      <c r="H52" s="94" t="s">
        <v>961</v>
      </c>
      <c r="I52" s="94" t="s">
        <v>962</v>
      </c>
      <c r="J52" s="94">
        <v>4</v>
      </c>
      <c r="K52" s="96" t="e">
        <f>VLOOKUP(Tabela13[[#This Row],[Prioridade]],[5]!TabelaPrioridade[#Data],2,FALSE)</f>
        <v>#REF!</v>
      </c>
      <c r="L52" s="96" t="e">
        <f>VLOOKUP(Tabela13[[#This Row],[Prioridade]],[5]!TabelaPrioridade[#Data],3,FALSE)</f>
        <v>#REF!</v>
      </c>
      <c r="M52" s="94" t="s">
        <v>960</v>
      </c>
      <c r="N52" s="94" t="s">
        <v>1020</v>
      </c>
      <c r="O52" s="94"/>
      <c r="P52" s="94" t="s">
        <v>967</v>
      </c>
      <c r="Q52" s="97" t="e">
        <f>Tabela13[[#This Row],[Tempo Máximo Atendimento]]+"00:20:00"</f>
        <v>#REF!</v>
      </c>
      <c r="R52" s="94"/>
      <c r="S52" s="94" t="s">
        <v>1042</v>
      </c>
      <c r="T52" s="94" t="s">
        <v>964</v>
      </c>
      <c r="U52" s="94" t="s">
        <v>964</v>
      </c>
      <c r="V52" s="94"/>
      <c r="W52" s="94" t="s">
        <v>980</v>
      </c>
      <c r="X52" s="94" t="s">
        <v>964</v>
      </c>
      <c r="Y52" s="95" t="s">
        <v>964</v>
      </c>
      <c r="Z52" s="94" t="s">
        <v>964</v>
      </c>
      <c r="AA52" s="94" t="s">
        <v>964</v>
      </c>
      <c r="AB52" s="94" t="s">
        <v>964</v>
      </c>
      <c r="AC52" s="94" t="s">
        <v>970</v>
      </c>
      <c r="AD52" s="101" t="s">
        <v>971</v>
      </c>
    </row>
    <row r="53" spans="1:30" s="104" customFormat="1" ht="12" hidden="1">
      <c r="A53" s="94" t="s">
        <v>1041</v>
      </c>
      <c r="B53" s="94" t="s">
        <v>956</v>
      </c>
      <c r="C53" s="94" t="s">
        <v>957</v>
      </c>
      <c r="D53" s="105" t="s">
        <v>1024</v>
      </c>
      <c r="E53" s="95"/>
      <c r="F53" s="94" t="s">
        <v>960</v>
      </c>
      <c r="G53" s="94" t="s">
        <v>960</v>
      </c>
      <c r="H53" s="94" t="s">
        <v>961</v>
      </c>
      <c r="I53" s="94" t="s">
        <v>962</v>
      </c>
      <c r="J53" s="94">
        <v>4</v>
      </c>
      <c r="K53" s="96" t="e">
        <f>VLOOKUP(Tabela13[[#This Row],[Prioridade]],[5]!TabelaPrioridade[#Data],2,FALSE)</f>
        <v>#REF!</v>
      </c>
      <c r="L53" s="96" t="e">
        <f>VLOOKUP(Tabela13[[#This Row],[Prioridade]],[5]!TabelaPrioridade[#Data],3,FALSE)</f>
        <v>#REF!</v>
      </c>
      <c r="M53" s="94" t="s">
        <v>963</v>
      </c>
      <c r="N53" s="94" t="s">
        <v>964</v>
      </c>
      <c r="O53" s="94" t="s">
        <v>964</v>
      </c>
      <c r="P53" s="94" t="s">
        <v>967</v>
      </c>
      <c r="Q53" s="97" t="e">
        <f>Tabela13[[#This Row],[Tempo Máximo Atendimento]]+"00:20:00"</f>
        <v>#REF!</v>
      </c>
      <c r="R53" s="94"/>
      <c r="S53" s="94" t="s">
        <v>1042</v>
      </c>
      <c r="T53" s="94" t="s">
        <v>964</v>
      </c>
      <c r="U53" s="94" t="s">
        <v>964</v>
      </c>
      <c r="V53" s="94"/>
      <c r="W53" s="94" t="s">
        <v>980</v>
      </c>
      <c r="X53" s="94" t="s">
        <v>964</v>
      </c>
      <c r="Y53" s="95" t="s">
        <v>964</v>
      </c>
      <c r="Z53" s="94" t="s">
        <v>964</v>
      </c>
      <c r="AA53" s="94" t="s">
        <v>964</v>
      </c>
      <c r="AB53" s="94" t="s">
        <v>964</v>
      </c>
      <c r="AC53" s="94" t="s">
        <v>970</v>
      </c>
      <c r="AD53" s="101" t="s">
        <v>971</v>
      </c>
    </row>
    <row r="54" spans="1:30" s="104" customFormat="1" ht="12" hidden="1">
      <c r="A54" s="94" t="s">
        <v>1041</v>
      </c>
      <c r="B54" s="94" t="s">
        <v>956</v>
      </c>
      <c r="C54" s="94" t="s">
        <v>957</v>
      </c>
      <c r="D54" s="105" t="s">
        <v>1022</v>
      </c>
      <c r="E54" s="95"/>
      <c r="F54" s="94" t="s">
        <v>960</v>
      </c>
      <c r="G54" s="94" t="s">
        <v>960</v>
      </c>
      <c r="H54" s="94" t="s">
        <v>961</v>
      </c>
      <c r="I54" s="94" t="s">
        <v>962</v>
      </c>
      <c r="J54" s="94">
        <v>4</v>
      </c>
      <c r="K54" s="96" t="e">
        <f>VLOOKUP(Tabela13[[#This Row],[Prioridade]],[5]!TabelaPrioridade[#Data],2,FALSE)</f>
        <v>#REF!</v>
      </c>
      <c r="L54" s="96" t="e">
        <f>VLOOKUP(Tabela13[[#This Row],[Prioridade]],[5]!TabelaPrioridade[#Data],3,FALSE)</f>
        <v>#REF!</v>
      </c>
      <c r="M54" s="94" t="s">
        <v>963</v>
      </c>
      <c r="N54" s="94" t="s">
        <v>964</v>
      </c>
      <c r="O54" s="94" t="s">
        <v>964</v>
      </c>
      <c r="P54" s="94" t="s">
        <v>967</v>
      </c>
      <c r="Q54" s="97" t="e">
        <f>Tabela13[[#This Row],[Tempo Máximo Atendimento]]+"00:20:00"</f>
        <v>#REF!</v>
      </c>
      <c r="R54" s="94"/>
      <c r="S54" s="94" t="s">
        <v>1042</v>
      </c>
      <c r="T54" s="94" t="s">
        <v>964</v>
      </c>
      <c r="U54" s="94" t="s">
        <v>964</v>
      </c>
      <c r="V54" s="94"/>
      <c r="W54" s="94" t="s">
        <v>980</v>
      </c>
      <c r="X54" s="94" t="s">
        <v>964</v>
      </c>
      <c r="Y54" s="95" t="s">
        <v>964</v>
      </c>
      <c r="Z54" s="94" t="s">
        <v>964</v>
      </c>
      <c r="AA54" s="94" t="s">
        <v>964</v>
      </c>
      <c r="AB54" s="94" t="s">
        <v>964</v>
      </c>
      <c r="AC54" s="94" t="s">
        <v>970</v>
      </c>
      <c r="AD54" s="101" t="s">
        <v>971</v>
      </c>
    </row>
    <row r="55" spans="1:30" s="104" customFormat="1" ht="12" hidden="1">
      <c r="A55" s="94" t="s">
        <v>1041</v>
      </c>
      <c r="B55" s="94" t="s">
        <v>956</v>
      </c>
      <c r="C55" s="94" t="s">
        <v>957</v>
      </c>
      <c r="D55" s="105" t="s">
        <v>1043</v>
      </c>
      <c r="E55" s="95" t="s">
        <v>1044</v>
      </c>
      <c r="F55" s="94" t="s">
        <v>960</v>
      </c>
      <c r="G55" s="94" t="s">
        <v>960</v>
      </c>
      <c r="H55" s="94" t="s">
        <v>961</v>
      </c>
      <c r="I55" s="94" t="s">
        <v>962</v>
      </c>
      <c r="J55" s="94">
        <v>4</v>
      </c>
      <c r="K55" s="96" t="e">
        <f>VLOOKUP(Tabela13[[#This Row],[Prioridade]],[5]!TabelaPrioridade[#Data],2,FALSE)</f>
        <v>#REF!</v>
      </c>
      <c r="L55" s="96" t="e">
        <f>VLOOKUP(Tabela13[[#This Row],[Prioridade]],[5]!TabelaPrioridade[#Data],3,FALSE)</f>
        <v>#REF!</v>
      </c>
      <c r="M55" s="94" t="s">
        <v>963</v>
      </c>
      <c r="N55" s="94" t="s">
        <v>964</v>
      </c>
      <c r="O55" s="94" t="s">
        <v>964</v>
      </c>
      <c r="P55" s="94" t="s">
        <v>967</v>
      </c>
      <c r="Q55" s="97" t="e">
        <f>Tabela13[[#This Row],[Tempo Máximo Atendimento]]+"00:20:00"</f>
        <v>#REF!</v>
      </c>
      <c r="R55" s="94"/>
      <c r="S55" s="94" t="s">
        <v>1042</v>
      </c>
      <c r="T55" s="94" t="s">
        <v>964</v>
      </c>
      <c r="U55" s="94" t="s">
        <v>964</v>
      </c>
      <c r="V55" s="94"/>
      <c r="W55" s="94" t="s">
        <v>980</v>
      </c>
      <c r="X55" s="94" t="s">
        <v>964</v>
      </c>
      <c r="Y55" s="95" t="s">
        <v>964</v>
      </c>
      <c r="Z55" s="94" t="s">
        <v>964</v>
      </c>
      <c r="AA55" s="94" t="s">
        <v>964</v>
      </c>
      <c r="AB55" s="94" t="s">
        <v>964</v>
      </c>
      <c r="AC55" s="94" t="s">
        <v>970</v>
      </c>
      <c r="AD55" s="101" t="s">
        <v>971</v>
      </c>
    </row>
    <row r="56" spans="1:30" s="104" customFormat="1" ht="12" hidden="1">
      <c r="A56" s="94" t="s">
        <v>1041</v>
      </c>
      <c r="B56" s="102" t="s">
        <v>14</v>
      </c>
      <c r="C56" s="102" t="s">
        <v>976</v>
      </c>
      <c r="D56" s="105" t="s">
        <v>977</v>
      </c>
      <c r="E56" s="95"/>
      <c r="F56" s="94" t="s">
        <v>963</v>
      </c>
      <c r="G56" s="94" t="s">
        <v>960</v>
      </c>
      <c r="H56" s="94" t="s">
        <v>961</v>
      </c>
      <c r="I56" s="94"/>
      <c r="J56" s="94">
        <v>4</v>
      </c>
      <c r="K56" s="96" t="e">
        <f>VLOOKUP(Tabela13[[#This Row],[Prioridade]],[5]!TabelaPrioridade[#Data],2,FALSE)</f>
        <v>#REF!</v>
      </c>
      <c r="L56" s="96" t="e">
        <f>VLOOKUP(Tabela13[[#This Row],[Prioridade]],[5]!TabelaPrioridade[#Data],3,FALSE)</f>
        <v>#REF!</v>
      </c>
      <c r="M56" s="94" t="s">
        <v>963</v>
      </c>
      <c r="N56" s="94" t="s">
        <v>964</v>
      </c>
      <c r="O56" s="94" t="s">
        <v>964</v>
      </c>
      <c r="P56" s="94" t="s">
        <v>965</v>
      </c>
      <c r="Q56" s="97" t="e">
        <f>Tabela13[[#This Row],[Tempo Máximo Atendimento]]+"00:20:00"</f>
        <v>#REF!</v>
      </c>
      <c r="R56" s="94"/>
      <c r="S56" s="94" t="s">
        <v>967</v>
      </c>
      <c r="T56" s="94" t="s">
        <v>964</v>
      </c>
      <c r="U56" s="94" t="s">
        <v>964</v>
      </c>
      <c r="V56" s="94"/>
      <c r="W56" s="94" t="s">
        <v>980</v>
      </c>
      <c r="X56" s="94" t="s">
        <v>964</v>
      </c>
      <c r="Y56" s="95" t="s">
        <v>964</v>
      </c>
      <c r="Z56" s="94" t="s">
        <v>964</v>
      </c>
      <c r="AA56" s="94" t="s">
        <v>964</v>
      </c>
      <c r="AB56" s="94" t="s">
        <v>964</v>
      </c>
      <c r="AC56" s="94" t="s">
        <v>970</v>
      </c>
      <c r="AD56" s="101" t="s">
        <v>971</v>
      </c>
    </row>
    <row r="57" spans="1:30" ht="15" hidden="1">
      <c r="A57" s="94" t="s">
        <v>1041</v>
      </c>
      <c r="B57" s="102" t="s">
        <v>14</v>
      </c>
      <c r="C57" s="102" t="s">
        <v>976</v>
      </c>
      <c r="D57" s="105" t="s">
        <v>566</v>
      </c>
      <c r="E57" s="95"/>
      <c r="F57" s="94" t="s">
        <v>963</v>
      </c>
      <c r="G57" s="94" t="s">
        <v>960</v>
      </c>
      <c r="H57" s="94" t="s">
        <v>961</v>
      </c>
      <c r="I57" s="94"/>
      <c r="J57" s="94">
        <v>4</v>
      </c>
      <c r="K57" s="96" t="e">
        <f>VLOOKUP(Tabela13[[#This Row],[Prioridade]],[5]!TabelaPrioridade[#Data],2,FALSE)</f>
        <v>#REF!</v>
      </c>
      <c r="L57" s="96" t="e">
        <f>VLOOKUP(Tabela13[[#This Row],[Prioridade]],[5]!TabelaPrioridade[#Data],3,FALSE)</f>
        <v>#REF!</v>
      </c>
      <c r="M57" s="94" t="s">
        <v>963</v>
      </c>
      <c r="N57" s="94" t="s">
        <v>964</v>
      </c>
      <c r="O57" s="94" t="s">
        <v>964</v>
      </c>
      <c r="P57" s="94" t="s">
        <v>965</v>
      </c>
      <c r="Q57" s="97" t="e">
        <f>Tabela13[[#This Row],[Tempo Máximo Atendimento]]+"00:20:00"</f>
        <v>#REF!</v>
      </c>
      <c r="R57" s="94"/>
      <c r="S57" s="94" t="s">
        <v>967</v>
      </c>
      <c r="T57" s="94" t="s">
        <v>964</v>
      </c>
      <c r="U57" s="94" t="s">
        <v>964</v>
      </c>
      <c r="V57" s="94"/>
      <c r="W57" s="94" t="s">
        <v>980</v>
      </c>
      <c r="X57" s="94" t="s">
        <v>964</v>
      </c>
      <c r="Y57" s="95" t="s">
        <v>964</v>
      </c>
      <c r="Z57" s="94" t="s">
        <v>964</v>
      </c>
      <c r="AA57" s="94" t="s">
        <v>964</v>
      </c>
      <c r="AB57" s="94" t="s">
        <v>964</v>
      </c>
      <c r="AC57" s="94" t="s">
        <v>970</v>
      </c>
      <c r="AD57" s="101" t="s">
        <v>971</v>
      </c>
    </row>
    <row r="58" spans="1:30" ht="15" hidden="1">
      <c r="A58" s="94" t="s">
        <v>1041</v>
      </c>
      <c r="B58" s="102" t="s">
        <v>14</v>
      </c>
      <c r="C58" s="102" t="s">
        <v>976</v>
      </c>
      <c r="D58" s="105" t="s">
        <v>565</v>
      </c>
      <c r="E58" s="95"/>
      <c r="F58" s="94" t="s">
        <v>963</v>
      </c>
      <c r="G58" s="94" t="s">
        <v>960</v>
      </c>
      <c r="H58" s="94" t="s">
        <v>961</v>
      </c>
      <c r="I58" s="94"/>
      <c r="J58" s="94">
        <v>3</v>
      </c>
      <c r="K58" s="96" t="e">
        <f>VLOOKUP(Tabela13[[#This Row],[Prioridade]],[5]!TabelaPrioridade[#Data],2,FALSE)</f>
        <v>#REF!</v>
      </c>
      <c r="L58" s="96" t="e">
        <f>VLOOKUP(Tabela13[[#This Row],[Prioridade]],[5]!TabelaPrioridade[#Data],3,FALSE)</f>
        <v>#REF!</v>
      </c>
      <c r="M58" s="94" t="s">
        <v>963</v>
      </c>
      <c r="N58" s="94" t="s">
        <v>964</v>
      </c>
      <c r="O58" s="94" t="s">
        <v>964</v>
      </c>
      <c r="P58" s="94" t="s">
        <v>965</v>
      </c>
      <c r="Q58" s="97" t="e">
        <f>Tabela13[[#This Row],[Tempo Máximo Atendimento]]+"00:20:00"</f>
        <v>#REF!</v>
      </c>
      <c r="R58" s="94"/>
      <c r="S58" s="94" t="s">
        <v>967</v>
      </c>
      <c r="T58" s="94" t="s">
        <v>964</v>
      </c>
      <c r="U58" s="94" t="s">
        <v>964</v>
      </c>
      <c r="V58" s="94"/>
      <c r="W58" s="94" t="s">
        <v>980</v>
      </c>
      <c r="X58" s="94" t="s">
        <v>964</v>
      </c>
      <c r="Y58" s="95" t="s">
        <v>964</v>
      </c>
      <c r="Z58" s="94" t="s">
        <v>964</v>
      </c>
      <c r="AA58" s="94" t="s">
        <v>964</v>
      </c>
      <c r="AB58" s="94" t="s">
        <v>964</v>
      </c>
      <c r="AC58" s="94" t="s">
        <v>970</v>
      </c>
      <c r="AD58" s="99">
        <v>2.0833333333333332E-2</v>
      </c>
    </row>
    <row r="59" spans="1:30" ht="15" hidden="1">
      <c r="A59" s="94" t="s">
        <v>1041</v>
      </c>
      <c r="B59" s="94" t="s">
        <v>14</v>
      </c>
      <c r="C59" s="94" t="s">
        <v>976</v>
      </c>
      <c r="D59" s="105" t="s">
        <v>987</v>
      </c>
      <c r="E59" s="95"/>
      <c r="F59" s="94" t="s">
        <v>963</v>
      </c>
      <c r="G59" s="94" t="s">
        <v>960</v>
      </c>
      <c r="H59" s="94" t="s">
        <v>961</v>
      </c>
      <c r="I59" s="94"/>
      <c r="J59" s="94">
        <v>4</v>
      </c>
      <c r="K59" s="96" t="e">
        <f>VLOOKUP(Tabela13[[#This Row],[Prioridade]],[5]!TabelaPrioridade[#Data],2,FALSE)</f>
        <v>#REF!</v>
      </c>
      <c r="L59" s="96" t="e">
        <f>VLOOKUP(Tabela13[[#This Row],[Prioridade]],[5]!TabelaPrioridade[#Data],3,FALSE)</f>
        <v>#REF!</v>
      </c>
      <c r="M59" s="94" t="s">
        <v>963</v>
      </c>
      <c r="N59" s="94" t="s">
        <v>964</v>
      </c>
      <c r="O59" s="94" t="s">
        <v>964</v>
      </c>
      <c r="P59" s="94" t="s">
        <v>965</v>
      </c>
      <c r="Q59" s="97" t="e">
        <f>Tabela13[[#This Row],[Tempo Máximo Atendimento]]+"00:20:00"</f>
        <v>#REF!</v>
      </c>
      <c r="R59" s="94"/>
      <c r="S59" s="94" t="s">
        <v>967</v>
      </c>
      <c r="T59" s="94" t="s">
        <v>964</v>
      </c>
      <c r="U59" s="94" t="s">
        <v>964</v>
      </c>
      <c r="V59" s="94"/>
      <c r="W59" s="94" t="s">
        <v>980</v>
      </c>
      <c r="X59" s="94" t="s">
        <v>964</v>
      </c>
      <c r="Y59" s="95" t="s">
        <v>964</v>
      </c>
      <c r="Z59" s="94" t="s">
        <v>964</v>
      </c>
      <c r="AA59" s="94" t="s">
        <v>964</v>
      </c>
      <c r="AB59" s="94" t="s">
        <v>964</v>
      </c>
      <c r="AC59" s="94" t="s">
        <v>970</v>
      </c>
      <c r="AD59" s="101" t="s">
        <v>971</v>
      </c>
    </row>
    <row r="60" spans="1:30" ht="15" hidden="1">
      <c r="A60" s="94" t="s">
        <v>1045</v>
      </c>
      <c r="B60" s="102" t="s">
        <v>14</v>
      </c>
      <c r="C60" s="102" t="s">
        <v>976</v>
      </c>
      <c r="D60" s="105" t="s">
        <v>987</v>
      </c>
      <c r="E60" s="95"/>
      <c r="F60" s="94" t="s">
        <v>963</v>
      </c>
      <c r="G60" s="94" t="s">
        <v>960</v>
      </c>
      <c r="H60" s="94" t="s">
        <v>961</v>
      </c>
      <c r="I60" s="94"/>
      <c r="J60" s="94">
        <v>4</v>
      </c>
      <c r="K60" s="96" t="e">
        <f>VLOOKUP(Tabela13[[#This Row],[Prioridade]],[5]!TabelaPrioridade[#Data],2,FALSE)</f>
        <v>#REF!</v>
      </c>
      <c r="L60" s="96" t="e">
        <f>VLOOKUP(Tabela13[[#This Row],[Prioridade]],[5]!TabelaPrioridade[#Data],3,FALSE)</f>
        <v>#REF!</v>
      </c>
      <c r="M60" s="94" t="s">
        <v>963</v>
      </c>
      <c r="N60" s="94" t="s">
        <v>964</v>
      </c>
      <c r="O60" s="94" t="s">
        <v>964</v>
      </c>
      <c r="P60" s="94" t="s">
        <v>965</v>
      </c>
      <c r="Q60" s="97" t="e">
        <f>Tabela13[[#This Row],[Tempo Máximo Atendimento]]+"00:20:00"</f>
        <v>#REF!</v>
      </c>
      <c r="R60" s="94"/>
      <c r="S60" s="94" t="s">
        <v>980</v>
      </c>
      <c r="T60" s="97" t="s">
        <v>964</v>
      </c>
      <c r="U60" s="97" t="s">
        <v>964</v>
      </c>
      <c r="V60" s="94"/>
      <c r="W60" s="94" t="s">
        <v>964</v>
      </c>
      <c r="X60" s="94" t="s">
        <v>964</v>
      </c>
      <c r="Y60" s="95" t="s">
        <v>964</v>
      </c>
      <c r="Z60" s="94" t="s">
        <v>964</v>
      </c>
      <c r="AA60" s="94" t="s">
        <v>964</v>
      </c>
      <c r="AB60" s="94" t="s">
        <v>964</v>
      </c>
      <c r="AC60" s="94" t="s">
        <v>970</v>
      </c>
      <c r="AD60" s="101" t="s">
        <v>971</v>
      </c>
    </row>
    <row r="61" spans="1:30" ht="15" hidden="1">
      <c r="A61" s="94" t="s">
        <v>1045</v>
      </c>
      <c r="B61" s="102" t="s">
        <v>956</v>
      </c>
      <c r="C61" s="102" t="s">
        <v>957</v>
      </c>
      <c r="D61" s="105" t="s">
        <v>958</v>
      </c>
      <c r="E61" s="95"/>
      <c r="F61" s="94" t="s">
        <v>960</v>
      </c>
      <c r="G61" s="94" t="s">
        <v>960</v>
      </c>
      <c r="H61" s="94" t="s">
        <v>961</v>
      </c>
      <c r="I61" s="94" t="s">
        <v>962</v>
      </c>
      <c r="J61" s="94">
        <v>4</v>
      </c>
      <c r="K61" s="96" t="e">
        <f>VLOOKUP(Tabela13[[#This Row],[Prioridade]],[5]!TabelaPrioridade[#Data],2,FALSE)</f>
        <v>#REF!</v>
      </c>
      <c r="L61" s="96" t="e">
        <f>VLOOKUP(Tabela13[[#This Row],[Prioridade]],[5]!TabelaPrioridade[#Data],3,FALSE)</f>
        <v>#REF!</v>
      </c>
      <c r="M61" s="94" t="s">
        <v>963</v>
      </c>
      <c r="N61" s="94" t="s">
        <v>964</v>
      </c>
      <c r="O61" s="94" t="s">
        <v>964</v>
      </c>
      <c r="P61" s="94" t="s">
        <v>980</v>
      </c>
      <c r="Q61" s="97" t="e">
        <f>Tabela13[[#This Row],[Tempo Máximo Atendimento]]+"00:20:00"</f>
        <v>#REF!</v>
      </c>
      <c r="R61" s="94"/>
      <c r="S61" s="94" t="s">
        <v>1005</v>
      </c>
      <c r="T61" s="97" t="s">
        <v>964</v>
      </c>
      <c r="U61" s="97" t="s">
        <v>964</v>
      </c>
      <c r="V61" s="94"/>
      <c r="W61" s="94" t="s">
        <v>964</v>
      </c>
      <c r="X61" s="94" t="s">
        <v>964</v>
      </c>
      <c r="Y61" s="95" t="s">
        <v>964</v>
      </c>
      <c r="Z61" s="94" t="s">
        <v>964</v>
      </c>
      <c r="AA61" s="94" t="s">
        <v>964</v>
      </c>
      <c r="AB61" s="94" t="s">
        <v>964</v>
      </c>
      <c r="AC61" s="94" t="s">
        <v>970</v>
      </c>
      <c r="AD61" s="101" t="s">
        <v>971</v>
      </c>
    </row>
    <row r="62" spans="1:30" ht="15" hidden="1">
      <c r="A62" s="94" t="s">
        <v>1045</v>
      </c>
      <c r="B62" s="102" t="s">
        <v>956</v>
      </c>
      <c r="C62" s="102" t="s">
        <v>957</v>
      </c>
      <c r="D62" s="105" t="s">
        <v>1024</v>
      </c>
      <c r="E62" s="95"/>
      <c r="F62" s="94" t="s">
        <v>960</v>
      </c>
      <c r="G62" s="94" t="s">
        <v>960</v>
      </c>
      <c r="H62" s="94" t="s">
        <v>961</v>
      </c>
      <c r="I62" s="94" t="s">
        <v>962</v>
      </c>
      <c r="J62" s="94">
        <v>4</v>
      </c>
      <c r="K62" s="96" t="e">
        <f>VLOOKUP(Tabela13[[#This Row],[Prioridade]],[5]!TabelaPrioridade[#Data],2,FALSE)</f>
        <v>#REF!</v>
      </c>
      <c r="L62" s="96" t="e">
        <f>VLOOKUP(Tabela13[[#This Row],[Prioridade]],[5]!TabelaPrioridade[#Data],3,FALSE)</f>
        <v>#REF!</v>
      </c>
      <c r="M62" s="94" t="s">
        <v>963</v>
      </c>
      <c r="N62" s="94" t="s">
        <v>964</v>
      </c>
      <c r="O62" s="94" t="s">
        <v>964</v>
      </c>
      <c r="P62" s="94" t="s">
        <v>980</v>
      </c>
      <c r="Q62" s="97" t="e">
        <f>Tabela13[[#This Row],[Tempo Máximo Atendimento]]+"00:20:00"</f>
        <v>#REF!</v>
      </c>
      <c r="R62" s="94"/>
      <c r="S62" s="94" t="s">
        <v>1005</v>
      </c>
      <c r="T62" s="97" t="s">
        <v>964</v>
      </c>
      <c r="U62" s="97" t="s">
        <v>964</v>
      </c>
      <c r="V62" s="94"/>
      <c r="W62" s="94" t="s">
        <v>964</v>
      </c>
      <c r="X62" s="94" t="s">
        <v>964</v>
      </c>
      <c r="Y62" s="95" t="s">
        <v>964</v>
      </c>
      <c r="Z62" s="94" t="s">
        <v>964</v>
      </c>
      <c r="AA62" s="94" t="s">
        <v>964</v>
      </c>
      <c r="AB62" s="94" t="s">
        <v>964</v>
      </c>
      <c r="AC62" s="94" t="s">
        <v>970</v>
      </c>
      <c r="AD62" s="101" t="s">
        <v>971</v>
      </c>
    </row>
    <row r="63" spans="1:30" s="102" customFormat="1" ht="12" hidden="1">
      <c r="A63" s="94" t="s">
        <v>1045</v>
      </c>
      <c r="B63" s="102" t="s">
        <v>956</v>
      </c>
      <c r="C63" s="102" t="s">
        <v>957</v>
      </c>
      <c r="D63" s="105" t="s">
        <v>1022</v>
      </c>
      <c r="E63" s="95"/>
      <c r="F63" s="94" t="s">
        <v>960</v>
      </c>
      <c r="G63" s="94" t="s">
        <v>960</v>
      </c>
      <c r="H63" s="94" t="s">
        <v>961</v>
      </c>
      <c r="I63" s="94" t="s">
        <v>962</v>
      </c>
      <c r="J63" s="94">
        <v>4</v>
      </c>
      <c r="K63" s="96" t="e">
        <f>VLOOKUP(Tabela13[[#This Row],[Prioridade]],[5]!TabelaPrioridade[#Data],2,FALSE)</f>
        <v>#REF!</v>
      </c>
      <c r="L63" s="96" t="e">
        <f>VLOOKUP(Tabela13[[#This Row],[Prioridade]],[5]!TabelaPrioridade[#Data],3,FALSE)</f>
        <v>#REF!</v>
      </c>
      <c r="M63" s="94" t="s">
        <v>963</v>
      </c>
      <c r="N63" s="94" t="s">
        <v>964</v>
      </c>
      <c r="O63" s="94" t="s">
        <v>964</v>
      </c>
      <c r="P63" s="94" t="s">
        <v>980</v>
      </c>
      <c r="Q63" s="97" t="e">
        <f>Tabela13[[#This Row],[Tempo Máximo Atendimento]]+"00:20:00"</f>
        <v>#REF!</v>
      </c>
      <c r="R63" s="94"/>
      <c r="S63" s="94" t="s">
        <v>1005</v>
      </c>
      <c r="T63" s="97" t="s">
        <v>964</v>
      </c>
      <c r="U63" s="97" t="s">
        <v>964</v>
      </c>
      <c r="V63" s="94"/>
      <c r="W63" s="94" t="s">
        <v>964</v>
      </c>
      <c r="X63" s="94" t="s">
        <v>964</v>
      </c>
      <c r="Y63" s="95" t="s">
        <v>964</v>
      </c>
      <c r="Z63" s="94" t="s">
        <v>964</v>
      </c>
      <c r="AA63" s="94" t="s">
        <v>964</v>
      </c>
      <c r="AB63" s="94" t="s">
        <v>964</v>
      </c>
      <c r="AC63" s="94" t="s">
        <v>970</v>
      </c>
      <c r="AD63" s="101" t="s">
        <v>971</v>
      </c>
    </row>
    <row r="64" spans="1:30" s="104" customFormat="1" ht="12" hidden="1">
      <c r="A64" s="94" t="s">
        <v>1046</v>
      </c>
      <c r="B64" s="94" t="s">
        <v>956</v>
      </c>
      <c r="C64" s="94" t="s">
        <v>976</v>
      </c>
      <c r="D64" s="105" t="s">
        <v>1047</v>
      </c>
      <c r="E64" s="95"/>
      <c r="F64" s="94" t="s">
        <v>960</v>
      </c>
      <c r="G64" s="94" t="s">
        <v>960</v>
      </c>
      <c r="H64" s="94" t="s">
        <v>961</v>
      </c>
      <c r="I64" s="94" t="s">
        <v>288</v>
      </c>
      <c r="J64" s="94">
        <v>4</v>
      </c>
      <c r="K64" s="96" t="e">
        <f>VLOOKUP(Tabela13[[#This Row],[Prioridade]],[5]!TabelaPrioridade[#Data],2,FALSE)</f>
        <v>#REF!</v>
      </c>
      <c r="L64" s="96" t="e">
        <f>VLOOKUP(Tabela13[[#This Row],[Prioridade]],[5]!TabelaPrioridade[#Data],3,FALSE)</f>
        <v>#REF!</v>
      </c>
      <c r="M64" s="94" t="s">
        <v>963</v>
      </c>
      <c r="N64" s="94" t="s">
        <v>964</v>
      </c>
      <c r="O64" s="94" t="s">
        <v>964</v>
      </c>
      <c r="P64" s="94" t="s">
        <v>980</v>
      </c>
      <c r="Q64" s="97" t="e">
        <f>Tabela13[[#This Row],[Tempo Máximo Atendimento]]+"00:20:00"</f>
        <v>#REF!</v>
      </c>
      <c r="R64" s="94"/>
      <c r="S64" s="94" t="s">
        <v>964</v>
      </c>
      <c r="T64" s="97" t="s">
        <v>964</v>
      </c>
      <c r="U64" s="97" t="s">
        <v>964</v>
      </c>
      <c r="V64" s="94"/>
      <c r="W64" s="94" t="s">
        <v>964</v>
      </c>
      <c r="X64" s="94" t="s">
        <v>964</v>
      </c>
      <c r="Y64" s="95" t="s">
        <v>964</v>
      </c>
      <c r="Z64" s="94" t="s">
        <v>964</v>
      </c>
      <c r="AA64" s="94" t="s">
        <v>964</v>
      </c>
      <c r="AB64" s="94" t="s">
        <v>964</v>
      </c>
      <c r="AC64" s="94" t="s">
        <v>970</v>
      </c>
      <c r="AD64" s="101" t="s">
        <v>971</v>
      </c>
    </row>
    <row r="65" spans="1:30" s="104" customFormat="1" ht="12" hidden="1">
      <c r="A65" s="94" t="s">
        <v>1046</v>
      </c>
      <c r="B65" s="94" t="s">
        <v>14</v>
      </c>
      <c r="C65" s="94" t="s">
        <v>976</v>
      </c>
      <c r="D65" s="105" t="s">
        <v>1048</v>
      </c>
      <c r="E65" s="95"/>
      <c r="F65" s="94" t="s">
        <v>963</v>
      </c>
      <c r="G65" s="94" t="s">
        <v>960</v>
      </c>
      <c r="H65" s="94" t="s">
        <v>961</v>
      </c>
      <c r="I65" s="94"/>
      <c r="J65" s="94">
        <v>4</v>
      </c>
      <c r="K65" s="96" t="e">
        <f>VLOOKUP(Tabela13[[#This Row],[Prioridade]],[5]!TabelaPrioridade[#Data],2,FALSE)</f>
        <v>#REF!</v>
      </c>
      <c r="L65" s="96" t="e">
        <f>VLOOKUP(Tabela13[[#This Row],[Prioridade]],[5]!TabelaPrioridade[#Data],3,FALSE)</f>
        <v>#REF!</v>
      </c>
      <c r="M65" s="94" t="s">
        <v>963</v>
      </c>
      <c r="N65" s="94" t="s">
        <v>964</v>
      </c>
      <c r="O65" s="94" t="s">
        <v>964</v>
      </c>
      <c r="P65" s="94" t="s">
        <v>965</v>
      </c>
      <c r="Q65" s="97" t="e">
        <f>Tabela13[[#This Row],[Tempo Máximo Atendimento]]+"00:20:00"</f>
        <v>#REF!</v>
      </c>
      <c r="R65" s="94"/>
      <c r="S65" s="108" t="s">
        <v>1049</v>
      </c>
      <c r="T65" s="94" t="s">
        <v>964</v>
      </c>
      <c r="U65" s="97" t="e">
        <f>Tabela13[[#This Row],[Tempo Máximo Total Resolução]]-Tabela13[[#This Row],[Tempo Máximo Escalada Funcional]]</f>
        <v>#REF!</v>
      </c>
      <c r="V65" s="94"/>
      <c r="W65" s="94" t="s">
        <v>980</v>
      </c>
      <c r="X65" s="97" t="e">
        <f>Tabela13[[#This Row],[Tempo Máximo Total Resolução]]-Tabela13[[#This Row],[Tempo Máximo Escalada Funcional]]</f>
        <v>#REF!</v>
      </c>
      <c r="Y65" s="95" t="s">
        <v>964</v>
      </c>
      <c r="Z65" s="94" t="s">
        <v>1005</v>
      </c>
      <c r="AA65" s="94"/>
      <c r="AB65" s="94"/>
      <c r="AC65" s="94" t="s">
        <v>970</v>
      </c>
      <c r="AD65" s="101" t="s">
        <v>971</v>
      </c>
    </row>
    <row r="66" spans="1:30" s="104" customFormat="1" ht="36" hidden="1">
      <c r="A66" s="94" t="s">
        <v>1046</v>
      </c>
      <c r="B66" s="94" t="s">
        <v>14</v>
      </c>
      <c r="C66" s="94" t="s">
        <v>957</v>
      </c>
      <c r="D66" s="95" t="s">
        <v>1050</v>
      </c>
      <c r="E66" s="95"/>
      <c r="F66" s="94" t="s">
        <v>963</v>
      </c>
      <c r="G66" s="94" t="s">
        <v>960</v>
      </c>
      <c r="H66" s="94" t="s">
        <v>961</v>
      </c>
      <c r="I66" s="94"/>
      <c r="J66" s="94">
        <v>4</v>
      </c>
      <c r="K66" s="96" t="e">
        <f>VLOOKUP(Tabela13[[#This Row],[Prioridade]],[5]!TabelaPrioridade[#Data],2,FALSE)</f>
        <v>#REF!</v>
      </c>
      <c r="L66" s="96" t="e">
        <f>VLOOKUP(Tabela13[[#This Row],[Prioridade]],[5]!TabelaPrioridade[#Data],3,FALSE)</f>
        <v>#REF!</v>
      </c>
      <c r="M66" s="94" t="s">
        <v>960</v>
      </c>
      <c r="N66" s="94" t="s">
        <v>1051</v>
      </c>
      <c r="O66" s="99">
        <v>8.3333333333333329E-2</v>
      </c>
      <c r="P66" s="94" t="s">
        <v>965</v>
      </c>
      <c r="Q66" s="97" t="e">
        <f>Tabela13[[#This Row],[Tempo Máximo Atendimento]]+"00:20:00"</f>
        <v>#REF!</v>
      </c>
      <c r="R66" s="94"/>
      <c r="S66" s="94" t="s">
        <v>967</v>
      </c>
      <c r="T66" s="97" t="s">
        <v>964</v>
      </c>
      <c r="U66" s="97" t="s">
        <v>964</v>
      </c>
      <c r="V66" s="94"/>
      <c r="W66" s="94" t="s">
        <v>964</v>
      </c>
      <c r="X66" s="94" t="s">
        <v>964</v>
      </c>
      <c r="Y66" s="95" t="s">
        <v>964</v>
      </c>
      <c r="Z66" s="94" t="s">
        <v>964</v>
      </c>
      <c r="AA66" s="94" t="s">
        <v>964</v>
      </c>
      <c r="AB66" s="94" t="s">
        <v>964</v>
      </c>
      <c r="AC66" s="94" t="s">
        <v>970</v>
      </c>
      <c r="AD66" s="101" t="s">
        <v>971</v>
      </c>
    </row>
    <row r="67" spans="1:30" s="104" customFormat="1" ht="12" hidden="1">
      <c r="A67" s="94" t="s">
        <v>1046</v>
      </c>
      <c r="B67" s="94" t="s">
        <v>14</v>
      </c>
      <c r="C67" s="94" t="s">
        <v>957</v>
      </c>
      <c r="D67" s="95" t="s">
        <v>1052</v>
      </c>
      <c r="E67" s="95"/>
      <c r="F67" s="94" t="s">
        <v>963</v>
      </c>
      <c r="G67" s="94" t="s">
        <v>960</v>
      </c>
      <c r="H67" s="94" t="s">
        <v>961</v>
      </c>
      <c r="I67" s="94"/>
      <c r="J67" s="94">
        <v>4</v>
      </c>
      <c r="K67" s="96" t="e">
        <f>VLOOKUP(Tabela13[[#This Row],[Prioridade]],[5]!TabelaPrioridade[#Data],2,FALSE)</f>
        <v>#REF!</v>
      </c>
      <c r="L67" s="96" t="e">
        <f>VLOOKUP(Tabela13[[#This Row],[Prioridade]],[5]!TabelaPrioridade[#Data],3,FALSE)</f>
        <v>#REF!</v>
      </c>
      <c r="M67" s="94" t="s">
        <v>960</v>
      </c>
      <c r="N67" s="94" t="s">
        <v>1053</v>
      </c>
      <c r="O67" s="99">
        <v>8.3333333333333329E-2</v>
      </c>
      <c r="P67" s="94" t="s">
        <v>965</v>
      </c>
      <c r="Q67" s="97" t="e">
        <f>Tabela13[[#This Row],[Tempo Máximo Atendimento]]+"00:20:00"</f>
        <v>#REF!</v>
      </c>
      <c r="R67" s="94"/>
      <c r="S67" s="94" t="s">
        <v>967</v>
      </c>
      <c r="T67" s="97" t="s">
        <v>964</v>
      </c>
      <c r="U67" s="97" t="s">
        <v>964</v>
      </c>
      <c r="V67" s="94"/>
      <c r="W67" s="94" t="s">
        <v>964</v>
      </c>
      <c r="X67" s="94" t="s">
        <v>964</v>
      </c>
      <c r="Y67" s="95" t="s">
        <v>964</v>
      </c>
      <c r="Z67" s="94" t="s">
        <v>964</v>
      </c>
      <c r="AA67" s="94" t="s">
        <v>964</v>
      </c>
      <c r="AB67" s="94" t="s">
        <v>964</v>
      </c>
      <c r="AC67" s="94" t="s">
        <v>970</v>
      </c>
      <c r="AD67" s="101" t="s">
        <v>971</v>
      </c>
    </row>
    <row r="68" spans="1:30" s="104" customFormat="1" ht="12" hidden="1">
      <c r="A68" s="94" t="s">
        <v>1046</v>
      </c>
      <c r="B68" s="94" t="s">
        <v>14</v>
      </c>
      <c r="C68" s="94" t="s">
        <v>957</v>
      </c>
      <c r="D68" s="95" t="s">
        <v>1054</v>
      </c>
      <c r="E68" s="95"/>
      <c r="F68" s="94" t="s">
        <v>963</v>
      </c>
      <c r="G68" s="94" t="s">
        <v>960</v>
      </c>
      <c r="H68" s="94" t="s">
        <v>961</v>
      </c>
      <c r="I68" s="94"/>
      <c r="J68" s="94">
        <v>4</v>
      </c>
      <c r="K68" s="96" t="e">
        <f>VLOOKUP(Tabela13[[#This Row],[Prioridade]],[5]!TabelaPrioridade[#Data],2,FALSE)</f>
        <v>#REF!</v>
      </c>
      <c r="L68" s="96" t="e">
        <f>VLOOKUP(Tabela13[[#This Row],[Prioridade]],[5]!TabelaPrioridade[#Data],3,FALSE)</f>
        <v>#REF!</v>
      </c>
      <c r="M68" s="94" t="s">
        <v>960</v>
      </c>
      <c r="N68" s="94"/>
      <c r="O68" s="99">
        <v>8.3333333333333329E-2</v>
      </c>
      <c r="P68" s="94" t="s">
        <v>965</v>
      </c>
      <c r="Q68" s="97" t="e">
        <f>Tabela13[[#This Row],[Tempo Máximo Atendimento]]+"00:20:00"</f>
        <v>#REF!</v>
      </c>
      <c r="R68" s="94"/>
      <c r="S68" s="94" t="s">
        <v>980</v>
      </c>
      <c r="T68" s="97" t="s">
        <v>964</v>
      </c>
      <c r="U68" s="97" t="s">
        <v>964</v>
      </c>
      <c r="V68" s="94"/>
      <c r="W68" s="94" t="s">
        <v>964</v>
      </c>
      <c r="X68" s="94" t="s">
        <v>964</v>
      </c>
      <c r="Y68" s="95" t="s">
        <v>964</v>
      </c>
      <c r="Z68" s="94" t="s">
        <v>964</v>
      </c>
      <c r="AA68" s="94" t="s">
        <v>964</v>
      </c>
      <c r="AB68" s="94" t="s">
        <v>964</v>
      </c>
      <c r="AC68" s="94" t="s">
        <v>970</v>
      </c>
      <c r="AD68" s="101" t="s">
        <v>971</v>
      </c>
    </row>
    <row r="69" spans="1:30" s="104" customFormat="1" ht="12" hidden="1">
      <c r="A69" s="94" t="s">
        <v>1046</v>
      </c>
      <c r="B69" s="94" t="s">
        <v>14</v>
      </c>
      <c r="C69" s="94" t="s">
        <v>957</v>
      </c>
      <c r="D69" s="95" t="s">
        <v>1055</v>
      </c>
      <c r="E69" s="95"/>
      <c r="F69" s="94" t="s">
        <v>963</v>
      </c>
      <c r="G69" s="94" t="s">
        <v>960</v>
      </c>
      <c r="H69" s="94" t="s">
        <v>961</v>
      </c>
      <c r="I69" s="94"/>
      <c r="J69" s="94">
        <v>4</v>
      </c>
      <c r="K69" s="96" t="e">
        <f>VLOOKUP(Tabela13[[#This Row],[Prioridade]],[5]!TabelaPrioridade[#Data],2,FALSE)</f>
        <v>#REF!</v>
      </c>
      <c r="L69" s="96" t="e">
        <f>VLOOKUP(Tabela13[[#This Row],[Prioridade]],[5]!TabelaPrioridade[#Data],3,FALSE)</f>
        <v>#REF!</v>
      </c>
      <c r="M69" s="94" t="s">
        <v>960</v>
      </c>
      <c r="N69" s="94"/>
      <c r="O69" s="99">
        <v>8.3333333333333329E-2</v>
      </c>
      <c r="P69" s="94" t="s">
        <v>965</v>
      </c>
      <c r="Q69" s="97" t="e">
        <f>Tabela13[[#This Row],[Tempo Máximo Atendimento]]+"00:20:00"</f>
        <v>#REF!</v>
      </c>
      <c r="R69" s="94"/>
      <c r="S69" s="94" t="s">
        <v>980</v>
      </c>
      <c r="T69" s="97" t="s">
        <v>964</v>
      </c>
      <c r="U69" s="97" t="s">
        <v>964</v>
      </c>
      <c r="V69" s="94"/>
      <c r="W69" s="94" t="s">
        <v>964</v>
      </c>
      <c r="X69" s="94" t="s">
        <v>964</v>
      </c>
      <c r="Y69" s="95" t="s">
        <v>964</v>
      </c>
      <c r="Z69" s="94" t="s">
        <v>964</v>
      </c>
      <c r="AA69" s="94" t="s">
        <v>964</v>
      </c>
      <c r="AB69" s="94" t="s">
        <v>964</v>
      </c>
      <c r="AC69" s="94" t="s">
        <v>970</v>
      </c>
      <c r="AD69" s="101" t="s">
        <v>971</v>
      </c>
    </row>
    <row r="70" spans="1:30" ht="72" hidden="1">
      <c r="A70" s="94" t="s">
        <v>1046</v>
      </c>
      <c r="B70" s="94" t="s">
        <v>14</v>
      </c>
      <c r="C70" s="94" t="s">
        <v>976</v>
      </c>
      <c r="D70" s="105" t="s">
        <v>1056</v>
      </c>
      <c r="E70" s="95"/>
      <c r="F70" s="94" t="s">
        <v>963</v>
      </c>
      <c r="G70" s="94" t="s">
        <v>960</v>
      </c>
      <c r="H70" s="94" t="s">
        <v>961</v>
      </c>
      <c r="I70" s="94"/>
      <c r="J70" s="94">
        <v>4</v>
      </c>
      <c r="K70" s="96" t="e">
        <f>VLOOKUP(Tabela13[[#This Row],[Prioridade]],[5]!TabelaPrioridade[#Data],2,FALSE)</f>
        <v>#REF!</v>
      </c>
      <c r="L70" s="96" t="e">
        <f>VLOOKUP(Tabela13[[#This Row],[Prioridade]],[5]!TabelaPrioridade[#Data],3,FALSE)</f>
        <v>#REF!</v>
      </c>
      <c r="M70" s="94" t="s">
        <v>963</v>
      </c>
      <c r="N70" s="94" t="s">
        <v>964</v>
      </c>
      <c r="O70" s="94" t="s">
        <v>964</v>
      </c>
      <c r="P70" s="94" t="s">
        <v>965</v>
      </c>
      <c r="Q70" s="97" t="e">
        <f>Tabela13[[#This Row],[Tempo Máximo Atendimento]]+"00:20:00"</f>
        <v>#REF!</v>
      </c>
      <c r="R70" s="94"/>
      <c r="S70" s="94" t="s">
        <v>967</v>
      </c>
      <c r="T70" s="98" t="e">
        <f>Tabela13[[#This Row],[Tempo Máximo Resolução]]-Tabela13[[#This Row],[Tempo Máximo Resolução3]]</f>
        <v>#REF!</v>
      </c>
      <c r="U70" s="98" t="e">
        <f>Tabela13[[#This Row],[Tempo Máximo Total Resolução]]-Tabela13[[#This Row],[Tempo Máximo Escalada Funcional]]</f>
        <v>#REF!</v>
      </c>
      <c r="V70" s="94"/>
      <c r="W70" s="94" t="s">
        <v>968</v>
      </c>
      <c r="X70" s="99">
        <v>0.33333333333333331</v>
      </c>
      <c r="Y70" s="100" t="s">
        <v>969</v>
      </c>
      <c r="Z70" s="94" t="s">
        <v>980</v>
      </c>
      <c r="AA70" s="94"/>
      <c r="AB70" s="94"/>
      <c r="AC70" s="94" t="s">
        <v>970</v>
      </c>
      <c r="AD70" s="101" t="s">
        <v>971</v>
      </c>
    </row>
    <row r="71" spans="1:30" s="104" customFormat="1" ht="12" hidden="1">
      <c r="A71" s="94" t="s">
        <v>1046</v>
      </c>
      <c r="B71" s="94" t="s">
        <v>14</v>
      </c>
      <c r="C71" s="94" t="s">
        <v>976</v>
      </c>
      <c r="D71" s="105" t="s">
        <v>1057</v>
      </c>
      <c r="E71" s="95"/>
      <c r="F71" s="94" t="s">
        <v>963</v>
      </c>
      <c r="G71" s="94" t="s">
        <v>960</v>
      </c>
      <c r="H71" s="94" t="s">
        <v>961</v>
      </c>
      <c r="I71" s="94"/>
      <c r="J71" s="94">
        <v>4</v>
      </c>
      <c r="K71" s="96" t="e">
        <f>VLOOKUP(Tabela13[[#This Row],[Prioridade]],[5]!TabelaPrioridade[#Data],2,FALSE)</f>
        <v>#REF!</v>
      </c>
      <c r="L71" s="96" t="e">
        <f>VLOOKUP(Tabela13[[#This Row],[Prioridade]],[5]!TabelaPrioridade[#Data],3,FALSE)</f>
        <v>#REF!</v>
      </c>
      <c r="M71" s="94" t="s">
        <v>963</v>
      </c>
      <c r="N71" s="94" t="s">
        <v>964</v>
      </c>
      <c r="O71" s="94" t="s">
        <v>964</v>
      </c>
      <c r="P71" s="94" t="s">
        <v>965</v>
      </c>
      <c r="Q71" s="97" t="e">
        <f>Tabela13[[#This Row],[Tempo Máximo Atendimento]]+"00:20:00"</f>
        <v>#REF!</v>
      </c>
      <c r="R71" s="94"/>
      <c r="S71" s="94" t="s">
        <v>975</v>
      </c>
      <c r="T71" s="94" t="s">
        <v>964</v>
      </c>
      <c r="U71" s="94" t="s">
        <v>964</v>
      </c>
      <c r="V71" s="94"/>
      <c r="W71" s="94" t="s">
        <v>980</v>
      </c>
      <c r="X71" s="94" t="s">
        <v>964</v>
      </c>
      <c r="Y71" s="95" t="s">
        <v>964</v>
      </c>
      <c r="Z71" s="94" t="s">
        <v>964</v>
      </c>
      <c r="AA71" s="94" t="s">
        <v>964</v>
      </c>
      <c r="AB71" s="94" t="s">
        <v>964</v>
      </c>
      <c r="AC71" s="94" t="s">
        <v>970</v>
      </c>
      <c r="AD71" s="101" t="s">
        <v>971</v>
      </c>
    </row>
    <row r="72" spans="1:30" s="104" customFormat="1" ht="12" hidden="1">
      <c r="A72" s="94" t="s">
        <v>1046</v>
      </c>
      <c r="B72" s="94" t="s">
        <v>14</v>
      </c>
      <c r="C72" s="94" t="s">
        <v>976</v>
      </c>
      <c r="D72" s="105" t="s">
        <v>1058</v>
      </c>
      <c r="E72" s="95"/>
      <c r="F72" s="94" t="s">
        <v>963</v>
      </c>
      <c r="G72" s="94" t="s">
        <v>960</v>
      </c>
      <c r="H72" s="94" t="s">
        <v>961</v>
      </c>
      <c r="I72" s="94"/>
      <c r="J72" s="94">
        <v>4</v>
      </c>
      <c r="K72" s="96" t="e">
        <f>VLOOKUP(Tabela13[[#This Row],[Prioridade]],[5]!TabelaPrioridade[#Data],2,FALSE)</f>
        <v>#REF!</v>
      </c>
      <c r="L72" s="96" t="e">
        <f>VLOOKUP(Tabela13[[#This Row],[Prioridade]],[5]!TabelaPrioridade[#Data],3,FALSE)</f>
        <v>#REF!</v>
      </c>
      <c r="M72" s="94" t="s">
        <v>963</v>
      </c>
      <c r="N72" s="94" t="s">
        <v>964</v>
      </c>
      <c r="O72" s="94" t="s">
        <v>964</v>
      </c>
      <c r="P72" s="94" t="s">
        <v>965</v>
      </c>
      <c r="Q72" s="97" t="e">
        <f>Tabela13[[#This Row],[Tempo Máximo Atendimento]]+"00:20:00"</f>
        <v>#REF!</v>
      </c>
      <c r="R72" s="94"/>
      <c r="S72" s="94" t="s">
        <v>975</v>
      </c>
      <c r="T72" s="94" t="s">
        <v>964</v>
      </c>
      <c r="U72" s="94" t="s">
        <v>964</v>
      </c>
      <c r="V72" s="94"/>
      <c r="W72" s="94" t="s">
        <v>980</v>
      </c>
      <c r="X72" s="94" t="s">
        <v>964</v>
      </c>
      <c r="Y72" s="95" t="s">
        <v>964</v>
      </c>
      <c r="Z72" s="94" t="s">
        <v>964</v>
      </c>
      <c r="AA72" s="94" t="s">
        <v>964</v>
      </c>
      <c r="AB72" s="94" t="s">
        <v>964</v>
      </c>
      <c r="AC72" s="94" t="s">
        <v>970</v>
      </c>
      <c r="AD72" s="101" t="s">
        <v>971</v>
      </c>
    </row>
    <row r="73" spans="1:30" s="104" customFormat="1" ht="12" hidden="1">
      <c r="A73" s="94" t="s">
        <v>1046</v>
      </c>
      <c r="B73" s="94" t="s">
        <v>14</v>
      </c>
      <c r="C73" s="94" t="s">
        <v>976</v>
      </c>
      <c r="D73" s="103" t="s">
        <v>1055</v>
      </c>
      <c r="E73" s="95"/>
      <c r="F73" s="94" t="s">
        <v>963</v>
      </c>
      <c r="G73" s="94" t="s">
        <v>960</v>
      </c>
      <c r="H73" s="94" t="s">
        <v>961</v>
      </c>
      <c r="I73" s="94"/>
      <c r="J73" s="94">
        <v>4</v>
      </c>
      <c r="K73" s="96" t="e">
        <f>VLOOKUP(Tabela13[[#This Row],[Prioridade]],[5]!TabelaPrioridade[#Data],2,FALSE)</f>
        <v>#REF!</v>
      </c>
      <c r="L73" s="96" t="e">
        <f>VLOOKUP(Tabela13[[#This Row],[Prioridade]],[5]!TabelaPrioridade[#Data],3,FALSE)</f>
        <v>#REF!</v>
      </c>
      <c r="M73" s="94" t="s">
        <v>963</v>
      </c>
      <c r="N73" s="94" t="s">
        <v>964</v>
      </c>
      <c r="O73" s="94" t="s">
        <v>964</v>
      </c>
      <c r="P73" s="94" t="s">
        <v>965</v>
      </c>
      <c r="Q73" s="97" t="e">
        <f>Tabela13[[#This Row],[Tempo Máximo Atendimento]]+"00:20:00"</f>
        <v>#REF!</v>
      </c>
      <c r="R73" s="94"/>
      <c r="S73" s="94" t="s">
        <v>980</v>
      </c>
      <c r="T73" s="97" t="s">
        <v>964</v>
      </c>
      <c r="U73" s="97" t="s">
        <v>964</v>
      </c>
      <c r="V73" s="94"/>
      <c r="W73" s="94" t="s">
        <v>964</v>
      </c>
      <c r="X73" s="94" t="s">
        <v>964</v>
      </c>
      <c r="Y73" s="95" t="s">
        <v>964</v>
      </c>
      <c r="Z73" s="94" t="s">
        <v>964</v>
      </c>
      <c r="AA73" s="94" t="s">
        <v>964</v>
      </c>
      <c r="AB73" s="94" t="s">
        <v>964</v>
      </c>
      <c r="AC73" s="94" t="s">
        <v>970</v>
      </c>
      <c r="AD73" s="101" t="s">
        <v>971</v>
      </c>
    </row>
    <row r="74" spans="1:30" s="104" customFormat="1" ht="12" hidden="1">
      <c r="A74" s="94" t="s">
        <v>1046</v>
      </c>
      <c r="B74" s="94" t="s">
        <v>956</v>
      </c>
      <c r="C74" s="94" t="s">
        <v>976</v>
      </c>
      <c r="D74" s="105" t="s">
        <v>1059</v>
      </c>
      <c r="E74" s="95"/>
      <c r="F74" s="94" t="s">
        <v>963</v>
      </c>
      <c r="G74" s="94" t="s">
        <v>960</v>
      </c>
      <c r="H74" s="94" t="s">
        <v>961</v>
      </c>
      <c r="I74" s="94" t="s">
        <v>288</v>
      </c>
      <c r="J74" s="94">
        <v>4</v>
      </c>
      <c r="K74" s="96" t="e">
        <f>VLOOKUP(Tabela13[[#This Row],[Prioridade]],[5]!TabelaPrioridade[#Data],2,FALSE)</f>
        <v>#REF!</v>
      </c>
      <c r="L74" s="96" t="e">
        <f>VLOOKUP(Tabela13[[#This Row],[Prioridade]],[5]!TabelaPrioridade[#Data],3,FALSE)</f>
        <v>#REF!</v>
      </c>
      <c r="M74" s="94" t="s">
        <v>963</v>
      </c>
      <c r="N74" s="94" t="s">
        <v>964</v>
      </c>
      <c r="O74" s="94" t="s">
        <v>964</v>
      </c>
      <c r="P74" s="94" t="s">
        <v>965</v>
      </c>
      <c r="Q74" s="97" t="e">
        <f>Tabela13[[#This Row],[Tempo Máximo Atendimento]]+"00:20:00"</f>
        <v>#REF!</v>
      </c>
      <c r="R74" s="94"/>
      <c r="S74" s="94" t="s">
        <v>980</v>
      </c>
      <c r="T74" s="97" t="s">
        <v>964</v>
      </c>
      <c r="U74" s="97" t="s">
        <v>964</v>
      </c>
      <c r="V74" s="94"/>
      <c r="W74" s="94" t="s">
        <v>964</v>
      </c>
      <c r="X74" s="94" t="s">
        <v>964</v>
      </c>
      <c r="Y74" s="95" t="s">
        <v>964</v>
      </c>
      <c r="Z74" s="94" t="s">
        <v>964</v>
      </c>
      <c r="AA74" s="94" t="s">
        <v>964</v>
      </c>
      <c r="AB74" s="94" t="s">
        <v>964</v>
      </c>
      <c r="AC74" s="94" t="s">
        <v>970</v>
      </c>
      <c r="AD74" s="101" t="s">
        <v>971</v>
      </c>
    </row>
    <row r="75" spans="1:30" s="104" customFormat="1" ht="12" hidden="1">
      <c r="A75" s="94" t="s">
        <v>1046</v>
      </c>
      <c r="B75" s="94" t="s">
        <v>14</v>
      </c>
      <c r="C75" s="94" t="s">
        <v>976</v>
      </c>
      <c r="D75" s="105" t="s">
        <v>1060</v>
      </c>
      <c r="E75" s="95"/>
      <c r="F75" s="94" t="s">
        <v>963</v>
      </c>
      <c r="G75" s="94" t="s">
        <v>960</v>
      </c>
      <c r="H75" s="94" t="s">
        <v>961</v>
      </c>
      <c r="I75" s="94"/>
      <c r="J75" s="94">
        <v>4</v>
      </c>
      <c r="K75" s="96" t="e">
        <f>VLOOKUP(Tabela13[[#This Row],[Prioridade]],[5]!TabelaPrioridade[#Data],2,FALSE)</f>
        <v>#REF!</v>
      </c>
      <c r="L75" s="96" t="e">
        <f>VLOOKUP(Tabela13[[#This Row],[Prioridade]],[5]!TabelaPrioridade[#Data],3,FALSE)</f>
        <v>#REF!</v>
      </c>
      <c r="M75" s="94" t="s">
        <v>963</v>
      </c>
      <c r="N75" s="94" t="s">
        <v>964</v>
      </c>
      <c r="O75" s="94" t="s">
        <v>964</v>
      </c>
      <c r="P75" s="94" t="s">
        <v>965</v>
      </c>
      <c r="Q75" s="97" t="e">
        <f>Tabela13[[#This Row],[Tempo Máximo Atendimento]]+"00:20:00"</f>
        <v>#REF!</v>
      </c>
      <c r="R75" s="94"/>
      <c r="S75" s="94" t="s">
        <v>980</v>
      </c>
      <c r="T75" s="97" t="s">
        <v>964</v>
      </c>
      <c r="U75" s="97" t="s">
        <v>964</v>
      </c>
      <c r="V75" s="94"/>
      <c r="W75" s="94" t="s">
        <v>964</v>
      </c>
      <c r="X75" s="94" t="s">
        <v>964</v>
      </c>
      <c r="Y75" s="95" t="s">
        <v>964</v>
      </c>
      <c r="Z75" s="94" t="s">
        <v>964</v>
      </c>
      <c r="AA75" s="94" t="s">
        <v>964</v>
      </c>
      <c r="AB75" s="94" t="s">
        <v>964</v>
      </c>
      <c r="AC75" s="94" t="s">
        <v>970</v>
      </c>
      <c r="AD75" s="101" t="s">
        <v>971</v>
      </c>
    </row>
    <row r="76" spans="1:30" s="104" customFormat="1" ht="12" hidden="1">
      <c r="A76" s="94" t="s">
        <v>1046</v>
      </c>
      <c r="B76" s="94" t="s">
        <v>14</v>
      </c>
      <c r="C76" s="94" t="s">
        <v>976</v>
      </c>
      <c r="D76" s="105" t="s">
        <v>1061</v>
      </c>
      <c r="E76" s="95"/>
      <c r="F76" s="94" t="s">
        <v>963</v>
      </c>
      <c r="G76" s="94" t="s">
        <v>960</v>
      </c>
      <c r="H76" s="94" t="s">
        <v>961</v>
      </c>
      <c r="I76" s="94"/>
      <c r="J76" s="94">
        <v>4</v>
      </c>
      <c r="K76" s="96" t="e">
        <f>VLOOKUP(Tabela13[[#This Row],[Prioridade]],[5]!TabelaPrioridade[#Data],2,FALSE)</f>
        <v>#REF!</v>
      </c>
      <c r="L76" s="96" t="e">
        <f>VLOOKUP(Tabela13[[#This Row],[Prioridade]],[5]!TabelaPrioridade[#Data],3,FALSE)</f>
        <v>#REF!</v>
      </c>
      <c r="M76" s="94" t="s">
        <v>963</v>
      </c>
      <c r="N76" s="94" t="s">
        <v>964</v>
      </c>
      <c r="O76" s="94" t="s">
        <v>964</v>
      </c>
      <c r="P76" s="94" t="s">
        <v>965</v>
      </c>
      <c r="Q76" s="97" t="e">
        <f>Tabela13[[#This Row],[Tempo Máximo Atendimento]]+"00:20:00"</f>
        <v>#REF!</v>
      </c>
      <c r="R76" s="94"/>
      <c r="S76" s="108" t="s">
        <v>1049</v>
      </c>
      <c r="T76" s="94" t="s">
        <v>964</v>
      </c>
      <c r="U76" s="97" t="e">
        <f>Tabela13[[#This Row],[Tempo Máximo Total Resolução]]-Tabela13[[#This Row],[Tempo Máximo Escalada Funcional]]</f>
        <v>#REF!</v>
      </c>
      <c r="V76" s="94"/>
      <c r="W76" s="94" t="s">
        <v>980</v>
      </c>
      <c r="X76" s="97" t="e">
        <f>Tabela13[[#This Row],[Tempo Máximo Total Resolução]]-Tabela13[[#This Row],[Tempo Máximo Escalada Funcional]]</f>
        <v>#REF!</v>
      </c>
      <c r="Y76" s="95" t="s">
        <v>964</v>
      </c>
      <c r="Z76" s="94" t="s">
        <v>964</v>
      </c>
      <c r="AA76" s="94"/>
      <c r="AB76" s="94"/>
      <c r="AC76" s="94" t="s">
        <v>970</v>
      </c>
      <c r="AD76" s="101" t="s">
        <v>971</v>
      </c>
    </row>
    <row r="77" spans="1:30" s="104" customFormat="1" ht="12" hidden="1">
      <c r="A77" s="94" t="s">
        <v>1046</v>
      </c>
      <c r="B77" s="94" t="s">
        <v>14</v>
      </c>
      <c r="C77" s="94" t="s">
        <v>976</v>
      </c>
      <c r="D77" s="105" t="s">
        <v>1062</v>
      </c>
      <c r="E77" s="95"/>
      <c r="F77" s="94" t="s">
        <v>963</v>
      </c>
      <c r="G77" s="94" t="s">
        <v>960</v>
      </c>
      <c r="H77" s="94" t="s">
        <v>961</v>
      </c>
      <c r="I77" s="94"/>
      <c r="J77" s="94">
        <v>4</v>
      </c>
      <c r="K77" s="96" t="e">
        <f>VLOOKUP(Tabela13[[#This Row],[Prioridade]],[5]!TabelaPrioridade[#Data],2,FALSE)</f>
        <v>#REF!</v>
      </c>
      <c r="L77" s="96" t="e">
        <f>VLOOKUP(Tabela13[[#This Row],[Prioridade]],[5]!TabelaPrioridade[#Data],3,FALSE)</f>
        <v>#REF!</v>
      </c>
      <c r="M77" s="94" t="s">
        <v>963</v>
      </c>
      <c r="N77" s="94" t="s">
        <v>964</v>
      </c>
      <c r="O77" s="94" t="s">
        <v>964</v>
      </c>
      <c r="P77" s="94" t="s">
        <v>965</v>
      </c>
      <c r="Q77" s="97" t="e">
        <f>Tabela13[[#This Row],[Tempo Máximo Atendimento]]+"00:20:00"</f>
        <v>#REF!</v>
      </c>
      <c r="R77" s="94"/>
      <c r="S77" s="94" t="s">
        <v>967</v>
      </c>
      <c r="T77" s="97" t="s">
        <v>964</v>
      </c>
      <c r="U77" s="97" t="s">
        <v>964</v>
      </c>
      <c r="V77" s="94"/>
      <c r="W77" s="94" t="s">
        <v>964</v>
      </c>
      <c r="X77" s="94" t="s">
        <v>964</v>
      </c>
      <c r="Y77" s="95" t="s">
        <v>964</v>
      </c>
      <c r="Z77" s="94" t="s">
        <v>964</v>
      </c>
      <c r="AA77" s="94" t="s">
        <v>964</v>
      </c>
      <c r="AB77" s="94" t="s">
        <v>964</v>
      </c>
      <c r="AC77" s="94" t="s">
        <v>970</v>
      </c>
      <c r="AD77" s="101" t="s">
        <v>971</v>
      </c>
    </row>
    <row r="78" spans="1:30" ht="15" hidden="1">
      <c r="A78" s="94" t="s">
        <v>1046</v>
      </c>
      <c r="B78" s="94" t="s">
        <v>14</v>
      </c>
      <c r="C78" s="94" t="s">
        <v>976</v>
      </c>
      <c r="D78" s="105" t="s">
        <v>1063</v>
      </c>
      <c r="E78" s="95"/>
      <c r="F78" s="94" t="s">
        <v>963</v>
      </c>
      <c r="G78" s="94" t="s">
        <v>960</v>
      </c>
      <c r="H78" s="94" t="s">
        <v>961</v>
      </c>
      <c r="I78" s="94"/>
      <c r="J78" s="94">
        <v>4</v>
      </c>
      <c r="K78" s="96" t="e">
        <f>VLOOKUP(Tabela13[[#This Row],[Prioridade]],[5]!TabelaPrioridade[#Data],2,FALSE)</f>
        <v>#REF!</v>
      </c>
      <c r="L78" s="96" t="e">
        <f>VLOOKUP(Tabela13[[#This Row],[Prioridade]],[5]!TabelaPrioridade[#Data],3,FALSE)</f>
        <v>#REF!</v>
      </c>
      <c r="M78" s="94" t="s">
        <v>963</v>
      </c>
      <c r="N78" s="94" t="s">
        <v>964</v>
      </c>
      <c r="O78" s="94" t="s">
        <v>964</v>
      </c>
      <c r="P78" s="94" t="s">
        <v>965</v>
      </c>
      <c r="Q78" s="97" t="e">
        <f>Tabela13[[#This Row],[Tempo Máximo Atendimento]]+"00:20:00"</f>
        <v>#REF!</v>
      </c>
      <c r="R78" s="94"/>
      <c r="S78" s="94" t="s">
        <v>980</v>
      </c>
      <c r="T78" s="97" t="s">
        <v>964</v>
      </c>
      <c r="U78" s="97" t="s">
        <v>964</v>
      </c>
      <c r="V78" s="94"/>
      <c r="W78" s="94" t="s">
        <v>964</v>
      </c>
      <c r="X78" s="94" t="s">
        <v>964</v>
      </c>
      <c r="Y78" s="95" t="s">
        <v>964</v>
      </c>
      <c r="Z78" s="94" t="s">
        <v>964</v>
      </c>
      <c r="AA78" s="94" t="s">
        <v>964</v>
      </c>
      <c r="AB78" s="94" t="s">
        <v>964</v>
      </c>
      <c r="AC78" s="94" t="s">
        <v>970</v>
      </c>
      <c r="AD78" s="101" t="s">
        <v>971</v>
      </c>
    </row>
    <row r="79" spans="1:30" ht="15" hidden="1">
      <c r="A79" s="94" t="s">
        <v>1046</v>
      </c>
      <c r="B79" s="94" t="s">
        <v>14</v>
      </c>
      <c r="C79" s="94" t="s">
        <v>976</v>
      </c>
      <c r="D79" s="105" t="s">
        <v>1064</v>
      </c>
      <c r="E79" s="95"/>
      <c r="F79" s="94" t="s">
        <v>963</v>
      </c>
      <c r="G79" s="94" t="s">
        <v>960</v>
      </c>
      <c r="H79" s="94" t="s">
        <v>961</v>
      </c>
      <c r="I79" s="94"/>
      <c r="J79" s="94">
        <v>4</v>
      </c>
      <c r="K79" s="96" t="e">
        <f>VLOOKUP(Tabela13[[#This Row],[Prioridade]],[5]!TabelaPrioridade[#Data],2,FALSE)</f>
        <v>#REF!</v>
      </c>
      <c r="L79" s="96" t="e">
        <f>VLOOKUP(Tabela13[[#This Row],[Prioridade]],[5]!TabelaPrioridade[#Data],3,FALSE)</f>
        <v>#REF!</v>
      </c>
      <c r="M79" s="94" t="s">
        <v>963</v>
      </c>
      <c r="N79" s="94" t="s">
        <v>964</v>
      </c>
      <c r="O79" s="94" t="s">
        <v>964</v>
      </c>
      <c r="P79" s="94" t="s">
        <v>965</v>
      </c>
      <c r="Q79" s="97" t="e">
        <f>Tabela13[[#This Row],[Tempo Máximo Atendimento]]+"00:20:00"</f>
        <v>#REF!</v>
      </c>
      <c r="R79" s="94"/>
      <c r="S79" s="108" t="s">
        <v>1065</v>
      </c>
      <c r="T79" s="94" t="s">
        <v>964</v>
      </c>
      <c r="U79" s="97" t="e">
        <f>Tabela13[[#This Row],[Tempo Máximo Total Resolução]]-Tabela13[[#This Row],[Tempo Máximo Escalada Funcional]]</f>
        <v>#REF!</v>
      </c>
      <c r="V79" s="94"/>
      <c r="W79" s="94" t="s">
        <v>980</v>
      </c>
      <c r="X79" s="97" t="e">
        <f>Tabela13[[#This Row],[Tempo Máximo Total Resolução]]-Tabela13[[#This Row],[Tempo Máximo Escalada Funcional]]</f>
        <v>#REF!</v>
      </c>
      <c r="Y79" s="95" t="s">
        <v>964</v>
      </c>
      <c r="Z79" s="94" t="s">
        <v>964</v>
      </c>
      <c r="AA79" s="94"/>
      <c r="AB79" s="94"/>
      <c r="AC79" s="94" t="s">
        <v>970</v>
      </c>
      <c r="AD79" s="101" t="s">
        <v>971</v>
      </c>
    </row>
    <row r="80" spans="1:30" ht="15" hidden="1">
      <c r="A80" s="94" t="s">
        <v>1046</v>
      </c>
      <c r="B80" s="94" t="s">
        <v>14</v>
      </c>
      <c r="C80" s="94" t="s">
        <v>976</v>
      </c>
      <c r="D80" s="105" t="s">
        <v>1066</v>
      </c>
      <c r="E80" s="95"/>
      <c r="F80" s="94" t="s">
        <v>963</v>
      </c>
      <c r="G80" s="94" t="s">
        <v>960</v>
      </c>
      <c r="H80" s="94" t="s">
        <v>961</v>
      </c>
      <c r="I80" s="94"/>
      <c r="J80" s="94">
        <v>4</v>
      </c>
      <c r="K80" s="96" t="e">
        <f>VLOOKUP(Tabela13[[#This Row],[Prioridade]],[5]!TabelaPrioridade[#Data],2,FALSE)</f>
        <v>#REF!</v>
      </c>
      <c r="L80" s="96" t="e">
        <f>VLOOKUP(Tabela13[[#This Row],[Prioridade]],[5]!TabelaPrioridade[#Data],3,FALSE)</f>
        <v>#REF!</v>
      </c>
      <c r="M80" s="94" t="s">
        <v>963</v>
      </c>
      <c r="N80" s="94" t="s">
        <v>964</v>
      </c>
      <c r="O80" s="94" t="s">
        <v>964</v>
      </c>
      <c r="P80" s="94" t="s">
        <v>965</v>
      </c>
      <c r="Q80" s="97" t="e">
        <f>Tabela13[[#This Row],[Tempo Máximo Atendimento]]+"00:20:00"</f>
        <v>#REF!</v>
      </c>
      <c r="R80" s="94"/>
      <c r="S80" s="94" t="s">
        <v>980</v>
      </c>
      <c r="T80" s="97" t="s">
        <v>964</v>
      </c>
      <c r="U80" s="97" t="s">
        <v>964</v>
      </c>
      <c r="V80" s="94"/>
      <c r="W80" s="94" t="s">
        <v>964</v>
      </c>
      <c r="X80" s="94" t="s">
        <v>964</v>
      </c>
      <c r="Y80" s="95" t="s">
        <v>964</v>
      </c>
      <c r="Z80" s="94" t="s">
        <v>964</v>
      </c>
      <c r="AA80" s="94" t="s">
        <v>964</v>
      </c>
      <c r="AB80" s="94" t="s">
        <v>964</v>
      </c>
      <c r="AC80" s="94" t="s">
        <v>970</v>
      </c>
      <c r="AD80" s="101" t="s">
        <v>971</v>
      </c>
    </row>
    <row r="81" spans="1:30" ht="15" hidden="1">
      <c r="A81" s="94" t="s">
        <v>1046</v>
      </c>
      <c r="B81" s="94" t="s">
        <v>14</v>
      </c>
      <c r="C81" s="94" t="s">
        <v>976</v>
      </c>
      <c r="D81" s="105" t="s">
        <v>1067</v>
      </c>
      <c r="E81" s="95"/>
      <c r="F81" s="94" t="s">
        <v>963</v>
      </c>
      <c r="G81" s="94" t="s">
        <v>960</v>
      </c>
      <c r="H81" s="94" t="s">
        <v>961</v>
      </c>
      <c r="I81" s="94"/>
      <c r="J81" s="94">
        <v>4</v>
      </c>
      <c r="K81" s="96" t="e">
        <f>VLOOKUP(Tabela13[[#This Row],[Prioridade]],[5]!TabelaPrioridade[#Data],2,FALSE)</f>
        <v>#REF!</v>
      </c>
      <c r="L81" s="96" t="e">
        <f>VLOOKUP(Tabela13[[#This Row],[Prioridade]],[5]!TabelaPrioridade[#Data],3,FALSE)</f>
        <v>#REF!</v>
      </c>
      <c r="M81" s="94" t="s">
        <v>963</v>
      </c>
      <c r="N81" s="94" t="s">
        <v>964</v>
      </c>
      <c r="O81" s="94" t="s">
        <v>964</v>
      </c>
      <c r="P81" s="94" t="s">
        <v>965</v>
      </c>
      <c r="Q81" s="97" t="e">
        <f>Tabela13[[#This Row],[Tempo Máximo Atendimento]]+"00:20:00"</f>
        <v>#REF!</v>
      </c>
      <c r="R81" s="94"/>
      <c r="S81" s="94" t="s">
        <v>980</v>
      </c>
      <c r="T81" s="97" t="s">
        <v>964</v>
      </c>
      <c r="U81" s="97" t="s">
        <v>964</v>
      </c>
      <c r="V81" s="94"/>
      <c r="W81" s="94" t="s">
        <v>964</v>
      </c>
      <c r="X81" s="94" t="s">
        <v>964</v>
      </c>
      <c r="Y81" s="95" t="s">
        <v>964</v>
      </c>
      <c r="Z81" s="94" t="s">
        <v>964</v>
      </c>
      <c r="AA81" s="94" t="s">
        <v>964</v>
      </c>
      <c r="AB81" s="94" t="s">
        <v>964</v>
      </c>
      <c r="AC81" s="94" t="s">
        <v>970</v>
      </c>
      <c r="AD81" s="101" t="s">
        <v>971</v>
      </c>
    </row>
    <row r="82" spans="1:30" ht="24" hidden="1">
      <c r="A82" s="94" t="s">
        <v>1046</v>
      </c>
      <c r="B82" s="94" t="s">
        <v>14</v>
      </c>
      <c r="C82" s="94" t="s">
        <v>976</v>
      </c>
      <c r="D82" s="105" t="s">
        <v>1068</v>
      </c>
      <c r="E82" s="95"/>
      <c r="F82" s="94" t="s">
        <v>963</v>
      </c>
      <c r="G82" s="94" t="s">
        <v>960</v>
      </c>
      <c r="H82" s="94" t="s">
        <v>961</v>
      </c>
      <c r="I82" s="94"/>
      <c r="J82" s="94">
        <v>4</v>
      </c>
      <c r="K82" s="96" t="e">
        <f>VLOOKUP(Tabela13[[#This Row],[Prioridade]],[5]!TabelaPrioridade[#Data],2,FALSE)</f>
        <v>#REF!</v>
      </c>
      <c r="L82" s="96" t="e">
        <f>VLOOKUP(Tabela13[[#This Row],[Prioridade]],[5]!TabelaPrioridade[#Data],3,FALSE)</f>
        <v>#REF!</v>
      </c>
      <c r="M82" s="94" t="s">
        <v>963</v>
      </c>
      <c r="N82" s="94" t="s">
        <v>964</v>
      </c>
      <c r="O82" s="94" t="s">
        <v>964</v>
      </c>
      <c r="P82" s="94" t="s">
        <v>965</v>
      </c>
      <c r="Q82" s="97" t="e">
        <f>Tabela13[[#This Row],[Tempo Máximo Atendimento]]+"00:20:00"</f>
        <v>#REF!</v>
      </c>
      <c r="R82" s="94"/>
      <c r="S82" s="108" t="s">
        <v>1069</v>
      </c>
      <c r="T82" s="94" t="s">
        <v>964</v>
      </c>
      <c r="U82" s="97" t="e">
        <f>Tabela13[[#This Row],[Tempo Máximo Total Resolução]]-Tabela13[[#This Row],[Tempo Máximo Escalada Funcional]]</f>
        <v>#REF!</v>
      </c>
      <c r="V82" s="94"/>
      <c r="W82" s="94" t="s">
        <v>980</v>
      </c>
      <c r="X82" s="97" t="e">
        <f>Tabela13[[#This Row],[Tempo Máximo Total Resolução]]-Tabela13[[#This Row],[Tempo Máximo Escalada Funcional]]</f>
        <v>#REF!</v>
      </c>
      <c r="Y82" s="95" t="s">
        <v>964</v>
      </c>
      <c r="Z82" s="94" t="s">
        <v>964</v>
      </c>
      <c r="AA82" s="94"/>
      <c r="AB82" s="94"/>
      <c r="AC82" s="94" t="s">
        <v>970</v>
      </c>
      <c r="AD82" s="101" t="s">
        <v>971</v>
      </c>
    </row>
    <row r="83" spans="1:30" ht="15" hidden="1">
      <c r="A83" s="94" t="s">
        <v>1046</v>
      </c>
      <c r="B83" s="94" t="s">
        <v>14</v>
      </c>
      <c r="C83" s="94" t="s">
        <v>976</v>
      </c>
      <c r="D83" s="103" t="s">
        <v>1054</v>
      </c>
      <c r="E83" s="95"/>
      <c r="F83" s="94" t="s">
        <v>963</v>
      </c>
      <c r="G83" s="94" t="s">
        <v>960</v>
      </c>
      <c r="H83" s="94" t="s">
        <v>961</v>
      </c>
      <c r="I83" s="94"/>
      <c r="J83" s="94">
        <v>4</v>
      </c>
      <c r="K83" s="96" t="e">
        <f>VLOOKUP(Tabela13[[#This Row],[Prioridade]],[5]!TabelaPrioridade[#Data],2,FALSE)</f>
        <v>#REF!</v>
      </c>
      <c r="L83" s="96" t="e">
        <f>VLOOKUP(Tabela13[[#This Row],[Prioridade]],[5]!TabelaPrioridade[#Data],3,FALSE)</f>
        <v>#REF!</v>
      </c>
      <c r="M83" s="94" t="s">
        <v>963</v>
      </c>
      <c r="N83" s="94" t="s">
        <v>964</v>
      </c>
      <c r="O83" s="94" t="s">
        <v>964</v>
      </c>
      <c r="P83" s="94" t="s">
        <v>965</v>
      </c>
      <c r="Q83" s="97" t="e">
        <f>Tabela13[[#This Row],[Tempo Máximo Atendimento]]+"00:20:00"</f>
        <v>#REF!</v>
      </c>
      <c r="R83" s="94"/>
      <c r="S83" s="94" t="s">
        <v>980</v>
      </c>
      <c r="T83" s="97" t="s">
        <v>964</v>
      </c>
      <c r="U83" s="97" t="s">
        <v>964</v>
      </c>
      <c r="V83" s="94"/>
      <c r="W83" s="94" t="s">
        <v>964</v>
      </c>
      <c r="X83" s="94" t="s">
        <v>964</v>
      </c>
      <c r="Y83" s="95" t="s">
        <v>964</v>
      </c>
      <c r="Z83" s="94" t="s">
        <v>964</v>
      </c>
      <c r="AA83" s="94" t="s">
        <v>964</v>
      </c>
      <c r="AB83" s="94" t="s">
        <v>964</v>
      </c>
      <c r="AC83" s="94" t="s">
        <v>970</v>
      </c>
      <c r="AD83" s="101" t="s">
        <v>971</v>
      </c>
    </row>
    <row r="84" spans="1:30" ht="15" hidden="1">
      <c r="A84" s="94" t="s">
        <v>1046</v>
      </c>
      <c r="B84" s="94" t="s">
        <v>14</v>
      </c>
      <c r="C84" s="94" t="s">
        <v>976</v>
      </c>
      <c r="D84" s="105" t="s">
        <v>1070</v>
      </c>
      <c r="E84" s="95"/>
      <c r="F84" s="94" t="s">
        <v>963</v>
      </c>
      <c r="G84" s="94" t="s">
        <v>960</v>
      </c>
      <c r="H84" s="94" t="s">
        <v>961</v>
      </c>
      <c r="I84" s="94"/>
      <c r="J84" s="94">
        <v>4</v>
      </c>
      <c r="K84" s="96" t="e">
        <f>VLOOKUP(Tabela13[[#This Row],[Prioridade]],[5]!TabelaPrioridade[#Data],2,FALSE)</f>
        <v>#REF!</v>
      </c>
      <c r="L84" s="96" t="e">
        <f>VLOOKUP(Tabela13[[#This Row],[Prioridade]],[5]!TabelaPrioridade[#Data],3,FALSE)</f>
        <v>#REF!</v>
      </c>
      <c r="M84" s="94" t="s">
        <v>963</v>
      </c>
      <c r="N84" s="94" t="s">
        <v>964</v>
      </c>
      <c r="O84" s="94" t="s">
        <v>964</v>
      </c>
      <c r="P84" s="94" t="s">
        <v>965</v>
      </c>
      <c r="Q84" s="97" t="e">
        <f>Tabela13[[#This Row],[Tempo Máximo Atendimento]]+"00:20:00"</f>
        <v>#REF!</v>
      </c>
      <c r="R84" s="94"/>
      <c r="S84" s="94" t="s">
        <v>967</v>
      </c>
      <c r="T84" s="94" t="s">
        <v>964</v>
      </c>
      <c r="U84" s="94" t="s">
        <v>964</v>
      </c>
      <c r="V84" s="94"/>
      <c r="W84" s="94" t="s">
        <v>980</v>
      </c>
      <c r="X84" s="94" t="s">
        <v>964</v>
      </c>
      <c r="Y84" s="95" t="s">
        <v>964</v>
      </c>
      <c r="Z84" s="94" t="s">
        <v>964</v>
      </c>
      <c r="AA84" s="94" t="s">
        <v>964</v>
      </c>
      <c r="AB84" s="94" t="s">
        <v>964</v>
      </c>
      <c r="AC84" s="94" t="s">
        <v>970</v>
      </c>
      <c r="AD84" s="101" t="s">
        <v>971</v>
      </c>
    </row>
    <row r="85" spans="1:30" s="102" customFormat="1" ht="12" hidden="1">
      <c r="A85" s="94" t="s">
        <v>1046</v>
      </c>
      <c r="B85" s="94" t="s">
        <v>14</v>
      </c>
      <c r="C85" s="94" t="s">
        <v>976</v>
      </c>
      <c r="D85" s="105" t="s">
        <v>1071</v>
      </c>
      <c r="E85" s="95"/>
      <c r="F85" s="94" t="s">
        <v>963</v>
      </c>
      <c r="G85" s="94" t="s">
        <v>960</v>
      </c>
      <c r="H85" s="94" t="s">
        <v>961</v>
      </c>
      <c r="I85" s="94"/>
      <c r="J85" s="94">
        <v>4</v>
      </c>
      <c r="K85" s="96" t="e">
        <f>VLOOKUP(Tabela13[[#This Row],[Prioridade]],[5]!TabelaPrioridade[#Data],2,FALSE)</f>
        <v>#REF!</v>
      </c>
      <c r="L85" s="96" t="e">
        <f>VLOOKUP(Tabela13[[#This Row],[Prioridade]],[5]!TabelaPrioridade[#Data],3,FALSE)</f>
        <v>#REF!</v>
      </c>
      <c r="M85" s="94" t="s">
        <v>963</v>
      </c>
      <c r="N85" s="94" t="s">
        <v>964</v>
      </c>
      <c r="O85" s="94" t="s">
        <v>964</v>
      </c>
      <c r="P85" s="94" t="s">
        <v>965</v>
      </c>
      <c r="Q85" s="97" t="e">
        <f>Tabela13[[#This Row],[Tempo Máximo Atendimento]]+"00:20:00"</f>
        <v>#REF!</v>
      </c>
      <c r="R85" s="94"/>
      <c r="S85" s="94" t="s">
        <v>967</v>
      </c>
      <c r="T85" s="94" t="s">
        <v>964</v>
      </c>
      <c r="U85" s="94" t="s">
        <v>964</v>
      </c>
      <c r="V85" s="94"/>
      <c r="W85" s="94" t="s">
        <v>980</v>
      </c>
      <c r="X85" s="94" t="s">
        <v>964</v>
      </c>
      <c r="Y85" s="95" t="s">
        <v>964</v>
      </c>
      <c r="Z85" s="94" t="s">
        <v>964</v>
      </c>
      <c r="AA85" s="94" t="s">
        <v>964</v>
      </c>
      <c r="AB85" s="94" t="s">
        <v>964</v>
      </c>
      <c r="AC85" s="94" t="s">
        <v>970</v>
      </c>
      <c r="AD85" s="101" t="s">
        <v>971</v>
      </c>
    </row>
    <row r="86" spans="1:30" s="104" customFormat="1" ht="12" hidden="1">
      <c r="A86" s="94" t="s">
        <v>1046</v>
      </c>
      <c r="B86" s="94" t="s">
        <v>14</v>
      </c>
      <c r="C86" s="94" t="s">
        <v>976</v>
      </c>
      <c r="D86" s="105" t="s">
        <v>1072</v>
      </c>
      <c r="E86" s="95"/>
      <c r="F86" s="94" t="s">
        <v>963</v>
      </c>
      <c r="G86" s="94" t="s">
        <v>960</v>
      </c>
      <c r="H86" s="94" t="s">
        <v>961</v>
      </c>
      <c r="I86" s="94"/>
      <c r="J86" s="94">
        <v>4</v>
      </c>
      <c r="K86" s="96" t="e">
        <f>VLOOKUP(Tabela13[[#This Row],[Prioridade]],[5]!TabelaPrioridade[#Data],2,FALSE)</f>
        <v>#REF!</v>
      </c>
      <c r="L86" s="96" t="e">
        <f>VLOOKUP(Tabela13[[#This Row],[Prioridade]],[5]!TabelaPrioridade[#Data],3,FALSE)</f>
        <v>#REF!</v>
      </c>
      <c r="M86" s="94" t="s">
        <v>963</v>
      </c>
      <c r="N86" s="94" t="s">
        <v>964</v>
      </c>
      <c r="O86" s="94" t="s">
        <v>964</v>
      </c>
      <c r="P86" s="94" t="s">
        <v>965</v>
      </c>
      <c r="Q86" s="97" t="e">
        <f>Tabela13[[#This Row],[Tempo Máximo Atendimento]]+"00:20:00"</f>
        <v>#REF!</v>
      </c>
      <c r="R86" s="94"/>
      <c r="S86" s="94" t="s">
        <v>980</v>
      </c>
      <c r="T86" s="97" t="s">
        <v>964</v>
      </c>
      <c r="U86" s="97" t="s">
        <v>964</v>
      </c>
      <c r="V86" s="94"/>
      <c r="W86" s="94" t="s">
        <v>964</v>
      </c>
      <c r="X86" s="94" t="s">
        <v>964</v>
      </c>
      <c r="Y86" s="95" t="s">
        <v>964</v>
      </c>
      <c r="Z86" s="94" t="s">
        <v>964</v>
      </c>
      <c r="AA86" s="94" t="s">
        <v>964</v>
      </c>
      <c r="AB86" s="94" t="s">
        <v>964</v>
      </c>
      <c r="AC86" s="94" t="s">
        <v>970</v>
      </c>
      <c r="AD86" s="101" t="s">
        <v>971</v>
      </c>
    </row>
    <row r="87" spans="1:30" s="104" customFormat="1" ht="12" hidden="1">
      <c r="A87" s="94" t="s">
        <v>1046</v>
      </c>
      <c r="B87" s="94" t="s">
        <v>14</v>
      </c>
      <c r="C87" s="94" t="s">
        <v>976</v>
      </c>
      <c r="D87" s="103" t="s">
        <v>1052</v>
      </c>
      <c r="E87" s="95"/>
      <c r="F87" s="94" t="s">
        <v>963</v>
      </c>
      <c r="G87" s="94" t="s">
        <v>960</v>
      </c>
      <c r="H87" s="94" t="s">
        <v>961</v>
      </c>
      <c r="I87" s="94"/>
      <c r="J87" s="94">
        <v>4</v>
      </c>
      <c r="K87" s="96" t="e">
        <f>VLOOKUP(Tabela13[[#This Row],[Prioridade]],[5]!TabelaPrioridade[#Data],2,FALSE)</f>
        <v>#REF!</v>
      </c>
      <c r="L87" s="96" t="e">
        <f>VLOOKUP(Tabela13[[#This Row],[Prioridade]],[5]!TabelaPrioridade[#Data],3,FALSE)</f>
        <v>#REF!</v>
      </c>
      <c r="M87" s="94" t="s">
        <v>963</v>
      </c>
      <c r="N87" s="94" t="s">
        <v>964</v>
      </c>
      <c r="O87" s="94" t="s">
        <v>964</v>
      </c>
      <c r="P87" s="94" t="s">
        <v>965</v>
      </c>
      <c r="Q87" s="97" t="e">
        <f>Tabela13[[#This Row],[Tempo Máximo Atendimento]]+"00:20:00"</f>
        <v>#REF!</v>
      </c>
      <c r="R87" s="94"/>
      <c r="S87" s="94" t="s">
        <v>967</v>
      </c>
      <c r="T87" s="97" t="s">
        <v>964</v>
      </c>
      <c r="U87" s="97" t="s">
        <v>964</v>
      </c>
      <c r="V87" s="94"/>
      <c r="W87" s="94" t="s">
        <v>964</v>
      </c>
      <c r="X87" s="94" t="s">
        <v>964</v>
      </c>
      <c r="Y87" s="95" t="s">
        <v>964</v>
      </c>
      <c r="Z87" s="94" t="s">
        <v>964</v>
      </c>
      <c r="AA87" s="94" t="s">
        <v>964</v>
      </c>
      <c r="AB87" s="94" t="s">
        <v>964</v>
      </c>
      <c r="AC87" s="94" t="s">
        <v>970</v>
      </c>
      <c r="AD87" s="101" t="s">
        <v>971</v>
      </c>
    </row>
    <row r="88" spans="1:30" s="104" customFormat="1" ht="12" hidden="1">
      <c r="A88" s="94" t="s">
        <v>1046</v>
      </c>
      <c r="B88" s="94" t="s">
        <v>14</v>
      </c>
      <c r="C88" s="94" t="s">
        <v>976</v>
      </c>
      <c r="D88" s="103" t="s">
        <v>1050</v>
      </c>
      <c r="E88" s="95"/>
      <c r="F88" s="94" t="s">
        <v>963</v>
      </c>
      <c r="G88" s="94" t="s">
        <v>960</v>
      </c>
      <c r="H88" s="94" t="s">
        <v>961</v>
      </c>
      <c r="I88" s="94"/>
      <c r="J88" s="94">
        <v>4</v>
      </c>
      <c r="K88" s="96" t="e">
        <f>VLOOKUP(Tabela13[[#This Row],[Prioridade]],[5]!TabelaPrioridade[#Data],2,FALSE)</f>
        <v>#REF!</v>
      </c>
      <c r="L88" s="96" t="e">
        <f>VLOOKUP(Tabela13[[#This Row],[Prioridade]],[5]!TabelaPrioridade[#Data],3,FALSE)</f>
        <v>#REF!</v>
      </c>
      <c r="M88" s="94" t="s">
        <v>963</v>
      </c>
      <c r="N88" s="94" t="s">
        <v>964</v>
      </c>
      <c r="O88" s="94" t="s">
        <v>964</v>
      </c>
      <c r="P88" s="94" t="s">
        <v>965</v>
      </c>
      <c r="Q88" s="97" t="e">
        <f>Tabela13[[#This Row],[Tempo Máximo Atendimento]]+"00:20:00"</f>
        <v>#REF!</v>
      </c>
      <c r="R88" s="94"/>
      <c r="S88" s="94" t="s">
        <v>967</v>
      </c>
      <c r="T88" s="97" t="s">
        <v>964</v>
      </c>
      <c r="U88" s="97" t="s">
        <v>964</v>
      </c>
      <c r="V88" s="94"/>
      <c r="W88" s="94" t="s">
        <v>964</v>
      </c>
      <c r="X88" s="94" t="s">
        <v>964</v>
      </c>
      <c r="Y88" s="95" t="s">
        <v>964</v>
      </c>
      <c r="Z88" s="94" t="s">
        <v>964</v>
      </c>
      <c r="AA88" s="94" t="s">
        <v>964</v>
      </c>
      <c r="AB88" s="94" t="s">
        <v>964</v>
      </c>
      <c r="AC88" s="94" t="s">
        <v>970</v>
      </c>
      <c r="AD88" s="101" t="s">
        <v>971</v>
      </c>
    </row>
    <row r="89" spans="1:30" s="104" customFormat="1" ht="12" hidden="1">
      <c r="A89" s="94" t="s">
        <v>1046</v>
      </c>
      <c r="B89" s="94" t="s">
        <v>14</v>
      </c>
      <c r="C89" s="94" t="s">
        <v>976</v>
      </c>
      <c r="D89" s="105" t="s">
        <v>1073</v>
      </c>
      <c r="E89" s="95"/>
      <c r="F89" s="94" t="s">
        <v>963</v>
      </c>
      <c r="G89" s="94" t="s">
        <v>960</v>
      </c>
      <c r="H89" s="94" t="s">
        <v>961</v>
      </c>
      <c r="I89" s="94"/>
      <c r="J89" s="94">
        <v>4</v>
      </c>
      <c r="K89" s="96" t="e">
        <f>VLOOKUP(Tabela13[[#This Row],[Prioridade]],[5]!TabelaPrioridade[#Data],2,FALSE)</f>
        <v>#REF!</v>
      </c>
      <c r="L89" s="96" t="e">
        <f>VLOOKUP(Tabela13[[#This Row],[Prioridade]],[5]!TabelaPrioridade[#Data],3,FALSE)</f>
        <v>#REF!</v>
      </c>
      <c r="M89" s="94" t="s">
        <v>963</v>
      </c>
      <c r="N89" s="94" t="s">
        <v>964</v>
      </c>
      <c r="O89" s="94" t="s">
        <v>964</v>
      </c>
      <c r="P89" s="94" t="s">
        <v>965</v>
      </c>
      <c r="Q89" s="97" t="e">
        <f>Tabela13[[#This Row],[Tempo Máximo Atendimento]]+"00:20:00"</f>
        <v>#REF!</v>
      </c>
      <c r="R89" s="94"/>
      <c r="S89" s="94" t="s">
        <v>980</v>
      </c>
      <c r="T89" s="97" t="s">
        <v>964</v>
      </c>
      <c r="U89" s="97" t="s">
        <v>964</v>
      </c>
      <c r="V89" s="94"/>
      <c r="W89" s="94" t="s">
        <v>964</v>
      </c>
      <c r="X89" s="94" t="s">
        <v>964</v>
      </c>
      <c r="Y89" s="95" t="s">
        <v>964</v>
      </c>
      <c r="Z89" s="94" t="s">
        <v>964</v>
      </c>
      <c r="AA89" s="94" t="s">
        <v>964</v>
      </c>
      <c r="AB89" s="94" t="s">
        <v>964</v>
      </c>
      <c r="AC89" s="94" t="s">
        <v>970</v>
      </c>
      <c r="AD89" s="101" t="s">
        <v>971</v>
      </c>
    </row>
    <row r="90" spans="1:30" s="104" customFormat="1" ht="12" hidden="1">
      <c r="A90" s="94" t="s">
        <v>1046</v>
      </c>
      <c r="B90" s="94" t="s">
        <v>14</v>
      </c>
      <c r="C90" s="94" t="s">
        <v>976</v>
      </c>
      <c r="D90" s="105" t="s">
        <v>1074</v>
      </c>
      <c r="E90" s="95"/>
      <c r="F90" s="94" t="s">
        <v>963</v>
      </c>
      <c r="G90" s="94" t="s">
        <v>960</v>
      </c>
      <c r="H90" s="94" t="s">
        <v>961</v>
      </c>
      <c r="I90" s="94"/>
      <c r="J90" s="94">
        <v>4</v>
      </c>
      <c r="K90" s="96" t="e">
        <f>VLOOKUP(Tabela13[[#This Row],[Prioridade]],[5]!TabelaPrioridade[#Data],2,FALSE)</f>
        <v>#REF!</v>
      </c>
      <c r="L90" s="96" t="e">
        <f>VLOOKUP(Tabela13[[#This Row],[Prioridade]],[5]!TabelaPrioridade[#Data],3,FALSE)</f>
        <v>#REF!</v>
      </c>
      <c r="M90" s="94" t="s">
        <v>963</v>
      </c>
      <c r="N90" s="94" t="s">
        <v>964</v>
      </c>
      <c r="O90" s="94" t="s">
        <v>964</v>
      </c>
      <c r="P90" s="94" t="s">
        <v>965</v>
      </c>
      <c r="Q90" s="97" t="e">
        <f>Tabela13[[#This Row],[Tempo Máximo Atendimento]]+"00:20:00"</f>
        <v>#REF!</v>
      </c>
      <c r="R90" s="94"/>
      <c r="S90" s="94" t="s">
        <v>980</v>
      </c>
      <c r="T90" s="97" t="s">
        <v>964</v>
      </c>
      <c r="U90" s="97" t="s">
        <v>964</v>
      </c>
      <c r="V90" s="94"/>
      <c r="W90" s="94" t="s">
        <v>964</v>
      </c>
      <c r="X90" s="94" t="s">
        <v>964</v>
      </c>
      <c r="Y90" s="95" t="s">
        <v>964</v>
      </c>
      <c r="Z90" s="94" t="s">
        <v>964</v>
      </c>
      <c r="AA90" s="94" t="s">
        <v>964</v>
      </c>
      <c r="AB90" s="94" t="s">
        <v>964</v>
      </c>
      <c r="AC90" s="94" t="s">
        <v>970</v>
      </c>
      <c r="AD90" s="101" t="s">
        <v>971</v>
      </c>
    </row>
    <row r="91" spans="1:30" s="104" customFormat="1" ht="12" hidden="1">
      <c r="A91" s="94" t="s">
        <v>1046</v>
      </c>
      <c r="B91" s="94" t="s">
        <v>14</v>
      </c>
      <c r="C91" s="94" t="s">
        <v>976</v>
      </c>
      <c r="D91" s="105" t="s">
        <v>1075</v>
      </c>
      <c r="E91" s="95"/>
      <c r="F91" s="94" t="s">
        <v>963</v>
      </c>
      <c r="G91" s="94" t="s">
        <v>960</v>
      </c>
      <c r="H91" s="94" t="s">
        <v>961</v>
      </c>
      <c r="I91" s="94"/>
      <c r="J91" s="94">
        <v>4</v>
      </c>
      <c r="K91" s="96" t="e">
        <f>VLOOKUP(Tabela13[[#This Row],[Prioridade]],[5]!TabelaPrioridade[#Data],2,FALSE)</f>
        <v>#REF!</v>
      </c>
      <c r="L91" s="96" t="e">
        <f>VLOOKUP(Tabela13[[#This Row],[Prioridade]],[5]!TabelaPrioridade[#Data],3,FALSE)</f>
        <v>#REF!</v>
      </c>
      <c r="M91" s="94" t="s">
        <v>963</v>
      </c>
      <c r="N91" s="94" t="s">
        <v>964</v>
      </c>
      <c r="O91" s="94" t="s">
        <v>964</v>
      </c>
      <c r="P91" s="94" t="s">
        <v>965</v>
      </c>
      <c r="Q91" s="97" t="e">
        <f>Tabela13[[#This Row],[Tempo Máximo Atendimento]]+"00:20:00"</f>
        <v>#REF!</v>
      </c>
      <c r="R91" s="94"/>
      <c r="S91" s="94" t="s">
        <v>980</v>
      </c>
      <c r="T91" s="97" t="s">
        <v>964</v>
      </c>
      <c r="U91" s="97" t="s">
        <v>964</v>
      </c>
      <c r="V91" s="94"/>
      <c r="W91" s="94" t="s">
        <v>964</v>
      </c>
      <c r="X91" s="94" t="s">
        <v>964</v>
      </c>
      <c r="Y91" s="95" t="s">
        <v>964</v>
      </c>
      <c r="Z91" s="94" t="s">
        <v>964</v>
      </c>
      <c r="AA91" s="94" t="s">
        <v>964</v>
      </c>
      <c r="AB91" s="94" t="s">
        <v>964</v>
      </c>
      <c r="AC91" s="94" t="s">
        <v>970</v>
      </c>
      <c r="AD91" s="101" t="s">
        <v>971</v>
      </c>
    </row>
    <row r="92" spans="1:30" ht="15" hidden="1">
      <c r="A92" s="94" t="s">
        <v>1046</v>
      </c>
      <c r="B92" s="94" t="s">
        <v>14</v>
      </c>
      <c r="C92" s="94" t="s">
        <v>976</v>
      </c>
      <c r="D92" s="105" t="s">
        <v>1076</v>
      </c>
      <c r="E92" s="95"/>
      <c r="F92" s="94" t="s">
        <v>963</v>
      </c>
      <c r="G92" s="94" t="s">
        <v>960</v>
      </c>
      <c r="H92" s="94" t="s">
        <v>961</v>
      </c>
      <c r="I92" s="94"/>
      <c r="J92" s="94">
        <v>4</v>
      </c>
      <c r="K92" s="96" t="e">
        <f>VLOOKUP(Tabela13[[#This Row],[Prioridade]],[5]!TabelaPrioridade[#Data],2,FALSE)</f>
        <v>#REF!</v>
      </c>
      <c r="L92" s="96" t="e">
        <f>VLOOKUP(Tabela13[[#This Row],[Prioridade]],[5]!TabelaPrioridade[#Data],3,FALSE)</f>
        <v>#REF!</v>
      </c>
      <c r="M92" s="94" t="s">
        <v>963</v>
      </c>
      <c r="N92" s="94" t="s">
        <v>964</v>
      </c>
      <c r="O92" s="94" t="s">
        <v>964</v>
      </c>
      <c r="P92" s="94" t="s">
        <v>965</v>
      </c>
      <c r="Q92" s="97" t="e">
        <f>Tabela13[[#This Row],[Tempo Máximo Atendimento]]+"00:20:00"</f>
        <v>#REF!</v>
      </c>
      <c r="R92" s="94"/>
      <c r="S92" s="108" t="s">
        <v>1077</v>
      </c>
      <c r="T92" s="94" t="s">
        <v>964</v>
      </c>
      <c r="U92" s="97" t="e">
        <f>Tabela13[[#This Row],[Tempo Máximo Total Resolução]]-Tabela13[[#This Row],[Tempo Máximo Escalada Funcional]]</f>
        <v>#REF!</v>
      </c>
      <c r="V92" s="94"/>
      <c r="W92" s="94" t="s">
        <v>980</v>
      </c>
      <c r="X92" s="97" t="e">
        <f>Tabela13[[#This Row],[Tempo Máximo Total Resolução]]-Tabela13[[#This Row],[Tempo Máximo Escalada Funcional]]</f>
        <v>#REF!</v>
      </c>
      <c r="Y92" s="95" t="s">
        <v>964</v>
      </c>
      <c r="Z92" s="94" t="s">
        <v>964</v>
      </c>
      <c r="AA92" s="94"/>
      <c r="AB92" s="94"/>
      <c r="AC92" s="94" t="s">
        <v>970</v>
      </c>
      <c r="AD92" s="101" t="s">
        <v>971</v>
      </c>
    </row>
    <row r="93" spans="1:30" ht="15" hidden="1">
      <c r="A93" s="94" t="s">
        <v>1046</v>
      </c>
      <c r="B93" s="94" t="s">
        <v>14</v>
      </c>
      <c r="C93" s="94" t="s">
        <v>976</v>
      </c>
      <c r="D93" s="105" t="s">
        <v>1078</v>
      </c>
      <c r="E93" s="95"/>
      <c r="F93" s="94" t="s">
        <v>963</v>
      </c>
      <c r="G93" s="94" t="s">
        <v>960</v>
      </c>
      <c r="H93" s="94" t="s">
        <v>961</v>
      </c>
      <c r="I93" s="94"/>
      <c r="J93" s="94">
        <v>4</v>
      </c>
      <c r="K93" s="96" t="e">
        <f>VLOOKUP(Tabela13[[#This Row],[Prioridade]],[5]!TabelaPrioridade[#Data],2,FALSE)</f>
        <v>#REF!</v>
      </c>
      <c r="L93" s="96" t="e">
        <f>VLOOKUP(Tabela13[[#This Row],[Prioridade]],[5]!TabelaPrioridade[#Data],3,FALSE)</f>
        <v>#REF!</v>
      </c>
      <c r="M93" s="94" t="s">
        <v>963</v>
      </c>
      <c r="N93" s="94" t="s">
        <v>964</v>
      </c>
      <c r="O93" s="94" t="s">
        <v>964</v>
      </c>
      <c r="P93" s="94" t="s">
        <v>965</v>
      </c>
      <c r="Q93" s="97" t="e">
        <f>Tabela13[[#This Row],[Tempo Máximo Atendimento]]+"00:20:00"</f>
        <v>#REF!</v>
      </c>
      <c r="R93" s="94"/>
      <c r="S93" s="94" t="s">
        <v>980</v>
      </c>
      <c r="T93" s="97" t="s">
        <v>964</v>
      </c>
      <c r="U93" s="97" t="s">
        <v>964</v>
      </c>
      <c r="V93" s="94"/>
      <c r="W93" s="94" t="s">
        <v>964</v>
      </c>
      <c r="X93" s="94" t="s">
        <v>964</v>
      </c>
      <c r="Y93" s="95" t="s">
        <v>964</v>
      </c>
      <c r="Z93" s="94" t="s">
        <v>964</v>
      </c>
      <c r="AA93" s="94" t="s">
        <v>964</v>
      </c>
      <c r="AB93" s="94" t="s">
        <v>964</v>
      </c>
      <c r="AC93" s="94" t="s">
        <v>970</v>
      </c>
      <c r="AD93" s="101" t="s">
        <v>971</v>
      </c>
    </row>
    <row r="94" spans="1:30" s="102" customFormat="1" ht="12" hidden="1">
      <c r="A94" s="94" t="s">
        <v>1046</v>
      </c>
      <c r="B94" s="94" t="s">
        <v>14</v>
      </c>
      <c r="C94" s="94" t="s">
        <v>976</v>
      </c>
      <c r="D94" s="105" t="s">
        <v>1079</v>
      </c>
      <c r="E94" s="95"/>
      <c r="F94" s="94" t="s">
        <v>963</v>
      </c>
      <c r="G94" s="94" t="s">
        <v>960</v>
      </c>
      <c r="H94" s="94" t="s">
        <v>961</v>
      </c>
      <c r="I94" s="94"/>
      <c r="J94" s="94">
        <v>4</v>
      </c>
      <c r="K94" s="96" t="e">
        <f>VLOOKUP(Tabela13[[#This Row],[Prioridade]],[5]!TabelaPrioridade[#Data],2,FALSE)</f>
        <v>#REF!</v>
      </c>
      <c r="L94" s="96" t="e">
        <f>VLOOKUP(Tabela13[[#This Row],[Prioridade]],[5]!TabelaPrioridade[#Data],3,FALSE)</f>
        <v>#REF!</v>
      </c>
      <c r="M94" s="94" t="s">
        <v>963</v>
      </c>
      <c r="N94" s="94" t="s">
        <v>964</v>
      </c>
      <c r="O94" s="94" t="s">
        <v>964</v>
      </c>
      <c r="P94" s="94" t="s">
        <v>965</v>
      </c>
      <c r="Q94" s="97" t="e">
        <f>Tabela13[[#This Row],[Tempo Máximo Atendimento]]+"00:20:00"</f>
        <v>#REF!</v>
      </c>
      <c r="R94" s="94"/>
      <c r="S94" s="94" t="s">
        <v>967</v>
      </c>
      <c r="T94" s="94" t="s">
        <v>964</v>
      </c>
      <c r="U94" s="94" t="s">
        <v>964</v>
      </c>
      <c r="V94" s="94"/>
      <c r="W94" s="94" t="s">
        <v>980</v>
      </c>
      <c r="X94" s="94" t="s">
        <v>964</v>
      </c>
      <c r="Y94" s="95" t="s">
        <v>964</v>
      </c>
      <c r="Z94" s="94" t="s">
        <v>964</v>
      </c>
      <c r="AA94" s="94" t="s">
        <v>964</v>
      </c>
      <c r="AB94" s="94" t="s">
        <v>964</v>
      </c>
      <c r="AC94" s="94" t="s">
        <v>970</v>
      </c>
      <c r="AD94" s="101" t="s">
        <v>971</v>
      </c>
    </row>
    <row r="95" spans="1:30" s="104" customFormat="1" ht="12" hidden="1">
      <c r="A95" s="94" t="s">
        <v>1046</v>
      </c>
      <c r="B95" s="94" t="s">
        <v>14</v>
      </c>
      <c r="C95" s="94" t="s">
        <v>976</v>
      </c>
      <c r="D95" s="105" t="s">
        <v>1080</v>
      </c>
      <c r="E95" s="95"/>
      <c r="F95" s="94" t="s">
        <v>963</v>
      </c>
      <c r="G95" s="94" t="s">
        <v>960</v>
      </c>
      <c r="H95" s="94" t="s">
        <v>961</v>
      </c>
      <c r="I95" s="94"/>
      <c r="J95" s="94">
        <v>4</v>
      </c>
      <c r="K95" s="96" t="e">
        <f>VLOOKUP(Tabela13[[#This Row],[Prioridade]],[5]!TabelaPrioridade[#Data],2,FALSE)</f>
        <v>#REF!</v>
      </c>
      <c r="L95" s="96" t="e">
        <f>VLOOKUP(Tabela13[[#This Row],[Prioridade]],[5]!TabelaPrioridade[#Data],3,FALSE)</f>
        <v>#REF!</v>
      </c>
      <c r="M95" s="94" t="s">
        <v>963</v>
      </c>
      <c r="N95" s="94" t="s">
        <v>964</v>
      </c>
      <c r="O95" s="94" t="s">
        <v>964</v>
      </c>
      <c r="P95" s="94" t="s">
        <v>965</v>
      </c>
      <c r="Q95" s="97" t="e">
        <f>Tabela13[[#This Row],[Tempo Máximo Atendimento]]+"00:20:00"</f>
        <v>#REF!</v>
      </c>
      <c r="R95" s="94"/>
      <c r="S95" s="108" t="s">
        <v>1081</v>
      </c>
      <c r="T95" s="94" t="s">
        <v>964</v>
      </c>
      <c r="U95" s="97" t="e">
        <f>Tabela13[[#This Row],[Tempo Máximo Total Resolução]]-Tabela13[[#This Row],[Tempo Máximo Escalada Funcional]]</f>
        <v>#REF!</v>
      </c>
      <c r="V95" s="94"/>
      <c r="W95" s="94" t="s">
        <v>980</v>
      </c>
      <c r="X95" s="97" t="e">
        <f>Tabela13[[#This Row],[Tempo Máximo Total Resolução]]-Tabela13[[#This Row],[Tempo Máximo Escalada Funcional]]</f>
        <v>#REF!</v>
      </c>
      <c r="Y95" s="95" t="s">
        <v>964</v>
      </c>
      <c r="Z95" s="94" t="s">
        <v>964</v>
      </c>
      <c r="AA95" s="94"/>
      <c r="AB95" s="94"/>
      <c r="AC95" s="94" t="s">
        <v>970</v>
      </c>
      <c r="AD95" s="101" t="s">
        <v>971</v>
      </c>
    </row>
    <row r="96" spans="1:30" s="104" customFormat="1" ht="12" hidden="1">
      <c r="A96" s="94" t="s">
        <v>1046</v>
      </c>
      <c r="B96" s="94" t="s">
        <v>14</v>
      </c>
      <c r="C96" s="94" t="s">
        <v>957</v>
      </c>
      <c r="D96" s="95" t="s">
        <v>1060</v>
      </c>
      <c r="E96" s="95"/>
      <c r="F96" s="94" t="s">
        <v>963</v>
      </c>
      <c r="G96" s="94" t="s">
        <v>960</v>
      </c>
      <c r="H96" s="94" t="s">
        <v>961</v>
      </c>
      <c r="I96" s="94"/>
      <c r="J96" s="94">
        <v>4</v>
      </c>
      <c r="K96" s="96" t="e">
        <f>VLOOKUP(Tabela13[[#This Row],[Prioridade]],[5]!TabelaPrioridade[#Data],2,FALSE)</f>
        <v>#REF!</v>
      </c>
      <c r="L96" s="96" t="e">
        <f>VLOOKUP(Tabela13[[#This Row],[Prioridade]],[5]!TabelaPrioridade[#Data],3,FALSE)</f>
        <v>#REF!</v>
      </c>
      <c r="M96" s="94" t="s">
        <v>960</v>
      </c>
      <c r="N96" s="94"/>
      <c r="O96" s="99">
        <v>8.3333333333333329E-2</v>
      </c>
      <c r="P96" s="94" t="s">
        <v>965</v>
      </c>
      <c r="Q96" s="97" t="e">
        <f>Tabela13[[#This Row],[Tempo Máximo Atendimento]]+"00:20:00"</f>
        <v>#REF!</v>
      </c>
      <c r="R96" s="94"/>
      <c r="S96" s="94" t="s">
        <v>980</v>
      </c>
      <c r="T96" s="97" t="s">
        <v>964</v>
      </c>
      <c r="U96" s="97" t="s">
        <v>964</v>
      </c>
      <c r="V96" s="94"/>
      <c r="W96" s="94" t="s">
        <v>964</v>
      </c>
      <c r="X96" s="94" t="s">
        <v>964</v>
      </c>
      <c r="Y96" s="95" t="s">
        <v>964</v>
      </c>
      <c r="Z96" s="94" t="s">
        <v>964</v>
      </c>
      <c r="AA96" s="94" t="s">
        <v>964</v>
      </c>
      <c r="AB96" s="94" t="s">
        <v>964</v>
      </c>
      <c r="AC96" s="94" t="s">
        <v>970</v>
      </c>
      <c r="AD96" s="101" t="s">
        <v>971</v>
      </c>
    </row>
    <row r="97" spans="1:30" s="104" customFormat="1" ht="12" hidden="1">
      <c r="A97" s="94" t="s">
        <v>1046</v>
      </c>
      <c r="B97" s="94" t="s">
        <v>14</v>
      </c>
      <c r="C97" s="94" t="s">
        <v>957</v>
      </c>
      <c r="D97" s="95" t="s">
        <v>1063</v>
      </c>
      <c r="E97" s="95"/>
      <c r="F97" s="94" t="s">
        <v>963</v>
      </c>
      <c r="G97" s="94" t="s">
        <v>960</v>
      </c>
      <c r="H97" s="94" t="s">
        <v>961</v>
      </c>
      <c r="I97" s="94"/>
      <c r="J97" s="94">
        <v>4</v>
      </c>
      <c r="K97" s="96" t="e">
        <f>VLOOKUP(Tabela13[[#This Row],[Prioridade]],[5]!TabelaPrioridade[#Data],2,FALSE)</f>
        <v>#REF!</v>
      </c>
      <c r="L97" s="96" t="e">
        <f>VLOOKUP(Tabela13[[#This Row],[Prioridade]],[5]!TabelaPrioridade[#Data],3,FALSE)</f>
        <v>#REF!</v>
      </c>
      <c r="M97" s="94" t="s">
        <v>960</v>
      </c>
      <c r="N97" s="94"/>
      <c r="O97" s="99">
        <v>8.3333333333333329E-2</v>
      </c>
      <c r="P97" s="94" t="s">
        <v>965</v>
      </c>
      <c r="Q97" s="97" t="e">
        <f>Tabela13[[#This Row],[Tempo Máximo Atendimento]]+"00:20:00"</f>
        <v>#REF!</v>
      </c>
      <c r="R97" s="94"/>
      <c r="S97" s="94" t="s">
        <v>980</v>
      </c>
      <c r="T97" s="97" t="s">
        <v>964</v>
      </c>
      <c r="U97" s="97" t="s">
        <v>964</v>
      </c>
      <c r="V97" s="94"/>
      <c r="W97" s="94" t="s">
        <v>964</v>
      </c>
      <c r="X97" s="94" t="s">
        <v>964</v>
      </c>
      <c r="Y97" s="95" t="s">
        <v>964</v>
      </c>
      <c r="Z97" s="94" t="s">
        <v>964</v>
      </c>
      <c r="AA97" s="94" t="s">
        <v>964</v>
      </c>
      <c r="AB97" s="94" t="s">
        <v>964</v>
      </c>
      <c r="AC97" s="94" t="s">
        <v>970</v>
      </c>
      <c r="AD97" s="101" t="s">
        <v>971</v>
      </c>
    </row>
    <row r="98" spans="1:30" s="104" customFormat="1" ht="12" hidden="1">
      <c r="A98" s="94" t="s">
        <v>1046</v>
      </c>
      <c r="B98" s="94" t="s">
        <v>14</v>
      </c>
      <c r="C98" s="94" t="s">
        <v>957</v>
      </c>
      <c r="D98" s="95" t="s">
        <v>1066</v>
      </c>
      <c r="E98" s="95"/>
      <c r="F98" s="94" t="s">
        <v>963</v>
      </c>
      <c r="G98" s="94" t="s">
        <v>960</v>
      </c>
      <c r="H98" s="94" t="s">
        <v>961</v>
      </c>
      <c r="I98" s="94"/>
      <c r="J98" s="94">
        <v>4</v>
      </c>
      <c r="K98" s="96" t="e">
        <f>VLOOKUP(Tabela13[[#This Row],[Prioridade]],[5]!TabelaPrioridade[#Data],2,FALSE)</f>
        <v>#REF!</v>
      </c>
      <c r="L98" s="96" t="e">
        <f>VLOOKUP(Tabela13[[#This Row],[Prioridade]],[5]!TabelaPrioridade[#Data],3,FALSE)</f>
        <v>#REF!</v>
      </c>
      <c r="M98" s="94" t="s">
        <v>960</v>
      </c>
      <c r="N98" s="94"/>
      <c r="O98" s="99">
        <v>8.3333333333333329E-2</v>
      </c>
      <c r="P98" s="94" t="s">
        <v>965</v>
      </c>
      <c r="Q98" s="97" t="e">
        <f>Tabela13[[#This Row],[Tempo Máximo Atendimento]]+"00:20:00"</f>
        <v>#REF!</v>
      </c>
      <c r="R98" s="94"/>
      <c r="S98" s="94" t="s">
        <v>980</v>
      </c>
      <c r="T98" s="97" t="s">
        <v>964</v>
      </c>
      <c r="U98" s="97" t="s">
        <v>964</v>
      </c>
      <c r="V98" s="94"/>
      <c r="W98" s="94" t="s">
        <v>964</v>
      </c>
      <c r="X98" s="94" t="s">
        <v>964</v>
      </c>
      <c r="Y98" s="95" t="s">
        <v>964</v>
      </c>
      <c r="Z98" s="94" t="s">
        <v>964</v>
      </c>
      <c r="AA98" s="94" t="s">
        <v>964</v>
      </c>
      <c r="AB98" s="94" t="s">
        <v>964</v>
      </c>
      <c r="AC98" s="94" t="s">
        <v>970</v>
      </c>
      <c r="AD98" s="101" t="s">
        <v>971</v>
      </c>
    </row>
    <row r="99" spans="1:30" s="104" customFormat="1" ht="12" hidden="1">
      <c r="A99" s="94" t="s">
        <v>1046</v>
      </c>
      <c r="B99" s="94" t="s">
        <v>14</v>
      </c>
      <c r="C99" s="94" t="s">
        <v>957</v>
      </c>
      <c r="D99" s="95" t="s">
        <v>1067</v>
      </c>
      <c r="E99" s="95"/>
      <c r="F99" s="94" t="s">
        <v>963</v>
      </c>
      <c r="G99" s="94" t="s">
        <v>960</v>
      </c>
      <c r="H99" s="94" t="s">
        <v>961</v>
      </c>
      <c r="I99" s="94"/>
      <c r="J99" s="94">
        <v>4</v>
      </c>
      <c r="K99" s="96" t="e">
        <f>VLOOKUP(Tabela13[[#This Row],[Prioridade]],[5]!TabelaPrioridade[#Data],2,FALSE)</f>
        <v>#REF!</v>
      </c>
      <c r="L99" s="96" t="e">
        <f>VLOOKUP(Tabela13[[#This Row],[Prioridade]],[5]!TabelaPrioridade[#Data],3,FALSE)</f>
        <v>#REF!</v>
      </c>
      <c r="M99" s="94" t="s">
        <v>960</v>
      </c>
      <c r="N99" s="94"/>
      <c r="O99" s="99">
        <v>8.3333333333333329E-2</v>
      </c>
      <c r="P99" s="94" t="s">
        <v>965</v>
      </c>
      <c r="Q99" s="97" t="e">
        <f>Tabela13[[#This Row],[Tempo Máximo Atendimento]]+"00:20:00"</f>
        <v>#REF!</v>
      </c>
      <c r="R99" s="94"/>
      <c r="S99" s="94" t="s">
        <v>980</v>
      </c>
      <c r="T99" s="97" t="s">
        <v>964</v>
      </c>
      <c r="U99" s="97" t="s">
        <v>964</v>
      </c>
      <c r="V99" s="94"/>
      <c r="W99" s="94" t="s">
        <v>964</v>
      </c>
      <c r="X99" s="94" t="s">
        <v>964</v>
      </c>
      <c r="Y99" s="95" t="s">
        <v>964</v>
      </c>
      <c r="Z99" s="94" t="s">
        <v>964</v>
      </c>
      <c r="AA99" s="94" t="s">
        <v>964</v>
      </c>
      <c r="AB99" s="94" t="s">
        <v>964</v>
      </c>
      <c r="AC99" s="94" t="s">
        <v>970</v>
      </c>
      <c r="AD99" s="101" t="s">
        <v>971</v>
      </c>
    </row>
    <row r="100" spans="1:30" s="104" customFormat="1" ht="12" hidden="1">
      <c r="A100" s="94" t="s">
        <v>1046</v>
      </c>
      <c r="B100" s="94" t="s">
        <v>14</v>
      </c>
      <c r="C100" s="94" t="s">
        <v>957</v>
      </c>
      <c r="D100" s="95" t="s">
        <v>1071</v>
      </c>
      <c r="E100" s="95"/>
      <c r="F100" s="94" t="s">
        <v>963</v>
      </c>
      <c r="G100" s="94" t="s">
        <v>960</v>
      </c>
      <c r="H100" s="94" t="s">
        <v>961</v>
      </c>
      <c r="I100" s="94"/>
      <c r="J100" s="94">
        <v>4</v>
      </c>
      <c r="K100" s="96" t="e">
        <f>VLOOKUP(Tabela13[[#This Row],[Prioridade]],[5]!TabelaPrioridade[#Data],2,FALSE)</f>
        <v>#REF!</v>
      </c>
      <c r="L100" s="96" t="e">
        <f>VLOOKUP(Tabela13[[#This Row],[Prioridade]],[5]!TabelaPrioridade[#Data],3,FALSE)</f>
        <v>#REF!</v>
      </c>
      <c r="M100" s="94" t="s">
        <v>960</v>
      </c>
      <c r="N100" s="94"/>
      <c r="O100" s="99">
        <v>8.3333333333333329E-2</v>
      </c>
      <c r="P100" s="94" t="s">
        <v>965</v>
      </c>
      <c r="Q100" s="97" t="e">
        <f>Tabela13[[#This Row],[Tempo Máximo Atendimento]]+"00:20:00"</f>
        <v>#REF!</v>
      </c>
      <c r="R100" s="94"/>
      <c r="S100" s="94" t="s">
        <v>967</v>
      </c>
      <c r="T100" s="97" t="s">
        <v>964</v>
      </c>
      <c r="U100" s="97" t="s">
        <v>964</v>
      </c>
      <c r="V100" s="94"/>
      <c r="W100" s="94" t="s">
        <v>964</v>
      </c>
      <c r="X100" s="94" t="s">
        <v>964</v>
      </c>
      <c r="Y100" s="95" t="s">
        <v>964</v>
      </c>
      <c r="Z100" s="94" t="s">
        <v>964</v>
      </c>
      <c r="AA100" s="94" t="s">
        <v>964</v>
      </c>
      <c r="AB100" s="94" t="s">
        <v>964</v>
      </c>
      <c r="AC100" s="94" t="s">
        <v>970</v>
      </c>
      <c r="AD100" s="101" t="s">
        <v>971</v>
      </c>
    </row>
    <row r="101" spans="1:30" ht="15" hidden="1">
      <c r="A101" s="94" t="s">
        <v>1046</v>
      </c>
      <c r="B101" s="94" t="s">
        <v>14</v>
      </c>
      <c r="C101" s="94" t="s">
        <v>957</v>
      </c>
      <c r="D101" s="103" t="s">
        <v>1073</v>
      </c>
      <c r="E101" s="95"/>
      <c r="F101" s="94" t="s">
        <v>963</v>
      </c>
      <c r="G101" s="94" t="s">
        <v>960</v>
      </c>
      <c r="H101" s="94" t="s">
        <v>961</v>
      </c>
      <c r="I101" s="94"/>
      <c r="J101" s="94">
        <v>4</v>
      </c>
      <c r="K101" s="96" t="e">
        <f>VLOOKUP(Tabela13[[#This Row],[Prioridade]],[5]!TabelaPrioridade[#Data],2,FALSE)</f>
        <v>#REF!</v>
      </c>
      <c r="L101" s="96" t="e">
        <f>VLOOKUP(Tabela13[[#This Row],[Prioridade]],[5]!TabelaPrioridade[#Data],3,FALSE)</f>
        <v>#REF!</v>
      </c>
      <c r="M101" s="94" t="s">
        <v>960</v>
      </c>
      <c r="N101" s="94"/>
      <c r="O101" s="99">
        <v>8.3333333333333329E-2</v>
      </c>
      <c r="P101" s="94" t="s">
        <v>965</v>
      </c>
      <c r="Q101" s="97" t="e">
        <f>Tabela13[[#This Row],[Tempo Máximo Atendimento]]+"00:20:00"</f>
        <v>#REF!</v>
      </c>
      <c r="R101" s="94"/>
      <c r="S101" s="94" t="s">
        <v>980</v>
      </c>
      <c r="T101" s="97" t="s">
        <v>964</v>
      </c>
      <c r="U101" s="97" t="s">
        <v>964</v>
      </c>
      <c r="V101" s="94"/>
      <c r="W101" s="94" t="s">
        <v>964</v>
      </c>
      <c r="X101" s="94" t="s">
        <v>964</v>
      </c>
      <c r="Y101" s="95" t="s">
        <v>964</v>
      </c>
      <c r="Z101" s="94" t="s">
        <v>964</v>
      </c>
      <c r="AA101" s="94" t="s">
        <v>964</v>
      </c>
      <c r="AB101" s="94" t="s">
        <v>964</v>
      </c>
      <c r="AC101" s="94" t="s">
        <v>970</v>
      </c>
      <c r="AD101" s="101" t="s">
        <v>971</v>
      </c>
    </row>
    <row r="102" spans="1:30" ht="15" hidden="1">
      <c r="A102" s="94" t="s">
        <v>1046</v>
      </c>
      <c r="B102" s="94" t="s">
        <v>14</v>
      </c>
      <c r="C102" s="94" t="s">
        <v>957</v>
      </c>
      <c r="D102" s="103" t="s">
        <v>1075</v>
      </c>
      <c r="E102" s="95"/>
      <c r="F102" s="94" t="s">
        <v>963</v>
      </c>
      <c r="G102" s="94" t="s">
        <v>960</v>
      </c>
      <c r="H102" s="94" t="s">
        <v>961</v>
      </c>
      <c r="I102" s="94"/>
      <c r="J102" s="94">
        <v>4</v>
      </c>
      <c r="K102" s="96" t="e">
        <f>VLOOKUP(Tabela13[[#This Row],[Prioridade]],[5]!TabelaPrioridade[#Data],2,FALSE)</f>
        <v>#REF!</v>
      </c>
      <c r="L102" s="96" t="e">
        <f>VLOOKUP(Tabela13[[#This Row],[Prioridade]],[5]!TabelaPrioridade[#Data],3,FALSE)</f>
        <v>#REF!</v>
      </c>
      <c r="M102" s="94" t="s">
        <v>960</v>
      </c>
      <c r="N102" s="94"/>
      <c r="O102" s="99">
        <v>8.3333333333333329E-2</v>
      </c>
      <c r="P102" s="94" t="s">
        <v>965</v>
      </c>
      <c r="Q102" s="97" t="e">
        <f>Tabela13[[#This Row],[Tempo Máximo Atendimento]]+"00:20:00"</f>
        <v>#REF!</v>
      </c>
      <c r="R102" s="94"/>
      <c r="S102" s="94" t="s">
        <v>980</v>
      </c>
      <c r="T102" s="97" t="s">
        <v>964</v>
      </c>
      <c r="U102" s="97" t="s">
        <v>964</v>
      </c>
      <c r="V102" s="94"/>
      <c r="W102" s="94" t="s">
        <v>964</v>
      </c>
      <c r="X102" s="94" t="s">
        <v>964</v>
      </c>
      <c r="Y102" s="95" t="s">
        <v>964</v>
      </c>
      <c r="Z102" s="94" t="s">
        <v>964</v>
      </c>
      <c r="AA102" s="94" t="s">
        <v>964</v>
      </c>
      <c r="AB102" s="94" t="s">
        <v>964</v>
      </c>
      <c r="AC102" s="94" t="s">
        <v>970</v>
      </c>
      <c r="AD102" s="101" t="s">
        <v>971</v>
      </c>
    </row>
    <row r="103" spans="1:30" ht="15" hidden="1">
      <c r="A103" s="94" t="s">
        <v>1046</v>
      </c>
      <c r="B103" s="94" t="s">
        <v>14</v>
      </c>
      <c r="C103" s="94" t="s">
        <v>957</v>
      </c>
      <c r="D103" s="103" t="s">
        <v>1079</v>
      </c>
      <c r="E103" s="95"/>
      <c r="F103" s="94" t="s">
        <v>963</v>
      </c>
      <c r="G103" s="94" t="s">
        <v>960</v>
      </c>
      <c r="H103" s="94" t="s">
        <v>961</v>
      </c>
      <c r="I103" s="94"/>
      <c r="J103" s="94">
        <v>4</v>
      </c>
      <c r="K103" s="96" t="e">
        <f>VLOOKUP(Tabela13[[#This Row],[Prioridade]],[5]!TabelaPrioridade[#Data],2,FALSE)</f>
        <v>#REF!</v>
      </c>
      <c r="L103" s="96" t="e">
        <f>VLOOKUP(Tabela13[[#This Row],[Prioridade]],[5]!TabelaPrioridade[#Data],3,FALSE)</f>
        <v>#REF!</v>
      </c>
      <c r="M103" s="94" t="s">
        <v>960</v>
      </c>
      <c r="N103" s="94"/>
      <c r="O103" s="99">
        <v>8.3333333333333329E-2</v>
      </c>
      <c r="P103" s="94" t="s">
        <v>965</v>
      </c>
      <c r="Q103" s="97" t="e">
        <f>Tabela13[[#This Row],[Tempo Máximo Atendimento]]+"00:20:00"</f>
        <v>#REF!</v>
      </c>
      <c r="R103" s="94"/>
      <c r="S103" s="94" t="s">
        <v>967</v>
      </c>
      <c r="T103" s="97" t="s">
        <v>964</v>
      </c>
      <c r="U103" s="97" t="s">
        <v>964</v>
      </c>
      <c r="V103" s="94"/>
      <c r="W103" s="94" t="s">
        <v>964</v>
      </c>
      <c r="X103" s="94" t="s">
        <v>964</v>
      </c>
      <c r="Y103" s="95" t="s">
        <v>964</v>
      </c>
      <c r="Z103" s="94" t="s">
        <v>964</v>
      </c>
      <c r="AA103" s="94" t="s">
        <v>964</v>
      </c>
      <c r="AB103" s="94" t="s">
        <v>964</v>
      </c>
      <c r="AC103" s="94" t="s">
        <v>970</v>
      </c>
      <c r="AD103" s="101" t="s">
        <v>971</v>
      </c>
    </row>
    <row r="104" spans="1:30" ht="15" hidden="1">
      <c r="A104" s="94" t="s">
        <v>1046</v>
      </c>
      <c r="B104" s="94" t="s">
        <v>14</v>
      </c>
      <c r="C104" s="94" t="s">
        <v>957</v>
      </c>
      <c r="D104" s="103" t="s">
        <v>1078</v>
      </c>
      <c r="E104" s="95"/>
      <c r="F104" s="94" t="s">
        <v>963</v>
      </c>
      <c r="G104" s="94" t="s">
        <v>960</v>
      </c>
      <c r="H104" s="94" t="s">
        <v>961</v>
      </c>
      <c r="I104" s="94"/>
      <c r="J104" s="94">
        <v>4</v>
      </c>
      <c r="K104" s="96" t="e">
        <f>VLOOKUP(Tabela13[[#This Row],[Prioridade]],[5]!TabelaPrioridade[#Data],2,FALSE)</f>
        <v>#REF!</v>
      </c>
      <c r="L104" s="96" t="e">
        <f>VLOOKUP(Tabela13[[#This Row],[Prioridade]],[5]!TabelaPrioridade[#Data],3,FALSE)</f>
        <v>#REF!</v>
      </c>
      <c r="M104" s="94" t="s">
        <v>960</v>
      </c>
      <c r="N104" s="94"/>
      <c r="O104" s="99">
        <v>8.3333333333333329E-2</v>
      </c>
      <c r="P104" s="94" t="s">
        <v>965</v>
      </c>
      <c r="Q104" s="97" t="e">
        <f>Tabela13[[#This Row],[Tempo Máximo Atendimento]]+"00:20:00"</f>
        <v>#REF!</v>
      </c>
      <c r="R104" s="94"/>
      <c r="S104" s="94" t="s">
        <v>980</v>
      </c>
      <c r="T104" s="97" t="s">
        <v>964</v>
      </c>
      <c r="U104" s="97" t="s">
        <v>964</v>
      </c>
      <c r="V104" s="94"/>
      <c r="W104" s="94" t="s">
        <v>964</v>
      </c>
      <c r="X104" s="94" t="s">
        <v>964</v>
      </c>
      <c r="Y104" s="95" t="s">
        <v>964</v>
      </c>
      <c r="Z104" s="94" t="s">
        <v>964</v>
      </c>
      <c r="AA104" s="94" t="s">
        <v>964</v>
      </c>
      <c r="AB104" s="94" t="s">
        <v>964</v>
      </c>
      <c r="AC104" s="94" t="s">
        <v>970</v>
      </c>
      <c r="AD104" s="101" t="s">
        <v>971</v>
      </c>
    </row>
    <row r="105" spans="1:30" ht="15" hidden="1">
      <c r="A105" s="94" t="s">
        <v>1046</v>
      </c>
      <c r="B105" s="94" t="s">
        <v>14</v>
      </c>
      <c r="C105" s="94" t="s">
        <v>957</v>
      </c>
      <c r="D105" s="103" t="s">
        <v>1062</v>
      </c>
      <c r="E105" s="95"/>
      <c r="F105" s="94" t="s">
        <v>960</v>
      </c>
      <c r="G105" s="94" t="s">
        <v>960</v>
      </c>
      <c r="H105" s="94" t="s">
        <v>961</v>
      </c>
      <c r="I105" s="94"/>
      <c r="J105" s="94">
        <v>4</v>
      </c>
      <c r="K105" s="96" t="e">
        <f>VLOOKUP(Tabela13[[#This Row],[Prioridade]],[5]!TabelaPrioridade[#Data],2,FALSE)</f>
        <v>#REF!</v>
      </c>
      <c r="L105" s="96" t="e">
        <f>VLOOKUP(Tabela13[[#This Row],[Prioridade]],[5]!TabelaPrioridade[#Data],3,FALSE)</f>
        <v>#REF!</v>
      </c>
      <c r="M105" s="94" t="s">
        <v>960</v>
      </c>
      <c r="N105" s="94"/>
      <c r="O105" s="99">
        <v>8.3333333333333329E-2</v>
      </c>
      <c r="P105" s="94" t="s">
        <v>965</v>
      </c>
      <c r="Q105" s="97" t="e">
        <f>Tabela13[[#This Row],[Tempo Máximo Atendimento]]+"00:20:00"</f>
        <v>#REF!</v>
      </c>
      <c r="R105" s="94" t="s">
        <v>1082</v>
      </c>
      <c r="S105" s="108" t="s">
        <v>1083</v>
      </c>
      <c r="T105" s="97" t="s">
        <v>964</v>
      </c>
      <c r="U105" s="97" t="e">
        <f>Tabela13[[#This Row],[Tempo Máximo Total Resolução]]-Tabela13[[#This Row],[Tempo Máximo Escalada Funcional]]</f>
        <v>#REF!</v>
      </c>
      <c r="V105" s="94"/>
      <c r="W105" s="94" t="s">
        <v>964</v>
      </c>
      <c r="X105" s="94" t="s">
        <v>964</v>
      </c>
      <c r="Y105" s="95" t="s">
        <v>964</v>
      </c>
      <c r="Z105" s="94" t="s">
        <v>964</v>
      </c>
      <c r="AA105" s="94" t="s">
        <v>964</v>
      </c>
      <c r="AB105" s="94" t="s">
        <v>964</v>
      </c>
      <c r="AC105" s="94" t="s">
        <v>970</v>
      </c>
      <c r="AD105" s="101" t="s">
        <v>971</v>
      </c>
    </row>
    <row r="106" spans="1:30" s="102" customFormat="1" ht="12" hidden="1">
      <c r="A106" s="94" t="s">
        <v>1046</v>
      </c>
      <c r="B106" s="94" t="s">
        <v>14</v>
      </c>
      <c r="C106" s="94" t="s">
        <v>957</v>
      </c>
      <c r="D106" s="103" t="s">
        <v>1061</v>
      </c>
      <c r="E106" s="95"/>
      <c r="F106" s="94" t="s">
        <v>960</v>
      </c>
      <c r="G106" s="94" t="s">
        <v>960</v>
      </c>
      <c r="H106" s="94" t="s">
        <v>961</v>
      </c>
      <c r="I106" s="94"/>
      <c r="J106" s="94">
        <v>4</v>
      </c>
      <c r="K106" s="96" t="e">
        <f>VLOOKUP(Tabela13[[#This Row],[Prioridade]],[5]!TabelaPrioridade[#Data],2,FALSE)</f>
        <v>#REF!</v>
      </c>
      <c r="L106" s="96" t="e">
        <f>VLOOKUP(Tabela13[[#This Row],[Prioridade]],[5]!TabelaPrioridade[#Data],3,FALSE)</f>
        <v>#REF!</v>
      </c>
      <c r="M106" s="94" t="s">
        <v>960</v>
      </c>
      <c r="N106" s="94"/>
      <c r="O106" s="99">
        <v>8.3333333333333329E-2</v>
      </c>
      <c r="P106" s="94" t="s">
        <v>965</v>
      </c>
      <c r="Q106" s="97" t="e">
        <f>Tabela13[[#This Row],[Tempo Máximo Atendimento]]+"00:20:00"</f>
        <v>#REF!</v>
      </c>
      <c r="R106" s="94" t="s">
        <v>1082</v>
      </c>
      <c r="S106" s="108" t="s">
        <v>1081</v>
      </c>
      <c r="T106" s="97" t="s">
        <v>964</v>
      </c>
      <c r="U106" s="97" t="e">
        <f>Tabela13[[#This Row],[Tempo Máximo Total Resolução]]-Tabela13[[#This Row],[Tempo Máximo Escalada Funcional]]</f>
        <v>#REF!</v>
      </c>
      <c r="V106" s="94"/>
      <c r="W106" s="94" t="s">
        <v>964</v>
      </c>
      <c r="X106" s="94" t="s">
        <v>964</v>
      </c>
      <c r="Y106" s="95" t="s">
        <v>964</v>
      </c>
      <c r="Z106" s="94" t="s">
        <v>964</v>
      </c>
      <c r="AA106" s="94" t="s">
        <v>964</v>
      </c>
      <c r="AB106" s="94" t="s">
        <v>964</v>
      </c>
      <c r="AC106" s="94" t="s">
        <v>970</v>
      </c>
      <c r="AD106" s="101" t="s">
        <v>971</v>
      </c>
    </row>
    <row r="107" spans="1:30" s="104" customFormat="1" ht="12" hidden="1">
      <c r="A107" s="94" t="s">
        <v>1046</v>
      </c>
      <c r="B107" s="94" t="s">
        <v>14</v>
      </c>
      <c r="C107" s="94" t="s">
        <v>957</v>
      </c>
      <c r="D107" s="103" t="s">
        <v>1056</v>
      </c>
      <c r="E107" s="95"/>
      <c r="F107" s="94" t="s">
        <v>960</v>
      </c>
      <c r="G107" s="94" t="s">
        <v>960</v>
      </c>
      <c r="H107" s="94" t="s">
        <v>961</v>
      </c>
      <c r="I107" s="94"/>
      <c r="J107" s="94">
        <v>4</v>
      </c>
      <c r="K107" s="96" t="e">
        <f>VLOOKUP(Tabela13[[#This Row],[Prioridade]],[5]!TabelaPrioridade[#Data],2,FALSE)</f>
        <v>#REF!</v>
      </c>
      <c r="L107" s="96" t="e">
        <f>VLOOKUP(Tabela13[[#This Row],[Prioridade]],[5]!TabelaPrioridade[#Data],3,FALSE)</f>
        <v>#REF!</v>
      </c>
      <c r="M107" s="94" t="s">
        <v>960</v>
      </c>
      <c r="N107" s="94"/>
      <c r="O107" s="99">
        <v>8.3333333333333329E-2</v>
      </c>
      <c r="P107" s="94" t="s">
        <v>965</v>
      </c>
      <c r="Q107" s="97" t="e">
        <f>Tabela13[[#This Row],[Tempo Máximo Atendimento]]+"00:20:00"</f>
        <v>#REF!</v>
      </c>
      <c r="R107" s="94" t="s">
        <v>1082</v>
      </c>
      <c r="S107" s="108" t="s">
        <v>1081</v>
      </c>
      <c r="T107" s="97" t="s">
        <v>964</v>
      </c>
      <c r="U107" s="97" t="e">
        <f>Tabela13[[#This Row],[Tempo Máximo Total Resolução]]-Tabela13[[#This Row],[Tempo Máximo Escalada Funcional]]</f>
        <v>#REF!</v>
      </c>
      <c r="V107" s="94"/>
      <c r="W107" s="94" t="s">
        <v>964</v>
      </c>
      <c r="X107" s="94" t="s">
        <v>964</v>
      </c>
      <c r="Y107" s="95" t="s">
        <v>964</v>
      </c>
      <c r="Z107" s="94" t="s">
        <v>964</v>
      </c>
      <c r="AA107" s="94" t="s">
        <v>964</v>
      </c>
      <c r="AB107" s="94" t="s">
        <v>964</v>
      </c>
      <c r="AC107" s="94" t="s">
        <v>970</v>
      </c>
      <c r="AD107" s="101" t="s">
        <v>971</v>
      </c>
    </row>
    <row r="108" spans="1:30" s="104" customFormat="1" ht="12" hidden="1">
      <c r="A108" s="94" t="s">
        <v>1046</v>
      </c>
      <c r="B108" s="94" t="s">
        <v>14</v>
      </c>
      <c r="C108" s="94" t="s">
        <v>957</v>
      </c>
      <c r="D108" s="103" t="s">
        <v>1058</v>
      </c>
      <c r="E108" s="95"/>
      <c r="F108" s="94" t="s">
        <v>963</v>
      </c>
      <c r="G108" s="94" t="s">
        <v>960</v>
      </c>
      <c r="H108" s="94" t="s">
        <v>961</v>
      </c>
      <c r="I108" s="94"/>
      <c r="J108" s="94">
        <v>4</v>
      </c>
      <c r="K108" s="96" t="e">
        <f>VLOOKUP(Tabela13[[#This Row],[Prioridade]],[5]!TabelaPrioridade[#Data],2,FALSE)</f>
        <v>#REF!</v>
      </c>
      <c r="L108" s="96" t="e">
        <f>VLOOKUP(Tabela13[[#This Row],[Prioridade]],[5]!TabelaPrioridade[#Data],3,FALSE)</f>
        <v>#REF!</v>
      </c>
      <c r="M108" s="94" t="s">
        <v>960</v>
      </c>
      <c r="N108" s="94"/>
      <c r="O108" s="99">
        <v>8.3333333333333329E-2</v>
      </c>
      <c r="P108" s="94" t="s">
        <v>965</v>
      </c>
      <c r="Q108" s="97" t="e">
        <f>Tabela13[[#This Row],[Tempo Máximo Atendimento]]+"00:20:00"</f>
        <v>#REF!</v>
      </c>
      <c r="R108" s="94"/>
      <c r="S108" s="108" t="s">
        <v>1081</v>
      </c>
      <c r="T108" s="97" t="s">
        <v>964</v>
      </c>
      <c r="U108" s="97" t="e">
        <f>Tabela13[[#This Row],[Tempo Máximo Total Resolução]]-Tabela13[[#This Row],[Tempo Máximo Escalada Funcional]]</f>
        <v>#REF!</v>
      </c>
      <c r="V108" s="94"/>
      <c r="W108" s="94" t="s">
        <v>964</v>
      </c>
      <c r="X108" s="94" t="s">
        <v>964</v>
      </c>
      <c r="Y108" s="95" t="s">
        <v>964</v>
      </c>
      <c r="Z108" s="94" t="s">
        <v>964</v>
      </c>
      <c r="AA108" s="94" t="s">
        <v>964</v>
      </c>
      <c r="AB108" s="94" t="s">
        <v>964</v>
      </c>
      <c r="AC108" s="94" t="s">
        <v>970</v>
      </c>
      <c r="AD108" s="101" t="s">
        <v>971</v>
      </c>
    </row>
    <row r="109" spans="1:30" s="104" customFormat="1" ht="12" hidden="1">
      <c r="A109" s="94" t="s">
        <v>1046</v>
      </c>
      <c r="B109" s="94" t="s">
        <v>14</v>
      </c>
      <c r="C109" s="94" t="s">
        <v>957</v>
      </c>
      <c r="D109" s="103" t="s">
        <v>1080</v>
      </c>
      <c r="E109" s="95"/>
      <c r="F109" s="94" t="s">
        <v>960</v>
      </c>
      <c r="G109" s="94" t="s">
        <v>960</v>
      </c>
      <c r="H109" s="94" t="s">
        <v>961</v>
      </c>
      <c r="I109" s="94"/>
      <c r="J109" s="94">
        <v>4</v>
      </c>
      <c r="K109" s="96" t="e">
        <f>VLOOKUP(Tabela13[[#This Row],[Prioridade]],[5]!TabelaPrioridade[#Data],2,FALSE)</f>
        <v>#REF!</v>
      </c>
      <c r="L109" s="96" t="e">
        <f>VLOOKUP(Tabela13[[#This Row],[Prioridade]],[5]!TabelaPrioridade[#Data],3,FALSE)</f>
        <v>#REF!</v>
      </c>
      <c r="M109" s="94" t="s">
        <v>960</v>
      </c>
      <c r="N109" s="94"/>
      <c r="O109" s="99">
        <v>8.3333333333333329E-2</v>
      </c>
      <c r="P109" s="94" t="s">
        <v>965</v>
      </c>
      <c r="Q109" s="97" t="e">
        <f>Tabela13[[#This Row],[Tempo Máximo Atendimento]]+"00:20:00"</f>
        <v>#REF!</v>
      </c>
      <c r="R109" s="94" t="s">
        <v>1082</v>
      </c>
      <c r="S109" s="108" t="s">
        <v>1081</v>
      </c>
      <c r="T109" s="97" t="s">
        <v>964</v>
      </c>
      <c r="U109" s="97" t="e">
        <f>Tabela13[[#This Row],[Tempo Máximo Total Resolução]]-Tabela13[[#This Row],[Tempo Máximo Escalada Funcional]]</f>
        <v>#REF!</v>
      </c>
      <c r="V109" s="94"/>
      <c r="W109" s="94" t="s">
        <v>964</v>
      </c>
      <c r="X109" s="94" t="s">
        <v>964</v>
      </c>
      <c r="Y109" s="95" t="s">
        <v>964</v>
      </c>
      <c r="Z109" s="94" t="s">
        <v>964</v>
      </c>
      <c r="AA109" s="94" t="s">
        <v>964</v>
      </c>
      <c r="AB109" s="94" t="s">
        <v>964</v>
      </c>
      <c r="AC109" s="94" t="s">
        <v>970</v>
      </c>
      <c r="AD109" s="101" t="s">
        <v>971</v>
      </c>
    </row>
    <row r="110" spans="1:30" s="104" customFormat="1" ht="12" hidden="1">
      <c r="A110" s="94" t="s">
        <v>1046</v>
      </c>
      <c r="B110" s="94" t="s">
        <v>14</v>
      </c>
      <c r="C110" s="94" t="s">
        <v>957</v>
      </c>
      <c r="D110" s="103" t="s">
        <v>1048</v>
      </c>
      <c r="E110" s="95"/>
      <c r="F110" s="94" t="s">
        <v>960</v>
      </c>
      <c r="G110" s="94" t="s">
        <v>960</v>
      </c>
      <c r="H110" s="94" t="s">
        <v>961</v>
      </c>
      <c r="I110" s="94"/>
      <c r="J110" s="94">
        <v>4</v>
      </c>
      <c r="K110" s="96" t="e">
        <f>VLOOKUP(Tabela13[[#This Row],[Prioridade]],[5]!TabelaPrioridade[#Data],2,FALSE)</f>
        <v>#REF!</v>
      </c>
      <c r="L110" s="96" t="e">
        <f>VLOOKUP(Tabela13[[#This Row],[Prioridade]],[5]!TabelaPrioridade[#Data],3,FALSE)</f>
        <v>#REF!</v>
      </c>
      <c r="M110" s="94" t="s">
        <v>960</v>
      </c>
      <c r="N110" s="94"/>
      <c r="O110" s="99">
        <v>8.3333333333333329E-2</v>
      </c>
      <c r="P110" s="94" t="s">
        <v>965</v>
      </c>
      <c r="Q110" s="97" t="e">
        <f>Tabela13[[#This Row],[Tempo Máximo Atendimento]]+"00:20:00"</f>
        <v>#REF!</v>
      </c>
      <c r="R110" s="94" t="s">
        <v>1082</v>
      </c>
      <c r="S110" s="108" t="s">
        <v>1081</v>
      </c>
      <c r="T110" s="97" t="s">
        <v>964</v>
      </c>
      <c r="U110" s="97" t="e">
        <f>Tabela13[[#This Row],[Tempo Máximo Total Resolução]]-Tabela13[[#This Row],[Tempo Máximo Escalada Funcional]]</f>
        <v>#REF!</v>
      </c>
      <c r="V110" s="94"/>
      <c r="W110" s="94" t="s">
        <v>964</v>
      </c>
      <c r="X110" s="94" t="s">
        <v>964</v>
      </c>
      <c r="Y110" s="95" t="s">
        <v>964</v>
      </c>
      <c r="Z110" s="94" t="s">
        <v>964</v>
      </c>
      <c r="AA110" s="94" t="s">
        <v>964</v>
      </c>
      <c r="AB110" s="94" t="s">
        <v>964</v>
      </c>
      <c r="AC110" s="94" t="s">
        <v>970</v>
      </c>
      <c r="AD110" s="101" t="s">
        <v>971</v>
      </c>
    </row>
    <row r="111" spans="1:30" s="104" customFormat="1" ht="24" hidden="1">
      <c r="A111" s="94" t="s">
        <v>1046</v>
      </c>
      <c r="B111" s="94" t="s">
        <v>14</v>
      </c>
      <c r="C111" s="94" t="s">
        <v>957</v>
      </c>
      <c r="D111" s="103" t="s">
        <v>1068</v>
      </c>
      <c r="E111" s="95"/>
      <c r="F111" s="94" t="s">
        <v>960</v>
      </c>
      <c r="G111" s="94" t="s">
        <v>960</v>
      </c>
      <c r="H111" s="94" t="s">
        <v>961</v>
      </c>
      <c r="I111" s="94"/>
      <c r="J111" s="94">
        <v>4</v>
      </c>
      <c r="K111" s="96" t="e">
        <f>VLOOKUP(Tabela13[[#This Row],[Prioridade]],[5]!TabelaPrioridade[#Data],2,FALSE)</f>
        <v>#REF!</v>
      </c>
      <c r="L111" s="96" t="e">
        <f>VLOOKUP(Tabela13[[#This Row],[Prioridade]],[5]!TabelaPrioridade[#Data],3,FALSE)</f>
        <v>#REF!</v>
      </c>
      <c r="M111" s="94" t="s">
        <v>960</v>
      </c>
      <c r="N111" s="94"/>
      <c r="O111" s="99">
        <v>8.3333333333333329E-2</v>
      </c>
      <c r="P111" s="94" t="s">
        <v>965</v>
      </c>
      <c r="Q111" s="97" t="e">
        <f>Tabela13[[#This Row],[Tempo Máximo Atendimento]]+"00:20:00"</f>
        <v>#REF!</v>
      </c>
      <c r="R111" s="94" t="s">
        <v>1082</v>
      </c>
      <c r="S111" s="108" t="s">
        <v>1069</v>
      </c>
      <c r="T111" s="97" t="s">
        <v>964</v>
      </c>
      <c r="U111" s="97" t="e">
        <f>Tabela13[[#This Row],[Tempo Máximo Total Resolução]]-Tabela13[[#This Row],[Tempo Máximo Escalada Funcional]]</f>
        <v>#REF!</v>
      </c>
      <c r="V111" s="94"/>
      <c r="W111" s="94" t="s">
        <v>964</v>
      </c>
      <c r="X111" s="94" t="s">
        <v>964</v>
      </c>
      <c r="Y111" s="95" t="s">
        <v>964</v>
      </c>
      <c r="Z111" s="94" t="s">
        <v>964</v>
      </c>
      <c r="AA111" s="94" t="s">
        <v>964</v>
      </c>
      <c r="AB111" s="94" t="s">
        <v>964</v>
      </c>
      <c r="AC111" s="94" t="s">
        <v>970</v>
      </c>
      <c r="AD111" s="101" t="s">
        <v>971</v>
      </c>
    </row>
    <row r="112" spans="1:30" s="104" customFormat="1" ht="12" hidden="1">
      <c r="A112" s="94" t="s">
        <v>1046</v>
      </c>
      <c r="B112" s="94" t="s">
        <v>14</v>
      </c>
      <c r="C112" s="94" t="s">
        <v>957</v>
      </c>
      <c r="D112" s="103" t="s">
        <v>1064</v>
      </c>
      <c r="E112" s="95"/>
      <c r="F112" s="94" t="s">
        <v>960</v>
      </c>
      <c r="G112" s="94" t="s">
        <v>960</v>
      </c>
      <c r="H112" s="94" t="s">
        <v>961</v>
      </c>
      <c r="I112" s="94"/>
      <c r="J112" s="94">
        <v>4</v>
      </c>
      <c r="K112" s="96" t="e">
        <f>VLOOKUP(Tabela13[[#This Row],[Prioridade]],[5]!TabelaPrioridade[#Data],2,FALSE)</f>
        <v>#REF!</v>
      </c>
      <c r="L112" s="96" t="e">
        <f>VLOOKUP(Tabela13[[#This Row],[Prioridade]],[5]!TabelaPrioridade[#Data],3,FALSE)</f>
        <v>#REF!</v>
      </c>
      <c r="M112" s="94" t="s">
        <v>960</v>
      </c>
      <c r="N112" s="94"/>
      <c r="O112" s="99">
        <v>8.3333333333333329E-2</v>
      </c>
      <c r="P112" s="94" t="s">
        <v>965</v>
      </c>
      <c r="Q112" s="97" t="e">
        <f>Tabela13[[#This Row],[Tempo Máximo Atendimento]]+"00:20:00"</f>
        <v>#REF!</v>
      </c>
      <c r="R112" s="94" t="s">
        <v>1082</v>
      </c>
      <c r="S112" s="108" t="s">
        <v>1065</v>
      </c>
      <c r="T112" s="97" t="s">
        <v>964</v>
      </c>
      <c r="U112" s="97" t="e">
        <f>Tabela13[[#This Row],[Tempo Máximo Total Resolução]]-Tabela13[[#This Row],[Tempo Máximo Escalada Funcional]]</f>
        <v>#REF!</v>
      </c>
      <c r="V112" s="94"/>
      <c r="W112" s="94" t="s">
        <v>964</v>
      </c>
      <c r="X112" s="94" t="s">
        <v>964</v>
      </c>
      <c r="Y112" s="95" t="s">
        <v>964</v>
      </c>
      <c r="Z112" s="94" t="s">
        <v>964</v>
      </c>
      <c r="AA112" s="94" t="s">
        <v>964</v>
      </c>
      <c r="AB112" s="94" t="s">
        <v>964</v>
      </c>
      <c r="AC112" s="94" t="s">
        <v>970</v>
      </c>
      <c r="AD112" s="101" t="s">
        <v>971</v>
      </c>
    </row>
    <row r="113" spans="1:30" s="104" customFormat="1" ht="12" hidden="1">
      <c r="A113" s="94" t="s">
        <v>1046</v>
      </c>
      <c r="B113" s="94" t="s">
        <v>14</v>
      </c>
      <c r="C113" s="94" t="s">
        <v>957</v>
      </c>
      <c r="D113" s="103" t="s">
        <v>1070</v>
      </c>
      <c r="E113" s="95"/>
      <c r="F113" s="94" t="s">
        <v>963</v>
      </c>
      <c r="G113" s="94" t="s">
        <v>960</v>
      </c>
      <c r="H113" s="94" t="s">
        <v>961</v>
      </c>
      <c r="I113" s="94"/>
      <c r="J113" s="94">
        <v>4</v>
      </c>
      <c r="K113" s="96" t="e">
        <f>VLOOKUP(Tabela13[[#This Row],[Prioridade]],[5]!TabelaPrioridade[#Data],2,FALSE)</f>
        <v>#REF!</v>
      </c>
      <c r="L113" s="96" t="e">
        <f>VLOOKUP(Tabela13[[#This Row],[Prioridade]],[5]!TabelaPrioridade[#Data],3,FALSE)</f>
        <v>#REF!</v>
      </c>
      <c r="M113" s="94" t="s">
        <v>960</v>
      </c>
      <c r="N113" s="94"/>
      <c r="O113" s="99">
        <v>8.3333333333333329E-2</v>
      </c>
      <c r="P113" s="94" t="s">
        <v>965</v>
      </c>
      <c r="Q113" s="97" t="e">
        <f>Tabela13[[#This Row],[Tempo Máximo Atendimento]]+"00:20:00"</f>
        <v>#REF!</v>
      </c>
      <c r="R113" s="94"/>
      <c r="S113" s="108" t="s">
        <v>1084</v>
      </c>
      <c r="T113" s="97" t="s">
        <v>964</v>
      </c>
      <c r="U113" s="97" t="e">
        <f>Tabela13[[#This Row],[Tempo Máximo Total Resolução]]-Tabela13[[#This Row],[Tempo Máximo Escalada Funcional]]</f>
        <v>#REF!</v>
      </c>
      <c r="V113" s="94"/>
      <c r="W113" s="94" t="s">
        <v>964</v>
      </c>
      <c r="X113" s="94" t="s">
        <v>964</v>
      </c>
      <c r="Y113" s="95" t="s">
        <v>964</v>
      </c>
      <c r="Z113" s="94" t="s">
        <v>964</v>
      </c>
      <c r="AA113" s="94" t="s">
        <v>964</v>
      </c>
      <c r="AB113" s="94" t="s">
        <v>964</v>
      </c>
      <c r="AC113" s="94" t="s">
        <v>970</v>
      </c>
      <c r="AD113" s="101" t="s">
        <v>971</v>
      </c>
    </row>
    <row r="114" spans="1:30" ht="15" hidden="1">
      <c r="A114" s="94" t="s">
        <v>1046</v>
      </c>
      <c r="B114" s="94" t="s">
        <v>14</v>
      </c>
      <c r="C114" s="94" t="s">
        <v>957</v>
      </c>
      <c r="D114" s="103" t="s">
        <v>1076</v>
      </c>
      <c r="E114" s="95"/>
      <c r="F114" s="94" t="s">
        <v>960</v>
      </c>
      <c r="G114" s="94" t="s">
        <v>960</v>
      </c>
      <c r="H114" s="94" t="s">
        <v>961</v>
      </c>
      <c r="I114" s="94"/>
      <c r="J114" s="94">
        <v>4</v>
      </c>
      <c r="K114" s="96" t="e">
        <f>VLOOKUP(Tabela13[[#This Row],[Prioridade]],[5]!TabelaPrioridade[#Data],2,FALSE)</f>
        <v>#REF!</v>
      </c>
      <c r="L114" s="96" t="e">
        <f>VLOOKUP(Tabela13[[#This Row],[Prioridade]],[5]!TabelaPrioridade[#Data],3,FALSE)</f>
        <v>#REF!</v>
      </c>
      <c r="M114" s="94" t="s">
        <v>960</v>
      </c>
      <c r="N114" s="94"/>
      <c r="O114" s="99">
        <v>8.3333333333333329E-2</v>
      </c>
      <c r="P114" s="94" t="s">
        <v>965</v>
      </c>
      <c r="Q114" s="97" t="e">
        <f>Tabela13[[#This Row],[Tempo Máximo Atendimento]]+"00:20:00"</f>
        <v>#REF!</v>
      </c>
      <c r="R114" s="94" t="s">
        <v>1082</v>
      </c>
      <c r="S114" s="108" t="s">
        <v>1077</v>
      </c>
      <c r="T114" s="97" t="s">
        <v>964</v>
      </c>
      <c r="U114" s="97" t="e">
        <f>Tabela13[[#This Row],[Tempo Máximo Total Resolução]]-Tabela13[[#This Row],[Tempo Máximo Escalada Funcional]]</f>
        <v>#REF!</v>
      </c>
      <c r="V114" s="94"/>
      <c r="W114" s="94" t="s">
        <v>964</v>
      </c>
      <c r="X114" s="94" t="s">
        <v>964</v>
      </c>
      <c r="Y114" s="95" t="s">
        <v>964</v>
      </c>
      <c r="Z114" s="94" t="s">
        <v>964</v>
      </c>
      <c r="AA114" s="94" t="s">
        <v>964</v>
      </c>
      <c r="AB114" s="94" t="s">
        <v>964</v>
      </c>
      <c r="AC114" s="94" t="s">
        <v>970</v>
      </c>
      <c r="AD114" s="101" t="s">
        <v>971</v>
      </c>
    </row>
    <row r="115" spans="1:30" ht="15" hidden="1">
      <c r="A115" s="94" t="s">
        <v>1046</v>
      </c>
      <c r="B115" s="94" t="s">
        <v>14</v>
      </c>
      <c r="C115" s="94" t="s">
        <v>957</v>
      </c>
      <c r="D115" s="103" t="s">
        <v>1057</v>
      </c>
      <c r="E115" s="95"/>
      <c r="F115" s="94" t="s">
        <v>960</v>
      </c>
      <c r="G115" s="94" t="s">
        <v>960</v>
      </c>
      <c r="H115" s="94" t="s">
        <v>961</v>
      </c>
      <c r="I115" s="94"/>
      <c r="J115" s="94">
        <v>4</v>
      </c>
      <c r="K115" s="96" t="e">
        <f>VLOOKUP(Tabela13[[#This Row],[Prioridade]],[5]!TabelaPrioridade[#Data],2,FALSE)</f>
        <v>#REF!</v>
      </c>
      <c r="L115" s="96" t="e">
        <f>VLOOKUP(Tabela13[[#This Row],[Prioridade]],[5]!TabelaPrioridade[#Data],3,FALSE)</f>
        <v>#REF!</v>
      </c>
      <c r="M115" s="94" t="s">
        <v>960</v>
      </c>
      <c r="N115" s="94"/>
      <c r="O115" s="99">
        <v>8.3333333333333329E-2</v>
      </c>
      <c r="P115" s="94" t="s">
        <v>965</v>
      </c>
      <c r="Q115" s="97" t="e">
        <f>Tabela13[[#This Row],[Tempo Máximo Atendimento]]+"00:20:00"</f>
        <v>#REF!</v>
      </c>
      <c r="R115" s="94" t="s">
        <v>1082</v>
      </c>
      <c r="S115" s="108" t="s">
        <v>1084</v>
      </c>
      <c r="T115" s="97" t="s">
        <v>964</v>
      </c>
      <c r="U115" s="97" t="e">
        <f>Tabela13[[#This Row],[Tempo Máximo Total Resolução]]-Tabela13[[#This Row],[Tempo Máximo Escalada Funcional]]</f>
        <v>#REF!</v>
      </c>
      <c r="V115" s="94"/>
      <c r="W115" s="94" t="s">
        <v>964</v>
      </c>
      <c r="X115" s="94" t="s">
        <v>964</v>
      </c>
      <c r="Y115" s="95" t="s">
        <v>964</v>
      </c>
      <c r="Z115" s="94" t="s">
        <v>964</v>
      </c>
      <c r="AA115" s="94" t="s">
        <v>964</v>
      </c>
      <c r="AB115" s="94" t="s">
        <v>964</v>
      </c>
      <c r="AC115" s="94" t="s">
        <v>970</v>
      </c>
      <c r="AD115" s="101" t="s">
        <v>971</v>
      </c>
    </row>
    <row r="116" spans="1:30" ht="15" hidden="1">
      <c r="A116" s="94" t="s">
        <v>1046</v>
      </c>
      <c r="B116" s="94" t="s">
        <v>14</v>
      </c>
      <c r="C116" s="94" t="s">
        <v>957</v>
      </c>
      <c r="D116" s="105" t="s">
        <v>1072</v>
      </c>
      <c r="E116" s="95"/>
      <c r="F116" s="94" t="s">
        <v>963</v>
      </c>
      <c r="G116" s="94" t="s">
        <v>960</v>
      </c>
      <c r="H116" s="94" t="s">
        <v>961</v>
      </c>
      <c r="I116" s="94"/>
      <c r="J116" s="94">
        <v>4</v>
      </c>
      <c r="K116" s="96" t="e">
        <f>VLOOKUP(Tabela13[[#This Row],[Prioridade]],[5]!TabelaPrioridade[#Data],2,FALSE)</f>
        <v>#REF!</v>
      </c>
      <c r="L116" s="96" t="e">
        <f>VLOOKUP(Tabela13[[#This Row],[Prioridade]],[5]!TabelaPrioridade[#Data],3,FALSE)</f>
        <v>#REF!</v>
      </c>
      <c r="M116" s="94" t="s">
        <v>960</v>
      </c>
      <c r="N116" s="94"/>
      <c r="O116" s="99">
        <v>8.3333333333333329E-2</v>
      </c>
      <c r="P116" s="94" t="s">
        <v>965</v>
      </c>
      <c r="Q116" s="97" t="e">
        <f>Tabela13[[#This Row],[Tempo Máximo Atendimento]]+"00:20:00"</f>
        <v>#REF!</v>
      </c>
      <c r="R116" s="94"/>
      <c r="S116" s="94" t="s">
        <v>980</v>
      </c>
      <c r="T116" s="97" t="s">
        <v>964</v>
      </c>
      <c r="U116" s="97" t="s">
        <v>964</v>
      </c>
      <c r="V116" s="94"/>
      <c r="W116" s="94" t="s">
        <v>964</v>
      </c>
      <c r="X116" s="94" t="s">
        <v>964</v>
      </c>
      <c r="Y116" s="95" t="s">
        <v>964</v>
      </c>
      <c r="Z116" s="94" t="s">
        <v>964</v>
      </c>
      <c r="AA116" s="94" t="s">
        <v>964</v>
      </c>
      <c r="AB116" s="94" t="s">
        <v>964</v>
      </c>
      <c r="AC116" s="94" t="s">
        <v>970</v>
      </c>
      <c r="AD116" s="101" t="s">
        <v>971</v>
      </c>
    </row>
    <row r="117" spans="1:30" ht="15" hidden="1">
      <c r="A117" s="94" t="s">
        <v>1046</v>
      </c>
      <c r="B117" s="94" t="s">
        <v>956</v>
      </c>
      <c r="C117" s="94" t="s">
        <v>957</v>
      </c>
      <c r="D117" s="105" t="s">
        <v>1047</v>
      </c>
      <c r="E117" s="95"/>
      <c r="F117" s="94" t="s">
        <v>963</v>
      </c>
      <c r="G117" s="94" t="s">
        <v>960</v>
      </c>
      <c r="H117" s="94" t="s">
        <v>961</v>
      </c>
      <c r="I117" s="94" t="s">
        <v>288</v>
      </c>
      <c r="J117" s="94">
        <v>4</v>
      </c>
      <c r="K117" s="96" t="e">
        <f>VLOOKUP(Tabela13[[#This Row],[Prioridade]],[5]!TabelaPrioridade[#Data],2,FALSE)</f>
        <v>#REF!</v>
      </c>
      <c r="L117" s="96" t="e">
        <f>VLOOKUP(Tabela13[[#This Row],[Prioridade]],[5]!TabelaPrioridade[#Data],3,FALSE)</f>
        <v>#REF!</v>
      </c>
      <c r="M117" s="94" t="s">
        <v>960</v>
      </c>
      <c r="N117" s="94"/>
      <c r="O117" s="99">
        <v>8.3333333333333329E-2</v>
      </c>
      <c r="P117" s="94" t="s">
        <v>965</v>
      </c>
      <c r="Q117" s="97" t="e">
        <f>Tabela13[[#This Row],[Tempo Máximo Atendimento]]+"00:20:00"</f>
        <v>#REF!</v>
      </c>
      <c r="R117" s="94"/>
      <c r="S117" s="94" t="s">
        <v>980</v>
      </c>
      <c r="T117" s="97" t="s">
        <v>964</v>
      </c>
      <c r="U117" s="97" t="s">
        <v>964</v>
      </c>
      <c r="V117" s="94"/>
      <c r="W117" s="94" t="s">
        <v>964</v>
      </c>
      <c r="X117" s="94" t="s">
        <v>964</v>
      </c>
      <c r="Y117" s="95" t="s">
        <v>964</v>
      </c>
      <c r="Z117" s="94" t="s">
        <v>964</v>
      </c>
      <c r="AA117" s="94" t="s">
        <v>964</v>
      </c>
      <c r="AB117" s="94" t="s">
        <v>964</v>
      </c>
      <c r="AC117" s="94" t="s">
        <v>970</v>
      </c>
      <c r="AD117" s="101" t="s">
        <v>971</v>
      </c>
    </row>
    <row r="118" spans="1:30" ht="15" hidden="1">
      <c r="A118" s="94" t="s">
        <v>1046</v>
      </c>
      <c r="B118" s="94" t="s">
        <v>956</v>
      </c>
      <c r="C118" s="94" t="s">
        <v>957</v>
      </c>
      <c r="D118" s="105" t="s">
        <v>1059</v>
      </c>
      <c r="E118" s="95"/>
      <c r="F118" s="94" t="s">
        <v>963</v>
      </c>
      <c r="G118" s="94" t="s">
        <v>960</v>
      </c>
      <c r="H118" s="94" t="s">
        <v>961</v>
      </c>
      <c r="I118" s="94" t="s">
        <v>288</v>
      </c>
      <c r="J118" s="94">
        <v>4</v>
      </c>
      <c r="K118" s="96" t="e">
        <f>VLOOKUP(Tabela13[[#This Row],[Prioridade]],[5]!TabelaPrioridade[#Data],2,FALSE)</f>
        <v>#REF!</v>
      </c>
      <c r="L118" s="96" t="e">
        <f>VLOOKUP(Tabela13[[#This Row],[Prioridade]],[5]!TabelaPrioridade[#Data],3,FALSE)</f>
        <v>#REF!</v>
      </c>
      <c r="M118" s="94" t="s">
        <v>960</v>
      </c>
      <c r="N118" s="94" t="s">
        <v>1000</v>
      </c>
      <c r="O118" s="99">
        <v>8.3333333333333329E-2</v>
      </c>
      <c r="P118" s="94" t="s">
        <v>965</v>
      </c>
      <c r="Q118" s="97" t="e">
        <f>Tabela13[[#This Row],[Tempo Máximo Atendimento]]+"00:20:00"</f>
        <v>#REF!</v>
      </c>
      <c r="R118" s="94"/>
      <c r="S118" s="94" t="s">
        <v>980</v>
      </c>
      <c r="T118" s="97" t="s">
        <v>964</v>
      </c>
      <c r="U118" s="97" t="s">
        <v>964</v>
      </c>
      <c r="V118" s="94"/>
      <c r="W118" s="94" t="s">
        <v>964</v>
      </c>
      <c r="X118" s="94" t="s">
        <v>964</v>
      </c>
      <c r="Y118" s="95" t="s">
        <v>964</v>
      </c>
      <c r="Z118" s="94" t="s">
        <v>964</v>
      </c>
      <c r="AA118" s="94" t="s">
        <v>964</v>
      </c>
      <c r="AB118" s="94" t="s">
        <v>964</v>
      </c>
      <c r="AC118" s="94" t="s">
        <v>970</v>
      </c>
      <c r="AD118" s="101" t="s">
        <v>971</v>
      </c>
    </row>
    <row r="119" spans="1:30" ht="15" hidden="1">
      <c r="A119" s="94" t="s">
        <v>1046</v>
      </c>
      <c r="B119" s="94" t="s">
        <v>14</v>
      </c>
      <c r="C119" s="94" t="s">
        <v>957</v>
      </c>
      <c r="D119" s="105" t="s">
        <v>1085</v>
      </c>
      <c r="E119" s="95"/>
      <c r="F119" s="94" t="s">
        <v>963</v>
      </c>
      <c r="G119" s="94" t="s">
        <v>960</v>
      </c>
      <c r="H119" s="94" t="s">
        <v>961</v>
      </c>
      <c r="I119" s="94"/>
      <c r="J119" s="94">
        <v>4</v>
      </c>
      <c r="K119" s="96" t="e">
        <f>VLOOKUP(Tabela13[[#This Row],[Prioridade]],[5]!TabelaPrioridade[#Data],2,FALSE)</f>
        <v>#REF!</v>
      </c>
      <c r="L119" s="96" t="e">
        <f>VLOOKUP(Tabela13[[#This Row],[Prioridade]],[5]!TabelaPrioridade[#Data],3,FALSE)</f>
        <v>#REF!</v>
      </c>
      <c r="M119" s="94" t="s">
        <v>963</v>
      </c>
      <c r="N119" s="94" t="s">
        <v>964</v>
      </c>
      <c r="O119" s="94" t="s">
        <v>964</v>
      </c>
      <c r="P119" s="94" t="s">
        <v>965</v>
      </c>
      <c r="Q119" s="97" t="e">
        <f>Tabela13[[#This Row],[Tempo Máximo Atendimento]]+"00:20:00"</f>
        <v>#REF!</v>
      </c>
      <c r="R119" s="94"/>
      <c r="S119" s="94" t="s">
        <v>980</v>
      </c>
      <c r="T119" s="97" t="s">
        <v>964</v>
      </c>
      <c r="U119" s="97" t="s">
        <v>964</v>
      </c>
      <c r="V119" s="94"/>
      <c r="W119" s="94" t="s">
        <v>964</v>
      </c>
      <c r="X119" s="94" t="s">
        <v>964</v>
      </c>
      <c r="Y119" s="95" t="s">
        <v>964</v>
      </c>
      <c r="Z119" s="94" t="s">
        <v>964</v>
      </c>
      <c r="AA119" s="94" t="s">
        <v>964</v>
      </c>
      <c r="AB119" s="94" t="s">
        <v>964</v>
      </c>
      <c r="AC119" s="94"/>
      <c r="AD119" s="94"/>
    </row>
    <row r="120" spans="1:30" s="102" customFormat="1" ht="12" hidden="1">
      <c r="A120" s="94" t="s">
        <v>1086</v>
      </c>
      <c r="B120" s="94" t="s">
        <v>14</v>
      </c>
      <c r="C120" s="94" t="s">
        <v>976</v>
      </c>
      <c r="D120" s="103" t="s">
        <v>977</v>
      </c>
      <c r="E120" s="95"/>
      <c r="F120" s="94" t="s">
        <v>963</v>
      </c>
      <c r="G120" s="94" t="s">
        <v>960</v>
      </c>
      <c r="H120" s="94" t="s">
        <v>961</v>
      </c>
      <c r="I120" s="94"/>
      <c r="J120" s="94">
        <v>4</v>
      </c>
      <c r="K120" s="96" t="e">
        <f>VLOOKUP(Tabela13[[#This Row],[Prioridade]],[5]!TabelaPrioridade[#Data],2,FALSE)</f>
        <v>#REF!</v>
      </c>
      <c r="L120" s="96" t="e">
        <f>VLOOKUP(Tabela13[[#This Row],[Prioridade]],[5]!TabelaPrioridade[#Data],3,FALSE)</f>
        <v>#REF!</v>
      </c>
      <c r="M120" s="94" t="s">
        <v>963</v>
      </c>
      <c r="N120" s="94" t="s">
        <v>964</v>
      </c>
      <c r="O120" s="94" t="s">
        <v>964</v>
      </c>
      <c r="P120" s="94" t="s">
        <v>965</v>
      </c>
      <c r="Q120" s="97" t="e">
        <f>Tabela13[[#This Row],[Tempo Máximo Atendimento]]+"00:20:00"</f>
        <v>#REF!</v>
      </c>
      <c r="R120" s="94"/>
      <c r="S120" s="94" t="s">
        <v>980</v>
      </c>
      <c r="T120" s="94" t="s">
        <v>964</v>
      </c>
      <c r="U120" s="94" t="s">
        <v>964</v>
      </c>
      <c r="V120" s="94"/>
      <c r="W120" s="94" t="s">
        <v>1005</v>
      </c>
      <c r="X120" s="94" t="s">
        <v>964</v>
      </c>
      <c r="Y120" s="95" t="s">
        <v>964</v>
      </c>
      <c r="Z120" s="94" t="s">
        <v>964</v>
      </c>
      <c r="AA120" s="94" t="s">
        <v>964</v>
      </c>
      <c r="AB120" s="94" t="s">
        <v>964</v>
      </c>
      <c r="AC120" s="94" t="s">
        <v>970</v>
      </c>
      <c r="AD120" s="101" t="s">
        <v>971</v>
      </c>
    </row>
    <row r="121" spans="1:30" s="104" customFormat="1" ht="12" hidden="1">
      <c r="A121" s="94" t="s">
        <v>1086</v>
      </c>
      <c r="B121" s="94" t="s">
        <v>14</v>
      </c>
      <c r="C121" s="94" t="s">
        <v>976</v>
      </c>
      <c r="D121" s="105" t="s">
        <v>566</v>
      </c>
      <c r="E121" s="95"/>
      <c r="F121" s="94" t="s">
        <v>963</v>
      </c>
      <c r="G121" s="94" t="s">
        <v>960</v>
      </c>
      <c r="H121" s="94" t="s">
        <v>961</v>
      </c>
      <c r="I121" s="94"/>
      <c r="J121" s="94">
        <v>4</v>
      </c>
      <c r="K121" s="96" t="e">
        <f>VLOOKUP(Tabela13[[#This Row],[Prioridade]],[5]!TabelaPrioridade[#Data],2,FALSE)</f>
        <v>#REF!</v>
      </c>
      <c r="L121" s="96" t="e">
        <f>VLOOKUP(Tabela13[[#This Row],[Prioridade]],[5]!TabelaPrioridade[#Data],3,FALSE)</f>
        <v>#REF!</v>
      </c>
      <c r="M121" s="94" t="s">
        <v>963</v>
      </c>
      <c r="N121" s="94" t="s">
        <v>964</v>
      </c>
      <c r="O121" s="94" t="s">
        <v>964</v>
      </c>
      <c r="P121" s="94" t="s">
        <v>965</v>
      </c>
      <c r="Q121" s="97" t="e">
        <f>Tabela13[[#This Row],[Tempo Máximo Atendimento]]+"00:20:00"</f>
        <v>#REF!</v>
      </c>
      <c r="R121" s="94"/>
      <c r="S121" s="94" t="s">
        <v>980</v>
      </c>
      <c r="T121" s="94" t="s">
        <v>964</v>
      </c>
      <c r="U121" s="94" t="s">
        <v>964</v>
      </c>
      <c r="V121" s="94"/>
      <c r="W121" s="94" t="s">
        <v>1005</v>
      </c>
      <c r="X121" s="94" t="s">
        <v>964</v>
      </c>
      <c r="Y121" s="95" t="s">
        <v>964</v>
      </c>
      <c r="Z121" s="94" t="s">
        <v>964</v>
      </c>
      <c r="AA121" s="94" t="s">
        <v>964</v>
      </c>
      <c r="AB121" s="94" t="s">
        <v>964</v>
      </c>
      <c r="AC121" s="94" t="s">
        <v>970</v>
      </c>
      <c r="AD121" s="101" t="s">
        <v>971</v>
      </c>
    </row>
    <row r="122" spans="1:30" s="104" customFormat="1" ht="12" hidden="1">
      <c r="A122" s="94" t="s">
        <v>1086</v>
      </c>
      <c r="B122" s="94" t="s">
        <v>14</v>
      </c>
      <c r="C122" s="94" t="s">
        <v>976</v>
      </c>
      <c r="D122" s="105" t="s">
        <v>565</v>
      </c>
      <c r="E122" s="95"/>
      <c r="F122" s="94" t="s">
        <v>963</v>
      </c>
      <c r="G122" s="94" t="s">
        <v>960</v>
      </c>
      <c r="H122" s="94" t="s">
        <v>961</v>
      </c>
      <c r="I122" s="94"/>
      <c r="J122" s="94">
        <v>3</v>
      </c>
      <c r="K122" s="96" t="e">
        <f>VLOOKUP(Tabela13[[#This Row],[Prioridade]],[5]!TabelaPrioridade[#Data],2,FALSE)</f>
        <v>#REF!</v>
      </c>
      <c r="L122" s="96" t="e">
        <f>VLOOKUP(Tabela13[[#This Row],[Prioridade]],[5]!TabelaPrioridade[#Data],3,FALSE)</f>
        <v>#REF!</v>
      </c>
      <c r="M122" s="94" t="s">
        <v>963</v>
      </c>
      <c r="N122" s="94" t="s">
        <v>964</v>
      </c>
      <c r="O122" s="94" t="s">
        <v>964</v>
      </c>
      <c r="P122" s="94" t="s">
        <v>965</v>
      </c>
      <c r="Q122" s="97" t="e">
        <f>Tabela13[[#This Row],[Tempo Máximo Atendimento]]+"00:20:00"</f>
        <v>#REF!</v>
      </c>
      <c r="R122" s="94"/>
      <c r="S122" s="94" t="s">
        <v>980</v>
      </c>
      <c r="T122" s="94" t="s">
        <v>964</v>
      </c>
      <c r="U122" s="94" t="s">
        <v>964</v>
      </c>
      <c r="V122" s="94"/>
      <c r="W122" s="94" t="s">
        <v>1005</v>
      </c>
      <c r="X122" s="94" t="s">
        <v>964</v>
      </c>
      <c r="Y122" s="95" t="s">
        <v>964</v>
      </c>
      <c r="Z122" s="94" t="s">
        <v>964</v>
      </c>
      <c r="AA122" s="94" t="s">
        <v>964</v>
      </c>
      <c r="AB122" s="94" t="s">
        <v>964</v>
      </c>
      <c r="AC122" s="94" t="s">
        <v>970</v>
      </c>
      <c r="AD122" s="99">
        <v>2.0833333333333332E-2</v>
      </c>
    </row>
    <row r="123" spans="1:30" s="104" customFormat="1" ht="12" hidden="1">
      <c r="A123" s="94" t="s">
        <v>1086</v>
      </c>
      <c r="B123" s="94" t="s">
        <v>14</v>
      </c>
      <c r="C123" s="94" t="s">
        <v>976</v>
      </c>
      <c r="D123" s="105" t="s">
        <v>987</v>
      </c>
      <c r="E123" s="95"/>
      <c r="F123" s="94" t="s">
        <v>963</v>
      </c>
      <c r="G123" s="94" t="s">
        <v>960</v>
      </c>
      <c r="H123" s="94" t="s">
        <v>961</v>
      </c>
      <c r="I123" s="94"/>
      <c r="J123" s="94">
        <v>4</v>
      </c>
      <c r="K123" s="96" t="e">
        <f>VLOOKUP(Tabela13[[#This Row],[Prioridade]],[5]!TabelaPrioridade[#Data],2,FALSE)</f>
        <v>#REF!</v>
      </c>
      <c r="L123" s="96" t="e">
        <f>VLOOKUP(Tabela13[[#This Row],[Prioridade]],[5]!TabelaPrioridade[#Data],3,FALSE)</f>
        <v>#REF!</v>
      </c>
      <c r="M123" s="94" t="s">
        <v>963</v>
      </c>
      <c r="N123" s="94" t="s">
        <v>964</v>
      </c>
      <c r="O123" s="94" t="s">
        <v>964</v>
      </c>
      <c r="P123" s="94" t="s">
        <v>965</v>
      </c>
      <c r="Q123" s="97" t="e">
        <f>Tabela13[[#This Row],[Tempo Máximo Atendimento]]+"00:20:00"</f>
        <v>#REF!</v>
      </c>
      <c r="R123" s="94"/>
      <c r="S123" s="94" t="s">
        <v>980</v>
      </c>
      <c r="T123" s="94" t="s">
        <v>964</v>
      </c>
      <c r="U123" s="94" t="s">
        <v>964</v>
      </c>
      <c r="V123" s="94"/>
      <c r="W123" s="94" t="s">
        <v>1005</v>
      </c>
      <c r="X123" s="94" t="s">
        <v>964</v>
      </c>
      <c r="Y123" s="95" t="s">
        <v>964</v>
      </c>
      <c r="Z123" s="94" t="s">
        <v>964</v>
      </c>
      <c r="AA123" s="94" t="s">
        <v>964</v>
      </c>
      <c r="AB123" s="94" t="s">
        <v>964</v>
      </c>
      <c r="AC123" s="94" t="s">
        <v>970</v>
      </c>
      <c r="AD123" s="101" t="s">
        <v>971</v>
      </c>
    </row>
    <row r="124" spans="1:30" ht="15" hidden="1">
      <c r="A124" s="94" t="s">
        <v>750</v>
      </c>
      <c r="B124" s="94" t="s">
        <v>14</v>
      </c>
      <c r="C124" s="94" t="s">
        <v>976</v>
      </c>
      <c r="D124" s="103" t="s">
        <v>977</v>
      </c>
      <c r="E124" s="95"/>
      <c r="F124" s="94" t="s">
        <v>963</v>
      </c>
      <c r="G124" s="94" t="s">
        <v>960</v>
      </c>
      <c r="H124" s="94" t="s">
        <v>961</v>
      </c>
      <c r="I124" s="94"/>
      <c r="J124" s="94">
        <v>2</v>
      </c>
      <c r="K124" s="96" t="e">
        <f>VLOOKUP(Tabela13[[#This Row],[Prioridade]],[5]!TabelaPrioridade[#Data],2,FALSE)</f>
        <v>#REF!</v>
      </c>
      <c r="L124" s="96" t="e">
        <f>VLOOKUP(Tabela13[[#This Row],[Prioridade]],[5]!TabelaPrioridade[#Data],3,FALSE)</f>
        <v>#REF!</v>
      </c>
      <c r="M124" s="94" t="s">
        <v>963</v>
      </c>
      <c r="N124" s="94" t="s">
        <v>964</v>
      </c>
      <c r="O124" s="94" t="s">
        <v>964</v>
      </c>
      <c r="P124" s="94" t="s">
        <v>965</v>
      </c>
      <c r="Q124" s="97" t="e">
        <f>Tabela13[[#This Row],[Tempo Máximo Atendimento]]+"00:20:00"</f>
        <v>#REF!</v>
      </c>
      <c r="R124" s="94"/>
      <c r="S124" s="94" t="s">
        <v>980</v>
      </c>
      <c r="T124" s="97" t="s">
        <v>964</v>
      </c>
      <c r="U124" s="97" t="s">
        <v>964</v>
      </c>
      <c r="V124" s="94"/>
      <c r="W124" s="94" t="s">
        <v>964</v>
      </c>
      <c r="X124" s="94" t="s">
        <v>964</v>
      </c>
      <c r="Y124" s="95" t="s">
        <v>964</v>
      </c>
      <c r="Z124" s="94" t="s">
        <v>964</v>
      </c>
      <c r="AA124" s="94" t="s">
        <v>964</v>
      </c>
      <c r="AB124" s="94" t="s">
        <v>964</v>
      </c>
      <c r="AC124" s="94" t="s">
        <v>970</v>
      </c>
      <c r="AD124" s="101" t="s">
        <v>971</v>
      </c>
    </row>
    <row r="125" spans="1:30" ht="15" hidden="1">
      <c r="A125" s="94" t="s">
        <v>750</v>
      </c>
      <c r="B125" s="94" t="s">
        <v>14</v>
      </c>
      <c r="C125" s="94" t="s">
        <v>976</v>
      </c>
      <c r="D125" s="105" t="s">
        <v>566</v>
      </c>
      <c r="E125" s="95"/>
      <c r="F125" s="94" t="s">
        <v>963</v>
      </c>
      <c r="G125" s="94" t="s">
        <v>960</v>
      </c>
      <c r="H125" s="94" t="s">
        <v>961</v>
      </c>
      <c r="I125" s="94"/>
      <c r="J125" s="94">
        <v>2</v>
      </c>
      <c r="K125" s="96" t="e">
        <f>VLOOKUP(Tabela13[[#This Row],[Prioridade]],[5]!TabelaPrioridade[#Data],2,FALSE)</f>
        <v>#REF!</v>
      </c>
      <c r="L125" s="96" t="e">
        <f>VLOOKUP(Tabela13[[#This Row],[Prioridade]],[5]!TabelaPrioridade[#Data],3,FALSE)</f>
        <v>#REF!</v>
      </c>
      <c r="M125" s="94" t="s">
        <v>963</v>
      </c>
      <c r="N125" s="94" t="s">
        <v>964</v>
      </c>
      <c r="O125" s="94" t="s">
        <v>964</v>
      </c>
      <c r="P125" s="94" t="s">
        <v>965</v>
      </c>
      <c r="Q125" s="97" t="e">
        <f>Tabela13[[#This Row],[Tempo Máximo Atendimento]]+"00:20:00"</f>
        <v>#REF!</v>
      </c>
      <c r="R125" s="94"/>
      <c r="S125" s="94" t="s">
        <v>980</v>
      </c>
      <c r="T125" s="97" t="s">
        <v>964</v>
      </c>
      <c r="U125" s="97" t="s">
        <v>964</v>
      </c>
      <c r="V125" s="94"/>
      <c r="W125" s="94" t="s">
        <v>964</v>
      </c>
      <c r="X125" s="94" t="s">
        <v>964</v>
      </c>
      <c r="Y125" s="95" t="s">
        <v>964</v>
      </c>
      <c r="Z125" s="94" t="s">
        <v>964</v>
      </c>
      <c r="AA125" s="94" t="s">
        <v>964</v>
      </c>
      <c r="AB125" s="94" t="s">
        <v>964</v>
      </c>
      <c r="AC125" s="94" t="s">
        <v>970</v>
      </c>
      <c r="AD125" s="101" t="s">
        <v>971</v>
      </c>
    </row>
    <row r="126" spans="1:30" s="102" customFormat="1" ht="12">
      <c r="A126" s="94" t="s">
        <v>750</v>
      </c>
      <c r="B126" s="94" t="s">
        <v>14</v>
      </c>
      <c r="C126" s="94" t="s">
        <v>976</v>
      </c>
      <c r="D126" s="105" t="s">
        <v>565</v>
      </c>
      <c r="E126" s="95"/>
      <c r="F126" s="94" t="s">
        <v>963</v>
      </c>
      <c r="G126" s="94" t="s">
        <v>960</v>
      </c>
      <c r="H126" s="94" t="s">
        <v>961</v>
      </c>
      <c r="I126" s="94"/>
      <c r="J126" s="94">
        <v>1</v>
      </c>
      <c r="K126" s="96" t="e">
        <f>VLOOKUP(Tabela13[[#This Row],[Prioridade]],[5]!TabelaPrioridade[#Data],2,FALSE)</f>
        <v>#REF!</v>
      </c>
      <c r="L126" s="96" t="e">
        <f>VLOOKUP(Tabela13[[#This Row],[Prioridade]],[5]!TabelaPrioridade[#Data],3,FALSE)</f>
        <v>#REF!</v>
      </c>
      <c r="M126" s="94" t="s">
        <v>963</v>
      </c>
      <c r="N126" s="94" t="s">
        <v>964</v>
      </c>
      <c r="O126" s="94" t="s">
        <v>964</v>
      </c>
      <c r="P126" s="94" t="s">
        <v>965</v>
      </c>
      <c r="Q126" s="97" t="e">
        <f>Tabela13[[#This Row],[Tempo Máximo Atendimento]]+"00:20:00"</f>
        <v>#REF!</v>
      </c>
      <c r="R126" s="94"/>
      <c r="S126" s="94" t="s">
        <v>980</v>
      </c>
      <c r="T126" s="97" t="s">
        <v>964</v>
      </c>
      <c r="U126" s="97" t="s">
        <v>964</v>
      </c>
      <c r="V126" s="94"/>
      <c r="W126" s="94" t="s">
        <v>964</v>
      </c>
      <c r="X126" s="94" t="s">
        <v>964</v>
      </c>
      <c r="Y126" s="95" t="s">
        <v>964</v>
      </c>
      <c r="Z126" s="94" t="s">
        <v>964</v>
      </c>
      <c r="AA126" s="94" t="s">
        <v>964</v>
      </c>
      <c r="AB126" s="94" t="s">
        <v>964</v>
      </c>
      <c r="AC126" s="94" t="s">
        <v>970</v>
      </c>
      <c r="AD126" s="99">
        <v>2.0833333333333332E-2</v>
      </c>
    </row>
    <row r="127" spans="1:30" s="104" customFormat="1" ht="12" hidden="1">
      <c r="A127" s="94" t="s">
        <v>750</v>
      </c>
      <c r="B127" s="94" t="s">
        <v>14</v>
      </c>
      <c r="C127" s="94" t="s">
        <v>976</v>
      </c>
      <c r="D127" s="105" t="s">
        <v>987</v>
      </c>
      <c r="E127" s="95"/>
      <c r="F127" s="94" t="s">
        <v>963</v>
      </c>
      <c r="G127" s="94" t="s">
        <v>960</v>
      </c>
      <c r="H127" s="94" t="s">
        <v>961</v>
      </c>
      <c r="I127" s="94"/>
      <c r="J127" s="94">
        <v>2</v>
      </c>
      <c r="K127" s="96" t="e">
        <f>VLOOKUP(Tabela13[[#This Row],[Prioridade]],[5]!TabelaPrioridade[#Data],2,FALSE)</f>
        <v>#REF!</v>
      </c>
      <c r="L127" s="96" t="e">
        <f>VLOOKUP(Tabela13[[#This Row],[Prioridade]],[5]!TabelaPrioridade[#Data],3,FALSE)</f>
        <v>#REF!</v>
      </c>
      <c r="M127" s="94" t="s">
        <v>963</v>
      </c>
      <c r="N127" s="94" t="s">
        <v>964</v>
      </c>
      <c r="O127" s="94" t="s">
        <v>964</v>
      </c>
      <c r="P127" s="94" t="s">
        <v>965</v>
      </c>
      <c r="Q127" s="97" t="e">
        <f>Tabela13[[#This Row],[Tempo Máximo Atendimento]]+"00:20:00"</f>
        <v>#REF!</v>
      </c>
      <c r="R127" s="94"/>
      <c r="S127" s="94" t="s">
        <v>980</v>
      </c>
      <c r="T127" s="97" t="s">
        <v>964</v>
      </c>
      <c r="U127" s="97" t="s">
        <v>964</v>
      </c>
      <c r="V127" s="94"/>
      <c r="W127" s="94" t="s">
        <v>964</v>
      </c>
      <c r="X127" s="94" t="s">
        <v>964</v>
      </c>
      <c r="Y127" s="95" t="s">
        <v>964</v>
      </c>
      <c r="Z127" s="94" t="s">
        <v>964</v>
      </c>
      <c r="AA127" s="94" t="s">
        <v>964</v>
      </c>
      <c r="AB127" s="94" t="s">
        <v>964</v>
      </c>
      <c r="AC127" s="94" t="s">
        <v>970</v>
      </c>
      <c r="AD127" s="101" t="s">
        <v>971</v>
      </c>
    </row>
    <row r="128" spans="1:30" s="104" customFormat="1" ht="12" hidden="1">
      <c r="A128" s="94" t="s">
        <v>1087</v>
      </c>
      <c r="B128" s="94" t="s">
        <v>956</v>
      </c>
      <c r="C128" s="94" t="s">
        <v>957</v>
      </c>
      <c r="D128" s="105" t="s">
        <v>1088</v>
      </c>
      <c r="E128" s="95"/>
      <c r="F128" s="94" t="s">
        <v>960</v>
      </c>
      <c r="G128" s="94" t="s">
        <v>960</v>
      </c>
      <c r="H128" s="94" t="s">
        <v>961</v>
      </c>
      <c r="I128" s="94" t="s">
        <v>962</v>
      </c>
      <c r="J128" s="94">
        <v>4</v>
      </c>
      <c r="K128" s="96" t="e">
        <f>VLOOKUP(Tabela13[[#This Row],[Prioridade]],[5]!TabelaPrioridade[#Data],2,FALSE)</f>
        <v>#REF!</v>
      </c>
      <c r="L128" s="96" t="e">
        <f>VLOOKUP(Tabela13[[#This Row],[Prioridade]],[5]!TabelaPrioridade[#Data],3,FALSE)</f>
        <v>#REF!</v>
      </c>
      <c r="M128" s="94" t="s">
        <v>963</v>
      </c>
      <c r="N128" s="94" t="s">
        <v>964</v>
      </c>
      <c r="O128" s="94" t="s">
        <v>964</v>
      </c>
      <c r="P128" s="94" t="s">
        <v>980</v>
      </c>
      <c r="Q128" s="97" t="e">
        <f>Tabela13[[#This Row],[Tempo Máximo Atendimento]]+"00:20:00"</f>
        <v>#REF!</v>
      </c>
      <c r="R128" s="94"/>
      <c r="S128" s="94" t="s">
        <v>1005</v>
      </c>
      <c r="T128" s="97" t="s">
        <v>964</v>
      </c>
      <c r="U128" s="97" t="s">
        <v>964</v>
      </c>
      <c r="V128" s="94"/>
      <c r="W128" s="94" t="s">
        <v>964</v>
      </c>
      <c r="X128" s="94" t="s">
        <v>964</v>
      </c>
      <c r="Y128" s="95" t="s">
        <v>964</v>
      </c>
      <c r="Z128" s="94" t="s">
        <v>964</v>
      </c>
      <c r="AA128" s="94" t="s">
        <v>964</v>
      </c>
      <c r="AB128" s="94" t="s">
        <v>964</v>
      </c>
      <c r="AC128" s="94" t="s">
        <v>970</v>
      </c>
      <c r="AD128" s="101" t="s">
        <v>971</v>
      </c>
    </row>
    <row r="129" spans="1:30" s="104" customFormat="1" ht="12" hidden="1">
      <c r="A129" s="94" t="s">
        <v>1087</v>
      </c>
      <c r="B129" s="94" t="s">
        <v>14</v>
      </c>
      <c r="C129" s="94" t="s">
        <v>957</v>
      </c>
      <c r="D129" s="105" t="s">
        <v>1089</v>
      </c>
      <c r="E129" s="95"/>
      <c r="F129" s="94" t="s">
        <v>963</v>
      </c>
      <c r="G129" s="94" t="s">
        <v>960</v>
      </c>
      <c r="H129" s="94" t="s">
        <v>961</v>
      </c>
      <c r="I129" s="94"/>
      <c r="J129" s="94">
        <v>4</v>
      </c>
      <c r="K129" s="96" t="e">
        <f>VLOOKUP(Tabela13[[#This Row],[Prioridade]],[5]!TabelaPrioridade[#Data],2,FALSE)</f>
        <v>#REF!</v>
      </c>
      <c r="L129" s="96" t="e">
        <f>VLOOKUP(Tabela13[[#This Row],[Prioridade]],[5]!TabelaPrioridade[#Data],3,FALSE)</f>
        <v>#REF!</v>
      </c>
      <c r="M129" s="94" t="s">
        <v>963</v>
      </c>
      <c r="N129" s="94"/>
      <c r="O129" s="94"/>
      <c r="P129" s="94" t="s">
        <v>965</v>
      </c>
      <c r="Q129" s="97" t="e">
        <f>Tabela13[[#This Row],[Tempo Máximo Atendimento]]+"00:20:00"</f>
        <v>#REF!</v>
      </c>
      <c r="R129" s="94"/>
      <c r="S129" s="94" t="s">
        <v>980</v>
      </c>
      <c r="T129" s="97" t="s">
        <v>964</v>
      </c>
      <c r="U129" s="97" t="s">
        <v>964</v>
      </c>
      <c r="V129" s="94"/>
      <c r="W129" s="94" t="s">
        <v>964</v>
      </c>
      <c r="X129" s="94" t="s">
        <v>964</v>
      </c>
      <c r="Y129" s="95" t="s">
        <v>964</v>
      </c>
      <c r="Z129" s="94" t="s">
        <v>964</v>
      </c>
      <c r="AA129" s="94" t="s">
        <v>964</v>
      </c>
      <c r="AB129" s="94" t="s">
        <v>964</v>
      </c>
      <c r="AC129" s="94" t="s">
        <v>970</v>
      </c>
      <c r="AD129" s="101" t="s">
        <v>971</v>
      </c>
    </row>
    <row r="130" spans="1:30" s="104" customFormat="1" ht="12" hidden="1">
      <c r="A130" s="94" t="s">
        <v>1087</v>
      </c>
      <c r="B130" s="94" t="s">
        <v>14</v>
      </c>
      <c r="C130" s="94" t="s">
        <v>957</v>
      </c>
      <c r="D130" s="105" t="s">
        <v>1090</v>
      </c>
      <c r="E130" s="95"/>
      <c r="F130" s="94" t="s">
        <v>963</v>
      </c>
      <c r="G130" s="94" t="s">
        <v>960</v>
      </c>
      <c r="H130" s="94" t="s">
        <v>961</v>
      </c>
      <c r="I130" s="94"/>
      <c r="J130" s="94">
        <v>4</v>
      </c>
      <c r="K130" s="96" t="e">
        <f>VLOOKUP(Tabela13[[#This Row],[Prioridade]],[5]!TabelaPrioridade[#Data],2,FALSE)</f>
        <v>#REF!</v>
      </c>
      <c r="L130" s="96" t="e">
        <f>VLOOKUP(Tabela13[[#This Row],[Prioridade]],[5]!TabelaPrioridade[#Data],3,FALSE)</f>
        <v>#REF!</v>
      </c>
      <c r="M130" s="94" t="s">
        <v>963</v>
      </c>
      <c r="N130" s="94"/>
      <c r="O130" s="94"/>
      <c r="P130" s="94" t="s">
        <v>965</v>
      </c>
      <c r="Q130" s="97" t="e">
        <f>Tabela13[[#This Row],[Tempo Máximo Atendimento]]+"00:20:00"</f>
        <v>#REF!</v>
      </c>
      <c r="R130" s="94"/>
      <c r="S130" s="94" t="s">
        <v>980</v>
      </c>
      <c r="T130" s="97" t="s">
        <v>964</v>
      </c>
      <c r="U130" s="97" t="s">
        <v>964</v>
      </c>
      <c r="V130" s="94"/>
      <c r="W130" s="94" t="s">
        <v>964</v>
      </c>
      <c r="X130" s="94" t="s">
        <v>964</v>
      </c>
      <c r="Y130" s="95" t="s">
        <v>964</v>
      </c>
      <c r="Z130" s="94" t="s">
        <v>964</v>
      </c>
      <c r="AA130" s="94" t="s">
        <v>964</v>
      </c>
      <c r="AB130" s="94" t="s">
        <v>964</v>
      </c>
      <c r="AC130" s="94" t="s">
        <v>970</v>
      </c>
      <c r="AD130" s="101" t="s">
        <v>971</v>
      </c>
    </row>
    <row r="131" spans="1:30" s="104" customFormat="1" ht="12" hidden="1">
      <c r="A131" s="94" t="s">
        <v>1087</v>
      </c>
      <c r="B131" s="94" t="s">
        <v>14</v>
      </c>
      <c r="C131" s="94" t="s">
        <v>957</v>
      </c>
      <c r="D131" s="105" t="s">
        <v>1091</v>
      </c>
      <c r="E131" s="95"/>
      <c r="F131" s="94" t="s">
        <v>963</v>
      </c>
      <c r="G131" s="94" t="s">
        <v>960</v>
      </c>
      <c r="H131" s="94" t="s">
        <v>961</v>
      </c>
      <c r="I131" s="94"/>
      <c r="J131" s="94">
        <v>4</v>
      </c>
      <c r="K131" s="96" t="e">
        <f>VLOOKUP(Tabela13[[#This Row],[Prioridade]],[5]!TabelaPrioridade[#Data],2,FALSE)</f>
        <v>#REF!</v>
      </c>
      <c r="L131" s="96" t="e">
        <f>VLOOKUP(Tabela13[[#This Row],[Prioridade]],[5]!TabelaPrioridade[#Data],3,FALSE)</f>
        <v>#REF!</v>
      </c>
      <c r="M131" s="94" t="s">
        <v>963</v>
      </c>
      <c r="N131" s="94"/>
      <c r="O131" s="94"/>
      <c r="P131" s="94" t="s">
        <v>965</v>
      </c>
      <c r="Q131" s="97" t="e">
        <f>Tabela13[[#This Row],[Tempo Máximo Atendimento]]+"00:20:00"</f>
        <v>#REF!</v>
      </c>
      <c r="R131" s="94"/>
      <c r="S131" s="94" t="s">
        <v>980</v>
      </c>
      <c r="T131" s="97" t="s">
        <v>964</v>
      </c>
      <c r="U131" s="97" t="s">
        <v>964</v>
      </c>
      <c r="V131" s="94"/>
      <c r="W131" s="94" t="s">
        <v>964</v>
      </c>
      <c r="X131" s="94" t="s">
        <v>964</v>
      </c>
      <c r="Y131" s="95" t="s">
        <v>964</v>
      </c>
      <c r="Z131" s="94" t="s">
        <v>964</v>
      </c>
      <c r="AA131" s="94" t="s">
        <v>964</v>
      </c>
      <c r="AB131" s="94" t="s">
        <v>964</v>
      </c>
      <c r="AC131" s="94" t="s">
        <v>970</v>
      </c>
      <c r="AD131" s="101" t="s">
        <v>971</v>
      </c>
    </row>
    <row r="132" spans="1:30" s="104" customFormat="1" ht="12" hidden="1">
      <c r="A132" s="94" t="s">
        <v>1087</v>
      </c>
      <c r="B132" s="94" t="s">
        <v>14</v>
      </c>
      <c r="C132" s="94" t="s">
        <v>957</v>
      </c>
      <c r="D132" s="95" t="s">
        <v>1092</v>
      </c>
      <c r="E132" s="95"/>
      <c r="F132" s="94" t="s">
        <v>963</v>
      </c>
      <c r="G132" s="94" t="s">
        <v>960</v>
      </c>
      <c r="H132" s="94" t="s">
        <v>961</v>
      </c>
      <c r="I132" s="94"/>
      <c r="J132" s="94">
        <v>4</v>
      </c>
      <c r="K132" s="96" t="e">
        <f>VLOOKUP(Tabela13[[#This Row],[Prioridade]],[5]!TabelaPrioridade[#Data],2,FALSE)</f>
        <v>#REF!</v>
      </c>
      <c r="L132" s="96" t="e">
        <f>VLOOKUP(Tabela13[[#This Row],[Prioridade]],[5]!TabelaPrioridade[#Data],3,FALSE)</f>
        <v>#REF!</v>
      </c>
      <c r="M132" s="94" t="s">
        <v>960</v>
      </c>
      <c r="N132" s="94" t="s">
        <v>983</v>
      </c>
      <c r="O132" s="94"/>
      <c r="P132" s="94" t="s">
        <v>965</v>
      </c>
      <c r="Q132" s="97" t="e">
        <f>Tabela13[[#This Row],[Tempo Máximo Atendimento]]+"00:20:00"</f>
        <v>#REF!</v>
      </c>
      <c r="R132" s="94"/>
      <c r="S132" s="94" t="s">
        <v>980</v>
      </c>
      <c r="T132" s="97" t="s">
        <v>964</v>
      </c>
      <c r="U132" s="97" t="s">
        <v>964</v>
      </c>
      <c r="V132" s="94"/>
      <c r="W132" s="94" t="s">
        <v>964</v>
      </c>
      <c r="X132" s="94" t="s">
        <v>964</v>
      </c>
      <c r="Y132" s="95" t="s">
        <v>964</v>
      </c>
      <c r="Z132" s="94" t="s">
        <v>964</v>
      </c>
      <c r="AA132" s="94" t="s">
        <v>964</v>
      </c>
      <c r="AB132" s="94" t="s">
        <v>964</v>
      </c>
      <c r="AC132" s="94" t="s">
        <v>970</v>
      </c>
      <c r="AD132" s="101" t="s">
        <v>971</v>
      </c>
    </row>
    <row r="133" spans="1:30" ht="15" hidden="1">
      <c r="A133" s="94" t="s">
        <v>1087</v>
      </c>
      <c r="B133" s="94" t="s">
        <v>956</v>
      </c>
      <c r="C133" s="94" t="s">
        <v>976</v>
      </c>
      <c r="D133" s="105" t="s">
        <v>977</v>
      </c>
      <c r="E133" s="95"/>
      <c r="F133" s="94" t="s">
        <v>963</v>
      </c>
      <c r="G133" s="94" t="s">
        <v>960</v>
      </c>
      <c r="H133" s="94" t="s">
        <v>961</v>
      </c>
      <c r="I133" s="94" t="s">
        <v>962</v>
      </c>
      <c r="J133" s="94">
        <v>4</v>
      </c>
      <c r="K133" s="96" t="e">
        <f>VLOOKUP(Tabela13[[#This Row],[Prioridade]],[5]!TabelaPrioridade[#Data],2,FALSE)</f>
        <v>#REF!</v>
      </c>
      <c r="L133" s="96" t="e">
        <f>VLOOKUP(Tabela13[[#This Row],[Prioridade]],[5]!TabelaPrioridade[#Data],3,FALSE)</f>
        <v>#REF!</v>
      </c>
      <c r="M133" s="94" t="s">
        <v>963</v>
      </c>
      <c r="N133" s="94" t="s">
        <v>964</v>
      </c>
      <c r="O133" s="94" t="s">
        <v>964</v>
      </c>
      <c r="P133" s="94" t="s">
        <v>965</v>
      </c>
      <c r="Q133" s="97" t="e">
        <f>Tabela13[[#This Row],[Tempo Máximo Atendimento]]+"00:20:00"</f>
        <v>#REF!</v>
      </c>
      <c r="R133" s="94"/>
      <c r="S133" s="94" t="s">
        <v>980</v>
      </c>
      <c r="T133" s="97" t="s">
        <v>964</v>
      </c>
      <c r="U133" s="97" t="s">
        <v>964</v>
      </c>
      <c r="V133" s="94"/>
      <c r="W133" s="94" t="s">
        <v>964</v>
      </c>
      <c r="X133" s="94" t="s">
        <v>964</v>
      </c>
      <c r="Y133" s="95" t="s">
        <v>964</v>
      </c>
      <c r="Z133" s="94" t="s">
        <v>964</v>
      </c>
      <c r="AA133" s="94" t="s">
        <v>964</v>
      </c>
      <c r="AB133" s="94" t="s">
        <v>964</v>
      </c>
      <c r="AC133" s="94" t="s">
        <v>970</v>
      </c>
      <c r="AD133" s="101" t="s">
        <v>971</v>
      </c>
    </row>
    <row r="134" spans="1:30" ht="15" hidden="1">
      <c r="A134" s="94" t="s">
        <v>1087</v>
      </c>
      <c r="B134" s="94" t="s">
        <v>956</v>
      </c>
      <c r="C134" s="94" t="s">
        <v>957</v>
      </c>
      <c r="D134" s="95" t="s">
        <v>1093</v>
      </c>
      <c r="E134" s="95" t="s">
        <v>1094</v>
      </c>
      <c r="F134" s="94" t="s">
        <v>960</v>
      </c>
      <c r="G134" s="94" t="s">
        <v>960</v>
      </c>
      <c r="H134" s="94" t="s">
        <v>961</v>
      </c>
      <c r="I134" s="94" t="s">
        <v>962</v>
      </c>
      <c r="J134" s="94">
        <v>4</v>
      </c>
      <c r="K134" s="96" t="e">
        <f>VLOOKUP(Tabela13[[#This Row],[Prioridade]],[5]!TabelaPrioridade[#Data],2,FALSE)</f>
        <v>#REF!</v>
      </c>
      <c r="L134" s="96" t="e">
        <f>VLOOKUP(Tabela13[[#This Row],[Prioridade]],[5]!TabelaPrioridade[#Data],3,FALSE)</f>
        <v>#REF!</v>
      </c>
      <c r="M134" s="94" t="s">
        <v>963</v>
      </c>
      <c r="N134" s="94" t="s">
        <v>964</v>
      </c>
      <c r="O134" s="94" t="s">
        <v>964</v>
      </c>
      <c r="P134" s="94" t="s">
        <v>980</v>
      </c>
      <c r="Q134" s="97" t="e">
        <f>Tabela13[[#This Row],[Tempo Máximo Atendimento]]+"00:20:00"</f>
        <v>#REF!</v>
      </c>
      <c r="R134" s="94"/>
      <c r="S134" s="94" t="s">
        <v>980</v>
      </c>
      <c r="T134" s="97" t="s">
        <v>964</v>
      </c>
      <c r="U134" s="97" t="s">
        <v>964</v>
      </c>
      <c r="V134" s="94"/>
      <c r="W134" s="94" t="s">
        <v>964</v>
      </c>
      <c r="X134" s="94" t="s">
        <v>964</v>
      </c>
      <c r="Y134" s="95" t="s">
        <v>964</v>
      </c>
      <c r="Z134" s="94" t="s">
        <v>964</v>
      </c>
      <c r="AA134" s="94" t="s">
        <v>964</v>
      </c>
      <c r="AB134" s="94" t="s">
        <v>964</v>
      </c>
      <c r="AC134" s="94" t="s">
        <v>970</v>
      </c>
      <c r="AD134" s="101" t="s">
        <v>971</v>
      </c>
    </row>
    <row r="135" spans="1:30" ht="15" hidden="1">
      <c r="A135" s="94" t="s">
        <v>1087</v>
      </c>
      <c r="B135" s="94" t="s">
        <v>14</v>
      </c>
      <c r="C135" s="94" t="s">
        <v>976</v>
      </c>
      <c r="D135" s="105" t="s">
        <v>566</v>
      </c>
      <c r="E135" s="95"/>
      <c r="F135" s="94" t="s">
        <v>963</v>
      </c>
      <c r="G135" s="94" t="s">
        <v>960</v>
      </c>
      <c r="H135" s="94" t="s">
        <v>961</v>
      </c>
      <c r="I135" s="94"/>
      <c r="J135" s="94">
        <v>2</v>
      </c>
      <c r="K135" s="96" t="e">
        <f>VLOOKUP(Tabela13[[#This Row],[Prioridade]],[5]!TabelaPrioridade[#Data],2,FALSE)</f>
        <v>#REF!</v>
      </c>
      <c r="L135" s="96" t="e">
        <f>VLOOKUP(Tabela13[[#This Row],[Prioridade]],[5]!TabelaPrioridade[#Data],3,FALSE)</f>
        <v>#REF!</v>
      </c>
      <c r="M135" s="94" t="s">
        <v>963</v>
      </c>
      <c r="N135" s="94" t="s">
        <v>964</v>
      </c>
      <c r="O135" s="94" t="s">
        <v>964</v>
      </c>
      <c r="P135" s="94" t="s">
        <v>965</v>
      </c>
      <c r="Q135" s="97" t="e">
        <f>Tabela13[[#This Row],[Tempo Máximo Atendimento]]+"00:20:00"</f>
        <v>#REF!</v>
      </c>
      <c r="R135" s="94"/>
      <c r="S135" s="94" t="s">
        <v>980</v>
      </c>
      <c r="T135" s="97" t="s">
        <v>964</v>
      </c>
      <c r="U135" s="97" t="s">
        <v>964</v>
      </c>
      <c r="V135" s="94"/>
      <c r="W135" s="94" t="s">
        <v>964</v>
      </c>
      <c r="X135" s="94" t="s">
        <v>964</v>
      </c>
      <c r="Y135" s="95" t="s">
        <v>964</v>
      </c>
      <c r="Z135" s="94" t="s">
        <v>964</v>
      </c>
      <c r="AA135" s="94" t="s">
        <v>964</v>
      </c>
      <c r="AB135" s="94" t="s">
        <v>964</v>
      </c>
      <c r="AC135" s="94" t="s">
        <v>970</v>
      </c>
      <c r="AD135" s="101" t="s">
        <v>971</v>
      </c>
    </row>
    <row r="136" spans="1:30" ht="15">
      <c r="A136" s="94" t="s">
        <v>1087</v>
      </c>
      <c r="B136" s="94" t="s">
        <v>14</v>
      </c>
      <c r="C136" s="94" t="s">
        <v>976</v>
      </c>
      <c r="D136" s="105" t="s">
        <v>565</v>
      </c>
      <c r="E136" s="95"/>
      <c r="F136" s="94" t="s">
        <v>963</v>
      </c>
      <c r="G136" s="94" t="s">
        <v>960</v>
      </c>
      <c r="H136" s="94" t="s">
        <v>961</v>
      </c>
      <c r="I136" s="94"/>
      <c r="J136" s="94">
        <v>1</v>
      </c>
      <c r="K136" s="96" t="e">
        <f>VLOOKUP(Tabela13[[#This Row],[Prioridade]],[5]!TabelaPrioridade[#Data],2,FALSE)</f>
        <v>#REF!</v>
      </c>
      <c r="L136" s="96" t="e">
        <f>VLOOKUP(Tabela13[[#This Row],[Prioridade]],[5]!TabelaPrioridade[#Data],3,FALSE)</f>
        <v>#REF!</v>
      </c>
      <c r="M136" s="94" t="s">
        <v>963</v>
      </c>
      <c r="N136" s="94" t="s">
        <v>964</v>
      </c>
      <c r="O136" s="94" t="s">
        <v>964</v>
      </c>
      <c r="P136" s="94" t="s">
        <v>965</v>
      </c>
      <c r="Q136" s="97" t="e">
        <f>Tabela13[[#This Row],[Tempo Máximo Atendimento]]+"00:20:00"</f>
        <v>#REF!</v>
      </c>
      <c r="R136" s="94"/>
      <c r="S136" s="94" t="s">
        <v>980</v>
      </c>
      <c r="T136" s="97" t="s">
        <v>964</v>
      </c>
      <c r="U136" s="97" t="s">
        <v>964</v>
      </c>
      <c r="V136" s="94"/>
      <c r="W136" s="94" t="s">
        <v>964</v>
      </c>
      <c r="X136" s="94" t="s">
        <v>964</v>
      </c>
      <c r="Y136" s="95" t="s">
        <v>964</v>
      </c>
      <c r="Z136" s="94" t="s">
        <v>964</v>
      </c>
      <c r="AA136" s="94" t="s">
        <v>964</v>
      </c>
      <c r="AB136" s="94" t="s">
        <v>964</v>
      </c>
      <c r="AC136" s="94" t="s">
        <v>970</v>
      </c>
      <c r="AD136" s="99">
        <v>2.0833333333333332E-2</v>
      </c>
    </row>
    <row r="137" spans="1:30" ht="15" hidden="1">
      <c r="A137" s="94" t="s">
        <v>1087</v>
      </c>
      <c r="B137" s="94" t="s">
        <v>14</v>
      </c>
      <c r="C137" s="94" t="s">
        <v>976</v>
      </c>
      <c r="D137" s="105" t="s">
        <v>987</v>
      </c>
      <c r="E137" s="95"/>
      <c r="F137" s="94" t="s">
        <v>963</v>
      </c>
      <c r="G137" s="94" t="s">
        <v>960</v>
      </c>
      <c r="H137" s="94" t="s">
        <v>961</v>
      </c>
      <c r="I137" s="94"/>
      <c r="J137" s="94">
        <v>2</v>
      </c>
      <c r="K137" s="96" t="e">
        <f>VLOOKUP(Tabela13[[#This Row],[Prioridade]],[5]!TabelaPrioridade[#Data],2,FALSE)</f>
        <v>#REF!</v>
      </c>
      <c r="L137" s="96" t="e">
        <f>VLOOKUP(Tabela13[[#This Row],[Prioridade]],[5]!TabelaPrioridade[#Data],3,FALSE)</f>
        <v>#REF!</v>
      </c>
      <c r="M137" s="94" t="s">
        <v>963</v>
      </c>
      <c r="N137" s="94" t="s">
        <v>964</v>
      </c>
      <c r="O137" s="94" t="s">
        <v>964</v>
      </c>
      <c r="P137" s="94" t="s">
        <v>965</v>
      </c>
      <c r="Q137" s="97" t="e">
        <f>Tabela13[[#This Row],[Tempo Máximo Atendimento]]+"00:20:00"</f>
        <v>#REF!</v>
      </c>
      <c r="R137" s="94"/>
      <c r="S137" s="94" t="s">
        <v>980</v>
      </c>
      <c r="T137" s="97" t="s">
        <v>964</v>
      </c>
      <c r="U137" s="97" t="s">
        <v>964</v>
      </c>
      <c r="V137" s="94"/>
      <c r="W137" s="94" t="s">
        <v>964</v>
      </c>
      <c r="X137" s="94" t="s">
        <v>964</v>
      </c>
      <c r="Y137" s="95" t="s">
        <v>964</v>
      </c>
      <c r="Z137" s="94" t="s">
        <v>964</v>
      </c>
      <c r="AA137" s="94" t="s">
        <v>964</v>
      </c>
      <c r="AB137" s="94" t="s">
        <v>964</v>
      </c>
      <c r="AC137" s="94" t="s">
        <v>970</v>
      </c>
      <c r="AD137" s="101" t="s">
        <v>971</v>
      </c>
    </row>
    <row r="138" spans="1:30" ht="15" hidden="1">
      <c r="A138" s="94" t="s">
        <v>1087</v>
      </c>
      <c r="B138" s="94" t="s">
        <v>956</v>
      </c>
      <c r="C138" s="94" t="s">
        <v>957</v>
      </c>
      <c r="D138" s="95" t="s">
        <v>1095</v>
      </c>
      <c r="E138" s="95"/>
      <c r="F138" s="94" t="s">
        <v>960</v>
      </c>
      <c r="G138" s="94" t="s">
        <v>960</v>
      </c>
      <c r="H138" s="94" t="s">
        <v>961</v>
      </c>
      <c r="I138" s="94" t="s">
        <v>962</v>
      </c>
      <c r="J138" s="94">
        <v>4</v>
      </c>
      <c r="K138" s="96" t="e">
        <f>VLOOKUP(Tabela13[[#This Row],[Prioridade]],[5]!TabelaPrioridade[#Data],2,FALSE)</f>
        <v>#REF!</v>
      </c>
      <c r="L138" s="96" t="e">
        <f>VLOOKUP(Tabela13[[#This Row],[Prioridade]],[5]!TabelaPrioridade[#Data],3,FALSE)</f>
        <v>#REF!</v>
      </c>
      <c r="M138" s="94" t="s">
        <v>963</v>
      </c>
      <c r="N138" s="94" t="s">
        <v>964</v>
      </c>
      <c r="O138" s="94" t="s">
        <v>964</v>
      </c>
      <c r="P138" s="94" t="s">
        <v>980</v>
      </c>
      <c r="Q138" s="97" t="e">
        <f>Tabela13[[#This Row],[Tempo Máximo Atendimento]]+"00:20:00"</f>
        <v>#REF!</v>
      </c>
      <c r="R138" s="94"/>
      <c r="S138" s="94" t="s">
        <v>964</v>
      </c>
      <c r="T138" s="97" t="s">
        <v>964</v>
      </c>
      <c r="U138" s="94" t="s">
        <v>964</v>
      </c>
      <c r="V138" s="94" t="s">
        <v>964</v>
      </c>
      <c r="W138" s="94" t="s">
        <v>964</v>
      </c>
      <c r="X138" s="94" t="s">
        <v>964</v>
      </c>
      <c r="Y138" s="95" t="s">
        <v>964</v>
      </c>
      <c r="Z138" s="94" t="s">
        <v>964</v>
      </c>
      <c r="AA138" s="94" t="s">
        <v>964</v>
      </c>
      <c r="AB138" s="94" t="s">
        <v>964</v>
      </c>
      <c r="AC138" s="94" t="s">
        <v>970</v>
      </c>
      <c r="AD138" s="101" t="s">
        <v>971</v>
      </c>
    </row>
    <row r="139" spans="1:30" ht="15" hidden="1">
      <c r="A139" s="94" t="s">
        <v>1096</v>
      </c>
      <c r="B139" s="94" t="s">
        <v>956</v>
      </c>
      <c r="C139" s="94" t="s">
        <v>957</v>
      </c>
      <c r="D139" s="95" t="s">
        <v>958</v>
      </c>
      <c r="E139" s="95"/>
      <c r="F139" s="94" t="s">
        <v>960</v>
      </c>
      <c r="G139" s="94" t="s">
        <v>960</v>
      </c>
      <c r="H139" s="94" t="s">
        <v>961</v>
      </c>
      <c r="I139" s="94" t="s">
        <v>962</v>
      </c>
      <c r="J139" s="94">
        <v>4</v>
      </c>
      <c r="K139" s="96" t="e">
        <f>VLOOKUP(Tabela13[[#This Row],[Prioridade]],[5]!TabelaPrioridade[#Data],2,FALSE)</f>
        <v>#REF!</v>
      </c>
      <c r="L139" s="96" t="e">
        <f>VLOOKUP(Tabela13[[#This Row],[Prioridade]],[5]!TabelaPrioridade[#Data],3,FALSE)</f>
        <v>#REF!</v>
      </c>
      <c r="M139" s="94" t="s">
        <v>963</v>
      </c>
      <c r="N139" s="94" t="s">
        <v>964</v>
      </c>
      <c r="O139" s="94" t="s">
        <v>964</v>
      </c>
      <c r="P139" s="94" t="s">
        <v>967</v>
      </c>
      <c r="Q139" s="97" t="e">
        <f>Tabela13[[#This Row],[Tempo Máximo Atendimento]]+"00:20:00"</f>
        <v>#REF!</v>
      </c>
      <c r="R139" s="94"/>
      <c r="S139" s="94" t="s">
        <v>1042</v>
      </c>
      <c r="T139" s="97" t="s">
        <v>964</v>
      </c>
      <c r="U139" s="97" t="s">
        <v>964</v>
      </c>
      <c r="V139" s="94"/>
      <c r="W139" s="94" t="s">
        <v>964</v>
      </c>
      <c r="X139" s="94" t="s">
        <v>964</v>
      </c>
      <c r="Y139" s="95" t="s">
        <v>964</v>
      </c>
      <c r="Z139" s="94" t="s">
        <v>964</v>
      </c>
      <c r="AA139" s="94" t="s">
        <v>964</v>
      </c>
      <c r="AB139" s="94" t="s">
        <v>964</v>
      </c>
      <c r="AC139" s="94" t="s">
        <v>970</v>
      </c>
      <c r="AD139" s="101" t="s">
        <v>971</v>
      </c>
    </row>
    <row r="140" spans="1:30" ht="15" hidden="1">
      <c r="A140" s="94" t="s">
        <v>1096</v>
      </c>
      <c r="B140" s="94" t="s">
        <v>14</v>
      </c>
      <c r="C140" s="94" t="s">
        <v>957</v>
      </c>
      <c r="D140" s="95" t="s">
        <v>958</v>
      </c>
      <c r="E140" s="95" t="s">
        <v>959</v>
      </c>
      <c r="F140" s="94" t="s">
        <v>960</v>
      </c>
      <c r="G140" s="94" t="s">
        <v>960</v>
      </c>
      <c r="H140" s="94" t="s">
        <v>961</v>
      </c>
      <c r="I140" s="94"/>
      <c r="J140" s="94">
        <v>4</v>
      </c>
      <c r="K140" s="96" t="e">
        <f>VLOOKUP(Tabela13[[#This Row],[Prioridade]],[5]!TabelaPrioridade[#Data],2,FALSE)</f>
        <v>#REF!</v>
      </c>
      <c r="L140" s="96" t="e">
        <f>VLOOKUP(Tabela13[[#This Row],[Prioridade]],[5]!TabelaPrioridade[#Data],3,FALSE)</f>
        <v>#REF!</v>
      </c>
      <c r="M140" s="94" t="s">
        <v>960</v>
      </c>
      <c r="N140" s="94" t="s">
        <v>1020</v>
      </c>
      <c r="O140" s="94"/>
      <c r="P140" s="94" t="s">
        <v>967</v>
      </c>
      <c r="Q140" s="97" t="e">
        <f>Tabela13[[#This Row],[Tempo Máximo Atendimento]]+"00:20:00"</f>
        <v>#REF!</v>
      </c>
      <c r="R140" s="94"/>
      <c r="S140" s="94" t="s">
        <v>1042</v>
      </c>
      <c r="T140" s="97" t="s">
        <v>964</v>
      </c>
      <c r="U140" s="97" t="s">
        <v>964</v>
      </c>
      <c r="V140" s="94"/>
      <c r="W140" s="94" t="s">
        <v>964</v>
      </c>
      <c r="X140" s="94" t="s">
        <v>964</v>
      </c>
      <c r="Y140" s="95" t="s">
        <v>964</v>
      </c>
      <c r="Z140" s="94" t="s">
        <v>964</v>
      </c>
      <c r="AA140" s="94" t="s">
        <v>964</v>
      </c>
      <c r="AB140" s="94" t="s">
        <v>964</v>
      </c>
      <c r="AC140" s="94" t="s">
        <v>970</v>
      </c>
      <c r="AD140" s="101" t="s">
        <v>971</v>
      </c>
    </row>
    <row r="141" spans="1:30" s="102" customFormat="1" ht="12" hidden="1">
      <c r="A141" s="94" t="s">
        <v>1096</v>
      </c>
      <c r="B141" s="94" t="s">
        <v>956</v>
      </c>
      <c r="C141" s="94" t="s">
        <v>957</v>
      </c>
      <c r="D141" s="95" t="s">
        <v>1097</v>
      </c>
      <c r="E141" s="95"/>
      <c r="F141" s="94" t="s">
        <v>960</v>
      </c>
      <c r="G141" s="94" t="s">
        <v>960</v>
      </c>
      <c r="H141" s="94" t="s">
        <v>961</v>
      </c>
      <c r="I141" s="94" t="s">
        <v>962</v>
      </c>
      <c r="J141" s="94">
        <v>4</v>
      </c>
      <c r="K141" s="96" t="e">
        <f>VLOOKUP(Tabela13[[#This Row],[Prioridade]],[5]!TabelaPrioridade[#Data],2,FALSE)</f>
        <v>#REF!</v>
      </c>
      <c r="L141" s="96" t="e">
        <f>VLOOKUP(Tabela13[[#This Row],[Prioridade]],[5]!TabelaPrioridade[#Data],3,FALSE)</f>
        <v>#REF!</v>
      </c>
      <c r="M141" s="94" t="s">
        <v>963</v>
      </c>
      <c r="N141" s="94" t="s">
        <v>964</v>
      </c>
      <c r="O141" s="94" t="s">
        <v>964</v>
      </c>
      <c r="P141" s="94" t="s">
        <v>967</v>
      </c>
      <c r="Q141" s="97" t="e">
        <f>Tabela13[[#This Row],[Tempo Máximo Atendimento]]+"00:20:00"</f>
        <v>#REF!</v>
      </c>
      <c r="R141" s="94"/>
      <c r="S141" s="94" t="s">
        <v>1042</v>
      </c>
      <c r="T141" s="97" t="s">
        <v>964</v>
      </c>
      <c r="U141" s="97" t="s">
        <v>964</v>
      </c>
      <c r="V141" s="94"/>
      <c r="W141" s="94" t="s">
        <v>964</v>
      </c>
      <c r="X141" s="94" t="s">
        <v>964</v>
      </c>
      <c r="Y141" s="95" t="s">
        <v>964</v>
      </c>
      <c r="Z141" s="94" t="s">
        <v>964</v>
      </c>
      <c r="AA141" s="94" t="s">
        <v>964</v>
      </c>
      <c r="AB141" s="94" t="s">
        <v>964</v>
      </c>
      <c r="AC141" s="94" t="s">
        <v>970</v>
      </c>
      <c r="AD141" s="101" t="s">
        <v>971</v>
      </c>
    </row>
    <row r="142" spans="1:30" s="102" customFormat="1" ht="12" hidden="1">
      <c r="A142" s="94" t="s">
        <v>1096</v>
      </c>
      <c r="B142" s="94" t="s">
        <v>14</v>
      </c>
      <c r="C142" s="94" t="s">
        <v>957</v>
      </c>
      <c r="D142" s="95" t="s">
        <v>1098</v>
      </c>
      <c r="E142" s="95"/>
      <c r="F142" s="94" t="s">
        <v>960</v>
      </c>
      <c r="G142" s="94" t="s">
        <v>960</v>
      </c>
      <c r="H142" s="94" t="s">
        <v>961</v>
      </c>
      <c r="I142" s="94"/>
      <c r="J142" s="94">
        <v>4</v>
      </c>
      <c r="K142" s="96" t="e">
        <f>VLOOKUP(Tabela13[[#This Row],[Prioridade]],[5]!TabelaPrioridade[#Data],2,FALSE)</f>
        <v>#REF!</v>
      </c>
      <c r="L142" s="96" t="e">
        <f>VLOOKUP(Tabela13[[#This Row],[Prioridade]],[5]!TabelaPrioridade[#Data],3,FALSE)</f>
        <v>#REF!</v>
      </c>
      <c r="M142" s="94" t="s">
        <v>963</v>
      </c>
      <c r="N142" s="94" t="s">
        <v>964</v>
      </c>
      <c r="O142" s="94" t="s">
        <v>964</v>
      </c>
      <c r="P142" s="94" t="s">
        <v>967</v>
      </c>
      <c r="Q142" s="97" t="e">
        <f>Tabela13[[#This Row],[Tempo Máximo Atendimento]]+"00:20:00"</f>
        <v>#REF!</v>
      </c>
      <c r="R142" s="94"/>
      <c r="S142" s="94" t="s">
        <v>1042</v>
      </c>
      <c r="T142" s="97" t="s">
        <v>964</v>
      </c>
      <c r="U142" s="97" t="s">
        <v>964</v>
      </c>
      <c r="V142" s="94"/>
      <c r="W142" s="94" t="s">
        <v>964</v>
      </c>
      <c r="X142" s="94" t="s">
        <v>964</v>
      </c>
      <c r="Y142" s="95" t="s">
        <v>964</v>
      </c>
      <c r="Z142" s="94" t="s">
        <v>964</v>
      </c>
      <c r="AA142" s="94" t="s">
        <v>964</v>
      </c>
      <c r="AB142" s="94" t="s">
        <v>964</v>
      </c>
      <c r="AC142" s="94" t="s">
        <v>970</v>
      </c>
      <c r="AD142" s="101" t="s">
        <v>971</v>
      </c>
    </row>
    <row r="143" spans="1:30" s="104" customFormat="1" ht="12" hidden="1">
      <c r="A143" s="94" t="s">
        <v>1096</v>
      </c>
      <c r="B143" s="94" t="s">
        <v>14</v>
      </c>
      <c r="C143" s="94" t="s">
        <v>976</v>
      </c>
      <c r="D143" s="95" t="s">
        <v>977</v>
      </c>
      <c r="E143" s="95"/>
      <c r="F143" s="94" t="s">
        <v>960</v>
      </c>
      <c r="G143" s="94" t="s">
        <v>960</v>
      </c>
      <c r="H143" s="94" t="s">
        <v>961</v>
      </c>
      <c r="I143" s="94"/>
      <c r="J143" s="94">
        <v>2</v>
      </c>
      <c r="K143" s="96" t="e">
        <f>VLOOKUP(Tabela13[[#This Row],[Prioridade]],[5]!TabelaPrioridade[#Data],2,FALSE)</f>
        <v>#REF!</v>
      </c>
      <c r="L143" s="96" t="e">
        <f>VLOOKUP(Tabela13[[#This Row],[Prioridade]],[5]!TabelaPrioridade[#Data],3,FALSE)</f>
        <v>#REF!</v>
      </c>
      <c r="M143" s="94" t="s">
        <v>963</v>
      </c>
      <c r="N143" s="94" t="s">
        <v>964</v>
      </c>
      <c r="O143" s="94" t="s">
        <v>964</v>
      </c>
      <c r="P143" s="94" t="s">
        <v>965</v>
      </c>
      <c r="Q143" s="97" t="e">
        <f>Tabela13[[#This Row],[Tempo Máximo Atendimento]]+"00:20:00"</f>
        <v>#REF!</v>
      </c>
      <c r="R143" s="94"/>
      <c r="S143" s="94" t="s">
        <v>967</v>
      </c>
      <c r="T143" s="94" t="s">
        <v>964</v>
      </c>
      <c r="U143" s="94" t="s">
        <v>964</v>
      </c>
      <c r="V143" s="94"/>
      <c r="W143" s="94" t="s">
        <v>1042</v>
      </c>
      <c r="X143" s="94" t="s">
        <v>964</v>
      </c>
      <c r="Y143" s="95" t="s">
        <v>964</v>
      </c>
      <c r="Z143" s="94" t="s">
        <v>964</v>
      </c>
      <c r="AA143" s="94" t="s">
        <v>964</v>
      </c>
      <c r="AB143" s="94" t="s">
        <v>964</v>
      </c>
      <c r="AC143" s="94" t="s">
        <v>970</v>
      </c>
      <c r="AD143" s="101" t="s">
        <v>971</v>
      </c>
    </row>
    <row r="144" spans="1:30" s="104" customFormat="1" ht="12" hidden="1">
      <c r="A144" s="94" t="s">
        <v>1096</v>
      </c>
      <c r="B144" s="94" t="s">
        <v>14</v>
      </c>
      <c r="C144" s="94" t="s">
        <v>976</v>
      </c>
      <c r="D144" s="105" t="s">
        <v>566</v>
      </c>
      <c r="E144" s="95"/>
      <c r="F144" s="94" t="s">
        <v>960</v>
      </c>
      <c r="G144" s="94" t="s">
        <v>960</v>
      </c>
      <c r="H144" s="94" t="s">
        <v>961</v>
      </c>
      <c r="I144" s="94"/>
      <c r="J144" s="94">
        <v>2</v>
      </c>
      <c r="K144" s="96" t="e">
        <f>VLOOKUP(Tabela13[[#This Row],[Prioridade]],[5]!TabelaPrioridade[#Data],2,FALSE)</f>
        <v>#REF!</v>
      </c>
      <c r="L144" s="96" t="e">
        <f>VLOOKUP(Tabela13[[#This Row],[Prioridade]],[5]!TabelaPrioridade[#Data],3,FALSE)</f>
        <v>#REF!</v>
      </c>
      <c r="M144" s="94" t="s">
        <v>963</v>
      </c>
      <c r="N144" s="94" t="s">
        <v>964</v>
      </c>
      <c r="O144" s="94" t="s">
        <v>964</v>
      </c>
      <c r="P144" s="94" t="s">
        <v>965</v>
      </c>
      <c r="Q144" s="97" t="e">
        <f>Tabela13[[#This Row],[Tempo Máximo Atendimento]]+"00:20:00"</f>
        <v>#REF!</v>
      </c>
      <c r="R144" s="94"/>
      <c r="S144" s="94" t="s">
        <v>967</v>
      </c>
      <c r="T144" s="94" t="s">
        <v>964</v>
      </c>
      <c r="U144" s="94" t="s">
        <v>964</v>
      </c>
      <c r="V144" s="94"/>
      <c r="W144" s="94" t="s">
        <v>1042</v>
      </c>
      <c r="X144" s="94" t="s">
        <v>964</v>
      </c>
      <c r="Y144" s="95" t="s">
        <v>964</v>
      </c>
      <c r="Z144" s="94" t="s">
        <v>964</v>
      </c>
      <c r="AA144" s="94" t="s">
        <v>964</v>
      </c>
      <c r="AB144" s="94" t="s">
        <v>964</v>
      </c>
      <c r="AC144" s="94" t="s">
        <v>970</v>
      </c>
      <c r="AD144" s="101" t="s">
        <v>971</v>
      </c>
    </row>
    <row r="145" spans="1:30" s="104" customFormat="1" ht="12" hidden="1">
      <c r="A145" s="94" t="s">
        <v>1096</v>
      </c>
      <c r="B145" s="94" t="s">
        <v>956</v>
      </c>
      <c r="C145" s="94" t="s">
        <v>957</v>
      </c>
      <c r="D145" s="95" t="s">
        <v>1099</v>
      </c>
      <c r="E145" s="95"/>
      <c r="F145" s="94" t="s">
        <v>960</v>
      </c>
      <c r="G145" s="94" t="s">
        <v>960</v>
      </c>
      <c r="H145" s="94" t="s">
        <v>961</v>
      </c>
      <c r="I145" s="94" t="s">
        <v>962</v>
      </c>
      <c r="J145" s="94">
        <v>4</v>
      </c>
      <c r="K145" s="96" t="e">
        <f>VLOOKUP(Tabela13[[#This Row],[Prioridade]],[5]!TabelaPrioridade[#Data],2,FALSE)</f>
        <v>#REF!</v>
      </c>
      <c r="L145" s="96" t="e">
        <f>VLOOKUP(Tabela13[[#This Row],[Prioridade]],[5]!TabelaPrioridade[#Data],3,FALSE)</f>
        <v>#REF!</v>
      </c>
      <c r="M145" s="94" t="s">
        <v>963</v>
      </c>
      <c r="N145" s="94" t="s">
        <v>964</v>
      </c>
      <c r="O145" s="94" t="s">
        <v>964</v>
      </c>
      <c r="P145" s="94" t="s">
        <v>965</v>
      </c>
      <c r="Q145" s="97" t="e">
        <f>Tabela13[[#This Row],[Tempo Máximo Atendimento]]+"00:20:00"</f>
        <v>#REF!</v>
      </c>
      <c r="R145" s="94"/>
      <c r="S145" s="94" t="s">
        <v>967</v>
      </c>
      <c r="T145" s="94" t="s">
        <v>964</v>
      </c>
      <c r="U145" s="94" t="s">
        <v>964</v>
      </c>
      <c r="V145" s="94"/>
      <c r="W145" s="94" t="s">
        <v>1042</v>
      </c>
      <c r="X145" s="94" t="s">
        <v>964</v>
      </c>
      <c r="Y145" s="95" t="s">
        <v>964</v>
      </c>
      <c r="Z145" s="94" t="s">
        <v>964</v>
      </c>
      <c r="AA145" s="94" t="s">
        <v>964</v>
      </c>
      <c r="AB145" s="94" t="s">
        <v>964</v>
      </c>
      <c r="AC145" s="94" t="s">
        <v>970</v>
      </c>
      <c r="AD145" s="101" t="s">
        <v>971</v>
      </c>
    </row>
    <row r="146" spans="1:30" s="104" customFormat="1" ht="12" hidden="1">
      <c r="A146" s="94" t="s">
        <v>1096</v>
      </c>
      <c r="B146" s="94" t="s">
        <v>14</v>
      </c>
      <c r="C146" s="94" t="s">
        <v>976</v>
      </c>
      <c r="D146" s="105" t="s">
        <v>987</v>
      </c>
      <c r="E146" s="95"/>
      <c r="F146" s="94" t="s">
        <v>960</v>
      </c>
      <c r="G146" s="94" t="s">
        <v>960</v>
      </c>
      <c r="H146" s="94" t="s">
        <v>961</v>
      </c>
      <c r="I146" s="94"/>
      <c r="J146" s="94">
        <v>2</v>
      </c>
      <c r="K146" s="96" t="e">
        <f>VLOOKUP(Tabela13[[#This Row],[Prioridade]],[5]!TabelaPrioridade[#Data],2,FALSE)</f>
        <v>#REF!</v>
      </c>
      <c r="L146" s="96" t="e">
        <f>VLOOKUP(Tabela13[[#This Row],[Prioridade]],[5]!TabelaPrioridade[#Data],3,FALSE)</f>
        <v>#REF!</v>
      </c>
      <c r="M146" s="94" t="s">
        <v>963</v>
      </c>
      <c r="N146" s="94" t="s">
        <v>964</v>
      </c>
      <c r="O146" s="94" t="s">
        <v>964</v>
      </c>
      <c r="P146" s="94" t="s">
        <v>965</v>
      </c>
      <c r="Q146" s="97" t="e">
        <f>Tabela13[[#This Row],[Tempo Máximo Atendimento]]+"00:20:00"</f>
        <v>#REF!</v>
      </c>
      <c r="R146" s="94"/>
      <c r="S146" s="94" t="s">
        <v>967</v>
      </c>
      <c r="T146" s="94" t="s">
        <v>964</v>
      </c>
      <c r="U146" s="94" t="s">
        <v>964</v>
      </c>
      <c r="V146" s="94"/>
      <c r="W146" s="94" t="s">
        <v>1042</v>
      </c>
      <c r="X146" s="94" t="s">
        <v>964</v>
      </c>
      <c r="Y146" s="95" t="s">
        <v>964</v>
      </c>
      <c r="Z146" s="94" t="s">
        <v>964</v>
      </c>
      <c r="AA146" s="94" t="s">
        <v>964</v>
      </c>
      <c r="AB146" s="94" t="s">
        <v>964</v>
      </c>
      <c r="AC146" s="94" t="s">
        <v>970</v>
      </c>
      <c r="AD146" s="101" t="s">
        <v>971</v>
      </c>
    </row>
    <row r="147" spans="1:30" s="104" customFormat="1" ht="12" hidden="1">
      <c r="A147" s="94" t="s">
        <v>1100</v>
      </c>
      <c r="B147" s="94" t="s">
        <v>14</v>
      </c>
      <c r="C147" s="94" t="s">
        <v>976</v>
      </c>
      <c r="D147" s="103" t="s">
        <v>977</v>
      </c>
      <c r="E147" s="95"/>
      <c r="F147" s="94" t="s">
        <v>963</v>
      </c>
      <c r="G147" s="94" t="s">
        <v>960</v>
      </c>
      <c r="H147" s="94" t="s">
        <v>961</v>
      </c>
      <c r="I147" s="94"/>
      <c r="J147" s="94">
        <v>2</v>
      </c>
      <c r="K147" s="96" t="e">
        <f>VLOOKUP(Tabela13[[#This Row],[Prioridade]],[5]!TabelaPrioridade[#Data],2,FALSE)</f>
        <v>#REF!</v>
      </c>
      <c r="L147" s="96" t="e">
        <f>VLOOKUP(Tabela13[[#This Row],[Prioridade]],[5]!TabelaPrioridade[#Data],3,FALSE)</f>
        <v>#REF!</v>
      </c>
      <c r="M147" s="94" t="s">
        <v>963</v>
      </c>
      <c r="N147" s="94" t="s">
        <v>964</v>
      </c>
      <c r="O147" s="94" t="s">
        <v>964</v>
      </c>
      <c r="P147" s="94" t="s">
        <v>965</v>
      </c>
      <c r="Q147" s="97" t="e">
        <f>Tabela13[[#This Row],[Tempo Máximo Atendimento]]+"00:20:00"</f>
        <v>#REF!</v>
      </c>
      <c r="R147" s="94"/>
      <c r="S147" s="94" t="s">
        <v>980</v>
      </c>
      <c r="T147" s="97" t="s">
        <v>964</v>
      </c>
      <c r="U147" s="97" t="s">
        <v>964</v>
      </c>
      <c r="V147" s="94"/>
      <c r="W147" s="94" t="s">
        <v>964</v>
      </c>
      <c r="X147" s="94" t="s">
        <v>964</v>
      </c>
      <c r="Y147" s="95" t="s">
        <v>964</v>
      </c>
      <c r="Z147" s="94" t="s">
        <v>964</v>
      </c>
      <c r="AA147" s="94" t="s">
        <v>964</v>
      </c>
      <c r="AB147" s="94" t="s">
        <v>964</v>
      </c>
      <c r="AC147" s="94" t="s">
        <v>970</v>
      </c>
      <c r="AD147" s="101" t="s">
        <v>971</v>
      </c>
    </row>
    <row r="148" spans="1:30" s="104" customFormat="1" ht="12" hidden="1">
      <c r="A148" s="94" t="s">
        <v>1100</v>
      </c>
      <c r="B148" s="94" t="s">
        <v>14</v>
      </c>
      <c r="C148" s="94" t="s">
        <v>976</v>
      </c>
      <c r="D148" s="105" t="s">
        <v>566</v>
      </c>
      <c r="E148" s="95"/>
      <c r="F148" s="94" t="s">
        <v>963</v>
      </c>
      <c r="G148" s="94" t="s">
        <v>960</v>
      </c>
      <c r="H148" s="94" t="s">
        <v>961</v>
      </c>
      <c r="I148" s="94"/>
      <c r="J148" s="94">
        <v>2</v>
      </c>
      <c r="K148" s="96" t="e">
        <f>VLOOKUP(Tabela13[[#This Row],[Prioridade]],[5]!TabelaPrioridade[#Data],2,FALSE)</f>
        <v>#REF!</v>
      </c>
      <c r="L148" s="96" t="e">
        <f>VLOOKUP(Tabela13[[#This Row],[Prioridade]],[5]!TabelaPrioridade[#Data],3,FALSE)</f>
        <v>#REF!</v>
      </c>
      <c r="M148" s="94" t="s">
        <v>963</v>
      </c>
      <c r="N148" s="94" t="s">
        <v>964</v>
      </c>
      <c r="O148" s="94" t="s">
        <v>964</v>
      </c>
      <c r="P148" s="94" t="s">
        <v>965</v>
      </c>
      <c r="Q148" s="97" t="e">
        <f>Tabela13[[#This Row],[Tempo Máximo Atendimento]]+"00:20:00"</f>
        <v>#REF!</v>
      </c>
      <c r="R148" s="94"/>
      <c r="S148" s="94" t="s">
        <v>980</v>
      </c>
      <c r="T148" s="97" t="s">
        <v>964</v>
      </c>
      <c r="U148" s="97" t="s">
        <v>964</v>
      </c>
      <c r="V148" s="94"/>
      <c r="W148" s="94" t="s">
        <v>964</v>
      </c>
      <c r="X148" s="94" t="s">
        <v>964</v>
      </c>
      <c r="Y148" s="95" t="s">
        <v>964</v>
      </c>
      <c r="Z148" s="94" t="s">
        <v>964</v>
      </c>
      <c r="AA148" s="94" t="s">
        <v>964</v>
      </c>
      <c r="AB148" s="94" t="s">
        <v>964</v>
      </c>
      <c r="AC148" s="94" t="s">
        <v>970</v>
      </c>
      <c r="AD148" s="101" t="s">
        <v>971</v>
      </c>
    </row>
    <row r="149" spans="1:30" ht="15">
      <c r="A149" s="94" t="s">
        <v>1100</v>
      </c>
      <c r="B149" s="94" t="s">
        <v>14</v>
      </c>
      <c r="C149" s="94" t="s">
        <v>976</v>
      </c>
      <c r="D149" s="105" t="s">
        <v>565</v>
      </c>
      <c r="E149" s="95"/>
      <c r="F149" s="94" t="s">
        <v>963</v>
      </c>
      <c r="G149" s="94" t="s">
        <v>960</v>
      </c>
      <c r="H149" s="94" t="s">
        <v>961</v>
      </c>
      <c r="I149" s="94"/>
      <c r="J149" s="94">
        <v>1</v>
      </c>
      <c r="K149" s="96" t="e">
        <f>VLOOKUP(Tabela13[[#This Row],[Prioridade]],[5]!TabelaPrioridade[#Data],2,FALSE)</f>
        <v>#REF!</v>
      </c>
      <c r="L149" s="96" t="e">
        <f>VLOOKUP(Tabela13[[#This Row],[Prioridade]],[5]!TabelaPrioridade[#Data],3,FALSE)</f>
        <v>#REF!</v>
      </c>
      <c r="M149" s="94" t="s">
        <v>963</v>
      </c>
      <c r="N149" s="94" t="s">
        <v>964</v>
      </c>
      <c r="O149" s="94" t="s">
        <v>964</v>
      </c>
      <c r="P149" s="94" t="s">
        <v>965</v>
      </c>
      <c r="Q149" s="97" t="e">
        <f>Tabela13[[#This Row],[Tempo Máximo Atendimento]]+"00:20:00"</f>
        <v>#REF!</v>
      </c>
      <c r="R149" s="94"/>
      <c r="S149" s="94" t="s">
        <v>980</v>
      </c>
      <c r="T149" s="97" t="s">
        <v>964</v>
      </c>
      <c r="U149" s="97" t="s">
        <v>964</v>
      </c>
      <c r="V149" s="94"/>
      <c r="W149" s="94" t="s">
        <v>964</v>
      </c>
      <c r="X149" s="94" t="s">
        <v>964</v>
      </c>
      <c r="Y149" s="95" t="s">
        <v>964</v>
      </c>
      <c r="Z149" s="94" t="s">
        <v>964</v>
      </c>
      <c r="AA149" s="94" t="s">
        <v>964</v>
      </c>
      <c r="AB149" s="94" t="s">
        <v>964</v>
      </c>
      <c r="AC149" s="94" t="s">
        <v>970</v>
      </c>
      <c r="AD149" s="99">
        <v>2.0833333333333332E-2</v>
      </c>
    </row>
    <row r="150" spans="1:30" ht="15" hidden="1">
      <c r="A150" s="94" t="s">
        <v>1100</v>
      </c>
      <c r="B150" s="94" t="s">
        <v>14</v>
      </c>
      <c r="C150" s="94" t="s">
        <v>976</v>
      </c>
      <c r="D150" s="105" t="s">
        <v>987</v>
      </c>
      <c r="E150" s="95"/>
      <c r="F150" s="94" t="s">
        <v>963</v>
      </c>
      <c r="G150" s="94" t="s">
        <v>960</v>
      </c>
      <c r="H150" s="94" t="s">
        <v>961</v>
      </c>
      <c r="I150" s="94"/>
      <c r="J150" s="94">
        <v>2</v>
      </c>
      <c r="K150" s="96" t="e">
        <f>VLOOKUP(Tabela13[[#This Row],[Prioridade]],[5]!TabelaPrioridade[#Data],2,FALSE)</f>
        <v>#REF!</v>
      </c>
      <c r="L150" s="96" t="e">
        <f>VLOOKUP(Tabela13[[#This Row],[Prioridade]],[5]!TabelaPrioridade[#Data],3,FALSE)</f>
        <v>#REF!</v>
      </c>
      <c r="M150" s="94" t="s">
        <v>963</v>
      </c>
      <c r="N150" s="94" t="s">
        <v>964</v>
      </c>
      <c r="O150" s="94" t="s">
        <v>964</v>
      </c>
      <c r="P150" s="94" t="s">
        <v>965</v>
      </c>
      <c r="Q150" s="97" t="e">
        <f>Tabela13[[#This Row],[Tempo Máximo Atendimento]]+"00:20:00"</f>
        <v>#REF!</v>
      </c>
      <c r="R150" s="94"/>
      <c r="S150" s="94" t="s">
        <v>980</v>
      </c>
      <c r="T150" s="97" t="s">
        <v>964</v>
      </c>
      <c r="U150" s="97" t="s">
        <v>964</v>
      </c>
      <c r="V150" s="94"/>
      <c r="W150" s="94" t="s">
        <v>964</v>
      </c>
      <c r="X150" s="94" t="s">
        <v>964</v>
      </c>
      <c r="Y150" s="95" t="s">
        <v>964</v>
      </c>
      <c r="Z150" s="94" t="s">
        <v>964</v>
      </c>
      <c r="AA150" s="94" t="s">
        <v>964</v>
      </c>
      <c r="AB150" s="94" t="s">
        <v>964</v>
      </c>
      <c r="AC150" s="94" t="s">
        <v>970</v>
      </c>
      <c r="AD150" s="101" t="s">
        <v>971</v>
      </c>
    </row>
    <row r="151" spans="1:30" ht="15" hidden="1">
      <c r="A151" s="94" t="s">
        <v>342</v>
      </c>
      <c r="B151" s="94" t="s">
        <v>14</v>
      </c>
      <c r="C151" s="94" t="s">
        <v>976</v>
      </c>
      <c r="D151" s="95" t="s">
        <v>987</v>
      </c>
      <c r="E151" s="95"/>
      <c r="F151" s="94" t="s">
        <v>963</v>
      </c>
      <c r="G151" s="94" t="s">
        <v>960</v>
      </c>
      <c r="H151" s="94" t="s">
        <v>961</v>
      </c>
      <c r="I151" s="94"/>
      <c r="J151" s="94">
        <v>4</v>
      </c>
      <c r="K151" s="96" t="e">
        <f>VLOOKUP(Tabela13[[#This Row],[Prioridade]],[5]!TabelaPrioridade[#Data],2,FALSE)</f>
        <v>#REF!</v>
      </c>
      <c r="L151" s="96" t="e">
        <f>VLOOKUP(Tabela13[[#This Row],[Prioridade]],[5]!TabelaPrioridade[#Data],3,FALSE)</f>
        <v>#REF!</v>
      </c>
      <c r="M151" s="94" t="s">
        <v>963</v>
      </c>
      <c r="N151" s="94" t="s">
        <v>964</v>
      </c>
      <c r="O151" s="94" t="s">
        <v>964</v>
      </c>
      <c r="P151" s="94" t="s">
        <v>965</v>
      </c>
      <c r="Q151" s="97" t="e">
        <f>Tabela13[[#This Row],[Tempo Máximo Atendimento]]+"00:20:00"</f>
        <v>#REF!</v>
      </c>
      <c r="R151" s="94"/>
      <c r="S151" s="94" t="s">
        <v>980</v>
      </c>
      <c r="T151" s="97" t="s">
        <v>964</v>
      </c>
      <c r="U151" s="97" t="s">
        <v>964</v>
      </c>
      <c r="V151" s="94"/>
      <c r="W151" s="94" t="s">
        <v>964</v>
      </c>
      <c r="X151" s="94" t="s">
        <v>964</v>
      </c>
      <c r="Y151" s="95" t="s">
        <v>964</v>
      </c>
      <c r="Z151" s="94" t="s">
        <v>964</v>
      </c>
      <c r="AA151" s="94" t="s">
        <v>964</v>
      </c>
      <c r="AB151" s="94" t="s">
        <v>964</v>
      </c>
      <c r="AC151" s="94" t="s">
        <v>970</v>
      </c>
      <c r="AD151" s="101" t="s">
        <v>971</v>
      </c>
    </row>
    <row r="152" spans="1:30" ht="15" hidden="1">
      <c r="A152" s="94" t="s">
        <v>342</v>
      </c>
      <c r="B152" s="94" t="s">
        <v>14</v>
      </c>
      <c r="C152" s="94" t="s">
        <v>957</v>
      </c>
      <c r="D152" s="105" t="s">
        <v>1101</v>
      </c>
      <c r="E152" s="95"/>
      <c r="F152" s="94" t="s">
        <v>963</v>
      </c>
      <c r="G152" s="94" t="s">
        <v>960</v>
      </c>
      <c r="H152" s="94" t="s">
        <v>961</v>
      </c>
      <c r="I152" s="94"/>
      <c r="J152" s="94">
        <v>4</v>
      </c>
      <c r="K152" s="96" t="e">
        <f>VLOOKUP(Tabela13[[#This Row],[Prioridade]],[5]!TabelaPrioridade[#Data],2,FALSE)</f>
        <v>#REF!</v>
      </c>
      <c r="L152" s="96" t="e">
        <f>VLOOKUP(Tabela13[[#This Row],[Prioridade]],[5]!TabelaPrioridade[#Data],3,FALSE)</f>
        <v>#REF!</v>
      </c>
      <c r="M152" s="94" t="s">
        <v>960</v>
      </c>
      <c r="N152" s="94" t="s">
        <v>983</v>
      </c>
      <c r="O152" s="94"/>
      <c r="P152" s="94" t="s">
        <v>965</v>
      </c>
      <c r="Q152" s="97" t="e">
        <f>Tabela13[[#This Row],[Tempo Máximo Atendimento]]+"00:20:00"</f>
        <v>#REF!</v>
      </c>
      <c r="R152" s="94"/>
      <c r="S152" s="94" t="s">
        <v>980</v>
      </c>
      <c r="T152" s="97" t="s">
        <v>964</v>
      </c>
      <c r="U152" s="97" t="s">
        <v>964</v>
      </c>
      <c r="V152" s="94"/>
      <c r="W152" s="94" t="s">
        <v>964</v>
      </c>
      <c r="X152" s="94" t="s">
        <v>964</v>
      </c>
      <c r="Y152" s="95" t="s">
        <v>964</v>
      </c>
      <c r="Z152" s="94" t="s">
        <v>964</v>
      </c>
      <c r="AA152" s="94" t="s">
        <v>964</v>
      </c>
      <c r="AB152" s="94" t="s">
        <v>964</v>
      </c>
      <c r="AC152" s="94" t="s">
        <v>970</v>
      </c>
      <c r="AD152" s="101" t="s">
        <v>971</v>
      </c>
    </row>
    <row r="153" spans="1:30" ht="15" hidden="1">
      <c r="A153" s="94" t="s">
        <v>342</v>
      </c>
      <c r="B153" s="94" t="s">
        <v>14</v>
      </c>
      <c r="C153" s="94" t="s">
        <v>957</v>
      </c>
      <c r="D153" s="105" t="s">
        <v>1102</v>
      </c>
      <c r="E153" s="95"/>
      <c r="F153" s="94" t="s">
        <v>963</v>
      </c>
      <c r="G153" s="94" t="s">
        <v>960</v>
      </c>
      <c r="H153" s="94" t="s">
        <v>961</v>
      </c>
      <c r="I153" s="94"/>
      <c r="J153" s="94">
        <v>4</v>
      </c>
      <c r="K153" s="96" t="e">
        <f>VLOOKUP(Tabela13[[#This Row],[Prioridade]],[5]!TabelaPrioridade[#Data],2,FALSE)</f>
        <v>#REF!</v>
      </c>
      <c r="L153" s="96" t="e">
        <f>VLOOKUP(Tabela13[[#This Row],[Prioridade]],[5]!TabelaPrioridade[#Data],3,FALSE)</f>
        <v>#REF!</v>
      </c>
      <c r="M153" s="94" t="s">
        <v>960</v>
      </c>
      <c r="N153" s="94" t="s">
        <v>983</v>
      </c>
      <c r="O153" s="94"/>
      <c r="P153" s="94" t="s">
        <v>965</v>
      </c>
      <c r="Q153" s="97" t="e">
        <f>Tabela13[[#This Row],[Tempo Máximo Atendimento]]+"00:20:00"</f>
        <v>#REF!</v>
      </c>
      <c r="R153" s="94"/>
      <c r="S153" s="94" t="s">
        <v>980</v>
      </c>
      <c r="T153" s="97" t="s">
        <v>964</v>
      </c>
      <c r="U153" s="97" t="s">
        <v>964</v>
      </c>
      <c r="V153" s="94"/>
      <c r="W153" s="94" t="s">
        <v>964</v>
      </c>
      <c r="X153" s="94" t="s">
        <v>964</v>
      </c>
      <c r="Y153" s="95" t="s">
        <v>964</v>
      </c>
      <c r="Z153" s="94" t="s">
        <v>964</v>
      </c>
      <c r="AA153" s="94" t="s">
        <v>964</v>
      </c>
      <c r="AB153" s="94" t="s">
        <v>964</v>
      </c>
      <c r="AC153" s="94" t="s">
        <v>970</v>
      </c>
      <c r="AD153" s="101" t="s">
        <v>971</v>
      </c>
    </row>
    <row r="154" spans="1:30" ht="15" hidden="1">
      <c r="A154" s="94" t="s">
        <v>342</v>
      </c>
      <c r="B154" s="94" t="s">
        <v>956</v>
      </c>
      <c r="C154" s="94" t="s">
        <v>994</v>
      </c>
      <c r="D154" s="105" t="s">
        <v>1103</v>
      </c>
      <c r="E154" s="95" t="s">
        <v>1104</v>
      </c>
      <c r="F154" s="94" t="s">
        <v>960</v>
      </c>
      <c r="G154" s="94" t="s">
        <v>960</v>
      </c>
      <c r="H154" s="94" t="s">
        <v>961</v>
      </c>
      <c r="I154" s="94"/>
      <c r="J154" s="94">
        <v>5</v>
      </c>
      <c r="K154" s="96" t="e">
        <f>VLOOKUP(Tabela13[[#This Row],[Prioridade]],[5]!TabelaPrioridade[#Data],2,FALSE)</f>
        <v>#REF!</v>
      </c>
      <c r="L154" s="96" t="e">
        <f>VLOOKUP(Tabela13[[#This Row],[Prioridade]],[5]!TabelaPrioridade[#Data],3,FALSE)</f>
        <v>#REF!</v>
      </c>
      <c r="M154" s="94" t="s">
        <v>963</v>
      </c>
      <c r="N154" s="94" t="s">
        <v>964</v>
      </c>
      <c r="O154" s="94" t="s">
        <v>964</v>
      </c>
      <c r="P154" s="94" t="s">
        <v>980</v>
      </c>
      <c r="Q154" s="97" t="e">
        <f>Tabela13[[#This Row],[Tempo Máximo Atendimento]]+"00:20:00"</f>
        <v>#REF!</v>
      </c>
      <c r="R154" s="94"/>
      <c r="S154" s="94" t="s">
        <v>964</v>
      </c>
      <c r="T154" s="97" t="s">
        <v>964</v>
      </c>
      <c r="U154" s="97" t="s">
        <v>964</v>
      </c>
      <c r="V154" s="94"/>
      <c r="W154" s="94" t="s">
        <v>964</v>
      </c>
      <c r="X154" s="94" t="s">
        <v>964</v>
      </c>
      <c r="Y154" s="95" t="s">
        <v>964</v>
      </c>
      <c r="Z154" s="94" t="s">
        <v>964</v>
      </c>
      <c r="AA154" s="94" t="s">
        <v>964</v>
      </c>
      <c r="AB154" s="94" t="s">
        <v>964</v>
      </c>
      <c r="AC154" s="94" t="s">
        <v>970</v>
      </c>
      <c r="AD154" s="101" t="s">
        <v>971</v>
      </c>
    </row>
    <row r="155" spans="1:30" ht="15" hidden="1">
      <c r="A155" s="94" t="s">
        <v>342</v>
      </c>
      <c r="B155" s="94" t="s">
        <v>14</v>
      </c>
      <c r="C155" s="94" t="s">
        <v>976</v>
      </c>
      <c r="D155" s="95" t="s">
        <v>977</v>
      </c>
      <c r="E155" s="95"/>
      <c r="F155" s="94" t="s">
        <v>963</v>
      </c>
      <c r="G155" s="94" t="s">
        <v>960</v>
      </c>
      <c r="H155" s="94" t="s">
        <v>961</v>
      </c>
      <c r="I155" s="94"/>
      <c r="J155" s="94">
        <v>4</v>
      </c>
      <c r="K155" s="96" t="e">
        <f>VLOOKUP(Tabela13[[#This Row],[Prioridade]],[5]!TabelaPrioridade[#Data],2,FALSE)</f>
        <v>#REF!</v>
      </c>
      <c r="L155" s="96" t="e">
        <f>VLOOKUP(Tabela13[[#This Row],[Prioridade]],[5]!TabelaPrioridade[#Data],3,FALSE)</f>
        <v>#REF!</v>
      </c>
      <c r="M155" s="94" t="s">
        <v>963</v>
      </c>
      <c r="N155" s="94" t="s">
        <v>964</v>
      </c>
      <c r="O155" s="94" t="s">
        <v>964</v>
      </c>
      <c r="P155" s="94" t="s">
        <v>965</v>
      </c>
      <c r="Q155" s="97" t="e">
        <f>Tabela13[[#This Row],[Tempo Máximo Atendimento]]+"00:20:00"</f>
        <v>#REF!</v>
      </c>
      <c r="R155" s="94"/>
      <c r="S155" s="94" t="s">
        <v>980</v>
      </c>
      <c r="T155" s="97" t="s">
        <v>964</v>
      </c>
      <c r="U155" s="97" t="s">
        <v>964</v>
      </c>
      <c r="V155" s="94"/>
      <c r="W155" s="94" t="s">
        <v>964</v>
      </c>
      <c r="X155" s="94" t="s">
        <v>964</v>
      </c>
      <c r="Y155" s="95" t="s">
        <v>964</v>
      </c>
      <c r="Z155" s="94" t="s">
        <v>964</v>
      </c>
      <c r="AA155" s="94" t="s">
        <v>964</v>
      </c>
      <c r="AB155" s="94" t="s">
        <v>964</v>
      </c>
      <c r="AC155" s="94" t="s">
        <v>970</v>
      </c>
      <c r="AD155" s="101" t="s">
        <v>971</v>
      </c>
    </row>
    <row r="156" spans="1:30" s="102" customFormat="1" ht="12" hidden="1">
      <c r="A156" s="94" t="s">
        <v>342</v>
      </c>
      <c r="B156" s="94" t="s">
        <v>14</v>
      </c>
      <c r="C156" s="94" t="s">
        <v>976</v>
      </c>
      <c r="D156" s="105" t="s">
        <v>566</v>
      </c>
      <c r="E156" s="95"/>
      <c r="F156" s="94" t="s">
        <v>963</v>
      </c>
      <c r="G156" s="94" t="s">
        <v>960</v>
      </c>
      <c r="H156" s="94" t="s">
        <v>961</v>
      </c>
      <c r="I156" s="94"/>
      <c r="J156" s="94">
        <v>4</v>
      </c>
      <c r="K156" s="96" t="e">
        <f>VLOOKUP(Tabela13[[#This Row],[Prioridade]],[5]!TabelaPrioridade[#Data],2,FALSE)</f>
        <v>#REF!</v>
      </c>
      <c r="L156" s="96" t="e">
        <f>VLOOKUP(Tabela13[[#This Row],[Prioridade]],[5]!TabelaPrioridade[#Data],3,FALSE)</f>
        <v>#REF!</v>
      </c>
      <c r="M156" s="94" t="s">
        <v>963</v>
      </c>
      <c r="N156" s="94" t="s">
        <v>964</v>
      </c>
      <c r="O156" s="94" t="s">
        <v>964</v>
      </c>
      <c r="P156" s="94" t="s">
        <v>965</v>
      </c>
      <c r="Q156" s="97" t="e">
        <f>Tabela13[[#This Row],[Tempo Máximo Atendimento]]+"00:20:00"</f>
        <v>#REF!</v>
      </c>
      <c r="R156" s="94"/>
      <c r="S156" s="94" t="s">
        <v>980</v>
      </c>
      <c r="T156" s="97" t="s">
        <v>964</v>
      </c>
      <c r="U156" s="97" t="s">
        <v>964</v>
      </c>
      <c r="V156" s="94"/>
      <c r="W156" s="94" t="s">
        <v>964</v>
      </c>
      <c r="X156" s="94" t="s">
        <v>964</v>
      </c>
      <c r="Y156" s="95" t="s">
        <v>964</v>
      </c>
      <c r="Z156" s="94" t="s">
        <v>964</v>
      </c>
      <c r="AA156" s="94" t="s">
        <v>964</v>
      </c>
      <c r="AB156" s="94" t="s">
        <v>964</v>
      </c>
      <c r="AC156" s="94" t="s">
        <v>970</v>
      </c>
      <c r="AD156" s="101" t="s">
        <v>971</v>
      </c>
    </row>
    <row r="157" spans="1:30" s="104" customFormat="1" ht="12" hidden="1">
      <c r="A157" s="94" t="s">
        <v>342</v>
      </c>
      <c r="B157" s="94" t="s">
        <v>14</v>
      </c>
      <c r="C157" s="94" t="s">
        <v>976</v>
      </c>
      <c r="D157" s="105" t="s">
        <v>565</v>
      </c>
      <c r="E157" s="95"/>
      <c r="F157" s="94" t="s">
        <v>963</v>
      </c>
      <c r="G157" s="94" t="s">
        <v>960</v>
      </c>
      <c r="H157" s="94" t="s">
        <v>961</v>
      </c>
      <c r="I157" s="94"/>
      <c r="J157" s="94">
        <v>3</v>
      </c>
      <c r="K157" s="96" t="e">
        <f>VLOOKUP(Tabela13[[#This Row],[Prioridade]],[5]!TabelaPrioridade[#Data],2,FALSE)</f>
        <v>#REF!</v>
      </c>
      <c r="L157" s="96" t="e">
        <f>VLOOKUP(Tabela13[[#This Row],[Prioridade]],[5]!TabelaPrioridade[#Data],3,FALSE)</f>
        <v>#REF!</v>
      </c>
      <c r="M157" s="94" t="s">
        <v>963</v>
      </c>
      <c r="N157" s="94" t="s">
        <v>964</v>
      </c>
      <c r="O157" s="94" t="s">
        <v>964</v>
      </c>
      <c r="P157" s="94" t="s">
        <v>965</v>
      </c>
      <c r="Q157" s="97" t="e">
        <f>Tabela13[[#This Row],[Tempo Máximo Atendimento]]+"00:20:00"</f>
        <v>#REF!</v>
      </c>
      <c r="R157" s="94"/>
      <c r="S157" s="94" t="s">
        <v>980</v>
      </c>
      <c r="T157" s="97" t="s">
        <v>964</v>
      </c>
      <c r="U157" s="97" t="s">
        <v>964</v>
      </c>
      <c r="V157" s="94"/>
      <c r="W157" s="94" t="s">
        <v>964</v>
      </c>
      <c r="X157" s="94" t="s">
        <v>964</v>
      </c>
      <c r="Y157" s="95" t="s">
        <v>964</v>
      </c>
      <c r="Z157" s="94" t="s">
        <v>964</v>
      </c>
      <c r="AA157" s="94" t="s">
        <v>964</v>
      </c>
      <c r="AB157" s="94" t="s">
        <v>964</v>
      </c>
      <c r="AC157" s="94" t="s">
        <v>970</v>
      </c>
      <c r="AD157" s="99">
        <v>2.0833333333333332E-2</v>
      </c>
    </row>
    <row r="158" spans="1:30" s="104" customFormat="1" ht="12" hidden="1">
      <c r="A158" s="94" t="s">
        <v>1105</v>
      </c>
      <c r="B158" s="94" t="s">
        <v>14</v>
      </c>
      <c r="C158" s="94" t="s">
        <v>957</v>
      </c>
      <c r="D158" s="105" t="s">
        <v>958</v>
      </c>
      <c r="E158" s="95" t="s">
        <v>959</v>
      </c>
      <c r="F158" s="94" t="s">
        <v>960</v>
      </c>
      <c r="G158" s="94" t="s">
        <v>960</v>
      </c>
      <c r="H158" s="94" t="s">
        <v>961</v>
      </c>
      <c r="I158" s="94"/>
      <c r="J158" s="94">
        <v>4</v>
      </c>
      <c r="K158" s="96" t="e">
        <f>VLOOKUP(Tabela13[[#This Row],[Prioridade]],[5]!TabelaPrioridade[#Data],2,FALSE)</f>
        <v>#REF!</v>
      </c>
      <c r="L158" s="96" t="e">
        <f>VLOOKUP(Tabela13[[#This Row],[Prioridade]],[5]!TabelaPrioridade[#Data],3,FALSE)</f>
        <v>#REF!</v>
      </c>
      <c r="M158" s="94" t="s">
        <v>960</v>
      </c>
      <c r="N158" s="94" t="s">
        <v>1020</v>
      </c>
      <c r="O158" s="94"/>
      <c r="P158" s="94" t="s">
        <v>967</v>
      </c>
      <c r="Q158" s="97" t="e">
        <f>Tabela13[[#This Row],[Tempo Máximo Atendimento]]+"00:20:00"</f>
        <v>#REF!</v>
      </c>
      <c r="R158" s="94"/>
      <c r="S158" s="94" t="s">
        <v>968</v>
      </c>
      <c r="T158" s="97" t="s">
        <v>964</v>
      </c>
      <c r="U158" s="106">
        <v>0.33333333333333331</v>
      </c>
      <c r="V158" s="94"/>
      <c r="W158" s="94" t="s">
        <v>964</v>
      </c>
      <c r="X158" s="94" t="s">
        <v>964</v>
      </c>
      <c r="Y158" s="95" t="s">
        <v>964</v>
      </c>
      <c r="Z158" s="94" t="s">
        <v>964</v>
      </c>
      <c r="AA158" s="94" t="s">
        <v>964</v>
      </c>
      <c r="AB158" s="94" t="s">
        <v>964</v>
      </c>
      <c r="AC158" s="94" t="s">
        <v>970</v>
      </c>
      <c r="AD158" s="101" t="s">
        <v>971</v>
      </c>
    </row>
    <row r="159" spans="1:30" s="104" customFormat="1" ht="12" hidden="1">
      <c r="A159" s="94" t="s">
        <v>1105</v>
      </c>
      <c r="B159" s="94" t="s">
        <v>956</v>
      </c>
      <c r="C159" s="94" t="s">
        <v>957</v>
      </c>
      <c r="D159" s="105" t="s">
        <v>1022</v>
      </c>
      <c r="E159" s="95" t="s">
        <v>1023</v>
      </c>
      <c r="F159" s="94" t="s">
        <v>960</v>
      </c>
      <c r="G159" s="94" t="s">
        <v>960</v>
      </c>
      <c r="H159" s="94" t="s">
        <v>961</v>
      </c>
      <c r="I159" s="94" t="s">
        <v>962</v>
      </c>
      <c r="J159" s="94">
        <v>4</v>
      </c>
      <c r="K159" s="96" t="e">
        <f>VLOOKUP(Tabela13[[#This Row],[Prioridade]],[5]!TabelaPrioridade[#Data],2,FALSE)</f>
        <v>#REF!</v>
      </c>
      <c r="L159" s="96" t="e">
        <f>VLOOKUP(Tabela13[[#This Row],[Prioridade]],[5]!TabelaPrioridade[#Data],3,FALSE)</f>
        <v>#REF!</v>
      </c>
      <c r="M159" s="94" t="s">
        <v>963</v>
      </c>
      <c r="N159" s="94"/>
      <c r="O159" s="94"/>
      <c r="P159" s="94" t="s">
        <v>967</v>
      </c>
      <c r="Q159" s="97" t="e">
        <f>Tabela13[[#This Row],[Tempo Máximo Atendimento]]+"00:20:00"</f>
        <v>#REF!</v>
      </c>
      <c r="R159" s="94"/>
      <c r="S159" s="94" t="s">
        <v>968</v>
      </c>
      <c r="T159" s="97" t="s">
        <v>964</v>
      </c>
      <c r="U159" s="99">
        <v>0.33333333333333331</v>
      </c>
      <c r="V159" s="94"/>
      <c r="W159" s="94" t="s">
        <v>964</v>
      </c>
      <c r="X159" s="94" t="s">
        <v>964</v>
      </c>
      <c r="Y159" s="95" t="s">
        <v>964</v>
      </c>
      <c r="Z159" s="94" t="s">
        <v>964</v>
      </c>
      <c r="AA159" s="94" t="s">
        <v>964</v>
      </c>
      <c r="AB159" s="94" t="s">
        <v>964</v>
      </c>
      <c r="AC159" s="94" t="s">
        <v>970</v>
      </c>
      <c r="AD159" s="101" t="s">
        <v>971</v>
      </c>
    </row>
    <row r="160" spans="1:30" s="104" customFormat="1" ht="12" hidden="1">
      <c r="A160" s="94" t="s">
        <v>1105</v>
      </c>
      <c r="B160" s="109" t="s">
        <v>956</v>
      </c>
      <c r="C160" s="109" t="s">
        <v>957</v>
      </c>
      <c r="D160" s="110" t="s">
        <v>1024</v>
      </c>
      <c r="E160" s="95" t="s">
        <v>1025</v>
      </c>
      <c r="F160" s="94" t="s">
        <v>960</v>
      </c>
      <c r="G160" s="94" t="s">
        <v>960</v>
      </c>
      <c r="H160" s="94" t="s">
        <v>961</v>
      </c>
      <c r="I160" s="94" t="s">
        <v>962</v>
      </c>
      <c r="J160" s="94">
        <v>4</v>
      </c>
      <c r="K160" s="96" t="e">
        <f>VLOOKUP(Tabela13[[#This Row],[Prioridade]],[5]!TabelaPrioridade[#Data],2,FALSE)</f>
        <v>#REF!</v>
      </c>
      <c r="L160" s="96" t="e">
        <f>VLOOKUP(Tabela13[[#This Row],[Prioridade]],[5]!TabelaPrioridade[#Data],3,FALSE)</f>
        <v>#REF!</v>
      </c>
      <c r="M160" s="94" t="s">
        <v>963</v>
      </c>
      <c r="N160" s="94"/>
      <c r="O160" s="94"/>
      <c r="P160" s="94" t="s">
        <v>967</v>
      </c>
      <c r="Q160" s="97" t="e">
        <f>Tabela13[[#This Row],[Tempo Máximo Atendimento]]+"00:20:00"</f>
        <v>#REF!</v>
      </c>
      <c r="R160" s="94"/>
      <c r="S160" s="94" t="s">
        <v>968</v>
      </c>
      <c r="T160" s="97" t="s">
        <v>964</v>
      </c>
      <c r="U160" s="99">
        <v>0.33333333333333331</v>
      </c>
      <c r="V160" s="94"/>
      <c r="W160" s="94" t="s">
        <v>964</v>
      </c>
      <c r="X160" s="94" t="s">
        <v>964</v>
      </c>
      <c r="Y160" s="95" t="s">
        <v>964</v>
      </c>
      <c r="Z160" s="94" t="s">
        <v>964</v>
      </c>
      <c r="AA160" s="94" t="s">
        <v>964</v>
      </c>
      <c r="AB160" s="94" t="s">
        <v>964</v>
      </c>
      <c r="AC160" s="94" t="s">
        <v>970</v>
      </c>
      <c r="AD160" s="101" t="s">
        <v>971</v>
      </c>
    </row>
    <row r="161" spans="1:30" ht="72" hidden="1">
      <c r="A161" s="94" t="s">
        <v>1105</v>
      </c>
      <c r="B161" s="109" t="s">
        <v>14</v>
      </c>
      <c r="C161" s="109" t="s">
        <v>976</v>
      </c>
      <c r="D161" s="112" t="s">
        <v>977</v>
      </c>
      <c r="E161" s="95"/>
      <c r="F161" s="94" t="s">
        <v>963</v>
      </c>
      <c r="G161" s="94" t="s">
        <v>960</v>
      </c>
      <c r="H161" s="94" t="s">
        <v>961</v>
      </c>
      <c r="I161" s="94"/>
      <c r="J161" s="94">
        <v>2</v>
      </c>
      <c r="K161" s="96" t="e">
        <f>VLOOKUP(Tabela13[[#This Row],[Prioridade]],[5]!TabelaPrioridade[#Data],2,FALSE)</f>
        <v>#REF!</v>
      </c>
      <c r="L161" s="96" t="e">
        <f>VLOOKUP(Tabela13[[#This Row],[Prioridade]],[5]!TabelaPrioridade[#Data],3,FALSE)</f>
        <v>#REF!</v>
      </c>
      <c r="M161" s="94" t="s">
        <v>963</v>
      </c>
      <c r="N161" s="94" t="s">
        <v>964</v>
      </c>
      <c r="O161" s="94" t="s">
        <v>964</v>
      </c>
      <c r="P161" s="94" t="s">
        <v>965</v>
      </c>
      <c r="Q161" s="97" t="e">
        <f>Tabela13[[#This Row],[Tempo Máximo Atendimento]]+"00:20:00"</f>
        <v>#REF!</v>
      </c>
      <c r="R161" s="94"/>
      <c r="S161" s="94" t="s">
        <v>967</v>
      </c>
      <c r="T161" s="98" t="e">
        <f>Tabela13[[#This Row],[Tempo Máximo Resolução]]-Tabela13[[#This Row],[Tempo Máximo Resolução3]]</f>
        <v>#REF!</v>
      </c>
      <c r="U161" s="98" t="e">
        <f>Tabela13[[#This Row],[Tempo Máximo Total Resolução]]-Tabela13[[#This Row],[Tempo Máximo Escalada Funcional]]</f>
        <v>#REF!</v>
      </c>
      <c r="V161" s="94"/>
      <c r="W161" s="94" t="s">
        <v>968</v>
      </c>
      <c r="X161" s="99">
        <v>0.16666666666666666</v>
      </c>
      <c r="Y161" s="100" t="s">
        <v>969</v>
      </c>
      <c r="Z161" s="94" t="s">
        <v>964</v>
      </c>
      <c r="AA161" s="94" t="s">
        <v>964</v>
      </c>
      <c r="AB161" s="94" t="s">
        <v>964</v>
      </c>
      <c r="AC161" s="94" t="s">
        <v>970</v>
      </c>
      <c r="AD161" s="101" t="s">
        <v>971</v>
      </c>
    </row>
    <row r="162" spans="1:30" ht="72" hidden="1">
      <c r="A162" s="94" t="s">
        <v>1105</v>
      </c>
      <c r="B162" s="109" t="s">
        <v>14</v>
      </c>
      <c r="C162" s="109" t="s">
        <v>976</v>
      </c>
      <c r="D162" s="110" t="s">
        <v>566</v>
      </c>
      <c r="E162" s="95"/>
      <c r="F162" s="94" t="s">
        <v>963</v>
      </c>
      <c r="G162" s="94" t="s">
        <v>960</v>
      </c>
      <c r="H162" s="94" t="s">
        <v>961</v>
      </c>
      <c r="I162" s="94"/>
      <c r="J162" s="94">
        <v>2</v>
      </c>
      <c r="K162" s="96" t="e">
        <f>VLOOKUP(Tabela13[[#This Row],[Prioridade]],[5]!TabelaPrioridade[#Data],2,FALSE)</f>
        <v>#REF!</v>
      </c>
      <c r="L162" s="96" t="e">
        <f>VLOOKUP(Tabela13[[#This Row],[Prioridade]],[5]!TabelaPrioridade[#Data],3,FALSE)</f>
        <v>#REF!</v>
      </c>
      <c r="M162" s="94" t="s">
        <v>963</v>
      </c>
      <c r="N162" s="94" t="s">
        <v>964</v>
      </c>
      <c r="O162" s="94" t="s">
        <v>964</v>
      </c>
      <c r="P162" s="94" t="s">
        <v>965</v>
      </c>
      <c r="Q162" s="97" t="e">
        <f>Tabela13[[#This Row],[Tempo Máximo Atendimento]]+"00:20:00"</f>
        <v>#REF!</v>
      </c>
      <c r="R162" s="94"/>
      <c r="S162" s="94" t="s">
        <v>967</v>
      </c>
      <c r="T162" s="98" t="e">
        <f>Tabela13[[#This Row],[Tempo Máximo Resolução]]-Tabela13[[#This Row],[Tempo Máximo Resolução3]]</f>
        <v>#REF!</v>
      </c>
      <c r="U162" s="98" t="e">
        <f>Tabela13[[#This Row],[Tempo Máximo Total Resolução]]-Tabela13[[#This Row],[Tempo Máximo Escalada Funcional]]</f>
        <v>#REF!</v>
      </c>
      <c r="V162" s="94"/>
      <c r="W162" s="94" t="s">
        <v>968</v>
      </c>
      <c r="X162" s="99">
        <v>0.16666666666666666</v>
      </c>
      <c r="Y162" s="100" t="s">
        <v>969</v>
      </c>
      <c r="Z162" s="94" t="s">
        <v>964</v>
      </c>
      <c r="AA162" s="94" t="s">
        <v>964</v>
      </c>
      <c r="AB162" s="94" t="s">
        <v>964</v>
      </c>
      <c r="AC162" s="94" t="s">
        <v>970</v>
      </c>
      <c r="AD162" s="101" t="s">
        <v>971</v>
      </c>
    </row>
    <row r="163" spans="1:30" ht="72">
      <c r="A163" s="94" t="s">
        <v>1105</v>
      </c>
      <c r="B163" s="109" t="s">
        <v>14</v>
      </c>
      <c r="C163" s="109" t="s">
        <v>976</v>
      </c>
      <c r="D163" s="110" t="s">
        <v>565</v>
      </c>
      <c r="E163" s="95"/>
      <c r="F163" s="94" t="s">
        <v>963</v>
      </c>
      <c r="G163" s="94" t="s">
        <v>960</v>
      </c>
      <c r="H163" s="94" t="s">
        <v>961</v>
      </c>
      <c r="I163" s="94"/>
      <c r="J163" s="94">
        <v>1</v>
      </c>
      <c r="K163" s="96" t="e">
        <f>VLOOKUP(Tabela13[[#This Row],[Prioridade]],[5]!TabelaPrioridade[#Data],2,FALSE)</f>
        <v>#REF!</v>
      </c>
      <c r="L163" s="96" t="e">
        <f>VLOOKUP(Tabela13[[#This Row],[Prioridade]],[5]!TabelaPrioridade[#Data],3,FALSE)</f>
        <v>#REF!</v>
      </c>
      <c r="M163" s="94" t="s">
        <v>963</v>
      </c>
      <c r="N163" s="94" t="s">
        <v>964</v>
      </c>
      <c r="O163" s="94" t="s">
        <v>964</v>
      </c>
      <c r="P163" s="94" t="s">
        <v>965</v>
      </c>
      <c r="Q163" s="97" t="e">
        <f>Tabela13[[#This Row],[Tempo Máximo Atendimento]]+"00:20:00"</f>
        <v>#REF!</v>
      </c>
      <c r="R163" s="94"/>
      <c r="S163" s="94" t="s">
        <v>967</v>
      </c>
      <c r="T163" s="98" t="e">
        <f>Tabela13[[#This Row],[Tempo Máximo Resolução]]-Tabela13[[#This Row],[Tempo Máximo Resolução3]]</f>
        <v>#REF!</v>
      </c>
      <c r="U163" s="98" t="e">
        <f>Tabela13[[#This Row],[Tempo Máximo Total Resolução]]-Tabela13[[#This Row],[Tempo Máximo Escalada Funcional]]</f>
        <v>#REF!</v>
      </c>
      <c r="V163" s="94"/>
      <c r="W163" s="94" t="s">
        <v>968</v>
      </c>
      <c r="X163" s="99">
        <v>8.3333333333333329E-2</v>
      </c>
      <c r="Y163" s="100" t="s">
        <v>969</v>
      </c>
      <c r="Z163" s="94" t="s">
        <v>964</v>
      </c>
      <c r="AA163" s="94" t="s">
        <v>964</v>
      </c>
      <c r="AB163" s="94" t="s">
        <v>964</v>
      </c>
      <c r="AC163" s="94" t="s">
        <v>970</v>
      </c>
      <c r="AD163" s="99">
        <v>2.0833333333333332E-2</v>
      </c>
    </row>
    <row r="164" spans="1:30" ht="72" hidden="1">
      <c r="A164" s="94" t="s">
        <v>1105</v>
      </c>
      <c r="B164" s="109" t="s">
        <v>14</v>
      </c>
      <c r="C164" s="109" t="s">
        <v>976</v>
      </c>
      <c r="D164" s="110" t="s">
        <v>987</v>
      </c>
      <c r="E164" s="95"/>
      <c r="F164" s="94" t="s">
        <v>963</v>
      </c>
      <c r="G164" s="94" t="s">
        <v>960</v>
      </c>
      <c r="H164" s="94" t="s">
        <v>961</v>
      </c>
      <c r="I164" s="94"/>
      <c r="J164" s="94">
        <v>2</v>
      </c>
      <c r="K164" s="96" t="e">
        <f>VLOOKUP(Tabela13[[#This Row],[Prioridade]],[5]!TabelaPrioridade[#Data],2,FALSE)</f>
        <v>#REF!</v>
      </c>
      <c r="L164" s="96" t="e">
        <f>VLOOKUP(Tabela13[[#This Row],[Prioridade]],[5]!TabelaPrioridade[#Data],3,FALSE)</f>
        <v>#REF!</v>
      </c>
      <c r="M164" s="94" t="s">
        <v>963</v>
      </c>
      <c r="N164" s="94" t="s">
        <v>964</v>
      </c>
      <c r="O164" s="94" t="s">
        <v>964</v>
      </c>
      <c r="P164" s="94" t="s">
        <v>965</v>
      </c>
      <c r="Q164" s="97" t="e">
        <f>Tabela13[[#This Row],[Tempo Máximo Atendimento]]+"00:20:00"</f>
        <v>#REF!</v>
      </c>
      <c r="R164" s="94"/>
      <c r="S164" s="94" t="s">
        <v>967</v>
      </c>
      <c r="T164" s="98" t="e">
        <f>Tabela13[[#This Row],[Tempo Máximo Resolução]]-Tabela13[[#This Row],[Tempo Máximo Resolução3]]</f>
        <v>#REF!</v>
      </c>
      <c r="U164" s="98" t="e">
        <f>Tabela13[[#This Row],[Tempo Máximo Total Resolução]]-Tabela13[[#This Row],[Tempo Máximo Escalada Funcional]]</f>
        <v>#REF!</v>
      </c>
      <c r="V164" s="94"/>
      <c r="W164" s="94" t="s">
        <v>968</v>
      </c>
      <c r="X164" s="99">
        <v>0.16666666666666666</v>
      </c>
      <c r="Y164" s="100" t="s">
        <v>969</v>
      </c>
      <c r="Z164" s="94" t="s">
        <v>964</v>
      </c>
      <c r="AA164" s="94" t="s">
        <v>964</v>
      </c>
      <c r="AB164" s="94" t="s">
        <v>964</v>
      </c>
      <c r="AC164" s="94" t="s">
        <v>970</v>
      </c>
      <c r="AD164" s="101" t="s">
        <v>971</v>
      </c>
    </row>
    <row r="165" spans="1:30" ht="15" hidden="1">
      <c r="A165" s="94" t="s">
        <v>1106</v>
      </c>
      <c r="B165" s="109" t="s">
        <v>14</v>
      </c>
      <c r="C165" s="109" t="s">
        <v>957</v>
      </c>
      <c r="D165" s="110" t="s">
        <v>958</v>
      </c>
      <c r="E165" s="95"/>
      <c r="F165" s="94" t="s">
        <v>960</v>
      </c>
      <c r="G165" s="94" t="s">
        <v>960</v>
      </c>
      <c r="H165" s="94" t="s">
        <v>961</v>
      </c>
      <c r="I165" s="94"/>
      <c r="J165" s="94">
        <v>4</v>
      </c>
      <c r="K165" s="96" t="e">
        <f>VLOOKUP(Tabela13[[#This Row],[Prioridade]],[5]!TabelaPrioridade[#Data],2,FALSE)</f>
        <v>#REF!</v>
      </c>
      <c r="L165" s="96" t="e">
        <f>VLOOKUP(Tabela13[[#This Row],[Prioridade]],[5]!TabelaPrioridade[#Data],3,FALSE)</f>
        <v>#REF!</v>
      </c>
      <c r="M165" s="94" t="s">
        <v>960</v>
      </c>
      <c r="N165" s="94" t="s">
        <v>1020</v>
      </c>
      <c r="O165" s="94"/>
      <c r="P165" s="94" t="s">
        <v>967</v>
      </c>
      <c r="Q165" s="97" t="e">
        <f>Tabela13[[#This Row],[Tempo Máximo Atendimento]]+"00:20:00"</f>
        <v>#REF!</v>
      </c>
      <c r="R165" s="94"/>
      <c r="S165" s="94" t="s">
        <v>1107</v>
      </c>
      <c r="T165" s="94" t="s">
        <v>964</v>
      </c>
      <c r="U165" s="94" t="s">
        <v>964</v>
      </c>
      <c r="V165" s="94"/>
      <c r="W165" s="94" t="s">
        <v>980</v>
      </c>
      <c r="X165" s="94" t="s">
        <v>964</v>
      </c>
      <c r="Y165" s="95" t="s">
        <v>964</v>
      </c>
      <c r="Z165" s="94" t="s">
        <v>964</v>
      </c>
      <c r="AA165" s="94" t="s">
        <v>964</v>
      </c>
      <c r="AB165" s="94" t="s">
        <v>964</v>
      </c>
      <c r="AC165" s="94" t="s">
        <v>970</v>
      </c>
      <c r="AD165" s="101" t="s">
        <v>971</v>
      </c>
    </row>
    <row r="166" spans="1:30" ht="15" hidden="1">
      <c r="A166" s="94" t="s">
        <v>1106</v>
      </c>
      <c r="B166" s="109" t="s">
        <v>14</v>
      </c>
      <c r="C166" s="109" t="s">
        <v>976</v>
      </c>
      <c r="D166" s="111" t="s">
        <v>977</v>
      </c>
      <c r="E166" s="95"/>
      <c r="F166" s="94" t="s">
        <v>963</v>
      </c>
      <c r="G166" s="94" t="s">
        <v>960</v>
      </c>
      <c r="H166" s="94" t="s">
        <v>961</v>
      </c>
      <c r="I166" s="94"/>
      <c r="J166" s="94">
        <v>2</v>
      </c>
      <c r="K166" s="96" t="e">
        <f>VLOOKUP(Tabela13[[#This Row],[Prioridade]],[5]!TabelaPrioridade[#Data],2,FALSE)</f>
        <v>#REF!</v>
      </c>
      <c r="L166" s="96" t="e">
        <f>VLOOKUP(Tabela13[[#This Row],[Prioridade]],[5]!TabelaPrioridade[#Data],3,FALSE)</f>
        <v>#REF!</v>
      </c>
      <c r="M166" s="94" t="s">
        <v>963</v>
      </c>
      <c r="N166" s="94" t="s">
        <v>964</v>
      </c>
      <c r="O166" s="94" t="s">
        <v>964</v>
      </c>
      <c r="P166" s="94" t="s">
        <v>965</v>
      </c>
      <c r="Q166" s="97" t="e">
        <f>Tabela13[[#This Row],[Tempo Máximo Atendimento]]+"00:20:00"</f>
        <v>#REF!</v>
      </c>
      <c r="R166" s="94"/>
      <c r="S166" s="94" t="s">
        <v>967</v>
      </c>
      <c r="T166" s="94" t="s">
        <v>964</v>
      </c>
      <c r="U166" s="94" t="s">
        <v>964</v>
      </c>
      <c r="V166" s="94"/>
      <c r="W166" s="94" t="s">
        <v>980</v>
      </c>
      <c r="X166" s="94" t="s">
        <v>964</v>
      </c>
      <c r="Y166" s="95" t="s">
        <v>964</v>
      </c>
      <c r="Z166" s="94" t="s">
        <v>964</v>
      </c>
      <c r="AA166" s="94" t="s">
        <v>964</v>
      </c>
      <c r="AB166" s="94" t="s">
        <v>964</v>
      </c>
      <c r="AC166" s="94" t="s">
        <v>970</v>
      </c>
      <c r="AD166" s="101" t="s">
        <v>971</v>
      </c>
    </row>
    <row r="167" spans="1:30" ht="15" hidden="1">
      <c r="A167" s="94" t="s">
        <v>1106</v>
      </c>
      <c r="B167" s="109" t="s">
        <v>14</v>
      </c>
      <c r="C167" s="109" t="s">
        <v>976</v>
      </c>
      <c r="D167" s="110" t="s">
        <v>566</v>
      </c>
      <c r="E167" s="95"/>
      <c r="F167" s="94" t="s">
        <v>963</v>
      </c>
      <c r="G167" s="94" t="s">
        <v>960</v>
      </c>
      <c r="H167" s="94" t="s">
        <v>961</v>
      </c>
      <c r="I167" s="94"/>
      <c r="J167" s="94">
        <v>2</v>
      </c>
      <c r="K167" s="96" t="e">
        <f>VLOOKUP(Tabela13[[#This Row],[Prioridade]],[5]!TabelaPrioridade[#Data],2,FALSE)</f>
        <v>#REF!</v>
      </c>
      <c r="L167" s="96" t="e">
        <f>VLOOKUP(Tabela13[[#This Row],[Prioridade]],[5]!TabelaPrioridade[#Data],3,FALSE)</f>
        <v>#REF!</v>
      </c>
      <c r="M167" s="94" t="s">
        <v>963</v>
      </c>
      <c r="N167" s="94" t="s">
        <v>964</v>
      </c>
      <c r="O167" s="94" t="s">
        <v>964</v>
      </c>
      <c r="P167" s="94" t="s">
        <v>965</v>
      </c>
      <c r="Q167" s="97" t="e">
        <f>Tabela13[[#This Row],[Tempo Máximo Atendimento]]+"00:20:00"</f>
        <v>#REF!</v>
      </c>
      <c r="R167" s="94"/>
      <c r="S167" s="94" t="s">
        <v>967</v>
      </c>
      <c r="T167" s="94" t="s">
        <v>964</v>
      </c>
      <c r="U167" s="94" t="s">
        <v>964</v>
      </c>
      <c r="V167" s="94"/>
      <c r="W167" s="94" t="s">
        <v>980</v>
      </c>
      <c r="X167" s="94" t="s">
        <v>964</v>
      </c>
      <c r="Y167" s="95" t="s">
        <v>964</v>
      </c>
      <c r="Z167" s="94" t="s">
        <v>964</v>
      </c>
      <c r="AA167" s="94" t="s">
        <v>964</v>
      </c>
      <c r="AB167" s="94" t="s">
        <v>964</v>
      </c>
      <c r="AC167" s="94" t="s">
        <v>970</v>
      </c>
      <c r="AD167" s="101" t="s">
        <v>971</v>
      </c>
    </row>
    <row r="168" spans="1:30" ht="15">
      <c r="A168" s="94" t="s">
        <v>1106</v>
      </c>
      <c r="B168" s="94" t="s">
        <v>14</v>
      </c>
      <c r="C168" s="94" t="s">
        <v>976</v>
      </c>
      <c r="D168" s="105" t="s">
        <v>565</v>
      </c>
      <c r="E168" s="95"/>
      <c r="F168" s="94" t="s">
        <v>963</v>
      </c>
      <c r="G168" s="94" t="s">
        <v>960</v>
      </c>
      <c r="H168" s="94" t="s">
        <v>961</v>
      </c>
      <c r="I168" s="94"/>
      <c r="J168" s="94">
        <v>1</v>
      </c>
      <c r="K168" s="96" t="e">
        <f>VLOOKUP(Tabela13[[#This Row],[Prioridade]],[5]!TabelaPrioridade[#Data],2,FALSE)</f>
        <v>#REF!</v>
      </c>
      <c r="L168" s="96" t="e">
        <f>VLOOKUP(Tabela13[[#This Row],[Prioridade]],[5]!TabelaPrioridade[#Data],3,FALSE)</f>
        <v>#REF!</v>
      </c>
      <c r="M168" s="94" t="s">
        <v>963</v>
      </c>
      <c r="N168" s="94" t="s">
        <v>964</v>
      </c>
      <c r="O168" s="94" t="s">
        <v>964</v>
      </c>
      <c r="P168" s="94" t="s">
        <v>965</v>
      </c>
      <c r="Q168" s="97" t="e">
        <f>Tabela13[[#This Row],[Tempo Máximo Atendimento]]+"00:20:00"</f>
        <v>#REF!</v>
      </c>
      <c r="R168" s="94"/>
      <c r="S168" s="94" t="s">
        <v>967</v>
      </c>
      <c r="T168" s="94" t="s">
        <v>964</v>
      </c>
      <c r="U168" s="94" t="s">
        <v>964</v>
      </c>
      <c r="V168" s="94"/>
      <c r="W168" s="94" t="s">
        <v>980</v>
      </c>
      <c r="X168" s="94" t="s">
        <v>964</v>
      </c>
      <c r="Y168" s="95" t="s">
        <v>964</v>
      </c>
      <c r="Z168" s="94" t="s">
        <v>964</v>
      </c>
      <c r="AA168" s="94" t="s">
        <v>964</v>
      </c>
      <c r="AB168" s="94" t="s">
        <v>964</v>
      </c>
      <c r="AC168" s="94" t="s">
        <v>970</v>
      </c>
      <c r="AD168" s="99">
        <v>2.0833333333333332E-2</v>
      </c>
    </row>
    <row r="169" spans="1:30" ht="15" hidden="1">
      <c r="A169" s="94" t="s">
        <v>1106</v>
      </c>
      <c r="B169" s="94" t="s">
        <v>956</v>
      </c>
      <c r="C169" s="94" t="s">
        <v>957</v>
      </c>
      <c r="D169" s="105" t="s">
        <v>1043</v>
      </c>
      <c r="E169" s="95" t="s">
        <v>1108</v>
      </c>
      <c r="F169" s="94" t="s">
        <v>960</v>
      </c>
      <c r="G169" s="94" t="s">
        <v>960</v>
      </c>
      <c r="H169" s="94" t="s">
        <v>961</v>
      </c>
      <c r="I169" s="94" t="s">
        <v>962</v>
      </c>
      <c r="J169" s="94">
        <v>4</v>
      </c>
      <c r="K169" s="96" t="e">
        <f>VLOOKUP(Tabela13[[#This Row],[Prioridade]],[5]!TabelaPrioridade[#Data],2,FALSE)</f>
        <v>#REF!</v>
      </c>
      <c r="L169" s="96" t="e">
        <f>VLOOKUP(Tabela13[[#This Row],[Prioridade]],[5]!TabelaPrioridade[#Data],3,FALSE)</f>
        <v>#REF!</v>
      </c>
      <c r="M169" s="94" t="s">
        <v>963</v>
      </c>
      <c r="N169" s="94" t="s">
        <v>964</v>
      </c>
      <c r="O169" s="94" t="s">
        <v>964</v>
      </c>
      <c r="P169" s="94" t="s">
        <v>967</v>
      </c>
      <c r="Q169" s="97" t="e">
        <f>Tabela13[[#This Row],[Tempo Máximo Atendimento]]+"00:20:00"</f>
        <v>#REF!</v>
      </c>
      <c r="R169" s="94"/>
      <c r="S169" s="94" t="s">
        <v>1107</v>
      </c>
      <c r="T169" s="94" t="s">
        <v>964</v>
      </c>
      <c r="U169" s="94" t="s">
        <v>964</v>
      </c>
      <c r="V169" s="94"/>
      <c r="W169" s="94" t="s">
        <v>980</v>
      </c>
      <c r="X169" s="94" t="s">
        <v>964</v>
      </c>
      <c r="Y169" s="95" t="s">
        <v>964</v>
      </c>
      <c r="Z169" s="94" t="s">
        <v>964</v>
      </c>
      <c r="AA169" s="94" t="s">
        <v>964</v>
      </c>
      <c r="AB169" s="94" t="s">
        <v>964</v>
      </c>
      <c r="AC169" s="94" t="s">
        <v>970</v>
      </c>
      <c r="AD169" s="101" t="s">
        <v>971</v>
      </c>
    </row>
    <row r="170" spans="1:30" ht="15" hidden="1">
      <c r="A170" s="94" t="s">
        <v>1106</v>
      </c>
      <c r="B170" s="94" t="s">
        <v>14</v>
      </c>
      <c r="C170" s="94" t="s">
        <v>976</v>
      </c>
      <c r="D170" s="105" t="s">
        <v>987</v>
      </c>
      <c r="E170" s="95"/>
      <c r="F170" s="94" t="s">
        <v>963</v>
      </c>
      <c r="G170" s="94" t="s">
        <v>960</v>
      </c>
      <c r="H170" s="94" t="s">
        <v>961</v>
      </c>
      <c r="I170" s="94"/>
      <c r="J170" s="94">
        <v>2</v>
      </c>
      <c r="K170" s="96" t="e">
        <f>VLOOKUP(Tabela13[[#This Row],[Prioridade]],[5]!TabelaPrioridade[#Data],2,FALSE)</f>
        <v>#REF!</v>
      </c>
      <c r="L170" s="96" t="e">
        <f>VLOOKUP(Tabela13[[#This Row],[Prioridade]],[5]!TabelaPrioridade[#Data],3,FALSE)</f>
        <v>#REF!</v>
      </c>
      <c r="M170" s="94" t="s">
        <v>963</v>
      </c>
      <c r="N170" s="94" t="s">
        <v>964</v>
      </c>
      <c r="O170" s="94" t="s">
        <v>964</v>
      </c>
      <c r="P170" s="94" t="s">
        <v>965</v>
      </c>
      <c r="Q170" s="97" t="e">
        <f>Tabela13[[#This Row],[Tempo Máximo Atendimento]]+"00:20:00"</f>
        <v>#REF!</v>
      </c>
      <c r="R170" s="94"/>
      <c r="S170" s="94" t="s">
        <v>967</v>
      </c>
      <c r="T170" s="94" t="s">
        <v>964</v>
      </c>
      <c r="U170" s="94" t="s">
        <v>964</v>
      </c>
      <c r="V170" s="94"/>
      <c r="W170" s="94" t="s">
        <v>980</v>
      </c>
      <c r="X170" s="94" t="s">
        <v>964</v>
      </c>
      <c r="Y170" s="95" t="s">
        <v>964</v>
      </c>
      <c r="Z170" s="94" t="s">
        <v>964</v>
      </c>
      <c r="AA170" s="94" t="s">
        <v>964</v>
      </c>
      <c r="AB170" s="94" t="s">
        <v>964</v>
      </c>
      <c r="AC170" s="94" t="s">
        <v>970</v>
      </c>
      <c r="AD170" s="101" t="s">
        <v>971</v>
      </c>
    </row>
    <row r="171" spans="1:30" ht="15" hidden="1">
      <c r="A171" s="94" t="s">
        <v>1109</v>
      </c>
      <c r="B171" s="94" t="s">
        <v>14</v>
      </c>
      <c r="C171" s="94" t="s">
        <v>957</v>
      </c>
      <c r="D171" s="95" t="s">
        <v>958</v>
      </c>
      <c r="E171" s="95"/>
      <c r="F171" s="94" t="s">
        <v>963</v>
      </c>
      <c r="G171" s="94" t="s">
        <v>960</v>
      </c>
      <c r="H171" s="94" t="s">
        <v>961</v>
      </c>
      <c r="I171" s="94"/>
      <c r="J171" s="94">
        <v>4</v>
      </c>
      <c r="K171" s="96" t="e">
        <f>VLOOKUP(Tabela13[[#This Row],[Prioridade]],[5]!TabelaPrioridade[#Data],2,FALSE)</f>
        <v>#REF!</v>
      </c>
      <c r="L171" s="96" t="e">
        <f>VLOOKUP(Tabela13[[#This Row],[Prioridade]],[5]!TabelaPrioridade[#Data],3,FALSE)</f>
        <v>#REF!</v>
      </c>
      <c r="M171" s="94" t="s">
        <v>963</v>
      </c>
      <c r="N171" s="94"/>
      <c r="O171" s="94"/>
      <c r="P171" s="94" t="s">
        <v>965</v>
      </c>
      <c r="Q171" s="97" t="e">
        <f>Tabela13[[#This Row],[Tempo Máximo Atendimento]]+"00:20:00"</f>
        <v>#REF!</v>
      </c>
      <c r="R171" s="94"/>
      <c r="S171" s="94" t="s">
        <v>975</v>
      </c>
      <c r="T171" s="94" t="s">
        <v>964</v>
      </c>
      <c r="U171" s="94" t="s">
        <v>964</v>
      </c>
      <c r="V171" s="94"/>
      <c r="W171" s="94" t="s">
        <v>980</v>
      </c>
      <c r="X171" s="94" t="s">
        <v>964</v>
      </c>
      <c r="Y171" s="95" t="s">
        <v>964</v>
      </c>
      <c r="Z171" s="94" t="s">
        <v>964</v>
      </c>
      <c r="AA171" s="94" t="s">
        <v>964</v>
      </c>
      <c r="AB171" s="94" t="s">
        <v>964</v>
      </c>
      <c r="AC171" s="94" t="s">
        <v>970</v>
      </c>
      <c r="AD171" s="101" t="s">
        <v>971</v>
      </c>
    </row>
    <row r="172" spans="1:30" ht="15" hidden="1">
      <c r="A172" s="94" t="s">
        <v>1109</v>
      </c>
      <c r="B172" s="94" t="s">
        <v>14</v>
      </c>
      <c r="C172" s="94" t="s">
        <v>957</v>
      </c>
      <c r="D172" s="105" t="s">
        <v>1110</v>
      </c>
      <c r="E172" s="95"/>
      <c r="F172" s="94" t="s">
        <v>963</v>
      </c>
      <c r="G172" s="94" t="s">
        <v>960</v>
      </c>
      <c r="H172" s="94" t="s">
        <v>961</v>
      </c>
      <c r="I172" s="94"/>
      <c r="J172" s="94">
        <v>4</v>
      </c>
      <c r="K172" s="96" t="e">
        <f>VLOOKUP(Tabela13[[#This Row],[Prioridade]],[5]!TabelaPrioridade[#Data],2,FALSE)</f>
        <v>#REF!</v>
      </c>
      <c r="L172" s="96" t="e">
        <f>VLOOKUP(Tabela13[[#This Row],[Prioridade]],[5]!TabelaPrioridade[#Data],3,FALSE)</f>
        <v>#REF!</v>
      </c>
      <c r="M172" s="94" t="s">
        <v>963</v>
      </c>
      <c r="N172" s="94"/>
      <c r="O172" s="94"/>
      <c r="P172" s="94" t="s">
        <v>965</v>
      </c>
      <c r="Q172" s="97" t="e">
        <f>Tabela13[[#This Row],[Tempo Máximo Atendimento]]+"00:20:00"</f>
        <v>#REF!</v>
      </c>
      <c r="R172" s="94"/>
      <c r="S172" s="94" t="s">
        <v>975</v>
      </c>
      <c r="T172" s="94" t="s">
        <v>964</v>
      </c>
      <c r="U172" s="94" t="s">
        <v>964</v>
      </c>
      <c r="V172" s="94"/>
      <c r="W172" s="94" t="s">
        <v>980</v>
      </c>
      <c r="X172" s="94" t="s">
        <v>964</v>
      </c>
      <c r="Y172" s="95" t="s">
        <v>964</v>
      </c>
      <c r="Z172" s="94" t="s">
        <v>964</v>
      </c>
      <c r="AA172" s="94" t="s">
        <v>964</v>
      </c>
      <c r="AB172" s="94" t="s">
        <v>964</v>
      </c>
      <c r="AC172" s="94" t="s">
        <v>970</v>
      </c>
      <c r="AD172" s="101" t="s">
        <v>971</v>
      </c>
    </row>
    <row r="173" spans="1:30" ht="15" hidden="1">
      <c r="A173" s="94" t="s">
        <v>1109</v>
      </c>
      <c r="B173" s="94" t="s">
        <v>14</v>
      </c>
      <c r="C173" s="94" t="s">
        <v>976</v>
      </c>
      <c r="D173" s="95" t="s">
        <v>977</v>
      </c>
      <c r="E173" s="95"/>
      <c r="F173" s="94" t="s">
        <v>963</v>
      </c>
      <c r="G173" s="94" t="s">
        <v>960</v>
      </c>
      <c r="H173" s="94" t="s">
        <v>961</v>
      </c>
      <c r="I173" s="94"/>
      <c r="J173" s="94">
        <v>4</v>
      </c>
      <c r="K173" s="96" t="e">
        <f>VLOOKUP(Tabela13[[#This Row],[Prioridade]],[5]!TabelaPrioridade[#Data],2,FALSE)</f>
        <v>#REF!</v>
      </c>
      <c r="L173" s="96" t="e">
        <f>VLOOKUP(Tabela13[[#This Row],[Prioridade]],[5]!TabelaPrioridade[#Data],3,FALSE)</f>
        <v>#REF!</v>
      </c>
      <c r="M173" s="94" t="s">
        <v>963</v>
      </c>
      <c r="N173" s="94" t="s">
        <v>964</v>
      </c>
      <c r="O173" s="94" t="s">
        <v>964</v>
      </c>
      <c r="P173" s="94" t="s">
        <v>965</v>
      </c>
      <c r="Q173" s="97" t="e">
        <f>Tabela13[[#This Row],[Tempo Máximo Atendimento]]+"00:20:00"</f>
        <v>#REF!</v>
      </c>
      <c r="R173" s="94"/>
      <c r="S173" s="94" t="s">
        <v>975</v>
      </c>
      <c r="T173" s="94" t="s">
        <v>964</v>
      </c>
      <c r="U173" s="94" t="s">
        <v>964</v>
      </c>
      <c r="V173" s="94"/>
      <c r="W173" s="94" t="s">
        <v>980</v>
      </c>
      <c r="X173" s="94" t="s">
        <v>964</v>
      </c>
      <c r="Y173" s="95" t="s">
        <v>964</v>
      </c>
      <c r="Z173" s="94" t="s">
        <v>964</v>
      </c>
      <c r="AA173" s="94" t="s">
        <v>964</v>
      </c>
      <c r="AB173" s="94" t="s">
        <v>964</v>
      </c>
      <c r="AC173" s="94" t="s">
        <v>970</v>
      </c>
      <c r="AD173" s="101" t="s">
        <v>971</v>
      </c>
    </row>
    <row r="174" spans="1:30" ht="15" hidden="1">
      <c r="A174" s="94" t="s">
        <v>1109</v>
      </c>
      <c r="B174" s="94" t="s">
        <v>14</v>
      </c>
      <c r="C174" s="94" t="s">
        <v>957</v>
      </c>
      <c r="D174" s="95" t="s">
        <v>1111</v>
      </c>
      <c r="E174" s="95"/>
      <c r="F174" s="94" t="s">
        <v>963</v>
      </c>
      <c r="G174" s="94" t="s">
        <v>960</v>
      </c>
      <c r="H174" s="94" t="s">
        <v>961</v>
      </c>
      <c r="I174" s="94"/>
      <c r="J174" s="94">
        <v>4</v>
      </c>
      <c r="K174" s="96" t="e">
        <f>VLOOKUP(Tabela13[[#This Row],[Prioridade]],[5]!TabelaPrioridade[#Data],2,FALSE)</f>
        <v>#REF!</v>
      </c>
      <c r="L174" s="96" t="e">
        <f>VLOOKUP(Tabela13[[#This Row],[Prioridade]],[5]!TabelaPrioridade[#Data],3,FALSE)</f>
        <v>#REF!</v>
      </c>
      <c r="M174" s="94" t="s">
        <v>963</v>
      </c>
      <c r="N174" s="94"/>
      <c r="O174" s="94"/>
      <c r="P174" s="94" t="s">
        <v>965</v>
      </c>
      <c r="Q174" s="97" t="e">
        <f>Tabela13[[#This Row],[Tempo Máximo Atendimento]]+"00:20:00"</f>
        <v>#REF!</v>
      </c>
      <c r="R174" s="94"/>
      <c r="S174" s="94" t="s">
        <v>975</v>
      </c>
      <c r="T174" s="94" t="s">
        <v>964</v>
      </c>
      <c r="U174" s="94" t="s">
        <v>964</v>
      </c>
      <c r="V174" s="94"/>
      <c r="W174" s="94" t="s">
        <v>980</v>
      </c>
      <c r="X174" s="94" t="s">
        <v>964</v>
      </c>
      <c r="Y174" s="95" t="s">
        <v>964</v>
      </c>
      <c r="Z174" s="94" t="s">
        <v>964</v>
      </c>
      <c r="AA174" s="94" t="s">
        <v>964</v>
      </c>
      <c r="AB174" s="94" t="s">
        <v>964</v>
      </c>
      <c r="AC174" s="94" t="s">
        <v>970</v>
      </c>
      <c r="AD174" s="101" t="s">
        <v>971</v>
      </c>
    </row>
    <row r="175" spans="1:30" ht="15" hidden="1">
      <c r="A175" s="94" t="s">
        <v>1109</v>
      </c>
      <c r="B175" s="94" t="s">
        <v>14</v>
      </c>
      <c r="C175" s="94" t="s">
        <v>957</v>
      </c>
      <c r="D175" s="95" t="s">
        <v>1043</v>
      </c>
      <c r="E175" s="95"/>
      <c r="F175" s="94" t="s">
        <v>963</v>
      </c>
      <c r="G175" s="94" t="s">
        <v>960</v>
      </c>
      <c r="H175" s="94" t="s">
        <v>961</v>
      </c>
      <c r="I175" s="94"/>
      <c r="J175" s="94">
        <v>4</v>
      </c>
      <c r="K175" s="96" t="e">
        <f>VLOOKUP(Tabela13[[#This Row],[Prioridade]],[5]!TabelaPrioridade[#Data],2,FALSE)</f>
        <v>#REF!</v>
      </c>
      <c r="L175" s="96" t="e">
        <f>VLOOKUP(Tabela13[[#This Row],[Prioridade]],[5]!TabelaPrioridade[#Data],3,FALSE)</f>
        <v>#REF!</v>
      </c>
      <c r="M175" s="94" t="s">
        <v>963</v>
      </c>
      <c r="N175" s="94"/>
      <c r="O175" s="94"/>
      <c r="P175" s="94" t="s">
        <v>965</v>
      </c>
      <c r="Q175" s="97" t="e">
        <f>Tabela13[[#This Row],[Tempo Máximo Atendimento]]+"00:20:00"</f>
        <v>#REF!</v>
      </c>
      <c r="R175" s="94"/>
      <c r="S175" s="94" t="s">
        <v>975</v>
      </c>
      <c r="T175" s="94" t="s">
        <v>964</v>
      </c>
      <c r="U175" s="94" t="s">
        <v>964</v>
      </c>
      <c r="V175" s="94"/>
      <c r="W175" s="94" t="s">
        <v>980</v>
      </c>
      <c r="X175" s="94" t="s">
        <v>964</v>
      </c>
      <c r="Y175" s="95" t="s">
        <v>964</v>
      </c>
      <c r="Z175" s="94" t="s">
        <v>964</v>
      </c>
      <c r="AA175" s="94" t="s">
        <v>964</v>
      </c>
      <c r="AB175" s="94" t="s">
        <v>964</v>
      </c>
      <c r="AC175" s="94" t="s">
        <v>970</v>
      </c>
      <c r="AD175" s="101" t="s">
        <v>971</v>
      </c>
    </row>
    <row r="176" spans="1:30" ht="15" hidden="1">
      <c r="A176" s="94" t="s">
        <v>1109</v>
      </c>
      <c r="B176" s="94" t="s">
        <v>14</v>
      </c>
      <c r="C176" s="94" t="s">
        <v>976</v>
      </c>
      <c r="D176" s="105" t="s">
        <v>987</v>
      </c>
      <c r="E176" s="95"/>
      <c r="F176" s="94" t="s">
        <v>963</v>
      </c>
      <c r="G176" s="94" t="s">
        <v>960</v>
      </c>
      <c r="H176" s="94" t="s">
        <v>961</v>
      </c>
      <c r="I176" s="94"/>
      <c r="J176" s="94">
        <v>4</v>
      </c>
      <c r="K176" s="96" t="e">
        <f>VLOOKUP(Tabela13[[#This Row],[Prioridade]],[5]!TabelaPrioridade[#Data],2,FALSE)</f>
        <v>#REF!</v>
      </c>
      <c r="L176" s="96" t="e">
        <f>VLOOKUP(Tabela13[[#This Row],[Prioridade]],[5]!TabelaPrioridade[#Data],3,FALSE)</f>
        <v>#REF!</v>
      </c>
      <c r="M176" s="94" t="s">
        <v>963</v>
      </c>
      <c r="N176" s="94" t="s">
        <v>964</v>
      </c>
      <c r="O176" s="94" t="s">
        <v>964</v>
      </c>
      <c r="P176" s="94" t="s">
        <v>965</v>
      </c>
      <c r="Q176" s="97" t="e">
        <f>Tabela13[[#This Row],[Tempo Máximo Atendimento]]+"00:20:00"</f>
        <v>#REF!</v>
      </c>
      <c r="R176" s="94"/>
      <c r="S176" s="94" t="s">
        <v>975</v>
      </c>
      <c r="T176" s="94" t="s">
        <v>964</v>
      </c>
      <c r="U176" s="94" t="s">
        <v>964</v>
      </c>
      <c r="V176" s="94"/>
      <c r="W176" s="94" t="s">
        <v>980</v>
      </c>
      <c r="X176" s="94" t="s">
        <v>964</v>
      </c>
      <c r="Y176" s="95" t="s">
        <v>964</v>
      </c>
      <c r="Z176" s="94" t="s">
        <v>964</v>
      </c>
      <c r="AA176" s="94" t="s">
        <v>964</v>
      </c>
      <c r="AB176" s="94" t="s">
        <v>964</v>
      </c>
      <c r="AC176" s="94" t="s">
        <v>970</v>
      </c>
      <c r="AD176" s="101" t="s">
        <v>971</v>
      </c>
    </row>
    <row r="177" spans="1:30" ht="15">
      <c r="A177" s="94" t="s">
        <v>1112</v>
      </c>
      <c r="B177" s="94" t="s">
        <v>14</v>
      </c>
      <c r="C177" s="94" t="s">
        <v>976</v>
      </c>
      <c r="D177" s="95" t="s">
        <v>565</v>
      </c>
      <c r="E177" s="95"/>
      <c r="F177" s="94" t="s">
        <v>963</v>
      </c>
      <c r="G177" s="94" t="s">
        <v>960</v>
      </c>
      <c r="H177" s="94" t="s">
        <v>961</v>
      </c>
      <c r="I177" s="94"/>
      <c r="J177" s="94">
        <v>1</v>
      </c>
      <c r="K177" s="96" t="e">
        <f>VLOOKUP(Tabela13[[#This Row],[Prioridade]],[5]!TabelaPrioridade[#Data],2,FALSE)</f>
        <v>#REF!</v>
      </c>
      <c r="L177" s="96" t="e">
        <f>VLOOKUP(Tabela13[[#This Row],[Prioridade]],[5]!TabelaPrioridade[#Data],3,FALSE)</f>
        <v>#REF!</v>
      </c>
      <c r="M177" s="94" t="s">
        <v>963</v>
      </c>
      <c r="N177" s="94" t="s">
        <v>964</v>
      </c>
      <c r="O177" s="94" t="s">
        <v>964</v>
      </c>
      <c r="P177" s="94" t="s">
        <v>965</v>
      </c>
      <c r="Q177" s="97" t="e">
        <f>Tabela13[[#This Row],[Tempo Máximo Atendimento]]+"00:20:00"</f>
        <v>#REF!</v>
      </c>
      <c r="R177" s="94"/>
      <c r="S177" s="94" t="s">
        <v>980</v>
      </c>
      <c r="T177" s="97" t="s">
        <v>964</v>
      </c>
      <c r="U177" s="97" t="s">
        <v>964</v>
      </c>
      <c r="V177" s="94"/>
      <c r="W177" s="94" t="s">
        <v>964</v>
      </c>
      <c r="X177" s="94" t="s">
        <v>964</v>
      </c>
      <c r="Y177" s="95" t="s">
        <v>964</v>
      </c>
      <c r="Z177" s="94" t="s">
        <v>964</v>
      </c>
      <c r="AA177" s="94" t="s">
        <v>964</v>
      </c>
      <c r="AB177" s="94" t="s">
        <v>964</v>
      </c>
      <c r="AC177" s="94" t="s">
        <v>970</v>
      </c>
      <c r="AD177" s="99">
        <v>2.0833333333333332E-2</v>
      </c>
    </row>
    <row r="178" spans="1:30" ht="15" hidden="1">
      <c r="A178" s="94" t="s">
        <v>1112</v>
      </c>
      <c r="B178" s="94" t="s">
        <v>14</v>
      </c>
      <c r="C178" s="94" t="s">
        <v>976</v>
      </c>
      <c r="D178" s="95" t="s">
        <v>566</v>
      </c>
      <c r="E178" s="95"/>
      <c r="F178" s="94" t="s">
        <v>963</v>
      </c>
      <c r="G178" s="94" t="s">
        <v>960</v>
      </c>
      <c r="H178" s="94" t="s">
        <v>961</v>
      </c>
      <c r="I178" s="94"/>
      <c r="J178" s="94">
        <v>2</v>
      </c>
      <c r="K178" s="96" t="e">
        <f>VLOOKUP(Tabela13[[#This Row],[Prioridade]],[5]!TabelaPrioridade[#Data],2,FALSE)</f>
        <v>#REF!</v>
      </c>
      <c r="L178" s="96" t="e">
        <f>VLOOKUP(Tabela13[[#This Row],[Prioridade]],[5]!TabelaPrioridade[#Data],3,FALSE)</f>
        <v>#REF!</v>
      </c>
      <c r="M178" s="94" t="s">
        <v>963</v>
      </c>
      <c r="N178" s="94" t="s">
        <v>964</v>
      </c>
      <c r="O178" s="94" t="s">
        <v>964</v>
      </c>
      <c r="P178" s="94" t="s">
        <v>965</v>
      </c>
      <c r="Q178" s="97" t="e">
        <f>Tabela13[[#This Row],[Tempo Máximo Atendimento]]+"00:20:00"</f>
        <v>#REF!</v>
      </c>
      <c r="R178" s="94"/>
      <c r="S178" s="94" t="s">
        <v>980</v>
      </c>
      <c r="T178" s="97" t="s">
        <v>964</v>
      </c>
      <c r="U178" s="97" t="s">
        <v>964</v>
      </c>
      <c r="V178" s="94"/>
      <c r="W178" s="94" t="s">
        <v>964</v>
      </c>
      <c r="X178" s="94" t="s">
        <v>964</v>
      </c>
      <c r="Y178" s="95" t="s">
        <v>964</v>
      </c>
      <c r="Z178" s="94" t="s">
        <v>964</v>
      </c>
      <c r="AA178" s="94" t="s">
        <v>964</v>
      </c>
      <c r="AB178" s="94" t="s">
        <v>964</v>
      </c>
      <c r="AC178" s="94" t="s">
        <v>970</v>
      </c>
      <c r="AD178" s="101" t="s">
        <v>971</v>
      </c>
    </row>
    <row r="179" spans="1:30" ht="15" hidden="1">
      <c r="A179" s="94" t="s">
        <v>1112</v>
      </c>
      <c r="B179" s="94" t="s">
        <v>14</v>
      </c>
      <c r="C179" s="94" t="s">
        <v>976</v>
      </c>
      <c r="D179" s="95" t="s">
        <v>987</v>
      </c>
      <c r="E179" s="95"/>
      <c r="F179" s="94" t="s">
        <v>963</v>
      </c>
      <c r="G179" s="94" t="s">
        <v>960</v>
      </c>
      <c r="H179" s="94" t="s">
        <v>961</v>
      </c>
      <c r="I179" s="94"/>
      <c r="J179" s="94">
        <v>2</v>
      </c>
      <c r="K179" s="96" t="e">
        <f>VLOOKUP(Tabela13[[#This Row],[Prioridade]],[5]!TabelaPrioridade[#Data],2,FALSE)</f>
        <v>#REF!</v>
      </c>
      <c r="L179" s="96" t="e">
        <f>VLOOKUP(Tabela13[[#This Row],[Prioridade]],[5]!TabelaPrioridade[#Data],3,FALSE)</f>
        <v>#REF!</v>
      </c>
      <c r="M179" s="94" t="s">
        <v>963</v>
      </c>
      <c r="N179" s="94" t="s">
        <v>964</v>
      </c>
      <c r="O179" s="94" t="s">
        <v>964</v>
      </c>
      <c r="P179" s="94" t="s">
        <v>965</v>
      </c>
      <c r="Q179" s="97" t="e">
        <f>Tabela13[[#This Row],[Tempo Máximo Atendimento]]+"00:20:00"</f>
        <v>#REF!</v>
      </c>
      <c r="R179" s="94"/>
      <c r="S179" s="94" t="s">
        <v>980</v>
      </c>
      <c r="T179" s="97" t="s">
        <v>964</v>
      </c>
      <c r="U179" s="97" t="s">
        <v>964</v>
      </c>
      <c r="V179" s="94"/>
      <c r="W179" s="94" t="s">
        <v>964</v>
      </c>
      <c r="X179" s="94" t="s">
        <v>964</v>
      </c>
      <c r="Y179" s="95" t="s">
        <v>964</v>
      </c>
      <c r="Z179" s="94" t="s">
        <v>964</v>
      </c>
      <c r="AA179" s="94" t="s">
        <v>964</v>
      </c>
      <c r="AB179" s="94" t="s">
        <v>964</v>
      </c>
      <c r="AC179" s="94" t="s">
        <v>970</v>
      </c>
      <c r="AD179" s="101" t="s">
        <v>971</v>
      </c>
    </row>
    <row r="180" spans="1:30" ht="15" hidden="1">
      <c r="A180" s="94" t="s">
        <v>1112</v>
      </c>
      <c r="B180" s="94" t="s">
        <v>14</v>
      </c>
      <c r="C180" s="94" t="s">
        <v>976</v>
      </c>
      <c r="D180" s="95" t="s">
        <v>977</v>
      </c>
      <c r="E180" s="95"/>
      <c r="F180" s="94" t="s">
        <v>963</v>
      </c>
      <c r="G180" s="94" t="s">
        <v>960</v>
      </c>
      <c r="H180" s="94" t="s">
        <v>961</v>
      </c>
      <c r="I180" s="94"/>
      <c r="J180" s="94">
        <v>2</v>
      </c>
      <c r="K180" s="96" t="e">
        <f>VLOOKUP(Tabela13[[#This Row],[Prioridade]],[5]!TabelaPrioridade[#Data],2,FALSE)</f>
        <v>#REF!</v>
      </c>
      <c r="L180" s="96" t="e">
        <f>VLOOKUP(Tabela13[[#This Row],[Prioridade]],[5]!TabelaPrioridade[#Data],3,FALSE)</f>
        <v>#REF!</v>
      </c>
      <c r="M180" s="94" t="s">
        <v>963</v>
      </c>
      <c r="N180" s="94" t="s">
        <v>964</v>
      </c>
      <c r="O180" s="94" t="s">
        <v>964</v>
      </c>
      <c r="P180" s="94" t="s">
        <v>965</v>
      </c>
      <c r="Q180" s="97" t="e">
        <f>Tabela13[[#This Row],[Tempo Máximo Atendimento]]+"00:20:00"</f>
        <v>#REF!</v>
      </c>
      <c r="R180" s="94"/>
      <c r="S180" s="94" t="s">
        <v>980</v>
      </c>
      <c r="T180" s="97" t="s">
        <v>964</v>
      </c>
      <c r="U180" s="97" t="s">
        <v>964</v>
      </c>
      <c r="V180" s="94"/>
      <c r="W180" s="94" t="s">
        <v>964</v>
      </c>
      <c r="X180" s="94" t="s">
        <v>964</v>
      </c>
      <c r="Y180" s="95" t="s">
        <v>964</v>
      </c>
      <c r="Z180" s="94" t="s">
        <v>964</v>
      </c>
      <c r="AA180" s="94" t="s">
        <v>964</v>
      </c>
      <c r="AB180" s="94" t="s">
        <v>964</v>
      </c>
      <c r="AC180" s="94" t="s">
        <v>970</v>
      </c>
      <c r="AD180" s="101" t="s">
        <v>971</v>
      </c>
    </row>
    <row r="181" spans="1:30" ht="15" hidden="1">
      <c r="A181" s="94" t="s">
        <v>1113</v>
      </c>
      <c r="B181" s="94" t="s">
        <v>14</v>
      </c>
      <c r="C181" s="94" t="s">
        <v>976</v>
      </c>
      <c r="D181" s="95" t="s">
        <v>565</v>
      </c>
      <c r="E181" s="95"/>
      <c r="F181" s="94" t="s">
        <v>963</v>
      </c>
      <c r="G181" s="94" t="s">
        <v>960</v>
      </c>
      <c r="H181" s="94" t="s">
        <v>961</v>
      </c>
      <c r="I181" s="94"/>
      <c r="J181" s="94">
        <v>2</v>
      </c>
      <c r="K181" s="96" t="e">
        <f>VLOOKUP(Tabela13[[#This Row],[Prioridade]],[5]!TabelaPrioridade[#Data],2,FALSE)</f>
        <v>#REF!</v>
      </c>
      <c r="L181" s="96" t="e">
        <f>VLOOKUP(Tabela13[[#This Row],[Prioridade]],[5]!TabelaPrioridade[#Data],3,FALSE)</f>
        <v>#REF!</v>
      </c>
      <c r="M181" s="94" t="s">
        <v>963</v>
      </c>
      <c r="N181" s="94" t="s">
        <v>964</v>
      </c>
      <c r="O181" s="94" t="s">
        <v>964</v>
      </c>
      <c r="P181" s="94" t="s">
        <v>965</v>
      </c>
      <c r="Q181" s="97" t="e">
        <f>Tabela13[[#This Row],[Tempo Máximo Atendimento]]+"00:20:00"</f>
        <v>#REF!</v>
      </c>
      <c r="R181" s="94"/>
      <c r="S181" s="94" t="s">
        <v>980</v>
      </c>
      <c r="T181" s="94" t="s">
        <v>964</v>
      </c>
      <c r="U181" s="94" t="s">
        <v>964</v>
      </c>
      <c r="V181" s="94"/>
      <c r="W181" s="94" t="s">
        <v>1114</v>
      </c>
      <c r="X181" s="94" t="s">
        <v>964</v>
      </c>
      <c r="Y181" s="95" t="s">
        <v>964</v>
      </c>
      <c r="Z181" s="94" t="s">
        <v>964</v>
      </c>
      <c r="AA181" s="94" t="s">
        <v>964</v>
      </c>
      <c r="AB181" s="94" t="s">
        <v>964</v>
      </c>
      <c r="AC181" s="94" t="s">
        <v>970</v>
      </c>
      <c r="AD181" s="99">
        <v>2.0833333333333332E-2</v>
      </c>
    </row>
    <row r="182" spans="1:30" ht="15" hidden="1">
      <c r="A182" s="94" t="s">
        <v>1113</v>
      </c>
      <c r="B182" s="94" t="s">
        <v>14</v>
      </c>
      <c r="C182" s="94" t="s">
        <v>976</v>
      </c>
      <c r="D182" s="95" t="s">
        <v>566</v>
      </c>
      <c r="E182" s="95"/>
      <c r="F182" s="94" t="s">
        <v>963</v>
      </c>
      <c r="G182" s="94" t="s">
        <v>960</v>
      </c>
      <c r="H182" s="94" t="s">
        <v>961</v>
      </c>
      <c r="I182" s="94"/>
      <c r="J182" s="94">
        <v>3</v>
      </c>
      <c r="K182" s="96" t="e">
        <f>VLOOKUP(Tabela13[[#This Row],[Prioridade]],[5]!TabelaPrioridade[#Data],2,FALSE)</f>
        <v>#REF!</v>
      </c>
      <c r="L182" s="96" t="e">
        <f>VLOOKUP(Tabela13[[#This Row],[Prioridade]],[5]!TabelaPrioridade[#Data],3,FALSE)</f>
        <v>#REF!</v>
      </c>
      <c r="M182" s="94" t="s">
        <v>963</v>
      </c>
      <c r="N182" s="94" t="s">
        <v>964</v>
      </c>
      <c r="O182" s="94" t="s">
        <v>964</v>
      </c>
      <c r="P182" s="94" t="s">
        <v>965</v>
      </c>
      <c r="Q182" s="97" t="e">
        <f>Tabela13[[#This Row],[Tempo Máximo Atendimento]]+"00:20:00"</f>
        <v>#REF!</v>
      </c>
      <c r="R182" s="94"/>
      <c r="S182" s="94" t="s">
        <v>980</v>
      </c>
      <c r="T182" s="94" t="s">
        <v>964</v>
      </c>
      <c r="U182" s="94" t="s">
        <v>964</v>
      </c>
      <c r="V182" s="94"/>
      <c r="W182" s="94" t="s">
        <v>1114</v>
      </c>
      <c r="X182" s="94" t="s">
        <v>964</v>
      </c>
      <c r="Y182" s="95" t="s">
        <v>964</v>
      </c>
      <c r="Z182" s="94" t="s">
        <v>964</v>
      </c>
      <c r="AA182" s="94" t="s">
        <v>964</v>
      </c>
      <c r="AB182" s="94" t="s">
        <v>964</v>
      </c>
      <c r="AC182" s="94" t="s">
        <v>970</v>
      </c>
      <c r="AD182" s="101" t="s">
        <v>971</v>
      </c>
    </row>
    <row r="183" spans="1:30" ht="15" hidden="1">
      <c r="A183" s="94" t="s">
        <v>1113</v>
      </c>
      <c r="B183" s="94" t="s">
        <v>14</v>
      </c>
      <c r="C183" s="94" t="s">
        <v>976</v>
      </c>
      <c r="D183" s="95" t="s">
        <v>987</v>
      </c>
      <c r="E183" s="95"/>
      <c r="F183" s="94" t="s">
        <v>963</v>
      </c>
      <c r="G183" s="94" t="s">
        <v>960</v>
      </c>
      <c r="H183" s="94" t="s">
        <v>961</v>
      </c>
      <c r="I183" s="94"/>
      <c r="J183" s="94">
        <v>3</v>
      </c>
      <c r="K183" s="96" t="e">
        <f>VLOOKUP(Tabela13[[#This Row],[Prioridade]],[5]!TabelaPrioridade[#Data],2,FALSE)</f>
        <v>#REF!</v>
      </c>
      <c r="L183" s="96" t="e">
        <f>VLOOKUP(Tabela13[[#This Row],[Prioridade]],[5]!TabelaPrioridade[#Data],3,FALSE)</f>
        <v>#REF!</v>
      </c>
      <c r="M183" s="94" t="s">
        <v>963</v>
      </c>
      <c r="N183" s="94" t="s">
        <v>964</v>
      </c>
      <c r="O183" s="94" t="s">
        <v>964</v>
      </c>
      <c r="P183" s="94" t="s">
        <v>965</v>
      </c>
      <c r="Q183" s="97" t="e">
        <f>Tabela13[[#This Row],[Tempo Máximo Atendimento]]+"00:20:00"</f>
        <v>#REF!</v>
      </c>
      <c r="R183" s="94"/>
      <c r="S183" s="94" t="s">
        <v>980</v>
      </c>
      <c r="T183" s="94" t="s">
        <v>964</v>
      </c>
      <c r="U183" s="94" t="s">
        <v>964</v>
      </c>
      <c r="V183" s="94"/>
      <c r="W183" s="94" t="s">
        <v>1114</v>
      </c>
      <c r="X183" s="94" t="s">
        <v>964</v>
      </c>
      <c r="Y183" s="95" t="s">
        <v>964</v>
      </c>
      <c r="Z183" s="94" t="s">
        <v>964</v>
      </c>
      <c r="AA183" s="94" t="s">
        <v>964</v>
      </c>
      <c r="AB183" s="94" t="s">
        <v>964</v>
      </c>
      <c r="AC183" s="94" t="s">
        <v>970</v>
      </c>
      <c r="AD183" s="101" t="s">
        <v>971</v>
      </c>
    </row>
    <row r="184" spans="1:30" ht="15" hidden="1">
      <c r="A184" s="94" t="s">
        <v>1113</v>
      </c>
      <c r="B184" s="94" t="s">
        <v>14</v>
      </c>
      <c r="C184" s="94" t="s">
        <v>976</v>
      </c>
      <c r="D184" s="95" t="s">
        <v>977</v>
      </c>
      <c r="E184" s="95"/>
      <c r="F184" s="94" t="s">
        <v>963</v>
      </c>
      <c r="G184" s="94" t="s">
        <v>960</v>
      </c>
      <c r="H184" s="94" t="s">
        <v>961</v>
      </c>
      <c r="I184" s="94"/>
      <c r="J184" s="94">
        <v>3</v>
      </c>
      <c r="K184" s="96" t="e">
        <f>VLOOKUP(Tabela13[[#This Row],[Prioridade]],[5]!TabelaPrioridade[#Data],2,FALSE)</f>
        <v>#REF!</v>
      </c>
      <c r="L184" s="96" t="e">
        <f>VLOOKUP(Tabela13[[#This Row],[Prioridade]],[5]!TabelaPrioridade[#Data],3,FALSE)</f>
        <v>#REF!</v>
      </c>
      <c r="M184" s="94" t="s">
        <v>963</v>
      </c>
      <c r="N184" s="94" t="s">
        <v>964</v>
      </c>
      <c r="O184" s="94" t="s">
        <v>964</v>
      </c>
      <c r="P184" s="94" t="s">
        <v>965</v>
      </c>
      <c r="Q184" s="97" t="e">
        <f>Tabela13[[#This Row],[Tempo Máximo Atendimento]]+"00:20:00"</f>
        <v>#REF!</v>
      </c>
      <c r="R184" s="94"/>
      <c r="S184" s="94" t="s">
        <v>980</v>
      </c>
      <c r="T184" s="94" t="s">
        <v>964</v>
      </c>
      <c r="U184" s="94" t="s">
        <v>964</v>
      </c>
      <c r="V184" s="94"/>
      <c r="W184" s="94" t="s">
        <v>1114</v>
      </c>
      <c r="X184" s="94" t="s">
        <v>964</v>
      </c>
      <c r="Y184" s="95" t="s">
        <v>964</v>
      </c>
      <c r="Z184" s="94" t="s">
        <v>964</v>
      </c>
      <c r="AA184" s="94" t="s">
        <v>964</v>
      </c>
      <c r="AB184" s="94" t="s">
        <v>964</v>
      </c>
      <c r="AC184" s="94" t="s">
        <v>970</v>
      </c>
      <c r="AD184" s="101" t="s">
        <v>971</v>
      </c>
    </row>
    <row r="185" spans="1:30" ht="15" hidden="1">
      <c r="A185" s="94" t="s">
        <v>1115</v>
      </c>
      <c r="B185" s="94" t="s">
        <v>14</v>
      </c>
      <c r="C185" s="94" t="s">
        <v>976</v>
      </c>
      <c r="D185" s="95" t="s">
        <v>565</v>
      </c>
      <c r="E185" s="95"/>
      <c r="F185" s="94" t="s">
        <v>963</v>
      </c>
      <c r="G185" s="94" t="s">
        <v>960</v>
      </c>
      <c r="H185" s="94" t="s">
        <v>961</v>
      </c>
      <c r="I185" s="94"/>
      <c r="J185" s="94">
        <v>2</v>
      </c>
      <c r="K185" s="96" t="e">
        <f>VLOOKUP(Tabela13[[#This Row],[Prioridade]],[5]!TabelaPrioridade[#Data],2,FALSE)</f>
        <v>#REF!</v>
      </c>
      <c r="L185" s="96" t="e">
        <f>VLOOKUP(Tabela13[[#This Row],[Prioridade]],[5]!TabelaPrioridade[#Data],3,FALSE)</f>
        <v>#REF!</v>
      </c>
      <c r="M185" s="94" t="s">
        <v>963</v>
      </c>
      <c r="N185" s="94" t="s">
        <v>964</v>
      </c>
      <c r="O185" s="94" t="s">
        <v>964</v>
      </c>
      <c r="P185" s="94" t="s">
        <v>965</v>
      </c>
      <c r="Q185" s="97" t="e">
        <f>Tabela13[[#This Row],[Tempo Máximo Atendimento]]+"00:20:00"</f>
        <v>#REF!</v>
      </c>
      <c r="R185" s="94"/>
      <c r="S185" s="94" t="s">
        <v>980</v>
      </c>
      <c r="T185" s="97" t="s">
        <v>964</v>
      </c>
      <c r="U185" s="97" t="s">
        <v>964</v>
      </c>
      <c r="V185" s="94"/>
      <c r="W185" s="94" t="s">
        <v>964</v>
      </c>
      <c r="X185" s="94" t="s">
        <v>964</v>
      </c>
      <c r="Y185" s="95" t="s">
        <v>964</v>
      </c>
      <c r="Z185" s="94" t="s">
        <v>964</v>
      </c>
      <c r="AA185" s="94" t="s">
        <v>964</v>
      </c>
      <c r="AB185" s="94" t="s">
        <v>964</v>
      </c>
      <c r="AC185" s="94" t="s">
        <v>970</v>
      </c>
      <c r="AD185" s="99">
        <v>2.0833333333333332E-2</v>
      </c>
    </row>
    <row r="186" spans="1:30" ht="15" hidden="1">
      <c r="A186" s="94" t="s">
        <v>1115</v>
      </c>
      <c r="B186" s="94" t="s">
        <v>14</v>
      </c>
      <c r="C186" s="94" t="s">
        <v>976</v>
      </c>
      <c r="D186" s="95" t="s">
        <v>566</v>
      </c>
      <c r="E186" s="95"/>
      <c r="F186" s="94" t="s">
        <v>963</v>
      </c>
      <c r="G186" s="94" t="s">
        <v>960</v>
      </c>
      <c r="H186" s="94" t="s">
        <v>961</v>
      </c>
      <c r="I186" s="94"/>
      <c r="J186" s="94">
        <v>3</v>
      </c>
      <c r="K186" s="96" t="e">
        <f>VLOOKUP(Tabela13[[#This Row],[Prioridade]],[5]!TabelaPrioridade[#Data],2,FALSE)</f>
        <v>#REF!</v>
      </c>
      <c r="L186" s="96" t="e">
        <f>VLOOKUP(Tabela13[[#This Row],[Prioridade]],[5]!TabelaPrioridade[#Data],3,FALSE)</f>
        <v>#REF!</v>
      </c>
      <c r="M186" s="94" t="s">
        <v>963</v>
      </c>
      <c r="N186" s="94" t="s">
        <v>964</v>
      </c>
      <c r="O186" s="94" t="s">
        <v>964</v>
      </c>
      <c r="P186" s="94" t="s">
        <v>965</v>
      </c>
      <c r="Q186" s="97" t="e">
        <f>Tabela13[[#This Row],[Tempo Máximo Atendimento]]+"00:20:00"</f>
        <v>#REF!</v>
      </c>
      <c r="R186" s="94"/>
      <c r="S186" s="94" t="s">
        <v>980</v>
      </c>
      <c r="T186" s="97" t="s">
        <v>964</v>
      </c>
      <c r="U186" s="97" t="s">
        <v>964</v>
      </c>
      <c r="V186" s="94"/>
      <c r="W186" s="94" t="s">
        <v>964</v>
      </c>
      <c r="X186" s="94" t="s">
        <v>964</v>
      </c>
      <c r="Y186" s="95" t="s">
        <v>964</v>
      </c>
      <c r="Z186" s="94" t="s">
        <v>964</v>
      </c>
      <c r="AA186" s="94" t="s">
        <v>964</v>
      </c>
      <c r="AB186" s="94" t="s">
        <v>964</v>
      </c>
      <c r="AC186" s="94" t="s">
        <v>970</v>
      </c>
      <c r="AD186" s="101" t="s">
        <v>971</v>
      </c>
    </row>
    <row r="187" spans="1:30" ht="15" hidden="1">
      <c r="A187" s="94" t="s">
        <v>1115</v>
      </c>
      <c r="B187" s="94" t="s">
        <v>14</v>
      </c>
      <c r="C187" s="94" t="s">
        <v>976</v>
      </c>
      <c r="D187" s="95" t="s">
        <v>987</v>
      </c>
      <c r="E187" s="95"/>
      <c r="F187" s="94" t="s">
        <v>963</v>
      </c>
      <c r="G187" s="94" t="s">
        <v>960</v>
      </c>
      <c r="H187" s="94" t="s">
        <v>961</v>
      </c>
      <c r="I187" s="94"/>
      <c r="J187" s="94">
        <v>3</v>
      </c>
      <c r="K187" s="96" t="e">
        <f>VLOOKUP(Tabela13[[#This Row],[Prioridade]],[5]!TabelaPrioridade[#Data],2,FALSE)</f>
        <v>#REF!</v>
      </c>
      <c r="L187" s="96" t="e">
        <f>VLOOKUP(Tabela13[[#This Row],[Prioridade]],[5]!TabelaPrioridade[#Data],3,FALSE)</f>
        <v>#REF!</v>
      </c>
      <c r="M187" s="94" t="s">
        <v>963</v>
      </c>
      <c r="N187" s="94" t="s">
        <v>964</v>
      </c>
      <c r="O187" s="94" t="s">
        <v>964</v>
      </c>
      <c r="P187" s="94" t="s">
        <v>965</v>
      </c>
      <c r="Q187" s="97" t="e">
        <f>Tabela13[[#This Row],[Tempo Máximo Atendimento]]+"00:20:00"</f>
        <v>#REF!</v>
      </c>
      <c r="R187" s="94"/>
      <c r="S187" s="94" t="s">
        <v>980</v>
      </c>
      <c r="T187" s="97" t="s">
        <v>964</v>
      </c>
      <c r="U187" s="97" t="s">
        <v>964</v>
      </c>
      <c r="V187" s="94"/>
      <c r="W187" s="94" t="s">
        <v>964</v>
      </c>
      <c r="X187" s="94" t="s">
        <v>964</v>
      </c>
      <c r="Y187" s="95" t="s">
        <v>964</v>
      </c>
      <c r="Z187" s="94" t="s">
        <v>964</v>
      </c>
      <c r="AA187" s="94" t="s">
        <v>964</v>
      </c>
      <c r="AB187" s="94" t="s">
        <v>964</v>
      </c>
      <c r="AC187" s="94" t="s">
        <v>970</v>
      </c>
      <c r="AD187" s="101" t="s">
        <v>971</v>
      </c>
    </row>
    <row r="188" spans="1:30" ht="15" hidden="1">
      <c r="A188" s="94" t="s">
        <v>1115</v>
      </c>
      <c r="B188" s="94" t="s">
        <v>14</v>
      </c>
      <c r="C188" s="94" t="s">
        <v>976</v>
      </c>
      <c r="D188" s="95" t="s">
        <v>977</v>
      </c>
      <c r="E188" s="95"/>
      <c r="F188" s="94" t="s">
        <v>963</v>
      </c>
      <c r="G188" s="94" t="s">
        <v>960</v>
      </c>
      <c r="H188" s="94" t="s">
        <v>961</v>
      </c>
      <c r="I188" s="94"/>
      <c r="J188" s="94">
        <v>3</v>
      </c>
      <c r="K188" s="96" t="e">
        <f>VLOOKUP(Tabela13[[#This Row],[Prioridade]],[5]!TabelaPrioridade[#Data],2,FALSE)</f>
        <v>#REF!</v>
      </c>
      <c r="L188" s="96" t="e">
        <f>VLOOKUP(Tabela13[[#This Row],[Prioridade]],[5]!TabelaPrioridade[#Data],3,FALSE)</f>
        <v>#REF!</v>
      </c>
      <c r="M188" s="94" t="s">
        <v>963</v>
      </c>
      <c r="N188" s="94" t="s">
        <v>964</v>
      </c>
      <c r="O188" s="94" t="s">
        <v>964</v>
      </c>
      <c r="P188" s="94" t="s">
        <v>965</v>
      </c>
      <c r="Q188" s="97" t="e">
        <f>Tabela13[[#This Row],[Tempo Máximo Atendimento]]+"00:20:00"</f>
        <v>#REF!</v>
      </c>
      <c r="R188" s="94"/>
      <c r="S188" s="94" t="s">
        <v>980</v>
      </c>
      <c r="T188" s="97" t="s">
        <v>964</v>
      </c>
      <c r="U188" s="97" t="s">
        <v>964</v>
      </c>
      <c r="V188" s="94"/>
      <c r="W188" s="94" t="s">
        <v>964</v>
      </c>
      <c r="X188" s="94" t="s">
        <v>964</v>
      </c>
      <c r="Y188" s="95" t="s">
        <v>964</v>
      </c>
      <c r="Z188" s="94" t="s">
        <v>964</v>
      </c>
      <c r="AA188" s="94" t="s">
        <v>964</v>
      </c>
      <c r="AB188" s="94" t="s">
        <v>964</v>
      </c>
      <c r="AC188" s="94" t="s">
        <v>970</v>
      </c>
      <c r="AD188" s="101" t="s">
        <v>971</v>
      </c>
    </row>
    <row r="189" spans="1:30" ht="15" hidden="1">
      <c r="A189" s="94" t="s">
        <v>1116</v>
      </c>
      <c r="B189" s="94" t="s">
        <v>14</v>
      </c>
      <c r="C189" s="94" t="s">
        <v>976</v>
      </c>
      <c r="D189" s="95" t="s">
        <v>565</v>
      </c>
      <c r="E189" s="95"/>
      <c r="F189" s="94" t="s">
        <v>963</v>
      </c>
      <c r="G189" s="94" t="s">
        <v>960</v>
      </c>
      <c r="H189" s="94" t="s">
        <v>961</v>
      </c>
      <c r="I189" s="94"/>
      <c r="J189" s="94">
        <v>3</v>
      </c>
      <c r="K189" s="96" t="e">
        <f>VLOOKUP(Tabela13[[#This Row],[Prioridade]],[5]!TabelaPrioridade[#Data],2,FALSE)</f>
        <v>#REF!</v>
      </c>
      <c r="L189" s="96" t="e">
        <f>VLOOKUP(Tabela13[[#This Row],[Prioridade]],[5]!TabelaPrioridade[#Data],3,FALSE)</f>
        <v>#REF!</v>
      </c>
      <c r="M189" s="94" t="s">
        <v>963</v>
      </c>
      <c r="N189" s="94" t="s">
        <v>964</v>
      </c>
      <c r="O189" s="94" t="s">
        <v>964</v>
      </c>
      <c r="P189" s="94" t="s">
        <v>965</v>
      </c>
      <c r="Q189" s="97" t="e">
        <f>Tabela13[[#This Row],[Tempo Máximo Atendimento]]+"00:20:00"</f>
        <v>#REF!</v>
      </c>
      <c r="R189" s="94"/>
      <c r="S189" s="94" t="s">
        <v>980</v>
      </c>
      <c r="T189" s="97" t="s">
        <v>964</v>
      </c>
      <c r="U189" s="97" t="s">
        <v>964</v>
      </c>
      <c r="V189" s="94"/>
      <c r="W189" s="94" t="s">
        <v>964</v>
      </c>
      <c r="X189" s="94" t="s">
        <v>964</v>
      </c>
      <c r="Y189" s="95" t="s">
        <v>964</v>
      </c>
      <c r="Z189" s="94" t="s">
        <v>964</v>
      </c>
      <c r="AA189" s="94" t="s">
        <v>964</v>
      </c>
      <c r="AB189" s="94" t="s">
        <v>964</v>
      </c>
      <c r="AC189" s="94" t="s">
        <v>970</v>
      </c>
      <c r="AD189" s="99">
        <v>2.0833333333333332E-2</v>
      </c>
    </row>
    <row r="190" spans="1:30" ht="15" hidden="1">
      <c r="A190" s="94" t="s">
        <v>1116</v>
      </c>
      <c r="B190" s="94" t="s">
        <v>14</v>
      </c>
      <c r="C190" s="94" t="s">
        <v>976</v>
      </c>
      <c r="D190" s="95" t="s">
        <v>566</v>
      </c>
      <c r="E190" s="95"/>
      <c r="F190" s="94" t="s">
        <v>963</v>
      </c>
      <c r="G190" s="94" t="s">
        <v>960</v>
      </c>
      <c r="H190" s="94" t="s">
        <v>961</v>
      </c>
      <c r="I190" s="94"/>
      <c r="J190" s="94">
        <v>4</v>
      </c>
      <c r="K190" s="96" t="e">
        <f>VLOOKUP(Tabela13[[#This Row],[Prioridade]],[5]!TabelaPrioridade[#Data],2,FALSE)</f>
        <v>#REF!</v>
      </c>
      <c r="L190" s="96" t="e">
        <f>VLOOKUP(Tabela13[[#This Row],[Prioridade]],[5]!TabelaPrioridade[#Data],3,FALSE)</f>
        <v>#REF!</v>
      </c>
      <c r="M190" s="94" t="s">
        <v>963</v>
      </c>
      <c r="N190" s="94" t="s">
        <v>964</v>
      </c>
      <c r="O190" s="94" t="s">
        <v>964</v>
      </c>
      <c r="P190" s="94" t="s">
        <v>965</v>
      </c>
      <c r="Q190" s="97" t="e">
        <f>Tabela13[[#This Row],[Tempo Máximo Atendimento]]+"00:20:00"</f>
        <v>#REF!</v>
      </c>
      <c r="R190" s="94"/>
      <c r="S190" s="94" t="s">
        <v>980</v>
      </c>
      <c r="T190" s="97" t="s">
        <v>964</v>
      </c>
      <c r="U190" s="97" t="s">
        <v>964</v>
      </c>
      <c r="V190" s="94"/>
      <c r="W190" s="94" t="s">
        <v>964</v>
      </c>
      <c r="X190" s="94" t="s">
        <v>964</v>
      </c>
      <c r="Y190" s="95" t="s">
        <v>964</v>
      </c>
      <c r="Z190" s="94" t="s">
        <v>964</v>
      </c>
      <c r="AA190" s="94" t="s">
        <v>964</v>
      </c>
      <c r="AB190" s="94" t="s">
        <v>964</v>
      </c>
      <c r="AC190" s="94" t="s">
        <v>970</v>
      </c>
      <c r="AD190" s="101" t="s">
        <v>971</v>
      </c>
    </row>
    <row r="191" spans="1:30" ht="15" hidden="1">
      <c r="A191" s="94" t="s">
        <v>1116</v>
      </c>
      <c r="B191" s="94" t="s">
        <v>14</v>
      </c>
      <c r="C191" s="94" t="s">
        <v>976</v>
      </c>
      <c r="D191" s="95" t="s">
        <v>987</v>
      </c>
      <c r="E191" s="95"/>
      <c r="F191" s="94" t="s">
        <v>963</v>
      </c>
      <c r="G191" s="94" t="s">
        <v>960</v>
      </c>
      <c r="H191" s="94" t="s">
        <v>961</v>
      </c>
      <c r="I191" s="94"/>
      <c r="J191" s="94">
        <v>4</v>
      </c>
      <c r="K191" s="96" t="e">
        <f>VLOOKUP(Tabela13[[#This Row],[Prioridade]],[5]!TabelaPrioridade[#Data],2,FALSE)</f>
        <v>#REF!</v>
      </c>
      <c r="L191" s="96" t="e">
        <f>VLOOKUP(Tabela13[[#This Row],[Prioridade]],[5]!TabelaPrioridade[#Data],3,FALSE)</f>
        <v>#REF!</v>
      </c>
      <c r="M191" s="94" t="s">
        <v>963</v>
      </c>
      <c r="N191" s="94" t="s">
        <v>964</v>
      </c>
      <c r="O191" s="94" t="s">
        <v>964</v>
      </c>
      <c r="P191" s="94" t="s">
        <v>965</v>
      </c>
      <c r="Q191" s="97" t="e">
        <f>Tabela13[[#This Row],[Tempo Máximo Atendimento]]+"00:20:00"</f>
        <v>#REF!</v>
      </c>
      <c r="R191" s="94"/>
      <c r="S191" s="94" t="s">
        <v>980</v>
      </c>
      <c r="T191" s="97" t="s">
        <v>964</v>
      </c>
      <c r="U191" s="97" t="s">
        <v>964</v>
      </c>
      <c r="V191" s="94"/>
      <c r="W191" s="94" t="s">
        <v>964</v>
      </c>
      <c r="X191" s="94" t="s">
        <v>964</v>
      </c>
      <c r="Y191" s="95" t="s">
        <v>964</v>
      </c>
      <c r="Z191" s="94" t="s">
        <v>964</v>
      </c>
      <c r="AA191" s="94" t="s">
        <v>964</v>
      </c>
      <c r="AB191" s="94" t="s">
        <v>964</v>
      </c>
      <c r="AC191" s="94" t="s">
        <v>970</v>
      </c>
      <c r="AD191" s="101" t="s">
        <v>971</v>
      </c>
    </row>
    <row r="192" spans="1:30" ht="15" hidden="1">
      <c r="A192" s="94" t="s">
        <v>1116</v>
      </c>
      <c r="B192" s="94" t="s">
        <v>14</v>
      </c>
      <c r="C192" s="94" t="s">
        <v>976</v>
      </c>
      <c r="D192" s="95" t="s">
        <v>977</v>
      </c>
      <c r="E192" s="95"/>
      <c r="F192" s="94" t="s">
        <v>963</v>
      </c>
      <c r="G192" s="94" t="s">
        <v>960</v>
      </c>
      <c r="H192" s="94" t="s">
        <v>961</v>
      </c>
      <c r="I192" s="94"/>
      <c r="J192" s="94">
        <v>4</v>
      </c>
      <c r="K192" s="96" t="e">
        <f>VLOOKUP(Tabela13[[#This Row],[Prioridade]],[5]!TabelaPrioridade[#Data],2,FALSE)</f>
        <v>#REF!</v>
      </c>
      <c r="L192" s="96" t="e">
        <f>VLOOKUP(Tabela13[[#This Row],[Prioridade]],[5]!TabelaPrioridade[#Data],3,FALSE)</f>
        <v>#REF!</v>
      </c>
      <c r="M192" s="94" t="s">
        <v>963</v>
      </c>
      <c r="N192" s="94" t="s">
        <v>964</v>
      </c>
      <c r="O192" s="94" t="s">
        <v>964</v>
      </c>
      <c r="P192" s="94" t="s">
        <v>965</v>
      </c>
      <c r="Q192" s="97" t="e">
        <f>Tabela13[[#This Row],[Tempo Máximo Atendimento]]+"00:20:00"</f>
        <v>#REF!</v>
      </c>
      <c r="R192" s="94"/>
      <c r="S192" s="94" t="s">
        <v>980</v>
      </c>
      <c r="T192" s="97" t="s">
        <v>964</v>
      </c>
      <c r="U192" s="97" t="s">
        <v>964</v>
      </c>
      <c r="V192" s="94"/>
      <c r="W192" s="94" t="s">
        <v>964</v>
      </c>
      <c r="X192" s="94" t="s">
        <v>964</v>
      </c>
      <c r="Y192" s="95" t="s">
        <v>964</v>
      </c>
      <c r="Z192" s="94" t="s">
        <v>964</v>
      </c>
      <c r="AA192" s="94" t="s">
        <v>964</v>
      </c>
      <c r="AB192" s="94" t="s">
        <v>964</v>
      </c>
      <c r="AC192" s="94" t="s">
        <v>970</v>
      </c>
      <c r="AD192" s="101" t="s">
        <v>971</v>
      </c>
    </row>
    <row r="193" spans="1:30" ht="15" hidden="1">
      <c r="A193" s="94" t="s">
        <v>1117</v>
      </c>
      <c r="B193" s="94" t="s">
        <v>956</v>
      </c>
      <c r="C193" s="94" t="s">
        <v>957</v>
      </c>
      <c r="D193" s="105" t="s">
        <v>958</v>
      </c>
      <c r="E193" s="95"/>
      <c r="F193" s="94" t="s">
        <v>960</v>
      </c>
      <c r="G193" s="94" t="s">
        <v>960</v>
      </c>
      <c r="H193" s="94" t="s">
        <v>961</v>
      </c>
      <c r="I193" s="94" t="s">
        <v>962</v>
      </c>
      <c r="J193" s="94">
        <v>4</v>
      </c>
      <c r="K193" s="96" t="e">
        <f>VLOOKUP(Tabela13[[#This Row],[Prioridade]],[5]!TabelaPrioridade[#Data],2,FALSE)</f>
        <v>#REF!</v>
      </c>
      <c r="L193" s="96" t="e">
        <f>VLOOKUP(Tabela13[[#This Row],[Prioridade]],[5]!TabelaPrioridade[#Data],3,FALSE)</f>
        <v>#REF!</v>
      </c>
      <c r="M193" s="94" t="s">
        <v>963</v>
      </c>
      <c r="N193" s="94" t="s">
        <v>964</v>
      </c>
      <c r="O193" s="94" t="s">
        <v>964</v>
      </c>
      <c r="P193" s="94" t="s">
        <v>980</v>
      </c>
      <c r="Q193" s="97" t="e">
        <f>Tabela13[[#This Row],[Tempo Máximo Atendimento]]+"00:20:00"</f>
        <v>#REF!</v>
      </c>
      <c r="R193" s="94"/>
      <c r="S193" s="94" t="s">
        <v>1005</v>
      </c>
      <c r="T193" s="97" t="s">
        <v>964</v>
      </c>
      <c r="U193" s="97" t="s">
        <v>964</v>
      </c>
      <c r="V193" s="94"/>
      <c r="W193" s="94" t="s">
        <v>964</v>
      </c>
      <c r="X193" s="94" t="s">
        <v>964</v>
      </c>
      <c r="Y193" s="95" t="s">
        <v>964</v>
      </c>
      <c r="Z193" s="94" t="s">
        <v>964</v>
      </c>
      <c r="AA193" s="94" t="s">
        <v>964</v>
      </c>
      <c r="AB193" s="94" t="s">
        <v>964</v>
      </c>
      <c r="AC193" s="94" t="s">
        <v>970</v>
      </c>
      <c r="AD193" s="101" t="s">
        <v>971</v>
      </c>
    </row>
    <row r="194" spans="1:30" ht="15" hidden="1">
      <c r="A194" s="94" t="s">
        <v>1117</v>
      </c>
      <c r="B194" s="94" t="s">
        <v>14</v>
      </c>
      <c r="C194" s="94" t="s">
        <v>976</v>
      </c>
      <c r="D194" s="103" t="s">
        <v>977</v>
      </c>
      <c r="E194" s="95"/>
      <c r="F194" s="94" t="s">
        <v>963</v>
      </c>
      <c r="G194" s="94" t="s">
        <v>960</v>
      </c>
      <c r="H194" s="94" t="s">
        <v>961</v>
      </c>
      <c r="I194" s="94"/>
      <c r="J194" s="94">
        <v>4</v>
      </c>
      <c r="K194" s="96" t="e">
        <f>VLOOKUP(Tabela13[[#This Row],[Prioridade]],[5]!TabelaPrioridade[#Data],2,FALSE)</f>
        <v>#REF!</v>
      </c>
      <c r="L194" s="96" t="e">
        <f>VLOOKUP(Tabela13[[#This Row],[Prioridade]],[5]!TabelaPrioridade[#Data],3,FALSE)</f>
        <v>#REF!</v>
      </c>
      <c r="M194" s="94" t="s">
        <v>963</v>
      </c>
      <c r="N194" s="94" t="s">
        <v>964</v>
      </c>
      <c r="O194" s="94" t="s">
        <v>964</v>
      </c>
      <c r="P194" s="94" t="s">
        <v>965</v>
      </c>
      <c r="Q194" s="97" t="e">
        <f>Tabela13[[#This Row],[Tempo Máximo Atendimento]]+"00:20:00"</f>
        <v>#REF!</v>
      </c>
      <c r="R194" s="94"/>
      <c r="S194" s="94" t="s">
        <v>980</v>
      </c>
      <c r="T194" s="94" t="s">
        <v>964</v>
      </c>
      <c r="U194" s="94" t="s">
        <v>964</v>
      </c>
      <c r="V194" s="94"/>
      <c r="W194" s="94" t="s">
        <v>1005</v>
      </c>
      <c r="X194" s="94" t="s">
        <v>964</v>
      </c>
      <c r="Y194" s="95" t="s">
        <v>964</v>
      </c>
      <c r="Z194" s="94" t="s">
        <v>964</v>
      </c>
      <c r="AA194" s="94" t="s">
        <v>964</v>
      </c>
      <c r="AB194" s="94" t="s">
        <v>964</v>
      </c>
      <c r="AC194" s="94" t="s">
        <v>970</v>
      </c>
      <c r="AD194" s="101" t="s">
        <v>971</v>
      </c>
    </row>
    <row r="195" spans="1:30" ht="15" hidden="1">
      <c r="A195" s="94" t="s">
        <v>1117</v>
      </c>
      <c r="B195" s="94" t="s">
        <v>14</v>
      </c>
      <c r="C195" s="94" t="s">
        <v>976</v>
      </c>
      <c r="D195" s="105" t="s">
        <v>566</v>
      </c>
      <c r="E195" s="95"/>
      <c r="F195" s="94" t="s">
        <v>963</v>
      </c>
      <c r="G195" s="94" t="s">
        <v>960</v>
      </c>
      <c r="H195" s="94" t="s">
        <v>961</v>
      </c>
      <c r="I195" s="94"/>
      <c r="J195" s="94">
        <v>4</v>
      </c>
      <c r="K195" s="96" t="e">
        <f>VLOOKUP(Tabela13[[#This Row],[Prioridade]],[5]!TabelaPrioridade[#Data],2,FALSE)</f>
        <v>#REF!</v>
      </c>
      <c r="L195" s="96" t="e">
        <f>VLOOKUP(Tabela13[[#This Row],[Prioridade]],[5]!TabelaPrioridade[#Data],3,FALSE)</f>
        <v>#REF!</v>
      </c>
      <c r="M195" s="94" t="s">
        <v>963</v>
      </c>
      <c r="N195" s="94" t="s">
        <v>964</v>
      </c>
      <c r="O195" s="94" t="s">
        <v>964</v>
      </c>
      <c r="P195" s="94" t="s">
        <v>965</v>
      </c>
      <c r="Q195" s="97" t="e">
        <f>Tabela13[[#This Row],[Tempo Máximo Atendimento]]+"00:20:00"</f>
        <v>#REF!</v>
      </c>
      <c r="R195" s="94"/>
      <c r="S195" s="94" t="s">
        <v>980</v>
      </c>
      <c r="T195" s="94" t="s">
        <v>964</v>
      </c>
      <c r="U195" s="94" t="s">
        <v>964</v>
      </c>
      <c r="V195" s="94"/>
      <c r="W195" s="94" t="s">
        <v>1005</v>
      </c>
      <c r="X195" s="94" t="s">
        <v>964</v>
      </c>
      <c r="Y195" s="95" t="s">
        <v>964</v>
      </c>
      <c r="Z195" s="94" t="s">
        <v>964</v>
      </c>
      <c r="AA195" s="94" t="s">
        <v>964</v>
      </c>
      <c r="AB195" s="94" t="s">
        <v>964</v>
      </c>
      <c r="AC195" s="94" t="s">
        <v>970</v>
      </c>
      <c r="AD195" s="101" t="s">
        <v>971</v>
      </c>
    </row>
    <row r="196" spans="1:30" ht="15" hidden="1">
      <c r="A196" s="94" t="s">
        <v>1117</v>
      </c>
      <c r="B196" s="94" t="s">
        <v>14</v>
      </c>
      <c r="C196" s="94" t="s">
        <v>976</v>
      </c>
      <c r="D196" s="105" t="s">
        <v>565</v>
      </c>
      <c r="E196" s="95"/>
      <c r="F196" s="94" t="s">
        <v>963</v>
      </c>
      <c r="G196" s="94" t="s">
        <v>960</v>
      </c>
      <c r="H196" s="94" t="s">
        <v>961</v>
      </c>
      <c r="I196" s="94"/>
      <c r="J196" s="94">
        <v>4</v>
      </c>
      <c r="K196" s="96" t="e">
        <f>VLOOKUP(Tabela13[[#This Row],[Prioridade]],[5]!TabelaPrioridade[#Data],2,FALSE)</f>
        <v>#REF!</v>
      </c>
      <c r="L196" s="96" t="e">
        <f>VLOOKUP(Tabela13[[#This Row],[Prioridade]],[5]!TabelaPrioridade[#Data],3,FALSE)</f>
        <v>#REF!</v>
      </c>
      <c r="M196" s="94" t="s">
        <v>963</v>
      </c>
      <c r="N196" s="94" t="s">
        <v>964</v>
      </c>
      <c r="O196" s="94" t="s">
        <v>964</v>
      </c>
      <c r="P196" s="94" t="s">
        <v>965</v>
      </c>
      <c r="Q196" s="97" t="e">
        <f>Tabela13[[#This Row],[Tempo Máximo Atendimento]]+"00:20:00"</f>
        <v>#REF!</v>
      </c>
      <c r="R196" s="94"/>
      <c r="S196" s="94" t="s">
        <v>980</v>
      </c>
      <c r="T196" s="94" t="s">
        <v>964</v>
      </c>
      <c r="U196" s="94" t="s">
        <v>964</v>
      </c>
      <c r="V196" s="94"/>
      <c r="W196" s="94" t="s">
        <v>1005</v>
      </c>
      <c r="X196" s="94" t="s">
        <v>964</v>
      </c>
      <c r="Y196" s="95" t="s">
        <v>964</v>
      </c>
      <c r="Z196" s="94" t="s">
        <v>964</v>
      </c>
      <c r="AA196" s="94" t="s">
        <v>964</v>
      </c>
      <c r="AB196" s="94" t="s">
        <v>964</v>
      </c>
      <c r="AC196" s="94" t="s">
        <v>970</v>
      </c>
      <c r="AD196" s="99">
        <v>2.0833333333333332E-2</v>
      </c>
    </row>
    <row r="197" spans="1:30" ht="15" hidden="1">
      <c r="A197" s="94" t="s">
        <v>1117</v>
      </c>
      <c r="B197" s="94" t="s">
        <v>956</v>
      </c>
      <c r="C197" s="94" t="s">
        <v>957</v>
      </c>
      <c r="D197" s="95" t="s">
        <v>1099</v>
      </c>
      <c r="E197" s="95"/>
      <c r="F197" s="94" t="s">
        <v>960</v>
      </c>
      <c r="G197" s="94" t="s">
        <v>960</v>
      </c>
      <c r="H197" s="94" t="s">
        <v>961</v>
      </c>
      <c r="I197" s="94" t="s">
        <v>962</v>
      </c>
      <c r="J197" s="94">
        <v>4</v>
      </c>
      <c r="K197" s="96" t="e">
        <f>VLOOKUP(Tabela13[[#This Row],[Prioridade]],[5]!TabelaPrioridade[#Data],2,FALSE)</f>
        <v>#REF!</v>
      </c>
      <c r="L197" s="96" t="e">
        <f>VLOOKUP(Tabela13[[#This Row],[Prioridade]],[5]!TabelaPrioridade[#Data],3,FALSE)</f>
        <v>#REF!</v>
      </c>
      <c r="M197" s="94" t="s">
        <v>963</v>
      </c>
      <c r="N197" s="94" t="s">
        <v>964</v>
      </c>
      <c r="O197" s="94" t="s">
        <v>964</v>
      </c>
      <c r="P197" s="94" t="s">
        <v>965</v>
      </c>
      <c r="Q197" s="97" t="e">
        <f>Tabela13[[#This Row],[Tempo Máximo Atendimento]]+"00:20:00"</f>
        <v>#REF!</v>
      </c>
      <c r="R197" s="94"/>
      <c r="S197" s="94" t="s">
        <v>980</v>
      </c>
      <c r="T197" s="94" t="s">
        <v>964</v>
      </c>
      <c r="U197" s="94" t="s">
        <v>964</v>
      </c>
      <c r="V197" s="94"/>
      <c r="W197" s="94" t="s">
        <v>1005</v>
      </c>
      <c r="X197" s="94" t="s">
        <v>964</v>
      </c>
      <c r="Y197" s="95" t="s">
        <v>964</v>
      </c>
      <c r="Z197" s="94" t="s">
        <v>964</v>
      </c>
      <c r="AA197" s="94" t="s">
        <v>964</v>
      </c>
      <c r="AB197" s="94" t="s">
        <v>964</v>
      </c>
      <c r="AC197" s="94" t="s">
        <v>970</v>
      </c>
      <c r="AD197" s="101" t="s">
        <v>971</v>
      </c>
    </row>
    <row r="198" spans="1:30" ht="15" hidden="1">
      <c r="A198" s="94" t="s">
        <v>1117</v>
      </c>
      <c r="B198" s="94" t="s">
        <v>14</v>
      </c>
      <c r="C198" s="94" t="s">
        <v>976</v>
      </c>
      <c r="D198" s="105" t="s">
        <v>987</v>
      </c>
      <c r="E198" s="95"/>
      <c r="F198" s="94" t="s">
        <v>963</v>
      </c>
      <c r="G198" s="94" t="s">
        <v>960</v>
      </c>
      <c r="H198" s="94" t="s">
        <v>961</v>
      </c>
      <c r="I198" s="94"/>
      <c r="J198" s="94">
        <v>4</v>
      </c>
      <c r="K198" s="96" t="e">
        <f>VLOOKUP(Tabela13[[#This Row],[Prioridade]],[5]!TabelaPrioridade[#Data],2,FALSE)</f>
        <v>#REF!</v>
      </c>
      <c r="L198" s="96" t="e">
        <f>VLOOKUP(Tabela13[[#This Row],[Prioridade]],[5]!TabelaPrioridade[#Data],3,FALSE)</f>
        <v>#REF!</v>
      </c>
      <c r="M198" s="94" t="s">
        <v>963</v>
      </c>
      <c r="N198" s="94" t="s">
        <v>964</v>
      </c>
      <c r="O198" s="94" t="s">
        <v>964</v>
      </c>
      <c r="P198" s="94" t="s">
        <v>965</v>
      </c>
      <c r="Q198" s="97" t="e">
        <f>Tabela13[[#This Row],[Tempo Máximo Atendimento]]+"00:20:00"</f>
        <v>#REF!</v>
      </c>
      <c r="R198" s="94"/>
      <c r="S198" s="94" t="s">
        <v>980</v>
      </c>
      <c r="T198" s="94" t="s">
        <v>964</v>
      </c>
      <c r="U198" s="94" t="s">
        <v>964</v>
      </c>
      <c r="V198" s="94"/>
      <c r="W198" s="94" t="s">
        <v>1005</v>
      </c>
      <c r="X198" s="94" t="s">
        <v>964</v>
      </c>
      <c r="Y198" s="95" t="s">
        <v>964</v>
      </c>
      <c r="Z198" s="94" t="s">
        <v>964</v>
      </c>
      <c r="AA198" s="94" t="s">
        <v>964</v>
      </c>
      <c r="AB198" s="94" t="s">
        <v>964</v>
      </c>
      <c r="AC198" s="94" t="s">
        <v>970</v>
      </c>
      <c r="AD198" s="101" t="s">
        <v>971</v>
      </c>
    </row>
    <row r="199" spans="1:30" ht="15" hidden="1">
      <c r="A199" s="94" t="s">
        <v>1118</v>
      </c>
      <c r="B199" s="94" t="s">
        <v>956</v>
      </c>
      <c r="C199" s="94" t="s">
        <v>957</v>
      </c>
      <c r="D199" s="95" t="s">
        <v>1119</v>
      </c>
      <c r="E199" s="95"/>
      <c r="F199" s="94" t="s">
        <v>960</v>
      </c>
      <c r="G199" s="94" t="s">
        <v>960</v>
      </c>
      <c r="H199" s="94" t="s">
        <v>961</v>
      </c>
      <c r="I199" s="94" t="s">
        <v>962</v>
      </c>
      <c r="J199" s="94">
        <v>4</v>
      </c>
      <c r="K199" s="96" t="e">
        <f>VLOOKUP(Tabela13[[#This Row],[Prioridade]],[5]!TabelaPrioridade[#Data],2,FALSE)</f>
        <v>#REF!</v>
      </c>
      <c r="L199" s="96" t="e">
        <f>VLOOKUP(Tabela13[[#This Row],[Prioridade]],[5]!TabelaPrioridade[#Data],3,FALSE)</f>
        <v>#REF!</v>
      </c>
      <c r="M199" s="94" t="s">
        <v>963</v>
      </c>
      <c r="N199" s="94" t="s">
        <v>964</v>
      </c>
      <c r="O199" s="94" t="s">
        <v>964</v>
      </c>
      <c r="P199" s="94" t="s">
        <v>975</v>
      </c>
      <c r="Q199" s="97" t="e">
        <f>Tabela13[[#This Row],[Tempo Máximo Atendimento]]+"00:20:00"</f>
        <v>#REF!</v>
      </c>
      <c r="R199" s="94"/>
      <c r="S199" s="94" t="s">
        <v>980</v>
      </c>
      <c r="T199" s="94" t="s">
        <v>964</v>
      </c>
      <c r="U199" s="94" t="s">
        <v>964</v>
      </c>
      <c r="V199" s="94"/>
      <c r="W199" s="94" t="s">
        <v>1005</v>
      </c>
      <c r="X199" s="94" t="s">
        <v>964</v>
      </c>
      <c r="Y199" s="95" t="s">
        <v>964</v>
      </c>
      <c r="Z199" s="94" t="s">
        <v>964</v>
      </c>
      <c r="AA199" s="94" t="s">
        <v>964</v>
      </c>
      <c r="AB199" s="94" t="s">
        <v>964</v>
      </c>
      <c r="AC199" s="94" t="s">
        <v>970</v>
      </c>
      <c r="AD199" s="101" t="s">
        <v>971</v>
      </c>
    </row>
    <row r="200" spans="1:30" ht="15" hidden="1">
      <c r="A200" s="94" t="s">
        <v>1118</v>
      </c>
      <c r="B200" s="94" t="s">
        <v>956</v>
      </c>
      <c r="C200" s="94" t="s">
        <v>957</v>
      </c>
      <c r="D200" s="95" t="s">
        <v>1120</v>
      </c>
      <c r="E200" s="95"/>
      <c r="F200" s="94" t="s">
        <v>960</v>
      </c>
      <c r="G200" s="94" t="s">
        <v>960</v>
      </c>
      <c r="H200" s="94" t="s">
        <v>961</v>
      </c>
      <c r="I200" s="94" t="s">
        <v>962</v>
      </c>
      <c r="J200" s="94">
        <v>4</v>
      </c>
      <c r="K200" s="96" t="e">
        <f>VLOOKUP(Tabela13[[#This Row],[Prioridade]],[5]!TabelaPrioridade[#Data],2,FALSE)</f>
        <v>#REF!</v>
      </c>
      <c r="L200" s="96" t="e">
        <f>VLOOKUP(Tabela13[[#This Row],[Prioridade]],[5]!TabelaPrioridade[#Data],3,FALSE)</f>
        <v>#REF!</v>
      </c>
      <c r="M200" s="94" t="s">
        <v>963</v>
      </c>
      <c r="N200" s="94" t="s">
        <v>964</v>
      </c>
      <c r="O200" s="94" t="s">
        <v>964</v>
      </c>
      <c r="P200" s="94" t="s">
        <v>975</v>
      </c>
      <c r="Q200" s="97" t="e">
        <f>Tabela13[[#This Row],[Tempo Máximo Atendimento]]+"00:20:00"</f>
        <v>#REF!</v>
      </c>
      <c r="R200" s="94"/>
      <c r="S200" s="94" t="s">
        <v>980</v>
      </c>
      <c r="T200" s="94" t="s">
        <v>964</v>
      </c>
      <c r="U200" s="94" t="s">
        <v>964</v>
      </c>
      <c r="V200" s="94"/>
      <c r="W200" s="94" t="s">
        <v>1005</v>
      </c>
      <c r="X200" s="94" t="s">
        <v>964</v>
      </c>
      <c r="Y200" s="95" t="s">
        <v>964</v>
      </c>
      <c r="Z200" s="94" t="s">
        <v>964</v>
      </c>
      <c r="AA200" s="94" t="s">
        <v>964</v>
      </c>
      <c r="AB200" s="94" t="s">
        <v>964</v>
      </c>
      <c r="AC200" s="94" t="s">
        <v>970</v>
      </c>
      <c r="AD200" s="101" t="s">
        <v>971</v>
      </c>
    </row>
    <row r="201" spans="1:30" ht="15" hidden="1">
      <c r="A201" s="94" t="s">
        <v>1118</v>
      </c>
      <c r="B201" s="94" t="s">
        <v>956</v>
      </c>
      <c r="C201" s="94" t="s">
        <v>957</v>
      </c>
      <c r="D201" s="95" t="s">
        <v>1121</v>
      </c>
      <c r="E201" s="95"/>
      <c r="F201" s="94" t="s">
        <v>960</v>
      </c>
      <c r="G201" s="94" t="s">
        <v>960</v>
      </c>
      <c r="H201" s="94" t="s">
        <v>961</v>
      </c>
      <c r="I201" s="94" t="s">
        <v>962</v>
      </c>
      <c r="J201" s="94">
        <v>4</v>
      </c>
      <c r="K201" s="96" t="e">
        <f>VLOOKUP(Tabela13[[#This Row],[Prioridade]],[5]!TabelaPrioridade[#Data],2,FALSE)</f>
        <v>#REF!</v>
      </c>
      <c r="L201" s="96" t="e">
        <f>VLOOKUP(Tabela13[[#This Row],[Prioridade]],[5]!TabelaPrioridade[#Data],3,FALSE)</f>
        <v>#REF!</v>
      </c>
      <c r="M201" s="94" t="s">
        <v>963</v>
      </c>
      <c r="N201" s="94" t="s">
        <v>964</v>
      </c>
      <c r="O201" s="94" t="s">
        <v>964</v>
      </c>
      <c r="P201" s="94" t="s">
        <v>980</v>
      </c>
      <c r="Q201" s="97" t="e">
        <f>Tabela13[[#This Row],[Tempo Máximo Atendimento]]+"00:20:00"</f>
        <v>#REF!</v>
      </c>
      <c r="R201" s="94"/>
      <c r="S201" s="94" t="s">
        <v>1005</v>
      </c>
      <c r="T201" s="97" t="s">
        <v>964</v>
      </c>
      <c r="U201" s="97" t="s">
        <v>964</v>
      </c>
      <c r="V201" s="94"/>
      <c r="W201" s="94" t="s">
        <v>964</v>
      </c>
      <c r="X201" s="94" t="s">
        <v>964</v>
      </c>
      <c r="Y201" s="95" t="s">
        <v>964</v>
      </c>
      <c r="Z201" s="94" t="s">
        <v>964</v>
      </c>
      <c r="AA201" s="94" t="s">
        <v>964</v>
      </c>
      <c r="AB201" s="94" t="s">
        <v>964</v>
      </c>
      <c r="AC201" s="94" t="s">
        <v>970</v>
      </c>
      <c r="AD201" s="101" t="s">
        <v>971</v>
      </c>
    </row>
    <row r="202" spans="1:30" ht="15" hidden="1">
      <c r="A202" s="94" t="s">
        <v>1118</v>
      </c>
      <c r="B202" s="94" t="s">
        <v>956</v>
      </c>
      <c r="C202" s="94" t="s">
        <v>957</v>
      </c>
      <c r="D202" s="105" t="s">
        <v>1028</v>
      </c>
      <c r="E202" s="95"/>
      <c r="F202" s="94" t="s">
        <v>960</v>
      </c>
      <c r="G202" s="94" t="s">
        <v>960</v>
      </c>
      <c r="H202" s="94" t="s">
        <v>961</v>
      </c>
      <c r="I202" s="94" t="s">
        <v>962</v>
      </c>
      <c r="J202" s="94">
        <v>4</v>
      </c>
      <c r="K202" s="96" t="e">
        <f>VLOOKUP(Tabela13[[#This Row],[Prioridade]],[5]!TabelaPrioridade[#Data],2,FALSE)</f>
        <v>#REF!</v>
      </c>
      <c r="L202" s="96" t="e">
        <f>VLOOKUP(Tabela13[[#This Row],[Prioridade]],[5]!TabelaPrioridade[#Data],3,FALSE)</f>
        <v>#REF!</v>
      </c>
      <c r="M202" s="94" t="s">
        <v>963</v>
      </c>
      <c r="N202" s="94" t="s">
        <v>964</v>
      </c>
      <c r="O202" s="94" t="s">
        <v>964</v>
      </c>
      <c r="P202" s="94" t="s">
        <v>980</v>
      </c>
      <c r="Q202" s="97" t="e">
        <f>Tabela13[[#This Row],[Tempo Máximo Atendimento]]+"00:20:00"</f>
        <v>#REF!</v>
      </c>
      <c r="R202" s="94"/>
      <c r="S202" s="94" t="s">
        <v>1005</v>
      </c>
      <c r="T202" s="97" t="s">
        <v>964</v>
      </c>
      <c r="U202" s="97" t="s">
        <v>964</v>
      </c>
      <c r="V202" s="94"/>
      <c r="W202" s="94" t="s">
        <v>964</v>
      </c>
      <c r="X202" s="94" t="s">
        <v>964</v>
      </c>
      <c r="Y202" s="95" t="s">
        <v>964</v>
      </c>
      <c r="Z202" s="94" t="s">
        <v>964</v>
      </c>
      <c r="AA202" s="94" t="s">
        <v>964</v>
      </c>
      <c r="AB202" s="94" t="s">
        <v>964</v>
      </c>
      <c r="AC202" s="94" t="s">
        <v>970</v>
      </c>
      <c r="AD202" s="101" t="s">
        <v>971</v>
      </c>
    </row>
    <row r="203" spans="1:30" ht="15" hidden="1">
      <c r="A203" s="94" t="s">
        <v>1118</v>
      </c>
      <c r="B203" s="94" t="s">
        <v>956</v>
      </c>
      <c r="C203" s="94" t="s">
        <v>976</v>
      </c>
      <c r="D203" s="95" t="s">
        <v>977</v>
      </c>
      <c r="E203" s="95"/>
      <c r="F203" s="94" t="s">
        <v>963</v>
      </c>
      <c r="G203" s="94" t="s">
        <v>960</v>
      </c>
      <c r="H203" s="94" t="s">
        <v>961</v>
      </c>
      <c r="I203" s="94" t="s">
        <v>962</v>
      </c>
      <c r="J203" s="94">
        <v>4</v>
      </c>
      <c r="K203" s="96" t="e">
        <f>VLOOKUP(Tabela13[[#This Row],[Prioridade]],[5]!TabelaPrioridade[#Data],2,FALSE)</f>
        <v>#REF!</v>
      </c>
      <c r="L203" s="96" t="e">
        <f>VLOOKUP(Tabela13[[#This Row],[Prioridade]],[5]!TabelaPrioridade[#Data],3,FALSE)</f>
        <v>#REF!</v>
      </c>
      <c r="M203" s="94" t="s">
        <v>963</v>
      </c>
      <c r="N203" s="94" t="s">
        <v>964</v>
      </c>
      <c r="O203" s="94" t="s">
        <v>964</v>
      </c>
      <c r="P203" s="94" t="s">
        <v>965</v>
      </c>
      <c r="Q203" s="97" t="e">
        <f>Tabela13[[#This Row],[Tempo Máximo Atendimento]]+"00:20:00"</f>
        <v>#REF!</v>
      </c>
      <c r="R203" s="94"/>
      <c r="S203" s="94" t="s">
        <v>980</v>
      </c>
      <c r="T203" s="97" t="s">
        <v>964</v>
      </c>
      <c r="U203" s="97" t="s">
        <v>964</v>
      </c>
      <c r="V203" s="94"/>
      <c r="W203" s="94" t="s">
        <v>964</v>
      </c>
      <c r="X203" s="94" t="s">
        <v>964</v>
      </c>
      <c r="Y203" s="95" t="s">
        <v>964</v>
      </c>
      <c r="Z203" s="94" t="s">
        <v>964</v>
      </c>
      <c r="AA203" s="94" t="s">
        <v>964</v>
      </c>
      <c r="AB203" s="94" t="s">
        <v>964</v>
      </c>
      <c r="AC203" s="94" t="s">
        <v>970</v>
      </c>
      <c r="AD203" s="101" t="s">
        <v>971</v>
      </c>
    </row>
    <row r="204" spans="1:30" ht="15" hidden="1">
      <c r="A204" s="94" t="s">
        <v>539</v>
      </c>
      <c r="B204" s="94" t="s">
        <v>956</v>
      </c>
      <c r="C204" s="94" t="s">
        <v>957</v>
      </c>
      <c r="D204" s="105" t="s">
        <v>958</v>
      </c>
      <c r="E204" s="95"/>
      <c r="F204" s="94" t="s">
        <v>960</v>
      </c>
      <c r="G204" s="94" t="s">
        <v>960</v>
      </c>
      <c r="H204" s="94" t="s">
        <v>961</v>
      </c>
      <c r="I204" s="94" t="s">
        <v>962</v>
      </c>
      <c r="J204" s="94">
        <v>4</v>
      </c>
      <c r="K204" s="96" t="e">
        <f>VLOOKUP(Tabela13[[#This Row],[Prioridade]],[5]!TabelaPrioridade[#Data],2,FALSE)</f>
        <v>#REF!</v>
      </c>
      <c r="L204" s="96" t="e">
        <f>VLOOKUP(Tabela13[[#This Row],[Prioridade]],[5]!TabelaPrioridade[#Data],3,FALSE)</f>
        <v>#REF!</v>
      </c>
      <c r="M204" s="94" t="s">
        <v>963</v>
      </c>
      <c r="N204" s="94" t="s">
        <v>964</v>
      </c>
      <c r="O204" s="94" t="s">
        <v>964</v>
      </c>
      <c r="P204" s="94" t="s">
        <v>967</v>
      </c>
      <c r="Q204" s="97" t="e">
        <f>Tabela13[[#This Row],[Tempo Máximo Atendimento]]+"00:20:00"</f>
        <v>#REF!</v>
      </c>
      <c r="R204" s="94"/>
      <c r="S204" s="94" t="s">
        <v>1122</v>
      </c>
      <c r="T204" s="97" t="s">
        <v>964</v>
      </c>
      <c r="U204" s="97" t="s">
        <v>964</v>
      </c>
      <c r="V204" s="94"/>
      <c r="W204" s="94" t="s">
        <v>964</v>
      </c>
      <c r="X204" s="94" t="s">
        <v>964</v>
      </c>
      <c r="Y204" s="95" t="s">
        <v>964</v>
      </c>
      <c r="Z204" s="94" t="s">
        <v>964</v>
      </c>
      <c r="AA204" s="94" t="s">
        <v>964</v>
      </c>
      <c r="AB204" s="94" t="s">
        <v>964</v>
      </c>
      <c r="AC204" s="94" t="s">
        <v>970</v>
      </c>
      <c r="AD204" s="101" t="s">
        <v>971</v>
      </c>
    </row>
    <row r="205" spans="1:30" ht="15" hidden="1">
      <c r="A205" s="94" t="s">
        <v>539</v>
      </c>
      <c r="B205" s="94" t="s">
        <v>956</v>
      </c>
      <c r="C205" s="94" t="s">
        <v>957</v>
      </c>
      <c r="D205" s="105" t="s">
        <v>1024</v>
      </c>
      <c r="E205" s="95"/>
      <c r="F205" s="94" t="s">
        <v>960</v>
      </c>
      <c r="G205" s="94" t="s">
        <v>960</v>
      </c>
      <c r="H205" s="94" t="s">
        <v>961</v>
      </c>
      <c r="I205" s="94" t="s">
        <v>962</v>
      </c>
      <c r="J205" s="94">
        <v>4</v>
      </c>
      <c r="K205" s="96" t="e">
        <f>VLOOKUP(Tabela13[[#This Row],[Prioridade]],[5]!TabelaPrioridade[#Data],2,FALSE)</f>
        <v>#REF!</v>
      </c>
      <c r="L205" s="96" t="e">
        <f>VLOOKUP(Tabela13[[#This Row],[Prioridade]],[5]!TabelaPrioridade[#Data],3,FALSE)</f>
        <v>#REF!</v>
      </c>
      <c r="M205" s="94" t="s">
        <v>963</v>
      </c>
      <c r="N205" s="94" t="s">
        <v>964</v>
      </c>
      <c r="O205" s="94" t="s">
        <v>964</v>
      </c>
      <c r="P205" s="94" t="s">
        <v>967</v>
      </c>
      <c r="Q205" s="97" t="e">
        <f>Tabela13[[#This Row],[Tempo Máximo Atendimento]]+"00:20:00"</f>
        <v>#REF!</v>
      </c>
      <c r="R205" s="94"/>
      <c r="S205" s="94" t="s">
        <v>1122</v>
      </c>
      <c r="T205" s="97" t="s">
        <v>964</v>
      </c>
      <c r="U205" s="97" t="s">
        <v>964</v>
      </c>
      <c r="V205" s="94"/>
      <c r="W205" s="94" t="s">
        <v>964</v>
      </c>
      <c r="X205" s="94" t="s">
        <v>964</v>
      </c>
      <c r="Y205" s="95" t="s">
        <v>964</v>
      </c>
      <c r="Z205" s="94" t="s">
        <v>964</v>
      </c>
      <c r="AA205" s="94" t="s">
        <v>964</v>
      </c>
      <c r="AB205" s="94" t="s">
        <v>964</v>
      </c>
      <c r="AC205" s="94" t="s">
        <v>970</v>
      </c>
      <c r="AD205" s="101" t="s">
        <v>971</v>
      </c>
    </row>
    <row r="206" spans="1:30" ht="15" hidden="1">
      <c r="A206" s="94" t="s">
        <v>539</v>
      </c>
      <c r="B206" s="94" t="s">
        <v>956</v>
      </c>
      <c r="C206" s="94" t="s">
        <v>957</v>
      </c>
      <c r="D206" s="105" t="s">
        <v>1022</v>
      </c>
      <c r="E206" s="95"/>
      <c r="F206" s="94" t="s">
        <v>960</v>
      </c>
      <c r="G206" s="94" t="s">
        <v>960</v>
      </c>
      <c r="H206" s="94" t="s">
        <v>961</v>
      </c>
      <c r="I206" s="94" t="s">
        <v>962</v>
      </c>
      <c r="J206" s="94">
        <v>4</v>
      </c>
      <c r="K206" s="96" t="e">
        <f>VLOOKUP(Tabela13[[#This Row],[Prioridade]],[5]!TabelaPrioridade[#Data],2,FALSE)</f>
        <v>#REF!</v>
      </c>
      <c r="L206" s="96" t="e">
        <f>VLOOKUP(Tabela13[[#This Row],[Prioridade]],[5]!TabelaPrioridade[#Data],3,FALSE)</f>
        <v>#REF!</v>
      </c>
      <c r="M206" s="94" t="s">
        <v>963</v>
      </c>
      <c r="N206" s="94" t="s">
        <v>964</v>
      </c>
      <c r="O206" s="94" t="s">
        <v>964</v>
      </c>
      <c r="P206" s="94" t="s">
        <v>967</v>
      </c>
      <c r="Q206" s="97" t="e">
        <f>Tabela13[[#This Row],[Tempo Máximo Atendimento]]+"00:20:00"</f>
        <v>#REF!</v>
      </c>
      <c r="R206" s="94"/>
      <c r="S206" s="94" t="s">
        <v>1122</v>
      </c>
      <c r="T206" s="97" t="s">
        <v>964</v>
      </c>
      <c r="U206" s="97" t="s">
        <v>964</v>
      </c>
      <c r="V206" s="94"/>
      <c r="W206" s="94" t="s">
        <v>964</v>
      </c>
      <c r="X206" s="94" t="s">
        <v>964</v>
      </c>
      <c r="Y206" s="95" t="s">
        <v>964</v>
      </c>
      <c r="Z206" s="94" t="s">
        <v>964</v>
      </c>
      <c r="AA206" s="94" t="s">
        <v>964</v>
      </c>
      <c r="AB206" s="94" t="s">
        <v>964</v>
      </c>
      <c r="AC206" s="94" t="s">
        <v>970</v>
      </c>
      <c r="AD206" s="101" t="s">
        <v>971</v>
      </c>
    </row>
    <row r="207" spans="1:30" ht="15" hidden="1">
      <c r="A207" s="94" t="s">
        <v>539</v>
      </c>
      <c r="B207" s="94" t="s">
        <v>14</v>
      </c>
      <c r="C207" s="94" t="s">
        <v>976</v>
      </c>
      <c r="D207" s="103" t="s">
        <v>977</v>
      </c>
      <c r="E207" s="95"/>
      <c r="F207" s="94" t="s">
        <v>963</v>
      </c>
      <c r="G207" s="94" t="s">
        <v>960</v>
      </c>
      <c r="H207" s="94" t="s">
        <v>961</v>
      </c>
      <c r="I207" s="94"/>
      <c r="J207" s="94">
        <v>4</v>
      </c>
      <c r="K207" s="96" t="e">
        <f>VLOOKUP(Tabela13[[#This Row],[Prioridade]],[5]!TabelaPrioridade[#Data],2,FALSE)</f>
        <v>#REF!</v>
      </c>
      <c r="L207" s="96" t="e">
        <f>VLOOKUP(Tabela13[[#This Row],[Prioridade]],[5]!TabelaPrioridade[#Data],3,FALSE)</f>
        <v>#REF!</v>
      </c>
      <c r="M207" s="94" t="s">
        <v>963</v>
      </c>
      <c r="N207" s="94" t="s">
        <v>964</v>
      </c>
      <c r="O207" s="94" t="s">
        <v>964</v>
      </c>
      <c r="P207" s="94" t="s">
        <v>965</v>
      </c>
      <c r="Q207" s="97" t="e">
        <f>Tabela13[[#This Row],[Tempo Máximo Atendimento]]+"00:20:00"</f>
        <v>#REF!</v>
      </c>
      <c r="R207" s="94"/>
      <c r="S207" s="94" t="s">
        <v>980</v>
      </c>
      <c r="T207" s="94" t="s">
        <v>964</v>
      </c>
      <c r="U207" s="94" t="s">
        <v>964</v>
      </c>
      <c r="V207" s="94"/>
      <c r="W207" s="94" t="s">
        <v>1122</v>
      </c>
      <c r="X207" s="94" t="s">
        <v>964</v>
      </c>
      <c r="Y207" s="95" t="s">
        <v>964</v>
      </c>
      <c r="Z207" s="94" t="s">
        <v>964</v>
      </c>
      <c r="AA207" s="94" t="s">
        <v>964</v>
      </c>
      <c r="AB207" s="94" t="s">
        <v>964</v>
      </c>
      <c r="AC207" s="94" t="s">
        <v>970</v>
      </c>
      <c r="AD207" s="101" t="s">
        <v>971</v>
      </c>
    </row>
    <row r="208" spans="1:30" ht="15" hidden="1">
      <c r="A208" s="94" t="s">
        <v>539</v>
      </c>
      <c r="B208" s="94" t="s">
        <v>14</v>
      </c>
      <c r="C208" s="94" t="s">
        <v>976</v>
      </c>
      <c r="D208" s="105" t="s">
        <v>566</v>
      </c>
      <c r="E208" s="95"/>
      <c r="F208" s="94" t="s">
        <v>963</v>
      </c>
      <c r="G208" s="94" t="s">
        <v>960</v>
      </c>
      <c r="H208" s="94" t="s">
        <v>961</v>
      </c>
      <c r="I208" s="94"/>
      <c r="J208" s="94">
        <v>4</v>
      </c>
      <c r="K208" s="96" t="e">
        <f>VLOOKUP(Tabela13[[#This Row],[Prioridade]],[5]!TabelaPrioridade[#Data],2,FALSE)</f>
        <v>#REF!</v>
      </c>
      <c r="L208" s="96" t="e">
        <f>VLOOKUP(Tabela13[[#This Row],[Prioridade]],[5]!TabelaPrioridade[#Data],3,FALSE)</f>
        <v>#REF!</v>
      </c>
      <c r="M208" s="94" t="s">
        <v>963</v>
      </c>
      <c r="N208" s="94" t="s">
        <v>964</v>
      </c>
      <c r="O208" s="94" t="s">
        <v>964</v>
      </c>
      <c r="P208" s="94" t="s">
        <v>965</v>
      </c>
      <c r="Q208" s="97" t="e">
        <f>Tabela13[[#This Row],[Tempo Máximo Atendimento]]+"00:20:00"</f>
        <v>#REF!</v>
      </c>
      <c r="R208" s="94"/>
      <c r="S208" s="94" t="s">
        <v>980</v>
      </c>
      <c r="T208" s="94" t="s">
        <v>964</v>
      </c>
      <c r="U208" s="94" t="s">
        <v>964</v>
      </c>
      <c r="V208" s="94"/>
      <c r="W208" s="94" t="s">
        <v>1122</v>
      </c>
      <c r="X208" s="94" t="s">
        <v>964</v>
      </c>
      <c r="Y208" s="95" t="s">
        <v>964</v>
      </c>
      <c r="Z208" s="94" t="s">
        <v>964</v>
      </c>
      <c r="AA208" s="94" t="s">
        <v>964</v>
      </c>
      <c r="AB208" s="94" t="s">
        <v>964</v>
      </c>
      <c r="AC208" s="94" t="s">
        <v>970</v>
      </c>
      <c r="AD208" s="101" t="s">
        <v>971</v>
      </c>
    </row>
    <row r="209" spans="1:30" ht="15" hidden="1">
      <c r="A209" s="94" t="s">
        <v>539</v>
      </c>
      <c r="B209" s="94" t="s">
        <v>14</v>
      </c>
      <c r="C209" s="94" t="s">
        <v>976</v>
      </c>
      <c r="D209" s="105" t="s">
        <v>565</v>
      </c>
      <c r="E209" s="95"/>
      <c r="F209" s="94" t="s">
        <v>963</v>
      </c>
      <c r="G209" s="94" t="s">
        <v>960</v>
      </c>
      <c r="H209" s="94" t="s">
        <v>961</v>
      </c>
      <c r="I209" s="94"/>
      <c r="J209" s="94">
        <v>3</v>
      </c>
      <c r="K209" s="96" t="e">
        <f>VLOOKUP(Tabela13[[#This Row],[Prioridade]],[5]!TabelaPrioridade[#Data],2,FALSE)</f>
        <v>#REF!</v>
      </c>
      <c r="L209" s="96" t="e">
        <f>VLOOKUP(Tabela13[[#This Row],[Prioridade]],[5]!TabelaPrioridade[#Data],3,FALSE)</f>
        <v>#REF!</v>
      </c>
      <c r="M209" s="94" t="s">
        <v>963</v>
      </c>
      <c r="N209" s="94" t="s">
        <v>964</v>
      </c>
      <c r="O209" s="94" t="s">
        <v>964</v>
      </c>
      <c r="P209" s="94" t="s">
        <v>965</v>
      </c>
      <c r="Q209" s="97" t="e">
        <f>Tabela13[[#This Row],[Tempo Máximo Atendimento]]+"00:20:00"</f>
        <v>#REF!</v>
      </c>
      <c r="R209" s="94"/>
      <c r="S209" s="94" t="s">
        <v>980</v>
      </c>
      <c r="T209" s="94" t="s">
        <v>964</v>
      </c>
      <c r="U209" s="94" t="s">
        <v>964</v>
      </c>
      <c r="V209" s="94"/>
      <c r="W209" s="94" t="s">
        <v>1122</v>
      </c>
      <c r="X209" s="94" t="s">
        <v>964</v>
      </c>
      <c r="Y209" s="95" t="s">
        <v>964</v>
      </c>
      <c r="Z209" s="94" t="s">
        <v>964</v>
      </c>
      <c r="AA209" s="94" t="s">
        <v>964</v>
      </c>
      <c r="AB209" s="94" t="s">
        <v>964</v>
      </c>
      <c r="AC209" s="94" t="s">
        <v>970</v>
      </c>
      <c r="AD209" s="99">
        <v>2.0833333333333332E-2</v>
      </c>
    </row>
    <row r="210" spans="1:30" ht="15" hidden="1">
      <c r="A210" s="94" t="s">
        <v>539</v>
      </c>
      <c r="B210" s="94" t="s">
        <v>14</v>
      </c>
      <c r="C210" s="94" t="s">
        <v>976</v>
      </c>
      <c r="D210" s="105" t="s">
        <v>987</v>
      </c>
      <c r="E210" s="95"/>
      <c r="F210" s="94" t="s">
        <v>963</v>
      </c>
      <c r="G210" s="94" t="s">
        <v>960</v>
      </c>
      <c r="H210" s="94" t="s">
        <v>961</v>
      </c>
      <c r="I210" s="94"/>
      <c r="J210" s="94">
        <v>4</v>
      </c>
      <c r="K210" s="96" t="e">
        <f>VLOOKUP(Tabela13[[#This Row],[Prioridade]],[5]!TabelaPrioridade[#Data],2,FALSE)</f>
        <v>#REF!</v>
      </c>
      <c r="L210" s="96" t="e">
        <f>VLOOKUP(Tabela13[[#This Row],[Prioridade]],[5]!TabelaPrioridade[#Data],3,FALSE)</f>
        <v>#REF!</v>
      </c>
      <c r="M210" s="94" t="s">
        <v>963</v>
      </c>
      <c r="N210" s="94" t="s">
        <v>964</v>
      </c>
      <c r="O210" s="94" t="s">
        <v>964</v>
      </c>
      <c r="P210" s="94" t="s">
        <v>965</v>
      </c>
      <c r="Q210" s="97" t="e">
        <f>Tabela13[[#This Row],[Tempo Máximo Atendimento]]+"00:20:00"</f>
        <v>#REF!</v>
      </c>
      <c r="R210" s="94"/>
      <c r="S210" s="94" t="s">
        <v>980</v>
      </c>
      <c r="T210" s="94" t="s">
        <v>964</v>
      </c>
      <c r="U210" s="94" t="s">
        <v>964</v>
      </c>
      <c r="V210" s="94"/>
      <c r="W210" s="94" t="s">
        <v>1122</v>
      </c>
      <c r="X210" s="94" t="s">
        <v>964</v>
      </c>
      <c r="Y210" s="95" t="s">
        <v>964</v>
      </c>
      <c r="Z210" s="94" t="s">
        <v>964</v>
      </c>
      <c r="AA210" s="94" t="s">
        <v>964</v>
      </c>
      <c r="AB210" s="94" t="s">
        <v>964</v>
      </c>
      <c r="AC210" s="94" t="s">
        <v>970</v>
      </c>
      <c r="AD210" s="101" t="s">
        <v>971</v>
      </c>
    </row>
    <row r="211" spans="1:30" ht="15" hidden="1">
      <c r="A211" s="94" t="s">
        <v>1123</v>
      </c>
      <c r="B211" s="94" t="s">
        <v>956</v>
      </c>
      <c r="C211" s="94" t="s">
        <v>957</v>
      </c>
      <c r="D211" s="95" t="s">
        <v>1124</v>
      </c>
      <c r="E211" s="95"/>
      <c r="F211" s="94" t="s">
        <v>960</v>
      </c>
      <c r="G211" s="94" t="s">
        <v>960</v>
      </c>
      <c r="H211" s="94" t="s">
        <v>961</v>
      </c>
      <c r="I211" s="94" t="s">
        <v>962</v>
      </c>
      <c r="J211" s="94">
        <v>4</v>
      </c>
      <c r="K211" s="96" t="e">
        <f>VLOOKUP(Tabela13[[#This Row],[Prioridade]],[5]!TabelaPrioridade[#Data],2,FALSE)</f>
        <v>#REF!</v>
      </c>
      <c r="L211" s="96" t="e">
        <f>VLOOKUP(Tabela13[[#This Row],[Prioridade]],[5]!TabelaPrioridade[#Data],3,FALSE)</f>
        <v>#REF!</v>
      </c>
      <c r="M211" s="94" t="s">
        <v>963</v>
      </c>
      <c r="N211" s="94" t="s">
        <v>964</v>
      </c>
      <c r="O211" s="94" t="s">
        <v>964</v>
      </c>
      <c r="P211" s="94" t="s">
        <v>980</v>
      </c>
      <c r="Q211" s="97" t="e">
        <f>Tabela13[[#This Row],[Tempo Máximo Atendimento]]+"00:20:00"</f>
        <v>#REF!</v>
      </c>
      <c r="R211" s="94"/>
      <c r="S211" s="94" t="s">
        <v>1005</v>
      </c>
      <c r="T211" s="97" t="s">
        <v>964</v>
      </c>
      <c r="U211" s="97" t="s">
        <v>964</v>
      </c>
      <c r="V211" s="94"/>
      <c r="W211" s="94" t="s">
        <v>964</v>
      </c>
      <c r="X211" s="94" t="s">
        <v>964</v>
      </c>
      <c r="Y211" s="95" t="s">
        <v>964</v>
      </c>
      <c r="Z211" s="94" t="s">
        <v>964</v>
      </c>
      <c r="AA211" s="94" t="s">
        <v>964</v>
      </c>
      <c r="AB211" s="94" t="s">
        <v>964</v>
      </c>
      <c r="AC211" s="94" t="s">
        <v>970</v>
      </c>
      <c r="AD211" s="101" t="s">
        <v>971</v>
      </c>
    </row>
    <row r="212" spans="1:30" ht="15" hidden="1">
      <c r="A212" s="94" t="s">
        <v>1123</v>
      </c>
      <c r="B212" s="94" t="s">
        <v>956</v>
      </c>
      <c r="C212" s="94" t="s">
        <v>957</v>
      </c>
      <c r="D212" s="95" t="s">
        <v>1125</v>
      </c>
      <c r="E212" s="95"/>
      <c r="F212" s="94" t="s">
        <v>960</v>
      </c>
      <c r="G212" s="94" t="s">
        <v>960</v>
      </c>
      <c r="H212" s="94" t="s">
        <v>961</v>
      </c>
      <c r="I212" s="94" t="s">
        <v>962</v>
      </c>
      <c r="J212" s="94">
        <v>4</v>
      </c>
      <c r="K212" s="96" t="e">
        <f>VLOOKUP(Tabela13[[#This Row],[Prioridade]],[5]!TabelaPrioridade[#Data],2,FALSE)</f>
        <v>#REF!</v>
      </c>
      <c r="L212" s="96" t="e">
        <f>VLOOKUP(Tabela13[[#This Row],[Prioridade]],[5]!TabelaPrioridade[#Data],3,FALSE)</f>
        <v>#REF!</v>
      </c>
      <c r="M212" s="94" t="s">
        <v>963</v>
      </c>
      <c r="N212" s="94" t="s">
        <v>964</v>
      </c>
      <c r="O212" s="94" t="s">
        <v>964</v>
      </c>
      <c r="P212" s="94" t="s">
        <v>980</v>
      </c>
      <c r="Q212" s="97" t="e">
        <f>Tabela13[[#This Row],[Tempo Máximo Atendimento]]+"00:20:00"</f>
        <v>#REF!</v>
      </c>
      <c r="R212" s="94"/>
      <c r="S212" s="94" t="s">
        <v>1005</v>
      </c>
      <c r="T212" s="97" t="s">
        <v>964</v>
      </c>
      <c r="U212" s="97" t="s">
        <v>964</v>
      </c>
      <c r="V212" s="94"/>
      <c r="W212" s="94" t="s">
        <v>964</v>
      </c>
      <c r="X212" s="94" t="s">
        <v>964</v>
      </c>
      <c r="Y212" s="95" t="s">
        <v>964</v>
      </c>
      <c r="Z212" s="94" t="s">
        <v>964</v>
      </c>
      <c r="AA212" s="94" t="s">
        <v>964</v>
      </c>
      <c r="AB212" s="94" t="s">
        <v>964</v>
      </c>
      <c r="AC212" s="94" t="s">
        <v>970</v>
      </c>
      <c r="AD212" s="101" t="s">
        <v>971</v>
      </c>
    </row>
    <row r="213" spans="1:30" ht="15" hidden="1">
      <c r="A213" s="94" t="s">
        <v>1123</v>
      </c>
      <c r="B213" s="94" t="s">
        <v>956</v>
      </c>
      <c r="C213" s="94" t="s">
        <v>957</v>
      </c>
      <c r="D213" s="95" t="s">
        <v>1043</v>
      </c>
      <c r="E213" s="95" t="s">
        <v>1044</v>
      </c>
      <c r="F213" s="94" t="s">
        <v>960</v>
      </c>
      <c r="G213" s="94" t="s">
        <v>960</v>
      </c>
      <c r="H213" s="94" t="s">
        <v>961</v>
      </c>
      <c r="I213" s="94" t="s">
        <v>962</v>
      </c>
      <c r="J213" s="94">
        <v>4</v>
      </c>
      <c r="K213" s="96" t="e">
        <f>VLOOKUP(Tabela13[[#This Row],[Prioridade]],[5]!TabelaPrioridade[#Data],2,FALSE)</f>
        <v>#REF!</v>
      </c>
      <c r="L213" s="96" t="e">
        <f>VLOOKUP(Tabela13[[#This Row],[Prioridade]],[5]!TabelaPrioridade[#Data],3,FALSE)</f>
        <v>#REF!</v>
      </c>
      <c r="M213" s="94" t="s">
        <v>963</v>
      </c>
      <c r="N213" s="94" t="s">
        <v>964</v>
      </c>
      <c r="O213" s="94" t="s">
        <v>964</v>
      </c>
      <c r="P213" s="94" t="s">
        <v>980</v>
      </c>
      <c r="Q213" s="97" t="e">
        <f>Tabela13[[#This Row],[Tempo Máximo Atendimento]]+"00:20:00"</f>
        <v>#REF!</v>
      </c>
      <c r="R213" s="94"/>
      <c r="S213" s="94" t="s">
        <v>1005</v>
      </c>
      <c r="T213" s="97" t="s">
        <v>964</v>
      </c>
      <c r="U213" s="97" t="s">
        <v>964</v>
      </c>
      <c r="V213" s="94"/>
      <c r="W213" s="94" t="s">
        <v>964</v>
      </c>
      <c r="X213" s="94" t="s">
        <v>964</v>
      </c>
      <c r="Y213" s="95" t="s">
        <v>964</v>
      </c>
      <c r="Z213" s="94" t="s">
        <v>964</v>
      </c>
      <c r="AA213" s="94" t="s">
        <v>964</v>
      </c>
      <c r="AB213" s="94" t="s">
        <v>964</v>
      </c>
      <c r="AC213" s="94" t="s">
        <v>970</v>
      </c>
      <c r="AD213" s="101" t="s">
        <v>971</v>
      </c>
    </row>
    <row r="214" spans="1:30" ht="15" hidden="1">
      <c r="A214" s="94" t="s">
        <v>1123</v>
      </c>
      <c r="B214" s="94" t="s">
        <v>956</v>
      </c>
      <c r="C214" s="94" t="s">
        <v>976</v>
      </c>
      <c r="D214" s="95" t="s">
        <v>566</v>
      </c>
      <c r="E214" s="95"/>
      <c r="F214" s="94" t="s">
        <v>963</v>
      </c>
      <c r="G214" s="94" t="s">
        <v>960</v>
      </c>
      <c r="H214" s="94" t="s">
        <v>961</v>
      </c>
      <c r="I214" s="94" t="s">
        <v>962</v>
      </c>
      <c r="J214" s="94">
        <v>4</v>
      </c>
      <c r="K214" s="96" t="e">
        <f>VLOOKUP(Tabela13[[#This Row],[Prioridade]],[5]!TabelaPrioridade[#Data],2,FALSE)</f>
        <v>#REF!</v>
      </c>
      <c r="L214" s="96" t="e">
        <f>VLOOKUP(Tabela13[[#This Row],[Prioridade]],[5]!TabelaPrioridade[#Data],3,FALSE)</f>
        <v>#REF!</v>
      </c>
      <c r="M214" s="94" t="s">
        <v>963</v>
      </c>
      <c r="N214" s="94" t="s">
        <v>964</v>
      </c>
      <c r="O214" s="94" t="s">
        <v>964</v>
      </c>
      <c r="P214" s="94" t="s">
        <v>965</v>
      </c>
      <c r="Q214" s="97" t="e">
        <f>Tabela13[[#This Row],[Tempo Máximo Atendimento]]+"00:20:00"</f>
        <v>#REF!</v>
      </c>
      <c r="R214" s="94"/>
      <c r="S214" s="94" t="s">
        <v>980</v>
      </c>
      <c r="T214" s="97" t="s">
        <v>964</v>
      </c>
      <c r="U214" s="97" t="s">
        <v>964</v>
      </c>
      <c r="V214" s="94"/>
      <c r="W214" s="94" t="s">
        <v>964</v>
      </c>
      <c r="X214" s="94" t="s">
        <v>964</v>
      </c>
      <c r="Y214" s="95" t="s">
        <v>964</v>
      </c>
      <c r="Z214" s="94" t="s">
        <v>964</v>
      </c>
      <c r="AA214" s="94" t="s">
        <v>964</v>
      </c>
      <c r="AB214" s="94" t="s">
        <v>964</v>
      </c>
      <c r="AC214" s="94" t="s">
        <v>970</v>
      </c>
      <c r="AD214" s="101" t="s">
        <v>971</v>
      </c>
    </row>
    <row r="215" spans="1:30" ht="15" hidden="1">
      <c r="A215" s="94" t="s">
        <v>1123</v>
      </c>
      <c r="B215" s="94" t="s">
        <v>956</v>
      </c>
      <c r="C215" s="94" t="s">
        <v>976</v>
      </c>
      <c r="D215" s="105" t="s">
        <v>565</v>
      </c>
      <c r="E215" s="95"/>
      <c r="F215" s="94" t="s">
        <v>963</v>
      </c>
      <c r="G215" s="94" t="s">
        <v>960</v>
      </c>
      <c r="H215" s="94" t="s">
        <v>961</v>
      </c>
      <c r="I215" s="94" t="s">
        <v>962</v>
      </c>
      <c r="J215" s="94">
        <v>3</v>
      </c>
      <c r="K215" s="96" t="e">
        <f>VLOOKUP(Tabela13[[#This Row],[Prioridade]],[5]!TabelaPrioridade[#Data],2,FALSE)</f>
        <v>#REF!</v>
      </c>
      <c r="L215" s="96" t="e">
        <f>VLOOKUP(Tabela13[[#This Row],[Prioridade]],[5]!TabelaPrioridade[#Data],3,FALSE)</f>
        <v>#REF!</v>
      </c>
      <c r="M215" s="94" t="s">
        <v>963</v>
      </c>
      <c r="N215" s="94" t="s">
        <v>964</v>
      </c>
      <c r="O215" s="94" t="s">
        <v>964</v>
      </c>
      <c r="P215" s="94" t="s">
        <v>965</v>
      </c>
      <c r="Q215" s="97" t="e">
        <f>Tabela13[[#This Row],[Tempo Máximo Atendimento]]+"00:20:00"</f>
        <v>#REF!</v>
      </c>
      <c r="R215" s="94"/>
      <c r="S215" s="94" t="s">
        <v>980</v>
      </c>
      <c r="T215" s="97" t="s">
        <v>964</v>
      </c>
      <c r="U215" s="97" t="s">
        <v>964</v>
      </c>
      <c r="V215" s="94"/>
      <c r="W215" s="94" t="s">
        <v>964</v>
      </c>
      <c r="X215" s="94" t="s">
        <v>964</v>
      </c>
      <c r="Y215" s="95" t="s">
        <v>964</v>
      </c>
      <c r="Z215" s="94" t="s">
        <v>964</v>
      </c>
      <c r="AA215" s="94" t="s">
        <v>964</v>
      </c>
      <c r="AB215" s="94" t="s">
        <v>964</v>
      </c>
      <c r="AC215" s="94" t="s">
        <v>970</v>
      </c>
      <c r="AD215" s="99">
        <v>2.0833333333333332E-2</v>
      </c>
    </row>
    <row r="216" spans="1:30" ht="15" hidden="1">
      <c r="A216" s="94" t="s">
        <v>1126</v>
      </c>
      <c r="B216" s="94" t="s">
        <v>14</v>
      </c>
      <c r="C216" s="94" t="s">
        <v>976</v>
      </c>
      <c r="D216" s="105" t="s">
        <v>977</v>
      </c>
      <c r="E216" s="95"/>
      <c r="F216" s="94" t="s">
        <v>963</v>
      </c>
      <c r="G216" s="94" t="s">
        <v>960</v>
      </c>
      <c r="H216" s="94" t="s">
        <v>961</v>
      </c>
      <c r="I216" s="94"/>
      <c r="J216" s="94">
        <v>3</v>
      </c>
      <c r="K216" s="96" t="e">
        <f>VLOOKUP(Tabela13[[#This Row],[Prioridade]],[5]!TabelaPrioridade[#Data],2,FALSE)</f>
        <v>#REF!</v>
      </c>
      <c r="L216" s="96" t="e">
        <f>VLOOKUP(Tabela13[[#This Row],[Prioridade]],[5]!TabelaPrioridade[#Data],3,FALSE)</f>
        <v>#REF!</v>
      </c>
      <c r="M216" s="94" t="s">
        <v>963</v>
      </c>
      <c r="N216" s="94" t="s">
        <v>964</v>
      </c>
      <c r="O216" s="94" t="s">
        <v>964</v>
      </c>
      <c r="P216" s="94" t="s">
        <v>965</v>
      </c>
      <c r="Q216" s="97" t="e">
        <f>Tabela13[[#This Row],[Tempo Máximo Atendimento]]+"00:20:00"</f>
        <v>#REF!</v>
      </c>
      <c r="R216" s="94"/>
      <c r="S216" s="94" t="s">
        <v>980</v>
      </c>
      <c r="T216" s="97" t="s">
        <v>964</v>
      </c>
      <c r="U216" s="97" t="s">
        <v>964</v>
      </c>
      <c r="V216" s="94"/>
      <c r="W216" s="94" t="s">
        <v>964</v>
      </c>
      <c r="X216" s="94" t="s">
        <v>964</v>
      </c>
      <c r="Y216" s="95" t="s">
        <v>964</v>
      </c>
      <c r="Z216" s="94" t="s">
        <v>964</v>
      </c>
      <c r="AA216" s="94" t="s">
        <v>964</v>
      </c>
      <c r="AB216" s="94" t="s">
        <v>964</v>
      </c>
      <c r="AC216" s="94" t="s">
        <v>970</v>
      </c>
      <c r="AD216" s="101" t="s">
        <v>971</v>
      </c>
    </row>
    <row r="217" spans="1:30" ht="15" hidden="1">
      <c r="A217" s="94" t="s">
        <v>1126</v>
      </c>
      <c r="B217" s="94" t="s">
        <v>14</v>
      </c>
      <c r="C217" s="94" t="s">
        <v>957</v>
      </c>
      <c r="D217" s="95" t="s">
        <v>1127</v>
      </c>
      <c r="E217" s="95"/>
      <c r="F217" s="94" t="s">
        <v>960</v>
      </c>
      <c r="G217" s="94" t="s">
        <v>960</v>
      </c>
      <c r="H217" s="94" t="s">
        <v>961</v>
      </c>
      <c r="I217" s="94"/>
      <c r="J217" s="94">
        <v>4</v>
      </c>
      <c r="K217" s="96" t="e">
        <f>VLOOKUP(Tabela13[[#This Row],[Prioridade]],[5]!TabelaPrioridade[#Data],2,FALSE)</f>
        <v>#REF!</v>
      </c>
      <c r="L217" s="96" t="e">
        <f>VLOOKUP(Tabela13[[#This Row],[Prioridade]],[5]!TabelaPrioridade[#Data],3,FALSE)</f>
        <v>#REF!</v>
      </c>
      <c r="M217" s="94" t="s">
        <v>960</v>
      </c>
      <c r="N217" s="94" t="s">
        <v>983</v>
      </c>
      <c r="O217" s="94"/>
      <c r="P217" s="94" t="s">
        <v>975</v>
      </c>
      <c r="Q217" s="97" t="e">
        <f>Tabela13[[#This Row],[Tempo Máximo Atendimento]]+"00:20:00"</f>
        <v>#REF!</v>
      </c>
      <c r="R217" s="94"/>
      <c r="S217" s="94" t="s">
        <v>980</v>
      </c>
      <c r="T217" s="97" t="s">
        <v>964</v>
      </c>
      <c r="U217" s="97" t="s">
        <v>964</v>
      </c>
      <c r="V217" s="94"/>
      <c r="W217" s="94" t="s">
        <v>964</v>
      </c>
      <c r="X217" s="94" t="s">
        <v>964</v>
      </c>
      <c r="Y217" s="95" t="s">
        <v>964</v>
      </c>
      <c r="Z217" s="94" t="s">
        <v>964</v>
      </c>
      <c r="AA217" s="94" t="s">
        <v>964</v>
      </c>
      <c r="AB217" s="94" t="s">
        <v>964</v>
      </c>
      <c r="AC217" s="94" t="s">
        <v>970</v>
      </c>
      <c r="AD217" s="101" t="s">
        <v>971</v>
      </c>
    </row>
    <row r="218" spans="1:30" ht="15" hidden="1">
      <c r="A218" s="94" t="s">
        <v>1126</v>
      </c>
      <c r="B218" s="94" t="s">
        <v>14</v>
      </c>
      <c r="C218" s="94" t="s">
        <v>957</v>
      </c>
      <c r="D218" s="95" t="s">
        <v>1128</v>
      </c>
      <c r="E218" s="95"/>
      <c r="F218" s="94" t="s">
        <v>960</v>
      </c>
      <c r="G218" s="94" t="s">
        <v>960</v>
      </c>
      <c r="H218" s="94" t="s">
        <v>961</v>
      </c>
      <c r="I218" s="94"/>
      <c r="J218" s="94">
        <v>4</v>
      </c>
      <c r="K218" s="96" t="e">
        <f>VLOOKUP(Tabela13[[#This Row],[Prioridade]],[5]!TabelaPrioridade[#Data],2,FALSE)</f>
        <v>#REF!</v>
      </c>
      <c r="L218" s="96" t="e">
        <f>VLOOKUP(Tabela13[[#This Row],[Prioridade]],[5]!TabelaPrioridade[#Data],3,FALSE)</f>
        <v>#REF!</v>
      </c>
      <c r="M218" s="94" t="s">
        <v>963</v>
      </c>
      <c r="N218" s="94" t="s">
        <v>964</v>
      </c>
      <c r="O218" s="94" t="s">
        <v>964</v>
      </c>
      <c r="P218" s="94" t="s">
        <v>975</v>
      </c>
      <c r="Q218" s="97" t="e">
        <f>Tabela13[[#This Row],[Tempo Máximo Atendimento]]+"00:20:00"</f>
        <v>#REF!</v>
      </c>
      <c r="R218" s="94"/>
      <c r="S218" s="94" t="s">
        <v>980</v>
      </c>
      <c r="T218" s="97" t="s">
        <v>964</v>
      </c>
      <c r="U218" s="97" t="s">
        <v>964</v>
      </c>
      <c r="V218" s="94"/>
      <c r="W218" s="94" t="s">
        <v>964</v>
      </c>
      <c r="X218" s="94" t="s">
        <v>964</v>
      </c>
      <c r="Y218" s="95" t="s">
        <v>964</v>
      </c>
      <c r="Z218" s="94" t="s">
        <v>964</v>
      </c>
      <c r="AA218" s="94" t="s">
        <v>964</v>
      </c>
      <c r="AB218" s="94" t="s">
        <v>964</v>
      </c>
      <c r="AC218" s="94" t="s">
        <v>970</v>
      </c>
      <c r="AD218" s="101" t="s">
        <v>971</v>
      </c>
    </row>
    <row r="219" spans="1:30" ht="15" hidden="1">
      <c r="A219" s="94" t="s">
        <v>1126</v>
      </c>
      <c r="B219" s="94" t="s">
        <v>14</v>
      </c>
      <c r="C219" s="94" t="s">
        <v>957</v>
      </c>
      <c r="D219" s="95" t="s">
        <v>1129</v>
      </c>
      <c r="E219" s="95"/>
      <c r="F219" s="94" t="s">
        <v>960</v>
      </c>
      <c r="G219" s="94" t="s">
        <v>960</v>
      </c>
      <c r="H219" s="94" t="s">
        <v>961</v>
      </c>
      <c r="I219" s="94"/>
      <c r="J219" s="94">
        <v>4</v>
      </c>
      <c r="K219" s="96" t="e">
        <f>VLOOKUP(Tabela13[[#This Row],[Prioridade]],[5]!TabelaPrioridade[#Data],2,FALSE)</f>
        <v>#REF!</v>
      </c>
      <c r="L219" s="96" t="e">
        <f>VLOOKUP(Tabela13[[#This Row],[Prioridade]],[5]!TabelaPrioridade[#Data],3,FALSE)</f>
        <v>#REF!</v>
      </c>
      <c r="M219" s="94" t="s">
        <v>963</v>
      </c>
      <c r="N219" s="94" t="s">
        <v>964</v>
      </c>
      <c r="O219" s="94" t="s">
        <v>964</v>
      </c>
      <c r="P219" s="94" t="s">
        <v>980</v>
      </c>
      <c r="Q219" s="97" t="e">
        <f>Tabela13[[#This Row],[Tempo Máximo Atendimento]]+"00:20:00"</f>
        <v>#REF!</v>
      </c>
      <c r="R219" s="94"/>
      <c r="S219" s="94" t="s">
        <v>964</v>
      </c>
      <c r="T219" s="97" t="s">
        <v>964</v>
      </c>
      <c r="U219" s="97" t="s">
        <v>964</v>
      </c>
      <c r="V219" s="94"/>
      <c r="W219" s="94" t="s">
        <v>964</v>
      </c>
      <c r="X219" s="94" t="s">
        <v>964</v>
      </c>
      <c r="Y219" s="95" t="s">
        <v>964</v>
      </c>
      <c r="Z219" s="94" t="s">
        <v>964</v>
      </c>
      <c r="AA219" s="94" t="s">
        <v>964</v>
      </c>
      <c r="AB219" s="94" t="s">
        <v>964</v>
      </c>
      <c r="AC219" s="94" t="s">
        <v>970</v>
      </c>
      <c r="AD219" s="101" t="s">
        <v>971</v>
      </c>
    </row>
    <row r="220" spans="1:30" ht="15" hidden="1">
      <c r="A220" s="94" t="s">
        <v>1126</v>
      </c>
      <c r="B220" s="94" t="s">
        <v>14</v>
      </c>
      <c r="C220" s="94" t="s">
        <v>957</v>
      </c>
      <c r="D220" s="95" t="s">
        <v>1130</v>
      </c>
      <c r="E220" s="95"/>
      <c r="F220" s="94" t="s">
        <v>960</v>
      </c>
      <c r="G220" s="94" t="s">
        <v>960</v>
      </c>
      <c r="H220" s="94" t="s">
        <v>961</v>
      </c>
      <c r="I220" s="94"/>
      <c r="J220" s="94">
        <v>4</v>
      </c>
      <c r="K220" s="96" t="e">
        <f>VLOOKUP(Tabela13[[#This Row],[Prioridade]],[5]!TabelaPrioridade[#Data],2,FALSE)</f>
        <v>#REF!</v>
      </c>
      <c r="L220" s="96" t="e">
        <f>VLOOKUP(Tabela13[[#This Row],[Prioridade]],[5]!TabelaPrioridade[#Data],3,FALSE)</f>
        <v>#REF!</v>
      </c>
      <c r="M220" s="94" t="s">
        <v>960</v>
      </c>
      <c r="N220" s="94" t="s">
        <v>983</v>
      </c>
      <c r="O220" s="94" t="s">
        <v>997</v>
      </c>
      <c r="P220" s="94" t="s">
        <v>980</v>
      </c>
      <c r="Q220" s="97" t="e">
        <f>Tabela13[[#This Row],[Tempo Máximo Atendimento]]+"00:20:00"</f>
        <v>#REF!</v>
      </c>
      <c r="R220" s="94"/>
      <c r="S220" s="94" t="s">
        <v>964</v>
      </c>
      <c r="T220" s="97" t="s">
        <v>964</v>
      </c>
      <c r="U220" s="97" t="s">
        <v>964</v>
      </c>
      <c r="V220" s="94"/>
      <c r="W220" s="94" t="s">
        <v>964</v>
      </c>
      <c r="X220" s="94" t="s">
        <v>964</v>
      </c>
      <c r="Y220" s="95" t="s">
        <v>964</v>
      </c>
      <c r="Z220" s="94" t="s">
        <v>964</v>
      </c>
      <c r="AA220" s="94" t="s">
        <v>964</v>
      </c>
      <c r="AB220" s="94" t="s">
        <v>964</v>
      </c>
      <c r="AC220" s="94" t="s">
        <v>970</v>
      </c>
      <c r="AD220" s="101" t="s">
        <v>971</v>
      </c>
    </row>
    <row r="221" spans="1:30" ht="15" hidden="1">
      <c r="A221" s="94" t="s">
        <v>1126</v>
      </c>
      <c r="B221" s="94" t="s">
        <v>14</v>
      </c>
      <c r="C221" s="94" t="s">
        <v>976</v>
      </c>
      <c r="D221" s="105" t="s">
        <v>566</v>
      </c>
      <c r="E221" s="95"/>
      <c r="F221" s="94" t="s">
        <v>963</v>
      </c>
      <c r="G221" s="94" t="s">
        <v>960</v>
      </c>
      <c r="H221" s="94" t="s">
        <v>961</v>
      </c>
      <c r="I221" s="94"/>
      <c r="J221" s="94">
        <v>3</v>
      </c>
      <c r="K221" s="96" t="e">
        <f>VLOOKUP(Tabela13[[#This Row],[Prioridade]],[5]!TabelaPrioridade[#Data],2,FALSE)</f>
        <v>#REF!</v>
      </c>
      <c r="L221" s="96" t="e">
        <f>VLOOKUP(Tabela13[[#This Row],[Prioridade]],[5]!TabelaPrioridade[#Data],3,FALSE)</f>
        <v>#REF!</v>
      </c>
      <c r="M221" s="94" t="s">
        <v>963</v>
      </c>
      <c r="N221" s="94" t="s">
        <v>964</v>
      </c>
      <c r="O221" s="94" t="s">
        <v>964</v>
      </c>
      <c r="P221" s="94" t="s">
        <v>965</v>
      </c>
      <c r="Q221" s="97" t="e">
        <f>Tabela13[[#This Row],[Tempo Máximo Atendimento]]+"00:20:00"</f>
        <v>#REF!</v>
      </c>
      <c r="R221" s="94"/>
      <c r="S221" s="94" t="s">
        <v>964</v>
      </c>
      <c r="T221" s="97" t="s">
        <v>964</v>
      </c>
      <c r="U221" s="97" t="s">
        <v>964</v>
      </c>
      <c r="V221" s="94"/>
      <c r="W221" s="94" t="s">
        <v>964</v>
      </c>
      <c r="X221" s="94" t="s">
        <v>964</v>
      </c>
      <c r="Y221" s="95" t="s">
        <v>964</v>
      </c>
      <c r="Z221" s="94" t="s">
        <v>964</v>
      </c>
      <c r="AA221" s="94" t="s">
        <v>964</v>
      </c>
      <c r="AB221" s="94" t="s">
        <v>964</v>
      </c>
      <c r="AC221" s="94" t="s">
        <v>970</v>
      </c>
      <c r="AD221" s="101" t="s">
        <v>971</v>
      </c>
    </row>
    <row r="222" spans="1:30" ht="15" hidden="1">
      <c r="A222" s="94" t="s">
        <v>1126</v>
      </c>
      <c r="B222" s="94" t="s">
        <v>956</v>
      </c>
      <c r="C222" s="94" t="s">
        <v>994</v>
      </c>
      <c r="D222" s="105" t="s">
        <v>1131</v>
      </c>
      <c r="E222" s="95"/>
      <c r="F222" s="94" t="s">
        <v>960</v>
      </c>
      <c r="G222" s="94" t="s">
        <v>960</v>
      </c>
      <c r="H222" s="94" t="s">
        <v>961</v>
      </c>
      <c r="I222" s="94"/>
      <c r="J222" s="94">
        <v>5</v>
      </c>
      <c r="K222" s="96" t="e">
        <f>VLOOKUP(Tabela13[[#This Row],[Prioridade]],[5]!TabelaPrioridade[#Data],2,FALSE)</f>
        <v>#REF!</v>
      </c>
      <c r="L222" s="96" t="e">
        <f>VLOOKUP(Tabela13[[#This Row],[Prioridade]],[5]!TabelaPrioridade[#Data],3,FALSE)</f>
        <v>#REF!</v>
      </c>
      <c r="M222" s="94" t="s">
        <v>963</v>
      </c>
      <c r="N222" s="94" t="s">
        <v>964</v>
      </c>
      <c r="O222" s="94" t="s">
        <v>964</v>
      </c>
      <c r="P222" s="94" t="s">
        <v>980</v>
      </c>
      <c r="Q222" s="97" t="e">
        <f>Tabela13[[#This Row],[Tempo Máximo Atendimento]]+"00:20:00"</f>
        <v>#REF!</v>
      </c>
      <c r="R222" s="94"/>
      <c r="S222" s="94" t="s">
        <v>964</v>
      </c>
      <c r="T222" s="97" t="s">
        <v>964</v>
      </c>
      <c r="U222" s="97" t="s">
        <v>964</v>
      </c>
      <c r="V222" s="94"/>
      <c r="W222" s="94" t="s">
        <v>964</v>
      </c>
      <c r="X222" s="94" t="s">
        <v>964</v>
      </c>
      <c r="Y222" s="95" t="s">
        <v>964</v>
      </c>
      <c r="Z222" s="94" t="s">
        <v>964</v>
      </c>
      <c r="AA222" s="94" t="s">
        <v>964</v>
      </c>
      <c r="AB222" s="94" t="s">
        <v>964</v>
      </c>
      <c r="AC222" s="94" t="s">
        <v>970</v>
      </c>
      <c r="AD222" s="101" t="s">
        <v>971</v>
      </c>
    </row>
    <row r="223" spans="1:30" ht="15" hidden="1">
      <c r="A223" s="94" t="s">
        <v>1126</v>
      </c>
      <c r="B223" s="94" t="s">
        <v>956</v>
      </c>
      <c r="C223" s="94" t="s">
        <v>957</v>
      </c>
      <c r="D223" s="105" t="s">
        <v>1132</v>
      </c>
      <c r="E223" s="95"/>
      <c r="F223" s="94" t="s">
        <v>960</v>
      </c>
      <c r="G223" s="94" t="s">
        <v>960</v>
      </c>
      <c r="H223" s="94" t="s">
        <v>961</v>
      </c>
      <c r="I223" s="94" t="s">
        <v>962</v>
      </c>
      <c r="J223" s="94">
        <v>4</v>
      </c>
      <c r="K223" s="96" t="e">
        <f>VLOOKUP(Tabela13[[#This Row],[Prioridade]],[5]!TabelaPrioridade[#Data],2,FALSE)</f>
        <v>#REF!</v>
      </c>
      <c r="L223" s="96" t="e">
        <f>VLOOKUP(Tabela13[[#This Row],[Prioridade]],[5]!TabelaPrioridade[#Data],3,FALSE)</f>
        <v>#REF!</v>
      </c>
      <c r="M223" s="94" t="s">
        <v>963</v>
      </c>
      <c r="N223" s="94" t="s">
        <v>964</v>
      </c>
      <c r="O223" s="94" t="s">
        <v>964</v>
      </c>
      <c r="P223" s="94" t="s">
        <v>980</v>
      </c>
      <c r="Q223" s="97" t="e">
        <f>Tabela13[[#This Row],[Tempo Máximo Atendimento]]+"00:20:00"</f>
        <v>#REF!</v>
      </c>
      <c r="R223" s="94"/>
      <c r="S223" s="94" t="s">
        <v>964</v>
      </c>
      <c r="T223" s="97" t="s">
        <v>964</v>
      </c>
      <c r="U223" s="97" t="s">
        <v>964</v>
      </c>
      <c r="V223" s="94"/>
      <c r="W223" s="94" t="s">
        <v>964</v>
      </c>
      <c r="X223" s="94" t="s">
        <v>964</v>
      </c>
      <c r="Y223" s="95" t="s">
        <v>964</v>
      </c>
      <c r="Z223" s="94" t="s">
        <v>964</v>
      </c>
      <c r="AA223" s="94" t="s">
        <v>964</v>
      </c>
      <c r="AB223" s="94" t="s">
        <v>964</v>
      </c>
      <c r="AC223" s="94" t="s">
        <v>970</v>
      </c>
      <c r="AD223" s="101" t="s">
        <v>971</v>
      </c>
    </row>
    <row r="224" spans="1:30" ht="15" hidden="1">
      <c r="A224" s="94" t="s">
        <v>1126</v>
      </c>
      <c r="B224" s="94" t="s">
        <v>956</v>
      </c>
      <c r="C224" s="94" t="s">
        <v>957</v>
      </c>
      <c r="D224" s="105" t="s">
        <v>1133</v>
      </c>
      <c r="E224" s="95"/>
      <c r="F224" s="94" t="s">
        <v>960</v>
      </c>
      <c r="G224" s="94" t="s">
        <v>960</v>
      </c>
      <c r="H224" s="94" t="s">
        <v>961</v>
      </c>
      <c r="I224" s="94" t="s">
        <v>962</v>
      </c>
      <c r="J224" s="94">
        <v>4</v>
      </c>
      <c r="K224" s="96" t="e">
        <f>VLOOKUP(Tabela13[[#This Row],[Prioridade]],[5]!TabelaPrioridade[#Data],2,FALSE)</f>
        <v>#REF!</v>
      </c>
      <c r="L224" s="96" t="e">
        <f>VLOOKUP(Tabela13[[#This Row],[Prioridade]],[5]!TabelaPrioridade[#Data],3,FALSE)</f>
        <v>#REF!</v>
      </c>
      <c r="M224" s="94" t="s">
        <v>963</v>
      </c>
      <c r="N224" s="94" t="s">
        <v>964</v>
      </c>
      <c r="O224" s="94" t="s">
        <v>964</v>
      </c>
      <c r="P224" s="94" t="s">
        <v>980</v>
      </c>
      <c r="Q224" s="97" t="e">
        <f>Tabela13[[#This Row],[Tempo Máximo Atendimento]]+"00:20:00"</f>
        <v>#REF!</v>
      </c>
      <c r="R224" s="94"/>
      <c r="S224" s="94" t="s">
        <v>964</v>
      </c>
      <c r="T224" s="97" t="s">
        <v>964</v>
      </c>
      <c r="U224" s="97" t="s">
        <v>964</v>
      </c>
      <c r="V224" s="94"/>
      <c r="W224" s="94" t="s">
        <v>964</v>
      </c>
      <c r="X224" s="94" t="s">
        <v>964</v>
      </c>
      <c r="Y224" s="95" t="s">
        <v>964</v>
      </c>
      <c r="Z224" s="94" t="s">
        <v>964</v>
      </c>
      <c r="AA224" s="94" t="s">
        <v>964</v>
      </c>
      <c r="AB224" s="94" t="s">
        <v>964</v>
      </c>
      <c r="AC224" s="94" t="s">
        <v>970</v>
      </c>
      <c r="AD224" s="101" t="s">
        <v>971</v>
      </c>
    </row>
    <row r="225" spans="1:30" ht="15" hidden="1">
      <c r="A225" s="94" t="s">
        <v>1126</v>
      </c>
      <c r="B225" s="94" t="s">
        <v>956</v>
      </c>
      <c r="C225" s="94" t="s">
        <v>957</v>
      </c>
      <c r="D225" s="105" t="s">
        <v>1134</v>
      </c>
      <c r="E225" s="95"/>
      <c r="F225" s="94" t="s">
        <v>960</v>
      </c>
      <c r="G225" s="94" t="s">
        <v>960</v>
      </c>
      <c r="H225" s="94" t="s">
        <v>961</v>
      </c>
      <c r="I225" s="94" t="s">
        <v>962</v>
      </c>
      <c r="J225" s="94">
        <v>4</v>
      </c>
      <c r="K225" s="96" t="e">
        <f>VLOOKUP(Tabela13[[#This Row],[Prioridade]],[5]!TabelaPrioridade[#Data],2,FALSE)</f>
        <v>#REF!</v>
      </c>
      <c r="L225" s="96" t="e">
        <f>VLOOKUP(Tabela13[[#This Row],[Prioridade]],[5]!TabelaPrioridade[#Data],3,FALSE)</f>
        <v>#REF!</v>
      </c>
      <c r="M225" s="94" t="s">
        <v>963</v>
      </c>
      <c r="N225" s="94" t="s">
        <v>964</v>
      </c>
      <c r="O225" s="94" t="s">
        <v>964</v>
      </c>
      <c r="P225" s="94" t="s">
        <v>980</v>
      </c>
      <c r="Q225" s="97" t="e">
        <f>Tabela13[[#This Row],[Tempo Máximo Atendimento]]+"00:20:00"</f>
        <v>#REF!</v>
      </c>
      <c r="R225" s="94"/>
      <c r="S225" s="94" t="s">
        <v>964</v>
      </c>
      <c r="T225" s="97" t="s">
        <v>964</v>
      </c>
      <c r="U225" s="97" t="s">
        <v>964</v>
      </c>
      <c r="V225" s="94"/>
      <c r="W225" s="94" t="s">
        <v>964</v>
      </c>
      <c r="X225" s="94" t="s">
        <v>964</v>
      </c>
      <c r="Y225" s="95" t="s">
        <v>964</v>
      </c>
      <c r="Z225" s="94" t="s">
        <v>964</v>
      </c>
      <c r="AA225" s="94" t="s">
        <v>964</v>
      </c>
      <c r="AB225" s="94" t="s">
        <v>964</v>
      </c>
      <c r="AC225" s="94" t="s">
        <v>970</v>
      </c>
      <c r="AD225" s="101" t="s">
        <v>971</v>
      </c>
    </row>
    <row r="226" spans="1:30" ht="15" hidden="1">
      <c r="A226" s="94" t="s">
        <v>1126</v>
      </c>
      <c r="B226" s="94" t="s">
        <v>956</v>
      </c>
      <c r="C226" s="94" t="s">
        <v>957</v>
      </c>
      <c r="D226" s="105" t="s">
        <v>1135</v>
      </c>
      <c r="E226" s="95"/>
      <c r="F226" s="94" t="s">
        <v>960</v>
      </c>
      <c r="G226" s="94" t="s">
        <v>960</v>
      </c>
      <c r="H226" s="94" t="s">
        <v>961</v>
      </c>
      <c r="I226" s="94" t="s">
        <v>962</v>
      </c>
      <c r="J226" s="94">
        <v>4</v>
      </c>
      <c r="K226" s="96" t="e">
        <f>VLOOKUP(Tabela13[[#This Row],[Prioridade]],[5]!TabelaPrioridade[#Data],2,FALSE)</f>
        <v>#REF!</v>
      </c>
      <c r="L226" s="96" t="e">
        <f>VLOOKUP(Tabela13[[#This Row],[Prioridade]],[5]!TabelaPrioridade[#Data],3,FALSE)</f>
        <v>#REF!</v>
      </c>
      <c r="M226" s="94" t="s">
        <v>963</v>
      </c>
      <c r="N226" s="94" t="s">
        <v>964</v>
      </c>
      <c r="O226" s="94" t="s">
        <v>964</v>
      </c>
      <c r="P226" s="94" t="s">
        <v>980</v>
      </c>
      <c r="Q226" s="97" t="e">
        <f>Tabela13[[#This Row],[Tempo Máximo Atendimento]]+"00:20:00"</f>
        <v>#REF!</v>
      </c>
      <c r="R226" s="94"/>
      <c r="S226" s="94" t="s">
        <v>964</v>
      </c>
      <c r="T226" s="97" t="s">
        <v>964</v>
      </c>
      <c r="U226" s="97" t="s">
        <v>964</v>
      </c>
      <c r="V226" s="94"/>
      <c r="W226" s="94" t="s">
        <v>964</v>
      </c>
      <c r="X226" s="94" t="s">
        <v>964</v>
      </c>
      <c r="Y226" s="95" t="s">
        <v>964</v>
      </c>
      <c r="Z226" s="94" t="s">
        <v>964</v>
      </c>
      <c r="AA226" s="94" t="s">
        <v>964</v>
      </c>
      <c r="AB226" s="94" t="s">
        <v>964</v>
      </c>
      <c r="AC226" s="94" t="s">
        <v>970</v>
      </c>
      <c r="AD226" s="101" t="s">
        <v>971</v>
      </c>
    </row>
    <row r="227" spans="1:30" ht="15" hidden="1">
      <c r="A227" s="94" t="s">
        <v>1126</v>
      </c>
      <c r="B227" s="94" t="s">
        <v>956</v>
      </c>
      <c r="C227" s="94" t="s">
        <v>957</v>
      </c>
      <c r="D227" s="105" t="s">
        <v>1136</v>
      </c>
      <c r="E227" s="95"/>
      <c r="F227" s="94" t="s">
        <v>960</v>
      </c>
      <c r="G227" s="94" t="s">
        <v>960</v>
      </c>
      <c r="H227" s="94" t="s">
        <v>961</v>
      </c>
      <c r="I227" s="94" t="s">
        <v>962</v>
      </c>
      <c r="J227" s="94">
        <v>4</v>
      </c>
      <c r="K227" s="96" t="e">
        <f>VLOOKUP(Tabela13[[#This Row],[Prioridade]],[5]!TabelaPrioridade[#Data],2,FALSE)</f>
        <v>#REF!</v>
      </c>
      <c r="L227" s="96" t="e">
        <f>VLOOKUP(Tabela13[[#This Row],[Prioridade]],[5]!TabelaPrioridade[#Data],3,FALSE)</f>
        <v>#REF!</v>
      </c>
      <c r="M227" s="94" t="s">
        <v>963</v>
      </c>
      <c r="N227" s="94" t="s">
        <v>964</v>
      </c>
      <c r="O227" s="94" t="s">
        <v>964</v>
      </c>
      <c r="P227" s="94" t="s">
        <v>980</v>
      </c>
      <c r="Q227" s="97" t="e">
        <f>Tabela13[[#This Row],[Tempo Máximo Atendimento]]+"00:20:00"</f>
        <v>#REF!</v>
      </c>
      <c r="R227" s="94"/>
      <c r="S227" s="94" t="s">
        <v>964</v>
      </c>
      <c r="T227" s="97" t="s">
        <v>964</v>
      </c>
      <c r="U227" s="97" t="s">
        <v>964</v>
      </c>
      <c r="V227" s="94"/>
      <c r="W227" s="94" t="s">
        <v>964</v>
      </c>
      <c r="X227" s="94" t="s">
        <v>964</v>
      </c>
      <c r="Y227" s="95" t="s">
        <v>964</v>
      </c>
      <c r="Z227" s="94" t="s">
        <v>964</v>
      </c>
      <c r="AA227" s="94" t="s">
        <v>964</v>
      </c>
      <c r="AB227" s="94" t="s">
        <v>964</v>
      </c>
      <c r="AC227" s="94" t="s">
        <v>970</v>
      </c>
      <c r="AD227" s="101" t="s">
        <v>971</v>
      </c>
    </row>
    <row r="228" spans="1:30" ht="15" hidden="1">
      <c r="A228" s="94" t="s">
        <v>1126</v>
      </c>
      <c r="B228" s="94" t="s">
        <v>14</v>
      </c>
      <c r="C228" s="94" t="s">
        <v>976</v>
      </c>
      <c r="D228" s="105" t="s">
        <v>565</v>
      </c>
      <c r="E228" s="95"/>
      <c r="F228" s="94" t="s">
        <v>963</v>
      </c>
      <c r="G228" s="94" t="s">
        <v>960</v>
      </c>
      <c r="H228" s="94" t="s">
        <v>961</v>
      </c>
      <c r="I228" s="94"/>
      <c r="J228" s="94">
        <v>2</v>
      </c>
      <c r="K228" s="96" t="e">
        <f>VLOOKUP(Tabela13[[#This Row],[Prioridade]],[5]!TabelaPrioridade[#Data],2,FALSE)</f>
        <v>#REF!</v>
      </c>
      <c r="L228" s="96" t="e">
        <f>VLOOKUP(Tabela13[[#This Row],[Prioridade]],[5]!TabelaPrioridade[#Data],3,FALSE)</f>
        <v>#REF!</v>
      </c>
      <c r="M228" s="94" t="s">
        <v>963</v>
      </c>
      <c r="N228" s="94" t="s">
        <v>964</v>
      </c>
      <c r="O228" s="94" t="s">
        <v>964</v>
      </c>
      <c r="P228" s="94" t="s">
        <v>965</v>
      </c>
      <c r="Q228" s="97" t="e">
        <f>Tabela13[[#This Row],[Tempo Máximo Atendimento]]+"00:20:00"</f>
        <v>#REF!</v>
      </c>
      <c r="R228" s="94"/>
      <c r="S228" s="94" t="s">
        <v>980</v>
      </c>
      <c r="T228" s="97" t="s">
        <v>964</v>
      </c>
      <c r="U228" s="97" t="s">
        <v>964</v>
      </c>
      <c r="V228" s="94"/>
      <c r="W228" s="94" t="s">
        <v>964</v>
      </c>
      <c r="X228" s="94" t="s">
        <v>964</v>
      </c>
      <c r="Y228" s="95" t="s">
        <v>964</v>
      </c>
      <c r="Z228" s="94" t="s">
        <v>964</v>
      </c>
      <c r="AA228" s="94" t="s">
        <v>964</v>
      </c>
      <c r="AB228" s="94" t="s">
        <v>964</v>
      </c>
      <c r="AC228" s="94" t="s">
        <v>970</v>
      </c>
      <c r="AD228" s="99">
        <v>2.0833333333333332E-2</v>
      </c>
    </row>
    <row r="229" spans="1:30" ht="15" hidden="1">
      <c r="A229" s="94" t="s">
        <v>1126</v>
      </c>
      <c r="B229" s="94" t="s">
        <v>14</v>
      </c>
      <c r="C229" s="94" t="s">
        <v>976</v>
      </c>
      <c r="D229" s="105" t="s">
        <v>987</v>
      </c>
      <c r="E229" s="95"/>
      <c r="F229" s="94" t="s">
        <v>963</v>
      </c>
      <c r="G229" s="94" t="s">
        <v>960</v>
      </c>
      <c r="H229" s="94" t="s">
        <v>961</v>
      </c>
      <c r="I229" s="94"/>
      <c r="J229" s="94">
        <v>3</v>
      </c>
      <c r="K229" s="96" t="e">
        <f>VLOOKUP(Tabela13[[#This Row],[Prioridade]],[5]!TabelaPrioridade[#Data],2,FALSE)</f>
        <v>#REF!</v>
      </c>
      <c r="L229" s="96" t="e">
        <f>VLOOKUP(Tabela13[[#This Row],[Prioridade]],[5]!TabelaPrioridade[#Data],3,FALSE)</f>
        <v>#REF!</v>
      </c>
      <c r="M229" s="94" t="s">
        <v>963</v>
      </c>
      <c r="N229" s="94" t="s">
        <v>964</v>
      </c>
      <c r="O229" s="94" t="s">
        <v>964</v>
      </c>
      <c r="P229" s="94" t="s">
        <v>965</v>
      </c>
      <c r="Q229" s="97" t="e">
        <f>Tabela13[[#This Row],[Tempo Máximo Atendimento]]+"00:20:00"</f>
        <v>#REF!</v>
      </c>
      <c r="R229" s="94"/>
      <c r="S229" s="94" t="s">
        <v>980</v>
      </c>
      <c r="T229" s="97" t="s">
        <v>964</v>
      </c>
      <c r="U229" s="97" t="s">
        <v>964</v>
      </c>
      <c r="V229" s="94"/>
      <c r="W229" s="94" t="s">
        <v>964</v>
      </c>
      <c r="X229" s="94" t="s">
        <v>964</v>
      </c>
      <c r="Y229" s="95" t="s">
        <v>964</v>
      </c>
      <c r="Z229" s="94" t="s">
        <v>964</v>
      </c>
      <c r="AA229" s="94" t="s">
        <v>964</v>
      </c>
      <c r="AB229" s="94" t="s">
        <v>964</v>
      </c>
      <c r="AC229" s="94" t="s">
        <v>970</v>
      </c>
      <c r="AD229" s="101" t="s">
        <v>971</v>
      </c>
    </row>
    <row r="230" spans="1:30" ht="15" hidden="1">
      <c r="A230" s="94" t="s">
        <v>1126</v>
      </c>
      <c r="B230" s="94" t="s">
        <v>956</v>
      </c>
      <c r="C230" s="94" t="s">
        <v>957</v>
      </c>
      <c r="D230" s="105" t="s">
        <v>1137</v>
      </c>
      <c r="E230" s="95" t="s">
        <v>1138</v>
      </c>
      <c r="F230" s="94" t="s">
        <v>960</v>
      </c>
      <c r="G230" s="94" t="s">
        <v>960</v>
      </c>
      <c r="H230" s="94" t="s">
        <v>961</v>
      </c>
      <c r="I230" s="94" t="s">
        <v>962</v>
      </c>
      <c r="J230" s="94">
        <v>4</v>
      </c>
      <c r="K230" s="96" t="e">
        <f>VLOOKUP(Tabela13[[#This Row],[Prioridade]],[5]!TabelaPrioridade[#Data],2,FALSE)</f>
        <v>#REF!</v>
      </c>
      <c r="L230" s="96" t="e">
        <f>VLOOKUP(Tabela13[[#This Row],[Prioridade]],[5]!TabelaPrioridade[#Data],3,FALSE)</f>
        <v>#REF!</v>
      </c>
      <c r="M230" s="94" t="s">
        <v>963</v>
      </c>
      <c r="N230" s="94" t="s">
        <v>964</v>
      </c>
      <c r="O230" s="94" t="s">
        <v>964</v>
      </c>
      <c r="P230" s="94" t="s">
        <v>980</v>
      </c>
      <c r="Q230" s="97" t="e">
        <f>Tabela13[[#This Row],[Tempo Máximo Atendimento]]+"00:20:00"</f>
        <v>#REF!</v>
      </c>
      <c r="R230" s="94"/>
      <c r="S230" s="94" t="s">
        <v>1005</v>
      </c>
      <c r="T230" s="97" t="s">
        <v>964</v>
      </c>
      <c r="U230" s="97" t="s">
        <v>964</v>
      </c>
      <c r="V230" s="94"/>
      <c r="W230" s="94" t="s">
        <v>964</v>
      </c>
      <c r="X230" s="94" t="s">
        <v>964</v>
      </c>
      <c r="Y230" s="95" t="s">
        <v>964</v>
      </c>
      <c r="Z230" s="94" t="s">
        <v>964</v>
      </c>
      <c r="AA230" s="94" t="s">
        <v>964</v>
      </c>
      <c r="AB230" s="94" t="s">
        <v>964</v>
      </c>
      <c r="AC230" s="94" t="s">
        <v>970</v>
      </c>
      <c r="AD230" s="101" t="s">
        <v>971</v>
      </c>
    </row>
    <row r="231" spans="1:30" ht="15" hidden="1">
      <c r="A231" s="94" t="s">
        <v>1139</v>
      </c>
      <c r="B231" s="94" t="s">
        <v>14</v>
      </c>
      <c r="C231" s="94" t="s">
        <v>976</v>
      </c>
      <c r="D231" s="103" t="s">
        <v>977</v>
      </c>
      <c r="E231" s="95"/>
      <c r="F231" s="94" t="s">
        <v>963</v>
      </c>
      <c r="G231" s="94" t="s">
        <v>960</v>
      </c>
      <c r="H231" s="94" t="s">
        <v>961</v>
      </c>
      <c r="I231" s="94"/>
      <c r="J231" s="94">
        <v>3</v>
      </c>
      <c r="K231" s="96" t="e">
        <f>VLOOKUP(Tabela13[[#This Row],[Prioridade]],[5]!TabelaPrioridade[#Data],2,FALSE)</f>
        <v>#REF!</v>
      </c>
      <c r="L231" s="96" t="e">
        <f>VLOOKUP(Tabela13[[#This Row],[Prioridade]],[5]!TabelaPrioridade[#Data],3,FALSE)</f>
        <v>#REF!</v>
      </c>
      <c r="M231" s="94" t="s">
        <v>963</v>
      </c>
      <c r="N231" s="94" t="s">
        <v>964</v>
      </c>
      <c r="O231" s="94" t="s">
        <v>964</v>
      </c>
      <c r="P231" s="94" t="s">
        <v>965</v>
      </c>
      <c r="Q231" s="97" t="e">
        <f>Tabela13[[#This Row],[Tempo Máximo Atendimento]]+"00:20:00"</f>
        <v>#REF!</v>
      </c>
      <c r="R231" s="94"/>
      <c r="S231" s="94" t="s">
        <v>980</v>
      </c>
      <c r="T231" s="97" t="s">
        <v>964</v>
      </c>
      <c r="U231" s="97" t="s">
        <v>964</v>
      </c>
      <c r="V231" s="94"/>
      <c r="W231" s="94" t="s">
        <v>964</v>
      </c>
      <c r="X231" s="94" t="s">
        <v>964</v>
      </c>
      <c r="Y231" s="95" t="s">
        <v>964</v>
      </c>
      <c r="Z231" s="94" t="s">
        <v>964</v>
      </c>
      <c r="AA231" s="94" t="s">
        <v>964</v>
      </c>
      <c r="AB231" s="94" t="s">
        <v>964</v>
      </c>
      <c r="AC231" s="94" t="s">
        <v>970</v>
      </c>
      <c r="AD231" s="101" t="s">
        <v>971</v>
      </c>
    </row>
    <row r="232" spans="1:30" ht="15" hidden="1">
      <c r="A232" s="94" t="s">
        <v>1139</v>
      </c>
      <c r="B232" s="94" t="s">
        <v>14</v>
      </c>
      <c r="C232" s="94" t="s">
        <v>976</v>
      </c>
      <c r="D232" s="105" t="s">
        <v>566</v>
      </c>
      <c r="E232" s="95"/>
      <c r="F232" s="94" t="s">
        <v>963</v>
      </c>
      <c r="G232" s="94" t="s">
        <v>960</v>
      </c>
      <c r="H232" s="94" t="s">
        <v>961</v>
      </c>
      <c r="I232" s="94"/>
      <c r="J232" s="94">
        <v>4</v>
      </c>
      <c r="K232" s="96" t="e">
        <f>VLOOKUP(Tabela13[[#This Row],[Prioridade]],[5]!TabelaPrioridade[#Data],2,FALSE)</f>
        <v>#REF!</v>
      </c>
      <c r="L232" s="96" t="e">
        <f>VLOOKUP(Tabela13[[#This Row],[Prioridade]],[5]!TabelaPrioridade[#Data],3,FALSE)</f>
        <v>#REF!</v>
      </c>
      <c r="M232" s="94" t="s">
        <v>963</v>
      </c>
      <c r="N232" s="94" t="s">
        <v>964</v>
      </c>
      <c r="O232" s="94" t="s">
        <v>964</v>
      </c>
      <c r="P232" s="94" t="s">
        <v>965</v>
      </c>
      <c r="Q232" s="97" t="e">
        <f>Tabela13[[#This Row],[Tempo Máximo Atendimento]]+"00:20:00"</f>
        <v>#REF!</v>
      </c>
      <c r="R232" s="94"/>
      <c r="S232" s="94" t="s">
        <v>980</v>
      </c>
      <c r="T232" s="97" t="s">
        <v>964</v>
      </c>
      <c r="U232" s="97" t="s">
        <v>964</v>
      </c>
      <c r="V232" s="94"/>
      <c r="W232" s="94" t="s">
        <v>964</v>
      </c>
      <c r="X232" s="94" t="s">
        <v>964</v>
      </c>
      <c r="Y232" s="95" t="s">
        <v>964</v>
      </c>
      <c r="Z232" s="94" t="s">
        <v>964</v>
      </c>
      <c r="AA232" s="94" t="s">
        <v>964</v>
      </c>
      <c r="AB232" s="94" t="s">
        <v>964</v>
      </c>
      <c r="AC232" s="94" t="s">
        <v>970</v>
      </c>
      <c r="AD232" s="101" t="s">
        <v>971</v>
      </c>
    </row>
    <row r="233" spans="1:30" ht="15" hidden="1">
      <c r="A233" s="94" t="s">
        <v>1139</v>
      </c>
      <c r="B233" s="94" t="s">
        <v>14</v>
      </c>
      <c r="C233" s="94" t="s">
        <v>976</v>
      </c>
      <c r="D233" s="105" t="s">
        <v>565</v>
      </c>
      <c r="E233" s="95"/>
      <c r="F233" s="94" t="s">
        <v>963</v>
      </c>
      <c r="G233" s="94" t="s">
        <v>960</v>
      </c>
      <c r="H233" s="94" t="s">
        <v>961</v>
      </c>
      <c r="I233" s="94"/>
      <c r="J233" s="94">
        <v>4</v>
      </c>
      <c r="K233" s="96" t="e">
        <f>VLOOKUP(Tabela13[[#This Row],[Prioridade]],[5]!TabelaPrioridade[#Data],2,FALSE)</f>
        <v>#REF!</v>
      </c>
      <c r="L233" s="96" t="e">
        <f>VLOOKUP(Tabela13[[#This Row],[Prioridade]],[5]!TabelaPrioridade[#Data],3,FALSE)</f>
        <v>#REF!</v>
      </c>
      <c r="M233" s="94" t="s">
        <v>963</v>
      </c>
      <c r="N233" s="94" t="s">
        <v>964</v>
      </c>
      <c r="O233" s="94" t="s">
        <v>964</v>
      </c>
      <c r="P233" s="94" t="s">
        <v>965</v>
      </c>
      <c r="Q233" s="97" t="e">
        <f>Tabela13[[#This Row],[Tempo Máximo Atendimento]]+"00:20:00"</f>
        <v>#REF!</v>
      </c>
      <c r="R233" s="94"/>
      <c r="S233" s="94" t="s">
        <v>980</v>
      </c>
      <c r="T233" s="97" t="s">
        <v>964</v>
      </c>
      <c r="U233" s="97" t="s">
        <v>964</v>
      </c>
      <c r="V233" s="94"/>
      <c r="W233" s="94" t="s">
        <v>964</v>
      </c>
      <c r="X233" s="94" t="s">
        <v>964</v>
      </c>
      <c r="Y233" s="95" t="s">
        <v>964</v>
      </c>
      <c r="Z233" s="94" t="s">
        <v>964</v>
      </c>
      <c r="AA233" s="94" t="s">
        <v>964</v>
      </c>
      <c r="AB233" s="94" t="s">
        <v>964</v>
      </c>
      <c r="AC233" s="94" t="s">
        <v>970</v>
      </c>
      <c r="AD233" s="99">
        <v>2.0833333333333332E-2</v>
      </c>
    </row>
    <row r="234" spans="1:30" ht="15" hidden="1">
      <c r="A234" s="94" t="s">
        <v>1139</v>
      </c>
      <c r="B234" s="94" t="s">
        <v>14</v>
      </c>
      <c r="C234" s="94" t="s">
        <v>976</v>
      </c>
      <c r="D234" s="105" t="s">
        <v>987</v>
      </c>
      <c r="E234" s="95"/>
      <c r="F234" s="94" t="s">
        <v>963</v>
      </c>
      <c r="G234" s="94" t="s">
        <v>960</v>
      </c>
      <c r="H234" s="94" t="s">
        <v>961</v>
      </c>
      <c r="I234" s="94"/>
      <c r="J234" s="94">
        <v>4</v>
      </c>
      <c r="K234" s="96" t="e">
        <f>VLOOKUP(Tabela13[[#This Row],[Prioridade]],[5]!TabelaPrioridade[#Data],2,FALSE)</f>
        <v>#REF!</v>
      </c>
      <c r="L234" s="96" t="e">
        <f>VLOOKUP(Tabela13[[#This Row],[Prioridade]],[5]!TabelaPrioridade[#Data],3,FALSE)</f>
        <v>#REF!</v>
      </c>
      <c r="M234" s="94" t="s">
        <v>963</v>
      </c>
      <c r="N234" s="94" t="s">
        <v>964</v>
      </c>
      <c r="O234" s="94" t="s">
        <v>964</v>
      </c>
      <c r="P234" s="94" t="s">
        <v>965</v>
      </c>
      <c r="Q234" s="97" t="e">
        <f>Tabela13[[#This Row],[Tempo Máximo Atendimento]]+"00:20:00"</f>
        <v>#REF!</v>
      </c>
      <c r="R234" s="94"/>
      <c r="S234" s="94" t="s">
        <v>980</v>
      </c>
      <c r="T234" s="97" t="s">
        <v>964</v>
      </c>
      <c r="U234" s="97" t="s">
        <v>964</v>
      </c>
      <c r="V234" s="94"/>
      <c r="W234" s="94" t="s">
        <v>964</v>
      </c>
      <c r="X234" s="94" t="s">
        <v>964</v>
      </c>
      <c r="Y234" s="95" t="s">
        <v>964</v>
      </c>
      <c r="Z234" s="94" t="s">
        <v>964</v>
      </c>
      <c r="AA234" s="94" t="s">
        <v>964</v>
      </c>
      <c r="AB234" s="94" t="s">
        <v>964</v>
      </c>
      <c r="AC234" s="94" t="s">
        <v>970</v>
      </c>
      <c r="AD234" s="101" t="s">
        <v>971</v>
      </c>
    </row>
    <row r="235" spans="1:30" ht="15" hidden="1">
      <c r="A235" s="94" t="s">
        <v>547</v>
      </c>
      <c r="B235" s="94" t="s">
        <v>14</v>
      </c>
      <c r="C235" s="94" t="s">
        <v>957</v>
      </c>
      <c r="D235" s="105" t="s">
        <v>958</v>
      </c>
      <c r="E235" s="95"/>
      <c r="F235" s="94" t="s">
        <v>963</v>
      </c>
      <c r="G235" s="94" t="s">
        <v>960</v>
      </c>
      <c r="H235" s="94" t="s">
        <v>961</v>
      </c>
      <c r="I235" s="94"/>
      <c r="J235" s="94">
        <v>4</v>
      </c>
      <c r="K235" s="96" t="e">
        <f>VLOOKUP(Tabela13[[#This Row],[Prioridade]],[5]!TabelaPrioridade[#Data],2,FALSE)</f>
        <v>#REF!</v>
      </c>
      <c r="L235" s="96" t="e">
        <f>VLOOKUP(Tabela13[[#This Row],[Prioridade]],[5]!TabelaPrioridade[#Data],3,FALSE)</f>
        <v>#REF!</v>
      </c>
      <c r="M235" s="94" t="s">
        <v>963</v>
      </c>
      <c r="N235" s="94" t="s">
        <v>964</v>
      </c>
      <c r="O235" s="94" t="s">
        <v>964</v>
      </c>
      <c r="P235" s="94" t="s">
        <v>965</v>
      </c>
      <c r="Q235" s="97" t="e">
        <f>Tabela13[[#This Row],[Tempo Máximo Atendimento]]+"00:20:00"</f>
        <v>#REF!</v>
      </c>
      <c r="R235" s="94"/>
      <c r="S235" s="94" t="s">
        <v>967</v>
      </c>
      <c r="T235" s="94" t="s">
        <v>964</v>
      </c>
      <c r="U235" s="94" t="s">
        <v>964</v>
      </c>
      <c r="V235" s="94"/>
      <c r="W235" s="94" t="s">
        <v>1140</v>
      </c>
      <c r="X235" s="94" t="s">
        <v>964</v>
      </c>
      <c r="Y235" s="95" t="s">
        <v>964</v>
      </c>
      <c r="Z235" s="94" t="s">
        <v>964</v>
      </c>
      <c r="AA235" s="94" t="s">
        <v>964</v>
      </c>
      <c r="AB235" s="94" t="s">
        <v>964</v>
      </c>
      <c r="AC235" s="94" t="s">
        <v>970</v>
      </c>
      <c r="AD235" s="101" t="s">
        <v>971</v>
      </c>
    </row>
    <row r="236" spans="1:30" ht="15" hidden="1">
      <c r="A236" s="94" t="s">
        <v>547</v>
      </c>
      <c r="B236" s="94" t="s">
        <v>14</v>
      </c>
      <c r="C236" s="94" t="s">
        <v>957</v>
      </c>
      <c r="D236" s="105" t="s">
        <v>1022</v>
      </c>
      <c r="E236" s="95"/>
      <c r="F236" s="94" t="s">
        <v>960</v>
      </c>
      <c r="G236" s="94" t="s">
        <v>960</v>
      </c>
      <c r="H236" s="94" t="s">
        <v>961</v>
      </c>
      <c r="I236" s="94"/>
      <c r="J236" s="94">
        <v>5</v>
      </c>
      <c r="K236" s="96" t="e">
        <f>VLOOKUP(Tabela13[[#This Row],[Prioridade]],[5]!TabelaPrioridade[#Data],2,FALSE)</f>
        <v>#REF!</v>
      </c>
      <c r="L236" s="96" t="e">
        <f>VLOOKUP(Tabela13[[#This Row],[Prioridade]],[5]!TabelaPrioridade[#Data],3,FALSE)</f>
        <v>#REF!</v>
      </c>
      <c r="M236" s="94" t="s">
        <v>963</v>
      </c>
      <c r="N236" s="94" t="s">
        <v>964</v>
      </c>
      <c r="O236" s="94" t="s">
        <v>964</v>
      </c>
      <c r="P236" s="94" t="s">
        <v>967</v>
      </c>
      <c r="Q236" s="97" t="e">
        <f>Tabela13[[#This Row],[Tempo Máximo Atendimento]]+"00:20:00"</f>
        <v>#REF!</v>
      </c>
      <c r="R236" s="94"/>
      <c r="S236" s="94" t="s">
        <v>1140</v>
      </c>
      <c r="T236" s="94" t="s">
        <v>964</v>
      </c>
      <c r="U236" s="94" t="s">
        <v>964</v>
      </c>
      <c r="V236" s="94"/>
      <c r="W236" s="94" t="s">
        <v>980</v>
      </c>
      <c r="X236" s="94" t="s">
        <v>964</v>
      </c>
      <c r="Y236" s="95" t="s">
        <v>964</v>
      </c>
      <c r="Z236" s="94" t="s">
        <v>964</v>
      </c>
      <c r="AA236" s="94" t="s">
        <v>964</v>
      </c>
      <c r="AB236" s="94" t="s">
        <v>964</v>
      </c>
      <c r="AC236" s="94" t="s">
        <v>970</v>
      </c>
      <c r="AD236" s="101" t="s">
        <v>971</v>
      </c>
    </row>
    <row r="237" spans="1:30" ht="15" hidden="1">
      <c r="A237" s="94" t="s">
        <v>547</v>
      </c>
      <c r="B237" s="94" t="s">
        <v>14</v>
      </c>
      <c r="C237" s="94" t="s">
        <v>957</v>
      </c>
      <c r="D237" s="105" t="s">
        <v>1024</v>
      </c>
      <c r="E237" s="95"/>
      <c r="F237" s="94" t="s">
        <v>960</v>
      </c>
      <c r="G237" s="94" t="s">
        <v>960</v>
      </c>
      <c r="H237" s="94" t="s">
        <v>961</v>
      </c>
      <c r="I237" s="94"/>
      <c r="J237" s="94">
        <v>5</v>
      </c>
      <c r="K237" s="96" t="e">
        <f>VLOOKUP(Tabela13[[#This Row],[Prioridade]],[5]!TabelaPrioridade[#Data],2,FALSE)</f>
        <v>#REF!</v>
      </c>
      <c r="L237" s="96" t="e">
        <f>VLOOKUP(Tabela13[[#This Row],[Prioridade]],[5]!TabelaPrioridade[#Data],3,FALSE)</f>
        <v>#REF!</v>
      </c>
      <c r="M237" s="94" t="s">
        <v>963</v>
      </c>
      <c r="N237" s="94" t="s">
        <v>964</v>
      </c>
      <c r="O237" s="94" t="s">
        <v>964</v>
      </c>
      <c r="P237" s="94" t="s">
        <v>967</v>
      </c>
      <c r="Q237" s="97" t="e">
        <f>Tabela13[[#This Row],[Tempo Máximo Atendimento]]+"00:20:00"</f>
        <v>#REF!</v>
      </c>
      <c r="R237" s="94"/>
      <c r="S237" s="94" t="s">
        <v>1140</v>
      </c>
      <c r="T237" s="94" t="s">
        <v>964</v>
      </c>
      <c r="U237" s="94" t="s">
        <v>964</v>
      </c>
      <c r="V237" s="94"/>
      <c r="W237" s="94" t="s">
        <v>980</v>
      </c>
      <c r="X237" s="94" t="s">
        <v>964</v>
      </c>
      <c r="Y237" s="95" t="s">
        <v>964</v>
      </c>
      <c r="Z237" s="94" t="s">
        <v>964</v>
      </c>
      <c r="AA237" s="94" t="s">
        <v>964</v>
      </c>
      <c r="AB237" s="94" t="s">
        <v>964</v>
      </c>
      <c r="AC237" s="94" t="s">
        <v>970</v>
      </c>
      <c r="AD237" s="101" t="s">
        <v>971</v>
      </c>
    </row>
    <row r="238" spans="1:30" ht="15" hidden="1">
      <c r="A238" s="94" t="s">
        <v>547</v>
      </c>
      <c r="B238" s="94" t="s">
        <v>14</v>
      </c>
      <c r="C238" s="94" t="s">
        <v>957</v>
      </c>
      <c r="D238" s="105" t="s">
        <v>1141</v>
      </c>
      <c r="E238" s="95" t="s">
        <v>1142</v>
      </c>
      <c r="F238" s="94" t="s">
        <v>960</v>
      </c>
      <c r="G238" s="94" t="s">
        <v>960</v>
      </c>
      <c r="H238" s="94" t="s">
        <v>961</v>
      </c>
      <c r="I238" s="94"/>
      <c r="J238" s="94">
        <v>4</v>
      </c>
      <c r="K238" s="96" t="e">
        <f>VLOOKUP(Tabela13[[#This Row],[Prioridade]],[5]!TabelaPrioridade[#Data],2,FALSE)</f>
        <v>#REF!</v>
      </c>
      <c r="L238" s="96" t="e">
        <f>VLOOKUP(Tabela13[[#This Row],[Prioridade]],[5]!TabelaPrioridade[#Data],3,FALSE)</f>
        <v>#REF!</v>
      </c>
      <c r="M238" s="94" t="s">
        <v>963</v>
      </c>
      <c r="N238" s="94" t="s">
        <v>964</v>
      </c>
      <c r="O238" s="94" t="s">
        <v>964</v>
      </c>
      <c r="P238" s="94" t="s">
        <v>967</v>
      </c>
      <c r="Q238" s="97" t="e">
        <f>Tabela13[[#This Row],[Tempo Máximo Atendimento]]+"00:20:00"</f>
        <v>#REF!</v>
      </c>
      <c r="R238" s="94"/>
      <c r="S238" s="94" t="s">
        <v>1140</v>
      </c>
      <c r="T238" s="94" t="s">
        <v>964</v>
      </c>
      <c r="U238" s="94" t="s">
        <v>964</v>
      </c>
      <c r="V238" s="94"/>
      <c r="W238" s="94" t="s">
        <v>980</v>
      </c>
      <c r="X238" s="94" t="s">
        <v>964</v>
      </c>
      <c r="Y238" s="95" t="s">
        <v>964</v>
      </c>
      <c r="Z238" s="94" t="s">
        <v>964</v>
      </c>
      <c r="AA238" s="94" t="s">
        <v>964</v>
      </c>
      <c r="AB238" s="94" t="s">
        <v>964</v>
      </c>
      <c r="AC238" s="94" t="s">
        <v>970</v>
      </c>
      <c r="AD238" s="101" t="s">
        <v>971</v>
      </c>
    </row>
    <row r="239" spans="1:30" ht="15" hidden="1">
      <c r="A239" s="94" t="s">
        <v>547</v>
      </c>
      <c r="B239" s="94" t="s">
        <v>956</v>
      </c>
      <c r="C239" s="94" t="s">
        <v>994</v>
      </c>
      <c r="D239" s="105" t="s">
        <v>1141</v>
      </c>
      <c r="E239" s="95" t="s">
        <v>1143</v>
      </c>
      <c r="F239" s="94" t="s">
        <v>960</v>
      </c>
      <c r="G239" s="94" t="s">
        <v>960</v>
      </c>
      <c r="H239" s="94" t="s">
        <v>961</v>
      </c>
      <c r="I239" s="94"/>
      <c r="J239" s="94">
        <v>5</v>
      </c>
      <c r="K239" s="96" t="e">
        <f>VLOOKUP(Tabela13[[#This Row],[Prioridade]],[5]!TabelaPrioridade[#Data],2,FALSE)</f>
        <v>#REF!</v>
      </c>
      <c r="L239" s="96" t="e">
        <f>VLOOKUP(Tabela13[[#This Row],[Prioridade]],[5]!TabelaPrioridade[#Data],3,FALSE)</f>
        <v>#REF!</v>
      </c>
      <c r="M239" s="94" t="s">
        <v>963</v>
      </c>
      <c r="N239" s="94" t="s">
        <v>964</v>
      </c>
      <c r="O239" s="94" t="s">
        <v>964</v>
      </c>
      <c r="P239" s="94" t="s">
        <v>967</v>
      </c>
      <c r="Q239" s="97" t="e">
        <f>Tabela13[[#This Row],[Tempo Máximo Atendimento]]+"00:20:00"</f>
        <v>#REF!</v>
      </c>
      <c r="R239" s="94"/>
      <c r="S239" s="94" t="s">
        <v>1140</v>
      </c>
      <c r="T239" s="94" t="s">
        <v>964</v>
      </c>
      <c r="U239" s="94" t="s">
        <v>964</v>
      </c>
      <c r="V239" s="94"/>
      <c r="W239" s="94" t="s">
        <v>980</v>
      </c>
      <c r="X239" s="94" t="s">
        <v>964</v>
      </c>
      <c r="Y239" s="95" t="s">
        <v>964</v>
      </c>
      <c r="Z239" s="94" t="s">
        <v>964</v>
      </c>
      <c r="AA239" s="94" t="s">
        <v>964</v>
      </c>
      <c r="AB239" s="94" t="s">
        <v>964</v>
      </c>
      <c r="AC239" s="94" t="s">
        <v>970</v>
      </c>
      <c r="AD239" s="101" t="s">
        <v>971</v>
      </c>
    </row>
    <row r="240" spans="1:30" ht="15" hidden="1">
      <c r="A240" s="94" t="s">
        <v>547</v>
      </c>
      <c r="B240" s="94" t="s">
        <v>956</v>
      </c>
      <c r="C240" s="94" t="s">
        <v>957</v>
      </c>
      <c r="D240" s="105" t="s">
        <v>1099</v>
      </c>
      <c r="E240" s="95" t="s">
        <v>1044</v>
      </c>
      <c r="F240" s="94" t="s">
        <v>960</v>
      </c>
      <c r="G240" s="94" t="s">
        <v>960</v>
      </c>
      <c r="H240" s="94" t="s">
        <v>961</v>
      </c>
      <c r="I240" s="94" t="s">
        <v>962</v>
      </c>
      <c r="J240" s="94">
        <v>4</v>
      </c>
      <c r="K240" s="96" t="e">
        <f>VLOOKUP(Tabela13[[#This Row],[Prioridade]],[5]!TabelaPrioridade[#Data],2,FALSE)</f>
        <v>#REF!</v>
      </c>
      <c r="L240" s="96" t="e">
        <f>VLOOKUP(Tabela13[[#This Row],[Prioridade]],[5]!TabelaPrioridade[#Data],3,FALSE)</f>
        <v>#REF!</v>
      </c>
      <c r="M240" s="94" t="s">
        <v>963</v>
      </c>
      <c r="N240" s="94" t="s">
        <v>964</v>
      </c>
      <c r="O240" s="94" t="s">
        <v>964</v>
      </c>
      <c r="P240" s="94" t="s">
        <v>967</v>
      </c>
      <c r="Q240" s="97" t="e">
        <f>Tabela13[[#This Row],[Tempo Máximo Atendimento]]+"00:20:00"</f>
        <v>#REF!</v>
      </c>
      <c r="R240" s="94"/>
      <c r="S240" s="94" t="s">
        <v>1140</v>
      </c>
      <c r="T240" s="94" t="s">
        <v>964</v>
      </c>
      <c r="U240" s="94" t="s">
        <v>964</v>
      </c>
      <c r="V240" s="94"/>
      <c r="W240" s="94" t="s">
        <v>980</v>
      </c>
      <c r="X240" s="94" t="s">
        <v>964</v>
      </c>
      <c r="Y240" s="95" t="s">
        <v>964</v>
      </c>
      <c r="Z240" s="94" t="s">
        <v>964</v>
      </c>
      <c r="AA240" s="94" t="s">
        <v>964</v>
      </c>
      <c r="AB240" s="94" t="s">
        <v>964</v>
      </c>
      <c r="AC240" s="94" t="s">
        <v>970</v>
      </c>
      <c r="AD240" s="101" t="s">
        <v>971</v>
      </c>
    </row>
    <row r="241" spans="1:30" ht="15" hidden="1">
      <c r="A241" s="94" t="s">
        <v>547</v>
      </c>
      <c r="B241" s="94" t="s">
        <v>956</v>
      </c>
      <c r="C241" s="94" t="s">
        <v>994</v>
      </c>
      <c r="D241" s="105" t="s">
        <v>1144</v>
      </c>
      <c r="E241" s="95" t="s">
        <v>1145</v>
      </c>
      <c r="F241" s="94" t="s">
        <v>960</v>
      </c>
      <c r="G241" s="94" t="s">
        <v>960</v>
      </c>
      <c r="H241" s="94" t="s">
        <v>961</v>
      </c>
      <c r="I241" s="94"/>
      <c r="J241" s="94">
        <v>5</v>
      </c>
      <c r="K241" s="96" t="e">
        <f>VLOOKUP(Tabela13[[#This Row],[Prioridade]],[5]!TabelaPrioridade[#Data],2,FALSE)</f>
        <v>#REF!</v>
      </c>
      <c r="L241" s="96" t="e">
        <f>VLOOKUP(Tabela13[[#This Row],[Prioridade]],[5]!TabelaPrioridade[#Data],3,FALSE)</f>
        <v>#REF!</v>
      </c>
      <c r="M241" s="94" t="s">
        <v>963</v>
      </c>
      <c r="N241" s="94" t="s">
        <v>964</v>
      </c>
      <c r="O241" s="94" t="s">
        <v>964</v>
      </c>
      <c r="P241" s="94" t="s">
        <v>967</v>
      </c>
      <c r="Q241" s="97" t="e">
        <f>Tabela13[[#This Row],[Tempo Máximo Atendimento]]+"00:20:00"</f>
        <v>#REF!</v>
      </c>
      <c r="R241" s="94"/>
      <c r="S241" s="94" t="s">
        <v>1140</v>
      </c>
      <c r="T241" s="94" t="s">
        <v>964</v>
      </c>
      <c r="U241" s="94" t="s">
        <v>964</v>
      </c>
      <c r="V241" s="94"/>
      <c r="W241" s="94" t="s">
        <v>980</v>
      </c>
      <c r="X241" s="94" t="s">
        <v>964</v>
      </c>
      <c r="Y241" s="95" t="s">
        <v>964</v>
      </c>
      <c r="Z241" s="94" t="s">
        <v>964</v>
      </c>
      <c r="AA241" s="94" t="s">
        <v>964</v>
      </c>
      <c r="AB241" s="94" t="s">
        <v>964</v>
      </c>
      <c r="AC241" s="94" t="s">
        <v>970</v>
      </c>
      <c r="AD241" s="101" t="s">
        <v>971</v>
      </c>
    </row>
    <row r="242" spans="1:30" ht="15" hidden="1">
      <c r="A242" s="94" t="s">
        <v>547</v>
      </c>
      <c r="B242" s="94" t="s">
        <v>956</v>
      </c>
      <c r="C242" s="94" t="s">
        <v>957</v>
      </c>
      <c r="D242" s="105" t="s">
        <v>958</v>
      </c>
      <c r="E242" s="95" t="s">
        <v>959</v>
      </c>
      <c r="F242" s="94" t="s">
        <v>960</v>
      </c>
      <c r="G242" s="94" t="s">
        <v>960</v>
      </c>
      <c r="H242" s="94" t="s">
        <v>961</v>
      </c>
      <c r="I242" s="94" t="s">
        <v>962</v>
      </c>
      <c r="J242" s="94">
        <v>4</v>
      </c>
      <c r="K242" s="96" t="e">
        <f>VLOOKUP(Tabela13[[#This Row],[Prioridade]],[5]!TabelaPrioridade[#Data],2,FALSE)</f>
        <v>#REF!</v>
      </c>
      <c r="L242" s="96" t="e">
        <f>VLOOKUP(Tabela13[[#This Row],[Prioridade]],[5]!TabelaPrioridade[#Data],3,FALSE)</f>
        <v>#REF!</v>
      </c>
      <c r="M242" s="94" t="s">
        <v>963</v>
      </c>
      <c r="N242" s="94" t="s">
        <v>964</v>
      </c>
      <c r="O242" s="94" t="s">
        <v>964</v>
      </c>
      <c r="P242" s="94" t="s">
        <v>967</v>
      </c>
      <c r="Q242" s="97" t="e">
        <f>Tabela13[[#This Row],[Tempo Máximo Atendimento]]+"00:20:00"</f>
        <v>#REF!</v>
      </c>
      <c r="R242" s="94"/>
      <c r="S242" s="94" t="s">
        <v>1140</v>
      </c>
      <c r="T242" s="94" t="s">
        <v>964</v>
      </c>
      <c r="U242" s="94" t="s">
        <v>964</v>
      </c>
      <c r="V242" s="94"/>
      <c r="W242" s="94" t="s">
        <v>980</v>
      </c>
      <c r="X242" s="94" t="s">
        <v>964</v>
      </c>
      <c r="Y242" s="95" t="s">
        <v>964</v>
      </c>
      <c r="Z242" s="94" t="s">
        <v>964</v>
      </c>
      <c r="AA242" s="94" t="s">
        <v>964</v>
      </c>
      <c r="AB242" s="94" t="s">
        <v>964</v>
      </c>
      <c r="AC242" s="94" t="s">
        <v>970</v>
      </c>
      <c r="AD242" s="101" t="s">
        <v>971</v>
      </c>
    </row>
    <row r="243" spans="1:30" ht="15" hidden="1">
      <c r="A243" s="94" t="s">
        <v>547</v>
      </c>
      <c r="B243" s="94" t="s">
        <v>14</v>
      </c>
      <c r="C243" s="94" t="s">
        <v>976</v>
      </c>
      <c r="D243" s="105" t="s">
        <v>987</v>
      </c>
      <c r="E243" s="95"/>
      <c r="F243" s="94" t="s">
        <v>963</v>
      </c>
      <c r="G243" s="94" t="s">
        <v>960</v>
      </c>
      <c r="H243" s="94" t="s">
        <v>961</v>
      </c>
      <c r="I243" s="94"/>
      <c r="J243" s="94">
        <v>4</v>
      </c>
      <c r="K243" s="96" t="e">
        <f>VLOOKUP(Tabela13[[#This Row],[Prioridade]],[5]!TabelaPrioridade[#Data],2,FALSE)</f>
        <v>#REF!</v>
      </c>
      <c r="L243" s="96" t="e">
        <f>VLOOKUP(Tabela13[[#This Row],[Prioridade]],[5]!TabelaPrioridade[#Data],3,FALSE)</f>
        <v>#REF!</v>
      </c>
      <c r="M243" s="94" t="s">
        <v>963</v>
      </c>
      <c r="N243" s="94" t="s">
        <v>964</v>
      </c>
      <c r="O243" s="94" t="s">
        <v>964</v>
      </c>
      <c r="P243" s="94" t="s">
        <v>965</v>
      </c>
      <c r="Q243" s="97" t="e">
        <f>Tabela13[[#This Row],[Tempo Máximo Atendimento]]+"00:20:00"</f>
        <v>#REF!</v>
      </c>
      <c r="R243" s="94"/>
      <c r="S243" s="94" t="s">
        <v>980</v>
      </c>
      <c r="T243" s="94" t="s">
        <v>964</v>
      </c>
      <c r="U243" s="94" t="s">
        <v>964</v>
      </c>
      <c r="V243" s="94"/>
      <c r="W243" s="94" t="s">
        <v>967</v>
      </c>
      <c r="X243" s="94" t="s">
        <v>964</v>
      </c>
      <c r="Y243" s="95" t="s">
        <v>964</v>
      </c>
      <c r="Z243" s="94" t="s">
        <v>964</v>
      </c>
      <c r="AA243" s="94" t="s">
        <v>964</v>
      </c>
      <c r="AB243" s="94" t="s">
        <v>964</v>
      </c>
      <c r="AC243" s="94" t="s">
        <v>970</v>
      </c>
      <c r="AD243" s="101" t="s">
        <v>971</v>
      </c>
    </row>
    <row r="244" spans="1:30" ht="15" hidden="1">
      <c r="A244" s="94" t="s">
        <v>547</v>
      </c>
      <c r="B244" s="94" t="s">
        <v>14</v>
      </c>
      <c r="C244" s="94" t="s">
        <v>976</v>
      </c>
      <c r="D244" s="105" t="s">
        <v>987</v>
      </c>
      <c r="E244" s="95"/>
      <c r="F244" s="94" t="s">
        <v>963</v>
      </c>
      <c r="G244" s="94" t="s">
        <v>960</v>
      </c>
      <c r="H244" s="94" t="s">
        <v>961</v>
      </c>
      <c r="I244" s="94"/>
      <c r="J244" s="94">
        <v>4</v>
      </c>
      <c r="K244" s="96" t="e">
        <f>VLOOKUP(Tabela13[[#This Row],[Prioridade]],[5]!TabelaPrioridade[#Data],2,FALSE)</f>
        <v>#REF!</v>
      </c>
      <c r="L244" s="96" t="e">
        <f>VLOOKUP(Tabela13[[#This Row],[Prioridade]],[5]!TabelaPrioridade[#Data],3,FALSE)</f>
        <v>#REF!</v>
      </c>
      <c r="M244" s="94" t="s">
        <v>963</v>
      </c>
      <c r="N244" s="94" t="s">
        <v>964</v>
      </c>
      <c r="O244" s="94" t="s">
        <v>964</v>
      </c>
      <c r="P244" s="94" t="s">
        <v>965</v>
      </c>
      <c r="Q244" s="97" t="e">
        <f>Tabela13[[#This Row],[Tempo Máximo Atendimento]]+"00:20:00"</f>
        <v>#REF!</v>
      </c>
      <c r="R244" s="94"/>
      <c r="S244" s="94" t="s">
        <v>980</v>
      </c>
      <c r="T244" s="94" t="s">
        <v>964</v>
      </c>
      <c r="U244" s="94" t="s">
        <v>964</v>
      </c>
      <c r="V244" s="94"/>
      <c r="W244" s="94" t="s">
        <v>967</v>
      </c>
      <c r="X244" s="94" t="s">
        <v>964</v>
      </c>
      <c r="Y244" s="95" t="s">
        <v>964</v>
      </c>
      <c r="Z244" s="94" t="s">
        <v>964</v>
      </c>
      <c r="AA244" s="94" t="s">
        <v>964</v>
      </c>
      <c r="AB244" s="94" t="s">
        <v>964</v>
      </c>
      <c r="AC244" s="94" t="s">
        <v>970</v>
      </c>
      <c r="AD244" s="101" t="s">
        <v>971</v>
      </c>
    </row>
    <row r="245" spans="1:30" ht="15" hidden="1">
      <c r="A245" s="94" t="s">
        <v>1146</v>
      </c>
      <c r="B245" s="94" t="s">
        <v>956</v>
      </c>
      <c r="C245" s="94" t="s">
        <v>957</v>
      </c>
      <c r="D245" s="95" t="s">
        <v>1147</v>
      </c>
      <c r="E245" s="95"/>
      <c r="F245" s="94" t="s">
        <v>960</v>
      </c>
      <c r="G245" s="94" t="s">
        <v>960</v>
      </c>
      <c r="H245" s="94" t="s">
        <v>961</v>
      </c>
      <c r="I245" s="94" t="s">
        <v>962</v>
      </c>
      <c r="J245" s="94">
        <v>5</v>
      </c>
      <c r="K245" s="96" t="e">
        <f>VLOOKUP(Tabela13[[#This Row],[Prioridade]],[5]!TabelaPrioridade[#Data],2,FALSE)</f>
        <v>#REF!</v>
      </c>
      <c r="L245" s="96" t="e">
        <f>VLOOKUP(Tabela13[[#This Row],[Prioridade]],[5]!TabelaPrioridade[#Data],3,FALSE)</f>
        <v>#REF!</v>
      </c>
      <c r="M245" s="94" t="s">
        <v>963</v>
      </c>
      <c r="N245" s="94" t="s">
        <v>964</v>
      </c>
      <c r="O245" s="94" t="s">
        <v>964</v>
      </c>
      <c r="P245" s="94" t="s">
        <v>965</v>
      </c>
      <c r="Q245" s="97" t="e">
        <f>Tabela13[[#This Row],[Tempo Máximo Atendimento]]+"00:20:00"</f>
        <v>#REF!</v>
      </c>
      <c r="R245" s="94"/>
      <c r="S245" s="94" t="s">
        <v>975</v>
      </c>
      <c r="T245" s="94" t="s">
        <v>964</v>
      </c>
      <c r="U245" s="94" t="s">
        <v>964</v>
      </c>
      <c r="V245" s="94"/>
      <c r="W245" s="94" t="s">
        <v>980</v>
      </c>
      <c r="X245" s="94" t="s">
        <v>964</v>
      </c>
      <c r="Y245" s="95" t="s">
        <v>964</v>
      </c>
      <c r="Z245" s="94" t="s">
        <v>964</v>
      </c>
      <c r="AA245" s="94" t="s">
        <v>964</v>
      </c>
      <c r="AB245" s="94" t="s">
        <v>964</v>
      </c>
      <c r="AC245" s="94" t="s">
        <v>970</v>
      </c>
      <c r="AD245" s="101" t="s">
        <v>971</v>
      </c>
    </row>
    <row r="246" spans="1:30" ht="24" hidden="1">
      <c r="A246" s="94" t="s">
        <v>1148</v>
      </c>
      <c r="B246" s="94" t="s">
        <v>14</v>
      </c>
      <c r="C246" s="94" t="s">
        <v>957</v>
      </c>
      <c r="D246" s="95" t="s">
        <v>1149</v>
      </c>
      <c r="E246" s="95" t="s">
        <v>1150</v>
      </c>
      <c r="F246" s="94" t="s">
        <v>963</v>
      </c>
      <c r="G246" s="94" t="s">
        <v>963</v>
      </c>
      <c r="H246" s="94" t="s">
        <v>961</v>
      </c>
      <c r="I246" s="94"/>
      <c r="J246" s="94">
        <v>5</v>
      </c>
      <c r="K246" s="96" t="e">
        <f>VLOOKUP(Tabela13[[#This Row],[Prioridade]],[5]!TabelaPrioridade[#Data],2,FALSE)</f>
        <v>#REF!</v>
      </c>
      <c r="L246" s="96" t="e">
        <f>VLOOKUP(Tabela13[[#This Row],[Prioridade]],[5]!TabelaPrioridade[#Data],3,FALSE)</f>
        <v>#REF!</v>
      </c>
      <c r="M246" s="94" t="s">
        <v>960</v>
      </c>
      <c r="N246" s="94" t="s">
        <v>1012</v>
      </c>
      <c r="O246" s="99">
        <v>0.66666666666666663</v>
      </c>
      <c r="P246" s="94" t="s">
        <v>965</v>
      </c>
      <c r="Q246" s="97" t="e">
        <f>Tabela13[[#This Row],[Tempo Máximo Atendimento]]+"00:20:00"</f>
        <v>#REF!</v>
      </c>
      <c r="R246" s="94" t="s">
        <v>1151</v>
      </c>
      <c r="S246" s="108" t="s">
        <v>34</v>
      </c>
      <c r="T246" s="94" t="s">
        <v>964</v>
      </c>
      <c r="U246" s="97" t="e">
        <f>Tabela13[[#This Row],[Tempo Máximo Total Resolução]]-Tabela13[[#This Row],[Tempo Máximo Escalada Funcional]]</f>
        <v>#REF!</v>
      </c>
      <c r="V246" s="94"/>
      <c r="W246" s="94" t="s">
        <v>975</v>
      </c>
      <c r="X246" s="94" t="s">
        <v>964</v>
      </c>
      <c r="Y246" s="95" t="s">
        <v>964</v>
      </c>
      <c r="Z246" s="94" t="s">
        <v>964</v>
      </c>
      <c r="AA246" s="94" t="s">
        <v>964</v>
      </c>
      <c r="AB246" s="94" t="s">
        <v>964</v>
      </c>
      <c r="AC246" s="94" t="s">
        <v>970</v>
      </c>
      <c r="AD246" s="101" t="s">
        <v>971</v>
      </c>
    </row>
    <row r="247" spans="1:30" ht="24" hidden="1">
      <c r="A247" s="94" t="s">
        <v>1148</v>
      </c>
      <c r="B247" s="94" t="s">
        <v>14</v>
      </c>
      <c r="C247" s="94" t="s">
        <v>1152</v>
      </c>
      <c r="D247" s="95" t="s">
        <v>1153</v>
      </c>
      <c r="E247" s="95" t="s">
        <v>1154</v>
      </c>
      <c r="F247" s="94" t="s">
        <v>963</v>
      </c>
      <c r="G247" s="94" t="s">
        <v>963</v>
      </c>
      <c r="H247" s="94" t="s">
        <v>961</v>
      </c>
      <c r="I247" s="94"/>
      <c r="J247" s="94">
        <v>5</v>
      </c>
      <c r="K247" s="96" t="e">
        <f>VLOOKUP(Tabela13[[#This Row],[Prioridade]],[5]!TabelaPrioridade[#Data],2,FALSE)</f>
        <v>#REF!</v>
      </c>
      <c r="L247" s="96" t="e">
        <f>VLOOKUP(Tabela13[[#This Row],[Prioridade]],[5]!TabelaPrioridade[#Data],3,FALSE)</f>
        <v>#REF!</v>
      </c>
      <c r="M247" s="94" t="s">
        <v>960</v>
      </c>
      <c r="N247" s="94" t="s">
        <v>1012</v>
      </c>
      <c r="O247" s="99">
        <v>0.66666666666666663</v>
      </c>
      <c r="P247" s="94" t="s">
        <v>965</v>
      </c>
      <c r="Q247" s="97" t="e">
        <f>Tabela13[[#This Row],[Tempo Máximo Atendimento]]+"00:20:00"</f>
        <v>#REF!</v>
      </c>
      <c r="R247" s="94" t="s">
        <v>1151</v>
      </c>
      <c r="S247" s="108" t="s">
        <v>34</v>
      </c>
      <c r="T247" s="94" t="s">
        <v>964</v>
      </c>
      <c r="U247" s="97" t="e">
        <f>Tabela13[[#This Row],[Tempo Máximo Total Resolução]]-Tabela13[[#This Row],[Tempo Máximo Escalada Funcional]]</f>
        <v>#REF!</v>
      </c>
      <c r="V247" s="94"/>
      <c r="W247" s="94" t="s">
        <v>975</v>
      </c>
      <c r="X247" s="94" t="s">
        <v>964</v>
      </c>
      <c r="Y247" s="95" t="s">
        <v>964</v>
      </c>
      <c r="Z247" s="94" t="s">
        <v>964</v>
      </c>
      <c r="AA247" s="94" t="s">
        <v>964</v>
      </c>
      <c r="AB247" s="94" t="s">
        <v>964</v>
      </c>
      <c r="AC247" s="94" t="s">
        <v>970</v>
      </c>
      <c r="AD247" s="101" t="s">
        <v>971</v>
      </c>
    </row>
    <row r="248" spans="1:30" ht="24" hidden="1">
      <c r="A248" s="94" t="s">
        <v>1148</v>
      </c>
      <c r="B248" s="94" t="s">
        <v>14</v>
      </c>
      <c r="C248" s="94" t="s">
        <v>957</v>
      </c>
      <c r="D248" s="95" t="s">
        <v>1155</v>
      </c>
      <c r="E248" s="95" t="s">
        <v>1156</v>
      </c>
      <c r="F248" s="94" t="s">
        <v>960</v>
      </c>
      <c r="G248" s="94" t="s">
        <v>963</v>
      </c>
      <c r="H248" s="94" t="s">
        <v>961</v>
      </c>
      <c r="I248" s="94"/>
      <c r="J248" s="94">
        <v>5</v>
      </c>
      <c r="K248" s="96" t="e">
        <f>VLOOKUP(Tabela13[[#This Row],[Prioridade]],[5]!TabelaPrioridade[#Data],2,FALSE)</f>
        <v>#REF!</v>
      </c>
      <c r="L248" s="96" t="e">
        <f>VLOOKUP(Tabela13[[#This Row],[Prioridade]],[5]!TabelaPrioridade[#Data],3,FALSE)</f>
        <v>#REF!</v>
      </c>
      <c r="M248" s="94" t="s">
        <v>960</v>
      </c>
      <c r="N248" s="94" t="s">
        <v>1012</v>
      </c>
      <c r="O248" s="99">
        <v>0.66666666666666663</v>
      </c>
      <c r="P248" s="94" t="s">
        <v>965</v>
      </c>
      <c r="Q248" s="97" t="e">
        <f>Tabela13[[#This Row],[Tempo Máximo Atendimento]]+"00:20:00"</f>
        <v>#REF!</v>
      </c>
      <c r="R248" s="94"/>
      <c r="S248" s="108" t="s">
        <v>34</v>
      </c>
      <c r="T248" s="94" t="s">
        <v>964</v>
      </c>
      <c r="U248" s="97" t="e">
        <f>Tabela13[[#This Row],[Tempo Máximo Total Resolução]]-Tabela13[[#This Row],[Tempo Máximo Escalada Funcional]]</f>
        <v>#REF!</v>
      </c>
      <c r="V248" s="94"/>
      <c r="W248" s="94" t="s">
        <v>975</v>
      </c>
      <c r="X248" s="94" t="s">
        <v>964</v>
      </c>
      <c r="Y248" s="95" t="s">
        <v>964</v>
      </c>
      <c r="Z248" s="94" t="s">
        <v>964</v>
      </c>
      <c r="AA248" s="94" t="s">
        <v>964</v>
      </c>
      <c r="AB248" s="94" t="s">
        <v>964</v>
      </c>
      <c r="AC248" s="94" t="s">
        <v>970</v>
      </c>
      <c r="AD248" s="101" t="s">
        <v>971</v>
      </c>
    </row>
    <row r="249" spans="1:30" ht="24" hidden="1">
      <c r="A249" s="94" t="s">
        <v>1148</v>
      </c>
      <c r="B249" s="94" t="s">
        <v>14</v>
      </c>
      <c r="C249" s="94" t="s">
        <v>957</v>
      </c>
      <c r="D249" s="95" t="s">
        <v>1157</v>
      </c>
      <c r="E249" s="95" t="s">
        <v>1150</v>
      </c>
      <c r="F249" s="94" t="s">
        <v>963</v>
      </c>
      <c r="G249" s="94" t="s">
        <v>963</v>
      </c>
      <c r="H249" s="94" t="s">
        <v>961</v>
      </c>
      <c r="I249" s="94"/>
      <c r="J249" s="94">
        <v>5</v>
      </c>
      <c r="K249" s="96" t="e">
        <f>VLOOKUP(Tabela13[[#This Row],[Prioridade]],[5]!TabelaPrioridade[#Data],2,FALSE)</f>
        <v>#REF!</v>
      </c>
      <c r="L249" s="96" t="e">
        <f>VLOOKUP(Tabela13[[#This Row],[Prioridade]],[5]!TabelaPrioridade[#Data],3,FALSE)</f>
        <v>#REF!</v>
      </c>
      <c r="M249" s="94" t="s">
        <v>960</v>
      </c>
      <c r="N249" s="94" t="s">
        <v>1012</v>
      </c>
      <c r="O249" s="99">
        <v>0.66666666666666663</v>
      </c>
      <c r="P249" s="94" t="s">
        <v>965</v>
      </c>
      <c r="Q249" s="97" t="e">
        <f>Tabela13[[#This Row],[Tempo Máximo Atendimento]]+"00:20:00"</f>
        <v>#REF!</v>
      </c>
      <c r="R249" s="94" t="s">
        <v>1151</v>
      </c>
      <c r="S249" s="108" t="s">
        <v>34</v>
      </c>
      <c r="T249" s="94" t="s">
        <v>964</v>
      </c>
      <c r="U249" s="97" t="e">
        <f>Tabela13[[#This Row],[Tempo Máximo Total Resolução]]-Tabela13[[#This Row],[Tempo Máximo Escalada Funcional]]</f>
        <v>#REF!</v>
      </c>
      <c r="V249" s="94"/>
      <c r="W249" s="94" t="s">
        <v>975</v>
      </c>
      <c r="X249" s="94" t="s">
        <v>964</v>
      </c>
      <c r="Y249" s="95" t="s">
        <v>964</v>
      </c>
      <c r="Z249" s="94" t="s">
        <v>964</v>
      </c>
      <c r="AA249" s="94" t="s">
        <v>964</v>
      </c>
      <c r="AB249" s="94" t="s">
        <v>964</v>
      </c>
      <c r="AC249" s="94" t="s">
        <v>970</v>
      </c>
      <c r="AD249" s="101" t="s">
        <v>971</v>
      </c>
    </row>
    <row r="250" spans="1:30" ht="24" hidden="1">
      <c r="A250" s="94" t="s">
        <v>1148</v>
      </c>
      <c r="B250" s="94" t="s">
        <v>14</v>
      </c>
      <c r="C250" s="94" t="s">
        <v>957</v>
      </c>
      <c r="D250" s="105" t="s">
        <v>1158</v>
      </c>
      <c r="E250" s="95" t="s">
        <v>1159</v>
      </c>
      <c r="F250" s="94" t="s">
        <v>960</v>
      </c>
      <c r="G250" s="94" t="s">
        <v>963</v>
      </c>
      <c r="H250" s="94" t="s">
        <v>961</v>
      </c>
      <c r="I250" s="94"/>
      <c r="J250" s="94">
        <v>5</v>
      </c>
      <c r="K250" s="96" t="e">
        <f>VLOOKUP(Tabela13[[#This Row],[Prioridade]],[5]!TabelaPrioridade[#Data],2,FALSE)</f>
        <v>#REF!</v>
      </c>
      <c r="L250" s="96" t="e">
        <f>VLOOKUP(Tabela13[[#This Row],[Prioridade]],[5]!TabelaPrioridade[#Data],3,FALSE)</f>
        <v>#REF!</v>
      </c>
      <c r="M250" s="94" t="s">
        <v>960</v>
      </c>
      <c r="N250" s="94" t="s">
        <v>1012</v>
      </c>
      <c r="O250" s="99">
        <v>0.66666666666666663</v>
      </c>
      <c r="P250" s="94" t="s">
        <v>965</v>
      </c>
      <c r="Q250" s="97" t="e">
        <f>Tabela13[[#This Row],[Tempo Máximo Atendimento]]+"00:20:00"</f>
        <v>#REF!</v>
      </c>
      <c r="R250" s="94"/>
      <c r="S250" s="108" t="s">
        <v>34</v>
      </c>
      <c r="T250" s="94" t="s">
        <v>964</v>
      </c>
      <c r="U250" s="97" t="e">
        <f>Tabela13[[#This Row],[Tempo Máximo Total Resolução]]-Tabela13[[#This Row],[Tempo Máximo Escalada Funcional]]</f>
        <v>#REF!</v>
      </c>
      <c r="V250" s="94"/>
      <c r="W250" s="94" t="s">
        <v>975</v>
      </c>
      <c r="X250" s="94" t="s">
        <v>964</v>
      </c>
      <c r="Y250" s="95" t="s">
        <v>964</v>
      </c>
      <c r="Z250" s="94" t="s">
        <v>964</v>
      </c>
      <c r="AA250" s="94" t="s">
        <v>964</v>
      </c>
      <c r="AB250" s="94" t="s">
        <v>964</v>
      </c>
      <c r="AC250" s="94" t="s">
        <v>970</v>
      </c>
      <c r="AD250" s="101" t="s">
        <v>971</v>
      </c>
    </row>
    <row r="251" spans="1:30" ht="24" hidden="1">
      <c r="A251" s="94" t="s">
        <v>1148</v>
      </c>
      <c r="B251" s="94" t="s">
        <v>14</v>
      </c>
      <c r="C251" s="94" t="s">
        <v>957</v>
      </c>
      <c r="D251" s="105" t="s">
        <v>1160</v>
      </c>
      <c r="E251" s="95" t="s">
        <v>1154</v>
      </c>
      <c r="F251" s="94" t="s">
        <v>960</v>
      </c>
      <c r="G251" s="94" t="s">
        <v>963</v>
      </c>
      <c r="H251" s="94" t="s">
        <v>961</v>
      </c>
      <c r="I251" s="94" t="s">
        <v>1161</v>
      </c>
      <c r="J251" s="94">
        <v>5</v>
      </c>
      <c r="K251" s="96" t="e">
        <f>VLOOKUP(Tabela13[[#This Row],[Prioridade]],[5]!TabelaPrioridade[#Data],2,FALSE)</f>
        <v>#REF!</v>
      </c>
      <c r="L251" s="96" t="e">
        <f>VLOOKUP(Tabela13[[#This Row],[Prioridade]],[5]!TabelaPrioridade[#Data],3,FALSE)</f>
        <v>#REF!</v>
      </c>
      <c r="M251" s="94" t="s">
        <v>960</v>
      </c>
      <c r="N251" s="94" t="s">
        <v>1012</v>
      </c>
      <c r="O251" s="99">
        <v>0.66666666666666663</v>
      </c>
      <c r="P251" s="94" t="s">
        <v>965</v>
      </c>
      <c r="Q251" s="97" t="e">
        <f>Tabela13[[#This Row],[Tempo Máximo Atendimento]]+"00:20:00"</f>
        <v>#REF!</v>
      </c>
      <c r="R251" s="94"/>
      <c r="S251" s="108" t="s">
        <v>34</v>
      </c>
      <c r="T251" s="94" t="s">
        <v>964</v>
      </c>
      <c r="U251" s="97" t="e">
        <f>Tabela13[[#This Row],[Tempo Máximo Total Resolução]]-Tabela13[[#This Row],[Tempo Máximo Escalada Funcional]]</f>
        <v>#REF!</v>
      </c>
      <c r="V251" s="94"/>
      <c r="W251" s="94" t="s">
        <v>975</v>
      </c>
      <c r="X251" s="94" t="s">
        <v>964</v>
      </c>
      <c r="Y251" s="95" t="s">
        <v>964</v>
      </c>
      <c r="Z251" s="94" t="s">
        <v>964</v>
      </c>
      <c r="AA251" s="94" t="s">
        <v>964</v>
      </c>
      <c r="AB251" s="94" t="s">
        <v>964</v>
      </c>
      <c r="AC251" s="94" t="s">
        <v>970</v>
      </c>
      <c r="AD251" s="101" t="s">
        <v>971</v>
      </c>
    </row>
    <row r="252" spans="1:30" ht="24" hidden="1">
      <c r="A252" s="94" t="s">
        <v>1148</v>
      </c>
      <c r="B252" s="94" t="s">
        <v>14</v>
      </c>
      <c r="C252" s="94" t="s">
        <v>957</v>
      </c>
      <c r="D252" s="105" t="s">
        <v>1162</v>
      </c>
      <c r="E252" s="95" t="s">
        <v>1154</v>
      </c>
      <c r="F252" s="94" t="s">
        <v>960</v>
      </c>
      <c r="G252" s="94" t="s">
        <v>963</v>
      </c>
      <c r="H252" s="94" t="s">
        <v>961</v>
      </c>
      <c r="I252" s="94"/>
      <c r="J252" s="94">
        <v>5</v>
      </c>
      <c r="K252" s="96" t="e">
        <f>VLOOKUP(Tabela13[[#This Row],[Prioridade]],[5]!TabelaPrioridade[#Data],2,FALSE)</f>
        <v>#REF!</v>
      </c>
      <c r="L252" s="96" t="e">
        <f>VLOOKUP(Tabela13[[#This Row],[Prioridade]],[5]!TabelaPrioridade[#Data],3,FALSE)</f>
        <v>#REF!</v>
      </c>
      <c r="M252" s="94" t="s">
        <v>960</v>
      </c>
      <c r="N252" s="94" t="s">
        <v>1012</v>
      </c>
      <c r="O252" s="99">
        <v>0.66666666666666663</v>
      </c>
      <c r="P252" s="94" t="s">
        <v>965</v>
      </c>
      <c r="Q252" s="97" t="e">
        <f>Tabela13[[#This Row],[Tempo Máximo Atendimento]]+"00:20:00"</f>
        <v>#REF!</v>
      </c>
      <c r="R252" s="94"/>
      <c r="S252" s="108" t="s">
        <v>34</v>
      </c>
      <c r="T252" s="94" t="s">
        <v>964</v>
      </c>
      <c r="U252" s="97" t="e">
        <f>Tabela13[[#This Row],[Tempo Máximo Total Resolução]]-Tabela13[[#This Row],[Tempo Máximo Escalada Funcional]]</f>
        <v>#REF!</v>
      </c>
      <c r="V252" s="94"/>
      <c r="W252" s="94" t="s">
        <v>975</v>
      </c>
      <c r="X252" s="94" t="s">
        <v>964</v>
      </c>
      <c r="Y252" s="95" t="s">
        <v>964</v>
      </c>
      <c r="Z252" s="94" t="s">
        <v>964</v>
      </c>
      <c r="AA252" s="94" t="s">
        <v>964</v>
      </c>
      <c r="AB252" s="94" t="s">
        <v>964</v>
      </c>
      <c r="AC252" s="94" t="s">
        <v>970</v>
      </c>
      <c r="AD252" s="101" t="s">
        <v>971</v>
      </c>
    </row>
    <row r="253" spans="1:30" ht="24" hidden="1">
      <c r="A253" s="94" t="s">
        <v>1148</v>
      </c>
      <c r="B253" s="94" t="s">
        <v>14</v>
      </c>
      <c r="C253" s="94" t="s">
        <v>957</v>
      </c>
      <c r="D253" s="105" t="s">
        <v>1163</v>
      </c>
      <c r="E253" s="95" t="s">
        <v>1164</v>
      </c>
      <c r="F253" s="94" t="s">
        <v>963</v>
      </c>
      <c r="G253" s="94" t="s">
        <v>963</v>
      </c>
      <c r="H253" s="94" t="s">
        <v>961</v>
      </c>
      <c r="I253" s="94"/>
      <c r="J253" s="94">
        <v>5</v>
      </c>
      <c r="K253" s="96" t="e">
        <f>VLOOKUP(Tabela13[[#This Row],[Prioridade]],[5]!TabelaPrioridade[#Data],2,FALSE)</f>
        <v>#REF!</v>
      </c>
      <c r="L253" s="96" t="e">
        <f>VLOOKUP(Tabela13[[#This Row],[Prioridade]],[5]!TabelaPrioridade[#Data],3,FALSE)</f>
        <v>#REF!</v>
      </c>
      <c r="M253" s="94" t="s">
        <v>960</v>
      </c>
      <c r="N253" s="94" t="s">
        <v>1012</v>
      </c>
      <c r="O253" s="99">
        <v>0.66666666666666663</v>
      </c>
      <c r="P253" s="94" t="s">
        <v>965</v>
      </c>
      <c r="Q253" s="97" t="e">
        <f>Tabela13[[#This Row],[Tempo Máximo Atendimento]]+"00:20:00"</f>
        <v>#REF!</v>
      </c>
      <c r="R253" s="94" t="s">
        <v>1151</v>
      </c>
      <c r="S253" s="108" t="s">
        <v>34</v>
      </c>
      <c r="T253" s="94" t="s">
        <v>964</v>
      </c>
      <c r="U253" s="97" t="e">
        <f>Tabela13[[#This Row],[Tempo Máximo Total Resolução]]-Tabela13[[#This Row],[Tempo Máximo Escalada Funcional]]</f>
        <v>#REF!</v>
      </c>
      <c r="V253" s="94"/>
      <c r="W253" s="94" t="s">
        <v>975</v>
      </c>
      <c r="X253" s="94" t="s">
        <v>964</v>
      </c>
      <c r="Y253" s="95" t="s">
        <v>964</v>
      </c>
      <c r="Z253" s="94" t="s">
        <v>964</v>
      </c>
      <c r="AA253" s="94" t="s">
        <v>964</v>
      </c>
      <c r="AB253" s="94" t="s">
        <v>964</v>
      </c>
      <c r="AC253" s="94" t="s">
        <v>970</v>
      </c>
      <c r="AD253" s="101" t="s">
        <v>971</v>
      </c>
    </row>
    <row r="254" spans="1:30" ht="24" hidden="1">
      <c r="A254" s="94" t="s">
        <v>1148</v>
      </c>
      <c r="B254" s="94" t="s">
        <v>14</v>
      </c>
      <c r="C254" s="94" t="s">
        <v>957</v>
      </c>
      <c r="D254" s="105" t="s">
        <v>1165</v>
      </c>
      <c r="E254" s="95" t="s">
        <v>1166</v>
      </c>
      <c r="F254" s="94" t="s">
        <v>960</v>
      </c>
      <c r="G254" s="94" t="s">
        <v>963</v>
      </c>
      <c r="H254" s="94" t="s">
        <v>961</v>
      </c>
      <c r="I254" s="94"/>
      <c r="J254" s="94">
        <v>5</v>
      </c>
      <c r="K254" s="96" t="e">
        <f>VLOOKUP(Tabela13[[#This Row],[Prioridade]],[5]!TabelaPrioridade[#Data],2,FALSE)</f>
        <v>#REF!</v>
      </c>
      <c r="L254" s="96" t="e">
        <f>VLOOKUP(Tabela13[[#This Row],[Prioridade]],[5]!TabelaPrioridade[#Data],3,FALSE)</f>
        <v>#REF!</v>
      </c>
      <c r="M254" s="94" t="s">
        <v>960</v>
      </c>
      <c r="N254" s="94" t="s">
        <v>1012</v>
      </c>
      <c r="O254" s="99">
        <v>0.66666666666666663</v>
      </c>
      <c r="P254" s="94" t="s">
        <v>965</v>
      </c>
      <c r="Q254" s="97" t="e">
        <f>Tabela13[[#This Row],[Tempo Máximo Atendimento]]+"00:20:00"</f>
        <v>#REF!</v>
      </c>
      <c r="R254" s="94"/>
      <c r="S254" s="108" t="s">
        <v>34</v>
      </c>
      <c r="T254" s="94" t="s">
        <v>964</v>
      </c>
      <c r="U254" s="97" t="e">
        <f>Tabela13[[#This Row],[Tempo Máximo Total Resolução]]-Tabela13[[#This Row],[Tempo Máximo Escalada Funcional]]</f>
        <v>#REF!</v>
      </c>
      <c r="V254" s="94"/>
      <c r="W254" s="94" t="s">
        <v>975</v>
      </c>
      <c r="X254" s="94" t="s">
        <v>964</v>
      </c>
      <c r="Y254" s="95" t="s">
        <v>964</v>
      </c>
      <c r="Z254" s="94" t="s">
        <v>964</v>
      </c>
      <c r="AA254" s="94" t="s">
        <v>964</v>
      </c>
      <c r="AB254" s="94" t="s">
        <v>964</v>
      </c>
      <c r="AC254" s="94" t="s">
        <v>970</v>
      </c>
      <c r="AD254" s="101" t="s">
        <v>971</v>
      </c>
    </row>
    <row r="255" spans="1:30" ht="24" hidden="1">
      <c r="A255" s="94" t="s">
        <v>1148</v>
      </c>
      <c r="B255" s="94" t="s">
        <v>14</v>
      </c>
      <c r="C255" s="94" t="s">
        <v>957</v>
      </c>
      <c r="D255" s="105" t="s">
        <v>1167</v>
      </c>
      <c r="E255" s="95" t="s">
        <v>1168</v>
      </c>
      <c r="F255" s="94" t="s">
        <v>963</v>
      </c>
      <c r="G255" s="94" t="s">
        <v>963</v>
      </c>
      <c r="H255" s="94" t="s">
        <v>961</v>
      </c>
      <c r="I255" s="94"/>
      <c r="J255" s="94">
        <v>5</v>
      </c>
      <c r="K255" s="96" t="e">
        <f>VLOOKUP(Tabela13[[#This Row],[Prioridade]],[5]!TabelaPrioridade[#Data],2,FALSE)</f>
        <v>#REF!</v>
      </c>
      <c r="L255" s="96" t="e">
        <f>VLOOKUP(Tabela13[[#This Row],[Prioridade]],[5]!TabelaPrioridade[#Data],3,FALSE)</f>
        <v>#REF!</v>
      </c>
      <c r="M255" s="94" t="s">
        <v>960</v>
      </c>
      <c r="N255" s="94" t="s">
        <v>1012</v>
      </c>
      <c r="O255" s="99">
        <v>0.66666666666666663</v>
      </c>
      <c r="P255" s="94" t="s">
        <v>965</v>
      </c>
      <c r="Q255" s="97" t="e">
        <f>Tabela13[[#This Row],[Tempo Máximo Atendimento]]+"00:20:00"</f>
        <v>#REF!</v>
      </c>
      <c r="R255" s="94" t="s">
        <v>1151</v>
      </c>
      <c r="S255" s="108" t="s">
        <v>34</v>
      </c>
      <c r="T255" s="94" t="s">
        <v>964</v>
      </c>
      <c r="U255" s="97" t="e">
        <f>Tabela13[[#This Row],[Tempo Máximo Total Resolução]]-Tabela13[[#This Row],[Tempo Máximo Escalada Funcional]]</f>
        <v>#REF!</v>
      </c>
      <c r="V255" s="94"/>
      <c r="W255" s="94" t="s">
        <v>975</v>
      </c>
      <c r="X255" s="94" t="s">
        <v>964</v>
      </c>
      <c r="Y255" s="95" t="s">
        <v>964</v>
      </c>
      <c r="Z255" s="94" t="s">
        <v>964</v>
      </c>
      <c r="AA255" s="94" t="s">
        <v>964</v>
      </c>
      <c r="AB255" s="94" t="s">
        <v>964</v>
      </c>
      <c r="AC255" s="94" t="s">
        <v>970</v>
      </c>
      <c r="AD255" s="101" t="s">
        <v>971</v>
      </c>
    </row>
    <row r="256" spans="1:30" ht="15" hidden="1">
      <c r="A256" s="94" t="s">
        <v>1148</v>
      </c>
      <c r="B256" s="94" t="s">
        <v>956</v>
      </c>
      <c r="C256" s="94" t="s">
        <v>957</v>
      </c>
      <c r="D256" s="105" t="s">
        <v>1169</v>
      </c>
      <c r="E256" s="95" t="s">
        <v>1170</v>
      </c>
      <c r="F256" s="94" t="s">
        <v>960</v>
      </c>
      <c r="G256" s="94" t="s">
        <v>963</v>
      </c>
      <c r="H256" s="94" t="s">
        <v>961</v>
      </c>
      <c r="I256" s="94" t="s">
        <v>962</v>
      </c>
      <c r="J256" s="94">
        <v>5</v>
      </c>
      <c r="K256" s="96" t="e">
        <f>VLOOKUP(Tabela13[[#This Row],[Prioridade]],[5]!TabelaPrioridade[#Data],2,FALSE)</f>
        <v>#REF!</v>
      </c>
      <c r="L256" s="96" t="e">
        <f>VLOOKUP(Tabela13[[#This Row],[Prioridade]],[5]!TabelaPrioridade[#Data],3,FALSE)</f>
        <v>#REF!</v>
      </c>
      <c r="M256" s="94" t="s">
        <v>960</v>
      </c>
      <c r="N256" s="94" t="s">
        <v>1012</v>
      </c>
      <c r="O256" s="99">
        <v>0.66666666666666663</v>
      </c>
      <c r="P256" s="94" t="s">
        <v>965</v>
      </c>
      <c r="Q256" s="97" t="e">
        <f>Tabela13[[#This Row],[Tempo Máximo Atendimento]]+"00:20:00"</f>
        <v>#REF!</v>
      </c>
      <c r="R256" s="94"/>
      <c r="S256" s="108" t="s">
        <v>34</v>
      </c>
      <c r="T256" s="94" t="s">
        <v>964</v>
      </c>
      <c r="U256" s="97" t="e">
        <f>Tabela13[[#This Row],[Tempo Máximo Total Resolução]]-Tabela13[[#This Row],[Tempo Máximo Escalada Funcional]]</f>
        <v>#REF!</v>
      </c>
      <c r="V256" s="94"/>
      <c r="W256" s="94" t="s">
        <v>975</v>
      </c>
      <c r="X256" s="94" t="s">
        <v>964</v>
      </c>
      <c r="Y256" s="95" t="s">
        <v>964</v>
      </c>
      <c r="Z256" s="94" t="s">
        <v>964</v>
      </c>
      <c r="AA256" s="94" t="s">
        <v>964</v>
      </c>
      <c r="AB256" s="94" t="s">
        <v>964</v>
      </c>
      <c r="AC256" s="94" t="s">
        <v>970</v>
      </c>
      <c r="AD256" s="101" t="s">
        <v>971</v>
      </c>
    </row>
    <row r="257" spans="1:30" ht="15" hidden="1">
      <c r="A257" s="94" t="s">
        <v>1148</v>
      </c>
      <c r="B257" s="94" t="s">
        <v>14</v>
      </c>
      <c r="C257" s="94" t="s">
        <v>957</v>
      </c>
      <c r="D257" s="105" t="s">
        <v>1171</v>
      </c>
      <c r="E257" s="95" t="s">
        <v>1172</v>
      </c>
      <c r="F257" s="94" t="s">
        <v>960</v>
      </c>
      <c r="G257" s="94" t="s">
        <v>963</v>
      </c>
      <c r="H257" s="94" t="s">
        <v>961</v>
      </c>
      <c r="I257" s="94"/>
      <c r="J257" s="94">
        <v>5</v>
      </c>
      <c r="K257" s="96" t="e">
        <f>VLOOKUP(Tabela13[[#This Row],[Prioridade]],[5]!TabelaPrioridade[#Data],2,FALSE)</f>
        <v>#REF!</v>
      </c>
      <c r="L257" s="96" t="e">
        <f>VLOOKUP(Tabela13[[#This Row],[Prioridade]],[5]!TabelaPrioridade[#Data],3,FALSE)</f>
        <v>#REF!</v>
      </c>
      <c r="M257" s="94" t="s">
        <v>960</v>
      </c>
      <c r="N257" s="94" t="s">
        <v>1012</v>
      </c>
      <c r="O257" s="99">
        <v>0.66666666666666663</v>
      </c>
      <c r="P257" s="94" t="s">
        <v>965</v>
      </c>
      <c r="Q257" s="97" t="e">
        <f>Tabela13[[#This Row],[Tempo Máximo Atendimento]]+"00:20:00"</f>
        <v>#REF!</v>
      </c>
      <c r="R257" s="94"/>
      <c r="S257" s="108" t="s">
        <v>34</v>
      </c>
      <c r="T257" s="94" t="s">
        <v>964</v>
      </c>
      <c r="U257" s="97" t="e">
        <f>Tabela13[[#This Row],[Tempo Máximo Total Resolução]]-Tabela13[[#This Row],[Tempo Máximo Escalada Funcional]]</f>
        <v>#REF!</v>
      </c>
      <c r="V257" s="94"/>
      <c r="W257" s="94" t="s">
        <v>975</v>
      </c>
      <c r="X257" s="94" t="s">
        <v>964</v>
      </c>
      <c r="Y257" s="95" t="s">
        <v>964</v>
      </c>
      <c r="Z257" s="94" t="s">
        <v>964</v>
      </c>
      <c r="AA257" s="94" t="s">
        <v>964</v>
      </c>
      <c r="AB257" s="94" t="s">
        <v>964</v>
      </c>
      <c r="AC257" s="94" t="s">
        <v>970</v>
      </c>
      <c r="AD257" s="101" t="s">
        <v>971</v>
      </c>
    </row>
    <row r="258" spans="1:30" ht="15" hidden="1">
      <c r="A258" s="94" t="s">
        <v>1148</v>
      </c>
      <c r="B258" s="94" t="s">
        <v>956</v>
      </c>
      <c r="C258" s="94" t="s">
        <v>957</v>
      </c>
      <c r="D258" s="105" t="s">
        <v>1173</v>
      </c>
      <c r="E258" s="95"/>
      <c r="F258" s="94" t="s">
        <v>960</v>
      </c>
      <c r="G258" s="94" t="s">
        <v>960</v>
      </c>
      <c r="H258" s="94" t="s">
        <v>961</v>
      </c>
      <c r="I258" s="94" t="s">
        <v>962</v>
      </c>
      <c r="J258" s="94">
        <v>4</v>
      </c>
      <c r="K258" s="96" t="e">
        <f>VLOOKUP(Tabela13[[#This Row],[Prioridade]],[5]!TabelaPrioridade[#Data],2,FALSE)</f>
        <v>#REF!</v>
      </c>
      <c r="L258" s="96" t="e">
        <f>VLOOKUP(Tabela13[[#This Row],[Prioridade]],[5]!TabelaPrioridade[#Data],3,FALSE)</f>
        <v>#REF!</v>
      </c>
      <c r="M258" s="94" t="s">
        <v>963</v>
      </c>
      <c r="N258" s="94"/>
      <c r="O258" s="94"/>
      <c r="P258" s="94" t="s">
        <v>975</v>
      </c>
      <c r="Q258" s="97" t="e">
        <f>Tabela13[[#This Row],[Tempo Máximo Atendimento]]+"00:20:00"</f>
        <v>#REF!</v>
      </c>
      <c r="R258" s="94"/>
      <c r="S258" s="108" t="s">
        <v>34</v>
      </c>
      <c r="T258" s="97" t="s">
        <v>964</v>
      </c>
      <c r="U258" s="97" t="e">
        <f>Tabela13[[#This Row],[Tempo Máximo Total Resolução]]-Tabela13[[#This Row],[Tempo Máximo Escalada Funcional]]</f>
        <v>#REF!</v>
      </c>
      <c r="V258" s="94"/>
      <c r="W258" s="94" t="s">
        <v>964</v>
      </c>
      <c r="X258" s="94" t="s">
        <v>964</v>
      </c>
      <c r="Y258" s="95" t="s">
        <v>964</v>
      </c>
      <c r="Z258" s="94" t="s">
        <v>964</v>
      </c>
      <c r="AA258" s="94" t="s">
        <v>964</v>
      </c>
      <c r="AB258" s="94" t="s">
        <v>964</v>
      </c>
      <c r="AC258" s="94" t="s">
        <v>970</v>
      </c>
      <c r="AD258" s="101" t="s">
        <v>971</v>
      </c>
    </row>
    <row r="259" spans="1:30" ht="15" hidden="1">
      <c r="A259" s="94" t="s">
        <v>1148</v>
      </c>
      <c r="B259" s="94" t="s">
        <v>14</v>
      </c>
      <c r="C259" s="94" t="s">
        <v>957</v>
      </c>
      <c r="D259" s="105" t="s">
        <v>1174</v>
      </c>
      <c r="E259" s="95"/>
      <c r="F259" s="94" t="s">
        <v>960</v>
      </c>
      <c r="G259" s="94" t="s">
        <v>960</v>
      </c>
      <c r="H259" s="94" t="s">
        <v>961</v>
      </c>
      <c r="I259" s="94"/>
      <c r="J259" s="94">
        <v>4</v>
      </c>
      <c r="K259" s="96" t="e">
        <f>VLOOKUP(Tabela13[[#This Row],[Prioridade]],[5]!TabelaPrioridade[#Data],2,FALSE)</f>
        <v>#REF!</v>
      </c>
      <c r="L259" s="96" t="e">
        <f>VLOOKUP(Tabela13[[#This Row],[Prioridade]],[5]!TabelaPrioridade[#Data],3,FALSE)</f>
        <v>#REF!</v>
      </c>
      <c r="M259" s="94" t="s">
        <v>963</v>
      </c>
      <c r="N259" s="94"/>
      <c r="O259" s="94"/>
      <c r="P259" s="94" t="s">
        <v>975</v>
      </c>
      <c r="Q259" s="97" t="e">
        <f>Tabela13[[#This Row],[Tempo Máximo Atendimento]]+"00:20:00"</f>
        <v>#REF!</v>
      </c>
      <c r="R259" s="94"/>
      <c r="S259" s="108" t="s">
        <v>34</v>
      </c>
      <c r="T259" s="97" t="s">
        <v>964</v>
      </c>
      <c r="U259" s="97" t="e">
        <f>Tabela13[[#This Row],[Tempo Máximo Total Resolução]]-Tabela13[[#This Row],[Tempo Máximo Escalada Funcional]]</f>
        <v>#REF!</v>
      </c>
      <c r="V259" s="94"/>
      <c r="W259" s="94" t="s">
        <v>964</v>
      </c>
      <c r="X259" s="94" t="s">
        <v>964</v>
      </c>
      <c r="Y259" s="95" t="s">
        <v>964</v>
      </c>
      <c r="Z259" s="94" t="s">
        <v>964</v>
      </c>
      <c r="AA259" s="94" t="s">
        <v>964</v>
      </c>
      <c r="AB259" s="94" t="s">
        <v>964</v>
      </c>
      <c r="AC259" s="94" t="s">
        <v>970</v>
      </c>
      <c r="AD259" s="101" t="s">
        <v>971</v>
      </c>
    </row>
    <row r="260" spans="1:30" ht="15" hidden="1">
      <c r="A260" s="94" t="s">
        <v>1148</v>
      </c>
      <c r="B260" s="94" t="s">
        <v>14</v>
      </c>
      <c r="C260" s="94" t="s">
        <v>957</v>
      </c>
      <c r="D260" s="105" t="s">
        <v>1175</v>
      </c>
      <c r="E260" s="95"/>
      <c r="F260" s="94" t="s">
        <v>960</v>
      </c>
      <c r="G260" s="94" t="s">
        <v>960</v>
      </c>
      <c r="H260" s="94" t="s">
        <v>961</v>
      </c>
      <c r="I260" s="94"/>
      <c r="J260" s="94">
        <v>4</v>
      </c>
      <c r="K260" s="96" t="e">
        <f>VLOOKUP(Tabela13[[#This Row],[Prioridade]],[5]!TabelaPrioridade[#Data],2,FALSE)</f>
        <v>#REF!</v>
      </c>
      <c r="L260" s="96" t="e">
        <f>VLOOKUP(Tabela13[[#This Row],[Prioridade]],[5]!TabelaPrioridade[#Data],3,FALSE)</f>
        <v>#REF!</v>
      </c>
      <c r="M260" s="94" t="s">
        <v>963</v>
      </c>
      <c r="N260" s="94"/>
      <c r="O260" s="94"/>
      <c r="P260" s="94" t="s">
        <v>975</v>
      </c>
      <c r="Q260" s="97" t="e">
        <f>Tabela13[[#This Row],[Tempo Máximo Atendimento]]+"00:20:00"</f>
        <v>#REF!</v>
      </c>
      <c r="R260" s="94"/>
      <c r="S260" s="108" t="s">
        <v>34</v>
      </c>
      <c r="T260" s="97" t="s">
        <v>964</v>
      </c>
      <c r="U260" s="97" t="e">
        <f>Tabela13[[#This Row],[Tempo Máximo Total Resolução]]-Tabela13[[#This Row],[Tempo Máximo Escalada Funcional]]</f>
        <v>#REF!</v>
      </c>
      <c r="V260" s="94"/>
      <c r="W260" s="94" t="s">
        <v>964</v>
      </c>
      <c r="X260" s="94" t="s">
        <v>964</v>
      </c>
      <c r="Y260" s="95" t="s">
        <v>964</v>
      </c>
      <c r="Z260" s="94" t="s">
        <v>964</v>
      </c>
      <c r="AA260" s="94" t="s">
        <v>964</v>
      </c>
      <c r="AB260" s="94" t="s">
        <v>964</v>
      </c>
      <c r="AC260" s="94" t="s">
        <v>970</v>
      </c>
      <c r="AD260" s="101" t="s">
        <v>971</v>
      </c>
    </row>
    <row r="261" spans="1:30" ht="24" hidden="1">
      <c r="A261" s="94" t="s">
        <v>1148</v>
      </c>
      <c r="B261" s="94" t="s">
        <v>14</v>
      </c>
      <c r="C261" s="94" t="s">
        <v>957</v>
      </c>
      <c r="D261" s="105" t="s">
        <v>1176</v>
      </c>
      <c r="E261" s="95" t="s">
        <v>1177</v>
      </c>
      <c r="F261" s="94" t="s">
        <v>960</v>
      </c>
      <c r="G261" s="94" t="s">
        <v>960</v>
      </c>
      <c r="H261" s="94" t="s">
        <v>961</v>
      </c>
      <c r="I261" s="94"/>
      <c r="J261" s="94">
        <v>4</v>
      </c>
      <c r="K261" s="96" t="e">
        <f>VLOOKUP(Tabela13[[#This Row],[Prioridade]],[5]!TabelaPrioridade[#Data],2,FALSE)</f>
        <v>#REF!</v>
      </c>
      <c r="L261" s="96" t="e">
        <f>VLOOKUP(Tabela13[[#This Row],[Prioridade]],[5]!TabelaPrioridade[#Data],3,FALSE)</f>
        <v>#REF!</v>
      </c>
      <c r="M261" s="94" t="s">
        <v>963</v>
      </c>
      <c r="N261" s="94"/>
      <c r="O261" s="94"/>
      <c r="P261" s="94" t="s">
        <v>975</v>
      </c>
      <c r="Q261" s="97" t="e">
        <f>Tabela13[[#This Row],[Tempo Máximo Atendimento]]+"00:20:00"</f>
        <v>#REF!</v>
      </c>
      <c r="R261" s="94"/>
      <c r="S261" s="108" t="s">
        <v>34</v>
      </c>
      <c r="T261" s="97" t="s">
        <v>964</v>
      </c>
      <c r="U261" s="97" t="e">
        <f>Tabela13[[#This Row],[Tempo Máximo Total Resolução]]-Tabela13[[#This Row],[Tempo Máximo Escalada Funcional]]</f>
        <v>#REF!</v>
      </c>
      <c r="V261" s="94"/>
      <c r="W261" s="94" t="s">
        <v>964</v>
      </c>
      <c r="X261" s="94" t="s">
        <v>964</v>
      </c>
      <c r="Y261" s="95" t="s">
        <v>964</v>
      </c>
      <c r="Z261" s="94" t="s">
        <v>964</v>
      </c>
      <c r="AA261" s="94" t="s">
        <v>964</v>
      </c>
      <c r="AB261" s="94" t="s">
        <v>964</v>
      </c>
      <c r="AC261" s="94" t="s">
        <v>970</v>
      </c>
      <c r="AD261" s="101" t="s">
        <v>971</v>
      </c>
    </row>
    <row r="262" spans="1:30" ht="15" hidden="1">
      <c r="A262" s="94" t="s">
        <v>1148</v>
      </c>
      <c r="B262" s="94" t="s">
        <v>14</v>
      </c>
      <c r="C262" s="94" t="s">
        <v>957</v>
      </c>
      <c r="D262" s="105" t="s">
        <v>1178</v>
      </c>
      <c r="E262" s="95"/>
      <c r="F262" s="94" t="s">
        <v>960</v>
      </c>
      <c r="G262" s="94" t="s">
        <v>960</v>
      </c>
      <c r="H262" s="94" t="s">
        <v>961</v>
      </c>
      <c r="I262" s="94"/>
      <c r="J262" s="94">
        <v>4</v>
      </c>
      <c r="K262" s="96" t="e">
        <f>VLOOKUP(Tabela13[[#This Row],[Prioridade]],[5]!TabelaPrioridade[#Data],2,FALSE)</f>
        <v>#REF!</v>
      </c>
      <c r="L262" s="96" t="e">
        <f>VLOOKUP(Tabela13[[#This Row],[Prioridade]],[5]!TabelaPrioridade[#Data],3,FALSE)</f>
        <v>#REF!</v>
      </c>
      <c r="M262" s="94" t="s">
        <v>963</v>
      </c>
      <c r="N262" s="94"/>
      <c r="O262" s="94"/>
      <c r="P262" s="94" t="s">
        <v>975</v>
      </c>
      <c r="Q262" s="97" t="e">
        <f>Tabela13[[#This Row],[Tempo Máximo Atendimento]]+"00:20:00"</f>
        <v>#REF!</v>
      </c>
      <c r="R262" s="94"/>
      <c r="S262" s="108" t="s">
        <v>34</v>
      </c>
      <c r="T262" s="97" t="s">
        <v>964</v>
      </c>
      <c r="U262" s="97" t="e">
        <f>Tabela13[[#This Row],[Tempo Máximo Total Resolução]]-Tabela13[[#This Row],[Tempo Máximo Escalada Funcional]]</f>
        <v>#REF!</v>
      </c>
      <c r="V262" s="94"/>
      <c r="W262" s="94" t="s">
        <v>964</v>
      </c>
      <c r="X262" s="94" t="s">
        <v>964</v>
      </c>
      <c r="Y262" s="95" t="s">
        <v>964</v>
      </c>
      <c r="Z262" s="94" t="s">
        <v>964</v>
      </c>
      <c r="AA262" s="94" t="s">
        <v>964</v>
      </c>
      <c r="AB262" s="94" t="s">
        <v>964</v>
      </c>
      <c r="AC262" s="94" t="s">
        <v>970</v>
      </c>
      <c r="AD262" s="101" t="s">
        <v>971</v>
      </c>
    </row>
    <row r="263" spans="1:30" ht="15" hidden="1">
      <c r="A263" s="94" t="s">
        <v>1148</v>
      </c>
      <c r="B263" s="94" t="s">
        <v>14</v>
      </c>
      <c r="C263" s="94" t="s">
        <v>957</v>
      </c>
      <c r="D263" s="105" t="s">
        <v>1179</v>
      </c>
      <c r="E263" s="95"/>
      <c r="F263" s="94" t="s">
        <v>960</v>
      </c>
      <c r="G263" s="94" t="s">
        <v>960</v>
      </c>
      <c r="H263" s="94" t="s">
        <v>961</v>
      </c>
      <c r="I263" s="94"/>
      <c r="J263" s="94">
        <v>4</v>
      </c>
      <c r="K263" s="96" t="e">
        <f>VLOOKUP(Tabela13[[#This Row],[Prioridade]],[5]!TabelaPrioridade[#Data],2,FALSE)</f>
        <v>#REF!</v>
      </c>
      <c r="L263" s="96" t="e">
        <f>VLOOKUP(Tabela13[[#This Row],[Prioridade]],[5]!TabelaPrioridade[#Data],3,FALSE)</f>
        <v>#REF!</v>
      </c>
      <c r="M263" s="94" t="s">
        <v>963</v>
      </c>
      <c r="N263" s="94"/>
      <c r="O263" s="94"/>
      <c r="P263" s="94" t="s">
        <v>975</v>
      </c>
      <c r="Q263" s="97" t="e">
        <f>Tabela13[[#This Row],[Tempo Máximo Atendimento]]+"00:20:00"</f>
        <v>#REF!</v>
      </c>
      <c r="R263" s="94"/>
      <c r="S263" s="108" t="s">
        <v>34</v>
      </c>
      <c r="T263" s="97" t="s">
        <v>964</v>
      </c>
      <c r="U263" s="97" t="e">
        <f>Tabela13[[#This Row],[Tempo Máximo Total Resolução]]-Tabela13[[#This Row],[Tempo Máximo Escalada Funcional]]</f>
        <v>#REF!</v>
      </c>
      <c r="V263" s="94"/>
      <c r="W263" s="94" t="s">
        <v>964</v>
      </c>
      <c r="X263" s="94" t="s">
        <v>964</v>
      </c>
      <c r="Y263" s="95" t="s">
        <v>964</v>
      </c>
      <c r="Z263" s="94" t="s">
        <v>964</v>
      </c>
      <c r="AA263" s="94" t="s">
        <v>964</v>
      </c>
      <c r="AB263" s="94" t="s">
        <v>964</v>
      </c>
      <c r="AC263" s="94" t="s">
        <v>970</v>
      </c>
      <c r="AD263" s="101" t="s">
        <v>971</v>
      </c>
    </row>
    <row r="264" spans="1:30" ht="15" hidden="1">
      <c r="A264" s="94" t="s">
        <v>1148</v>
      </c>
      <c r="B264" s="94" t="s">
        <v>14</v>
      </c>
      <c r="C264" s="94" t="s">
        <v>957</v>
      </c>
      <c r="D264" s="105" t="s">
        <v>1180</v>
      </c>
      <c r="E264" s="95"/>
      <c r="F264" s="94" t="s">
        <v>960</v>
      </c>
      <c r="G264" s="94" t="s">
        <v>960</v>
      </c>
      <c r="H264" s="94" t="s">
        <v>961</v>
      </c>
      <c r="I264" s="94"/>
      <c r="J264" s="94">
        <v>4</v>
      </c>
      <c r="K264" s="96" t="e">
        <f>VLOOKUP(Tabela13[[#This Row],[Prioridade]],[5]!TabelaPrioridade[#Data],2,FALSE)</f>
        <v>#REF!</v>
      </c>
      <c r="L264" s="96" t="e">
        <f>VLOOKUP(Tabela13[[#This Row],[Prioridade]],[5]!TabelaPrioridade[#Data],3,FALSE)</f>
        <v>#REF!</v>
      </c>
      <c r="M264" s="94" t="s">
        <v>963</v>
      </c>
      <c r="N264" s="94"/>
      <c r="O264" s="94"/>
      <c r="P264" s="94" t="s">
        <v>975</v>
      </c>
      <c r="Q264" s="97" t="e">
        <f>Tabela13[[#This Row],[Tempo Máximo Atendimento]]+"00:20:00"</f>
        <v>#REF!</v>
      </c>
      <c r="R264" s="94"/>
      <c r="S264" s="108" t="s">
        <v>34</v>
      </c>
      <c r="T264" s="97" t="s">
        <v>964</v>
      </c>
      <c r="U264" s="97" t="e">
        <f>Tabela13[[#This Row],[Tempo Máximo Total Resolução]]-Tabela13[[#This Row],[Tempo Máximo Escalada Funcional]]</f>
        <v>#REF!</v>
      </c>
      <c r="V264" s="94"/>
      <c r="W264" s="94" t="s">
        <v>964</v>
      </c>
      <c r="X264" s="94" t="s">
        <v>964</v>
      </c>
      <c r="Y264" s="95" t="s">
        <v>964</v>
      </c>
      <c r="Z264" s="94" t="s">
        <v>964</v>
      </c>
      <c r="AA264" s="94" t="s">
        <v>964</v>
      </c>
      <c r="AB264" s="94" t="s">
        <v>964</v>
      </c>
      <c r="AC264" s="94" t="s">
        <v>970</v>
      </c>
      <c r="AD264" s="101" t="s">
        <v>971</v>
      </c>
    </row>
    <row r="265" spans="1:30" ht="24" hidden="1">
      <c r="A265" s="94" t="s">
        <v>1148</v>
      </c>
      <c r="B265" s="94" t="s">
        <v>956</v>
      </c>
      <c r="C265" s="94" t="s">
        <v>957</v>
      </c>
      <c r="D265" s="105" t="s">
        <v>1181</v>
      </c>
      <c r="E265" s="95" t="s">
        <v>1182</v>
      </c>
      <c r="F265" s="94" t="s">
        <v>960</v>
      </c>
      <c r="G265" s="94" t="s">
        <v>960</v>
      </c>
      <c r="H265" s="94" t="s">
        <v>961</v>
      </c>
      <c r="I265" s="94" t="s">
        <v>962</v>
      </c>
      <c r="J265" s="94">
        <v>4</v>
      </c>
      <c r="K265" s="96" t="e">
        <f>VLOOKUP(Tabela13[[#This Row],[Prioridade]],[5]!TabelaPrioridade[#Data],2,FALSE)</f>
        <v>#REF!</v>
      </c>
      <c r="L265" s="96" t="e">
        <f>VLOOKUP(Tabela13[[#This Row],[Prioridade]],[5]!TabelaPrioridade[#Data],3,FALSE)</f>
        <v>#REF!</v>
      </c>
      <c r="M265" s="94" t="s">
        <v>963</v>
      </c>
      <c r="N265" s="94"/>
      <c r="O265" s="94"/>
      <c r="P265" s="94" t="s">
        <v>975</v>
      </c>
      <c r="Q265" s="97" t="e">
        <f>Tabela13[[#This Row],[Tempo Máximo Atendimento]]+"00:20:00"</f>
        <v>#REF!</v>
      </c>
      <c r="R265" s="94"/>
      <c r="S265" s="108" t="s">
        <v>34</v>
      </c>
      <c r="T265" s="97" t="s">
        <v>964</v>
      </c>
      <c r="U265" s="97" t="e">
        <f>Tabela13[[#This Row],[Tempo Máximo Total Resolução]]-Tabela13[[#This Row],[Tempo Máximo Escalada Funcional]]</f>
        <v>#REF!</v>
      </c>
      <c r="V265" s="94"/>
      <c r="W265" s="94" t="s">
        <v>964</v>
      </c>
      <c r="X265" s="94" t="s">
        <v>964</v>
      </c>
      <c r="Y265" s="95" t="s">
        <v>964</v>
      </c>
      <c r="Z265" s="94" t="s">
        <v>964</v>
      </c>
      <c r="AA265" s="94" t="s">
        <v>964</v>
      </c>
      <c r="AB265" s="94" t="s">
        <v>964</v>
      </c>
      <c r="AC265" s="94" t="s">
        <v>970</v>
      </c>
      <c r="AD265" s="101" t="s">
        <v>971</v>
      </c>
    </row>
    <row r="266" spans="1:30" ht="15" hidden="1">
      <c r="A266" s="94" t="s">
        <v>1148</v>
      </c>
      <c r="B266" s="94" t="s">
        <v>14</v>
      </c>
      <c r="C266" s="94" t="s">
        <v>957</v>
      </c>
      <c r="D266" s="105" t="s">
        <v>1183</v>
      </c>
      <c r="E266" s="95"/>
      <c r="F266" s="94" t="s">
        <v>960</v>
      </c>
      <c r="G266" s="94" t="s">
        <v>960</v>
      </c>
      <c r="H266" s="94" t="s">
        <v>961</v>
      </c>
      <c r="I266" s="94"/>
      <c r="J266" s="94">
        <v>4</v>
      </c>
      <c r="K266" s="96" t="e">
        <f>VLOOKUP(Tabela13[[#This Row],[Prioridade]],[5]!TabelaPrioridade[#Data],2,FALSE)</f>
        <v>#REF!</v>
      </c>
      <c r="L266" s="96" t="e">
        <f>VLOOKUP(Tabela13[[#This Row],[Prioridade]],[5]!TabelaPrioridade[#Data],3,FALSE)</f>
        <v>#REF!</v>
      </c>
      <c r="M266" s="94" t="s">
        <v>963</v>
      </c>
      <c r="N266" s="94" t="s">
        <v>964</v>
      </c>
      <c r="O266" s="94" t="s">
        <v>964</v>
      </c>
      <c r="P266" s="94" t="s">
        <v>975</v>
      </c>
      <c r="Q266" s="97" t="e">
        <f>Tabela13[[#This Row],[Tempo Máximo Atendimento]]+"00:20:00"</f>
        <v>#REF!</v>
      </c>
      <c r="R266" s="94"/>
      <c r="S266" s="94" t="s">
        <v>964</v>
      </c>
      <c r="T266" s="97" t="s">
        <v>964</v>
      </c>
      <c r="U266" s="97" t="s">
        <v>964</v>
      </c>
      <c r="V266" s="94"/>
      <c r="W266" s="94" t="s">
        <v>964</v>
      </c>
      <c r="X266" s="94" t="s">
        <v>964</v>
      </c>
      <c r="Y266" s="95" t="s">
        <v>964</v>
      </c>
      <c r="Z266" s="94" t="s">
        <v>964</v>
      </c>
      <c r="AA266" s="94" t="s">
        <v>964</v>
      </c>
      <c r="AB266" s="94" t="s">
        <v>964</v>
      </c>
      <c r="AC266" s="94" t="s">
        <v>970</v>
      </c>
      <c r="AD266" s="101" t="s">
        <v>971</v>
      </c>
    </row>
    <row r="267" spans="1:30" ht="15" hidden="1">
      <c r="A267" s="94" t="s">
        <v>1148</v>
      </c>
      <c r="B267" s="94" t="s">
        <v>14</v>
      </c>
      <c r="C267" s="94" t="s">
        <v>957</v>
      </c>
      <c r="D267" s="105" t="s">
        <v>1184</v>
      </c>
      <c r="E267" s="95"/>
      <c r="F267" s="94" t="s">
        <v>960</v>
      </c>
      <c r="G267" s="94" t="s">
        <v>960</v>
      </c>
      <c r="H267" s="94" t="s">
        <v>961</v>
      </c>
      <c r="I267" s="94"/>
      <c r="J267" s="94">
        <v>4</v>
      </c>
      <c r="K267" s="96" t="e">
        <f>VLOOKUP(Tabela13[[#This Row],[Prioridade]],[5]!TabelaPrioridade[#Data],2,FALSE)</f>
        <v>#REF!</v>
      </c>
      <c r="L267" s="96" t="e">
        <f>VLOOKUP(Tabela13[[#This Row],[Prioridade]],[5]!TabelaPrioridade[#Data],3,FALSE)</f>
        <v>#REF!</v>
      </c>
      <c r="M267" s="94" t="s">
        <v>963</v>
      </c>
      <c r="N267" s="94" t="s">
        <v>964</v>
      </c>
      <c r="O267" s="94" t="s">
        <v>964</v>
      </c>
      <c r="P267" s="94" t="s">
        <v>975</v>
      </c>
      <c r="Q267" s="97" t="e">
        <f>Tabela13[[#This Row],[Tempo Máximo Atendimento]]+"00:20:00"</f>
        <v>#REF!</v>
      </c>
      <c r="R267" s="94"/>
      <c r="S267" s="94" t="s">
        <v>964</v>
      </c>
      <c r="T267" s="97" t="s">
        <v>964</v>
      </c>
      <c r="U267" s="97" t="s">
        <v>964</v>
      </c>
      <c r="V267" s="94"/>
      <c r="W267" s="94" t="s">
        <v>964</v>
      </c>
      <c r="X267" s="94" t="s">
        <v>964</v>
      </c>
      <c r="Y267" s="95" t="s">
        <v>964</v>
      </c>
      <c r="Z267" s="94" t="s">
        <v>964</v>
      </c>
      <c r="AA267" s="94" t="s">
        <v>964</v>
      </c>
      <c r="AB267" s="94" t="s">
        <v>964</v>
      </c>
      <c r="AC267" s="94" t="s">
        <v>970</v>
      </c>
      <c r="AD267" s="101" t="s">
        <v>971</v>
      </c>
    </row>
    <row r="268" spans="1:30" ht="15" hidden="1">
      <c r="A268" s="94" t="s">
        <v>1148</v>
      </c>
      <c r="B268" s="94" t="s">
        <v>14</v>
      </c>
      <c r="C268" s="94" t="s">
        <v>957</v>
      </c>
      <c r="D268" s="105" t="s">
        <v>1185</v>
      </c>
      <c r="E268" s="95"/>
      <c r="F268" s="94" t="s">
        <v>960</v>
      </c>
      <c r="G268" s="94" t="s">
        <v>960</v>
      </c>
      <c r="H268" s="94" t="s">
        <v>961</v>
      </c>
      <c r="I268" s="94"/>
      <c r="J268" s="94">
        <v>4</v>
      </c>
      <c r="K268" s="96" t="e">
        <f>VLOOKUP(Tabela13[[#This Row],[Prioridade]],[5]!TabelaPrioridade[#Data],2,FALSE)</f>
        <v>#REF!</v>
      </c>
      <c r="L268" s="96" t="e">
        <f>VLOOKUP(Tabela13[[#This Row],[Prioridade]],[5]!TabelaPrioridade[#Data],3,FALSE)</f>
        <v>#REF!</v>
      </c>
      <c r="M268" s="94" t="s">
        <v>963</v>
      </c>
      <c r="N268" s="94" t="s">
        <v>964</v>
      </c>
      <c r="O268" s="94" t="s">
        <v>964</v>
      </c>
      <c r="P268" s="94" t="s">
        <v>975</v>
      </c>
      <c r="Q268" s="97" t="e">
        <f>Tabela13[[#This Row],[Tempo Máximo Atendimento]]+"00:20:00"</f>
        <v>#REF!</v>
      </c>
      <c r="R268" s="94"/>
      <c r="S268" s="94" t="s">
        <v>980</v>
      </c>
      <c r="T268" s="94" t="s">
        <v>964</v>
      </c>
      <c r="U268" s="94" t="s">
        <v>964</v>
      </c>
      <c r="V268" s="94"/>
      <c r="W268" s="94" t="s">
        <v>1005</v>
      </c>
      <c r="X268" s="94" t="s">
        <v>964</v>
      </c>
      <c r="Y268" s="95" t="s">
        <v>964</v>
      </c>
      <c r="Z268" s="94" t="s">
        <v>964</v>
      </c>
      <c r="AA268" s="94" t="s">
        <v>964</v>
      </c>
      <c r="AB268" s="94" t="s">
        <v>964</v>
      </c>
      <c r="AC268" s="94" t="s">
        <v>970</v>
      </c>
      <c r="AD268" s="101" t="s">
        <v>971</v>
      </c>
    </row>
    <row r="269" spans="1:30" ht="15" hidden="1">
      <c r="A269" s="94" t="s">
        <v>1148</v>
      </c>
      <c r="B269" s="94" t="s">
        <v>14</v>
      </c>
      <c r="C269" s="94" t="s">
        <v>957</v>
      </c>
      <c r="D269" s="105" t="s">
        <v>1186</v>
      </c>
      <c r="E269" s="95"/>
      <c r="F269" s="94" t="s">
        <v>960</v>
      </c>
      <c r="G269" s="94" t="s">
        <v>960</v>
      </c>
      <c r="H269" s="94" t="s">
        <v>961</v>
      </c>
      <c r="I269" s="94"/>
      <c r="J269" s="94">
        <v>4</v>
      </c>
      <c r="K269" s="96" t="e">
        <f>VLOOKUP(Tabela13[[#This Row],[Prioridade]],[5]!TabelaPrioridade[#Data],2,FALSE)</f>
        <v>#REF!</v>
      </c>
      <c r="L269" s="96" t="e">
        <f>VLOOKUP(Tabela13[[#This Row],[Prioridade]],[5]!TabelaPrioridade[#Data],3,FALSE)</f>
        <v>#REF!</v>
      </c>
      <c r="M269" s="94" t="s">
        <v>963</v>
      </c>
      <c r="N269" s="94" t="s">
        <v>964</v>
      </c>
      <c r="O269" s="94" t="s">
        <v>964</v>
      </c>
      <c r="P269" s="94" t="s">
        <v>975</v>
      </c>
      <c r="Q269" s="97" t="e">
        <f>Tabela13[[#This Row],[Tempo Máximo Atendimento]]+"00:20:00"</f>
        <v>#REF!</v>
      </c>
      <c r="R269" s="94"/>
      <c r="S269" s="94" t="s">
        <v>964</v>
      </c>
      <c r="T269" s="97" t="s">
        <v>964</v>
      </c>
      <c r="U269" s="97" t="s">
        <v>964</v>
      </c>
      <c r="V269" s="94"/>
      <c r="W269" s="94" t="s">
        <v>964</v>
      </c>
      <c r="X269" s="94" t="s">
        <v>964</v>
      </c>
      <c r="Y269" s="95" t="s">
        <v>964</v>
      </c>
      <c r="Z269" s="94" t="s">
        <v>964</v>
      </c>
      <c r="AA269" s="94" t="s">
        <v>964</v>
      </c>
      <c r="AB269" s="94" t="s">
        <v>964</v>
      </c>
      <c r="AC269" s="94" t="s">
        <v>970</v>
      </c>
      <c r="AD269" s="101" t="s">
        <v>971</v>
      </c>
    </row>
    <row r="270" spans="1:30" ht="15" hidden="1">
      <c r="A270" s="94" t="s">
        <v>1148</v>
      </c>
      <c r="B270" s="94" t="s">
        <v>14</v>
      </c>
      <c r="C270" s="94" t="s">
        <v>957</v>
      </c>
      <c r="D270" s="105" t="s">
        <v>1187</v>
      </c>
      <c r="E270" s="95"/>
      <c r="F270" s="94" t="s">
        <v>960</v>
      </c>
      <c r="G270" s="94" t="s">
        <v>960</v>
      </c>
      <c r="H270" s="94" t="s">
        <v>961</v>
      </c>
      <c r="I270" s="94"/>
      <c r="J270" s="94">
        <v>4</v>
      </c>
      <c r="K270" s="96" t="e">
        <f>VLOOKUP(Tabela13[[#This Row],[Prioridade]],[5]!TabelaPrioridade[#Data],2,FALSE)</f>
        <v>#REF!</v>
      </c>
      <c r="L270" s="96" t="e">
        <f>VLOOKUP(Tabela13[[#This Row],[Prioridade]],[5]!TabelaPrioridade[#Data],3,FALSE)</f>
        <v>#REF!</v>
      </c>
      <c r="M270" s="94" t="s">
        <v>963</v>
      </c>
      <c r="N270" s="94" t="s">
        <v>964</v>
      </c>
      <c r="O270" s="94" t="s">
        <v>964</v>
      </c>
      <c r="P270" s="94" t="s">
        <v>975</v>
      </c>
      <c r="Q270" s="97" t="e">
        <f>Tabela13[[#This Row],[Tempo Máximo Atendimento]]+"00:20:00"</f>
        <v>#REF!</v>
      </c>
      <c r="R270" s="94"/>
      <c r="S270" s="94" t="s">
        <v>964</v>
      </c>
      <c r="T270" s="97" t="s">
        <v>964</v>
      </c>
      <c r="U270" s="97" t="s">
        <v>964</v>
      </c>
      <c r="V270" s="94"/>
      <c r="W270" s="94" t="s">
        <v>964</v>
      </c>
      <c r="X270" s="94" t="s">
        <v>964</v>
      </c>
      <c r="Y270" s="95" t="s">
        <v>964</v>
      </c>
      <c r="Z270" s="94" t="s">
        <v>964</v>
      </c>
      <c r="AA270" s="94" t="s">
        <v>964</v>
      </c>
      <c r="AB270" s="94" t="s">
        <v>964</v>
      </c>
      <c r="AC270" s="94" t="s">
        <v>970</v>
      </c>
      <c r="AD270" s="101" t="s">
        <v>971</v>
      </c>
    </row>
    <row r="271" spans="1:30" ht="15" hidden="1">
      <c r="A271" s="94" t="s">
        <v>1148</v>
      </c>
      <c r="B271" s="94" t="s">
        <v>14</v>
      </c>
      <c r="C271" s="94" t="s">
        <v>957</v>
      </c>
      <c r="D271" s="105" t="s">
        <v>1188</v>
      </c>
      <c r="E271" s="95"/>
      <c r="F271" s="94" t="s">
        <v>960</v>
      </c>
      <c r="G271" s="94" t="s">
        <v>960</v>
      </c>
      <c r="H271" s="94" t="s">
        <v>961</v>
      </c>
      <c r="I271" s="94"/>
      <c r="J271" s="94">
        <v>4</v>
      </c>
      <c r="K271" s="96" t="e">
        <f>VLOOKUP(Tabela13[[#This Row],[Prioridade]],[5]!TabelaPrioridade[#Data],2,FALSE)</f>
        <v>#REF!</v>
      </c>
      <c r="L271" s="96" t="e">
        <f>VLOOKUP(Tabela13[[#This Row],[Prioridade]],[5]!TabelaPrioridade[#Data],3,FALSE)</f>
        <v>#REF!</v>
      </c>
      <c r="M271" s="94" t="s">
        <v>963</v>
      </c>
      <c r="N271" s="94" t="s">
        <v>964</v>
      </c>
      <c r="O271" s="94" t="s">
        <v>964</v>
      </c>
      <c r="P271" s="94" t="s">
        <v>975</v>
      </c>
      <c r="Q271" s="97" t="e">
        <f>Tabela13[[#This Row],[Tempo Máximo Atendimento]]+"00:20:00"</f>
        <v>#REF!</v>
      </c>
      <c r="R271" s="94"/>
      <c r="S271" s="94" t="s">
        <v>964</v>
      </c>
      <c r="T271" s="97" t="s">
        <v>964</v>
      </c>
      <c r="U271" s="97" t="s">
        <v>964</v>
      </c>
      <c r="V271" s="94"/>
      <c r="W271" s="94" t="s">
        <v>964</v>
      </c>
      <c r="X271" s="94" t="s">
        <v>964</v>
      </c>
      <c r="Y271" s="95" t="s">
        <v>964</v>
      </c>
      <c r="Z271" s="94" t="s">
        <v>964</v>
      </c>
      <c r="AA271" s="94" t="s">
        <v>964</v>
      </c>
      <c r="AB271" s="94" t="s">
        <v>964</v>
      </c>
      <c r="AC271" s="94" t="s">
        <v>970</v>
      </c>
      <c r="AD271" s="101" t="s">
        <v>971</v>
      </c>
    </row>
    <row r="272" spans="1:30" ht="15" hidden="1">
      <c r="A272" s="94" t="s">
        <v>1148</v>
      </c>
      <c r="B272" s="94" t="s">
        <v>14</v>
      </c>
      <c r="C272" s="94" t="s">
        <v>957</v>
      </c>
      <c r="D272" s="105" t="s">
        <v>1189</v>
      </c>
      <c r="E272" s="95"/>
      <c r="F272" s="94" t="s">
        <v>960</v>
      </c>
      <c r="G272" s="94" t="s">
        <v>960</v>
      </c>
      <c r="H272" s="94" t="s">
        <v>961</v>
      </c>
      <c r="I272" s="94"/>
      <c r="J272" s="94">
        <v>4</v>
      </c>
      <c r="K272" s="96" t="e">
        <f>VLOOKUP(Tabela13[[#This Row],[Prioridade]],[5]!TabelaPrioridade[#Data],2,FALSE)</f>
        <v>#REF!</v>
      </c>
      <c r="L272" s="96" t="e">
        <f>VLOOKUP(Tabela13[[#This Row],[Prioridade]],[5]!TabelaPrioridade[#Data],3,FALSE)</f>
        <v>#REF!</v>
      </c>
      <c r="M272" s="94" t="s">
        <v>963</v>
      </c>
      <c r="N272" s="94" t="s">
        <v>964</v>
      </c>
      <c r="O272" s="94" t="s">
        <v>964</v>
      </c>
      <c r="P272" s="94" t="s">
        <v>975</v>
      </c>
      <c r="Q272" s="97" t="e">
        <f>Tabela13[[#This Row],[Tempo Máximo Atendimento]]+"00:20:00"</f>
        <v>#REF!</v>
      </c>
      <c r="R272" s="94"/>
      <c r="S272" s="94" t="s">
        <v>980</v>
      </c>
      <c r="T272" s="94" t="s">
        <v>964</v>
      </c>
      <c r="U272" s="94" t="s">
        <v>964</v>
      </c>
      <c r="V272" s="94"/>
      <c r="W272" s="94" t="s">
        <v>1005</v>
      </c>
      <c r="X272" s="94" t="s">
        <v>964</v>
      </c>
      <c r="Y272" s="95" t="s">
        <v>964</v>
      </c>
      <c r="Z272" s="94" t="s">
        <v>964</v>
      </c>
      <c r="AA272" s="94" t="s">
        <v>964</v>
      </c>
      <c r="AB272" s="94" t="s">
        <v>964</v>
      </c>
      <c r="AC272" s="94" t="s">
        <v>970</v>
      </c>
      <c r="AD272" s="101" t="s">
        <v>971</v>
      </c>
    </row>
    <row r="273" spans="1:30" ht="15" hidden="1">
      <c r="A273" s="94" t="s">
        <v>1148</v>
      </c>
      <c r="B273" s="94" t="s">
        <v>14</v>
      </c>
      <c r="C273" s="94" t="s">
        <v>957</v>
      </c>
      <c r="D273" s="105" t="s">
        <v>1190</v>
      </c>
      <c r="E273" s="95"/>
      <c r="F273" s="94" t="s">
        <v>960</v>
      </c>
      <c r="G273" s="94" t="s">
        <v>960</v>
      </c>
      <c r="H273" s="94" t="s">
        <v>961</v>
      </c>
      <c r="I273" s="94"/>
      <c r="J273" s="94">
        <v>4</v>
      </c>
      <c r="K273" s="96" t="e">
        <f>VLOOKUP(Tabela13[[#This Row],[Prioridade]],[5]!TabelaPrioridade[#Data],2,FALSE)</f>
        <v>#REF!</v>
      </c>
      <c r="L273" s="96" t="e">
        <f>VLOOKUP(Tabela13[[#This Row],[Prioridade]],[5]!TabelaPrioridade[#Data],3,FALSE)</f>
        <v>#REF!</v>
      </c>
      <c r="M273" s="94" t="s">
        <v>963</v>
      </c>
      <c r="N273" s="94" t="s">
        <v>964</v>
      </c>
      <c r="O273" s="94" t="s">
        <v>964</v>
      </c>
      <c r="P273" s="94" t="s">
        <v>975</v>
      </c>
      <c r="Q273" s="97" t="e">
        <f>Tabela13[[#This Row],[Tempo Máximo Atendimento]]+"00:20:00"</f>
        <v>#REF!</v>
      </c>
      <c r="R273" s="94"/>
      <c r="S273" s="94" t="s">
        <v>980</v>
      </c>
      <c r="T273" s="94" t="s">
        <v>964</v>
      </c>
      <c r="U273" s="94" t="s">
        <v>964</v>
      </c>
      <c r="V273" s="94"/>
      <c r="W273" s="94" t="s">
        <v>1005</v>
      </c>
      <c r="X273" s="94" t="s">
        <v>964</v>
      </c>
      <c r="Y273" s="95" t="s">
        <v>964</v>
      </c>
      <c r="Z273" s="94" t="s">
        <v>964</v>
      </c>
      <c r="AA273" s="94" t="s">
        <v>964</v>
      </c>
      <c r="AB273" s="94" t="s">
        <v>964</v>
      </c>
      <c r="AC273" s="94" t="s">
        <v>970</v>
      </c>
      <c r="AD273" s="101" t="s">
        <v>971</v>
      </c>
    </row>
    <row r="274" spans="1:30" ht="15" hidden="1">
      <c r="A274" s="94" t="s">
        <v>1148</v>
      </c>
      <c r="B274" s="94" t="s">
        <v>14</v>
      </c>
      <c r="C274" s="94" t="s">
        <v>957</v>
      </c>
      <c r="D274" s="105" t="s">
        <v>1191</v>
      </c>
      <c r="E274" s="95"/>
      <c r="F274" s="94" t="s">
        <v>960</v>
      </c>
      <c r="G274" s="94" t="s">
        <v>960</v>
      </c>
      <c r="H274" s="94" t="s">
        <v>961</v>
      </c>
      <c r="I274" s="94"/>
      <c r="J274" s="94">
        <v>4</v>
      </c>
      <c r="K274" s="96" t="e">
        <f>VLOOKUP(Tabela13[[#This Row],[Prioridade]],[5]!TabelaPrioridade[#Data],2,FALSE)</f>
        <v>#REF!</v>
      </c>
      <c r="L274" s="96" t="e">
        <f>VLOOKUP(Tabela13[[#This Row],[Prioridade]],[5]!TabelaPrioridade[#Data],3,FALSE)</f>
        <v>#REF!</v>
      </c>
      <c r="M274" s="94" t="s">
        <v>963</v>
      </c>
      <c r="N274" s="94" t="s">
        <v>964</v>
      </c>
      <c r="O274" s="94" t="s">
        <v>964</v>
      </c>
      <c r="P274" s="94" t="s">
        <v>975</v>
      </c>
      <c r="Q274" s="97" t="e">
        <f>Tabela13[[#This Row],[Tempo Máximo Atendimento]]+"00:20:00"</f>
        <v>#REF!</v>
      </c>
      <c r="R274" s="94"/>
      <c r="S274" s="94" t="s">
        <v>980</v>
      </c>
      <c r="T274" s="94" t="s">
        <v>964</v>
      </c>
      <c r="U274" s="94" t="s">
        <v>964</v>
      </c>
      <c r="V274" s="94"/>
      <c r="W274" s="94" t="s">
        <v>1005</v>
      </c>
      <c r="X274" s="94" t="s">
        <v>964</v>
      </c>
      <c r="Y274" s="95" t="s">
        <v>964</v>
      </c>
      <c r="Z274" s="94" t="s">
        <v>964</v>
      </c>
      <c r="AA274" s="94" t="s">
        <v>964</v>
      </c>
      <c r="AB274" s="94" t="s">
        <v>964</v>
      </c>
      <c r="AC274" s="94" t="s">
        <v>970</v>
      </c>
      <c r="AD274" s="101" t="s">
        <v>971</v>
      </c>
    </row>
    <row r="275" spans="1:30" ht="15" hidden="1">
      <c r="A275" s="94" t="s">
        <v>1148</v>
      </c>
      <c r="B275" s="94" t="s">
        <v>14</v>
      </c>
      <c r="C275" s="94" t="s">
        <v>957</v>
      </c>
      <c r="D275" s="105" t="s">
        <v>1192</v>
      </c>
      <c r="E275" s="95"/>
      <c r="F275" s="94" t="s">
        <v>960</v>
      </c>
      <c r="G275" s="94" t="s">
        <v>960</v>
      </c>
      <c r="H275" s="94" t="s">
        <v>961</v>
      </c>
      <c r="I275" s="94"/>
      <c r="J275" s="94">
        <v>4</v>
      </c>
      <c r="K275" s="96" t="e">
        <f>VLOOKUP(Tabela13[[#This Row],[Prioridade]],[5]!TabelaPrioridade[#Data],2,FALSE)</f>
        <v>#REF!</v>
      </c>
      <c r="L275" s="96" t="e">
        <f>VLOOKUP(Tabela13[[#This Row],[Prioridade]],[5]!TabelaPrioridade[#Data],3,FALSE)</f>
        <v>#REF!</v>
      </c>
      <c r="M275" s="94" t="s">
        <v>963</v>
      </c>
      <c r="N275" s="94" t="s">
        <v>964</v>
      </c>
      <c r="O275" s="94" t="s">
        <v>964</v>
      </c>
      <c r="P275" s="94" t="s">
        <v>975</v>
      </c>
      <c r="Q275" s="97" t="e">
        <f>Tabela13[[#This Row],[Tempo Máximo Atendimento]]+"00:20:00"</f>
        <v>#REF!</v>
      </c>
      <c r="R275" s="94"/>
      <c r="S275" s="94" t="s">
        <v>980</v>
      </c>
      <c r="T275" s="94" t="s">
        <v>964</v>
      </c>
      <c r="U275" s="94" t="s">
        <v>964</v>
      </c>
      <c r="V275" s="94"/>
      <c r="W275" s="94" t="s">
        <v>1005</v>
      </c>
      <c r="X275" s="94" t="s">
        <v>964</v>
      </c>
      <c r="Y275" s="95" t="s">
        <v>964</v>
      </c>
      <c r="Z275" s="94" t="s">
        <v>964</v>
      </c>
      <c r="AA275" s="94" t="s">
        <v>964</v>
      </c>
      <c r="AB275" s="94" t="s">
        <v>964</v>
      </c>
      <c r="AC275" s="94" t="s">
        <v>970</v>
      </c>
      <c r="AD275" s="101" t="s">
        <v>971</v>
      </c>
    </row>
    <row r="276" spans="1:30" ht="24" hidden="1">
      <c r="A276" s="94" t="s">
        <v>1148</v>
      </c>
      <c r="B276" s="94" t="s">
        <v>14</v>
      </c>
      <c r="C276" s="94" t="s">
        <v>957</v>
      </c>
      <c r="D276" s="105" t="s">
        <v>1193</v>
      </c>
      <c r="E276" s="95" t="s">
        <v>1154</v>
      </c>
      <c r="F276" s="94" t="s">
        <v>960</v>
      </c>
      <c r="G276" s="94" t="s">
        <v>963</v>
      </c>
      <c r="H276" s="94" t="s">
        <v>961</v>
      </c>
      <c r="I276" s="94"/>
      <c r="J276" s="94">
        <v>5</v>
      </c>
      <c r="K276" s="96" t="e">
        <f>VLOOKUP(Tabela13[[#This Row],[Prioridade]],[5]!TabelaPrioridade[#Data],2,FALSE)</f>
        <v>#REF!</v>
      </c>
      <c r="L276" s="96" t="e">
        <f>VLOOKUP(Tabela13[[#This Row],[Prioridade]],[5]!TabelaPrioridade[#Data],3,FALSE)</f>
        <v>#REF!</v>
      </c>
      <c r="M276" s="94" t="s">
        <v>960</v>
      </c>
      <c r="N276" s="94" t="s">
        <v>1012</v>
      </c>
      <c r="O276" s="99">
        <v>0.66666666666666663</v>
      </c>
      <c r="P276" s="94" t="s">
        <v>965</v>
      </c>
      <c r="Q276" s="97" t="e">
        <f>Tabela13[[#This Row],[Tempo Máximo Atendimento]]+"00:20:00"</f>
        <v>#REF!</v>
      </c>
      <c r="R276" s="94"/>
      <c r="S276" s="108" t="s">
        <v>34</v>
      </c>
      <c r="T276" s="94" t="s">
        <v>964</v>
      </c>
      <c r="U276" s="97" t="e">
        <f>Tabela13[[#This Row],[Tempo Máximo Total Resolução]]-Tabela13[[#This Row],[Tempo Máximo Escalada Funcional]]</f>
        <v>#REF!</v>
      </c>
      <c r="V276" s="94"/>
      <c r="W276" s="94" t="s">
        <v>975</v>
      </c>
      <c r="X276" s="94" t="s">
        <v>964</v>
      </c>
      <c r="Y276" s="95" t="s">
        <v>964</v>
      </c>
      <c r="Z276" s="94" t="s">
        <v>964</v>
      </c>
      <c r="AA276" s="94" t="s">
        <v>964</v>
      </c>
      <c r="AB276" s="94" t="s">
        <v>964</v>
      </c>
      <c r="AC276" s="94" t="s">
        <v>970</v>
      </c>
      <c r="AD276" s="101" t="s">
        <v>971</v>
      </c>
    </row>
    <row r="277" spans="1:30" ht="15" hidden="1">
      <c r="A277" s="94" t="s">
        <v>1148</v>
      </c>
      <c r="B277" s="94" t="s">
        <v>14</v>
      </c>
      <c r="C277" s="94" t="s">
        <v>957</v>
      </c>
      <c r="D277" s="105" t="s">
        <v>1194</v>
      </c>
      <c r="E277" s="95"/>
      <c r="F277" s="94" t="s">
        <v>960</v>
      </c>
      <c r="G277" s="94" t="s">
        <v>960</v>
      </c>
      <c r="H277" s="94" t="s">
        <v>961</v>
      </c>
      <c r="I277" s="94"/>
      <c r="J277" s="94">
        <v>4</v>
      </c>
      <c r="K277" s="96" t="e">
        <f>VLOOKUP(Tabela13[[#This Row],[Prioridade]],[5]!TabelaPrioridade[#Data],2,FALSE)</f>
        <v>#REF!</v>
      </c>
      <c r="L277" s="96" t="e">
        <f>VLOOKUP(Tabela13[[#This Row],[Prioridade]],[5]!TabelaPrioridade[#Data],3,FALSE)</f>
        <v>#REF!</v>
      </c>
      <c r="M277" s="94" t="s">
        <v>963</v>
      </c>
      <c r="N277" s="94" t="s">
        <v>964</v>
      </c>
      <c r="O277" s="94" t="s">
        <v>964</v>
      </c>
      <c r="P277" s="94" t="s">
        <v>975</v>
      </c>
      <c r="Q277" s="97" t="e">
        <f>Tabela13[[#This Row],[Tempo Máximo Atendimento]]+"00:20:00"</f>
        <v>#REF!</v>
      </c>
      <c r="R277" s="94"/>
      <c r="S277" s="94" t="s">
        <v>980</v>
      </c>
      <c r="T277" s="94" t="s">
        <v>964</v>
      </c>
      <c r="U277" s="94" t="s">
        <v>964</v>
      </c>
      <c r="V277" s="94"/>
      <c r="W277" s="94" t="s">
        <v>1005</v>
      </c>
      <c r="X277" s="94" t="s">
        <v>964</v>
      </c>
      <c r="Y277" s="95" t="s">
        <v>964</v>
      </c>
      <c r="Z277" s="94" t="s">
        <v>964</v>
      </c>
      <c r="AA277" s="94" t="s">
        <v>964</v>
      </c>
      <c r="AB277" s="94" t="s">
        <v>964</v>
      </c>
      <c r="AC277" s="94" t="s">
        <v>970</v>
      </c>
      <c r="AD277" s="101" t="s">
        <v>971</v>
      </c>
    </row>
    <row r="278" spans="1:30" ht="15" hidden="1">
      <c r="A278" s="94" t="s">
        <v>1148</v>
      </c>
      <c r="B278" s="94" t="s">
        <v>14</v>
      </c>
      <c r="C278" s="94" t="s">
        <v>957</v>
      </c>
      <c r="D278" s="105" t="s">
        <v>1195</v>
      </c>
      <c r="E278" s="95" t="s">
        <v>1196</v>
      </c>
      <c r="F278" s="94" t="s">
        <v>960</v>
      </c>
      <c r="G278" s="94" t="s">
        <v>960</v>
      </c>
      <c r="H278" s="94" t="s">
        <v>961</v>
      </c>
      <c r="I278" s="94"/>
      <c r="J278" s="94">
        <v>4</v>
      </c>
      <c r="K278" s="96" t="e">
        <f>VLOOKUP(Tabela13[[#This Row],[Prioridade]],[5]!TabelaPrioridade[#Data],2,FALSE)</f>
        <v>#REF!</v>
      </c>
      <c r="L278" s="96" t="e">
        <f>VLOOKUP(Tabela13[[#This Row],[Prioridade]],[5]!TabelaPrioridade[#Data],3,FALSE)</f>
        <v>#REF!</v>
      </c>
      <c r="M278" s="94" t="s">
        <v>963</v>
      </c>
      <c r="N278" s="94"/>
      <c r="O278" s="94"/>
      <c r="P278" s="94" t="s">
        <v>975</v>
      </c>
      <c r="Q278" s="97" t="e">
        <f>Tabela13[[#This Row],[Tempo Máximo Atendimento]]+"00:20:00"</f>
        <v>#REF!</v>
      </c>
      <c r="R278" s="94"/>
      <c r="S278" s="108" t="s">
        <v>34</v>
      </c>
      <c r="T278" s="94" t="s">
        <v>964</v>
      </c>
      <c r="U278" s="97" t="e">
        <f>Tabela13[[#This Row],[Tempo Máximo Total Resolução]]-Tabela13[[#This Row],[Tempo Máximo Escalada Funcional]]</f>
        <v>#REF!</v>
      </c>
      <c r="V278" s="94"/>
      <c r="W278" s="94" t="s">
        <v>1005</v>
      </c>
      <c r="X278" s="94" t="s">
        <v>964</v>
      </c>
      <c r="Y278" s="95" t="s">
        <v>964</v>
      </c>
      <c r="Z278" s="94" t="s">
        <v>964</v>
      </c>
      <c r="AA278" s="94" t="s">
        <v>964</v>
      </c>
      <c r="AB278" s="94" t="s">
        <v>964</v>
      </c>
      <c r="AC278" s="94" t="s">
        <v>970</v>
      </c>
      <c r="AD278" s="101" t="s">
        <v>971</v>
      </c>
    </row>
    <row r="279" spans="1:30" ht="15" hidden="1">
      <c r="A279" s="94" t="s">
        <v>1148</v>
      </c>
      <c r="B279" s="94" t="s">
        <v>14</v>
      </c>
      <c r="C279" s="94" t="s">
        <v>976</v>
      </c>
      <c r="D279" s="105" t="s">
        <v>977</v>
      </c>
      <c r="E279" s="95"/>
      <c r="F279" s="94" t="s">
        <v>963</v>
      </c>
      <c r="G279" s="94" t="s">
        <v>960</v>
      </c>
      <c r="H279" s="94" t="s">
        <v>961</v>
      </c>
      <c r="I279" s="94"/>
      <c r="J279" s="94">
        <v>4</v>
      </c>
      <c r="K279" s="96" t="e">
        <f>VLOOKUP(Tabela13[[#This Row],[Prioridade]],[5]!TabelaPrioridade[#Data],2,FALSE)</f>
        <v>#REF!</v>
      </c>
      <c r="L279" s="96" t="e">
        <f>VLOOKUP(Tabela13[[#This Row],[Prioridade]],[5]!TabelaPrioridade[#Data],3,FALSE)</f>
        <v>#REF!</v>
      </c>
      <c r="M279" s="94" t="s">
        <v>963</v>
      </c>
      <c r="N279" s="94" t="s">
        <v>964</v>
      </c>
      <c r="O279" s="94" t="s">
        <v>964</v>
      </c>
      <c r="P279" s="94" t="s">
        <v>965</v>
      </c>
      <c r="Q279" s="97" t="e">
        <f>Tabela13[[#This Row],[Tempo Máximo Atendimento]]+"00:20:00"</f>
        <v>#REF!</v>
      </c>
      <c r="R279" s="94"/>
      <c r="S279" s="94" t="s">
        <v>975</v>
      </c>
      <c r="T279" s="94" t="s">
        <v>964</v>
      </c>
      <c r="U279" s="94" t="s">
        <v>964</v>
      </c>
      <c r="V279" s="94"/>
      <c r="W279" s="94" t="s">
        <v>980</v>
      </c>
      <c r="X279" s="94" t="s">
        <v>964</v>
      </c>
      <c r="Y279" s="95" t="s">
        <v>964</v>
      </c>
      <c r="Z279" s="94" t="s">
        <v>964</v>
      </c>
      <c r="AA279" s="94" t="s">
        <v>964</v>
      </c>
      <c r="AB279" s="94" t="s">
        <v>964</v>
      </c>
      <c r="AC279" s="94" t="s">
        <v>970</v>
      </c>
      <c r="AD279" s="101" t="s">
        <v>971</v>
      </c>
    </row>
    <row r="280" spans="1:30" ht="15" hidden="1">
      <c r="A280" s="94" t="s">
        <v>1148</v>
      </c>
      <c r="B280" s="94" t="s">
        <v>14</v>
      </c>
      <c r="C280" s="94" t="s">
        <v>976</v>
      </c>
      <c r="D280" s="95" t="s">
        <v>566</v>
      </c>
      <c r="E280" s="95"/>
      <c r="F280" s="94" t="s">
        <v>963</v>
      </c>
      <c r="G280" s="94" t="s">
        <v>960</v>
      </c>
      <c r="H280" s="94" t="s">
        <v>961</v>
      </c>
      <c r="I280" s="94"/>
      <c r="J280" s="94">
        <v>4</v>
      </c>
      <c r="K280" s="96" t="e">
        <f>VLOOKUP(Tabela13[[#This Row],[Prioridade]],[5]!TabelaPrioridade[#Data],2,FALSE)</f>
        <v>#REF!</v>
      </c>
      <c r="L280" s="96" t="e">
        <f>VLOOKUP(Tabela13[[#This Row],[Prioridade]],[5]!TabelaPrioridade[#Data],3,FALSE)</f>
        <v>#REF!</v>
      </c>
      <c r="M280" s="94" t="s">
        <v>963</v>
      </c>
      <c r="N280" s="94" t="s">
        <v>964</v>
      </c>
      <c r="O280" s="94" t="s">
        <v>964</v>
      </c>
      <c r="P280" s="94" t="s">
        <v>965</v>
      </c>
      <c r="Q280" s="97" t="e">
        <f>Tabela13[[#This Row],[Tempo Máximo Atendimento]]+"00:20:00"</f>
        <v>#REF!</v>
      </c>
      <c r="R280" s="94"/>
      <c r="S280" s="94" t="s">
        <v>975</v>
      </c>
      <c r="T280" s="94" t="s">
        <v>964</v>
      </c>
      <c r="U280" s="94" t="s">
        <v>964</v>
      </c>
      <c r="V280" s="94"/>
      <c r="W280" s="94" t="s">
        <v>980</v>
      </c>
      <c r="X280" s="94" t="s">
        <v>964</v>
      </c>
      <c r="Y280" s="95" t="s">
        <v>964</v>
      </c>
      <c r="Z280" s="94" t="s">
        <v>964</v>
      </c>
      <c r="AA280" s="94" t="s">
        <v>964</v>
      </c>
      <c r="AB280" s="94" t="s">
        <v>964</v>
      </c>
      <c r="AC280" s="94" t="s">
        <v>970</v>
      </c>
      <c r="AD280" s="101" t="s">
        <v>971</v>
      </c>
    </row>
    <row r="281" spans="1:30" ht="15" hidden="1">
      <c r="A281" s="94" t="s">
        <v>1148</v>
      </c>
      <c r="B281" s="94" t="s">
        <v>14</v>
      </c>
      <c r="C281" s="94" t="s">
        <v>976</v>
      </c>
      <c r="D281" s="105" t="s">
        <v>565</v>
      </c>
      <c r="E281" s="95"/>
      <c r="F281" s="94" t="s">
        <v>963</v>
      </c>
      <c r="G281" s="94" t="s">
        <v>960</v>
      </c>
      <c r="H281" s="94" t="s">
        <v>961</v>
      </c>
      <c r="I281" s="94"/>
      <c r="J281" s="94">
        <v>3</v>
      </c>
      <c r="K281" s="96" t="e">
        <f>VLOOKUP(Tabela13[[#This Row],[Prioridade]],[5]!TabelaPrioridade[#Data],2,FALSE)</f>
        <v>#REF!</v>
      </c>
      <c r="L281" s="96" t="e">
        <f>VLOOKUP(Tabela13[[#This Row],[Prioridade]],[5]!TabelaPrioridade[#Data],3,FALSE)</f>
        <v>#REF!</v>
      </c>
      <c r="M281" s="94" t="s">
        <v>963</v>
      </c>
      <c r="N281" s="94" t="s">
        <v>964</v>
      </c>
      <c r="O281" s="94" t="s">
        <v>964</v>
      </c>
      <c r="P281" s="94" t="s">
        <v>965</v>
      </c>
      <c r="Q281" s="97" t="e">
        <f>Tabela13[[#This Row],[Tempo Máximo Atendimento]]+"00:20:00"</f>
        <v>#REF!</v>
      </c>
      <c r="R281" s="94"/>
      <c r="S281" s="94" t="s">
        <v>975</v>
      </c>
      <c r="T281" s="94" t="s">
        <v>964</v>
      </c>
      <c r="U281" s="94" t="s">
        <v>964</v>
      </c>
      <c r="V281" s="94"/>
      <c r="W281" s="94" t="s">
        <v>980</v>
      </c>
      <c r="X281" s="94" t="s">
        <v>964</v>
      </c>
      <c r="Y281" s="95" t="s">
        <v>964</v>
      </c>
      <c r="Z281" s="94" t="s">
        <v>964</v>
      </c>
      <c r="AA281" s="94" t="s">
        <v>964</v>
      </c>
      <c r="AB281" s="94" t="s">
        <v>964</v>
      </c>
      <c r="AC281" s="94" t="s">
        <v>970</v>
      </c>
      <c r="AD281" s="99">
        <v>2.0833333333333332E-2</v>
      </c>
    </row>
    <row r="282" spans="1:30" ht="15" hidden="1">
      <c r="A282" s="94" t="s">
        <v>1148</v>
      </c>
      <c r="B282" s="94" t="s">
        <v>14</v>
      </c>
      <c r="C282" s="94" t="s">
        <v>976</v>
      </c>
      <c r="D282" s="105" t="s">
        <v>987</v>
      </c>
      <c r="E282" s="95"/>
      <c r="F282" s="94" t="s">
        <v>963</v>
      </c>
      <c r="G282" s="94" t="s">
        <v>960</v>
      </c>
      <c r="H282" s="94" t="s">
        <v>961</v>
      </c>
      <c r="I282" s="94"/>
      <c r="J282" s="94">
        <v>4</v>
      </c>
      <c r="K282" s="96" t="e">
        <f>VLOOKUP(Tabela13[[#This Row],[Prioridade]],[5]!TabelaPrioridade[#Data],2,FALSE)</f>
        <v>#REF!</v>
      </c>
      <c r="L282" s="96" t="e">
        <f>VLOOKUP(Tabela13[[#This Row],[Prioridade]],[5]!TabelaPrioridade[#Data],3,FALSE)</f>
        <v>#REF!</v>
      </c>
      <c r="M282" s="94" t="s">
        <v>963</v>
      </c>
      <c r="N282" s="94" t="s">
        <v>964</v>
      </c>
      <c r="O282" s="94" t="s">
        <v>964</v>
      </c>
      <c r="P282" s="94" t="s">
        <v>965</v>
      </c>
      <c r="Q282" s="97" t="e">
        <f>Tabela13[[#This Row],[Tempo Máximo Atendimento]]+"00:20:00"</f>
        <v>#REF!</v>
      </c>
      <c r="R282" s="94"/>
      <c r="S282" s="94" t="s">
        <v>975</v>
      </c>
      <c r="T282" s="94" t="s">
        <v>964</v>
      </c>
      <c r="U282" s="94" t="s">
        <v>964</v>
      </c>
      <c r="V282" s="94"/>
      <c r="W282" s="94" t="s">
        <v>980</v>
      </c>
      <c r="X282" s="94" t="s">
        <v>964</v>
      </c>
      <c r="Y282" s="95" t="s">
        <v>964</v>
      </c>
      <c r="Z282" s="94" t="s">
        <v>964</v>
      </c>
      <c r="AA282" s="94" t="s">
        <v>964</v>
      </c>
      <c r="AB282" s="94" t="s">
        <v>964</v>
      </c>
      <c r="AC282" s="94" t="s">
        <v>970</v>
      </c>
      <c r="AD282" s="101" t="s">
        <v>971</v>
      </c>
    </row>
    <row r="283" spans="1:30" ht="15" hidden="1">
      <c r="A283" s="94" t="s">
        <v>1197</v>
      </c>
      <c r="B283" s="94" t="s">
        <v>14</v>
      </c>
      <c r="C283" s="94" t="s">
        <v>976</v>
      </c>
      <c r="D283" s="105" t="s">
        <v>977</v>
      </c>
      <c r="E283" s="95"/>
      <c r="F283" s="94" t="s">
        <v>963</v>
      </c>
      <c r="G283" s="94" t="s">
        <v>960</v>
      </c>
      <c r="H283" s="94" t="s">
        <v>961</v>
      </c>
      <c r="I283" s="94"/>
      <c r="J283" s="94">
        <v>3</v>
      </c>
      <c r="K283" s="96" t="e">
        <f>VLOOKUP(Tabela13[[#This Row],[Prioridade]],[5]!TabelaPrioridade[#Data],2,FALSE)</f>
        <v>#REF!</v>
      </c>
      <c r="L283" s="96" t="e">
        <f>VLOOKUP(Tabela13[[#This Row],[Prioridade]],[5]!TabelaPrioridade[#Data],3,FALSE)</f>
        <v>#REF!</v>
      </c>
      <c r="M283" s="94" t="s">
        <v>963</v>
      </c>
      <c r="N283" s="94" t="s">
        <v>964</v>
      </c>
      <c r="O283" s="94" t="s">
        <v>964</v>
      </c>
      <c r="P283" s="94" t="s">
        <v>965</v>
      </c>
      <c r="Q283" s="97" t="e">
        <f>Tabela13[[#This Row],[Tempo Máximo Atendimento]]+"00:20:00"</f>
        <v>#REF!</v>
      </c>
      <c r="R283" s="94"/>
      <c r="S283" s="94" t="s">
        <v>967</v>
      </c>
      <c r="T283" s="94" t="s">
        <v>964</v>
      </c>
      <c r="U283" s="94" t="s">
        <v>964</v>
      </c>
      <c r="V283" s="94"/>
      <c r="W283" s="94" t="s">
        <v>980</v>
      </c>
      <c r="X283" s="94" t="s">
        <v>964</v>
      </c>
      <c r="Y283" s="95" t="s">
        <v>964</v>
      </c>
      <c r="Z283" s="94" t="s">
        <v>1198</v>
      </c>
      <c r="AA283" s="94" t="s">
        <v>964</v>
      </c>
      <c r="AB283" s="94" t="s">
        <v>964</v>
      </c>
      <c r="AC283" s="94"/>
      <c r="AD283" s="94"/>
    </row>
    <row r="284" spans="1:30" ht="15" hidden="1">
      <c r="A284" s="94" t="s">
        <v>1197</v>
      </c>
      <c r="B284" s="94" t="s">
        <v>14</v>
      </c>
      <c r="C284" s="94" t="s">
        <v>976</v>
      </c>
      <c r="D284" s="105" t="s">
        <v>566</v>
      </c>
      <c r="E284" s="95"/>
      <c r="F284" s="94" t="s">
        <v>963</v>
      </c>
      <c r="G284" s="94" t="s">
        <v>960</v>
      </c>
      <c r="H284" s="94" t="s">
        <v>961</v>
      </c>
      <c r="I284" s="94"/>
      <c r="J284" s="94">
        <v>3</v>
      </c>
      <c r="K284" s="96" t="e">
        <f>VLOOKUP(Tabela13[[#This Row],[Prioridade]],[5]!TabelaPrioridade[#Data],2,FALSE)</f>
        <v>#REF!</v>
      </c>
      <c r="L284" s="96" t="e">
        <f>VLOOKUP(Tabela13[[#This Row],[Prioridade]],[5]!TabelaPrioridade[#Data],3,FALSE)</f>
        <v>#REF!</v>
      </c>
      <c r="M284" s="94" t="s">
        <v>963</v>
      </c>
      <c r="N284" s="94" t="s">
        <v>964</v>
      </c>
      <c r="O284" s="94" t="s">
        <v>964</v>
      </c>
      <c r="P284" s="94" t="s">
        <v>965</v>
      </c>
      <c r="Q284" s="97" t="e">
        <f>Tabela13[[#This Row],[Tempo Máximo Atendimento]]+"00:20:00"</f>
        <v>#REF!</v>
      </c>
      <c r="R284" s="94"/>
      <c r="S284" s="94" t="s">
        <v>967</v>
      </c>
      <c r="T284" s="94" t="s">
        <v>964</v>
      </c>
      <c r="U284" s="94" t="s">
        <v>964</v>
      </c>
      <c r="V284" s="94"/>
      <c r="W284" s="94" t="s">
        <v>980</v>
      </c>
      <c r="X284" s="94" t="s">
        <v>964</v>
      </c>
      <c r="Y284" s="95" t="s">
        <v>964</v>
      </c>
      <c r="Z284" s="94" t="s">
        <v>1198</v>
      </c>
      <c r="AA284" s="94" t="s">
        <v>964</v>
      </c>
      <c r="AB284" s="94" t="s">
        <v>964</v>
      </c>
      <c r="AC284" s="94"/>
      <c r="AD284" s="94"/>
    </row>
    <row r="285" spans="1:30" ht="15" hidden="1">
      <c r="A285" s="94" t="s">
        <v>1197</v>
      </c>
      <c r="B285" s="94" t="s">
        <v>14</v>
      </c>
      <c r="C285" s="94" t="s">
        <v>976</v>
      </c>
      <c r="D285" s="105" t="s">
        <v>565</v>
      </c>
      <c r="E285" s="95"/>
      <c r="F285" s="94" t="s">
        <v>963</v>
      </c>
      <c r="G285" s="94" t="s">
        <v>960</v>
      </c>
      <c r="H285" s="94" t="s">
        <v>961</v>
      </c>
      <c r="I285" s="94"/>
      <c r="J285" s="94">
        <v>2</v>
      </c>
      <c r="K285" s="96" t="e">
        <f>VLOOKUP(Tabela13[[#This Row],[Prioridade]],[5]!TabelaPrioridade[#Data],2,FALSE)</f>
        <v>#REF!</v>
      </c>
      <c r="L285" s="96" t="e">
        <f>VLOOKUP(Tabela13[[#This Row],[Prioridade]],[5]!TabelaPrioridade[#Data],3,FALSE)</f>
        <v>#REF!</v>
      </c>
      <c r="M285" s="94" t="s">
        <v>963</v>
      </c>
      <c r="N285" s="94" t="s">
        <v>964</v>
      </c>
      <c r="O285" s="94" t="s">
        <v>964</v>
      </c>
      <c r="P285" s="94" t="s">
        <v>965</v>
      </c>
      <c r="Q285" s="97" t="e">
        <f>Tabela13[[#This Row],[Tempo Máximo Atendimento]]+"00:20:00"</f>
        <v>#REF!</v>
      </c>
      <c r="R285" s="94"/>
      <c r="S285" s="94" t="s">
        <v>967</v>
      </c>
      <c r="T285" s="94" t="s">
        <v>964</v>
      </c>
      <c r="U285" s="94" t="s">
        <v>964</v>
      </c>
      <c r="V285" s="94"/>
      <c r="W285" s="94" t="s">
        <v>980</v>
      </c>
      <c r="X285" s="94" t="s">
        <v>964</v>
      </c>
      <c r="Y285" s="95" t="s">
        <v>964</v>
      </c>
      <c r="Z285" s="94" t="s">
        <v>1198</v>
      </c>
      <c r="AA285" s="94" t="s">
        <v>964</v>
      </c>
      <c r="AB285" s="94" t="s">
        <v>964</v>
      </c>
      <c r="AC285" s="94" t="s">
        <v>970</v>
      </c>
      <c r="AD285" s="99">
        <v>2.0833333333333332E-2</v>
      </c>
    </row>
    <row r="286" spans="1:30" ht="15" hidden="1">
      <c r="A286" s="94" t="s">
        <v>1197</v>
      </c>
      <c r="B286" s="94" t="s">
        <v>14</v>
      </c>
      <c r="C286" s="94" t="s">
        <v>976</v>
      </c>
      <c r="D286" s="105" t="s">
        <v>987</v>
      </c>
      <c r="E286" s="95"/>
      <c r="F286" s="94" t="s">
        <v>963</v>
      </c>
      <c r="G286" s="94" t="s">
        <v>960</v>
      </c>
      <c r="H286" s="94" t="s">
        <v>961</v>
      </c>
      <c r="I286" s="94"/>
      <c r="J286" s="94">
        <v>3</v>
      </c>
      <c r="K286" s="96" t="e">
        <f>VLOOKUP(Tabela13[[#This Row],[Prioridade]],[5]!TabelaPrioridade[#Data],2,FALSE)</f>
        <v>#REF!</v>
      </c>
      <c r="L286" s="96" t="e">
        <f>VLOOKUP(Tabela13[[#This Row],[Prioridade]],[5]!TabelaPrioridade[#Data],3,FALSE)</f>
        <v>#REF!</v>
      </c>
      <c r="M286" s="94" t="s">
        <v>963</v>
      </c>
      <c r="N286" s="94" t="s">
        <v>964</v>
      </c>
      <c r="O286" s="94" t="s">
        <v>964</v>
      </c>
      <c r="P286" s="94" t="s">
        <v>965</v>
      </c>
      <c r="Q286" s="97" t="e">
        <f>Tabela13[[#This Row],[Tempo Máximo Atendimento]]+"00:20:00"</f>
        <v>#REF!</v>
      </c>
      <c r="R286" s="94"/>
      <c r="S286" s="94" t="s">
        <v>967</v>
      </c>
      <c r="T286" s="94" t="s">
        <v>964</v>
      </c>
      <c r="U286" s="94" t="s">
        <v>964</v>
      </c>
      <c r="V286" s="94"/>
      <c r="W286" s="94" t="s">
        <v>980</v>
      </c>
      <c r="X286" s="94" t="s">
        <v>964</v>
      </c>
      <c r="Y286" s="95" t="s">
        <v>964</v>
      </c>
      <c r="Z286" s="94" t="s">
        <v>1198</v>
      </c>
      <c r="AA286" s="94" t="s">
        <v>964</v>
      </c>
      <c r="AB286" s="94" t="s">
        <v>964</v>
      </c>
      <c r="AC286" s="94"/>
      <c r="AD286" s="94"/>
    </row>
    <row r="287" spans="1:30" ht="15" hidden="1">
      <c r="A287" s="94" t="s">
        <v>1199</v>
      </c>
      <c r="B287" s="94" t="s">
        <v>14</v>
      </c>
      <c r="C287" s="94" t="s">
        <v>976</v>
      </c>
      <c r="D287" s="95" t="s">
        <v>977</v>
      </c>
      <c r="E287" s="95"/>
      <c r="F287" s="94" t="s">
        <v>963</v>
      </c>
      <c r="G287" s="94" t="s">
        <v>960</v>
      </c>
      <c r="H287" s="94" t="s">
        <v>961</v>
      </c>
      <c r="I287" s="94"/>
      <c r="J287" s="94">
        <v>3</v>
      </c>
      <c r="K287" s="96" t="e">
        <f>VLOOKUP(Tabela13[[#This Row],[Prioridade]],[5]!TabelaPrioridade[#Data],2,FALSE)</f>
        <v>#REF!</v>
      </c>
      <c r="L287" s="96" t="e">
        <f>VLOOKUP(Tabela13[[#This Row],[Prioridade]],[5]!TabelaPrioridade[#Data],3,FALSE)</f>
        <v>#REF!</v>
      </c>
      <c r="M287" s="94" t="s">
        <v>963</v>
      </c>
      <c r="N287" s="94" t="s">
        <v>964</v>
      </c>
      <c r="O287" s="94" t="s">
        <v>964</v>
      </c>
      <c r="P287" s="94" t="s">
        <v>965</v>
      </c>
      <c r="Q287" s="97" t="e">
        <f>Tabela13[[#This Row],[Tempo Máximo Atendimento]]+"00:20:00"</f>
        <v>#REF!</v>
      </c>
      <c r="R287" s="94"/>
      <c r="S287" s="94" t="s">
        <v>980</v>
      </c>
      <c r="T287" s="97" t="s">
        <v>964</v>
      </c>
      <c r="U287" s="97" t="s">
        <v>964</v>
      </c>
      <c r="V287" s="94"/>
      <c r="W287" s="94" t="s">
        <v>964</v>
      </c>
      <c r="X287" s="94" t="s">
        <v>964</v>
      </c>
      <c r="Y287" s="95" t="s">
        <v>964</v>
      </c>
      <c r="Z287" s="94" t="s">
        <v>964</v>
      </c>
      <c r="AA287" s="94" t="s">
        <v>964</v>
      </c>
      <c r="AB287" s="94" t="s">
        <v>964</v>
      </c>
      <c r="AC287" s="94" t="s">
        <v>970</v>
      </c>
      <c r="AD287" s="101" t="s">
        <v>971</v>
      </c>
    </row>
    <row r="288" spans="1:30" ht="15" hidden="1">
      <c r="A288" s="94" t="s">
        <v>1199</v>
      </c>
      <c r="B288" s="94" t="s">
        <v>14</v>
      </c>
      <c r="C288" s="94" t="s">
        <v>976</v>
      </c>
      <c r="D288" s="95" t="s">
        <v>566</v>
      </c>
      <c r="E288" s="95"/>
      <c r="F288" s="94" t="s">
        <v>963</v>
      </c>
      <c r="G288" s="94" t="s">
        <v>960</v>
      </c>
      <c r="H288" s="94" t="s">
        <v>961</v>
      </c>
      <c r="I288" s="94"/>
      <c r="J288" s="94">
        <v>3</v>
      </c>
      <c r="K288" s="96" t="e">
        <f>VLOOKUP(Tabela13[[#This Row],[Prioridade]],[5]!TabelaPrioridade[#Data],2,FALSE)</f>
        <v>#REF!</v>
      </c>
      <c r="L288" s="96" t="e">
        <f>VLOOKUP(Tabela13[[#This Row],[Prioridade]],[5]!TabelaPrioridade[#Data],3,FALSE)</f>
        <v>#REF!</v>
      </c>
      <c r="M288" s="94" t="s">
        <v>963</v>
      </c>
      <c r="N288" s="94" t="s">
        <v>964</v>
      </c>
      <c r="O288" s="94" t="s">
        <v>964</v>
      </c>
      <c r="P288" s="94" t="s">
        <v>965</v>
      </c>
      <c r="Q288" s="97" t="e">
        <f>Tabela13[[#This Row],[Tempo Máximo Atendimento]]+"00:20:00"</f>
        <v>#REF!</v>
      </c>
      <c r="R288" s="94"/>
      <c r="S288" s="94" t="s">
        <v>980</v>
      </c>
      <c r="T288" s="97" t="s">
        <v>964</v>
      </c>
      <c r="U288" s="97" t="s">
        <v>964</v>
      </c>
      <c r="V288" s="94"/>
      <c r="W288" s="94" t="s">
        <v>964</v>
      </c>
      <c r="X288" s="94" t="s">
        <v>964</v>
      </c>
      <c r="Y288" s="95" t="s">
        <v>964</v>
      </c>
      <c r="Z288" s="94" t="s">
        <v>964</v>
      </c>
      <c r="AA288" s="94" t="s">
        <v>964</v>
      </c>
      <c r="AB288" s="94" t="s">
        <v>964</v>
      </c>
      <c r="AC288" s="94" t="s">
        <v>970</v>
      </c>
      <c r="AD288" s="101" t="s">
        <v>971</v>
      </c>
    </row>
    <row r="289" spans="1:30" ht="15" hidden="1">
      <c r="A289" s="94" t="s">
        <v>1199</v>
      </c>
      <c r="B289" s="94" t="s">
        <v>14</v>
      </c>
      <c r="C289" s="94" t="s">
        <v>957</v>
      </c>
      <c r="D289" s="95" t="s">
        <v>1200</v>
      </c>
      <c r="E289" s="95"/>
      <c r="F289" s="94" t="s">
        <v>963</v>
      </c>
      <c r="G289" s="94" t="s">
        <v>960</v>
      </c>
      <c r="H289" s="94" t="s">
        <v>961</v>
      </c>
      <c r="I289" s="94"/>
      <c r="J289" s="94">
        <v>4</v>
      </c>
      <c r="K289" s="96" t="e">
        <f>VLOOKUP(Tabela13[[#This Row],[Prioridade]],[5]!TabelaPrioridade[#Data],2,FALSE)</f>
        <v>#REF!</v>
      </c>
      <c r="L289" s="96" t="e">
        <f>VLOOKUP(Tabela13[[#This Row],[Prioridade]],[5]!TabelaPrioridade[#Data],3,FALSE)</f>
        <v>#REF!</v>
      </c>
      <c r="M289" s="94" t="s">
        <v>963</v>
      </c>
      <c r="N289" s="94"/>
      <c r="O289" s="94"/>
      <c r="P289" s="94" t="s">
        <v>965</v>
      </c>
      <c r="Q289" s="97" t="e">
        <f>Tabela13[[#This Row],[Tempo Máximo Atendimento]]+"00:20:00"</f>
        <v>#REF!</v>
      </c>
      <c r="R289" s="94"/>
      <c r="S289" s="94" t="s">
        <v>980</v>
      </c>
      <c r="T289" s="97" t="s">
        <v>964</v>
      </c>
      <c r="U289" s="97" t="s">
        <v>964</v>
      </c>
      <c r="V289" s="94"/>
      <c r="W289" s="94" t="s">
        <v>964</v>
      </c>
      <c r="X289" s="94" t="s">
        <v>964</v>
      </c>
      <c r="Y289" s="95" t="s">
        <v>964</v>
      </c>
      <c r="Z289" s="94" t="s">
        <v>964</v>
      </c>
      <c r="AA289" s="94" t="s">
        <v>964</v>
      </c>
      <c r="AB289" s="94" t="s">
        <v>964</v>
      </c>
      <c r="AC289" s="94" t="s">
        <v>970</v>
      </c>
      <c r="AD289" s="101" t="s">
        <v>971</v>
      </c>
    </row>
    <row r="290" spans="1:30" ht="15" hidden="1">
      <c r="A290" s="94" t="s">
        <v>1199</v>
      </c>
      <c r="B290" s="94" t="s">
        <v>14</v>
      </c>
      <c r="C290" s="94" t="s">
        <v>976</v>
      </c>
      <c r="D290" s="105" t="s">
        <v>565</v>
      </c>
      <c r="E290" s="95"/>
      <c r="F290" s="94" t="s">
        <v>963</v>
      </c>
      <c r="G290" s="94" t="s">
        <v>960</v>
      </c>
      <c r="H290" s="94" t="s">
        <v>961</v>
      </c>
      <c r="I290" s="94"/>
      <c r="J290" s="94">
        <v>2</v>
      </c>
      <c r="K290" s="96" t="e">
        <f>VLOOKUP(Tabela13[[#This Row],[Prioridade]],[5]!TabelaPrioridade[#Data],2,FALSE)</f>
        <v>#REF!</v>
      </c>
      <c r="L290" s="96" t="e">
        <f>VLOOKUP(Tabela13[[#This Row],[Prioridade]],[5]!TabelaPrioridade[#Data],3,FALSE)</f>
        <v>#REF!</v>
      </c>
      <c r="M290" s="94" t="s">
        <v>963</v>
      </c>
      <c r="N290" s="94" t="s">
        <v>964</v>
      </c>
      <c r="O290" s="94" t="s">
        <v>964</v>
      </c>
      <c r="P290" s="94" t="s">
        <v>965</v>
      </c>
      <c r="Q290" s="97" t="e">
        <f>Tabela13[[#This Row],[Tempo Máximo Atendimento]]+"00:20:00"</f>
        <v>#REF!</v>
      </c>
      <c r="R290" s="94"/>
      <c r="S290" s="94" t="s">
        <v>980</v>
      </c>
      <c r="T290" s="97" t="s">
        <v>964</v>
      </c>
      <c r="U290" s="97" t="s">
        <v>964</v>
      </c>
      <c r="V290" s="94"/>
      <c r="W290" s="94" t="s">
        <v>964</v>
      </c>
      <c r="X290" s="94" t="s">
        <v>964</v>
      </c>
      <c r="Y290" s="95" t="s">
        <v>964</v>
      </c>
      <c r="Z290" s="94" t="s">
        <v>964</v>
      </c>
      <c r="AA290" s="94" t="s">
        <v>964</v>
      </c>
      <c r="AB290" s="94" t="s">
        <v>964</v>
      </c>
      <c r="AC290" s="94" t="s">
        <v>970</v>
      </c>
      <c r="AD290" s="99">
        <v>2.0833333333333332E-2</v>
      </c>
    </row>
    <row r="291" spans="1:30" ht="15" hidden="1">
      <c r="A291" s="94" t="s">
        <v>1199</v>
      </c>
      <c r="B291" s="94" t="s">
        <v>14</v>
      </c>
      <c r="C291" s="94" t="s">
        <v>957</v>
      </c>
      <c r="D291" s="105" t="s">
        <v>1201</v>
      </c>
      <c r="E291" s="95"/>
      <c r="F291" s="94" t="s">
        <v>963</v>
      </c>
      <c r="G291" s="94" t="s">
        <v>960</v>
      </c>
      <c r="H291" s="94" t="s">
        <v>961</v>
      </c>
      <c r="I291" s="94"/>
      <c r="J291" s="94">
        <v>4</v>
      </c>
      <c r="K291" s="96" t="e">
        <f>VLOOKUP(Tabela13[[#This Row],[Prioridade]],[5]!TabelaPrioridade[#Data],2,FALSE)</f>
        <v>#REF!</v>
      </c>
      <c r="L291" s="96" t="e">
        <f>VLOOKUP(Tabela13[[#This Row],[Prioridade]],[5]!TabelaPrioridade[#Data],3,FALSE)</f>
        <v>#REF!</v>
      </c>
      <c r="M291" s="94" t="s">
        <v>963</v>
      </c>
      <c r="N291" s="94"/>
      <c r="O291" s="94"/>
      <c r="P291" s="94" t="s">
        <v>965</v>
      </c>
      <c r="Q291" s="97" t="e">
        <f>Tabela13[[#This Row],[Tempo Máximo Atendimento]]+"00:20:00"</f>
        <v>#REF!</v>
      </c>
      <c r="R291" s="94"/>
      <c r="S291" s="94" t="s">
        <v>975</v>
      </c>
      <c r="T291" s="94" t="s">
        <v>964</v>
      </c>
      <c r="U291" s="94" t="s">
        <v>964</v>
      </c>
      <c r="V291" s="94"/>
      <c r="W291" s="94" t="s">
        <v>980</v>
      </c>
      <c r="X291" s="94" t="s">
        <v>964</v>
      </c>
      <c r="Y291" s="95" t="s">
        <v>964</v>
      </c>
      <c r="Z291" s="94" t="s">
        <v>964</v>
      </c>
      <c r="AA291" s="94" t="s">
        <v>964</v>
      </c>
      <c r="AB291" s="94" t="s">
        <v>964</v>
      </c>
      <c r="AC291" s="94" t="s">
        <v>970</v>
      </c>
      <c r="AD291" s="101" t="s">
        <v>971</v>
      </c>
    </row>
    <row r="292" spans="1:30" ht="15" hidden="1">
      <c r="A292" s="94" t="s">
        <v>1199</v>
      </c>
      <c r="B292" s="94" t="s">
        <v>14</v>
      </c>
      <c r="C292" s="94" t="s">
        <v>957</v>
      </c>
      <c r="D292" s="105" t="s">
        <v>1202</v>
      </c>
      <c r="E292" s="95"/>
      <c r="F292" s="94" t="s">
        <v>960</v>
      </c>
      <c r="G292" s="94" t="s">
        <v>960</v>
      </c>
      <c r="H292" s="94" t="s">
        <v>961</v>
      </c>
      <c r="I292" s="94"/>
      <c r="J292" s="94">
        <v>4</v>
      </c>
      <c r="K292" s="96" t="e">
        <f>VLOOKUP(Tabela13[[#This Row],[Prioridade]],[5]!TabelaPrioridade[#Data],2,FALSE)</f>
        <v>#REF!</v>
      </c>
      <c r="L292" s="96" t="e">
        <f>VLOOKUP(Tabela13[[#This Row],[Prioridade]],[5]!TabelaPrioridade[#Data],3,FALSE)</f>
        <v>#REF!</v>
      </c>
      <c r="M292" s="94" t="s">
        <v>963</v>
      </c>
      <c r="N292" s="94" t="s">
        <v>964</v>
      </c>
      <c r="O292" s="94" t="s">
        <v>964</v>
      </c>
      <c r="P292" s="94" t="s">
        <v>965</v>
      </c>
      <c r="Q292" s="97" t="e">
        <f>Tabela13[[#This Row],[Tempo Máximo Atendimento]]+"00:20:00"</f>
        <v>#REF!</v>
      </c>
      <c r="R292" s="94"/>
      <c r="S292" s="94" t="s">
        <v>975</v>
      </c>
      <c r="T292" s="94" t="s">
        <v>964</v>
      </c>
      <c r="U292" s="94" t="s">
        <v>964</v>
      </c>
      <c r="V292" s="94"/>
      <c r="W292" s="94" t="s">
        <v>980</v>
      </c>
      <c r="X292" s="94" t="s">
        <v>964</v>
      </c>
      <c r="Y292" s="95" t="s">
        <v>964</v>
      </c>
      <c r="Z292" s="94" t="s">
        <v>964</v>
      </c>
      <c r="AA292" s="94" t="s">
        <v>964</v>
      </c>
      <c r="AB292" s="94" t="s">
        <v>964</v>
      </c>
      <c r="AC292" s="94" t="s">
        <v>970</v>
      </c>
      <c r="AD292" s="101" t="s">
        <v>971</v>
      </c>
    </row>
    <row r="293" spans="1:30" ht="15" hidden="1">
      <c r="A293" s="94" t="s">
        <v>1199</v>
      </c>
      <c r="B293" s="94" t="s">
        <v>14</v>
      </c>
      <c r="C293" s="94" t="s">
        <v>957</v>
      </c>
      <c r="D293" s="105" t="s">
        <v>1203</v>
      </c>
      <c r="E293" s="95"/>
      <c r="F293" s="94" t="s">
        <v>963</v>
      </c>
      <c r="G293" s="94" t="s">
        <v>960</v>
      </c>
      <c r="H293" s="94" t="s">
        <v>961</v>
      </c>
      <c r="I293" s="94"/>
      <c r="J293" s="94">
        <v>4</v>
      </c>
      <c r="K293" s="96" t="e">
        <f>VLOOKUP(Tabela13[[#This Row],[Prioridade]],[5]!TabelaPrioridade[#Data],2,FALSE)</f>
        <v>#REF!</v>
      </c>
      <c r="L293" s="96" t="e">
        <f>VLOOKUP(Tabela13[[#This Row],[Prioridade]],[5]!TabelaPrioridade[#Data],3,FALSE)</f>
        <v>#REF!</v>
      </c>
      <c r="M293" s="94" t="s">
        <v>963</v>
      </c>
      <c r="N293" s="94"/>
      <c r="O293" s="94"/>
      <c r="P293" s="94" t="s">
        <v>965</v>
      </c>
      <c r="Q293" s="97" t="e">
        <f>Tabela13[[#This Row],[Tempo Máximo Atendimento]]+"00:20:00"</f>
        <v>#REF!</v>
      </c>
      <c r="R293" s="94"/>
      <c r="S293" s="94" t="s">
        <v>980</v>
      </c>
      <c r="T293" s="97" t="s">
        <v>964</v>
      </c>
      <c r="U293" s="97" t="s">
        <v>964</v>
      </c>
      <c r="V293" s="94"/>
      <c r="W293" s="94" t="s">
        <v>964</v>
      </c>
      <c r="X293" s="94" t="s">
        <v>964</v>
      </c>
      <c r="Y293" s="95" t="s">
        <v>964</v>
      </c>
      <c r="Z293" s="94" t="s">
        <v>964</v>
      </c>
      <c r="AA293" s="94" t="s">
        <v>964</v>
      </c>
      <c r="AB293" s="94" t="s">
        <v>964</v>
      </c>
      <c r="AC293" s="94" t="s">
        <v>970</v>
      </c>
      <c r="AD293" s="101" t="s">
        <v>971</v>
      </c>
    </row>
    <row r="294" spans="1:30" ht="15" hidden="1">
      <c r="A294" s="94" t="s">
        <v>1199</v>
      </c>
      <c r="B294" s="94" t="s">
        <v>956</v>
      </c>
      <c r="C294" s="94" t="s">
        <v>957</v>
      </c>
      <c r="D294" s="105" t="s">
        <v>1204</v>
      </c>
      <c r="E294" s="95"/>
      <c r="F294" s="94" t="s">
        <v>960</v>
      </c>
      <c r="G294" s="94" t="s">
        <v>960</v>
      </c>
      <c r="H294" s="94" t="s">
        <v>961</v>
      </c>
      <c r="I294" s="94" t="s">
        <v>962</v>
      </c>
      <c r="J294" s="94">
        <v>4</v>
      </c>
      <c r="K294" s="96" t="e">
        <f>VLOOKUP(Tabela13[[#This Row],[Prioridade]],[5]!TabelaPrioridade[#Data],2,FALSE)</f>
        <v>#REF!</v>
      </c>
      <c r="L294" s="96" t="e">
        <f>VLOOKUP(Tabela13[[#This Row],[Prioridade]],[5]!TabelaPrioridade[#Data],3,FALSE)</f>
        <v>#REF!</v>
      </c>
      <c r="M294" s="94" t="s">
        <v>963</v>
      </c>
      <c r="N294" s="94" t="s">
        <v>964</v>
      </c>
      <c r="O294" s="94" t="s">
        <v>964</v>
      </c>
      <c r="P294" s="94" t="s">
        <v>980</v>
      </c>
      <c r="Q294" s="97" t="e">
        <f>Tabela13[[#This Row],[Tempo Máximo Atendimento]]+"00:20:00"</f>
        <v>#REF!</v>
      </c>
      <c r="R294" s="94"/>
      <c r="S294" s="94" t="s">
        <v>1005</v>
      </c>
      <c r="T294" s="97" t="s">
        <v>964</v>
      </c>
      <c r="U294" s="97" t="s">
        <v>964</v>
      </c>
      <c r="V294" s="94"/>
      <c r="W294" s="94" t="s">
        <v>964</v>
      </c>
      <c r="X294" s="94" t="s">
        <v>964</v>
      </c>
      <c r="Y294" s="95" t="s">
        <v>964</v>
      </c>
      <c r="Z294" s="94" t="s">
        <v>964</v>
      </c>
      <c r="AA294" s="94" t="s">
        <v>964</v>
      </c>
      <c r="AB294" s="94" t="s">
        <v>964</v>
      </c>
      <c r="AC294" s="94" t="s">
        <v>970</v>
      </c>
      <c r="AD294" s="101" t="s">
        <v>971</v>
      </c>
    </row>
    <row r="295" spans="1:30" ht="15" hidden="1">
      <c r="A295" s="94" t="s">
        <v>1199</v>
      </c>
      <c r="B295" s="94" t="s">
        <v>956</v>
      </c>
      <c r="C295" s="94" t="s">
        <v>957</v>
      </c>
      <c r="D295" s="105" t="s">
        <v>1205</v>
      </c>
      <c r="E295" s="95" t="s">
        <v>1044</v>
      </c>
      <c r="F295" s="94" t="s">
        <v>960</v>
      </c>
      <c r="G295" s="94" t="s">
        <v>960</v>
      </c>
      <c r="H295" s="94" t="s">
        <v>961</v>
      </c>
      <c r="I295" s="94" t="s">
        <v>962</v>
      </c>
      <c r="J295" s="94">
        <v>4</v>
      </c>
      <c r="K295" s="96" t="e">
        <f>VLOOKUP(Tabela13[[#This Row],[Prioridade]],[5]!TabelaPrioridade[#Data],2,FALSE)</f>
        <v>#REF!</v>
      </c>
      <c r="L295" s="96" t="e">
        <f>VLOOKUP(Tabela13[[#This Row],[Prioridade]],[5]!TabelaPrioridade[#Data],3,FALSE)</f>
        <v>#REF!</v>
      </c>
      <c r="M295" s="94" t="s">
        <v>963</v>
      </c>
      <c r="N295" s="94" t="s">
        <v>964</v>
      </c>
      <c r="O295" s="94" t="s">
        <v>964</v>
      </c>
      <c r="P295" s="94" t="s">
        <v>980</v>
      </c>
      <c r="Q295" s="97" t="e">
        <f>Tabela13[[#This Row],[Tempo Máximo Atendimento]]+"00:20:00"</f>
        <v>#REF!</v>
      </c>
      <c r="R295" s="94"/>
      <c r="S295" s="94" t="s">
        <v>1005</v>
      </c>
      <c r="T295" s="97" t="s">
        <v>964</v>
      </c>
      <c r="U295" s="97" t="s">
        <v>964</v>
      </c>
      <c r="V295" s="94"/>
      <c r="W295" s="94" t="s">
        <v>964</v>
      </c>
      <c r="X295" s="94" t="s">
        <v>964</v>
      </c>
      <c r="Y295" s="95" t="s">
        <v>964</v>
      </c>
      <c r="Z295" s="94" t="s">
        <v>964</v>
      </c>
      <c r="AA295" s="94" t="s">
        <v>964</v>
      </c>
      <c r="AB295" s="94" t="s">
        <v>964</v>
      </c>
      <c r="AC295" s="94" t="s">
        <v>970</v>
      </c>
      <c r="AD295" s="101" t="s">
        <v>971</v>
      </c>
    </row>
    <row r="296" spans="1:30" ht="15" hidden="1">
      <c r="A296" s="94" t="s">
        <v>1199</v>
      </c>
      <c r="B296" s="94" t="s">
        <v>956</v>
      </c>
      <c r="C296" s="94" t="s">
        <v>957</v>
      </c>
      <c r="D296" s="105" t="s">
        <v>1206</v>
      </c>
      <c r="E296" s="95" t="s">
        <v>1207</v>
      </c>
      <c r="F296" s="94" t="s">
        <v>960</v>
      </c>
      <c r="G296" s="94" t="s">
        <v>960</v>
      </c>
      <c r="H296" s="94" t="s">
        <v>961</v>
      </c>
      <c r="I296" s="94" t="s">
        <v>962</v>
      </c>
      <c r="J296" s="94">
        <v>4</v>
      </c>
      <c r="K296" s="96" t="e">
        <f>VLOOKUP(Tabela13[[#This Row],[Prioridade]],[5]!TabelaPrioridade[#Data],2,FALSE)</f>
        <v>#REF!</v>
      </c>
      <c r="L296" s="96" t="e">
        <f>VLOOKUP(Tabela13[[#This Row],[Prioridade]],[5]!TabelaPrioridade[#Data],3,FALSE)</f>
        <v>#REF!</v>
      </c>
      <c r="M296" s="94" t="s">
        <v>963</v>
      </c>
      <c r="N296" s="94" t="s">
        <v>964</v>
      </c>
      <c r="O296" s="94" t="s">
        <v>964</v>
      </c>
      <c r="P296" s="94" t="s">
        <v>980</v>
      </c>
      <c r="Q296" s="97" t="e">
        <f>Tabela13[[#This Row],[Tempo Máximo Atendimento]]+"00:20:00"</f>
        <v>#REF!</v>
      </c>
      <c r="R296" s="94"/>
      <c r="S296" s="94" t="s">
        <v>1005</v>
      </c>
      <c r="T296" s="97" t="s">
        <v>964</v>
      </c>
      <c r="U296" s="97" t="s">
        <v>964</v>
      </c>
      <c r="V296" s="94"/>
      <c r="W296" s="94" t="s">
        <v>964</v>
      </c>
      <c r="X296" s="94" t="s">
        <v>964</v>
      </c>
      <c r="Y296" s="95" t="s">
        <v>964</v>
      </c>
      <c r="Z296" s="94" t="s">
        <v>964</v>
      </c>
      <c r="AA296" s="94" t="s">
        <v>964</v>
      </c>
      <c r="AB296" s="94" t="s">
        <v>964</v>
      </c>
      <c r="AC296" s="94" t="s">
        <v>970</v>
      </c>
      <c r="AD296" s="101" t="s">
        <v>971</v>
      </c>
    </row>
    <row r="297" spans="1:30" ht="15" hidden="1">
      <c r="A297" s="94" t="s">
        <v>1199</v>
      </c>
      <c r="B297" s="94" t="s">
        <v>14</v>
      </c>
      <c r="C297" s="94" t="s">
        <v>1208</v>
      </c>
      <c r="D297" s="105" t="s">
        <v>1209</v>
      </c>
      <c r="E297" s="95"/>
      <c r="F297" s="94" t="s">
        <v>960</v>
      </c>
      <c r="G297" s="94" t="s">
        <v>960</v>
      </c>
      <c r="H297" s="94" t="s">
        <v>961</v>
      </c>
      <c r="I297" s="94"/>
      <c r="J297" s="94">
        <v>5</v>
      </c>
      <c r="K297" s="96" t="e">
        <f>VLOOKUP(Tabela13[[#This Row],[Prioridade]],[5]!TabelaPrioridade[#Data],2,FALSE)</f>
        <v>#REF!</v>
      </c>
      <c r="L297" s="96" t="e">
        <f>VLOOKUP(Tabela13[[#This Row],[Prioridade]],[5]!TabelaPrioridade[#Data],3,FALSE)</f>
        <v>#REF!</v>
      </c>
      <c r="M297" s="94" t="s">
        <v>963</v>
      </c>
      <c r="N297" s="94" t="s">
        <v>964</v>
      </c>
      <c r="O297" s="94" t="s">
        <v>964</v>
      </c>
      <c r="P297" s="94" t="s">
        <v>980</v>
      </c>
      <c r="Q297" s="97" t="e">
        <f>Tabela13[[#This Row],[Tempo Máximo Atendimento]]+"00:20:00"</f>
        <v>#REF!</v>
      </c>
      <c r="R297" s="94"/>
      <c r="S297" s="94" t="s">
        <v>1005</v>
      </c>
      <c r="T297" s="97" t="s">
        <v>964</v>
      </c>
      <c r="U297" s="97" t="s">
        <v>964</v>
      </c>
      <c r="V297" s="94"/>
      <c r="W297" s="94" t="s">
        <v>964</v>
      </c>
      <c r="X297" s="94" t="s">
        <v>964</v>
      </c>
      <c r="Y297" s="95" t="s">
        <v>964</v>
      </c>
      <c r="Z297" s="94" t="s">
        <v>964</v>
      </c>
      <c r="AA297" s="94" t="s">
        <v>964</v>
      </c>
      <c r="AB297" s="94" t="s">
        <v>964</v>
      </c>
      <c r="AC297" s="94" t="s">
        <v>970</v>
      </c>
      <c r="AD297" s="101" t="s">
        <v>971</v>
      </c>
    </row>
    <row r="298" spans="1:30" ht="15" hidden="1">
      <c r="A298" s="94" t="s">
        <v>1199</v>
      </c>
      <c r="B298" s="94" t="s">
        <v>14</v>
      </c>
      <c r="C298" s="94" t="s">
        <v>1208</v>
      </c>
      <c r="D298" s="105" t="s">
        <v>1210</v>
      </c>
      <c r="E298" s="95"/>
      <c r="F298" s="94" t="s">
        <v>960</v>
      </c>
      <c r="G298" s="94" t="s">
        <v>960</v>
      </c>
      <c r="H298" s="94" t="s">
        <v>961</v>
      </c>
      <c r="I298" s="94"/>
      <c r="J298" s="94">
        <v>5</v>
      </c>
      <c r="K298" s="96" t="e">
        <f>VLOOKUP(Tabela13[[#This Row],[Prioridade]],[5]!TabelaPrioridade[#Data],2,FALSE)</f>
        <v>#REF!</v>
      </c>
      <c r="L298" s="96" t="e">
        <f>VLOOKUP(Tabela13[[#This Row],[Prioridade]],[5]!TabelaPrioridade[#Data],3,FALSE)</f>
        <v>#REF!</v>
      </c>
      <c r="M298" s="94" t="s">
        <v>963</v>
      </c>
      <c r="N298" s="94" t="s">
        <v>964</v>
      </c>
      <c r="O298" s="94" t="s">
        <v>964</v>
      </c>
      <c r="P298" s="94" t="s">
        <v>980</v>
      </c>
      <c r="Q298" s="97" t="e">
        <f>Tabela13[[#This Row],[Tempo Máximo Atendimento]]+"00:20:00"</f>
        <v>#REF!</v>
      </c>
      <c r="R298" s="94"/>
      <c r="S298" s="94" t="s">
        <v>1005</v>
      </c>
      <c r="T298" s="97" t="s">
        <v>964</v>
      </c>
      <c r="U298" s="97" t="s">
        <v>964</v>
      </c>
      <c r="V298" s="94"/>
      <c r="W298" s="94" t="s">
        <v>964</v>
      </c>
      <c r="X298" s="94" t="s">
        <v>964</v>
      </c>
      <c r="Y298" s="95" t="s">
        <v>964</v>
      </c>
      <c r="Z298" s="94" t="s">
        <v>964</v>
      </c>
      <c r="AA298" s="94" t="s">
        <v>964</v>
      </c>
      <c r="AB298" s="94" t="s">
        <v>964</v>
      </c>
      <c r="AC298" s="94" t="s">
        <v>970</v>
      </c>
      <c r="AD298" s="101" t="s">
        <v>971</v>
      </c>
    </row>
    <row r="299" spans="1:30" ht="24" hidden="1">
      <c r="A299" s="94" t="s">
        <v>1199</v>
      </c>
      <c r="B299" s="94" t="s">
        <v>14</v>
      </c>
      <c r="C299" s="94" t="s">
        <v>1208</v>
      </c>
      <c r="D299" s="105" t="s">
        <v>1211</v>
      </c>
      <c r="E299" s="95" t="s">
        <v>1212</v>
      </c>
      <c r="F299" s="94" t="s">
        <v>960</v>
      </c>
      <c r="G299" s="94" t="s">
        <v>960</v>
      </c>
      <c r="H299" s="94" t="s">
        <v>961</v>
      </c>
      <c r="I299" s="94"/>
      <c r="J299" s="94">
        <v>5</v>
      </c>
      <c r="K299" s="96" t="e">
        <f>VLOOKUP(Tabela13[[#This Row],[Prioridade]],[5]!TabelaPrioridade[#Data],2,FALSE)</f>
        <v>#REF!</v>
      </c>
      <c r="L299" s="96" t="e">
        <f>VLOOKUP(Tabela13[[#This Row],[Prioridade]],[5]!TabelaPrioridade[#Data],3,FALSE)</f>
        <v>#REF!</v>
      </c>
      <c r="M299" s="94" t="s">
        <v>963</v>
      </c>
      <c r="N299" s="94" t="s">
        <v>964</v>
      </c>
      <c r="O299" s="94" t="s">
        <v>964</v>
      </c>
      <c r="P299" s="94" t="s">
        <v>980</v>
      </c>
      <c r="Q299" s="97" t="e">
        <f>Tabela13[[#This Row],[Tempo Máximo Atendimento]]+"00:20:00"</f>
        <v>#REF!</v>
      </c>
      <c r="R299" s="94"/>
      <c r="S299" s="94" t="s">
        <v>1005</v>
      </c>
      <c r="T299" s="97" t="s">
        <v>964</v>
      </c>
      <c r="U299" s="97" t="s">
        <v>964</v>
      </c>
      <c r="V299" s="94"/>
      <c r="W299" s="94" t="s">
        <v>964</v>
      </c>
      <c r="X299" s="94" t="s">
        <v>964</v>
      </c>
      <c r="Y299" s="95" t="s">
        <v>964</v>
      </c>
      <c r="Z299" s="94" t="s">
        <v>964</v>
      </c>
      <c r="AA299" s="94" t="s">
        <v>964</v>
      </c>
      <c r="AB299" s="94" t="s">
        <v>964</v>
      </c>
      <c r="AC299" s="94" t="s">
        <v>970</v>
      </c>
      <c r="AD299" s="101" t="s">
        <v>971</v>
      </c>
    </row>
    <row r="300" spans="1:30" ht="24" hidden="1">
      <c r="A300" s="94" t="s">
        <v>1199</v>
      </c>
      <c r="B300" s="94" t="s">
        <v>14</v>
      </c>
      <c r="C300" s="94" t="s">
        <v>957</v>
      </c>
      <c r="D300" s="105" t="s">
        <v>1213</v>
      </c>
      <c r="E300" s="95" t="s">
        <v>1214</v>
      </c>
      <c r="F300" s="94" t="s">
        <v>960</v>
      </c>
      <c r="G300" s="94" t="s">
        <v>960</v>
      </c>
      <c r="H300" s="94" t="s">
        <v>961</v>
      </c>
      <c r="I300" s="94"/>
      <c r="J300" s="94">
        <v>4</v>
      </c>
      <c r="K300" s="96" t="e">
        <f>VLOOKUP(Tabela13[[#This Row],[Prioridade]],[5]!TabelaPrioridade[#Data],2,FALSE)</f>
        <v>#REF!</v>
      </c>
      <c r="L300" s="96" t="e">
        <f>VLOOKUP(Tabela13[[#This Row],[Prioridade]],[5]!TabelaPrioridade[#Data],3,FALSE)</f>
        <v>#REF!</v>
      </c>
      <c r="M300" s="94" t="s">
        <v>963</v>
      </c>
      <c r="N300" s="94" t="s">
        <v>964</v>
      </c>
      <c r="O300" s="94" t="s">
        <v>964</v>
      </c>
      <c r="P300" s="94" t="s">
        <v>980</v>
      </c>
      <c r="Q300" s="97" t="e">
        <f>Tabela13[[#This Row],[Tempo Máximo Atendimento]]+"00:20:00"</f>
        <v>#REF!</v>
      </c>
      <c r="R300" s="94"/>
      <c r="S300" s="94" t="s">
        <v>1005</v>
      </c>
      <c r="T300" s="97" t="s">
        <v>964</v>
      </c>
      <c r="U300" s="97" t="s">
        <v>964</v>
      </c>
      <c r="V300" s="94"/>
      <c r="W300" s="94" t="s">
        <v>964</v>
      </c>
      <c r="X300" s="94" t="s">
        <v>964</v>
      </c>
      <c r="Y300" s="95" t="s">
        <v>964</v>
      </c>
      <c r="Z300" s="94" t="s">
        <v>964</v>
      </c>
      <c r="AA300" s="94" t="s">
        <v>964</v>
      </c>
      <c r="AB300" s="94" t="s">
        <v>964</v>
      </c>
      <c r="AC300" s="94" t="s">
        <v>970</v>
      </c>
      <c r="AD300" s="101" t="s">
        <v>971</v>
      </c>
    </row>
    <row r="301" spans="1:30" ht="15" hidden="1">
      <c r="A301" s="94" t="s">
        <v>1199</v>
      </c>
      <c r="B301" s="94" t="s">
        <v>14</v>
      </c>
      <c r="C301" s="94" t="s">
        <v>1208</v>
      </c>
      <c r="D301" s="105" t="s">
        <v>1215</v>
      </c>
      <c r="E301" s="95"/>
      <c r="F301" s="94" t="s">
        <v>960</v>
      </c>
      <c r="G301" s="94" t="s">
        <v>960</v>
      </c>
      <c r="H301" s="94" t="s">
        <v>961</v>
      </c>
      <c r="I301" s="94"/>
      <c r="J301" s="94">
        <v>5</v>
      </c>
      <c r="K301" s="96" t="e">
        <f>VLOOKUP(Tabela13[[#This Row],[Prioridade]],[5]!TabelaPrioridade[#Data],2,FALSE)</f>
        <v>#REF!</v>
      </c>
      <c r="L301" s="96" t="e">
        <f>VLOOKUP(Tabela13[[#This Row],[Prioridade]],[5]!TabelaPrioridade[#Data],3,FALSE)</f>
        <v>#REF!</v>
      </c>
      <c r="M301" s="94" t="s">
        <v>963</v>
      </c>
      <c r="N301" s="94" t="s">
        <v>964</v>
      </c>
      <c r="O301" s="94" t="s">
        <v>964</v>
      </c>
      <c r="P301" s="94" t="s">
        <v>980</v>
      </c>
      <c r="Q301" s="97" t="e">
        <f>Tabela13[[#This Row],[Tempo Máximo Atendimento]]+"00:20:00"</f>
        <v>#REF!</v>
      </c>
      <c r="R301" s="94"/>
      <c r="S301" s="94" t="s">
        <v>1005</v>
      </c>
      <c r="T301" s="97" t="s">
        <v>964</v>
      </c>
      <c r="U301" s="97" t="s">
        <v>964</v>
      </c>
      <c r="V301" s="94"/>
      <c r="W301" s="94" t="s">
        <v>964</v>
      </c>
      <c r="X301" s="94" t="s">
        <v>964</v>
      </c>
      <c r="Y301" s="95" t="s">
        <v>964</v>
      </c>
      <c r="Z301" s="94" t="s">
        <v>964</v>
      </c>
      <c r="AA301" s="94" t="s">
        <v>964</v>
      </c>
      <c r="AB301" s="94" t="s">
        <v>964</v>
      </c>
      <c r="AC301" s="94" t="s">
        <v>970</v>
      </c>
      <c r="AD301" s="101" t="s">
        <v>971</v>
      </c>
    </row>
    <row r="302" spans="1:30" ht="15" hidden="1">
      <c r="A302" s="94" t="s">
        <v>1216</v>
      </c>
      <c r="B302" s="94" t="s">
        <v>956</v>
      </c>
      <c r="C302" s="94" t="s">
        <v>957</v>
      </c>
      <c r="D302" s="105" t="s">
        <v>958</v>
      </c>
      <c r="E302" s="95" t="s">
        <v>959</v>
      </c>
      <c r="F302" s="94" t="s">
        <v>960</v>
      </c>
      <c r="G302" s="94" t="s">
        <v>960</v>
      </c>
      <c r="H302" s="94" t="s">
        <v>961</v>
      </c>
      <c r="I302" s="94" t="s">
        <v>962</v>
      </c>
      <c r="J302" s="94">
        <v>4</v>
      </c>
      <c r="K302" s="96" t="e">
        <f>VLOOKUP(Tabela13[[#This Row],[Prioridade]],[5]!TabelaPrioridade[#Data],2,FALSE)</f>
        <v>#REF!</v>
      </c>
      <c r="L302" s="96" t="e">
        <f>VLOOKUP(Tabela13[[#This Row],[Prioridade]],[5]!TabelaPrioridade[#Data],3,FALSE)</f>
        <v>#REF!</v>
      </c>
      <c r="M302" s="94" t="s">
        <v>963</v>
      </c>
      <c r="N302" s="94" t="s">
        <v>964</v>
      </c>
      <c r="O302" s="94" t="s">
        <v>964</v>
      </c>
      <c r="P302" s="94" t="s">
        <v>967</v>
      </c>
      <c r="Q302" s="97" t="e">
        <f>Tabela13[[#This Row],[Tempo Máximo Atendimento]]+"00:20:00"</f>
        <v>#REF!</v>
      </c>
      <c r="R302" s="94"/>
      <c r="S302" s="94" t="s">
        <v>1217</v>
      </c>
      <c r="T302" s="97" t="s">
        <v>964</v>
      </c>
      <c r="U302" s="97" t="s">
        <v>964</v>
      </c>
      <c r="V302" s="94"/>
      <c r="W302" s="94" t="s">
        <v>964</v>
      </c>
      <c r="X302" s="94" t="s">
        <v>964</v>
      </c>
      <c r="Y302" s="95" t="s">
        <v>964</v>
      </c>
      <c r="Z302" s="94" t="s">
        <v>964</v>
      </c>
      <c r="AA302" s="94" t="s">
        <v>964</v>
      </c>
      <c r="AB302" s="94" t="s">
        <v>964</v>
      </c>
      <c r="AC302" s="94" t="s">
        <v>970</v>
      </c>
      <c r="AD302" s="101" t="s">
        <v>971</v>
      </c>
    </row>
    <row r="303" spans="1:30" ht="15" hidden="1">
      <c r="A303" s="94" t="s">
        <v>1216</v>
      </c>
      <c r="B303" s="94" t="s">
        <v>14</v>
      </c>
      <c r="C303" s="94" t="s">
        <v>957</v>
      </c>
      <c r="D303" s="95" t="s">
        <v>1218</v>
      </c>
      <c r="E303" s="95" t="s">
        <v>1219</v>
      </c>
      <c r="F303" s="94" t="s">
        <v>963</v>
      </c>
      <c r="G303" s="94" t="s">
        <v>960</v>
      </c>
      <c r="H303" s="94" t="s">
        <v>961</v>
      </c>
      <c r="I303" s="94"/>
      <c r="J303" s="94">
        <v>4</v>
      </c>
      <c r="K303" s="96" t="e">
        <f>VLOOKUP(Tabela13[[#This Row],[Prioridade]],[5]!TabelaPrioridade[#Data],2,FALSE)</f>
        <v>#REF!</v>
      </c>
      <c r="L303" s="96" t="e">
        <f>VLOOKUP(Tabela13[[#This Row],[Prioridade]],[5]!TabelaPrioridade[#Data],3,FALSE)</f>
        <v>#REF!</v>
      </c>
      <c r="M303" s="94" t="s">
        <v>963</v>
      </c>
      <c r="N303" s="94"/>
      <c r="O303" s="94"/>
      <c r="P303" s="94" t="s">
        <v>965</v>
      </c>
      <c r="Q303" s="97" t="e">
        <f>Tabela13[[#This Row],[Tempo Máximo Atendimento]]+"00:20:00"</f>
        <v>#REF!</v>
      </c>
      <c r="R303" s="94"/>
      <c r="S303" s="94" t="s">
        <v>964</v>
      </c>
      <c r="T303" s="97" t="s">
        <v>964</v>
      </c>
      <c r="U303" s="97" t="s">
        <v>964</v>
      </c>
      <c r="V303" s="94"/>
      <c r="W303" s="94" t="s">
        <v>964</v>
      </c>
      <c r="X303" s="94" t="s">
        <v>964</v>
      </c>
      <c r="Y303" s="95" t="s">
        <v>964</v>
      </c>
      <c r="Z303" s="94" t="s">
        <v>964</v>
      </c>
      <c r="AA303" s="94" t="s">
        <v>964</v>
      </c>
      <c r="AB303" s="94" t="s">
        <v>964</v>
      </c>
      <c r="AC303" s="94" t="s">
        <v>970</v>
      </c>
      <c r="AD303" s="101" t="s">
        <v>971</v>
      </c>
    </row>
    <row r="304" spans="1:30" ht="24" hidden="1">
      <c r="A304" s="94" t="s">
        <v>1216</v>
      </c>
      <c r="B304" s="94" t="s">
        <v>14</v>
      </c>
      <c r="C304" s="94" t="s">
        <v>957</v>
      </c>
      <c r="D304" s="95" t="s">
        <v>1220</v>
      </c>
      <c r="E304" s="95" t="s">
        <v>1221</v>
      </c>
      <c r="F304" s="94" t="s">
        <v>963</v>
      </c>
      <c r="G304" s="94" t="s">
        <v>960</v>
      </c>
      <c r="H304" s="94" t="s">
        <v>961</v>
      </c>
      <c r="I304" s="94"/>
      <c r="J304" s="94">
        <v>4</v>
      </c>
      <c r="K304" s="96" t="e">
        <f>VLOOKUP(Tabela13[[#This Row],[Prioridade]],[5]!TabelaPrioridade[#Data],2,FALSE)</f>
        <v>#REF!</v>
      </c>
      <c r="L304" s="96" t="e">
        <f>VLOOKUP(Tabela13[[#This Row],[Prioridade]],[5]!TabelaPrioridade[#Data],3,FALSE)</f>
        <v>#REF!</v>
      </c>
      <c r="M304" s="94" t="s">
        <v>963</v>
      </c>
      <c r="N304" s="94"/>
      <c r="O304" s="94"/>
      <c r="P304" s="94" t="s">
        <v>965</v>
      </c>
      <c r="Q304" s="97" t="e">
        <f>Tabela13[[#This Row],[Tempo Máximo Atendimento]]+"00:20:00"</f>
        <v>#REF!</v>
      </c>
      <c r="R304" s="94"/>
      <c r="S304" s="94" t="s">
        <v>975</v>
      </c>
      <c r="T304" s="97" t="s">
        <v>964</v>
      </c>
      <c r="U304" s="97" t="s">
        <v>964</v>
      </c>
      <c r="V304" s="94"/>
      <c r="W304" s="94" t="s">
        <v>964</v>
      </c>
      <c r="X304" s="94" t="s">
        <v>964</v>
      </c>
      <c r="Y304" s="95" t="s">
        <v>964</v>
      </c>
      <c r="Z304" s="94" t="s">
        <v>964</v>
      </c>
      <c r="AA304" s="94" t="s">
        <v>964</v>
      </c>
      <c r="AB304" s="94" t="s">
        <v>964</v>
      </c>
      <c r="AC304" s="94" t="s">
        <v>970</v>
      </c>
      <c r="AD304" s="101" t="s">
        <v>971</v>
      </c>
    </row>
    <row r="305" spans="1:30" ht="15" hidden="1">
      <c r="A305" s="94" t="s">
        <v>1216</v>
      </c>
      <c r="B305" s="94" t="s">
        <v>956</v>
      </c>
      <c r="C305" s="94" t="s">
        <v>957</v>
      </c>
      <c r="D305" s="95" t="s">
        <v>1222</v>
      </c>
      <c r="E305" s="95" t="s">
        <v>1223</v>
      </c>
      <c r="F305" s="94" t="s">
        <v>960</v>
      </c>
      <c r="G305" s="94" t="s">
        <v>960</v>
      </c>
      <c r="H305" s="94" t="s">
        <v>961</v>
      </c>
      <c r="I305" s="94" t="s">
        <v>962</v>
      </c>
      <c r="J305" s="94">
        <v>4</v>
      </c>
      <c r="K305" s="96" t="e">
        <f>VLOOKUP(Tabela13[[#This Row],[Prioridade]],[5]!TabelaPrioridade[#Data],2,FALSE)</f>
        <v>#REF!</v>
      </c>
      <c r="L305" s="96" t="e">
        <f>VLOOKUP(Tabela13[[#This Row],[Prioridade]],[5]!TabelaPrioridade[#Data],3,FALSE)</f>
        <v>#REF!</v>
      </c>
      <c r="M305" s="94" t="s">
        <v>963</v>
      </c>
      <c r="N305" s="94" t="s">
        <v>964</v>
      </c>
      <c r="O305" s="94" t="s">
        <v>964</v>
      </c>
      <c r="P305" s="94" t="s">
        <v>967</v>
      </c>
      <c r="Q305" s="97" t="e">
        <f>Tabela13[[#This Row],[Tempo Máximo Atendimento]]+"00:20:00"</f>
        <v>#REF!</v>
      </c>
      <c r="R305" s="94"/>
      <c r="S305" s="94" t="s">
        <v>1217</v>
      </c>
      <c r="T305" s="97" t="s">
        <v>964</v>
      </c>
      <c r="U305" s="97" t="s">
        <v>964</v>
      </c>
      <c r="V305" s="94"/>
      <c r="W305" s="94" t="s">
        <v>964</v>
      </c>
      <c r="X305" s="94" t="s">
        <v>964</v>
      </c>
      <c r="Y305" s="95" t="s">
        <v>964</v>
      </c>
      <c r="Z305" s="94" t="s">
        <v>964</v>
      </c>
      <c r="AA305" s="94" t="s">
        <v>964</v>
      </c>
      <c r="AB305" s="94" t="s">
        <v>964</v>
      </c>
      <c r="AC305" s="94" t="s">
        <v>970</v>
      </c>
      <c r="AD305" s="101" t="s">
        <v>971</v>
      </c>
    </row>
    <row r="306" spans="1:30" ht="15" hidden="1">
      <c r="A306" s="94" t="s">
        <v>1216</v>
      </c>
      <c r="B306" s="94" t="s">
        <v>14</v>
      </c>
      <c r="C306" s="94" t="s">
        <v>976</v>
      </c>
      <c r="D306" s="95" t="s">
        <v>977</v>
      </c>
      <c r="E306" s="95"/>
      <c r="F306" s="94" t="s">
        <v>963</v>
      </c>
      <c r="G306" s="94" t="s">
        <v>960</v>
      </c>
      <c r="H306" s="94" t="s">
        <v>961</v>
      </c>
      <c r="I306" s="94"/>
      <c r="J306" s="94">
        <v>2</v>
      </c>
      <c r="K306" s="96" t="e">
        <f>VLOOKUP(Tabela13[[#This Row],[Prioridade]],[5]!TabelaPrioridade[#Data],2,FALSE)</f>
        <v>#REF!</v>
      </c>
      <c r="L306" s="96" t="e">
        <f>VLOOKUP(Tabela13[[#This Row],[Prioridade]],[5]!TabelaPrioridade[#Data],3,FALSE)</f>
        <v>#REF!</v>
      </c>
      <c r="M306" s="94" t="s">
        <v>963</v>
      </c>
      <c r="N306" s="94" t="s">
        <v>964</v>
      </c>
      <c r="O306" s="94" t="s">
        <v>964</v>
      </c>
      <c r="P306" s="94" t="s">
        <v>965</v>
      </c>
      <c r="Q306" s="97" t="e">
        <f>Tabela13[[#This Row],[Tempo Máximo Atendimento]]+"00:20:00"</f>
        <v>#REF!</v>
      </c>
      <c r="R306" s="94"/>
      <c r="S306" s="94" t="s">
        <v>967</v>
      </c>
      <c r="T306" s="94" t="s">
        <v>964</v>
      </c>
      <c r="U306" s="94" t="s">
        <v>964</v>
      </c>
      <c r="V306" s="94"/>
      <c r="W306" s="94" t="s">
        <v>1217</v>
      </c>
      <c r="X306" s="94" t="s">
        <v>964</v>
      </c>
      <c r="Y306" s="95" t="s">
        <v>964</v>
      </c>
      <c r="Z306" s="94" t="s">
        <v>980</v>
      </c>
      <c r="AA306" s="94" t="s">
        <v>964</v>
      </c>
      <c r="AB306" s="94" t="s">
        <v>964</v>
      </c>
      <c r="AC306" s="94" t="s">
        <v>970</v>
      </c>
      <c r="AD306" s="101" t="s">
        <v>971</v>
      </c>
    </row>
    <row r="307" spans="1:30" ht="15" hidden="1">
      <c r="A307" s="94" t="s">
        <v>1216</v>
      </c>
      <c r="B307" s="94" t="s">
        <v>14</v>
      </c>
      <c r="C307" s="94" t="s">
        <v>976</v>
      </c>
      <c r="D307" s="105" t="s">
        <v>566</v>
      </c>
      <c r="E307" s="95"/>
      <c r="F307" s="94" t="s">
        <v>963</v>
      </c>
      <c r="G307" s="94" t="s">
        <v>960</v>
      </c>
      <c r="H307" s="94" t="s">
        <v>961</v>
      </c>
      <c r="I307" s="94"/>
      <c r="J307" s="94">
        <v>2</v>
      </c>
      <c r="K307" s="96" t="e">
        <f>VLOOKUP(Tabela13[[#This Row],[Prioridade]],[5]!TabelaPrioridade[#Data],2,FALSE)</f>
        <v>#REF!</v>
      </c>
      <c r="L307" s="96" t="e">
        <f>VLOOKUP(Tabela13[[#This Row],[Prioridade]],[5]!TabelaPrioridade[#Data],3,FALSE)</f>
        <v>#REF!</v>
      </c>
      <c r="M307" s="94" t="s">
        <v>963</v>
      </c>
      <c r="N307" s="94" t="s">
        <v>964</v>
      </c>
      <c r="O307" s="94" t="s">
        <v>964</v>
      </c>
      <c r="P307" s="94" t="s">
        <v>965</v>
      </c>
      <c r="Q307" s="97" t="e">
        <f>Tabela13[[#This Row],[Tempo Máximo Atendimento]]+"00:20:00"</f>
        <v>#REF!</v>
      </c>
      <c r="R307" s="94"/>
      <c r="S307" s="94" t="s">
        <v>967</v>
      </c>
      <c r="T307" s="94" t="s">
        <v>964</v>
      </c>
      <c r="U307" s="94" t="s">
        <v>964</v>
      </c>
      <c r="V307" s="94"/>
      <c r="W307" s="94" t="s">
        <v>1217</v>
      </c>
      <c r="X307" s="94" t="s">
        <v>964</v>
      </c>
      <c r="Y307" s="95" t="s">
        <v>964</v>
      </c>
      <c r="Z307" s="94" t="s">
        <v>980</v>
      </c>
      <c r="AA307" s="94" t="s">
        <v>964</v>
      </c>
      <c r="AB307" s="94" t="s">
        <v>964</v>
      </c>
      <c r="AC307" s="94" t="s">
        <v>970</v>
      </c>
      <c r="AD307" s="101" t="s">
        <v>971</v>
      </c>
    </row>
    <row r="308" spans="1:30" ht="15" hidden="1">
      <c r="A308" s="94" t="s">
        <v>1216</v>
      </c>
      <c r="B308" s="94" t="s">
        <v>14</v>
      </c>
      <c r="C308" s="94" t="s">
        <v>976</v>
      </c>
      <c r="D308" s="105" t="s">
        <v>565</v>
      </c>
      <c r="E308" s="95"/>
      <c r="F308" s="94" t="s">
        <v>963</v>
      </c>
      <c r="G308" s="94" t="s">
        <v>960</v>
      </c>
      <c r="H308" s="94" t="s">
        <v>961</v>
      </c>
      <c r="I308" s="94"/>
      <c r="J308" s="94">
        <v>2</v>
      </c>
      <c r="K308" s="96" t="e">
        <f>VLOOKUP(Tabela13[[#This Row],[Prioridade]],[5]!TabelaPrioridade[#Data],2,FALSE)</f>
        <v>#REF!</v>
      </c>
      <c r="L308" s="96" t="e">
        <f>VLOOKUP(Tabela13[[#This Row],[Prioridade]],[5]!TabelaPrioridade[#Data],3,FALSE)</f>
        <v>#REF!</v>
      </c>
      <c r="M308" s="94" t="s">
        <v>963</v>
      </c>
      <c r="N308" s="94" t="s">
        <v>964</v>
      </c>
      <c r="O308" s="94" t="s">
        <v>964</v>
      </c>
      <c r="P308" s="94" t="s">
        <v>965</v>
      </c>
      <c r="Q308" s="97" t="e">
        <f>Tabela13[[#This Row],[Tempo Máximo Atendimento]]+"00:20:00"</f>
        <v>#REF!</v>
      </c>
      <c r="R308" s="94"/>
      <c r="S308" s="94" t="s">
        <v>967</v>
      </c>
      <c r="T308" s="94" t="s">
        <v>964</v>
      </c>
      <c r="U308" s="94" t="s">
        <v>964</v>
      </c>
      <c r="V308" s="94"/>
      <c r="W308" s="94" t="s">
        <v>1217</v>
      </c>
      <c r="X308" s="94" t="s">
        <v>964</v>
      </c>
      <c r="Y308" s="95" t="s">
        <v>964</v>
      </c>
      <c r="Z308" s="94" t="s">
        <v>980</v>
      </c>
      <c r="AA308" s="94" t="s">
        <v>964</v>
      </c>
      <c r="AB308" s="94" t="s">
        <v>964</v>
      </c>
      <c r="AC308" s="94" t="s">
        <v>970</v>
      </c>
      <c r="AD308" s="99">
        <v>2.0833333333333332E-2</v>
      </c>
    </row>
    <row r="309" spans="1:30" ht="24" hidden="1">
      <c r="A309" s="94" t="s">
        <v>1216</v>
      </c>
      <c r="B309" s="94" t="s">
        <v>956</v>
      </c>
      <c r="C309" s="94" t="s">
        <v>957</v>
      </c>
      <c r="D309" s="95" t="s">
        <v>1224</v>
      </c>
      <c r="E309" s="95" t="s">
        <v>1225</v>
      </c>
      <c r="F309" s="94" t="s">
        <v>960</v>
      </c>
      <c r="G309" s="94" t="s">
        <v>960</v>
      </c>
      <c r="H309" s="94" t="s">
        <v>961</v>
      </c>
      <c r="I309" s="94" t="s">
        <v>962</v>
      </c>
      <c r="J309" s="94">
        <v>4</v>
      </c>
      <c r="K309" s="96" t="e">
        <f>VLOOKUP(Tabela13[[#This Row],[Prioridade]],[5]!TabelaPrioridade[#Data],2,FALSE)</f>
        <v>#REF!</v>
      </c>
      <c r="L309" s="96" t="e">
        <f>VLOOKUP(Tabela13[[#This Row],[Prioridade]],[5]!TabelaPrioridade[#Data],3,FALSE)</f>
        <v>#REF!</v>
      </c>
      <c r="M309" s="94" t="s">
        <v>963</v>
      </c>
      <c r="N309" s="94" t="s">
        <v>964</v>
      </c>
      <c r="O309" s="94" t="s">
        <v>964</v>
      </c>
      <c r="P309" s="94" t="s">
        <v>967</v>
      </c>
      <c r="Q309" s="97" t="e">
        <f>Tabela13[[#This Row],[Tempo Máximo Atendimento]]+"00:20:00"</f>
        <v>#REF!</v>
      </c>
      <c r="R309" s="94"/>
      <c r="S309" s="94" t="s">
        <v>1217</v>
      </c>
      <c r="T309" s="94" t="s">
        <v>964</v>
      </c>
      <c r="U309" s="94" t="s">
        <v>964</v>
      </c>
      <c r="V309" s="94"/>
      <c r="W309" s="94" t="s">
        <v>980</v>
      </c>
      <c r="X309" s="94" t="s">
        <v>964</v>
      </c>
      <c r="Y309" s="95" t="s">
        <v>964</v>
      </c>
      <c r="Z309" s="94" t="s">
        <v>964</v>
      </c>
      <c r="AA309" s="94" t="s">
        <v>964</v>
      </c>
      <c r="AB309" s="94" t="s">
        <v>964</v>
      </c>
      <c r="AC309" s="94" t="s">
        <v>970</v>
      </c>
      <c r="AD309" s="101" t="s">
        <v>971</v>
      </c>
    </row>
    <row r="310" spans="1:30" ht="15" hidden="1">
      <c r="A310" s="94" t="s">
        <v>1216</v>
      </c>
      <c r="B310" s="94" t="s">
        <v>14</v>
      </c>
      <c r="C310" s="94" t="s">
        <v>976</v>
      </c>
      <c r="D310" s="105" t="s">
        <v>987</v>
      </c>
      <c r="E310" s="95"/>
      <c r="F310" s="94" t="s">
        <v>963</v>
      </c>
      <c r="G310" s="94" t="s">
        <v>960</v>
      </c>
      <c r="H310" s="94" t="s">
        <v>961</v>
      </c>
      <c r="I310" s="94"/>
      <c r="J310" s="94">
        <v>2</v>
      </c>
      <c r="K310" s="96" t="e">
        <f>VLOOKUP(Tabela13[[#This Row],[Prioridade]],[5]!TabelaPrioridade[#Data],2,FALSE)</f>
        <v>#REF!</v>
      </c>
      <c r="L310" s="96" t="e">
        <f>VLOOKUP(Tabela13[[#This Row],[Prioridade]],[5]!TabelaPrioridade[#Data],3,FALSE)</f>
        <v>#REF!</v>
      </c>
      <c r="M310" s="94" t="s">
        <v>963</v>
      </c>
      <c r="N310" s="94" t="s">
        <v>964</v>
      </c>
      <c r="O310" s="94" t="s">
        <v>964</v>
      </c>
      <c r="P310" s="94" t="s">
        <v>965</v>
      </c>
      <c r="Q310" s="97" t="e">
        <f>Tabela13[[#This Row],[Tempo Máximo Atendimento]]+"00:20:00"</f>
        <v>#REF!</v>
      </c>
      <c r="R310" s="94"/>
      <c r="S310" s="94" t="s">
        <v>967</v>
      </c>
      <c r="T310" s="94" t="s">
        <v>964</v>
      </c>
      <c r="U310" s="94" t="s">
        <v>964</v>
      </c>
      <c r="V310" s="94"/>
      <c r="W310" s="94" t="s">
        <v>1217</v>
      </c>
      <c r="X310" s="94" t="s">
        <v>964</v>
      </c>
      <c r="Y310" s="95" t="s">
        <v>964</v>
      </c>
      <c r="Z310" s="94" t="s">
        <v>980</v>
      </c>
      <c r="AA310" s="94" t="s">
        <v>964</v>
      </c>
      <c r="AB310" s="94" t="s">
        <v>964</v>
      </c>
      <c r="AC310" s="94" t="s">
        <v>970</v>
      </c>
      <c r="AD310" s="101" t="s">
        <v>971</v>
      </c>
    </row>
    <row r="311" spans="1:30" ht="15" hidden="1">
      <c r="A311" s="94" t="s">
        <v>1226</v>
      </c>
      <c r="B311" s="102" t="s">
        <v>14</v>
      </c>
      <c r="C311" s="102" t="s">
        <v>976</v>
      </c>
      <c r="D311" s="105" t="s">
        <v>977</v>
      </c>
      <c r="E311" s="95"/>
      <c r="F311" s="94" t="s">
        <v>963</v>
      </c>
      <c r="G311" s="94" t="s">
        <v>960</v>
      </c>
      <c r="H311" s="94" t="s">
        <v>961</v>
      </c>
      <c r="I311" s="94"/>
      <c r="J311" s="94">
        <v>3</v>
      </c>
      <c r="K311" s="96" t="e">
        <f>VLOOKUP(Tabela13[[#This Row],[Prioridade]],[5]!TabelaPrioridade[#Data],2,FALSE)</f>
        <v>#REF!</v>
      </c>
      <c r="L311" s="96" t="e">
        <f>VLOOKUP(Tabela13[[#This Row],[Prioridade]],[5]!TabelaPrioridade[#Data],3,FALSE)</f>
        <v>#REF!</v>
      </c>
      <c r="M311" s="94" t="s">
        <v>963</v>
      </c>
      <c r="N311" s="94" t="s">
        <v>964</v>
      </c>
      <c r="O311" s="94" t="s">
        <v>964</v>
      </c>
      <c r="P311" s="94" t="s">
        <v>965</v>
      </c>
      <c r="Q311" s="97" t="e">
        <f>Tabela13[[#This Row],[Tempo Máximo Atendimento]]+"00:20:00"</f>
        <v>#REF!</v>
      </c>
      <c r="R311" s="94"/>
      <c r="S311" s="94" t="s">
        <v>980</v>
      </c>
      <c r="T311" s="94" t="s">
        <v>964</v>
      </c>
      <c r="U311" s="94" t="s">
        <v>964</v>
      </c>
      <c r="V311" s="94"/>
      <c r="W311" s="94" t="s">
        <v>1005</v>
      </c>
      <c r="X311" s="94" t="s">
        <v>964</v>
      </c>
      <c r="Y311" s="95" t="s">
        <v>964</v>
      </c>
      <c r="Z311" s="94" t="s">
        <v>964</v>
      </c>
      <c r="AA311" s="94" t="s">
        <v>964</v>
      </c>
      <c r="AB311" s="94" t="s">
        <v>964</v>
      </c>
      <c r="AC311" s="94" t="s">
        <v>970</v>
      </c>
      <c r="AD311" s="101" t="s">
        <v>971</v>
      </c>
    </row>
    <row r="312" spans="1:30" ht="15" hidden="1">
      <c r="A312" s="94" t="s">
        <v>1226</v>
      </c>
      <c r="B312" s="102" t="s">
        <v>14</v>
      </c>
      <c r="C312" s="102" t="s">
        <v>976</v>
      </c>
      <c r="D312" s="105" t="s">
        <v>566</v>
      </c>
      <c r="E312" s="95"/>
      <c r="F312" s="94" t="s">
        <v>963</v>
      </c>
      <c r="G312" s="94" t="s">
        <v>960</v>
      </c>
      <c r="H312" s="94" t="s">
        <v>961</v>
      </c>
      <c r="I312" s="94"/>
      <c r="J312" s="94">
        <v>3</v>
      </c>
      <c r="K312" s="96" t="e">
        <f>VLOOKUP(Tabela13[[#This Row],[Prioridade]],[5]!TabelaPrioridade[#Data],2,FALSE)</f>
        <v>#REF!</v>
      </c>
      <c r="L312" s="96" t="e">
        <f>VLOOKUP(Tabela13[[#This Row],[Prioridade]],[5]!TabelaPrioridade[#Data],3,FALSE)</f>
        <v>#REF!</v>
      </c>
      <c r="M312" s="94" t="s">
        <v>963</v>
      </c>
      <c r="N312" s="94" t="s">
        <v>964</v>
      </c>
      <c r="O312" s="94" t="s">
        <v>964</v>
      </c>
      <c r="P312" s="94" t="s">
        <v>965</v>
      </c>
      <c r="Q312" s="97" t="e">
        <f>Tabela13[[#This Row],[Tempo Máximo Atendimento]]+"00:20:00"</f>
        <v>#REF!</v>
      </c>
      <c r="R312" s="94"/>
      <c r="S312" s="94" t="s">
        <v>980</v>
      </c>
      <c r="T312" s="94" t="s">
        <v>964</v>
      </c>
      <c r="U312" s="94" t="s">
        <v>964</v>
      </c>
      <c r="V312" s="94"/>
      <c r="W312" s="94" t="s">
        <v>1005</v>
      </c>
      <c r="X312" s="94" t="s">
        <v>964</v>
      </c>
      <c r="Y312" s="95" t="s">
        <v>964</v>
      </c>
      <c r="Z312" s="94" t="s">
        <v>964</v>
      </c>
      <c r="AA312" s="94" t="s">
        <v>964</v>
      </c>
      <c r="AB312" s="94" t="s">
        <v>964</v>
      </c>
      <c r="AC312" s="94" t="s">
        <v>970</v>
      </c>
      <c r="AD312" s="101" t="s">
        <v>971</v>
      </c>
    </row>
    <row r="313" spans="1:30" ht="15" hidden="1">
      <c r="A313" s="94" t="s">
        <v>1226</v>
      </c>
      <c r="B313" s="94" t="s">
        <v>956</v>
      </c>
      <c r="C313" s="94" t="s">
        <v>957</v>
      </c>
      <c r="D313" s="105" t="s">
        <v>958</v>
      </c>
      <c r="E313" s="95" t="s">
        <v>959</v>
      </c>
      <c r="F313" s="94" t="s">
        <v>960</v>
      </c>
      <c r="G313" s="94" t="s">
        <v>960</v>
      </c>
      <c r="H313" s="94" t="s">
        <v>961</v>
      </c>
      <c r="I313" s="94" t="s">
        <v>962</v>
      </c>
      <c r="J313" s="94">
        <v>5</v>
      </c>
      <c r="K313" s="96" t="e">
        <f>VLOOKUP(Tabela13[[#This Row],[Prioridade]],[5]!TabelaPrioridade[#Data],2,FALSE)</f>
        <v>#REF!</v>
      </c>
      <c r="L313" s="96" t="e">
        <f>VLOOKUP(Tabela13[[#This Row],[Prioridade]],[5]!TabelaPrioridade[#Data],3,FALSE)</f>
        <v>#REF!</v>
      </c>
      <c r="M313" s="94" t="s">
        <v>963</v>
      </c>
      <c r="N313" s="94" t="s">
        <v>964</v>
      </c>
      <c r="O313" s="94" t="s">
        <v>964</v>
      </c>
      <c r="P313" s="94" t="s">
        <v>965</v>
      </c>
      <c r="Q313" s="97" t="e">
        <f>Tabela13[[#This Row],[Tempo Máximo Atendimento]]+"00:20:00"</f>
        <v>#REF!</v>
      </c>
      <c r="R313" s="94"/>
      <c r="S313" s="94" t="s">
        <v>975</v>
      </c>
      <c r="T313" s="94" t="s">
        <v>964</v>
      </c>
      <c r="U313" s="94" t="s">
        <v>964</v>
      </c>
      <c r="V313" s="94"/>
      <c r="W313" s="94" t="s">
        <v>980</v>
      </c>
      <c r="X313" s="94" t="s">
        <v>964</v>
      </c>
      <c r="Y313" s="95" t="s">
        <v>964</v>
      </c>
      <c r="Z313" s="94" t="s">
        <v>964</v>
      </c>
      <c r="AA313" s="94" t="s">
        <v>964</v>
      </c>
      <c r="AB313" s="94" t="s">
        <v>964</v>
      </c>
      <c r="AC313" s="94" t="s">
        <v>970</v>
      </c>
      <c r="AD313" s="101" t="s">
        <v>971</v>
      </c>
    </row>
    <row r="314" spans="1:30" ht="15" hidden="1">
      <c r="A314" s="94" t="s">
        <v>1226</v>
      </c>
      <c r="B314" s="94" t="s">
        <v>14</v>
      </c>
      <c r="C314" s="94" t="s">
        <v>957</v>
      </c>
      <c r="D314" s="105" t="s">
        <v>1043</v>
      </c>
      <c r="E314" s="95" t="s">
        <v>1044</v>
      </c>
      <c r="F314" s="94" t="s">
        <v>963</v>
      </c>
      <c r="G314" s="94" t="s">
        <v>960</v>
      </c>
      <c r="H314" s="94" t="s">
        <v>961</v>
      </c>
      <c r="I314" s="94"/>
      <c r="J314" s="94">
        <v>4</v>
      </c>
      <c r="K314" s="96" t="e">
        <f>VLOOKUP(Tabela13[[#This Row],[Prioridade]],[5]!TabelaPrioridade[#Data],2,FALSE)</f>
        <v>#REF!</v>
      </c>
      <c r="L314" s="96" t="e">
        <f>VLOOKUP(Tabela13[[#This Row],[Prioridade]],[5]!TabelaPrioridade[#Data],3,FALSE)</f>
        <v>#REF!</v>
      </c>
      <c r="M314" s="94" t="s">
        <v>963</v>
      </c>
      <c r="N314" s="94"/>
      <c r="O314" s="94"/>
      <c r="P314" s="94" t="s">
        <v>965</v>
      </c>
      <c r="Q314" s="97" t="e">
        <f>Tabela13[[#This Row],[Tempo Máximo Atendimento]]+"00:20:00"</f>
        <v>#REF!</v>
      </c>
      <c r="R314" s="94"/>
      <c r="S314" s="94" t="s">
        <v>975</v>
      </c>
      <c r="T314" s="94" t="s">
        <v>964</v>
      </c>
      <c r="U314" s="94" t="s">
        <v>964</v>
      </c>
      <c r="V314" s="94"/>
      <c r="W314" s="94" t="s">
        <v>980</v>
      </c>
      <c r="X314" s="94" t="s">
        <v>964</v>
      </c>
      <c r="Y314" s="95" t="s">
        <v>964</v>
      </c>
      <c r="Z314" s="94" t="s">
        <v>964</v>
      </c>
      <c r="AA314" s="94" t="s">
        <v>964</v>
      </c>
      <c r="AB314" s="94" t="s">
        <v>964</v>
      </c>
      <c r="AC314" s="94" t="s">
        <v>970</v>
      </c>
      <c r="AD314" s="101" t="s">
        <v>971</v>
      </c>
    </row>
    <row r="315" spans="1:30" ht="15" hidden="1">
      <c r="A315" s="94" t="s">
        <v>1226</v>
      </c>
      <c r="B315" s="102" t="s">
        <v>14</v>
      </c>
      <c r="C315" s="102" t="s">
        <v>976</v>
      </c>
      <c r="D315" s="105" t="s">
        <v>565</v>
      </c>
      <c r="E315" s="95"/>
      <c r="F315" s="94" t="s">
        <v>963</v>
      </c>
      <c r="G315" s="94" t="s">
        <v>960</v>
      </c>
      <c r="H315" s="94" t="s">
        <v>961</v>
      </c>
      <c r="I315" s="94"/>
      <c r="J315" s="94">
        <v>2</v>
      </c>
      <c r="K315" s="96" t="e">
        <f>VLOOKUP(Tabela13[[#This Row],[Prioridade]],[5]!TabelaPrioridade[#Data],2,FALSE)</f>
        <v>#REF!</v>
      </c>
      <c r="L315" s="96" t="e">
        <f>VLOOKUP(Tabela13[[#This Row],[Prioridade]],[5]!TabelaPrioridade[#Data],3,FALSE)</f>
        <v>#REF!</v>
      </c>
      <c r="M315" s="94" t="s">
        <v>963</v>
      </c>
      <c r="N315" s="94" t="s">
        <v>964</v>
      </c>
      <c r="O315" s="94" t="s">
        <v>964</v>
      </c>
      <c r="P315" s="94" t="s">
        <v>965</v>
      </c>
      <c r="Q315" s="97" t="e">
        <f>Tabela13[[#This Row],[Tempo Máximo Atendimento]]+"00:20:00"</f>
        <v>#REF!</v>
      </c>
      <c r="R315" s="94"/>
      <c r="S315" s="94" t="s">
        <v>980</v>
      </c>
      <c r="T315" s="94" t="s">
        <v>964</v>
      </c>
      <c r="U315" s="94" t="s">
        <v>964</v>
      </c>
      <c r="V315" s="94"/>
      <c r="W315" s="94" t="s">
        <v>1005</v>
      </c>
      <c r="X315" s="94" t="s">
        <v>964</v>
      </c>
      <c r="Y315" s="95" t="s">
        <v>964</v>
      </c>
      <c r="Z315" s="94" t="s">
        <v>964</v>
      </c>
      <c r="AA315" s="94" t="s">
        <v>964</v>
      </c>
      <c r="AB315" s="94" t="s">
        <v>964</v>
      </c>
      <c r="AC315" s="94" t="s">
        <v>970</v>
      </c>
      <c r="AD315" s="99">
        <v>2.0833333333333332E-2</v>
      </c>
    </row>
    <row r="316" spans="1:30" ht="15" hidden="1">
      <c r="A316" s="94" t="s">
        <v>1226</v>
      </c>
      <c r="B316" s="94" t="s">
        <v>14</v>
      </c>
      <c r="C316" s="94" t="s">
        <v>976</v>
      </c>
      <c r="D316" s="105" t="s">
        <v>987</v>
      </c>
      <c r="E316" s="95"/>
      <c r="F316" s="94" t="s">
        <v>963</v>
      </c>
      <c r="G316" s="94" t="s">
        <v>960</v>
      </c>
      <c r="H316" s="94" t="s">
        <v>961</v>
      </c>
      <c r="I316" s="94"/>
      <c r="J316" s="94">
        <v>3</v>
      </c>
      <c r="K316" s="96" t="e">
        <f>VLOOKUP(Tabela13[[#This Row],[Prioridade]],[5]!TabelaPrioridade[#Data],2,FALSE)</f>
        <v>#REF!</v>
      </c>
      <c r="L316" s="96" t="e">
        <f>VLOOKUP(Tabela13[[#This Row],[Prioridade]],[5]!TabelaPrioridade[#Data],3,FALSE)</f>
        <v>#REF!</v>
      </c>
      <c r="M316" s="94" t="s">
        <v>963</v>
      </c>
      <c r="N316" s="94" t="s">
        <v>964</v>
      </c>
      <c r="O316" s="94" t="s">
        <v>964</v>
      </c>
      <c r="P316" s="94" t="s">
        <v>965</v>
      </c>
      <c r="Q316" s="97" t="e">
        <f>Tabela13[[#This Row],[Tempo Máximo Atendimento]]+"00:20:00"</f>
        <v>#REF!</v>
      </c>
      <c r="R316" s="94"/>
      <c r="S316" s="94" t="s">
        <v>980</v>
      </c>
      <c r="T316" s="94" t="s">
        <v>964</v>
      </c>
      <c r="U316" s="94" t="s">
        <v>964</v>
      </c>
      <c r="V316" s="94"/>
      <c r="W316" s="94" t="s">
        <v>1005</v>
      </c>
      <c r="X316" s="94" t="s">
        <v>964</v>
      </c>
      <c r="Y316" s="95" t="s">
        <v>964</v>
      </c>
      <c r="Z316" s="94" t="s">
        <v>964</v>
      </c>
      <c r="AA316" s="94" t="s">
        <v>964</v>
      </c>
      <c r="AB316" s="94" t="s">
        <v>964</v>
      </c>
      <c r="AC316" s="94" t="s">
        <v>970</v>
      </c>
      <c r="AD316" s="101" t="s">
        <v>971</v>
      </c>
    </row>
    <row r="317" spans="1:30" ht="15" hidden="1">
      <c r="A317" s="94" t="s">
        <v>1227</v>
      </c>
      <c r="B317" s="102" t="s">
        <v>956</v>
      </c>
      <c r="C317" s="102" t="s">
        <v>957</v>
      </c>
      <c r="D317" s="105" t="s">
        <v>958</v>
      </c>
      <c r="E317" s="95"/>
      <c r="F317" s="94" t="s">
        <v>960</v>
      </c>
      <c r="G317" s="94" t="s">
        <v>960</v>
      </c>
      <c r="H317" s="94" t="s">
        <v>961</v>
      </c>
      <c r="I317" s="94" t="s">
        <v>962</v>
      </c>
      <c r="J317" s="94">
        <v>4</v>
      </c>
      <c r="K317" s="96" t="e">
        <f>VLOOKUP(Tabela13[[#This Row],[Prioridade]],[5]!TabelaPrioridade[#Data],2,FALSE)</f>
        <v>#REF!</v>
      </c>
      <c r="L317" s="96" t="e">
        <f>VLOOKUP(Tabela13[[#This Row],[Prioridade]],[5]!TabelaPrioridade[#Data],3,FALSE)</f>
        <v>#REF!</v>
      </c>
      <c r="M317" s="94" t="s">
        <v>963</v>
      </c>
      <c r="N317" s="94" t="s">
        <v>964</v>
      </c>
      <c r="O317" s="94" t="s">
        <v>964</v>
      </c>
      <c r="P317" s="94" t="s">
        <v>980</v>
      </c>
      <c r="Q317" s="97" t="e">
        <f>Tabela13[[#This Row],[Tempo Máximo Atendimento]]+"00:20:00"</f>
        <v>#REF!</v>
      </c>
      <c r="R317" s="94"/>
      <c r="S317" s="94" t="s">
        <v>1005</v>
      </c>
      <c r="T317" s="97" t="s">
        <v>964</v>
      </c>
      <c r="U317" s="97" t="s">
        <v>964</v>
      </c>
      <c r="V317" s="94"/>
      <c r="W317" s="94" t="s">
        <v>964</v>
      </c>
      <c r="X317" s="94" t="s">
        <v>964</v>
      </c>
      <c r="Y317" s="95" t="s">
        <v>964</v>
      </c>
      <c r="Z317" s="94" t="s">
        <v>964</v>
      </c>
      <c r="AA317" s="94" t="s">
        <v>964</v>
      </c>
      <c r="AB317" s="94" t="s">
        <v>964</v>
      </c>
      <c r="AC317" s="94" t="s">
        <v>970</v>
      </c>
      <c r="AD317" s="101" t="s">
        <v>971</v>
      </c>
    </row>
    <row r="318" spans="1:30" ht="15" hidden="1">
      <c r="A318" s="94" t="s">
        <v>1227</v>
      </c>
      <c r="B318" s="102" t="s">
        <v>956</v>
      </c>
      <c r="C318" s="102" t="s">
        <v>957</v>
      </c>
      <c r="D318" s="105" t="s">
        <v>1024</v>
      </c>
      <c r="E318" s="95"/>
      <c r="F318" s="94" t="s">
        <v>960</v>
      </c>
      <c r="G318" s="94" t="s">
        <v>960</v>
      </c>
      <c r="H318" s="94" t="s">
        <v>961</v>
      </c>
      <c r="I318" s="94" t="s">
        <v>962</v>
      </c>
      <c r="J318" s="94">
        <v>4</v>
      </c>
      <c r="K318" s="96" t="e">
        <f>VLOOKUP(Tabela13[[#This Row],[Prioridade]],[5]!TabelaPrioridade[#Data],2,FALSE)</f>
        <v>#REF!</v>
      </c>
      <c r="L318" s="96" t="e">
        <f>VLOOKUP(Tabela13[[#This Row],[Prioridade]],[5]!TabelaPrioridade[#Data],3,FALSE)</f>
        <v>#REF!</v>
      </c>
      <c r="M318" s="94" t="s">
        <v>963</v>
      </c>
      <c r="N318" s="94" t="s">
        <v>964</v>
      </c>
      <c r="O318" s="94" t="s">
        <v>964</v>
      </c>
      <c r="P318" s="94" t="s">
        <v>980</v>
      </c>
      <c r="Q318" s="97" t="e">
        <f>Tabela13[[#This Row],[Tempo Máximo Atendimento]]+"00:20:00"</f>
        <v>#REF!</v>
      </c>
      <c r="R318" s="94"/>
      <c r="S318" s="94" t="s">
        <v>1005</v>
      </c>
      <c r="T318" s="97" t="s">
        <v>964</v>
      </c>
      <c r="U318" s="97" t="s">
        <v>964</v>
      </c>
      <c r="V318" s="94"/>
      <c r="W318" s="94" t="s">
        <v>964</v>
      </c>
      <c r="X318" s="94" t="s">
        <v>964</v>
      </c>
      <c r="Y318" s="95" t="s">
        <v>964</v>
      </c>
      <c r="Z318" s="94" t="s">
        <v>964</v>
      </c>
      <c r="AA318" s="94" t="s">
        <v>964</v>
      </c>
      <c r="AB318" s="94" t="s">
        <v>964</v>
      </c>
      <c r="AC318" s="94" t="s">
        <v>970</v>
      </c>
      <c r="AD318" s="101" t="s">
        <v>971</v>
      </c>
    </row>
    <row r="319" spans="1:30" ht="15" hidden="1">
      <c r="A319" s="94" t="s">
        <v>1227</v>
      </c>
      <c r="B319" s="102" t="s">
        <v>956</v>
      </c>
      <c r="C319" s="102" t="s">
        <v>957</v>
      </c>
      <c r="D319" s="105" t="s">
        <v>1022</v>
      </c>
      <c r="E319" s="95"/>
      <c r="F319" s="94" t="s">
        <v>960</v>
      </c>
      <c r="G319" s="94" t="s">
        <v>960</v>
      </c>
      <c r="H319" s="94" t="s">
        <v>961</v>
      </c>
      <c r="I319" s="94" t="s">
        <v>962</v>
      </c>
      <c r="J319" s="94">
        <v>4</v>
      </c>
      <c r="K319" s="96" t="e">
        <f>VLOOKUP(Tabela13[[#This Row],[Prioridade]],[5]!TabelaPrioridade[#Data],2,FALSE)</f>
        <v>#REF!</v>
      </c>
      <c r="L319" s="96" t="e">
        <f>VLOOKUP(Tabela13[[#This Row],[Prioridade]],[5]!TabelaPrioridade[#Data],3,FALSE)</f>
        <v>#REF!</v>
      </c>
      <c r="M319" s="94" t="s">
        <v>963</v>
      </c>
      <c r="N319" s="94" t="s">
        <v>964</v>
      </c>
      <c r="O319" s="94" t="s">
        <v>964</v>
      </c>
      <c r="P319" s="94" t="s">
        <v>980</v>
      </c>
      <c r="Q319" s="97" t="e">
        <f>Tabela13[[#This Row],[Tempo Máximo Atendimento]]+"00:20:00"</f>
        <v>#REF!</v>
      </c>
      <c r="R319" s="94"/>
      <c r="S319" s="94" t="s">
        <v>1005</v>
      </c>
      <c r="T319" s="97" t="s">
        <v>964</v>
      </c>
      <c r="U319" s="97" t="s">
        <v>964</v>
      </c>
      <c r="V319" s="94"/>
      <c r="W319" s="94" t="s">
        <v>964</v>
      </c>
      <c r="X319" s="94" t="s">
        <v>964</v>
      </c>
      <c r="Y319" s="95" t="s">
        <v>964</v>
      </c>
      <c r="Z319" s="94" t="s">
        <v>964</v>
      </c>
      <c r="AA319" s="94" t="s">
        <v>964</v>
      </c>
      <c r="AB319" s="94" t="s">
        <v>964</v>
      </c>
      <c r="AC319" s="94" t="s">
        <v>970</v>
      </c>
      <c r="AD319" s="101" t="s">
        <v>971</v>
      </c>
    </row>
    <row r="320" spans="1:30" ht="15" hidden="1">
      <c r="A320" s="94" t="s">
        <v>1227</v>
      </c>
      <c r="B320" s="94" t="s">
        <v>956</v>
      </c>
      <c r="C320" s="94" t="s">
        <v>957</v>
      </c>
      <c r="D320" s="105" t="s">
        <v>1228</v>
      </c>
      <c r="E320" s="95"/>
      <c r="F320" s="94" t="s">
        <v>960</v>
      </c>
      <c r="G320" s="94" t="s">
        <v>960</v>
      </c>
      <c r="H320" s="94" t="s">
        <v>961</v>
      </c>
      <c r="I320" s="94" t="s">
        <v>962</v>
      </c>
      <c r="J320" s="94">
        <v>4</v>
      </c>
      <c r="K320" s="96" t="e">
        <f>VLOOKUP(Tabela13[[#This Row],[Prioridade]],[5]!TabelaPrioridade[#Data],2,FALSE)</f>
        <v>#REF!</v>
      </c>
      <c r="L320" s="96" t="e">
        <f>VLOOKUP(Tabela13[[#This Row],[Prioridade]],[5]!TabelaPrioridade[#Data],3,FALSE)</f>
        <v>#REF!</v>
      </c>
      <c r="M320" s="94" t="s">
        <v>963</v>
      </c>
      <c r="N320" s="94" t="s">
        <v>964</v>
      </c>
      <c r="O320" s="94" t="s">
        <v>964</v>
      </c>
      <c r="P320" s="94" t="s">
        <v>980</v>
      </c>
      <c r="Q320" s="97" t="e">
        <f>Tabela13[[#This Row],[Tempo Máximo Atendimento]]+"00:20:00"</f>
        <v>#REF!</v>
      </c>
      <c r="R320" s="94"/>
      <c r="S320" s="94" t="s">
        <v>1005</v>
      </c>
      <c r="T320" s="97" t="s">
        <v>964</v>
      </c>
      <c r="U320" s="97" t="s">
        <v>964</v>
      </c>
      <c r="V320" s="94"/>
      <c r="W320" s="94" t="s">
        <v>964</v>
      </c>
      <c r="X320" s="94" t="s">
        <v>964</v>
      </c>
      <c r="Y320" s="95" t="s">
        <v>964</v>
      </c>
      <c r="Z320" s="94" t="s">
        <v>964</v>
      </c>
      <c r="AA320" s="94" t="s">
        <v>964</v>
      </c>
      <c r="AB320" s="94" t="s">
        <v>964</v>
      </c>
      <c r="AC320" s="94" t="s">
        <v>970</v>
      </c>
      <c r="AD320" s="101" t="s">
        <v>971</v>
      </c>
    </row>
    <row r="321" spans="1:30" ht="15" hidden="1">
      <c r="A321" s="94" t="s">
        <v>1227</v>
      </c>
      <c r="B321" s="94" t="s">
        <v>956</v>
      </c>
      <c r="C321" s="94" t="s">
        <v>1152</v>
      </c>
      <c r="D321" s="105" t="s">
        <v>1229</v>
      </c>
      <c r="E321" s="95"/>
      <c r="F321" s="94" t="s">
        <v>960</v>
      </c>
      <c r="G321" s="94" t="s">
        <v>960</v>
      </c>
      <c r="H321" s="94" t="s">
        <v>961</v>
      </c>
      <c r="I321" s="94" t="s">
        <v>962</v>
      </c>
      <c r="J321" s="94">
        <v>4</v>
      </c>
      <c r="K321" s="96" t="e">
        <f>VLOOKUP(Tabela13[[#This Row],[Prioridade]],[5]!TabelaPrioridade[#Data],2,FALSE)</f>
        <v>#REF!</v>
      </c>
      <c r="L321" s="96" t="e">
        <f>VLOOKUP(Tabela13[[#This Row],[Prioridade]],[5]!TabelaPrioridade[#Data],3,FALSE)</f>
        <v>#REF!</v>
      </c>
      <c r="M321" s="94" t="s">
        <v>963</v>
      </c>
      <c r="N321" s="94" t="s">
        <v>964</v>
      </c>
      <c r="O321" s="94" t="s">
        <v>964</v>
      </c>
      <c r="P321" s="94" t="s">
        <v>980</v>
      </c>
      <c r="Q321" s="97" t="e">
        <f>Tabela13[[#This Row],[Tempo Máximo Atendimento]]+"00:20:00"</f>
        <v>#REF!</v>
      </c>
      <c r="R321" s="94"/>
      <c r="S321" s="94" t="s">
        <v>1005</v>
      </c>
      <c r="T321" s="97" t="s">
        <v>964</v>
      </c>
      <c r="U321" s="97" t="s">
        <v>964</v>
      </c>
      <c r="V321" s="94"/>
      <c r="W321" s="94" t="s">
        <v>964</v>
      </c>
      <c r="X321" s="94" t="s">
        <v>964</v>
      </c>
      <c r="Y321" s="95" t="s">
        <v>964</v>
      </c>
      <c r="Z321" s="94" t="s">
        <v>964</v>
      </c>
      <c r="AA321" s="94" t="s">
        <v>964</v>
      </c>
      <c r="AB321" s="94" t="s">
        <v>964</v>
      </c>
      <c r="AC321" s="94" t="s">
        <v>970</v>
      </c>
      <c r="AD321" s="101" t="s">
        <v>971</v>
      </c>
    </row>
    <row r="322" spans="1:30" ht="15" hidden="1">
      <c r="A322" s="94" t="s">
        <v>1227</v>
      </c>
      <c r="B322" s="94" t="s">
        <v>956</v>
      </c>
      <c r="C322" s="94" t="s">
        <v>957</v>
      </c>
      <c r="D322" s="105" t="s">
        <v>1230</v>
      </c>
      <c r="E322" s="95"/>
      <c r="F322" s="94" t="s">
        <v>960</v>
      </c>
      <c r="G322" s="94" t="s">
        <v>960</v>
      </c>
      <c r="H322" s="94" t="s">
        <v>961</v>
      </c>
      <c r="I322" s="94" t="s">
        <v>962</v>
      </c>
      <c r="J322" s="94">
        <v>4</v>
      </c>
      <c r="K322" s="96" t="e">
        <f>VLOOKUP(Tabela13[[#This Row],[Prioridade]],[5]!TabelaPrioridade[#Data],2,FALSE)</f>
        <v>#REF!</v>
      </c>
      <c r="L322" s="96" t="e">
        <f>VLOOKUP(Tabela13[[#This Row],[Prioridade]],[5]!TabelaPrioridade[#Data],3,FALSE)</f>
        <v>#REF!</v>
      </c>
      <c r="M322" s="94" t="s">
        <v>963</v>
      </c>
      <c r="N322" s="94" t="s">
        <v>964</v>
      </c>
      <c r="O322" s="94" t="s">
        <v>964</v>
      </c>
      <c r="P322" s="94" t="s">
        <v>980</v>
      </c>
      <c r="Q322" s="97" t="e">
        <f>Tabela13[[#This Row],[Tempo Máximo Atendimento]]+"00:20:00"</f>
        <v>#REF!</v>
      </c>
      <c r="R322" s="94"/>
      <c r="S322" s="94" t="s">
        <v>1005</v>
      </c>
      <c r="T322" s="97" t="s">
        <v>964</v>
      </c>
      <c r="U322" s="97" t="s">
        <v>964</v>
      </c>
      <c r="V322" s="94"/>
      <c r="W322" s="94" t="s">
        <v>964</v>
      </c>
      <c r="X322" s="94" t="s">
        <v>964</v>
      </c>
      <c r="Y322" s="95" t="s">
        <v>964</v>
      </c>
      <c r="Z322" s="94" t="s">
        <v>964</v>
      </c>
      <c r="AA322" s="94" t="s">
        <v>964</v>
      </c>
      <c r="AB322" s="94" t="s">
        <v>964</v>
      </c>
      <c r="AC322" s="94" t="s">
        <v>970</v>
      </c>
      <c r="AD322" s="101" t="s">
        <v>971</v>
      </c>
    </row>
    <row r="323" spans="1:30" ht="15" hidden="1">
      <c r="A323" s="94" t="s">
        <v>1227</v>
      </c>
      <c r="B323" s="94" t="s">
        <v>956</v>
      </c>
      <c r="C323" s="94" t="s">
        <v>957</v>
      </c>
      <c r="D323" s="105" t="s">
        <v>1231</v>
      </c>
      <c r="E323" s="95"/>
      <c r="F323" s="94" t="s">
        <v>960</v>
      </c>
      <c r="G323" s="94" t="s">
        <v>960</v>
      </c>
      <c r="H323" s="94" t="s">
        <v>961</v>
      </c>
      <c r="I323" s="94" t="s">
        <v>962</v>
      </c>
      <c r="J323" s="94">
        <v>4</v>
      </c>
      <c r="K323" s="96" t="e">
        <f>VLOOKUP(Tabela13[[#This Row],[Prioridade]],[5]!TabelaPrioridade[#Data],2,FALSE)</f>
        <v>#REF!</v>
      </c>
      <c r="L323" s="96" t="e">
        <f>VLOOKUP(Tabela13[[#This Row],[Prioridade]],[5]!TabelaPrioridade[#Data],3,FALSE)</f>
        <v>#REF!</v>
      </c>
      <c r="M323" s="94" t="s">
        <v>963</v>
      </c>
      <c r="N323" s="94" t="s">
        <v>964</v>
      </c>
      <c r="O323" s="94" t="s">
        <v>964</v>
      </c>
      <c r="P323" s="94" t="s">
        <v>980</v>
      </c>
      <c r="Q323" s="97" t="e">
        <f>Tabela13[[#This Row],[Tempo Máximo Atendimento]]+"00:20:00"</f>
        <v>#REF!</v>
      </c>
      <c r="R323" s="94"/>
      <c r="S323" s="94" t="s">
        <v>1005</v>
      </c>
      <c r="T323" s="97" t="s">
        <v>964</v>
      </c>
      <c r="U323" s="97" t="s">
        <v>964</v>
      </c>
      <c r="V323" s="94"/>
      <c r="W323" s="94" t="s">
        <v>964</v>
      </c>
      <c r="X323" s="94" t="s">
        <v>964</v>
      </c>
      <c r="Y323" s="95" t="s">
        <v>964</v>
      </c>
      <c r="Z323" s="94" t="s">
        <v>964</v>
      </c>
      <c r="AA323" s="94" t="s">
        <v>964</v>
      </c>
      <c r="AB323" s="94" t="s">
        <v>964</v>
      </c>
      <c r="AC323" s="94" t="s">
        <v>970</v>
      </c>
      <c r="AD323" s="101" t="s">
        <v>971</v>
      </c>
    </row>
    <row r="324" spans="1:30" ht="15" hidden="1">
      <c r="A324" s="94" t="s">
        <v>1227</v>
      </c>
      <c r="B324" s="94" t="s">
        <v>956</v>
      </c>
      <c r="C324" s="94" t="s">
        <v>957</v>
      </c>
      <c r="D324" s="105" t="s">
        <v>1232</v>
      </c>
      <c r="E324" s="95"/>
      <c r="F324" s="94" t="s">
        <v>960</v>
      </c>
      <c r="G324" s="94" t="s">
        <v>960</v>
      </c>
      <c r="H324" s="94" t="s">
        <v>961</v>
      </c>
      <c r="I324" s="94" t="s">
        <v>962</v>
      </c>
      <c r="J324" s="94">
        <v>4</v>
      </c>
      <c r="K324" s="96" t="e">
        <f>VLOOKUP(Tabela13[[#This Row],[Prioridade]],[5]!TabelaPrioridade[#Data],2,FALSE)</f>
        <v>#REF!</v>
      </c>
      <c r="L324" s="96" t="e">
        <f>VLOOKUP(Tabela13[[#This Row],[Prioridade]],[5]!TabelaPrioridade[#Data],3,FALSE)</f>
        <v>#REF!</v>
      </c>
      <c r="M324" s="94" t="s">
        <v>963</v>
      </c>
      <c r="N324" s="94" t="s">
        <v>964</v>
      </c>
      <c r="O324" s="94" t="s">
        <v>964</v>
      </c>
      <c r="P324" s="94" t="s">
        <v>980</v>
      </c>
      <c r="Q324" s="97" t="e">
        <f>Tabela13[[#This Row],[Tempo Máximo Atendimento]]+"00:20:00"</f>
        <v>#REF!</v>
      </c>
      <c r="R324" s="94"/>
      <c r="S324" s="94" t="s">
        <v>1005</v>
      </c>
      <c r="T324" s="97" t="s">
        <v>964</v>
      </c>
      <c r="U324" s="97" t="s">
        <v>964</v>
      </c>
      <c r="V324" s="94"/>
      <c r="W324" s="94" t="s">
        <v>964</v>
      </c>
      <c r="X324" s="94" t="s">
        <v>964</v>
      </c>
      <c r="Y324" s="95" t="s">
        <v>964</v>
      </c>
      <c r="Z324" s="94" t="s">
        <v>964</v>
      </c>
      <c r="AA324" s="94" t="s">
        <v>964</v>
      </c>
      <c r="AB324" s="94" t="s">
        <v>964</v>
      </c>
      <c r="AC324" s="94" t="s">
        <v>970</v>
      </c>
      <c r="AD324" s="101" t="s">
        <v>971</v>
      </c>
    </row>
    <row r="325" spans="1:30" ht="15" hidden="1">
      <c r="A325" s="94" t="s">
        <v>1227</v>
      </c>
      <c r="B325" s="94" t="s">
        <v>956</v>
      </c>
      <c r="C325" s="94" t="s">
        <v>957</v>
      </c>
      <c r="D325" s="105" t="s">
        <v>1233</v>
      </c>
      <c r="E325" s="95"/>
      <c r="F325" s="94" t="s">
        <v>960</v>
      </c>
      <c r="G325" s="94" t="s">
        <v>960</v>
      </c>
      <c r="H325" s="94" t="s">
        <v>961</v>
      </c>
      <c r="I325" s="94" t="s">
        <v>962</v>
      </c>
      <c r="J325" s="94">
        <v>4</v>
      </c>
      <c r="K325" s="96" t="e">
        <f>VLOOKUP(Tabela13[[#This Row],[Prioridade]],[5]!TabelaPrioridade[#Data],2,FALSE)</f>
        <v>#REF!</v>
      </c>
      <c r="L325" s="96" t="e">
        <f>VLOOKUP(Tabela13[[#This Row],[Prioridade]],[5]!TabelaPrioridade[#Data],3,FALSE)</f>
        <v>#REF!</v>
      </c>
      <c r="M325" s="94" t="s">
        <v>963</v>
      </c>
      <c r="N325" s="94" t="s">
        <v>964</v>
      </c>
      <c r="O325" s="94" t="s">
        <v>964</v>
      </c>
      <c r="P325" s="94" t="s">
        <v>980</v>
      </c>
      <c r="Q325" s="97" t="e">
        <f>Tabela13[[#This Row],[Tempo Máximo Atendimento]]+"00:20:00"</f>
        <v>#REF!</v>
      </c>
      <c r="R325" s="94"/>
      <c r="S325" s="94" t="s">
        <v>1005</v>
      </c>
      <c r="T325" s="97" t="s">
        <v>964</v>
      </c>
      <c r="U325" s="97" t="s">
        <v>964</v>
      </c>
      <c r="V325" s="94"/>
      <c r="W325" s="94" t="s">
        <v>964</v>
      </c>
      <c r="X325" s="94" t="s">
        <v>964</v>
      </c>
      <c r="Y325" s="95" t="s">
        <v>964</v>
      </c>
      <c r="Z325" s="94" t="s">
        <v>964</v>
      </c>
      <c r="AA325" s="94" t="s">
        <v>964</v>
      </c>
      <c r="AB325" s="94" t="s">
        <v>964</v>
      </c>
      <c r="AC325" s="94" t="s">
        <v>970</v>
      </c>
      <c r="AD325" s="101" t="s">
        <v>971</v>
      </c>
    </row>
    <row r="326" spans="1:30" ht="15" hidden="1">
      <c r="A326" s="94" t="s">
        <v>1227</v>
      </c>
      <c r="B326" s="94" t="s">
        <v>956</v>
      </c>
      <c r="C326" s="94" t="s">
        <v>957</v>
      </c>
      <c r="D326" s="105" t="s">
        <v>1234</v>
      </c>
      <c r="E326" s="95"/>
      <c r="F326" s="94" t="s">
        <v>960</v>
      </c>
      <c r="G326" s="94" t="s">
        <v>960</v>
      </c>
      <c r="H326" s="94" t="s">
        <v>961</v>
      </c>
      <c r="I326" s="94" t="s">
        <v>962</v>
      </c>
      <c r="J326" s="94">
        <v>4</v>
      </c>
      <c r="K326" s="96" t="e">
        <f>VLOOKUP(Tabela13[[#This Row],[Prioridade]],[5]!TabelaPrioridade[#Data],2,FALSE)</f>
        <v>#REF!</v>
      </c>
      <c r="L326" s="96" t="e">
        <f>VLOOKUP(Tabela13[[#This Row],[Prioridade]],[5]!TabelaPrioridade[#Data],3,FALSE)</f>
        <v>#REF!</v>
      </c>
      <c r="M326" s="94" t="s">
        <v>963</v>
      </c>
      <c r="N326" s="94" t="s">
        <v>964</v>
      </c>
      <c r="O326" s="94" t="s">
        <v>964</v>
      </c>
      <c r="P326" s="94" t="s">
        <v>980</v>
      </c>
      <c r="Q326" s="97" t="e">
        <f>Tabela13[[#This Row],[Tempo Máximo Atendimento]]+"00:20:00"</f>
        <v>#REF!</v>
      </c>
      <c r="R326" s="94"/>
      <c r="S326" s="94" t="s">
        <v>1005</v>
      </c>
      <c r="T326" s="97" t="s">
        <v>964</v>
      </c>
      <c r="U326" s="97" t="s">
        <v>964</v>
      </c>
      <c r="V326" s="94"/>
      <c r="W326" s="94" t="s">
        <v>964</v>
      </c>
      <c r="X326" s="94" t="s">
        <v>964</v>
      </c>
      <c r="Y326" s="95" t="s">
        <v>964</v>
      </c>
      <c r="Z326" s="94" t="s">
        <v>964</v>
      </c>
      <c r="AA326" s="94" t="s">
        <v>964</v>
      </c>
      <c r="AB326" s="94" t="s">
        <v>964</v>
      </c>
      <c r="AC326" s="94" t="s">
        <v>970</v>
      </c>
      <c r="AD326" s="101" t="s">
        <v>971</v>
      </c>
    </row>
    <row r="327" spans="1:30" ht="15" hidden="1">
      <c r="A327" s="94" t="s">
        <v>1227</v>
      </c>
      <c r="B327" s="94" t="s">
        <v>956</v>
      </c>
      <c r="C327" s="94" t="s">
        <v>957</v>
      </c>
      <c r="D327" s="105" t="s">
        <v>1235</v>
      </c>
      <c r="E327" s="95"/>
      <c r="F327" s="94" t="s">
        <v>960</v>
      </c>
      <c r="G327" s="94" t="s">
        <v>960</v>
      </c>
      <c r="H327" s="94" t="s">
        <v>961</v>
      </c>
      <c r="I327" s="94" t="s">
        <v>962</v>
      </c>
      <c r="J327" s="94">
        <v>4</v>
      </c>
      <c r="K327" s="96" t="e">
        <f>VLOOKUP(Tabela13[[#This Row],[Prioridade]],[5]!TabelaPrioridade[#Data],2,FALSE)</f>
        <v>#REF!</v>
      </c>
      <c r="L327" s="96" t="e">
        <f>VLOOKUP(Tabela13[[#This Row],[Prioridade]],[5]!TabelaPrioridade[#Data],3,FALSE)</f>
        <v>#REF!</v>
      </c>
      <c r="M327" s="94" t="s">
        <v>963</v>
      </c>
      <c r="N327" s="94" t="s">
        <v>964</v>
      </c>
      <c r="O327" s="94" t="s">
        <v>964</v>
      </c>
      <c r="P327" s="94" t="s">
        <v>980</v>
      </c>
      <c r="Q327" s="97" t="e">
        <f>Tabela13[[#This Row],[Tempo Máximo Atendimento]]+"00:20:00"</f>
        <v>#REF!</v>
      </c>
      <c r="R327" s="94"/>
      <c r="S327" s="94" t="s">
        <v>1005</v>
      </c>
      <c r="T327" s="97" t="s">
        <v>964</v>
      </c>
      <c r="U327" s="97" t="s">
        <v>964</v>
      </c>
      <c r="V327" s="94"/>
      <c r="W327" s="94" t="s">
        <v>964</v>
      </c>
      <c r="X327" s="94" t="s">
        <v>964</v>
      </c>
      <c r="Y327" s="95" t="s">
        <v>964</v>
      </c>
      <c r="Z327" s="94" t="s">
        <v>964</v>
      </c>
      <c r="AA327" s="94" t="s">
        <v>964</v>
      </c>
      <c r="AB327" s="94" t="s">
        <v>964</v>
      </c>
      <c r="AC327" s="94" t="s">
        <v>970</v>
      </c>
      <c r="AD327" s="101" t="s">
        <v>971</v>
      </c>
    </row>
    <row r="328" spans="1:30" ht="15" hidden="1">
      <c r="A328" s="94" t="s">
        <v>1227</v>
      </c>
      <c r="B328" s="94" t="s">
        <v>956</v>
      </c>
      <c r="C328" s="94" t="s">
        <v>976</v>
      </c>
      <c r="D328" s="105" t="s">
        <v>565</v>
      </c>
      <c r="E328" s="95"/>
      <c r="F328" s="94" t="s">
        <v>960</v>
      </c>
      <c r="G328" s="94" t="s">
        <v>960</v>
      </c>
      <c r="H328" s="94" t="s">
        <v>961</v>
      </c>
      <c r="I328" s="94" t="s">
        <v>962</v>
      </c>
      <c r="J328" s="94">
        <v>2</v>
      </c>
      <c r="K328" s="96" t="e">
        <f>VLOOKUP(Tabela13[[#This Row],[Prioridade]],[5]!TabelaPrioridade[#Data],2,FALSE)</f>
        <v>#REF!</v>
      </c>
      <c r="L328" s="96" t="e">
        <f>VLOOKUP(Tabela13[[#This Row],[Prioridade]],[5]!TabelaPrioridade[#Data],3,FALSE)</f>
        <v>#REF!</v>
      </c>
      <c r="M328" s="94" t="s">
        <v>963</v>
      </c>
      <c r="N328" s="94" t="s">
        <v>964</v>
      </c>
      <c r="O328" s="94" t="s">
        <v>964</v>
      </c>
      <c r="P328" s="94" t="s">
        <v>980</v>
      </c>
      <c r="Q328" s="97" t="e">
        <f>Tabela13[[#This Row],[Tempo Máximo Atendimento]]+"00:20:00"</f>
        <v>#REF!</v>
      </c>
      <c r="R328" s="94"/>
      <c r="S328" s="94" t="s">
        <v>1005</v>
      </c>
      <c r="T328" s="97" t="s">
        <v>964</v>
      </c>
      <c r="U328" s="97" t="s">
        <v>964</v>
      </c>
      <c r="V328" s="94"/>
      <c r="W328" s="94" t="s">
        <v>964</v>
      </c>
      <c r="X328" s="94" t="s">
        <v>964</v>
      </c>
      <c r="Y328" s="95" t="s">
        <v>964</v>
      </c>
      <c r="Z328" s="94" t="s">
        <v>964</v>
      </c>
      <c r="AA328" s="94" t="s">
        <v>964</v>
      </c>
      <c r="AB328" s="94" t="s">
        <v>964</v>
      </c>
      <c r="AC328" s="94" t="s">
        <v>970</v>
      </c>
      <c r="AD328" s="99">
        <v>2.0833333333333332E-2</v>
      </c>
    </row>
    <row r="329" spans="1:30" ht="15" hidden="1">
      <c r="A329" s="94" t="s">
        <v>1227</v>
      </c>
      <c r="B329" s="94" t="s">
        <v>956</v>
      </c>
      <c r="C329" s="94" t="s">
        <v>976</v>
      </c>
      <c r="D329" s="105" t="s">
        <v>987</v>
      </c>
      <c r="E329" s="95"/>
      <c r="F329" s="94" t="s">
        <v>960</v>
      </c>
      <c r="G329" s="94" t="s">
        <v>960</v>
      </c>
      <c r="H329" s="94" t="s">
        <v>961</v>
      </c>
      <c r="I329" s="94" t="s">
        <v>962</v>
      </c>
      <c r="J329" s="94">
        <v>3</v>
      </c>
      <c r="K329" s="96" t="e">
        <f>VLOOKUP(Tabela13[[#This Row],[Prioridade]],[5]!TabelaPrioridade[#Data],2,FALSE)</f>
        <v>#REF!</v>
      </c>
      <c r="L329" s="96" t="e">
        <f>VLOOKUP(Tabela13[[#This Row],[Prioridade]],[5]!TabelaPrioridade[#Data],3,FALSE)</f>
        <v>#REF!</v>
      </c>
      <c r="M329" s="94" t="s">
        <v>963</v>
      </c>
      <c r="N329" s="94" t="s">
        <v>964</v>
      </c>
      <c r="O329" s="94" t="s">
        <v>964</v>
      </c>
      <c r="P329" s="94" t="s">
        <v>980</v>
      </c>
      <c r="Q329" s="97" t="e">
        <f>Tabela13[[#This Row],[Tempo Máximo Atendimento]]+"00:20:00"</f>
        <v>#REF!</v>
      </c>
      <c r="R329" s="94"/>
      <c r="S329" s="94" t="s">
        <v>1005</v>
      </c>
      <c r="T329" s="97" t="s">
        <v>964</v>
      </c>
      <c r="U329" s="97" t="s">
        <v>964</v>
      </c>
      <c r="V329" s="94"/>
      <c r="W329" s="94" t="s">
        <v>964</v>
      </c>
      <c r="X329" s="94" t="s">
        <v>964</v>
      </c>
      <c r="Y329" s="95" t="s">
        <v>964</v>
      </c>
      <c r="Z329" s="94" t="s">
        <v>964</v>
      </c>
      <c r="AA329" s="94" t="s">
        <v>964</v>
      </c>
      <c r="AB329" s="94" t="s">
        <v>964</v>
      </c>
      <c r="AC329" s="94" t="s">
        <v>970</v>
      </c>
      <c r="AD329" s="101" t="s">
        <v>971</v>
      </c>
    </row>
    <row r="330" spans="1:30" ht="15" hidden="1">
      <c r="A330" s="94" t="s">
        <v>1026</v>
      </c>
      <c r="B330" s="94" t="s">
        <v>14</v>
      </c>
      <c r="C330" s="94" t="s">
        <v>957</v>
      </c>
      <c r="D330" s="105" t="s">
        <v>1236</v>
      </c>
      <c r="E330" s="95"/>
      <c r="F330" s="94" t="s">
        <v>960</v>
      </c>
      <c r="G330" s="94" t="s">
        <v>960</v>
      </c>
      <c r="H330" s="94" t="s">
        <v>961</v>
      </c>
      <c r="I330" s="94"/>
      <c r="J330" s="94">
        <v>4</v>
      </c>
      <c r="K330" s="96" t="e">
        <f>VLOOKUP(Tabela13[[#This Row],[Prioridade]],[5]!TabelaPrioridade[#Data],2,FALSE)</f>
        <v>#REF!</v>
      </c>
      <c r="L330" s="96" t="e">
        <f>VLOOKUP(Tabela13[[#This Row],[Prioridade]],[5]!TabelaPrioridade[#Data],3,FALSE)</f>
        <v>#REF!</v>
      </c>
      <c r="M330" s="94" t="s">
        <v>963</v>
      </c>
      <c r="N330" s="94" t="s">
        <v>964</v>
      </c>
      <c r="O330" s="94" t="s">
        <v>964</v>
      </c>
      <c r="P330" s="94" t="s">
        <v>980</v>
      </c>
      <c r="Q330" s="97" t="e">
        <f>Tabela13[[#This Row],[Tempo Máximo Atendimento]]+"00:20:00"</f>
        <v>#REF!</v>
      </c>
      <c r="R330" s="94"/>
      <c r="S330" s="94" t="s">
        <v>964</v>
      </c>
      <c r="T330" s="97" t="s">
        <v>964</v>
      </c>
      <c r="U330" s="97" t="s">
        <v>964</v>
      </c>
      <c r="V330" s="94"/>
      <c r="W330" s="94" t="s">
        <v>964</v>
      </c>
      <c r="X330" s="94" t="s">
        <v>964</v>
      </c>
      <c r="Y330" s="95" t="s">
        <v>964</v>
      </c>
      <c r="Z330" s="94" t="s">
        <v>964</v>
      </c>
      <c r="AA330" s="94" t="s">
        <v>964</v>
      </c>
      <c r="AB330" s="94" t="s">
        <v>964</v>
      </c>
      <c r="AC330" s="94" t="s">
        <v>970</v>
      </c>
      <c r="AD330" s="101" t="s">
        <v>971</v>
      </c>
    </row>
    <row r="331" spans="1:30" ht="15" hidden="1">
      <c r="A331" s="94" t="s">
        <v>1033</v>
      </c>
      <c r="B331" s="94" t="s">
        <v>14</v>
      </c>
      <c r="C331" s="94" t="s">
        <v>957</v>
      </c>
      <c r="D331" s="105" t="s">
        <v>1237</v>
      </c>
      <c r="E331" s="95"/>
      <c r="F331" s="94" t="s">
        <v>963</v>
      </c>
      <c r="G331" s="94" t="s">
        <v>960</v>
      </c>
      <c r="H331" s="94" t="s">
        <v>961</v>
      </c>
      <c r="I331" s="94"/>
      <c r="J331" s="94">
        <v>4</v>
      </c>
      <c r="K331" s="96" t="e">
        <f>VLOOKUP(Tabela13[[#This Row],[Prioridade]],[5]!TabelaPrioridade[#Data],2,FALSE)</f>
        <v>#REF!</v>
      </c>
      <c r="L331" s="96" t="e">
        <f>VLOOKUP(Tabela13[[#This Row],[Prioridade]],[5]!TabelaPrioridade[#Data],3,FALSE)</f>
        <v>#REF!</v>
      </c>
      <c r="M331" s="94" t="s">
        <v>963</v>
      </c>
      <c r="N331" s="94"/>
      <c r="O331" s="94"/>
      <c r="P331" s="94" t="s">
        <v>965</v>
      </c>
      <c r="Q331" s="97" t="e">
        <f>Tabela13[[#This Row],[Tempo Máximo Atendimento]]+"00:20:00"</f>
        <v>#REF!</v>
      </c>
      <c r="R331" s="94"/>
      <c r="S331" s="94" t="s">
        <v>980</v>
      </c>
      <c r="T331" s="97" t="s">
        <v>964</v>
      </c>
      <c r="U331" s="97" t="e">
        <f>Tabela13[[#This Row],[Tempo Máximo Total Resolução]]-Tabela13[[#This Row],[Tempo Máximo Escalada Funcional]]</f>
        <v>#REF!</v>
      </c>
      <c r="V331" s="94"/>
      <c r="W331" s="94" t="s">
        <v>964</v>
      </c>
      <c r="X331" s="94" t="s">
        <v>964</v>
      </c>
      <c r="Y331" s="95" t="s">
        <v>964</v>
      </c>
      <c r="Z331" s="94" t="s">
        <v>964</v>
      </c>
      <c r="AA331" s="94" t="s">
        <v>964</v>
      </c>
      <c r="AB331" s="94" t="s">
        <v>964</v>
      </c>
      <c r="AC331" s="94" t="s">
        <v>970</v>
      </c>
      <c r="AD331" s="101" t="s">
        <v>971</v>
      </c>
    </row>
    <row r="332" spans="1:30" ht="15" hidden="1">
      <c r="A332" s="94" t="s">
        <v>1046</v>
      </c>
      <c r="B332" s="94" t="s">
        <v>14</v>
      </c>
      <c r="C332" s="94" t="s">
        <v>957</v>
      </c>
      <c r="D332" s="105" t="s">
        <v>1238</v>
      </c>
      <c r="E332" s="95"/>
      <c r="F332" s="94" t="s">
        <v>960</v>
      </c>
      <c r="G332" s="94" t="s">
        <v>960</v>
      </c>
      <c r="H332" s="94" t="s">
        <v>961</v>
      </c>
      <c r="I332" s="94"/>
      <c r="J332" s="94">
        <v>4</v>
      </c>
      <c r="K332" s="96" t="e">
        <f>VLOOKUP(Tabela13[[#This Row],[Prioridade]],[5]!TabelaPrioridade[#Data],2,FALSE)</f>
        <v>#REF!</v>
      </c>
      <c r="L332" s="96" t="e">
        <f>VLOOKUP(Tabela13[[#This Row],[Prioridade]],[5]!TabelaPrioridade[#Data],3,FALSE)</f>
        <v>#REF!</v>
      </c>
      <c r="M332" s="94" t="s">
        <v>963</v>
      </c>
      <c r="N332" s="94"/>
      <c r="O332" s="94"/>
      <c r="P332" s="94" t="s">
        <v>965</v>
      </c>
      <c r="Q332" s="97" t="e">
        <f>Tabela13[[#This Row],[Tempo Máximo Atendimento]]+"00:20:00"</f>
        <v>#REF!</v>
      </c>
      <c r="R332" s="94"/>
      <c r="S332" s="108" t="s">
        <v>1239</v>
      </c>
      <c r="T332" s="97" t="s">
        <v>964</v>
      </c>
      <c r="U332" s="97" t="e">
        <f>Tabela13[[#This Row],[Tempo Máximo Total Resolução]]-Tabela13[[#This Row],[Tempo Máximo Escalada Funcional]]</f>
        <v>#REF!</v>
      </c>
      <c r="V332" s="94"/>
      <c r="W332" s="94" t="s">
        <v>964</v>
      </c>
      <c r="X332" s="94" t="s">
        <v>964</v>
      </c>
      <c r="Y332" s="95" t="s">
        <v>964</v>
      </c>
      <c r="Z332" s="94" t="s">
        <v>964</v>
      </c>
      <c r="AA332" s="94" t="s">
        <v>964</v>
      </c>
      <c r="AB332" s="94" t="s">
        <v>964</v>
      </c>
      <c r="AC332" s="94" t="s">
        <v>970</v>
      </c>
      <c r="AD332" s="101" t="s">
        <v>971</v>
      </c>
    </row>
  </sheetData>
  <mergeCells count="2">
    <mergeCell ref="A1:E1"/>
    <mergeCell ref="F1:AD1"/>
  </mergeCells>
  <conditionalFormatting sqref="A4 J4">
    <cfRule type="expression" dxfId="0" priority="1">
      <formula>"se([@Prioridade]=4;true;false)"</formula>
    </cfRule>
  </conditionalFormatting>
  <dataValidations count="4">
    <dataValidation type="list" allowBlank="1" showInputMessage="1" showErrorMessage="1" sqref="S23:S34 S158:S160 S39:S42 P20:P29 S139:S153 S94:S127 S277:S278 P31:P118 P328:P329 S52:S60 P4:P18 P315:P316 P120:P164 P166:P168 P170 P173 P176:P192 P194:P196 P198 P203 P207:P210 P214:P216 P221 P228:P229 P231:P235 P243:P256 P279:P288 P290 P306:P308 P310:P312 T139:U139 U38:U42 S129:S137 S4:S20 S272:S275 S71:S83 S199:S200 S217:S218 S46:S49 T4:T30 S85:S92 S63:U63 S65:S69 S258:S265 S268 U65:U82 U4:U29 U44:U62 X95 U276 U278 X65 X79 X76 X82 X92 T317:U332 T31:U36 T41:T45 T50:T51 T60:T62 T64:U64 T66:T70 T73:T75 T77:T78 T80:T81 T83:U83 T86:T91 T93 T96:T119 T124:T138 T140:T142 T147:T164 T258:T267 U84:U137 T177:U180 T185:U193 T201:U206 T211:U234 T269:U271 T287:U290 T293:U305 U140:U176 U181:U184 U194:U200 U207:U210 U235:U267">
      <formula1>Grupos_Solucionadores</formula1>
    </dataValidation>
    <dataValidation type="list" allowBlank="1" showInputMessage="1" showErrorMessage="1" sqref="C124:C139 C156:C164 C85:C92 C31:C36 C38:C49 C188:C191 C4:C17 C94:C118 C63:C83 C120:C122 C141:C145 C147:C154 C53:C61 C20:C29 C280:C319">
      <formula1>Tipo_Atividade_Serviço</formula1>
    </dataValidation>
    <dataValidation type="list" allowBlank="1" showInputMessage="1" showErrorMessage="1" sqref="F38:G47 F31:G36 F4:G17 G49:G118 M85:M118 M4:M83 F20:G29 F327:F328 M120:M219 G290:G329 M258:M275 M238:M256 F85:F92 F94:F118 F141:F163 F165:F167 F169:G169 F172:G172 F175:F191 F193:F195 F197:G197 F202:G202 F206:F209 F213:F215 F220:G220 F227:F228 F230:F234 F242:F243 F278:F287 F289:G289 F305:F307 F309:F311 F314:F315 F63:F83 F49:F61 G141:G168 G170:G171 G173:G196 G198:G201 G203:G219 G221:G245 G258:G275 G277:G288 F120:G139 M221:M235 M277:M332">
      <formula1>"Sim,Não"</formula1>
    </dataValidation>
    <dataValidation type="list" allowBlank="1" showInputMessage="1" showErrorMessage="1" sqref="H20:H36 H4:H17 H40 H49:H329">
      <formula1>Formas_Acionamento</formula1>
    </dataValidation>
  </dataValidations>
  <pageMargins left="0.511811024" right="0.511811024" top="0.78740157499999996" bottom="0.78740157499999996" header="0.31496062000000002" footer="0.31496062000000002"/>
  <pageSetup paperSize="9" orientation="portrait"/>
  <legacyDrawing r:id="rId1"/>
  <tableParts count="1">
    <tablePart r:id="rId2"/>
  </tableParts>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S117"/>
  <sheetViews>
    <sheetView showGridLines="0" zoomScaleNormal="100" zoomScalePageLayoutView="90" workbookViewId="0"/>
  </sheetViews>
  <sheetFormatPr defaultColWidth="8.85546875" defaultRowHeight="15"/>
  <cols>
    <col min="1" max="1" width="1" style="5" customWidth="1"/>
    <col min="2" max="2" width="9" style="5" customWidth="1"/>
    <col min="3" max="3" width="35.42578125" style="5" customWidth="1"/>
    <col min="4" max="4" width="21.7109375" style="5" bestFit="1" customWidth="1"/>
    <col min="5" max="5" width="25.140625" style="5" hidden="1" customWidth="1"/>
    <col min="6" max="6" width="20.42578125" style="5" hidden="1" customWidth="1"/>
    <col min="7" max="7" width="18.28515625" style="5" bestFit="1" customWidth="1"/>
    <col min="8" max="8" width="30.140625" style="59" bestFit="1" customWidth="1"/>
    <col min="9" max="9" width="54" style="59" bestFit="1" customWidth="1"/>
    <col min="10" max="10" width="30.140625" style="5" bestFit="1" customWidth="1"/>
    <col min="11" max="11" width="20.85546875" style="5" bestFit="1" customWidth="1"/>
    <col min="12" max="12" width="17.7109375" style="5" bestFit="1" customWidth="1"/>
    <col min="13" max="13" width="19.140625" style="5" customWidth="1"/>
    <col min="14" max="14" width="26" style="5" customWidth="1"/>
    <col min="15" max="15" width="8" style="8" bestFit="1" customWidth="1"/>
    <col min="16" max="16" width="24.7109375" style="5" bestFit="1" customWidth="1"/>
    <col min="17" max="17" width="16.85546875" style="5" bestFit="1" customWidth="1"/>
    <col min="18" max="19" width="26.28515625" style="5" customWidth="1"/>
    <col min="20" max="16384" width="8.85546875" style="5"/>
  </cols>
  <sheetData>
    <row r="1" spans="1:19" ht="5.25" customHeight="1" thickBot="1"/>
    <row r="2" spans="1:19" s="1" customFormat="1" ht="45.75" thickBot="1">
      <c r="A2" s="3"/>
      <c r="B2" s="73" t="s">
        <v>4</v>
      </c>
      <c r="C2" s="74" t="s">
        <v>5</v>
      </c>
      <c r="D2" s="74" t="s">
        <v>534</v>
      </c>
      <c r="E2" s="72" t="s">
        <v>1</v>
      </c>
      <c r="F2" s="74" t="s">
        <v>525</v>
      </c>
      <c r="G2" s="74" t="s">
        <v>7</v>
      </c>
      <c r="H2" s="74" t="s">
        <v>259</v>
      </c>
      <c r="I2" s="74" t="s">
        <v>37</v>
      </c>
      <c r="J2" s="74" t="s">
        <v>36</v>
      </c>
      <c r="K2" s="74" t="s">
        <v>2</v>
      </c>
      <c r="L2" s="74" t="s">
        <v>8</v>
      </c>
      <c r="M2" s="75" t="s">
        <v>531</v>
      </c>
      <c r="N2" s="75" t="s">
        <v>532</v>
      </c>
      <c r="O2" s="74" t="s">
        <v>13</v>
      </c>
      <c r="P2" s="74" t="s">
        <v>9</v>
      </c>
      <c r="Q2" s="74" t="s">
        <v>11</v>
      </c>
      <c r="R2" s="75" t="s">
        <v>533</v>
      </c>
      <c r="S2" s="74" t="s">
        <v>12</v>
      </c>
    </row>
    <row r="3" spans="1:19" s="2" customFormat="1" ht="30.75" thickBot="1">
      <c r="B3" s="9" t="s">
        <v>14</v>
      </c>
      <c r="C3" s="10" t="s">
        <v>257</v>
      </c>
      <c r="D3" s="53" t="s">
        <v>535</v>
      </c>
      <c r="E3" s="24"/>
      <c r="F3" s="24"/>
      <c r="G3" s="24"/>
      <c r="H3" s="55" t="s">
        <v>69</v>
      </c>
      <c r="I3" s="55" t="s">
        <v>28</v>
      </c>
      <c r="J3" s="11"/>
      <c r="K3" s="11"/>
      <c r="L3" s="11"/>
      <c r="M3" s="11" t="s">
        <v>537</v>
      </c>
      <c r="N3" s="11" t="s">
        <v>546</v>
      </c>
      <c r="O3" s="25" t="s">
        <v>548</v>
      </c>
      <c r="P3" s="25" t="s">
        <v>550</v>
      </c>
      <c r="Q3" s="20" t="s">
        <v>548</v>
      </c>
      <c r="R3" s="25" t="s">
        <v>546</v>
      </c>
      <c r="S3" s="22" t="s">
        <v>548</v>
      </c>
    </row>
    <row r="4" spans="1:19" s="2" customFormat="1" ht="30.75" thickBot="1">
      <c r="B4" s="9" t="s">
        <v>14</v>
      </c>
      <c r="C4" s="10" t="s">
        <v>258</v>
      </c>
      <c r="D4" s="53" t="s">
        <v>535</v>
      </c>
      <c r="E4" s="54"/>
      <c r="F4" s="54"/>
      <c r="G4" s="54"/>
      <c r="H4" s="55" t="s">
        <v>69</v>
      </c>
      <c r="I4" s="55" t="s">
        <v>553</v>
      </c>
      <c r="J4" s="55"/>
      <c r="K4" s="55"/>
      <c r="L4" s="55"/>
      <c r="M4" s="11" t="s">
        <v>537</v>
      </c>
      <c r="N4" s="11" t="s">
        <v>546</v>
      </c>
      <c r="O4" s="25" t="s">
        <v>548</v>
      </c>
      <c r="P4" s="25" t="s">
        <v>550</v>
      </c>
      <c r="Q4" s="22" t="s">
        <v>548</v>
      </c>
      <c r="R4" s="25" t="s">
        <v>546</v>
      </c>
      <c r="S4" s="22" t="s">
        <v>548</v>
      </c>
    </row>
    <row r="5" spans="1:19" s="2" customFormat="1" ht="30.75" thickBot="1">
      <c r="B5" s="9" t="s">
        <v>14</v>
      </c>
      <c r="C5" s="10" t="s">
        <v>262</v>
      </c>
      <c r="D5" s="53" t="s">
        <v>535</v>
      </c>
      <c r="E5" s="54"/>
      <c r="F5" s="54"/>
      <c r="G5" s="54"/>
      <c r="H5" s="55" t="s">
        <v>69</v>
      </c>
      <c r="I5" s="55" t="s">
        <v>28</v>
      </c>
      <c r="J5" s="55"/>
      <c r="K5" s="55"/>
      <c r="L5" s="55"/>
      <c r="M5" s="11" t="s">
        <v>537</v>
      </c>
      <c r="N5" s="11" t="s">
        <v>546</v>
      </c>
      <c r="O5" s="25" t="s">
        <v>548</v>
      </c>
      <c r="P5" s="25" t="s">
        <v>550</v>
      </c>
      <c r="Q5" s="22" t="s">
        <v>548</v>
      </c>
      <c r="R5" s="25" t="s">
        <v>546</v>
      </c>
      <c r="S5" s="22" t="s">
        <v>548</v>
      </c>
    </row>
    <row r="6" spans="1:19" s="2" customFormat="1" ht="30.75" thickBot="1">
      <c r="B6" s="9" t="s">
        <v>14</v>
      </c>
      <c r="C6" s="10" t="s">
        <v>264</v>
      </c>
      <c r="D6" s="53" t="s">
        <v>535</v>
      </c>
      <c r="E6" s="54"/>
      <c r="F6" s="54"/>
      <c r="G6" s="54"/>
      <c r="H6" s="55" t="s">
        <v>69</v>
      </c>
      <c r="I6" s="55" t="s">
        <v>28</v>
      </c>
      <c r="J6" s="55"/>
      <c r="K6" s="55"/>
      <c r="L6" s="55"/>
      <c r="M6" s="11" t="s">
        <v>537</v>
      </c>
      <c r="N6" s="11" t="s">
        <v>546</v>
      </c>
      <c r="O6" s="25" t="s">
        <v>548</v>
      </c>
      <c r="P6" s="25" t="s">
        <v>550</v>
      </c>
      <c r="Q6" s="22" t="s">
        <v>548</v>
      </c>
      <c r="R6" s="25" t="s">
        <v>546</v>
      </c>
      <c r="S6" s="22" t="s">
        <v>548</v>
      </c>
    </row>
    <row r="7" spans="1:19" s="2" customFormat="1" ht="30.75" thickBot="1">
      <c r="B7" s="9" t="s">
        <v>14</v>
      </c>
      <c r="C7" s="10" t="s">
        <v>263</v>
      </c>
      <c r="D7" s="53" t="s">
        <v>535</v>
      </c>
      <c r="E7" s="54"/>
      <c r="F7" s="54"/>
      <c r="G7" s="54"/>
      <c r="H7" s="55" t="s">
        <v>69</v>
      </c>
      <c r="I7" s="55" t="s">
        <v>28</v>
      </c>
      <c r="J7" s="55"/>
      <c r="K7" s="55"/>
      <c r="L7" s="55"/>
      <c r="M7" s="11" t="s">
        <v>537</v>
      </c>
      <c r="N7" s="11" t="s">
        <v>546</v>
      </c>
      <c r="O7" s="25" t="s">
        <v>548</v>
      </c>
      <c r="P7" s="25" t="s">
        <v>550</v>
      </c>
      <c r="Q7" s="22" t="s">
        <v>548</v>
      </c>
      <c r="R7" s="25" t="s">
        <v>546</v>
      </c>
      <c r="S7" s="22" t="s">
        <v>548</v>
      </c>
    </row>
    <row r="8" spans="1:19" s="2" customFormat="1" ht="30.75" thickBot="1">
      <c r="B8" s="9" t="s">
        <v>14</v>
      </c>
      <c r="C8" s="10" t="s">
        <v>265</v>
      </c>
      <c r="D8" s="53" t="s">
        <v>535</v>
      </c>
      <c r="E8" s="54"/>
      <c r="F8" s="54"/>
      <c r="G8" s="54"/>
      <c r="H8" s="55" t="s">
        <v>69</v>
      </c>
      <c r="I8" s="55" t="s">
        <v>28</v>
      </c>
      <c r="J8" s="55"/>
      <c r="K8" s="55"/>
      <c r="L8" s="55"/>
      <c r="M8" s="11" t="s">
        <v>537</v>
      </c>
      <c r="N8" s="11" t="s">
        <v>546</v>
      </c>
      <c r="O8" s="25" t="s">
        <v>548</v>
      </c>
      <c r="P8" s="25" t="s">
        <v>550</v>
      </c>
      <c r="Q8" s="22" t="s">
        <v>548</v>
      </c>
      <c r="R8" s="25" t="s">
        <v>546</v>
      </c>
      <c r="S8" s="22" t="s">
        <v>548</v>
      </c>
    </row>
    <row r="9" spans="1:19" s="2" customFormat="1" ht="75.75" thickBot="1">
      <c r="B9" s="9" t="s">
        <v>14</v>
      </c>
      <c r="C9" s="10" t="s">
        <v>263</v>
      </c>
      <c r="D9" s="53" t="s">
        <v>535</v>
      </c>
      <c r="E9" s="54"/>
      <c r="F9" s="54"/>
      <c r="G9" s="54"/>
      <c r="H9" s="55" t="s">
        <v>515</v>
      </c>
      <c r="I9" s="55" t="s">
        <v>517</v>
      </c>
      <c r="J9" s="55"/>
      <c r="K9" s="55"/>
      <c r="L9" s="55"/>
      <c r="M9" s="11" t="s">
        <v>537</v>
      </c>
      <c r="N9" s="11" t="s">
        <v>546</v>
      </c>
      <c r="O9" s="25" t="s">
        <v>548</v>
      </c>
      <c r="P9" s="25" t="s">
        <v>550</v>
      </c>
      <c r="Q9" s="22" t="s">
        <v>548</v>
      </c>
      <c r="R9" s="25" t="s">
        <v>546</v>
      </c>
      <c r="S9" s="22" t="s">
        <v>548</v>
      </c>
    </row>
    <row r="10" spans="1:19" s="2" customFormat="1" ht="90.75" thickBot="1">
      <c r="B10" s="9" t="s">
        <v>14</v>
      </c>
      <c r="C10" s="10" t="s">
        <v>266</v>
      </c>
      <c r="D10" s="53" t="s">
        <v>535</v>
      </c>
      <c r="E10" s="54"/>
      <c r="F10" s="54"/>
      <c r="G10" s="54"/>
      <c r="H10" s="55" t="s">
        <v>516</v>
      </c>
      <c r="I10" s="55" t="s">
        <v>522</v>
      </c>
      <c r="J10" s="55"/>
      <c r="K10" s="55"/>
      <c r="L10" s="55"/>
      <c r="M10" s="11" t="s">
        <v>537</v>
      </c>
      <c r="N10" s="11" t="s">
        <v>546</v>
      </c>
      <c r="O10" s="25" t="s">
        <v>548</v>
      </c>
      <c r="P10" s="25" t="s">
        <v>550</v>
      </c>
      <c r="Q10" s="22" t="s">
        <v>548</v>
      </c>
      <c r="R10" s="25" t="s">
        <v>546</v>
      </c>
      <c r="S10" s="22" t="s">
        <v>548</v>
      </c>
    </row>
    <row r="11" spans="1:19" s="2" customFormat="1" ht="30.75" thickBot="1">
      <c r="B11" s="9" t="s">
        <v>14</v>
      </c>
      <c r="C11" s="10" t="s">
        <v>267</v>
      </c>
      <c r="D11" s="53" t="s">
        <v>535</v>
      </c>
      <c r="E11" s="54"/>
      <c r="F11" s="54"/>
      <c r="G11" s="54"/>
      <c r="H11" s="55" t="s">
        <v>69</v>
      </c>
      <c r="I11" s="55" t="s">
        <v>28</v>
      </c>
      <c r="J11" s="55"/>
      <c r="K11" s="55"/>
      <c r="L11" s="55"/>
      <c r="M11" s="11" t="s">
        <v>537</v>
      </c>
      <c r="N11" s="11" t="s">
        <v>546</v>
      </c>
      <c r="O11" s="25" t="s">
        <v>548</v>
      </c>
      <c r="P11" s="25" t="s">
        <v>550</v>
      </c>
      <c r="Q11" s="22" t="s">
        <v>548</v>
      </c>
      <c r="R11" s="25" t="s">
        <v>546</v>
      </c>
      <c r="S11" s="22" t="s">
        <v>548</v>
      </c>
    </row>
    <row r="12" spans="1:19" s="2" customFormat="1" ht="45.75" thickBot="1">
      <c r="B12" s="9" t="s">
        <v>14</v>
      </c>
      <c r="C12" s="10" t="s">
        <v>265</v>
      </c>
      <c r="D12" s="53" t="s">
        <v>535</v>
      </c>
      <c r="E12" s="54"/>
      <c r="F12" s="54"/>
      <c r="G12" s="54"/>
      <c r="H12" s="55" t="s">
        <v>470</v>
      </c>
      <c r="I12" s="55" t="s">
        <v>472</v>
      </c>
      <c r="J12" s="55"/>
      <c r="K12" s="55"/>
      <c r="L12" s="55"/>
      <c r="M12" s="11" t="s">
        <v>537</v>
      </c>
      <c r="N12" s="11" t="s">
        <v>546</v>
      </c>
      <c r="O12" s="25" t="s">
        <v>548</v>
      </c>
      <c r="P12" s="25" t="s">
        <v>550</v>
      </c>
      <c r="Q12" s="22" t="s">
        <v>548</v>
      </c>
      <c r="R12" s="25" t="s">
        <v>546</v>
      </c>
      <c r="S12" s="22" t="s">
        <v>548</v>
      </c>
    </row>
    <row r="13" spans="1:19" s="2" customFormat="1" ht="30.75" thickBot="1">
      <c r="B13" s="9" t="s">
        <v>14</v>
      </c>
      <c r="C13" s="10" t="s">
        <v>268</v>
      </c>
      <c r="D13" s="53" t="s">
        <v>535</v>
      </c>
      <c r="E13" s="54"/>
      <c r="F13" s="54"/>
      <c r="G13" s="54"/>
      <c r="H13" s="55" t="s">
        <v>69</v>
      </c>
      <c r="I13" s="55" t="s">
        <v>28</v>
      </c>
      <c r="J13" s="55"/>
      <c r="K13" s="55"/>
      <c r="L13" s="55"/>
      <c r="M13" s="11" t="s">
        <v>537</v>
      </c>
      <c r="N13" s="11" t="s">
        <v>546</v>
      </c>
      <c r="O13" s="25" t="s">
        <v>548</v>
      </c>
      <c r="P13" s="25" t="s">
        <v>550</v>
      </c>
      <c r="Q13" s="22" t="s">
        <v>548</v>
      </c>
      <c r="R13" s="25" t="s">
        <v>546</v>
      </c>
      <c r="S13" s="22" t="s">
        <v>548</v>
      </c>
    </row>
    <row r="14" spans="1:19" s="2" customFormat="1" ht="30.75" thickBot="1">
      <c r="B14" s="9" t="s">
        <v>14</v>
      </c>
      <c r="C14" s="10" t="s">
        <v>273</v>
      </c>
      <c r="D14" s="53" t="s">
        <v>535</v>
      </c>
      <c r="E14" s="54"/>
      <c r="F14" s="54"/>
      <c r="G14" s="54"/>
      <c r="H14" s="55" t="s">
        <v>69</v>
      </c>
      <c r="I14" s="55" t="s">
        <v>70</v>
      </c>
      <c r="J14" s="55"/>
      <c r="K14" s="55"/>
      <c r="L14" s="55"/>
      <c r="M14" s="11" t="s">
        <v>537</v>
      </c>
      <c r="N14" s="11" t="s">
        <v>546</v>
      </c>
      <c r="O14" s="25" t="s">
        <v>548</v>
      </c>
      <c r="P14" s="25" t="s">
        <v>550</v>
      </c>
      <c r="Q14" s="22" t="s">
        <v>548</v>
      </c>
      <c r="R14" s="25" t="s">
        <v>546</v>
      </c>
      <c r="S14" s="22" t="s">
        <v>548</v>
      </c>
    </row>
    <row r="15" spans="1:19" s="2" customFormat="1" ht="30.75" thickBot="1">
      <c r="B15" s="9" t="s">
        <v>14</v>
      </c>
      <c r="C15" s="10" t="s">
        <v>274</v>
      </c>
      <c r="D15" s="53" t="s">
        <v>535</v>
      </c>
      <c r="E15" s="54"/>
      <c r="F15" s="54"/>
      <c r="G15" s="54"/>
      <c r="H15" s="55" t="s">
        <v>69</v>
      </c>
      <c r="I15" s="55" t="s">
        <v>70</v>
      </c>
      <c r="J15" s="55"/>
      <c r="K15" s="55"/>
      <c r="L15" s="55"/>
      <c r="M15" s="11" t="s">
        <v>537</v>
      </c>
      <c r="N15" s="11" t="s">
        <v>546</v>
      </c>
      <c r="O15" s="25" t="s">
        <v>548</v>
      </c>
      <c r="P15" s="25" t="s">
        <v>550</v>
      </c>
      <c r="Q15" s="22" t="s">
        <v>548</v>
      </c>
      <c r="R15" s="25" t="s">
        <v>546</v>
      </c>
      <c r="S15" s="22" t="s">
        <v>548</v>
      </c>
    </row>
    <row r="16" spans="1:19" s="2" customFormat="1" ht="75.75" thickBot="1">
      <c r="B16" s="9" t="s">
        <v>14</v>
      </c>
      <c r="C16" s="10" t="s">
        <v>276</v>
      </c>
      <c r="D16" s="53" t="s">
        <v>535</v>
      </c>
      <c r="E16" s="54"/>
      <c r="F16" s="54"/>
      <c r="G16" s="54"/>
      <c r="H16" s="55" t="s">
        <v>518</v>
      </c>
      <c r="I16" s="55" t="s">
        <v>521</v>
      </c>
      <c r="J16" s="55"/>
      <c r="K16" s="55"/>
      <c r="L16" s="55"/>
      <c r="M16" s="11" t="s">
        <v>537</v>
      </c>
      <c r="N16" s="11" t="s">
        <v>546</v>
      </c>
      <c r="O16" s="25" t="s">
        <v>548</v>
      </c>
      <c r="P16" s="25" t="s">
        <v>550</v>
      </c>
      <c r="Q16" s="22" t="s">
        <v>548</v>
      </c>
      <c r="R16" s="25" t="s">
        <v>546</v>
      </c>
      <c r="S16" s="22" t="s">
        <v>548</v>
      </c>
    </row>
    <row r="17" spans="2:19" s="2" customFormat="1" ht="30.75" thickBot="1">
      <c r="B17" s="9" t="s">
        <v>14</v>
      </c>
      <c r="C17" s="10" t="s">
        <v>465</v>
      </c>
      <c r="D17" s="53" t="s">
        <v>535</v>
      </c>
      <c r="E17" s="54"/>
      <c r="F17" s="54"/>
      <c r="G17" s="54"/>
      <c r="H17" s="55" t="s">
        <v>73</v>
      </c>
      <c r="I17" s="55" t="s">
        <v>80</v>
      </c>
      <c r="J17" s="55"/>
      <c r="K17" s="55"/>
      <c r="L17" s="55"/>
      <c r="M17" s="11" t="s">
        <v>537</v>
      </c>
      <c r="N17" s="11" t="s">
        <v>546</v>
      </c>
      <c r="O17" s="25" t="s">
        <v>548</v>
      </c>
      <c r="P17" s="25" t="s">
        <v>550</v>
      </c>
      <c r="Q17" s="22" t="s">
        <v>548</v>
      </c>
      <c r="R17" s="25" t="s">
        <v>546</v>
      </c>
      <c r="S17" s="22" t="s">
        <v>548</v>
      </c>
    </row>
    <row r="18" spans="2:19" s="2" customFormat="1" ht="30.75" thickBot="1">
      <c r="B18" s="9" t="s">
        <v>14</v>
      </c>
      <c r="C18" s="10" t="s">
        <v>466</v>
      </c>
      <c r="D18" s="53" t="s">
        <v>535</v>
      </c>
      <c r="E18" s="54"/>
      <c r="F18" s="54"/>
      <c r="G18" s="54"/>
      <c r="H18" s="55" t="s">
        <v>73</v>
      </c>
      <c r="I18" s="55" t="s">
        <v>467</v>
      </c>
      <c r="J18" s="55"/>
      <c r="K18" s="55"/>
      <c r="L18" s="55"/>
      <c r="M18" s="11" t="s">
        <v>537</v>
      </c>
      <c r="N18" s="11" t="s">
        <v>546</v>
      </c>
      <c r="O18" s="25" t="s">
        <v>548</v>
      </c>
      <c r="P18" s="25" t="s">
        <v>550</v>
      </c>
      <c r="Q18" s="22" t="s">
        <v>548</v>
      </c>
      <c r="R18" s="25" t="s">
        <v>546</v>
      </c>
      <c r="S18" s="22" t="s">
        <v>548</v>
      </c>
    </row>
    <row r="19" spans="2:19" s="2" customFormat="1" ht="30.75" thickBot="1">
      <c r="B19" s="9" t="s">
        <v>14</v>
      </c>
      <c r="C19" s="10" t="s">
        <v>468</v>
      </c>
      <c r="D19" s="53" t="s">
        <v>535</v>
      </c>
      <c r="E19" s="54"/>
      <c r="F19" s="54"/>
      <c r="G19" s="54"/>
      <c r="H19" s="55" t="s">
        <v>64</v>
      </c>
      <c r="I19" s="55" t="s">
        <v>487</v>
      </c>
      <c r="J19" s="55"/>
      <c r="K19" s="55"/>
      <c r="L19" s="55"/>
      <c r="M19" s="11" t="s">
        <v>537</v>
      </c>
      <c r="N19" s="11" t="s">
        <v>546</v>
      </c>
      <c r="O19" s="25" t="s">
        <v>548</v>
      </c>
      <c r="P19" s="25" t="s">
        <v>550</v>
      </c>
      <c r="Q19" s="22" t="s">
        <v>548</v>
      </c>
      <c r="R19" s="25" t="s">
        <v>546</v>
      </c>
      <c r="S19" s="22" t="s">
        <v>548</v>
      </c>
    </row>
    <row r="20" spans="2:19" s="2" customFormat="1" ht="60.75" thickBot="1">
      <c r="B20" s="9" t="s">
        <v>14</v>
      </c>
      <c r="C20" s="10" t="s">
        <v>469</v>
      </c>
      <c r="D20" s="53" t="s">
        <v>535</v>
      </c>
      <c r="E20" s="54"/>
      <c r="F20" s="54"/>
      <c r="G20" s="54"/>
      <c r="H20" s="55" t="s">
        <v>496</v>
      </c>
      <c r="I20" s="55" t="s">
        <v>495</v>
      </c>
      <c r="J20" s="55"/>
      <c r="K20" s="55"/>
      <c r="L20" s="55"/>
      <c r="M20" s="11" t="s">
        <v>537</v>
      </c>
      <c r="N20" s="11" t="s">
        <v>546</v>
      </c>
      <c r="O20" s="25" t="s">
        <v>548</v>
      </c>
      <c r="P20" s="25" t="s">
        <v>550</v>
      </c>
      <c r="Q20" s="22" t="s">
        <v>548</v>
      </c>
      <c r="R20" s="25" t="s">
        <v>546</v>
      </c>
      <c r="S20" s="22" t="s">
        <v>548</v>
      </c>
    </row>
    <row r="21" spans="2:19" s="2" customFormat="1" ht="45.75" thickBot="1">
      <c r="B21" s="9" t="s">
        <v>14</v>
      </c>
      <c r="C21" s="10" t="s">
        <v>475</v>
      </c>
      <c r="D21" s="53" t="s">
        <v>535</v>
      </c>
      <c r="E21" s="54"/>
      <c r="F21" s="54"/>
      <c r="G21" s="54"/>
      <c r="H21" s="55" t="s">
        <v>496</v>
      </c>
      <c r="I21" s="55" t="s">
        <v>498</v>
      </c>
      <c r="J21" s="55"/>
      <c r="K21" s="55"/>
      <c r="L21" s="55"/>
      <c r="M21" s="11" t="s">
        <v>537</v>
      </c>
      <c r="N21" s="11" t="s">
        <v>546</v>
      </c>
      <c r="O21" s="25" t="s">
        <v>548</v>
      </c>
      <c r="P21" s="25" t="s">
        <v>550</v>
      </c>
      <c r="Q21" s="22" t="s">
        <v>548</v>
      </c>
      <c r="R21" s="25" t="s">
        <v>546</v>
      </c>
      <c r="S21" s="22" t="s">
        <v>548</v>
      </c>
    </row>
    <row r="22" spans="2:19" s="2" customFormat="1" ht="30.75" thickBot="1">
      <c r="B22" s="9" t="s">
        <v>14</v>
      </c>
      <c r="C22" s="10" t="s">
        <v>499</v>
      </c>
      <c r="D22" s="53" t="s">
        <v>535</v>
      </c>
      <c r="E22" s="54"/>
      <c r="F22" s="54"/>
      <c r="G22" s="54"/>
      <c r="H22" s="5" t="s">
        <v>63</v>
      </c>
      <c r="I22" s="5" t="s">
        <v>160</v>
      </c>
      <c r="J22" s="55"/>
      <c r="K22" s="55"/>
      <c r="L22" s="55"/>
      <c r="M22" s="11" t="s">
        <v>537</v>
      </c>
      <c r="N22" s="11" t="s">
        <v>546</v>
      </c>
      <c r="O22" s="25" t="s">
        <v>548</v>
      </c>
      <c r="P22" s="25" t="s">
        <v>550</v>
      </c>
      <c r="Q22" s="22" t="s">
        <v>548</v>
      </c>
      <c r="R22" s="25" t="s">
        <v>546</v>
      </c>
      <c r="S22" s="22" t="s">
        <v>548</v>
      </c>
    </row>
    <row r="23" spans="2:19" s="2" customFormat="1" ht="30.75" thickBot="1">
      <c r="B23" s="9" t="s">
        <v>14</v>
      </c>
      <c r="C23" s="10" t="s">
        <v>511</v>
      </c>
      <c r="D23" s="53" t="s">
        <v>535</v>
      </c>
      <c r="E23" s="54"/>
      <c r="F23" s="54"/>
      <c r="G23" s="54"/>
      <c r="H23" s="71" t="s">
        <v>64</v>
      </c>
      <c r="I23" s="71" t="s">
        <v>31</v>
      </c>
      <c r="J23" s="55"/>
      <c r="K23" s="55"/>
      <c r="L23" s="55"/>
      <c r="M23" s="11" t="s">
        <v>537</v>
      </c>
      <c r="N23" s="11" t="s">
        <v>546</v>
      </c>
      <c r="O23" s="25" t="s">
        <v>548</v>
      </c>
      <c r="P23" s="25" t="s">
        <v>550</v>
      </c>
      <c r="Q23" s="22" t="s">
        <v>548</v>
      </c>
      <c r="R23" s="25" t="s">
        <v>546</v>
      </c>
      <c r="S23" s="22" t="s">
        <v>548</v>
      </c>
    </row>
    <row r="24" spans="2:19" s="2" customFormat="1" ht="30.75" thickBot="1">
      <c r="B24" s="9" t="s">
        <v>14</v>
      </c>
      <c r="C24" s="53" t="s">
        <v>260</v>
      </c>
      <c r="D24" s="53"/>
      <c r="E24" s="54" t="s">
        <v>269</v>
      </c>
      <c r="F24" s="54"/>
      <c r="G24" s="54"/>
      <c r="H24" s="55" t="s">
        <v>69</v>
      </c>
      <c r="I24" s="55" t="s">
        <v>28</v>
      </c>
      <c r="J24" s="55"/>
      <c r="K24" s="55"/>
      <c r="L24" s="55"/>
      <c r="M24" s="11"/>
      <c r="N24" s="11"/>
      <c r="O24" s="25"/>
      <c r="P24" s="25"/>
      <c r="Q24" s="20"/>
      <c r="R24" s="25"/>
      <c r="S24" s="58"/>
    </row>
    <row r="25" spans="2:19" s="2" customFormat="1" ht="30.75" thickBot="1">
      <c r="B25" s="9" t="s">
        <v>14</v>
      </c>
      <c r="C25" s="53" t="s">
        <v>261</v>
      </c>
      <c r="D25" s="53"/>
      <c r="E25" s="54" t="s">
        <v>270</v>
      </c>
      <c r="F25" s="54"/>
      <c r="G25" s="54"/>
      <c r="H25" s="55" t="s">
        <v>69</v>
      </c>
      <c r="I25" s="55" t="s">
        <v>28</v>
      </c>
      <c r="J25" s="55"/>
      <c r="K25" s="55"/>
      <c r="L25" s="55"/>
      <c r="M25" s="11"/>
      <c r="N25" s="11"/>
      <c r="O25" s="25"/>
      <c r="P25" s="25"/>
      <c r="Q25" s="20"/>
      <c r="R25" s="25"/>
      <c r="S25" s="58"/>
    </row>
    <row r="26" spans="2:19" s="2" customFormat="1" ht="45.75" thickBot="1">
      <c r="B26" s="9" t="s">
        <v>14</v>
      </c>
      <c r="C26" s="53" t="s">
        <v>482</v>
      </c>
      <c r="D26" s="53" t="s">
        <v>535</v>
      </c>
      <c r="E26" s="54"/>
      <c r="F26" s="54"/>
      <c r="G26" s="54"/>
      <c r="H26" s="55" t="s">
        <v>513</v>
      </c>
      <c r="I26" s="55" t="s">
        <v>514</v>
      </c>
      <c r="J26" s="55"/>
      <c r="K26" s="55"/>
      <c r="L26" s="55"/>
      <c r="M26" s="11" t="s">
        <v>537</v>
      </c>
      <c r="N26" s="11" t="s">
        <v>537</v>
      </c>
      <c r="O26" s="25" t="s">
        <v>535</v>
      </c>
      <c r="P26" s="25" t="s">
        <v>550</v>
      </c>
      <c r="Q26" s="20" t="s">
        <v>548</v>
      </c>
      <c r="R26" s="25" t="s">
        <v>547</v>
      </c>
      <c r="S26" s="58" t="s">
        <v>535</v>
      </c>
    </row>
    <row r="27" spans="2:19" s="2" customFormat="1" ht="60.75" thickBot="1">
      <c r="B27" s="9" t="s">
        <v>14</v>
      </c>
      <c r="C27" s="53" t="s">
        <v>481</v>
      </c>
      <c r="D27" s="53" t="s">
        <v>535</v>
      </c>
      <c r="E27" s="54" t="s">
        <v>271</v>
      </c>
      <c r="F27" s="54"/>
      <c r="G27" s="54"/>
      <c r="H27" s="55" t="s">
        <v>494</v>
      </c>
      <c r="I27" s="55" t="s">
        <v>497</v>
      </c>
      <c r="J27" s="55"/>
      <c r="K27" s="55"/>
      <c r="L27" s="55"/>
      <c r="M27" s="11" t="s">
        <v>537</v>
      </c>
      <c r="N27" s="11" t="s">
        <v>537</v>
      </c>
      <c r="O27" s="25" t="s">
        <v>535</v>
      </c>
      <c r="P27" s="25" t="s">
        <v>550</v>
      </c>
      <c r="Q27" s="20" t="s">
        <v>548</v>
      </c>
      <c r="R27" s="25" t="s">
        <v>549</v>
      </c>
      <c r="S27" s="58" t="s">
        <v>535</v>
      </c>
    </row>
    <row r="28" spans="2:19" s="2" customFormat="1" ht="30.75" thickBot="1">
      <c r="B28" s="9" t="s">
        <v>14</v>
      </c>
      <c r="C28" s="53" t="s">
        <v>480</v>
      </c>
      <c r="D28" s="53" t="s">
        <v>535</v>
      </c>
      <c r="E28" s="54"/>
      <c r="F28" s="54"/>
      <c r="G28" s="54"/>
      <c r="H28" s="55" t="s">
        <v>69</v>
      </c>
      <c r="I28" s="55" t="s">
        <v>32</v>
      </c>
      <c r="J28" s="55"/>
      <c r="K28" s="55"/>
      <c r="L28" s="55"/>
      <c r="M28" s="55" t="s">
        <v>539</v>
      </c>
      <c r="N28" s="55" t="s">
        <v>539</v>
      </c>
      <c r="O28" s="55"/>
      <c r="P28" s="25" t="s">
        <v>551</v>
      </c>
      <c r="Q28" s="57" t="s">
        <v>548</v>
      </c>
      <c r="R28" s="55" t="s">
        <v>539</v>
      </c>
      <c r="S28" s="58" t="s">
        <v>535</v>
      </c>
    </row>
    <row r="29" spans="2:19" s="2" customFormat="1" ht="30.75" thickBot="1">
      <c r="B29" s="9" t="s">
        <v>14</v>
      </c>
      <c r="C29" s="53" t="s">
        <v>479</v>
      </c>
      <c r="D29" s="53"/>
      <c r="E29" s="54" t="s">
        <v>461</v>
      </c>
      <c r="F29" s="54"/>
      <c r="G29" s="54"/>
      <c r="H29" s="55" t="s">
        <v>69</v>
      </c>
      <c r="I29" s="55" t="s">
        <v>32</v>
      </c>
      <c r="J29" s="55"/>
      <c r="K29" s="55"/>
      <c r="L29" s="55"/>
      <c r="M29" s="55"/>
      <c r="N29" s="55"/>
      <c r="O29" s="56"/>
      <c r="P29" s="56"/>
      <c r="Q29" s="57"/>
      <c r="R29" s="56"/>
      <c r="S29" s="58"/>
    </row>
    <row r="30" spans="2:19" s="2" customFormat="1" ht="30.75" thickBot="1">
      <c r="B30" s="9" t="s">
        <v>14</v>
      </c>
      <c r="C30" s="53" t="s">
        <v>478</v>
      </c>
      <c r="D30" s="53" t="s">
        <v>535</v>
      </c>
      <c r="E30" s="54"/>
      <c r="F30" s="54"/>
      <c r="G30" s="54"/>
      <c r="H30" s="55" t="s">
        <v>503</v>
      </c>
      <c r="I30" s="55" t="s">
        <v>502</v>
      </c>
      <c r="J30" s="55"/>
      <c r="K30" s="55"/>
      <c r="L30" s="55"/>
      <c r="M30" s="55" t="s">
        <v>540</v>
      </c>
      <c r="N30" s="55" t="s">
        <v>540</v>
      </c>
      <c r="O30" s="56" t="s">
        <v>535</v>
      </c>
      <c r="P30" s="25" t="s">
        <v>550</v>
      </c>
      <c r="Q30" s="57" t="s">
        <v>548</v>
      </c>
      <c r="R30" s="56" t="s">
        <v>541</v>
      </c>
      <c r="S30" s="58" t="s">
        <v>535</v>
      </c>
    </row>
    <row r="31" spans="2:19" s="2" customFormat="1" ht="30.75" thickBot="1">
      <c r="B31" s="9" t="s">
        <v>14</v>
      </c>
      <c r="C31" s="53" t="s">
        <v>500</v>
      </c>
      <c r="D31" s="53" t="s">
        <v>535</v>
      </c>
      <c r="E31" s="54"/>
      <c r="F31" s="54"/>
      <c r="G31" s="54"/>
      <c r="H31" s="54" t="s">
        <v>63</v>
      </c>
      <c r="I31" s="54" t="s">
        <v>501</v>
      </c>
      <c r="J31" s="55"/>
      <c r="K31" s="55"/>
      <c r="L31" s="55"/>
      <c r="M31" s="55" t="s">
        <v>540</v>
      </c>
      <c r="N31" s="55" t="s">
        <v>540</v>
      </c>
      <c r="O31" s="56" t="s">
        <v>535</v>
      </c>
      <c r="P31" s="25" t="s">
        <v>550</v>
      </c>
      <c r="Q31" s="57" t="s">
        <v>548</v>
      </c>
      <c r="R31" s="56" t="s">
        <v>541</v>
      </c>
      <c r="S31" s="58" t="s">
        <v>535</v>
      </c>
    </row>
    <row r="32" spans="2:19" s="2" customFormat="1" ht="30.75" thickBot="1">
      <c r="B32" s="9" t="s">
        <v>14</v>
      </c>
      <c r="C32" s="53" t="s">
        <v>536</v>
      </c>
      <c r="D32" s="53" t="s">
        <v>535</v>
      </c>
      <c r="E32" s="54"/>
      <c r="F32" s="54"/>
      <c r="G32" s="54"/>
      <c r="H32" s="55" t="s">
        <v>73</v>
      </c>
      <c r="I32" s="55" t="s">
        <v>29</v>
      </c>
      <c r="J32" s="55"/>
      <c r="K32" s="55"/>
      <c r="L32" s="55"/>
      <c r="M32" s="55" t="s">
        <v>540</v>
      </c>
      <c r="N32" s="55" t="s">
        <v>540</v>
      </c>
      <c r="O32" s="56" t="s">
        <v>535</v>
      </c>
      <c r="P32" s="25" t="s">
        <v>550</v>
      </c>
      <c r="Q32" s="57" t="s">
        <v>548</v>
      </c>
      <c r="R32" s="56" t="s">
        <v>541</v>
      </c>
      <c r="S32" s="58" t="s">
        <v>535</v>
      </c>
    </row>
    <row r="33" spans="2:19" s="2" customFormat="1" ht="45.75" thickBot="1">
      <c r="B33" s="9" t="s">
        <v>14</v>
      </c>
      <c r="C33" s="53" t="s">
        <v>463</v>
      </c>
      <c r="D33" s="53" t="s">
        <v>535</v>
      </c>
      <c r="E33" s="54" t="s">
        <v>464</v>
      </c>
      <c r="F33" s="54"/>
      <c r="G33" s="54"/>
      <c r="H33" s="55" t="s">
        <v>73</v>
      </c>
      <c r="I33" s="55" t="s">
        <v>58</v>
      </c>
      <c r="J33" s="55"/>
      <c r="K33" s="55"/>
      <c r="L33" s="55"/>
      <c r="M33" s="55" t="s">
        <v>542</v>
      </c>
      <c r="N33" s="55" t="s">
        <v>542</v>
      </c>
      <c r="O33" s="56" t="s">
        <v>535</v>
      </c>
      <c r="P33" s="25" t="s">
        <v>551</v>
      </c>
      <c r="Q33" s="57" t="s">
        <v>548</v>
      </c>
      <c r="R33" s="55" t="s">
        <v>542</v>
      </c>
      <c r="S33" s="58" t="s">
        <v>535</v>
      </c>
    </row>
    <row r="34" spans="2:19" s="2" customFormat="1" ht="15.75" thickBot="1">
      <c r="B34" s="9" t="s">
        <v>14</v>
      </c>
      <c r="C34" s="53" t="s">
        <v>462</v>
      </c>
      <c r="D34" s="53"/>
      <c r="E34" s="54"/>
      <c r="F34" s="54"/>
      <c r="G34" s="54"/>
      <c r="H34" s="55" t="s">
        <v>73</v>
      </c>
      <c r="I34" s="55" t="s">
        <v>58</v>
      </c>
      <c r="J34" s="55"/>
      <c r="K34" s="55"/>
      <c r="L34" s="55"/>
      <c r="M34" s="55"/>
      <c r="N34" s="55"/>
      <c r="O34" s="56"/>
      <c r="P34" s="56"/>
      <c r="Q34" s="57"/>
      <c r="R34" s="56"/>
      <c r="S34" s="58"/>
    </row>
    <row r="35" spans="2:19" s="2" customFormat="1" ht="15.75" thickBot="1">
      <c r="B35" s="9" t="s">
        <v>14</v>
      </c>
      <c r="C35" s="53" t="s">
        <v>483</v>
      </c>
      <c r="D35" s="53"/>
      <c r="E35" s="54"/>
      <c r="F35" s="54"/>
      <c r="G35" s="54"/>
      <c r="H35" s="55" t="s">
        <v>73</v>
      </c>
      <c r="I35" s="55" t="s">
        <v>58</v>
      </c>
      <c r="J35" s="55"/>
      <c r="K35" s="55"/>
      <c r="L35" s="55"/>
      <c r="M35" s="55"/>
      <c r="N35" s="55"/>
      <c r="O35" s="56"/>
      <c r="P35" s="56"/>
      <c r="Q35" s="57"/>
      <c r="R35" s="56"/>
      <c r="S35" s="58"/>
    </row>
    <row r="36" spans="2:19" s="2" customFormat="1" ht="30.75" thickBot="1">
      <c r="B36" s="9" t="s">
        <v>14</v>
      </c>
      <c r="C36" s="53" t="s">
        <v>476</v>
      </c>
      <c r="D36" s="53" t="s">
        <v>535</v>
      </c>
      <c r="E36" s="54"/>
      <c r="F36" s="54"/>
      <c r="G36" s="54"/>
      <c r="H36" s="55" t="s">
        <v>73</v>
      </c>
      <c r="I36" s="55" t="s">
        <v>467</v>
      </c>
      <c r="J36" s="55"/>
      <c r="K36" s="55"/>
      <c r="L36" s="55"/>
      <c r="M36" s="55" t="s">
        <v>543</v>
      </c>
      <c r="N36" s="55" t="s">
        <v>543</v>
      </c>
      <c r="O36" s="56" t="s">
        <v>548</v>
      </c>
      <c r="P36" s="25" t="s">
        <v>550</v>
      </c>
      <c r="Q36" s="57" t="s">
        <v>548</v>
      </c>
      <c r="R36" s="55" t="s">
        <v>543</v>
      </c>
      <c r="S36" s="58" t="s">
        <v>552</v>
      </c>
    </row>
    <row r="37" spans="2:19" s="2" customFormat="1" ht="30.75" thickBot="1">
      <c r="B37" s="9" t="s">
        <v>14</v>
      </c>
      <c r="C37" s="53" t="s">
        <v>474</v>
      </c>
      <c r="D37" s="53"/>
      <c r="E37" s="54"/>
      <c r="F37" s="54"/>
      <c r="G37" s="54"/>
      <c r="H37" s="55" t="s">
        <v>64</v>
      </c>
      <c r="I37" s="55" t="s">
        <v>96</v>
      </c>
      <c r="J37" s="55"/>
      <c r="K37" s="55"/>
      <c r="L37" s="55"/>
      <c r="M37" s="55"/>
      <c r="N37" s="55"/>
      <c r="O37" s="56"/>
      <c r="P37" s="56"/>
      <c r="Q37" s="57"/>
      <c r="R37" s="56"/>
      <c r="S37" s="58"/>
    </row>
    <row r="38" spans="2:19" s="2" customFormat="1" ht="15.75" thickBot="1">
      <c r="B38" s="9" t="s">
        <v>14</v>
      </c>
      <c r="C38" s="53" t="s">
        <v>477</v>
      </c>
      <c r="D38" s="53"/>
      <c r="E38" s="54"/>
      <c r="F38" s="54"/>
      <c r="G38" s="54"/>
      <c r="H38" s="55" t="s">
        <v>74</v>
      </c>
      <c r="I38" s="55" t="s">
        <v>484</v>
      </c>
      <c r="J38" s="55"/>
      <c r="K38" s="55"/>
      <c r="L38" s="55"/>
      <c r="M38" s="55"/>
      <c r="N38" s="55"/>
      <c r="O38" s="56"/>
      <c r="P38" s="56"/>
      <c r="Q38" s="57"/>
      <c r="R38" s="56"/>
      <c r="S38" s="58"/>
    </row>
    <row r="39" spans="2:19" s="2" customFormat="1" ht="15.75" thickBot="1">
      <c r="B39" s="9" t="s">
        <v>14</v>
      </c>
      <c r="C39" s="53" t="s">
        <v>485</v>
      </c>
      <c r="D39" s="53"/>
      <c r="E39" s="54" t="s">
        <v>486</v>
      </c>
      <c r="F39" s="54"/>
      <c r="G39" s="54"/>
      <c r="H39" s="55" t="s">
        <v>74</v>
      </c>
      <c r="I39" s="55" t="s">
        <v>81</v>
      </c>
      <c r="J39" s="55"/>
      <c r="K39" s="55"/>
      <c r="L39" s="55"/>
      <c r="M39" s="55"/>
      <c r="N39" s="55"/>
      <c r="O39" s="56"/>
      <c r="P39" s="56"/>
      <c r="Q39" s="57"/>
      <c r="R39" s="56"/>
      <c r="S39" s="58"/>
    </row>
    <row r="40" spans="2:19" s="2" customFormat="1" ht="15.75" thickBot="1">
      <c r="B40" s="9" t="s">
        <v>14</v>
      </c>
      <c r="C40" s="53" t="s">
        <v>488</v>
      </c>
      <c r="D40" s="53" t="s">
        <v>535</v>
      </c>
      <c r="E40" s="54"/>
      <c r="F40" s="54"/>
      <c r="G40" s="54"/>
      <c r="H40" s="55" t="s">
        <v>74</v>
      </c>
      <c r="I40" s="55" t="s">
        <v>83</v>
      </c>
      <c r="J40" s="55"/>
      <c r="K40" s="55"/>
      <c r="L40" s="55"/>
      <c r="M40" s="55" t="s">
        <v>537</v>
      </c>
      <c r="N40" s="55" t="s">
        <v>540</v>
      </c>
      <c r="O40" s="56" t="s">
        <v>535</v>
      </c>
      <c r="P40" s="25" t="s">
        <v>551</v>
      </c>
      <c r="Q40" s="57" t="s">
        <v>548</v>
      </c>
      <c r="R40" s="56" t="s">
        <v>541</v>
      </c>
      <c r="S40" s="58" t="s">
        <v>535</v>
      </c>
    </row>
    <row r="41" spans="2:19" s="2" customFormat="1" ht="15.75" thickBot="1">
      <c r="B41" s="9" t="s">
        <v>14</v>
      </c>
      <c r="C41" s="53" t="s">
        <v>489</v>
      </c>
      <c r="D41" s="53"/>
      <c r="E41" s="54"/>
      <c r="F41" s="54"/>
      <c r="G41" s="54"/>
      <c r="H41" s="55" t="s">
        <v>74</v>
      </c>
      <c r="I41" s="55" t="s">
        <v>83</v>
      </c>
      <c r="J41" s="55"/>
      <c r="K41" s="55"/>
      <c r="L41" s="55"/>
      <c r="M41" s="55"/>
      <c r="N41" s="55"/>
      <c r="O41" s="56"/>
      <c r="P41" s="56"/>
      <c r="Q41" s="57"/>
      <c r="R41" s="56"/>
      <c r="S41" s="58"/>
    </row>
    <row r="42" spans="2:19" s="2" customFormat="1" ht="30.75" thickBot="1">
      <c r="B42" s="9" t="s">
        <v>14</v>
      </c>
      <c r="C42" s="53" t="s">
        <v>275</v>
      </c>
      <c r="D42" s="53"/>
      <c r="E42" s="54"/>
      <c r="F42" s="54"/>
      <c r="G42" s="54"/>
      <c r="H42" s="55" t="s">
        <v>69</v>
      </c>
      <c r="I42" s="55" t="s">
        <v>70</v>
      </c>
      <c r="J42" s="55"/>
      <c r="K42" s="55"/>
      <c r="L42" s="55"/>
      <c r="M42" s="55"/>
      <c r="N42" s="55"/>
      <c r="O42" s="56"/>
      <c r="P42" s="56"/>
      <c r="Q42" s="57"/>
      <c r="R42" s="56"/>
      <c r="S42" s="58"/>
    </row>
    <row r="43" spans="2:19" s="2" customFormat="1" ht="15.75" thickBot="1">
      <c r="B43" s="9" t="s">
        <v>14</v>
      </c>
      <c r="C43" s="53" t="s">
        <v>538</v>
      </c>
      <c r="D43" s="53"/>
      <c r="E43" s="54"/>
      <c r="F43" s="54"/>
      <c r="G43" s="54"/>
      <c r="H43" s="55" t="s">
        <v>74</v>
      </c>
      <c r="I43" s="55" t="s">
        <v>85</v>
      </c>
      <c r="J43" s="55"/>
      <c r="K43" s="55"/>
      <c r="L43" s="55"/>
      <c r="M43" s="55"/>
      <c r="N43" s="55"/>
      <c r="O43" s="56"/>
      <c r="P43" s="56"/>
      <c r="Q43" s="57"/>
      <c r="R43" s="56"/>
      <c r="S43" s="58"/>
    </row>
    <row r="44" spans="2:19" s="2" customFormat="1" ht="30.75" thickBot="1">
      <c r="B44" s="9" t="s">
        <v>14</v>
      </c>
      <c r="C44" s="53" t="s">
        <v>492</v>
      </c>
      <c r="D44" s="53"/>
      <c r="E44" s="54" t="s">
        <v>493</v>
      </c>
      <c r="F44" s="54"/>
      <c r="G44" s="54"/>
      <c r="H44" s="55" t="s">
        <v>63</v>
      </c>
      <c r="I44" s="55" t="s">
        <v>90</v>
      </c>
      <c r="J44" s="55"/>
      <c r="K44" s="55"/>
      <c r="L44" s="55"/>
      <c r="M44" s="55"/>
      <c r="N44" s="55"/>
      <c r="O44" s="56"/>
      <c r="P44" s="56"/>
      <c r="Q44" s="57"/>
      <c r="R44" s="56"/>
      <c r="S44" s="58"/>
    </row>
    <row r="45" spans="2:19" s="2" customFormat="1" ht="15.75" thickBot="1">
      <c r="B45" s="9" t="s">
        <v>14</v>
      </c>
      <c r="C45" s="53" t="s">
        <v>491</v>
      </c>
      <c r="D45" s="53"/>
      <c r="E45" s="54"/>
      <c r="F45" s="54"/>
      <c r="G45" s="54"/>
      <c r="H45" s="55" t="s">
        <v>63</v>
      </c>
      <c r="I45" s="55" t="s">
        <v>90</v>
      </c>
      <c r="J45" s="55"/>
      <c r="K45" s="55"/>
      <c r="L45" s="55"/>
      <c r="M45" s="55"/>
      <c r="N45" s="55"/>
      <c r="O45" s="56"/>
      <c r="P45" s="56"/>
      <c r="Q45" s="57"/>
      <c r="R45" s="56"/>
      <c r="S45" s="58"/>
    </row>
    <row r="46" spans="2:19" s="2" customFormat="1" ht="15.75" thickBot="1">
      <c r="B46" s="9" t="s">
        <v>14</v>
      </c>
      <c r="C46" s="53" t="s">
        <v>505</v>
      </c>
      <c r="D46" s="53"/>
      <c r="E46" s="54"/>
      <c r="F46" s="54"/>
      <c r="G46" s="54"/>
      <c r="H46" s="55" t="s">
        <v>63</v>
      </c>
      <c r="I46" s="55" t="s">
        <v>94</v>
      </c>
      <c r="J46" s="55"/>
      <c r="K46" s="55"/>
      <c r="L46" s="55"/>
      <c r="M46" s="55"/>
      <c r="N46" s="55"/>
      <c r="O46" s="56"/>
      <c r="P46" s="56"/>
      <c r="Q46" s="57"/>
      <c r="R46" s="56"/>
      <c r="S46" s="58"/>
    </row>
    <row r="47" spans="2:19" s="2" customFormat="1" ht="15.75" thickBot="1">
      <c r="B47" s="9" t="s">
        <v>14</v>
      </c>
      <c r="C47" s="53" t="s">
        <v>504</v>
      </c>
      <c r="D47" s="53"/>
      <c r="E47" s="54"/>
      <c r="F47" s="54"/>
      <c r="G47" s="54"/>
      <c r="H47" s="55" t="s">
        <v>63</v>
      </c>
      <c r="I47" s="55" t="s">
        <v>94</v>
      </c>
      <c r="J47" s="55"/>
      <c r="K47" s="55"/>
      <c r="L47" s="55"/>
      <c r="M47" s="55"/>
      <c r="N47" s="55"/>
      <c r="O47" s="56"/>
      <c r="P47" s="56"/>
      <c r="Q47" s="57"/>
      <c r="R47" s="56"/>
      <c r="S47" s="58"/>
    </row>
    <row r="48" spans="2:19" s="2" customFormat="1" ht="15.75" thickBot="1">
      <c r="B48" s="9" t="s">
        <v>14</v>
      </c>
      <c r="C48" s="53" t="s">
        <v>507</v>
      </c>
      <c r="D48" s="53"/>
      <c r="E48" s="54"/>
      <c r="F48" s="54"/>
      <c r="G48" s="54"/>
      <c r="H48" s="55" t="s">
        <v>64</v>
      </c>
      <c r="I48" s="55" t="s">
        <v>506</v>
      </c>
      <c r="J48" s="55"/>
      <c r="K48" s="55"/>
      <c r="L48" s="55"/>
      <c r="M48" s="55"/>
      <c r="N48" s="55"/>
      <c r="O48" s="56"/>
      <c r="P48" s="56"/>
      <c r="Q48" s="57"/>
      <c r="R48" s="56"/>
      <c r="S48" s="58"/>
    </row>
    <row r="49" spans="2:19" s="2" customFormat="1" ht="15.75" thickBot="1">
      <c r="B49" s="9" t="s">
        <v>14</v>
      </c>
      <c r="C49" s="53" t="s">
        <v>509</v>
      </c>
      <c r="D49" s="53"/>
      <c r="E49" s="54"/>
      <c r="F49" s="54"/>
      <c r="G49" s="54"/>
      <c r="H49" s="55" t="s">
        <v>64</v>
      </c>
      <c r="I49" s="55" t="s">
        <v>508</v>
      </c>
      <c r="J49" s="55"/>
      <c r="K49" s="55"/>
      <c r="L49" s="55"/>
      <c r="M49" s="55"/>
      <c r="N49" s="55"/>
      <c r="O49" s="56"/>
      <c r="P49" s="56"/>
      <c r="Q49" s="57"/>
      <c r="R49" s="56"/>
      <c r="S49" s="58"/>
    </row>
    <row r="50" spans="2:19" s="2" customFormat="1" ht="15.75" thickBot="1">
      <c r="B50" s="9" t="s">
        <v>14</v>
      </c>
      <c r="C50" s="53" t="s">
        <v>510</v>
      </c>
      <c r="D50" s="53"/>
      <c r="E50" s="54"/>
      <c r="F50" s="54"/>
      <c r="G50" s="54"/>
      <c r="H50" s="55" t="s">
        <v>64</v>
      </c>
      <c r="I50" s="55" t="s">
        <v>508</v>
      </c>
      <c r="J50" s="55"/>
      <c r="K50" s="55"/>
      <c r="L50" s="55"/>
      <c r="M50" s="55"/>
      <c r="N50" s="55"/>
      <c r="O50" s="56"/>
      <c r="P50" s="56"/>
      <c r="Q50" s="57"/>
      <c r="R50" s="56"/>
      <c r="S50" s="58"/>
    </row>
    <row r="51" spans="2:19" s="2" customFormat="1" ht="15.75" thickBot="1">
      <c r="B51" s="9" t="s">
        <v>14</v>
      </c>
      <c r="C51" s="53" t="s">
        <v>512</v>
      </c>
      <c r="D51" s="53" t="s">
        <v>535</v>
      </c>
      <c r="E51" s="54"/>
      <c r="F51" s="54"/>
      <c r="G51" s="54"/>
      <c r="H51" s="55" t="s">
        <v>77</v>
      </c>
      <c r="I51" s="55" t="s">
        <v>520</v>
      </c>
      <c r="J51" s="55"/>
      <c r="K51" s="55"/>
      <c r="L51" s="55"/>
      <c r="M51" s="55" t="s">
        <v>544</v>
      </c>
      <c r="N51" s="55" t="s">
        <v>545</v>
      </c>
      <c r="O51" s="56"/>
      <c r="P51" s="56"/>
      <c r="Q51" s="57"/>
      <c r="R51" s="56" t="s">
        <v>544</v>
      </c>
      <c r="S51" s="58"/>
    </row>
    <row r="52" spans="2:19" s="2" customFormat="1" ht="15.75" thickBot="1">
      <c r="B52" s="9" t="s">
        <v>14</v>
      </c>
      <c r="C52" s="53" t="s">
        <v>519</v>
      </c>
      <c r="D52" s="53"/>
      <c r="E52" s="54"/>
      <c r="F52" s="54"/>
      <c r="G52" s="54"/>
      <c r="H52" s="55" t="s">
        <v>77</v>
      </c>
      <c r="I52" s="55" t="s">
        <v>78</v>
      </c>
      <c r="J52" s="55"/>
      <c r="K52" s="55"/>
      <c r="L52" s="55"/>
      <c r="M52" s="55"/>
      <c r="N52" s="55"/>
      <c r="O52" s="56"/>
      <c r="P52" s="56"/>
      <c r="Q52" s="57"/>
      <c r="R52" s="56"/>
      <c r="S52" s="58"/>
    </row>
    <row r="53" spans="2:19" s="2" customFormat="1" ht="15.75" thickBot="1">
      <c r="B53" s="9" t="s">
        <v>14</v>
      </c>
      <c r="C53" s="53" t="s">
        <v>1105</v>
      </c>
      <c r="D53" s="53"/>
      <c r="E53" s="53"/>
      <c r="F53" s="53"/>
      <c r="G53" s="53"/>
      <c r="H53" s="53"/>
      <c r="I53" s="53"/>
      <c r="J53" s="53"/>
      <c r="K53" s="53"/>
      <c r="L53" s="53"/>
      <c r="M53" s="53"/>
      <c r="N53" s="53"/>
      <c r="O53" s="53"/>
      <c r="P53" s="53"/>
      <c r="Q53" s="53"/>
      <c r="R53" s="53"/>
      <c r="S53" s="53"/>
    </row>
    <row r="54" spans="2:19" s="2" customFormat="1" ht="15.75" thickBot="1">
      <c r="B54" s="9" t="s">
        <v>14</v>
      </c>
      <c r="C54" s="53" t="s">
        <v>1255</v>
      </c>
      <c r="D54" s="53"/>
      <c r="E54" s="53"/>
      <c r="F54" s="53"/>
      <c r="G54" s="53"/>
      <c r="H54" s="53"/>
      <c r="I54" s="53"/>
      <c r="J54" s="53"/>
      <c r="K54" s="53"/>
      <c r="L54" s="53"/>
      <c r="M54" s="53"/>
      <c r="N54" s="53"/>
      <c r="O54" s="53"/>
      <c r="P54" s="53"/>
      <c r="Q54" s="53"/>
      <c r="R54" s="53"/>
      <c r="S54" s="53"/>
    </row>
    <row r="55" spans="2:19" s="2" customFormat="1" ht="15.75" thickBot="1">
      <c r="B55" s="9" t="s">
        <v>14</v>
      </c>
      <c r="C55" s="53" t="s">
        <v>1256</v>
      </c>
      <c r="D55" s="53"/>
      <c r="E55" s="53"/>
      <c r="F55" s="53"/>
      <c r="G55" s="53"/>
      <c r="H55" s="53"/>
      <c r="I55" s="53"/>
      <c r="J55" s="53"/>
      <c r="K55" s="53"/>
      <c r="L55" s="53"/>
      <c r="M55" s="53"/>
      <c r="N55" s="53"/>
      <c r="O55" s="53"/>
      <c r="P55" s="53"/>
      <c r="Q55" s="53"/>
      <c r="R55" s="53"/>
      <c r="S55" s="53"/>
    </row>
    <row r="56" spans="2:19" s="2" customFormat="1" ht="15.75" thickBot="1">
      <c r="B56" s="9" t="s">
        <v>14</v>
      </c>
      <c r="C56" s="53" t="s">
        <v>1226</v>
      </c>
      <c r="D56" s="53"/>
      <c r="E56" s="53"/>
      <c r="F56" s="53"/>
      <c r="G56" s="53"/>
      <c r="H56" s="53"/>
      <c r="I56" s="53"/>
      <c r="J56" s="53"/>
      <c r="K56" s="53"/>
      <c r="L56" s="53"/>
      <c r="M56" s="53"/>
      <c r="N56" s="53"/>
      <c r="O56" s="53"/>
      <c r="P56" s="53"/>
      <c r="Q56" s="53"/>
      <c r="R56" s="53"/>
      <c r="S56" s="53"/>
    </row>
    <row r="57" spans="2:19" s="2" customFormat="1">
      <c r="B57" s="66" t="s">
        <v>14</v>
      </c>
      <c r="C57" s="67" t="s">
        <v>281</v>
      </c>
      <c r="D57" s="53"/>
      <c r="E57" s="54"/>
      <c r="F57" s="54"/>
      <c r="G57" s="54"/>
      <c r="H57" s="55" t="s">
        <v>523</v>
      </c>
      <c r="I57" s="55" t="s">
        <v>523</v>
      </c>
      <c r="J57" s="55"/>
      <c r="K57" s="55"/>
      <c r="L57" s="55"/>
      <c r="M57" s="55"/>
      <c r="N57" s="55"/>
      <c r="O57" s="56"/>
      <c r="P57" s="56"/>
      <c r="Q57" s="57"/>
      <c r="R57" s="56"/>
      <c r="S57" s="58"/>
    </row>
    <row r="58" spans="2:19" s="2" customFormat="1">
      <c r="B58" s="68" t="s">
        <v>14</v>
      </c>
      <c r="C58" s="67" t="s">
        <v>296</v>
      </c>
      <c r="D58" s="53"/>
      <c r="E58" s="54"/>
      <c r="F58" s="54"/>
      <c r="G58" s="54"/>
      <c r="H58" s="55" t="s">
        <v>523</v>
      </c>
      <c r="I58" s="55" t="s">
        <v>523</v>
      </c>
      <c r="J58" s="55"/>
      <c r="K58" s="55"/>
      <c r="L58" s="55"/>
      <c r="M58" s="55"/>
      <c r="N58" s="55"/>
      <c r="O58" s="56"/>
      <c r="P58" s="56"/>
      <c r="Q58" s="57"/>
      <c r="R58" s="56"/>
      <c r="S58" s="58"/>
    </row>
    <row r="59" spans="2:19" s="2" customFormat="1">
      <c r="B59" s="68" t="s">
        <v>14</v>
      </c>
      <c r="C59" s="67" t="s">
        <v>282</v>
      </c>
      <c r="D59" s="53"/>
      <c r="E59" s="54"/>
      <c r="F59" s="54"/>
      <c r="G59" s="54"/>
      <c r="H59" s="55" t="s">
        <v>523</v>
      </c>
      <c r="I59" s="55" t="s">
        <v>523</v>
      </c>
      <c r="J59" s="55"/>
      <c r="K59" s="55"/>
      <c r="L59" s="55"/>
      <c r="M59" s="55"/>
      <c r="N59" s="55"/>
      <c r="O59" s="56"/>
      <c r="P59" s="56"/>
      <c r="Q59" s="57"/>
      <c r="R59" s="56"/>
      <c r="S59" s="58"/>
    </row>
    <row r="60" spans="2:19" s="2" customFormat="1">
      <c r="B60" s="68" t="s">
        <v>14</v>
      </c>
      <c r="C60" s="67" t="s">
        <v>283</v>
      </c>
      <c r="D60" s="53"/>
      <c r="E60" s="54"/>
      <c r="F60" s="54"/>
      <c r="G60" s="54"/>
      <c r="H60" s="55" t="s">
        <v>523</v>
      </c>
      <c r="I60" s="55" t="s">
        <v>523</v>
      </c>
      <c r="J60" s="55"/>
      <c r="K60" s="55"/>
      <c r="L60" s="55"/>
      <c r="M60" s="55"/>
      <c r="N60" s="55"/>
      <c r="O60" s="56"/>
      <c r="P60" s="56"/>
      <c r="Q60" s="57"/>
      <c r="R60" s="56"/>
      <c r="S60" s="58"/>
    </row>
    <row r="61" spans="2:19" s="2" customFormat="1">
      <c r="B61" s="68" t="s">
        <v>14</v>
      </c>
      <c r="C61" s="67" t="s">
        <v>284</v>
      </c>
      <c r="D61" s="53"/>
      <c r="E61" s="54"/>
      <c r="F61" s="54"/>
      <c r="G61" s="54"/>
      <c r="H61" s="55" t="s">
        <v>523</v>
      </c>
      <c r="I61" s="55" t="s">
        <v>523</v>
      </c>
      <c r="J61" s="55"/>
      <c r="K61" s="55"/>
      <c r="L61" s="55"/>
      <c r="M61" s="55"/>
      <c r="N61" s="55"/>
      <c r="O61" s="56"/>
      <c r="P61" s="56"/>
      <c r="Q61" s="57"/>
      <c r="R61" s="56"/>
      <c r="S61" s="58"/>
    </row>
    <row r="62" spans="2:19" s="2" customFormat="1">
      <c r="B62" s="68" t="s">
        <v>14</v>
      </c>
      <c r="C62" s="67" t="s">
        <v>285</v>
      </c>
      <c r="D62" s="53"/>
      <c r="E62" s="54"/>
      <c r="F62" s="54"/>
      <c r="G62" s="54"/>
      <c r="H62" s="55" t="s">
        <v>523</v>
      </c>
      <c r="I62" s="55" t="s">
        <v>523</v>
      </c>
      <c r="J62" s="55"/>
      <c r="K62" s="55"/>
      <c r="L62" s="55"/>
      <c r="M62" s="55"/>
      <c r="N62" s="55"/>
      <c r="O62" s="56"/>
      <c r="P62" s="56"/>
      <c r="Q62" s="57"/>
      <c r="R62" s="56"/>
      <c r="S62" s="58"/>
    </row>
    <row r="63" spans="2:19" s="2" customFormat="1">
      <c r="B63" s="68" t="s">
        <v>14</v>
      </c>
      <c r="C63" s="67" t="s">
        <v>286</v>
      </c>
      <c r="D63" s="53"/>
      <c r="E63" s="54"/>
      <c r="F63" s="54"/>
      <c r="G63" s="54"/>
      <c r="H63" s="55" t="s">
        <v>523</v>
      </c>
      <c r="I63" s="55" t="s">
        <v>523</v>
      </c>
      <c r="J63" s="55"/>
      <c r="K63" s="55"/>
      <c r="L63" s="55"/>
      <c r="M63" s="55"/>
      <c r="N63" s="55"/>
      <c r="O63" s="56"/>
      <c r="P63" s="56"/>
      <c r="Q63" s="57"/>
      <c r="R63" s="56"/>
      <c r="S63" s="58"/>
    </row>
    <row r="64" spans="2:19" s="2" customFormat="1">
      <c r="B64" s="68" t="s">
        <v>14</v>
      </c>
      <c r="C64" s="67" t="s">
        <v>303</v>
      </c>
      <c r="D64" s="53"/>
      <c r="E64" s="54"/>
      <c r="F64" s="54"/>
      <c r="G64" s="54"/>
      <c r="H64" s="55" t="s">
        <v>523</v>
      </c>
      <c r="I64" s="55" t="s">
        <v>523</v>
      </c>
      <c r="J64" s="55"/>
      <c r="K64" s="55"/>
      <c r="L64" s="55"/>
      <c r="M64" s="55"/>
      <c r="N64" s="55"/>
      <c r="O64" s="56"/>
      <c r="P64" s="56"/>
      <c r="Q64" s="57"/>
      <c r="R64" s="56"/>
      <c r="S64" s="58"/>
    </row>
    <row r="65" spans="2:19" s="2" customFormat="1">
      <c r="B65" s="68" t="s">
        <v>14</v>
      </c>
      <c r="C65" s="67" t="s">
        <v>294</v>
      </c>
      <c r="D65" s="53"/>
      <c r="E65" s="54"/>
      <c r="F65" s="54"/>
      <c r="G65" s="54"/>
      <c r="H65" s="55" t="s">
        <v>523</v>
      </c>
      <c r="I65" s="55" t="s">
        <v>523</v>
      </c>
      <c r="J65" s="55"/>
      <c r="K65" s="55"/>
      <c r="L65" s="55"/>
      <c r="M65" s="55"/>
      <c r="N65" s="55"/>
      <c r="O65" s="56"/>
      <c r="P65" s="56"/>
      <c r="Q65" s="57"/>
      <c r="R65" s="56"/>
      <c r="S65" s="58"/>
    </row>
    <row r="66" spans="2:19" s="2" customFormat="1">
      <c r="B66" s="68" t="s">
        <v>14</v>
      </c>
      <c r="C66" s="67" t="s">
        <v>295</v>
      </c>
      <c r="D66" s="53"/>
      <c r="E66" s="54"/>
      <c r="F66" s="54"/>
      <c r="G66" s="54"/>
      <c r="H66" s="55" t="s">
        <v>523</v>
      </c>
      <c r="I66" s="55" t="s">
        <v>523</v>
      </c>
      <c r="J66" s="55"/>
      <c r="K66" s="55"/>
      <c r="L66" s="55"/>
      <c r="M66" s="55"/>
      <c r="N66" s="55"/>
      <c r="O66" s="56"/>
      <c r="P66" s="56"/>
      <c r="Q66" s="57"/>
      <c r="R66" s="56"/>
      <c r="S66" s="58"/>
    </row>
    <row r="67" spans="2:19" s="2" customFormat="1">
      <c r="B67" s="68" t="s">
        <v>14</v>
      </c>
      <c r="C67" s="67" t="s">
        <v>287</v>
      </c>
      <c r="D67" s="53"/>
      <c r="E67" s="54"/>
      <c r="F67" s="54"/>
      <c r="G67" s="54"/>
      <c r="H67" s="55" t="s">
        <v>523</v>
      </c>
      <c r="I67" s="55" t="s">
        <v>523</v>
      </c>
      <c r="J67" s="55"/>
      <c r="K67" s="55"/>
      <c r="L67" s="55"/>
      <c r="M67" s="55"/>
      <c r="N67" s="55"/>
      <c r="O67" s="56"/>
      <c r="P67" s="56"/>
      <c r="Q67" s="57"/>
      <c r="R67" s="56"/>
      <c r="S67" s="58"/>
    </row>
    <row r="68" spans="2:19" s="2" customFormat="1">
      <c r="B68" s="68" t="s">
        <v>14</v>
      </c>
      <c r="C68" s="53" t="s">
        <v>348</v>
      </c>
      <c r="D68" s="53"/>
      <c r="E68" s="54"/>
      <c r="F68" s="54"/>
      <c r="G68" s="54"/>
      <c r="H68" s="55" t="s">
        <v>523</v>
      </c>
      <c r="I68" s="55" t="s">
        <v>523</v>
      </c>
      <c r="J68" s="55"/>
      <c r="K68" s="55"/>
      <c r="L68" s="55"/>
      <c r="M68" s="55"/>
      <c r="N68" s="55"/>
      <c r="O68" s="56"/>
      <c r="P68" s="56"/>
      <c r="Q68" s="57"/>
      <c r="R68" s="56"/>
      <c r="S68" s="58"/>
    </row>
    <row r="69" spans="2:19" s="2" customFormat="1">
      <c r="B69" s="68" t="s">
        <v>14</v>
      </c>
      <c r="C69" s="53" t="s">
        <v>349</v>
      </c>
      <c r="D69" s="53"/>
      <c r="E69" s="54"/>
      <c r="F69" s="54"/>
      <c r="G69" s="54"/>
      <c r="H69" s="55" t="s">
        <v>523</v>
      </c>
      <c r="I69" s="55" t="s">
        <v>523</v>
      </c>
      <c r="J69" s="55"/>
      <c r="K69" s="55"/>
      <c r="L69" s="55"/>
      <c r="M69" s="55"/>
      <c r="N69" s="55"/>
      <c r="O69" s="56"/>
      <c r="P69" s="56"/>
      <c r="Q69" s="57"/>
      <c r="R69" s="56"/>
      <c r="S69" s="58"/>
    </row>
    <row r="70" spans="2:19" s="2" customFormat="1">
      <c r="B70" s="68" t="s">
        <v>14</v>
      </c>
      <c r="C70" s="53" t="s">
        <v>352</v>
      </c>
      <c r="D70" s="53"/>
      <c r="E70" s="54"/>
      <c r="F70" s="54"/>
      <c r="G70" s="54"/>
      <c r="H70" s="55" t="s">
        <v>523</v>
      </c>
      <c r="I70" s="55" t="s">
        <v>523</v>
      </c>
      <c r="J70" s="55"/>
      <c r="K70" s="55"/>
      <c r="L70" s="55"/>
      <c r="M70" s="55"/>
      <c r="N70" s="55"/>
      <c r="O70" s="56"/>
      <c r="P70" s="56"/>
      <c r="Q70" s="57"/>
      <c r="R70" s="56"/>
      <c r="S70" s="58"/>
    </row>
    <row r="71" spans="2:19" s="2" customFormat="1">
      <c r="B71" s="52" t="s">
        <v>288</v>
      </c>
      <c r="C71" s="53" t="s">
        <v>427</v>
      </c>
      <c r="D71" s="53"/>
      <c r="E71" s="54"/>
      <c r="F71" s="54"/>
      <c r="G71" s="54"/>
      <c r="H71" s="55" t="s">
        <v>288</v>
      </c>
      <c r="I71" s="55" t="s">
        <v>524</v>
      </c>
      <c r="J71" s="55"/>
      <c r="K71" s="55"/>
      <c r="L71" s="55"/>
      <c r="M71" s="55"/>
      <c r="N71" s="55"/>
      <c r="O71" s="56"/>
      <c r="P71" s="56"/>
      <c r="Q71" s="57"/>
      <c r="R71" s="56"/>
      <c r="S71" s="58"/>
    </row>
    <row r="72" spans="2:19" s="2" customFormat="1">
      <c r="B72" s="68" t="s">
        <v>288</v>
      </c>
      <c r="C72" s="67" t="s">
        <v>289</v>
      </c>
      <c r="D72" s="53"/>
      <c r="E72" s="54"/>
      <c r="F72" s="54"/>
      <c r="G72" s="54"/>
      <c r="H72" s="55" t="s">
        <v>288</v>
      </c>
      <c r="I72" s="55" t="s">
        <v>524</v>
      </c>
      <c r="J72" s="55"/>
      <c r="K72" s="55"/>
      <c r="L72" s="55"/>
      <c r="M72" s="55"/>
      <c r="N72" s="55"/>
      <c r="O72" s="56"/>
      <c r="P72" s="56"/>
      <c r="Q72" s="57"/>
      <c r="R72" s="56"/>
      <c r="S72" s="58"/>
    </row>
    <row r="73" spans="2:19" s="2" customFormat="1">
      <c r="B73" s="68" t="s">
        <v>288</v>
      </c>
      <c r="C73" s="67" t="s">
        <v>290</v>
      </c>
      <c r="D73" s="53"/>
      <c r="E73" s="54"/>
      <c r="F73" s="54"/>
      <c r="G73" s="54"/>
      <c r="H73" s="55" t="s">
        <v>288</v>
      </c>
      <c r="I73" s="55" t="s">
        <v>524</v>
      </c>
      <c r="J73" s="55"/>
      <c r="K73" s="55"/>
      <c r="L73" s="55"/>
      <c r="M73" s="55"/>
      <c r="N73" s="55"/>
      <c r="O73" s="56"/>
      <c r="P73" s="56"/>
      <c r="Q73" s="57"/>
      <c r="R73" s="56"/>
      <c r="S73" s="58"/>
    </row>
    <row r="74" spans="2:19" s="2" customFormat="1">
      <c r="B74" s="68" t="s">
        <v>288</v>
      </c>
      <c r="C74" s="67" t="s">
        <v>291</v>
      </c>
      <c r="D74" s="53"/>
      <c r="E74" s="54"/>
      <c r="F74" s="54"/>
      <c r="G74" s="54"/>
      <c r="H74" s="55" t="s">
        <v>288</v>
      </c>
      <c r="I74" s="55" t="s">
        <v>524</v>
      </c>
      <c r="J74" s="55"/>
      <c r="K74" s="55"/>
      <c r="L74" s="55"/>
      <c r="M74" s="55"/>
      <c r="N74" s="55"/>
      <c r="O74" s="56"/>
      <c r="P74" s="56"/>
      <c r="Q74" s="57"/>
      <c r="R74" s="56"/>
      <c r="S74" s="58"/>
    </row>
    <row r="75" spans="2:19" s="2" customFormat="1">
      <c r="B75" s="68" t="s">
        <v>288</v>
      </c>
      <c r="C75" s="67" t="s">
        <v>292</v>
      </c>
      <c r="D75" s="53"/>
      <c r="E75" s="54"/>
      <c r="F75" s="54"/>
      <c r="G75" s="54"/>
      <c r="H75" s="55" t="s">
        <v>288</v>
      </c>
      <c r="I75" s="55" t="s">
        <v>524</v>
      </c>
      <c r="J75" s="55"/>
      <c r="K75" s="55"/>
      <c r="L75" s="55"/>
      <c r="M75" s="55"/>
      <c r="N75" s="55"/>
      <c r="O75" s="56"/>
      <c r="P75" s="56"/>
      <c r="Q75" s="57"/>
      <c r="R75" s="56"/>
      <c r="S75" s="58"/>
    </row>
    <row r="76" spans="2:19" s="2" customFormat="1">
      <c r="B76" s="68" t="s">
        <v>288</v>
      </c>
      <c r="C76" s="67" t="s">
        <v>94</v>
      </c>
      <c r="D76" s="53"/>
      <c r="E76" s="54"/>
      <c r="F76" s="54"/>
      <c r="G76" s="54"/>
      <c r="H76" s="55" t="s">
        <v>288</v>
      </c>
      <c r="I76" s="55" t="s">
        <v>524</v>
      </c>
      <c r="J76" s="55"/>
      <c r="K76" s="55"/>
      <c r="L76" s="55"/>
      <c r="M76" s="55"/>
      <c r="N76" s="55"/>
      <c r="O76" s="56"/>
      <c r="P76" s="56"/>
      <c r="Q76" s="57"/>
      <c r="R76" s="56"/>
      <c r="S76" s="58"/>
    </row>
    <row r="77" spans="2:19" s="2" customFormat="1">
      <c r="B77" s="68" t="s">
        <v>288</v>
      </c>
      <c r="C77" s="67" t="s">
        <v>293</v>
      </c>
      <c r="D77" s="53"/>
      <c r="E77" s="54"/>
      <c r="F77" s="54"/>
      <c r="G77" s="54"/>
      <c r="H77" s="55" t="s">
        <v>288</v>
      </c>
      <c r="I77" s="55" t="s">
        <v>524</v>
      </c>
      <c r="J77" s="55"/>
      <c r="K77" s="55"/>
      <c r="L77" s="55"/>
      <c r="M77" s="55"/>
      <c r="N77" s="55"/>
      <c r="O77" s="56"/>
      <c r="P77" s="56"/>
      <c r="Q77" s="57"/>
      <c r="R77" s="56"/>
      <c r="S77" s="58"/>
    </row>
    <row r="78" spans="2:19" s="2" customFormat="1">
      <c r="B78" s="68" t="s">
        <v>288</v>
      </c>
      <c r="C78" s="67" t="s">
        <v>297</v>
      </c>
      <c r="D78" s="53"/>
      <c r="E78" s="54"/>
      <c r="F78" s="54"/>
      <c r="G78" s="54"/>
      <c r="H78" s="55" t="s">
        <v>288</v>
      </c>
      <c r="I78" s="55" t="s">
        <v>524</v>
      </c>
      <c r="J78" s="55"/>
      <c r="K78" s="55"/>
      <c r="L78" s="55"/>
      <c r="M78" s="55"/>
      <c r="N78" s="55"/>
      <c r="O78" s="56"/>
      <c r="P78" s="56"/>
      <c r="Q78" s="57"/>
      <c r="R78" s="56"/>
      <c r="S78" s="58"/>
    </row>
    <row r="79" spans="2:19" s="2" customFormat="1">
      <c r="B79" s="52" t="s">
        <v>288</v>
      </c>
      <c r="C79" s="53" t="s">
        <v>530</v>
      </c>
      <c r="D79" s="53"/>
      <c r="E79" s="54"/>
      <c r="F79" s="54"/>
      <c r="G79" s="54"/>
      <c r="H79" s="55" t="s">
        <v>288</v>
      </c>
      <c r="I79" s="55" t="s">
        <v>524</v>
      </c>
      <c r="J79" s="55"/>
      <c r="K79" s="55"/>
      <c r="L79" s="55"/>
      <c r="M79" s="55"/>
      <c r="N79" s="55"/>
      <c r="O79" s="56"/>
      <c r="P79" s="56"/>
      <c r="Q79" s="57"/>
      <c r="R79" s="56"/>
      <c r="S79" s="58"/>
    </row>
    <row r="80" spans="2:19" s="2" customFormat="1">
      <c r="B80" s="52"/>
      <c r="C80" s="53"/>
      <c r="D80" s="53"/>
      <c r="E80" s="54"/>
      <c r="F80" s="54"/>
      <c r="G80" s="54"/>
      <c r="H80" s="55"/>
      <c r="I80" s="55"/>
      <c r="J80" s="55"/>
      <c r="K80" s="55"/>
      <c r="L80" s="55"/>
      <c r="M80" s="55"/>
      <c r="N80" s="55"/>
      <c r="O80" s="56"/>
      <c r="P80" s="56"/>
      <c r="Q80" s="57"/>
      <c r="R80" s="56"/>
      <c r="S80" s="58"/>
    </row>
    <row r="81" spans="2:19" s="2" customFormat="1">
      <c r="B81" s="52"/>
      <c r="C81" s="53"/>
      <c r="D81" s="53"/>
      <c r="E81" s="54"/>
      <c r="F81" s="54"/>
      <c r="G81" s="54"/>
      <c r="H81" s="55"/>
      <c r="I81" s="55"/>
      <c r="J81" s="55"/>
      <c r="K81" s="55"/>
      <c r="L81" s="55"/>
      <c r="M81" s="55"/>
      <c r="N81" s="55"/>
      <c r="O81" s="56"/>
      <c r="P81" s="56"/>
      <c r="Q81" s="57"/>
      <c r="R81" s="56"/>
      <c r="S81" s="58"/>
    </row>
    <row r="82" spans="2:19" s="2" customFormat="1">
      <c r="B82" s="52"/>
      <c r="C82" s="53"/>
      <c r="D82" s="53"/>
      <c r="E82" s="54"/>
      <c r="F82" s="54"/>
      <c r="G82" s="54"/>
      <c r="H82" s="55"/>
      <c r="I82" s="55"/>
      <c r="J82" s="55"/>
      <c r="K82" s="55"/>
      <c r="L82" s="55"/>
      <c r="M82" s="55"/>
      <c r="N82" s="55"/>
      <c r="O82" s="56"/>
      <c r="P82" s="56"/>
      <c r="Q82" s="57"/>
      <c r="R82" s="56"/>
      <c r="S82" s="58"/>
    </row>
    <row r="83" spans="2:19" s="2" customFormat="1">
      <c r="B83" s="52"/>
      <c r="C83" s="53"/>
      <c r="D83" s="53"/>
      <c r="E83" s="54"/>
      <c r="F83" s="54"/>
      <c r="G83" s="54"/>
      <c r="H83" s="55"/>
      <c r="I83" s="55"/>
      <c r="J83" s="55"/>
      <c r="K83" s="55"/>
      <c r="L83" s="55"/>
      <c r="M83" s="55"/>
      <c r="N83" s="55"/>
      <c r="O83" s="56"/>
      <c r="P83" s="56"/>
      <c r="Q83" s="57"/>
      <c r="R83" s="56"/>
      <c r="S83" s="58"/>
    </row>
    <row r="84" spans="2:19" s="2" customFormat="1">
      <c r="B84" s="52"/>
      <c r="C84" s="53"/>
      <c r="D84" s="53"/>
      <c r="E84" s="54"/>
      <c r="F84" s="54"/>
      <c r="G84" s="54"/>
      <c r="H84" s="55"/>
      <c r="I84" s="55"/>
      <c r="J84" s="55"/>
      <c r="K84" s="55"/>
      <c r="L84" s="55"/>
      <c r="M84" s="55"/>
      <c r="N84" s="55"/>
      <c r="O84" s="56"/>
      <c r="P84" s="56"/>
      <c r="Q84" s="57"/>
      <c r="R84" s="56"/>
      <c r="S84" s="58"/>
    </row>
    <row r="85" spans="2:19" s="2" customFormat="1">
      <c r="B85" s="52"/>
      <c r="C85" s="53"/>
      <c r="D85" s="53"/>
      <c r="E85" s="54"/>
      <c r="F85" s="54"/>
      <c r="G85" s="54"/>
      <c r="H85" s="55"/>
      <c r="I85" s="55"/>
      <c r="J85" s="55"/>
      <c r="K85" s="55"/>
      <c r="L85" s="55"/>
      <c r="M85" s="55"/>
      <c r="N85" s="55"/>
      <c r="O85" s="56"/>
      <c r="P85" s="56"/>
      <c r="Q85" s="57"/>
      <c r="R85" s="56"/>
      <c r="S85" s="58"/>
    </row>
    <row r="86" spans="2:19" s="2" customFormat="1">
      <c r="B86" s="52"/>
      <c r="C86" s="53"/>
      <c r="D86" s="53"/>
      <c r="E86" s="54"/>
      <c r="F86" s="54"/>
      <c r="G86" s="54"/>
      <c r="H86" s="55"/>
      <c r="I86" s="55"/>
      <c r="J86" s="55"/>
      <c r="K86" s="55"/>
      <c r="L86" s="55"/>
      <c r="M86" s="55"/>
      <c r="N86" s="55"/>
      <c r="O86" s="56"/>
      <c r="P86" s="56"/>
      <c r="Q86" s="57"/>
      <c r="R86" s="56"/>
      <c r="S86" s="58"/>
    </row>
    <row r="87" spans="2:19" s="2" customFormat="1">
      <c r="B87" s="52"/>
      <c r="C87" s="53"/>
      <c r="D87" s="53"/>
      <c r="E87" s="54"/>
      <c r="F87" s="54"/>
      <c r="G87" s="54"/>
      <c r="H87" s="55"/>
      <c r="I87" s="55"/>
      <c r="J87" s="55"/>
      <c r="K87" s="55"/>
      <c r="L87" s="55"/>
      <c r="M87" s="55"/>
      <c r="N87" s="55"/>
      <c r="O87" s="56"/>
      <c r="P87" s="56"/>
      <c r="Q87" s="57"/>
      <c r="R87" s="56"/>
      <c r="S87" s="58"/>
    </row>
    <row r="88" spans="2:19" s="2" customFormat="1">
      <c r="B88" s="52"/>
      <c r="C88" s="53"/>
      <c r="D88" s="53"/>
      <c r="E88" s="54"/>
      <c r="F88" s="54"/>
      <c r="G88" s="54"/>
      <c r="H88" s="55"/>
      <c r="I88" s="55"/>
      <c r="J88" s="55"/>
      <c r="K88" s="55"/>
      <c r="L88" s="55"/>
      <c r="M88" s="55"/>
      <c r="N88" s="55"/>
      <c r="O88" s="56"/>
      <c r="P88" s="56"/>
      <c r="Q88" s="57"/>
      <c r="R88" s="56"/>
      <c r="S88" s="58"/>
    </row>
    <row r="89" spans="2:19" s="2" customFormat="1">
      <c r="B89" s="52"/>
      <c r="C89" s="53"/>
      <c r="D89" s="53"/>
      <c r="E89" s="54"/>
      <c r="F89" s="54"/>
      <c r="G89" s="54"/>
      <c r="H89" s="55"/>
      <c r="I89" s="55"/>
      <c r="J89" s="55"/>
      <c r="K89" s="55"/>
      <c r="L89" s="55"/>
      <c r="M89" s="55"/>
      <c r="N89" s="55"/>
      <c r="O89" s="56"/>
      <c r="P89" s="56"/>
      <c r="Q89" s="57"/>
      <c r="R89" s="56"/>
      <c r="S89" s="58"/>
    </row>
    <row r="90" spans="2:19" s="2" customFormat="1">
      <c r="B90" s="52"/>
      <c r="C90" s="53"/>
      <c r="D90" s="53"/>
      <c r="E90" s="54"/>
      <c r="F90" s="54"/>
      <c r="G90" s="54"/>
      <c r="H90" s="55"/>
      <c r="I90" s="55"/>
      <c r="J90" s="55"/>
      <c r="K90" s="55"/>
      <c r="L90" s="55"/>
      <c r="M90" s="55"/>
      <c r="N90" s="55"/>
      <c r="O90" s="56"/>
      <c r="P90" s="56"/>
      <c r="Q90" s="57"/>
      <c r="R90" s="56"/>
      <c r="S90" s="58"/>
    </row>
    <row r="91" spans="2:19" s="2" customFormat="1">
      <c r="B91" s="52"/>
      <c r="C91" s="53"/>
      <c r="D91" s="53"/>
      <c r="E91" s="54"/>
      <c r="F91" s="54"/>
      <c r="G91" s="54"/>
      <c r="H91" s="55"/>
      <c r="I91" s="55"/>
      <c r="J91" s="55"/>
      <c r="K91" s="55"/>
      <c r="L91" s="55"/>
      <c r="M91" s="55"/>
      <c r="N91" s="55"/>
      <c r="O91" s="56"/>
      <c r="P91" s="56"/>
      <c r="Q91" s="57"/>
      <c r="R91" s="56"/>
      <c r="S91" s="58"/>
    </row>
    <row r="92" spans="2:19" s="2" customFormat="1">
      <c r="B92" s="52"/>
      <c r="C92" s="53"/>
      <c r="D92" s="53"/>
      <c r="E92" s="54"/>
      <c r="F92" s="54"/>
      <c r="G92" s="54"/>
      <c r="H92" s="55"/>
      <c r="I92" s="55"/>
      <c r="J92" s="55"/>
      <c r="K92" s="55"/>
      <c r="L92" s="55"/>
      <c r="M92" s="55"/>
      <c r="N92" s="55"/>
      <c r="O92" s="56"/>
      <c r="P92" s="56"/>
      <c r="Q92" s="57"/>
      <c r="R92" s="56"/>
      <c r="S92" s="58"/>
    </row>
    <row r="93" spans="2:19" s="2" customFormat="1">
      <c r="B93" s="52"/>
      <c r="C93" s="53"/>
      <c r="D93" s="53"/>
      <c r="E93" s="54"/>
      <c r="F93" s="54"/>
      <c r="G93" s="54"/>
      <c r="H93" s="55"/>
      <c r="I93" s="55"/>
      <c r="J93" s="55"/>
      <c r="K93" s="55"/>
      <c r="L93" s="55"/>
      <c r="M93" s="55"/>
      <c r="N93" s="55"/>
      <c r="O93" s="56"/>
      <c r="P93" s="56"/>
      <c r="Q93" s="57"/>
      <c r="R93" s="56"/>
      <c r="S93" s="58"/>
    </row>
    <row r="94" spans="2:19" s="2" customFormat="1">
      <c r="B94" s="52"/>
      <c r="C94" s="53"/>
      <c r="D94" s="53"/>
      <c r="E94" s="54"/>
      <c r="F94" s="54"/>
      <c r="G94" s="54"/>
      <c r="H94" s="55"/>
      <c r="I94" s="55"/>
      <c r="J94" s="55"/>
      <c r="K94" s="55"/>
      <c r="L94" s="55"/>
      <c r="M94" s="55"/>
      <c r="N94" s="55"/>
      <c r="O94" s="56"/>
      <c r="P94" s="56"/>
      <c r="Q94" s="57"/>
      <c r="R94" s="56"/>
      <c r="S94" s="58"/>
    </row>
    <row r="95" spans="2:19" s="2" customFormat="1">
      <c r="B95" s="52"/>
      <c r="C95" s="53"/>
      <c r="D95" s="53"/>
      <c r="E95" s="54"/>
      <c r="F95" s="54"/>
      <c r="G95" s="54"/>
      <c r="H95" s="55"/>
      <c r="I95" s="55"/>
      <c r="J95" s="55"/>
      <c r="K95" s="55"/>
      <c r="L95" s="55"/>
      <c r="M95" s="55"/>
      <c r="N95" s="55"/>
      <c r="O95" s="56"/>
      <c r="P95" s="56"/>
      <c r="Q95" s="57"/>
      <c r="R95" s="56"/>
      <c r="S95" s="58"/>
    </row>
    <row r="96" spans="2:19" s="2" customFormat="1">
      <c r="B96" s="52"/>
      <c r="C96" s="53"/>
      <c r="D96" s="53"/>
      <c r="E96" s="54"/>
      <c r="F96" s="54"/>
      <c r="G96" s="54"/>
      <c r="H96" s="55"/>
      <c r="I96" s="55"/>
      <c r="J96" s="55"/>
      <c r="K96" s="55"/>
      <c r="L96" s="55"/>
      <c r="M96" s="55"/>
      <c r="N96" s="55"/>
      <c r="O96" s="56"/>
      <c r="P96" s="56"/>
      <c r="Q96" s="57"/>
      <c r="R96" s="56"/>
      <c r="S96" s="58"/>
    </row>
    <row r="97" spans="2:19" s="2" customFormat="1">
      <c r="B97" s="52"/>
      <c r="C97" s="53"/>
      <c r="D97" s="53"/>
      <c r="E97" s="54"/>
      <c r="F97" s="54"/>
      <c r="G97" s="54"/>
      <c r="H97" s="55"/>
      <c r="I97" s="55"/>
      <c r="J97" s="55"/>
      <c r="K97" s="55"/>
      <c r="L97" s="55"/>
      <c r="M97" s="55"/>
      <c r="N97" s="55"/>
      <c r="O97" s="56"/>
      <c r="P97" s="56"/>
      <c r="Q97" s="57"/>
      <c r="R97" s="56"/>
      <c r="S97" s="58"/>
    </row>
    <row r="98" spans="2:19" s="2" customFormat="1">
      <c r="B98" s="52"/>
      <c r="C98" s="53"/>
      <c r="D98" s="53"/>
      <c r="E98" s="54"/>
      <c r="F98" s="54"/>
      <c r="G98" s="54"/>
      <c r="H98" s="55"/>
      <c r="I98" s="55"/>
      <c r="J98" s="55"/>
      <c r="K98" s="55"/>
      <c r="L98" s="55"/>
      <c r="M98" s="55"/>
      <c r="N98" s="55"/>
      <c r="O98" s="56"/>
      <c r="P98" s="56"/>
      <c r="Q98" s="57"/>
      <c r="R98" s="56"/>
      <c r="S98" s="58"/>
    </row>
    <row r="99" spans="2:19" s="2" customFormat="1">
      <c r="B99" s="52"/>
      <c r="C99" s="53"/>
      <c r="D99" s="53"/>
      <c r="E99" s="54"/>
      <c r="F99" s="54"/>
      <c r="G99" s="54"/>
      <c r="H99" s="55"/>
      <c r="I99" s="55"/>
      <c r="J99" s="55"/>
      <c r="K99" s="55"/>
      <c r="L99" s="55"/>
      <c r="M99" s="55"/>
      <c r="N99" s="55"/>
      <c r="O99" s="56"/>
      <c r="P99" s="56"/>
      <c r="Q99" s="57"/>
      <c r="R99" s="56"/>
      <c r="S99" s="58"/>
    </row>
    <row r="100" spans="2:19" s="2" customFormat="1">
      <c r="B100" s="52"/>
      <c r="C100" s="53"/>
      <c r="D100" s="53"/>
      <c r="E100" s="54"/>
      <c r="F100" s="54"/>
      <c r="G100" s="54"/>
      <c r="H100" s="55"/>
      <c r="I100" s="55"/>
      <c r="J100" s="55"/>
      <c r="K100" s="55"/>
      <c r="L100" s="55"/>
      <c r="M100" s="55"/>
      <c r="N100" s="55"/>
      <c r="O100" s="56"/>
      <c r="P100" s="56"/>
      <c r="Q100" s="57"/>
      <c r="R100" s="56"/>
      <c r="S100" s="58"/>
    </row>
    <row r="101" spans="2:19" s="2" customFormat="1">
      <c r="B101" s="52"/>
      <c r="C101" s="53"/>
      <c r="D101" s="53"/>
      <c r="E101" s="54"/>
      <c r="F101" s="54"/>
      <c r="G101" s="54"/>
      <c r="H101" s="55"/>
      <c r="I101" s="55"/>
      <c r="J101" s="55"/>
      <c r="K101" s="55"/>
      <c r="L101" s="55"/>
      <c r="M101" s="55"/>
      <c r="N101" s="55"/>
      <c r="O101" s="56"/>
      <c r="P101" s="56"/>
      <c r="Q101" s="57"/>
      <c r="R101" s="56"/>
      <c r="S101" s="58"/>
    </row>
    <row r="102" spans="2:19" s="2" customFormat="1">
      <c r="B102" s="52"/>
      <c r="C102" s="53"/>
      <c r="D102" s="53"/>
      <c r="E102" s="54"/>
      <c r="F102" s="54"/>
      <c r="G102" s="54"/>
      <c r="H102" s="55"/>
      <c r="I102" s="55"/>
      <c r="J102" s="55"/>
      <c r="K102" s="55"/>
      <c r="L102" s="55"/>
      <c r="M102" s="55"/>
      <c r="N102" s="55"/>
      <c r="O102" s="56"/>
      <c r="P102" s="56"/>
      <c r="Q102" s="57"/>
      <c r="R102" s="56"/>
      <c r="S102" s="58"/>
    </row>
    <row r="103" spans="2:19" s="2" customFormat="1">
      <c r="B103" s="52"/>
      <c r="C103" s="53"/>
      <c r="D103" s="53"/>
      <c r="E103" s="54"/>
      <c r="F103" s="54"/>
      <c r="G103" s="54"/>
      <c r="H103" s="55"/>
      <c r="I103" s="55"/>
      <c r="J103" s="55"/>
      <c r="K103" s="55"/>
      <c r="L103" s="55"/>
      <c r="M103" s="55"/>
      <c r="N103" s="55"/>
      <c r="O103" s="56"/>
      <c r="P103" s="56"/>
      <c r="Q103" s="57"/>
      <c r="R103" s="56"/>
      <c r="S103" s="58"/>
    </row>
    <row r="104" spans="2:19" s="2" customFormat="1">
      <c r="B104" s="52"/>
      <c r="C104" s="53"/>
      <c r="D104" s="53"/>
      <c r="E104" s="54"/>
      <c r="F104" s="54"/>
      <c r="G104" s="54"/>
      <c r="H104" s="55"/>
      <c r="I104" s="55"/>
      <c r="J104" s="55"/>
      <c r="K104" s="55"/>
      <c r="L104" s="55"/>
      <c r="M104" s="55"/>
      <c r="N104" s="55"/>
      <c r="O104" s="56"/>
      <c r="P104" s="56"/>
      <c r="Q104" s="57"/>
      <c r="R104" s="56"/>
      <c r="S104" s="58"/>
    </row>
    <row r="105" spans="2:19" s="2" customFormat="1">
      <c r="B105" s="52"/>
      <c r="C105" s="53"/>
      <c r="D105" s="53"/>
      <c r="E105" s="54"/>
      <c r="F105" s="54"/>
      <c r="G105" s="54"/>
      <c r="H105" s="55"/>
      <c r="I105" s="55"/>
      <c r="J105" s="55"/>
      <c r="K105" s="55"/>
      <c r="L105" s="55"/>
      <c r="M105" s="55"/>
      <c r="N105" s="55"/>
      <c r="O105" s="56"/>
      <c r="P105" s="56"/>
      <c r="Q105" s="57"/>
      <c r="R105" s="56"/>
      <c r="S105" s="58"/>
    </row>
    <row r="106" spans="2:19" s="2" customFormat="1">
      <c r="B106" s="52"/>
      <c r="C106" s="53"/>
      <c r="D106" s="53"/>
      <c r="E106" s="54"/>
      <c r="F106" s="54"/>
      <c r="G106" s="54"/>
      <c r="H106" s="55"/>
      <c r="I106" s="55"/>
      <c r="J106" s="55"/>
      <c r="K106" s="55"/>
      <c r="L106" s="55"/>
      <c r="M106" s="55"/>
      <c r="N106" s="55"/>
      <c r="O106" s="56"/>
      <c r="P106" s="56"/>
      <c r="Q106" s="57"/>
      <c r="R106" s="56"/>
      <c r="S106" s="58"/>
    </row>
    <row r="107" spans="2:19" s="2" customFormat="1">
      <c r="B107" s="52"/>
      <c r="C107" s="53"/>
      <c r="D107" s="53"/>
      <c r="E107" s="54"/>
      <c r="F107" s="54"/>
      <c r="G107" s="54"/>
      <c r="H107" s="55"/>
      <c r="I107" s="55"/>
      <c r="J107" s="55"/>
      <c r="K107" s="55"/>
      <c r="L107" s="55"/>
      <c r="M107" s="55"/>
      <c r="N107" s="55"/>
      <c r="O107" s="56"/>
      <c r="P107" s="56"/>
      <c r="Q107" s="57"/>
      <c r="R107" s="56"/>
      <c r="S107" s="58"/>
    </row>
    <row r="108" spans="2:19" s="2" customFormat="1">
      <c r="B108" s="52"/>
      <c r="C108" s="53"/>
      <c r="D108" s="53"/>
      <c r="E108" s="54"/>
      <c r="F108" s="54"/>
      <c r="G108" s="54"/>
      <c r="H108" s="55"/>
      <c r="I108" s="55"/>
      <c r="J108" s="55"/>
      <c r="K108" s="55"/>
      <c r="L108" s="55"/>
      <c r="M108" s="55"/>
      <c r="N108" s="55"/>
      <c r="O108" s="56"/>
      <c r="P108" s="56"/>
      <c r="Q108" s="57"/>
      <c r="R108" s="56"/>
      <c r="S108" s="58"/>
    </row>
    <row r="109" spans="2:19" s="2" customFormat="1">
      <c r="B109" s="52"/>
      <c r="C109" s="53"/>
      <c r="D109" s="53"/>
      <c r="E109" s="54"/>
      <c r="F109" s="54"/>
      <c r="G109" s="54"/>
      <c r="H109" s="55"/>
      <c r="I109" s="55"/>
      <c r="J109" s="55"/>
      <c r="K109" s="55"/>
      <c r="L109" s="55"/>
      <c r="M109" s="55"/>
      <c r="N109" s="55"/>
      <c r="O109" s="56"/>
      <c r="P109" s="56"/>
      <c r="Q109" s="57"/>
      <c r="R109" s="56"/>
      <c r="S109" s="58"/>
    </row>
    <row r="110" spans="2:19" s="2" customFormat="1">
      <c r="B110" s="52"/>
      <c r="C110" s="53"/>
      <c r="D110" s="53"/>
      <c r="E110" s="54"/>
      <c r="F110" s="54"/>
      <c r="G110" s="54"/>
      <c r="H110" s="55"/>
      <c r="I110" s="55"/>
      <c r="J110" s="55"/>
      <c r="K110" s="55"/>
      <c r="L110" s="55"/>
      <c r="M110" s="55"/>
      <c r="N110" s="55"/>
      <c r="O110" s="56"/>
      <c r="P110" s="56"/>
      <c r="Q110" s="57"/>
      <c r="R110" s="56"/>
      <c r="S110" s="58"/>
    </row>
    <row r="111" spans="2:19" s="2" customFormat="1">
      <c r="B111" s="52"/>
      <c r="C111" s="53"/>
      <c r="D111" s="53"/>
      <c r="E111" s="54"/>
      <c r="F111" s="54"/>
      <c r="G111" s="54"/>
      <c r="H111" s="55"/>
      <c r="I111" s="55"/>
      <c r="J111" s="55"/>
      <c r="K111" s="55"/>
      <c r="L111" s="55"/>
      <c r="M111" s="55"/>
      <c r="N111" s="55"/>
      <c r="O111" s="56"/>
      <c r="P111" s="56"/>
      <c r="Q111" s="57"/>
      <c r="R111" s="56"/>
      <c r="S111" s="58"/>
    </row>
    <row r="112" spans="2:19" s="2" customFormat="1">
      <c r="B112" s="52"/>
      <c r="C112" s="53"/>
      <c r="D112" s="53"/>
      <c r="E112" s="54"/>
      <c r="F112" s="54"/>
      <c r="G112" s="54"/>
      <c r="H112" s="55"/>
      <c r="I112" s="55"/>
      <c r="J112" s="55"/>
      <c r="K112" s="55"/>
      <c r="L112" s="55"/>
      <c r="M112" s="55"/>
      <c r="N112" s="55"/>
      <c r="O112" s="56"/>
      <c r="P112" s="56"/>
      <c r="Q112" s="57"/>
      <c r="R112" s="56"/>
      <c r="S112" s="58"/>
    </row>
    <row r="113" spans="2:19" s="2" customFormat="1">
      <c r="B113" s="52"/>
      <c r="C113" s="53"/>
      <c r="D113" s="53"/>
      <c r="E113" s="54"/>
      <c r="F113" s="54"/>
      <c r="G113" s="54"/>
      <c r="H113" s="55"/>
      <c r="I113" s="55"/>
      <c r="J113" s="55"/>
      <c r="K113" s="55"/>
      <c r="L113" s="55"/>
      <c r="M113" s="55"/>
      <c r="N113" s="55"/>
      <c r="O113" s="56"/>
      <c r="P113" s="56"/>
      <c r="Q113" s="57"/>
      <c r="R113" s="56"/>
      <c r="S113" s="58"/>
    </row>
    <row r="114" spans="2:19" s="2" customFormat="1">
      <c r="B114" s="12"/>
      <c r="C114" s="13"/>
      <c r="D114" s="13"/>
      <c r="E114" s="14"/>
      <c r="F114" s="14"/>
      <c r="G114" s="14"/>
      <c r="H114" s="15"/>
      <c r="I114" s="15"/>
      <c r="J114" s="15"/>
      <c r="K114" s="15"/>
      <c r="L114" s="15"/>
      <c r="M114" s="15"/>
      <c r="N114" s="15"/>
      <c r="O114" s="15"/>
      <c r="P114" s="21"/>
      <c r="Q114" s="21"/>
      <c r="R114" s="21"/>
      <c r="S114" s="23"/>
    </row>
    <row r="115" spans="2:19" s="2" customFormat="1">
      <c r="B115" s="12"/>
      <c r="C115" s="13"/>
      <c r="D115" s="13"/>
      <c r="E115" s="14"/>
      <c r="F115" s="14"/>
      <c r="G115" s="14"/>
      <c r="H115" s="15"/>
      <c r="I115" s="15"/>
      <c r="J115" s="15"/>
      <c r="K115" s="15"/>
      <c r="L115" s="15"/>
      <c r="M115" s="15"/>
      <c r="N115" s="15"/>
      <c r="O115" s="15"/>
      <c r="P115" s="21"/>
      <c r="Q115" s="18"/>
      <c r="R115" s="18"/>
      <c r="S115" s="23"/>
    </row>
    <row r="116" spans="2:19" s="2" customFormat="1">
      <c r="B116" s="12"/>
      <c r="C116" s="13"/>
      <c r="D116" s="13"/>
      <c r="E116" s="14"/>
      <c r="F116" s="14"/>
      <c r="G116" s="14"/>
      <c r="H116" s="15"/>
      <c r="I116" s="15"/>
      <c r="J116" s="15"/>
      <c r="K116" s="15"/>
      <c r="L116" s="15"/>
      <c r="M116" s="15"/>
      <c r="N116" s="15"/>
      <c r="O116" s="15"/>
      <c r="P116" s="21"/>
      <c r="Q116" s="18"/>
      <c r="R116" s="18"/>
      <c r="S116" s="23"/>
    </row>
    <row r="117" spans="2:19" s="2" customFormat="1">
      <c r="B117" s="12"/>
      <c r="C117" s="13"/>
      <c r="D117" s="13"/>
      <c r="E117" s="14"/>
      <c r="F117" s="17"/>
      <c r="G117" s="17"/>
      <c r="H117" s="15"/>
      <c r="I117" s="15"/>
      <c r="J117" s="15"/>
      <c r="K117" s="15"/>
      <c r="L117" s="15"/>
      <c r="M117" s="15"/>
      <c r="N117" s="15"/>
      <c r="O117" s="16"/>
      <c r="P117" s="16"/>
      <c r="Q117" s="18"/>
      <c r="R117" s="16"/>
      <c r="S117" s="19"/>
    </row>
  </sheetData>
  <autoFilter ref="B2:S78"/>
  <dataValidations count="2">
    <dataValidation type="list" allowBlank="1" showInputMessage="1" showErrorMessage="1" sqref="B71 B79:B117 B3:B56">
      <formula1>Foco_Serviço</formula1>
    </dataValidation>
    <dataValidation type="list" allowBlank="1" showErrorMessage="1" sqref="B57:B70 B72:B78">
      <formula1>Foco_Serviço</formula1>
    </dataValidation>
  </dataValidations>
  <pageMargins left="0.511811024" right="0.511811024" top="0.78740157499999996" bottom="0.78740157499999996" header="0.31496062000000002" footer="0.31496062000000002"/>
  <pageSetup paperSize="9" orientation="portrait"/>
  <legacy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showGridLines="0" zoomScaleNormal="100" zoomScalePageLayoutView="125" workbookViewId="0"/>
  </sheetViews>
  <sheetFormatPr defaultColWidth="11.42578125" defaultRowHeight="15"/>
  <cols>
    <col min="1" max="1" width="31.85546875" bestFit="1" customWidth="1"/>
    <col min="2" max="2" width="12.140625" bestFit="1" customWidth="1"/>
    <col min="3" max="3" width="16.85546875" bestFit="1" customWidth="1"/>
  </cols>
  <sheetData>
    <row r="1" spans="1:3" s="60" customFormat="1">
      <c r="A1" s="60" t="s">
        <v>23</v>
      </c>
      <c r="B1" s="60" t="s">
        <v>24</v>
      </c>
      <c r="C1" s="60" t="s">
        <v>25</v>
      </c>
    </row>
    <row r="2" spans="1:3">
      <c r="A2" t="s">
        <v>38</v>
      </c>
    </row>
    <row r="3" spans="1:3">
      <c r="A3" t="s">
        <v>39</v>
      </c>
    </row>
    <row r="4" spans="1:3">
      <c r="A4" t="s">
        <v>40</v>
      </c>
    </row>
    <row r="5" spans="1:3">
      <c r="A5" t="s">
        <v>41</v>
      </c>
    </row>
    <row r="6" spans="1:3">
      <c r="A6" t="s">
        <v>42</v>
      </c>
    </row>
    <row r="7" spans="1:3">
      <c r="A7" t="s">
        <v>35</v>
      </c>
    </row>
    <row r="8" spans="1:3">
      <c r="A8" t="s">
        <v>43</v>
      </c>
    </row>
    <row r="9" spans="1:3">
      <c r="A9" t="s">
        <v>44</v>
      </c>
    </row>
    <row r="10" spans="1:3">
      <c r="A10" t="s">
        <v>34</v>
      </c>
    </row>
    <row r="11" spans="1:3">
      <c r="A11" t="s">
        <v>45</v>
      </c>
    </row>
    <row r="12" spans="1:3">
      <c r="A12" t="s">
        <v>46</v>
      </c>
    </row>
    <row r="13" spans="1:3">
      <c r="A13" t="s">
        <v>47</v>
      </c>
    </row>
    <row r="14" spans="1:3">
      <c r="A14" t="s">
        <v>48</v>
      </c>
    </row>
    <row r="15" spans="1:3">
      <c r="A15" t="s">
        <v>49</v>
      </c>
    </row>
    <row r="16" spans="1:3">
      <c r="A16" t="s">
        <v>50</v>
      </c>
    </row>
  </sheetData>
  <pageMargins left="0.75" right="0.75" top="1" bottom="1" header="0.5" footer="0.5"/>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Views>
    <sheetView showGridLines="0" zoomScaleNormal="100" zoomScalePageLayoutView="125" workbookViewId="0"/>
  </sheetViews>
  <sheetFormatPr defaultColWidth="11.42578125" defaultRowHeight="15"/>
  <cols>
    <col min="1" max="1" width="27.42578125" style="5" bestFit="1" customWidth="1"/>
    <col min="2" max="2" width="29.42578125" bestFit="1" customWidth="1"/>
    <col min="3" max="3" width="21.85546875" style="5" bestFit="1" customWidth="1"/>
    <col min="4" max="4" width="27.28515625" hidden="1" customWidth="1"/>
    <col min="5" max="5" width="31.28515625" style="5" hidden="1" customWidth="1"/>
    <col min="6" max="6" width="37.85546875" style="59" customWidth="1"/>
    <col min="7" max="7" width="26.85546875" style="59" customWidth="1"/>
    <col min="8" max="8" width="10.85546875" customWidth="1"/>
  </cols>
  <sheetData>
    <row r="1" spans="1:9" s="60" customFormat="1">
      <c r="A1" s="60" t="s">
        <v>61</v>
      </c>
      <c r="B1" s="60" t="s">
        <v>26</v>
      </c>
      <c r="C1" s="60" t="s">
        <v>51</v>
      </c>
      <c r="D1" s="60" t="s">
        <v>120</v>
      </c>
      <c r="E1" s="60" t="s">
        <v>256</v>
      </c>
      <c r="F1" s="63" t="s">
        <v>113</v>
      </c>
      <c r="G1" s="63" t="s">
        <v>183</v>
      </c>
      <c r="H1" s="60" t="s">
        <v>191</v>
      </c>
      <c r="I1" s="60" t="s">
        <v>277</v>
      </c>
    </row>
    <row r="2" spans="1:9">
      <c r="A2" s="5" t="s">
        <v>69</v>
      </c>
      <c r="B2" s="5"/>
      <c r="D2" t="s">
        <v>62</v>
      </c>
      <c r="I2" t="s">
        <v>278</v>
      </c>
    </row>
    <row r="3" spans="1:9" s="5" customFormat="1">
      <c r="A3" s="5" t="s">
        <v>69</v>
      </c>
      <c r="B3" s="5" t="s">
        <v>28</v>
      </c>
      <c r="D3" s="5" t="s">
        <v>56</v>
      </c>
      <c r="F3" s="59"/>
      <c r="G3" s="59"/>
      <c r="I3" s="5" t="s">
        <v>278</v>
      </c>
    </row>
    <row r="4" spans="1:9" ht="45">
      <c r="A4" s="5" t="s">
        <v>69</v>
      </c>
      <c r="B4" s="5" t="s">
        <v>28</v>
      </c>
      <c r="C4" s="5" t="s">
        <v>27</v>
      </c>
      <c r="D4" t="s">
        <v>116</v>
      </c>
      <c r="F4" s="59" t="s">
        <v>115</v>
      </c>
      <c r="G4" s="59" t="s">
        <v>209</v>
      </c>
      <c r="I4" t="s">
        <v>278</v>
      </c>
    </row>
    <row r="5" spans="1:9" s="5" customFormat="1">
      <c r="A5" s="5" t="s">
        <v>69</v>
      </c>
      <c r="B5" s="5" t="s">
        <v>28</v>
      </c>
      <c r="C5" s="5" t="s">
        <v>52</v>
      </c>
      <c r="D5" s="5" t="s">
        <v>56</v>
      </c>
      <c r="F5" s="59" t="s">
        <v>182</v>
      </c>
      <c r="G5" s="59"/>
      <c r="I5" s="5" t="s">
        <v>278</v>
      </c>
    </row>
    <row r="6" spans="1:9" s="5" customFormat="1" ht="30">
      <c r="A6" s="5" t="s">
        <v>69</v>
      </c>
      <c r="B6" s="5" t="s">
        <v>28</v>
      </c>
      <c r="C6" s="5" t="s">
        <v>53</v>
      </c>
      <c r="D6" s="5" t="s">
        <v>117</v>
      </c>
      <c r="F6" s="59" t="s">
        <v>114</v>
      </c>
      <c r="G6" s="59" t="s">
        <v>184</v>
      </c>
      <c r="I6" s="5" t="s">
        <v>278</v>
      </c>
    </row>
    <row r="7" spans="1:9" s="5" customFormat="1" ht="30">
      <c r="A7" s="5" t="s">
        <v>69</v>
      </c>
      <c r="B7" s="5" t="s">
        <v>28</v>
      </c>
      <c r="C7" s="5" t="s">
        <v>54</v>
      </c>
      <c r="D7" s="5" t="s">
        <v>118</v>
      </c>
      <c r="F7" s="59" t="s">
        <v>114</v>
      </c>
      <c r="G7" s="59" t="s">
        <v>185</v>
      </c>
      <c r="I7" s="5" t="s">
        <v>279</v>
      </c>
    </row>
    <row r="8" spans="1:9" s="5" customFormat="1" ht="45">
      <c r="A8" s="5" t="s">
        <v>69</v>
      </c>
      <c r="B8" s="5" t="s">
        <v>28</v>
      </c>
      <c r="C8" s="5" t="s">
        <v>55</v>
      </c>
      <c r="D8" s="5" t="s">
        <v>119</v>
      </c>
      <c r="F8" s="59" t="s">
        <v>159</v>
      </c>
      <c r="G8" s="59" t="s">
        <v>186</v>
      </c>
      <c r="I8" s="5" t="s">
        <v>279</v>
      </c>
    </row>
    <row r="9" spans="1:9" s="5" customFormat="1">
      <c r="A9" s="5" t="s">
        <v>69</v>
      </c>
      <c r="B9" s="5" t="s">
        <v>70</v>
      </c>
      <c r="C9" s="5" t="s">
        <v>65</v>
      </c>
      <c r="D9" s="5" t="s">
        <v>121</v>
      </c>
      <c r="F9" s="59" t="s">
        <v>125</v>
      </c>
      <c r="G9" s="59" t="s">
        <v>187</v>
      </c>
      <c r="I9" s="5" t="s">
        <v>278</v>
      </c>
    </row>
    <row r="10" spans="1:9" s="5" customFormat="1" ht="30">
      <c r="A10" s="5" t="s">
        <v>69</v>
      </c>
      <c r="B10" s="5" t="s">
        <v>70</v>
      </c>
      <c r="C10" s="5" t="s">
        <v>66</v>
      </c>
      <c r="D10" s="5" t="s">
        <v>122</v>
      </c>
      <c r="F10" s="59" t="s">
        <v>125</v>
      </c>
      <c r="G10" s="59" t="s">
        <v>272</v>
      </c>
      <c r="I10" s="5" t="s">
        <v>278</v>
      </c>
    </row>
    <row r="11" spans="1:9" s="5" customFormat="1" ht="30">
      <c r="A11" s="5" t="s">
        <v>69</v>
      </c>
      <c r="B11" s="5" t="s">
        <v>70</v>
      </c>
      <c r="C11" s="5" t="s">
        <v>67</v>
      </c>
      <c r="D11" s="5" t="s">
        <v>123</v>
      </c>
      <c r="F11" s="59" t="s">
        <v>125</v>
      </c>
      <c r="G11" s="59" t="s">
        <v>188</v>
      </c>
      <c r="I11" s="5" t="s">
        <v>278</v>
      </c>
    </row>
    <row r="12" spans="1:9" s="5" customFormat="1" ht="30">
      <c r="A12" s="5" t="s">
        <v>69</v>
      </c>
      <c r="B12" s="5" t="s">
        <v>70</v>
      </c>
      <c r="C12" s="5" t="s">
        <v>68</v>
      </c>
      <c r="D12" s="5" t="s">
        <v>124</v>
      </c>
      <c r="F12" s="59" t="s">
        <v>126</v>
      </c>
      <c r="G12" s="59" t="s">
        <v>189</v>
      </c>
      <c r="I12" s="5" t="s">
        <v>278</v>
      </c>
    </row>
    <row r="13" spans="1:9" s="5" customFormat="1">
      <c r="A13" s="5" t="s">
        <v>69</v>
      </c>
      <c r="B13" s="5" t="s">
        <v>71</v>
      </c>
      <c r="D13" s="5" t="s">
        <v>127</v>
      </c>
      <c r="F13" s="59"/>
      <c r="G13" s="59"/>
      <c r="I13" s="5" t="s">
        <v>278</v>
      </c>
    </row>
    <row r="14" spans="1:9" s="5" customFormat="1">
      <c r="A14" s="5" t="s">
        <v>69</v>
      </c>
      <c r="B14" s="5" t="s">
        <v>72</v>
      </c>
      <c r="D14" s="5" t="s">
        <v>128</v>
      </c>
      <c r="F14" s="59"/>
      <c r="G14" s="59"/>
      <c r="I14" s="5" t="s">
        <v>278</v>
      </c>
    </row>
    <row r="15" spans="1:9" ht="30">
      <c r="A15" s="5" t="s">
        <v>69</v>
      </c>
      <c r="B15" t="s">
        <v>32</v>
      </c>
      <c r="D15" t="s">
        <v>190</v>
      </c>
      <c r="F15" s="59" t="s">
        <v>129</v>
      </c>
      <c r="G15" s="59" t="s">
        <v>188</v>
      </c>
      <c r="I15" s="5" t="s">
        <v>278</v>
      </c>
    </row>
    <row r="16" spans="1:9" s="5" customFormat="1" ht="30">
      <c r="A16" s="5" t="s">
        <v>69</v>
      </c>
      <c r="B16" s="5" t="s">
        <v>88</v>
      </c>
      <c r="D16" s="5" t="s">
        <v>131</v>
      </c>
      <c r="F16" s="59" t="s">
        <v>130</v>
      </c>
      <c r="G16" s="59" t="s">
        <v>188</v>
      </c>
      <c r="H16" s="5" t="s">
        <v>206</v>
      </c>
      <c r="I16" s="5" t="s">
        <v>278</v>
      </c>
    </row>
    <row r="17" spans="1:9">
      <c r="A17" s="5" t="s">
        <v>73</v>
      </c>
      <c r="B17" t="s">
        <v>29</v>
      </c>
      <c r="D17" t="s">
        <v>57</v>
      </c>
      <c r="F17" s="59" t="s">
        <v>132</v>
      </c>
      <c r="I17" s="5" t="s">
        <v>278</v>
      </c>
    </row>
    <row r="18" spans="1:9" s="5" customFormat="1" ht="30">
      <c r="A18" s="5" t="s">
        <v>73</v>
      </c>
      <c r="B18" s="5" t="s">
        <v>58</v>
      </c>
      <c r="D18" s="5" t="s">
        <v>57</v>
      </c>
      <c r="F18" s="59" t="s">
        <v>133</v>
      </c>
      <c r="G18" s="59"/>
      <c r="I18" s="5" t="s">
        <v>278</v>
      </c>
    </row>
    <row r="19" spans="1:9" ht="30">
      <c r="A19" s="5" t="s">
        <v>73</v>
      </c>
      <c r="B19" t="s">
        <v>80</v>
      </c>
      <c r="D19" t="s">
        <v>134</v>
      </c>
      <c r="F19" s="59" t="s">
        <v>136</v>
      </c>
      <c r="G19" s="59" t="s">
        <v>194</v>
      </c>
      <c r="I19" s="5" t="s">
        <v>278</v>
      </c>
    </row>
    <row r="20" spans="1:9" s="5" customFormat="1">
      <c r="A20" s="5" t="s">
        <v>73</v>
      </c>
      <c r="B20" s="5" t="s">
        <v>135</v>
      </c>
      <c r="D20" s="5" t="s">
        <v>134</v>
      </c>
      <c r="F20" s="59" t="s">
        <v>115</v>
      </c>
      <c r="G20" s="59" t="s">
        <v>192</v>
      </c>
      <c r="I20" s="5" t="s">
        <v>278</v>
      </c>
    </row>
    <row r="21" spans="1:9">
      <c r="A21" s="5" t="s">
        <v>73</v>
      </c>
      <c r="B21" t="s">
        <v>33</v>
      </c>
      <c r="D21" t="s">
        <v>137</v>
      </c>
      <c r="F21" s="59" t="s">
        <v>136</v>
      </c>
      <c r="G21" s="59" t="s">
        <v>195</v>
      </c>
      <c r="I21" s="5" t="s">
        <v>278</v>
      </c>
    </row>
    <row r="22" spans="1:9" s="5" customFormat="1">
      <c r="A22" s="5" t="s">
        <v>64</v>
      </c>
      <c r="B22" s="5" t="s">
        <v>59</v>
      </c>
      <c r="D22" s="5" t="s">
        <v>60</v>
      </c>
      <c r="F22" s="59" t="s">
        <v>115</v>
      </c>
      <c r="G22" s="59" t="s">
        <v>193</v>
      </c>
      <c r="I22" s="5" t="s">
        <v>278</v>
      </c>
    </row>
    <row r="23" spans="1:9" s="5" customFormat="1">
      <c r="A23" s="5" t="s">
        <v>64</v>
      </c>
      <c r="B23" s="5" t="s">
        <v>81</v>
      </c>
      <c r="D23" s="5" t="s">
        <v>138</v>
      </c>
      <c r="F23" s="59" t="s">
        <v>115</v>
      </c>
      <c r="G23" s="59" t="s">
        <v>35</v>
      </c>
      <c r="I23" s="5" t="s">
        <v>278</v>
      </c>
    </row>
    <row r="24" spans="1:9" s="5" customFormat="1" ht="45">
      <c r="A24" s="5" t="s">
        <v>64</v>
      </c>
      <c r="B24" s="5" t="s">
        <v>95</v>
      </c>
      <c r="D24" s="5" t="s">
        <v>139</v>
      </c>
      <c r="F24" s="59" t="s">
        <v>115</v>
      </c>
      <c r="G24" s="59" t="s">
        <v>471</v>
      </c>
      <c r="I24" s="5" t="s">
        <v>280</v>
      </c>
    </row>
    <row r="25" spans="1:9" s="5" customFormat="1" ht="30">
      <c r="A25" s="5" t="s">
        <v>64</v>
      </c>
      <c r="B25" s="5" t="s">
        <v>96</v>
      </c>
      <c r="D25" s="5" t="s">
        <v>140</v>
      </c>
      <c r="F25" s="59" t="s">
        <v>141</v>
      </c>
      <c r="G25" s="59" t="s">
        <v>473</v>
      </c>
      <c r="I25" s="5" t="s">
        <v>278</v>
      </c>
    </row>
    <row r="26" spans="1:9" s="5" customFormat="1">
      <c r="A26" s="5" t="s">
        <v>64</v>
      </c>
      <c r="B26" s="5" t="s">
        <v>164</v>
      </c>
      <c r="D26" s="5" t="s">
        <v>165</v>
      </c>
      <c r="F26" s="59" t="s">
        <v>157</v>
      </c>
      <c r="G26" s="59" t="s">
        <v>196</v>
      </c>
      <c r="I26" s="5" t="s">
        <v>279</v>
      </c>
    </row>
    <row r="27" spans="1:9">
      <c r="A27" s="5" t="s">
        <v>74</v>
      </c>
      <c r="B27" t="s">
        <v>30</v>
      </c>
      <c r="D27" t="s">
        <v>142</v>
      </c>
      <c r="F27" s="59" t="s">
        <v>115</v>
      </c>
      <c r="G27" s="59" t="s">
        <v>196</v>
      </c>
      <c r="I27" s="5" t="s">
        <v>279</v>
      </c>
    </row>
    <row r="28" spans="1:9">
      <c r="A28" s="5" t="s">
        <v>74</v>
      </c>
      <c r="B28" t="s">
        <v>75</v>
      </c>
      <c r="D28" t="s">
        <v>143</v>
      </c>
      <c r="F28" s="59" t="s">
        <v>144</v>
      </c>
      <c r="G28" s="59" t="s">
        <v>196</v>
      </c>
      <c r="I28" s="5" t="s">
        <v>279</v>
      </c>
    </row>
    <row r="29" spans="1:9" s="5" customFormat="1">
      <c r="A29" s="5" t="s">
        <v>74</v>
      </c>
      <c r="B29" s="5" t="s">
        <v>76</v>
      </c>
      <c r="D29" s="5" t="s">
        <v>145</v>
      </c>
      <c r="F29" s="59" t="s">
        <v>144</v>
      </c>
      <c r="G29" s="59" t="s">
        <v>196</v>
      </c>
      <c r="I29" s="5" t="s">
        <v>279</v>
      </c>
    </row>
    <row r="30" spans="1:9" s="5" customFormat="1">
      <c r="A30" s="5" t="s">
        <v>74</v>
      </c>
      <c r="B30" s="5" t="s">
        <v>82</v>
      </c>
      <c r="D30" s="5" t="s">
        <v>180</v>
      </c>
      <c r="F30" s="59" t="s">
        <v>115</v>
      </c>
      <c r="G30" s="59" t="s">
        <v>132</v>
      </c>
      <c r="I30" s="5" t="s">
        <v>279</v>
      </c>
    </row>
    <row r="31" spans="1:9" s="5" customFormat="1" ht="30">
      <c r="A31" s="5" t="s">
        <v>74</v>
      </c>
      <c r="B31" s="5" t="s">
        <v>81</v>
      </c>
      <c r="D31" s="5" t="s">
        <v>149</v>
      </c>
      <c r="F31" s="59" t="s">
        <v>146</v>
      </c>
      <c r="G31" s="59" t="s">
        <v>197</v>
      </c>
      <c r="I31" s="5" t="s">
        <v>279</v>
      </c>
    </row>
    <row r="32" spans="1:9">
      <c r="A32" s="5" t="s">
        <v>74</v>
      </c>
      <c r="B32" t="s">
        <v>83</v>
      </c>
      <c r="D32" t="s">
        <v>148</v>
      </c>
      <c r="F32" s="59" t="s">
        <v>147</v>
      </c>
      <c r="G32" s="59" t="s">
        <v>198</v>
      </c>
      <c r="I32" s="5" t="s">
        <v>279</v>
      </c>
    </row>
    <row r="33" spans="1:9" s="5" customFormat="1">
      <c r="A33" s="5" t="s">
        <v>74</v>
      </c>
      <c r="B33" s="5" t="s">
        <v>84</v>
      </c>
      <c r="D33" s="5" t="s">
        <v>150</v>
      </c>
      <c r="F33" s="59" t="s">
        <v>115</v>
      </c>
      <c r="G33" s="59" t="s">
        <v>199</v>
      </c>
      <c r="I33" s="5" t="s">
        <v>279</v>
      </c>
    </row>
    <row r="34" spans="1:9" s="5" customFormat="1" ht="45">
      <c r="A34" s="5" t="s">
        <v>74</v>
      </c>
      <c r="B34" s="5" t="s">
        <v>85</v>
      </c>
      <c r="D34" s="5" t="s">
        <v>151</v>
      </c>
      <c r="F34" s="59" t="s">
        <v>152</v>
      </c>
      <c r="G34" s="59" t="s">
        <v>200</v>
      </c>
      <c r="I34" s="5" t="s">
        <v>279</v>
      </c>
    </row>
    <row r="35" spans="1:9" s="5" customFormat="1">
      <c r="A35" s="5" t="s">
        <v>74</v>
      </c>
      <c r="B35" s="5" t="s">
        <v>86</v>
      </c>
      <c r="D35" s="5" t="s">
        <v>153</v>
      </c>
      <c r="F35" s="59" t="s">
        <v>154</v>
      </c>
      <c r="G35" s="59" t="s">
        <v>201</v>
      </c>
      <c r="I35" s="5" t="s">
        <v>279</v>
      </c>
    </row>
    <row r="36" spans="1:9" ht="45">
      <c r="A36" s="5" t="s">
        <v>63</v>
      </c>
      <c r="B36" t="s">
        <v>90</v>
      </c>
      <c r="D36" t="s">
        <v>155</v>
      </c>
      <c r="F36" s="59" t="s">
        <v>158</v>
      </c>
      <c r="G36" s="59" t="s">
        <v>202</v>
      </c>
      <c r="I36" s="5" t="s">
        <v>279</v>
      </c>
    </row>
    <row r="37" spans="1:9" s="5" customFormat="1">
      <c r="A37" s="5" t="s">
        <v>63</v>
      </c>
      <c r="B37" s="5" t="s">
        <v>91</v>
      </c>
      <c r="D37" s="5" t="s">
        <v>156</v>
      </c>
      <c r="F37" s="59" t="s">
        <v>157</v>
      </c>
      <c r="G37" s="59" t="s">
        <v>203</v>
      </c>
      <c r="I37" s="5" t="s">
        <v>279</v>
      </c>
    </row>
    <row r="38" spans="1:9" ht="30">
      <c r="A38" s="5" t="s">
        <v>63</v>
      </c>
      <c r="B38" t="s">
        <v>160</v>
      </c>
      <c r="D38" t="s">
        <v>161</v>
      </c>
      <c r="F38" s="59" t="s">
        <v>115</v>
      </c>
      <c r="G38" s="59" t="s">
        <v>204</v>
      </c>
      <c r="I38" s="5" t="s">
        <v>279</v>
      </c>
    </row>
    <row r="39" spans="1:9">
      <c r="A39" s="5" t="s">
        <v>63</v>
      </c>
      <c r="B39" t="s">
        <v>89</v>
      </c>
      <c r="D39" t="s">
        <v>162</v>
      </c>
      <c r="F39" s="59" t="s">
        <v>132</v>
      </c>
      <c r="G39" s="59" t="s">
        <v>132</v>
      </c>
      <c r="I39" s="5" t="s">
        <v>279</v>
      </c>
    </row>
    <row r="40" spans="1:9" ht="30">
      <c r="A40" s="5" t="s">
        <v>63</v>
      </c>
      <c r="B40" t="s">
        <v>92</v>
      </c>
      <c r="D40" t="s">
        <v>163</v>
      </c>
      <c r="F40" s="59" t="s">
        <v>130</v>
      </c>
      <c r="G40" s="59" t="s">
        <v>188</v>
      </c>
      <c r="H40" t="s">
        <v>205</v>
      </c>
      <c r="I40" s="5" t="s">
        <v>279</v>
      </c>
    </row>
    <row r="41" spans="1:9" ht="30">
      <c r="A41" s="5" t="s">
        <v>63</v>
      </c>
      <c r="B41" t="s">
        <v>93</v>
      </c>
      <c r="D41" s="5" t="s">
        <v>163</v>
      </c>
      <c r="F41" s="59" t="s">
        <v>130</v>
      </c>
      <c r="G41" s="59" t="s">
        <v>188</v>
      </c>
      <c r="H41" s="5" t="s">
        <v>205</v>
      </c>
      <c r="I41" s="5" t="s">
        <v>279</v>
      </c>
    </row>
    <row r="42" spans="1:9" ht="30">
      <c r="A42" s="5" t="s">
        <v>63</v>
      </c>
      <c r="B42" t="s">
        <v>87</v>
      </c>
      <c r="D42" t="s">
        <v>166</v>
      </c>
      <c r="F42" s="59" t="s">
        <v>130</v>
      </c>
      <c r="G42" s="59" t="s">
        <v>188</v>
      </c>
      <c r="H42" t="s">
        <v>206</v>
      </c>
      <c r="I42" s="5" t="s">
        <v>279</v>
      </c>
    </row>
    <row r="43" spans="1:9" s="5" customFormat="1" ht="30">
      <c r="A43" s="5" t="s">
        <v>63</v>
      </c>
      <c r="B43" s="5" t="s">
        <v>94</v>
      </c>
      <c r="D43" s="5" t="s">
        <v>167</v>
      </c>
      <c r="F43" s="59" t="s">
        <v>168</v>
      </c>
      <c r="G43" s="59"/>
      <c r="I43" s="5" t="s">
        <v>279</v>
      </c>
    </row>
    <row r="44" spans="1:9" ht="45">
      <c r="A44" s="5" t="s">
        <v>64</v>
      </c>
      <c r="B44" t="s">
        <v>31</v>
      </c>
      <c r="D44" t="s">
        <v>169</v>
      </c>
      <c r="F44" s="59" t="s">
        <v>170</v>
      </c>
      <c r="G44" s="59" t="s">
        <v>207</v>
      </c>
      <c r="I44" t="s">
        <v>278</v>
      </c>
    </row>
    <row r="45" spans="1:9" s="5" customFormat="1">
      <c r="A45" s="5" t="s">
        <v>77</v>
      </c>
      <c r="B45" s="5" t="s">
        <v>78</v>
      </c>
      <c r="C45" s="5" t="s">
        <v>171</v>
      </c>
      <c r="D45" s="5" t="s">
        <v>181</v>
      </c>
      <c r="F45" s="59" t="s">
        <v>172</v>
      </c>
      <c r="G45" s="59" t="s">
        <v>202</v>
      </c>
      <c r="I45" s="5" t="s">
        <v>278</v>
      </c>
    </row>
    <row r="46" spans="1:9" s="5" customFormat="1" ht="45">
      <c r="A46" s="5" t="s">
        <v>77</v>
      </c>
      <c r="B46" s="5" t="s">
        <v>78</v>
      </c>
      <c r="C46" s="5" t="s">
        <v>173</v>
      </c>
      <c r="D46" s="5" t="s">
        <v>174</v>
      </c>
      <c r="F46" s="59" t="s">
        <v>175</v>
      </c>
      <c r="G46" s="59" t="s">
        <v>208</v>
      </c>
      <c r="I46" s="5" t="s">
        <v>278</v>
      </c>
    </row>
    <row r="47" spans="1:9" s="5" customFormat="1" ht="45">
      <c r="A47" s="5" t="s">
        <v>77</v>
      </c>
      <c r="B47" s="5" t="s">
        <v>78</v>
      </c>
      <c r="C47" s="5" t="s">
        <v>176</v>
      </c>
      <c r="D47" s="5" t="s">
        <v>177</v>
      </c>
      <c r="F47" s="59" t="s">
        <v>178</v>
      </c>
      <c r="G47" s="59" t="s">
        <v>208</v>
      </c>
      <c r="I47" s="5" t="s">
        <v>278</v>
      </c>
    </row>
    <row r="48" spans="1:9" s="5" customFormat="1" ht="45">
      <c r="A48" s="5" t="s">
        <v>77</v>
      </c>
      <c r="B48" s="5" t="s">
        <v>79</v>
      </c>
      <c r="D48" s="5" t="s">
        <v>179</v>
      </c>
      <c r="F48" s="59" t="s">
        <v>178</v>
      </c>
      <c r="G48" s="59" t="s">
        <v>208</v>
      </c>
      <c r="I48" s="5" t="s">
        <v>278</v>
      </c>
    </row>
  </sheetData>
  <autoFilter ref="A1:H48"/>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200"/>
  <sheetViews>
    <sheetView showGridLines="0" zoomScaleNormal="100" zoomScalePageLayoutView="125" workbookViewId="0">
      <selection activeCell="B1" sqref="B1"/>
    </sheetView>
  </sheetViews>
  <sheetFormatPr defaultColWidth="8.85546875" defaultRowHeight="15"/>
  <cols>
    <col min="1" max="1" width="1" style="5" customWidth="1"/>
    <col min="2" max="2" width="9" style="5" customWidth="1"/>
    <col min="3" max="3" width="35.42578125" style="5" customWidth="1"/>
    <col min="4" max="4" width="59.28515625" style="5" customWidth="1"/>
    <col min="5" max="5" width="62.7109375" style="5" bestFit="1" customWidth="1"/>
    <col min="6" max="6" width="23.42578125" style="5" customWidth="1"/>
    <col min="7" max="9" width="29.42578125" style="5" customWidth="1"/>
    <col min="10" max="10" width="23.140625" style="5" customWidth="1"/>
    <col min="11" max="11" width="17.42578125" style="5" customWidth="1"/>
    <col min="12" max="12" width="26" style="5" customWidth="1"/>
    <col min="13" max="13" width="36" style="8" customWidth="1"/>
    <col min="14" max="17" width="26.28515625" style="5" customWidth="1"/>
    <col min="18" max="16384" width="8.85546875" style="5"/>
  </cols>
  <sheetData>
    <row r="1" spans="1:17" ht="5.25" customHeight="1" thickBot="1"/>
    <row r="2" spans="1:17" s="1" customFormat="1">
      <c r="A2" s="3"/>
      <c r="B2" s="132" t="s">
        <v>0</v>
      </c>
      <c r="C2" s="133"/>
      <c r="D2" s="134" t="s">
        <v>1</v>
      </c>
      <c r="E2" s="134" t="s">
        <v>300</v>
      </c>
      <c r="F2" s="133"/>
      <c r="G2" s="134" t="s">
        <v>3</v>
      </c>
      <c r="H2" s="134"/>
      <c r="I2" s="134"/>
      <c r="J2" s="134"/>
      <c r="K2" s="134"/>
      <c r="L2" s="134"/>
      <c r="M2" s="134"/>
      <c r="N2" s="134"/>
      <c r="O2" s="134"/>
      <c r="P2" s="134"/>
      <c r="Q2" s="134"/>
    </row>
    <row r="3" spans="1:17" s="1" customFormat="1" ht="15" customHeight="1">
      <c r="A3" s="3"/>
      <c r="B3" s="135" t="s">
        <v>4</v>
      </c>
      <c r="C3" s="130" t="s">
        <v>5</v>
      </c>
      <c r="D3" s="130"/>
      <c r="E3" s="130" t="s">
        <v>301</v>
      </c>
      <c r="F3" s="130" t="s">
        <v>302</v>
      </c>
      <c r="G3" s="130" t="s">
        <v>259</v>
      </c>
      <c r="H3" s="130" t="s">
        <v>37</v>
      </c>
      <c r="I3" s="130" t="s">
        <v>36</v>
      </c>
      <c r="J3" s="130" t="s">
        <v>2</v>
      </c>
      <c r="K3" s="130" t="s">
        <v>8</v>
      </c>
      <c r="L3" s="130" t="s">
        <v>6</v>
      </c>
      <c r="M3" s="130" t="s">
        <v>13</v>
      </c>
      <c r="N3" s="130" t="s">
        <v>9</v>
      </c>
      <c r="O3" s="130" t="s">
        <v>11</v>
      </c>
      <c r="P3" s="130" t="s">
        <v>10</v>
      </c>
      <c r="Q3" s="130" t="s">
        <v>12</v>
      </c>
    </row>
    <row r="4" spans="1:17" s="1" customFormat="1" ht="15.75" thickBot="1">
      <c r="A4" s="3"/>
      <c r="B4" s="136"/>
      <c r="C4" s="131"/>
      <c r="D4" s="131"/>
      <c r="E4" s="131"/>
      <c r="F4" s="131"/>
      <c r="G4" s="137"/>
      <c r="H4" s="137"/>
      <c r="I4" s="137"/>
      <c r="J4" s="137"/>
      <c r="K4" s="131"/>
      <c r="L4" s="131"/>
      <c r="M4" s="131"/>
      <c r="N4" s="131"/>
      <c r="O4" s="131"/>
      <c r="P4" s="131"/>
      <c r="Q4" s="131"/>
    </row>
    <row r="5" spans="1:17" s="6" customFormat="1" ht="5.25" customHeight="1" thickBot="1">
      <c r="D5" s="4"/>
      <c r="G5" s="4"/>
      <c r="H5" s="4"/>
      <c r="I5" s="4"/>
      <c r="J5" s="4"/>
      <c r="K5" s="7"/>
      <c r="M5" s="1"/>
    </row>
    <row r="6" spans="1:17" s="2" customFormat="1">
      <c r="B6" s="9"/>
      <c r="C6" s="10"/>
      <c r="D6" s="24"/>
      <c r="E6" s="24"/>
      <c r="F6" s="24"/>
      <c r="G6" s="11"/>
      <c r="H6" s="11"/>
      <c r="I6" s="11"/>
      <c r="J6" s="11"/>
      <c r="K6" s="11"/>
      <c r="L6" s="11"/>
      <c r="M6" s="25"/>
      <c r="N6" s="25"/>
      <c r="O6" s="20"/>
      <c r="P6" s="25"/>
      <c r="Q6" s="22"/>
    </row>
    <row r="7" spans="1:17" s="2" customFormat="1" ht="30">
      <c r="B7" s="52" t="s">
        <v>298</v>
      </c>
      <c r="C7" s="53" t="s">
        <v>299</v>
      </c>
      <c r="D7" s="54" t="s">
        <v>319</v>
      </c>
      <c r="E7" s="54" t="s">
        <v>304</v>
      </c>
      <c r="F7" s="54"/>
      <c r="G7" s="55"/>
      <c r="H7" s="55"/>
      <c r="I7" s="55"/>
      <c r="J7" s="55"/>
      <c r="K7" s="55"/>
      <c r="L7" s="55"/>
      <c r="M7" s="56"/>
      <c r="N7" s="56"/>
      <c r="O7" s="57"/>
      <c r="P7" s="56"/>
      <c r="Q7" s="58"/>
    </row>
    <row r="8" spans="1:17" s="2" customFormat="1" ht="30">
      <c r="B8" s="52" t="s">
        <v>298</v>
      </c>
      <c r="C8" s="53" t="s">
        <v>299</v>
      </c>
      <c r="D8" s="54" t="s">
        <v>319</v>
      </c>
      <c r="E8" s="54" t="s">
        <v>305</v>
      </c>
      <c r="F8" s="54"/>
      <c r="G8" s="55"/>
      <c r="H8" s="55"/>
      <c r="I8" s="55"/>
      <c r="J8" s="55"/>
      <c r="K8" s="55"/>
      <c r="L8" s="55"/>
      <c r="M8" s="56"/>
      <c r="N8" s="56"/>
      <c r="O8" s="57"/>
      <c r="P8" s="56"/>
      <c r="Q8" s="58"/>
    </row>
    <row r="9" spans="1:17" s="2" customFormat="1" ht="30">
      <c r="B9" s="52" t="s">
        <v>298</v>
      </c>
      <c r="C9" s="53" t="s">
        <v>299</v>
      </c>
      <c r="D9" s="54" t="s">
        <v>319</v>
      </c>
      <c r="E9" s="54" t="s">
        <v>306</v>
      </c>
      <c r="F9" s="54"/>
      <c r="G9" s="55"/>
      <c r="H9" s="55"/>
      <c r="I9" s="55"/>
      <c r="J9" s="55"/>
      <c r="K9" s="55"/>
      <c r="L9" s="55"/>
      <c r="M9" s="56"/>
      <c r="N9" s="56"/>
      <c r="O9" s="57"/>
      <c r="P9" s="56"/>
      <c r="Q9" s="58"/>
    </row>
    <row r="10" spans="1:17" s="2" customFormat="1" ht="30">
      <c r="B10" s="52" t="s">
        <v>298</v>
      </c>
      <c r="C10" s="53" t="s">
        <v>299</v>
      </c>
      <c r="D10" s="54" t="s">
        <v>319</v>
      </c>
      <c r="E10" s="54" t="s">
        <v>307</v>
      </c>
      <c r="F10" s="54"/>
      <c r="G10" s="55"/>
      <c r="H10" s="55"/>
      <c r="I10" s="55"/>
      <c r="J10" s="55"/>
      <c r="K10" s="55"/>
      <c r="L10" s="55"/>
      <c r="M10" s="56"/>
      <c r="N10" s="56"/>
      <c r="O10" s="57"/>
      <c r="P10" s="56"/>
      <c r="Q10" s="58"/>
    </row>
    <row r="11" spans="1:17" s="2" customFormat="1" ht="30">
      <c r="B11" s="52" t="s">
        <v>298</v>
      </c>
      <c r="C11" s="53" t="s">
        <v>299</v>
      </c>
      <c r="D11" s="54" t="s">
        <v>319</v>
      </c>
      <c r="E11" s="54" t="s">
        <v>308</v>
      </c>
      <c r="F11" s="54"/>
      <c r="G11" s="55"/>
      <c r="H11" s="55"/>
      <c r="I11" s="55"/>
      <c r="J11" s="55"/>
      <c r="K11" s="55"/>
      <c r="L11" s="55"/>
      <c r="M11" s="56"/>
      <c r="N11" s="56"/>
      <c r="O11" s="57"/>
      <c r="P11" s="56"/>
      <c r="Q11" s="58"/>
    </row>
    <row r="12" spans="1:17" s="2" customFormat="1" ht="30">
      <c r="B12" s="52" t="s">
        <v>298</v>
      </c>
      <c r="C12" s="53" t="s">
        <v>299</v>
      </c>
      <c r="D12" s="54" t="s">
        <v>319</v>
      </c>
      <c r="E12" s="54" t="s">
        <v>309</v>
      </c>
      <c r="F12" s="54"/>
      <c r="G12" s="55"/>
      <c r="H12" s="55"/>
      <c r="I12" s="55"/>
      <c r="J12" s="55"/>
      <c r="K12" s="55"/>
      <c r="L12" s="55"/>
      <c r="M12" s="56"/>
      <c r="N12" s="56"/>
      <c r="O12" s="57"/>
      <c r="P12" s="56"/>
      <c r="Q12" s="58"/>
    </row>
    <row r="13" spans="1:17" s="2" customFormat="1" ht="30">
      <c r="B13" s="52" t="s">
        <v>298</v>
      </c>
      <c r="C13" s="53" t="s">
        <v>299</v>
      </c>
      <c r="D13" s="54" t="s">
        <v>319</v>
      </c>
      <c r="E13" s="54" t="s">
        <v>310</v>
      </c>
      <c r="F13" s="54"/>
      <c r="G13" s="55"/>
      <c r="H13" s="55"/>
      <c r="I13" s="55"/>
      <c r="J13" s="55"/>
      <c r="K13" s="55"/>
      <c r="L13" s="55"/>
      <c r="M13" s="56"/>
      <c r="N13" s="56"/>
      <c r="O13" s="57"/>
      <c r="P13" s="56"/>
      <c r="Q13" s="58"/>
    </row>
    <row r="14" spans="1:17" s="2" customFormat="1" ht="30">
      <c r="B14" s="52" t="s">
        <v>298</v>
      </c>
      <c r="C14" s="53" t="s">
        <v>299</v>
      </c>
      <c r="D14" s="54" t="s">
        <v>319</v>
      </c>
      <c r="E14" s="54" t="s">
        <v>311</v>
      </c>
      <c r="F14" s="54"/>
      <c r="G14" s="55"/>
      <c r="H14" s="55"/>
      <c r="I14" s="55"/>
      <c r="J14" s="55"/>
      <c r="K14" s="55"/>
      <c r="L14" s="55"/>
      <c r="M14" s="56"/>
      <c r="N14" s="56"/>
      <c r="O14" s="57"/>
      <c r="P14" s="56"/>
      <c r="Q14" s="58"/>
    </row>
    <row r="15" spans="1:17" s="2" customFormat="1" ht="30">
      <c r="B15" s="52" t="s">
        <v>298</v>
      </c>
      <c r="C15" s="53" t="s">
        <v>299</v>
      </c>
      <c r="D15" s="54" t="s">
        <v>319</v>
      </c>
      <c r="E15" s="54" t="s">
        <v>311</v>
      </c>
      <c r="F15" s="54"/>
      <c r="G15" s="55"/>
      <c r="H15" s="55"/>
      <c r="I15" s="55"/>
      <c r="J15" s="55"/>
      <c r="K15" s="55"/>
      <c r="L15" s="55"/>
      <c r="M15" s="56"/>
      <c r="N15" s="56"/>
      <c r="O15" s="57"/>
      <c r="P15" s="56"/>
      <c r="Q15" s="58"/>
    </row>
    <row r="16" spans="1:17" s="2" customFormat="1" ht="30">
      <c r="B16" s="52" t="s">
        <v>298</v>
      </c>
      <c r="C16" s="53" t="s">
        <v>299</v>
      </c>
      <c r="D16" s="54" t="s">
        <v>319</v>
      </c>
      <c r="E16" s="54" t="s">
        <v>312</v>
      </c>
      <c r="F16" s="54"/>
      <c r="G16" s="55"/>
      <c r="H16" s="55"/>
      <c r="I16" s="55"/>
      <c r="J16" s="55"/>
      <c r="K16" s="55"/>
      <c r="L16" s="55"/>
      <c r="M16" s="56"/>
      <c r="N16" s="56"/>
      <c r="O16" s="57"/>
      <c r="P16" s="56"/>
      <c r="Q16" s="58"/>
    </row>
    <row r="17" spans="2:17" s="2" customFormat="1" ht="30">
      <c r="B17" s="52" t="s">
        <v>298</v>
      </c>
      <c r="C17" s="53" t="s">
        <v>299</v>
      </c>
      <c r="D17" s="54" t="s">
        <v>319</v>
      </c>
      <c r="E17" s="54" t="s">
        <v>313</v>
      </c>
      <c r="F17" s="54"/>
      <c r="G17" s="55"/>
      <c r="H17" s="55"/>
      <c r="I17" s="55"/>
      <c r="J17" s="55"/>
      <c r="K17" s="55"/>
      <c r="L17" s="55"/>
      <c r="M17" s="56"/>
      <c r="N17" s="56"/>
      <c r="O17" s="57"/>
      <c r="P17" s="56"/>
      <c r="Q17" s="58"/>
    </row>
    <row r="18" spans="2:17" s="2" customFormat="1" ht="30">
      <c r="B18" s="52" t="s">
        <v>298</v>
      </c>
      <c r="C18" s="53" t="s">
        <v>299</v>
      </c>
      <c r="D18" s="54" t="s">
        <v>319</v>
      </c>
      <c r="E18" s="54" t="s">
        <v>313</v>
      </c>
      <c r="F18" s="54"/>
      <c r="G18" s="55"/>
      <c r="H18" s="55"/>
      <c r="I18" s="55"/>
      <c r="J18" s="55"/>
      <c r="K18" s="55"/>
      <c r="L18" s="55"/>
      <c r="M18" s="56"/>
      <c r="N18" s="56"/>
      <c r="O18" s="57"/>
      <c r="P18" s="56"/>
      <c r="Q18" s="58"/>
    </row>
    <row r="19" spans="2:17" s="2" customFormat="1" ht="30">
      <c r="B19" s="52" t="s">
        <v>298</v>
      </c>
      <c r="C19" s="53" t="s">
        <v>299</v>
      </c>
      <c r="D19" s="54" t="s">
        <v>319</v>
      </c>
      <c r="E19" s="54" t="s">
        <v>314</v>
      </c>
      <c r="F19" s="54"/>
      <c r="G19" s="55"/>
      <c r="H19" s="55"/>
      <c r="I19" s="55"/>
      <c r="J19" s="55"/>
      <c r="K19" s="55"/>
      <c r="L19" s="55"/>
      <c r="M19" s="56"/>
      <c r="N19" s="56"/>
      <c r="O19" s="57"/>
      <c r="P19" s="56"/>
      <c r="Q19" s="58"/>
    </row>
    <row r="20" spans="2:17" s="2" customFormat="1" ht="30">
      <c r="B20" s="52" t="s">
        <v>298</v>
      </c>
      <c r="C20" s="53" t="s">
        <v>299</v>
      </c>
      <c r="D20" s="54" t="s">
        <v>319</v>
      </c>
      <c r="E20" s="54" t="s">
        <v>315</v>
      </c>
      <c r="F20" s="54"/>
      <c r="G20" s="55"/>
      <c r="H20" s="55"/>
      <c r="I20" s="55"/>
      <c r="J20" s="55"/>
      <c r="K20" s="55"/>
      <c r="L20" s="55"/>
      <c r="M20" s="56"/>
      <c r="N20" s="56"/>
      <c r="O20" s="57"/>
      <c r="P20" s="56"/>
      <c r="Q20" s="58"/>
    </row>
    <row r="21" spans="2:17" s="2" customFormat="1" ht="30">
      <c r="B21" s="52" t="s">
        <v>298</v>
      </c>
      <c r="C21" s="53" t="s">
        <v>299</v>
      </c>
      <c r="D21" s="54" t="s">
        <v>319</v>
      </c>
      <c r="E21" s="54" t="s">
        <v>316</v>
      </c>
      <c r="F21" s="54"/>
      <c r="G21" s="55"/>
      <c r="H21" s="55"/>
      <c r="I21" s="55"/>
      <c r="J21" s="55"/>
      <c r="K21" s="55"/>
      <c r="L21" s="55"/>
      <c r="M21" s="56"/>
      <c r="N21" s="56"/>
      <c r="O21" s="57"/>
      <c r="P21" s="56"/>
      <c r="Q21" s="58"/>
    </row>
    <row r="22" spans="2:17" s="2" customFormat="1" ht="30">
      <c r="B22" s="52" t="s">
        <v>298</v>
      </c>
      <c r="C22" s="53" t="s">
        <v>317</v>
      </c>
      <c r="D22" s="54" t="s">
        <v>318</v>
      </c>
      <c r="E22" s="54" t="s">
        <v>320</v>
      </c>
      <c r="F22" s="54"/>
      <c r="G22" s="55"/>
      <c r="H22" s="55"/>
      <c r="I22" s="55"/>
      <c r="J22" s="55"/>
      <c r="K22" s="55"/>
      <c r="L22" s="55"/>
      <c r="M22" s="56"/>
      <c r="N22" s="56"/>
      <c r="O22" s="57"/>
      <c r="P22" s="56"/>
      <c r="Q22" s="58"/>
    </row>
    <row r="23" spans="2:17" s="2" customFormat="1" ht="30">
      <c r="B23" s="52" t="s">
        <v>298</v>
      </c>
      <c r="C23" s="53" t="s">
        <v>317</v>
      </c>
      <c r="D23" s="54" t="s">
        <v>318</v>
      </c>
      <c r="E23" s="54" t="s">
        <v>321</v>
      </c>
      <c r="F23" s="54"/>
      <c r="G23" s="55"/>
      <c r="H23" s="55"/>
      <c r="I23" s="55"/>
      <c r="J23" s="55"/>
      <c r="K23" s="55"/>
      <c r="L23" s="55"/>
      <c r="M23" s="56"/>
      <c r="N23" s="56"/>
      <c r="O23" s="57"/>
      <c r="P23" s="56"/>
      <c r="Q23" s="58"/>
    </row>
    <row r="24" spans="2:17" s="2" customFormat="1" ht="30">
      <c r="B24" s="52" t="s">
        <v>298</v>
      </c>
      <c r="C24" s="53" t="s">
        <v>317</v>
      </c>
      <c r="D24" s="54" t="s">
        <v>318</v>
      </c>
      <c r="E24" s="54" t="s">
        <v>322</v>
      </c>
      <c r="F24" s="54"/>
      <c r="G24" s="55"/>
      <c r="H24" s="55"/>
      <c r="I24" s="55"/>
      <c r="J24" s="55"/>
      <c r="K24" s="55"/>
      <c r="L24" s="55"/>
      <c r="M24" s="56"/>
      <c r="N24" s="56"/>
      <c r="O24" s="57"/>
      <c r="P24" s="56"/>
      <c r="Q24" s="58"/>
    </row>
    <row r="25" spans="2:17" s="2" customFormat="1" ht="30">
      <c r="B25" s="52" t="s">
        <v>298</v>
      </c>
      <c r="C25" s="53" t="s">
        <v>317</v>
      </c>
      <c r="D25" s="54" t="s">
        <v>318</v>
      </c>
      <c r="E25" s="54" t="s">
        <v>323</v>
      </c>
      <c r="F25" s="54"/>
      <c r="G25" s="55"/>
      <c r="H25" s="55"/>
      <c r="I25" s="55"/>
      <c r="J25" s="55"/>
      <c r="K25" s="55"/>
      <c r="L25" s="55"/>
      <c r="M25" s="56"/>
      <c r="N25" s="56"/>
      <c r="O25" s="57"/>
      <c r="P25" s="56"/>
      <c r="Q25" s="58"/>
    </row>
    <row r="26" spans="2:17" s="2" customFormat="1" ht="30">
      <c r="B26" s="52" t="s">
        <v>298</v>
      </c>
      <c r="C26" s="53" t="s">
        <v>317</v>
      </c>
      <c r="D26" s="54" t="s">
        <v>318</v>
      </c>
      <c r="E26" s="54" t="s">
        <v>324</v>
      </c>
      <c r="F26" s="54"/>
      <c r="G26" s="55"/>
      <c r="H26" s="55"/>
      <c r="I26" s="55"/>
      <c r="J26" s="55"/>
      <c r="K26" s="55"/>
      <c r="L26" s="55"/>
      <c r="M26" s="56"/>
      <c r="N26" s="56"/>
      <c r="O26" s="57"/>
      <c r="P26" s="56"/>
      <c r="Q26" s="58"/>
    </row>
    <row r="27" spans="2:17" s="2" customFormat="1" ht="30">
      <c r="B27" s="52" t="s">
        <v>298</v>
      </c>
      <c r="C27" s="53" t="s">
        <v>317</v>
      </c>
      <c r="D27" s="54" t="s">
        <v>318</v>
      </c>
      <c r="E27" s="54" t="s">
        <v>325</v>
      </c>
      <c r="F27" s="54"/>
      <c r="G27" s="55"/>
      <c r="H27" s="55"/>
      <c r="I27" s="55"/>
      <c r="J27" s="55"/>
      <c r="K27" s="55"/>
      <c r="L27" s="55"/>
      <c r="M27" s="56"/>
      <c r="N27" s="56"/>
      <c r="O27" s="57"/>
      <c r="P27" s="56"/>
      <c r="Q27" s="58"/>
    </row>
    <row r="28" spans="2:17" s="2" customFormat="1" ht="30">
      <c r="B28" s="52" t="s">
        <v>298</v>
      </c>
      <c r="C28" s="53" t="s">
        <v>317</v>
      </c>
      <c r="D28" s="54" t="s">
        <v>318</v>
      </c>
      <c r="E28" s="54" t="s">
        <v>326</v>
      </c>
      <c r="F28" s="54"/>
      <c r="G28" s="55"/>
      <c r="H28" s="55"/>
      <c r="I28" s="55"/>
      <c r="J28" s="55"/>
      <c r="K28" s="55"/>
      <c r="L28" s="55"/>
      <c r="M28" s="56"/>
      <c r="N28" s="56"/>
      <c r="O28" s="57"/>
      <c r="P28" s="56"/>
      <c r="Q28" s="58"/>
    </row>
    <row r="29" spans="2:17" s="2" customFormat="1" ht="30">
      <c r="B29" s="52" t="s">
        <v>298</v>
      </c>
      <c r="C29" s="53" t="s">
        <v>317</v>
      </c>
      <c r="D29" s="54" t="s">
        <v>318</v>
      </c>
      <c r="E29" s="54" t="s">
        <v>327</v>
      </c>
      <c r="F29" s="54"/>
      <c r="G29" s="55"/>
      <c r="H29" s="55"/>
      <c r="I29" s="55"/>
      <c r="J29" s="55"/>
      <c r="K29" s="55"/>
      <c r="L29" s="55"/>
      <c r="M29" s="56"/>
      <c r="N29" s="56"/>
      <c r="O29" s="57"/>
      <c r="P29" s="56"/>
      <c r="Q29" s="58"/>
    </row>
    <row r="30" spans="2:17" s="2" customFormat="1" ht="30">
      <c r="B30" s="52" t="s">
        <v>298</v>
      </c>
      <c r="C30" s="53" t="s">
        <v>317</v>
      </c>
      <c r="D30" s="54" t="s">
        <v>318</v>
      </c>
      <c r="E30" s="54" t="s">
        <v>328</v>
      </c>
      <c r="F30" s="54"/>
      <c r="G30" s="55"/>
      <c r="H30" s="55"/>
      <c r="I30" s="55"/>
      <c r="J30" s="55"/>
      <c r="K30" s="55"/>
      <c r="L30" s="55"/>
      <c r="M30" s="56"/>
      <c r="N30" s="56"/>
      <c r="O30" s="57"/>
      <c r="P30" s="56"/>
      <c r="Q30" s="58"/>
    </row>
    <row r="31" spans="2:17" s="2" customFormat="1" ht="30">
      <c r="B31" s="52" t="s">
        <v>298</v>
      </c>
      <c r="C31" s="53" t="s">
        <v>317</v>
      </c>
      <c r="D31" s="54" t="s">
        <v>318</v>
      </c>
      <c r="E31" s="54" t="s">
        <v>329</v>
      </c>
      <c r="F31" s="54"/>
      <c r="G31" s="55"/>
      <c r="H31" s="55"/>
      <c r="I31" s="55"/>
      <c r="J31" s="55"/>
      <c r="K31" s="55"/>
      <c r="L31" s="55"/>
      <c r="M31" s="56"/>
      <c r="N31" s="56"/>
      <c r="O31" s="57"/>
      <c r="P31" s="56"/>
      <c r="Q31" s="58"/>
    </row>
    <row r="32" spans="2:17" s="2" customFormat="1" ht="30">
      <c r="B32" s="52" t="s">
        <v>298</v>
      </c>
      <c r="C32" s="53" t="s">
        <v>317</v>
      </c>
      <c r="D32" s="54" t="s">
        <v>318</v>
      </c>
      <c r="E32" s="54" t="s">
        <v>330</v>
      </c>
      <c r="F32" s="54"/>
      <c r="G32" s="55"/>
      <c r="H32" s="55"/>
      <c r="I32" s="55"/>
      <c r="J32" s="55"/>
      <c r="K32" s="55"/>
      <c r="L32" s="55"/>
      <c r="M32" s="56"/>
      <c r="N32" s="56"/>
      <c r="O32" s="57"/>
      <c r="P32" s="56"/>
      <c r="Q32" s="58"/>
    </row>
    <row r="33" spans="2:17" s="2" customFormat="1" ht="30">
      <c r="B33" s="52" t="s">
        <v>298</v>
      </c>
      <c r="C33" s="53" t="s">
        <v>317</v>
      </c>
      <c r="D33" s="54" t="s">
        <v>318</v>
      </c>
      <c r="E33" s="54" t="s">
        <v>331</v>
      </c>
      <c r="F33" s="54"/>
      <c r="G33" s="55"/>
      <c r="H33" s="55"/>
      <c r="I33" s="55"/>
      <c r="J33" s="55"/>
      <c r="K33" s="55"/>
      <c r="L33" s="55"/>
      <c r="M33" s="56"/>
      <c r="N33" s="56"/>
      <c r="O33" s="57"/>
      <c r="P33" s="56"/>
      <c r="Q33" s="58"/>
    </row>
    <row r="34" spans="2:17" s="2" customFormat="1" ht="30">
      <c r="B34" s="52" t="s">
        <v>298</v>
      </c>
      <c r="C34" s="53" t="s">
        <v>317</v>
      </c>
      <c r="D34" s="54" t="s">
        <v>318</v>
      </c>
      <c r="E34" s="54" t="s">
        <v>332</v>
      </c>
      <c r="F34" s="54"/>
      <c r="G34" s="55"/>
      <c r="H34" s="55"/>
      <c r="I34" s="55"/>
      <c r="J34" s="55"/>
      <c r="K34" s="55"/>
      <c r="L34" s="55"/>
      <c r="M34" s="56"/>
      <c r="N34" s="56"/>
      <c r="O34" s="57"/>
      <c r="P34" s="56"/>
      <c r="Q34" s="58"/>
    </row>
    <row r="35" spans="2:17" s="2" customFormat="1" ht="30">
      <c r="B35" s="52" t="s">
        <v>298</v>
      </c>
      <c r="C35" s="53" t="s">
        <v>317</v>
      </c>
      <c r="D35" s="54" t="s">
        <v>318</v>
      </c>
      <c r="E35" s="54" t="s">
        <v>333</v>
      </c>
      <c r="F35" s="54"/>
      <c r="G35" s="55"/>
      <c r="H35" s="55"/>
      <c r="I35" s="55"/>
      <c r="J35" s="55"/>
      <c r="K35" s="55"/>
      <c r="L35" s="55"/>
      <c r="M35" s="56"/>
      <c r="N35" s="56"/>
      <c r="O35" s="57"/>
      <c r="P35" s="56"/>
      <c r="Q35" s="58"/>
    </row>
    <row r="36" spans="2:17" s="2" customFormat="1" ht="30">
      <c r="B36" s="52" t="s">
        <v>298</v>
      </c>
      <c r="C36" s="53" t="s">
        <v>317</v>
      </c>
      <c r="D36" s="54" t="s">
        <v>318</v>
      </c>
      <c r="E36" s="54" t="s">
        <v>334</v>
      </c>
      <c r="F36" s="54"/>
      <c r="G36" s="55"/>
      <c r="H36" s="55"/>
      <c r="I36" s="55"/>
      <c r="J36" s="55"/>
      <c r="K36" s="55"/>
      <c r="L36" s="55"/>
      <c r="M36" s="56"/>
      <c r="N36" s="56"/>
      <c r="O36" s="57"/>
      <c r="P36" s="56"/>
      <c r="Q36" s="58"/>
    </row>
    <row r="37" spans="2:17" s="2" customFormat="1" ht="30">
      <c r="B37" s="52" t="s">
        <v>298</v>
      </c>
      <c r="C37" s="53" t="s">
        <v>317</v>
      </c>
      <c r="D37" s="54" t="s">
        <v>318</v>
      </c>
      <c r="E37" s="54" t="s">
        <v>335</v>
      </c>
      <c r="F37" s="54"/>
      <c r="G37" s="55"/>
      <c r="H37" s="55"/>
      <c r="I37" s="55"/>
      <c r="J37" s="55"/>
      <c r="K37" s="55"/>
      <c r="L37" s="55"/>
      <c r="M37" s="56"/>
      <c r="N37" s="56"/>
      <c r="O37" s="57"/>
      <c r="P37" s="56"/>
      <c r="Q37" s="58"/>
    </row>
    <row r="38" spans="2:17" s="2" customFormat="1" ht="30">
      <c r="B38" s="52" t="s">
        <v>298</v>
      </c>
      <c r="C38" s="53" t="s">
        <v>317</v>
      </c>
      <c r="D38" s="54" t="s">
        <v>318</v>
      </c>
      <c r="E38" s="54" t="s">
        <v>336</v>
      </c>
      <c r="F38" s="54"/>
      <c r="G38" s="55"/>
      <c r="H38" s="55"/>
      <c r="I38" s="55"/>
      <c r="J38" s="55"/>
      <c r="K38" s="55"/>
      <c r="L38" s="55"/>
      <c r="M38" s="56"/>
      <c r="N38" s="56"/>
      <c r="O38" s="57"/>
      <c r="P38" s="56"/>
      <c r="Q38" s="58"/>
    </row>
    <row r="39" spans="2:17" s="2" customFormat="1" ht="30">
      <c r="B39" s="52" t="s">
        <v>298</v>
      </c>
      <c r="C39" s="53" t="s">
        <v>317</v>
      </c>
      <c r="D39" s="54" t="s">
        <v>318</v>
      </c>
      <c r="E39" s="54" t="s">
        <v>337</v>
      </c>
      <c r="F39" s="54"/>
      <c r="G39" s="55"/>
      <c r="H39" s="55"/>
      <c r="I39" s="55"/>
      <c r="J39" s="55"/>
      <c r="K39" s="55"/>
      <c r="L39" s="55"/>
      <c r="M39" s="56"/>
      <c r="N39" s="56"/>
      <c r="O39" s="57"/>
      <c r="P39" s="56"/>
      <c r="Q39" s="58"/>
    </row>
    <row r="40" spans="2:17" s="2" customFormat="1" ht="30">
      <c r="B40" s="52" t="s">
        <v>298</v>
      </c>
      <c r="C40" s="53" t="s">
        <v>317</v>
      </c>
      <c r="D40" s="54" t="s">
        <v>318</v>
      </c>
      <c r="E40" s="54" t="s">
        <v>338</v>
      </c>
      <c r="F40" s="54"/>
      <c r="G40" s="55"/>
      <c r="H40" s="55"/>
      <c r="I40" s="55"/>
      <c r="J40" s="55"/>
      <c r="K40" s="55"/>
      <c r="L40" s="55"/>
      <c r="M40" s="56"/>
      <c r="N40" s="56"/>
      <c r="O40" s="57"/>
      <c r="P40" s="56"/>
      <c r="Q40" s="58"/>
    </row>
    <row r="41" spans="2:17" s="2" customFormat="1" ht="30">
      <c r="B41" s="52" t="s">
        <v>298</v>
      </c>
      <c r="C41" s="53" t="s">
        <v>317</v>
      </c>
      <c r="D41" s="54" t="s">
        <v>318</v>
      </c>
      <c r="E41" s="54" t="s">
        <v>339</v>
      </c>
      <c r="F41" s="54"/>
      <c r="G41" s="55"/>
      <c r="H41" s="55"/>
      <c r="I41" s="55"/>
      <c r="J41" s="55"/>
      <c r="K41" s="55"/>
      <c r="L41" s="55"/>
      <c r="M41" s="56"/>
      <c r="N41" s="56"/>
      <c r="O41" s="57"/>
      <c r="P41" s="56"/>
      <c r="Q41" s="58"/>
    </row>
    <row r="42" spans="2:17" s="2" customFormat="1" ht="30">
      <c r="B42" s="52" t="s">
        <v>298</v>
      </c>
      <c r="C42" s="53" t="s">
        <v>317</v>
      </c>
      <c r="D42" s="54" t="s">
        <v>318</v>
      </c>
      <c r="E42" s="54" t="s">
        <v>340</v>
      </c>
      <c r="F42" s="54"/>
      <c r="G42" s="55"/>
      <c r="H42" s="55"/>
      <c r="I42" s="55"/>
      <c r="J42" s="55"/>
      <c r="K42" s="55"/>
      <c r="L42" s="55"/>
      <c r="M42" s="56"/>
      <c r="N42" s="56"/>
      <c r="O42" s="57"/>
      <c r="P42" s="56"/>
      <c r="Q42" s="58"/>
    </row>
    <row r="43" spans="2:17" s="2" customFormat="1" ht="30">
      <c r="B43" s="52" t="s">
        <v>298</v>
      </c>
      <c r="C43" s="53" t="s">
        <v>317</v>
      </c>
      <c r="D43" s="54" t="s">
        <v>318</v>
      </c>
      <c r="E43" s="54" t="s">
        <v>341</v>
      </c>
      <c r="F43" s="54"/>
      <c r="G43" s="55"/>
      <c r="H43" s="55"/>
      <c r="I43" s="55"/>
      <c r="J43" s="55"/>
      <c r="K43" s="55"/>
      <c r="L43" s="55"/>
      <c r="M43" s="56"/>
      <c r="N43" s="56"/>
      <c r="O43" s="57"/>
      <c r="P43" s="56"/>
      <c r="Q43" s="58"/>
    </row>
    <row r="44" spans="2:17" s="2" customFormat="1" ht="30">
      <c r="B44" s="52" t="s">
        <v>298</v>
      </c>
      <c r="C44" s="53" t="s">
        <v>317</v>
      </c>
      <c r="D44" s="54" t="s">
        <v>318</v>
      </c>
      <c r="E44" s="54" t="s">
        <v>342</v>
      </c>
      <c r="F44" s="54"/>
      <c r="G44" s="55"/>
      <c r="H44" s="55"/>
      <c r="I44" s="55"/>
      <c r="J44" s="55"/>
      <c r="K44" s="55"/>
      <c r="L44" s="55"/>
      <c r="M44" s="56"/>
      <c r="N44" s="56"/>
      <c r="O44" s="57"/>
      <c r="P44" s="56"/>
      <c r="Q44" s="58"/>
    </row>
    <row r="45" spans="2:17" s="2" customFormat="1" ht="30">
      <c r="B45" s="52" t="s">
        <v>298</v>
      </c>
      <c r="C45" s="53" t="s">
        <v>317</v>
      </c>
      <c r="D45" s="54" t="s">
        <v>318</v>
      </c>
      <c r="E45" s="54" t="s">
        <v>343</v>
      </c>
      <c r="F45" s="14"/>
      <c r="G45" s="15"/>
      <c r="H45" s="15"/>
      <c r="I45" s="15"/>
      <c r="J45" s="15"/>
      <c r="K45" s="15"/>
      <c r="L45" s="15"/>
      <c r="M45" s="15"/>
      <c r="N45" s="21"/>
      <c r="O45" s="21"/>
      <c r="P45" s="21"/>
      <c r="Q45" s="23"/>
    </row>
    <row r="46" spans="2:17" s="2" customFormat="1" ht="30">
      <c r="B46" s="52" t="s">
        <v>298</v>
      </c>
      <c r="C46" s="53" t="s">
        <v>317</v>
      </c>
      <c r="D46" s="54" t="s">
        <v>318</v>
      </c>
      <c r="E46" s="54" t="s">
        <v>344</v>
      </c>
      <c r="F46" s="14"/>
      <c r="G46" s="15"/>
      <c r="H46" s="15"/>
      <c r="I46" s="15"/>
      <c r="J46" s="15"/>
      <c r="K46" s="15"/>
      <c r="L46" s="15"/>
      <c r="M46" s="15"/>
      <c r="N46" s="21"/>
      <c r="O46" s="18"/>
      <c r="P46" s="18"/>
      <c r="Q46" s="23"/>
    </row>
    <row r="47" spans="2:17" s="2" customFormat="1" ht="30">
      <c r="B47" s="52" t="s">
        <v>298</v>
      </c>
      <c r="C47" s="53" t="s">
        <v>317</v>
      </c>
      <c r="D47" s="54" t="s">
        <v>318</v>
      </c>
      <c r="E47" s="54" t="s">
        <v>345</v>
      </c>
      <c r="F47" s="14"/>
      <c r="G47" s="15"/>
      <c r="H47" s="15"/>
      <c r="I47" s="15"/>
      <c r="J47" s="15"/>
      <c r="K47" s="15"/>
      <c r="L47" s="15"/>
      <c r="M47" s="15"/>
      <c r="N47" s="21"/>
      <c r="O47" s="18"/>
      <c r="P47" s="18"/>
      <c r="Q47" s="23"/>
    </row>
    <row r="48" spans="2:17" s="2" customFormat="1" ht="30">
      <c r="B48" s="52" t="s">
        <v>298</v>
      </c>
      <c r="C48" s="53" t="s">
        <v>317</v>
      </c>
      <c r="D48" s="54" t="s">
        <v>318</v>
      </c>
      <c r="E48" s="54" t="s">
        <v>346</v>
      </c>
      <c r="F48" s="17"/>
      <c r="G48" s="15"/>
      <c r="H48" s="15"/>
      <c r="I48" s="15"/>
      <c r="J48" s="15"/>
      <c r="K48" s="15"/>
      <c r="L48" s="15"/>
      <c r="M48" s="16"/>
      <c r="N48" s="16"/>
      <c r="O48" s="18"/>
      <c r="P48" s="16"/>
      <c r="Q48" s="19"/>
    </row>
    <row r="49" spans="2:17" ht="30">
      <c r="B49" s="52" t="s">
        <v>298</v>
      </c>
      <c r="C49" s="53" t="s">
        <v>317</v>
      </c>
      <c r="D49" s="54" t="s">
        <v>318</v>
      </c>
      <c r="E49" s="54" t="s">
        <v>347</v>
      </c>
      <c r="F49" s="17"/>
      <c r="G49" s="15"/>
      <c r="H49" s="15"/>
      <c r="I49" s="15"/>
      <c r="J49" s="15"/>
      <c r="K49" s="15"/>
      <c r="L49" s="15"/>
      <c r="M49" s="16"/>
      <c r="N49" s="16"/>
      <c r="O49" s="18"/>
      <c r="P49" s="16"/>
      <c r="Q49" s="19"/>
    </row>
    <row r="50" spans="2:17" ht="30">
      <c r="B50" s="52" t="s">
        <v>298</v>
      </c>
      <c r="C50" s="53" t="s">
        <v>348</v>
      </c>
      <c r="D50" s="54" t="s">
        <v>360</v>
      </c>
      <c r="E50" s="54" t="s">
        <v>350</v>
      </c>
      <c r="F50" s="17"/>
      <c r="G50" s="15"/>
      <c r="H50" s="15"/>
      <c r="I50" s="15"/>
      <c r="J50" s="15"/>
      <c r="K50" s="15"/>
      <c r="L50" s="15"/>
      <c r="M50" s="16"/>
      <c r="N50" s="16"/>
      <c r="O50" s="18"/>
      <c r="P50" s="16"/>
      <c r="Q50" s="19"/>
    </row>
    <row r="51" spans="2:17">
      <c r="B51" s="52" t="s">
        <v>298</v>
      </c>
      <c r="C51" s="53" t="s">
        <v>351</v>
      </c>
      <c r="D51" s="54" t="s">
        <v>361</v>
      </c>
      <c r="E51" s="54" t="s">
        <v>350</v>
      </c>
      <c r="F51" s="17"/>
      <c r="G51" s="15"/>
      <c r="H51" s="15"/>
      <c r="I51" s="15"/>
      <c r="J51" s="15"/>
      <c r="K51" s="15"/>
      <c r="L51" s="15"/>
      <c r="M51" s="16"/>
      <c r="N51" s="16"/>
      <c r="O51" s="18"/>
      <c r="P51" s="16"/>
      <c r="Q51" s="19"/>
    </row>
    <row r="52" spans="2:17" ht="45">
      <c r="B52" s="52" t="s">
        <v>298</v>
      </c>
      <c r="C52" s="53" t="s">
        <v>352</v>
      </c>
      <c r="D52" s="54" t="s">
        <v>362</v>
      </c>
      <c r="E52" s="54" t="s">
        <v>350</v>
      </c>
      <c r="F52" s="17"/>
      <c r="G52" s="15"/>
      <c r="H52" s="15"/>
      <c r="I52" s="15"/>
      <c r="J52" s="15"/>
      <c r="K52" s="15"/>
      <c r="L52" s="15"/>
      <c r="M52" s="16"/>
      <c r="N52" s="16"/>
      <c r="O52" s="18"/>
      <c r="P52" s="16"/>
      <c r="Q52" s="19"/>
    </row>
    <row r="53" spans="2:17" ht="60">
      <c r="B53" s="52" t="s">
        <v>298</v>
      </c>
      <c r="C53" s="53" t="s">
        <v>363</v>
      </c>
      <c r="D53" s="54" t="s">
        <v>353</v>
      </c>
      <c r="E53" s="54" t="s">
        <v>354</v>
      </c>
      <c r="F53" s="17"/>
      <c r="G53" s="15"/>
      <c r="H53" s="15"/>
      <c r="I53" s="15"/>
      <c r="J53" s="15"/>
      <c r="K53" s="15"/>
      <c r="L53" s="15"/>
      <c r="M53" s="16"/>
      <c r="N53" s="16"/>
      <c r="O53" s="18"/>
      <c r="P53" s="16"/>
      <c r="Q53" s="19"/>
    </row>
    <row r="54" spans="2:17" ht="60">
      <c r="B54" s="52" t="s">
        <v>298</v>
      </c>
      <c r="C54" s="53" t="s">
        <v>363</v>
      </c>
      <c r="D54" s="54" t="s">
        <v>353</v>
      </c>
      <c r="E54" s="54" t="s">
        <v>355</v>
      </c>
      <c r="F54" s="17"/>
      <c r="G54" s="15"/>
      <c r="H54" s="15"/>
      <c r="I54" s="15"/>
      <c r="J54" s="15"/>
      <c r="K54" s="15"/>
      <c r="L54" s="15"/>
      <c r="M54" s="16"/>
      <c r="N54" s="16"/>
      <c r="O54" s="18"/>
      <c r="P54" s="16"/>
      <c r="Q54" s="19"/>
    </row>
    <row r="55" spans="2:17" ht="60">
      <c r="B55" s="52" t="s">
        <v>298</v>
      </c>
      <c r="C55" s="53" t="s">
        <v>363</v>
      </c>
      <c r="D55" s="54" t="s">
        <v>353</v>
      </c>
      <c r="E55" s="54" t="s">
        <v>356</v>
      </c>
      <c r="F55" s="17"/>
      <c r="G55" s="15"/>
      <c r="H55" s="15"/>
      <c r="I55" s="15"/>
      <c r="J55" s="15"/>
      <c r="K55" s="15"/>
      <c r="L55" s="15"/>
      <c r="M55" s="16"/>
      <c r="N55" s="16"/>
      <c r="O55" s="18"/>
      <c r="P55" s="16"/>
      <c r="Q55" s="19"/>
    </row>
    <row r="56" spans="2:17" ht="60">
      <c r="B56" s="52" t="s">
        <v>298</v>
      </c>
      <c r="C56" s="53" t="s">
        <v>363</v>
      </c>
      <c r="D56" s="54" t="s">
        <v>353</v>
      </c>
      <c r="E56" s="54" t="s">
        <v>357</v>
      </c>
      <c r="F56" s="17"/>
      <c r="G56" s="15"/>
      <c r="H56" s="15"/>
      <c r="I56" s="15"/>
      <c r="J56" s="15"/>
      <c r="K56" s="15"/>
      <c r="L56" s="15"/>
      <c r="M56" s="16"/>
      <c r="N56" s="16"/>
      <c r="O56" s="18"/>
      <c r="P56" s="16"/>
      <c r="Q56" s="19"/>
    </row>
    <row r="57" spans="2:17" ht="60">
      <c r="B57" s="52" t="s">
        <v>298</v>
      </c>
      <c r="C57" s="53" t="s">
        <v>363</v>
      </c>
      <c r="D57" s="54" t="s">
        <v>353</v>
      </c>
      <c r="E57" s="54" t="s">
        <v>358</v>
      </c>
      <c r="F57" s="17"/>
      <c r="G57" s="15"/>
      <c r="H57" s="15"/>
      <c r="I57" s="15"/>
      <c r="J57" s="15"/>
      <c r="K57" s="15"/>
      <c r="L57" s="15"/>
      <c r="M57" s="16"/>
      <c r="N57" s="16"/>
      <c r="O57" s="18"/>
      <c r="P57" s="16"/>
      <c r="Q57" s="19"/>
    </row>
    <row r="58" spans="2:17" ht="60">
      <c r="B58" s="52" t="s">
        <v>298</v>
      </c>
      <c r="C58" s="53" t="s">
        <v>363</v>
      </c>
      <c r="D58" s="54" t="s">
        <v>353</v>
      </c>
      <c r="E58" s="54" t="s">
        <v>359</v>
      </c>
      <c r="F58" s="17"/>
      <c r="G58" s="15"/>
      <c r="H58" s="15"/>
      <c r="I58" s="15"/>
      <c r="J58" s="15"/>
      <c r="K58" s="15"/>
      <c r="L58" s="15"/>
      <c r="M58" s="16"/>
      <c r="N58" s="16"/>
      <c r="O58" s="18"/>
      <c r="P58" s="16"/>
      <c r="Q58" s="19"/>
    </row>
    <row r="59" spans="2:17" ht="30">
      <c r="B59" s="52" t="s">
        <v>298</v>
      </c>
      <c r="C59" s="53" t="s">
        <v>365</v>
      </c>
      <c r="D59" s="54" t="s">
        <v>364</v>
      </c>
      <c r="E59" s="54" t="s">
        <v>366</v>
      </c>
      <c r="F59" s="17"/>
      <c r="G59" s="15"/>
      <c r="H59" s="15"/>
      <c r="I59" s="15"/>
      <c r="J59" s="15"/>
      <c r="K59" s="15"/>
      <c r="L59" s="15"/>
      <c r="M59" s="16"/>
      <c r="N59" s="16"/>
      <c r="O59" s="18"/>
      <c r="P59" s="16"/>
      <c r="Q59" s="19"/>
    </row>
    <row r="60" spans="2:17" ht="30">
      <c r="B60" s="52" t="s">
        <v>298</v>
      </c>
      <c r="C60" s="53" t="s">
        <v>365</v>
      </c>
      <c r="D60" s="54" t="s">
        <v>364</v>
      </c>
      <c r="E60" s="54" t="s">
        <v>367</v>
      </c>
      <c r="F60" s="17"/>
      <c r="G60" s="15"/>
      <c r="H60" s="15"/>
      <c r="I60" s="15"/>
      <c r="J60" s="15"/>
      <c r="K60" s="15"/>
      <c r="L60" s="15"/>
      <c r="M60" s="16"/>
      <c r="N60" s="16"/>
      <c r="O60" s="18"/>
      <c r="P60" s="16"/>
      <c r="Q60" s="19"/>
    </row>
    <row r="61" spans="2:17" ht="30">
      <c r="B61" s="52" t="s">
        <v>298</v>
      </c>
      <c r="C61" s="53" t="s">
        <v>365</v>
      </c>
      <c r="D61" s="54" t="s">
        <v>364</v>
      </c>
      <c r="E61" s="54" t="s">
        <v>368</v>
      </c>
      <c r="F61" s="17"/>
      <c r="G61" s="15"/>
      <c r="H61" s="15"/>
      <c r="I61" s="15"/>
      <c r="J61" s="15"/>
      <c r="K61" s="15"/>
      <c r="L61" s="15"/>
      <c r="M61" s="16"/>
      <c r="N61" s="16"/>
      <c r="O61" s="18"/>
      <c r="P61" s="16"/>
      <c r="Q61" s="19"/>
    </row>
    <row r="62" spans="2:17" ht="30">
      <c r="B62" s="52" t="s">
        <v>298</v>
      </c>
      <c r="C62" s="53" t="s">
        <v>365</v>
      </c>
      <c r="D62" s="54" t="s">
        <v>364</v>
      </c>
      <c r="E62" s="54" t="s">
        <v>369</v>
      </c>
      <c r="F62" s="17"/>
      <c r="G62" s="15"/>
      <c r="H62" s="15"/>
      <c r="I62" s="15"/>
      <c r="J62" s="15"/>
      <c r="K62" s="15"/>
      <c r="L62" s="15"/>
      <c r="M62" s="16"/>
      <c r="N62" s="16"/>
      <c r="O62" s="18"/>
      <c r="P62" s="16"/>
      <c r="Q62" s="19"/>
    </row>
    <row r="63" spans="2:17" ht="30">
      <c r="B63" s="52" t="s">
        <v>298</v>
      </c>
      <c r="C63" s="53" t="s">
        <v>365</v>
      </c>
      <c r="D63" s="54" t="s">
        <v>364</v>
      </c>
      <c r="E63" s="54" t="s">
        <v>370</v>
      </c>
      <c r="F63" s="17"/>
      <c r="G63" s="15"/>
      <c r="H63" s="15"/>
      <c r="I63" s="15"/>
      <c r="J63" s="15"/>
      <c r="K63" s="15"/>
      <c r="L63" s="15"/>
      <c r="M63" s="16"/>
      <c r="N63" s="16"/>
      <c r="O63" s="18"/>
      <c r="P63" s="16"/>
      <c r="Q63" s="19"/>
    </row>
    <row r="64" spans="2:17" ht="30">
      <c r="B64" s="52" t="s">
        <v>298</v>
      </c>
      <c r="C64" s="53" t="s">
        <v>365</v>
      </c>
      <c r="D64" s="54" t="s">
        <v>364</v>
      </c>
      <c r="E64" s="54" t="s">
        <v>371</v>
      </c>
      <c r="F64" s="17"/>
      <c r="G64" s="15"/>
      <c r="H64" s="15"/>
      <c r="I64" s="15"/>
      <c r="J64" s="15"/>
      <c r="K64" s="15"/>
      <c r="L64" s="15"/>
      <c r="M64" s="16"/>
      <c r="N64" s="16"/>
      <c r="O64" s="18"/>
      <c r="P64" s="16"/>
      <c r="Q64" s="19"/>
    </row>
    <row r="65" spans="2:17" ht="30">
      <c r="B65" s="52" t="s">
        <v>298</v>
      </c>
      <c r="C65" s="53" t="s">
        <v>365</v>
      </c>
      <c r="D65" s="54" t="s">
        <v>364</v>
      </c>
      <c r="E65" s="54" t="s">
        <v>372</v>
      </c>
      <c r="F65" s="17"/>
      <c r="G65" s="15"/>
      <c r="H65" s="15"/>
      <c r="I65" s="15"/>
      <c r="J65" s="15"/>
      <c r="K65" s="15"/>
      <c r="L65" s="15"/>
      <c r="M65" s="16"/>
      <c r="N65" s="16"/>
      <c r="O65" s="18"/>
      <c r="P65" s="16"/>
      <c r="Q65" s="19"/>
    </row>
    <row r="66" spans="2:17" ht="30">
      <c r="B66" s="52" t="s">
        <v>298</v>
      </c>
      <c r="C66" s="53" t="s">
        <v>365</v>
      </c>
      <c r="D66" s="54" t="s">
        <v>364</v>
      </c>
      <c r="E66" s="54" t="s">
        <v>373</v>
      </c>
      <c r="F66" s="17"/>
      <c r="G66" s="15"/>
      <c r="H66" s="15"/>
      <c r="I66" s="15"/>
      <c r="J66" s="15"/>
      <c r="K66" s="15"/>
      <c r="L66" s="15"/>
      <c r="M66" s="16"/>
      <c r="N66" s="16"/>
      <c r="O66" s="18"/>
      <c r="P66" s="16"/>
      <c r="Q66" s="19"/>
    </row>
    <row r="67" spans="2:17" ht="30">
      <c r="B67" s="52" t="s">
        <v>298</v>
      </c>
      <c r="C67" s="53" t="s">
        <v>365</v>
      </c>
      <c r="D67" s="54" t="s">
        <v>364</v>
      </c>
      <c r="E67" s="54" t="s">
        <v>374</v>
      </c>
      <c r="F67" s="17"/>
      <c r="G67" s="15"/>
      <c r="H67" s="15"/>
      <c r="I67" s="15"/>
      <c r="J67" s="15"/>
      <c r="K67" s="15"/>
      <c r="L67" s="15"/>
      <c r="M67" s="16"/>
      <c r="N67" s="16"/>
      <c r="O67" s="18"/>
      <c r="P67" s="16"/>
      <c r="Q67" s="19"/>
    </row>
    <row r="68" spans="2:17" ht="30">
      <c r="B68" s="52" t="s">
        <v>298</v>
      </c>
      <c r="C68" s="53" t="s">
        <v>365</v>
      </c>
      <c r="D68" s="54" t="s">
        <v>364</v>
      </c>
      <c r="E68" s="54" t="s">
        <v>375</v>
      </c>
      <c r="F68" s="17"/>
      <c r="G68" s="15"/>
      <c r="H68" s="15"/>
      <c r="I68" s="15"/>
      <c r="J68" s="15"/>
      <c r="K68" s="15"/>
      <c r="L68" s="15"/>
      <c r="M68" s="16"/>
      <c r="N68" s="16"/>
      <c r="O68" s="18"/>
      <c r="P68" s="16"/>
      <c r="Q68" s="19"/>
    </row>
    <row r="69" spans="2:17" ht="30">
      <c r="B69" s="52" t="s">
        <v>298</v>
      </c>
      <c r="C69" s="53" t="s">
        <v>365</v>
      </c>
      <c r="D69" s="54" t="s">
        <v>364</v>
      </c>
      <c r="E69" s="54" t="s">
        <v>376</v>
      </c>
      <c r="F69" s="17"/>
      <c r="G69" s="15"/>
      <c r="H69" s="15"/>
      <c r="I69" s="15"/>
      <c r="J69" s="15"/>
      <c r="K69" s="15"/>
      <c r="L69" s="15"/>
      <c r="M69" s="16"/>
      <c r="N69" s="16"/>
      <c r="O69" s="18"/>
      <c r="P69" s="16"/>
      <c r="Q69" s="19"/>
    </row>
    <row r="70" spans="2:17" ht="30">
      <c r="B70" s="52" t="s">
        <v>298</v>
      </c>
      <c r="C70" s="53" t="s">
        <v>365</v>
      </c>
      <c r="D70" s="54" t="s">
        <v>364</v>
      </c>
      <c r="E70" s="54" t="s">
        <v>377</v>
      </c>
      <c r="F70" s="17"/>
      <c r="G70" s="15"/>
      <c r="H70" s="15"/>
      <c r="I70" s="15"/>
      <c r="J70" s="15"/>
      <c r="K70" s="15"/>
      <c r="L70" s="15"/>
      <c r="M70" s="16"/>
      <c r="N70" s="16"/>
      <c r="O70" s="18"/>
      <c r="P70" s="16"/>
      <c r="Q70" s="19"/>
    </row>
    <row r="71" spans="2:17" ht="30">
      <c r="B71" s="52" t="s">
        <v>298</v>
      </c>
      <c r="C71" s="53" t="s">
        <v>365</v>
      </c>
      <c r="D71" s="54" t="s">
        <v>364</v>
      </c>
      <c r="E71" s="54" t="s">
        <v>378</v>
      </c>
      <c r="F71" s="17"/>
      <c r="G71" s="15"/>
      <c r="H71" s="15"/>
      <c r="I71" s="15"/>
      <c r="J71" s="15"/>
      <c r="K71" s="15"/>
      <c r="L71" s="15"/>
      <c r="M71" s="16"/>
      <c r="N71" s="16"/>
      <c r="O71" s="18"/>
      <c r="P71" s="16"/>
      <c r="Q71" s="19"/>
    </row>
    <row r="72" spans="2:17" ht="30">
      <c r="B72" s="52" t="s">
        <v>298</v>
      </c>
      <c r="C72" s="53" t="s">
        <v>365</v>
      </c>
      <c r="D72" s="54" t="s">
        <v>364</v>
      </c>
      <c r="E72" s="54" t="s">
        <v>379</v>
      </c>
      <c r="F72" s="17"/>
      <c r="G72" s="15"/>
      <c r="H72" s="15"/>
      <c r="I72" s="15"/>
      <c r="J72" s="15"/>
      <c r="K72" s="15"/>
      <c r="L72" s="15"/>
      <c r="M72" s="16"/>
      <c r="N72" s="16"/>
      <c r="O72" s="18"/>
      <c r="P72" s="16"/>
      <c r="Q72" s="19"/>
    </row>
    <row r="73" spans="2:17" ht="30">
      <c r="B73" s="52" t="s">
        <v>298</v>
      </c>
      <c r="C73" s="67" t="s">
        <v>284</v>
      </c>
      <c r="D73" s="54" t="s">
        <v>380</v>
      </c>
      <c r="E73" s="54" t="s">
        <v>381</v>
      </c>
      <c r="F73" s="17"/>
      <c r="G73" s="15"/>
      <c r="H73" s="15"/>
      <c r="I73" s="15"/>
      <c r="J73" s="15"/>
      <c r="K73" s="15"/>
      <c r="L73" s="15"/>
      <c r="M73" s="16"/>
      <c r="N73" s="16"/>
      <c r="O73" s="18"/>
      <c r="P73" s="16"/>
      <c r="Q73" s="19"/>
    </row>
    <row r="74" spans="2:17" ht="30">
      <c r="B74" s="52" t="s">
        <v>298</v>
      </c>
      <c r="C74" s="67" t="s">
        <v>284</v>
      </c>
      <c r="D74" s="54" t="s">
        <v>380</v>
      </c>
      <c r="E74" s="54" t="s">
        <v>382</v>
      </c>
      <c r="F74" s="17"/>
      <c r="G74" s="15"/>
      <c r="H74" s="15"/>
      <c r="I74" s="15"/>
      <c r="J74" s="15"/>
      <c r="K74" s="15"/>
      <c r="L74" s="15"/>
      <c r="M74" s="16"/>
      <c r="N74" s="16"/>
      <c r="O74" s="18"/>
      <c r="P74" s="16"/>
      <c r="Q74" s="19"/>
    </row>
    <row r="75" spans="2:17" ht="30">
      <c r="B75" s="52" t="s">
        <v>298</v>
      </c>
      <c r="C75" s="67" t="s">
        <v>284</v>
      </c>
      <c r="D75" s="54" t="s">
        <v>380</v>
      </c>
      <c r="E75" s="54" t="s">
        <v>383</v>
      </c>
      <c r="F75" s="17"/>
      <c r="G75" s="15"/>
      <c r="H75" s="15"/>
      <c r="I75" s="15"/>
      <c r="J75" s="15"/>
      <c r="K75" s="15"/>
      <c r="L75" s="15"/>
      <c r="M75" s="16"/>
      <c r="N75" s="16"/>
      <c r="O75" s="18"/>
      <c r="P75" s="16"/>
      <c r="Q75" s="19"/>
    </row>
    <row r="76" spans="2:17" ht="30">
      <c r="B76" s="52" t="s">
        <v>298</v>
      </c>
      <c r="C76" s="67" t="s">
        <v>284</v>
      </c>
      <c r="D76" s="54" t="s">
        <v>380</v>
      </c>
      <c r="E76" s="54" t="s">
        <v>384</v>
      </c>
      <c r="F76" s="17"/>
      <c r="G76" s="15"/>
      <c r="H76" s="15"/>
      <c r="I76" s="15"/>
      <c r="J76" s="15"/>
      <c r="K76" s="15"/>
      <c r="L76" s="15"/>
      <c r="M76" s="16"/>
      <c r="N76" s="16"/>
      <c r="O76" s="18"/>
      <c r="P76" s="16"/>
      <c r="Q76" s="19"/>
    </row>
    <row r="77" spans="2:17" ht="30">
      <c r="B77" s="52" t="s">
        <v>298</v>
      </c>
      <c r="C77" s="67" t="s">
        <v>284</v>
      </c>
      <c r="D77" s="54" t="s">
        <v>380</v>
      </c>
      <c r="E77" s="54" t="s">
        <v>385</v>
      </c>
      <c r="F77" s="17"/>
      <c r="G77" s="15"/>
      <c r="H77" s="15"/>
      <c r="I77" s="15"/>
      <c r="J77" s="15"/>
      <c r="K77" s="15"/>
      <c r="L77" s="15"/>
      <c r="M77" s="16"/>
      <c r="N77" s="16"/>
      <c r="O77" s="18"/>
      <c r="P77" s="16"/>
      <c r="Q77" s="19"/>
    </row>
    <row r="78" spans="2:17" ht="30">
      <c r="B78" s="52" t="s">
        <v>298</v>
      </c>
      <c r="C78" s="67" t="s">
        <v>284</v>
      </c>
      <c r="D78" s="54" t="s">
        <v>380</v>
      </c>
      <c r="E78" s="54" t="s">
        <v>386</v>
      </c>
      <c r="F78" s="17"/>
      <c r="G78" s="15"/>
      <c r="H78" s="15"/>
      <c r="I78" s="15"/>
      <c r="J78" s="15"/>
      <c r="K78" s="15"/>
      <c r="L78" s="15"/>
      <c r="M78" s="16"/>
      <c r="N78" s="16"/>
      <c r="O78" s="18"/>
      <c r="P78" s="16"/>
      <c r="Q78" s="19"/>
    </row>
    <row r="79" spans="2:17" ht="30">
      <c r="B79" s="52" t="s">
        <v>298</v>
      </c>
      <c r="C79" s="67" t="s">
        <v>284</v>
      </c>
      <c r="D79" s="54" t="s">
        <v>380</v>
      </c>
      <c r="E79" s="54" t="s">
        <v>387</v>
      </c>
      <c r="F79" s="17"/>
      <c r="G79" s="15"/>
      <c r="H79" s="15"/>
      <c r="I79" s="15"/>
      <c r="J79" s="15"/>
      <c r="K79" s="15"/>
      <c r="L79" s="15"/>
      <c r="M79" s="16"/>
      <c r="N79" s="16"/>
      <c r="O79" s="18"/>
      <c r="P79" s="16"/>
      <c r="Q79" s="19"/>
    </row>
    <row r="80" spans="2:17" ht="30">
      <c r="B80" s="52" t="s">
        <v>298</v>
      </c>
      <c r="C80" s="67" t="s">
        <v>284</v>
      </c>
      <c r="D80" s="54" t="s">
        <v>380</v>
      </c>
      <c r="E80" s="54" t="s">
        <v>388</v>
      </c>
      <c r="F80" s="17"/>
      <c r="G80" s="15"/>
      <c r="H80" s="15"/>
      <c r="I80" s="15"/>
      <c r="J80" s="15"/>
      <c r="K80" s="15"/>
      <c r="L80" s="15"/>
      <c r="M80" s="16"/>
      <c r="N80" s="16"/>
      <c r="O80" s="18"/>
      <c r="P80" s="16"/>
      <c r="Q80" s="19"/>
    </row>
    <row r="81" spans="2:17" ht="30">
      <c r="B81" s="52" t="s">
        <v>298</v>
      </c>
      <c r="C81" s="67" t="s">
        <v>284</v>
      </c>
      <c r="D81" s="54" t="s">
        <v>380</v>
      </c>
      <c r="E81" s="54" t="s">
        <v>389</v>
      </c>
      <c r="F81" s="17"/>
      <c r="G81" s="15"/>
      <c r="H81" s="15"/>
      <c r="I81" s="15"/>
      <c r="J81" s="15"/>
      <c r="K81" s="15"/>
      <c r="L81" s="15"/>
      <c r="M81" s="16"/>
      <c r="N81" s="16"/>
      <c r="O81" s="18"/>
      <c r="P81" s="16"/>
      <c r="Q81" s="19"/>
    </row>
    <row r="82" spans="2:17" ht="30">
      <c r="B82" s="52" t="s">
        <v>298</v>
      </c>
      <c r="C82" s="67" t="s">
        <v>284</v>
      </c>
      <c r="D82" s="54" t="s">
        <v>380</v>
      </c>
      <c r="E82" s="54" t="s">
        <v>390</v>
      </c>
      <c r="F82" s="17"/>
      <c r="G82" s="15"/>
      <c r="H82" s="15"/>
      <c r="I82" s="15"/>
      <c r="J82" s="15"/>
      <c r="K82" s="15"/>
      <c r="L82" s="15"/>
      <c r="M82" s="16"/>
      <c r="N82" s="16"/>
      <c r="O82" s="18"/>
      <c r="P82" s="16"/>
      <c r="Q82" s="19"/>
    </row>
    <row r="83" spans="2:17" ht="30">
      <c r="B83" s="52" t="s">
        <v>298</v>
      </c>
      <c r="C83" s="67" t="s">
        <v>284</v>
      </c>
      <c r="D83" s="54" t="s">
        <v>380</v>
      </c>
      <c r="E83" s="54" t="s">
        <v>391</v>
      </c>
      <c r="F83" s="17"/>
      <c r="G83" s="15"/>
      <c r="H83" s="15"/>
      <c r="I83" s="15"/>
      <c r="J83" s="15"/>
      <c r="K83" s="15"/>
      <c r="L83" s="15"/>
      <c r="M83" s="16"/>
      <c r="N83" s="16"/>
      <c r="O83" s="18"/>
      <c r="P83" s="16"/>
      <c r="Q83" s="19"/>
    </row>
    <row r="84" spans="2:17" ht="30">
      <c r="B84" s="52" t="s">
        <v>298</v>
      </c>
      <c r="C84" s="67" t="s">
        <v>284</v>
      </c>
      <c r="D84" s="54" t="s">
        <v>380</v>
      </c>
      <c r="E84" s="54" t="s">
        <v>392</v>
      </c>
      <c r="F84" s="17"/>
      <c r="G84" s="15"/>
      <c r="H84" s="15"/>
      <c r="I84" s="15"/>
      <c r="J84" s="15"/>
      <c r="K84" s="15"/>
      <c r="L84" s="15"/>
      <c r="M84" s="16"/>
      <c r="N84" s="16"/>
      <c r="O84" s="18"/>
      <c r="P84" s="16"/>
      <c r="Q84" s="19"/>
    </row>
    <row r="85" spans="2:17" ht="30">
      <c r="B85" s="52" t="s">
        <v>298</v>
      </c>
      <c r="C85" s="67" t="s">
        <v>284</v>
      </c>
      <c r="D85" s="54" t="s">
        <v>380</v>
      </c>
      <c r="E85" s="54" t="s">
        <v>393</v>
      </c>
      <c r="F85" s="17"/>
      <c r="G85" s="15"/>
      <c r="H85" s="15"/>
      <c r="I85" s="15"/>
      <c r="J85" s="15"/>
      <c r="K85" s="15"/>
      <c r="L85" s="15"/>
      <c r="M85" s="16"/>
      <c r="N85" s="16"/>
      <c r="O85" s="18"/>
      <c r="P85" s="16"/>
      <c r="Q85" s="19"/>
    </row>
    <row r="86" spans="2:17" ht="30">
      <c r="B86" s="52" t="s">
        <v>298</v>
      </c>
      <c r="C86" s="67" t="s">
        <v>284</v>
      </c>
      <c r="D86" s="54" t="s">
        <v>380</v>
      </c>
      <c r="E86" s="54" t="s">
        <v>394</v>
      </c>
      <c r="F86" s="17"/>
      <c r="G86" s="15"/>
      <c r="H86" s="15"/>
      <c r="I86" s="15"/>
      <c r="J86" s="15"/>
      <c r="K86" s="15"/>
      <c r="L86" s="15"/>
      <c r="M86" s="16"/>
      <c r="N86" s="16"/>
      <c r="O86" s="18"/>
      <c r="P86" s="16"/>
      <c r="Q86" s="19"/>
    </row>
    <row r="87" spans="2:17" ht="30">
      <c r="B87" s="52" t="s">
        <v>298</v>
      </c>
      <c r="C87" s="67" t="s">
        <v>284</v>
      </c>
      <c r="D87" s="54" t="s">
        <v>380</v>
      </c>
      <c r="E87" s="54" t="s">
        <v>395</v>
      </c>
      <c r="F87" s="17"/>
      <c r="G87" s="15"/>
      <c r="H87" s="15"/>
      <c r="I87" s="15"/>
      <c r="J87" s="15"/>
      <c r="K87" s="15"/>
      <c r="L87" s="15"/>
      <c r="M87" s="16"/>
      <c r="N87" s="16"/>
      <c r="O87" s="18"/>
      <c r="P87" s="16"/>
      <c r="Q87" s="19"/>
    </row>
    <row r="88" spans="2:17" ht="30">
      <c r="B88" s="52" t="s">
        <v>298</v>
      </c>
      <c r="C88" s="67" t="s">
        <v>284</v>
      </c>
      <c r="D88" s="54" t="s">
        <v>380</v>
      </c>
      <c r="E88" s="54" t="s">
        <v>396</v>
      </c>
      <c r="F88" s="17"/>
      <c r="G88" s="15"/>
      <c r="H88" s="15"/>
      <c r="I88" s="15"/>
      <c r="J88" s="15"/>
      <c r="K88" s="15"/>
      <c r="L88" s="15"/>
      <c r="M88" s="16"/>
      <c r="N88" s="16"/>
      <c r="O88" s="18"/>
      <c r="P88" s="16"/>
      <c r="Q88" s="19"/>
    </row>
    <row r="89" spans="2:17" ht="30">
      <c r="B89" s="52" t="s">
        <v>298</v>
      </c>
      <c r="C89" s="67" t="s">
        <v>284</v>
      </c>
      <c r="D89" s="54" t="s">
        <v>380</v>
      </c>
      <c r="E89" s="54" t="s">
        <v>397</v>
      </c>
      <c r="F89" s="17"/>
      <c r="G89" s="15"/>
      <c r="H89" s="15"/>
      <c r="I89" s="15"/>
      <c r="J89" s="15"/>
      <c r="K89" s="15"/>
      <c r="L89" s="15"/>
      <c r="M89" s="16"/>
      <c r="N89" s="16"/>
      <c r="O89" s="18"/>
      <c r="P89" s="16"/>
      <c r="Q89" s="19"/>
    </row>
    <row r="90" spans="2:17" ht="30">
      <c r="B90" s="52" t="s">
        <v>298</v>
      </c>
      <c r="C90" s="67" t="s">
        <v>284</v>
      </c>
      <c r="D90" s="54" t="s">
        <v>380</v>
      </c>
      <c r="E90" s="54" t="s">
        <v>398</v>
      </c>
      <c r="F90" s="17"/>
      <c r="G90" s="15"/>
      <c r="H90" s="15"/>
      <c r="I90" s="15"/>
      <c r="J90" s="15"/>
      <c r="K90" s="15"/>
      <c r="L90" s="15"/>
      <c r="M90" s="16"/>
      <c r="N90" s="16"/>
      <c r="O90" s="18"/>
      <c r="P90" s="16"/>
      <c r="Q90" s="19"/>
    </row>
    <row r="91" spans="2:17" ht="30">
      <c r="B91" s="52" t="s">
        <v>298</v>
      </c>
      <c r="C91" s="67" t="s">
        <v>284</v>
      </c>
      <c r="D91" s="54" t="s">
        <v>380</v>
      </c>
      <c r="E91" s="54" t="s">
        <v>399</v>
      </c>
      <c r="F91" s="17"/>
      <c r="G91" s="15"/>
      <c r="H91" s="15"/>
      <c r="I91" s="15"/>
      <c r="J91" s="15"/>
      <c r="K91" s="15"/>
      <c r="L91" s="15"/>
      <c r="M91" s="16"/>
      <c r="N91" s="16"/>
      <c r="O91" s="18"/>
      <c r="P91" s="16"/>
      <c r="Q91" s="19"/>
    </row>
    <row r="92" spans="2:17" ht="30">
      <c r="B92" s="52" t="s">
        <v>298</v>
      </c>
      <c r="C92" s="67" t="s">
        <v>284</v>
      </c>
      <c r="D92" s="54" t="s">
        <v>380</v>
      </c>
      <c r="E92" s="54" t="s">
        <v>400</v>
      </c>
      <c r="F92" s="17"/>
      <c r="G92" s="15"/>
      <c r="H92" s="15"/>
      <c r="I92" s="15"/>
      <c r="J92" s="15"/>
      <c r="K92" s="15"/>
      <c r="L92" s="15"/>
      <c r="M92" s="16"/>
      <c r="N92" s="16"/>
      <c r="O92" s="18"/>
      <c r="P92" s="16"/>
      <c r="Q92" s="19"/>
    </row>
    <row r="93" spans="2:17" ht="30">
      <c r="B93" s="52" t="s">
        <v>298</v>
      </c>
      <c r="C93" s="67" t="s">
        <v>284</v>
      </c>
      <c r="D93" s="54" t="s">
        <v>380</v>
      </c>
      <c r="E93" s="54" t="s">
        <v>401</v>
      </c>
      <c r="F93" s="17"/>
      <c r="G93" s="15"/>
      <c r="H93" s="15"/>
      <c r="I93" s="15"/>
      <c r="J93" s="15"/>
      <c r="K93" s="15"/>
      <c r="L93" s="15"/>
      <c r="M93" s="16"/>
      <c r="N93" s="16"/>
      <c r="O93" s="18"/>
      <c r="P93" s="16"/>
      <c r="Q93" s="19"/>
    </row>
    <row r="94" spans="2:17" ht="30">
      <c r="B94" s="52" t="s">
        <v>298</v>
      </c>
      <c r="C94" s="67" t="s">
        <v>284</v>
      </c>
      <c r="D94" s="54" t="s">
        <v>380</v>
      </c>
      <c r="E94" s="54" t="s">
        <v>402</v>
      </c>
      <c r="F94" s="17"/>
      <c r="G94" s="15"/>
      <c r="H94" s="15"/>
      <c r="I94" s="15"/>
      <c r="J94" s="15"/>
      <c r="K94" s="15"/>
      <c r="L94" s="15"/>
      <c r="M94" s="16"/>
      <c r="N94" s="16"/>
      <c r="O94" s="18"/>
      <c r="P94" s="16"/>
      <c r="Q94" s="19"/>
    </row>
    <row r="95" spans="2:17" ht="30">
      <c r="B95" s="52" t="s">
        <v>298</v>
      </c>
      <c r="C95" s="67" t="s">
        <v>284</v>
      </c>
      <c r="D95" s="54" t="s">
        <v>380</v>
      </c>
      <c r="E95" s="54" t="s">
        <v>403</v>
      </c>
      <c r="F95" s="17"/>
      <c r="G95" s="15"/>
      <c r="H95" s="15"/>
      <c r="I95" s="15"/>
      <c r="J95" s="15"/>
      <c r="K95" s="15"/>
      <c r="L95" s="15"/>
      <c r="M95" s="16"/>
      <c r="N95" s="16"/>
      <c r="O95" s="18"/>
      <c r="P95" s="16"/>
      <c r="Q95" s="19"/>
    </row>
    <row r="96" spans="2:17" ht="30">
      <c r="B96" s="52" t="s">
        <v>298</v>
      </c>
      <c r="C96" s="67" t="s">
        <v>284</v>
      </c>
      <c r="D96" s="54" t="s">
        <v>380</v>
      </c>
      <c r="E96" s="54" t="s">
        <v>404</v>
      </c>
      <c r="F96" s="17"/>
      <c r="G96" s="15"/>
      <c r="H96" s="15"/>
      <c r="I96" s="15"/>
      <c r="J96" s="15"/>
      <c r="K96" s="15"/>
      <c r="L96" s="15"/>
      <c r="M96" s="16"/>
      <c r="N96" s="16"/>
      <c r="O96" s="18"/>
      <c r="P96" s="16"/>
      <c r="Q96" s="19"/>
    </row>
    <row r="97" spans="2:17" ht="30">
      <c r="B97" s="52" t="s">
        <v>298</v>
      </c>
      <c r="C97" s="67" t="s">
        <v>284</v>
      </c>
      <c r="D97" s="54" t="s">
        <v>380</v>
      </c>
      <c r="E97" s="54" t="s">
        <v>405</v>
      </c>
      <c r="F97" s="17"/>
      <c r="G97" s="15"/>
      <c r="H97" s="15"/>
      <c r="I97" s="15"/>
      <c r="J97" s="15"/>
      <c r="K97" s="15"/>
      <c r="L97" s="15"/>
      <c r="M97" s="16"/>
      <c r="N97" s="16"/>
      <c r="O97" s="18"/>
      <c r="P97" s="16"/>
      <c r="Q97" s="19"/>
    </row>
    <row r="98" spans="2:17" ht="30">
      <c r="B98" s="52" t="s">
        <v>298</v>
      </c>
      <c r="C98" s="67" t="s">
        <v>284</v>
      </c>
      <c r="D98" s="54" t="s">
        <v>380</v>
      </c>
      <c r="E98" s="54" t="s">
        <v>406</v>
      </c>
      <c r="F98" s="17"/>
      <c r="G98" s="15"/>
      <c r="H98" s="15"/>
      <c r="I98" s="15"/>
      <c r="J98" s="15"/>
      <c r="K98" s="15"/>
      <c r="L98" s="15"/>
      <c r="M98" s="16"/>
      <c r="N98" s="16"/>
      <c r="O98" s="18"/>
      <c r="P98" s="16"/>
      <c r="Q98" s="19"/>
    </row>
    <row r="99" spans="2:17" ht="30">
      <c r="B99" s="52" t="s">
        <v>298</v>
      </c>
      <c r="C99" s="67" t="s">
        <v>284</v>
      </c>
      <c r="D99" s="54" t="s">
        <v>380</v>
      </c>
      <c r="E99" s="54" t="s">
        <v>407</v>
      </c>
      <c r="F99" s="17"/>
      <c r="G99" s="15"/>
      <c r="H99" s="15"/>
      <c r="I99" s="15"/>
      <c r="J99" s="15"/>
      <c r="K99" s="15"/>
      <c r="L99" s="15"/>
      <c r="M99" s="16"/>
      <c r="N99" s="16"/>
      <c r="O99" s="18"/>
      <c r="P99" s="16"/>
      <c r="Q99" s="19"/>
    </row>
    <row r="100" spans="2:17" ht="30">
      <c r="B100" s="52" t="s">
        <v>298</v>
      </c>
      <c r="C100" s="67" t="s">
        <v>284</v>
      </c>
      <c r="D100" s="54" t="s">
        <v>380</v>
      </c>
      <c r="E100" s="54" t="s">
        <v>408</v>
      </c>
      <c r="F100" s="17"/>
      <c r="G100" s="15"/>
      <c r="H100" s="15"/>
      <c r="I100" s="15"/>
      <c r="J100" s="15"/>
      <c r="K100" s="15"/>
      <c r="L100" s="15"/>
      <c r="M100" s="16"/>
      <c r="N100" s="16"/>
      <c r="O100" s="18"/>
      <c r="P100" s="16"/>
      <c r="Q100" s="19"/>
    </row>
    <row r="101" spans="2:17" ht="30">
      <c r="B101" s="52" t="s">
        <v>298</v>
      </c>
      <c r="C101" s="67" t="s">
        <v>284</v>
      </c>
      <c r="D101" s="54" t="s">
        <v>380</v>
      </c>
      <c r="E101" s="54" t="s">
        <v>409</v>
      </c>
      <c r="F101" s="17"/>
      <c r="G101" s="15"/>
      <c r="H101" s="15"/>
      <c r="I101" s="15"/>
      <c r="J101" s="15"/>
      <c r="K101" s="15"/>
      <c r="L101" s="15"/>
      <c r="M101" s="16"/>
      <c r="N101" s="16"/>
      <c r="O101" s="18"/>
      <c r="P101" s="16"/>
      <c r="Q101" s="19"/>
    </row>
    <row r="102" spans="2:17" ht="30">
      <c r="B102" s="52" t="s">
        <v>298</v>
      </c>
      <c r="C102" s="67" t="s">
        <v>284</v>
      </c>
      <c r="D102" s="54" t="s">
        <v>380</v>
      </c>
      <c r="E102" s="54" t="s">
        <v>410</v>
      </c>
      <c r="F102" s="17"/>
      <c r="G102" s="15"/>
      <c r="H102" s="15"/>
      <c r="I102" s="15"/>
      <c r="J102" s="15"/>
      <c r="K102" s="15"/>
      <c r="L102" s="15"/>
      <c r="M102" s="16"/>
      <c r="N102" s="16"/>
      <c r="O102" s="18"/>
      <c r="P102" s="16"/>
      <c r="Q102" s="19"/>
    </row>
    <row r="103" spans="2:17" ht="30">
      <c r="B103" s="52" t="s">
        <v>298</v>
      </c>
      <c r="C103" s="67" t="s">
        <v>284</v>
      </c>
      <c r="D103" s="54" t="s">
        <v>380</v>
      </c>
      <c r="E103" s="54" t="s">
        <v>411</v>
      </c>
      <c r="F103" s="17"/>
      <c r="G103" s="15"/>
      <c r="H103" s="15"/>
      <c r="I103" s="15"/>
      <c r="J103" s="15"/>
      <c r="K103" s="15"/>
      <c r="L103" s="15"/>
      <c r="M103" s="16"/>
      <c r="N103" s="16"/>
      <c r="O103" s="18"/>
      <c r="P103" s="16"/>
      <c r="Q103" s="19"/>
    </row>
    <row r="104" spans="2:17" ht="30">
      <c r="B104" s="52" t="s">
        <v>298</v>
      </c>
      <c r="C104" s="67" t="s">
        <v>284</v>
      </c>
      <c r="D104" s="54" t="s">
        <v>380</v>
      </c>
      <c r="E104" s="54" t="s">
        <v>412</v>
      </c>
      <c r="F104" s="17"/>
      <c r="G104" s="15"/>
      <c r="H104" s="15"/>
      <c r="I104" s="15"/>
      <c r="J104" s="15"/>
      <c r="K104" s="15"/>
      <c r="L104" s="15"/>
      <c r="M104" s="16"/>
      <c r="N104" s="16"/>
      <c r="O104" s="18"/>
      <c r="P104" s="16"/>
      <c r="Q104" s="19"/>
    </row>
    <row r="105" spans="2:17" ht="30">
      <c r="B105" s="52" t="s">
        <v>298</v>
      </c>
      <c r="C105" s="67" t="s">
        <v>284</v>
      </c>
      <c r="D105" s="54" t="s">
        <v>380</v>
      </c>
      <c r="E105" s="54" t="s">
        <v>413</v>
      </c>
      <c r="F105" s="17"/>
      <c r="G105" s="15"/>
      <c r="H105" s="15"/>
      <c r="I105" s="15"/>
      <c r="J105" s="15"/>
      <c r="K105" s="15"/>
      <c r="L105" s="15"/>
      <c r="M105" s="16"/>
      <c r="N105" s="16"/>
      <c r="O105" s="18"/>
      <c r="P105" s="16"/>
      <c r="Q105" s="19"/>
    </row>
    <row r="106" spans="2:17" ht="30">
      <c r="B106" s="52" t="s">
        <v>298</v>
      </c>
      <c r="C106" s="67" t="s">
        <v>284</v>
      </c>
      <c r="D106" s="54" t="s">
        <v>380</v>
      </c>
      <c r="E106" s="54" t="s">
        <v>414</v>
      </c>
      <c r="F106" s="17"/>
      <c r="G106" s="15"/>
      <c r="H106" s="15"/>
      <c r="I106" s="15"/>
      <c r="J106" s="15"/>
      <c r="K106" s="15"/>
      <c r="L106" s="15"/>
      <c r="M106" s="16"/>
      <c r="N106" s="16"/>
      <c r="O106" s="18"/>
      <c r="P106" s="16"/>
      <c r="Q106" s="19"/>
    </row>
    <row r="107" spans="2:17" ht="30">
      <c r="B107" s="52" t="s">
        <v>298</v>
      </c>
      <c r="C107" s="67" t="s">
        <v>284</v>
      </c>
      <c r="D107" s="54" t="s">
        <v>380</v>
      </c>
      <c r="E107" s="54" t="s">
        <v>415</v>
      </c>
      <c r="F107" s="17"/>
      <c r="G107" s="15"/>
      <c r="H107" s="15"/>
      <c r="I107" s="15"/>
      <c r="J107" s="15"/>
      <c r="K107" s="15"/>
      <c r="L107" s="15"/>
      <c r="M107" s="16"/>
      <c r="N107" s="16"/>
      <c r="O107" s="18"/>
      <c r="P107" s="16"/>
      <c r="Q107" s="19"/>
    </row>
    <row r="108" spans="2:17" ht="30">
      <c r="B108" s="52" t="s">
        <v>298</v>
      </c>
      <c r="C108" s="67" t="s">
        <v>284</v>
      </c>
      <c r="D108" s="54" t="s">
        <v>380</v>
      </c>
      <c r="E108" s="54" t="s">
        <v>416</v>
      </c>
      <c r="F108" s="17"/>
      <c r="G108" s="15"/>
      <c r="H108" s="15"/>
      <c r="I108" s="15"/>
      <c r="J108" s="15"/>
      <c r="K108" s="15"/>
      <c r="L108" s="15"/>
      <c r="M108" s="16"/>
      <c r="N108" s="16"/>
      <c r="O108" s="18"/>
      <c r="P108" s="16"/>
      <c r="Q108" s="19"/>
    </row>
    <row r="109" spans="2:17" ht="30">
      <c r="B109" s="52" t="s">
        <v>298</v>
      </c>
      <c r="C109" s="67" t="s">
        <v>284</v>
      </c>
      <c r="D109" s="54" t="s">
        <v>380</v>
      </c>
      <c r="E109" s="54" t="s">
        <v>417</v>
      </c>
      <c r="F109" s="17"/>
      <c r="G109" s="15"/>
      <c r="H109" s="15"/>
      <c r="I109" s="15"/>
      <c r="J109" s="15"/>
      <c r="K109" s="15"/>
      <c r="L109" s="15"/>
      <c r="M109" s="16"/>
      <c r="N109" s="16"/>
      <c r="O109" s="18"/>
      <c r="P109" s="16"/>
      <c r="Q109" s="19"/>
    </row>
    <row r="110" spans="2:17" ht="30">
      <c r="B110" s="52" t="s">
        <v>298</v>
      </c>
      <c r="C110" s="67" t="s">
        <v>284</v>
      </c>
      <c r="D110" s="54" t="s">
        <v>380</v>
      </c>
      <c r="E110" s="54" t="s">
        <v>418</v>
      </c>
      <c r="F110" s="17"/>
      <c r="G110" s="15"/>
      <c r="H110" s="15"/>
      <c r="I110" s="15"/>
      <c r="J110" s="15"/>
      <c r="K110" s="15"/>
      <c r="L110" s="15"/>
      <c r="M110" s="16"/>
      <c r="N110" s="16"/>
      <c r="O110" s="18"/>
      <c r="P110" s="16"/>
      <c r="Q110" s="19"/>
    </row>
    <row r="111" spans="2:17" ht="30">
      <c r="B111" s="52" t="s">
        <v>298</v>
      </c>
      <c r="C111" s="67" t="s">
        <v>284</v>
      </c>
      <c r="D111" s="54" t="s">
        <v>380</v>
      </c>
      <c r="E111" s="54" t="s">
        <v>419</v>
      </c>
      <c r="F111" s="17"/>
      <c r="G111" s="15"/>
      <c r="H111" s="15"/>
      <c r="I111" s="15"/>
      <c r="J111" s="15"/>
      <c r="K111" s="15"/>
      <c r="L111" s="15"/>
      <c r="M111" s="16"/>
      <c r="N111" s="16"/>
      <c r="O111" s="18"/>
      <c r="P111" s="16"/>
      <c r="Q111" s="19"/>
    </row>
    <row r="112" spans="2:17" ht="30">
      <c r="B112" s="52" t="s">
        <v>298</v>
      </c>
      <c r="C112" s="67" t="s">
        <v>296</v>
      </c>
      <c r="D112" s="54" t="s">
        <v>422</v>
      </c>
      <c r="E112" s="54" t="s">
        <v>420</v>
      </c>
      <c r="F112" s="17"/>
      <c r="G112" s="15"/>
      <c r="H112" s="15"/>
      <c r="I112" s="15"/>
      <c r="J112" s="15"/>
      <c r="K112" s="15"/>
      <c r="L112" s="15"/>
      <c r="M112" s="16"/>
      <c r="N112" s="16"/>
      <c r="O112" s="18"/>
      <c r="P112" s="16"/>
      <c r="Q112" s="19"/>
    </row>
    <row r="113" spans="2:17" ht="30">
      <c r="B113" s="52" t="s">
        <v>298</v>
      </c>
      <c r="C113" s="67" t="s">
        <v>296</v>
      </c>
      <c r="D113" s="54" t="s">
        <v>422</v>
      </c>
      <c r="E113" s="54" t="s">
        <v>421</v>
      </c>
      <c r="F113" s="17"/>
      <c r="G113" s="15"/>
      <c r="H113" s="15"/>
      <c r="I113" s="15"/>
      <c r="J113" s="15"/>
      <c r="K113" s="15"/>
      <c r="L113" s="15"/>
      <c r="M113" s="16"/>
      <c r="N113" s="16"/>
      <c r="O113" s="18"/>
      <c r="P113" s="16"/>
      <c r="Q113" s="19"/>
    </row>
    <row r="114" spans="2:17">
      <c r="B114" s="52" t="s">
        <v>298</v>
      </c>
      <c r="C114" s="53" t="s">
        <v>289</v>
      </c>
      <c r="D114" s="54" t="s">
        <v>423</v>
      </c>
      <c r="E114" s="54" t="s">
        <v>454</v>
      </c>
      <c r="F114" s="17"/>
      <c r="G114" s="15"/>
      <c r="H114" s="15"/>
      <c r="I114" s="15"/>
      <c r="J114" s="15"/>
      <c r="K114" s="15"/>
      <c r="L114" s="15"/>
      <c r="M114" s="16"/>
      <c r="N114" s="16"/>
      <c r="O114" s="18"/>
      <c r="P114" s="16"/>
      <c r="Q114" s="19"/>
    </row>
    <row r="115" spans="2:17">
      <c r="B115" s="52" t="s">
        <v>298</v>
      </c>
      <c r="C115" s="53" t="s">
        <v>289</v>
      </c>
      <c r="D115" s="54" t="s">
        <v>423</v>
      </c>
      <c r="E115" s="54" t="s">
        <v>455</v>
      </c>
      <c r="F115" s="17"/>
      <c r="G115" s="15"/>
      <c r="H115" s="15"/>
      <c r="I115" s="15"/>
      <c r="J115" s="15"/>
      <c r="K115" s="15"/>
      <c r="L115" s="15"/>
      <c r="M115" s="16"/>
      <c r="N115" s="16"/>
      <c r="O115" s="18"/>
      <c r="P115" s="16"/>
      <c r="Q115" s="19"/>
    </row>
    <row r="116" spans="2:17">
      <c r="B116" s="52" t="s">
        <v>298</v>
      </c>
      <c r="C116" s="53" t="s">
        <v>289</v>
      </c>
      <c r="D116" s="54" t="s">
        <v>423</v>
      </c>
      <c r="E116" s="54" t="s">
        <v>421</v>
      </c>
      <c r="F116" s="17"/>
      <c r="G116" s="15"/>
      <c r="H116" s="15"/>
      <c r="I116" s="15"/>
      <c r="J116" s="15"/>
      <c r="K116" s="15"/>
      <c r="L116" s="15"/>
      <c r="M116" s="16"/>
      <c r="N116" s="16"/>
      <c r="O116" s="18"/>
      <c r="P116" s="16"/>
      <c r="Q116" s="19"/>
    </row>
    <row r="117" spans="2:17">
      <c r="B117" s="52" t="s">
        <v>298</v>
      </c>
      <c r="C117" s="53" t="s">
        <v>289</v>
      </c>
      <c r="D117" s="54" t="s">
        <v>423</v>
      </c>
      <c r="E117" s="54" t="s">
        <v>425</v>
      </c>
      <c r="F117" s="17"/>
      <c r="G117" s="15"/>
      <c r="H117" s="15"/>
      <c r="I117" s="15"/>
      <c r="J117" s="15"/>
      <c r="K117" s="15"/>
      <c r="L117" s="15"/>
      <c r="M117" s="16"/>
      <c r="N117" s="16"/>
      <c r="O117" s="18"/>
      <c r="P117" s="16"/>
      <c r="Q117" s="19"/>
    </row>
    <row r="118" spans="2:17">
      <c r="B118" s="52" t="s">
        <v>298</v>
      </c>
      <c r="C118" s="53" t="s">
        <v>427</v>
      </c>
      <c r="D118" s="54" t="s">
        <v>426</v>
      </c>
      <c r="E118" s="69" t="s">
        <v>428</v>
      </c>
      <c r="F118" s="17"/>
      <c r="G118" s="15"/>
      <c r="H118" s="15"/>
      <c r="I118" s="15"/>
      <c r="J118" s="15"/>
      <c r="K118" s="15"/>
      <c r="L118" s="15"/>
      <c r="M118" s="16"/>
      <c r="N118" s="16"/>
      <c r="O118" s="18"/>
      <c r="P118" s="16"/>
      <c r="Q118" s="19"/>
    </row>
    <row r="119" spans="2:17">
      <c r="B119" s="52" t="s">
        <v>298</v>
      </c>
      <c r="C119" s="53" t="s">
        <v>427</v>
      </c>
      <c r="D119" s="54" t="s">
        <v>426</v>
      </c>
      <c r="E119" s="70" t="s">
        <v>429</v>
      </c>
      <c r="F119" s="17"/>
      <c r="G119" s="15"/>
      <c r="H119" s="15"/>
      <c r="I119" s="15"/>
      <c r="J119" s="15"/>
      <c r="K119" s="15"/>
      <c r="L119" s="15"/>
      <c r="M119" s="16"/>
      <c r="N119" s="16"/>
      <c r="O119" s="18"/>
      <c r="P119" s="16"/>
      <c r="Q119" s="19"/>
    </row>
    <row r="120" spans="2:17">
      <c r="B120" s="52" t="s">
        <v>298</v>
      </c>
      <c r="C120" s="53" t="s">
        <v>427</v>
      </c>
      <c r="D120" s="54" t="s">
        <v>426</v>
      </c>
      <c r="E120" s="70" t="s">
        <v>430</v>
      </c>
      <c r="F120" s="17"/>
      <c r="G120" s="15"/>
      <c r="H120" s="15"/>
      <c r="I120" s="15"/>
      <c r="J120" s="15"/>
      <c r="K120" s="15"/>
      <c r="L120" s="15"/>
      <c r="M120" s="16"/>
      <c r="N120" s="16"/>
      <c r="O120" s="18"/>
      <c r="P120" s="16"/>
      <c r="Q120" s="19"/>
    </row>
    <row r="121" spans="2:17">
      <c r="B121" s="52" t="s">
        <v>298</v>
      </c>
      <c r="C121" s="53" t="s">
        <v>293</v>
      </c>
      <c r="D121" s="54" t="s">
        <v>441</v>
      </c>
      <c r="E121" s="69" t="s">
        <v>431</v>
      </c>
      <c r="F121" s="17"/>
      <c r="G121" s="15"/>
      <c r="H121" s="15"/>
      <c r="I121" s="15"/>
      <c r="J121" s="15"/>
      <c r="K121" s="15"/>
      <c r="L121" s="15"/>
      <c r="M121" s="16"/>
      <c r="N121" s="16"/>
      <c r="O121" s="18"/>
      <c r="P121" s="16"/>
      <c r="Q121" s="19"/>
    </row>
    <row r="122" spans="2:17">
      <c r="B122" s="52" t="s">
        <v>298</v>
      </c>
      <c r="C122" s="53" t="s">
        <v>293</v>
      </c>
      <c r="D122" s="54" t="s">
        <v>441</v>
      </c>
      <c r="E122" s="70" t="s">
        <v>432</v>
      </c>
      <c r="F122" s="17"/>
      <c r="G122" s="15"/>
      <c r="H122" s="15"/>
      <c r="I122" s="15"/>
      <c r="J122" s="15"/>
      <c r="K122" s="15"/>
      <c r="L122" s="15"/>
      <c r="M122" s="16"/>
      <c r="N122" s="16"/>
      <c r="O122" s="18"/>
      <c r="P122" s="16"/>
      <c r="Q122" s="19"/>
    </row>
    <row r="123" spans="2:17">
      <c r="B123" s="52" t="s">
        <v>298</v>
      </c>
      <c r="C123" s="53" t="s">
        <v>293</v>
      </c>
      <c r="D123" s="54" t="s">
        <v>441</v>
      </c>
      <c r="E123" s="70" t="s">
        <v>433</v>
      </c>
      <c r="F123" s="17"/>
      <c r="G123" s="15"/>
      <c r="H123" s="15"/>
      <c r="I123" s="15"/>
      <c r="J123" s="15"/>
      <c r="K123" s="15"/>
      <c r="L123" s="15"/>
      <c r="M123" s="16"/>
      <c r="N123" s="16"/>
      <c r="O123" s="18"/>
      <c r="P123" s="16"/>
      <c r="Q123" s="19"/>
    </row>
    <row r="124" spans="2:17">
      <c r="B124" s="52" t="s">
        <v>298</v>
      </c>
      <c r="C124" s="53" t="s">
        <v>293</v>
      </c>
      <c r="D124" s="54" t="s">
        <v>441</v>
      </c>
      <c r="E124" s="70" t="s">
        <v>434</v>
      </c>
      <c r="F124" s="17"/>
      <c r="G124" s="15"/>
      <c r="H124" s="15"/>
      <c r="I124" s="15"/>
      <c r="J124" s="15"/>
      <c r="K124" s="15"/>
      <c r="L124" s="15"/>
      <c r="M124" s="16"/>
      <c r="N124" s="16"/>
      <c r="O124" s="18"/>
      <c r="P124" s="16"/>
      <c r="Q124" s="19"/>
    </row>
    <row r="125" spans="2:17">
      <c r="B125" s="52" t="s">
        <v>298</v>
      </c>
      <c r="C125" s="53" t="s">
        <v>293</v>
      </c>
      <c r="D125" s="54" t="s">
        <v>441</v>
      </c>
      <c r="E125" s="70" t="s">
        <v>435</v>
      </c>
      <c r="F125" s="17"/>
      <c r="G125" s="15"/>
      <c r="H125" s="15"/>
      <c r="I125" s="15"/>
      <c r="J125" s="15"/>
      <c r="K125" s="15"/>
      <c r="L125" s="15"/>
      <c r="M125" s="16"/>
      <c r="N125" s="16"/>
      <c r="O125" s="18"/>
      <c r="P125" s="16"/>
      <c r="Q125" s="19"/>
    </row>
    <row r="126" spans="2:17">
      <c r="B126" s="52" t="s">
        <v>298</v>
      </c>
      <c r="C126" s="53" t="s">
        <v>293</v>
      </c>
      <c r="D126" s="54" t="s">
        <v>441</v>
      </c>
      <c r="E126" s="70" t="s">
        <v>436</v>
      </c>
      <c r="F126" s="17"/>
      <c r="G126" s="15"/>
      <c r="H126" s="15"/>
      <c r="I126" s="15"/>
      <c r="J126" s="15"/>
      <c r="K126" s="15"/>
      <c r="L126" s="15"/>
      <c r="M126" s="16"/>
      <c r="N126" s="16"/>
      <c r="O126" s="18"/>
      <c r="P126" s="16"/>
      <c r="Q126" s="19"/>
    </row>
    <row r="127" spans="2:17">
      <c r="B127" s="52" t="s">
        <v>298</v>
      </c>
      <c r="C127" s="53" t="s">
        <v>293</v>
      </c>
      <c r="D127" s="54" t="s">
        <v>441</v>
      </c>
      <c r="E127" s="70" t="s">
        <v>437</v>
      </c>
      <c r="F127" s="17"/>
      <c r="G127" s="15"/>
      <c r="H127" s="15"/>
      <c r="I127" s="15"/>
      <c r="J127" s="15"/>
      <c r="K127" s="15"/>
      <c r="L127" s="15"/>
      <c r="M127" s="16"/>
      <c r="N127" s="16"/>
      <c r="O127" s="18"/>
      <c r="P127" s="16"/>
      <c r="Q127" s="19"/>
    </row>
    <row r="128" spans="2:17">
      <c r="B128" s="52" t="s">
        <v>298</v>
      </c>
      <c r="C128" s="53" t="s">
        <v>293</v>
      </c>
      <c r="D128" s="54" t="s">
        <v>441</v>
      </c>
      <c r="E128" s="70" t="s">
        <v>438</v>
      </c>
      <c r="F128" s="17"/>
      <c r="G128" s="15"/>
      <c r="H128" s="15"/>
      <c r="I128" s="15"/>
      <c r="J128" s="15"/>
      <c r="K128" s="15"/>
      <c r="L128" s="15"/>
      <c r="M128" s="16"/>
      <c r="N128" s="16"/>
      <c r="O128" s="18"/>
      <c r="P128" s="16"/>
      <c r="Q128" s="19"/>
    </row>
    <row r="129" spans="2:17">
      <c r="B129" s="52" t="s">
        <v>298</v>
      </c>
      <c r="C129" s="53" t="s">
        <v>293</v>
      </c>
      <c r="D129" s="54" t="s">
        <v>441</v>
      </c>
      <c r="E129" s="70" t="s">
        <v>439</v>
      </c>
      <c r="F129" s="17"/>
      <c r="G129" s="15"/>
      <c r="H129" s="15"/>
      <c r="I129" s="15"/>
      <c r="J129" s="15"/>
      <c r="K129" s="15"/>
      <c r="L129" s="15"/>
      <c r="M129" s="16"/>
      <c r="N129" s="16"/>
      <c r="O129" s="18"/>
      <c r="P129" s="16"/>
      <c r="Q129" s="19"/>
    </row>
    <row r="130" spans="2:17">
      <c r="B130" s="52" t="s">
        <v>298</v>
      </c>
      <c r="C130" s="53" t="s">
        <v>293</v>
      </c>
      <c r="D130" s="54" t="s">
        <v>441</v>
      </c>
      <c r="E130" s="70" t="s">
        <v>456</v>
      </c>
      <c r="F130" s="17"/>
      <c r="G130" s="15"/>
      <c r="H130" s="15"/>
      <c r="I130" s="15"/>
      <c r="J130" s="15"/>
      <c r="K130" s="15"/>
      <c r="L130" s="15"/>
      <c r="M130" s="16"/>
      <c r="N130" s="16"/>
      <c r="O130" s="18"/>
      <c r="P130" s="16"/>
      <c r="Q130" s="19"/>
    </row>
    <row r="131" spans="2:17">
      <c r="B131" s="52" t="s">
        <v>298</v>
      </c>
      <c r="C131" s="53" t="s">
        <v>297</v>
      </c>
      <c r="D131" s="54" t="s">
        <v>297</v>
      </c>
      <c r="E131" s="70" t="s">
        <v>440</v>
      </c>
      <c r="F131" s="17"/>
      <c r="G131" s="15"/>
      <c r="H131" s="15"/>
      <c r="I131" s="15"/>
      <c r="J131" s="15"/>
      <c r="K131" s="15"/>
      <c r="L131" s="15"/>
      <c r="M131" s="16"/>
      <c r="N131" s="16"/>
      <c r="O131" s="18"/>
      <c r="P131" s="16"/>
      <c r="Q131" s="19"/>
    </row>
    <row r="132" spans="2:17">
      <c r="B132" s="52" t="s">
        <v>298</v>
      </c>
      <c r="C132" s="53" t="s">
        <v>297</v>
      </c>
      <c r="D132" s="54" t="s">
        <v>297</v>
      </c>
      <c r="E132" s="70" t="s">
        <v>457</v>
      </c>
      <c r="F132" s="17"/>
      <c r="G132" s="15"/>
      <c r="H132" s="15"/>
      <c r="I132" s="15"/>
      <c r="J132" s="15"/>
      <c r="K132" s="15"/>
      <c r="L132" s="15"/>
      <c r="M132" s="16"/>
      <c r="N132" s="16"/>
      <c r="O132" s="18"/>
      <c r="P132" s="16"/>
      <c r="Q132" s="19"/>
    </row>
    <row r="133" spans="2:17">
      <c r="B133" s="52" t="s">
        <v>298</v>
      </c>
      <c r="C133" s="53" t="s">
        <v>290</v>
      </c>
      <c r="D133" s="54" t="s">
        <v>446</v>
      </c>
      <c r="E133" s="69" t="s">
        <v>442</v>
      </c>
      <c r="F133" s="17"/>
      <c r="G133" s="15"/>
      <c r="H133" s="15"/>
      <c r="I133" s="15"/>
      <c r="J133" s="15"/>
      <c r="K133" s="15"/>
      <c r="L133" s="15"/>
      <c r="M133" s="16"/>
      <c r="N133" s="16"/>
      <c r="O133" s="18"/>
      <c r="P133" s="16"/>
      <c r="Q133" s="19"/>
    </row>
    <row r="134" spans="2:17">
      <c r="B134" s="52" t="s">
        <v>298</v>
      </c>
      <c r="C134" s="53" t="s">
        <v>290</v>
      </c>
      <c r="D134" s="54" t="s">
        <v>446</v>
      </c>
      <c r="E134" s="70" t="s">
        <v>443</v>
      </c>
      <c r="F134" s="17"/>
      <c r="G134" s="15"/>
      <c r="H134" s="15"/>
      <c r="I134" s="15"/>
      <c r="J134" s="15"/>
      <c r="K134" s="15"/>
      <c r="L134" s="15"/>
      <c r="M134" s="16"/>
      <c r="N134" s="16"/>
      <c r="O134" s="18"/>
      <c r="P134" s="16"/>
      <c r="Q134" s="19"/>
    </row>
    <row r="135" spans="2:17">
      <c r="B135" s="52" t="s">
        <v>298</v>
      </c>
      <c r="C135" s="53" t="s">
        <v>290</v>
      </c>
      <c r="D135" s="54" t="s">
        <v>446</v>
      </c>
      <c r="E135" s="70" t="s">
        <v>444</v>
      </c>
      <c r="F135" s="17"/>
      <c r="G135" s="15"/>
      <c r="H135" s="15"/>
      <c r="I135" s="15"/>
      <c r="J135" s="15"/>
      <c r="K135" s="15"/>
      <c r="L135" s="15"/>
      <c r="M135" s="16"/>
      <c r="N135" s="16"/>
      <c r="O135" s="18"/>
      <c r="P135" s="16"/>
      <c r="Q135" s="19"/>
    </row>
    <row r="136" spans="2:17">
      <c r="B136" s="52" t="s">
        <v>298</v>
      </c>
      <c r="C136" s="53" t="s">
        <v>290</v>
      </c>
      <c r="D136" s="54" t="s">
        <v>446</v>
      </c>
      <c r="E136" s="70" t="s">
        <v>445</v>
      </c>
      <c r="F136" s="17"/>
      <c r="G136" s="15"/>
      <c r="H136" s="15"/>
      <c r="I136" s="15"/>
      <c r="J136" s="15"/>
      <c r="K136" s="15"/>
      <c r="L136" s="15"/>
      <c r="M136" s="16"/>
      <c r="N136" s="16"/>
      <c r="O136" s="18"/>
      <c r="P136" s="16"/>
      <c r="Q136" s="19"/>
    </row>
    <row r="137" spans="2:17">
      <c r="B137" s="52" t="s">
        <v>298</v>
      </c>
      <c r="C137" s="53" t="s">
        <v>291</v>
      </c>
      <c r="D137" s="54" t="s">
        <v>451</v>
      </c>
      <c r="E137" s="54" t="s">
        <v>447</v>
      </c>
      <c r="F137" s="17"/>
      <c r="G137" s="15"/>
      <c r="H137" s="15"/>
      <c r="I137" s="15"/>
      <c r="J137" s="15"/>
      <c r="K137" s="15"/>
      <c r="L137" s="15"/>
      <c r="M137" s="16"/>
      <c r="N137" s="16"/>
      <c r="O137" s="18"/>
      <c r="P137" s="16"/>
      <c r="Q137" s="19"/>
    </row>
    <row r="138" spans="2:17">
      <c r="B138" s="52" t="s">
        <v>298</v>
      </c>
      <c r="C138" s="53" t="s">
        <v>291</v>
      </c>
      <c r="D138" s="54" t="s">
        <v>451</v>
      </c>
      <c r="E138" s="54" t="s">
        <v>448</v>
      </c>
      <c r="F138" s="17"/>
      <c r="G138" s="15"/>
      <c r="H138" s="15"/>
      <c r="I138" s="15"/>
      <c r="J138" s="15"/>
      <c r="K138" s="15"/>
      <c r="L138" s="15"/>
      <c r="M138" s="16"/>
      <c r="N138" s="16"/>
      <c r="O138" s="18"/>
      <c r="P138" s="16"/>
      <c r="Q138" s="19"/>
    </row>
    <row r="139" spans="2:17">
      <c r="B139" s="52" t="s">
        <v>298</v>
      </c>
      <c r="C139" s="53" t="s">
        <v>291</v>
      </c>
      <c r="D139" s="54" t="s">
        <v>451</v>
      </c>
      <c r="E139" s="54" t="s">
        <v>449</v>
      </c>
      <c r="F139" s="17"/>
      <c r="G139" s="15"/>
      <c r="H139" s="15"/>
      <c r="I139" s="15"/>
      <c r="J139" s="15"/>
      <c r="K139" s="15"/>
      <c r="L139" s="15"/>
      <c r="M139" s="16"/>
      <c r="N139" s="16"/>
      <c r="O139" s="18"/>
      <c r="P139" s="16"/>
      <c r="Q139" s="19"/>
    </row>
    <row r="140" spans="2:17">
      <c r="B140" s="52" t="s">
        <v>298</v>
      </c>
      <c r="C140" s="53" t="s">
        <v>291</v>
      </c>
      <c r="D140" s="54" t="s">
        <v>451</v>
      </c>
      <c r="E140" s="54" t="s">
        <v>450</v>
      </c>
      <c r="F140" s="17"/>
      <c r="G140" s="15"/>
      <c r="H140" s="15"/>
      <c r="I140" s="15"/>
      <c r="J140" s="15"/>
      <c r="K140" s="15"/>
      <c r="L140" s="15"/>
      <c r="M140" s="16"/>
      <c r="N140" s="16"/>
      <c r="O140" s="18"/>
      <c r="P140" s="16"/>
      <c r="Q140" s="19"/>
    </row>
    <row r="141" spans="2:17" ht="30">
      <c r="B141" s="52" t="s">
        <v>298</v>
      </c>
      <c r="C141" s="53" t="s">
        <v>452</v>
      </c>
      <c r="D141" s="54" t="s">
        <v>453</v>
      </c>
      <c r="E141" s="54" t="s">
        <v>447</v>
      </c>
      <c r="F141" s="17"/>
      <c r="G141" s="15"/>
      <c r="H141" s="15"/>
      <c r="I141" s="15"/>
      <c r="J141" s="15"/>
      <c r="K141" s="15"/>
      <c r="L141" s="15"/>
      <c r="M141" s="16"/>
      <c r="N141" s="16"/>
      <c r="O141" s="18"/>
      <c r="P141" s="16"/>
      <c r="Q141" s="19"/>
    </row>
    <row r="142" spans="2:17" ht="30">
      <c r="B142" s="52" t="s">
        <v>298</v>
      </c>
      <c r="C142" s="53" t="s">
        <v>452</v>
      </c>
      <c r="D142" s="54" t="s">
        <v>453</v>
      </c>
      <c r="E142" s="54" t="s">
        <v>448</v>
      </c>
      <c r="F142" s="17"/>
      <c r="G142" s="15"/>
      <c r="H142" s="15"/>
      <c r="I142" s="15"/>
      <c r="J142" s="15"/>
      <c r="K142" s="15"/>
      <c r="L142" s="15"/>
      <c r="M142" s="16"/>
      <c r="N142" s="16"/>
      <c r="O142" s="18"/>
      <c r="P142" s="16"/>
      <c r="Q142" s="19"/>
    </row>
    <row r="143" spans="2:17" ht="30">
      <c r="B143" s="52" t="s">
        <v>298</v>
      </c>
      <c r="C143" s="53" t="s">
        <v>452</v>
      </c>
      <c r="D143" s="54" t="s">
        <v>453</v>
      </c>
      <c r="E143" s="54" t="s">
        <v>449</v>
      </c>
      <c r="F143" s="17"/>
      <c r="G143" s="15"/>
      <c r="H143" s="15"/>
      <c r="I143" s="15"/>
      <c r="J143" s="15"/>
      <c r="K143" s="15"/>
      <c r="L143" s="15"/>
      <c r="M143" s="16"/>
      <c r="N143" s="16"/>
      <c r="O143" s="18"/>
      <c r="P143" s="16"/>
      <c r="Q143" s="19"/>
    </row>
    <row r="144" spans="2:17" ht="30">
      <c r="B144" s="52" t="s">
        <v>298</v>
      </c>
      <c r="C144" s="53" t="s">
        <v>452</v>
      </c>
      <c r="D144" s="54" t="s">
        <v>453</v>
      </c>
      <c r="E144" s="54" t="s">
        <v>450</v>
      </c>
      <c r="F144" s="17"/>
      <c r="G144" s="15"/>
      <c r="H144" s="15"/>
      <c r="I144" s="15"/>
      <c r="J144" s="15"/>
      <c r="K144" s="15"/>
      <c r="L144" s="15"/>
      <c r="M144" s="16"/>
      <c r="N144" s="16"/>
      <c r="O144" s="18"/>
      <c r="P144" s="16"/>
      <c r="Q144" s="19"/>
    </row>
    <row r="145" spans="2:17">
      <c r="B145" s="52"/>
      <c r="C145" s="53"/>
      <c r="D145" s="54"/>
      <c r="E145" s="54"/>
      <c r="F145" s="17"/>
      <c r="G145" s="15"/>
      <c r="H145" s="15"/>
      <c r="I145" s="15"/>
      <c r="J145" s="15"/>
      <c r="K145" s="15"/>
      <c r="L145" s="15"/>
      <c r="M145" s="16"/>
      <c r="N145" s="16"/>
      <c r="O145" s="18"/>
      <c r="P145" s="16"/>
      <c r="Q145" s="19"/>
    </row>
    <row r="146" spans="2:17">
      <c r="B146" s="52"/>
      <c r="C146" s="53"/>
      <c r="D146" s="54"/>
      <c r="E146" s="54"/>
      <c r="F146" s="17"/>
      <c r="G146" s="15"/>
      <c r="H146" s="15"/>
      <c r="I146" s="15"/>
      <c r="J146" s="15"/>
      <c r="K146" s="15"/>
      <c r="L146" s="15"/>
      <c r="M146" s="16"/>
      <c r="N146" s="16"/>
      <c r="O146" s="18"/>
      <c r="P146" s="16"/>
      <c r="Q146" s="19"/>
    </row>
    <row r="147" spans="2:17">
      <c r="B147" s="52"/>
      <c r="C147" s="53"/>
      <c r="D147" s="54"/>
      <c r="E147" s="54"/>
      <c r="F147" s="17"/>
      <c r="G147" s="15"/>
      <c r="H147" s="15"/>
      <c r="I147" s="15"/>
      <c r="J147" s="15"/>
      <c r="K147" s="15"/>
      <c r="L147" s="15"/>
      <c r="M147" s="16"/>
      <c r="N147" s="16"/>
      <c r="O147" s="18"/>
      <c r="P147" s="16"/>
      <c r="Q147" s="19"/>
    </row>
    <row r="148" spans="2:17">
      <c r="B148" s="52"/>
      <c r="C148" s="53"/>
      <c r="D148" s="54"/>
      <c r="E148" s="54"/>
      <c r="F148" s="17"/>
      <c r="G148" s="15"/>
      <c r="H148" s="15"/>
      <c r="I148" s="15"/>
      <c r="J148" s="15"/>
      <c r="K148" s="15"/>
      <c r="L148" s="15"/>
      <c r="M148" s="16"/>
      <c r="N148" s="16"/>
      <c r="O148" s="18"/>
      <c r="P148" s="16"/>
      <c r="Q148" s="19"/>
    </row>
    <row r="149" spans="2:17">
      <c r="B149" s="52"/>
      <c r="C149" s="53"/>
      <c r="D149" s="54"/>
      <c r="E149" s="54"/>
      <c r="F149" s="17"/>
      <c r="G149" s="15"/>
      <c r="H149" s="15"/>
      <c r="I149" s="15"/>
      <c r="J149" s="15"/>
      <c r="K149" s="15"/>
      <c r="L149" s="15"/>
      <c r="M149" s="16"/>
      <c r="N149" s="16"/>
      <c r="O149" s="18"/>
      <c r="P149" s="16"/>
      <c r="Q149" s="19"/>
    </row>
    <row r="150" spans="2:17">
      <c r="B150" s="52"/>
      <c r="C150" s="53"/>
      <c r="D150" s="54"/>
      <c r="E150" s="54"/>
      <c r="F150" s="17"/>
      <c r="G150" s="15"/>
      <c r="H150" s="15"/>
      <c r="I150" s="15"/>
      <c r="J150" s="15"/>
      <c r="K150" s="15"/>
      <c r="L150" s="15"/>
      <c r="M150" s="16"/>
      <c r="N150" s="16"/>
      <c r="O150" s="18"/>
      <c r="P150" s="16"/>
      <c r="Q150" s="19"/>
    </row>
    <row r="151" spans="2:17">
      <c r="B151" s="52"/>
      <c r="C151" s="53"/>
      <c r="D151" s="54"/>
      <c r="E151" s="54"/>
      <c r="F151" s="17"/>
      <c r="G151" s="15"/>
      <c r="H151" s="15"/>
      <c r="I151" s="15"/>
      <c r="J151" s="15"/>
      <c r="K151" s="15"/>
      <c r="L151" s="15"/>
      <c r="M151" s="16"/>
      <c r="N151" s="16"/>
      <c r="O151" s="18"/>
      <c r="P151" s="16"/>
      <c r="Q151" s="19"/>
    </row>
    <row r="152" spans="2:17">
      <c r="B152" s="52"/>
      <c r="C152" s="53"/>
      <c r="D152" s="54"/>
      <c r="E152" s="54"/>
      <c r="F152" s="17"/>
      <c r="G152" s="15"/>
      <c r="H152" s="15"/>
      <c r="I152" s="15"/>
      <c r="J152" s="15"/>
      <c r="K152" s="15"/>
      <c r="L152" s="15"/>
      <c r="M152" s="16"/>
      <c r="N152" s="16"/>
      <c r="O152" s="18"/>
      <c r="P152" s="16"/>
      <c r="Q152" s="19"/>
    </row>
    <row r="153" spans="2:17">
      <c r="B153" s="52"/>
      <c r="C153" s="53"/>
      <c r="D153" s="54"/>
      <c r="E153" s="54"/>
      <c r="F153" s="17"/>
      <c r="G153" s="15"/>
      <c r="H153" s="15"/>
      <c r="I153" s="15"/>
      <c r="J153" s="15"/>
      <c r="K153" s="15"/>
      <c r="L153" s="15"/>
      <c r="M153" s="16"/>
      <c r="N153" s="16"/>
      <c r="O153" s="18"/>
      <c r="P153" s="16"/>
      <c r="Q153" s="19"/>
    </row>
    <row r="154" spans="2:17">
      <c r="B154" s="52"/>
      <c r="C154" s="53"/>
      <c r="D154" s="54"/>
      <c r="E154" s="54"/>
      <c r="F154" s="17"/>
      <c r="G154" s="15"/>
      <c r="H154" s="15"/>
      <c r="I154" s="15"/>
      <c r="J154" s="15"/>
      <c r="K154" s="15"/>
      <c r="L154" s="15"/>
      <c r="M154" s="16"/>
      <c r="N154" s="16"/>
      <c r="O154" s="18"/>
      <c r="P154" s="16"/>
      <c r="Q154" s="19"/>
    </row>
    <row r="155" spans="2:17">
      <c r="B155" s="52"/>
      <c r="C155" s="53"/>
      <c r="D155" s="54"/>
      <c r="E155" s="54"/>
      <c r="F155" s="17"/>
      <c r="G155" s="15"/>
      <c r="H155" s="15"/>
      <c r="I155" s="15"/>
      <c r="J155" s="15"/>
      <c r="K155" s="15"/>
      <c r="L155" s="15"/>
      <c r="M155" s="16"/>
      <c r="N155" s="16"/>
      <c r="O155" s="18"/>
      <c r="P155" s="16"/>
      <c r="Q155" s="19"/>
    </row>
    <row r="156" spans="2:17">
      <c r="B156" s="52"/>
      <c r="C156" s="53"/>
      <c r="D156" s="54"/>
      <c r="E156" s="54"/>
      <c r="F156" s="17"/>
      <c r="G156" s="15"/>
      <c r="H156" s="15"/>
      <c r="I156" s="15"/>
      <c r="J156" s="15"/>
      <c r="K156" s="15"/>
      <c r="L156" s="15"/>
      <c r="M156" s="16"/>
      <c r="N156" s="16"/>
      <c r="O156" s="18"/>
      <c r="P156" s="16"/>
      <c r="Q156" s="19"/>
    </row>
    <row r="157" spans="2:17">
      <c r="B157" s="52"/>
      <c r="C157" s="53"/>
      <c r="D157" s="54"/>
      <c r="E157" s="54"/>
      <c r="F157" s="17"/>
      <c r="G157" s="15"/>
      <c r="H157" s="15"/>
      <c r="I157" s="15"/>
      <c r="J157" s="15"/>
      <c r="K157" s="15"/>
      <c r="L157" s="15"/>
      <c r="M157" s="16"/>
      <c r="N157" s="16"/>
      <c r="O157" s="18"/>
      <c r="P157" s="16"/>
      <c r="Q157" s="19"/>
    </row>
    <row r="158" spans="2:17">
      <c r="B158" s="52"/>
      <c r="C158" s="53"/>
      <c r="D158" s="54"/>
      <c r="E158" s="54"/>
      <c r="F158" s="17"/>
      <c r="G158" s="15"/>
      <c r="H158" s="15"/>
      <c r="I158" s="15"/>
      <c r="J158" s="15"/>
      <c r="K158" s="15"/>
      <c r="L158" s="15"/>
      <c r="M158" s="16"/>
      <c r="N158" s="16"/>
      <c r="O158" s="18"/>
      <c r="P158" s="16"/>
      <c r="Q158" s="19"/>
    </row>
    <row r="159" spans="2:17">
      <c r="B159" s="52"/>
      <c r="C159" s="53"/>
      <c r="D159" s="54"/>
      <c r="E159" s="54"/>
      <c r="F159" s="17"/>
      <c r="G159" s="15"/>
      <c r="H159" s="15"/>
      <c r="I159" s="15"/>
      <c r="J159" s="15"/>
      <c r="K159" s="15"/>
      <c r="L159" s="15"/>
      <c r="M159" s="16"/>
      <c r="N159" s="16"/>
      <c r="O159" s="18"/>
      <c r="P159" s="16"/>
      <c r="Q159" s="19"/>
    </row>
    <row r="160" spans="2:17">
      <c r="B160" s="52"/>
      <c r="C160" s="53"/>
      <c r="D160" s="54"/>
      <c r="E160" s="54"/>
      <c r="F160" s="17"/>
      <c r="G160" s="15"/>
      <c r="H160" s="15"/>
      <c r="I160" s="15"/>
      <c r="J160" s="15"/>
      <c r="K160" s="15"/>
      <c r="L160" s="15"/>
      <c r="M160" s="16"/>
      <c r="N160" s="16"/>
      <c r="O160" s="18"/>
      <c r="P160" s="16"/>
      <c r="Q160" s="19"/>
    </row>
    <row r="161" spans="2:17">
      <c r="B161" s="52"/>
      <c r="C161" s="53"/>
      <c r="D161" s="54"/>
      <c r="E161" s="54"/>
      <c r="F161" s="17"/>
      <c r="G161" s="15"/>
      <c r="H161" s="15"/>
      <c r="I161" s="15"/>
      <c r="J161" s="15"/>
      <c r="K161" s="15"/>
      <c r="L161" s="15"/>
      <c r="M161" s="16"/>
      <c r="N161" s="16"/>
      <c r="O161" s="18"/>
      <c r="P161" s="16"/>
      <c r="Q161" s="19"/>
    </row>
    <row r="162" spans="2:17">
      <c r="B162" s="52"/>
      <c r="C162" s="53"/>
      <c r="D162" s="54"/>
      <c r="E162" s="54"/>
      <c r="F162" s="17"/>
      <c r="G162" s="15"/>
      <c r="H162" s="15"/>
      <c r="I162" s="15"/>
      <c r="J162" s="15"/>
      <c r="K162" s="15"/>
      <c r="L162" s="15"/>
      <c r="M162" s="16"/>
      <c r="N162" s="16"/>
      <c r="O162" s="18"/>
      <c r="P162" s="16"/>
      <c r="Q162" s="19"/>
    </row>
    <row r="163" spans="2:17">
      <c r="B163" s="52"/>
      <c r="C163" s="53"/>
      <c r="D163" s="54"/>
      <c r="E163" s="54"/>
      <c r="F163" s="17"/>
      <c r="G163" s="15"/>
      <c r="H163" s="15"/>
      <c r="I163" s="15"/>
      <c r="J163" s="15"/>
      <c r="K163" s="15"/>
      <c r="L163" s="15"/>
      <c r="M163" s="16"/>
      <c r="N163" s="16"/>
      <c r="O163" s="18"/>
      <c r="P163" s="16"/>
      <c r="Q163" s="19"/>
    </row>
    <row r="164" spans="2:17">
      <c r="B164" s="52"/>
      <c r="C164" s="53"/>
      <c r="D164" s="54"/>
      <c r="E164" s="54"/>
      <c r="F164" s="17"/>
      <c r="G164" s="15"/>
      <c r="H164" s="15"/>
      <c r="I164" s="15"/>
      <c r="J164" s="15"/>
      <c r="K164" s="15"/>
      <c r="L164" s="15"/>
      <c r="M164" s="16"/>
      <c r="N164" s="16"/>
      <c r="O164" s="18"/>
      <c r="P164" s="16"/>
      <c r="Q164" s="19"/>
    </row>
    <row r="165" spans="2:17">
      <c r="B165" s="52"/>
      <c r="C165" s="53"/>
      <c r="D165" s="54"/>
      <c r="E165" s="54"/>
      <c r="F165" s="17"/>
      <c r="G165" s="15"/>
      <c r="H165" s="15"/>
      <c r="I165" s="15"/>
      <c r="J165" s="15"/>
      <c r="K165" s="15"/>
      <c r="L165" s="15"/>
      <c r="M165" s="16"/>
      <c r="N165" s="16"/>
      <c r="O165" s="18"/>
      <c r="P165" s="16"/>
      <c r="Q165" s="19"/>
    </row>
    <row r="166" spans="2:17">
      <c r="B166" s="52"/>
      <c r="C166" s="53"/>
      <c r="D166" s="54"/>
      <c r="E166" s="54"/>
      <c r="F166" s="17"/>
      <c r="G166" s="15"/>
      <c r="H166" s="15"/>
      <c r="I166" s="15"/>
      <c r="J166" s="15"/>
      <c r="K166" s="15"/>
      <c r="L166" s="15"/>
      <c r="M166" s="16"/>
      <c r="N166" s="16"/>
      <c r="O166" s="18"/>
      <c r="P166" s="16"/>
      <c r="Q166" s="19"/>
    </row>
    <row r="167" spans="2:17">
      <c r="B167" s="52"/>
      <c r="C167" s="53"/>
      <c r="D167" s="54"/>
      <c r="E167" s="54"/>
      <c r="F167" s="17"/>
      <c r="G167" s="15"/>
      <c r="H167" s="15"/>
      <c r="I167" s="15"/>
      <c r="J167" s="15"/>
      <c r="K167" s="15"/>
      <c r="L167" s="15"/>
      <c r="M167" s="16"/>
      <c r="N167" s="16"/>
      <c r="O167" s="18"/>
      <c r="P167" s="16"/>
      <c r="Q167" s="19"/>
    </row>
    <row r="168" spans="2:17">
      <c r="B168" s="52"/>
      <c r="C168" s="53"/>
      <c r="D168" s="54"/>
      <c r="E168" s="54"/>
      <c r="F168" s="17"/>
      <c r="G168" s="15"/>
      <c r="H168" s="15"/>
      <c r="I168" s="15"/>
      <c r="J168" s="15"/>
      <c r="K168" s="15"/>
      <c r="L168" s="15"/>
      <c r="M168" s="16"/>
      <c r="N168" s="16"/>
      <c r="O168" s="18"/>
      <c r="P168" s="16"/>
      <c r="Q168" s="19"/>
    </row>
    <row r="169" spans="2:17">
      <c r="B169" s="52"/>
      <c r="C169" s="53"/>
      <c r="D169" s="54"/>
      <c r="E169" s="54"/>
      <c r="F169" s="17"/>
      <c r="G169" s="15"/>
      <c r="H169" s="15"/>
      <c r="I169" s="15"/>
      <c r="J169" s="15"/>
      <c r="K169" s="15"/>
      <c r="L169" s="15"/>
      <c r="M169" s="16"/>
      <c r="N169" s="16"/>
      <c r="O169" s="18"/>
      <c r="P169" s="16"/>
      <c r="Q169" s="19"/>
    </row>
    <row r="170" spans="2:17">
      <c r="B170" s="52"/>
      <c r="C170" s="53"/>
      <c r="D170" s="54"/>
      <c r="E170" s="54"/>
      <c r="F170" s="17"/>
      <c r="G170" s="15"/>
      <c r="H170" s="15"/>
      <c r="I170" s="15"/>
      <c r="J170" s="15"/>
      <c r="K170" s="15"/>
      <c r="L170" s="15"/>
      <c r="M170" s="16"/>
      <c r="N170" s="16"/>
      <c r="O170" s="18"/>
      <c r="P170" s="16"/>
      <c r="Q170" s="19"/>
    </row>
    <row r="171" spans="2:17">
      <c r="B171" s="52"/>
      <c r="C171" s="53"/>
      <c r="D171" s="54"/>
      <c r="E171" s="54"/>
      <c r="F171" s="17"/>
      <c r="G171" s="15"/>
      <c r="H171" s="15"/>
      <c r="I171" s="15"/>
      <c r="J171" s="15"/>
      <c r="K171" s="15"/>
      <c r="L171" s="15"/>
      <c r="M171" s="16"/>
      <c r="N171" s="16"/>
      <c r="O171" s="18"/>
      <c r="P171" s="16"/>
      <c r="Q171" s="19"/>
    </row>
    <row r="172" spans="2:17">
      <c r="B172" s="52"/>
      <c r="C172" s="53"/>
      <c r="D172" s="54"/>
      <c r="E172" s="54"/>
      <c r="F172" s="17"/>
      <c r="G172" s="15"/>
      <c r="H172" s="15"/>
      <c r="I172" s="15"/>
      <c r="J172" s="15"/>
      <c r="K172" s="15"/>
      <c r="L172" s="15"/>
      <c r="M172" s="16"/>
      <c r="N172" s="16"/>
      <c r="O172" s="18"/>
      <c r="P172" s="16"/>
      <c r="Q172" s="19"/>
    </row>
    <row r="173" spans="2:17">
      <c r="B173" s="52"/>
      <c r="C173" s="53"/>
      <c r="D173" s="54"/>
      <c r="E173" s="54"/>
      <c r="F173" s="17"/>
      <c r="G173" s="15"/>
      <c r="H173" s="15"/>
      <c r="I173" s="15"/>
      <c r="J173" s="15"/>
      <c r="K173" s="15"/>
      <c r="L173" s="15"/>
      <c r="M173" s="16"/>
      <c r="N173" s="16"/>
      <c r="O173" s="18"/>
      <c r="P173" s="16"/>
      <c r="Q173" s="19"/>
    </row>
    <row r="174" spans="2:17">
      <c r="B174" s="52"/>
      <c r="C174" s="53"/>
      <c r="D174" s="54"/>
      <c r="E174" s="54"/>
      <c r="F174" s="17"/>
      <c r="G174" s="15"/>
      <c r="H174" s="15"/>
      <c r="I174" s="15"/>
      <c r="J174" s="15"/>
      <c r="K174" s="15"/>
      <c r="L174" s="15"/>
      <c r="M174" s="16"/>
      <c r="N174" s="16"/>
      <c r="O174" s="18"/>
      <c r="P174" s="16"/>
      <c r="Q174" s="19"/>
    </row>
    <row r="175" spans="2:17">
      <c r="B175" s="52"/>
      <c r="C175" s="53"/>
      <c r="D175" s="54"/>
      <c r="E175" s="54"/>
      <c r="F175" s="17"/>
      <c r="G175" s="15"/>
      <c r="H175" s="15"/>
      <c r="I175" s="15"/>
      <c r="J175" s="15"/>
      <c r="K175" s="15"/>
      <c r="L175" s="15"/>
      <c r="M175" s="16"/>
      <c r="N175" s="16"/>
      <c r="O175" s="18"/>
      <c r="P175" s="16"/>
      <c r="Q175" s="19"/>
    </row>
    <row r="176" spans="2:17">
      <c r="B176" s="52"/>
      <c r="C176" s="53"/>
      <c r="D176" s="54"/>
      <c r="E176" s="54"/>
      <c r="F176" s="17"/>
      <c r="G176" s="15"/>
      <c r="H176" s="15"/>
      <c r="I176" s="15"/>
      <c r="J176" s="15"/>
      <c r="K176" s="15"/>
      <c r="L176" s="15"/>
      <c r="M176" s="16"/>
      <c r="N176" s="16"/>
      <c r="O176" s="18"/>
      <c r="P176" s="16"/>
      <c r="Q176" s="19"/>
    </row>
    <row r="177" spans="2:17">
      <c r="B177" s="52"/>
      <c r="C177" s="53"/>
      <c r="D177" s="54"/>
      <c r="E177" s="54"/>
      <c r="F177" s="17"/>
      <c r="G177" s="15"/>
      <c r="H177" s="15"/>
      <c r="I177" s="15"/>
      <c r="J177" s="15"/>
      <c r="K177" s="15"/>
      <c r="L177" s="15"/>
      <c r="M177" s="16"/>
      <c r="N177" s="16"/>
      <c r="O177" s="18"/>
      <c r="P177" s="16"/>
      <c r="Q177" s="19"/>
    </row>
    <row r="178" spans="2:17">
      <c r="B178" s="52"/>
      <c r="C178" s="53"/>
      <c r="D178" s="54"/>
      <c r="E178" s="54"/>
      <c r="F178" s="17"/>
      <c r="G178" s="15"/>
      <c r="H178" s="15"/>
      <c r="I178" s="15"/>
      <c r="J178" s="15"/>
      <c r="K178" s="15"/>
      <c r="L178" s="15"/>
      <c r="M178" s="16"/>
      <c r="N178" s="16"/>
      <c r="O178" s="18"/>
      <c r="P178" s="16"/>
      <c r="Q178" s="19"/>
    </row>
    <row r="179" spans="2:17">
      <c r="B179" s="52"/>
      <c r="C179" s="53"/>
      <c r="D179" s="54"/>
      <c r="E179" s="54"/>
      <c r="F179" s="17"/>
      <c r="G179" s="15"/>
      <c r="H179" s="15"/>
      <c r="I179" s="15"/>
      <c r="J179" s="15"/>
      <c r="K179" s="15"/>
      <c r="L179" s="15"/>
      <c r="M179" s="16"/>
      <c r="N179" s="16"/>
      <c r="O179" s="18"/>
      <c r="P179" s="16"/>
      <c r="Q179" s="19"/>
    </row>
    <row r="180" spans="2:17">
      <c r="B180" s="52"/>
      <c r="C180" s="53"/>
      <c r="D180" s="54"/>
      <c r="E180" s="54"/>
      <c r="F180" s="17"/>
      <c r="G180" s="15"/>
      <c r="H180" s="15"/>
      <c r="I180" s="15"/>
      <c r="J180" s="15"/>
      <c r="K180" s="15"/>
      <c r="L180" s="15"/>
      <c r="M180" s="16"/>
      <c r="N180" s="16"/>
      <c r="O180" s="18"/>
      <c r="P180" s="16"/>
      <c r="Q180" s="19"/>
    </row>
    <row r="181" spans="2:17">
      <c r="B181" s="52"/>
      <c r="C181" s="53"/>
      <c r="D181" s="54"/>
      <c r="E181" s="54"/>
      <c r="F181" s="17"/>
      <c r="G181" s="15"/>
      <c r="H181" s="15"/>
      <c r="I181" s="15"/>
      <c r="J181" s="15"/>
      <c r="K181" s="15"/>
      <c r="L181" s="15"/>
      <c r="M181" s="16"/>
      <c r="N181" s="16"/>
      <c r="O181" s="18"/>
      <c r="P181" s="16"/>
      <c r="Q181" s="19"/>
    </row>
    <row r="182" spans="2:17">
      <c r="B182" s="52"/>
      <c r="C182" s="53"/>
      <c r="D182" s="54"/>
      <c r="E182" s="54"/>
      <c r="F182" s="17"/>
      <c r="G182" s="15"/>
      <c r="H182" s="15"/>
      <c r="I182" s="15"/>
      <c r="J182" s="15"/>
      <c r="K182" s="15"/>
      <c r="L182" s="15"/>
      <c r="M182" s="16"/>
      <c r="N182" s="16"/>
      <c r="O182" s="18"/>
      <c r="P182" s="16"/>
      <c r="Q182" s="19"/>
    </row>
    <row r="183" spans="2:17">
      <c r="B183" s="52"/>
      <c r="C183" s="53"/>
      <c r="D183" s="54"/>
      <c r="E183" s="54"/>
      <c r="F183" s="17"/>
      <c r="G183" s="15"/>
      <c r="H183" s="15"/>
      <c r="I183" s="15"/>
      <c r="J183" s="15"/>
      <c r="K183" s="15"/>
      <c r="L183" s="15"/>
      <c r="M183" s="16"/>
      <c r="N183" s="16"/>
      <c r="O183" s="18"/>
      <c r="P183" s="16"/>
      <c r="Q183" s="19"/>
    </row>
    <row r="184" spans="2:17">
      <c r="B184" s="52"/>
      <c r="C184" s="53"/>
      <c r="D184" s="54"/>
      <c r="E184" s="54"/>
      <c r="F184" s="17"/>
      <c r="G184" s="15"/>
      <c r="H184" s="15"/>
      <c r="I184" s="15"/>
      <c r="J184" s="15"/>
      <c r="K184" s="15"/>
      <c r="L184" s="15"/>
      <c r="M184" s="16"/>
      <c r="N184" s="16"/>
      <c r="O184" s="18"/>
      <c r="P184" s="16"/>
      <c r="Q184" s="19"/>
    </row>
    <row r="185" spans="2:17">
      <c r="B185" s="52"/>
      <c r="C185" s="53"/>
      <c r="D185" s="54"/>
      <c r="E185" s="54"/>
      <c r="F185" s="17"/>
      <c r="G185" s="15"/>
      <c r="H185" s="15"/>
      <c r="I185" s="15"/>
      <c r="J185" s="15"/>
      <c r="K185" s="15"/>
      <c r="L185" s="15"/>
      <c r="M185" s="16"/>
      <c r="N185" s="16"/>
      <c r="O185" s="18"/>
      <c r="P185" s="16"/>
      <c r="Q185" s="19"/>
    </row>
    <row r="186" spans="2:17">
      <c r="B186" s="52"/>
      <c r="C186" s="53"/>
      <c r="D186" s="54"/>
      <c r="E186" s="54"/>
      <c r="F186" s="17"/>
      <c r="G186" s="15"/>
      <c r="H186" s="15"/>
      <c r="I186" s="15"/>
      <c r="J186" s="15"/>
      <c r="K186" s="15"/>
      <c r="L186" s="15"/>
      <c r="M186" s="16"/>
      <c r="N186" s="16"/>
      <c r="O186" s="18"/>
      <c r="P186" s="16"/>
      <c r="Q186" s="19"/>
    </row>
    <row r="187" spans="2:17">
      <c r="B187" s="52"/>
      <c r="C187" s="53"/>
      <c r="D187" s="54"/>
      <c r="E187" s="54"/>
      <c r="F187" s="17"/>
      <c r="G187" s="15"/>
      <c r="H187" s="15"/>
      <c r="I187" s="15"/>
      <c r="J187" s="15"/>
      <c r="K187" s="15"/>
      <c r="L187" s="15"/>
      <c r="M187" s="16"/>
      <c r="N187" s="16"/>
      <c r="O187" s="18"/>
      <c r="P187" s="16"/>
      <c r="Q187" s="19"/>
    </row>
    <row r="188" spans="2:17">
      <c r="B188" s="52"/>
      <c r="C188" s="53"/>
      <c r="D188" s="54"/>
      <c r="E188" s="54"/>
      <c r="F188" s="17"/>
      <c r="G188" s="15"/>
      <c r="H188" s="15"/>
      <c r="I188" s="15"/>
      <c r="J188" s="15"/>
      <c r="K188" s="15"/>
      <c r="L188" s="15"/>
      <c r="M188" s="16"/>
      <c r="N188" s="16"/>
      <c r="O188" s="18"/>
      <c r="P188" s="16"/>
      <c r="Q188" s="19"/>
    </row>
    <row r="189" spans="2:17">
      <c r="B189" s="52"/>
      <c r="C189" s="53"/>
      <c r="D189" s="54"/>
      <c r="E189" s="54"/>
      <c r="F189" s="17"/>
      <c r="G189" s="15"/>
      <c r="H189" s="15"/>
      <c r="I189" s="15"/>
      <c r="J189" s="15"/>
      <c r="K189" s="15"/>
      <c r="L189" s="15"/>
      <c r="M189" s="16"/>
      <c r="N189" s="16"/>
      <c r="O189" s="18"/>
      <c r="P189" s="16"/>
      <c r="Q189" s="19"/>
    </row>
    <row r="190" spans="2:17">
      <c r="B190" s="52"/>
      <c r="C190" s="53"/>
      <c r="D190" s="54"/>
      <c r="E190" s="54"/>
      <c r="F190" s="17"/>
      <c r="G190" s="15"/>
      <c r="H190" s="15"/>
      <c r="I190" s="15"/>
      <c r="J190" s="15"/>
      <c r="K190" s="15"/>
      <c r="L190" s="15"/>
      <c r="M190" s="16"/>
      <c r="N190" s="16"/>
      <c r="O190" s="18"/>
      <c r="P190" s="16"/>
      <c r="Q190" s="19"/>
    </row>
    <row r="191" spans="2:17">
      <c r="B191" s="52"/>
      <c r="C191" s="53"/>
      <c r="D191" s="54"/>
      <c r="E191" s="54"/>
      <c r="F191" s="17"/>
      <c r="G191" s="15"/>
      <c r="H191" s="15"/>
      <c r="I191" s="15"/>
      <c r="J191" s="15"/>
      <c r="K191" s="15"/>
      <c r="L191" s="15"/>
      <c r="M191" s="16"/>
      <c r="N191" s="16"/>
      <c r="O191" s="18"/>
      <c r="P191" s="16"/>
      <c r="Q191" s="19"/>
    </row>
    <row r="192" spans="2:17">
      <c r="B192" s="52"/>
      <c r="C192" s="53"/>
      <c r="D192" s="54"/>
      <c r="E192" s="54"/>
      <c r="F192" s="17"/>
      <c r="G192" s="15"/>
      <c r="H192" s="15"/>
      <c r="I192" s="15"/>
      <c r="J192" s="15"/>
      <c r="K192" s="15"/>
      <c r="L192" s="15"/>
      <c r="M192" s="16"/>
      <c r="N192" s="16"/>
      <c r="O192" s="18"/>
      <c r="P192" s="16"/>
      <c r="Q192" s="19"/>
    </row>
    <row r="193" spans="2:17">
      <c r="B193" s="52"/>
      <c r="C193" s="53"/>
      <c r="D193" s="54"/>
      <c r="E193" s="54"/>
      <c r="F193" s="17"/>
      <c r="G193" s="15"/>
      <c r="H193" s="15"/>
      <c r="I193" s="15"/>
      <c r="J193" s="15"/>
      <c r="K193" s="15"/>
      <c r="L193" s="15"/>
      <c r="M193" s="16"/>
      <c r="N193" s="16"/>
      <c r="O193" s="18"/>
      <c r="P193" s="16"/>
      <c r="Q193" s="19"/>
    </row>
    <row r="194" spans="2:17">
      <c r="B194" s="52"/>
      <c r="C194" s="53"/>
      <c r="D194" s="54"/>
      <c r="E194" s="54"/>
      <c r="F194" s="17"/>
      <c r="G194" s="15"/>
      <c r="H194" s="15"/>
      <c r="I194" s="15"/>
      <c r="J194" s="15"/>
      <c r="K194" s="15"/>
      <c r="L194" s="15"/>
      <c r="M194" s="16"/>
      <c r="N194" s="16"/>
      <c r="O194" s="18"/>
      <c r="P194" s="16"/>
      <c r="Q194" s="19"/>
    </row>
    <row r="195" spans="2:17">
      <c r="B195" s="52"/>
      <c r="C195" s="53"/>
      <c r="D195" s="54"/>
      <c r="E195" s="54"/>
      <c r="F195" s="17"/>
      <c r="G195" s="15"/>
      <c r="H195" s="15"/>
      <c r="I195" s="15"/>
      <c r="J195" s="15"/>
      <c r="K195" s="15"/>
      <c r="L195" s="15"/>
      <c r="M195" s="16"/>
      <c r="N195" s="16"/>
      <c r="O195" s="18"/>
      <c r="P195" s="16"/>
      <c r="Q195" s="19"/>
    </row>
    <row r="196" spans="2:17">
      <c r="B196" s="52"/>
      <c r="C196" s="53"/>
      <c r="D196" s="54"/>
      <c r="E196" s="54"/>
      <c r="F196" s="17"/>
      <c r="G196" s="15"/>
      <c r="H196" s="15"/>
      <c r="I196" s="15"/>
      <c r="J196" s="15"/>
      <c r="K196" s="15"/>
      <c r="L196" s="15"/>
      <c r="M196" s="16"/>
      <c r="N196" s="16"/>
      <c r="O196" s="18"/>
      <c r="P196" s="16"/>
      <c r="Q196" s="19"/>
    </row>
    <row r="197" spans="2:17">
      <c r="B197" s="52"/>
      <c r="C197" s="53"/>
      <c r="D197" s="54"/>
      <c r="E197" s="54"/>
      <c r="F197" s="17"/>
      <c r="G197" s="15"/>
      <c r="H197" s="15"/>
      <c r="I197" s="15"/>
      <c r="J197" s="15"/>
      <c r="K197" s="15"/>
      <c r="L197" s="15"/>
      <c r="M197" s="16"/>
      <c r="N197" s="16"/>
      <c r="O197" s="18"/>
      <c r="P197" s="16"/>
      <c r="Q197" s="19"/>
    </row>
    <row r="198" spans="2:17">
      <c r="B198" s="52"/>
      <c r="C198" s="53"/>
      <c r="D198" s="54"/>
      <c r="E198" s="54"/>
      <c r="F198" s="17"/>
      <c r="G198" s="15"/>
      <c r="H198" s="15"/>
      <c r="I198" s="15"/>
      <c r="J198" s="15"/>
      <c r="K198" s="15"/>
      <c r="L198" s="15"/>
      <c r="M198" s="16"/>
      <c r="N198" s="16"/>
      <c r="O198" s="18"/>
      <c r="P198" s="16"/>
      <c r="Q198" s="19"/>
    </row>
    <row r="199" spans="2:17">
      <c r="B199" s="52"/>
      <c r="C199" s="53"/>
      <c r="D199" s="54"/>
      <c r="E199" s="54"/>
      <c r="F199" s="17"/>
      <c r="G199" s="15"/>
      <c r="H199" s="15"/>
      <c r="I199" s="15"/>
      <c r="J199" s="15"/>
      <c r="K199" s="15"/>
      <c r="L199" s="15"/>
      <c r="M199" s="16"/>
      <c r="N199" s="16"/>
      <c r="O199" s="18"/>
      <c r="P199" s="16"/>
      <c r="Q199" s="19"/>
    </row>
    <row r="200" spans="2:17">
      <c r="B200" s="52"/>
      <c r="C200" s="53"/>
      <c r="D200" s="54"/>
      <c r="E200" s="54"/>
      <c r="F200" s="17"/>
      <c r="G200" s="15"/>
      <c r="H200" s="15"/>
      <c r="I200" s="15"/>
      <c r="J200" s="15"/>
      <c r="K200" s="15"/>
      <c r="L200" s="15"/>
      <c r="M200" s="16"/>
      <c r="N200" s="16"/>
      <c r="O200" s="18"/>
      <c r="P200" s="16"/>
      <c r="Q200" s="19"/>
    </row>
  </sheetData>
  <mergeCells count="19">
    <mergeCell ref="K3:K4"/>
    <mergeCell ref="L3:L4"/>
    <mergeCell ref="M3:M4"/>
    <mergeCell ref="N3:N4"/>
    <mergeCell ref="B2:C2"/>
    <mergeCell ref="D2:D4"/>
    <mergeCell ref="E2:F2"/>
    <mergeCell ref="G2:Q2"/>
    <mergeCell ref="B3:B4"/>
    <mergeCell ref="C3:C4"/>
    <mergeCell ref="E3:E4"/>
    <mergeCell ref="F3:F4"/>
    <mergeCell ref="G3:G4"/>
    <mergeCell ref="H3:H4"/>
    <mergeCell ref="O3:O4"/>
    <mergeCell ref="P3:P4"/>
    <mergeCell ref="Q3:Q4"/>
    <mergeCell ref="I3:I4"/>
    <mergeCell ref="J3:J4"/>
  </mergeCells>
  <dataValidations count="1">
    <dataValidation type="list" allowBlank="1" showInputMessage="1" showErrorMessage="1" sqref="B6:B200">
      <formula1>Foco_Serviço</formula1>
    </dataValidation>
  </dataValidations>
  <pageMargins left="0.511811024" right="0.511811024" top="0.78740157499999996" bottom="0.78740157499999996" header="0.31496062000000002" footer="0.31496062000000002"/>
  <pageSetup paperSize="9" orientation="portrait"/>
  <legacyDrawing r:id="rId1"/>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116"/>
  <sheetViews>
    <sheetView showGridLines="0" zoomScaleNormal="100" zoomScalePageLayoutView="125" workbookViewId="0"/>
  </sheetViews>
  <sheetFormatPr defaultColWidth="8.85546875" defaultRowHeight="15"/>
  <cols>
    <col min="1" max="1" width="1" style="5" customWidth="1"/>
    <col min="2" max="2" width="9" style="5" customWidth="1"/>
    <col min="3" max="3" width="35.42578125" style="5" customWidth="1"/>
    <col min="4" max="4" width="29.42578125" style="59" customWidth="1"/>
    <col min="5" max="5" width="27.42578125" style="59" customWidth="1"/>
    <col min="6" max="6" width="9.28515625" style="5" bestFit="1" customWidth="1"/>
    <col min="7" max="7" width="10.28515625" style="5" bestFit="1" customWidth="1"/>
    <col min="8" max="8" width="16.140625" style="5" bestFit="1" customWidth="1"/>
    <col min="9" max="9" width="9.85546875" style="5" bestFit="1" customWidth="1"/>
    <col min="10" max="10" width="12.42578125" style="8" bestFit="1" customWidth="1"/>
    <col min="11" max="11" width="7.85546875" style="5" bestFit="1" customWidth="1"/>
    <col min="12" max="12" width="26.28515625" style="5" customWidth="1"/>
    <col min="13" max="16384" width="8.85546875" style="5"/>
  </cols>
  <sheetData>
    <row r="1" spans="1:12" ht="5.25" customHeight="1"/>
    <row r="2" spans="1:12" s="1" customFormat="1" ht="30.75" thickBot="1">
      <c r="A2" s="3"/>
      <c r="B2" s="73" t="s">
        <v>4</v>
      </c>
      <c r="C2" s="74" t="s">
        <v>5</v>
      </c>
      <c r="D2" s="74" t="s">
        <v>259</v>
      </c>
      <c r="E2" s="74" t="s">
        <v>37</v>
      </c>
      <c r="F2" s="74" t="s">
        <v>526</v>
      </c>
      <c r="G2" s="74" t="s">
        <v>424</v>
      </c>
      <c r="H2" s="74" t="s">
        <v>527</v>
      </c>
      <c r="I2" s="74" t="s">
        <v>427</v>
      </c>
      <c r="J2" s="74" t="s">
        <v>291</v>
      </c>
      <c r="K2" s="74" t="s">
        <v>283</v>
      </c>
      <c r="L2" s="74" t="s">
        <v>528</v>
      </c>
    </row>
    <row r="3" spans="1:12" s="2" customFormat="1" ht="30.75" thickBot="1">
      <c r="B3" s="9" t="s">
        <v>14</v>
      </c>
      <c r="C3" s="10" t="s">
        <v>257</v>
      </c>
      <c r="D3" s="55" t="s">
        <v>69</v>
      </c>
      <c r="E3" s="55" t="s">
        <v>28</v>
      </c>
      <c r="F3" s="11"/>
      <c r="G3" s="11"/>
      <c r="H3" s="11"/>
      <c r="I3" s="11"/>
      <c r="J3" s="25"/>
      <c r="K3" s="25"/>
      <c r="L3" s="20"/>
    </row>
    <row r="4" spans="1:12" s="2" customFormat="1" ht="30.75" thickBot="1">
      <c r="B4" s="9" t="s">
        <v>14</v>
      </c>
      <c r="C4" s="10" t="s">
        <v>258</v>
      </c>
      <c r="D4" s="55" t="s">
        <v>69</v>
      </c>
      <c r="E4" s="55" t="s">
        <v>28</v>
      </c>
      <c r="F4" s="55"/>
      <c r="G4" s="55"/>
      <c r="H4" s="55"/>
      <c r="I4" s="55"/>
      <c r="J4" s="56"/>
      <c r="K4" s="56"/>
      <c r="L4" s="57"/>
    </row>
    <row r="5" spans="1:12" s="2" customFormat="1" ht="30.75" thickBot="1">
      <c r="B5" s="9" t="s">
        <v>14</v>
      </c>
      <c r="C5" s="10" t="s">
        <v>262</v>
      </c>
      <c r="D5" s="55" t="s">
        <v>69</v>
      </c>
      <c r="E5" s="55" t="s">
        <v>28</v>
      </c>
      <c r="F5" s="55"/>
      <c r="G5" s="55"/>
      <c r="H5" s="55"/>
      <c r="I5" s="55"/>
      <c r="J5" s="56"/>
      <c r="K5" s="56"/>
      <c r="L5" s="57"/>
    </row>
    <row r="6" spans="1:12" s="2" customFormat="1" ht="30.75" thickBot="1">
      <c r="B6" s="9" t="s">
        <v>14</v>
      </c>
      <c r="C6" s="10" t="s">
        <v>264</v>
      </c>
      <c r="D6" s="55" t="s">
        <v>69</v>
      </c>
      <c r="E6" s="55" t="s">
        <v>28</v>
      </c>
      <c r="F6" s="55"/>
      <c r="G6" s="55"/>
      <c r="H6" s="55"/>
      <c r="I6" s="55"/>
      <c r="J6" s="56"/>
      <c r="K6" s="56"/>
      <c r="L6" s="57"/>
    </row>
    <row r="7" spans="1:12" s="2" customFormat="1" ht="30.75" thickBot="1">
      <c r="B7" s="9" t="s">
        <v>14</v>
      </c>
      <c r="C7" s="10" t="s">
        <v>263</v>
      </c>
      <c r="D7" s="55" t="s">
        <v>69</v>
      </c>
      <c r="E7" s="55" t="s">
        <v>28</v>
      </c>
      <c r="F7" s="55"/>
      <c r="G7" s="55"/>
      <c r="H7" s="55"/>
      <c r="I7" s="55"/>
      <c r="J7" s="56"/>
      <c r="K7" s="56"/>
      <c r="L7" s="57"/>
    </row>
    <row r="8" spans="1:12" s="2" customFormat="1" ht="30.75" thickBot="1">
      <c r="B8" s="9" t="s">
        <v>14</v>
      </c>
      <c r="C8" s="10" t="s">
        <v>265</v>
      </c>
      <c r="D8" s="55" t="s">
        <v>69</v>
      </c>
      <c r="E8" s="55" t="s">
        <v>28</v>
      </c>
      <c r="F8" s="55"/>
      <c r="G8" s="55"/>
      <c r="H8" s="55"/>
      <c r="I8" s="55"/>
      <c r="J8" s="56"/>
      <c r="K8" s="56"/>
      <c r="L8" s="57"/>
    </row>
    <row r="9" spans="1:12" s="2" customFormat="1" ht="90.75" thickBot="1">
      <c r="B9" s="9" t="s">
        <v>14</v>
      </c>
      <c r="C9" s="10" t="s">
        <v>263</v>
      </c>
      <c r="D9" s="55" t="s">
        <v>515</v>
      </c>
      <c r="E9" s="55" t="s">
        <v>517</v>
      </c>
      <c r="F9" s="55"/>
      <c r="G9" s="55"/>
      <c r="H9" s="55"/>
      <c r="I9" s="55"/>
      <c r="J9" s="56"/>
      <c r="K9" s="56"/>
      <c r="L9" s="57"/>
    </row>
    <row r="10" spans="1:12" s="2" customFormat="1" ht="180.75" thickBot="1">
      <c r="B10" s="9" t="s">
        <v>14</v>
      </c>
      <c r="C10" s="10" t="s">
        <v>266</v>
      </c>
      <c r="D10" s="55" t="s">
        <v>516</v>
      </c>
      <c r="E10" s="55" t="s">
        <v>522</v>
      </c>
      <c r="F10" s="55"/>
      <c r="G10" s="55"/>
      <c r="H10" s="55"/>
      <c r="I10" s="55"/>
      <c r="J10" s="56"/>
      <c r="K10" s="56"/>
      <c r="L10" s="57"/>
    </row>
    <row r="11" spans="1:12" s="2" customFormat="1" ht="30.75" thickBot="1">
      <c r="B11" s="9" t="s">
        <v>14</v>
      </c>
      <c r="C11" s="10" t="s">
        <v>267</v>
      </c>
      <c r="D11" s="55" t="s">
        <v>69</v>
      </c>
      <c r="E11" s="55" t="s">
        <v>28</v>
      </c>
      <c r="F11" s="55"/>
      <c r="G11" s="55"/>
      <c r="H11" s="55"/>
      <c r="I11" s="55"/>
      <c r="J11" s="56"/>
      <c r="K11" s="56"/>
      <c r="L11" s="57"/>
    </row>
    <row r="12" spans="1:12" s="2" customFormat="1" ht="45.75" thickBot="1">
      <c r="B12" s="9" t="s">
        <v>14</v>
      </c>
      <c r="C12" s="10" t="s">
        <v>265</v>
      </c>
      <c r="D12" s="55" t="s">
        <v>470</v>
      </c>
      <c r="E12" s="55" t="s">
        <v>472</v>
      </c>
      <c r="F12" s="55"/>
      <c r="G12" s="55"/>
      <c r="H12" s="55"/>
      <c r="I12" s="55"/>
      <c r="J12" s="56"/>
      <c r="K12" s="56"/>
      <c r="L12" s="57"/>
    </row>
    <row r="13" spans="1:12" s="2" customFormat="1" ht="30.75" thickBot="1">
      <c r="B13" s="9" t="s">
        <v>14</v>
      </c>
      <c r="C13" s="10" t="s">
        <v>268</v>
      </c>
      <c r="D13" s="55" t="s">
        <v>69</v>
      </c>
      <c r="E13" s="55" t="s">
        <v>28</v>
      </c>
      <c r="F13" s="55"/>
      <c r="G13" s="55"/>
      <c r="H13" s="55"/>
      <c r="I13" s="55"/>
      <c r="J13" s="56"/>
      <c r="K13" s="56"/>
      <c r="L13" s="57"/>
    </row>
    <row r="14" spans="1:12" s="2" customFormat="1" ht="30.75" thickBot="1">
      <c r="B14" s="9" t="s">
        <v>14</v>
      </c>
      <c r="C14" s="10" t="s">
        <v>273</v>
      </c>
      <c r="D14" s="55" t="s">
        <v>69</v>
      </c>
      <c r="E14" s="55" t="s">
        <v>70</v>
      </c>
      <c r="F14" s="55"/>
      <c r="G14" s="55"/>
      <c r="H14" s="55"/>
      <c r="I14" s="55"/>
      <c r="J14" s="56"/>
      <c r="K14" s="56"/>
      <c r="L14" s="57"/>
    </row>
    <row r="15" spans="1:12" s="2" customFormat="1" ht="30.75" thickBot="1">
      <c r="B15" s="9" t="s">
        <v>14</v>
      </c>
      <c r="C15" s="10" t="s">
        <v>274</v>
      </c>
      <c r="D15" s="55" t="s">
        <v>69</v>
      </c>
      <c r="E15" s="55" t="s">
        <v>70</v>
      </c>
      <c r="F15" s="55"/>
      <c r="G15" s="55"/>
      <c r="H15" s="55"/>
      <c r="I15" s="55"/>
      <c r="J15" s="56"/>
      <c r="K15" s="56"/>
      <c r="L15" s="57"/>
    </row>
    <row r="16" spans="1:12" s="2" customFormat="1" ht="120.75" thickBot="1">
      <c r="B16" s="9" t="s">
        <v>14</v>
      </c>
      <c r="C16" s="10" t="s">
        <v>276</v>
      </c>
      <c r="D16" s="55" t="s">
        <v>518</v>
      </c>
      <c r="E16" s="55" t="s">
        <v>521</v>
      </c>
      <c r="F16" s="55"/>
      <c r="G16" s="55"/>
      <c r="H16" s="55"/>
      <c r="I16" s="55"/>
      <c r="J16" s="56"/>
      <c r="K16" s="56"/>
      <c r="L16" s="57"/>
    </row>
    <row r="17" spans="2:12" s="2" customFormat="1" ht="15.75" thickBot="1">
      <c r="B17" s="9" t="s">
        <v>14</v>
      </c>
      <c r="C17" s="10" t="s">
        <v>465</v>
      </c>
      <c r="D17" s="55" t="s">
        <v>73</v>
      </c>
      <c r="E17" s="55" t="s">
        <v>80</v>
      </c>
      <c r="F17" s="55"/>
      <c r="G17" s="55"/>
      <c r="H17" s="55"/>
      <c r="I17" s="55"/>
      <c r="J17" s="56"/>
      <c r="K17" s="56"/>
      <c r="L17" s="57"/>
    </row>
    <row r="18" spans="2:12" s="2" customFormat="1" ht="15.75" thickBot="1">
      <c r="B18" s="9" t="s">
        <v>14</v>
      </c>
      <c r="C18" s="10" t="s">
        <v>466</v>
      </c>
      <c r="D18" s="55" t="s">
        <v>73</v>
      </c>
      <c r="E18" s="55" t="s">
        <v>467</v>
      </c>
      <c r="F18" s="55"/>
      <c r="G18" s="55"/>
      <c r="H18" s="55"/>
      <c r="I18" s="55"/>
      <c r="J18" s="56"/>
      <c r="K18" s="56"/>
      <c r="L18" s="57"/>
    </row>
    <row r="19" spans="2:12" s="2" customFormat="1" ht="45.75" thickBot="1">
      <c r="B19" s="9" t="s">
        <v>14</v>
      </c>
      <c r="C19" s="10" t="s">
        <v>468</v>
      </c>
      <c r="D19" s="55" t="s">
        <v>64</v>
      </c>
      <c r="E19" s="55" t="s">
        <v>487</v>
      </c>
      <c r="F19" s="55"/>
      <c r="G19" s="55"/>
      <c r="H19" s="55"/>
      <c r="I19" s="55"/>
      <c r="J19" s="56"/>
      <c r="K19" s="56"/>
      <c r="L19" s="57"/>
    </row>
    <row r="20" spans="2:12" s="2" customFormat="1" ht="105.75" thickBot="1">
      <c r="B20" s="9" t="s">
        <v>14</v>
      </c>
      <c r="C20" s="10" t="s">
        <v>469</v>
      </c>
      <c r="D20" s="55" t="s">
        <v>496</v>
      </c>
      <c r="E20" s="55" t="s">
        <v>495</v>
      </c>
      <c r="F20" s="55"/>
      <c r="G20" s="55"/>
      <c r="H20" s="55"/>
      <c r="I20" s="55"/>
      <c r="J20" s="56"/>
      <c r="K20" s="56"/>
      <c r="L20" s="57"/>
    </row>
    <row r="21" spans="2:12" s="2" customFormat="1" ht="90.75" thickBot="1">
      <c r="B21" s="9" t="s">
        <v>14</v>
      </c>
      <c r="C21" s="10" t="s">
        <v>475</v>
      </c>
      <c r="D21" s="55" t="s">
        <v>496</v>
      </c>
      <c r="E21" s="55" t="s">
        <v>498</v>
      </c>
      <c r="F21" s="55"/>
      <c r="G21" s="55"/>
      <c r="H21" s="55"/>
      <c r="I21" s="55"/>
      <c r="J21" s="56"/>
      <c r="K21" s="56"/>
      <c r="L21" s="57"/>
    </row>
    <row r="22" spans="2:12" s="2" customFormat="1" ht="15.75" thickBot="1">
      <c r="B22" s="9" t="s">
        <v>14</v>
      </c>
      <c r="C22" s="10" t="s">
        <v>499</v>
      </c>
      <c r="D22" s="5" t="s">
        <v>63</v>
      </c>
      <c r="E22" s="5" t="s">
        <v>160</v>
      </c>
      <c r="F22" s="55"/>
      <c r="G22" s="55"/>
      <c r="H22" s="55"/>
      <c r="I22" s="55"/>
      <c r="J22" s="56"/>
      <c r="K22" s="56"/>
      <c r="L22" s="57"/>
    </row>
    <row r="23" spans="2:12" s="2" customFormat="1" ht="15.75" thickBot="1">
      <c r="B23" s="9" t="s">
        <v>14</v>
      </c>
      <c r="C23" s="10" t="s">
        <v>511</v>
      </c>
      <c r="D23" s="71" t="s">
        <v>64</v>
      </c>
      <c r="E23" s="71" t="s">
        <v>31</v>
      </c>
      <c r="F23" s="55"/>
      <c r="G23" s="55"/>
      <c r="H23" s="55"/>
      <c r="I23" s="55"/>
      <c r="J23" s="56"/>
      <c r="K23" s="56"/>
      <c r="L23" s="57"/>
    </row>
    <row r="24" spans="2:12" s="2" customFormat="1" ht="30.75" thickBot="1">
      <c r="B24" s="9" t="s">
        <v>14</v>
      </c>
      <c r="C24" s="53" t="s">
        <v>260</v>
      </c>
      <c r="D24" s="55" t="s">
        <v>69</v>
      </c>
      <c r="E24" s="55" t="s">
        <v>28</v>
      </c>
      <c r="F24" s="55"/>
      <c r="G24" s="55"/>
      <c r="H24" s="55"/>
      <c r="I24" s="55"/>
      <c r="J24" s="56"/>
      <c r="K24" s="56"/>
      <c r="L24" s="57"/>
    </row>
    <row r="25" spans="2:12" s="2" customFormat="1" ht="30.75" thickBot="1">
      <c r="B25" s="9" t="s">
        <v>14</v>
      </c>
      <c r="C25" s="53" t="s">
        <v>261</v>
      </c>
      <c r="D25" s="55" t="s">
        <v>69</v>
      </c>
      <c r="E25" s="55" t="s">
        <v>28</v>
      </c>
      <c r="F25" s="55"/>
      <c r="G25" s="55"/>
      <c r="H25" s="55"/>
      <c r="I25" s="55"/>
      <c r="J25" s="56"/>
      <c r="K25" s="56"/>
      <c r="L25" s="57"/>
    </row>
    <row r="26" spans="2:12" s="2" customFormat="1" ht="45.75" thickBot="1">
      <c r="B26" s="9" t="s">
        <v>14</v>
      </c>
      <c r="C26" s="53" t="s">
        <v>482</v>
      </c>
      <c r="D26" s="55" t="s">
        <v>513</v>
      </c>
      <c r="E26" s="55" t="s">
        <v>514</v>
      </c>
      <c r="F26" s="55"/>
      <c r="G26" s="55"/>
      <c r="H26" s="55"/>
      <c r="I26" s="55"/>
      <c r="J26" s="56"/>
      <c r="K26" s="56"/>
      <c r="L26" s="57"/>
    </row>
    <row r="27" spans="2:12" s="2" customFormat="1" ht="60.75" thickBot="1">
      <c r="B27" s="9" t="s">
        <v>14</v>
      </c>
      <c r="C27" s="53" t="s">
        <v>481</v>
      </c>
      <c r="D27" s="55" t="s">
        <v>494</v>
      </c>
      <c r="E27" s="55" t="s">
        <v>497</v>
      </c>
      <c r="F27" s="55"/>
      <c r="G27" s="55"/>
      <c r="H27" s="55"/>
      <c r="I27" s="55"/>
      <c r="J27" s="56"/>
      <c r="K27" s="56"/>
      <c r="L27" s="57"/>
    </row>
    <row r="28" spans="2:12" s="2" customFormat="1" ht="30.75" thickBot="1">
      <c r="B28" s="9" t="s">
        <v>14</v>
      </c>
      <c r="C28" s="53" t="s">
        <v>480</v>
      </c>
      <c r="D28" s="55" t="s">
        <v>69</v>
      </c>
      <c r="E28" s="55" t="s">
        <v>32</v>
      </c>
      <c r="F28" s="55"/>
      <c r="G28" s="55"/>
      <c r="H28" s="55"/>
      <c r="I28" s="55"/>
      <c r="J28" s="56"/>
      <c r="K28" s="56"/>
      <c r="L28" s="57"/>
    </row>
    <row r="29" spans="2:12" s="2" customFormat="1" ht="30.75" thickBot="1">
      <c r="B29" s="9" t="s">
        <v>14</v>
      </c>
      <c r="C29" s="53" t="s">
        <v>479</v>
      </c>
      <c r="D29" s="55" t="s">
        <v>69</v>
      </c>
      <c r="E29" s="55" t="s">
        <v>32</v>
      </c>
      <c r="F29" s="55"/>
      <c r="G29" s="55"/>
      <c r="H29" s="55"/>
      <c r="I29" s="55"/>
      <c r="J29" s="56"/>
      <c r="K29" s="56"/>
      <c r="L29" s="57"/>
    </row>
    <row r="30" spans="2:12" s="2" customFormat="1" ht="30.75" thickBot="1">
      <c r="B30" s="9" t="s">
        <v>14</v>
      </c>
      <c r="C30" s="53" t="s">
        <v>478</v>
      </c>
      <c r="D30" s="55" t="s">
        <v>503</v>
      </c>
      <c r="E30" s="55" t="s">
        <v>502</v>
      </c>
      <c r="F30" s="55"/>
      <c r="G30" s="55"/>
      <c r="H30" s="55"/>
      <c r="I30" s="55"/>
      <c r="J30" s="56"/>
      <c r="K30" s="56"/>
      <c r="L30" s="57"/>
    </row>
    <row r="31" spans="2:12" s="2" customFormat="1" ht="30.75" thickBot="1">
      <c r="B31" s="9" t="s">
        <v>14</v>
      </c>
      <c r="C31" s="53" t="s">
        <v>500</v>
      </c>
      <c r="D31" s="54" t="s">
        <v>63</v>
      </c>
      <c r="E31" s="54" t="s">
        <v>501</v>
      </c>
      <c r="F31" s="55"/>
      <c r="G31" s="55"/>
      <c r="H31" s="55"/>
      <c r="I31" s="55"/>
      <c r="J31" s="56"/>
      <c r="K31" s="56"/>
      <c r="L31" s="57"/>
    </row>
    <row r="32" spans="2:12" s="2" customFormat="1" ht="15.75" thickBot="1">
      <c r="B32" s="9" t="s">
        <v>14</v>
      </c>
      <c r="C32" s="53" t="s">
        <v>132</v>
      </c>
      <c r="D32" s="55" t="s">
        <v>73</v>
      </c>
      <c r="E32" s="55" t="s">
        <v>29</v>
      </c>
      <c r="F32" s="55"/>
      <c r="G32" s="55"/>
      <c r="H32" s="55"/>
      <c r="I32" s="55"/>
      <c r="J32" s="56"/>
      <c r="K32" s="56"/>
      <c r="L32" s="57"/>
    </row>
    <row r="33" spans="2:12" s="2" customFormat="1" ht="15.75" thickBot="1">
      <c r="B33" s="9" t="s">
        <v>14</v>
      </c>
      <c r="C33" s="53" t="s">
        <v>463</v>
      </c>
      <c r="D33" s="55" t="s">
        <v>73</v>
      </c>
      <c r="E33" s="55" t="s">
        <v>58</v>
      </c>
      <c r="F33" s="55"/>
      <c r="G33" s="55"/>
      <c r="H33" s="55"/>
      <c r="I33" s="55"/>
      <c r="J33" s="56"/>
      <c r="K33" s="56"/>
      <c r="L33" s="57"/>
    </row>
    <row r="34" spans="2:12" s="2" customFormat="1" ht="15.75" thickBot="1">
      <c r="B34" s="9" t="s">
        <v>14</v>
      </c>
      <c r="C34" s="53" t="s">
        <v>462</v>
      </c>
      <c r="D34" s="55" t="s">
        <v>73</v>
      </c>
      <c r="E34" s="55" t="s">
        <v>58</v>
      </c>
      <c r="F34" s="55"/>
      <c r="G34" s="55"/>
      <c r="H34" s="55"/>
      <c r="I34" s="55"/>
      <c r="J34" s="56"/>
      <c r="K34" s="56"/>
      <c r="L34" s="57"/>
    </row>
    <row r="35" spans="2:12" s="2" customFormat="1" ht="15.75" thickBot="1">
      <c r="B35" s="9" t="s">
        <v>14</v>
      </c>
      <c r="C35" s="53" t="s">
        <v>483</v>
      </c>
      <c r="D35" s="55" t="s">
        <v>73</v>
      </c>
      <c r="E35" s="55" t="s">
        <v>58</v>
      </c>
      <c r="F35" s="55"/>
      <c r="G35" s="55"/>
      <c r="H35" s="55"/>
      <c r="I35" s="55"/>
      <c r="J35" s="56"/>
      <c r="K35" s="56"/>
      <c r="L35" s="57"/>
    </row>
    <row r="36" spans="2:12" s="2" customFormat="1" ht="15.75" thickBot="1">
      <c r="B36" s="9" t="s">
        <v>14</v>
      </c>
      <c r="C36" s="53" t="s">
        <v>476</v>
      </c>
      <c r="D36" s="55" t="s">
        <v>73</v>
      </c>
      <c r="E36" s="55" t="s">
        <v>467</v>
      </c>
      <c r="F36" s="55"/>
      <c r="G36" s="55"/>
      <c r="H36" s="55"/>
      <c r="I36" s="55"/>
      <c r="J36" s="56"/>
      <c r="K36" s="56"/>
      <c r="L36" s="57"/>
    </row>
    <row r="37" spans="2:12" s="2" customFormat="1" ht="30.75" thickBot="1">
      <c r="B37" s="9" t="s">
        <v>14</v>
      </c>
      <c r="C37" s="53" t="s">
        <v>474</v>
      </c>
      <c r="D37" s="55" t="s">
        <v>64</v>
      </c>
      <c r="E37" s="55" t="s">
        <v>96</v>
      </c>
      <c r="F37" s="55"/>
      <c r="G37" s="55"/>
      <c r="H37" s="55"/>
      <c r="I37" s="55"/>
      <c r="J37" s="56"/>
      <c r="K37" s="56"/>
      <c r="L37" s="57"/>
    </row>
    <row r="38" spans="2:12" s="2" customFormat="1" ht="30.75" thickBot="1">
      <c r="B38" s="9" t="s">
        <v>14</v>
      </c>
      <c r="C38" s="53" t="s">
        <v>477</v>
      </c>
      <c r="D38" s="55" t="s">
        <v>74</v>
      </c>
      <c r="E38" s="55" t="s">
        <v>484</v>
      </c>
      <c r="F38" s="55"/>
      <c r="G38" s="55"/>
      <c r="H38" s="55"/>
      <c r="I38" s="55"/>
      <c r="J38" s="56"/>
      <c r="K38" s="56"/>
      <c r="L38" s="57"/>
    </row>
    <row r="39" spans="2:12" s="2" customFormat="1" ht="15.75" thickBot="1">
      <c r="B39" s="9" t="s">
        <v>14</v>
      </c>
      <c r="C39" s="53" t="s">
        <v>132</v>
      </c>
      <c r="D39" s="55" t="s">
        <v>74</v>
      </c>
      <c r="E39" s="55" t="s">
        <v>82</v>
      </c>
      <c r="F39" s="55"/>
      <c r="G39" s="55"/>
      <c r="H39" s="55"/>
      <c r="I39" s="55"/>
      <c r="J39" s="56"/>
      <c r="K39" s="56"/>
      <c r="L39" s="57"/>
    </row>
    <row r="40" spans="2:12" s="2" customFormat="1" ht="15.75" thickBot="1">
      <c r="B40" s="9" t="s">
        <v>14</v>
      </c>
      <c r="C40" s="53" t="s">
        <v>485</v>
      </c>
      <c r="D40" s="55" t="s">
        <v>74</v>
      </c>
      <c r="E40" s="55" t="s">
        <v>81</v>
      </c>
      <c r="F40" s="55"/>
      <c r="G40" s="55"/>
      <c r="H40" s="55"/>
      <c r="I40" s="55"/>
      <c r="J40" s="56"/>
      <c r="K40" s="56"/>
      <c r="L40" s="57"/>
    </row>
    <row r="41" spans="2:12" s="2" customFormat="1" ht="30.75" thickBot="1">
      <c r="B41" s="9" t="s">
        <v>14</v>
      </c>
      <c r="C41" s="53" t="s">
        <v>488</v>
      </c>
      <c r="D41" s="55" t="s">
        <v>74</v>
      </c>
      <c r="E41" s="55" t="s">
        <v>83</v>
      </c>
      <c r="F41" s="55"/>
      <c r="G41" s="55"/>
      <c r="H41" s="55"/>
      <c r="I41" s="55"/>
      <c r="J41" s="56"/>
      <c r="K41" s="56"/>
      <c r="L41" s="57"/>
    </row>
    <row r="42" spans="2:12" s="2" customFormat="1" ht="30.75" thickBot="1">
      <c r="B42" s="9" t="s">
        <v>14</v>
      </c>
      <c r="C42" s="53" t="s">
        <v>489</v>
      </c>
      <c r="D42" s="55" t="s">
        <v>74</v>
      </c>
      <c r="E42" s="55" t="s">
        <v>83</v>
      </c>
      <c r="F42" s="55"/>
      <c r="G42" s="55"/>
      <c r="H42" s="55"/>
      <c r="I42" s="55"/>
      <c r="J42" s="56"/>
      <c r="K42" s="56"/>
      <c r="L42" s="57"/>
    </row>
    <row r="43" spans="2:12" s="2" customFormat="1" ht="30.75" thickBot="1">
      <c r="B43" s="9" t="s">
        <v>14</v>
      </c>
      <c r="C43" s="53" t="s">
        <v>275</v>
      </c>
      <c r="D43" s="55" t="s">
        <v>69</v>
      </c>
      <c r="E43" s="55" t="s">
        <v>70</v>
      </c>
      <c r="F43" s="55"/>
      <c r="G43" s="55"/>
      <c r="H43" s="55"/>
      <c r="I43" s="55"/>
      <c r="J43" s="56"/>
      <c r="K43" s="56"/>
      <c r="L43" s="57"/>
    </row>
    <row r="44" spans="2:12" s="2" customFormat="1" ht="15.75" thickBot="1">
      <c r="B44" s="9" t="s">
        <v>14</v>
      </c>
      <c r="C44" s="53" t="s">
        <v>490</v>
      </c>
      <c r="D44" s="55" t="s">
        <v>74</v>
      </c>
      <c r="E44" s="55" t="s">
        <v>85</v>
      </c>
      <c r="F44" s="55"/>
      <c r="G44" s="55"/>
      <c r="H44" s="55"/>
      <c r="I44" s="55"/>
      <c r="J44" s="56"/>
      <c r="K44" s="56"/>
      <c r="L44" s="57"/>
    </row>
    <row r="45" spans="2:12" s="2" customFormat="1" ht="15.75" thickBot="1">
      <c r="B45" s="9" t="s">
        <v>14</v>
      </c>
      <c r="C45" s="53" t="s">
        <v>132</v>
      </c>
      <c r="D45" s="55" t="s">
        <v>74</v>
      </c>
      <c r="E45" s="55" t="s">
        <v>86</v>
      </c>
      <c r="F45" s="55"/>
      <c r="G45" s="55"/>
      <c r="H45" s="55"/>
      <c r="I45" s="55"/>
      <c r="J45" s="56"/>
      <c r="K45" s="56"/>
      <c r="L45" s="57"/>
    </row>
    <row r="46" spans="2:12" s="2" customFormat="1" ht="15.75" thickBot="1">
      <c r="B46" s="9" t="s">
        <v>14</v>
      </c>
      <c r="C46" s="53" t="s">
        <v>492</v>
      </c>
      <c r="D46" s="55" t="s">
        <v>63</v>
      </c>
      <c r="E46" s="55" t="s">
        <v>90</v>
      </c>
      <c r="F46" s="55"/>
      <c r="G46" s="55"/>
      <c r="H46" s="55"/>
      <c r="I46" s="55"/>
      <c r="J46" s="56"/>
      <c r="K46" s="56"/>
      <c r="L46" s="57"/>
    </row>
    <row r="47" spans="2:12" s="2" customFormat="1" ht="15.75" thickBot="1">
      <c r="B47" s="9" t="s">
        <v>14</v>
      </c>
      <c r="C47" s="53" t="s">
        <v>491</v>
      </c>
      <c r="D47" s="55" t="s">
        <v>63</v>
      </c>
      <c r="E47" s="55" t="s">
        <v>90</v>
      </c>
      <c r="F47" s="55"/>
      <c r="G47" s="55"/>
      <c r="H47" s="55"/>
      <c r="I47" s="55"/>
      <c r="J47" s="56"/>
      <c r="K47" s="56"/>
      <c r="L47" s="57"/>
    </row>
    <row r="48" spans="2:12" s="2" customFormat="1" ht="15.75" thickBot="1">
      <c r="B48" s="9" t="s">
        <v>14</v>
      </c>
      <c r="C48" s="53" t="s">
        <v>132</v>
      </c>
      <c r="D48" s="55" t="s">
        <v>63</v>
      </c>
      <c r="E48" s="55" t="s">
        <v>89</v>
      </c>
      <c r="F48" s="55"/>
      <c r="G48" s="55"/>
      <c r="H48" s="55"/>
      <c r="I48" s="55"/>
      <c r="J48" s="56"/>
      <c r="K48" s="56"/>
      <c r="L48" s="57"/>
    </row>
    <row r="49" spans="2:12" s="2" customFormat="1" ht="15.75" thickBot="1">
      <c r="B49" s="9" t="s">
        <v>14</v>
      </c>
      <c r="C49" s="53" t="s">
        <v>505</v>
      </c>
      <c r="D49" s="55" t="s">
        <v>63</v>
      </c>
      <c r="E49" s="55" t="s">
        <v>94</v>
      </c>
      <c r="F49" s="55"/>
      <c r="G49" s="55"/>
      <c r="H49" s="55"/>
      <c r="I49" s="55"/>
      <c r="J49" s="56"/>
      <c r="K49" s="56"/>
      <c r="L49" s="57"/>
    </row>
    <row r="50" spans="2:12" s="2" customFormat="1" ht="15.75" thickBot="1">
      <c r="B50" s="9" t="s">
        <v>14</v>
      </c>
      <c r="C50" s="53" t="s">
        <v>504</v>
      </c>
      <c r="D50" s="55" t="s">
        <v>63</v>
      </c>
      <c r="E50" s="55" t="s">
        <v>94</v>
      </c>
      <c r="F50" s="55"/>
      <c r="G50" s="55"/>
      <c r="H50" s="55"/>
      <c r="I50" s="55"/>
      <c r="J50" s="56"/>
      <c r="K50" s="56"/>
      <c r="L50" s="57"/>
    </row>
    <row r="51" spans="2:12" s="2" customFormat="1" ht="30.75" thickBot="1">
      <c r="B51" s="9" t="s">
        <v>14</v>
      </c>
      <c r="C51" s="53" t="s">
        <v>507</v>
      </c>
      <c r="D51" s="55" t="s">
        <v>64</v>
      </c>
      <c r="E51" s="55" t="s">
        <v>506</v>
      </c>
      <c r="F51" s="55"/>
      <c r="G51" s="55"/>
      <c r="H51" s="55"/>
      <c r="I51" s="55"/>
      <c r="J51" s="56"/>
      <c r="K51" s="56"/>
      <c r="L51" s="57"/>
    </row>
    <row r="52" spans="2:12" s="2" customFormat="1" ht="15.75" thickBot="1">
      <c r="B52" s="9" t="s">
        <v>14</v>
      </c>
      <c r="C52" s="53" t="s">
        <v>509</v>
      </c>
      <c r="D52" s="55" t="s">
        <v>64</v>
      </c>
      <c r="E52" s="55" t="s">
        <v>508</v>
      </c>
      <c r="F52" s="55"/>
      <c r="G52" s="55"/>
      <c r="H52" s="55"/>
      <c r="I52" s="55"/>
      <c r="J52" s="56"/>
      <c r="K52" s="56"/>
      <c r="L52" s="57"/>
    </row>
    <row r="53" spans="2:12" s="2" customFormat="1" ht="15.75" thickBot="1">
      <c r="B53" s="9" t="s">
        <v>14</v>
      </c>
      <c r="C53" s="53" t="s">
        <v>510</v>
      </c>
      <c r="D53" s="55" t="s">
        <v>64</v>
      </c>
      <c r="E53" s="55" t="s">
        <v>508</v>
      </c>
      <c r="F53" s="55"/>
      <c r="G53" s="55"/>
      <c r="H53" s="55"/>
      <c r="I53" s="55"/>
      <c r="J53" s="56"/>
      <c r="K53" s="56"/>
      <c r="L53" s="57"/>
    </row>
    <row r="54" spans="2:12" s="2" customFormat="1" ht="30.75" thickBot="1">
      <c r="B54" s="9" t="s">
        <v>14</v>
      </c>
      <c r="C54" s="53" t="s">
        <v>512</v>
      </c>
      <c r="D54" s="55" t="s">
        <v>77</v>
      </c>
      <c r="E54" s="55" t="s">
        <v>520</v>
      </c>
      <c r="F54" s="55"/>
      <c r="G54" s="55"/>
      <c r="H54" s="55"/>
      <c r="I54" s="55"/>
      <c r="J54" s="56"/>
      <c r="K54" s="56"/>
      <c r="L54" s="57"/>
    </row>
    <row r="55" spans="2:12" s="2" customFormat="1" ht="15.75" thickBot="1">
      <c r="B55" s="9" t="s">
        <v>14</v>
      </c>
      <c r="C55" s="53" t="s">
        <v>519</v>
      </c>
      <c r="D55" s="55" t="s">
        <v>77</v>
      </c>
      <c r="E55" s="55" t="s">
        <v>78</v>
      </c>
      <c r="F55" s="55"/>
      <c r="G55" s="55"/>
      <c r="H55" s="55"/>
      <c r="I55" s="55"/>
      <c r="J55" s="56"/>
      <c r="K55" s="56"/>
      <c r="L55" s="57"/>
    </row>
    <row r="56" spans="2:12" s="2" customFormat="1">
      <c r="B56" s="66" t="s">
        <v>14</v>
      </c>
      <c r="C56" s="67" t="s">
        <v>281</v>
      </c>
      <c r="D56" s="55" t="s">
        <v>523</v>
      </c>
      <c r="E56" s="55" t="s">
        <v>523</v>
      </c>
      <c r="F56" s="55"/>
      <c r="G56" s="55"/>
      <c r="H56" s="55"/>
      <c r="I56" s="55"/>
      <c r="J56" s="56"/>
      <c r="K56" s="56"/>
      <c r="L56" s="57"/>
    </row>
    <row r="57" spans="2:12" s="2" customFormat="1">
      <c r="B57" s="68" t="s">
        <v>14</v>
      </c>
      <c r="C57" s="67" t="s">
        <v>296</v>
      </c>
      <c r="D57" s="55" t="s">
        <v>523</v>
      </c>
      <c r="E57" s="55" t="s">
        <v>523</v>
      </c>
      <c r="F57" s="55"/>
      <c r="G57" s="55"/>
      <c r="H57" s="55"/>
      <c r="I57" s="55"/>
      <c r="J57" s="56"/>
      <c r="K57" s="56"/>
      <c r="L57" s="57"/>
    </row>
    <row r="58" spans="2:12" s="2" customFormat="1">
      <c r="B58" s="68" t="s">
        <v>14</v>
      </c>
      <c r="C58" s="67" t="s">
        <v>282</v>
      </c>
      <c r="D58" s="55" t="s">
        <v>523</v>
      </c>
      <c r="E58" s="55" t="s">
        <v>523</v>
      </c>
      <c r="F58" s="55"/>
      <c r="G58" s="55"/>
      <c r="H58" s="55"/>
      <c r="I58" s="55"/>
      <c r="J58" s="56"/>
      <c r="K58" s="56"/>
      <c r="L58" s="57"/>
    </row>
    <row r="59" spans="2:12" s="2" customFormat="1">
      <c r="B59" s="68" t="s">
        <v>14</v>
      </c>
      <c r="C59" s="67" t="s">
        <v>283</v>
      </c>
      <c r="D59" s="55" t="s">
        <v>523</v>
      </c>
      <c r="E59" s="55" t="s">
        <v>523</v>
      </c>
      <c r="F59" s="55"/>
      <c r="G59" s="55"/>
      <c r="H59" s="55"/>
      <c r="I59" s="55"/>
      <c r="J59" s="56"/>
      <c r="K59" s="56"/>
      <c r="L59" s="57"/>
    </row>
    <row r="60" spans="2:12" s="2" customFormat="1">
      <c r="B60" s="68" t="s">
        <v>14</v>
      </c>
      <c r="C60" s="67" t="s">
        <v>284</v>
      </c>
      <c r="D60" s="55" t="s">
        <v>523</v>
      </c>
      <c r="E60" s="55" t="s">
        <v>523</v>
      </c>
      <c r="F60" s="55"/>
      <c r="G60" s="55"/>
      <c r="H60" s="55"/>
      <c r="I60" s="55"/>
      <c r="J60" s="56"/>
      <c r="K60" s="56"/>
      <c r="L60" s="57"/>
    </row>
    <row r="61" spans="2:12" s="2" customFormat="1">
      <c r="B61" s="68" t="s">
        <v>14</v>
      </c>
      <c r="C61" s="67" t="s">
        <v>285</v>
      </c>
      <c r="D61" s="55" t="s">
        <v>523</v>
      </c>
      <c r="E61" s="55" t="s">
        <v>523</v>
      </c>
      <c r="F61" s="55"/>
      <c r="G61" s="55"/>
      <c r="H61" s="55"/>
      <c r="I61" s="55"/>
      <c r="J61" s="56"/>
      <c r="K61" s="56"/>
      <c r="L61" s="57"/>
    </row>
    <row r="62" spans="2:12" s="2" customFormat="1">
      <c r="B62" s="68" t="s">
        <v>14</v>
      </c>
      <c r="C62" s="67" t="s">
        <v>286</v>
      </c>
      <c r="D62" s="55" t="s">
        <v>523</v>
      </c>
      <c r="E62" s="55" t="s">
        <v>523</v>
      </c>
      <c r="F62" s="55"/>
      <c r="G62" s="55"/>
      <c r="H62" s="55"/>
      <c r="I62" s="55"/>
      <c r="J62" s="56"/>
      <c r="K62" s="56"/>
      <c r="L62" s="57"/>
    </row>
    <row r="63" spans="2:12" s="2" customFormat="1">
      <c r="B63" s="68" t="s">
        <v>14</v>
      </c>
      <c r="C63" s="67" t="s">
        <v>303</v>
      </c>
      <c r="D63" s="55" t="s">
        <v>523</v>
      </c>
      <c r="E63" s="55" t="s">
        <v>523</v>
      </c>
      <c r="F63" s="55"/>
      <c r="G63" s="55"/>
      <c r="H63" s="55"/>
      <c r="I63" s="55"/>
      <c r="J63" s="56"/>
      <c r="K63" s="56"/>
      <c r="L63" s="57"/>
    </row>
    <row r="64" spans="2:12" s="2" customFormat="1">
      <c r="B64" s="68" t="s">
        <v>14</v>
      </c>
      <c r="C64" s="67" t="s">
        <v>294</v>
      </c>
      <c r="D64" s="55" t="s">
        <v>523</v>
      </c>
      <c r="E64" s="55" t="s">
        <v>523</v>
      </c>
      <c r="F64" s="55"/>
      <c r="G64" s="55"/>
      <c r="H64" s="55"/>
      <c r="I64" s="55"/>
      <c r="J64" s="56"/>
      <c r="K64" s="56"/>
      <c r="L64" s="57"/>
    </row>
    <row r="65" spans="2:12" s="2" customFormat="1">
      <c r="B65" s="68" t="s">
        <v>14</v>
      </c>
      <c r="C65" s="67" t="s">
        <v>295</v>
      </c>
      <c r="D65" s="55" t="s">
        <v>523</v>
      </c>
      <c r="E65" s="55" t="s">
        <v>523</v>
      </c>
      <c r="F65" s="55"/>
      <c r="G65" s="55"/>
      <c r="H65" s="55"/>
      <c r="I65" s="55"/>
      <c r="J65" s="56"/>
      <c r="K65" s="56"/>
      <c r="L65" s="57"/>
    </row>
    <row r="66" spans="2:12" s="2" customFormat="1">
      <c r="B66" s="68" t="s">
        <v>14</v>
      </c>
      <c r="C66" s="67" t="s">
        <v>287</v>
      </c>
      <c r="D66" s="55" t="s">
        <v>523</v>
      </c>
      <c r="E66" s="55" t="s">
        <v>523</v>
      </c>
      <c r="F66" s="55"/>
      <c r="G66" s="55"/>
      <c r="H66" s="55"/>
      <c r="I66" s="55"/>
      <c r="J66" s="56"/>
      <c r="K66" s="56"/>
      <c r="L66" s="57"/>
    </row>
    <row r="67" spans="2:12" s="2" customFormat="1">
      <c r="B67" s="68" t="s">
        <v>14</v>
      </c>
      <c r="C67" s="53" t="s">
        <v>348</v>
      </c>
      <c r="D67" s="55" t="s">
        <v>523</v>
      </c>
      <c r="E67" s="55" t="s">
        <v>523</v>
      </c>
      <c r="F67" s="55"/>
      <c r="G67" s="55"/>
      <c r="H67" s="55"/>
      <c r="I67" s="55"/>
      <c r="J67" s="56"/>
      <c r="K67" s="56"/>
      <c r="L67" s="57"/>
    </row>
    <row r="68" spans="2:12" s="2" customFormat="1">
      <c r="B68" s="68" t="s">
        <v>14</v>
      </c>
      <c r="C68" s="53" t="s">
        <v>349</v>
      </c>
      <c r="D68" s="55" t="s">
        <v>523</v>
      </c>
      <c r="E68" s="55" t="s">
        <v>523</v>
      </c>
      <c r="F68" s="55"/>
      <c r="G68" s="55"/>
      <c r="H68" s="55"/>
      <c r="I68" s="55"/>
      <c r="J68" s="56"/>
      <c r="K68" s="56"/>
      <c r="L68" s="57"/>
    </row>
    <row r="69" spans="2:12" s="2" customFormat="1">
      <c r="B69" s="68" t="s">
        <v>14</v>
      </c>
      <c r="C69" s="53" t="s">
        <v>352</v>
      </c>
      <c r="D69" s="55" t="s">
        <v>523</v>
      </c>
      <c r="E69" s="55" t="s">
        <v>523</v>
      </c>
      <c r="F69" s="55"/>
      <c r="G69" s="55"/>
      <c r="H69" s="55"/>
      <c r="I69" s="55"/>
      <c r="J69" s="56"/>
      <c r="K69" s="56"/>
      <c r="L69" s="57"/>
    </row>
    <row r="70" spans="2:12" s="2" customFormat="1">
      <c r="B70" s="52" t="s">
        <v>288</v>
      </c>
      <c r="C70" s="53" t="s">
        <v>427</v>
      </c>
      <c r="D70" s="55" t="s">
        <v>288</v>
      </c>
      <c r="E70" s="55" t="s">
        <v>524</v>
      </c>
      <c r="F70" s="55"/>
      <c r="G70" s="55"/>
      <c r="H70" s="55"/>
      <c r="I70" s="55"/>
      <c r="J70" s="56"/>
      <c r="K70" s="56"/>
      <c r="L70" s="57"/>
    </row>
    <row r="71" spans="2:12" s="2" customFormat="1">
      <c r="B71" s="68" t="s">
        <v>288</v>
      </c>
      <c r="C71" s="67" t="s">
        <v>289</v>
      </c>
      <c r="D71" s="55" t="s">
        <v>288</v>
      </c>
      <c r="E71" s="55" t="s">
        <v>524</v>
      </c>
      <c r="F71" s="55"/>
      <c r="G71" s="55"/>
      <c r="H71" s="55"/>
      <c r="I71" s="55"/>
      <c r="J71" s="56"/>
      <c r="K71" s="56"/>
      <c r="L71" s="57"/>
    </row>
    <row r="72" spans="2:12" s="2" customFormat="1">
      <c r="B72" s="68" t="s">
        <v>288</v>
      </c>
      <c r="C72" s="67" t="s">
        <v>290</v>
      </c>
      <c r="D72" s="55" t="s">
        <v>288</v>
      </c>
      <c r="E72" s="55" t="s">
        <v>524</v>
      </c>
      <c r="F72" s="55"/>
      <c r="G72" s="55"/>
      <c r="H72" s="55"/>
      <c r="I72" s="55"/>
      <c r="J72" s="56"/>
      <c r="K72" s="56"/>
      <c r="L72" s="57"/>
    </row>
    <row r="73" spans="2:12" s="2" customFormat="1">
      <c r="B73" s="68" t="s">
        <v>288</v>
      </c>
      <c r="C73" s="67" t="s">
        <v>291</v>
      </c>
      <c r="D73" s="55" t="s">
        <v>288</v>
      </c>
      <c r="E73" s="55" t="s">
        <v>524</v>
      </c>
      <c r="F73" s="55"/>
      <c r="G73" s="55"/>
      <c r="H73" s="55"/>
      <c r="I73" s="55"/>
      <c r="J73" s="56"/>
      <c r="K73" s="56"/>
      <c r="L73" s="57"/>
    </row>
    <row r="74" spans="2:12" s="2" customFormat="1">
      <c r="B74" s="68" t="s">
        <v>288</v>
      </c>
      <c r="C74" s="67" t="s">
        <v>292</v>
      </c>
      <c r="D74" s="55" t="s">
        <v>288</v>
      </c>
      <c r="E74" s="55" t="s">
        <v>524</v>
      </c>
      <c r="F74" s="55"/>
      <c r="G74" s="55"/>
      <c r="H74" s="55"/>
      <c r="I74" s="55"/>
      <c r="J74" s="56"/>
      <c r="K74" s="56"/>
      <c r="L74" s="57"/>
    </row>
    <row r="75" spans="2:12" s="2" customFormat="1">
      <c r="B75" s="68" t="s">
        <v>288</v>
      </c>
      <c r="C75" s="67" t="s">
        <v>94</v>
      </c>
      <c r="D75" s="55" t="s">
        <v>288</v>
      </c>
      <c r="E75" s="55" t="s">
        <v>524</v>
      </c>
      <c r="F75" s="55"/>
      <c r="G75" s="55"/>
      <c r="H75" s="55"/>
      <c r="I75" s="55"/>
      <c r="J75" s="56"/>
      <c r="K75" s="56"/>
      <c r="L75" s="57"/>
    </row>
    <row r="76" spans="2:12" s="2" customFormat="1">
      <c r="B76" s="68" t="s">
        <v>288</v>
      </c>
      <c r="C76" s="67" t="s">
        <v>293</v>
      </c>
      <c r="D76" s="55" t="s">
        <v>288</v>
      </c>
      <c r="E76" s="55" t="s">
        <v>524</v>
      </c>
      <c r="F76" s="55"/>
      <c r="G76" s="55"/>
      <c r="H76" s="55"/>
      <c r="I76" s="55"/>
      <c r="J76" s="56"/>
      <c r="K76" s="56"/>
      <c r="L76" s="57"/>
    </row>
    <row r="77" spans="2:12" s="2" customFormat="1">
      <c r="B77" s="68" t="s">
        <v>288</v>
      </c>
      <c r="C77" s="67" t="s">
        <v>297</v>
      </c>
      <c r="D77" s="55" t="s">
        <v>288</v>
      </c>
      <c r="E77" s="55" t="s">
        <v>524</v>
      </c>
      <c r="F77" s="55"/>
      <c r="G77" s="55"/>
      <c r="H77" s="55"/>
      <c r="I77" s="55"/>
      <c r="J77" s="56"/>
      <c r="K77" s="56"/>
      <c r="L77" s="57"/>
    </row>
    <row r="78" spans="2:12" s="2" customFormat="1">
      <c r="B78" s="52" t="s">
        <v>288</v>
      </c>
      <c r="C78" s="53" t="s">
        <v>529</v>
      </c>
      <c r="D78" s="55" t="s">
        <v>288</v>
      </c>
      <c r="E78" s="55" t="s">
        <v>524</v>
      </c>
      <c r="F78" s="55"/>
      <c r="G78" s="55"/>
      <c r="H78" s="55"/>
      <c r="I78" s="55"/>
      <c r="J78" s="56"/>
      <c r="K78" s="56"/>
      <c r="L78" s="57"/>
    </row>
    <row r="79" spans="2:12" s="2" customFormat="1">
      <c r="B79" s="52"/>
      <c r="C79" s="53"/>
      <c r="D79" s="55"/>
      <c r="E79" s="55"/>
      <c r="F79" s="55"/>
      <c r="G79" s="55"/>
      <c r="H79" s="55"/>
      <c r="I79" s="55"/>
      <c r="J79" s="56"/>
      <c r="K79" s="56"/>
      <c r="L79" s="57"/>
    </row>
    <row r="80" spans="2:12" s="2" customFormat="1">
      <c r="B80" s="52"/>
      <c r="C80" s="53"/>
      <c r="D80" s="55"/>
      <c r="E80" s="55"/>
      <c r="F80" s="55"/>
      <c r="G80" s="55"/>
      <c r="H80" s="55"/>
      <c r="I80" s="55"/>
      <c r="J80" s="56"/>
      <c r="K80" s="56"/>
      <c r="L80" s="57"/>
    </row>
    <row r="81" spans="2:12" s="2" customFormat="1">
      <c r="B81" s="52"/>
      <c r="C81" s="53"/>
      <c r="D81" s="55"/>
      <c r="E81" s="55"/>
      <c r="F81" s="55"/>
      <c r="G81" s="55"/>
      <c r="H81" s="55"/>
      <c r="I81" s="55"/>
      <c r="J81" s="56"/>
      <c r="K81" s="56"/>
      <c r="L81" s="57"/>
    </row>
    <row r="82" spans="2:12" s="2" customFormat="1">
      <c r="B82" s="52"/>
      <c r="C82" s="53"/>
      <c r="D82" s="55"/>
      <c r="E82" s="55"/>
      <c r="F82" s="55"/>
      <c r="G82" s="55"/>
      <c r="H82" s="55"/>
      <c r="I82" s="55"/>
      <c r="J82" s="56"/>
      <c r="K82" s="56"/>
      <c r="L82" s="57"/>
    </row>
    <row r="83" spans="2:12" s="2" customFormat="1">
      <c r="B83" s="52"/>
      <c r="C83" s="53"/>
      <c r="D83" s="55"/>
      <c r="E83" s="55"/>
      <c r="F83" s="55"/>
      <c r="G83" s="55"/>
      <c r="H83" s="55"/>
      <c r="I83" s="55"/>
      <c r="J83" s="56"/>
      <c r="K83" s="56"/>
      <c r="L83" s="57"/>
    </row>
    <row r="84" spans="2:12" s="2" customFormat="1">
      <c r="B84" s="52"/>
      <c r="C84" s="53"/>
      <c r="D84" s="55"/>
      <c r="E84" s="55"/>
      <c r="F84" s="55"/>
      <c r="G84" s="55"/>
      <c r="H84" s="55"/>
      <c r="I84" s="55"/>
      <c r="J84" s="56"/>
      <c r="K84" s="56"/>
      <c r="L84" s="57"/>
    </row>
    <row r="85" spans="2:12" s="2" customFormat="1">
      <c r="B85" s="52"/>
      <c r="C85" s="53"/>
      <c r="D85" s="55"/>
      <c r="E85" s="55"/>
      <c r="F85" s="55"/>
      <c r="G85" s="55"/>
      <c r="H85" s="55"/>
      <c r="I85" s="55"/>
      <c r="J85" s="56"/>
      <c r="K85" s="56"/>
      <c r="L85" s="57"/>
    </row>
    <row r="86" spans="2:12" s="2" customFormat="1">
      <c r="B86" s="52"/>
      <c r="C86" s="53"/>
      <c r="D86" s="55"/>
      <c r="E86" s="55"/>
      <c r="F86" s="55"/>
      <c r="G86" s="55"/>
      <c r="H86" s="55"/>
      <c r="I86" s="55"/>
      <c r="J86" s="56"/>
      <c r="K86" s="56"/>
      <c r="L86" s="57"/>
    </row>
    <row r="87" spans="2:12" s="2" customFormat="1">
      <c r="B87" s="52"/>
      <c r="C87" s="53"/>
      <c r="D87" s="55"/>
      <c r="E87" s="55"/>
      <c r="F87" s="55"/>
      <c r="G87" s="55"/>
      <c r="H87" s="55"/>
      <c r="I87" s="55"/>
      <c r="J87" s="56"/>
      <c r="K87" s="56"/>
      <c r="L87" s="57"/>
    </row>
    <row r="88" spans="2:12" s="2" customFormat="1">
      <c r="B88" s="52"/>
      <c r="C88" s="53"/>
      <c r="D88" s="55"/>
      <c r="E88" s="55"/>
      <c r="F88" s="55"/>
      <c r="G88" s="55"/>
      <c r="H88" s="55"/>
      <c r="I88" s="55"/>
      <c r="J88" s="56"/>
      <c r="K88" s="56"/>
      <c r="L88" s="57"/>
    </row>
    <row r="89" spans="2:12" s="2" customFormat="1">
      <c r="B89" s="52"/>
      <c r="C89" s="53"/>
      <c r="D89" s="55"/>
      <c r="E89" s="55"/>
      <c r="F89" s="55"/>
      <c r="G89" s="55"/>
      <c r="H89" s="55"/>
      <c r="I89" s="55"/>
      <c r="J89" s="56"/>
      <c r="K89" s="56"/>
      <c r="L89" s="57"/>
    </row>
    <row r="90" spans="2:12" s="2" customFormat="1">
      <c r="B90" s="52"/>
      <c r="C90" s="53"/>
      <c r="D90" s="55"/>
      <c r="E90" s="55"/>
      <c r="F90" s="55"/>
      <c r="G90" s="55"/>
      <c r="H90" s="55"/>
      <c r="I90" s="55"/>
      <c r="J90" s="56"/>
      <c r="K90" s="56"/>
      <c r="L90" s="57"/>
    </row>
    <row r="91" spans="2:12" s="2" customFormat="1">
      <c r="B91" s="52"/>
      <c r="C91" s="53"/>
      <c r="D91" s="55"/>
      <c r="E91" s="55"/>
      <c r="F91" s="55"/>
      <c r="G91" s="55"/>
      <c r="H91" s="55"/>
      <c r="I91" s="55"/>
      <c r="J91" s="56"/>
      <c r="K91" s="56"/>
      <c r="L91" s="57"/>
    </row>
    <row r="92" spans="2:12" s="2" customFormat="1">
      <c r="B92" s="52"/>
      <c r="C92" s="53"/>
      <c r="D92" s="55"/>
      <c r="E92" s="55"/>
      <c r="F92" s="55"/>
      <c r="G92" s="55"/>
      <c r="H92" s="55"/>
      <c r="I92" s="55"/>
      <c r="J92" s="56"/>
      <c r="K92" s="56"/>
      <c r="L92" s="57"/>
    </row>
    <row r="93" spans="2:12" s="2" customFormat="1">
      <c r="B93" s="52"/>
      <c r="C93" s="53"/>
      <c r="D93" s="55"/>
      <c r="E93" s="55"/>
      <c r="F93" s="55"/>
      <c r="G93" s="55"/>
      <c r="H93" s="55"/>
      <c r="I93" s="55"/>
      <c r="J93" s="56"/>
      <c r="K93" s="56"/>
      <c r="L93" s="57"/>
    </row>
    <row r="94" spans="2:12" s="2" customFormat="1">
      <c r="B94" s="52"/>
      <c r="C94" s="53"/>
      <c r="D94" s="55"/>
      <c r="E94" s="55"/>
      <c r="F94" s="55"/>
      <c r="G94" s="55"/>
      <c r="H94" s="55"/>
      <c r="I94" s="55"/>
      <c r="J94" s="56"/>
      <c r="K94" s="56"/>
      <c r="L94" s="57"/>
    </row>
    <row r="95" spans="2:12" s="2" customFormat="1">
      <c r="B95" s="52"/>
      <c r="C95" s="53"/>
      <c r="D95" s="55"/>
      <c r="E95" s="55"/>
      <c r="F95" s="55"/>
      <c r="G95" s="55"/>
      <c r="H95" s="55"/>
      <c r="I95" s="55"/>
      <c r="J95" s="56"/>
      <c r="K95" s="56"/>
      <c r="L95" s="57"/>
    </row>
    <row r="96" spans="2:12" s="2" customFormat="1">
      <c r="B96" s="52"/>
      <c r="C96" s="53"/>
      <c r="D96" s="55"/>
      <c r="E96" s="55"/>
      <c r="F96" s="55"/>
      <c r="G96" s="55"/>
      <c r="H96" s="55"/>
      <c r="I96" s="55"/>
      <c r="J96" s="56"/>
      <c r="K96" s="56"/>
      <c r="L96" s="57"/>
    </row>
    <row r="97" spans="2:12" s="2" customFormat="1">
      <c r="B97" s="52"/>
      <c r="C97" s="53"/>
      <c r="D97" s="55"/>
      <c r="E97" s="55"/>
      <c r="F97" s="55"/>
      <c r="G97" s="55"/>
      <c r="H97" s="55"/>
      <c r="I97" s="55"/>
      <c r="J97" s="56"/>
      <c r="K97" s="56"/>
      <c r="L97" s="57"/>
    </row>
    <row r="98" spans="2:12" s="2" customFormat="1">
      <c r="B98" s="52"/>
      <c r="C98" s="53"/>
      <c r="D98" s="55"/>
      <c r="E98" s="55"/>
      <c r="F98" s="55"/>
      <c r="G98" s="55"/>
      <c r="H98" s="55"/>
      <c r="I98" s="55"/>
      <c r="J98" s="56"/>
      <c r="K98" s="56"/>
      <c r="L98" s="57"/>
    </row>
    <row r="99" spans="2:12" s="2" customFormat="1">
      <c r="B99" s="52"/>
      <c r="C99" s="53"/>
      <c r="D99" s="55"/>
      <c r="E99" s="55"/>
      <c r="F99" s="55"/>
      <c r="G99" s="55"/>
      <c r="H99" s="55"/>
      <c r="I99" s="55"/>
      <c r="J99" s="56"/>
      <c r="K99" s="56"/>
      <c r="L99" s="57"/>
    </row>
    <row r="100" spans="2:12" s="2" customFormat="1">
      <c r="B100" s="52"/>
      <c r="C100" s="53"/>
      <c r="D100" s="55"/>
      <c r="E100" s="55"/>
      <c r="F100" s="55"/>
      <c r="G100" s="55"/>
      <c r="H100" s="55"/>
      <c r="I100" s="55"/>
      <c r="J100" s="56"/>
      <c r="K100" s="56"/>
      <c r="L100" s="57"/>
    </row>
    <row r="101" spans="2:12" s="2" customFormat="1">
      <c r="B101" s="52"/>
      <c r="C101" s="53"/>
      <c r="D101" s="55"/>
      <c r="E101" s="55"/>
      <c r="F101" s="55"/>
      <c r="G101" s="55"/>
      <c r="H101" s="55"/>
      <c r="I101" s="55"/>
      <c r="J101" s="56"/>
      <c r="K101" s="56"/>
      <c r="L101" s="57"/>
    </row>
    <row r="102" spans="2:12" s="2" customFormat="1">
      <c r="B102" s="52"/>
      <c r="C102" s="53"/>
      <c r="D102" s="55"/>
      <c r="E102" s="55"/>
      <c r="F102" s="55"/>
      <c r="G102" s="55"/>
      <c r="H102" s="55"/>
      <c r="I102" s="55"/>
      <c r="J102" s="56"/>
      <c r="K102" s="56"/>
      <c r="L102" s="57"/>
    </row>
    <row r="103" spans="2:12" s="2" customFormat="1">
      <c r="B103" s="52"/>
      <c r="C103" s="53"/>
      <c r="D103" s="55"/>
      <c r="E103" s="55"/>
      <c r="F103" s="55"/>
      <c r="G103" s="55"/>
      <c r="H103" s="55"/>
      <c r="I103" s="55"/>
      <c r="J103" s="56"/>
      <c r="K103" s="56"/>
      <c r="L103" s="57"/>
    </row>
    <row r="104" spans="2:12" s="2" customFormat="1">
      <c r="B104" s="52"/>
      <c r="C104" s="53"/>
      <c r="D104" s="55"/>
      <c r="E104" s="55"/>
      <c r="F104" s="55"/>
      <c r="G104" s="55"/>
      <c r="H104" s="55"/>
      <c r="I104" s="55"/>
      <c r="J104" s="56"/>
      <c r="K104" s="56"/>
      <c r="L104" s="57"/>
    </row>
    <row r="105" spans="2:12" s="2" customFormat="1">
      <c r="B105" s="52"/>
      <c r="C105" s="53"/>
      <c r="D105" s="55"/>
      <c r="E105" s="55"/>
      <c r="F105" s="55"/>
      <c r="G105" s="55"/>
      <c r="H105" s="55"/>
      <c r="I105" s="55"/>
      <c r="J105" s="56"/>
      <c r="K105" s="56"/>
      <c r="L105" s="57"/>
    </row>
    <row r="106" spans="2:12" s="2" customFormat="1">
      <c r="B106" s="52"/>
      <c r="C106" s="53"/>
      <c r="D106" s="55"/>
      <c r="E106" s="55"/>
      <c r="F106" s="55"/>
      <c r="G106" s="55"/>
      <c r="H106" s="55"/>
      <c r="I106" s="55"/>
      <c r="J106" s="56"/>
      <c r="K106" s="56"/>
      <c r="L106" s="57"/>
    </row>
    <row r="107" spans="2:12" s="2" customFormat="1">
      <c r="B107" s="52"/>
      <c r="C107" s="53"/>
      <c r="D107" s="55"/>
      <c r="E107" s="55"/>
      <c r="F107" s="55"/>
      <c r="G107" s="55"/>
      <c r="H107" s="55"/>
      <c r="I107" s="55"/>
      <c r="J107" s="56"/>
      <c r="K107" s="56"/>
      <c r="L107" s="57"/>
    </row>
    <row r="108" spans="2:12" s="2" customFormat="1">
      <c r="B108" s="52"/>
      <c r="C108" s="53"/>
      <c r="D108" s="55"/>
      <c r="E108" s="55"/>
      <c r="F108" s="55"/>
      <c r="G108" s="55"/>
      <c r="H108" s="55"/>
      <c r="I108" s="55"/>
      <c r="J108" s="56"/>
      <c r="K108" s="56"/>
      <c r="L108" s="57"/>
    </row>
    <row r="109" spans="2:12" s="2" customFormat="1">
      <c r="B109" s="52"/>
      <c r="C109" s="53"/>
      <c r="D109" s="55"/>
      <c r="E109" s="55"/>
      <c r="F109" s="55"/>
      <c r="G109" s="55"/>
      <c r="H109" s="55"/>
      <c r="I109" s="55"/>
      <c r="J109" s="56"/>
      <c r="K109" s="56"/>
      <c r="L109" s="57"/>
    </row>
    <row r="110" spans="2:12" s="2" customFormat="1">
      <c r="B110" s="52"/>
      <c r="C110" s="53"/>
      <c r="D110" s="55"/>
      <c r="E110" s="55"/>
      <c r="F110" s="55"/>
      <c r="G110" s="55"/>
      <c r="H110" s="55"/>
      <c r="I110" s="55"/>
      <c r="J110" s="56"/>
      <c r="K110" s="56"/>
      <c r="L110" s="57"/>
    </row>
    <row r="111" spans="2:12" s="2" customFormat="1">
      <c r="B111" s="52"/>
      <c r="C111" s="53"/>
      <c r="D111" s="55"/>
      <c r="E111" s="55"/>
      <c r="F111" s="55"/>
      <c r="G111" s="55"/>
      <c r="H111" s="55"/>
      <c r="I111" s="55"/>
      <c r="J111" s="56"/>
      <c r="K111" s="56"/>
      <c r="L111" s="57"/>
    </row>
    <row r="112" spans="2:12" s="2" customFormat="1">
      <c r="B112" s="52"/>
      <c r="C112" s="53"/>
      <c r="D112" s="55"/>
      <c r="E112" s="55"/>
      <c r="F112" s="55"/>
      <c r="G112" s="55"/>
      <c r="H112" s="55"/>
      <c r="I112" s="55"/>
      <c r="J112" s="56"/>
      <c r="K112" s="56"/>
      <c r="L112" s="57"/>
    </row>
    <row r="113" spans="2:12" s="2" customFormat="1">
      <c r="B113" s="12"/>
      <c r="C113" s="13"/>
      <c r="D113" s="15"/>
      <c r="E113" s="15"/>
      <c r="F113" s="15"/>
      <c r="G113" s="15"/>
      <c r="H113" s="15"/>
      <c r="I113" s="15"/>
      <c r="J113" s="15"/>
      <c r="K113" s="21"/>
      <c r="L113" s="21"/>
    </row>
    <row r="114" spans="2:12" s="2" customFormat="1">
      <c r="B114" s="12"/>
      <c r="C114" s="13"/>
      <c r="D114" s="15"/>
      <c r="E114" s="15"/>
      <c r="F114" s="15"/>
      <c r="G114" s="15"/>
      <c r="H114" s="15"/>
      <c r="I114" s="15"/>
      <c r="J114" s="15"/>
      <c r="K114" s="21"/>
      <c r="L114" s="18"/>
    </row>
    <row r="115" spans="2:12" s="2" customFormat="1">
      <c r="B115" s="12"/>
      <c r="C115" s="13"/>
      <c r="D115" s="15"/>
      <c r="E115" s="15"/>
      <c r="F115" s="15"/>
      <c r="G115" s="15"/>
      <c r="H115" s="15"/>
      <c r="I115" s="15"/>
      <c r="J115" s="15"/>
      <c r="K115" s="21"/>
      <c r="L115" s="18"/>
    </row>
    <row r="116" spans="2:12" s="2" customFormat="1">
      <c r="B116" s="12"/>
      <c r="C116" s="13"/>
      <c r="D116" s="15"/>
      <c r="E116" s="15"/>
      <c r="F116" s="15"/>
      <c r="G116" s="15"/>
      <c r="H116" s="15"/>
      <c r="I116" s="15"/>
      <c r="J116" s="16"/>
      <c r="K116" s="16"/>
      <c r="L116" s="18"/>
    </row>
  </sheetData>
  <autoFilter ref="B2:L77"/>
  <dataValidations count="2">
    <dataValidation type="list" allowBlank="1" showErrorMessage="1" sqref="B56:B69 B71:B77">
      <formula1>Foco_Serviço</formula1>
    </dataValidation>
    <dataValidation type="list" allowBlank="1" showInputMessage="1" showErrorMessage="1" sqref="B3:B55 B70 B78:B116">
      <formula1>Foco_Serviço</formula1>
    </dataValidation>
  </dataValidations>
  <pageMargins left="0.511811024" right="0.511811024" top="0.78740157499999996" bottom="0.78740157499999996" header="0.31496062000000002" footer="0.31496062000000002"/>
  <pageSetup paperSize="9" orientation="portrait"/>
  <legacyDrawing r:id="rId1"/>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6"/>
  <sheetViews>
    <sheetView showGridLines="0" zoomScaleNormal="100" zoomScalePageLayoutView="150" workbookViewId="0"/>
  </sheetViews>
  <sheetFormatPr defaultColWidth="11.42578125" defaultRowHeight="15"/>
  <cols>
    <col min="1" max="1" width="65.28515625" bestFit="1" customWidth="1"/>
  </cols>
  <sheetData>
    <row r="1" spans="1:1" s="60" customFormat="1">
      <c r="A1" s="60" t="s">
        <v>111</v>
      </c>
    </row>
    <row r="2" spans="1:1">
      <c r="A2" s="61" t="s">
        <v>97</v>
      </c>
    </row>
    <row r="3" spans="1:1">
      <c r="A3" s="61" t="s">
        <v>99</v>
      </c>
    </row>
    <row r="4" spans="1:1">
      <c r="A4" s="61" t="s">
        <v>100</v>
      </c>
    </row>
    <row r="5" spans="1:1">
      <c r="A5" s="61" t="s">
        <v>101</v>
      </c>
    </row>
    <row r="6" spans="1:1">
      <c r="A6" s="61" t="s">
        <v>102</v>
      </c>
    </row>
    <row r="7" spans="1:1">
      <c r="A7" s="61" t="s">
        <v>103</v>
      </c>
    </row>
    <row r="8" spans="1:1">
      <c r="A8" s="61" t="s">
        <v>104</v>
      </c>
    </row>
    <row r="9" spans="1:1">
      <c r="A9" s="61" t="s">
        <v>105</v>
      </c>
    </row>
    <row r="10" spans="1:1">
      <c r="A10" s="61" t="s">
        <v>106</v>
      </c>
    </row>
    <row r="11" spans="1:1">
      <c r="A11" s="61" t="s">
        <v>107</v>
      </c>
    </row>
    <row r="12" spans="1:1">
      <c r="A12" s="61" t="s">
        <v>98</v>
      </c>
    </row>
    <row r="13" spans="1:1">
      <c r="A13" s="61" t="s">
        <v>108</v>
      </c>
    </row>
    <row r="14" spans="1:1">
      <c r="A14" s="61" t="s">
        <v>109</v>
      </c>
    </row>
    <row r="15" spans="1:1">
      <c r="A15" s="61" t="s">
        <v>110</v>
      </c>
    </row>
    <row r="16" spans="1:1">
      <c r="A16" s="62" t="s">
        <v>112</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1"/>
  <sheetViews>
    <sheetView showGridLines="0" zoomScaleNormal="100" zoomScalePageLayoutView="125" workbookViewId="0"/>
  </sheetViews>
  <sheetFormatPr defaultColWidth="10.85546875" defaultRowHeight="15"/>
  <cols>
    <col min="1" max="1" width="54.42578125" style="5" bestFit="1" customWidth="1"/>
    <col min="2" max="16384" width="10.85546875" style="5"/>
  </cols>
  <sheetData>
    <row r="1" spans="1:1" s="60" customFormat="1">
      <c r="A1" s="60" t="s">
        <v>210</v>
      </c>
    </row>
    <row r="2" spans="1:1">
      <c r="A2" s="64" t="s">
        <v>211</v>
      </c>
    </row>
    <row r="3" spans="1:1">
      <c r="A3" s="65" t="s">
        <v>213</v>
      </c>
    </row>
    <row r="4" spans="1:1">
      <c r="A4" s="64" t="s">
        <v>251</v>
      </c>
    </row>
    <row r="5" spans="1:1">
      <c r="A5" s="65" t="s">
        <v>214</v>
      </c>
    </row>
    <row r="6" spans="1:1">
      <c r="A6" s="65" t="s">
        <v>212</v>
      </c>
    </row>
    <row r="7" spans="1:1">
      <c r="A7" s="64" t="s">
        <v>247</v>
      </c>
    </row>
    <row r="8" spans="1:1">
      <c r="A8" s="65" t="s">
        <v>214</v>
      </c>
    </row>
    <row r="9" spans="1:1">
      <c r="A9" s="64" t="s">
        <v>248</v>
      </c>
    </row>
    <row r="10" spans="1:1">
      <c r="A10" s="65" t="s">
        <v>213</v>
      </c>
    </row>
    <row r="11" spans="1:1">
      <c r="A11" s="64" t="s">
        <v>249</v>
      </c>
    </row>
    <row r="12" spans="1:1">
      <c r="A12" s="65" t="s">
        <v>215</v>
      </c>
    </row>
    <row r="13" spans="1:1">
      <c r="A13" s="65" t="s">
        <v>216</v>
      </c>
    </row>
    <row r="14" spans="1:1">
      <c r="A14" s="65" t="s">
        <v>217</v>
      </c>
    </row>
    <row r="15" spans="1:1">
      <c r="A15" s="65" t="s">
        <v>218</v>
      </c>
    </row>
    <row r="16" spans="1:1">
      <c r="A16" s="65" t="s">
        <v>219</v>
      </c>
    </row>
    <row r="17" spans="1:1">
      <c r="A17" s="65" t="s">
        <v>220</v>
      </c>
    </row>
    <row r="18" spans="1:1">
      <c r="A18" s="65" t="s">
        <v>221</v>
      </c>
    </row>
    <row r="19" spans="1:1">
      <c r="A19" s="65" t="s">
        <v>222</v>
      </c>
    </row>
    <row r="20" spans="1:1">
      <c r="A20" s="65" t="s">
        <v>223</v>
      </c>
    </row>
    <row r="21" spans="1:1">
      <c r="A21" s="65" t="s">
        <v>224</v>
      </c>
    </row>
    <row r="22" spans="1:1">
      <c r="A22" s="65" t="s">
        <v>225</v>
      </c>
    </row>
    <row r="23" spans="1:1">
      <c r="A23" s="65" t="s">
        <v>226</v>
      </c>
    </row>
    <row r="24" spans="1:1">
      <c r="A24" s="65" t="s">
        <v>227</v>
      </c>
    </row>
    <row r="25" spans="1:1">
      <c r="A25" s="65" t="s">
        <v>228</v>
      </c>
    </row>
    <row r="26" spans="1:1">
      <c r="A26" s="65" t="s">
        <v>229</v>
      </c>
    </row>
    <row r="27" spans="1:1">
      <c r="A27" s="65" t="s">
        <v>230</v>
      </c>
    </row>
    <row r="28" spans="1:1">
      <c r="A28" s="65" t="s">
        <v>231</v>
      </c>
    </row>
    <row r="29" spans="1:1">
      <c r="A29" s="65" t="s">
        <v>232</v>
      </c>
    </row>
    <row r="30" spans="1:1">
      <c r="A30" s="65" t="s">
        <v>214</v>
      </c>
    </row>
    <row r="31" spans="1:1">
      <c r="A31" s="65" t="s">
        <v>82</v>
      </c>
    </row>
    <row r="32" spans="1:1">
      <c r="A32" s="65" t="s">
        <v>81</v>
      </c>
    </row>
    <row r="33" spans="1:1">
      <c r="A33" s="65" t="s">
        <v>233</v>
      </c>
    </row>
    <row r="34" spans="1:1">
      <c r="A34" s="65" t="s">
        <v>234</v>
      </c>
    </row>
    <row r="35" spans="1:1">
      <c r="A35" s="65" t="s">
        <v>235</v>
      </c>
    </row>
    <row r="36" spans="1:1">
      <c r="A36" s="65" t="s">
        <v>236</v>
      </c>
    </row>
    <row r="37" spans="1:1">
      <c r="A37" s="65" t="s">
        <v>237</v>
      </c>
    </row>
    <row r="38" spans="1:1">
      <c r="A38" s="65" t="s">
        <v>238</v>
      </c>
    </row>
    <row r="39" spans="1:1">
      <c r="A39" s="65" t="s">
        <v>239</v>
      </c>
    </row>
    <row r="40" spans="1:1">
      <c r="A40" s="65" t="s">
        <v>240</v>
      </c>
    </row>
    <row r="41" spans="1:1">
      <c r="A41" s="65" t="s">
        <v>241</v>
      </c>
    </row>
    <row r="42" spans="1:1">
      <c r="A42" s="65" t="s">
        <v>242</v>
      </c>
    </row>
    <row r="43" spans="1:1">
      <c r="A43" s="65" t="s">
        <v>243</v>
      </c>
    </row>
    <row r="44" spans="1:1">
      <c r="A44" s="65" t="s">
        <v>244</v>
      </c>
    </row>
    <row r="45" spans="1:1">
      <c r="A45" s="65" t="s">
        <v>245</v>
      </c>
    </row>
    <row r="46" spans="1:1">
      <c r="A46" s="65" t="s">
        <v>93</v>
      </c>
    </row>
    <row r="47" spans="1:1">
      <c r="A47" s="65" t="s">
        <v>246</v>
      </c>
    </row>
    <row r="48" spans="1:1">
      <c r="A48" s="65" t="s">
        <v>212</v>
      </c>
    </row>
    <row r="49" spans="1:1">
      <c r="A49" s="64" t="s">
        <v>250</v>
      </c>
    </row>
    <row r="50" spans="1:1">
      <c r="A50" s="65" t="s">
        <v>214</v>
      </c>
    </row>
    <row r="51" spans="1:1">
      <c r="A51" s="65" t="s">
        <v>212</v>
      </c>
    </row>
    <row r="52" spans="1:1">
      <c r="A52" s="64" t="s">
        <v>252</v>
      </c>
    </row>
    <row r="53" spans="1:1">
      <c r="A53" s="65" t="s">
        <v>214</v>
      </c>
    </row>
    <row r="54" spans="1:1">
      <c r="A54" s="65" t="s">
        <v>212</v>
      </c>
    </row>
    <row r="55" spans="1:1">
      <c r="A55" s="64" t="s">
        <v>253</v>
      </c>
    </row>
    <row r="56" spans="1:1">
      <c r="A56" s="65" t="s">
        <v>214</v>
      </c>
    </row>
    <row r="57" spans="1:1">
      <c r="A57" s="65" t="s">
        <v>212</v>
      </c>
    </row>
    <row r="58" spans="1:1">
      <c r="A58" s="64" t="s">
        <v>212</v>
      </c>
    </row>
    <row r="59" spans="1:1">
      <c r="A59" s="65" t="s">
        <v>212</v>
      </c>
    </row>
    <row r="60" spans="1:1">
      <c r="A60" s="64" t="s">
        <v>254</v>
      </c>
    </row>
    <row r="61" spans="1:1">
      <c r="A61" s="64" t="s">
        <v>255</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heetViews>
  <sheetFormatPr defaultColWidth="11.42578125" defaultRowHeight="15"/>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Conteúdo</vt:lpstr>
      <vt:lpstr>Procedimentos Priorizados</vt:lpstr>
      <vt:lpstr>Catálogo Serviços Suporte</vt:lpstr>
      <vt:lpstr>Catálogo Fullfil Mondial Antigo</vt:lpstr>
      <vt:lpstr>Catálogo Serviços Negócio</vt:lpstr>
      <vt:lpstr>Processos de Negócio</vt:lpstr>
      <vt:lpstr>Áreas de Negócio e Sistemas</vt:lpstr>
      <vt:lpstr>Componentes de Serviço</vt:lpstr>
      <vt:lpstr>CMDB</vt:lpstr>
      <vt:lpstr>Localidades</vt:lpstr>
      <vt:lpstr>Localidades de TI</vt:lpstr>
      <vt:lpstr>Fornecedores de TI</vt:lpstr>
    </vt:vector>
  </TitlesOfParts>
  <Company>Interadapt Solutions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Vladimir Ferraz de Abreu</dc:creator>
  <cp:lastModifiedBy>Felipe Lima</cp:lastModifiedBy>
  <dcterms:created xsi:type="dcterms:W3CDTF">2012-10-01T15:07:38Z</dcterms:created>
  <dcterms:modified xsi:type="dcterms:W3CDTF">2017-05-25T16:28:24Z</dcterms:modified>
</cp:coreProperties>
</file>