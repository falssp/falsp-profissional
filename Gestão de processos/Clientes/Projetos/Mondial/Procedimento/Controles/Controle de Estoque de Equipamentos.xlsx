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tertek\Desktop\ADN - Strati\Entregas\STRATI\Controles\"/>
    </mc:Choice>
  </mc:AlternateContent>
  <bookViews>
    <workbookView xWindow="0" yWindow="0" windowWidth="20490" windowHeight="7755"/>
  </bookViews>
  <sheets>
    <sheet name="Entrada" sheetId="1" r:id="rId1"/>
    <sheet name="Saída" sheetId="2" r:id="rId2"/>
    <sheet name="Estoque Atual" sheetId="3" r:id="rId3"/>
  </sheets>
  <calcPr calcId="152511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2" l="1"/>
  <c r="G6" i="2"/>
  <c r="H6" i="2"/>
  <c r="F7" i="2"/>
  <c r="G7" i="2"/>
  <c r="H7" i="2"/>
  <c r="F8" i="2"/>
  <c r="G8" i="2"/>
  <c r="H8" i="2"/>
  <c r="F9" i="2"/>
  <c r="G9" i="2"/>
  <c r="H9" i="2"/>
  <c r="F10" i="2"/>
  <c r="G10" i="2"/>
  <c r="H10" i="2"/>
  <c r="F11" i="2"/>
  <c r="G11" i="2"/>
  <c r="H11" i="2"/>
  <c r="F12" i="2"/>
  <c r="G12" i="2"/>
  <c r="H12" i="2"/>
  <c r="F13" i="2"/>
  <c r="G13" i="2"/>
  <c r="H13" i="2"/>
  <c r="F14" i="2"/>
  <c r="G14" i="2"/>
  <c r="H14" i="2"/>
  <c r="F15" i="2"/>
  <c r="G15" i="2"/>
  <c r="H15" i="2"/>
  <c r="F16" i="2"/>
  <c r="G16" i="2"/>
  <c r="H16" i="2"/>
  <c r="F17" i="2"/>
  <c r="G17" i="2"/>
  <c r="H17" i="2"/>
  <c r="F18" i="2"/>
  <c r="G18" i="2"/>
  <c r="H18" i="2"/>
  <c r="F19" i="2"/>
  <c r="G19" i="2"/>
  <c r="H19" i="2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4" i="1"/>
  <c r="G4" i="1"/>
  <c r="H4" i="1"/>
  <c r="F5" i="1"/>
  <c r="G5" i="1"/>
  <c r="H5" i="1"/>
  <c r="H3" i="1"/>
  <c r="G3" i="1"/>
  <c r="F3" i="1"/>
  <c r="H4" i="2"/>
  <c r="H5" i="2"/>
  <c r="H3" i="2"/>
  <c r="F4" i="2"/>
  <c r="G4" i="2"/>
  <c r="F5" i="2"/>
  <c r="G5" i="2"/>
  <c r="F3" i="2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4" i="3"/>
  <c r="G5" i="3"/>
  <c r="G6" i="3"/>
  <c r="G3" i="3"/>
  <c r="G3" i="2"/>
</calcChain>
</file>

<file path=xl/sharedStrings.xml><?xml version="1.0" encoding="utf-8"?>
<sst xmlns="http://schemas.openxmlformats.org/spreadsheetml/2006/main" count="52" uniqueCount="26">
  <si>
    <t>Código</t>
  </si>
  <si>
    <t>Descreva o Produto</t>
  </si>
  <si>
    <t>Fornecedor</t>
  </si>
  <si>
    <t>Estoque Mínimo</t>
  </si>
  <si>
    <t>Estoque Inicial</t>
  </si>
  <si>
    <t>Estoque atual</t>
  </si>
  <si>
    <t>Código Produto</t>
  </si>
  <si>
    <t>Data da entrada</t>
  </si>
  <si>
    <t>Quantidade</t>
  </si>
  <si>
    <t>Descrição do Produto</t>
  </si>
  <si>
    <t>Data da saída</t>
  </si>
  <si>
    <t>Fonte Notebook HP</t>
  </si>
  <si>
    <t>Probook</t>
  </si>
  <si>
    <t>HP</t>
  </si>
  <si>
    <t>Mouse c/ fio</t>
  </si>
  <si>
    <t>Preto</t>
  </si>
  <si>
    <t>Modelo/Cor</t>
  </si>
  <si>
    <t>NewLink</t>
  </si>
  <si>
    <t xml:space="preserve">Teclado c/ fio </t>
  </si>
  <si>
    <t>Microsoft</t>
  </si>
  <si>
    <t>Cadastrar o Produto</t>
  </si>
  <si>
    <t>Nº Ticket</t>
  </si>
  <si>
    <t>Área Cliente</t>
  </si>
  <si>
    <t>Observação</t>
  </si>
  <si>
    <t>Cadastrar o Produto no Estoque Atual</t>
  </si>
  <si>
    <t>Não retirar a fórmula, somente
arrastar para baixo para  não 
perder o calculo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</si>
</sst>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1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" xfId="0" applyNumberFormat="1" applyFont="1" applyFill="1" applyBorder="1" applyAlignment="1" applyProtection="1">
      <alignment horizontal="center" vertical="center"/>
      <protection hidden="1"/>
    </xf>
    <xf numFmtId="1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hidden="1"/>
    </xf>
    <xf numFmtId="0" fontId="2" fillId="3" borderId="1" xfId="0" applyFont="1" applyFill="1" applyBorder="1" applyAlignment="1" applyProtection="1">
      <alignment horizontal="center" vertical="center"/>
      <protection locked="0"/>
    </xf>
    <xf numFmtId="14" fontId="2" fillId="3" borderId="1" xfId="0" applyNumberFormat="1" applyFont="1" applyFill="1" applyBorder="1" applyAlignment="1" applyProtection="1">
      <alignment horizontal="center" vertical="center"/>
      <protection locked="0"/>
    </xf>
    <xf numFmtId="2" fontId="2" fillId="3" borderId="1" xfId="0" applyNumberFormat="1" applyFont="1" applyFill="1" applyBorder="1" applyAlignment="1" applyProtection="1">
      <alignment horizontal="center" vertical="center"/>
      <protection locked="0"/>
    </xf>
    <xf numFmtId="2" fontId="2" fillId="3" borderId="1" xfId="0" applyNumberFormat="1" applyFont="1" applyFill="1" applyBorder="1" applyAlignment="1" applyProtection="1">
      <alignment horizontal="center" vertical="center"/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14" fontId="0" fillId="0" borderId="1" xfId="0" applyNumberFormat="1" applyBorder="1" applyAlignment="1" applyProtection="1">
      <alignment horizontal="center" vertical="center"/>
      <protection locked="0"/>
    </xf>
    <xf numFmtId="44" fontId="0" fillId="0" borderId="1" xfId="1" applyFont="1" applyBorder="1" applyAlignment="1" applyProtection="1">
      <alignment horizontal="center" vertical="center"/>
      <protection locked="0"/>
    </xf>
    <xf numFmtId="44" fontId="0" fillId="0" borderId="1" xfId="1" applyFont="1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4" borderId="2" xfId="0" applyFont="1" applyFill="1" applyBorder="1" applyAlignment="1">
      <alignment horizontal="center"/>
    </xf>
    <xf numFmtId="0" fontId="2" fillId="4" borderId="0" xfId="0" applyFont="1" applyFill="1" applyBorder="1" applyAlignment="1" applyProtection="1">
      <alignment horizontal="center" vertical="center" wrapText="1"/>
      <protection locked="0"/>
    </xf>
  </cellXfs>
  <cellStyles count="2">
    <cellStyle name="Moeda" xfId="1" builtinId="4"/>
    <cellStyle name="Normal" xfId="0" builtinId="0"/>
  </cellStyles>
  <dxfs count="2">
    <dxf>
      <font>
        <color theme="0"/>
      </font>
      <fill>
        <patternFill>
          <bgColor theme="5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abSelected="1" workbookViewId="0">
      <selection activeCell="C5" sqref="C5"/>
    </sheetView>
  </sheetViews>
  <sheetFormatPr defaultRowHeight="15" x14ac:dyDescent="0.25"/>
  <cols>
    <col min="1" max="1" width="14.85546875" bestFit="1" customWidth="1"/>
    <col min="2" max="2" width="15" bestFit="1" customWidth="1"/>
    <col min="3" max="3" width="11.42578125" bestFit="1" customWidth="1"/>
    <col min="4" max="4" width="9.140625" bestFit="1" customWidth="1"/>
    <col min="5" max="5" width="12" bestFit="1" customWidth="1"/>
    <col min="6" max="6" width="11.85546875" bestFit="1" customWidth="1"/>
    <col min="7" max="7" width="20" bestFit="1" customWidth="1"/>
    <col min="8" max="8" width="11.140625" bestFit="1" customWidth="1"/>
    <col min="9" max="9" width="11.28515625" bestFit="1" customWidth="1"/>
  </cols>
  <sheetData>
    <row r="1" spans="1:9" x14ac:dyDescent="0.25">
      <c r="A1" s="20" t="s">
        <v>24</v>
      </c>
      <c r="B1" s="20"/>
      <c r="C1" s="20"/>
      <c r="D1" s="20"/>
      <c r="E1" s="20"/>
      <c r="F1" s="20"/>
      <c r="G1" s="20"/>
      <c r="H1" s="20"/>
      <c r="I1" s="20"/>
    </row>
    <row r="2" spans="1:9" x14ac:dyDescent="0.25">
      <c r="A2" s="7" t="s">
        <v>6</v>
      </c>
      <c r="B2" s="8" t="s">
        <v>7</v>
      </c>
      <c r="C2" s="8" t="s">
        <v>8</v>
      </c>
      <c r="D2" s="9" t="s">
        <v>21</v>
      </c>
      <c r="E2" s="10" t="s">
        <v>22</v>
      </c>
      <c r="F2" s="11" t="s">
        <v>16</v>
      </c>
      <c r="G2" s="11" t="s">
        <v>9</v>
      </c>
      <c r="H2" s="11" t="s">
        <v>2</v>
      </c>
      <c r="I2" s="11" t="s">
        <v>23</v>
      </c>
    </row>
    <row r="3" spans="1:9" x14ac:dyDescent="0.25">
      <c r="A3" s="5">
        <v>1</v>
      </c>
      <c r="B3" s="12">
        <v>42556</v>
      </c>
      <c r="C3" s="5">
        <v>5</v>
      </c>
      <c r="D3" s="13"/>
      <c r="E3" s="14"/>
      <c r="F3" s="15" t="str">
        <f>IF(ISERROR(VLOOKUP(A3,'Estoque Atual'!A:G,1,FALSE)),"",VLOOKUP(A3,'Estoque Atual'!A:G,3,FALSE))</f>
        <v>Probook</v>
      </c>
      <c r="G3" s="15" t="str">
        <f>IF(ISBLANK(A3),"",IF(ISERROR(VLOOKUP(A3,'Estoque Atual'!A:G,1,FALSE)),"Produto não cadastrado",VLOOKUP(A3,'Estoque Atual'!A:G,2,FALSE)))</f>
        <v>Fonte Notebook HP</v>
      </c>
      <c r="H3" s="15" t="str">
        <f>IF(ISERROR(VLOOKUP(A3,'Estoque Atual'!A:G,1,FALSE)),"",VLOOKUP(A3,'Estoque Atual'!A:G,4,FALSE))</f>
        <v>HP</v>
      </c>
      <c r="I3" s="15"/>
    </row>
    <row r="4" spans="1:9" x14ac:dyDescent="0.25">
      <c r="A4" s="16">
        <v>2</v>
      </c>
      <c r="B4" s="17">
        <v>42556</v>
      </c>
      <c r="C4" s="16">
        <v>7</v>
      </c>
      <c r="D4" s="18"/>
      <c r="E4" s="14"/>
      <c r="F4" s="15" t="str">
        <f>IF(ISERROR(VLOOKUP(A4,'Estoque Atual'!A:G,1,FALSE)),"",VLOOKUP(A4,'Estoque Atual'!A:G,3,FALSE))</f>
        <v>Preto</v>
      </c>
      <c r="G4" s="15" t="str">
        <f>IF(ISBLANK(A4),"",IF(ISERROR(VLOOKUP(A4,'Estoque Atual'!A:G,1,FALSE)),"Produto não cadastrado",VLOOKUP(A4,'Estoque Atual'!A:G,2,FALSE)))</f>
        <v>Mouse c/ fio</v>
      </c>
      <c r="H4" s="15" t="str">
        <f>IF(ISERROR(VLOOKUP(A4,'Estoque Atual'!A:G,1,FALSE)),"",VLOOKUP(A4,'Estoque Atual'!A:G,4,FALSE))</f>
        <v>NewLink</v>
      </c>
      <c r="I4" s="15"/>
    </row>
    <row r="5" spans="1:9" x14ac:dyDescent="0.25">
      <c r="A5" s="16">
        <v>3</v>
      </c>
      <c r="B5" s="17">
        <v>42557</v>
      </c>
      <c r="C5" s="16">
        <v>8</v>
      </c>
      <c r="D5" s="18"/>
      <c r="E5" s="14"/>
      <c r="F5" s="15" t="str">
        <f>IF(ISERROR(VLOOKUP(A5,'Estoque Atual'!A:G,1,FALSE)),"",VLOOKUP(A5,'Estoque Atual'!A:G,3,FALSE))</f>
        <v>Preto</v>
      </c>
      <c r="G5" s="15" t="str">
        <f>IF(ISBLANK(A5),"",IF(ISERROR(VLOOKUP(A5,'Estoque Atual'!A:G,1,FALSE)),"Produto não cadastrado",VLOOKUP(A5,'Estoque Atual'!A:G,2,FALSE)))</f>
        <v xml:space="preserve">Teclado c/ fio </v>
      </c>
      <c r="H5" s="15" t="str">
        <f>IF(ISERROR(VLOOKUP(A5,'Estoque Atual'!A:G,1,FALSE)),"",VLOOKUP(A5,'Estoque Atual'!A:G,4,FALSE))</f>
        <v>Microsoft</v>
      </c>
      <c r="I5" s="15"/>
    </row>
    <row r="6" spans="1:9" x14ac:dyDescent="0.25">
      <c r="A6" s="16"/>
      <c r="B6" s="17"/>
      <c r="C6" s="16"/>
      <c r="D6" s="18"/>
      <c r="E6" s="14"/>
      <c r="F6" s="15" t="str">
        <f>IF(ISERROR(VLOOKUP(A6,'Estoque Atual'!A:G,1,FALSE)),"",VLOOKUP(A6,'Estoque Atual'!A:G,3,FALSE))</f>
        <v/>
      </c>
      <c r="G6" s="15" t="str">
        <f>IF(ISBLANK(A6),"",IF(ISERROR(VLOOKUP(A6,'Estoque Atual'!A:G,1,FALSE)),"Produto não cadastrado",VLOOKUP(A6,'Estoque Atual'!A:G,2,FALSE)))</f>
        <v/>
      </c>
      <c r="H6" s="15" t="str">
        <f>IF(ISERROR(VLOOKUP(A6,'Estoque Atual'!A:G,1,FALSE)),"",VLOOKUP(A6,'Estoque Atual'!A:G,4,FALSE))</f>
        <v/>
      </c>
      <c r="I6" s="15"/>
    </row>
    <row r="7" spans="1:9" x14ac:dyDescent="0.25">
      <c r="A7" s="16"/>
      <c r="B7" s="17"/>
      <c r="C7" s="16"/>
      <c r="D7" s="18"/>
      <c r="E7" s="14"/>
      <c r="F7" s="15" t="str">
        <f>IF(ISERROR(VLOOKUP(A7,'Estoque Atual'!A:G,1,FALSE)),"",VLOOKUP(A7,'Estoque Atual'!A:G,3,FALSE))</f>
        <v/>
      </c>
      <c r="G7" s="15" t="str">
        <f>IF(ISBLANK(A7),"",IF(ISERROR(VLOOKUP(A7,'Estoque Atual'!A:G,1,FALSE)),"Produto não cadastrado",VLOOKUP(A7,'Estoque Atual'!A:G,2,FALSE)))</f>
        <v/>
      </c>
      <c r="H7" s="15" t="str">
        <f>IF(ISERROR(VLOOKUP(A7,'Estoque Atual'!A:G,1,FALSE)),"",VLOOKUP(A7,'Estoque Atual'!A:G,4,FALSE))</f>
        <v/>
      </c>
      <c r="I7" s="15"/>
    </row>
    <row r="8" spans="1:9" x14ac:dyDescent="0.25">
      <c r="A8" s="16"/>
      <c r="B8" s="17"/>
      <c r="C8" s="16"/>
      <c r="D8" s="18"/>
      <c r="E8" s="14"/>
      <c r="F8" s="15" t="str">
        <f>IF(ISERROR(VLOOKUP(A8,'Estoque Atual'!A:G,1,FALSE)),"",VLOOKUP(A8,'Estoque Atual'!A:G,3,FALSE))</f>
        <v/>
      </c>
      <c r="G8" s="15" t="str">
        <f>IF(ISBLANK(A8),"",IF(ISERROR(VLOOKUP(A8,'Estoque Atual'!A:G,1,FALSE)),"Produto não cadastrado",VLOOKUP(A8,'Estoque Atual'!A:G,2,FALSE)))</f>
        <v/>
      </c>
      <c r="H8" s="15" t="str">
        <f>IF(ISERROR(VLOOKUP(A8,'Estoque Atual'!A:G,1,FALSE)),"",VLOOKUP(A8,'Estoque Atual'!A:G,4,FALSE))</f>
        <v/>
      </c>
      <c r="I8" s="15"/>
    </row>
    <row r="9" spans="1:9" x14ac:dyDescent="0.25">
      <c r="A9" s="16"/>
      <c r="B9" s="17"/>
      <c r="C9" s="16"/>
      <c r="D9" s="18"/>
      <c r="E9" s="14"/>
      <c r="F9" s="15" t="str">
        <f>IF(ISERROR(VLOOKUP(A9,'Estoque Atual'!A:G,1,FALSE)),"",VLOOKUP(A9,'Estoque Atual'!A:G,3,FALSE))</f>
        <v/>
      </c>
      <c r="G9" s="15" t="str">
        <f>IF(ISBLANK(A9),"",IF(ISERROR(VLOOKUP(A9,'Estoque Atual'!A:G,1,FALSE)),"Produto não cadastrado",VLOOKUP(A9,'Estoque Atual'!A:G,2,FALSE)))</f>
        <v/>
      </c>
      <c r="H9" s="15" t="str">
        <f>IF(ISERROR(VLOOKUP(A9,'Estoque Atual'!A:G,1,FALSE)),"",VLOOKUP(A9,'Estoque Atual'!A:G,4,FALSE))</f>
        <v/>
      </c>
      <c r="I9" s="15"/>
    </row>
    <row r="10" spans="1:9" x14ac:dyDescent="0.25">
      <c r="A10" s="16"/>
      <c r="B10" s="17"/>
      <c r="C10" s="16"/>
      <c r="D10" s="18"/>
      <c r="E10" s="14"/>
      <c r="F10" s="15" t="str">
        <f>IF(ISERROR(VLOOKUP(A10,'Estoque Atual'!A:G,1,FALSE)),"",VLOOKUP(A10,'Estoque Atual'!A:G,3,FALSE))</f>
        <v/>
      </c>
      <c r="G10" s="15" t="str">
        <f>IF(ISBLANK(A10),"",IF(ISERROR(VLOOKUP(A10,'Estoque Atual'!A:G,1,FALSE)),"Produto não cadastrado",VLOOKUP(A10,'Estoque Atual'!A:G,2,FALSE)))</f>
        <v/>
      </c>
      <c r="H10" s="15" t="str">
        <f>IF(ISERROR(VLOOKUP(A10,'Estoque Atual'!A:G,1,FALSE)),"",VLOOKUP(A10,'Estoque Atual'!A:G,4,FALSE))</f>
        <v/>
      </c>
      <c r="I10" s="15"/>
    </row>
    <row r="11" spans="1:9" x14ac:dyDescent="0.25">
      <c r="A11" s="16"/>
      <c r="B11" s="17"/>
      <c r="C11" s="16"/>
      <c r="D11" s="18"/>
      <c r="E11" s="14"/>
      <c r="F11" s="15" t="str">
        <f>IF(ISERROR(VLOOKUP(A11,'Estoque Atual'!A:G,1,FALSE)),"",VLOOKUP(A11,'Estoque Atual'!A:G,3,FALSE))</f>
        <v/>
      </c>
      <c r="G11" s="15" t="str">
        <f>IF(ISBLANK(A11),"",IF(ISERROR(VLOOKUP(A11,'Estoque Atual'!A:G,1,FALSE)),"Produto não cadastrado",VLOOKUP(A11,'Estoque Atual'!A:G,2,FALSE)))</f>
        <v/>
      </c>
      <c r="H11" s="15" t="str">
        <f>IF(ISERROR(VLOOKUP(A11,'Estoque Atual'!A:G,1,FALSE)),"",VLOOKUP(A11,'Estoque Atual'!A:G,4,FALSE))</f>
        <v/>
      </c>
      <c r="I11" s="15"/>
    </row>
    <row r="12" spans="1:9" x14ac:dyDescent="0.25">
      <c r="A12" s="16"/>
      <c r="B12" s="17"/>
      <c r="C12" s="16"/>
      <c r="D12" s="18"/>
      <c r="E12" s="14"/>
      <c r="F12" s="15" t="str">
        <f>IF(ISERROR(VLOOKUP(A12,'Estoque Atual'!A:G,1,FALSE)),"",VLOOKUP(A12,'Estoque Atual'!A:G,3,FALSE))</f>
        <v/>
      </c>
      <c r="G12" s="15" t="str">
        <f>IF(ISBLANK(A12),"",IF(ISERROR(VLOOKUP(A12,'Estoque Atual'!A:G,1,FALSE)),"Produto não cadastrado",VLOOKUP(A12,'Estoque Atual'!A:G,2,FALSE)))</f>
        <v/>
      </c>
      <c r="H12" s="15" t="str">
        <f>IF(ISERROR(VLOOKUP(A12,'Estoque Atual'!A:G,1,FALSE)),"",VLOOKUP(A12,'Estoque Atual'!A:G,4,FALSE))</f>
        <v/>
      </c>
      <c r="I12" s="15"/>
    </row>
    <row r="13" spans="1:9" x14ac:dyDescent="0.25">
      <c r="A13" s="16"/>
      <c r="B13" s="17"/>
      <c r="C13" s="16"/>
      <c r="D13" s="18"/>
      <c r="E13" s="14"/>
      <c r="F13" s="15" t="str">
        <f>IF(ISERROR(VLOOKUP(A13,'Estoque Atual'!A:G,1,FALSE)),"",VLOOKUP(A13,'Estoque Atual'!A:G,3,FALSE))</f>
        <v/>
      </c>
      <c r="G13" s="15" t="str">
        <f>IF(ISBLANK(A13),"",IF(ISERROR(VLOOKUP(A13,'Estoque Atual'!A:G,1,FALSE)),"Produto não cadastrado",VLOOKUP(A13,'Estoque Atual'!A:G,2,FALSE)))</f>
        <v/>
      </c>
      <c r="H13" s="15" t="str">
        <f>IF(ISERROR(VLOOKUP(A13,'Estoque Atual'!A:G,1,FALSE)),"",VLOOKUP(A13,'Estoque Atual'!A:G,4,FALSE))</f>
        <v/>
      </c>
      <c r="I13" s="15"/>
    </row>
    <row r="14" spans="1:9" x14ac:dyDescent="0.25">
      <c r="A14" s="16"/>
      <c r="B14" s="17"/>
      <c r="C14" s="16"/>
      <c r="D14" s="18"/>
      <c r="E14" s="14"/>
      <c r="F14" s="15" t="str">
        <f>IF(ISERROR(VLOOKUP(A14,'Estoque Atual'!A:G,1,FALSE)),"",VLOOKUP(A14,'Estoque Atual'!A:G,3,FALSE))</f>
        <v/>
      </c>
      <c r="G14" s="15" t="str">
        <f>IF(ISBLANK(A14),"",IF(ISERROR(VLOOKUP(A14,'Estoque Atual'!A:G,1,FALSE)),"Produto não cadastrado",VLOOKUP(A14,'Estoque Atual'!A:G,2,FALSE)))</f>
        <v/>
      </c>
      <c r="H14" s="15" t="str">
        <f>IF(ISERROR(VLOOKUP(A14,'Estoque Atual'!A:G,1,FALSE)),"",VLOOKUP(A14,'Estoque Atual'!A:G,4,FALSE))</f>
        <v/>
      </c>
      <c r="I14" s="15"/>
    </row>
    <row r="15" spans="1:9" x14ac:dyDescent="0.25">
      <c r="A15" s="16"/>
      <c r="B15" s="17"/>
      <c r="C15" s="16"/>
      <c r="D15" s="18"/>
      <c r="E15" s="14"/>
      <c r="F15" s="15" t="str">
        <f>IF(ISERROR(VLOOKUP(A15,'Estoque Atual'!A:G,1,FALSE)),"",VLOOKUP(A15,'Estoque Atual'!A:G,3,FALSE))</f>
        <v/>
      </c>
      <c r="G15" s="15" t="str">
        <f>IF(ISBLANK(A15),"",IF(ISERROR(VLOOKUP(A15,'Estoque Atual'!A:G,1,FALSE)),"Produto não cadastrado",VLOOKUP(A15,'Estoque Atual'!A:G,2,FALSE)))</f>
        <v/>
      </c>
      <c r="H15" s="15" t="str">
        <f>IF(ISERROR(VLOOKUP(A15,'Estoque Atual'!A:G,1,FALSE)),"",VLOOKUP(A15,'Estoque Atual'!A:G,4,FALSE))</f>
        <v/>
      </c>
      <c r="I15" s="15"/>
    </row>
    <row r="16" spans="1:9" x14ac:dyDescent="0.25">
      <c r="A16" s="16"/>
      <c r="B16" s="17"/>
      <c r="C16" s="16"/>
      <c r="D16" s="18"/>
      <c r="E16" s="14"/>
      <c r="F16" s="15" t="str">
        <f>IF(ISERROR(VLOOKUP(A16,'Estoque Atual'!A:G,1,FALSE)),"",VLOOKUP(A16,'Estoque Atual'!A:G,3,FALSE))</f>
        <v/>
      </c>
      <c r="G16" s="15" t="str">
        <f>IF(ISBLANK(A16),"",IF(ISERROR(VLOOKUP(A16,'Estoque Atual'!A:G,1,FALSE)),"Produto não cadastrado",VLOOKUP(A16,'Estoque Atual'!A:G,2,FALSE)))</f>
        <v/>
      </c>
      <c r="H16" s="15" t="str">
        <f>IF(ISERROR(VLOOKUP(A16,'Estoque Atual'!A:G,1,FALSE)),"",VLOOKUP(A16,'Estoque Atual'!A:G,4,FALSE))</f>
        <v/>
      </c>
      <c r="I16" s="15"/>
    </row>
    <row r="17" spans="1:9" x14ac:dyDescent="0.25">
      <c r="A17" s="16"/>
      <c r="B17" s="17"/>
      <c r="C17" s="16"/>
      <c r="D17" s="18"/>
      <c r="E17" s="14"/>
      <c r="F17" s="15" t="str">
        <f>IF(ISERROR(VLOOKUP(A17,'Estoque Atual'!A:G,1,FALSE)),"",VLOOKUP(A17,'Estoque Atual'!A:G,3,FALSE))</f>
        <v/>
      </c>
      <c r="G17" s="15" t="str">
        <f>IF(ISBLANK(A17),"",IF(ISERROR(VLOOKUP(A17,'Estoque Atual'!A:G,1,FALSE)),"Produto não cadastrado",VLOOKUP(A17,'Estoque Atual'!A:G,2,FALSE)))</f>
        <v/>
      </c>
      <c r="H17" s="15" t="str">
        <f>IF(ISERROR(VLOOKUP(A17,'Estoque Atual'!A:G,1,FALSE)),"",VLOOKUP(A17,'Estoque Atual'!A:G,4,FALSE))</f>
        <v/>
      </c>
      <c r="I17" s="15"/>
    </row>
    <row r="18" spans="1:9" x14ac:dyDescent="0.25">
      <c r="A18" s="16"/>
      <c r="B18" s="17"/>
      <c r="C18" s="16"/>
      <c r="D18" s="18"/>
      <c r="E18" s="14"/>
      <c r="F18" s="15" t="str">
        <f>IF(ISERROR(VLOOKUP(A18,'Estoque Atual'!A:G,1,FALSE)),"",VLOOKUP(A18,'Estoque Atual'!A:G,3,FALSE))</f>
        <v/>
      </c>
      <c r="G18" s="15" t="str">
        <f>IF(ISBLANK(A18),"",IF(ISERROR(VLOOKUP(A18,'Estoque Atual'!A:G,1,FALSE)),"Produto não cadastrado",VLOOKUP(A18,'Estoque Atual'!A:G,2,FALSE)))</f>
        <v/>
      </c>
      <c r="H18" s="15" t="str">
        <f>IF(ISERROR(VLOOKUP(A18,'Estoque Atual'!A:G,1,FALSE)),"",VLOOKUP(A18,'Estoque Atual'!A:G,4,FALSE))</f>
        <v/>
      </c>
      <c r="I18" s="15"/>
    </row>
    <row r="19" spans="1:9" x14ac:dyDescent="0.25">
      <c r="A19" s="16"/>
      <c r="B19" s="17"/>
      <c r="C19" s="16"/>
      <c r="D19" s="18"/>
      <c r="E19" s="14"/>
      <c r="F19" s="15" t="str">
        <f>IF(ISERROR(VLOOKUP(A19,'Estoque Atual'!A:G,1,FALSE)),"",VLOOKUP(A19,'Estoque Atual'!A:G,3,FALSE))</f>
        <v/>
      </c>
      <c r="G19" s="15" t="str">
        <f>IF(ISBLANK(A19),"",IF(ISERROR(VLOOKUP(A19,'Estoque Atual'!A:G,1,FALSE)),"Produto não cadastrado",VLOOKUP(A19,'Estoque Atual'!A:G,2,FALSE)))</f>
        <v/>
      </c>
      <c r="H19" s="15" t="str">
        <f>IF(ISERROR(VLOOKUP(A19,'Estoque Atual'!A:G,1,FALSE)),"",VLOOKUP(A19,'Estoque Atual'!A:G,4,FALSE))</f>
        <v/>
      </c>
      <c r="I19" s="15"/>
    </row>
    <row r="20" spans="1:9" x14ac:dyDescent="0.25">
      <c r="A20" s="16"/>
      <c r="B20" s="17"/>
      <c r="C20" s="16"/>
      <c r="D20" s="18"/>
      <c r="E20" s="14"/>
      <c r="F20" s="15"/>
      <c r="G20" s="15"/>
      <c r="H20" s="15"/>
      <c r="I20" s="15"/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9"/>
  <sheetViews>
    <sheetView workbookViewId="0">
      <selection activeCell="H5" sqref="H5"/>
    </sheetView>
  </sheetViews>
  <sheetFormatPr defaultRowHeight="15" x14ac:dyDescent="0.25"/>
  <cols>
    <col min="1" max="1" width="14.85546875" bestFit="1" customWidth="1"/>
    <col min="2" max="2" width="12.5703125" bestFit="1" customWidth="1"/>
    <col min="3" max="3" width="11.42578125" bestFit="1" customWidth="1"/>
    <col min="4" max="4" width="9.140625" bestFit="1" customWidth="1"/>
    <col min="5" max="5" width="12" bestFit="1" customWidth="1"/>
    <col min="6" max="6" width="11.140625" bestFit="1" customWidth="1"/>
    <col min="7" max="7" width="20" bestFit="1" customWidth="1"/>
    <col min="8" max="8" width="12.5703125" bestFit="1" customWidth="1"/>
    <col min="9" max="9" width="11.28515625" bestFit="1" customWidth="1"/>
  </cols>
  <sheetData>
    <row r="2" spans="1:9" x14ac:dyDescent="0.25">
      <c r="A2" s="7" t="s">
        <v>6</v>
      </c>
      <c r="B2" s="8" t="s">
        <v>10</v>
      </c>
      <c r="C2" s="8" t="s">
        <v>8</v>
      </c>
      <c r="D2" s="9" t="s">
        <v>21</v>
      </c>
      <c r="E2" s="19" t="s">
        <v>22</v>
      </c>
      <c r="F2" s="11" t="s">
        <v>16</v>
      </c>
      <c r="G2" s="11" t="s">
        <v>9</v>
      </c>
      <c r="H2" s="11" t="s">
        <v>2</v>
      </c>
      <c r="I2" s="11" t="s">
        <v>23</v>
      </c>
    </row>
    <row r="3" spans="1:9" x14ac:dyDescent="0.25">
      <c r="A3" s="5">
        <v>1</v>
      </c>
      <c r="B3" s="12">
        <v>42557</v>
      </c>
      <c r="C3" s="5">
        <v>1</v>
      </c>
      <c r="D3" s="13"/>
      <c r="E3" s="14"/>
      <c r="F3" s="15" t="str">
        <f>IF(ISBLANK(A3),"",IF(ISERROR(VLOOKUP(A3,'Estoque Atual'!A:G,1,FALSE)),"Produto não cadastrado",VLOOKUP(A3,'Estoque Atual'!A:G,3,FALSE)))</f>
        <v>Probook</v>
      </c>
      <c r="G3" s="15" t="str">
        <f>IF(ISBLANK(A3),"",IF(ISERROR(VLOOKUP(A3,'Estoque Atual'!A:G,1,FALSE)),"Produto não cadastrado",VLOOKUP(A3,'Estoque Atual'!A:G,2,FALSE)))</f>
        <v>Fonte Notebook HP</v>
      </c>
      <c r="H3" s="15" t="str">
        <f>IF(ISERROR(VLOOKUP(A3,'Estoque Atual'!A:G,1,FALSE)),"",VLOOKUP(A3,'Estoque Atual'!A:G,4,FALSE))</f>
        <v>HP</v>
      </c>
      <c r="I3" s="15"/>
    </row>
    <row r="4" spans="1:9" x14ac:dyDescent="0.25">
      <c r="A4" s="16">
        <v>2</v>
      </c>
      <c r="B4" s="17">
        <v>42556</v>
      </c>
      <c r="C4" s="16">
        <v>1</v>
      </c>
      <c r="D4" s="18"/>
      <c r="E4" s="14"/>
      <c r="F4" s="15" t="str">
        <f>IF(ISBLANK(A4),"",IF(ISERROR(VLOOKUP(A4,'Estoque Atual'!A:G,1,FALSE)),"Produto não cadastrado",VLOOKUP(A4,'Estoque Atual'!A:G,3,FALSE)))</f>
        <v>Preto</v>
      </c>
      <c r="G4" s="15" t="str">
        <f>IF(ISBLANK(A4),"",IF(ISERROR(VLOOKUP(A4,'Estoque Atual'!A:G,1,FALSE)),"Produto não cadastrado",VLOOKUP(A4,'Estoque Atual'!A:G,2,FALSE)))</f>
        <v>Mouse c/ fio</v>
      </c>
      <c r="H4" s="15" t="str">
        <f>IF(ISERROR(VLOOKUP(A4,'Estoque Atual'!A:G,1,FALSE)),"",VLOOKUP(A4,'Estoque Atual'!A:G,4,FALSE))</f>
        <v>NewLink</v>
      </c>
      <c r="I4" s="15"/>
    </row>
    <row r="5" spans="1:9" x14ac:dyDescent="0.25">
      <c r="A5" s="16">
        <v>3</v>
      </c>
      <c r="B5" s="17">
        <v>42557</v>
      </c>
      <c r="C5" s="16">
        <v>5</v>
      </c>
      <c r="D5" s="18"/>
      <c r="E5" s="14"/>
      <c r="F5" s="15" t="str">
        <f>IF(ISBLANK(A5),"",IF(ISERROR(VLOOKUP(A5,'Estoque Atual'!A:G,1,FALSE)),"Produto não cadastrado",VLOOKUP(A5,'Estoque Atual'!A:G,3,FALSE)))</f>
        <v>Preto</v>
      </c>
      <c r="G5" s="15" t="str">
        <f>IF(ISBLANK(A5),"",IF(ISERROR(VLOOKUP(A5,'Estoque Atual'!A:G,1,FALSE)),"Produto não cadastrado",VLOOKUP(A5,'Estoque Atual'!A:G,2,FALSE)))</f>
        <v xml:space="preserve">Teclado c/ fio </v>
      </c>
      <c r="H5" s="15" t="str">
        <f>IF(ISERROR(VLOOKUP(A5,'Estoque Atual'!A:G,1,FALSE)),"",VLOOKUP(A5,'Estoque Atual'!A:G,4,FALSE))</f>
        <v>Microsoft</v>
      </c>
      <c r="I5" s="15"/>
    </row>
    <row r="6" spans="1:9" x14ac:dyDescent="0.25">
      <c r="A6" s="16"/>
      <c r="B6" s="17"/>
      <c r="C6" s="16"/>
      <c r="D6" s="18"/>
      <c r="E6" s="14"/>
      <c r="F6" s="15" t="str">
        <f>IF(ISBLANK(A6),"",IF(ISERROR(VLOOKUP(A6,'Estoque Atual'!A:G,1,FALSE)),"Produto não cadastrado",VLOOKUP(A6,'Estoque Atual'!A:G,3,FALSE)))</f>
        <v/>
      </c>
      <c r="G6" s="15" t="str">
        <f>IF(ISBLANK(A6),"",IF(ISERROR(VLOOKUP(A6,'Estoque Atual'!A:G,1,FALSE)),"Produto não cadastrado",VLOOKUP(A6,'Estoque Atual'!A:G,2,FALSE)))</f>
        <v/>
      </c>
      <c r="H6" s="15" t="str">
        <f>IF(ISERROR(VLOOKUP(A6,'Estoque Atual'!A:G,1,FALSE)),"",VLOOKUP(A6,'Estoque Atual'!A:G,4,FALSE))</f>
        <v/>
      </c>
      <c r="I6" s="15"/>
    </row>
    <row r="7" spans="1:9" x14ac:dyDescent="0.25">
      <c r="A7" s="16"/>
      <c r="B7" s="17"/>
      <c r="C7" s="16"/>
      <c r="D7" s="18"/>
      <c r="E7" s="14"/>
      <c r="F7" s="15" t="str">
        <f>IF(ISBLANK(A7),"",IF(ISERROR(VLOOKUP(A7,'Estoque Atual'!A:G,1,FALSE)),"Produto não cadastrado",VLOOKUP(A7,'Estoque Atual'!A:G,3,FALSE)))</f>
        <v/>
      </c>
      <c r="G7" s="15" t="str">
        <f>IF(ISBLANK(A7),"",IF(ISERROR(VLOOKUP(A7,'Estoque Atual'!A:G,1,FALSE)),"Produto não cadastrado",VLOOKUP(A7,'Estoque Atual'!A:G,2,FALSE)))</f>
        <v/>
      </c>
      <c r="H7" s="15" t="str">
        <f>IF(ISERROR(VLOOKUP(A7,'Estoque Atual'!A:G,1,FALSE)),"",VLOOKUP(A7,'Estoque Atual'!A:G,4,FALSE))</f>
        <v/>
      </c>
      <c r="I7" s="15"/>
    </row>
    <row r="8" spans="1:9" x14ac:dyDescent="0.25">
      <c r="A8" s="16"/>
      <c r="B8" s="17"/>
      <c r="C8" s="16"/>
      <c r="D8" s="18"/>
      <c r="E8" s="14"/>
      <c r="F8" s="15" t="str">
        <f>IF(ISBLANK(A8),"",IF(ISERROR(VLOOKUP(A8,'Estoque Atual'!A:G,1,FALSE)),"Produto não cadastrado",VLOOKUP(A8,'Estoque Atual'!A:G,3,FALSE)))</f>
        <v/>
      </c>
      <c r="G8" s="15" t="str">
        <f>IF(ISBLANK(A8),"",IF(ISERROR(VLOOKUP(A8,'Estoque Atual'!A:G,1,FALSE)),"Produto não cadastrado",VLOOKUP(A8,'Estoque Atual'!A:G,2,FALSE)))</f>
        <v/>
      </c>
      <c r="H8" s="15" t="str">
        <f>IF(ISERROR(VLOOKUP(A8,'Estoque Atual'!A:G,1,FALSE)),"",VLOOKUP(A8,'Estoque Atual'!A:G,4,FALSE))</f>
        <v/>
      </c>
      <c r="I8" s="15"/>
    </row>
    <row r="9" spans="1:9" x14ac:dyDescent="0.25">
      <c r="A9" s="16"/>
      <c r="B9" s="17"/>
      <c r="C9" s="16"/>
      <c r="D9" s="18"/>
      <c r="E9" s="14"/>
      <c r="F9" s="15" t="str">
        <f>IF(ISBLANK(A9),"",IF(ISERROR(VLOOKUP(A9,'Estoque Atual'!A:G,1,FALSE)),"Produto não cadastrado",VLOOKUP(A9,'Estoque Atual'!A:G,3,FALSE)))</f>
        <v/>
      </c>
      <c r="G9" s="15" t="str">
        <f>IF(ISBLANK(A9),"",IF(ISERROR(VLOOKUP(A9,'Estoque Atual'!A:G,1,FALSE)),"Produto não cadastrado",VLOOKUP(A9,'Estoque Atual'!A:G,2,FALSE)))</f>
        <v/>
      </c>
      <c r="H9" s="15" t="str">
        <f>IF(ISERROR(VLOOKUP(A9,'Estoque Atual'!A:G,1,FALSE)),"",VLOOKUP(A9,'Estoque Atual'!A:G,4,FALSE))</f>
        <v/>
      </c>
      <c r="I9" s="15"/>
    </row>
    <row r="10" spans="1:9" x14ac:dyDescent="0.25">
      <c r="A10" s="16"/>
      <c r="B10" s="17"/>
      <c r="C10" s="16"/>
      <c r="D10" s="18"/>
      <c r="E10" s="14"/>
      <c r="F10" s="15" t="str">
        <f>IF(ISBLANK(A10),"",IF(ISERROR(VLOOKUP(A10,'Estoque Atual'!A:G,1,FALSE)),"Produto não cadastrado",VLOOKUP(A10,'Estoque Atual'!A:G,3,FALSE)))</f>
        <v/>
      </c>
      <c r="G10" s="15" t="str">
        <f>IF(ISBLANK(A10),"",IF(ISERROR(VLOOKUP(A10,'Estoque Atual'!A:G,1,FALSE)),"Produto não cadastrado",VLOOKUP(A10,'Estoque Atual'!A:G,2,FALSE)))</f>
        <v/>
      </c>
      <c r="H10" s="15" t="str">
        <f>IF(ISERROR(VLOOKUP(A10,'Estoque Atual'!A:G,1,FALSE)),"",VLOOKUP(A10,'Estoque Atual'!A:G,4,FALSE))</f>
        <v/>
      </c>
      <c r="I10" s="15"/>
    </row>
    <row r="11" spans="1:9" x14ac:dyDescent="0.25">
      <c r="A11" s="16"/>
      <c r="B11" s="17"/>
      <c r="C11" s="16"/>
      <c r="D11" s="18"/>
      <c r="E11" s="14"/>
      <c r="F11" s="15" t="str">
        <f>IF(ISBLANK(A11),"",IF(ISERROR(VLOOKUP(A11,'Estoque Atual'!A:G,1,FALSE)),"Produto não cadastrado",VLOOKUP(A11,'Estoque Atual'!A:G,3,FALSE)))</f>
        <v/>
      </c>
      <c r="G11" s="15" t="str">
        <f>IF(ISBLANK(A11),"",IF(ISERROR(VLOOKUP(A11,'Estoque Atual'!A:G,1,FALSE)),"Produto não cadastrado",VLOOKUP(A11,'Estoque Atual'!A:G,2,FALSE)))</f>
        <v/>
      </c>
      <c r="H11" s="15" t="str">
        <f>IF(ISERROR(VLOOKUP(A11,'Estoque Atual'!A:G,1,FALSE)),"",VLOOKUP(A11,'Estoque Atual'!A:G,4,FALSE))</f>
        <v/>
      </c>
      <c r="I11" s="15"/>
    </row>
    <row r="12" spans="1:9" x14ac:dyDescent="0.25">
      <c r="A12" s="16"/>
      <c r="B12" s="17"/>
      <c r="C12" s="16"/>
      <c r="D12" s="18"/>
      <c r="E12" s="14"/>
      <c r="F12" s="15" t="str">
        <f>IF(ISBLANK(A12),"",IF(ISERROR(VLOOKUP(A12,'Estoque Atual'!A:G,1,FALSE)),"Produto não cadastrado",VLOOKUP(A12,'Estoque Atual'!A:G,3,FALSE)))</f>
        <v/>
      </c>
      <c r="G12" s="15" t="str">
        <f>IF(ISBLANK(A12),"",IF(ISERROR(VLOOKUP(A12,'Estoque Atual'!A:G,1,FALSE)),"Produto não cadastrado",VLOOKUP(A12,'Estoque Atual'!A:G,2,FALSE)))</f>
        <v/>
      </c>
      <c r="H12" s="15" t="str">
        <f>IF(ISERROR(VLOOKUP(A12,'Estoque Atual'!A:G,1,FALSE)),"",VLOOKUP(A12,'Estoque Atual'!A:G,4,FALSE))</f>
        <v/>
      </c>
      <c r="I12" s="15"/>
    </row>
    <row r="13" spans="1:9" x14ac:dyDescent="0.25">
      <c r="A13" s="16"/>
      <c r="B13" s="17"/>
      <c r="C13" s="16"/>
      <c r="D13" s="18"/>
      <c r="E13" s="14"/>
      <c r="F13" s="15" t="str">
        <f>IF(ISBLANK(A13),"",IF(ISERROR(VLOOKUP(A13,'Estoque Atual'!A:G,1,FALSE)),"Produto não cadastrado",VLOOKUP(A13,'Estoque Atual'!A:G,3,FALSE)))</f>
        <v/>
      </c>
      <c r="G13" s="15" t="str">
        <f>IF(ISBLANK(A13),"",IF(ISERROR(VLOOKUP(A13,'Estoque Atual'!A:G,1,FALSE)),"Produto não cadastrado",VLOOKUP(A13,'Estoque Atual'!A:G,2,FALSE)))</f>
        <v/>
      </c>
      <c r="H13" s="15" t="str">
        <f>IF(ISERROR(VLOOKUP(A13,'Estoque Atual'!A:G,1,FALSE)),"",VLOOKUP(A13,'Estoque Atual'!A:G,4,FALSE))</f>
        <v/>
      </c>
      <c r="I13" s="15"/>
    </row>
    <row r="14" spans="1:9" x14ac:dyDescent="0.25">
      <c r="A14" s="16"/>
      <c r="B14" s="17"/>
      <c r="C14" s="16"/>
      <c r="D14" s="18"/>
      <c r="E14" s="14"/>
      <c r="F14" s="15" t="str">
        <f>IF(ISBLANK(A14),"",IF(ISERROR(VLOOKUP(A14,'Estoque Atual'!A:G,1,FALSE)),"Produto não cadastrado",VLOOKUP(A14,'Estoque Atual'!A:G,3,FALSE)))</f>
        <v/>
      </c>
      <c r="G14" s="15" t="str">
        <f>IF(ISBLANK(A14),"",IF(ISERROR(VLOOKUP(A14,'Estoque Atual'!A:G,1,FALSE)),"Produto não cadastrado",VLOOKUP(A14,'Estoque Atual'!A:G,2,FALSE)))</f>
        <v/>
      </c>
      <c r="H14" s="15" t="str">
        <f>IF(ISERROR(VLOOKUP(A14,'Estoque Atual'!A:G,1,FALSE)),"",VLOOKUP(A14,'Estoque Atual'!A:G,4,FALSE))</f>
        <v/>
      </c>
      <c r="I14" s="15"/>
    </row>
    <row r="15" spans="1:9" x14ac:dyDescent="0.25">
      <c r="A15" s="16"/>
      <c r="B15" s="17"/>
      <c r="C15" s="16"/>
      <c r="D15" s="18"/>
      <c r="E15" s="14"/>
      <c r="F15" s="15" t="str">
        <f>IF(ISBLANK(A15),"",IF(ISERROR(VLOOKUP(A15,'Estoque Atual'!A:G,1,FALSE)),"Produto não cadastrado",VLOOKUP(A15,'Estoque Atual'!A:G,3,FALSE)))</f>
        <v/>
      </c>
      <c r="G15" s="15" t="str">
        <f>IF(ISBLANK(A15),"",IF(ISERROR(VLOOKUP(A15,'Estoque Atual'!A:G,1,FALSE)),"Produto não cadastrado",VLOOKUP(A15,'Estoque Atual'!A:G,2,FALSE)))</f>
        <v/>
      </c>
      <c r="H15" s="15" t="str">
        <f>IF(ISERROR(VLOOKUP(A15,'Estoque Atual'!A:G,1,FALSE)),"",VLOOKUP(A15,'Estoque Atual'!A:G,4,FALSE))</f>
        <v/>
      </c>
      <c r="I15" s="15"/>
    </row>
    <row r="16" spans="1:9" x14ac:dyDescent="0.25">
      <c r="A16" s="16"/>
      <c r="B16" s="17"/>
      <c r="C16" s="16"/>
      <c r="D16" s="18"/>
      <c r="E16" s="14"/>
      <c r="F16" s="15" t="str">
        <f>IF(ISBLANK(A16),"",IF(ISERROR(VLOOKUP(A16,'Estoque Atual'!A:G,1,FALSE)),"Produto não cadastrado",VLOOKUP(A16,'Estoque Atual'!A:G,3,FALSE)))</f>
        <v/>
      </c>
      <c r="G16" s="15" t="str">
        <f>IF(ISBLANK(A16),"",IF(ISERROR(VLOOKUP(A16,'Estoque Atual'!A:G,1,FALSE)),"Produto não cadastrado",VLOOKUP(A16,'Estoque Atual'!A:G,2,FALSE)))</f>
        <v/>
      </c>
      <c r="H16" s="15" t="str">
        <f>IF(ISERROR(VLOOKUP(A16,'Estoque Atual'!A:G,1,FALSE)),"",VLOOKUP(A16,'Estoque Atual'!A:G,4,FALSE))</f>
        <v/>
      </c>
      <c r="I16" s="15"/>
    </row>
    <row r="17" spans="1:9" x14ac:dyDescent="0.25">
      <c r="A17" s="16"/>
      <c r="B17" s="17"/>
      <c r="C17" s="16"/>
      <c r="D17" s="18"/>
      <c r="E17" s="14"/>
      <c r="F17" s="15" t="str">
        <f>IF(ISBLANK(A17),"",IF(ISERROR(VLOOKUP(A17,'Estoque Atual'!A:G,1,FALSE)),"Produto não cadastrado",VLOOKUP(A17,'Estoque Atual'!A:G,3,FALSE)))</f>
        <v/>
      </c>
      <c r="G17" s="15" t="str">
        <f>IF(ISBLANK(A17),"",IF(ISERROR(VLOOKUP(A17,'Estoque Atual'!A:G,1,FALSE)),"Produto não cadastrado",VLOOKUP(A17,'Estoque Atual'!A:G,2,FALSE)))</f>
        <v/>
      </c>
      <c r="H17" s="15" t="str">
        <f>IF(ISERROR(VLOOKUP(A17,'Estoque Atual'!A:G,1,FALSE)),"",VLOOKUP(A17,'Estoque Atual'!A:G,4,FALSE))</f>
        <v/>
      </c>
      <c r="I17" s="15"/>
    </row>
    <row r="18" spans="1:9" x14ac:dyDescent="0.25">
      <c r="A18" s="16"/>
      <c r="B18" s="17"/>
      <c r="C18" s="16"/>
      <c r="D18" s="18"/>
      <c r="E18" s="14"/>
      <c r="F18" s="15" t="str">
        <f>IF(ISBLANK(A18),"",IF(ISERROR(VLOOKUP(A18,'Estoque Atual'!A:G,1,FALSE)),"Produto não cadastrado",VLOOKUP(A18,'Estoque Atual'!A:G,3,FALSE)))</f>
        <v/>
      </c>
      <c r="G18" s="15" t="str">
        <f>IF(ISBLANK(A18),"",IF(ISERROR(VLOOKUP(A18,'Estoque Atual'!A:G,1,FALSE)),"Produto não cadastrado",VLOOKUP(A18,'Estoque Atual'!A:G,2,FALSE)))</f>
        <v/>
      </c>
      <c r="H18" s="15" t="str">
        <f>IF(ISERROR(VLOOKUP(A18,'Estoque Atual'!A:G,1,FALSE)),"",VLOOKUP(A18,'Estoque Atual'!A:G,4,FALSE))</f>
        <v/>
      </c>
      <c r="I18" s="15"/>
    </row>
    <row r="19" spans="1:9" x14ac:dyDescent="0.25">
      <c r="A19" s="16"/>
      <c r="B19" s="17"/>
      <c r="C19" s="16"/>
      <c r="D19" s="18"/>
      <c r="E19" s="14"/>
      <c r="F19" s="15" t="str">
        <f>IF(ISBLANK(A19),"",IF(ISERROR(VLOOKUP(A19,'Estoque Atual'!A:G,1,FALSE)),"Produto não cadastrado",VLOOKUP(A19,'Estoque Atual'!A:G,3,FALSE)))</f>
        <v/>
      </c>
      <c r="G19" s="15" t="str">
        <f>IF(ISBLANK(A19),"",IF(ISERROR(VLOOKUP(A19,'Estoque Atual'!A:G,1,FALSE)),"Produto não cadastrado",VLOOKUP(A19,'Estoque Atual'!A:G,2,FALSE)))</f>
        <v/>
      </c>
      <c r="H19" s="15" t="str">
        <f>IF(ISERROR(VLOOKUP(A19,'Estoque Atual'!A:G,1,FALSE)),"",VLOOKUP(A19,'Estoque Atual'!A:G,4,FALSE))</f>
        <v/>
      </c>
      <c r="I19" s="1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21"/>
  <sheetViews>
    <sheetView workbookViewId="0">
      <selection activeCell="E5" sqref="E5"/>
    </sheetView>
  </sheetViews>
  <sheetFormatPr defaultRowHeight="15" x14ac:dyDescent="0.25"/>
  <cols>
    <col min="1" max="1" width="7.140625" bestFit="1" customWidth="1"/>
    <col min="2" max="2" width="35.28515625" bestFit="1" customWidth="1"/>
    <col min="3" max="3" width="12.5703125" bestFit="1" customWidth="1"/>
    <col min="4" max="4" width="17.5703125" bestFit="1" customWidth="1"/>
    <col min="5" max="5" width="15.7109375" bestFit="1" customWidth="1"/>
    <col min="6" max="6" width="14" bestFit="1" customWidth="1"/>
    <col min="7" max="7" width="13.140625" bestFit="1" customWidth="1"/>
    <col min="9" max="9" width="18.42578125" bestFit="1" customWidth="1"/>
  </cols>
  <sheetData>
    <row r="2" spans="1:11" ht="15" customHeight="1" x14ac:dyDescent="0.25">
      <c r="A2" s="1" t="s">
        <v>0</v>
      </c>
      <c r="B2" s="2" t="s">
        <v>1</v>
      </c>
      <c r="C2" s="2" t="s">
        <v>16</v>
      </c>
      <c r="D2" s="2" t="s">
        <v>2</v>
      </c>
      <c r="E2" s="2" t="s">
        <v>3</v>
      </c>
      <c r="F2" s="2" t="s">
        <v>4</v>
      </c>
      <c r="G2" s="3" t="s">
        <v>5</v>
      </c>
      <c r="I2" s="21" t="s">
        <v>25</v>
      </c>
      <c r="J2" s="21"/>
      <c r="K2" s="21"/>
    </row>
    <row r="3" spans="1:11" x14ac:dyDescent="0.25">
      <c r="A3" s="4">
        <v>1</v>
      </c>
      <c r="B3" s="5" t="s">
        <v>11</v>
      </c>
      <c r="C3" s="5" t="s">
        <v>12</v>
      </c>
      <c r="D3" s="5" t="s">
        <v>13</v>
      </c>
      <c r="E3" s="5">
        <v>1</v>
      </c>
      <c r="F3" s="5">
        <v>0</v>
      </c>
      <c r="G3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Atual'!A:A,Saída!B:B,CONCATENATE("&lt;=",$I$6)))+F3</f>
        <v>4</v>
      </c>
      <c r="I3" s="21"/>
      <c r="J3" s="21"/>
      <c r="K3" s="21"/>
    </row>
    <row r="4" spans="1:11" x14ac:dyDescent="0.25">
      <c r="A4" s="4">
        <v>2</v>
      </c>
      <c r="B4" s="5" t="s">
        <v>14</v>
      </c>
      <c r="C4" s="5" t="s">
        <v>15</v>
      </c>
      <c r="D4" s="5" t="s">
        <v>17</v>
      </c>
      <c r="E4" s="5">
        <v>1</v>
      </c>
      <c r="F4" s="5">
        <v>0</v>
      </c>
      <c r="G4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Atual'!A:A,Saída!B:B,CONCATENATE("&lt;=",$I$6)))+F4</f>
        <v>6</v>
      </c>
      <c r="I4" s="21"/>
      <c r="J4" s="21"/>
      <c r="K4" s="21"/>
    </row>
    <row r="5" spans="1:11" x14ac:dyDescent="0.25">
      <c r="A5" s="4">
        <v>3</v>
      </c>
      <c r="B5" s="5" t="s">
        <v>18</v>
      </c>
      <c r="C5" s="5" t="s">
        <v>15</v>
      </c>
      <c r="D5" s="5" t="s">
        <v>19</v>
      </c>
      <c r="E5" s="5">
        <v>1</v>
      </c>
      <c r="F5" s="5">
        <v>0</v>
      </c>
      <c r="G5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Atual'!A:A,Saída!B:B,CONCATENATE("&lt;=",$I$6)))+F5</f>
        <v>3</v>
      </c>
    </row>
    <row r="6" spans="1:11" x14ac:dyDescent="0.25">
      <c r="A6" s="4">
        <v>4</v>
      </c>
      <c r="B6" s="5" t="s">
        <v>20</v>
      </c>
      <c r="C6" s="5"/>
      <c r="D6" s="5"/>
      <c r="E6" s="5">
        <v>1</v>
      </c>
      <c r="F6" s="5">
        <v>0</v>
      </c>
      <c r="G6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Atual'!A:A,Saída!B:B,CONCATENATE("&lt;=",$I$6)))+F6</f>
        <v>0</v>
      </c>
    </row>
    <row r="7" spans="1:11" x14ac:dyDescent="0.25">
      <c r="A7" s="4">
        <v>5</v>
      </c>
      <c r="B7" s="5" t="s">
        <v>20</v>
      </c>
      <c r="C7" s="5"/>
      <c r="D7" s="5"/>
      <c r="E7" s="5">
        <v>1</v>
      </c>
      <c r="F7" s="5">
        <v>0</v>
      </c>
      <c r="G7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Atual'!A:A,Saída!B:B,CONCATENATE("&lt;=",$I$6)))+F7</f>
        <v>0</v>
      </c>
    </row>
    <row r="8" spans="1:11" x14ac:dyDescent="0.25">
      <c r="A8" s="4">
        <v>6</v>
      </c>
      <c r="B8" s="5" t="s">
        <v>20</v>
      </c>
      <c r="C8" s="5"/>
      <c r="D8" s="5"/>
      <c r="E8" s="5">
        <v>1</v>
      </c>
      <c r="F8" s="5">
        <v>0</v>
      </c>
      <c r="G8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Atual'!A:A,Saída!B:B,CONCATENATE("&lt;=",$I$6)))+F8</f>
        <v>0</v>
      </c>
    </row>
    <row r="9" spans="1:11" x14ac:dyDescent="0.25">
      <c r="A9" s="4">
        <v>7</v>
      </c>
      <c r="B9" s="5" t="s">
        <v>20</v>
      </c>
      <c r="C9" s="5"/>
      <c r="D9" s="5"/>
      <c r="E9" s="5">
        <v>1</v>
      </c>
      <c r="F9" s="5">
        <v>0</v>
      </c>
      <c r="G9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Atual'!A:A,Saída!B:B,CONCATENATE("&lt;=",$I$6)))+F9</f>
        <v>0</v>
      </c>
    </row>
    <row r="10" spans="1:11" x14ac:dyDescent="0.25">
      <c r="A10" s="4">
        <v>8</v>
      </c>
      <c r="B10" s="5" t="s">
        <v>20</v>
      </c>
      <c r="C10" s="5"/>
      <c r="D10" s="5"/>
      <c r="E10" s="5">
        <v>1</v>
      </c>
      <c r="F10" s="5">
        <v>0</v>
      </c>
      <c r="G10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Atual'!A:A,Saída!B:B,CONCATENATE("&lt;=",$I$6)))+F10</f>
        <v>0</v>
      </c>
    </row>
    <row r="11" spans="1:11" x14ac:dyDescent="0.25">
      <c r="A11" s="4">
        <v>9</v>
      </c>
      <c r="B11" s="5" t="s">
        <v>20</v>
      </c>
      <c r="C11" s="5"/>
      <c r="D11" s="5"/>
      <c r="E11" s="5">
        <v>1</v>
      </c>
      <c r="F11" s="5">
        <v>0</v>
      </c>
      <c r="G11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Atual'!A:A,Saída!B:B,CONCATENATE("&lt;=",$I$6)))+F11</f>
        <v>0</v>
      </c>
    </row>
    <row r="12" spans="1:11" x14ac:dyDescent="0.25">
      <c r="A12" s="4">
        <v>10</v>
      </c>
      <c r="B12" s="5" t="s">
        <v>20</v>
      </c>
      <c r="C12" s="5"/>
      <c r="D12" s="5"/>
      <c r="E12" s="5">
        <v>1</v>
      </c>
      <c r="F12" s="5">
        <v>0</v>
      </c>
      <c r="G12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Atual'!A:A,Saída!B:B,CONCATENATE("&lt;=",$I$6)))+F12</f>
        <v>0</v>
      </c>
    </row>
    <row r="13" spans="1:11" x14ac:dyDescent="0.25">
      <c r="A13" s="4">
        <v>11</v>
      </c>
      <c r="B13" s="5" t="s">
        <v>20</v>
      </c>
      <c r="C13" s="5"/>
      <c r="D13" s="5"/>
      <c r="E13" s="5">
        <v>1</v>
      </c>
      <c r="F13" s="5">
        <v>0</v>
      </c>
      <c r="G13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Atual'!A:A,Saída!B:B,CONCATENATE("&lt;=",$I$6)))+F13</f>
        <v>0</v>
      </c>
    </row>
    <row r="14" spans="1:11" x14ac:dyDescent="0.25">
      <c r="A14" s="4">
        <v>12</v>
      </c>
      <c r="B14" s="5" t="s">
        <v>20</v>
      </c>
      <c r="C14" s="5"/>
      <c r="D14" s="5"/>
      <c r="E14" s="5">
        <v>1</v>
      </c>
      <c r="F14" s="5">
        <v>0</v>
      </c>
      <c r="G14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Atual'!A:A,Saída!B:B,CONCATENATE("&lt;=",$I$6)))+F14</f>
        <v>0</v>
      </c>
    </row>
    <row r="15" spans="1:11" x14ac:dyDescent="0.25">
      <c r="A15" s="4">
        <v>13</v>
      </c>
      <c r="B15" s="5" t="s">
        <v>20</v>
      </c>
      <c r="C15" s="5"/>
      <c r="D15" s="5"/>
      <c r="E15" s="5">
        <v>1</v>
      </c>
      <c r="F15" s="5">
        <v>0</v>
      </c>
      <c r="G15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Atual'!A:A,Saída!B:B,CONCATENATE("&lt;=",$I$6)))+F15</f>
        <v>0</v>
      </c>
    </row>
    <row r="16" spans="1:11" x14ac:dyDescent="0.25">
      <c r="A16" s="4">
        <v>14</v>
      </c>
      <c r="B16" s="5" t="s">
        <v>20</v>
      </c>
      <c r="C16" s="5"/>
      <c r="D16" s="5"/>
      <c r="E16" s="5">
        <v>1</v>
      </c>
      <c r="F16" s="5">
        <v>0</v>
      </c>
      <c r="G16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Atual'!A:A,Saída!B:B,CONCATENATE("&lt;=",$I$6)))+F16</f>
        <v>0</v>
      </c>
    </row>
    <row r="17" spans="1:7" x14ac:dyDescent="0.25">
      <c r="A17" s="4">
        <v>15</v>
      </c>
      <c r="B17" s="5" t="s">
        <v>20</v>
      </c>
      <c r="C17" s="5"/>
      <c r="D17" s="5"/>
      <c r="E17" s="5">
        <v>1</v>
      </c>
      <c r="F17" s="5">
        <v>0</v>
      </c>
      <c r="G17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Atual'!A:A,Saída!B:B,CONCATENATE("&lt;=",$I$6)))+F17</f>
        <v>0</v>
      </c>
    </row>
    <row r="18" spans="1:7" x14ac:dyDescent="0.25">
      <c r="A18" s="4">
        <v>16</v>
      </c>
      <c r="B18" s="5" t="s">
        <v>20</v>
      </c>
      <c r="C18" s="5"/>
      <c r="D18" s="5"/>
      <c r="E18" s="5">
        <v>1</v>
      </c>
      <c r="F18" s="5">
        <v>0</v>
      </c>
      <c r="G18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Atual'!A:A,Saída!B:B,CONCATENATE("&lt;=",$I$6)))+F18</f>
        <v>0</v>
      </c>
    </row>
    <row r="19" spans="1:7" x14ac:dyDescent="0.25">
      <c r="A19" s="4">
        <v>17</v>
      </c>
      <c r="B19" s="5" t="s">
        <v>20</v>
      </c>
      <c r="C19" s="5"/>
      <c r="D19" s="5"/>
      <c r="E19" s="5">
        <v>1</v>
      </c>
      <c r="F19" s="5">
        <v>0</v>
      </c>
      <c r="G19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Atual'!A:A,Saída!B:B,CONCATENATE("&lt;=",$I$6)))+F19</f>
        <v>0</v>
      </c>
    </row>
    <row r="20" spans="1:7" x14ac:dyDescent="0.25">
      <c r="A20" s="4">
        <v>18</v>
      </c>
      <c r="B20" s="5" t="s">
        <v>20</v>
      </c>
      <c r="C20" s="5"/>
      <c r="D20" s="5"/>
      <c r="E20" s="5">
        <v>1</v>
      </c>
      <c r="F20" s="5">
        <v>0</v>
      </c>
      <c r="G20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Atual'!A:A,Saída!B:B,CONCATENATE("&lt;=",$I$6)))+F20</f>
        <v>0</v>
      </c>
    </row>
    <row r="21" spans="1:7" x14ac:dyDescent="0.25">
      <c r="A21" s="4">
        <v>19</v>
      </c>
      <c r="B21" s="5" t="s">
        <v>20</v>
      </c>
      <c r="C21" s="5"/>
      <c r="D21" s="5"/>
      <c r="E21" s="5">
        <v>1</v>
      </c>
      <c r="F21" s="5">
        <v>0</v>
      </c>
      <c r="G21" s="6">
        <f>IF(ISBLANK($I$6),SUMIFS(Entrada!C:C,Entrada!A:A,'Estoque Atual'!A:A)-SUMIFS(Saída!C:C,Saída!A:A,'Estoque Atual'!A:A),SUMIFS(Entrada!C:C,Entrada!A:A,'Estoque Atual'!A:A,Entrada!B:B,CONCATENATE("&lt;=",$I$6))-SUMIFS(Saída!C:C,Saída!A:A,'Estoque Atual'!A:A,Saída!B:B,CONCATENATE("&lt;=",$I$6)))+F21</f>
        <v>0</v>
      </c>
    </row>
  </sheetData>
  <mergeCells count="1">
    <mergeCell ref="I2:K4"/>
  </mergeCells>
  <conditionalFormatting sqref="G3:G21">
    <cfRule type="expression" dxfId="1" priority="1">
      <formula>AND(G3=E3,NOT(ISBLANK(A3)))</formula>
    </cfRule>
    <cfRule type="expression" dxfId="0" priority="2">
      <formula>G3&lt;E3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</vt:lpstr>
      <vt:lpstr>Saída</vt:lpstr>
      <vt:lpstr>Estoque Atual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</dc:creator>
  <cp:lastModifiedBy>Henrique</cp:lastModifiedBy>
  <dcterms:created xsi:type="dcterms:W3CDTF">2016-11-22T12:10:45Z</dcterms:created>
  <dcterms:modified xsi:type="dcterms:W3CDTF">2016-11-24T17:47:33Z</dcterms:modified>
</cp:coreProperties>
</file>