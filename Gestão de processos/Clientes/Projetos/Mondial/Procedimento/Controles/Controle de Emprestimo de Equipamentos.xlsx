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tertek\Desktop\ADN - Strati\Entregas\STRATI\Controles\"/>
    </mc:Choice>
  </mc:AlternateContent>
  <bookViews>
    <workbookView xWindow="0" yWindow="0" windowWidth="20490" windowHeight="7755" firstSheet="1" activeTab="2"/>
  </bookViews>
  <sheets>
    <sheet name="Entrada" sheetId="1" state="hidden" r:id="rId1"/>
    <sheet name="Controle" sheetId="2" r:id="rId2"/>
    <sheet name="Equipamentos" sheetId="3" r:id="rId3"/>
  </sheets>
  <calcPr calcId="152511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6" i="2" l="1"/>
  <c r="I6" i="2"/>
  <c r="J6" i="2"/>
  <c r="H7" i="2"/>
  <c r="I7" i="2"/>
  <c r="J7" i="2"/>
  <c r="H8" i="2"/>
  <c r="I8" i="2"/>
  <c r="J8" i="2"/>
  <c r="H9" i="2"/>
  <c r="I9" i="2"/>
  <c r="J9" i="2"/>
  <c r="H10" i="2"/>
  <c r="I10" i="2"/>
  <c r="J10" i="2"/>
  <c r="H11" i="2"/>
  <c r="I11" i="2"/>
  <c r="J11" i="2"/>
  <c r="H12" i="2"/>
  <c r="I12" i="2"/>
  <c r="J12" i="2"/>
  <c r="H13" i="2"/>
  <c r="I13" i="2"/>
  <c r="J13" i="2"/>
  <c r="H14" i="2"/>
  <c r="I14" i="2"/>
  <c r="J14" i="2"/>
  <c r="H15" i="2"/>
  <c r="I15" i="2"/>
  <c r="J15" i="2"/>
  <c r="H16" i="2"/>
  <c r="I16" i="2"/>
  <c r="J16" i="2"/>
  <c r="H17" i="2"/>
  <c r="I17" i="2"/>
  <c r="J17" i="2"/>
  <c r="H18" i="2"/>
  <c r="I18" i="2"/>
  <c r="J18" i="2"/>
  <c r="H19" i="2"/>
  <c r="I19" i="2"/>
  <c r="J19" i="2"/>
  <c r="F6" i="1"/>
  <c r="G6" i="1"/>
  <c r="H6" i="1"/>
  <c r="F7" i="1"/>
  <c r="G7" i="1"/>
  <c r="H7" i="1"/>
  <c r="F8" i="1"/>
  <c r="G8" i="1"/>
  <c r="H8" i="1"/>
  <c r="F9" i="1"/>
  <c r="G9" i="1"/>
  <c r="H9" i="1"/>
  <c r="F10" i="1"/>
  <c r="G10" i="1"/>
  <c r="H10" i="1"/>
  <c r="F11" i="1"/>
  <c r="G11" i="1"/>
  <c r="H11" i="1"/>
  <c r="F12" i="1"/>
  <c r="G12" i="1"/>
  <c r="H12" i="1"/>
  <c r="F13" i="1"/>
  <c r="G13" i="1"/>
  <c r="H13" i="1"/>
  <c r="F14" i="1"/>
  <c r="G14" i="1"/>
  <c r="H14" i="1"/>
  <c r="F15" i="1"/>
  <c r="G15" i="1"/>
  <c r="H15" i="1"/>
  <c r="F16" i="1"/>
  <c r="G16" i="1"/>
  <c r="H16" i="1"/>
  <c r="F17" i="1"/>
  <c r="G17" i="1"/>
  <c r="H17" i="1"/>
  <c r="F18" i="1"/>
  <c r="G18" i="1"/>
  <c r="H18" i="1"/>
  <c r="F19" i="1"/>
  <c r="G19" i="1"/>
  <c r="H19" i="1"/>
  <c r="F4" i="1"/>
  <c r="G4" i="1"/>
  <c r="H4" i="1"/>
  <c r="F5" i="1"/>
  <c r="G5" i="1"/>
  <c r="H5" i="1"/>
  <c r="H3" i="1"/>
  <c r="G3" i="1"/>
  <c r="F3" i="1"/>
  <c r="J4" i="2"/>
  <c r="J5" i="2"/>
  <c r="J3" i="2"/>
  <c r="H4" i="2"/>
  <c r="I4" i="2"/>
  <c r="H5" i="2"/>
  <c r="I5" i="2"/>
  <c r="H3" i="2"/>
  <c r="I3" i="2"/>
</calcChain>
</file>

<file path=xl/sharedStrings.xml><?xml version="1.0" encoding="utf-8"?>
<sst xmlns="http://schemas.openxmlformats.org/spreadsheetml/2006/main" count="47" uniqueCount="37">
  <si>
    <t>Código</t>
  </si>
  <si>
    <t>Descreva o Produto</t>
  </si>
  <si>
    <t>Fornecedor</t>
  </si>
  <si>
    <t>Código Produto</t>
  </si>
  <si>
    <t>Data da entrada</t>
  </si>
  <si>
    <t>Quantidade</t>
  </si>
  <si>
    <t>Descrição do Produto</t>
  </si>
  <si>
    <t>Preto</t>
  </si>
  <si>
    <t>Modelo/Cor</t>
  </si>
  <si>
    <t>Nº Ticket</t>
  </si>
  <si>
    <t>Área Cliente</t>
  </si>
  <si>
    <t>Observação</t>
  </si>
  <si>
    <t>Cadastrar o Produto no Estoque Atual</t>
  </si>
  <si>
    <t>Projetor</t>
  </si>
  <si>
    <t>Dell</t>
  </si>
  <si>
    <t>Observações</t>
  </si>
  <si>
    <t>TV</t>
  </si>
  <si>
    <t>Sony</t>
  </si>
  <si>
    <t>LED / Preto</t>
  </si>
  <si>
    <t>Aparelho para Audio Conferência</t>
  </si>
  <si>
    <t>Cisco</t>
  </si>
  <si>
    <t>Nome do Solicitante</t>
  </si>
  <si>
    <t>Data do Emprestimo</t>
  </si>
  <si>
    <t>Data da Devolução</t>
  </si>
  <si>
    <t>Fulano</t>
  </si>
  <si>
    <t>Local</t>
  </si>
  <si>
    <t>Sala de Reunião - 3 andar</t>
  </si>
  <si>
    <t>Ciclano</t>
  </si>
  <si>
    <t>Beltrano</t>
  </si>
  <si>
    <t>Sala de Conferencia</t>
  </si>
  <si>
    <t>Caixa de Som</t>
  </si>
  <si>
    <t>New Link</t>
  </si>
  <si>
    <t>Branca</t>
  </si>
  <si>
    <t>Sala de Reunião - 1 andar</t>
  </si>
  <si>
    <t>Mesa do Solicitante</t>
  </si>
  <si>
    <t>Dilvano</t>
  </si>
  <si>
    <t>Verificar o funcionamento do equipamento antes e depois do emprestimo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</si>
</sst>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20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5">
    <xf numFmtId="0" fontId="0" fillId="0" borderId="0" xfId="0"/>
    <xf numFmtId="1" fontId="2" fillId="2" borderId="1" xfId="0" applyNumberFormat="1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 applyProtection="1">
      <alignment horizontal="center" vertical="center"/>
      <protection locked="0"/>
    </xf>
    <xf numFmtId="1" fontId="0" fillId="0" borderId="1" xfId="0" applyNumberFormat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2" fillId="3" borderId="1" xfId="0" applyFont="1" applyFill="1" applyBorder="1" applyAlignment="1" applyProtection="1">
      <alignment horizontal="center" vertical="center"/>
      <protection locked="0"/>
    </xf>
    <xf numFmtId="14" fontId="2" fillId="3" borderId="1" xfId="0" applyNumberFormat="1" applyFont="1" applyFill="1" applyBorder="1" applyAlignment="1" applyProtection="1">
      <alignment horizontal="center" vertical="center"/>
      <protection locked="0"/>
    </xf>
    <xf numFmtId="2" fontId="2" fillId="3" borderId="1" xfId="0" applyNumberFormat="1" applyFont="1" applyFill="1" applyBorder="1" applyAlignment="1" applyProtection="1">
      <alignment horizontal="center" vertical="center"/>
      <protection locked="0"/>
    </xf>
    <xf numFmtId="2" fontId="2" fillId="3" borderId="1" xfId="0" applyNumberFormat="1" applyFont="1" applyFill="1" applyBorder="1" applyAlignment="1" applyProtection="1">
      <alignment horizontal="center" vertical="center"/>
      <protection hidden="1"/>
    </xf>
    <xf numFmtId="0" fontId="2" fillId="3" borderId="1" xfId="0" applyFont="1" applyFill="1" applyBorder="1" applyAlignment="1" applyProtection="1">
      <alignment horizontal="center" vertical="center"/>
      <protection hidden="1"/>
    </xf>
    <xf numFmtId="14" fontId="0" fillId="0" borderId="1" xfId="0" applyNumberFormat="1" applyBorder="1" applyAlignment="1" applyProtection="1">
      <alignment horizontal="center" vertical="center"/>
      <protection locked="0"/>
    </xf>
    <xf numFmtId="44" fontId="0" fillId="0" borderId="1" xfId="1" applyFont="1" applyBorder="1" applyAlignment="1" applyProtection="1">
      <alignment horizontal="center" vertical="center"/>
      <protection locked="0"/>
    </xf>
    <xf numFmtId="44" fontId="0" fillId="0" borderId="1" xfId="1" applyFont="1" applyBorder="1" applyAlignment="1" applyProtection="1">
      <alignment horizontal="center" vertical="center"/>
      <protection hidden="1"/>
    </xf>
    <xf numFmtId="0" fontId="0" fillId="0" borderId="1" xfId="0" applyBorder="1" applyAlignment="1" applyProtection="1">
      <alignment horizontal="center" vertical="center"/>
      <protection hidden="1"/>
    </xf>
    <xf numFmtId="0" fontId="0" fillId="0" borderId="1" xfId="0" applyBorder="1" applyAlignment="1" applyProtection="1">
      <alignment horizontal="center"/>
      <protection locked="0"/>
    </xf>
    <xf numFmtId="14" fontId="0" fillId="0" borderId="1" xfId="0" applyNumberFormat="1" applyBorder="1" applyAlignment="1" applyProtection="1">
      <alignment horizontal="center"/>
      <protection locked="0"/>
    </xf>
    <xf numFmtId="44" fontId="0" fillId="0" borderId="1" xfId="1" applyFont="1" applyBorder="1" applyAlignment="1" applyProtection="1">
      <alignment horizontal="center"/>
      <protection locked="0"/>
    </xf>
    <xf numFmtId="0" fontId="0" fillId="0" borderId="1" xfId="1" applyNumberFormat="1" applyFont="1" applyBorder="1" applyAlignment="1" applyProtection="1">
      <alignment horizontal="center" vertical="center"/>
      <protection locked="0"/>
    </xf>
    <xf numFmtId="0" fontId="4" fillId="5" borderId="1" xfId="0" applyFont="1" applyFill="1" applyBorder="1" applyAlignment="1" applyProtection="1">
      <alignment horizontal="center" vertical="center"/>
      <protection locked="0"/>
    </xf>
    <xf numFmtId="14" fontId="4" fillId="5" borderId="1" xfId="0" applyNumberFormat="1" applyFont="1" applyFill="1" applyBorder="1" applyAlignment="1" applyProtection="1">
      <alignment horizontal="center" vertical="center"/>
      <protection locked="0"/>
    </xf>
    <xf numFmtId="2" fontId="4" fillId="5" borderId="1" xfId="0" applyNumberFormat="1" applyFont="1" applyFill="1" applyBorder="1" applyAlignment="1" applyProtection="1">
      <alignment horizontal="center" vertical="center"/>
      <protection locked="0"/>
    </xf>
    <xf numFmtId="14" fontId="4" fillId="5" borderId="1" xfId="0" applyNumberFormat="1" applyFont="1" applyFill="1" applyBorder="1" applyAlignment="1" applyProtection="1">
      <alignment horizontal="center" vertical="center"/>
      <protection hidden="1"/>
    </xf>
    <xf numFmtId="0" fontId="4" fillId="5" borderId="1" xfId="0" applyFont="1" applyFill="1" applyBorder="1" applyAlignment="1" applyProtection="1">
      <alignment horizontal="center" vertical="center"/>
      <protection hidden="1"/>
    </xf>
    <xf numFmtId="0" fontId="3" fillId="4" borderId="2" xfId="0" applyFont="1" applyFill="1" applyBorder="1" applyAlignment="1">
      <alignment horizontal="center"/>
    </xf>
    <xf numFmtId="0" fontId="5" fillId="6" borderId="2" xfId="0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"/>
  <sheetViews>
    <sheetView workbookViewId="0">
      <selection activeCell="H5" sqref="H5"/>
    </sheetView>
  </sheetViews>
  <sheetFormatPr defaultRowHeight="15" x14ac:dyDescent="0.25"/>
  <cols>
    <col min="1" max="1" width="14.85546875" bestFit="1" customWidth="1"/>
    <col min="2" max="2" width="15" bestFit="1" customWidth="1"/>
    <col min="3" max="3" width="11.42578125" bestFit="1" customWidth="1"/>
    <col min="4" max="4" width="9.140625" bestFit="1" customWidth="1"/>
    <col min="5" max="5" width="12" bestFit="1" customWidth="1"/>
    <col min="6" max="6" width="11.85546875" bestFit="1" customWidth="1"/>
    <col min="7" max="7" width="20" bestFit="1" customWidth="1"/>
    <col min="8" max="8" width="11.140625" bestFit="1" customWidth="1"/>
    <col min="9" max="9" width="11.28515625" bestFit="1" customWidth="1"/>
  </cols>
  <sheetData>
    <row r="1" spans="1:9" x14ac:dyDescent="0.25">
      <c r="A1" s="23" t="s">
        <v>12</v>
      </c>
      <c r="B1" s="23"/>
      <c r="C1" s="23"/>
      <c r="D1" s="23"/>
      <c r="E1" s="23"/>
      <c r="F1" s="23"/>
      <c r="G1" s="23"/>
      <c r="H1" s="23"/>
      <c r="I1" s="23"/>
    </row>
    <row r="2" spans="1:9" x14ac:dyDescent="0.25">
      <c r="A2" s="5" t="s">
        <v>3</v>
      </c>
      <c r="B2" s="6" t="s">
        <v>4</v>
      </c>
      <c r="C2" s="6" t="s">
        <v>5</v>
      </c>
      <c r="D2" s="7" t="s">
        <v>9</v>
      </c>
      <c r="E2" s="8" t="s">
        <v>10</v>
      </c>
      <c r="F2" s="9" t="s">
        <v>8</v>
      </c>
      <c r="G2" s="9" t="s">
        <v>6</v>
      </c>
      <c r="H2" s="9" t="s">
        <v>2</v>
      </c>
      <c r="I2" s="9" t="s">
        <v>11</v>
      </c>
    </row>
    <row r="3" spans="1:9" x14ac:dyDescent="0.25">
      <c r="A3" s="4">
        <v>1</v>
      </c>
      <c r="B3" s="10">
        <v>42556</v>
      </c>
      <c r="C3" s="4">
        <v>5</v>
      </c>
      <c r="D3" s="11"/>
      <c r="E3" s="12"/>
      <c r="F3" s="13" t="str">
        <f>IF(ISERROR(VLOOKUP(A3,Equipamentos!A:E,1,FALSE)),"",VLOOKUP(A3,Equipamentos!A:E,3,FALSE))</f>
        <v>Dell</v>
      </c>
      <c r="G3" s="13" t="str">
        <f>IF(ISBLANK(A3),"",IF(ISERROR(VLOOKUP(A3,Equipamentos!A:E,1,FALSE)),"Produto não cadastrado",VLOOKUP(A3,Equipamentos!A:E,2,FALSE)))</f>
        <v>Projetor</v>
      </c>
      <c r="H3" s="13" t="str">
        <f>IF(ISERROR(VLOOKUP(A3,Equipamentos!A:E,1,FALSE)),"",VLOOKUP(A3,Equipamentos!A:E,4,FALSE))</f>
        <v>Preto</v>
      </c>
      <c r="I3" s="13"/>
    </row>
    <row r="4" spans="1:9" x14ac:dyDescent="0.25">
      <c r="A4" s="14">
        <v>2</v>
      </c>
      <c r="B4" s="15">
        <v>42556</v>
      </c>
      <c r="C4" s="14">
        <v>7</v>
      </c>
      <c r="D4" s="16"/>
      <c r="E4" s="12"/>
      <c r="F4" s="13" t="str">
        <f>IF(ISERROR(VLOOKUP(A4,Equipamentos!A:E,1,FALSE)),"",VLOOKUP(A4,Equipamentos!A:E,3,FALSE))</f>
        <v>Sony</v>
      </c>
      <c r="G4" s="13" t="str">
        <f>IF(ISBLANK(A4),"",IF(ISERROR(VLOOKUP(A4,Equipamentos!A:E,1,FALSE)),"Produto não cadastrado",VLOOKUP(A4,Equipamentos!A:E,2,FALSE)))</f>
        <v>TV</v>
      </c>
      <c r="H4" s="13" t="str">
        <f>IF(ISERROR(VLOOKUP(A4,Equipamentos!A:E,1,FALSE)),"",VLOOKUP(A4,Equipamentos!A:E,4,FALSE))</f>
        <v>LED / Preto</v>
      </c>
      <c r="I4" s="13"/>
    </row>
    <row r="5" spans="1:9" x14ac:dyDescent="0.25">
      <c r="A5" s="14">
        <v>3</v>
      </c>
      <c r="B5" s="15">
        <v>42557</v>
      </c>
      <c r="C5" s="14">
        <v>8</v>
      </c>
      <c r="D5" s="16"/>
      <c r="E5" s="12"/>
      <c r="F5" s="13" t="str">
        <f>IF(ISERROR(VLOOKUP(A5,Equipamentos!A:E,1,FALSE)),"",VLOOKUP(A5,Equipamentos!A:E,3,FALSE))</f>
        <v>Cisco</v>
      </c>
      <c r="G5" s="13" t="str">
        <f>IF(ISBLANK(A5),"",IF(ISERROR(VLOOKUP(A5,Equipamentos!A:E,1,FALSE)),"Produto não cadastrado",VLOOKUP(A5,Equipamentos!A:E,2,FALSE)))</f>
        <v>Aparelho para Audio Conferência</v>
      </c>
      <c r="H5" s="13" t="str">
        <f>IF(ISERROR(VLOOKUP(A5,Equipamentos!A:E,1,FALSE)),"",VLOOKUP(A5,Equipamentos!A:E,4,FALSE))</f>
        <v>Preto</v>
      </c>
      <c r="I5" s="13"/>
    </row>
    <row r="6" spans="1:9" x14ac:dyDescent="0.25">
      <c r="A6" s="14"/>
      <c r="B6" s="15"/>
      <c r="C6" s="14"/>
      <c r="D6" s="16"/>
      <c r="E6" s="12"/>
      <c r="F6" s="13" t="str">
        <f>IF(ISERROR(VLOOKUP(A6,Equipamentos!A:E,1,FALSE)),"",VLOOKUP(A6,Equipamentos!A:E,3,FALSE))</f>
        <v/>
      </c>
      <c r="G6" s="13" t="str">
        <f>IF(ISBLANK(A6),"",IF(ISERROR(VLOOKUP(A6,Equipamentos!A:E,1,FALSE)),"Produto não cadastrado",VLOOKUP(A6,Equipamentos!A:E,2,FALSE)))</f>
        <v/>
      </c>
      <c r="H6" s="13" t="str">
        <f>IF(ISERROR(VLOOKUP(A6,Equipamentos!A:E,1,FALSE)),"",VLOOKUP(A6,Equipamentos!A:E,4,FALSE))</f>
        <v/>
      </c>
      <c r="I6" s="13"/>
    </row>
    <row r="7" spans="1:9" x14ac:dyDescent="0.25">
      <c r="A7" s="14"/>
      <c r="B7" s="15"/>
      <c r="C7" s="14"/>
      <c r="D7" s="16"/>
      <c r="E7" s="12"/>
      <c r="F7" s="13" t="str">
        <f>IF(ISERROR(VLOOKUP(A7,Equipamentos!A:E,1,FALSE)),"",VLOOKUP(A7,Equipamentos!A:E,3,FALSE))</f>
        <v/>
      </c>
      <c r="G7" s="13" t="str">
        <f>IF(ISBLANK(A7),"",IF(ISERROR(VLOOKUP(A7,Equipamentos!A:E,1,FALSE)),"Produto não cadastrado",VLOOKUP(A7,Equipamentos!A:E,2,FALSE)))</f>
        <v/>
      </c>
      <c r="H7" s="13" t="str">
        <f>IF(ISERROR(VLOOKUP(A7,Equipamentos!A:E,1,FALSE)),"",VLOOKUP(A7,Equipamentos!A:E,4,FALSE))</f>
        <v/>
      </c>
      <c r="I7" s="13"/>
    </row>
    <row r="8" spans="1:9" x14ac:dyDescent="0.25">
      <c r="A8" s="14"/>
      <c r="B8" s="15"/>
      <c r="C8" s="14"/>
      <c r="D8" s="16"/>
      <c r="E8" s="12"/>
      <c r="F8" s="13" t="str">
        <f>IF(ISERROR(VLOOKUP(A8,Equipamentos!A:E,1,FALSE)),"",VLOOKUP(A8,Equipamentos!A:E,3,FALSE))</f>
        <v/>
      </c>
      <c r="G8" s="13" t="str">
        <f>IF(ISBLANK(A8),"",IF(ISERROR(VLOOKUP(A8,Equipamentos!A:E,1,FALSE)),"Produto não cadastrado",VLOOKUP(A8,Equipamentos!A:E,2,FALSE)))</f>
        <v/>
      </c>
      <c r="H8" s="13" t="str">
        <f>IF(ISERROR(VLOOKUP(A8,Equipamentos!A:E,1,FALSE)),"",VLOOKUP(A8,Equipamentos!A:E,4,FALSE))</f>
        <v/>
      </c>
      <c r="I8" s="13"/>
    </row>
    <row r="9" spans="1:9" x14ac:dyDescent="0.25">
      <c r="A9" s="14"/>
      <c r="B9" s="15"/>
      <c r="C9" s="14"/>
      <c r="D9" s="16"/>
      <c r="E9" s="12"/>
      <c r="F9" s="13" t="str">
        <f>IF(ISERROR(VLOOKUP(A9,Equipamentos!A:E,1,FALSE)),"",VLOOKUP(A9,Equipamentos!A:E,3,FALSE))</f>
        <v/>
      </c>
      <c r="G9" s="13" t="str">
        <f>IF(ISBLANK(A9),"",IF(ISERROR(VLOOKUP(A9,Equipamentos!A:E,1,FALSE)),"Produto não cadastrado",VLOOKUP(A9,Equipamentos!A:E,2,FALSE)))</f>
        <v/>
      </c>
      <c r="H9" s="13" t="str">
        <f>IF(ISERROR(VLOOKUP(A9,Equipamentos!A:E,1,FALSE)),"",VLOOKUP(A9,Equipamentos!A:E,4,FALSE))</f>
        <v/>
      </c>
      <c r="I9" s="13"/>
    </row>
    <row r="10" spans="1:9" x14ac:dyDescent="0.25">
      <c r="A10" s="14"/>
      <c r="B10" s="15"/>
      <c r="C10" s="14"/>
      <c r="D10" s="16"/>
      <c r="E10" s="12"/>
      <c r="F10" s="13" t="str">
        <f>IF(ISERROR(VLOOKUP(A10,Equipamentos!A:E,1,FALSE)),"",VLOOKUP(A10,Equipamentos!A:E,3,FALSE))</f>
        <v/>
      </c>
      <c r="G10" s="13" t="str">
        <f>IF(ISBLANK(A10),"",IF(ISERROR(VLOOKUP(A10,Equipamentos!A:E,1,FALSE)),"Produto não cadastrado",VLOOKUP(A10,Equipamentos!A:E,2,FALSE)))</f>
        <v/>
      </c>
      <c r="H10" s="13" t="str">
        <f>IF(ISERROR(VLOOKUP(A10,Equipamentos!A:E,1,FALSE)),"",VLOOKUP(A10,Equipamentos!A:E,4,FALSE))</f>
        <v/>
      </c>
      <c r="I10" s="13"/>
    </row>
    <row r="11" spans="1:9" x14ac:dyDescent="0.25">
      <c r="A11" s="14"/>
      <c r="B11" s="15"/>
      <c r="C11" s="14"/>
      <c r="D11" s="16"/>
      <c r="E11" s="12"/>
      <c r="F11" s="13" t="str">
        <f>IF(ISERROR(VLOOKUP(A11,Equipamentos!A:E,1,FALSE)),"",VLOOKUP(A11,Equipamentos!A:E,3,FALSE))</f>
        <v/>
      </c>
      <c r="G11" s="13" t="str">
        <f>IF(ISBLANK(A11),"",IF(ISERROR(VLOOKUP(A11,Equipamentos!A:E,1,FALSE)),"Produto não cadastrado",VLOOKUP(A11,Equipamentos!A:E,2,FALSE)))</f>
        <v/>
      </c>
      <c r="H11" s="13" t="str">
        <f>IF(ISERROR(VLOOKUP(A11,Equipamentos!A:E,1,FALSE)),"",VLOOKUP(A11,Equipamentos!A:E,4,FALSE))</f>
        <v/>
      </c>
      <c r="I11" s="13"/>
    </row>
    <row r="12" spans="1:9" x14ac:dyDescent="0.25">
      <c r="A12" s="14"/>
      <c r="B12" s="15"/>
      <c r="C12" s="14"/>
      <c r="D12" s="16"/>
      <c r="E12" s="12"/>
      <c r="F12" s="13" t="str">
        <f>IF(ISERROR(VLOOKUP(A12,Equipamentos!A:E,1,FALSE)),"",VLOOKUP(A12,Equipamentos!A:E,3,FALSE))</f>
        <v/>
      </c>
      <c r="G12" s="13" t="str">
        <f>IF(ISBLANK(A12),"",IF(ISERROR(VLOOKUP(A12,Equipamentos!A:E,1,FALSE)),"Produto não cadastrado",VLOOKUP(A12,Equipamentos!A:E,2,FALSE)))</f>
        <v/>
      </c>
      <c r="H12" s="13" t="str">
        <f>IF(ISERROR(VLOOKUP(A12,Equipamentos!A:E,1,FALSE)),"",VLOOKUP(A12,Equipamentos!A:E,4,FALSE))</f>
        <v/>
      </c>
      <c r="I12" s="13"/>
    </row>
    <row r="13" spans="1:9" x14ac:dyDescent="0.25">
      <c r="A13" s="14"/>
      <c r="B13" s="15"/>
      <c r="C13" s="14"/>
      <c r="D13" s="16"/>
      <c r="E13" s="12"/>
      <c r="F13" s="13" t="str">
        <f>IF(ISERROR(VLOOKUP(A13,Equipamentos!A:E,1,FALSE)),"",VLOOKUP(A13,Equipamentos!A:E,3,FALSE))</f>
        <v/>
      </c>
      <c r="G13" s="13" t="str">
        <f>IF(ISBLANK(A13),"",IF(ISERROR(VLOOKUP(A13,Equipamentos!A:E,1,FALSE)),"Produto não cadastrado",VLOOKUP(A13,Equipamentos!A:E,2,FALSE)))</f>
        <v/>
      </c>
      <c r="H13" s="13" t="str">
        <f>IF(ISERROR(VLOOKUP(A13,Equipamentos!A:E,1,FALSE)),"",VLOOKUP(A13,Equipamentos!A:E,4,FALSE))</f>
        <v/>
      </c>
      <c r="I13" s="13"/>
    </row>
    <row r="14" spans="1:9" x14ac:dyDescent="0.25">
      <c r="A14" s="14"/>
      <c r="B14" s="15"/>
      <c r="C14" s="14"/>
      <c r="D14" s="16"/>
      <c r="E14" s="12"/>
      <c r="F14" s="13" t="str">
        <f>IF(ISERROR(VLOOKUP(A14,Equipamentos!A:E,1,FALSE)),"",VLOOKUP(A14,Equipamentos!A:E,3,FALSE))</f>
        <v/>
      </c>
      <c r="G14" s="13" t="str">
        <f>IF(ISBLANK(A14),"",IF(ISERROR(VLOOKUP(A14,Equipamentos!A:E,1,FALSE)),"Produto não cadastrado",VLOOKUP(A14,Equipamentos!A:E,2,FALSE)))</f>
        <v/>
      </c>
      <c r="H14" s="13" t="str">
        <f>IF(ISERROR(VLOOKUP(A14,Equipamentos!A:E,1,FALSE)),"",VLOOKUP(A14,Equipamentos!A:E,4,FALSE))</f>
        <v/>
      </c>
      <c r="I14" s="13"/>
    </row>
    <row r="15" spans="1:9" x14ac:dyDescent="0.25">
      <c r="A15" s="14"/>
      <c r="B15" s="15"/>
      <c r="C15" s="14"/>
      <c r="D15" s="16"/>
      <c r="E15" s="12"/>
      <c r="F15" s="13" t="str">
        <f>IF(ISERROR(VLOOKUP(A15,Equipamentos!A:E,1,FALSE)),"",VLOOKUP(A15,Equipamentos!A:E,3,FALSE))</f>
        <v/>
      </c>
      <c r="G15" s="13" t="str">
        <f>IF(ISBLANK(A15),"",IF(ISERROR(VLOOKUP(A15,Equipamentos!A:E,1,FALSE)),"Produto não cadastrado",VLOOKUP(A15,Equipamentos!A:E,2,FALSE)))</f>
        <v/>
      </c>
      <c r="H15" s="13" t="str">
        <f>IF(ISERROR(VLOOKUP(A15,Equipamentos!A:E,1,FALSE)),"",VLOOKUP(A15,Equipamentos!A:E,4,FALSE))</f>
        <v/>
      </c>
      <c r="I15" s="13"/>
    </row>
    <row r="16" spans="1:9" x14ac:dyDescent="0.25">
      <c r="A16" s="14"/>
      <c r="B16" s="15"/>
      <c r="C16" s="14"/>
      <c r="D16" s="16"/>
      <c r="E16" s="12"/>
      <c r="F16" s="13" t="str">
        <f>IF(ISERROR(VLOOKUP(A16,Equipamentos!A:E,1,FALSE)),"",VLOOKUP(A16,Equipamentos!A:E,3,FALSE))</f>
        <v/>
      </c>
      <c r="G16" s="13" t="str">
        <f>IF(ISBLANK(A16),"",IF(ISERROR(VLOOKUP(A16,Equipamentos!A:E,1,FALSE)),"Produto não cadastrado",VLOOKUP(A16,Equipamentos!A:E,2,FALSE)))</f>
        <v/>
      </c>
      <c r="H16" s="13" t="str">
        <f>IF(ISERROR(VLOOKUP(A16,Equipamentos!A:E,1,FALSE)),"",VLOOKUP(A16,Equipamentos!A:E,4,FALSE))</f>
        <v/>
      </c>
      <c r="I16" s="13"/>
    </row>
    <row r="17" spans="1:9" x14ac:dyDescent="0.25">
      <c r="A17" s="14"/>
      <c r="B17" s="15"/>
      <c r="C17" s="14"/>
      <c r="D17" s="16"/>
      <c r="E17" s="12"/>
      <c r="F17" s="13" t="str">
        <f>IF(ISERROR(VLOOKUP(A17,Equipamentos!A:E,1,FALSE)),"",VLOOKUP(A17,Equipamentos!A:E,3,FALSE))</f>
        <v/>
      </c>
      <c r="G17" s="13" t="str">
        <f>IF(ISBLANK(A17),"",IF(ISERROR(VLOOKUP(A17,Equipamentos!A:E,1,FALSE)),"Produto não cadastrado",VLOOKUP(A17,Equipamentos!A:E,2,FALSE)))</f>
        <v/>
      </c>
      <c r="H17" s="13" t="str">
        <f>IF(ISERROR(VLOOKUP(A17,Equipamentos!A:E,1,FALSE)),"",VLOOKUP(A17,Equipamentos!A:E,4,FALSE))</f>
        <v/>
      </c>
      <c r="I17" s="13"/>
    </row>
    <row r="18" spans="1:9" x14ac:dyDescent="0.25">
      <c r="A18" s="14"/>
      <c r="B18" s="15"/>
      <c r="C18" s="14"/>
      <c r="D18" s="16"/>
      <c r="E18" s="12"/>
      <c r="F18" s="13" t="str">
        <f>IF(ISERROR(VLOOKUP(A18,Equipamentos!A:E,1,FALSE)),"",VLOOKUP(A18,Equipamentos!A:E,3,FALSE))</f>
        <v/>
      </c>
      <c r="G18" s="13" t="str">
        <f>IF(ISBLANK(A18),"",IF(ISERROR(VLOOKUP(A18,Equipamentos!A:E,1,FALSE)),"Produto não cadastrado",VLOOKUP(A18,Equipamentos!A:E,2,FALSE)))</f>
        <v/>
      </c>
      <c r="H18" s="13" t="str">
        <f>IF(ISERROR(VLOOKUP(A18,Equipamentos!A:E,1,FALSE)),"",VLOOKUP(A18,Equipamentos!A:E,4,FALSE))</f>
        <v/>
      </c>
      <c r="I18" s="13"/>
    </row>
    <row r="19" spans="1:9" x14ac:dyDescent="0.25">
      <c r="A19" s="14"/>
      <c r="B19" s="15"/>
      <c r="C19" s="14"/>
      <c r="D19" s="16"/>
      <c r="E19" s="12"/>
      <c r="F19" s="13" t="str">
        <f>IF(ISERROR(VLOOKUP(A19,Equipamentos!A:E,1,FALSE)),"",VLOOKUP(A19,Equipamentos!A:E,3,FALSE))</f>
        <v/>
      </c>
      <c r="G19" s="13" t="str">
        <f>IF(ISBLANK(A19),"",IF(ISERROR(VLOOKUP(A19,Equipamentos!A:E,1,FALSE)),"Produto não cadastrado",VLOOKUP(A19,Equipamentos!A:E,2,FALSE)))</f>
        <v/>
      </c>
      <c r="H19" s="13" t="str">
        <f>IF(ISERROR(VLOOKUP(A19,Equipamentos!A:E,1,FALSE)),"",VLOOKUP(A19,Equipamentos!A:E,4,FALSE))</f>
        <v/>
      </c>
      <c r="I19" s="13"/>
    </row>
    <row r="20" spans="1:9" x14ac:dyDescent="0.25">
      <c r="A20" s="14"/>
      <c r="B20" s="15"/>
      <c r="C20" s="14"/>
      <c r="D20" s="16"/>
      <c r="E20" s="12"/>
      <c r="F20" s="13"/>
      <c r="G20" s="13"/>
      <c r="H20" s="13"/>
      <c r="I20" s="13"/>
    </row>
  </sheetData>
  <mergeCells count="1">
    <mergeCell ref="A1:I1"/>
  </mergeCells>
  <pageMargins left="0.511811024" right="0.511811024" top="0.78740157499999996" bottom="0.78740157499999996" header="0.31496062000000002" footer="0.31496062000000002"/>
  <pageSetup paperSize="9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9"/>
  <sheetViews>
    <sheetView workbookViewId="0">
      <selection activeCell="G3" sqref="G3"/>
    </sheetView>
  </sheetViews>
  <sheetFormatPr defaultRowHeight="15" x14ac:dyDescent="0.25"/>
  <cols>
    <col min="1" max="1" width="14.85546875" bestFit="1" customWidth="1"/>
    <col min="2" max="2" width="19.140625" bestFit="1" customWidth="1"/>
    <col min="3" max="3" width="17.5703125" bestFit="1" customWidth="1"/>
    <col min="4" max="4" width="11.42578125" bestFit="1" customWidth="1"/>
    <col min="5" max="5" width="15.85546875" bestFit="1" customWidth="1"/>
    <col min="6" max="6" width="19.28515625" bestFit="1" customWidth="1"/>
    <col min="7" max="7" width="24.85546875" bestFit="1" customWidth="1"/>
    <col min="8" max="8" width="11.85546875" bestFit="1" customWidth="1"/>
    <col min="9" max="9" width="31" bestFit="1" customWidth="1"/>
    <col min="10" max="10" width="11.140625" bestFit="1" customWidth="1"/>
    <col min="11" max="11" width="11.28515625" bestFit="1" customWidth="1"/>
  </cols>
  <sheetData>
    <row r="1" spans="1:11" ht="26.25" x14ac:dyDescent="0.4">
      <c r="A1" s="24" t="s">
        <v>36</v>
      </c>
      <c r="B1" s="24"/>
      <c r="C1" s="24"/>
      <c r="D1" s="24"/>
      <c r="E1" s="24"/>
      <c r="F1" s="24"/>
      <c r="G1" s="24"/>
      <c r="H1" s="24"/>
      <c r="I1" s="24"/>
      <c r="J1" s="24"/>
      <c r="K1" s="24"/>
    </row>
    <row r="2" spans="1:11" x14ac:dyDescent="0.25">
      <c r="A2" s="18" t="s">
        <v>3</v>
      </c>
      <c r="B2" s="18" t="s">
        <v>22</v>
      </c>
      <c r="C2" s="19" t="s">
        <v>23</v>
      </c>
      <c r="D2" s="19" t="s">
        <v>5</v>
      </c>
      <c r="E2" s="20" t="s">
        <v>9</v>
      </c>
      <c r="F2" s="21" t="s">
        <v>21</v>
      </c>
      <c r="G2" s="21" t="s">
        <v>25</v>
      </c>
      <c r="H2" s="22" t="s">
        <v>8</v>
      </c>
      <c r="I2" s="22" t="s">
        <v>6</v>
      </c>
      <c r="J2" s="22" t="s">
        <v>2</v>
      </c>
      <c r="K2" s="22" t="s">
        <v>11</v>
      </c>
    </row>
    <row r="3" spans="1:11" x14ac:dyDescent="0.25">
      <c r="A3" s="4">
        <v>1</v>
      </c>
      <c r="B3" s="10">
        <v>42556</v>
      </c>
      <c r="C3" s="10">
        <v>42557</v>
      </c>
      <c r="D3" s="4">
        <v>1</v>
      </c>
      <c r="E3" s="17">
        <v>2222255</v>
      </c>
      <c r="F3" s="12" t="s">
        <v>24</v>
      </c>
      <c r="G3" s="12" t="s">
        <v>26</v>
      </c>
      <c r="H3" s="13" t="str">
        <f>IF(ISBLANK(A3),"",IF(ISERROR(VLOOKUP(A3,Equipamentos!A:E,1,FALSE)),"Produto não cadastrado",VLOOKUP(A3,Equipamentos!A:E,3,FALSE)))</f>
        <v>Dell</v>
      </c>
      <c r="I3" s="13" t="str">
        <f>IF(ISBLANK(A3),"",IF(ISERROR(VLOOKUP(A3,Equipamentos!A:E,1,FALSE)),"Produto não cadastrado",VLOOKUP(A3,Equipamentos!A:E,2,FALSE)))</f>
        <v>Projetor</v>
      </c>
      <c r="J3" s="13" t="str">
        <f>IF(ISERROR(VLOOKUP(A3,Equipamentos!A:E,1,FALSE)),"",VLOOKUP(A3,Equipamentos!A:E,4,FALSE))</f>
        <v>Preto</v>
      </c>
      <c r="K3" s="13"/>
    </row>
    <row r="4" spans="1:11" x14ac:dyDescent="0.25">
      <c r="A4" s="14">
        <v>2</v>
      </c>
      <c r="B4" s="15">
        <v>42555</v>
      </c>
      <c r="C4" s="15">
        <v>42556</v>
      </c>
      <c r="D4" s="14">
        <v>1</v>
      </c>
      <c r="E4" s="17">
        <v>2222254</v>
      </c>
      <c r="F4" s="12" t="s">
        <v>27</v>
      </c>
      <c r="G4" s="12" t="s">
        <v>29</v>
      </c>
      <c r="H4" s="13" t="str">
        <f>IF(ISBLANK(A4),"",IF(ISERROR(VLOOKUP(A4,Equipamentos!A:E,1,FALSE)),"Produto não cadastrado",VLOOKUP(A4,Equipamentos!A:E,3,FALSE)))</f>
        <v>Sony</v>
      </c>
      <c r="I4" s="13" t="str">
        <f>IF(ISBLANK(A4),"",IF(ISERROR(VLOOKUP(A4,Equipamentos!A:E,1,FALSE)),"Produto não cadastrado",VLOOKUP(A4,Equipamentos!A:E,2,FALSE)))</f>
        <v>TV</v>
      </c>
      <c r="J4" s="13" t="str">
        <f>IF(ISERROR(VLOOKUP(A4,Equipamentos!A:E,1,FALSE)),"",VLOOKUP(A4,Equipamentos!A:E,4,FALSE))</f>
        <v>LED / Preto</v>
      </c>
      <c r="K4" s="13"/>
    </row>
    <row r="5" spans="1:11" x14ac:dyDescent="0.25">
      <c r="A5" s="14">
        <v>3</v>
      </c>
      <c r="B5" s="15">
        <v>42559</v>
      </c>
      <c r="C5" s="15"/>
      <c r="D5" s="14">
        <v>1</v>
      </c>
      <c r="E5" s="17">
        <v>2222257</v>
      </c>
      <c r="F5" s="12" t="s">
        <v>28</v>
      </c>
      <c r="G5" s="12" t="s">
        <v>34</v>
      </c>
      <c r="H5" s="13" t="str">
        <f>IF(ISBLANK(A5),"",IF(ISERROR(VLOOKUP(A5,Equipamentos!A:E,1,FALSE)),"Produto não cadastrado",VLOOKUP(A5,Equipamentos!A:E,3,FALSE)))</f>
        <v>Cisco</v>
      </c>
      <c r="I5" s="13" t="str">
        <f>IF(ISBLANK(A5),"",IF(ISERROR(VLOOKUP(A5,Equipamentos!A:E,1,FALSE)),"Produto não cadastrado",VLOOKUP(A5,Equipamentos!A:E,2,FALSE)))</f>
        <v>Aparelho para Audio Conferência</v>
      </c>
      <c r="J5" s="13" t="str">
        <f>IF(ISERROR(VLOOKUP(A5,Equipamentos!A:E,1,FALSE)),"",VLOOKUP(A5,Equipamentos!A:E,4,FALSE))</f>
        <v>Preto</v>
      </c>
      <c r="K5" s="13"/>
    </row>
    <row r="6" spans="1:11" x14ac:dyDescent="0.25">
      <c r="A6" s="14">
        <v>4</v>
      </c>
      <c r="B6" s="15">
        <v>42562</v>
      </c>
      <c r="C6" s="15"/>
      <c r="D6" s="14">
        <v>1</v>
      </c>
      <c r="E6" s="17">
        <v>2222260</v>
      </c>
      <c r="F6" s="12" t="s">
        <v>35</v>
      </c>
      <c r="G6" s="12" t="s">
        <v>33</v>
      </c>
      <c r="H6" s="13" t="str">
        <f>IF(ISBLANK(A6),"",IF(ISERROR(VLOOKUP(A6,Equipamentos!A:E,1,FALSE)),"Produto não cadastrado",VLOOKUP(A6,Equipamentos!A:E,3,FALSE)))</f>
        <v>New Link</v>
      </c>
      <c r="I6" s="13" t="str">
        <f>IF(ISBLANK(A6),"",IF(ISERROR(VLOOKUP(A6,Equipamentos!A:E,1,FALSE)),"Produto não cadastrado",VLOOKUP(A6,Equipamentos!A:E,2,FALSE)))</f>
        <v>Caixa de Som</v>
      </c>
      <c r="J6" s="13" t="str">
        <f>IF(ISERROR(VLOOKUP(A6,Equipamentos!A:E,1,FALSE)),"",VLOOKUP(A6,Equipamentos!A:E,4,FALSE))</f>
        <v>Branca</v>
      </c>
      <c r="K6" s="13"/>
    </row>
    <row r="7" spans="1:11" x14ac:dyDescent="0.25">
      <c r="A7" s="14"/>
      <c r="B7" s="14"/>
      <c r="C7" s="15"/>
      <c r="D7" s="14"/>
      <c r="E7" s="17"/>
      <c r="F7" s="12"/>
      <c r="G7" s="12"/>
      <c r="H7" s="13" t="str">
        <f>IF(ISBLANK(A7),"",IF(ISERROR(VLOOKUP(A7,Equipamentos!A:E,1,FALSE)),"Produto não cadastrado",VLOOKUP(A7,Equipamentos!A:E,3,FALSE)))</f>
        <v/>
      </c>
      <c r="I7" s="13" t="str">
        <f>IF(ISBLANK(A7),"",IF(ISERROR(VLOOKUP(A7,Equipamentos!A:E,1,FALSE)),"Produto não cadastrado",VLOOKUP(A7,Equipamentos!A:E,2,FALSE)))</f>
        <v/>
      </c>
      <c r="J7" s="13" t="str">
        <f>IF(ISERROR(VLOOKUP(A7,Equipamentos!A:E,1,FALSE)),"",VLOOKUP(A7,Equipamentos!A:E,4,FALSE))</f>
        <v/>
      </c>
      <c r="K7" s="13"/>
    </row>
    <row r="8" spans="1:11" x14ac:dyDescent="0.25">
      <c r="A8" s="14"/>
      <c r="B8" s="14"/>
      <c r="C8" s="15"/>
      <c r="D8" s="14"/>
      <c r="E8" s="17"/>
      <c r="F8" s="12"/>
      <c r="G8" s="12"/>
      <c r="H8" s="13" t="str">
        <f>IF(ISBLANK(A8),"",IF(ISERROR(VLOOKUP(A8,Equipamentos!A:E,1,FALSE)),"Produto não cadastrado",VLOOKUP(A8,Equipamentos!A:E,3,FALSE)))</f>
        <v/>
      </c>
      <c r="I8" s="13" t="str">
        <f>IF(ISBLANK(A8),"",IF(ISERROR(VLOOKUP(A8,Equipamentos!A:E,1,FALSE)),"Produto não cadastrado",VLOOKUP(A8,Equipamentos!A:E,2,FALSE)))</f>
        <v/>
      </c>
      <c r="J8" s="13" t="str">
        <f>IF(ISERROR(VLOOKUP(A8,Equipamentos!A:E,1,FALSE)),"",VLOOKUP(A8,Equipamentos!A:E,4,FALSE))</f>
        <v/>
      </c>
      <c r="K8" s="13"/>
    </row>
    <row r="9" spans="1:11" x14ac:dyDescent="0.25">
      <c r="A9" s="14"/>
      <c r="B9" s="14"/>
      <c r="C9" s="15"/>
      <c r="D9" s="14"/>
      <c r="E9" s="17"/>
      <c r="F9" s="12"/>
      <c r="G9" s="12"/>
      <c r="H9" s="13" t="str">
        <f>IF(ISBLANK(A9),"",IF(ISERROR(VLOOKUP(A9,Equipamentos!A:E,1,FALSE)),"Produto não cadastrado",VLOOKUP(A9,Equipamentos!A:E,3,FALSE)))</f>
        <v/>
      </c>
      <c r="I9" s="13" t="str">
        <f>IF(ISBLANK(A9),"",IF(ISERROR(VLOOKUP(A9,Equipamentos!A:E,1,FALSE)),"Produto não cadastrado",VLOOKUP(A9,Equipamentos!A:E,2,FALSE)))</f>
        <v/>
      </c>
      <c r="J9" s="13" t="str">
        <f>IF(ISERROR(VLOOKUP(A9,Equipamentos!A:E,1,FALSE)),"",VLOOKUP(A9,Equipamentos!A:E,4,FALSE))</f>
        <v/>
      </c>
      <c r="K9" s="13"/>
    </row>
    <row r="10" spans="1:11" x14ac:dyDescent="0.25">
      <c r="A10" s="14"/>
      <c r="B10" s="14"/>
      <c r="C10" s="15"/>
      <c r="D10" s="14"/>
      <c r="E10" s="17"/>
      <c r="F10" s="12"/>
      <c r="G10" s="12"/>
      <c r="H10" s="13" t="str">
        <f>IF(ISBLANK(A10),"",IF(ISERROR(VLOOKUP(A10,Equipamentos!A:E,1,FALSE)),"Produto não cadastrado",VLOOKUP(A10,Equipamentos!A:E,3,FALSE)))</f>
        <v/>
      </c>
      <c r="I10" s="13" t="str">
        <f>IF(ISBLANK(A10),"",IF(ISERROR(VLOOKUP(A10,Equipamentos!A:E,1,FALSE)),"Produto não cadastrado",VLOOKUP(A10,Equipamentos!A:E,2,FALSE)))</f>
        <v/>
      </c>
      <c r="J10" s="13" t="str">
        <f>IF(ISERROR(VLOOKUP(A10,Equipamentos!A:E,1,FALSE)),"",VLOOKUP(A10,Equipamentos!A:E,4,FALSE))</f>
        <v/>
      </c>
      <c r="K10" s="13"/>
    </row>
    <row r="11" spans="1:11" x14ac:dyDescent="0.25">
      <c r="A11" s="14"/>
      <c r="B11" s="14"/>
      <c r="C11" s="15"/>
      <c r="D11" s="14"/>
      <c r="E11" s="17"/>
      <c r="F11" s="12"/>
      <c r="G11" s="12"/>
      <c r="H11" s="13" t="str">
        <f>IF(ISBLANK(A11),"",IF(ISERROR(VLOOKUP(A11,Equipamentos!A:E,1,FALSE)),"Produto não cadastrado",VLOOKUP(A11,Equipamentos!A:E,3,FALSE)))</f>
        <v/>
      </c>
      <c r="I11" s="13" t="str">
        <f>IF(ISBLANK(A11),"",IF(ISERROR(VLOOKUP(A11,Equipamentos!A:E,1,FALSE)),"Produto não cadastrado",VLOOKUP(A11,Equipamentos!A:E,2,FALSE)))</f>
        <v/>
      </c>
      <c r="J11" s="13" t="str">
        <f>IF(ISERROR(VLOOKUP(A11,Equipamentos!A:E,1,FALSE)),"",VLOOKUP(A11,Equipamentos!A:E,4,FALSE))</f>
        <v/>
      </c>
      <c r="K11" s="13"/>
    </row>
    <row r="12" spans="1:11" x14ac:dyDescent="0.25">
      <c r="A12" s="14"/>
      <c r="B12" s="14"/>
      <c r="C12" s="15"/>
      <c r="D12" s="14"/>
      <c r="E12" s="17"/>
      <c r="F12" s="12"/>
      <c r="G12" s="12"/>
      <c r="H12" s="13" t="str">
        <f>IF(ISBLANK(A12),"",IF(ISERROR(VLOOKUP(A12,Equipamentos!A:E,1,FALSE)),"Produto não cadastrado",VLOOKUP(A12,Equipamentos!A:E,3,FALSE)))</f>
        <v/>
      </c>
      <c r="I12" s="13" t="str">
        <f>IF(ISBLANK(A12),"",IF(ISERROR(VLOOKUP(A12,Equipamentos!A:E,1,FALSE)),"Produto não cadastrado",VLOOKUP(A12,Equipamentos!A:E,2,FALSE)))</f>
        <v/>
      </c>
      <c r="J12" s="13" t="str">
        <f>IF(ISERROR(VLOOKUP(A12,Equipamentos!A:E,1,FALSE)),"",VLOOKUP(A12,Equipamentos!A:E,4,FALSE))</f>
        <v/>
      </c>
      <c r="K12" s="13"/>
    </row>
    <row r="13" spans="1:11" x14ac:dyDescent="0.25">
      <c r="A13" s="14"/>
      <c r="B13" s="14"/>
      <c r="C13" s="15"/>
      <c r="D13" s="14"/>
      <c r="E13" s="17"/>
      <c r="F13" s="12"/>
      <c r="G13" s="12"/>
      <c r="H13" s="13" t="str">
        <f>IF(ISBLANK(A13),"",IF(ISERROR(VLOOKUP(A13,Equipamentos!A:E,1,FALSE)),"Produto não cadastrado",VLOOKUP(A13,Equipamentos!A:E,3,FALSE)))</f>
        <v/>
      </c>
      <c r="I13" s="13" t="str">
        <f>IF(ISBLANK(A13),"",IF(ISERROR(VLOOKUP(A13,Equipamentos!A:E,1,FALSE)),"Produto não cadastrado",VLOOKUP(A13,Equipamentos!A:E,2,FALSE)))</f>
        <v/>
      </c>
      <c r="J13" s="13" t="str">
        <f>IF(ISERROR(VLOOKUP(A13,Equipamentos!A:E,1,FALSE)),"",VLOOKUP(A13,Equipamentos!A:E,4,FALSE))</f>
        <v/>
      </c>
      <c r="K13" s="13"/>
    </row>
    <row r="14" spans="1:11" x14ac:dyDescent="0.25">
      <c r="A14" s="14"/>
      <c r="B14" s="14"/>
      <c r="C14" s="15"/>
      <c r="D14" s="14"/>
      <c r="E14" s="17"/>
      <c r="F14" s="12"/>
      <c r="G14" s="12"/>
      <c r="H14" s="13" t="str">
        <f>IF(ISBLANK(A14),"",IF(ISERROR(VLOOKUP(A14,Equipamentos!A:E,1,FALSE)),"Produto não cadastrado",VLOOKUP(A14,Equipamentos!A:E,3,FALSE)))</f>
        <v/>
      </c>
      <c r="I14" s="13" t="str">
        <f>IF(ISBLANK(A14),"",IF(ISERROR(VLOOKUP(A14,Equipamentos!A:E,1,FALSE)),"Produto não cadastrado",VLOOKUP(A14,Equipamentos!A:E,2,FALSE)))</f>
        <v/>
      </c>
      <c r="J14" s="13" t="str">
        <f>IF(ISERROR(VLOOKUP(A14,Equipamentos!A:E,1,FALSE)),"",VLOOKUP(A14,Equipamentos!A:E,4,FALSE))</f>
        <v/>
      </c>
      <c r="K14" s="13"/>
    </row>
    <row r="15" spans="1:11" x14ac:dyDescent="0.25">
      <c r="A15" s="14"/>
      <c r="B15" s="14"/>
      <c r="C15" s="15"/>
      <c r="D15" s="14"/>
      <c r="E15" s="17"/>
      <c r="F15" s="12"/>
      <c r="G15" s="12"/>
      <c r="H15" s="13" t="str">
        <f>IF(ISBLANK(A15),"",IF(ISERROR(VLOOKUP(A15,Equipamentos!A:E,1,FALSE)),"Produto não cadastrado",VLOOKUP(A15,Equipamentos!A:E,3,FALSE)))</f>
        <v/>
      </c>
      <c r="I15" s="13" t="str">
        <f>IF(ISBLANK(A15),"",IF(ISERROR(VLOOKUP(A15,Equipamentos!A:E,1,FALSE)),"Produto não cadastrado",VLOOKUP(A15,Equipamentos!A:E,2,FALSE)))</f>
        <v/>
      </c>
      <c r="J15" s="13" t="str">
        <f>IF(ISERROR(VLOOKUP(A15,Equipamentos!A:E,1,FALSE)),"",VLOOKUP(A15,Equipamentos!A:E,4,FALSE))</f>
        <v/>
      </c>
      <c r="K15" s="13"/>
    </row>
    <row r="16" spans="1:11" x14ac:dyDescent="0.25">
      <c r="A16" s="14"/>
      <c r="B16" s="14"/>
      <c r="C16" s="15"/>
      <c r="D16" s="14"/>
      <c r="E16" s="17"/>
      <c r="F16" s="12"/>
      <c r="G16" s="12"/>
      <c r="H16" s="13" t="str">
        <f>IF(ISBLANK(A16),"",IF(ISERROR(VLOOKUP(A16,Equipamentos!A:E,1,FALSE)),"Produto não cadastrado",VLOOKUP(A16,Equipamentos!A:E,3,FALSE)))</f>
        <v/>
      </c>
      <c r="I16" s="13" t="str">
        <f>IF(ISBLANK(A16),"",IF(ISERROR(VLOOKUP(A16,Equipamentos!A:E,1,FALSE)),"Produto não cadastrado",VLOOKUP(A16,Equipamentos!A:E,2,FALSE)))</f>
        <v/>
      </c>
      <c r="J16" s="13" t="str">
        <f>IF(ISERROR(VLOOKUP(A16,Equipamentos!A:E,1,FALSE)),"",VLOOKUP(A16,Equipamentos!A:E,4,FALSE))</f>
        <v/>
      </c>
      <c r="K16" s="13"/>
    </row>
    <row r="17" spans="1:11" x14ac:dyDescent="0.25">
      <c r="A17" s="14"/>
      <c r="B17" s="14"/>
      <c r="C17" s="15"/>
      <c r="D17" s="14"/>
      <c r="E17" s="17"/>
      <c r="F17" s="12"/>
      <c r="G17" s="12"/>
      <c r="H17" s="13" t="str">
        <f>IF(ISBLANK(A17),"",IF(ISERROR(VLOOKUP(A17,Equipamentos!A:E,1,FALSE)),"Produto não cadastrado",VLOOKUP(A17,Equipamentos!A:E,3,FALSE)))</f>
        <v/>
      </c>
      <c r="I17" s="13" t="str">
        <f>IF(ISBLANK(A17),"",IF(ISERROR(VLOOKUP(A17,Equipamentos!A:E,1,FALSE)),"Produto não cadastrado",VLOOKUP(A17,Equipamentos!A:E,2,FALSE)))</f>
        <v/>
      </c>
      <c r="J17" s="13" t="str">
        <f>IF(ISERROR(VLOOKUP(A17,Equipamentos!A:E,1,FALSE)),"",VLOOKUP(A17,Equipamentos!A:E,4,FALSE))</f>
        <v/>
      </c>
      <c r="K17" s="13"/>
    </row>
    <row r="18" spans="1:11" x14ac:dyDescent="0.25">
      <c r="A18" s="14"/>
      <c r="B18" s="14"/>
      <c r="C18" s="15"/>
      <c r="D18" s="14"/>
      <c r="E18" s="17"/>
      <c r="F18" s="12"/>
      <c r="G18" s="12"/>
      <c r="H18" s="13" t="str">
        <f>IF(ISBLANK(A18),"",IF(ISERROR(VLOOKUP(A18,Equipamentos!A:E,1,FALSE)),"Produto não cadastrado",VLOOKUP(A18,Equipamentos!A:E,3,FALSE)))</f>
        <v/>
      </c>
      <c r="I18" s="13" t="str">
        <f>IF(ISBLANK(A18),"",IF(ISERROR(VLOOKUP(A18,Equipamentos!A:E,1,FALSE)),"Produto não cadastrado",VLOOKUP(A18,Equipamentos!A:E,2,FALSE)))</f>
        <v/>
      </c>
      <c r="J18" s="13" t="str">
        <f>IF(ISERROR(VLOOKUP(A18,Equipamentos!A:E,1,FALSE)),"",VLOOKUP(A18,Equipamentos!A:E,4,FALSE))</f>
        <v/>
      </c>
      <c r="K18" s="13"/>
    </row>
    <row r="19" spans="1:11" x14ac:dyDescent="0.25">
      <c r="A19" s="14"/>
      <c r="B19" s="14"/>
      <c r="C19" s="15"/>
      <c r="D19" s="14"/>
      <c r="E19" s="17"/>
      <c r="F19" s="12"/>
      <c r="G19" s="12"/>
      <c r="H19" s="13" t="str">
        <f>IF(ISBLANK(A19),"",IF(ISERROR(VLOOKUP(A19,Equipamentos!A:E,1,FALSE)),"Produto não cadastrado",VLOOKUP(A19,Equipamentos!A:E,3,FALSE)))</f>
        <v/>
      </c>
      <c r="I19" s="13" t="str">
        <f>IF(ISBLANK(A19),"",IF(ISERROR(VLOOKUP(A19,Equipamentos!A:E,1,FALSE)),"Produto não cadastrado",VLOOKUP(A19,Equipamentos!A:E,2,FALSE)))</f>
        <v/>
      </c>
      <c r="J19" s="13" t="str">
        <f>IF(ISERROR(VLOOKUP(A19,Equipamentos!A:E,1,FALSE)),"",VLOOKUP(A19,Equipamentos!A:E,4,FALSE))</f>
        <v/>
      </c>
      <c r="K19" s="13"/>
    </row>
  </sheetData>
  <mergeCells count="1">
    <mergeCell ref="A1:K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21"/>
  <sheetViews>
    <sheetView tabSelected="1" workbookViewId="0">
      <selection activeCell="B7" sqref="B7"/>
    </sheetView>
  </sheetViews>
  <sheetFormatPr defaultRowHeight="15" x14ac:dyDescent="0.25"/>
  <cols>
    <col min="1" max="1" width="7.140625" bestFit="1" customWidth="1"/>
    <col min="2" max="2" width="35.28515625" bestFit="1" customWidth="1"/>
    <col min="3" max="3" width="35.28515625" customWidth="1"/>
    <col min="4" max="4" width="12.5703125" bestFit="1" customWidth="1"/>
    <col min="5" max="5" width="17.5703125" bestFit="1" customWidth="1"/>
  </cols>
  <sheetData>
    <row r="2" spans="1:5" ht="15" customHeight="1" x14ac:dyDescent="0.25">
      <c r="A2" s="1" t="s">
        <v>0</v>
      </c>
      <c r="B2" s="2" t="s">
        <v>1</v>
      </c>
      <c r="C2" s="2" t="s">
        <v>2</v>
      </c>
      <c r="D2" s="2" t="s">
        <v>8</v>
      </c>
      <c r="E2" s="2" t="s">
        <v>15</v>
      </c>
    </row>
    <row r="3" spans="1:5" x14ac:dyDescent="0.25">
      <c r="A3" s="3">
        <v>1</v>
      </c>
      <c r="B3" s="4" t="s">
        <v>13</v>
      </c>
      <c r="C3" s="4" t="s">
        <v>14</v>
      </c>
      <c r="D3" s="4" t="s">
        <v>7</v>
      </c>
      <c r="E3" s="4"/>
    </row>
    <row r="4" spans="1:5" x14ac:dyDescent="0.25">
      <c r="A4" s="3">
        <v>2</v>
      </c>
      <c r="B4" s="4" t="s">
        <v>16</v>
      </c>
      <c r="C4" s="4" t="s">
        <v>17</v>
      </c>
      <c r="D4" s="4" t="s">
        <v>18</v>
      </c>
      <c r="E4" s="4"/>
    </row>
    <row r="5" spans="1:5" x14ac:dyDescent="0.25">
      <c r="A5" s="3">
        <v>3</v>
      </c>
      <c r="B5" s="4" t="s">
        <v>19</v>
      </c>
      <c r="C5" s="4" t="s">
        <v>20</v>
      </c>
      <c r="D5" s="4" t="s">
        <v>7</v>
      </c>
      <c r="E5" s="4"/>
    </row>
    <row r="6" spans="1:5" x14ac:dyDescent="0.25">
      <c r="A6" s="3">
        <v>4</v>
      </c>
      <c r="B6" s="4" t="s">
        <v>30</v>
      </c>
      <c r="C6" s="4" t="s">
        <v>31</v>
      </c>
      <c r="D6" s="4" t="s">
        <v>32</v>
      </c>
      <c r="E6" s="4"/>
    </row>
    <row r="7" spans="1:5" x14ac:dyDescent="0.25">
      <c r="A7" s="3">
        <v>5</v>
      </c>
      <c r="B7" s="4"/>
      <c r="C7" s="4"/>
      <c r="D7" s="4"/>
      <c r="E7" s="4"/>
    </row>
    <row r="8" spans="1:5" x14ac:dyDescent="0.25">
      <c r="A8" s="3">
        <v>6</v>
      </c>
      <c r="B8" s="4"/>
      <c r="C8" s="4"/>
      <c r="D8" s="4"/>
      <c r="E8" s="4"/>
    </row>
    <row r="9" spans="1:5" x14ac:dyDescent="0.25">
      <c r="A9" s="3">
        <v>7</v>
      </c>
      <c r="B9" s="4"/>
      <c r="C9" s="4"/>
      <c r="D9" s="4"/>
      <c r="E9" s="4"/>
    </row>
    <row r="10" spans="1:5" x14ac:dyDescent="0.25">
      <c r="A10" s="3">
        <v>8</v>
      </c>
      <c r="B10" s="4"/>
      <c r="C10" s="4"/>
      <c r="D10" s="4"/>
      <c r="E10" s="4"/>
    </row>
    <row r="11" spans="1:5" x14ac:dyDescent="0.25">
      <c r="A11" s="3">
        <v>9</v>
      </c>
      <c r="B11" s="4"/>
      <c r="C11" s="4"/>
      <c r="D11" s="4"/>
      <c r="E11" s="4"/>
    </row>
    <row r="12" spans="1:5" x14ac:dyDescent="0.25">
      <c r="A12" s="3">
        <v>10</v>
      </c>
      <c r="B12" s="4"/>
      <c r="C12" s="4"/>
      <c r="D12" s="4"/>
      <c r="E12" s="4"/>
    </row>
    <row r="13" spans="1:5" x14ac:dyDescent="0.25">
      <c r="A13" s="3">
        <v>11</v>
      </c>
      <c r="B13" s="4"/>
      <c r="C13" s="4"/>
      <c r="D13" s="4"/>
      <c r="E13" s="4"/>
    </row>
    <row r="14" spans="1:5" x14ac:dyDescent="0.25">
      <c r="A14" s="3">
        <v>12</v>
      </c>
      <c r="B14" s="4"/>
      <c r="C14" s="4"/>
      <c r="D14" s="4"/>
      <c r="E14" s="4"/>
    </row>
    <row r="15" spans="1:5" x14ac:dyDescent="0.25">
      <c r="A15" s="3">
        <v>13</v>
      </c>
      <c r="B15" s="4"/>
      <c r="C15" s="4"/>
      <c r="D15" s="4"/>
      <c r="E15" s="4"/>
    </row>
    <row r="16" spans="1:5" x14ac:dyDescent="0.25">
      <c r="A16" s="3">
        <v>14</v>
      </c>
      <c r="B16" s="4"/>
      <c r="C16" s="4"/>
      <c r="D16" s="4"/>
      <c r="E16" s="4"/>
    </row>
    <row r="17" spans="1:5" x14ac:dyDescent="0.25">
      <c r="A17" s="3">
        <v>15</v>
      </c>
      <c r="B17" s="4"/>
      <c r="C17" s="4"/>
      <c r="D17" s="4"/>
      <c r="E17" s="4"/>
    </row>
    <row r="18" spans="1:5" x14ac:dyDescent="0.25">
      <c r="A18" s="3">
        <v>16</v>
      </c>
      <c r="B18" s="4"/>
      <c r="C18" s="4"/>
      <c r="D18" s="4"/>
      <c r="E18" s="4"/>
    </row>
    <row r="19" spans="1:5" x14ac:dyDescent="0.25">
      <c r="A19" s="3">
        <v>17</v>
      </c>
      <c r="B19" s="4"/>
      <c r="C19" s="4"/>
      <c r="D19" s="4"/>
      <c r="E19" s="4"/>
    </row>
    <row r="20" spans="1:5" x14ac:dyDescent="0.25">
      <c r="A20" s="3">
        <v>18</v>
      </c>
      <c r="B20" s="4"/>
      <c r="C20" s="4"/>
      <c r="D20" s="4"/>
      <c r="E20" s="4"/>
    </row>
    <row r="21" spans="1:5" x14ac:dyDescent="0.25">
      <c r="A21" s="3">
        <v>19</v>
      </c>
      <c r="B21" s="4"/>
      <c r="C21" s="4"/>
      <c r="D21" s="4"/>
      <c r="E21" s="4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Entrada</vt:lpstr>
      <vt:lpstr>Controle</vt:lpstr>
      <vt:lpstr>Equipamentos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</dc:creator>
  <cp:lastModifiedBy>Henrique</cp:lastModifiedBy>
  <dcterms:created xsi:type="dcterms:W3CDTF">2016-11-22T12:10:45Z</dcterms:created>
  <dcterms:modified xsi:type="dcterms:W3CDTF">2016-11-23T16:24:32Z</dcterms:modified>
</cp:coreProperties>
</file>