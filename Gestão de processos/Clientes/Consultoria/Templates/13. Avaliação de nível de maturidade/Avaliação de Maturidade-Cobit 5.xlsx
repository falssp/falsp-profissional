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con\Desktop\Material Thomas Kiss\Material trabalhos\Chacon\Contax\"/>
    </mc:Choice>
  </mc:AlternateContent>
  <bookViews>
    <workbookView xWindow="0" yWindow="0" windowWidth="23040" windowHeight="9084"/>
  </bookViews>
  <sheets>
    <sheet name="Resultado" sheetId="1" r:id="rId1"/>
    <sheet name="Avaliação" sheetId="3" r:id="rId2"/>
    <sheet name="Resultados" sheetId="2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E6" i="3"/>
  <c r="E13" i="3"/>
  <c r="E12" i="3"/>
  <c r="E11" i="3"/>
  <c r="E10" i="3"/>
  <c r="E9" i="3"/>
  <c r="E18" i="3"/>
  <c r="E17" i="3"/>
  <c r="E16" i="3"/>
  <c r="E15" i="3"/>
  <c r="E24" i="3"/>
  <c r="E23" i="3"/>
  <c r="E22" i="3"/>
  <c r="E21" i="3"/>
  <c r="E20" i="3"/>
  <c r="E31" i="3"/>
  <c r="E30" i="3"/>
  <c r="E29" i="3"/>
  <c r="E28" i="3"/>
  <c r="E27" i="3"/>
  <c r="E26" i="3"/>
  <c r="E37" i="3"/>
  <c r="E36" i="3"/>
  <c r="E35" i="3"/>
  <c r="E34" i="3"/>
  <c r="E33" i="3"/>
  <c r="E42" i="3"/>
  <c r="E41" i="3"/>
  <c r="E40" i="3"/>
  <c r="E39" i="3"/>
  <c r="E48" i="3"/>
  <c r="E47" i="3"/>
  <c r="E46" i="3"/>
  <c r="E45" i="3"/>
  <c r="E44" i="3"/>
  <c r="E50" i="3"/>
  <c r="E52" i="3"/>
  <c r="E51" i="3"/>
  <c r="B48" i="3" l="1"/>
  <c r="Q20" i="1" s="1"/>
  <c r="G48" i="3"/>
  <c r="G52" i="3"/>
  <c r="G47" i="3"/>
  <c r="G46" i="3"/>
  <c r="G45" i="3"/>
  <c r="G44" i="3"/>
  <c r="G42" i="3"/>
  <c r="G41" i="3"/>
  <c r="G37" i="3"/>
  <c r="G36" i="3"/>
  <c r="G34" i="3"/>
  <c r="G33" i="3"/>
  <c r="G31" i="3"/>
  <c r="G29" i="3"/>
  <c r="G28" i="3"/>
  <c r="G26" i="3"/>
  <c r="G24" i="3"/>
  <c r="G23" i="3"/>
  <c r="G22" i="3"/>
  <c r="G21" i="3"/>
  <c r="G18" i="3"/>
  <c r="G16" i="3"/>
  <c r="G15" i="3"/>
  <c r="G13" i="3"/>
  <c r="G12" i="3"/>
  <c r="G10" i="3"/>
  <c r="G9" i="3"/>
  <c r="G7" i="3"/>
  <c r="D43" i="3" l="1"/>
  <c r="S20" i="1" s="1"/>
  <c r="B52" i="3"/>
  <c r="Q21" i="1" s="1"/>
  <c r="G51" i="3"/>
  <c r="G39" i="3"/>
  <c r="G40" i="3"/>
  <c r="B42" i="3"/>
  <c r="Q19" i="1" s="1"/>
  <c r="G35" i="3"/>
  <c r="D32" i="3" s="1"/>
  <c r="S18" i="1" s="1"/>
  <c r="B37" i="3"/>
  <c r="Q18" i="1" s="1"/>
  <c r="B18" i="3"/>
  <c r="Q15" i="1" s="1"/>
  <c r="G27" i="3"/>
  <c r="B31" i="3"/>
  <c r="Q17" i="1" s="1"/>
  <c r="G20" i="3"/>
  <c r="B24" i="3"/>
  <c r="Q16" i="1" s="1"/>
  <c r="G11" i="3"/>
  <c r="G8" i="3" s="1"/>
  <c r="M14" i="1" s="1"/>
  <c r="B13" i="3"/>
  <c r="Q14" i="1" s="1"/>
  <c r="G6" i="3"/>
  <c r="F5" i="3" s="1"/>
  <c r="B7" i="3"/>
  <c r="Q13" i="1" s="1"/>
  <c r="G17" i="3"/>
  <c r="G14" i="3" s="1"/>
  <c r="M15" i="1" s="1"/>
  <c r="G50" i="3"/>
  <c r="G30" i="3"/>
  <c r="G43" i="3"/>
  <c r="M20" i="1" s="1"/>
  <c r="G25" i="3" l="1"/>
  <c r="M17" i="1" s="1"/>
  <c r="D38" i="3"/>
  <c r="S19" i="1" s="1"/>
  <c r="G49" i="3"/>
  <c r="M21" i="1" s="1"/>
  <c r="D49" i="3"/>
  <c r="S21" i="1" s="1"/>
  <c r="G38" i="3"/>
  <c r="M19" i="1" s="1"/>
  <c r="G32" i="3"/>
  <c r="M18" i="1" s="1"/>
  <c r="D25" i="3"/>
  <c r="S17" i="1" s="1"/>
  <c r="D19" i="3"/>
  <c r="S16" i="1" s="1"/>
  <c r="G19" i="3"/>
  <c r="M16" i="1" s="1"/>
  <c r="F8" i="3"/>
  <c r="F14" i="3"/>
  <c r="G5" i="3"/>
  <c r="M13" i="1" s="1"/>
  <c r="D5" i="3"/>
  <c r="S13" i="1" s="1"/>
  <c r="D8" i="3"/>
  <c r="S14" i="1" s="1"/>
  <c r="D14" i="3"/>
  <c r="S15" i="1" s="1"/>
  <c r="F25" i="3" l="1"/>
  <c r="F19" i="3"/>
  <c r="F38" i="3" l="1"/>
  <c r="F32" i="3"/>
  <c r="F43" i="3" l="1"/>
  <c r="F49" i="3"/>
  <c r="G4" i="3" l="1"/>
  <c r="B6" i="1" s="1"/>
</calcChain>
</file>

<file path=xl/sharedStrings.xml><?xml version="1.0" encoding="utf-8"?>
<sst xmlns="http://schemas.openxmlformats.org/spreadsheetml/2006/main" count="136" uniqueCount="94">
  <si>
    <t>PA 1.1</t>
  </si>
  <si>
    <t>Descrição</t>
  </si>
  <si>
    <t>PA2.1</t>
  </si>
  <si>
    <t>Os objetivos de desempenho do processo estão definidos</t>
  </si>
  <si>
    <t>Eprodutos de trabalho do Processo são executados</t>
  </si>
  <si>
    <t>Atividades Básicas são executadas</t>
  </si>
  <si>
    <t>O desempenho do processo está planejado, monitorado e ajustado para atingir o planejado</t>
  </si>
  <si>
    <t>As responsabilidades para execução do processo estão definidas, atribuídas e comunicadas</t>
  </si>
  <si>
    <t xml:space="preserve">A interface entre as partes envolvidas no processo são gerenciadas para garantir a eficácia na comunicação e clareza na definição de responsabilidades. </t>
  </si>
  <si>
    <t>PA2.2</t>
  </si>
  <si>
    <t>Os requisitos para os produtos de trabalho do processo estão definidos</t>
  </si>
  <si>
    <t>Os requisitos para documentação e controle dos produtos de trabalho estão definidos</t>
  </si>
  <si>
    <t xml:space="preserve">Os produtos de trabalho do processo são revisados de acordo com os critérios definidos e ajustados para atender aos requisitos. </t>
  </si>
  <si>
    <t>Os produtos de trabalho do processo são devidamente identificados e controlados</t>
  </si>
  <si>
    <t>PA3.1</t>
  </si>
  <si>
    <t xml:space="preserve">Um processo padrão, incluindo orientações para adaptação, é definido e descreve os elementos fundamentais que devem ser incorporados a um processo definido;  </t>
  </si>
  <si>
    <t>A sequência e interação do processo padrão com outros processos estão determinadas</t>
  </si>
  <si>
    <t>Os recursos e informações necessárias para executar o processo estão identificados, disponíveis, alocados e utilizados.</t>
  </si>
  <si>
    <t>Os papéis e competências necessárias para a realização de um processo são identificados como parte do processo padrão</t>
  </si>
  <si>
    <t>A infraestrutura necessária e ambiente de trabalho para a realização do processo estão identificados</t>
  </si>
  <si>
    <t>Métodos para monitorar a eficácia e adequação do processo estão determinados</t>
  </si>
  <si>
    <t>PA3.2</t>
  </si>
  <si>
    <t>Um processo definido é implantado baseado na escolha e adequação de um processo padrão</t>
  </si>
  <si>
    <t>Papéis e responsabilidades para executar o processo definido são alocados e comunicados</t>
  </si>
  <si>
    <t>Os recursos e informações necessárias para a execução do processo definido estão disponíveis, alocados e são utilizados</t>
  </si>
  <si>
    <t>Os atores do processo definido possuem experiência e estão adequadamente treinados</t>
  </si>
  <si>
    <t>A infraestrutura e ambientes necessários para a execução do processo definido estão disponíveis, são gerenciados e mantidos</t>
  </si>
  <si>
    <t>Os dados apropriados são coletados e analisados para entendimento do comportamento, demonstração da efetividade e avaliação de melhorias contínuas do processo definido</t>
  </si>
  <si>
    <t>PA4.1</t>
  </si>
  <si>
    <t>As necessidades de informação do processo estão definidas de acordo com os objetivos de negócio</t>
  </si>
  <si>
    <t>Os objetivos de medição do processo são derivados da necessidade de informação do mesmo</t>
  </si>
  <si>
    <t>Os objetivos quantitativos para o desempenho do processo são estabelecidos de acordo com as necessidades do negócio</t>
  </si>
  <si>
    <t>As medidas e frequência de medição são identificadas e definidas de acordo com os objetivos de medição do processo e os objetivos quantitativos para o desempenho do processo</t>
  </si>
  <si>
    <t>Os resultados de medição são coletados, analisados e reportados a fim de avaliar e os objetivos quantitativos do processo são atingidos</t>
  </si>
  <si>
    <t>PA4.2</t>
  </si>
  <si>
    <t>As técnicas de controle e análise estão definidas e aplicadas</t>
  </si>
  <si>
    <t>Os limites de variação do processo são definidos para uma performance normal do processo</t>
  </si>
  <si>
    <t>Os dados de medição são analisados para causas especiais de variação</t>
  </si>
  <si>
    <t>As ações corretivas são tomadas para endereçar as variações observadas e os limites de controle são reestabelecido (se necessário) de acordo com ações corretivas</t>
  </si>
  <si>
    <t>PA5.1</t>
  </si>
  <si>
    <t>Dados apropriados são analisados para a identificação de causas comuns às variações do processo</t>
  </si>
  <si>
    <t>Dados apropriados são analisados para identificar oportunidades para melhores práticas e inovação</t>
  </si>
  <si>
    <t>Oportunidades de melhorias derivadas de novas tecnologias e conceitos de processo são identificadas</t>
  </si>
  <si>
    <t>Objetivos de melhoria do processo são definidos de acordo com os objetivos de negócio</t>
  </si>
  <si>
    <t>Estratégias de implementação são estabelecidas para atingimento dos objetivos de melhoria</t>
  </si>
  <si>
    <t>PA5.2</t>
  </si>
  <si>
    <t>Os impactos de todas as mudanças propostas são avaliados frente aos objetivos do processo definido e padrão</t>
  </si>
  <si>
    <t>A implementação de todas as mudanças acordadas é gerenciada para garantir que qualquer interrupção no desempenho do processo é entendida e corrigida</t>
  </si>
  <si>
    <t>Com base no desempenho atual, a eficácia da mudança no processo é avaliada em função dos requisitos de produtos definidos e objetivos de processo para determinar se os resultados são devidos às causas identificadas</t>
  </si>
  <si>
    <t>%</t>
  </si>
  <si>
    <t>Atributo</t>
  </si>
  <si>
    <t>Nível de Maturidade
Gerenciamento de Mudanças</t>
  </si>
  <si>
    <r>
      <rPr>
        <b/>
        <sz val="11"/>
        <color theme="1"/>
        <rFont val="Calibri"/>
        <family val="2"/>
        <scheme val="minor"/>
      </rPr>
      <t xml:space="preserve">Nível 0 - </t>
    </r>
    <r>
      <rPr>
        <sz val="11"/>
        <color theme="1"/>
        <rFont val="Calibri"/>
        <family val="2"/>
        <scheme val="minor"/>
      </rPr>
      <t>Processo Incompleto: 
O processo não foi implementado ou não atingiu seu objetivo. 
Nesse nível, há pouca ou nenhuma evidência de realização sistemática da finalidade do processo.</t>
    </r>
  </si>
  <si>
    <r>
      <rPr>
        <b/>
        <sz val="11"/>
        <color theme="1"/>
        <rFont val="Calibri"/>
        <family val="2"/>
        <scheme val="minor"/>
      </rPr>
      <t xml:space="preserve">Nível 1 - </t>
    </r>
    <r>
      <rPr>
        <sz val="11"/>
        <color theme="1"/>
        <rFont val="Calibri"/>
        <family val="2"/>
        <scheme val="minor"/>
      </rPr>
      <t>Processo Executado: 
O processo está implementado e atinge seu objetivo.
PA1.1 – Desempenho do Processo (Process Performance)</t>
    </r>
  </si>
  <si>
    <r>
      <rPr>
        <b/>
        <sz val="11"/>
        <color theme="1"/>
        <rFont val="Calibri"/>
        <family val="2"/>
        <scheme val="minor"/>
      </rPr>
      <t xml:space="preserve">Nível 2 - </t>
    </r>
    <r>
      <rPr>
        <sz val="11"/>
        <color theme="1"/>
        <rFont val="Calibri"/>
        <family val="2"/>
        <scheme val="minor"/>
      </rPr>
      <t>Processo Gerenciado: 
O processo realizado anteriormente descrito é implementado de forma gerenciada (planejado, monitorado e ajustado) e seus produtos de trabalho estão devidamente estabelecidos, controlados e mantidos.
PA2.1 – Gerenciamento de Desempenho (Performance Management)
PA2.2 – Gerenciamento de Produto de Trabalho (Work Product Management)</t>
    </r>
  </si>
  <si>
    <r>
      <rPr>
        <b/>
        <sz val="11"/>
        <color theme="1"/>
        <rFont val="Calibri"/>
        <family val="2"/>
        <scheme val="minor"/>
      </rPr>
      <t>Nível 3</t>
    </r>
    <r>
      <rPr>
        <sz val="11"/>
        <color theme="1"/>
        <rFont val="Calibri"/>
        <family val="2"/>
        <scheme val="minor"/>
      </rPr>
      <t xml:space="preserve"> - Processo Estabelecido: 
O processo gerenciado anteriormente descrito é implementado usando um processo definido que é capaz de alcançar os seus resultados de processo. 
PA3.1 – Definição de Processo (Process Definition)
PA3.2 – Implementação de Processo (Process Deployment)</t>
    </r>
  </si>
  <si>
    <r>
      <rPr>
        <b/>
        <sz val="11"/>
        <color theme="1"/>
        <rFont val="Calibri"/>
        <family val="2"/>
        <scheme val="minor"/>
      </rPr>
      <t>Nível 4</t>
    </r>
    <r>
      <rPr>
        <sz val="11"/>
        <color theme="1"/>
        <rFont val="Calibri"/>
        <family val="2"/>
        <scheme val="minor"/>
      </rPr>
      <t xml:space="preserve"> - Processo Previsível: 
O processo estabelecido anteriormente descrito opera dentro de limites definidos para alcançar seus resultados de processo.
PA4.1 – Gerenciamento do Processo (Process Management)
PA4.2 – Controle do Processo (Process Control)</t>
    </r>
  </si>
  <si>
    <r>
      <rPr>
        <b/>
        <sz val="11"/>
        <color theme="1"/>
        <rFont val="Calibri"/>
        <family val="2"/>
        <scheme val="minor"/>
      </rPr>
      <t>Nível 5</t>
    </r>
    <r>
      <rPr>
        <sz val="11"/>
        <color theme="1"/>
        <rFont val="Calibri"/>
        <family val="2"/>
        <scheme val="minor"/>
      </rPr>
      <t xml:space="preserve"> - Processo Otimizado: 
O processo previsível anteriormente descrito é continuamente melhorado para atender aos objetivos corporativos.
PA5.1 – Inovação de Processo (Process Innovation) 
PA5.2 – Otimização de Processo (Process Optimization)</t>
    </r>
  </si>
  <si>
    <t>Detalhamento:</t>
  </si>
  <si>
    <t>Status</t>
  </si>
  <si>
    <r>
      <rPr>
        <b/>
        <sz val="12"/>
        <color rgb="FF000000"/>
        <rFont val="Calibri"/>
        <family val="2"/>
        <scheme val="minor"/>
      </rPr>
      <t>Desempenho do Processo:</t>
    </r>
    <r>
      <rPr>
        <sz val="12"/>
        <color rgb="FF000000"/>
        <rFont val="Calibri"/>
        <family val="2"/>
        <scheme val="minor"/>
      </rPr>
      <t xml:space="preserve"> Avalia se o processo atinge o seu objetivo. É avaliado se as atividades básicas e os produtos de trabalho do processo são executados de alguma forma, não sendo necessária a formalização e documentação dos mesmos.  </t>
    </r>
  </si>
  <si>
    <r>
      <t xml:space="preserve">Gestão do Desempenho: </t>
    </r>
    <r>
      <rPr>
        <sz val="12"/>
        <color theme="1"/>
        <rFont val="Calibri"/>
        <family val="2"/>
        <scheme val="minor"/>
      </rPr>
      <t xml:space="preserve">Avalia se o desempenho do processo é gerenciado. Como resultado da plena realização desse atributo: </t>
    </r>
  </si>
  <si>
    <r>
      <t xml:space="preserve">Gestão dos Produtos de Trabalho: </t>
    </r>
    <r>
      <rPr>
        <sz val="12"/>
        <color theme="1"/>
        <rFont val="Calibri"/>
        <family val="2"/>
        <scheme val="minor"/>
      </rPr>
      <t>A</t>
    </r>
    <r>
      <rPr>
        <sz val="12"/>
        <color rgb="FF000000"/>
        <rFont val="Calibri"/>
        <family val="2"/>
        <scheme val="minor"/>
      </rPr>
      <t>valia se os produtos de trabalho produzido pelo processo são apropriadamente gerenciados. Como resultado da plena realização desse atributo:</t>
    </r>
  </si>
  <si>
    <r>
      <rPr>
        <b/>
        <sz val="12"/>
        <color theme="1"/>
        <rFont val="Calibri"/>
        <family val="2"/>
        <scheme val="minor"/>
      </rPr>
      <t>Definição do Processo:</t>
    </r>
    <r>
      <rPr>
        <sz val="12"/>
        <color theme="1"/>
        <rFont val="Calibri"/>
        <family val="2"/>
        <scheme val="minor"/>
      </rPr>
      <t xml:space="preserve"> busca avaliar se um processo padrão é mantido de forma que auxilie a implantação de um processo definido. Como resultado da plena realização desse atributo:</t>
    </r>
  </si>
  <si>
    <r>
      <rPr>
        <b/>
        <sz val="12"/>
        <color theme="1"/>
        <rFont val="Calibri"/>
        <family val="2"/>
        <scheme val="minor"/>
      </rPr>
      <t>Implementação do Processo:</t>
    </r>
    <r>
      <rPr>
        <sz val="12"/>
        <color theme="1"/>
        <rFont val="Calibri"/>
        <family val="2"/>
        <scheme val="minor"/>
      </rPr>
      <t xml:space="preserve"> busca avaliar se um processo padrão é eficientemente implantado como um processo definido. Como resultado da plena realização desse atributo:</t>
    </r>
  </si>
  <si>
    <r>
      <rPr>
        <b/>
        <sz val="12"/>
        <color theme="1"/>
        <rFont val="Calibri"/>
        <family val="2"/>
        <scheme val="minor"/>
      </rPr>
      <t>Gestão do Processo:</t>
    </r>
    <r>
      <rPr>
        <sz val="12"/>
        <color theme="1"/>
        <rFont val="Calibri"/>
        <family val="2"/>
        <scheme val="minor"/>
      </rPr>
      <t xml:space="preserve"> busca avaliar se resultados de medição de desempenho do processo são utilizados para garantir o atingimento de objetivos do processo, em suporte a metas de negócio. Como resultado da plena realização desse atributo:  </t>
    </r>
  </si>
  <si>
    <r>
      <rPr>
        <b/>
        <sz val="12"/>
        <color theme="1"/>
        <rFont val="Calibri"/>
        <family val="2"/>
        <scheme val="minor"/>
      </rPr>
      <t>Controle do Processo:</t>
    </r>
    <r>
      <rPr>
        <sz val="12"/>
        <color theme="1"/>
        <rFont val="Calibri"/>
        <family val="2"/>
        <scheme val="minor"/>
      </rPr>
      <t xml:space="preserve"> busca avaliar se o processo é quantitativamente gerenciado, de modo que seja estável e previsível dentro de limites preestabelecidos. Como resultado da plena realização desse atributo:</t>
    </r>
  </si>
  <si>
    <r>
      <rPr>
        <b/>
        <sz val="12"/>
        <color theme="1"/>
        <rFont val="Calibri"/>
        <family val="2"/>
        <scheme val="minor"/>
      </rPr>
      <t>Inovação do Processo:</t>
    </r>
    <r>
      <rPr>
        <sz val="12"/>
        <color theme="1"/>
        <rFont val="Calibri"/>
        <family val="2"/>
        <scheme val="minor"/>
      </rPr>
      <t xml:space="preserve"> busca avaliar se mudanças para o processo são identificadas através de análises de causas comuns de variação no desempenho e da investigação de abordagens inovadoras para a definição e implementação do processo. Como resultado da plena realização desse atributo:</t>
    </r>
  </si>
  <si>
    <r>
      <rPr>
        <b/>
        <sz val="12"/>
        <color theme="1"/>
        <rFont val="Calibri"/>
        <family val="2"/>
        <scheme val="minor"/>
      </rPr>
      <t>Otimização do Processo:</t>
    </r>
    <r>
      <rPr>
        <sz val="12"/>
        <color theme="1"/>
        <rFont val="Calibri"/>
        <family val="2"/>
        <scheme val="minor"/>
      </rPr>
      <t xml:space="preserve"> busca avaliar se mudanças em definições, gerenciamento e desempenho do processo causaram impactos efetivos no atingimento do objetivo de melhorias. Como resultado da plena realização desse atributo:</t>
    </r>
  </si>
  <si>
    <t>Valor</t>
  </si>
  <si>
    <t>Valor Atual</t>
  </si>
  <si>
    <t>Desempenho do Processo</t>
  </si>
  <si>
    <t>PA 2.1</t>
  </si>
  <si>
    <t>PA 2.2</t>
  </si>
  <si>
    <t>PA 3.2</t>
  </si>
  <si>
    <t>PA 3.1</t>
  </si>
  <si>
    <t>PA 4.1</t>
  </si>
  <si>
    <t>PA 4.2</t>
  </si>
  <si>
    <t>PA 5.1</t>
  </si>
  <si>
    <t>PA 5.2</t>
  </si>
  <si>
    <t>% Concluído</t>
  </si>
  <si>
    <t>Observações:</t>
  </si>
  <si>
    <t>Gestão do Desempenho</t>
  </si>
  <si>
    <t>Gestão dos Produtos de Trabalho</t>
  </si>
  <si>
    <t>Definição do Processo</t>
  </si>
  <si>
    <t>Implementação do Processo</t>
  </si>
  <si>
    <t>Gestão do Processo</t>
  </si>
  <si>
    <t>Controle do Processo</t>
  </si>
  <si>
    <t>Inovação do Processo</t>
  </si>
  <si>
    <t>Otimização do Processo</t>
  </si>
  <si>
    <t>Objetivo</t>
  </si>
  <si>
    <r>
      <t xml:space="preserve">N </t>
    </r>
    <r>
      <rPr>
        <sz val="12"/>
        <color theme="1"/>
        <rFont val="Calibri Light"/>
        <family val="2"/>
        <scheme val="major"/>
      </rPr>
      <t>- (Não Alcançado) - Há pouca ou nenhuma evidência de realização do atributo de processo no processo avaliado.</t>
    </r>
    <r>
      <rPr>
        <b/>
        <sz val="12"/>
        <color theme="1"/>
        <rFont val="Calibri Light"/>
        <family val="2"/>
        <scheme val="major"/>
      </rPr>
      <t xml:space="preserve">
P </t>
    </r>
    <r>
      <rPr>
        <sz val="12"/>
        <color theme="1"/>
        <rFont val="Calibri Light"/>
        <family val="2"/>
        <scheme val="major"/>
      </rPr>
      <t xml:space="preserve">- (Parcialmente alcançado) - Há alguma evidência de realização do atributo de processo no processo avaliado. Alguns aspectos da realização do atributo podem ser imprevisíveis. </t>
    </r>
    <r>
      <rPr>
        <b/>
        <sz val="12"/>
        <color theme="1"/>
        <rFont val="Calibri Light"/>
        <family val="2"/>
        <scheme val="major"/>
      </rPr>
      <t xml:space="preserve">
A  </t>
    </r>
    <r>
      <rPr>
        <sz val="12"/>
        <color theme="1"/>
        <rFont val="Calibri Light"/>
        <family val="2"/>
        <scheme val="major"/>
      </rPr>
      <t xml:space="preserve">- (Amplamente alcançado) - Há evidências de uma realização significativa do atributo de processo no processo avaliado. Algumas fraquezas relacionadas a este atributo podem existir no processo avaliado. </t>
    </r>
    <r>
      <rPr>
        <b/>
        <sz val="12"/>
        <color theme="1"/>
        <rFont val="Calibri Light"/>
        <family val="2"/>
        <scheme val="major"/>
      </rPr>
      <t xml:space="preserve">
T </t>
    </r>
    <r>
      <rPr>
        <sz val="12"/>
        <color theme="1"/>
        <rFont val="Calibri Light"/>
        <family val="2"/>
        <scheme val="major"/>
      </rPr>
      <t>- (Totalmente alcançado) - Há evidências de uma realização completa do atributo de processo no processo avaliado.  Não há deficiências significativas associadas a este atributo no processo avaliado.</t>
    </r>
  </si>
  <si>
    <t>Legenda (Status)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</si>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</sst>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0.1490218817712943"/>
        </stop>
      </gradient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/>
    </xf>
    <xf numFmtId="10" fontId="7" fillId="0" borderId="11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wrapText="1"/>
    </xf>
    <xf numFmtId="2" fontId="9" fillId="0" borderId="8" xfId="0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2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0" fontId="10" fillId="0" borderId="1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wrapText="1"/>
    </xf>
    <xf numFmtId="2" fontId="10" fillId="0" borderId="7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wrapText="1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2" fontId="10" fillId="0" borderId="23" xfId="0" applyNumberFormat="1" applyFont="1" applyBorder="1" applyAlignment="1">
      <alignment horizontal="center" vertical="center"/>
    </xf>
    <xf numFmtId="0" fontId="10" fillId="0" borderId="2" xfId="0" applyFont="1" applyFill="1" applyBorder="1" applyAlignment="1">
      <alignment wrapText="1"/>
    </xf>
    <xf numFmtId="2" fontId="7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wrapText="1"/>
    </xf>
    <xf numFmtId="0" fontId="10" fillId="0" borderId="7" xfId="0" applyFont="1" applyFill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10" fontId="10" fillId="0" borderId="22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wrapText="1"/>
    </xf>
    <xf numFmtId="10" fontId="10" fillId="0" borderId="5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5" xfId="0" applyNumberFormat="1" applyFont="1" applyBorder="1" applyAlignment="1" applyProtection="1">
      <alignment horizontal="center" vertical="center"/>
      <protection locked="0"/>
    </xf>
    <xf numFmtId="1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5" fillId="2" borderId="0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  <protection locked="0"/>
    </xf>
    <xf numFmtId="0" fontId="2" fillId="2" borderId="24" xfId="0" applyFont="1" applyFill="1" applyBorder="1" applyAlignment="1" applyProtection="1">
      <alignment horizontal="center" vertical="center" wrapText="1"/>
      <protection locked="0"/>
    </xf>
    <xf numFmtId="10" fontId="7" fillId="0" borderId="14" xfId="0" applyNumberFormat="1" applyFont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0" fontId="7" fillId="0" borderId="18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582707</xdr:colOff>
      <xdr:row>0</xdr:row>
      <xdr:rowOff>119379</xdr:rowOff>
    </xdr:from>
    <xdr:to>
      <xdr:col>19</xdr:col>
      <xdr:colOff>88899</xdr:colOff>
      <xdr:row>4</xdr:row>
      <xdr:rowOff>98636</xdr:rowOff>
    </xdr:to>
    <xdr:pic>
      <xdr:nvPicPr>
        <xdr:cNvPr id="3" name="Imagem 2" descr="http://static.wixstatic.com/media/f6f17c_c391bc643597d982af83383799c61f90.png_srz_210_90_85_22_0.50_1.20_0.00_png_srz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6307" y="119379"/>
          <a:ext cx="1723612" cy="710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6"/>
  <sheetViews>
    <sheetView showGridLines="0" tabSelected="1" zoomScaleNormal="100" workbookViewId="0">
      <selection activeCell="E27" sqref="E27"/>
    </sheetView>
  </sheetViews>
  <sheetFormatPr defaultRowHeight="14.4" x14ac:dyDescent="0.3"/>
  <cols>
    <col min="1" max="1" width="8.77734375" customWidth="1"/>
    <col min="2" max="4" width="10.77734375" customWidth="1"/>
    <col min="13" max="20" width="10.77734375" customWidth="1"/>
    <col min="21" max="21" width="8.77734375" customWidth="1"/>
  </cols>
  <sheetData>
    <row r="1" spans="2:20" ht="14.4" customHeight="1" x14ac:dyDescent="0.3">
      <c r="B1" s="51" t="s">
        <v>51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2:20" ht="14.4" customHeight="1" x14ac:dyDescent="0.3"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2:20" ht="14.4" customHeight="1" x14ac:dyDescent="0.3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</row>
    <row r="4" spans="2:20" ht="14.4" customHeight="1" x14ac:dyDescent="0.3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</row>
    <row r="5" spans="2:20" ht="14.4" customHeight="1" x14ac:dyDescent="0.3"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</row>
    <row r="6" spans="2:20" ht="14.4" customHeight="1" x14ac:dyDescent="0.3">
      <c r="B6" s="49" t="str">
        <f>IF(AND(Avaliação!G4&gt;=0,Avaliação!G4&lt;=0.99),Resultados!B2,IF(AND(Avaliação!G4&gt;=1,Avaliação!G4&lt;=1.99),Resultados!B3,IF(AND(Avaliação!G4&gt;=2,Avaliação!G4&lt;=2.99),Resultados!B4,IF(AND(Avaliação!G4&gt;=3,Avaliação!G4&lt;=3.99),Resultados!B5,IF(AND(Avaliação!G4&gt;=4,Avaliação!G4&lt;=4.99),Resultados!B6,IF(AND(Avaliação!G4&gt;=5,Avaliação!G4&lt;=5.99),Resultados!B7,"Erro! Confira a pontuação e tente novamente."))))))</f>
        <v>Nível 0 - Processo Incompleto: 
O processo não foi implementado ou não atingiu seu objetivo. 
Nesse nível, há pouca ou nenhuma evidência de realização sistemática da finalidade do processo.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</row>
    <row r="7" spans="2:20" ht="14.4" customHeight="1" x14ac:dyDescent="0.3"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2:20" ht="14.4" customHeight="1" x14ac:dyDescent="0.3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2:20" ht="14.4" customHeight="1" x14ac:dyDescent="0.3"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</row>
    <row r="10" spans="2:20" ht="14.4" customHeight="1" x14ac:dyDescent="0.3"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2:20" x14ac:dyDescent="0.3">
      <c r="B11" s="43" t="s">
        <v>58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2:20" ht="15.6" x14ac:dyDescent="0.3">
      <c r="B12" s="48" t="s">
        <v>50</v>
      </c>
      <c r="C12" s="48"/>
      <c r="D12" s="48"/>
      <c r="E12" s="48" t="s">
        <v>1</v>
      </c>
      <c r="F12" s="48"/>
      <c r="G12" s="48"/>
      <c r="H12" s="48"/>
      <c r="I12" s="48"/>
      <c r="J12" s="48"/>
      <c r="K12" s="48"/>
      <c r="L12" s="48"/>
      <c r="M12" s="48" t="s">
        <v>70</v>
      </c>
      <c r="N12" s="48"/>
      <c r="O12" s="48" t="s">
        <v>90</v>
      </c>
      <c r="P12" s="48"/>
      <c r="Q12" s="48" t="s">
        <v>80</v>
      </c>
      <c r="R12" s="48"/>
      <c r="S12" s="48" t="s">
        <v>59</v>
      </c>
      <c r="T12" s="48"/>
    </row>
    <row r="13" spans="2:20" ht="15.6" x14ac:dyDescent="0.3">
      <c r="B13" s="42" t="s">
        <v>0</v>
      </c>
      <c r="C13" s="42"/>
      <c r="D13" s="42"/>
      <c r="E13" s="45" t="s">
        <v>71</v>
      </c>
      <c r="F13" s="45"/>
      <c r="G13" s="45"/>
      <c r="H13" s="45"/>
      <c r="I13" s="45"/>
      <c r="J13" s="45"/>
      <c r="K13" s="45"/>
      <c r="L13" s="45"/>
      <c r="M13" s="46">
        <f>Avaliação!G5*100</f>
        <v>0</v>
      </c>
      <c r="N13" s="46"/>
      <c r="O13" s="42">
        <v>100</v>
      </c>
      <c r="P13" s="42"/>
      <c r="Q13" s="41">
        <f>Avaliação!B7</f>
        <v>0</v>
      </c>
      <c r="R13" s="42"/>
      <c r="S13" s="47" t="str">
        <f>Avaliação!D5</f>
        <v>Incompleto</v>
      </c>
      <c r="T13" s="47"/>
    </row>
    <row r="14" spans="2:20" ht="15.6" x14ac:dyDescent="0.3">
      <c r="B14" s="42" t="s">
        <v>72</v>
      </c>
      <c r="C14" s="42"/>
      <c r="D14" s="42"/>
      <c r="E14" s="45" t="s">
        <v>82</v>
      </c>
      <c r="F14" s="45"/>
      <c r="G14" s="45"/>
      <c r="H14" s="45"/>
      <c r="I14" s="45"/>
      <c r="J14" s="45"/>
      <c r="K14" s="45"/>
      <c r="L14" s="45"/>
      <c r="M14" s="46">
        <f>Avaliação!G8*100</f>
        <v>0</v>
      </c>
      <c r="N14" s="46"/>
      <c r="O14" s="42">
        <v>50</v>
      </c>
      <c r="P14" s="42"/>
      <c r="Q14" s="41">
        <f>Avaliação!B13</f>
        <v>0</v>
      </c>
      <c r="R14" s="42"/>
      <c r="S14" s="42" t="str">
        <f>Avaliação!D8</f>
        <v>Incompleto</v>
      </c>
      <c r="T14" s="42"/>
    </row>
    <row r="15" spans="2:20" ht="15.6" x14ac:dyDescent="0.3">
      <c r="B15" s="42" t="s">
        <v>73</v>
      </c>
      <c r="C15" s="42"/>
      <c r="D15" s="42"/>
      <c r="E15" s="45" t="s">
        <v>83</v>
      </c>
      <c r="F15" s="45"/>
      <c r="G15" s="45"/>
      <c r="H15" s="45"/>
      <c r="I15" s="45"/>
      <c r="J15" s="45"/>
      <c r="K15" s="45"/>
      <c r="L15" s="45"/>
      <c r="M15" s="46">
        <f>Avaliação!G14*100</f>
        <v>0</v>
      </c>
      <c r="N15" s="46"/>
      <c r="O15" s="42">
        <v>50</v>
      </c>
      <c r="P15" s="42"/>
      <c r="Q15" s="41">
        <f>Avaliação!B18</f>
        <v>0</v>
      </c>
      <c r="R15" s="42"/>
      <c r="S15" s="42" t="str">
        <f>Avaliação!D14</f>
        <v>Incompleto</v>
      </c>
      <c r="T15" s="42"/>
    </row>
    <row r="16" spans="2:20" ht="15.6" x14ac:dyDescent="0.3">
      <c r="B16" s="42" t="s">
        <v>75</v>
      </c>
      <c r="C16" s="42"/>
      <c r="D16" s="42"/>
      <c r="E16" s="45" t="s">
        <v>84</v>
      </c>
      <c r="F16" s="45"/>
      <c r="G16" s="45"/>
      <c r="H16" s="45"/>
      <c r="I16" s="45"/>
      <c r="J16" s="45"/>
      <c r="K16" s="45"/>
      <c r="L16" s="45"/>
      <c r="M16" s="46">
        <f>Avaliação!G19*100</f>
        <v>0</v>
      </c>
      <c r="N16" s="46"/>
      <c r="O16" s="42">
        <v>50</v>
      </c>
      <c r="P16" s="42"/>
      <c r="Q16" s="41">
        <f>Avaliação!B24</f>
        <v>0</v>
      </c>
      <c r="R16" s="42"/>
      <c r="S16" s="42" t="str">
        <f>Avaliação!D19</f>
        <v>Incompleto</v>
      </c>
      <c r="T16" s="42"/>
    </row>
    <row r="17" spans="2:20" ht="15.6" x14ac:dyDescent="0.3">
      <c r="B17" s="42" t="s">
        <v>74</v>
      </c>
      <c r="C17" s="42"/>
      <c r="D17" s="42"/>
      <c r="E17" s="45" t="s">
        <v>85</v>
      </c>
      <c r="F17" s="45"/>
      <c r="G17" s="45"/>
      <c r="H17" s="45"/>
      <c r="I17" s="45"/>
      <c r="J17" s="45"/>
      <c r="K17" s="45"/>
      <c r="L17" s="45"/>
      <c r="M17" s="46">
        <f>Avaliação!G25*100</f>
        <v>0</v>
      </c>
      <c r="N17" s="46"/>
      <c r="O17" s="42">
        <v>50</v>
      </c>
      <c r="P17" s="42"/>
      <c r="Q17" s="41">
        <f>Avaliação!B31</f>
        <v>0</v>
      </c>
      <c r="R17" s="42"/>
      <c r="S17" s="41" t="str">
        <f>Avaliação!D25</f>
        <v>Incompleto</v>
      </c>
      <c r="T17" s="42"/>
    </row>
    <row r="18" spans="2:20" ht="15.6" x14ac:dyDescent="0.3">
      <c r="B18" s="42" t="s">
        <v>76</v>
      </c>
      <c r="C18" s="42"/>
      <c r="D18" s="42"/>
      <c r="E18" s="45" t="s">
        <v>86</v>
      </c>
      <c r="F18" s="45"/>
      <c r="G18" s="45"/>
      <c r="H18" s="45"/>
      <c r="I18" s="45"/>
      <c r="J18" s="45"/>
      <c r="K18" s="45"/>
      <c r="L18" s="45"/>
      <c r="M18" s="46">
        <f>Avaliação!G32*100</f>
        <v>0</v>
      </c>
      <c r="N18" s="46"/>
      <c r="O18" s="42">
        <v>50</v>
      </c>
      <c r="P18" s="42"/>
      <c r="Q18" s="41">
        <f>Avaliação!B37</f>
        <v>0</v>
      </c>
      <c r="R18" s="42"/>
      <c r="S18" s="41" t="str">
        <f>Avaliação!D32</f>
        <v>Incompleto</v>
      </c>
      <c r="T18" s="42"/>
    </row>
    <row r="19" spans="2:20" ht="15.6" x14ac:dyDescent="0.3">
      <c r="B19" s="42" t="s">
        <v>77</v>
      </c>
      <c r="C19" s="42"/>
      <c r="D19" s="42"/>
      <c r="E19" s="45" t="s">
        <v>87</v>
      </c>
      <c r="F19" s="45"/>
      <c r="G19" s="45"/>
      <c r="H19" s="45"/>
      <c r="I19" s="45"/>
      <c r="J19" s="45"/>
      <c r="K19" s="45"/>
      <c r="L19" s="45"/>
      <c r="M19" s="46">
        <f>Avaliação!G38*100</f>
        <v>0</v>
      </c>
      <c r="N19" s="46"/>
      <c r="O19" s="42">
        <v>50</v>
      </c>
      <c r="P19" s="42"/>
      <c r="Q19" s="41">
        <f>Avaliação!B42</f>
        <v>0</v>
      </c>
      <c r="R19" s="42"/>
      <c r="S19" s="42" t="str">
        <f>Avaliação!D38</f>
        <v>Incompleto</v>
      </c>
      <c r="T19" s="42"/>
    </row>
    <row r="20" spans="2:20" ht="15.6" x14ac:dyDescent="0.3">
      <c r="B20" s="42" t="s">
        <v>78</v>
      </c>
      <c r="C20" s="42"/>
      <c r="D20" s="42"/>
      <c r="E20" s="45" t="s">
        <v>88</v>
      </c>
      <c r="F20" s="45"/>
      <c r="G20" s="45"/>
      <c r="H20" s="45"/>
      <c r="I20" s="45"/>
      <c r="J20" s="45"/>
      <c r="K20" s="45"/>
      <c r="L20" s="45"/>
      <c r="M20" s="46">
        <f>Avaliação!G43*100</f>
        <v>0</v>
      </c>
      <c r="N20" s="46"/>
      <c r="O20" s="42">
        <v>50</v>
      </c>
      <c r="P20" s="42"/>
      <c r="Q20" s="41">
        <f>Avaliação!B48</f>
        <v>0</v>
      </c>
      <c r="R20" s="42"/>
      <c r="S20" s="41" t="str">
        <f>Avaliação!D43</f>
        <v>Incompleto</v>
      </c>
      <c r="T20" s="42"/>
    </row>
    <row r="21" spans="2:20" ht="15.6" x14ac:dyDescent="0.3">
      <c r="B21" s="42" t="s">
        <v>79</v>
      </c>
      <c r="C21" s="42"/>
      <c r="D21" s="42"/>
      <c r="E21" s="45" t="s">
        <v>89</v>
      </c>
      <c r="F21" s="45"/>
      <c r="G21" s="45"/>
      <c r="H21" s="45"/>
      <c r="I21" s="45"/>
      <c r="J21" s="45"/>
      <c r="K21" s="45"/>
      <c r="L21" s="45"/>
      <c r="M21" s="46">
        <f>Avaliação!G49*100</f>
        <v>0</v>
      </c>
      <c r="N21" s="46"/>
      <c r="O21" s="42">
        <v>50</v>
      </c>
      <c r="P21" s="42"/>
      <c r="Q21" s="41">
        <f>Avaliação!B52</f>
        <v>0</v>
      </c>
      <c r="R21" s="41"/>
      <c r="S21" s="41" t="str">
        <f>Avaliação!D49</f>
        <v>Incompleto</v>
      </c>
      <c r="T21" s="42"/>
    </row>
    <row r="22" spans="2:20" x14ac:dyDescent="0.3">
      <c r="B22" s="43" t="s">
        <v>81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2:20" x14ac:dyDescent="0.3"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spans="2:20" x14ac:dyDescent="0.3"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 spans="2:20" x14ac:dyDescent="0.3"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2:20" x14ac:dyDescent="0.3"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</row>
  </sheetData>
  <sheetProtection algorithmName="SHA-512" hashValue="IsQ6oVdPGli5KQj1m1RzjTxL/Yz3TqhUMCEPk01fsGwYDqh09rsIY9hmgP+cxUX6meA2Y7u5KaodVKEBXy+aRw==" saltValue="gv1eVU9tt+nW1ifKMj0s2Q==" spinCount="100000" sheet="1" objects="1" scenarios="1"/>
  <mergeCells count="65">
    <mergeCell ref="B6:T10"/>
    <mergeCell ref="B11:T11"/>
    <mergeCell ref="M12:N12"/>
    <mergeCell ref="S12:T12"/>
    <mergeCell ref="B1:T5"/>
    <mergeCell ref="Q12:R12"/>
    <mergeCell ref="B19:D19"/>
    <mergeCell ref="E19:L19"/>
    <mergeCell ref="B21:D21"/>
    <mergeCell ref="E21:L21"/>
    <mergeCell ref="O12:P12"/>
    <mergeCell ref="B12:D12"/>
    <mergeCell ref="E12:L12"/>
    <mergeCell ref="B13:D13"/>
    <mergeCell ref="E13:L13"/>
    <mergeCell ref="B15:D15"/>
    <mergeCell ref="E15:L15"/>
    <mergeCell ref="B14:D14"/>
    <mergeCell ref="E14:L14"/>
    <mergeCell ref="Q14:R14"/>
    <mergeCell ref="S14:T14"/>
    <mergeCell ref="M13:N13"/>
    <mergeCell ref="M14:N14"/>
    <mergeCell ref="O13:P13"/>
    <mergeCell ref="O14:P14"/>
    <mergeCell ref="S13:T13"/>
    <mergeCell ref="Q13:R13"/>
    <mergeCell ref="B16:D16"/>
    <mergeCell ref="E16:L16"/>
    <mergeCell ref="Q16:R16"/>
    <mergeCell ref="S16:T16"/>
    <mergeCell ref="M15:N15"/>
    <mergeCell ref="M16:N16"/>
    <mergeCell ref="O15:P15"/>
    <mergeCell ref="O16:P16"/>
    <mergeCell ref="S15:T15"/>
    <mergeCell ref="Q15:R15"/>
    <mergeCell ref="S17:T17"/>
    <mergeCell ref="B18:D18"/>
    <mergeCell ref="E18:L18"/>
    <mergeCell ref="Q18:R18"/>
    <mergeCell ref="S18:T18"/>
    <mergeCell ref="O17:P17"/>
    <mergeCell ref="O18:P18"/>
    <mergeCell ref="M17:N17"/>
    <mergeCell ref="M18:N18"/>
    <mergeCell ref="Q17:R17"/>
    <mergeCell ref="B17:D17"/>
    <mergeCell ref="E17:L17"/>
    <mergeCell ref="Q21:R21"/>
    <mergeCell ref="S21:T21"/>
    <mergeCell ref="B22:T22"/>
    <mergeCell ref="B23:T26"/>
    <mergeCell ref="Q19:R19"/>
    <mergeCell ref="S19:T19"/>
    <mergeCell ref="B20:D20"/>
    <mergeCell ref="E20:L20"/>
    <mergeCell ref="Q20:R20"/>
    <mergeCell ref="S20:T20"/>
    <mergeCell ref="O19:P19"/>
    <mergeCell ref="O20:P20"/>
    <mergeCell ref="O21:P21"/>
    <mergeCell ref="M19:N19"/>
    <mergeCell ref="M20:N20"/>
    <mergeCell ref="M21:N2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showGridLines="0" zoomScaleNormal="100" workbookViewId="0">
      <pane ySplit="2" topLeftCell="A3" activePane="bottomLeft" state="frozen"/>
      <selection pane="bottomLeft" activeCell="H3" sqref="H3"/>
    </sheetView>
  </sheetViews>
  <sheetFormatPr defaultRowHeight="14.4" x14ac:dyDescent="0.3"/>
  <cols>
    <col min="1" max="1" width="10.5546875" customWidth="1"/>
    <col min="2" max="2" width="12.77734375" style="2" customWidth="1"/>
    <col min="3" max="3" width="122" style="1" customWidth="1"/>
    <col min="4" max="4" width="12.77734375" style="2" customWidth="1"/>
    <col min="5" max="5" width="12.77734375" style="4" customWidth="1"/>
    <col min="6" max="7" width="12.77734375" style="3" customWidth="1"/>
    <col min="8" max="8" width="10.5546875" customWidth="1"/>
  </cols>
  <sheetData>
    <row r="1" spans="2:7" ht="15.6" x14ac:dyDescent="0.3">
      <c r="B1" s="56" t="s">
        <v>92</v>
      </c>
      <c r="C1" s="56"/>
      <c r="D1" s="56"/>
      <c r="E1" s="56"/>
      <c r="F1" s="56"/>
      <c r="G1" s="56"/>
    </row>
    <row r="2" spans="2:7" ht="69.599999999999994" customHeight="1" x14ac:dyDescent="0.3">
      <c r="B2" s="55" t="s">
        <v>91</v>
      </c>
      <c r="C2" s="55"/>
      <c r="D2" s="55"/>
      <c r="E2" s="55"/>
      <c r="F2" s="55"/>
      <c r="G2" s="55"/>
    </row>
    <row r="3" spans="2:7" ht="15" thickBot="1" x14ac:dyDescent="0.35"/>
    <row r="4" spans="2:7" ht="16.2" thickBot="1" x14ac:dyDescent="0.35">
      <c r="B4" s="6" t="s">
        <v>50</v>
      </c>
      <c r="C4" s="7" t="s">
        <v>1</v>
      </c>
      <c r="D4" s="8" t="s">
        <v>59</v>
      </c>
      <c r="E4" s="9" t="s">
        <v>49</v>
      </c>
      <c r="F4" s="10" t="s">
        <v>69</v>
      </c>
      <c r="G4" s="11">
        <f>SUM(F5,F8,F14,F19,F25,F32,F38,F43,F49)</f>
        <v>0</v>
      </c>
    </row>
    <row r="5" spans="2:7" ht="31.2" x14ac:dyDescent="0.3">
      <c r="B5" s="57" t="s">
        <v>0</v>
      </c>
      <c r="C5" s="12" t="s">
        <v>60</v>
      </c>
      <c r="D5" s="66" t="str">
        <f>IF(G6+G7=1,"OK","Incompleto")</f>
        <v>Incompleto</v>
      </c>
      <c r="E5" s="67"/>
      <c r="F5" s="13">
        <f>IF(AND(G6+G7=1),1,0)</f>
        <v>0</v>
      </c>
      <c r="G5" s="14">
        <f>SUM(G6:G7)</f>
        <v>0</v>
      </c>
    </row>
    <row r="6" spans="2:7" ht="15.6" x14ac:dyDescent="0.3">
      <c r="B6" s="58"/>
      <c r="C6" s="15" t="s">
        <v>5</v>
      </c>
      <c r="D6" s="39" t="s">
        <v>93</v>
      </c>
      <c r="E6" s="17">
        <f t="shared" ref="E6:E7" si="0">IF(AND(D6="N"),0%,IF(AND(D6="P"),30%,IF(AND(D6="A"),65%,IF(AND(D6="T"),100%,0%))))</f>
        <v>0</v>
      </c>
      <c r="F6" s="16">
        <v>0.5</v>
      </c>
      <c r="G6" s="18">
        <f>E6*F6</f>
        <v>0</v>
      </c>
    </row>
    <row r="7" spans="2:7" ht="16.2" thickBot="1" x14ac:dyDescent="0.35">
      <c r="B7" s="19">
        <f>AVERAGE(E6:E7)</f>
        <v>0</v>
      </c>
      <c r="C7" s="20" t="s">
        <v>4</v>
      </c>
      <c r="D7" s="39" t="s">
        <v>93</v>
      </c>
      <c r="E7" s="17">
        <f t="shared" si="0"/>
        <v>0</v>
      </c>
      <c r="F7" s="21">
        <v>0.5</v>
      </c>
      <c r="G7" s="18">
        <f>E7*F7</f>
        <v>0</v>
      </c>
    </row>
    <row r="8" spans="2:7" ht="31.2" x14ac:dyDescent="0.3">
      <c r="B8" s="57" t="s">
        <v>2</v>
      </c>
      <c r="C8" s="22" t="s">
        <v>61</v>
      </c>
      <c r="D8" s="63" t="str">
        <f>IF(G9+G10+G11+G12+G13=0.5,"OK","Incompleto")</f>
        <v>Incompleto</v>
      </c>
      <c r="E8" s="64"/>
      <c r="F8" s="23">
        <f>IF(AND(F5=1,G9+G10+G11+G12+G13=0.5),0.5,0)</f>
        <v>0</v>
      </c>
      <c r="G8" s="24">
        <f>SUM(G9:G13)</f>
        <v>0</v>
      </c>
    </row>
    <row r="9" spans="2:7" ht="15.6" x14ac:dyDescent="0.3">
      <c r="B9" s="58"/>
      <c r="C9" s="15" t="s">
        <v>3</v>
      </c>
      <c r="D9" s="39" t="s">
        <v>93</v>
      </c>
      <c r="E9" s="17">
        <f t="shared" ref="E9:E13" si="1">IF(AND(D9="N"),0%,IF(AND(D9="P"),30%,IF(AND(D9="A"),65%,IF(AND(D9="T"),100%,0%))))</f>
        <v>0</v>
      </c>
      <c r="F9" s="16">
        <v>0.1</v>
      </c>
      <c r="G9" s="18">
        <f t="shared" ref="G9:G52" si="2">E9*F9</f>
        <v>0</v>
      </c>
    </row>
    <row r="10" spans="2:7" ht="15.6" x14ac:dyDescent="0.3">
      <c r="B10" s="58"/>
      <c r="C10" s="15" t="s">
        <v>6</v>
      </c>
      <c r="D10" s="39" t="s">
        <v>93</v>
      </c>
      <c r="E10" s="17">
        <f t="shared" si="1"/>
        <v>0</v>
      </c>
      <c r="F10" s="16">
        <v>0.1</v>
      </c>
      <c r="G10" s="18">
        <f t="shared" si="2"/>
        <v>0</v>
      </c>
    </row>
    <row r="11" spans="2:7" ht="15.6" x14ac:dyDescent="0.3">
      <c r="B11" s="58"/>
      <c r="C11" s="15" t="s">
        <v>7</v>
      </c>
      <c r="D11" s="39" t="s">
        <v>93</v>
      </c>
      <c r="E11" s="17">
        <f t="shared" si="1"/>
        <v>0</v>
      </c>
      <c r="F11" s="16">
        <v>0.1</v>
      </c>
      <c r="G11" s="18">
        <f t="shared" si="2"/>
        <v>0</v>
      </c>
    </row>
    <row r="12" spans="2:7" ht="15.6" x14ac:dyDescent="0.3">
      <c r="B12" s="58"/>
      <c r="C12" s="15" t="s">
        <v>17</v>
      </c>
      <c r="D12" s="39" t="s">
        <v>93</v>
      </c>
      <c r="E12" s="17">
        <f t="shared" si="1"/>
        <v>0</v>
      </c>
      <c r="F12" s="16">
        <v>0.1</v>
      </c>
      <c r="G12" s="18">
        <f t="shared" si="2"/>
        <v>0</v>
      </c>
    </row>
    <row r="13" spans="2:7" ht="31.8" thickBot="1" x14ac:dyDescent="0.35">
      <c r="B13" s="19">
        <f>AVERAGE(E9:E13)</f>
        <v>0</v>
      </c>
      <c r="C13" s="20" t="s">
        <v>8</v>
      </c>
      <c r="D13" s="39" t="s">
        <v>93</v>
      </c>
      <c r="E13" s="17">
        <f t="shared" si="1"/>
        <v>0</v>
      </c>
      <c r="F13" s="21">
        <v>0.1</v>
      </c>
      <c r="G13" s="18">
        <f t="shared" si="2"/>
        <v>0</v>
      </c>
    </row>
    <row r="14" spans="2:7" ht="31.2" x14ac:dyDescent="0.3">
      <c r="B14" s="57" t="s">
        <v>9</v>
      </c>
      <c r="C14" s="22" t="s">
        <v>62</v>
      </c>
      <c r="D14" s="63" t="str">
        <f>IF(G15+G16+G17+G18=0.5,"OK","Incompleto")</f>
        <v>Incompleto</v>
      </c>
      <c r="E14" s="64"/>
      <c r="F14" s="23">
        <f>IF(AND(F5=1,G15+G16+G17+G18=0.5),0.5,0)</f>
        <v>0</v>
      </c>
      <c r="G14" s="24">
        <f>SUM(G15:G18)</f>
        <v>0</v>
      </c>
    </row>
    <row r="15" spans="2:7" ht="15.6" x14ac:dyDescent="0.3">
      <c r="B15" s="58"/>
      <c r="C15" s="15" t="s">
        <v>10</v>
      </c>
      <c r="D15" s="39" t="s">
        <v>93</v>
      </c>
      <c r="E15" s="17">
        <f t="shared" ref="E15:E18" si="3">IF(AND(D15="N"),0%,IF(AND(D15="P"),30%,IF(AND(D15="A"),65%,IF(AND(D15="T"),100%,0%))))</f>
        <v>0</v>
      </c>
      <c r="F15" s="16">
        <v>0.12</v>
      </c>
      <c r="G15" s="18">
        <f t="shared" si="2"/>
        <v>0</v>
      </c>
    </row>
    <row r="16" spans="2:7" ht="15.6" x14ac:dyDescent="0.3">
      <c r="B16" s="58"/>
      <c r="C16" s="25" t="s">
        <v>11</v>
      </c>
      <c r="D16" s="39" t="s">
        <v>93</v>
      </c>
      <c r="E16" s="17">
        <f t="shared" si="3"/>
        <v>0</v>
      </c>
      <c r="F16" s="16">
        <v>0.13</v>
      </c>
      <c r="G16" s="18">
        <f t="shared" si="2"/>
        <v>0</v>
      </c>
    </row>
    <row r="17" spans="2:7" ht="15.6" x14ac:dyDescent="0.3">
      <c r="B17" s="58"/>
      <c r="C17" s="15" t="s">
        <v>13</v>
      </c>
      <c r="D17" s="39" t="s">
        <v>93</v>
      </c>
      <c r="E17" s="17">
        <f t="shared" si="3"/>
        <v>0</v>
      </c>
      <c r="F17" s="16">
        <v>0.12</v>
      </c>
      <c r="G17" s="18">
        <f t="shared" si="2"/>
        <v>0</v>
      </c>
    </row>
    <row r="18" spans="2:7" ht="31.8" thickBot="1" x14ac:dyDescent="0.35">
      <c r="B18" s="19">
        <f>AVERAGE(E15:E18)</f>
        <v>0</v>
      </c>
      <c r="C18" s="20" t="s">
        <v>12</v>
      </c>
      <c r="D18" s="39" t="s">
        <v>93</v>
      </c>
      <c r="E18" s="17">
        <f t="shared" si="3"/>
        <v>0</v>
      </c>
      <c r="F18" s="21">
        <v>0.13</v>
      </c>
      <c r="G18" s="26">
        <f t="shared" si="2"/>
        <v>0</v>
      </c>
    </row>
    <row r="19" spans="2:7" ht="31.2" x14ac:dyDescent="0.3">
      <c r="B19" s="57" t="s">
        <v>14</v>
      </c>
      <c r="C19" s="27" t="s">
        <v>63</v>
      </c>
      <c r="D19" s="61" t="str">
        <f>IF(G20+G21+G22+G23+G24=0.5,"OK","Incompleto")</f>
        <v>Incompleto</v>
      </c>
      <c r="E19" s="62"/>
      <c r="F19" s="28">
        <f>IF(AND(F5=1,F8=0.5,F14=0.5,G20+G21+G22+G23+G24=0.5),0.5,0)</f>
        <v>0</v>
      </c>
      <c r="G19" s="24">
        <f>SUM(G20:G24)</f>
        <v>0</v>
      </c>
    </row>
    <row r="20" spans="2:7" ht="31.2" x14ac:dyDescent="0.3">
      <c r="B20" s="58"/>
      <c r="C20" s="15" t="s">
        <v>15</v>
      </c>
      <c r="D20" s="39" t="s">
        <v>93</v>
      </c>
      <c r="E20" s="17">
        <f t="shared" ref="E20:E24" si="4">IF(AND(D20="N"),0%,IF(AND(D20="P"),30%,IF(AND(D20="A"),65%,IF(AND(D20="T"),100%,0%))))</f>
        <v>0</v>
      </c>
      <c r="F20" s="16">
        <v>0.1</v>
      </c>
      <c r="G20" s="18">
        <f t="shared" si="2"/>
        <v>0</v>
      </c>
    </row>
    <row r="21" spans="2:7" ht="15.6" x14ac:dyDescent="0.3">
      <c r="B21" s="58"/>
      <c r="C21" s="29" t="s">
        <v>16</v>
      </c>
      <c r="D21" s="39" t="s">
        <v>93</v>
      </c>
      <c r="E21" s="17">
        <f t="shared" si="4"/>
        <v>0</v>
      </c>
      <c r="F21" s="16">
        <v>0.1</v>
      </c>
      <c r="G21" s="18">
        <f t="shared" si="2"/>
        <v>0</v>
      </c>
    </row>
    <row r="22" spans="2:7" ht="15.6" x14ac:dyDescent="0.3">
      <c r="B22" s="58"/>
      <c r="C22" s="29" t="s">
        <v>18</v>
      </c>
      <c r="D22" s="39" t="s">
        <v>93</v>
      </c>
      <c r="E22" s="17">
        <f t="shared" si="4"/>
        <v>0</v>
      </c>
      <c r="F22" s="16">
        <v>0.1</v>
      </c>
      <c r="G22" s="18">
        <f t="shared" si="2"/>
        <v>0</v>
      </c>
    </row>
    <row r="23" spans="2:7" ht="15.6" x14ac:dyDescent="0.3">
      <c r="B23" s="58"/>
      <c r="C23" s="29" t="s">
        <v>19</v>
      </c>
      <c r="D23" s="39" t="s">
        <v>93</v>
      </c>
      <c r="E23" s="17">
        <f t="shared" si="4"/>
        <v>0</v>
      </c>
      <c r="F23" s="16">
        <v>0.1</v>
      </c>
      <c r="G23" s="18">
        <f t="shared" si="2"/>
        <v>0</v>
      </c>
    </row>
    <row r="24" spans="2:7" ht="16.2" thickBot="1" x14ac:dyDescent="0.35">
      <c r="B24" s="19">
        <f>AVERAGE(E20:E24)</f>
        <v>0</v>
      </c>
      <c r="C24" s="30" t="s">
        <v>20</v>
      </c>
      <c r="D24" s="39" t="s">
        <v>93</v>
      </c>
      <c r="E24" s="17">
        <f t="shared" si="4"/>
        <v>0</v>
      </c>
      <c r="F24" s="21">
        <v>0.1</v>
      </c>
      <c r="G24" s="26">
        <f t="shared" si="2"/>
        <v>0</v>
      </c>
    </row>
    <row r="25" spans="2:7" ht="31.2" x14ac:dyDescent="0.3">
      <c r="B25" s="57" t="s">
        <v>21</v>
      </c>
      <c r="C25" s="31" t="s">
        <v>64</v>
      </c>
      <c r="D25" s="53" t="str">
        <f>IF(G26+G27+G28+G29+G30+G31=0.5,"OK","Incompleto")</f>
        <v>Incompleto</v>
      </c>
      <c r="E25" s="54"/>
      <c r="F25" s="28">
        <f>IF(AND(F5=1,F8=0.5,F14=0.5,G26+G27+G28+G29+G30+G31=0.5),0.5,0)</f>
        <v>0</v>
      </c>
      <c r="G25" s="24">
        <f>SUM(G26:G31)</f>
        <v>0</v>
      </c>
    </row>
    <row r="26" spans="2:7" ht="15.6" x14ac:dyDescent="0.3">
      <c r="B26" s="58"/>
      <c r="C26" s="15" t="s">
        <v>22</v>
      </c>
      <c r="D26" s="39" t="s">
        <v>93</v>
      </c>
      <c r="E26" s="17">
        <f t="shared" ref="E26:E31" si="5">IF(AND(D26="N"),0%,IF(AND(D26="P"),30%,IF(AND(D26="A"),65%,IF(AND(D26="T"),100%,0%))))</f>
        <v>0</v>
      </c>
      <c r="F26" s="16">
        <v>0.08</v>
      </c>
      <c r="G26" s="18">
        <f t="shared" si="2"/>
        <v>0</v>
      </c>
    </row>
    <row r="27" spans="2:7" ht="15.6" x14ac:dyDescent="0.3">
      <c r="B27" s="58"/>
      <c r="C27" s="15" t="s">
        <v>23</v>
      </c>
      <c r="D27" s="39" t="s">
        <v>93</v>
      </c>
      <c r="E27" s="17">
        <f t="shared" si="5"/>
        <v>0</v>
      </c>
      <c r="F27" s="16">
        <v>0.08</v>
      </c>
      <c r="G27" s="18">
        <f t="shared" si="2"/>
        <v>0</v>
      </c>
    </row>
    <row r="28" spans="2:7" ht="15.6" x14ac:dyDescent="0.3">
      <c r="B28" s="58"/>
      <c r="C28" s="15" t="s">
        <v>25</v>
      </c>
      <c r="D28" s="39" t="s">
        <v>93</v>
      </c>
      <c r="E28" s="17">
        <f t="shared" si="5"/>
        <v>0</v>
      </c>
      <c r="F28" s="16">
        <v>0.09</v>
      </c>
      <c r="G28" s="18">
        <f t="shared" si="2"/>
        <v>0</v>
      </c>
    </row>
    <row r="29" spans="2:7" ht="15.6" x14ac:dyDescent="0.3">
      <c r="B29" s="58"/>
      <c r="C29" s="15" t="s">
        <v>24</v>
      </c>
      <c r="D29" s="39" t="s">
        <v>93</v>
      </c>
      <c r="E29" s="17">
        <f t="shared" si="5"/>
        <v>0</v>
      </c>
      <c r="F29" s="16">
        <v>0.09</v>
      </c>
      <c r="G29" s="18">
        <f t="shared" si="2"/>
        <v>0</v>
      </c>
    </row>
    <row r="30" spans="2:7" ht="15.6" x14ac:dyDescent="0.3">
      <c r="B30" s="58"/>
      <c r="C30" s="15" t="s">
        <v>26</v>
      </c>
      <c r="D30" s="39" t="s">
        <v>93</v>
      </c>
      <c r="E30" s="17">
        <f t="shared" si="5"/>
        <v>0</v>
      </c>
      <c r="F30" s="16">
        <v>0.08</v>
      </c>
      <c r="G30" s="18">
        <f t="shared" si="2"/>
        <v>0</v>
      </c>
    </row>
    <row r="31" spans="2:7" ht="31.8" thickBot="1" x14ac:dyDescent="0.35">
      <c r="B31" s="19">
        <f>AVERAGE(E26:E31)</f>
        <v>0</v>
      </c>
      <c r="C31" s="20" t="s">
        <v>27</v>
      </c>
      <c r="D31" s="39" t="s">
        <v>93</v>
      </c>
      <c r="E31" s="17">
        <f t="shared" si="5"/>
        <v>0</v>
      </c>
      <c r="F31" s="21">
        <v>0.08</v>
      </c>
      <c r="G31" s="26">
        <f t="shared" si="2"/>
        <v>0</v>
      </c>
    </row>
    <row r="32" spans="2:7" ht="31.2" x14ac:dyDescent="0.3">
      <c r="B32" s="57" t="s">
        <v>28</v>
      </c>
      <c r="C32" s="31" t="s">
        <v>65</v>
      </c>
      <c r="D32" s="53" t="str">
        <f>IF(G33+G34+G35+G36+G37=0.5,"OK","Incompleto")</f>
        <v>Incompleto</v>
      </c>
      <c r="E32" s="54"/>
      <c r="F32" s="28">
        <f>IF(AND(F5=1,F8=0.5,F14=0.5,F19=0.5,F25=0.5,G33+G34+G35+G36+G37=0.5),0.5,0)</f>
        <v>0</v>
      </c>
      <c r="G32" s="24">
        <f>SUM(G33:G37)</f>
        <v>0</v>
      </c>
    </row>
    <row r="33" spans="2:7" ht="15.6" x14ac:dyDescent="0.3">
      <c r="B33" s="58"/>
      <c r="C33" s="15" t="s">
        <v>29</v>
      </c>
      <c r="D33" s="39" t="s">
        <v>93</v>
      </c>
      <c r="E33" s="17">
        <f t="shared" ref="E33:E37" si="6">IF(AND(D33="N"),0%,IF(AND(D33="P"),30%,IF(AND(D33="A"),65%,IF(AND(D33="T"),100%,0%))))</f>
        <v>0</v>
      </c>
      <c r="F33" s="16">
        <v>0.1</v>
      </c>
      <c r="G33" s="18">
        <f t="shared" si="2"/>
        <v>0</v>
      </c>
    </row>
    <row r="34" spans="2:7" ht="15.6" x14ac:dyDescent="0.3">
      <c r="B34" s="58"/>
      <c r="C34" s="15" t="s">
        <v>30</v>
      </c>
      <c r="D34" s="39" t="s">
        <v>93</v>
      </c>
      <c r="E34" s="17">
        <f t="shared" si="6"/>
        <v>0</v>
      </c>
      <c r="F34" s="16">
        <v>0.1</v>
      </c>
      <c r="G34" s="18">
        <f t="shared" si="2"/>
        <v>0</v>
      </c>
    </row>
    <row r="35" spans="2:7" ht="15.6" x14ac:dyDescent="0.3">
      <c r="B35" s="58"/>
      <c r="C35" s="15" t="s">
        <v>31</v>
      </c>
      <c r="D35" s="39" t="s">
        <v>93</v>
      </c>
      <c r="E35" s="17">
        <f t="shared" si="6"/>
        <v>0</v>
      </c>
      <c r="F35" s="16">
        <v>0.1</v>
      </c>
      <c r="G35" s="18">
        <f t="shared" si="2"/>
        <v>0</v>
      </c>
    </row>
    <row r="36" spans="2:7" ht="31.2" x14ac:dyDescent="0.3">
      <c r="B36" s="58"/>
      <c r="C36" s="15" t="s">
        <v>32</v>
      </c>
      <c r="D36" s="39" t="s">
        <v>93</v>
      </c>
      <c r="E36" s="17">
        <f t="shared" si="6"/>
        <v>0</v>
      </c>
      <c r="F36" s="16">
        <v>0.1</v>
      </c>
      <c r="G36" s="18">
        <f t="shared" si="2"/>
        <v>0</v>
      </c>
    </row>
    <row r="37" spans="2:7" ht="31.8" thickBot="1" x14ac:dyDescent="0.35">
      <c r="B37" s="19">
        <f>AVERAGE(E33:E37)</f>
        <v>0</v>
      </c>
      <c r="C37" s="20" t="s">
        <v>33</v>
      </c>
      <c r="D37" s="39" t="s">
        <v>93</v>
      </c>
      <c r="E37" s="17">
        <f t="shared" si="6"/>
        <v>0</v>
      </c>
      <c r="F37" s="21">
        <v>0.1</v>
      </c>
      <c r="G37" s="26">
        <f t="shared" si="2"/>
        <v>0</v>
      </c>
    </row>
    <row r="38" spans="2:7" ht="31.2" x14ac:dyDescent="0.3">
      <c r="B38" s="65" t="s">
        <v>34</v>
      </c>
      <c r="C38" s="31" t="s">
        <v>66</v>
      </c>
      <c r="D38" s="61" t="str">
        <f>IF(G39+G40+G41+G42=0.5,"OK","Incompleto")</f>
        <v>Incompleto</v>
      </c>
      <c r="E38" s="62"/>
      <c r="F38" s="28">
        <f>IF(AND(F5=1,F8=0.5,F14=0.5,F19=0.5,F25=0.5,G39+G40+G41+G42=0.5),0.5,0)</f>
        <v>0</v>
      </c>
      <c r="G38" s="24">
        <f>SUM(G39:G42)</f>
        <v>0</v>
      </c>
    </row>
    <row r="39" spans="2:7" ht="15.6" x14ac:dyDescent="0.3">
      <c r="B39" s="58"/>
      <c r="C39" s="15" t="s">
        <v>35</v>
      </c>
      <c r="D39" s="39" t="s">
        <v>93</v>
      </c>
      <c r="E39" s="17">
        <f t="shared" ref="E39:E42" si="7">IF(AND(D39="N"),0%,IF(AND(D39="P"),30%,IF(AND(D39="A"),65%,IF(AND(D39="T"),100%,0%))))</f>
        <v>0</v>
      </c>
      <c r="F39" s="16">
        <v>0.13</v>
      </c>
      <c r="G39" s="18">
        <f t="shared" si="2"/>
        <v>0</v>
      </c>
    </row>
    <row r="40" spans="2:7" ht="15.6" x14ac:dyDescent="0.3">
      <c r="B40" s="58"/>
      <c r="C40" s="15" t="s">
        <v>36</v>
      </c>
      <c r="D40" s="39" t="s">
        <v>93</v>
      </c>
      <c r="E40" s="17">
        <f t="shared" si="7"/>
        <v>0</v>
      </c>
      <c r="F40" s="16">
        <v>0.12</v>
      </c>
      <c r="G40" s="18">
        <f t="shared" si="2"/>
        <v>0</v>
      </c>
    </row>
    <row r="41" spans="2:7" ht="15.6" x14ac:dyDescent="0.3">
      <c r="B41" s="58"/>
      <c r="C41" s="15" t="s">
        <v>37</v>
      </c>
      <c r="D41" s="39" t="s">
        <v>93</v>
      </c>
      <c r="E41" s="17">
        <f t="shared" si="7"/>
        <v>0</v>
      </c>
      <c r="F41" s="16">
        <v>0.12</v>
      </c>
      <c r="G41" s="18">
        <f t="shared" si="2"/>
        <v>0</v>
      </c>
    </row>
    <row r="42" spans="2:7" ht="31.8" thickBot="1" x14ac:dyDescent="0.35">
      <c r="B42" s="19">
        <f>AVERAGE(E40:E43)</f>
        <v>0</v>
      </c>
      <c r="C42" s="20" t="s">
        <v>38</v>
      </c>
      <c r="D42" s="39" t="s">
        <v>93</v>
      </c>
      <c r="E42" s="17">
        <f t="shared" si="7"/>
        <v>0</v>
      </c>
      <c r="F42" s="21">
        <v>0.13</v>
      </c>
      <c r="G42" s="26">
        <f t="shared" si="2"/>
        <v>0</v>
      </c>
    </row>
    <row r="43" spans="2:7" ht="46.8" x14ac:dyDescent="0.3">
      <c r="B43" s="57" t="s">
        <v>39</v>
      </c>
      <c r="C43" s="31" t="s">
        <v>67</v>
      </c>
      <c r="D43" s="53" t="str">
        <f>IF(G44+G45+G46+G47+G48=0.5,"OK","Incompleto")</f>
        <v>Incompleto</v>
      </c>
      <c r="E43" s="54"/>
      <c r="F43" s="28">
        <f>IF(AND(F5=1,F8=0.5,F14=0.5,F19=0.5,F25=0.5,F32=0.5,F38=0.5,G44+G45+G46+G47+G48=0.5),0.5,0)</f>
        <v>0</v>
      </c>
      <c r="G43" s="24">
        <f>SUM(G44:G48)</f>
        <v>0</v>
      </c>
    </row>
    <row r="44" spans="2:7" ht="15.6" x14ac:dyDescent="0.3">
      <c r="B44" s="58"/>
      <c r="C44" s="15" t="s">
        <v>43</v>
      </c>
      <c r="D44" s="39" t="s">
        <v>93</v>
      </c>
      <c r="E44" s="17">
        <f t="shared" ref="E44:E48" si="8">IF(AND(D44="N"),0%,IF(AND(D44="P"),30%,IF(AND(D44="A"),65%,IF(AND(D44="T"),100%,0%))))</f>
        <v>0</v>
      </c>
      <c r="F44" s="16">
        <v>0.1</v>
      </c>
      <c r="G44" s="18">
        <f t="shared" si="2"/>
        <v>0</v>
      </c>
    </row>
    <row r="45" spans="2:7" ht="15.6" x14ac:dyDescent="0.3">
      <c r="B45" s="58"/>
      <c r="C45" s="15" t="s">
        <v>40</v>
      </c>
      <c r="D45" s="39" t="s">
        <v>93</v>
      </c>
      <c r="E45" s="17">
        <f t="shared" si="8"/>
        <v>0</v>
      </c>
      <c r="F45" s="16">
        <v>0.1</v>
      </c>
      <c r="G45" s="18">
        <f t="shared" si="2"/>
        <v>0</v>
      </c>
    </row>
    <row r="46" spans="2:7" ht="15.6" x14ac:dyDescent="0.3">
      <c r="B46" s="58"/>
      <c r="C46" s="15" t="s">
        <v>41</v>
      </c>
      <c r="D46" s="39" t="s">
        <v>93</v>
      </c>
      <c r="E46" s="17">
        <f t="shared" si="8"/>
        <v>0</v>
      </c>
      <c r="F46" s="16">
        <v>0.1</v>
      </c>
      <c r="G46" s="18">
        <f t="shared" si="2"/>
        <v>0</v>
      </c>
    </row>
    <row r="47" spans="2:7" ht="15.6" x14ac:dyDescent="0.3">
      <c r="B47" s="58"/>
      <c r="C47" s="15" t="s">
        <v>42</v>
      </c>
      <c r="D47" s="39" t="s">
        <v>93</v>
      </c>
      <c r="E47" s="17">
        <f t="shared" si="8"/>
        <v>0</v>
      </c>
      <c r="F47" s="16">
        <v>0.1</v>
      </c>
      <c r="G47" s="18">
        <f t="shared" si="2"/>
        <v>0</v>
      </c>
    </row>
    <row r="48" spans="2:7" ht="16.2" thickBot="1" x14ac:dyDescent="0.35">
      <c r="B48" s="19">
        <f>AVERAGE(E44:E48)</f>
        <v>0</v>
      </c>
      <c r="C48" s="20" t="s">
        <v>44</v>
      </c>
      <c r="D48" s="39" t="s">
        <v>93</v>
      </c>
      <c r="E48" s="17">
        <f t="shared" si="8"/>
        <v>0</v>
      </c>
      <c r="F48" s="21">
        <v>0.1</v>
      </c>
      <c r="G48" s="26">
        <f t="shared" si="2"/>
        <v>0</v>
      </c>
    </row>
    <row r="49" spans="2:7" ht="31.2" x14ac:dyDescent="0.3">
      <c r="B49" s="59" t="s">
        <v>45</v>
      </c>
      <c r="C49" s="32" t="s">
        <v>68</v>
      </c>
      <c r="D49" s="53" t="str">
        <f>IF(G50+G51+G52=0.5,"OK","Incompleto")</f>
        <v>Incompleto</v>
      </c>
      <c r="E49" s="54"/>
      <c r="F49" s="28">
        <f>IF(AND(F5=1,F8=0.5,F14=0.5,F19=0.5,F25=0.5,F32=0.5,F38=0.5,G50+G51+G52=0.5),0.5,0)</f>
        <v>0</v>
      </c>
      <c r="G49" s="24">
        <f>SUM(G50:G52)</f>
        <v>0</v>
      </c>
    </row>
    <row r="50" spans="2:7" ht="15.6" x14ac:dyDescent="0.3">
      <c r="B50" s="60"/>
      <c r="C50" s="33" t="s">
        <v>46</v>
      </c>
      <c r="D50" s="39" t="s">
        <v>93</v>
      </c>
      <c r="E50" s="17">
        <f>IF(AND(D50="N"),0%,IF(AND(D50="P"),30%,IF(AND(D50="A"),65%,IF(AND(D50="T"),100%,0%))))</f>
        <v>0</v>
      </c>
      <c r="F50" s="16">
        <v>0.17</v>
      </c>
      <c r="G50" s="18">
        <f t="shared" si="2"/>
        <v>0</v>
      </c>
    </row>
    <row r="51" spans="2:7" ht="31.2" x14ac:dyDescent="0.3">
      <c r="B51" s="60"/>
      <c r="C51" s="33" t="s">
        <v>47</v>
      </c>
      <c r="D51" s="39" t="s">
        <v>93</v>
      </c>
      <c r="E51" s="17">
        <f>IF(AND(D51="N"),0%,IF(AND(D51="P"),30%,IF(AND(D51="A"),65%,IF(AND(D51="T"),100%,0%))))</f>
        <v>0</v>
      </c>
      <c r="F51" s="16">
        <v>0.17</v>
      </c>
      <c r="G51" s="18">
        <f t="shared" si="2"/>
        <v>0</v>
      </c>
    </row>
    <row r="52" spans="2:7" ht="31.8" thickBot="1" x14ac:dyDescent="0.35">
      <c r="B52" s="34">
        <f>AVERAGE(E50:E52)</f>
        <v>0</v>
      </c>
      <c r="C52" s="35" t="s">
        <v>48</v>
      </c>
      <c r="D52" s="40" t="s">
        <v>93</v>
      </c>
      <c r="E52" s="36">
        <f>IF(AND(D52="N"),0%,IF(AND(D52="P"),30%,IF(AND(D52="A"),65%,IF(AND(D52="T"),100%,0%))))</f>
        <v>0</v>
      </c>
      <c r="F52" s="37">
        <v>0.16</v>
      </c>
      <c r="G52" s="38">
        <f t="shared" si="2"/>
        <v>0</v>
      </c>
    </row>
  </sheetData>
  <sheetProtection algorithmName="SHA-512" hashValue="tODUxJKF8U0rQdzAzsAtCgU+lUm48O4kImuW1qoFe+MhXwVH+S13aI/kjS/90mRKcfJy69AnZ5dXi+OyWU2pSA==" saltValue="U06s7KpSiyeGrMWYAlMGBg==" spinCount="100000" sheet="1" objects="1" scenarios="1"/>
  <mergeCells count="20">
    <mergeCell ref="B38:B41"/>
    <mergeCell ref="D5:E5"/>
    <mergeCell ref="D8:E8"/>
    <mergeCell ref="D43:E43"/>
    <mergeCell ref="D49:E49"/>
    <mergeCell ref="B2:G2"/>
    <mergeCell ref="B1:G1"/>
    <mergeCell ref="B43:B47"/>
    <mergeCell ref="B49:B51"/>
    <mergeCell ref="D19:E19"/>
    <mergeCell ref="D25:E25"/>
    <mergeCell ref="D32:E32"/>
    <mergeCell ref="D38:E38"/>
    <mergeCell ref="D14:E14"/>
    <mergeCell ref="B5:B6"/>
    <mergeCell ref="B8:B12"/>
    <mergeCell ref="B14:B17"/>
    <mergeCell ref="B19:B23"/>
    <mergeCell ref="B25:B30"/>
    <mergeCell ref="B32:B36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G49 G43 G38 G32 G25 G19 G14 G8 E5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Views>
    <sheetView workbookViewId="0">
      <selection activeCell="B2" sqref="B2:B7"/>
    </sheetView>
  </sheetViews>
  <sheetFormatPr defaultRowHeight="14.4" x14ac:dyDescent="0.3"/>
  <cols>
    <col min="2" max="2" width="134.5546875" style="1" customWidth="1"/>
  </cols>
  <sheetData>
    <row r="2" spans="2:2" ht="43.2" x14ac:dyDescent="0.3">
      <c r="B2" s="5" t="s">
        <v>52</v>
      </c>
    </row>
    <row r="3" spans="2:2" ht="43.2" x14ac:dyDescent="0.3">
      <c r="B3" s="5" t="s">
        <v>53</v>
      </c>
    </row>
    <row r="4" spans="2:2" ht="72" x14ac:dyDescent="0.3">
      <c r="B4" s="5" t="s">
        <v>54</v>
      </c>
    </row>
    <row r="5" spans="2:2" ht="57.6" x14ac:dyDescent="0.3">
      <c r="B5" s="5" t="s">
        <v>55</v>
      </c>
    </row>
    <row r="6" spans="2:2" ht="57.6" x14ac:dyDescent="0.3">
      <c r="B6" s="5" t="s">
        <v>56</v>
      </c>
    </row>
    <row r="7" spans="2:2" ht="57.6" x14ac:dyDescent="0.3">
      <c r="B7" s="5" t="s">
        <v>57</v>
      </c>
    </row>
  </sheetData>
  <sheetProtection algorithmName="SHA-512" hashValue="5m+GIxAv+O4mC/JvrLRhOlLjCisBTHW03pUtJkswWd5aBOKRxCKpJ7/NH5Yyx93H/4n4gxHY1Kx5ub+MhRae9w==" saltValue="g3qO3qimR1apIWJ7wW0BoQ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</vt:lpstr>
      <vt:lpstr>Avaliação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2016-07-18T15:19:41Z</dcterms:created>
  <dcterms:modified xsi:type="dcterms:W3CDTF">2016-08-03T17:33:21Z</dcterms:modified>
</cp:coreProperties>
</file>