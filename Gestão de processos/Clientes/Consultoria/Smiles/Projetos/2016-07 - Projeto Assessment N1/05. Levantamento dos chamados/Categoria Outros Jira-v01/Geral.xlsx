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filterPrivacy="1" defaultThemeVersion="124226"/>
  <bookViews>
    <workbookView xWindow="240" yWindow="105" windowWidth="14805" windowHeight="8010"/>
  </bookViews>
  <sheets>
    <sheet name="Planilha9" sheetId="10" r:id="rId1"/>
    <sheet name="Plan1" sheetId="1" r:id="rId2"/>
  </sheets>
  <calcPr calcId="171027"/>
  <pivotCaches>
    <pivotCache cacheId="19" r:id="rId3"/>
  </pivotCaches>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alcChain>
</file>

<file path=xl/sharedStrings.xml><?xml version="1.0" encoding="utf-8"?>
<sst xmlns="http://schemas.openxmlformats.org/spreadsheetml/2006/main" count="1387" uniqueCount="686">
  <si>
    <t>Chave</t>
  </si>
  <si>
    <t>Resumo</t>
  </si>
  <si>
    <t>Prioridade</t>
  </si>
  <si>
    <t>Status</t>
  </si>
  <si>
    <t>Criado</t>
  </si>
  <si>
    <t>Atualizado</t>
  </si>
  <si>
    <t>Descrição</t>
  </si>
  <si>
    <t>Tempo de Resolução</t>
  </si>
  <si>
    <t>Tempo de Resposta</t>
  </si>
  <si>
    <t>Customer Request Type</t>
  </si>
  <si>
    <t>NGC-1030</t>
  </si>
  <si>
    <t>Processar Arquivos QueryFromPartner</t>
  </si>
  <si>
    <t>Alta</t>
  </si>
  <si>
    <t>Fechado</t>
  </si>
  <si>
    <t xml:space="preserve">é necessário processar os arquivos QueryFromPartner que estão disponíveis em [.../incoming/QueryFromPartner] 
arquivos disponiveis na pasta: 
query_flight_ACtoG3_20160608_201503_074.txt 
query_flight_ACtoG3_20160609_201033_092.txt 
query_flight_ACtoG3_20160610_205032_091.txt 
query_flight_ACtoG3_20160611_203033_030.txt 
query_flight_ACtoG3_20160613_013039_013.txt 
query_flight_ACtoG3_20160613_203240_088.txt 
query_flight_ACtoG3_20160614_203248_019.txt 
query_flight_ACtoG3_20160615_203242_042.txt 
query_flight_CMtoG3_20160613_101539_051.txt 
query_flight_TPtoG3_20160609_081521_022.txt 
query_flight_TPtoG3_20160610_082749_043.txt 
query_flight_TPtoG3_20160611_081242_012.txt 
query_flight_TPtoG3_20160612_091437_082.txt 
query_flight_TPtoG3_20160613_080045_039.txt 
query_flight_TPtoG3_20160614_083301_058.txt 
query_flight_TPtoG3_20160615_083311_065.txt 
query_flight_TPtoG3_20160616_082807_086.txt 
</t>
  </si>
  <si>
    <t>14:06</t>
  </si>
  <si>
    <t>7:59</t>
  </si>
  <si>
    <t>Outras solicitações (EDI)</t>
  </si>
  <si>
    <t>NGC-1114</t>
  </si>
  <si>
    <t>Arquivos download DOTZ</t>
  </si>
  <si>
    <t>Pendente Fornecedor</t>
  </si>
  <si>
    <t>Você poderia verificar se temos um tempo limite para baixar os arquivos de retorno ? Percebi que alguns arquivos somem da área de download. 
Aproveitando pode disponibilizar os lotes abaixo: 
• 2017 
• 2038 
• 2051 
• 2064 
• 2065 
• 2066 
• 2067 
• 2068 
• 2069 
• 2070 
• 2071 
parceiro DOTZ 
Alias: DOT</t>
  </si>
  <si>
    <t>-11:35</t>
  </si>
  <si>
    <t>7:16</t>
  </si>
  <si>
    <t>NGC-858</t>
  </si>
  <si>
    <t>Processar Transações TAP</t>
  </si>
  <si>
    <t>@Nei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"De ACORDO" da TAP para creditarmos aos clientes as milhas. Como o volume é muito grande, preciso do auxilio de TI para efetivar. 
Promoção da TAP alterada através do JIRA 
NGC-826 temporariamente para ocorrer esse processamento. 
Anexo OK do parceiro e Carlos Mauad.</t>
  </si>
  <si>
    <t>-2:27</t>
  </si>
  <si>
    <t>6:21</t>
  </si>
  <si>
    <t>NGC-986</t>
  </si>
  <si>
    <t>20160601020604_billing_flight.txt</t>
  </si>
  <si>
    <t xml:space="preserve">A INDRA informou que o arquivo de billing referente a Maio/2016 está com erros. 
Por gentileza, podem verificar? 
Resposta da INDRA: "El registro 7831 parece estar mal. Por lo que veo tiene un error de encoding que hace que se mueva 1 lugar a la derecha el layout. Y donde dice "GIGLIS", antes debería ir el flightDate." 
</t>
  </si>
  <si>
    <t>19:53</t>
  </si>
  <si>
    <t>7:50</t>
  </si>
  <si>
    <t>NGC-989</t>
  </si>
  <si>
    <t>Favor processar os arquivos Query anexo</t>
  </si>
  <si>
    <t>Srs, favor processar os arquivos anexo. 
Obrigado,</t>
  </si>
  <si>
    <t>0:15</t>
  </si>
  <si>
    <t>8:00</t>
  </si>
  <si>
    <t>NGC-1015</t>
  </si>
  <si>
    <t>Processar arquivo de response TAP</t>
  </si>
  <si>
    <t>Srs, boa tarde, 
O parceiro TAP informou que disponibilizou 2 novos arquivos de response. 
Favor processar. 
Obrigado.</t>
  </si>
  <si>
    <t>21:32</t>
  </si>
  <si>
    <t>6:57</t>
  </si>
  <si>
    <t>NGC-853</t>
  </si>
  <si>
    <t>A arquivo anterior estava com número de transação, assim segue arquivo corrigido agora com o numero de SS, favor processar. 
Obrigado,</t>
  </si>
  <si>
    <t>17:32</t>
  </si>
  <si>
    <t>NGC-1021</t>
  </si>
  <si>
    <t>Processar arquivos de accrual Etihad (EY)</t>
  </si>
  <si>
    <t xml:space="preserve">Srs boa tarde, o parceiro sinalizou que enviou arquivos no dia 03/06, porém os mesmos ainda não aparecem no siebel (segundo o Maikon), favor verificar e se estiverem pendente processa-los. 
Peço também para que deixe este processo de accrual/handback automatizado para esta parceria. 
Obrigado. 
</t>
  </si>
  <si>
    <t>19:05</t>
  </si>
  <si>
    <t>5:23</t>
  </si>
  <si>
    <t>NGC-859</t>
  </si>
  <si>
    <t xml:space="preserve">Raul, favor processar os arquivos de response TAP anexo. Obrigado. 
</t>
  </si>
  <si>
    <t>-2:18</t>
  </si>
  <si>
    <t>NGC-998</t>
  </si>
  <si>
    <t>Habilitar processo automatico para processar arquivos de Accrual Aeromexico</t>
  </si>
  <si>
    <t>A tivit começou a enviar arquivos de accrual diariamente, os primeiros valiamos manualmente, agora que o processo está maduro peço ativar o processo automatico para os arquivos de accrual e handback desta parceira. 
Inclusive a tivit ja enviou alguns arquivos na incoming. 
Obrigado</t>
  </si>
  <si>
    <t>16:13</t>
  </si>
  <si>
    <t>6:09</t>
  </si>
  <si>
    <t>NGC-871</t>
  </si>
  <si>
    <t>Processar arquivo de response Etihad</t>
  </si>
  <si>
    <t>Raul, favor processar novamente o ultimo response da eithad, que estávamos tratando no chamado 
NGC-847 
Pois o mesmo deve ser processado no wf antigo. 
Obrigado,</t>
  </si>
  <si>
    <t>23:01</t>
  </si>
  <si>
    <t>7:55</t>
  </si>
  <si>
    <t>NGC-980</t>
  </si>
  <si>
    <t>Arquivos de accrual Codeshare Etihad</t>
  </si>
  <si>
    <t xml:space="preserve">Raul, bom dia. 
A INDRA começou a enviar o arquivo Codeshare da Etihad (GE). 
Por gentileza, pode verificar se os arquivos estão sendo recebidos e se está tudo ok? 
Obs: Esse arquivo não pode ter conflito com o arquivo de accrual Etihad (EY) 
</t>
  </si>
  <si>
    <t>18:36</t>
  </si>
  <si>
    <t>7:30</t>
  </si>
  <si>
    <t>NGC-884</t>
  </si>
  <si>
    <t>Arquivos de accrual AM</t>
  </si>
  <si>
    <t xml:space="preserve">Raul, boa tarde, 
Pode verificar porque estes arquivos de handback estão sendo gerados? Pois verifiquei com o Gustavo e ainda não estamos recebendo os arquivos de accrual do parceiro. 
Obrigado, 
</t>
  </si>
  <si>
    <t>6:23</t>
  </si>
  <si>
    <t>5:41</t>
  </si>
  <si>
    <t>NGC-911</t>
  </si>
  <si>
    <t>TAP Accrual/Handback</t>
  </si>
  <si>
    <t xml:space="preserve">Raul, 
Consegue me mandar os arquivos de accrual/handback que processamos pra TAP nos dias 10, 11, 12, 13, 14 e 15 de janeiro? Pois precisamos analisar um cenário de produção. 
Obrigado, 
</t>
  </si>
  <si>
    <t>20:41</t>
  </si>
  <si>
    <t>7:53</t>
  </si>
  <si>
    <t>NGC-953</t>
  </si>
  <si>
    <t>Processar arquivos response disponibilizados pela parceira Etihad.</t>
  </si>
  <si>
    <t>-20:22</t>
  </si>
  <si>
    <t>7:45</t>
  </si>
  <si>
    <t>NGC-920</t>
  </si>
  <si>
    <t>Processar arquivos Quey enviados pelas parceiras</t>
  </si>
  <si>
    <t xml:space="preserve">Processar arquivos Query enviados pelas parceiras e habilitar o processo para que seja executado semanalmente de forma automatica, enviando em seguida o response ao parceiro. 
Obrigado, 
</t>
  </si>
  <si>
    <t>-33:06</t>
  </si>
  <si>
    <t>NGC-1153</t>
  </si>
  <si>
    <t>Transações "Rejeitado - Mecanismo" LIVELO</t>
  </si>
  <si>
    <t>Aberto</t>
  </si>
  <si>
    <t>Por favor, podem verificar essas transações e o motivo da "rejeição - mecanismo"? 
1-JMD2Q0K / 1-JMD15D2 / 1-JMCUJVM / 1-JMCEV3O / 1-JMCBX7G / 1-JMC6D7V / 1-JMBUB72 / 1-JMBSIR0 / 1-JMBCFTW / 1-JMB1ZG6 / 1-JMAYSNO / 1-JMASX44 / 1-JM9SSWH</t>
  </si>
  <si>
    <t>23:42</t>
  </si>
  <si>
    <t>7:42</t>
  </si>
  <si>
    <t>NGC-1125</t>
  </si>
  <si>
    <t>Informações BDB</t>
  </si>
  <si>
    <t>Por favor, podem nos ajudar a levantar as informações abaixo sobre os arquivos 02086 e 02087? 
- Quantas transações havia no arquivo (cenário com e sem cobranded)? 
- Quantas milhas havia no arquivo (cenário com e sem cobranded)?</t>
  </si>
  <si>
    <t>14:50</t>
  </si>
  <si>
    <t>5:05</t>
  </si>
  <si>
    <t>NGC-1142</t>
  </si>
  <si>
    <t>Disponibilizar arquivo de accrual BBR e BAB</t>
  </si>
  <si>
    <t>Resolvido</t>
  </si>
  <si>
    <t>Por favor, podem me disponibilizar os arquivos BBR e BAB que foram represados de ontem para hoje?</t>
  </si>
  <si>
    <t>23:56</t>
  </si>
  <si>
    <t>7:56</t>
  </si>
  <si>
    <t>NGC-1143</t>
  </si>
  <si>
    <t>Por favor, podem disponibilizar os seguintes arquivos? 
BBR: 00577 a 00580 
BAB: 06091 
Pode identificar os arquivos com os sequenciais, por favor?</t>
  </si>
  <si>
    <t>22:14</t>
  </si>
  <si>
    <t>7:46</t>
  </si>
  <si>
    <t>NGC-1146</t>
  </si>
  <si>
    <t>Disponibilizar arquivo de accrual BDB</t>
  </si>
  <si>
    <t xml:space="preserve">Por favor, podem disponibilizar os arquivos abaixo, identificando os sequenciais da cada um? 
02086 
02087 
02088 
02089 
02090 
</t>
  </si>
  <si>
    <t>22:25</t>
  </si>
  <si>
    <t>7:38</t>
  </si>
  <si>
    <t>NGC-1024</t>
  </si>
  <si>
    <t>Voucher Duplicado</t>
  </si>
  <si>
    <t>Por favor, podem ajudar a invalidar esses vouchers concedidos em duplicidade (CB-252): 
Smiles: 003261871 / Voucher: 1-40831567406 
Smiles: 424572120 / Voucher: 1-40831567439</t>
  </si>
  <si>
    <t>23:41</t>
  </si>
  <si>
    <t>7:49</t>
  </si>
  <si>
    <t>NGC-1141</t>
  </si>
  <si>
    <t>Arquivos BDB e BBR/BAB/BRA</t>
  </si>
  <si>
    <t>Pessoal, por favor, podem me ajudar com essas questões? 
*BDB*: liberar o processamento 
*BAB/BBR/BRA*: manter os arquivos represados</t>
  </si>
  <si>
    <t>7:57</t>
  </si>
  <si>
    <t>NGC-975</t>
  </si>
  <si>
    <t>Expirar Voucher Conselheiro</t>
  </si>
  <si>
    <t>Pessoal, 
Favor expirar o voucher abaixo com data de ontem: 
1-40041577974 
Obrigado 
abs</t>
  </si>
  <si>
    <t>23:53</t>
  </si>
  <si>
    <t>7:54</t>
  </si>
  <si>
    <t>NGC-1004</t>
  </si>
  <si>
    <t>Processar arquivo de response</t>
  </si>
  <si>
    <t>Os arquivos estavam com problemas e foram corrigidos, favor processa-los, já estão validados. 
Obrigado.</t>
  </si>
  <si>
    <t>9:09</t>
  </si>
  <si>
    <t>NGC-844</t>
  </si>
  <si>
    <t>Parceiro DOTZ cliente - Fernando</t>
  </si>
  <si>
    <t>Olá, poderiam por favor verificar o motivo pelo qual o crédito do cliente abaixo: 
Cliente FERNANDO EUSTAQUIO COSTA 
CPF 73876232872 
E-mail fernando4196@hotmail.com 
Telefone 12-38332228 / 12- 99151885 
Ocorrência OCOR-3340331-Q5R6S9 
Número do pedido 18203539 
Data da troca 04/03/2016 
Produto Programa Smiles - 1.000 Milhas 
não foi creditado pelo parceiro DOTZ. 
o envio do arquivo ocorreu no dia 04/03. 
Obrigada</t>
  </si>
  <si>
    <t>-21:39</t>
  </si>
  <si>
    <t>7:20</t>
  </si>
  <si>
    <t>NGC-1014</t>
  </si>
  <si>
    <t>Processar arquivos de accrual QR</t>
  </si>
  <si>
    <t>O parceiro teve problemas com o serviço FTP e encaminhou os arquivos de accrual por email, assim favor processar os arquivos anexo. 
Obrigado.</t>
  </si>
  <si>
    <t>20:17</t>
  </si>
  <si>
    <t>NGC-1019</t>
  </si>
  <si>
    <t>Atualizar Planilha do chamado</t>
  </si>
  <si>
    <t>O parceiro precisa da informação [Numero do Pedido] na planilha disponibilizada no chamado NGC-973</t>
  </si>
  <si>
    <t>21:16</t>
  </si>
  <si>
    <t>NGC-943</t>
  </si>
  <si>
    <t>Não processar arquivo CEC 00268 em 31/5</t>
  </si>
  <si>
    <t xml:space="preserve">Mauad solicitou que o arquivo CEC enviado pelo parceiro Caixa no dia 31/5 não seja processado no Siebel no dia de hoje. 
Última sequencia recebida e processada no Siebel foi a CEC 00267 recebida em 30/05. 
</t>
  </si>
  <si>
    <t>20:49</t>
  </si>
  <si>
    <t>NGC-1008</t>
  </si>
  <si>
    <t>Alerta TIVIT - Arquivos de crédito retroativo</t>
  </si>
  <si>
    <t>Gostaríamos de criar um novo processo de alerta para os arquivos de crédito retroativo automático. 
Escopo: Quando a TIVIT entregar um arquivo query para o parceiro aéreo deverá ser enviado um email para a área comercial com as seguintes informações: 
- Nomenclatura do arquivo entregue. 
- Diretório no qual o arquivo foi depositado. 
- Data de entrega. 
- Nome do parceiro.</t>
  </si>
  <si>
    <t>-6:20</t>
  </si>
  <si>
    <t>6:34</t>
  </si>
  <si>
    <t>NGC-944</t>
  </si>
  <si>
    <t>Gerar novo arquivo Query</t>
  </si>
  <si>
    <t>Gerar novo arquivo query para os parceiros abaixo: 
COPA 
AirCanada 
TAP 
Etihad 
Todos no processo novo. 
Obrigado</t>
  </si>
  <si>
    <t>-5:57</t>
  </si>
  <si>
    <t>6:46</t>
  </si>
  <si>
    <t>NGC-880</t>
  </si>
  <si>
    <t>Gerar novo arquivo Query TAP</t>
  </si>
  <si>
    <t>Gerar arquivo query no processo novo. 
Obrigado</t>
  </si>
  <si>
    <t>0:50</t>
  </si>
  <si>
    <t>7:47</t>
  </si>
  <si>
    <t>NGC-881</t>
  </si>
  <si>
    <t>Gerar novo arquivo Query COPA</t>
  </si>
  <si>
    <t>Gerar arquivo query copa no novo processo.</t>
  </si>
  <si>
    <t>-9:23</t>
  </si>
  <si>
    <t>7:48</t>
  </si>
  <si>
    <t>NGC-1115</t>
  </si>
  <si>
    <t>Represar arquivos</t>
  </si>
  <si>
    <t>Favor represar o processamento dos seguintes arquivos: 
BDB 
BBR 
BRA 
BAB 
AMX</t>
  </si>
  <si>
    <t>21:55</t>
  </si>
  <si>
    <t>7:58</t>
  </si>
  <si>
    <t>NGC-955</t>
  </si>
  <si>
    <t>Processar arquivos de accrual AM</t>
  </si>
  <si>
    <t xml:space="preserve">Favor processar os primeiros arquivos de accrual Aeromexico, os mesmos estão anexos. Após o processamento o handback pode ser encaminhado a Tivit normalmente. 
</t>
  </si>
  <si>
    <t>-3:51</t>
  </si>
  <si>
    <t>1:38</t>
  </si>
  <si>
    <t>NGC-1065</t>
  </si>
  <si>
    <t>Favor processar os arquivos response anexo</t>
  </si>
  <si>
    <t>Favor processar os arquivos response anexo, tratam-se de backlog. 
Obrigado.</t>
  </si>
  <si>
    <t>9:27</t>
  </si>
  <si>
    <t>6:28</t>
  </si>
  <si>
    <t>NGC-1087</t>
  </si>
  <si>
    <t>Favor processar os arquivos response anexo, estas solicitações apresentaram erro no log de arquivos anteriores. 
Grato.</t>
  </si>
  <si>
    <t>-14:52</t>
  </si>
  <si>
    <t>NGC-1016</t>
  </si>
  <si>
    <t>Favor processar os arquivos de response que por ventura tenham sido disponibilizados pelos parceiros aéreos antes da habilitação do processo automatizado. A COPA por exemplo sinalizou hoje que enviou 2 arquivos. 
Antes de processar peço encaminhar para que eu analise se fazer parte do processo antigo ou novo. 
Obrigado</t>
  </si>
  <si>
    <t>22:35</t>
  </si>
  <si>
    <t>NGC-1096</t>
  </si>
  <si>
    <t xml:space="preserve">Favor processar os arquivos de response TAP foi foram disponibilizados pela tivit. 
Abaixo imagem com os arquivos a serem processados: 
</t>
  </si>
  <si>
    <t>-9:15</t>
  </si>
  <si>
    <t>3:56</t>
  </si>
  <si>
    <t>NGC-832</t>
  </si>
  <si>
    <t>Favor processar os arquivos de response TAP disponibilizados pela parceira desde 27/04. 
Obrigado</t>
  </si>
  <si>
    <t>2:22</t>
  </si>
  <si>
    <t>7:44</t>
  </si>
  <si>
    <t>NGC-1045</t>
  </si>
  <si>
    <t>Favor processar os arquivos Quey enviados pelas parceiras aéreas, gerar os responses e disponibilizar aos parceiros. 
Obrigado.</t>
  </si>
  <si>
    <t>11:57</t>
  </si>
  <si>
    <t>NGC-847</t>
  </si>
  <si>
    <t>Favor processar arquivo response Etihad anexo, o anterior estava com numero de transação e não de SR.</t>
  </si>
  <si>
    <t>21:07</t>
  </si>
  <si>
    <t>6:11</t>
  </si>
  <si>
    <t>NGC-984</t>
  </si>
  <si>
    <t>Habilitar o scheduler do processo de retrocrédito automatico</t>
  </si>
  <si>
    <t>Favor habilitar o Scheduler do processo de retrocrédito automatico para os parceiros abaixo: 
Copa 
TAP 
AirCanada 
Etihad 
O objeto é que este realize a geração e processamento dos arquivos Query (Smiles &gt; Parceiro e Parceiro &gt; Smiles) e Response (Smiles &gt; Parceiro e Parceiro &gt; Smiles). 
O processo deve ser executado de forma semanal aos domingos. 
Obrigado,</t>
  </si>
  <si>
    <t>-9:02</t>
  </si>
  <si>
    <t>6:39</t>
  </si>
  <si>
    <t>NGC-1120</t>
  </si>
  <si>
    <t>Liberar Processamento de Arquivos</t>
  </si>
  <si>
    <t>Boa tarde! 
Por favor, podem liberar o processamento dos arquivos dos seguintes parceiros: 
BBR 
BAB 
BRA 
AMX 
BDB 
Os produtos foram revalidados, com exceção dos produtos de cobranded.</t>
  </si>
  <si>
    <t>23:52</t>
  </si>
  <si>
    <t>NGC-837</t>
  </si>
  <si>
    <t>Gerar arquivo Query para Etihad</t>
  </si>
  <si>
    <t>Favor gerar um novo arquivo query para Etihad</t>
  </si>
  <si>
    <t>-23:15</t>
  </si>
  <si>
    <t>NGC-836</t>
  </si>
  <si>
    <t>Gerar novo arquivo Query AirCanada</t>
  </si>
  <si>
    <t>Favor gerar um novo arquivo Query para AirCanada. 
OBrigado,</t>
  </si>
  <si>
    <t>-22:04</t>
  </si>
  <si>
    <t>NGC-1003</t>
  </si>
  <si>
    <t>Estornar transações indevidas BANCOOB</t>
  </si>
  <si>
    <t xml:space="preserve">Favor estornar as transações (arquivo anexo) que foram acumuladas indevidamente através do acúmulo online do parceiro BANCOOB. 
</t>
  </si>
  <si>
    <t>21:53</t>
  </si>
  <si>
    <t>NGC-860</t>
  </si>
  <si>
    <t>Processar arquivos response enviados pelas parceiras</t>
  </si>
  <si>
    <t>Favor encaminhar os arquivos response que foram disponibilizados pelas parceiras aéreas. Após validação darei o ok para processamento. 
Obrigado,</t>
  </si>
  <si>
    <t>-31:44</t>
  </si>
  <si>
    <t>NGC-1026</t>
  </si>
  <si>
    <t>Disponibilizar arquivo de accrual AMX</t>
  </si>
  <si>
    <t xml:space="preserve">Favor disponibilizar os arquivos de acúmulo do AMX. 
Sequenciais: 
01750 
01751 
01752 
</t>
  </si>
  <si>
    <t>22:09</t>
  </si>
  <si>
    <t>7:18</t>
  </si>
  <si>
    <t>NGC-886</t>
  </si>
  <si>
    <t>Transações e SS da TAP para atualizar</t>
  </si>
  <si>
    <t>Estávamos com um backlog muito grande de solicitações TAP, após o processamento alguns registros não tiveram a Transação/SS concluidas, assim peço atualiza-los conforme os status da planilha anexo. 
Havendo dúvidas me procurem. 
Obrigado</t>
  </si>
  <si>
    <t>-0:43</t>
  </si>
  <si>
    <t>6:51</t>
  </si>
  <si>
    <t>NGC-973</t>
  </si>
  <si>
    <t>Informações do processamento do arquivo 2059 BDB</t>
  </si>
  <si>
    <t>Devido o problema com a geração do arquivo de handback, favor levantar: 
Quantas e quais destas transações “rejeitadas” estavam com a resposta errada no arquivo de handback. 
Foram rejeitadas duas partes inteiras do arquivo, mas provavelmente teríamos mesmo algumas rejeições. 
Desta forma, quantas e quais rejeições foram devidas e indevidas? 
Com essas informações, o parceiro nos retornará como eles irão tratá-las.</t>
  </si>
  <si>
    <t>13:27</t>
  </si>
  <si>
    <t>NGC-1145</t>
  </si>
  <si>
    <t>Reprocessamento de Arquivos BBR</t>
  </si>
  <si>
    <t>Bom dia! 
Por favor, podem nos ajudar com essas ações? 
Arquivos BBR 00577 a 00580: foram rejeitados no primeiro processamento. Devemos reprocessá-los. 
Arquivo BBR 00581: estava represado por pedido da área comercial. Devemos liberar seu processamento. 
Por favor, podem nos ajudar a acompanhar a devolução correta dos handbacks aos parceiros?</t>
  </si>
  <si>
    <t>23:08</t>
  </si>
  <si>
    <t>NGC-994</t>
  </si>
  <si>
    <t>Atualização do cartão de categoria Smiles</t>
  </si>
  <si>
    <t>Média</t>
  </si>
  <si>
    <t>Programada</t>
  </si>
  <si>
    <t>É preciso atualizar a imagem do cartão de categoria Smiles que é exibido na página logada minha conta.</t>
  </si>
  <si>
    <t>16:09</t>
  </si>
  <si>
    <t>Outros</t>
  </si>
  <si>
    <t>NGC-894</t>
  </si>
  <si>
    <t>transação Cielo Mahogany Cliente 388649295</t>
  </si>
  <si>
    <t xml:space="preserve">Srs, 
poderiam por favor verificar o caso do histórico do anexo ? 
o cliente tentou realizar um resgate na maquineta CIelo na loja Mahogany shop. Analia Franco, a primeira tentativa apresentou mensagem de erro, porém debitou as milhas da conta do cliente. 
a segunda tentativa foi com sucesso, 
consultando o Siebel, uma das transações no campo valor consta em branco. 
e o saldo do cliente continua como se as 2 transações tenham sido realizadas com sucesso. 
anexo mais detalhes e evidências. 
</t>
  </si>
  <si>
    <t>22:29</t>
  </si>
  <si>
    <t>NGC-831</t>
  </si>
  <si>
    <t>Geração Base de embossing</t>
  </si>
  <si>
    <t>Serpa, 
Segue base de embossing dos clientes que foram retidos.</t>
  </si>
  <si>
    <t>37:43</t>
  </si>
  <si>
    <t>NGC-915</t>
  </si>
  <si>
    <t>Cancelamento de Transações - Aceitável</t>
  </si>
  <si>
    <t>Savioli, conforme falamos, por favor, fechar as transações que ficaram em aceitável devido ao problema que tivemos no Siebel na manhã de hoje (24/05). Como são poucos Clientes e não cobramos no cartão, não faremos contatos, apenas cancelaremos as transações. 
Por favor, cancelar as transações em anexo, desconsiderar aquelas que tem que condição de Submit to ID.</t>
  </si>
  <si>
    <t>36:46</t>
  </si>
  <si>
    <t>NGC-1138</t>
  </si>
  <si>
    <t>New Skies API Certificate Expiration</t>
  </si>
  <si>
    <t>A Navitaire precisa trocar os certificados SSL das APIs do New Skies, pois vai expirar em 24 de Julho 2016. 
Esse certificado não pode ser estendido, por isso será necessário um novo certificado e também será trocada a criptografia de SHA1 para SHA2, que é mais seguro. 
Segue anexo os detalhes como as datas para a atualização em Test, Produção e DR.</t>
  </si>
  <si>
    <t>27:05</t>
  </si>
  <si>
    <t>NGC-977</t>
  </si>
  <si>
    <t>Solicitação - Auditoria.</t>
  </si>
  <si>
    <t>Raul, 
Conforme conversado, por favor encaminhar o arquivo de vendas de milhas/ consolidado do dia 02/04/2016. 
Para atender a demanda da auditoria. 
Att 
Marcela Dias</t>
  </si>
  <si>
    <t>32:23</t>
  </si>
  <si>
    <t>NGC-1085</t>
  </si>
  <si>
    <t>Lista de usuários ativos do Siebel.</t>
  </si>
  <si>
    <t>Prezados. 
Solicito a lista de usuários ativos no Siebel. 
Att 
Marcela Dias</t>
  </si>
  <si>
    <t>39:03</t>
  </si>
  <si>
    <t>NGC-958</t>
  </si>
  <si>
    <t>Prezados. 
Necessito da lista de usuários Ativos no Siebel. 
Att 
Marcela Dias</t>
  </si>
  <si>
    <t>34:55</t>
  </si>
  <si>
    <t>NGC-1094</t>
  </si>
  <si>
    <t>Inclusão de View</t>
  </si>
  <si>
    <t>Prezados, bom dia. 
Por favor, solicito a inclusão da view,GOL LOY Member Services New View, nas responsabilidades abaixo: 
GOL Home Page - Callcenter Nivel 2 - Contas 
GOL Audit Trail 
GOL Detalhe Contato - Alteracao 
GOL Detalhe Contato - Leitura 
GOL Detalhe Participante - Alteracao 
GOL Contact Sentitive Information 
GOL Ferramenta BackOffice Supervisor 
GOL Portal Anywhere Admin 
GOL Order/Item Resp 
Esta é a nova tela do SmilesPay. 
Att 
Marcela Dias</t>
  </si>
  <si>
    <t>40:00</t>
  </si>
  <si>
    <t>NGC-802</t>
  </si>
  <si>
    <t>Prezados, 
Solicito a lista de usuários ativos do Siebel. 
Para atender a necessidade da Auditoria. 
Att 
Marcela Dias.</t>
  </si>
  <si>
    <t>28:28</t>
  </si>
  <si>
    <t>NGC-824</t>
  </si>
  <si>
    <t>Conceder upgrade diamante</t>
  </si>
  <si>
    <t>Por favor, podem nos ajudar a conceder o upgrade para diamante a todos os clientes da lista? 
Temos a aprovação do Leonel e do Mauad. 
O vencimento deve ser em 31/03/2017.</t>
  </si>
  <si>
    <t>6:04</t>
  </si>
  <si>
    <t>NGC-1053</t>
  </si>
  <si>
    <t>Voucher Indevido</t>
  </si>
  <si>
    <t>Por favor, podem ajudar com o cancelamento/expiração do voucher abaixo? 
Foi concedido indevidamente: 
1-41491511398 
Smiles 415340800</t>
  </si>
  <si>
    <t>37:27</t>
  </si>
  <si>
    <t>NGC-800</t>
  </si>
  <si>
    <t>Milhas Expiradas Planejadas - Abril</t>
  </si>
  <si>
    <t>Poderiam, por favor, disponibilizar as milhas expiradas planejadas ref. a Abril/16</t>
  </si>
  <si>
    <t>10:37</t>
  </si>
  <si>
    <t>NGC-888</t>
  </si>
  <si>
    <t>Avaliar processo de adesão vai canal promocional - Clube Smiles</t>
  </si>
  <si>
    <t>Peço a gentileza de verificar o processo de adesão ao Clube Smiles. 
Preciso elaborar uma regra para que 04 contas Smiles específicas possam aderir a promoções do Clube Smiles sem restringir pela regra de 365 dias.</t>
  </si>
  <si>
    <t>31:04</t>
  </si>
  <si>
    <t>NGC-1091</t>
  </si>
  <si>
    <t>Criar responsabilidade chamada "GOL Smiles Pay"</t>
  </si>
  <si>
    <t>Pessoal, 
Favor criar responsabilidade chamada "GOL Smiles Pay", que contém somente uma view: GOL LOY Member Smiles Pay View em ambiente de Produção para posterior criação de acessos via chamado para equipe de acessos. 
Obrigado 
abs</t>
  </si>
  <si>
    <t>32:16</t>
  </si>
  <si>
    <t>NGC-896</t>
  </si>
  <si>
    <t>Arquivo - Auditoria.</t>
  </si>
  <si>
    <t>Para atender a demanda da Auditoria, necessito o arquivo Billing G3 (parceiro GOL) referente ao período de março a abril de 2016. 
Assunto - Tratado com o Raul Souza.</t>
  </si>
  <si>
    <t>39:20</t>
  </si>
  <si>
    <t>NGC-862</t>
  </si>
  <si>
    <t>Tela crédito retroativo automático_EMPTY (GOL Batch Files Retro Credito View)</t>
  </si>
  <si>
    <t xml:space="preserve">Os arquivos de crédito retroativo automático não estão sendo salvos nessa tela... a tela não está apresentando o total dos arquivos processados, nem o percentual das rejeições. 
</t>
  </si>
  <si>
    <t>-8:27</t>
  </si>
  <si>
    <t>NGC-960</t>
  </si>
  <si>
    <t>Tabela de aeroportos_Retirar código "BER" do MAC</t>
  </si>
  <si>
    <t>Os aeroportos BER, SXF e TLX possuem cadastrado um código na coluna MAC (BER) para agrupa-los. 
Por gentileza alterar o cadastro desses aeroportos excluindo o código BER do campo MAC.</t>
  </si>
  <si>
    <t>32:30</t>
  </si>
  <si>
    <t>NGC-1148</t>
  </si>
  <si>
    <t>Creditos estornados parceiro Experimento Viagens Viatrix</t>
  </si>
  <si>
    <t xml:space="preserve">Olá, peço por favor analisarem as transações do parceiro Viatrix. para 2 clientes foi feito o estorno de uma das transações, porém ambas constam no billing para pagamento. 
anexo está o billing e o email do parceiro explicando. 
</t>
  </si>
  <si>
    <t>39:21</t>
  </si>
  <si>
    <t>NGC-1149</t>
  </si>
  <si>
    <t>Inativar produto Estorno</t>
  </si>
  <si>
    <t>Olá conforme orientação,peço inativar, cancelar de todos os parceiros o produto Estorno de Milhas não Aéreas . 
Os parceiros que efetuam créditos através do portal de parceiros acham que com esse produto estão cancelando alguma transação. 
Obrigada.</t>
  </si>
  <si>
    <t>35:34</t>
  </si>
  <si>
    <t>NGC-918</t>
  </si>
  <si>
    <t>Retirar função "Comprador e Passageiro"</t>
  </si>
  <si>
    <t>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Por decisão conjunta, solicito que retire a função "comprador e passageiro" da tela de contatos para emissão, com isso acreditamos que a quantidade de erros irá reduzir.</t>
  </si>
  <si>
    <t>36:33</t>
  </si>
  <si>
    <t>NGC-1038</t>
  </si>
  <si>
    <t>Problema com informações do BAM da GOL</t>
  </si>
  <si>
    <t>Pendente Usuário</t>
  </si>
  <si>
    <t>Gol está com um problema no BAM do Smiles, referente a coluna Qt Milhas Siebel, os valores não estão sendo preenchidos. 
Se preferir posso te ligar para explicar melhor. 
ANDREAS LIMA 
Gerência de Soluções Backoffice /Analista 
55 (11) 5098.2604 | 
Ramal: 2604 
ajesuslima@golnaweb.com.br</t>
  </si>
  <si>
    <t>23:43</t>
  </si>
  <si>
    <t>NGC-1023</t>
  </si>
  <si>
    <t>Favor cancelar ou invalidar o voucher 1-40828577219</t>
  </si>
  <si>
    <t>39:56</t>
  </si>
  <si>
    <t>NGC-979</t>
  </si>
  <si>
    <t>GOL - INC 641455 - Intermittent high response times</t>
  </si>
  <si>
    <t xml:space="preserve">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 
</t>
  </si>
  <si>
    <t>23:06</t>
  </si>
  <si>
    <t>NGC-939</t>
  </si>
  <si>
    <t>mudança de linguagem preferencial</t>
  </si>
  <si>
    <t>Chamado criado para documentar a mudança do valor da coluna PREF_LANG_ID da tabela S_CONTACT do usuario SMILES.LSAVIOLI 
Valor antigo : null 
Valor novo : ENU</t>
  </si>
  <si>
    <t>8:25</t>
  </si>
  <si>
    <t>NGC-867</t>
  </si>
  <si>
    <t>Criar novo Job (Retro Credito)</t>
  </si>
  <si>
    <t>Cancelar o Job atual (1-H89RN1Y) e criar um novo alterando o tempo de condição das variaveis [Created] para 15. 
Essa expressão a ser alterada está no search spec do Job. 
Falar com o Romulo antes de executar.</t>
  </si>
  <si>
    <t>0:09</t>
  </si>
  <si>
    <t>NGC-1086</t>
  </si>
  <si>
    <t>Avaliação DNS</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</si>
  <si>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</si>
  <si>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39:08</t>
  </si>
  <si>
    <t>NGC-838</t>
  </si>
  <si>
    <t>Bruno, boa tarde! 
Conforme falamos, a Gol nos solicitou que sejam incluidos comentários no Siebel para os clientes que tiveram alguma retençãpo durante o processo de requalificação 2016. 
No anexo há duas bases, uma dois clientes que tiveram a manutenção da categoria e outra dos clientes que receberam o upgrade. Ambas planilhas possuem mais de uma aba com os dados do smiles e os comentários a serem inseridos. 
Poderiam me ajudar com essa demanda, por favor? 
Em caso de dúvidas, estou a disposição 
Att, 
Deborah</t>
  </si>
  <si>
    <t>10:15</t>
  </si>
  <si>
    <t>NGC-1092</t>
  </si>
  <si>
    <t>Filtro de Bins</t>
  </si>
  <si>
    <t>Bom dia. 
Recebi o e-mail da equipe de cartões Gol. 
Se aplica a nós? 
att.</t>
  </si>
  <si>
    <t>9:36</t>
  </si>
  <si>
    <t>NGC-895</t>
  </si>
  <si>
    <t>Problema point trasnfer</t>
  </si>
  <si>
    <t>Bom dia, estamos com um problema em produção. 
Identificams 3154 clientes que estão mergeados com contas canceladas. 
O impacto disso é que o Siebel se perde e cria varias transações em Loop. 
Iremos Cancelar todos os 3154 clientes e limpar o campo de Acumulo Para de todos eles. 
Atenciosamente,</t>
  </si>
  <si>
    <t>28:58</t>
  </si>
  <si>
    <t>NGC-1093</t>
  </si>
  <si>
    <t>Bounce do Smiles Confg UAT 4 para portal UAT4</t>
  </si>
  <si>
    <t>Bom dia, 
poderiam nos ajudar com um bounce do Smiles Confg UAT 4 para portal UAT4? 
Obrigado</t>
  </si>
  <si>
    <t>38:31</t>
  </si>
  <si>
    <t>NGC-848</t>
  </si>
  <si>
    <t>HTMLs de Acúmulo e Resgate</t>
  </si>
  <si>
    <t>Bom dia, 
Preciso dos htmls que estão sendo disparados pelo Siebel toda vez que o cliente tem um acúmulo ou resgate, para atualização. 
Obrigada, 
Karina</t>
  </si>
  <si>
    <t>-13:09</t>
  </si>
  <si>
    <t>NGC-883</t>
  </si>
  <si>
    <t>Alterações Emails Sistemicos - Logo Parceiras</t>
  </si>
  <si>
    <t xml:space="preserve">Boa tarde, 
Estamos com alguns emails sistêmicos com o logo das parceiras desatualizados. 
Mostramos o logo da parceira Iberia, com a qual não temos mais parceria e não temos incluso o logo das parceiras Copa, Etihad, Alitalia e Tap. 
Marketing já desenvolveu o email correto, mas precisamos que TI altere no sistema. 
Abaixo HTML do e-mail de solicitação de acumulo de milhas, com as logos das parceiras aéreas atualizadas. 
https://s3.amazonaws.com/smiles-mkt/emails/20150514/03/email.zip 
Poderiam proceder com a atualização, por favor? 
Qualquer dúvida, me avisem. 
Obrigada, 
Deborah 
CHAMADO ORIGINAL - PMO-147 
</t>
  </si>
  <si>
    <t>27:21</t>
  </si>
  <si>
    <t>NGC-1033</t>
  </si>
  <si>
    <t>Base de Reativação de Milhas</t>
  </si>
  <si>
    <t>Por favor, solicito base de milhas expiradas possíveis de reativação desde 201101.</t>
  </si>
  <si>
    <t>11:24</t>
  </si>
  <si>
    <t>Outras solicitações (Relatórios / Arquivos)</t>
  </si>
  <si>
    <t>NGC-842</t>
  </si>
  <si>
    <t>Por favor, solicito base de clientes que possuem milhas a reativar desde jan/2011. 
Obrigado!</t>
  </si>
  <si>
    <t>13:33</t>
  </si>
  <si>
    <t>7:52</t>
  </si>
  <si>
    <t>NGC-1028</t>
  </si>
  <si>
    <t>Problema no arquivo de Conciliação - Maio</t>
  </si>
  <si>
    <t>Poderiam verificar se houve um problema na linha 14208 no arquivo de Conciliação do Shopping: 
“0000000000000000000000,00Ades�o Clube Smiles (R$35/m�s)”. O arquivo em questão está em anexo</t>
  </si>
  <si>
    <t>21:29</t>
  </si>
  <si>
    <t>7:43</t>
  </si>
  <si>
    <t>NGC-1130</t>
  </si>
  <si>
    <t>Erro nos arquivos de handback e Query aéreo</t>
  </si>
  <si>
    <t>O campo "Operated Airline Code" (no arquivo handback posição 58-59, e no arquivo Query posição 58-59) gerado pelo siebel, está sendo populado com o valor "-1" ao invés de enviar o código da parceira operada (exemplo: AC). 
Peço corrigir este incidente o quanto antes, pois está impactando no processo de acumulo com as parceiras. 
Anexo arquivo de exemplo gerado pelo siebel nos ultimos dias. 
Havendo dúvidas me procurem. 
Obrigado.</t>
  </si>
  <si>
    <t>7:07</t>
  </si>
  <si>
    <t>NGC-872</t>
  </si>
  <si>
    <t>Corrigir Arquivo Mensal de Acúmulo da Auditoria</t>
  </si>
  <si>
    <t>Incluir no arquivo mensal de acúmulo as transações com tipo de milhas = "Milhas Congeneres".</t>
  </si>
  <si>
    <t>0:41</t>
  </si>
  <si>
    <t>7:14</t>
  </si>
  <si>
    <t>NGC-839</t>
  </si>
  <si>
    <t>Corrigir Arquivo Mensal de Resgate na Auditoria</t>
  </si>
  <si>
    <t>Identificar e corrigir falha no processamento do arquivo mensal de resgate de milhas que não contemplando as transações de cancelamento de compra de milhas e respectivos bônus. Corrigir para o mês de Maio e reprocessar para o mês de Abril.</t>
  </si>
  <si>
    <t>22:23</t>
  </si>
  <si>
    <t>6:25</t>
  </si>
  <si>
    <t>NGC-1039</t>
  </si>
  <si>
    <t>Extração de OPT-IN</t>
  </si>
  <si>
    <t xml:space="preserve">Hoje lançamos uma ação exclusiva com duração de 24hs e precisamos ter uma posição sobre a quantidade de Opt-in online. 
O ID é 1-IRVXY3E 
</t>
  </si>
  <si>
    <t>23:46</t>
  </si>
  <si>
    <t>NGC-1101</t>
  </si>
  <si>
    <t>Arquivo do Siebel ref. a Conciliação do Shopping (jun/16)</t>
  </si>
  <si>
    <t>Gostaria de solicitar o arquivo do Siebel ref. à conciliação do Shopping do mês de Jun/16</t>
  </si>
  <si>
    <t>3:00</t>
  </si>
  <si>
    <t>NGC-959</t>
  </si>
  <si>
    <t>Arquivo do Siebel ref. a Conciliação do Shopping</t>
  </si>
  <si>
    <t>Gostaria de solicitar o arquivo do Siebel ref. à conciliação do Shopping do mês de Mai/16</t>
  </si>
  <si>
    <t>17:15</t>
  </si>
  <si>
    <t>5:25</t>
  </si>
  <si>
    <t>NGC-947</t>
  </si>
  <si>
    <t>Milhas expiradas planejadas - Mai16</t>
  </si>
  <si>
    <t>Gostaria de solicitar as milhas expiradas planejadas de Maio</t>
  </si>
  <si>
    <t>3:41</t>
  </si>
  <si>
    <t>NGC-1119</t>
  </si>
  <si>
    <t>Gerar 2° Embossing</t>
  </si>
  <si>
    <t>Gerar relatório de 2° via de cartões entre o periodo 26/05/2016, até 04/07/2016. 
Obrigado,</t>
  </si>
  <si>
    <t>7:17</t>
  </si>
  <si>
    <t>4:52</t>
  </si>
  <si>
    <t>NGC-1131</t>
  </si>
  <si>
    <t>Geração de arquivos de acumulo e resgate - Auditoria</t>
  </si>
  <si>
    <t xml:space="preserve">Gerar arquivo de acúmulo de milhas (ocrl_itm_out) no período de 01/07 a 05/07 (até a hora que o arquivo de saldo foi gerado, acredito que foi por volta das 10:33). 
Gerar arquivo de resgate de milhas (ocrl_rdm_out) no período de 01/07 a 05/07 (até a hora que o arquivo de saldo foi gerado, acredito que foi por volta das 10:33). 
Considerar a hora de Brasília 
</t>
  </si>
  <si>
    <t>NGC-1107</t>
  </si>
  <si>
    <t>Levantar quantidade de OPT-IN ação Mala Pronta</t>
  </si>
  <si>
    <t xml:space="preserve">Favor levantar quantidade de OPT-IN: 
14:00h 
16:00h 
O optin é: 1-JBWZQBL 
</t>
  </si>
  <si>
    <t>NGC-1075</t>
  </si>
  <si>
    <t>Relatórios Semanais - Alerta 12</t>
  </si>
  <si>
    <t>Favor incluir as transações efetuadas com o produto "Concessão de milhas". 
Qualquer dúvida, peço que entre em contato. 
Obrigado.</t>
  </si>
  <si>
    <t>-8:47</t>
  </si>
  <si>
    <t>NGC-974</t>
  </si>
  <si>
    <t>Extração transações de voos G3 - Maio/2016</t>
  </si>
  <si>
    <t xml:space="preserve">Favor extrair transações de voos G3 referente ao mês de Maio de 2016 para identificar quantas transações existem no Siebel contra as do sistema de Fraude (B2E). 
</t>
  </si>
  <si>
    <t>15:37</t>
  </si>
  <si>
    <t>NGC-841</t>
  </si>
  <si>
    <t>Atualização - Alerta 08</t>
  </si>
  <si>
    <t>Favor atualizar a planilha de colaboradores e ex-colaboradores referente ao Alerta 08. Segue em anexo planilha.</t>
  </si>
  <si>
    <t>0:52</t>
  </si>
  <si>
    <t>NGC-1126</t>
  </si>
  <si>
    <t>Gerar arquivo de saldo na pasta da Auditoria</t>
  </si>
  <si>
    <t xml:space="preserve">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Peço por favor verificar o que ocorreu e salvar o arquivo de 30/06/16 na pasta da auditoria. Reforço a solicitação para, a partir do próximo mês, sempre salvar esse arquivo na pasta da auditoria. 
</t>
  </si>
  <si>
    <t>19:50</t>
  </si>
  <si>
    <t>5:28</t>
  </si>
  <si>
    <t>NGC-1052</t>
  </si>
  <si>
    <t>Extração de relatório com as novas colunas do Siebel</t>
  </si>
  <si>
    <t>Bom dia, 
Desde de o último Build do Siebel, passaram a ser gravados dados complementares das emissões de voos gol. Como esses campos ainda não estão mapeados no BI, precisamos de um relatório do Siebel com esses dados. 
O pessoal que implantou a melhoria nos passou esses parâmetros para a extração desses dados: 
Selecionar as colunas: 
TXN_ID, 
FARE_BASIS 
FARE_BASIS_CD 
da tabela SIEBEL.S_LOY_TXN 
fazendo join com as colunas: 
ATTRIB_24 as GOL_COST, 
ATTRIB_22 as PAYMENT_TOTAL, 
ATTRIB_41 as GOL_FARE_DESCRIPTION 
da tabela SIEBEL.S_LOY_TXN_X 
Poderiam, por favor, extrair os dados acima de todas as emissões Gol desde 19/06. 
Obrigado 
Rafael Moral</t>
  </si>
  <si>
    <t>14:32</t>
  </si>
  <si>
    <t>4:05</t>
  </si>
  <si>
    <t>NGC-1106</t>
  </si>
  <si>
    <t>Arquivo de Vendas Analitico</t>
  </si>
  <si>
    <t>Boa tarde, 
Identificamos os problemas abaixo no arquivo analítico de vendas: 
Reativação de Milhas: Cartão de Crédito Incompleto (14146664988424) 
Compra de Milhas Congenere: Sem valor (R$) (12751001034627) 
Recorrência do Clube Smiles está com valor zerado no arquivo do dia 25.05. 
Favor verificar.</t>
  </si>
  <si>
    <t>7:28</t>
  </si>
  <si>
    <t>NGC-1105</t>
  </si>
  <si>
    <t>Arquivo Consolidado de Vendas</t>
  </si>
  <si>
    <t xml:space="preserve">Boa tarde, 
Os arquivos de venda consolidados estão com duplicidade de bandeiras. 
Segue evidências. 
Att. 
</t>
  </si>
  <si>
    <t>6:49</t>
  </si>
  <si>
    <t>7:27</t>
  </si>
  <si>
    <t>NGC-1122</t>
  </si>
  <si>
    <t> Milhas expiradas planejadas - Jun16</t>
  </si>
  <si>
    <t>Boa tarde, 
Gostaria da base que contém tais informações 
Obrigado!</t>
  </si>
  <si>
    <t>2:09</t>
  </si>
  <si>
    <t>CSM-1042</t>
  </si>
  <si>
    <t>Lentidão no Site</t>
  </si>
  <si>
    <t>identificado que o site / mobile estão com lentidão.</t>
  </si>
  <si>
    <t>39:31</t>
  </si>
  <si>
    <t>CSM-911</t>
  </si>
  <si>
    <t>Alteração de layout de email enviado pelo site</t>
  </si>
  <si>
    <t>Troca de email com logo antigo da gol na atualização cadastral.</t>
  </si>
  <si>
    <t>37:06</t>
  </si>
  <si>
    <t>7:51</t>
  </si>
  <si>
    <t>CSM-985</t>
  </si>
  <si>
    <t>Demerge de contas</t>
  </si>
  <si>
    <t>Temos as contas 734838252 (GABRIEL LOCKE SUCHODOLSKI) e 903590962 (JOAO VITOR BARROS DE OLIVEIRA CARLOTA), que estão mescladas. 
E na conta do João não tinha dado nenhum foi inserido, pois a mãe entrou em contato solicitando atualização da conta. 
Pelo botão demerge não permite efetuar o Demerge, essa unificação provavelmente ocorreu no tempo do AS400. 
Favor verificar a possibilidade de realizar o demerge? 
Grata, 
Karina</t>
  </si>
  <si>
    <t>39:25</t>
  </si>
  <si>
    <t>CSM-1093</t>
  </si>
  <si>
    <t>735424900 - Voucher Co-branded - Sorriso 626</t>
  </si>
  <si>
    <t>Savioli, por gentileza, verifique se enviamos o e-mail sistemico do voucher para o Cliente 735424900</t>
  </si>
  <si>
    <t>24:00</t>
  </si>
  <si>
    <t>5:34</t>
  </si>
  <si>
    <t>CSM-1107</t>
  </si>
  <si>
    <t>Waves Abertas</t>
  </si>
  <si>
    <t>Savioli, poderia verificar se temos mais alguma wave que não foi enviada para vouchers de Emissão e vouchers Compra de Milhas? Se tivermos, vamos revalidar todos.</t>
  </si>
  <si>
    <t>-65:20</t>
  </si>
  <si>
    <t>5:47</t>
  </si>
  <si>
    <t>CSM-928</t>
  </si>
  <si>
    <t>Renomer pausa no RightNow - Chat</t>
  </si>
  <si>
    <t>Renomear pausa Stand by para alterar para Liderança.</t>
  </si>
  <si>
    <t>-71:46</t>
  </si>
  <si>
    <t>6:38</t>
  </si>
  <si>
    <t>CSM-1098</t>
  </si>
  <si>
    <t>Solicitação de Crédito de Milhas</t>
  </si>
  <si>
    <t>Recebi o email de possível acumulo de milhas. A compra do bilhete foi realizado via milhas, ou seja, não estaria habilitado a receber o crédito retroativo. 
Por favor analisarem o motivo real do e-mail.</t>
  </si>
  <si>
    <t>23:57</t>
  </si>
  <si>
    <t>CSM-915</t>
  </si>
  <si>
    <t>Data de nascimento incorreta no Site</t>
  </si>
  <si>
    <t>Prezados, bom dia. 
FF 379949684 esta visualizando no site sua data de nascimento 5/03/1972, data correta é 06/03/1972 e no Siebel esta correta. 
Segue em anexo o print da tela do site que o cliente encaminhou. 
Favor veriifcar. 
Grata,</t>
  </si>
  <si>
    <t>CSM-962</t>
  </si>
  <si>
    <t>Prezados, boa tarde. 
FF 359437890 esta visualizando no site sua data de nascimento 06/08/1982, data correta é 07/08/1982 e no Siebel esta correta. 
Segue em anexo o print da tela do site que o cliente encaminhou. 
Favor veriifcar. 
Grata,</t>
  </si>
  <si>
    <t>6:29</t>
  </si>
  <si>
    <t>CSM-1179</t>
  </si>
  <si>
    <t>Oscilação e lentidão Siebel</t>
  </si>
  <si>
    <t>Prezados, 
Bom Dia ! 
Peço, que verifique, pois estamos tendo lentidão no siebel, e queda do sistema, repentina, tendo que abrir novamente. 
Principalmente nas mudanças de paginas o siebel fica durante muito tempo carregando. 
Não temos pagina de erro somente lentidão e queda com retorno entre 3 a 5 minutos. 
att., 
Rosana Lacort</t>
  </si>
  <si>
    <t>26:45</t>
  </si>
  <si>
    <t>CSM-1101</t>
  </si>
  <si>
    <t>Erro ao solicitar senha</t>
  </si>
  <si>
    <t>Prezados, 
Boa tarde 
Cliente da conta Smiles 712217424 não consegue solicitar senha devido erro que segue anexo</t>
  </si>
  <si>
    <t>33:32</t>
  </si>
  <si>
    <t>CSM-1121</t>
  </si>
  <si>
    <t>Site Smiles indisponível (aba emissão)</t>
  </si>
  <si>
    <t xml:space="preserve">Prezados, 
Site Smiles está indisponível para emissão. 
Ao clicar em buscar disponibilidade, informa: OPS! 
ESTAMOS EM MANUTENÇÃO. 
Em breve estaremos de volta ; ) 
https://www.smiles.com.br/home 
</t>
  </si>
  <si>
    <t>CSM-1171</t>
  </si>
  <si>
    <t>Erro envio de senha</t>
  </si>
  <si>
    <t>Prezados, 
Os clientes não estão recebendo senha. 
Consta senha enviada no Clear Sale e os clientes não recebem. 
Provedores Gmail, Hotmail e Terra.</t>
  </si>
  <si>
    <t>29:00</t>
  </si>
  <si>
    <t>6:05</t>
  </si>
  <si>
    <t>CSM-1046</t>
  </si>
  <si>
    <t>Dificuldade na solicitação de senha</t>
  </si>
  <si>
    <t>Por gentileza, verificar erro na solicitação de senha, erro aconteceu com a Rose - Qualidade. 
Informações do erro: 
Chrome; 
Horário: 11:56 
Data: 01/06 
Numero Smiles: 401392935</t>
  </si>
  <si>
    <t>11:13</t>
  </si>
  <si>
    <t>CSM-1066</t>
  </si>
  <si>
    <t>Sorriso 626 - Não recebimento e-mail Código Promocional na Emissão</t>
  </si>
  <si>
    <t>Por gentileza, corrigir o Siebel MKT para que não fiquem mais Clientes sem receber e-mails sistemicos. 
Identificamos que no sorriso 626 uma onda de e-mails "ficou em espera" impactando 1592 clientes que ficaram sem a informação.</t>
  </si>
  <si>
    <t>2:59</t>
  </si>
  <si>
    <t>7:03</t>
  </si>
  <si>
    <t>CSM-929</t>
  </si>
  <si>
    <t>Rightnow</t>
  </si>
  <si>
    <t>Pendente Desenvolvimento</t>
  </si>
  <si>
    <t>Por algum motivo desconhecido, o diretório de instalação C:\RightNow, aparentemente após o dia 12/04 parou de funcionar. 
Favor verificar.</t>
  </si>
  <si>
    <t>-35:49</t>
  </si>
  <si>
    <t>6:52</t>
  </si>
  <si>
    <t>CSM-979</t>
  </si>
  <si>
    <t>Adesão a promoção Clube Smiles</t>
  </si>
  <si>
    <t>Peço a gentileza de verificar o processo de adesão ao clube Smiles. 
Preciso elaborar uma regra para que 04 contas Smiles específicas possam aderir a promoções do Clube Smiles desrespeitando a regra de 365 dias.</t>
  </si>
  <si>
    <t>37:21</t>
  </si>
  <si>
    <t>CSM-1213</t>
  </si>
  <si>
    <t>Cancelar adesão ao Clube Smiles</t>
  </si>
  <si>
    <t>Peço a gentileza de cancelar adesão ao Clube Smiles do cliente número 726401303.</t>
  </si>
  <si>
    <t>39:14</t>
  </si>
  <si>
    <t>CSM-1163</t>
  </si>
  <si>
    <t>Minha Conta - Layout Quebrando</t>
  </si>
  <si>
    <t>Pessoal, 
Em minha conta, ao utilizar zoom out ou zoom in, o portlet resumo extrato/clube smiles está quebrando. 
Quem achou esse bug foi o Flavio. 
Prints de exemplo em anexo, qualquer coisa estou á disposição.</t>
  </si>
  <si>
    <t>20:31</t>
  </si>
  <si>
    <t>CSM-1204</t>
  </si>
  <si>
    <t>RightNow Home Base desconecta o atendimento</t>
  </si>
  <si>
    <t>Os analistas logados em home base estão tendo seus atendimentos desconectados no RightNow. 
Exemplo / colaboradores: 
ZELIAS - ZORAYA ELIAS 
MEDLEAL - MARIA ELISABETH DURSO LEAL</t>
  </si>
  <si>
    <t>37:32</t>
  </si>
  <si>
    <t>CSM-963</t>
  </si>
  <si>
    <t>E-mail já cadastrado no sistema</t>
  </si>
  <si>
    <t>Não estou conseguindo devolver o e-mail smiles em meu cadastro Smiles, pois o e-mail regina.abreu@smiles.com.br já está sendo usado no cadastro do meu usuário smiles.rabreu. 
Peço a gentileza de verificar alteração do e-mail no cadastro do usuário para que eu possa usá-lo em meu cadastro de cliente Smiles.</t>
  </si>
  <si>
    <t>6:43</t>
  </si>
  <si>
    <t>CSM-1169</t>
  </si>
  <si>
    <t>Saldo não atualize no site Smiles 422383673</t>
  </si>
  <si>
    <t>Operação Assistida</t>
  </si>
  <si>
    <t>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t>
  </si>
  <si>
    <t>29:49</t>
  </si>
  <si>
    <t>7:21</t>
  </si>
  <si>
    <t>CSM-1150</t>
  </si>
  <si>
    <t>Saldo de milhas expirado</t>
  </si>
  <si>
    <t>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t>
  </si>
  <si>
    <t>-3:58</t>
  </si>
  <si>
    <t>CSM-1116</t>
  </si>
  <si>
    <t>Erro ao abrir solicitação de crédito TAP</t>
  </si>
  <si>
    <t>Favor verificar, pois não estamos conseguindo abrir crédito de voo TAP pelo site Smiles. 
Obs: Já verifiquei com a Talita que orientou a preencher os dados como Copa e depois mudar para Tap, mas não deu certo. 
Consta o erro: Ocorreu um erro durante o processo e sua solicitação não foi concluida. Por favor tente novamente.</t>
  </si>
  <si>
    <t>39:54</t>
  </si>
  <si>
    <t>CSM-986</t>
  </si>
  <si>
    <t>Gerar arquivo de conciliação - Testes</t>
  </si>
  <si>
    <t>Favor gerar arquivo de conciliação de compra de milhas do dia 15/04/2016</t>
  </si>
  <si>
    <t>27:10</t>
  </si>
  <si>
    <t>CSM-1070</t>
  </si>
  <si>
    <t>Mensagem: Usuário Não Identificado</t>
  </si>
  <si>
    <t>Favor corrigir o titulo da mensagem que aparece ao solicitar reset de senha para outro e-mail. Ao invés de aparecer "Usuário Não Identificado" poderia ser adicionada a mensagem "Solicitar senha" ou "solicitar senha para outro e-mail"</t>
  </si>
  <si>
    <t>39:49</t>
  </si>
  <si>
    <t>CSM-1094</t>
  </si>
  <si>
    <t>Na emissão não aparece para utilizar o voucher</t>
  </si>
  <si>
    <t xml:space="preserve">FF 731998606 se cadastrou na Promoção Dia dos Namorados - Banco do Brasil, onde ganha bônus e voucher para emissão com 30%. 
Cliente informa que ao efetuar a emissão não apareceu a opção para utilizar o voucher 1-40601079207 e efetuou a emissão do localizador AFHK7Z sem o desconto. 
A emissão do localizador foi efetuado dentro do período da promoção. 
Poderia verificar se esta com erro para aparecer o campo de selecionar o voucher para emissão referente essa promoção ? 
Grata 
</t>
  </si>
  <si>
    <t>35:18</t>
  </si>
  <si>
    <t>5:51</t>
  </si>
  <si>
    <t>CSM-1084</t>
  </si>
  <si>
    <t>Função Comprador e Passageiro no App</t>
  </si>
  <si>
    <t xml:space="preserve">Devido aos problemas que temos tido em corrigir algumas emissões congeneres que utilizaram funções de comprador e passageiro, solicito que retiremos a função do app do Smiles. 
A retirada foi validada com a diretoria em Comitê de Qualidade e com o Juridico do Smiles. 
</t>
  </si>
  <si>
    <t>38:51</t>
  </si>
  <si>
    <t>CSM-1198</t>
  </si>
  <si>
    <t>Clientes reclamando que não recebe senha.</t>
  </si>
  <si>
    <t>Dando continuidade ao erro que ocorria desde a sexta feira dia 01/07. Temos clientes reclamando que ainda não receberam senha.</t>
  </si>
  <si>
    <t>39:22</t>
  </si>
  <si>
    <t>7:29</t>
  </si>
  <si>
    <t>CSM-1085</t>
  </si>
  <si>
    <t>Validação Incorreta - Processo Recuperação de Senha</t>
  </si>
  <si>
    <t>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O Cenário esperado é que seja apresentada uma mensagem de erro para numero Smiles e o Cliente tenha oportunidade de digitar corretamente na segunda vez. 
Vou anexar os passos.</t>
  </si>
  <si>
    <t>39:15</t>
  </si>
  <si>
    <t>CSM-971</t>
  </si>
  <si>
    <t>Senha não Recebida | 424461984</t>
  </si>
  <si>
    <t>Cliente tentou realizar reset de senha para o mesmo e-mail da conta às 11h da manhã e até o momento não recebeu. 
Ainda recebeu equivocadamente o e-mail de aviso que a sua senha havia sido pedida pra outro e-mail, quando pediu pro mesmo. 
Em anexo, coloco um e-mail com assunto do aviso errado e também coloco a evidencia que o reset foi liberado automaticamente pelo sistema da ClearSale (mas a senha ainda não chegou) 
Será que a senha está sendo enviada para outro e-mail?</t>
  </si>
  <si>
    <t>-1:44</t>
  </si>
  <si>
    <t>7:35</t>
  </si>
  <si>
    <t>CSM-1016</t>
  </si>
  <si>
    <t>Erro Emissao Congenere_ Nova mensagem</t>
  </si>
  <si>
    <t>Buenas tardes! 
Segue nova mensagem que aparece ao cliente, onde pelo que analizamos, o cliente ve disponibilidade no site, e nos vemos por aqui via siebel, porém gera um erro de emissao, anexo. 
Porém ao visualizar a disponibilidade via amadeus nao temos dispo no trecho completo. 
Referencia chamado: CMS 164, item 11na planilha no quality. 
439404792</t>
  </si>
  <si>
    <t>39:59</t>
  </si>
  <si>
    <t>CSM-1015</t>
  </si>
  <si>
    <t>Cliente nao visualiza SS no site</t>
  </si>
  <si>
    <t>Buenas tardes! 
Por favor, verificar pois temos alguns casos onde o cliente nao visualiza as solicitacoes abertas no Siebel no site. 
Conta: 439404792 
Nao conseguimos o print do site no cliente, pois ele nao cosnegue ver as ss para anexar o print,</t>
  </si>
  <si>
    <t>CSM-1028</t>
  </si>
  <si>
    <t>Nome ADT</t>
  </si>
  <si>
    <t>Bom dia, 
Estamos com algumas reservas GOL sendo emitidas com o nome ADT, impactando no embarque.</t>
  </si>
  <si>
    <t>31:21</t>
  </si>
  <si>
    <t>CSM-1174</t>
  </si>
  <si>
    <t>Reclamação Fechada</t>
  </si>
  <si>
    <t>Bom dia! 
Favor verificar o motivo da Reclamação ter sido fechada. 
Na trilha de auditoria não mostra quem fechou. 
A Abertura foi feita no chat e validada pela colaboradora. 
Reclamação: 1-41290149057 
Smiles 1-41290149057 
Atendente: AGOSANTOS 
Obrigado!</t>
  </si>
  <si>
    <t>17:02</t>
  </si>
  <si>
    <t>5:01</t>
  </si>
  <si>
    <t>CSM-1059</t>
  </si>
  <si>
    <t>ERRO PARA EMISSÃO E CANCELAMENTO</t>
  </si>
  <si>
    <t>Boa tarde, os sistemas: SITE SMILES e SIEBEL estão apresentando erros e intermitência para realizar emissão e cancelamento. No site aparece a mensagem para o cliente tentar novamente mais tarde.</t>
  </si>
  <si>
    <t>CSM-936</t>
  </si>
  <si>
    <t>Solicitações com campos em branco</t>
  </si>
  <si>
    <t>Boa tarde, 
Verificamos que algumas Solicitações estão sendo criadas com alguns campos em branco. Anexo a evidência.</t>
  </si>
  <si>
    <t>-45:26</t>
  </si>
  <si>
    <t>6:54</t>
  </si>
  <si>
    <t>CSM-1057</t>
  </si>
  <si>
    <t>Erro para impressão de Cartão Smiles</t>
  </si>
  <si>
    <t xml:space="preserve">Boa noite Prezados. 
Os clientes estão reclamando que não conseguem fazer a impressão de cartão corretamente. 
Fiz teste na minha conta e o sistema abre a tela de cartão, mas na sequencia está desconfigurado, quando clicamos em imprimir o sistema carrega tudo que há na tela na impressão. 
Por favor, verifiquem. 
Obrigada. 
O cliente diamante, não apreciou a configuração do site. Ele ainda não recebeu o cartão e foi imprimir um provisório. 
Cliente RENATO TURQUENITCH 
Smiles 065980235 
</t>
  </si>
  <si>
    <t>15:44</t>
  </si>
  <si>
    <t>CSM-1013</t>
  </si>
  <si>
    <t>Erro escolha de bandeira de cartão de crédito</t>
  </si>
  <si>
    <t>A cliente esta tentando se cadastrar na promoção Santander Van Gogh, porém não consegue selecionar a bandeira de cartão, porque o site já esta selecionado o cartão Smiles.</t>
  </si>
  <si>
    <t>CSM-1081</t>
  </si>
  <si>
    <t>Problema de Timeout - BigData</t>
  </si>
  <si>
    <t>Em Atendimento</t>
  </si>
  <si>
    <t>A BigData esta demorando para devolver as questões ao cliente no reset de senha para outro e-mail</t>
  </si>
  <si>
    <t>-121:17</t>
  </si>
  <si>
    <t>Sim</t>
  </si>
  <si>
    <t>Não</t>
  </si>
  <si>
    <t>Categoria existe?</t>
  </si>
  <si>
    <t>Executar Script</t>
  </si>
  <si>
    <t>Não definido</t>
  </si>
  <si>
    <t>-</t>
  </si>
  <si>
    <t>Executar Script (Represar)</t>
  </si>
  <si>
    <t>Categoria Sugerida/Correspondemte</t>
  </si>
  <si>
    <t>Erro De Transação</t>
  </si>
  <si>
    <t>Gerar Relatórios</t>
  </si>
  <si>
    <t>Erro Relacionado a Voucher</t>
  </si>
  <si>
    <t xml:space="preserve">Erros Relacionados a bonificação de Revalidação de milhas </t>
  </si>
  <si>
    <t>Executar  Script</t>
  </si>
  <si>
    <t>Erro no processamento de transações</t>
  </si>
  <si>
    <t>Problemas com arquivos de venda de milhas.</t>
  </si>
  <si>
    <t>Erros Relacionados a Voucher</t>
  </si>
  <si>
    <t>Lentidão no portal de parceiros</t>
  </si>
  <si>
    <t>Criar Job</t>
  </si>
  <si>
    <t>Criar ou Alterar entradas DNS</t>
  </si>
  <si>
    <t>Inclusão Comentári+J81+C81:K81+C81:M81+C81:L81+C81:K81</t>
  </si>
  <si>
    <t>Bounce Do Pricing</t>
  </si>
  <si>
    <t>Executar Flush Akamai (limpar cache)</t>
  </si>
  <si>
    <t>Compra/Trasnferência/Reativação de Milhas B2E</t>
  </si>
  <si>
    <t>Informações para Auditoria Interna e Externa</t>
  </si>
  <si>
    <t>sim</t>
  </si>
  <si>
    <t xml:space="preserve">Erro de Processo de </t>
  </si>
  <si>
    <t>Erros relacionados a Cobrança</t>
  </si>
  <si>
    <t>Indisponibilidade Siebel e/ou Smiles Pay</t>
  </si>
  <si>
    <t xml:space="preserve">Sim </t>
  </si>
  <si>
    <t>Manutenção de Promoções</t>
  </si>
  <si>
    <t>Erros relacionados aos Produtos Compra, Reativação, Transferência, Clube Smiles</t>
  </si>
  <si>
    <t>Erros Rightnow</t>
  </si>
  <si>
    <t>Erros relacionados a envio e recebimento de e-mails</t>
  </si>
  <si>
    <t>Erros relacionados a Saldo Divergente</t>
  </si>
  <si>
    <t>Erros relacionados a Certificados</t>
  </si>
  <si>
    <t>Processar arquivos de crédito retroativo e parceiras aereas.</t>
  </si>
  <si>
    <t>Reset de Senha Clearsale</t>
  </si>
  <si>
    <t>URA de Atendimento não está autenticando para TODOS os clientes</t>
  </si>
  <si>
    <t>Processo de Emissão Congênere com erro em apenas um Trecho ou para um Cliente Específico</t>
  </si>
  <si>
    <t>Erros de Promoção / Bonificação</t>
  </si>
  <si>
    <t>Rótulos de Linha</t>
  </si>
  <si>
    <t>Contagem de Categoria existe?</t>
  </si>
  <si>
    <t>(vazio)</t>
  </si>
  <si>
    <t>Total Geral</t>
  </si>
  <si>
    <t>ID+J1A1:I1A1:HA1:M1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</si>
</sst>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0"/>
      <name val="Calibri"/>
      <family val="2"/>
      <scheme val="minor"/>
    </font>
    <font>
      <sz val="9"/>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theme="0"/>
      </bottom>
      <diagonal/>
    </border>
  </borders>
  <cellStyleXfs count="1">
    <xf numFmtId="0" fontId="0" fillId="0" borderId="0"/>
  </cellStyleXfs>
  <cellXfs count="20">
    <xf numFmtId="0" fontId="0" fillId="0" borderId="0" xfId="0"/>
    <xf numFmtId="0" fontId="0" fillId="0" borderId="0" xfId="0" applyAlignment="1">
      <alignment vertical="center" wrapText="1"/>
    </xf>
    <xf numFmtId="22" fontId="0" fillId="0" borderId="0" xfId="0" applyNumberForma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3" borderId="0" xfId="0" applyFill="1" applyAlignment="1">
      <alignment vertical="center" wrapText="1"/>
    </xf>
    <xf numFmtId="22" fontId="0" fillId="3" borderId="0" xfId="0" applyNumberFormat="1" applyFill="1" applyAlignment="1">
      <alignment vertical="center" wrapText="1"/>
    </xf>
    <xf numFmtId="0" fontId="0" fillId="3" borderId="0" xfId="0" applyFill="1" applyAlignment="1">
      <alignment horizontal="left" vertical="center" wrapText="1"/>
    </xf>
    <xf numFmtId="0" fontId="2" fillId="0" borderId="2" xfId="0" applyFont="1" applyFill="1" applyBorder="1" applyAlignment="1">
      <alignment vertical="center" wrapText="1"/>
    </xf>
    <xf numFmtId="0" fontId="0" fillId="3" borderId="0" xfId="0" applyFill="1" applyAlignment="1">
      <alignment horizontal="center" vertical="center" wrapText="1"/>
    </xf>
    <xf numFmtId="0" fontId="2" fillId="3" borderId="2" xfId="0" applyFont="1" applyFill="1" applyBorder="1" applyAlignment="1">
      <alignment vertical="center"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xf numFmtId="0" fontId="0" fillId="0" borderId="0" xfId="0" applyFill="1" applyAlignment="1">
      <alignment vertical="center" wrapText="1"/>
    </xf>
    <xf numFmtId="22" fontId="0" fillId="0" borderId="0" xfId="0" applyNumberFormat="1" applyFill="1" applyAlignment="1">
      <alignment vertical="center" wrapText="1"/>
    </xf>
    <xf numFmtId="0" fontId="0" fillId="0" borderId="0" xfId="0" applyFill="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or" refreshedDate="42572.358852893522" createdVersion="6" refreshedVersion="6" minRefreshableVersion="3" recordCount="52">
  <cacheSource type="worksheet">
    <worksheetSource name="Tabela1"/>
  </cacheSource>
  <cacheFields count="12">
    <cacheField name="Chave" numFmtId="0">
      <sharedItems/>
    </cacheField>
    <cacheField name="Resumo" numFmtId="0">
      <sharedItems/>
    </cacheField>
    <cacheField name="Prioridade" numFmtId="0">
      <sharedItems/>
    </cacheField>
    <cacheField name="Status" numFmtId="0">
      <sharedItems/>
    </cacheField>
    <cacheField name="Criado" numFmtId="22">
      <sharedItems containsSemiMixedTypes="0" containsNonDate="0" containsDate="1" containsString="0" minDate="2016-05-05T17:44:00" maxDate="2016-07-08T09:35:00"/>
    </cacheField>
    <cacheField name="Atualizado" numFmtId="22">
      <sharedItems containsSemiMixedTypes="0" containsNonDate="0" containsDate="1" containsString="0" minDate="2016-05-12T08:00:00" maxDate="2016-07-08T09:35:00"/>
    </cacheField>
    <cacheField name="Descrição" numFmtId="0">
      <sharedItems longText="1"/>
    </cacheField>
    <cacheField name="Categoria existe?" numFmtId="0">
      <sharedItems containsBlank="1" count="4">
        <s v="Não"/>
        <s v="Não definido"/>
        <s v="Sim"/>
        <m/>
      </sharedItems>
    </cacheField>
    <cacheField name="Categoria Sugerida/Correspondemte" numFmtId="0">
      <sharedItems containsBlank="1"/>
    </cacheField>
    <cacheField name="Tempo de Resolução" numFmtId="0">
      <sharedItems/>
    </cacheField>
    <cacheField name="Tempo de Resposta" numFmtId="0">
      <sharedItems/>
    </cacheField>
    <cacheField name="Customer Request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2">
  <r>
    <s v="NGC-1030"/>
    <s v="Processar Arquivos QueryFromPartner"/>
    <s v="Alta"/>
    <s v="Fechado"/>
    <d v="2016-06-16T15:05:00"/>
    <d v="2016-06-19T18:32:00"/>
    <s v="é necessário processar os arquivos QueryFromPartner que estão disponíveis em [.../incoming/QueryFromPartner] _x000a__x000a__x000a__x000a_arquivos disponiveis na pasta: _x000a_query_flight_ACtoG3_20160608_201503_074.txt _x000a_query_flight_ACtoG3_20160609_201033_092.txt _x000a_query_flight_ACtoG3_20160610_205032_091.txt _x000a_query_flight_ACtoG3_20160611_203033_030.txt _x000a_query_flight_ACtoG3_20160613_013039_013.txt _x000a_query_flight_ACtoG3_20160613_203240_088.txt _x000a_query_flight_ACtoG3_20160614_203248_019.txt _x000a_query_flight_ACtoG3_20160615_203242_042.txt _x000a_query_flight_CMtoG3_20160613_101539_051.txt _x000a_query_flight_TPtoG3_20160609_081521_022.txt _x000a_query_flight_TPtoG3_20160610_082749_043.txt _x000a_query_flight_TPtoG3_20160611_081242_012.txt _x000a_query_flight_TPtoG3_20160612_091437_082.txt _x000a_query_flight_TPtoG3_20160613_080045_039.txt _x000a_query_flight_TPtoG3_20160614_083301_058.txt _x000a_query_flight_TPtoG3_20160615_083311_065.txt _x000a_query_flight_TPtoG3_20160616_082807_086.txt _x000a_"/>
    <x v="0"/>
    <s v="Executar Script"/>
    <s v="14:06"/>
    <s v="7:59"/>
    <s v="Outras solicitações (EDI)"/>
  </r>
  <r>
    <s v="NGC-1114"/>
    <s v="Arquivos download DOTZ"/>
    <s v="Alta"/>
    <s v="Pendente Fornecedor"/>
    <d v="2016-07-01T15:17:00"/>
    <d v="2016-07-06T14:17:00"/>
    <s v="Você poderia verificar se temos um tempo limite para baixar os arquivos de retorno ? Percebi que alguns arquivos somem da área de download. _x000a__x000a_Aproveitando pode disponibilizar os lotes abaixo: _x000a_• 2017 _x000a_• 2038 _x000a_• 2051 _x000a_• 2064 _x000a_• 2065 _x000a_• 2066 _x000a_• 2067 _x000a_• 2068 _x000a_• 2069 _x000a_• 2070 _x000a_• 2071 _x000a__x000a_parceiro DOTZ _x000a_Alias: DOT"/>
    <x v="1"/>
    <s v="-"/>
    <s v="-11:35"/>
    <s v="7:16"/>
    <s v="Outras solicitações (EDI)"/>
  </r>
  <r>
    <s v="NGC-858"/>
    <s v="Processar Transações TAP"/>
    <s v="Alta"/>
    <s v="Fechado"/>
    <d v="2016-05-11T20:12:00"/>
    <d v="2016-05-20T08:00:00"/>
    <s v="@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quot;De ACORDO&quot; da TAP para creditarmos aos clientes as milhas. Como o volume é muito grande, preciso do auxilio de TI para efetivar. _x000a_Promoção da TAP alterada através do JIRA _x000a_NGC-826 temporariamente para ocorrer esse processamento. _x000a_Anexo OK do parceiro e Carlos Mauad."/>
    <x v="2"/>
    <m/>
    <s v="-2:27"/>
    <s v="6:21"/>
    <s v="Outras solicitações (EDI)"/>
  </r>
  <r>
    <s v="NGC-986"/>
    <s v="20160601020604_billing_flight.txt"/>
    <s v="Alta"/>
    <s v="Fechado"/>
    <d v="2016-06-06T17:40:00"/>
    <d v="2016-06-10T08:00:00"/>
    <s v="A INDRA informou que o arquivo de billing referente a Maio/2016 está com erros. _x000a__x000a_Por gentileza, podem verificar? _x000a__x000a_Resposta da INDRA: &quot;El registro 7831 parece estar mal. Por lo que veo tiene un error de encoding que hace que se mueva 1 lugar a la derecha el layout. Y donde dice &quot;GIGLIS&quot;, antes debería ir el flightDate.&quot; _x000a__x000a__x000a_"/>
    <x v="2"/>
    <m/>
    <s v="19:53"/>
    <s v="7:50"/>
    <s v="Outras solicitações (EDI)"/>
  </r>
  <r>
    <s v="NGC-989"/>
    <s v="Favor processar os arquivos Query anexo"/>
    <s v="Alta"/>
    <s v="Fechado"/>
    <d v="2016-06-06T22:22:00"/>
    <d v="2016-06-11T08:00:00"/>
    <s v="Srs, favor processar os arquivos anexo. _x000a__x000a_Obrigado,"/>
    <x v="2"/>
    <m/>
    <s v="0:15"/>
    <s v="8:00"/>
    <s v="Outras solicitações (EDI)"/>
  </r>
  <r>
    <s v="NGC-1015"/>
    <s v="Processar arquivo de response TAP"/>
    <s v="Alta"/>
    <s v="Fechado"/>
    <d v="2016-06-13T15:25:00"/>
    <d v="2016-06-15T08:00:00"/>
    <s v="Srs, boa tarde, _x000a_O parceiro TAP informou que disponibilizou 2 novos arquivos de response. _x000a_Favor processar. _x000a_Obrigado."/>
    <x v="2"/>
    <m/>
    <s v="21:32"/>
    <s v="6:57"/>
    <s v="Outras solicitações (EDI)"/>
  </r>
  <r>
    <s v="NGC-853"/>
    <s v="Processar arquivo de response TAP"/>
    <s v="Alta"/>
    <s v="Fechado"/>
    <d v="2016-05-10T16:02:00"/>
    <d v="2016-05-13T08:00:00"/>
    <s v="A arquivo anterior estava com número de transação, assim segue arquivo corrigido agora com o numero de SS, favor processar. _x000a_Obrigado,"/>
    <x v="2"/>
    <m/>
    <s v="17:32"/>
    <s v="7:59"/>
    <s v="Outras solicitações (EDI)"/>
  </r>
  <r>
    <s v="NGC-1021"/>
    <s v="Processar arquivos de accrual Etihad (EY)"/>
    <s v="Alta"/>
    <s v="Fechado"/>
    <d v="2016-06-14T15:23:00"/>
    <d v="2016-06-17T08:00:00"/>
    <s v="Srs boa tarde, o parceiro sinalizou que enviou arquivos no dia 03/06, porém os mesmos ainda não aparecem no siebel (segundo o Maikon), favor verificar e se estiverem pendente processa-los. _x000a_Peço também para que deixe este processo de accrual/handback automatizado para esta parceria. _x000a_Obrigado. _x000a_"/>
    <x v="2"/>
    <m/>
    <s v="19:05"/>
    <s v="5:23"/>
    <s v="Outras solicitações (EDI)"/>
  </r>
  <r>
    <s v="NGC-859"/>
    <s v="Processar arquivo de response TAP"/>
    <s v="Alta"/>
    <s v="Fechado"/>
    <d v="2016-05-11T20:44:00"/>
    <d v="2016-05-19T08:00:00"/>
    <s v="Raul, favor processar os arquivos de response TAP anexo. Obrigado. _x000a_"/>
    <x v="2"/>
    <m/>
    <s v="-2:18"/>
    <s v="6:21"/>
    <s v="Outras solicitações (EDI)"/>
  </r>
  <r>
    <s v="NGC-998"/>
    <s v="Habilitar processo automatico para processar arquivos de Accrual Aeromexico"/>
    <s v="Alta"/>
    <s v="Fechado"/>
    <d v="2016-06-09T15:14:00"/>
    <d v="2016-06-12T08:00:00"/>
    <s v="A tivit começou a enviar arquivos de accrual diariamente, os primeiros valiamos manualmente, agora que o processo está maduro peço ativar o processo automatico para os arquivos de accrual e handback desta parceira. _x000a_Inclusive a tivit ja enviou alguns arquivos na incoming. _x000a_Obrigado"/>
    <x v="2"/>
    <m/>
    <s v="16:13"/>
    <s v="6:09"/>
    <s v="Outras solicitações (EDI)"/>
  </r>
  <r>
    <s v="NGC-871"/>
    <s v="Processar arquivo de response Etihad"/>
    <s v="Alta"/>
    <s v="Fechado"/>
    <d v="2016-05-13T14:53:00"/>
    <d v="2016-05-15T08:00:00"/>
    <s v="Raul, favor processar novamente o ultimo response da eithad, que estávamos tratando no chamado _x000a__x000a_NGC-847 _x000a__x000a_Pois o mesmo deve ser processado no wf antigo. _x000a_Obrigado,"/>
    <x v="2"/>
    <m/>
    <s v="23:01"/>
    <s v="7:55"/>
    <s v="Outras solicitações (EDI)"/>
  </r>
  <r>
    <s v="NGC-980"/>
    <s v="Arquivos de accrual Codeshare Etihad"/>
    <s v="Alta"/>
    <s v="Fechado"/>
    <d v="2016-06-06T08:43:00"/>
    <d v="2016-06-08T08:00:00"/>
    <s v="Raul, bom dia. _x000a__x000a_A INDRA começou a enviar o arquivo Codeshare da Etihad (GE). _x000a__x000a_Por gentileza, pode verificar se os arquivos estão sendo recebidos e se está tudo ok? _x000a__x000a_Obs: Esse arquivo não pode ter conflito com o arquivo de accrual Etihad (EY) _x000a_"/>
    <x v="0"/>
    <s v="Executar Script"/>
    <s v="18:36"/>
    <s v="7:30"/>
    <s v="Outras solicitações (EDI)"/>
  </r>
  <r>
    <s v="NGC-884"/>
    <s v="Arquivos de accrual AM"/>
    <s v="Alta"/>
    <s v="Fechado"/>
    <d v="2016-05-17T16:23:00"/>
    <d v="2016-05-21T08:00:00"/>
    <s v="Raul, boa tarde, _x000a__x000a_Pode verificar porque estes arquivos de handback estão sendo gerados? Pois verifiquei com o Gustavo e ainda não estamos recebendo os arquivos de accrual do parceiro. _x000a__x000a_Obrigado, _x000a_"/>
    <x v="2"/>
    <m/>
    <s v="6:23"/>
    <s v="5:41"/>
    <s v="Outras solicitações (EDI)"/>
  </r>
  <r>
    <s v="NGC-911"/>
    <s v="TAP Accrual/Handback"/>
    <s v="Alta"/>
    <s v="Fechado"/>
    <d v="2016-05-23T14:11:00"/>
    <d v="2016-05-26T08:00:00"/>
    <s v="Raul, _x000a__x000a_Consegue me mandar os arquivos de accrual/handback que processamos pra TAP nos dias 10, 11, 12, 13, 14 e 15 de janeiro? Pois precisamos analisar um cenário de produção. _x000a_Obrigado, _x000a_"/>
    <x v="2"/>
    <m/>
    <s v="20:41"/>
    <s v="7:53"/>
    <s v="Outras solicitações (EDI)"/>
  </r>
  <r>
    <s v="NGC-953"/>
    <s v="Processar arquivo de response Etihad"/>
    <s v="Alta"/>
    <s v="Fechado"/>
    <d v="2016-06-01T10:23:00"/>
    <d v="2016-06-10T08:00:00"/>
    <s v="Processar arquivos response disponibilizados pela parceira Etihad."/>
    <x v="0"/>
    <s v="Executar Script"/>
    <s v="-20:22"/>
    <s v="7:45"/>
    <s v="Outras solicitações (EDI)"/>
  </r>
  <r>
    <s v="NGC-920"/>
    <s v="Processar arquivos Quey enviados pelas parceiras"/>
    <s v="Alta"/>
    <s v="Fechado"/>
    <d v="2016-05-25T12:21:00"/>
    <d v="2016-06-10T08:00:00"/>
    <s v="Processar arquivos Query enviados pelas parceiras e habilitar o processo para que seja executado semanalmente de forma automatica, enviando em seguida o response ao parceiro. _x000a_Obrigado, _x000a_"/>
    <x v="0"/>
    <s v="Executar Script"/>
    <s v="-33:06"/>
    <s v="8:00"/>
    <s v="Outras solicitações (EDI)"/>
  </r>
  <r>
    <s v="NGC-1153"/>
    <s v="Transações &quot;Rejeitado - Mecanismo&quot; LIVELO"/>
    <s v="Alta"/>
    <s v="Aberto"/>
    <d v="2016-07-08T09:35:00"/>
    <d v="2016-07-08T09:35:00"/>
    <s v="Por favor, podem verificar essas transações e o motivo da &quot;rejeição - mecanismo&quot;? _x000a__x000a_1-JMD2Q0K / 1-JMD15D2 / 1-JMCUJVM / 1-JMCEV3O / 1-JMCBX7G / 1-JMC6D7V / 1-JMBUB72 / 1-JMBSIR0 / 1-JMBCFTW / 1-JMB1ZG6 / 1-JMAYSNO / 1-JMASX44 / 1-JM9SSWH"/>
    <x v="2"/>
    <m/>
    <s v="23:42"/>
    <s v="7:42"/>
    <s v="Outras solicitações (EDI)"/>
  </r>
  <r>
    <s v="NGC-1125"/>
    <s v="Informações BDB"/>
    <s v="Alta"/>
    <s v="Fechado"/>
    <d v="2016-07-05T10:12:00"/>
    <d v="2016-07-08T08:00:00"/>
    <s v="Por favor, podem nos ajudar a levantar as informações abaixo sobre os arquivos 02086 e 02087? _x000a__x000a_- Quantas transações havia no arquivo (cenário com e sem cobranded)? _x000a_- Quantas milhas havia no arquivo (cenário com e sem cobranded)?"/>
    <x v="0"/>
    <s v="Executar Script"/>
    <s v="14:50"/>
    <s v="5:05"/>
    <s v="Outras solicitações (EDI)"/>
  </r>
  <r>
    <s v="NGC-1142"/>
    <s v="Disponibilizar arquivo de accrual BBR e BAB"/>
    <s v="Alta"/>
    <s v="Resolvido"/>
    <d v="2016-07-07T09:13:00"/>
    <d v="2016-07-07T09:25:00"/>
    <s v="Por favor, podem me disponibilizar os arquivos BBR e BAB que foram represados de ontem para hoje?"/>
    <x v="3"/>
    <m/>
    <s v="23:56"/>
    <s v="7:56"/>
    <s v="Outras solicitações (EDI)"/>
  </r>
  <r>
    <s v="NGC-1143"/>
    <s v="Disponibilizar arquivo de accrual BBR e BAB"/>
    <s v="Alta"/>
    <s v="Resolvido"/>
    <d v="2016-07-07T09:24:00"/>
    <d v="2016-07-07T11:30:00"/>
    <s v="Por favor, podem disponibilizar os seguintes arquivos? _x000a__x000a_BBR: 00577 a 00580 _x000a_BAB: 06091 _x000a__x000a_Pode identificar os arquivos com os sequenciais, por favor?"/>
    <x v="3"/>
    <m/>
    <s v="22:14"/>
    <s v="7:46"/>
    <s v="Outras solicitações (EDI)"/>
  </r>
  <r>
    <s v="NGC-1146"/>
    <s v="Disponibilizar arquivo de accrual BDB"/>
    <s v="Alta"/>
    <s v="Resolvido"/>
    <d v="2016-07-07T12:02:00"/>
    <d v="2016-07-07T15:43:00"/>
    <s v="Por favor, podem disponibilizar os arquivos abaixo, identificando os sequenciais da cada um? _x000a__x000a_02086 _x000a_02087 _x000a_02088 _x000a_02089 _x000a_02090 _x000a_"/>
    <x v="3"/>
    <m/>
    <s v="22:25"/>
    <s v="7:38"/>
    <s v="Outras solicitações (EDI)"/>
  </r>
  <r>
    <s v="NGC-1024"/>
    <s v="Voucher Duplicado"/>
    <s v="Alta"/>
    <s v="Fechado"/>
    <d v="2016-06-14T17:13:00"/>
    <d v="2016-06-16T08:00:00"/>
    <s v="Por favor, podem ajudar a invalidar esses vouchers concedidos em duplicidade (CB-252): _x000a__x000a_Smiles: 003261871 / Voucher: 1-40831567406 _x000a_Smiles: 424572120 / Voucher: 1-40831567439"/>
    <x v="2"/>
    <m/>
    <s v="23:41"/>
    <s v="7:49"/>
    <s v="Outras solicitações (EDI)"/>
  </r>
  <r>
    <s v="NGC-1141"/>
    <s v="Arquivos BDB e BBR/BAB/BRA"/>
    <s v="Alta"/>
    <s v="Fechado"/>
    <d v="2016-07-06T17:14:00"/>
    <d v="2016-07-08T08:00:00"/>
    <s v="Pessoal, por favor, podem me ajudar com essas questões? _x000a__x000a_*BDB*: liberar o processamento _x000a__x000a_*BAB/BBR/BRA*: manter os arquivos represados"/>
    <x v="0"/>
    <s v="Executar Script"/>
    <s v="23:56"/>
    <s v="7:57"/>
    <s v="Outras solicitações (EDI)"/>
  </r>
  <r>
    <s v="NGC-975"/>
    <s v="Expirar Voucher Conselheiro"/>
    <s v="Alta"/>
    <s v="Fechado"/>
    <d v="2016-06-03T10:30:00"/>
    <d v="2016-06-05T08:00:00"/>
    <s v="Pessoal, _x000a__x000a_Favor expirar o voucher abaixo com data de ontem: _x000a__x000a_1-40041577974 _x000a__x000a_Obrigado _x000a__x000a_abs"/>
    <x v="2"/>
    <m/>
    <s v="23:53"/>
    <s v="7:54"/>
    <s v="Outras solicitações (EDI)"/>
  </r>
  <r>
    <s v="NGC-1004"/>
    <s v="Processar arquivo de response"/>
    <s v="Alta"/>
    <s v="Fechado"/>
    <d v="2016-06-09T20:07:00"/>
    <d v="2016-06-15T08:00:00"/>
    <s v="Os arquivos estavam com problemas e foram corrigidos, favor processa-los, já estão validados. _x000a_Obrigado."/>
    <x v="0"/>
    <s v="Executar Script"/>
    <s v="9:09"/>
    <s v="8:00"/>
    <s v="Outras solicitações (EDI)"/>
  </r>
  <r>
    <s v="NGC-844"/>
    <s v="Parceiro DOTZ cliente - Fernando"/>
    <s v="Alta"/>
    <s v="Fechado"/>
    <d v="2016-05-09T11:20:00"/>
    <d v="2016-05-18T08:00:00"/>
    <s v="Olá, poderiam por favor verificar o motivo pelo qual o crédito do cliente abaixo: _x000a_Cliente FERNANDO EUSTAQUIO COSTA _x000a_CPF 73876232872 _x000a_E-mail fernando4196@hotmail.com _x000a__x000a_Telefone 12-38332228 / 12- 99151885 _x000a_Ocorrência OCOR-3340331-Q5R6S9 _x000a_Número do pedido 18203539 _x000a_Data da troca 04/03/2016 _x000a_Produto Programa Smiles - 1.000 Milhas _x000a__x000a__x000a_não foi creditado pelo parceiro DOTZ. _x000a_o envio do arquivo ocorreu no dia 04/03. _x000a__x000a_Obrigada"/>
    <x v="2"/>
    <m/>
    <s v="-21:39"/>
    <s v="7:20"/>
    <s v="Outras solicitações (EDI)"/>
  </r>
  <r>
    <s v="NGC-1014"/>
    <s v="Processar arquivos de accrual QR"/>
    <s v="Alta"/>
    <s v="Fechado"/>
    <d v="2016-06-13T14:17:00"/>
    <d v="2016-06-16T08:00:00"/>
    <s v="O parceiro teve problemas com o serviço FTP e encaminhou os arquivos de accrual por email, assim favor processar os arquivos anexo. _x000a_Obrigado."/>
    <x v="0"/>
    <s v="Executar Script"/>
    <s v="20:17"/>
    <s v="7:50"/>
    <s v="Outras solicitações (EDI)"/>
  </r>
  <r>
    <s v="NGC-1019"/>
    <s v="Atualizar Planilha do chamado"/>
    <s v="Alta"/>
    <s v="Fechado"/>
    <d v="2016-06-14T12:21:00"/>
    <d v="2016-06-16T08:00:00"/>
    <s v="O parceiro precisa da informação [Numero do Pedido] na planilha disponibilizada no chamado NGC-973"/>
    <x v="2"/>
    <m/>
    <s v="21:16"/>
    <s v="8:00"/>
    <s v="Outras solicitações (EDI)"/>
  </r>
  <r>
    <s v="NGC-943"/>
    <s v="Não processar arquivo CEC 00268 em 31/5"/>
    <s v="Alta"/>
    <s v="Fechado"/>
    <d v="2016-05-31T14:21:00"/>
    <d v="2016-06-03T08:00:00"/>
    <s v="Mauad solicitou que o arquivo CEC enviado pelo parceiro Caixa no dia 31/5 não seja processado no Siebel no dia de hoje. _x000a__x000a_Última sequencia recebida e processada no Siebel foi a CEC 00267 recebida em 30/05. _x000a_"/>
    <x v="0"/>
    <s v="Executar Script"/>
    <s v="20:49"/>
    <s v="7:59"/>
    <s v="Outras solicitações (EDI)"/>
  </r>
  <r>
    <s v="NGC-1008"/>
    <s v="Alerta TIVIT - Arquivos de crédito retroativo"/>
    <s v="Alta"/>
    <s v="Fechado"/>
    <d v="2016-06-10T09:38:00"/>
    <d v="2016-07-04T19:49:00"/>
    <s v="Gostaríamos de criar um novo processo de alerta para os arquivos de crédito retroativo automático. _x000a__x000a_Escopo: Quando a TIVIT entregar um arquivo query para o parceiro aéreo deverá ser enviado um email para a área comercial com as seguintes informações: _x000a__x000a_- Nomenclatura do arquivo entregue. _x000a_- Diretório no qual o arquivo foi depositado. _x000a_- Data de entrega. _x000a_- Nome do parceiro."/>
    <x v="0"/>
    <s v="Executar Script"/>
    <s v="-6:20"/>
    <s v="6:34"/>
    <s v="Outras solicitações (EDI)"/>
  </r>
  <r>
    <s v="NGC-944"/>
    <s v="Gerar novo arquivo Query"/>
    <s v="Alta"/>
    <s v="Fechado"/>
    <d v="2016-05-31T15:02:00"/>
    <d v="2016-06-08T08:00:00"/>
    <s v="Gerar novo arquivo query para os parceiros abaixo: _x000a_COPA _x000a_AirCanada _x000a_TAP _x000a_Etihad _x000a__x000a_Todos no processo novo. _x000a_Obrigado"/>
    <x v="0"/>
    <s v="Executar Script"/>
    <s v="-5:57"/>
    <s v="6:46"/>
    <s v="Outras solicitações (EDI)"/>
  </r>
  <r>
    <s v="NGC-880"/>
    <s v="Gerar novo arquivo Query TAP"/>
    <s v="Alta"/>
    <s v="Fechado"/>
    <d v="2016-05-17T09:59:00"/>
    <d v="2016-05-25T08:00:00"/>
    <s v="Gerar arquivo query no processo novo. _x000a_Obrigado"/>
    <x v="0"/>
    <s v="Executar Script"/>
    <s v="0:50"/>
    <s v="7:47"/>
    <s v="Outras solicitações (EDI)"/>
  </r>
  <r>
    <s v="NGC-881"/>
    <s v="Gerar novo arquivo Query COPA"/>
    <s v="Alta"/>
    <s v="Fechado"/>
    <d v="2016-05-17T10:00:00"/>
    <d v="2016-05-25T08:00:00"/>
    <s v="Gerar arquivo query copa no novo processo."/>
    <x v="0"/>
    <s v="Executar Script"/>
    <s v="-9:23"/>
    <s v="7:48"/>
    <s v="Outras solicitações (EDI)"/>
  </r>
  <r>
    <s v="NGC-1115"/>
    <s v="Represar arquivos"/>
    <s v="Alta"/>
    <s v="Fechado"/>
    <d v="2016-07-04T09:27:00"/>
    <d v="2016-07-06T12:29:00"/>
    <s v="Favor represar o processamento dos seguintes arquivos: _x000a__x000a_BDB _x000a_BBR _x000a_BRA _x000a_BAB _x000a_AMX"/>
    <x v="0"/>
    <s v="Executar Script (Represar)"/>
    <s v="21:55"/>
    <s v="7:58"/>
    <s v="Outras solicitações (EDI)"/>
  </r>
  <r>
    <s v="NGC-955"/>
    <s v="Processar arquivos de accrual AM"/>
    <s v="Alta"/>
    <s v="Fechado"/>
    <d v="2016-06-01T10:38:00"/>
    <d v="2016-06-08T08:00:00"/>
    <s v="Favor processar os primeiros arquivos de accrual Aeromexico, os mesmos estão anexos. Após o processamento o handback pode ser encaminhado a Tivit normalmente. _x000a_"/>
    <x v="0"/>
    <s v="Executar Script"/>
    <s v="-3:51"/>
    <s v="1:38"/>
    <s v="Outras solicitações (EDI)"/>
  </r>
  <r>
    <s v="NGC-1065"/>
    <s v="Favor processar os arquivos response anexo"/>
    <s v="Alta"/>
    <s v="Fechado"/>
    <d v="2016-06-23T21:52:00"/>
    <d v="2016-06-29T08:00:00"/>
    <s v="Favor processar os arquivos response anexo, tratam-se de backlog. _x000a_Obrigado."/>
    <x v="0"/>
    <s v="Executar Script"/>
    <s v="9:27"/>
    <s v="6:28"/>
    <s v="Outras solicitações (EDI)"/>
  </r>
  <r>
    <s v="NGC-1087"/>
    <s v="Favor processar os arquivos response anexo"/>
    <s v="Alta"/>
    <s v="Fechado"/>
    <d v="2016-06-28T16:25:00"/>
    <d v="2016-07-07T08:00:00"/>
    <s v="Favor processar os arquivos response anexo, estas solicitações apresentaram erro no log de arquivos anteriores. _x000a_Grato."/>
    <x v="0"/>
    <s v="Executar Script"/>
    <s v="-14:52"/>
    <s v="7:54"/>
    <s v="Outras solicitações (EDI)"/>
  </r>
  <r>
    <s v="NGC-1016"/>
    <s v="Processar arquivo de response"/>
    <s v="Alta"/>
    <s v="Fechado"/>
    <d v="2016-06-13T15:58:00"/>
    <d v="2016-06-16T08:00:00"/>
    <s v="Favor processar os arquivos de response que por ventura tenham sido disponibilizados pelos parceiros aéreos antes da habilitação do processo automatizado. A COPA por exemplo sinalizou hoje que enviou 2 arquivos. _x000a_Antes de processar peço encaminhar para que eu analise se fazer parte do processo antigo ou novo. _x000a_Obrigado"/>
    <x v="0"/>
    <s v="Executar Script"/>
    <s v="22:35"/>
    <s v="7:30"/>
    <s v="Outras solicitações (EDI)"/>
  </r>
  <r>
    <s v="NGC-1096"/>
    <s v="Processar arquivo de response TAP"/>
    <s v="Alta"/>
    <s v="Fechado"/>
    <d v="2016-06-29T13:56:00"/>
    <d v="2016-07-07T08:00:00"/>
    <s v="Favor processar os arquivos de response TAP foi foram disponibilizados pela tivit. _x000a_Abaixo imagem com os arquivos a serem processados: _x000a__x000a_"/>
    <x v="0"/>
    <s v="Executar Script"/>
    <s v="-9:15"/>
    <s v="3:56"/>
    <s v="Outras solicitações (EDI)"/>
  </r>
  <r>
    <s v="NGC-832"/>
    <s v="Processar arquivo de response TAP"/>
    <s v="Alta"/>
    <s v="Fechado"/>
    <d v="2016-05-05T17:44:00"/>
    <d v="2016-05-12T08:00:00"/>
    <s v="Favor processar os arquivos de response TAP disponibilizados pela parceira desde 27/04. _x000a_Obrigado"/>
    <x v="0"/>
    <s v="Executar Script"/>
    <s v="2:22"/>
    <s v="7:44"/>
    <s v="Outras solicitações (EDI)"/>
  </r>
  <r>
    <s v="NGC-1045"/>
    <s v="Processar arquivos Quey enviados pelas parceiras"/>
    <s v="Alta"/>
    <s v="Fechado"/>
    <d v="2016-06-21T13:57:00"/>
    <d v="2016-06-24T08:00:00"/>
    <s v="Favor processar os arquivos Quey enviados pelas parceiras aéreas, gerar os responses e disponibilizar aos parceiros. _x000a_Obrigado."/>
    <x v="0"/>
    <s v="Executar Script"/>
    <s v="11:57"/>
    <s v="7:47"/>
    <s v="Outras solicitações (EDI)"/>
  </r>
  <r>
    <s v="NGC-847"/>
    <s v="Processar arquivo de response Etihad"/>
    <s v="Alta"/>
    <s v="Fechado"/>
    <d v="2016-05-09T20:26:00"/>
    <d v="2016-05-12T08:00:00"/>
    <s v="Favor processar arquivo response Etihad anexo, o anterior estava com numero de transação e não de SR."/>
    <x v="0"/>
    <s v="Executar Script"/>
    <s v="21:07"/>
    <s v="6:11"/>
    <s v="Outras solicitações (EDI)"/>
  </r>
  <r>
    <s v="NGC-984"/>
    <s v="Habilitar o scheduler do processo de retrocrédito automatico"/>
    <s v="Alta"/>
    <s v="Fechado"/>
    <d v="2016-06-06T16:32:00"/>
    <d v="2016-06-13T15:22:00"/>
    <s v="Favor habilitar o Scheduler do processo de retrocrédito automatico para os parceiros abaixo: _x000a_Copa _x000a_TAP _x000a_AirCanada _x000a_Etihad _x000a__x000a_O objeto é que este realize a geração e processamento dos arquivos Query (Smiles &gt; Parceiro e Parceiro &gt; Smiles) e Response (Smiles &gt; Parceiro e Parceiro &gt; Smiles). _x000a_O processo deve ser executado de forma semanal aos domingos. _x000a_Obrigado,"/>
    <x v="2"/>
    <m/>
    <s v="-9:02"/>
    <s v="6:39"/>
    <s v="Outras solicitações (EDI)"/>
  </r>
  <r>
    <s v="NGC-1120"/>
    <s v="Liberar Processamento de Arquivos"/>
    <s v="Alta"/>
    <s v="Fechado"/>
    <d v="2016-07-04T17:36:00"/>
    <d v="2016-07-08T08:00:00"/>
    <s v="Boa tarde! _x000a_Por favor, podem liberar o processamento dos arquivos dos seguintes parceiros: _x000a__x000a_BBR _x000a_BAB _x000a_BRA _x000a_AMX _x000a_BDB _x000a__x000a__x000a_Os produtos foram revalidados, com exceção dos produtos de cobranded."/>
    <x v="0"/>
    <s v="Executar Script"/>
    <s v="23:52"/>
    <s v="7:59"/>
    <s v="Outras solicitações (EDI)"/>
  </r>
  <r>
    <s v="NGC-837"/>
    <s v="Gerar arquivo Query para Etihad"/>
    <s v="Alta"/>
    <s v="Fechado"/>
    <d v="2016-05-06T09:05:00"/>
    <d v="2016-05-15T08:00:00"/>
    <s v="Favor gerar um novo arquivo query para Etihad"/>
    <x v="0"/>
    <s v="Executar Script"/>
    <s v="-23:15"/>
    <s v="7:57"/>
    <s v="Outras solicitações (EDI)"/>
  </r>
  <r>
    <s v="NGC-836"/>
    <s v="Gerar novo arquivo Query AirCanada"/>
    <s v="Alta"/>
    <s v="Fechado"/>
    <d v="2016-05-06T09:00:00"/>
    <d v="2016-05-15T08:00:00"/>
    <s v="Favor gerar um novo arquivo Query para AirCanada. _x000a_OBrigado,"/>
    <x v="0"/>
    <s v="Executar Script"/>
    <s v="-22:04"/>
    <s v="7:53"/>
    <s v="Outras solicitações (EDI)"/>
  </r>
  <r>
    <s v="NGC-1003"/>
    <s v="Estornar transações indevidas BANCOOB"/>
    <s v="Alta"/>
    <s v="Fechado"/>
    <d v="2016-06-09T19:39:00"/>
    <d v="2016-06-12T08:00:00"/>
    <s v="Favor estornar as transações (arquivo anexo) que foram acumuladas indevidamente através do acúmulo online do parceiro BANCOOB. _x000a__x000a_"/>
    <x v="2"/>
    <m/>
    <s v="21:53"/>
    <s v="8:00"/>
    <s v="Outras solicitações (EDI)"/>
  </r>
  <r>
    <s v="NGC-860"/>
    <s v="Processar arquivos response enviados pelas parceiras"/>
    <s v="Alta"/>
    <s v="Fechado"/>
    <d v="2016-05-11T20:47:00"/>
    <d v="2016-06-09T08:00:00"/>
    <s v="Favor encaminhar os arquivos response que foram disponibilizados pelas parceiras aéreas. Após validação darei o ok para processamento. _x000a_Obrigado,"/>
    <x v="0"/>
    <s v="Executar Script"/>
    <s v="-31:44"/>
    <s v="6:21"/>
    <s v="Outras solicitações (EDI)"/>
  </r>
  <r>
    <s v="NGC-1026"/>
    <s v="Disponibilizar arquivo de accrual AMX"/>
    <s v="Alta"/>
    <s v="Fechado"/>
    <d v="2016-06-15T17:18:00"/>
    <d v="2016-06-18T08:00:00"/>
    <s v="Favor disponibilizar os arquivos de acúmulo do AMX. _x000a_Sequenciais: _x000a_01750 _x000a_01751 _x000a_01752 _x000a__x000a_"/>
    <x v="0"/>
    <s v="Executar Script"/>
    <s v="22:09"/>
    <s v="7:18"/>
    <s v="Outras solicitações (EDI)"/>
  </r>
  <r>
    <s v="NGC-886"/>
    <s v="Transações e SS da TAP para atualizar"/>
    <s v="Alta"/>
    <s v="Fechado"/>
    <d v="2016-05-18T12:19:00"/>
    <d v="2016-05-25T08:00:00"/>
    <s v="Estávamos com um backlog muito grande de solicitações TAP, após o processamento alguns registros não tiveram a Transação/SS concluidas, assim peço atualiza-los conforme os status da planilha anexo. _x000a_Havendo dúvidas me procurem. _x000a_Obrigado"/>
    <x v="2"/>
    <m/>
    <s v="-0:43"/>
    <s v="6:51"/>
    <s v="Outras solicitações (EDI)"/>
  </r>
  <r>
    <s v="NGC-973"/>
    <s v="Informações do processamento do arquivo 2059 BDB"/>
    <s v="Alta"/>
    <s v="Fechado"/>
    <d v="2016-06-02T15:27:00"/>
    <d v="2016-06-05T08:00:00"/>
    <s v="Devido o problema com a geração do arquivo de handback, favor levantar: _x000a__x000a_Quantas e quais destas transações “rejeitadas” estavam com a resposta errada no arquivo de handback. _x000a__x000a_Foram rejeitadas duas partes inteiras do arquivo, mas provavelmente teríamos mesmo algumas rejeições. _x000a__x000a_Desta forma, quantas e quais rejeições foram devidas e indevidas? _x000a__x000a_Com essas informações, o parceiro nos retornará como eles irão tratá-las."/>
    <x v="2"/>
    <m/>
    <s v="13:27"/>
    <s v="7:59"/>
    <s v="Outras solicitações (EDI)"/>
  </r>
  <r>
    <s v="NGC-1145"/>
    <s v="Reprocessamento de Arquivos BBR"/>
    <s v="Alta"/>
    <s v="Resolvido"/>
    <d v="2016-07-07T11:58:00"/>
    <d v="2016-07-07T17:21:00"/>
    <s v="Bom dia! _x000a_Por favor, podem nos ajudar com essas ações? _x000a__x000a_Arquivos BBR 00577 a 00580: foram rejeitados no primeiro processamento. Devemos reprocessá-los. _x000a__x000a_Arquivo BBR 00581: estava represado por pedido da área comercial. Devemos liberar seu processamento. _x000a__x000a_Por favor, podem nos ajudar a acompanhar a devolução correta dos handbacks aos parceiros?"/>
    <x v="0"/>
    <s v="Executar Script"/>
    <s v="23:08"/>
    <s v="7:58"/>
    <s v="Outras solicitações (ED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9" cacheId="19"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8" firstHeaderRow="1" firstDataRow="1" firstDataCol="1"/>
  <pivotFields count="12">
    <pivotField showAll="0"/>
    <pivotField showAll="0"/>
    <pivotField showAll="0"/>
    <pivotField showAll="0"/>
    <pivotField numFmtId="22" showAll="0"/>
    <pivotField numFmtId="22" showAll="0"/>
    <pivotField showAll="0"/>
    <pivotField axis="axisRow" dataField="1" showAll="0">
      <items count="5">
        <item x="0"/>
        <item x="1"/>
        <item x="2"/>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ntagem de Categoria existe?"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1" displayName="Tabela1" ref="B1:M53" totalsRowShown="0" headerRowDxfId="1" dataDxfId="0" headerRowCellStyle="Incorreto">
  <tableColumns count="12">
    <tableColumn id="1" name="Chave" dataDxfId="13"/>
    <tableColumn id="2" name="Resumo" dataDxfId="12"/>
    <tableColumn id="3" name="Prioridade" dataDxfId="11"/>
    <tableColumn id="4" name="Status" dataDxfId="10"/>
    <tableColumn id="5" name="Criado" dataDxfId="9"/>
    <tableColumn id="6" name="Atualizado" dataDxfId="8"/>
    <tableColumn id="7" name="Descrição" dataDxfId="7"/>
    <tableColumn id="12" name="Categoria existe?" dataDxfId="6"/>
    <tableColumn id="13" name="Categoria Sugerida/Correspondemte" dataDxfId="5"/>
    <tableColumn id="8" name="Tempo de Resolução" dataDxfId="4"/>
    <tableColumn id="9" name="Tempo de Resposta" dataDxfId="3"/>
    <tableColumn id="10" name="Customer Request Type" dataDxfId="2"/>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abSelected="1" workbookViewId="0">
      <selection activeCell="A3" sqref="A3"/>
    </sheetView>
  </sheetViews>
  <sheetFormatPr defaultRowHeight="15" x14ac:dyDescent="0.25"/>
  <cols>
    <col min="1" max="1" width="18" bestFit="1" customWidth="1"/>
    <col min="2" max="2" width="29" bestFit="1" customWidth="1"/>
  </cols>
  <sheetData>
    <row r="3" spans="1:2" x14ac:dyDescent="0.25">
      <c r="A3" s="17" t="s">
        <v>681</v>
      </c>
      <c r="B3" t="s">
        <v>682</v>
      </c>
    </row>
    <row r="4" spans="1:2" x14ac:dyDescent="0.25">
      <c r="A4" s="18" t="s">
        <v>642</v>
      </c>
      <c r="B4" s="19">
        <v>28</v>
      </c>
    </row>
    <row r="5" spans="1:2" x14ac:dyDescent="0.25">
      <c r="A5" s="18" t="s">
        <v>645</v>
      </c>
      <c r="B5" s="19">
        <v>1</v>
      </c>
    </row>
    <row r="6" spans="1:2" x14ac:dyDescent="0.25">
      <c r="A6" s="18" t="s">
        <v>641</v>
      </c>
      <c r="B6" s="19">
        <v>20</v>
      </c>
    </row>
    <row r="7" spans="1:2" x14ac:dyDescent="0.25">
      <c r="A7" s="18" t="s">
        <v>683</v>
      </c>
      <c r="B7" s="19"/>
    </row>
    <row r="8" spans="1:2" x14ac:dyDescent="0.25">
      <c r="A8" s="18" t="s">
        <v>684</v>
      </c>
      <c r="B8" s="19">
        <v>49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topLeftCell="G1" zoomScale="75" zoomScaleNormal="75" workbookViewId="0">
      <selection activeCell="I1" sqref="I1:I1048576"/>
    </sheetView>
  </sheetViews>
  <sheetFormatPr defaultRowHeight="15" x14ac:dyDescent="0.25"/>
  <cols>
    <col min="1" max="1" width="9.140625" style="4"/>
    <col min="2" max="2" width="9.140625" style="1"/>
    <col min="3" max="5" width="13.85546875" style="1" customWidth="1"/>
    <col min="6" max="7" width="21.140625" style="1" customWidth="1"/>
    <col min="8" max="8" width="105.42578125" style="1" customWidth="1"/>
    <col min="9" max="9" width="15.7109375" style="1" customWidth="1"/>
    <col min="10" max="10" width="25.85546875" style="3" customWidth="1"/>
    <col min="11" max="11" width="21.85546875" style="1" bestFit="1" customWidth="1"/>
    <col min="12" max="12" width="20.85546875" style="1" bestFit="1" customWidth="1"/>
    <col min="13" max="13" width="24.7109375" style="1" bestFit="1" customWidth="1"/>
    <col min="14" max="16" width="27.7109375" style="1" customWidth="1"/>
    <col min="17" max="16384" width="9.140625" style="1"/>
  </cols>
  <sheetData>
    <row r="1" spans="1:13" ht="45" x14ac:dyDescent="0.25">
      <c r="A1" s="5" t="s">
        <v>685</v>
      </c>
      <c r="B1" s="1" t="s">
        <v>0</v>
      </c>
      <c r="C1" s="1" t="s">
        <v>1</v>
      </c>
      <c r="D1" s="1" t="s">
        <v>2</v>
      </c>
      <c r="E1" s="1" t="s">
        <v>3</v>
      </c>
      <c r="F1" s="1" t="s">
        <v>4</v>
      </c>
      <c r="G1" s="1" t="s">
        <v>5</v>
      </c>
      <c r="H1" s="1" t="s">
        <v>6</v>
      </c>
      <c r="I1" s="1" t="s">
        <v>643</v>
      </c>
      <c r="J1" s="4" t="s">
        <v>648</v>
      </c>
      <c r="K1" s="1" t="s">
        <v>7</v>
      </c>
      <c r="L1" s="1" t="s">
        <v>8</v>
      </c>
      <c r="M1" s="1" t="s">
        <v>9</v>
      </c>
    </row>
    <row r="2" spans="1:13" ht="192.75" customHeight="1" x14ac:dyDescent="0.25">
      <c r="A2" s="4">
        <v>1</v>
      </c>
      <c r="B2" s="1" t="s">
        <v>10</v>
      </c>
      <c r="C2" s="1" t="s">
        <v>11</v>
      </c>
      <c r="D2" s="1" t="s">
        <v>12</v>
      </c>
      <c r="E2" s="1" t="s">
        <v>13</v>
      </c>
      <c r="F2" s="2">
        <v>42537.628472222219</v>
      </c>
      <c r="G2" s="2">
        <v>42540.772222222222</v>
      </c>
      <c r="H2" s="1" t="s">
        <v>14</v>
      </c>
      <c r="I2" s="1" t="s">
        <v>642</v>
      </c>
      <c r="J2" s="3" t="s">
        <v>644</v>
      </c>
      <c r="K2" s="1" t="s">
        <v>15</v>
      </c>
      <c r="L2" s="1" t="s">
        <v>16</v>
      </c>
      <c r="M2" s="1" t="s">
        <v>17</v>
      </c>
    </row>
    <row r="3" spans="1:13" ht="270" x14ac:dyDescent="0.25">
      <c r="A3" s="4">
        <f>A2 + 1</f>
        <v>2</v>
      </c>
      <c r="B3" s="1" t="s">
        <v>18</v>
      </c>
      <c r="C3" s="1" t="s">
        <v>19</v>
      </c>
      <c r="D3" s="1" t="s">
        <v>12</v>
      </c>
      <c r="E3" s="1" t="s">
        <v>20</v>
      </c>
      <c r="F3" s="2">
        <v>42552.636805555558</v>
      </c>
      <c r="G3" s="2">
        <v>42557.595138888886</v>
      </c>
      <c r="H3" s="1" t="s">
        <v>21</v>
      </c>
      <c r="I3" s="1" t="s">
        <v>645</v>
      </c>
      <c r="J3" s="3" t="s">
        <v>646</v>
      </c>
      <c r="K3" s="1" t="s">
        <v>22</v>
      </c>
      <c r="L3" s="1" t="s">
        <v>23</v>
      </c>
      <c r="M3" s="1" t="s">
        <v>17</v>
      </c>
    </row>
    <row r="4" spans="1:13" ht="120" x14ac:dyDescent="0.25">
      <c r="A4" s="4">
        <f t="shared" ref="A4:A67" si="0">A3 + 1</f>
        <v>3</v>
      </c>
      <c r="B4" s="1" t="s">
        <v>24</v>
      </c>
      <c r="C4" s="1" t="s">
        <v>25</v>
      </c>
      <c r="D4" s="1" t="s">
        <v>12</v>
      </c>
      <c r="E4" s="1" t="s">
        <v>13</v>
      </c>
      <c r="F4" s="2">
        <v>42501.841666666667</v>
      </c>
      <c r="G4" s="2">
        <v>42510.333333333336</v>
      </c>
      <c r="H4" s="1" t="s">
        <v>26</v>
      </c>
      <c r="I4" s="1" t="s">
        <v>641</v>
      </c>
      <c r="K4" s="1" t="s">
        <v>27</v>
      </c>
      <c r="L4" s="1" t="s">
        <v>28</v>
      </c>
      <c r="M4" s="1" t="s">
        <v>17</v>
      </c>
    </row>
    <row r="5" spans="1:13" ht="135" x14ac:dyDescent="0.25">
      <c r="A5" s="4">
        <f t="shared" si="0"/>
        <v>4</v>
      </c>
      <c r="B5" s="1" t="s">
        <v>29</v>
      </c>
      <c r="C5" s="1" t="s">
        <v>30</v>
      </c>
      <c r="D5" s="1" t="s">
        <v>12</v>
      </c>
      <c r="E5" s="1" t="s">
        <v>13</v>
      </c>
      <c r="F5" s="2">
        <v>42527.736111111109</v>
      </c>
      <c r="G5" s="2">
        <v>42531.333333333336</v>
      </c>
      <c r="H5" s="1" t="s">
        <v>31</v>
      </c>
      <c r="I5" s="1" t="s">
        <v>641</v>
      </c>
      <c r="K5" s="1" t="s">
        <v>32</v>
      </c>
      <c r="L5" s="1" t="s">
        <v>33</v>
      </c>
      <c r="M5" s="1" t="s">
        <v>17</v>
      </c>
    </row>
    <row r="6" spans="1:13" ht="60" x14ac:dyDescent="0.25">
      <c r="A6" s="4">
        <f t="shared" si="0"/>
        <v>5</v>
      </c>
      <c r="B6" s="1" t="s">
        <v>34</v>
      </c>
      <c r="C6" s="1" t="s">
        <v>35</v>
      </c>
      <c r="D6" s="1" t="s">
        <v>12</v>
      </c>
      <c r="E6" s="1" t="s">
        <v>13</v>
      </c>
      <c r="F6" s="2">
        <v>42527.931944444441</v>
      </c>
      <c r="G6" s="2">
        <v>42532.333333333336</v>
      </c>
      <c r="H6" s="1" t="s">
        <v>36</v>
      </c>
      <c r="I6" s="1" t="s">
        <v>641</v>
      </c>
      <c r="K6" s="1" t="s">
        <v>37</v>
      </c>
      <c r="L6" s="1" t="s">
        <v>38</v>
      </c>
      <c r="M6" s="1" t="s">
        <v>17</v>
      </c>
    </row>
    <row r="7" spans="1:13" ht="60" x14ac:dyDescent="0.25">
      <c r="A7" s="4">
        <f t="shared" si="0"/>
        <v>6</v>
      </c>
      <c r="B7" s="1" t="s">
        <v>39</v>
      </c>
      <c r="C7" s="1" t="s">
        <v>40</v>
      </c>
      <c r="D7" s="1" t="s">
        <v>12</v>
      </c>
      <c r="E7" s="1" t="s">
        <v>13</v>
      </c>
      <c r="F7" s="2">
        <v>42534.642361111109</v>
      </c>
      <c r="G7" s="2">
        <v>42536.333333333336</v>
      </c>
      <c r="H7" s="1" t="s">
        <v>41</v>
      </c>
      <c r="I7" s="1" t="s">
        <v>641</v>
      </c>
      <c r="K7" s="1" t="s">
        <v>42</v>
      </c>
      <c r="L7" s="1" t="s">
        <v>43</v>
      </c>
      <c r="M7" s="1" t="s">
        <v>17</v>
      </c>
    </row>
    <row r="8" spans="1:13" ht="45" x14ac:dyDescent="0.25">
      <c r="A8" s="4">
        <f t="shared" si="0"/>
        <v>7</v>
      </c>
      <c r="B8" s="1" t="s">
        <v>44</v>
      </c>
      <c r="C8" s="1" t="s">
        <v>40</v>
      </c>
      <c r="D8" s="1" t="s">
        <v>12</v>
      </c>
      <c r="E8" s="1" t="s">
        <v>13</v>
      </c>
      <c r="F8" s="2">
        <v>42500.668055555558</v>
      </c>
      <c r="G8" s="2">
        <v>42503.333333333336</v>
      </c>
      <c r="H8" s="1" t="s">
        <v>45</v>
      </c>
      <c r="I8" s="1" t="s">
        <v>641</v>
      </c>
      <c r="K8" s="1" t="s">
        <v>46</v>
      </c>
      <c r="L8" s="1" t="s">
        <v>16</v>
      </c>
      <c r="M8" s="1" t="s">
        <v>17</v>
      </c>
    </row>
    <row r="9" spans="1:13" ht="75" x14ac:dyDescent="0.25">
      <c r="A9" s="4">
        <f t="shared" si="0"/>
        <v>8</v>
      </c>
      <c r="B9" s="1" t="s">
        <v>47</v>
      </c>
      <c r="C9" s="1" t="s">
        <v>48</v>
      </c>
      <c r="D9" s="1" t="s">
        <v>12</v>
      </c>
      <c r="E9" s="1" t="s">
        <v>13</v>
      </c>
      <c r="F9" s="2">
        <v>42535.640972222223</v>
      </c>
      <c r="G9" s="2">
        <v>42538.333333333336</v>
      </c>
      <c r="H9" s="1" t="s">
        <v>49</v>
      </c>
      <c r="I9" s="1" t="s">
        <v>641</v>
      </c>
      <c r="K9" s="1" t="s">
        <v>50</v>
      </c>
      <c r="L9" s="1" t="s">
        <v>51</v>
      </c>
      <c r="M9" s="1" t="s">
        <v>17</v>
      </c>
    </row>
    <row r="10" spans="1:13" ht="45" x14ac:dyDescent="0.25">
      <c r="A10" s="4">
        <f t="shared" si="0"/>
        <v>9</v>
      </c>
      <c r="B10" s="1" t="s">
        <v>52</v>
      </c>
      <c r="C10" s="1" t="s">
        <v>40</v>
      </c>
      <c r="D10" s="1" t="s">
        <v>12</v>
      </c>
      <c r="E10" s="1" t="s">
        <v>13</v>
      </c>
      <c r="F10" s="2">
        <v>42501.863888888889</v>
      </c>
      <c r="G10" s="2">
        <v>42509.333333333336</v>
      </c>
      <c r="H10" s="1" t="s">
        <v>53</v>
      </c>
      <c r="I10" s="1" t="s">
        <v>641</v>
      </c>
      <c r="K10" s="1" t="s">
        <v>54</v>
      </c>
      <c r="L10" s="1" t="s">
        <v>28</v>
      </c>
      <c r="M10" s="1" t="s">
        <v>17</v>
      </c>
    </row>
    <row r="11" spans="1:13" ht="105" x14ac:dyDescent="0.25">
      <c r="A11" s="4">
        <f t="shared" si="0"/>
        <v>10</v>
      </c>
      <c r="B11" s="1" t="s">
        <v>55</v>
      </c>
      <c r="C11" s="1" t="s">
        <v>56</v>
      </c>
      <c r="D11" s="1" t="s">
        <v>12</v>
      </c>
      <c r="E11" s="1" t="s">
        <v>13</v>
      </c>
      <c r="F11" s="2">
        <v>42530.634722222225</v>
      </c>
      <c r="G11" s="2">
        <v>42533.333333333336</v>
      </c>
      <c r="H11" s="1" t="s">
        <v>57</v>
      </c>
      <c r="I11" s="1" t="s">
        <v>641</v>
      </c>
      <c r="K11" s="1" t="s">
        <v>58</v>
      </c>
      <c r="L11" s="1" t="s">
        <v>59</v>
      </c>
      <c r="M11" s="1" t="s">
        <v>17</v>
      </c>
    </row>
    <row r="12" spans="1:13" ht="90" x14ac:dyDescent="0.25">
      <c r="A12" s="4">
        <f t="shared" si="0"/>
        <v>11</v>
      </c>
      <c r="B12" s="1" t="s">
        <v>60</v>
      </c>
      <c r="C12" s="1" t="s">
        <v>61</v>
      </c>
      <c r="D12" s="1" t="s">
        <v>12</v>
      </c>
      <c r="E12" s="1" t="s">
        <v>13</v>
      </c>
      <c r="F12" s="2">
        <v>42503.620138888888</v>
      </c>
      <c r="G12" s="2">
        <v>42505.333333333336</v>
      </c>
      <c r="H12" s="1" t="s">
        <v>62</v>
      </c>
      <c r="I12" s="1" t="s">
        <v>641</v>
      </c>
      <c r="K12" s="1" t="s">
        <v>63</v>
      </c>
      <c r="L12" s="1" t="s">
        <v>64</v>
      </c>
      <c r="M12" s="1" t="s">
        <v>17</v>
      </c>
    </row>
    <row r="13" spans="1:13" ht="120" x14ac:dyDescent="0.25">
      <c r="A13" s="4">
        <f t="shared" si="0"/>
        <v>12</v>
      </c>
      <c r="B13" s="1" t="s">
        <v>65</v>
      </c>
      <c r="C13" s="1" t="s">
        <v>66</v>
      </c>
      <c r="D13" s="1" t="s">
        <v>12</v>
      </c>
      <c r="E13" s="1" t="s">
        <v>13</v>
      </c>
      <c r="F13" s="2">
        <v>42527.363194444442</v>
      </c>
      <c r="G13" s="2">
        <v>42529.333333333336</v>
      </c>
      <c r="H13" s="1" t="s">
        <v>67</v>
      </c>
      <c r="I13" s="1" t="s">
        <v>642</v>
      </c>
      <c r="J13" s="3" t="s">
        <v>644</v>
      </c>
      <c r="K13" s="1" t="s">
        <v>68</v>
      </c>
      <c r="L13" s="1" t="s">
        <v>69</v>
      </c>
      <c r="M13" s="1" t="s">
        <v>17</v>
      </c>
    </row>
    <row r="14" spans="1:13" ht="105" x14ac:dyDescent="0.25">
      <c r="A14" s="4">
        <f t="shared" si="0"/>
        <v>13</v>
      </c>
      <c r="B14" s="1" t="s">
        <v>70</v>
      </c>
      <c r="C14" s="1" t="s">
        <v>71</v>
      </c>
      <c r="D14" s="1" t="s">
        <v>12</v>
      </c>
      <c r="E14" s="1" t="s">
        <v>13</v>
      </c>
      <c r="F14" s="2">
        <v>42507.682638888888</v>
      </c>
      <c r="G14" s="2">
        <v>42511.333333333336</v>
      </c>
      <c r="H14" s="1" t="s">
        <v>72</v>
      </c>
      <c r="I14" s="1" t="s">
        <v>641</v>
      </c>
      <c r="K14" s="1" t="s">
        <v>73</v>
      </c>
      <c r="L14" s="1" t="s">
        <v>74</v>
      </c>
      <c r="M14" s="1" t="s">
        <v>17</v>
      </c>
    </row>
    <row r="15" spans="1:13" ht="90" x14ac:dyDescent="0.25">
      <c r="A15" s="4">
        <f t="shared" si="0"/>
        <v>14</v>
      </c>
      <c r="B15" s="1" t="s">
        <v>75</v>
      </c>
      <c r="C15" s="1" t="s">
        <v>76</v>
      </c>
      <c r="D15" s="1" t="s">
        <v>12</v>
      </c>
      <c r="E15" s="1" t="s">
        <v>13</v>
      </c>
      <c r="F15" s="2">
        <v>42513.59097222222</v>
      </c>
      <c r="G15" s="2">
        <v>42516.333333333336</v>
      </c>
      <c r="H15" s="1" t="s">
        <v>77</v>
      </c>
      <c r="I15" s="1" t="s">
        <v>641</v>
      </c>
      <c r="K15" s="1" t="s">
        <v>78</v>
      </c>
      <c r="L15" s="1" t="s">
        <v>79</v>
      </c>
      <c r="M15" s="1" t="s">
        <v>17</v>
      </c>
    </row>
    <row r="16" spans="1:13" ht="60" x14ac:dyDescent="0.25">
      <c r="A16" s="4">
        <f t="shared" si="0"/>
        <v>15</v>
      </c>
      <c r="B16" s="1" t="s">
        <v>80</v>
      </c>
      <c r="C16" s="1" t="s">
        <v>61</v>
      </c>
      <c r="D16" s="1" t="s">
        <v>12</v>
      </c>
      <c r="E16" s="1" t="s">
        <v>13</v>
      </c>
      <c r="F16" s="2">
        <v>42522.432638888888</v>
      </c>
      <c r="G16" s="2">
        <v>42531.333333333336</v>
      </c>
      <c r="H16" s="1" t="s">
        <v>81</v>
      </c>
      <c r="I16" s="1" t="s">
        <v>642</v>
      </c>
      <c r="J16" s="3" t="s">
        <v>644</v>
      </c>
      <c r="K16" s="1" t="s">
        <v>82</v>
      </c>
      <c r="L16" s="1" t="s">
        <v>83</v>
      </c>
      <c r="M16" s="1" t="s">
        <v>17</v>
      </c>
    </row>
    <row r="17" spans="1:13" ht="75" x14ac:dyDescent="0.25">
      <c r="A17" s="4">
        <f t="shared" si="0"/>
        <v>16</v>
      </c>
      <c r="B17" s="1" t="s">
        <v>84</v>
      </c>
      <c r="C17" s="1" t="s">
        <v>85</v>
      </c>
      <c r="D17" s="1" t="s">
        <v>12</v>
      </c>
      <c r="E17" s="1" t="s">
        <v>13</v>
      </c>
      <c r="F17" s="2">
        <v>42515.51458333333</v>
      </c>
      <c r="G17" s="2">
        <v>42531.333333333336</v>
      </c>
      <c r="H17" s="1" t="s">
        <v>86</v>
      </c>
      <c r="I17" s="1" t="s">
        <v>642</v>
      </c>
      <c r="J17" s="3" t="s">
        <v>644</v>
      </c>
      <c r="K17" s="1" t="s">
        <v>87</v>
      </c>
      <c r="L17" s="1" t="s">
        <v>38</v>
      </c>
      <c r="M17" s="1" t="s">
        <v>17</v>
      </c>
    </row>
    <row r="18" spans="1:13" ht="60" x14ac:dyDescent="0.25">
      <c r="A18" s="4">
        <f t="shared" si="0"/>
        <v>17</v>
      </c>
      <c r="B18" s="1" t="s">
        <v>88</v>
      </c>
      <c r="C18" s="1" t="s">
        <v>89</v>
      </c>
      <c r="D18" s="1" t="s">
        <v>12</v>
      </c>
      <c r="E18" s="1" t="s">
        <v>90</v>
      </c>
      <c r="F18" s="2">
        <v>42559.399305555555</v>
      </c>
      <c r="G18" s="2">
        <v>42559.399305555555</v>
      </c>
      <c r="H18" s="1" t="s">
        <v>91</v>
      </c>
      <c r="I18" s="1" t="s">
        <v>641</v>
      </c>
      <c r="K18" s="1" t="s">
        <v>92</v>
      </c>
      <c r="L18" s="1" t="s">
        <v>93</v>
      </c>
      <c r="M18" s="1" t="s">
        <v>17</v>
      </c>
    </row>
    <row r="19" spans="1:13" ht="60" x14ac:dyDescent="0.25">
      <c r="A19" s="4">
        <f t="shared" si="0"/>
        <v>18</v>
      </c>
      <c r="B19" s="1" t="s">
        <v>94</v>
      </c>
      <c r="C19" s="1" t="s">
        <v>95</v>
      </c>
      <c r="D19" s="1" t="s">
        <v>12</v>
      </c>
      <c r="E19" s="1" t="s">
        <v>13</v>
      </c>
      <c r="F19" s="2">
        <v>42556.425000000003</v>
      </c>
      <c r="G19" s="2">
        <v>42559.333333333336</v>
      </c>
      <c r="H19" s="1" t="s">
        <v>96</v>
      </c>
      <c r="I19" s="1" t="s">
        <v>642</v>
      </c>
      <c r="J19" s="3" t="s">
        <v>644</v>
      </c>
      <c r="K19" s="1" t="s">
        <v>97</v>
      </c>
      <c r="L19" s="1" t="s">
        <v>98</v>
      </c>
      <c r="M19" s="1" t="s">
        <v>17</v>
      </c>
    </row>
    <row r="20" spans="1:13" ht="60" x14ac:dyDescent="0.25">
      <c r="A20" s="4">
        <f t="shared" si="0"/>
        <v>19</v>
      </c>
      <c r="B20" s="6" t="s">
        <v>99</v>
      </c>
      <c r="C20" s="6" t="s">
        <v>100</v>
      </c>
      <c r="D20" s="6" t="s">
        <v>12</v>
      </c>
      <c r="E20" s="6" t="s">
        <v>101</v>
      </c>
      <c r="F20" s="7">
        <v>42558.384027777778</v>
      </c>
      <c r="G20" s="7">
        <v>42558.392361111109</v>
      </c>
      <c r="H20" s="6" t="s">
        <v>102</v>
      </c>
      <c r="I20" s="6"/>
      <c r="J20" s="8"/>
      <c r="K20" s="6" t="s">
        <v>103</v>
      </c>
      <c r="L20" s="6" t="s">
        <v>104</v>
      </c>
      <c r="M20" s="6" t="s">
        <v>17</v>
      </c>
    </row>
    <row r="21" spans="1:13" ht="90" x14ac:dyDescent="0.25">
      <c r="A21" s="4">
        <f t="shared" si="0"/>
        <v>20</v>
      </c>
      <c r="B21" s="6" t="s">
        <v>105</v>
      </c>
      <c r="C21" s="6" t="s">
        <v>100</v>
      </c>
      <c r="D21" s="6" t="s">
        <v>12</v>
      </c>
      <c r="E21" s="6" t="s">
        <v>101</v>
      </c>
      <c r="F21" s="7">
        <v>42558.39166666667</v>
      </c>
      <c r="G21" s="7">
        <v>42558.479166666664</v>
      </c>
      <c r="H21" s="6" t="s">
        <v>106</v>
      </c>
      <c r="I21" s="6"/>
      <c r="J21" s="8"/>
      <c r="K21" s="6" t="s">
        <v>107</v>
      </c>
      <c r="L21" s="6" t="s">
        <v>108</v>
      </c>
      <c r="M21" s="6" t="s">
        <v>17</v>
      </c>
    </row>
    <row r="22" spans="1:13" ht="120" x14ac:dyDescent="0.25">
      <c r="A22" s="4">
        <f t="shared" si="0"/>
        <v>21</v>
      </c>
      <c r="B22" s="6" t="s">
        <v>109</v>
      </c>
      <c r="C22" s="6" t="s">
        <v>110</v>
      </c>
      <c r="D22" s="6" t="s">
        <v>12</v>
      </c>
      <c r="E22" s="6" t="s">
        <v>101</v>
      </c>
      <c r="F22" s="7">
        <v>42558.501388888886</v>
      </c>
      <c r="G22" s="7">
        <v>42558.654861111114</v>
      </c>
      <c r="H22" s="6" t="s">
        <v>111</v>
      </c>
      <c r="I22" s="6"/>
      <c r="J22" s="8"/>
      <c r="K22" s="6" t="s">
        <v>112</v>
      </c>
      <c r="L22" s="6" t="s">
        <v>113</v>
      </c>
      <c r="M22" s="6" t="s">
        <v>17</v>
      </c>
    </row>
    <row r="23" spans="1:13" ht="60" x14ac:dyDescent="0.25">
      <c r="A23" s="4">
        <f t="shared" si="0"/>
        <v>22</v>
      </c>
      <c r="B23" s="1" t="s">
        <v>114</v>
      </c>
      <c r="C23" s="1" t="s">
        <v>115</v>
      </c>
      <c r="D23" s="1" t="s">
        <v>12</v>
      </c>
      <c r="E23" s="1" t="s">
        <v>13</v>
      </c>
      <c r="F23" s="2">
        <v>42535.717361111114</v>
      </c>
      <c r="G23" s="2">
        <v>42537.333333333336</v>
      </c>
      <c r="H23" s="1" t="s">
        <v>116</v>
      </c>
      <c r="I23" s="1" t="s">
        <v>641</v>
      </c>
      <c r="K23" s="1" t="s">
        <v>117</v>
      </c>
      <c r="L23" s="1" t="s">
        <v>118</v>
      </c>
      <c r="M23" s="1" t="s">
        <v>17</v>
      </c>
    </row>
    <row r="24" spans="1:13" ht="75" x14ac:dyDescent="0.25">
      <c r="A24" s="4">
        <f t="shared" si="0"/>
        <v>23</v>
      </c>
      <c r="B24" s="1" t="s">
        <v>119</v>
      </c>
      <c r="C24" s="1" t="s">
        <v>120</v>
      </c>
      <c r="D24" s="1" t="s">
        <v>12</v>
      </c>
      <c r="E24" s="1" t="s">
        <v>13</v>
      </c>
      <c r="F24" s="2">
        <v>42557.718055555553</v>
      </c>
      <c r="G24" s="2">
        <v>42559.333333333336</v>
      </c>
      <c r="H24" s="1" t="s">
        <v>121</v>
      </c>
      <c r="I24" s="1" t="s">
        <v>642</v>
      </c>
      <c r="J24" s="3" t="s">
        <v>644</v>
      </c>
      <c r="K24" s="1" t="s">
        <v>103</v>
      </c>
      <c r="L24" s="1" t="s">
        <v>122</v>
      </c>
      <c r="M24" s="1" t="s">
        <v>17</v>
      </c>
    </row>
    <row r="25" spans="1:13" ht="135" x14ac:dyDescent="0.25">
      <c r="A25" s="4">
        <f t="shared" si="0"/>
        <v>24</v>
      </c>
      <c r="B25" s="1" t="s">
        <v>123</v>
      </c>
      <c r="C25" s="1" t="s">
        <v>124</v>
      </c>
      <c r="D25" s="1" t="s">
        <v>12</v>
      </c>
      <c r="E25" s="1" t="s">
        <v>13</v>
      </c>
      <c r="F25" s="2">
        <v>42524.4375</v>
      </c>
      <c r="G25" s="2">
        <v>42526.333333333336</v>
      </c>
      <c r="H25" s="1" t="s">
        <v>125</v>
      </c>
      <c r="I25" s="1" t="s">
        <v>641</v>
      </c>
      <c r="K25" s="1" t="s">
        <v>126</v>
      </c>
      <c r="L25" s="1" t="s">
        <v>127</v>
      </c>
      <c r="M25" s="1" t="s">
        <v>17</v>
      </c>
    </row>
    <row r="26" spans="1:13" ht="45" x14ac:dyDescent="0.25">
      <c r="A26" s="4">
        <f t="shared" si="0"/>
        <v>25</v>
      </c>
      <c r="B26" s="1" t="s">
        <v>128</v>
      </c>
      <c r="C26" s="1" t="s">
        <v>129</v>
      </c>
      <c r="D26" s="1" t="s">
        <v>12</v>
      </c>
      <c r="E26" s="1" t="s">
        <v>13</v>
      </c>
      <c r="F26" s="2">
        <v>42530.838194444441</v>
      </c>
      <c r="G26" s="2">
        <v>42536.333333333336</v>
      </c>
      <c r="H26" s="1" t="s">
        <v>130</v>
      </c>
      <c r="I26" s="1" t="s">
        <v>642</v>
      </c>
      <c r="J26" s="3" t="s">
        <v>644</v>
      </c>
      <c r="K26" s="1" t="s">
        <v>131</v>
      </c>
      <c r="L26" s="1" t="s">
        <v>38</v>
      </c>
      <c r="M26" s="1" t="s">
        <v>17</v>
      </c>
    </row>
    <row r="27" spans="1:13" ht="240" x14ac:dyDescent="0.25">
      <c r="A27" s="4">
        <f t="shared" si="0"/>
        <v>26</v>
      </c>
      <c r="B27" s="1" t="s">
        <v>132</v>
      </c>
      <c r="C27" s="1" t="s">
        <v>133</v>
      </c>
      <c r="D27" s="1" t="s">
        <v>12</v>
      </c>
      <c r="E27" s="1" t="s">
        <v>13</v>
      </c>
      <c r="F27" s="2">
        <v>42499.472222222219</v>
      </c>
      <c r="G27" s="2">
        <v>42508.333333333336</v>
      </c>
      <c r="H27" s="1" t="s">
        <v>134</v>
      </c>
      <c r="I27" s="1" t="s">
        <v>641</v>
      </c>
      <c r="K27" s="1" t="s">
        <v>135</v>
      </c>
      <c r="L27" s="1" t="s">
        <v>136</v>
      </c>
      <c r="M27" s="1" t="s">
        <v>17</v>
      </c>
    </row>
    <row r="28" spans="1:13" ht="45" x14ac:dyDescent="0.25">
      <c r="A28" s="4">
        <f t="shared" si="0"/>
        <v>27</v>
      </c>
      <c r="B28" s="1" t="s">
        <v>137</v>
      </c>
      <c r="C28" s="1" t="s">
        <v>138</v>
      </c>
      <c r="D28" s="1" t="s">
        <v>12</v>
      </c>
      <c r="E28" s="1" t="s">
        <v>13</v>
      </c>
      <c r="F28" s="2">
        <v>42534.595138888886</v>
      </c>
      <c r="G28" s="2">
        <v>42537.333333333336</v>
      </c>
      <c r="H28" s="1" t="s">
        <v>139</v>
      </c>
      <c r="I28" s="1" t="s">
        <v>642</v>
      </c>
      <c r="J28" s="3" t="s">
        <v>644</v>
      </c>
      <c r="K28" s="1" t="s">
        <v>140</v>
      </c>
      <c r="L28" s="1" t="s">
        <v>33</v>
      </c>
      <c r="M28" s="1" t="s">
        <v>17</v>
      </c>
    </row>
    <row r="29" spans="1:13" ht="45" x14ac:dyDescent="0.25">
      <c r="A29" s="4">
        <f t="shared" si="0"/>
        <v>28</v>
      </c>
      <c r="B29" s="1" t="s">
        <v>141</v>
      </c>
      <c r="C29" s="1" t="s">
        <v>142</v>
      </c>
      <c r="D29" s="1" t="s">
        <v>12</v>
      </c>
      <c r="E29" s="1" t="s">
        <v>13</v>
      </c>
      <c r="F29" s="2">
        <v>42535.51458333333</v>
      </c>
      <c r="G29" s="2">
        <v>42537.333333333336</v>
      </c>
      <c r="H29" s="1" t="s">
        <v>143</v>
      </c>
      <c r="I29" s="1" t="s">
        <v>641</v>
      </c>
      <c r="K29" s="1" t="s">
        <v>144</v>
      </c>
      <c r="L29" s="1" t="s">
        <v>38</v>
      </c>
      <c r="M29" s="1" t="s">
        <v>17</v>
      </c>
    </row>
    <row r="30" spans="1:13" ht="75" x14ac:dyDescent="0.25">
      <c r="A30" s="4">
        <f t="shared" si="0"/>
        <v>29</v>
      </c>
      <c r="B30" s="1" t="s">
        <v>145</v>
      </c>
      <c r="C30" s="1" t="s">
        <v>146</v>
      </c>
      <c r="D30" s="1" t="s">
        <v>12</v>
      </c>
      <c r="E30" s="1" t="s">
        <v>13</v>
      </c>
      <c r="F30" s="2">
        <v>42521.597916666666</v>
      </c>
      <c r="G30" s="2">
        <v>42524.333333333336</v>
      </c>
      <c r="H30" s="1" t="s">
        <v>147</v>
      </c>
      <c r="I30" s="1" t="s">
        <v>642</v>
      </c>
      <c r="J30" s="3" t="s">
        <v>644</v>
      </c>
      <c r="K30" s="1" t="s">
        <v>148</v>
      </c>
      <c r="L30" s="1" t="s">
        <v>16</v>
      </c>
      <c r="M30" s="1" t="s">
        <v>17</v>
      </c>
    </row>
    <row r="31" spans="1:13" ht="135" x14ac:dyDescent="0.25">
      <c r="A31" s="4">
        <f t="shared" si="0"/>
        <v>30</v>
      </c>
      <c r="B31" s="1" t="s">
        <v>149</v>
      </c>
      <c r="C31" s="1" t="s">
        <v>150</v>
      </c>
      <c r="D31" s="1" t="s">
        <v>12</v>
      </c>
      <c r="E31" s="1" t="s">
        <v>13</v>
      </c>
      <c r="F31" s="2">
        <v>42531.401388888888</v>
      </c>
      <c r="G31" s="2">
        <v>42555.825694444444</v>
      </c>
      <c r="H31" s="1" t="s">
        <v>151</v>
      </c>
      <c r="I31" s="1" t="s">
        <v>642</v>
      </c>
      <c r="J31" s="3" t="s">
        <v>644</v>
      </c>
      <c r="K31" s="1" t="s">
        <v>152</v>
      </c>
      <c r="L31" s="1" t="s">
        <v>153</v>
      </c>
      <c r="M31" s="1" t="s">
        <v>17</v>
      </c>
    </row>
    <row r="32" spans="1:13" ht="120" x14ac:dyDescent="0.25">
      <c r="A32" s="4">
        <f t="shared" si="0"/>
        <v>31</v>
      </c>
      <c r="B32" s="1" t="s">
        <v>154</v>
      </c>
      <c r="C32" s="1" t="s">
        <v>155</v>
      </c>
      <c r="D32" s="1" t="s">
        <v>12</v>
      </c>
      <c r="E32" s="1" t="s">
        <v>13</v>
      </c>
      <c r="F32" s="2">
        <v>42521.626388888886</v>
      </c>
      <c r="G32" s="2">
        <v>42529.333333333336</v>
      </c>
      <c r="H32" s="1" t="s">
        <v>156</v>
      </c>
      <c r="I32" s="1" t="s">
        <v>642</v>
      </c>
      <c r="J32" s="3" t="s">
        <v>644</v>
      </c>
      <c r="K32" s="1" t="s">
        <v>157</v>
      </c>
      <c r="L32" s="1" t="s">
        <v>158</v>
      </c>
      <c r="M32" s="1" t="s">
        <v>17</v>
      </c>
    </row>
    <row r="33" spans="1:13" ht="45" x14ac:dyDescent="0.25">
      <c r="A33" s="4">
        <f t="shared" si="0"/>
        <v>32</v>
      </c>
      <c r="B33" s="1" t="s">
        <v>159</v>
      </c>
      <c r="C33" s="1" t="s">
        <v>160</v>
      </c>
      <c r="D33" s="1" t="s">
        <v>12</v>
      </c>
      <c r="E33" s="1" t="s">
        <v>13</v>
      </c>
      <c r="F33" s="2">
        <v>42507.415972222225</v>
      </c>
      <c r="G33" s="2">
        <v>42515.333333333336</v>
      </c>
      <c r="H33" s="1" t="s">
        <v>161</v>
      </c>
      <c r="I33" s="1" t="s">
        <v>642</v>
      </c>
      <c r="J33" s="3" t="s">
        <v>644</v>
      </c>
      <c r="K33" s="1" t="s">
        <v>162</v>
      </c>
      <c r="L33" s="1" t="s">
        <v>163</v>
      </c>
      <c r="M33" s="1" t="s">
        <v>17</v>
      </c>
    </row>
    <row r="34" spans="1:13" ht="45" x14ac:dyDescent="0.25">
      <c r="A34" s="4">
        <f t="shared" si="0"/>
        <v>33</v>
      </c>
      <c r="B34" s="1" t="s">
        <v>164</v>
      </c>
      <c r="C34" s="1" t="s">
        <v>165</v>
      </c>
      <c r="D34" s="1" t="s">
        <v>12</v>
      </c>
      <c r="E34" s="1" t="s">
        <v>13</v>
      </c>
      <c r="F34" s="2">
        <v>42507.416666666664</v>
      </c>
      <c r="G34" s="2">
        <v>42515.333333333336</v>
      </c>
      <c r="H34" s="1" t="s">
        <v>166</v>
      </c>
      <c r="I34" s="1" t="s">
        <v>642</v>
      </c>
      <c r="J34" s="3" t="s">
        <v>644</v>
      </c>
      <c r="K34" s="1" t="s">
        <v>167</v>
      </c>
      <c r="L34" s="1" t="s">
        <v>168</v>
      </c>
      <c r="M34" s="1" t="s">
        <v>17</v>
      </c>
    </row>
    <row r="35" spans="1:13" ht="105" x14ac:dyDescent="0.25">
      <c r="A35" s="4">
        <f t="shared" si="0"/>
        <v>34</v>
      </c>
      <c r="B35" s="1" t="s">
        <v>169</v>
      </c>
      <c r="C35" s="1" t="s">
        <v>170</v>
      </c>
      <c r="D35" s="1" t="s">
        <v>12</v>
      </c>
      <c r="E35" s="1" t="s">
        <v>13</v>
      </c>
      <c r="F35" s="2">
        <v>42555.393750000003</v>
      </c>
      <c r="G35" s="2">
        <v>42557.520138888889</v>
      </c>
      <c r="H35" s="1" t="s">
        <v>171</v>
      </c>
      <c r="I35" s="1" t="s">
        <v>642</v>
      </c>
      <c r="J35" s="3" t="s">
        <v>647</v>
      </c>
      <c r="K35" s="1" t="s">
        <v>172</v>
      </c>
      <c r="L35" s="1" t="s">
        <v>173</v>
      </c>
      <c r="M35" s="1" t="s">
        <v>17</v>
      </c>
    </row>
    <row r="36" spans="1:13" ht="45" x14ac:dyDescent="0.25">
      <c r="A36" s="4">
        <f t="shared" si="0"/>
        <v>35</v>
      </c>
      <c r="B36" s="1" t="s">
        <v>174</v>
      </c>
      <c r="C36" s="1" t="s">
        <v>175</v>
      </c>
      <c r="D36" s="1" t="s">
        <v>12</v>
      </c>
      <c r="E36" s="1" t="s">
        <v>13</v>
      </c>
      <c r="F36" s="2">
        <v>42522.443055555559</v>
      </c>
      <c r="G36" s="2">
        <v>42529.333333333336</v>
      </c>
      <c r="H36" s="1" t="s">
        <v>176</v>
      </c>
      <c r="I36" s="1" t="s">
        <v>642</v>
      </c>
      <c r="J36" s="3" t="s">
        <v>644</v>
      </c>
      <c r="K36" s="1" t="s">
        <v>177</v>
      </c>
      <c r="L36" s="1" t="s">
        <v>178</v>
      </c>
      <c r="M36" s="1" t="s">
        <v>17</v>
      </c>
    </row>
    <row r="37" spans="1:13" ht="75" x14ac:dyDescent="0.25">
      <c r="A37" s="4">
        <f t="shared" si="0"/>
        <v>36</v>
      </c>
      <c r="B37" s="1" t="s">
        <v>179</v>
      </c>
      <c r="C37" s="1" t="s">
        <v>180</v>
      </c>
      <c r="D37" s="1" t="s">
        <v>12</v>
      </c>
      <c r="E37" s="1" t="s">
        <v>13</v>
      </c>
      <c r="F37" s="2">
        <v>42544.911111111112</v>
      </c>
      <c r="G37" s="2">
        <v>42550.333333333336</v>
      </c>
      <c r="H37" s="1" t="s">
        <v>181</v>
      </c>
      <c r="I37" s="1" t="s">
        <v>642</v>
      </c>
      <c r="J37" s="3" t="s">
        <v>644</v>
      </c>
      <c r="K37" s="1" t="s">
        <v>182</v>
      </c>
      <c r="L37" s="1" t="s">
        <v>183</v>
      </c>
      <c r="M37" s="1" t="s">
        <v>17</v>
      </c>
    </row>
    <row r="38" spans="1:13" ht="75" x14ac:dyDescent="0.25">
      <c r="A38" s="4">
        <f t="shared" si="0"/>
        <v>37</v>
      </c>
      <c r="B38" s="1" t="s">
        <v>184</v>
      </c>
      <c r="C38" s="1" t="s">
        <v>180</v>
      </c>
      <c r="D38" s="1" t="s">
        <v>12</v>
      </c>
      <c r="E38" s="1" t="s">
        <v>13</v>
      </c>
      <c r="F38" s="2">
        <v>42549.684027777781</v>
      </c>
      <c r="G38" s="2">
        <v>42558.333333333336</v>
      </c>
      <c r="H38" s="1" t="s">
        <v>185</v>
      </c>
      <c r="I38" s="1" t="s">
        <v>642</v>
      </c>
      <c r="J38" s="3" t="s">
        <v>644</v>
      </c>
      <c r="K38" s="1" t="s">
        <v>186</v>
      </c>
      <c r="L38" s="1" t="s">
        <v>127</v>
      </c>
      <c r="M38" s="1" t="s">
        <v>17</v>
      </c>
    </row>
    <row r="39" spans="1:13" ht="60" x14ac:dyDescent="0.25">
      <c r="A39" s="4">
        <f t="shared" si="0"/>
        <v>38</v>
      </c>
      <c r="B39" s="1" t="s">
        <v>187</v>
      </c>
      <c r="C39" s="1" t="s">
        <v>129</v>
      </c>
      <c r="D39" s="1" t="s">
        <v>12</v>
      </c>
      <c r="E39" s="1" t="s">
        <v>13</v>
      </c>
      <c r="F39" s="2">
        <v>42534.665277777778</v>
      </c>
      <c r="G39" s="2">
        <v>42537.333333333336</v>
      </c>
      <c r="H39" s="1" t="s">
        <v>188</v>
      </c>
      <c r="I39" s="1" t="s">
        <v>642</v>
      </c>
      <c r="J39" s="3" t="s">
        <v>644</v>
      </c>
      <c r="K39" s="1" t="s">
        <v>189</v>
      </c>
      <c r="L39" s="1" t="s">
        <v>69</v>
      </c>
      <c r="M39" s="1" t="s">
        <v>17</v>
      </c>
    </row>
    <row r="40" spans="1:13" ht="60" x14ac:dyDescent="0.25">
      <c r="A40" s="4">
        <f t="shared" si="0"/>
        <v>39</v>
      </c>
      <c r="B40" s="1" t="s">
        <v>190</v>
      </c>
      <c r="C40" s="1" t="s">
        <v>40</v>
      </c>
      <c r="D40" s="1" t="s">
        <v>12</v>
      </c>
      <c r="E40" s="1" t="s">
        <v>13</v>
      </c>
      <c r="F40" s="2">
        <v>42550.580555555556</v>
      </c>
      <c r="G40" s="2">
        <v>42558.333333333336</v>
      </c>
      <c r="H40" s="1" t="s">
        <v>191</v>
      </c>
      <c r="I40" s="1" t="s">
        <v>642</v>
      </c>
      <c r="J40" s="3" t="s">
        <v>644</v>
      </c>
      <c r="K40" s="1" t="s">
        <v>192</v>
      </c>
      <c r="L40" s="1" t="s">
        <v>193</v>
      </c>
      <c r="M40" s="1" t="s">
        <v>17</v>
      </c>
    </row>
    <row r="41" spans="1:13" ht="45" x14ac:dyDescent="0.25">
      <c r="A41" s="4">
        <f t="shared" si="0"/>
        <v>40</v>
      </c>
      <c r="B41" s="1" t="s">
        <v>194</v>
      </c>
      <c r="C41" s="1" t="s">
        <v>40</v>
      </c>
      <c r="D41" s="1" t="s">
        <v>12</v>
      </c>
      <c r="E41" s="1" t="s">
        <v>13</v>
      </c>
      <c r="F41" s="2">
        <v>42495.738888888889</v>
      </c>
      <c r="G41" s="2">
        <v>42502.333333333336</v>
      </c>
      <c r="H41" s="1" t="s">
        <v>195</v>
      </c>
      <c r="I41" s="1" t="s">
        <v>642</v>
      </c>
      <c r="J41" s="3" t="s">
        <v>644</v>
      </c>
      <c r="K41" s="1" t="s">
        <v>196</v>
      </c>
      <c r="L41" s="1" t="s">
        <v>197</v>
      </c>
      <c r="M41" s="1" t="s">
        <v>17</v>
      </c>
    </row>
    <row r="42" spans="1:13" ht="75" x14ac:dyDescent="0.25">
      <c r="A42" s="4">
        <f t="shared" si="0"/>
        <v>41</v>
      </c>
      <c r="B42" s="1" t="s">
        <v>198</v>
      </c>
      <c r="C42" s="1" t="s">
        <v>85</v>
      </c>
      <c r="D42" s="1" t="s">
        <v>12</v>
      </c>
      <c r="E42" s="1" t="s">
        <v>13</v>
      </c>
      <c r="F42" s="2">
        <v>42542.581250000003</v>
      </c>
      <c r="G42" s="2">
        <v>42545.333333333336</v>
      </c>
      <c r="H42" s="1" t="s">
        <v>199</v>
      </c>
      <c r="I42" s="1" t="s">
        <v>642</v>
      </c>
      <c r="J42" s="3" t="s">
        <v>644</v>
      </c>
      <c r="K42" s="1" t="s">
        <v>200</v>
      </c>
      <c r="L42" s="1" t="s">
        <v>163</v>
      </c>
      <c r="M42" s="1" t="s">
        <v>17</v>
      </c>
    </row>
    <row r="43" spans="1:13" ht="60" x14ac:dyDescent="0.25">
      <c r="A43" s="4">
        <f t="shared" si="0"/>
        <v>42</v>
      </c>
      <c r="B43" s="1" t="s">
        <v>201</v>
      </c>
      <c r="C43" s="1" t="s">
        <v>61</v>
      </c>
      <c r="D43" s="1" t="s">
        <v>12</v>
      </c>
      <c r="E43" s="1" t="s">
        <v>13</v>
      </c>
      <c r="F43" s="2">
        <v>42499.851388888892</v>
      </c>
      <c r="G43" s="2">
        <v>42502.333333333336</v>
      </c>
      <c r="H43" s="1" t="s">
        <v>202</v>
      </c>
      <c r="I43" s="1" t="s">
        <v>642</v>
      </c>
      <c r="J43" s="3" t="s">
        <v>644</v>
      </c>
      <c r="K43" s="1" t="s">
        <v>203</v>
      </c>
      <c r="L43" s="1" t="s">
        <v>204</v>
      </c>
      <c r="M43" s="1" t="s">
        <v>17</v>
      </c>
    </row>
    <row r="44" spans="1:13" ht="150" x14ac:dyDescent="0.25">
      <c r="A44" s="4">
        <f t="shared" si="0"/>
        <v>43</v>
      </c>
      <c r="B44" s="1" t="s">
        <v>205</v>
      </c>
      <c r="C44" s="1" t="s">
        <v>206</v>
      </c>
      <c r="D44" s="1" t="s">
        <v>12</v>
      </c>
      <c r="E44" s="1" t="s">
        <v>13</v>
      </c>
      <c r="F44" s="2">
        <v>42527.688888888886</v>
      </c>
      <c r="G44" s="2">
        <v>42534.640277777777</v>
      </c>
      <c r="H44" s="1" t="s">
        <v>207</v>
      </c>
      <c r="I44" s="1" t="s">
        <v>641</v>
      </c>
      <c r="K44" s="1" t="s">
        <v>208</v>
      </c>
      <c r="L44" s="1" t="s">
        <v>209</v>
      </c>
      <c r="M44" s="1" t="s">
        <v>17</v>
      </c>
    </row>
    <row r="45" spans="1:13" ht="165" x14ac:dyDescent="0.25">
      <c r="A45" s="4">
        <f t="shared" si="0"/>
        <v>44</v>
      </c>
      <c r="B45" s="1" t="s">
        <v>210</v>
      </c>
      <c r="C45" s="1" t="s">
        <v>211</v>
      </c>
      <c r="D45" s="1" t="s">
        <v>12</v>
      </c>
      <c r="E45" s="1" t="s">
        <v>13</v>
      </c>
      <c r="F45" s="2">
        <v>42555.73333333333</v>
      </c>
      <c r="G45" s="2">
        <v>42559.333333333336</v>
      </c>
      <c r="H45" s="1" t="s">
        <v>212</v>
      </c>
      <c r="I45" s="1" t="s">
        <v>642</v>
      </c>
      <c r="J45" s="3" t="s">
        <v>644</v>
      </c>
      <c r="K45" s="1" t="s">
        <v>213</v>
      </c>
      <c r="L45" s="1" t="s">
        <v>16</v>
      </c>
      <c r="M45" s="1" t="s">
        <v>17</v>
      </c>
    </row>
    <row r="46" spans="1:13" ht="45" x14ac:dyDescent="0.25">
      <c r="A46" s="4">
        <f t="shared" si="0"/>
        <v>45</v>
      </c>
      <c r="B46" s="1" t="s">
        <v>214</v>
      </c>
      <c r="C46" s="1" t="s">
        <v>215</v>
      </c>
      <c r="D46" s="1" t="s">
        <v>12</v>
      </c>
      <c r="E46" s="1" t="s">
        <v>13</v>
      </c>
      <c r="F46" s="2">
        <v>42496.378472222219</v>
      </c>
      <c r="G46" s="2">
        <v>42505.333333333336</v>
      </c>
      <c r="H46" s="1" t="s">
        <v>216</v>
      </c>
      <c r="I46" s="1" t="s">
        <v>642</v>
      </c>
      <c r="J46" s="3" t="s">
        <v>644</v>
      </c>
      <c r="K46" s="1" t="s">
        <v>217</v>
      </c>
      <c r="L46" s="1" t="s">
        <v>122</v>
      </c>
      <c r="M46" s="1" t="s">
        <v>17</v>
      </c>
    </row>
    <row r="47" spans="1:13" ht="45" x14ac:dyDescent="0.25">
      <c r="A47" s="4">
        <f t="shared" si="0"/>
        <v>46</v>
      </c>
      <c r="B47" s="1" t="s">
        <v>218</v>
      </c>
      <c r="C47" s="1" t="s">
        <v>219</v>
      </c>
      <c r="D47" s="1" t="s">
        <v>12</v>
      </c>
      <c r="E47" s="1" t="s">
        <v>13</v>
      </c>
      <c r="F47" s="2">
        <v>42496.375</v>
      </c>
      <c r="G47" s="2">
        <v>42505.333333333336</v>
      </c>
      <c r="H47" s="1" t="s">
        <v>220</v>
      </c>
      <c r="I47" s="1" t="s">
        <v>642</v>
      </c>
      <c r="J47" s="3" t="s">
        <v>644</v>
      </c>
      <c r="K47" s="1" t="s">
        <v>221</v>
      </c>
      <c r="L47" s="1" t="s">
        <v>79</v>
      </c>
      <c r="M47" s="1" t="s">
        <v>17</v>
      </c>
    </row>
    <row r="48" spans="1:13" ht="60" x14ac:dyDescent="0.25">
      <c r="A48" s="4">
        <f t="shared" si="0"/>
        <v>47</v>
      </c>
      <c r="B48" s="1" t="s">
        <v>222</v>
      </c>
      <c r="C48" s="1" t="s">
        <v>223</v>
      </c>
      <c r="D48" s="1" t="s">
        <v>12</v>
      </c>
      <c r="E48" s="1" t="s">
        <v>13</v>
      </c>
      <c r="F48" s="2">
        <v>42530.818749999999</v>
      </c>
      <c r="G48" s="2">
        <v>42533.333333333336</v>
      </c>
      <c r="H48" s="1" t="s">
        <v>224</v>
      </c>
      <c r="I48" s="1" t="s">
        <v>641</v>
      </c>
      <c r="K48" s="1" t="s">
        <v>225</v>
      </c>
      <c r="L48" s="1" t="s">
        <v>38</v>
      </c>
      <c r="M48" s="1" t="s">
        <v>17</v>
      </c>
    </row>
    <row r="49" spans="1:13" ht="90" x14ac:dyDescent="0.25">
      <c r="A49" s="4">
        <f t="shared" si="0"/>
        <v>48</v>
      </c>
      <c r="B49" s="1" t="s">
        <v>226</v>
      </c>
      <c r="C49" s="1" t="s">
        <v>227</v>
      </c>
      <c r="D49" s="1" t="s">
        <v>12</v>
      </c>
      <c r="E49" s="1" t="s">
        <v>13</v>
      </c>
      <c r="F49" s="2">
        <v>42501.865972222222</v>
      </c>
      <c r="G49" s="2">
        <v>42530.333333333336</v>
      </c>
      <c r="H49" s="1" t="s">
        <v>228</v>
      </c>
      <c r="I49" s="1" t="s">
        <v>642</v>
      </c>
      <c r="J49" s="3" t="s">
        <v>644</v>
      </c>
      <c r="K49" s="1" t="s">
        <v>229</v>
      </c>
      <c r="L49" s="1" t="s">
        <v>28</v>
      </c>
      <c r="M49" s="1" t="s">
        <v>17</v>
      </c>
    </row>
    <row r="50" spans="1:13" ht="105" x14ac:dyDescent="0.25">
      <c r="A50" s="4">
        <f t="shared" si="0"/>
        <v>49</v>
      </c>
      <c r="B50" s="1" t="s">
        <v>230</v>
      </c>
      <c r="C50" s="1" t="s">
        <v>231</v>
      </c>
      <c r="D50" s="1" t="s">
        <v>12</v>
      </c>
      <c r="E50" s="1" t="s">
        <v>13</v>
      </c>
      <c r="F50" s="2">
        <v>42536.720833333333</v>
      </c>
      <c r="G50" s="2">
        <v>42539.333333333336</v>
      </c>
      <c r="H50" s="1" t="s">
        <v>232</v>
      </c>
      <c r="I50" s="1" t="s">
        <v>642</v>
      </c>
      <c r="J50" s="3" t="s">
        <v>644</v>
      </c>
      <c r="K50" s="1" t="s">
        <v>233</v>
      </c>
      <c r="L50" s="1" t="s">
        <v>234</v>
      </c>
      <c r="M50" s="1" t="s">
        <v>17</v>
      </c>
    </row>
    <row r="51" spans="1:13" ht="60" x14ac:dyDescent="0.25">
      <c r="A51" s="4">
        <f t="shared" si="0"/>
        <v>50</v>
      </c>
      <c r="B51" s="1" t="s">
        <v>235</v>
      </c>
      <c r="C51" s="1" t="s">
        <v>236</v>
      </c>
      <c r="D51" s="1" t="s">
        <v>12</v>
      </c>
      <c r="E51" s="1" t="s">
        <v>13</v>
      </c>
      <c r="F51" s="2">
        <v>42508.513194444444</v>
      </c>
      <c r="G51" s="2">
        <v>42515.333333333336</v>
      </c>
      <c r="H51" s="1" t="s">
        <v>237</v>
      </c>
      <c r="I51" s="1" t="s">
        <v>641</v>
      </c>
      <c r="K51" s="1" t="s">
        <v>238</v>
      </c>
      <c r="L51" s="1" t="s">
        <v>239</v>
      </c>
      <c r="M51" s="1" t="s">
        <v>17</v>
      </c>
    </row>
    <row r="52" spans="1:13" ht="135" x14ac:dyDescent="0.25">
      <c r="A52" s="4">
        <f t="shared" si="0"/>
        <v>51</v>
      </c>
      <c r="B52" s="1" t="s">
        <v>240</v>
      </c>
      <c r="C52" s="1" t="s">
        <v>241</v>
      </c>
      <c r="D52" s="1" t="s">
        <v>12</v>
      </c>
      <c r="E52" s="1" t="s">
        <v>13</v>
      </c>
      <c r="F52" s="2">
        <v>42523.643750000003</v>
      </c>
      <c r="G52" s="2">
        <v>42526.333333333336</v>
      </c>
      <c r="H52" s="1" t="s">
        <v>242</v>
      </c>
      <c r="I52" s="1" t="s">
        <v>641</v>
      </c>
      <c r="K52" s="1" t="s">
        <v>243</v>
      </c>
      <c r="L52" s="1" t="s">
        <v>16</v>
      </c>
      <c r="M52" s="1" t="s">
        <v>17</v>
      </c>
    </row>
    <row r="53" spans="1:13" ht="120" x14ac:dyDescent="0.25">
      <c r="A53" s="4">
        <f t="shared" si="0"/>
        <v>52</v>
      </c>
      <c r="B53" s="1" t="s">
        <v>244</v>
      </c>
      <c r="C53" s="1" t="s">
        <v>245</v>
      </c>
      <c r="D53" s="1" t="s">
        <v>12</v>
      </c>
      <c r="E53" s="1" t="s">
        <v>101</v>
      </c>
      <c r="F53" s="2">
        <v>42558.498611111114</v>
      </c>
      <c r="G53" s="2">
        <v>42558.722916666666</v>
      </c>
      <c r="H53" s="1" t="s">
        <v>246</v>
      </c>
      <c r="I53" s="1" t="s">
        <v>642</v>
      </c>
      <c r="J53" s="3" t="s">
        <v>644</v>
      </c>
      <c r="K53" s="1" t="s">
        <v>247</v>
      </c>
      <c r="L53" s="1" t="s">
        <v>173</v>
      </c>
      <c r="M53" s="1" t="s">
        <v>17</v>
      </c>
    </row>
    <row r="54" spans="1:13" ht="60" x14ac:dyDescent="0.25">
      <c r="A54" s="4">
        <f t="shared" si="0"/>
        <v>53</v>
      </c>
      <c r="B54" s="1" t="s">
        <v>248</v>
      </c>
      <c r="C54" s="1" t="s">
        <v>249</v>
      </c>
      <c r="D54" s="1" t="s">
        <v>250</v>
      </c>
      <c r="E54" s="1" t="s">
        <v>251</v>
      </c>
      <c r="F54" s="2">
        <v>42529.643750000003</v>
      </c>
      <c r="G54" s="2">
        <v>42542.515972222223</v>
      </c>
      <c r="H54" s="1" t="s">
        <v>252</v>
      </c>
      <c r="I54" s="1" t="s">
        <v>641</v>
      </c>
      <c r="K54" s="1" t="s">
        <v>253</v>
      </c>
      <c r="M54" s="1" t="s">
        <v>254</v>
      </c>
    </row>
    <row r="55" spans="1:13" ht="195" x14ac:dyDescent="0.25">
      <c r="A55" s="4">
        <f t="shared" si="0"/>
        <v>54</v>
      </c>
      <c r="B55" s="1" t="s">
        <v>255</v>
      </c>
      <c r="C55" s="1" t="s">
        <v>256</v>
      </c>
      <c r="D55" s="1" t="s">
        <v>250</v>
      </c>
      <c r="E55" s="1" t="s">
        <v>13</v>
      </c>
      <c r="F55" s="2">
        <v>42509.573611111111</v>
      </c>
      <c r="G55" s="2">
        <v>42515.333333333336</v>
      </c>
      <c r="H55" s="1" t="s">
        <v>257</v>
      </c>
      <c r="I55" s="1" t="s">
        <v>641</v>
      </c>
      <c r="J55" s="3" t="s">
        <v>649</v>
      </c>
      <c r="K55" s="1" t="s">
        <v>258</v>
      </c>
      <c r="M55" s="1" t="s">
        <v>254</v>
      </c>
    </row>
    <row r="56" spans="1:13" ht="45" x14ac:dyDescent="0.25">
      <c r="A56" s="4">
        <f t="shared" si="0"/>
        <v>55</v>
      </c>
      <c r="B56" s="1" t="s">
        <v>259</v>
      </c>
      <c r="C56" s="1" t="s">
        <v>260</v>
      </c>
      <c r="D56" s="1" t="s">
        <v>250</v>
      </c>
      <c r="E56" s="1" t="s">
        <v>13</v>
      </c>
      <c r="F56" s="2">
        <v>42495.654861111114</v>
      </c>
      <c r="G56" s="2">
        <v>42497.333333333336</v>
      </c>
      <c r="H56" s="1" t="s">
        <v>261</v>
      </c>
      <c r="I56" s="1" t="s">
        <v>642</v>
      </c>
      <c r="J56" s="3" t="s">
        <v>644</v>
      </c>
      <c r="K56" s="1" t="s">
        <v>262</v>
      </c>
      <c r="M56" s="1" t="s">
        <v>254</v>
      </c>
    </row>
    <row r="57" spans="1:13" ht="75" x14ac:dyDescent="0.25">
      <c r="A57" s="4">
        <f t="shared" si="0"/>
        <v>56</v>
      </c>
      <c r="B57" s="1" t="s">
        <v>263</v>
      </c>
      <c r="C57" s="1" t="s">
        <v>264</v>
      </c>
      <c r="D57" s="1" t="s">
        <v>250</v>
      </c>
      <c r="E57" s="1" t="s">
        <v>13</v>
      </c>
      <c r="F57" s="2">
        <v>42514.640972222223</v>
      </c>
      <c r="G57" s="2">
        <v>42517.333333333336</v>
      </c>
      <c r="H57" s="1" t="s">
        <v>265</v>
      </c>
      <c r="I57" s="1" t="s">
        <v>641</v>
      </c>
      <c r="J57" s="3" t="s">
        <v>649</v>
      </c>
      <c r="K57" s="1" t="s">
        <v>266</v>
      </c>
      <c r="M57" s="1" t="s">
        <v>254</v>
      </c>
    </row>
    <row r="58" spans="1:13" ht="90" x14ac:dyDescent="0.25">
      <c r="A58" s="4">
        <f t="shared" si="0"/>
        <v>57</v>
      </c>
      <c r="B58" s="14" t="s">
        <v>267</v>
      </c>
      <c r="C58" s="14" t="s">
        <v>268</v>
      </c>
      <c r="D58" s="14" t="s">
        <v>250</v>
      </c>
      <c r="E58" s="14" t="s">
        <v>90</v>
      </c>
      <c r="F58" s="15">
        <v>42557.581944444442</v>
      </c>
      <c r="G58" s="15">
        <v>42557.582638888889</v>
      </c>
      <c r="H58" s="14" t="s">
        <v>269</v>
      </c>
      <c r="I58" s="14" t="s">
        <v>641</v>
      </c>
      <c r="J58" s="16" t="s">
        <v>675</v>
      </c>
      <c r="K58" s="14" t="s">
        <v>270</v>
      </c>
      <c r="M58" s="1" t="s">
        <v>254</v>
      </c>
    </row>
    <row r="59" spans="1:13" ht="120" x14ac:dyDescent="0.25">
      <c r="A59" s="4">
        <f t="shared" si="0"/>
        <v>58</v>
      </c>
      <c r="B59" s="1" t="s">
        <v>271</v>
      </c>
      <c r="C59" s="1" t="s">
        <v>272</v>
      </c>
      <c r="D59" s="1" t="s">
        <v>250</v>
      </c>
      <c r="E59" s="1" t="s">
        <v>13</v>
      </c>
      <c r="F59" s="2">
        <v>42524.492361111108</v>
      </c>
      <c r="G59" s="2">
        <v>42529.333333333336</v>
      </c>
      <c r="H59" s="1" t="s">
        <v>273</v>
      </c>
      <c r="I59" s="1" t="s">
        <v>641</v>
      </c>
      <c r="J59" s="3" t="s">
        <v>664</v>
      </c>
      <c r="K59" s="1" t="s">
        <v>274</v>
      </c>
      <c r="M59" s="1" t="s">
        <v>254</v>
      </c>
    </row>
    <row r="60" spans="1:13" ht="90" x14ac:dyDescent="0.25">
      <c r="A60" s="4">
        <f t="shared" si="0"/>
        <v>59</v>
      </c>
      <c r="B60" s="6" t="s">
        <v>275</v>
      </c>
      <c r="C60" s="6" t="s">
        <v>276</v>
      </c>
      <c r="D60" s="6" t="s">
        <v>250</v>
      </c>
      <c r="E60" s="6" t="s">
        <v>13</v>
      </c>
      <c r="F60" s="7">
        <v>42549.613888888889</v>
      </c>
      <c r="G60" s="7">
        <v>42551.333333333336</v>
      </c>
      <c r="H60" s="6" t="s">
        <v>277</v>
      </c>
      <c r="I60" s="6" t="s">
        <v>642</v>
      </c>
      <c r="J60" s="8" t="s">
        <v>650</v>
      </c>
      <c r="K60" s="6" t="s">
        <v>278</v>
      </c>
      <c r="M60" s="1" t="s">
        <v>254</v>
      </c>
    </row>
    <row r="61" spans="1:13" ht="90" x14ac:dyDescent="0.25">
      <c r="A61" s="4">
        <f t="shared" si="0"/>
        <v>60</v>
      </c>
      <c r="B61" s="6" t="s">
        <v>279</v>
      </c>
      <c r="C61" s="6" t="s">
        <v>276</v>
      </c>
      <c r="D61" s="6" t="s">
        <v>250</v>
      </c>
      <c r="E61" s="6" t="s">
        <v>13</v>
      </c>
      <c r="F61" s="7">
        <v>42522.612500000003</v>
      </c>
      <c r="G61" s="7">
        <v>42525.333333333336</v>
      </c>
      <c r="H61" s="6" t="s">
        <v>280</v>
      </c>
      <c r="I61" s="6" t="s">
        <v>642</v>
      </c>
      <c r="J61" s="8" t="s">
        <v>650</v>
      </c>
      <c r="K61" s="6" t="s">
        <v>281</v>
      </c>
      <c r="M61" s="1" t="s">
        <v>254</v>
      </c>
    </row>
    <row r="62" spans="1:13" ht="300" x14ac:dyDescent="0.25">
      <c r="A62" s="4">
        <f t="shared" si="0"/>
        <v>61</v>
      </c>
      <c r="B62" s="1" t="s">
        <v>282</v>
      </c>
      <c r="C62" s="1" t="s">
        <v>283</v>
      </c>
      <c r="D62" s="1" t="s">
        <v>250</v>
      </c>
      <c r="E62" s="1" t="s">
        <v>13</v>
      </c>
      <c r="F62" s="2">
        <v>42550.517361111109</v>
      </c>
      <c r="G62" s="2">
        <v>42552.333333333336</v>
      </c>
      <c r="H62" s="1" t="s">
        <v>284</v>
      </c>
      <c r="I62" s="1" t="s">
        <v>642</v>
      </c>
      <c r="K62" s="1" t="s">
        <v>285</v>
      </c>
      <c r="M62" s="1" t="s">
        <v>254</v>
      </c>
    </row>
    <row r="63" spans="1:13" ht="120" x14ac:dyDescent="0.25">
      <c r="A63" s="4">
        <f t="shared" si="0"/>
        <v>62</v>
      </c>
      <c r="B63" s="6" t="s">
        <v>286</v>
      </c>
      <c r="C63" s="6" t="s">
        <v>276</v>
      </c>
      <c r="D63" s="6" t="s">
        <v>250</v>
      </c>
      <c r="E63" s="6" t="s">
        <v>13</v>
      </c>
      <c r="F63" s="7">
        <v>42492.434027777781</v>
      </c>
      <c r="G63" s="7">
        <v>42495.333333333336</v>
      </c>
      <c r="H63" s="6" t="s">
        <v>287</v>
      </c>
      <c r="I63" s="6" t="s">
        <v>642</v>
      </c>
      <c r="J63" s="8" t="s">
        <v>650</v>
      </c>
      <c r="K63" s="6" t="s">
        <v>288</v>
      </c>
      <c r="M63" s="1" t="s">
        <v>254</v>
      </c>
    </row>
    <row r="64" spans="1:13" ht="45" x14ac:dyDescent="0.25">
      <c r="A64" s="4">
        <f t="shared" si="0"/>
        <v>63</v>
      </c>
      <c r="B64" s="1" t="s">
        <v>289</v>
      </c>
      <c r="C64" s="1" t="s">
        <v>290</v>
      </c>
      <c r="D64" s="1" t="s">
        <v>250</v>
      </c>
      <c r="E64" s="1" t="s">
        <v>13</v>
      </c>
      <c r="F64" s="2">
        <v>42494.475694444445</v>
      </c>
      <c r="G64" s="2">
        <v>42503.333333333336</v>
      </c>
      <c r="H64" s="1" t="s">
        <v>291</v>
      </c>
      <c r="I64" s="1" t="s">
        <v>642</v>
      </c>
      <c r="J64" s="3" t="s">
        <v>644</v>
      </c>
      <c r="K64" s="1" t="s">
        <v>292</v>
      </c>
      <c r="M64" s="1" t="s">
        <v>254</v>
      </c>
    </row>
    <row r="65" spans="1:13" ht="75" x14ac:dyDescent="0.25">
      <c r="A65" s="4">
        <f t="shared" si="0"/>
        <v>64</v>
      </c>
      <c r="B65" s="1" t="s">
        <v>293</v>
      </c>
      <c r="C65" s="1" t="s">
        <v>294</v>
      </c>
      <c r="D65" s="1" t="s">
        <v>250</v>
      </c>
      <c r="E65" s="1" t="s">
        <v>13</v>
      </c>
      <c r="F65" s="2">
        <v>42543.511111111111</v>
      </c>
      <c r="G65" s="2">
        <v>42545.333333333336</v>
      </c>
      <c r="H65" s="1" t="s">
        <v>295</v>
      </c>
      <c r="I65" s="1" t="s">
        <v>641</v>
      </c>
      <c r="J65" s="3" t="s">
        <v>651</v>
      </c>
      <c r="K65" s="1" t="s">
        <v>296</v>
      </c>
      <c r="M65" s="1" t="s">
        <v>254</v>
      </c>
    </row>
    <row r="66" spans="1:13" ht="60" x14ac:dyDescent="0.25">
      <c r="A66" s="4">
        <f t="shared" si="0"/>
        <v>65</v>
      </c>
      <c r="B66" s="1" t="s">
        <v>297</v>
      </c>
      <c r="C66" s="1" t="s">
        <v>298</v>
      </c>
      <c r="D66" s="1" t="s">
        <v>250</v>
      </c>
      <c r="E66" s="1" t="s">
        <v>13</v>
      </c>
      <c r="F66" s="2">
        <v>42492.413888888892</v>
      </c>
      <c r="G66" s="2">
        <v>42497.333333333336</v>
      </c>
      <c r="H66" s="1" t="s">
        <v>299</v>
      </c>
      <c r="I66" s="1" t="s">
        <v>641</v>
      </c>
      <c r="J66" s="3" t="s">
        <v>652</v>
      </c>
      <c r="K66" s="1" t="s">
        <v>300</v>
      </c>
      <c r="M66" s="1" t="s">
        <v>254</v>
      </c>
    </row>
    <row r="67" spans="1:13" ht="90" x14ac:dyDescent="0.25">
      <c r="A67" s="4">
        <f t="shared" si="0"/>
        <v>66</v>
      </c>
      <c r="B67" s="1" t="s">
        <v>301</v>
      </c>
      <c r="C67" s="1" t="s">
        <v>302</v>
      </c>
      <c r="D67" s="1" t="s">
        <v>250</v>
      </c>
      <c r="E67" s="1" t="s">
        <v>13</v>
      </c>
      <c r="F67" s="2">
        <v>42508.754861111112</v>
      </c>
      <c r="G67" s="2">
        <v>42531.333333333336</v>
      </c>
      <c r="H67" s="1" t="s">
        <v>303</v>
      </c>
      <c r="I67" s="1" t="s">
        <v>642</v>
      </c>
      <c r="J67" s="3" t="s">
        <v>653</v>
      </c>
      <c r="K67" s="1" t="s">
        <v>304</v>
      </c>
      <c r="M67" s="1" t="s">
        <v>254</v>
      </c>
    </row>
    <row r="68" spans="1:13" ht="120" x14ac:dyDescent="0.25">
      <c r="A68" s="4">
        <f t="shared" ref="A68:A131" si="1">A67 + 1</f>
        <v>67</v>
      </c>
      <c r="B68" s="6" t="s">
        <v>305</v>
      </c>
      <c r="C68" s="6" t="s">
        <v>306</v>
      </c>
      <c r="D68" s="6" t="s">
        <v>250</v>
      </c>
      <c r="E68" s="6" t="s">
        <v>13</v>
      </c>
      <c r="F68" s="7">
        <v>42550.459722222222</v>
      </c>
      <c r="G68" s="7">
        <v>42553.333333333336</v>
      </c>
      <c r="H68" s="6" t="s">
        <v>307</v>
      </c>
      <c r="I68" s="6" t="s">
        <v>641</v>
      </c>
      <c r="J68" s="8" t="s">
        <v>644</v>
      </c>
      <c r="K68" s="6" t="s">
        <v>308</v>
      </c>
      <c r="M68" s="1" t="s">
        <v>254</v>
      </c>
    </row>
    <row r="69" spans="1:13" ht="60" x14ac:dyDescent="0.25">
      <c r="A69" s="4">
        <f t="shared" si="1"/>
        <v>68</v>
      </c>
      <c r="B69" s="1" t="s">
        <v>309</v>
      </c>
      <c r="C69" s="1" t="s">
        <v>310</v>
      </c>
      <c r="D69" s="1" t="s">
        <v>250</v>
      </c>
      <c r="E69" s="1" t="s">
        <v>13</v>
      </c>
      <c r="F69" s="2">
        <v>42509.722222222219</v>
      </c>
      <c r="G69" s="2">
        <v>42511.333333333336</v>
      </c>
      <c r="H69" s="1" t="s">
        <v>311</v>
      </c>
      <c r="I69" s="1" t="s">
        <v>642</v>
      </c>
      <c r="J69" s="3" t="s">
        <v>644</v>
      </c>
      <c r="K69" s="1" t="s">
        <v>312</v>
      </c>
      <c r="M69" s="1" t="s">
        <v>254</v>
      </c>
    </row>
    <row r="70" spans="1:13" ht="105" x14ac:dyDescent="0.25">
      <c r="A70" s="4">
        <f t="shared" si="1"/>
        <v>69</v>
      </c>
      <c r="B70" s="1" t="s">
        <v>313</v>
      </c>
      <c r="C70" s="1" t="s">
        <v>314</v>
      </c>
      <c r="D70" s="1" t="s">
        <v>250</v>
      </c>
      <c r="E70" s="1" t="s">
        <v>13</v>
      </c>
      <c r="F70" s="2">
        <v>42502.427083333336</v>
      </c>
      <c r="G70" s="2">
        <v>42512.333333333336</v>
      </c>
      <c r="H70" s="1" t="s">
        <v>315</v>
      </c>
      <c r="I70" s="1" t="s">
        <v>641</v>
      </c>
      <c r="J70" s="3" t="s">
        <v>654</v>
      </c>
      <c r="K70" s="1" t="s">
        <v>316</v>
      </c>
      <c r="M70" s="1" t="s">
        <v>254</v>
      </c>
    </row>
    <row r="71" spans="1:13" ht="60" x14ac:dyDescent="0.25">
      <c r="A71" s="10">
        <f t="shared" si="1"/>
        <v>70</v>
      </c>
      <c r="B71" s="6" t="s">
        <v>317</v>
      </c>
      <c r="C71" s="6" t="s">
        <v>318</v>
      </c>
      <c r="D71" s="6" t="s">
        <v>250</v>
      </c>
      <c r="E71" s="6" t="s">
        <v>13</v>
      </c>
      <c r="F71" s="7">
        <v>42522.663888888892</v>
      </c>
      <c r="G71" s="7">
        <v>42525.333333333336</v>
      </c>
      <c r="H71" s="6" t="s">
        <v>319</v>
      </c>
      <c r="I71" s="6"/>
      <c r="J71" s="8"/>
      <c r="K71" s="6" t="s">
        <v>320</v>
      </c>
      <c r="M71" s="1" t="s">
        <v>254</v>
      </c>
    </row>
    <row r="72" spans="1:13" ht="90" x14ac:dyDescent="0.25">
      <c r="A72" s="10">
        <f t="shared" si="1"/>
        <v>71</v>
      </c>
      <c r="B72" s="6" t="s">
        <v>321</v>
      </c>
      <c r="C72" s="6" t="s">
        <v>322</v>
      </c>
      <c r="D72" s="6" t="s">
        <v>250</v>
      </c>
      <c r="E72" s="6" t="s">
        <v>101</v>
      </c>
      <c r="F72" s="7">
        <v>42558.575694444444</v>
      </c>
      <c r="G72" s="7">
        <v>42558.602777777778</v>
      </c>
      <c r="H72" s="6" t="s">
        <v>323</v>
      </c>
      <c r="I72" s="6"/>
      <c r="J72" s="8"/>
      <c r="K72" s="6" t="s">
        <v>324</v>
      </c>
      <c r="M72" s="1" t="s">
        <v>254</v>
      </c>
    </row>
    <row r="73" spans="1:13" ht="75" x14ac:dyDescent="0.25">
      <c r="A73" s="4">
        <f t="shared" si="1"/>
        <v>72</v>
      </c>
      <c r="B73" s="1" t="s">
        <v>325</v>
      </c>
      <c r="C73" s="1" t="s">
        <v>326</v>
      </c>
      <c r="D73" s="1" t="s">
        <v>250</v>
      </c>
      <c r="E73" s="1" t="s">
        <v>90</v>
      </c>
      <c r="F73" s="2">
        <v>42558.602083333331</v>
      </c>
      <c r="G73" s="2">
        <v>42558.602777777778</v>
      </c>
      <c r="H73" s="1" t="s">
        <v>327</v>
      </c>
      <c r="I73" s="1" t="s">
        <v>641</v>
      </c>
      <c r="J73" s="3" t="s">
        <v>654</v>
      </c>
      <c r="K73" s="1" t="s">
        <v>328</v>
      </c>
      <c r="M73" s="1" t="s">
        <v>254</v>
      </c>
    </row>
    <row r="74" spans="1:13" ht="105" x14ac:dyDescent="0.25">
      <c r="A74" s="10">
        <f t="shared" si="1"/>
        <v>73</v>
      </c>
      <c r="B74" s="6" t="s">
        <v>329</v>
      </c>
      <c r="C74" s="6" t="s">
        <v>330</v>
      </c>
      <c r="D74" s="6" t="s">
        <v>250</v>
      </c>
      <c r="E74" s="6" t="s">
        <v>13</v>
      </c>
      <c r="F74" s="7">
        <v>42515.486805555556</v>
      </c>
      <c r="G74" s="7">
        <v>42531.333333333336</v>
      </c>
      <c r="H74" s="6" t="s">
        <v>331</v>
      </c>
      <c r="I74" s="6" t="s">
        <v>642</v>
      </c>
      <c r="J74" s="8" t="s">
        <v>644</v>
      </c>
      <c r="K74" s="6" t="s">
        <v>332</v>
      </c>
      <c r="M74" s="1" t="s">
        <v>254</v>
      </c>
    </row>
    <row r="75" spans="1:13" ht="165" x14ac:dyDescent="0.25">
      <c r="A75" s="4">
        <f t="shared" si="1"/>
        <v>74</v>
      </c>
      <c r="B75" s="1" t="s">
        <v>333</v>
      </c>
      <c r="C75" s="1" t="s">
        <v>334</v>
      </c>
      <c r="D75" s="1" t="s">
        <v>250</v>
      </c>
      <c r="E75" s="1" t="s">
        <v>335</v>
      </c>
      <c r="F75" s="2">
        <v>42541.479861111111</v>
      </c>
      <c r="G75" s="2">
        <v>42549.482638888891</v>
      </c>
      <c r="H75" s="1" t="s">
        <v>336</v>
      </c>
      <c r="I75" s="1" t="s">
        <v>641</v>
      </c>
      <c r="J75" s="9" t="s">
        <v>655</v>
      </c>
      <c r="K75" s="1" t="s">
        <v>337</v>
      </c>
      <c r="M75" s="1" t="s">
        <v>254</v>
      </c>
    </row>
    <row r="76" spans="1:13" ht="30" x14ac:dyDescent="0.25">
      <c r="A76" s="4">
        <f t="shared" si="1"/>
        <v>75</v>
      </c>
      <c r="B76" s="1" t="s">
        <v>338</v>
      </c>
      <c r="C76" s="1" t="s">
        <v>115</v>
      </c>
      <c r="D76" s="1" t="s">
        <v>250</v>
      </c>
      <c r="E76" s="1" t="s">
        <v>13</v>
      </c>
      <c r="F76" s="2">
        <v>42535.711805555555</v>
      </c>
      <c r="G76" s="2">
        <v>42537.333333333336</v>
      </c>
      <c r="H76" s="1" t="s">
        <v>339</v>
      </c>
      <c r="I76" s="1" t="s">
        <v>641</v>
      </c>
      <c r="J76" s="3" t="s">
        <v>656</v>
      </c>
      <c r="K76" s="1" t="s">
        <v>340</v>
      </c>
      <c r="M76" s="1" t="s">
        <v>254</v>
      </c>
    </row>
    <row r="77" spans="1:13" ht="255" x14ac:dyDescent="0.25">
      <c r="A77" s="4">
        <f t="shared" si="1"/>
        <v>76</v>
      </c>
      <c r="B77" s="1" t="s">
        <v>341</v>
      </c>
      <c r="C77" s="1" t="s">
        <v>342</v>
      </c>
      <c r="D77" s="1" t="s">
        <v>250</v>
      </c>
      <c r="E77" s="1" t="s">
        <v>13</v>
      </c>
      <c r="F77" s="2">
        <v>42526.744444444441</v>
      </c>
      <c r="G77" s="2">
        <v>42531.333333333336</v>
      </c>
      <c r="H77" s="1" t="s">
        <v>343</v>
      </c>
      <c r="I77" s="1" t="s">
        <v>641</v>
      </c>
      <c r="J77" s="3" t="s">
        <v>657</v>
      </c>
      <c r="K77" s="1" t="s">
        <v>344</v>
      </c>
      <c r="M77" s="1" t="s">
        <v>254</v>
      </c>
    </row>
    <row r="78" spans="1:13" ht="75" x14ac:dyDescent="0.25">
      <c r="A78" s="4">
        <f t="shared" si="1"/>
        <v>77</v>
      </c>
      <c r="B78" s="1" t="s">
        <v>345</v>
      </c>
      <c r="C78" s="1" t="s">
        <v>346</v>
      </c>
      <c r="D78" s="1" t="s">
        <v>12</v>
      </c>
      <c r="E78" s="1" t="s">
        <v>13</v>
      </c>
      <c r="F78" s="2">
        <v>42521.392361111109</v>
      </c>
      <c r="G78" s="2">
        <v>42534.620833333334</v>
      </c>
      <c r="H78" s="1" t="s">
        <v>347</v>
      </c>
      <c r="I78" s="1" t="s">
        <v>642</v>
      </c>
      <c r="J78" s="3" t="s">
        <v>644</v>
      </c>
      <c r="K78" s="1" t="s">
        <v>348</v>
      </c>
      <c r="L78" s="1" t="s">
        <v>16</v>
      </c>
      <c r="M78" s="1" t="s">
        <v>254</v>
      </c>
    </row>
    <row r="79" spans="1:13" ht="75" x14ac:dyDescent="0.25">
      <c r="A79" s="4">
        <f t="shared" si="1"/>
        <v>78</v>
      </c>
      <c r="B79" s="1" t="s">
        <v>349</v>
      </c>
      <c r="C79" s="1" t="s">
        <v>350</v>
      </c>
      <c r="D79" s="1" t="s">
        <v>250</v>
      </c>
      <c r="E79" s="1" t="s">
        <v>13</v>
      </c>
      <c r="F79" s="2">
        <v>42502.713194444441</v>
      </c>
      <c r="G79" s="2">
        <v>42511.333333333336</v>
      </c>
      <c r="H79" s="1" t="s">
        <v>351</v>
      </c>
      <c r="I79" s="1" t="s">
        <v>641</v>
      </c>
      <c r="J79" s="3" t="s">
        <v>658</v>
      </c>
      <c r="K79" s="1" t="s">
        <v>352</v>
      </c>
      <c r="M79" s="1" t="s">
        <v>254</v>
      </c>
    </row>
    <row r="80" spans="1:13" ht="105" x14ac:dyDescent="0.25">
      <c r="A80" s="4">
        <f t="shared" si="1"/>
        <v>79</v>
      </c>
      <c r="B80" s="1" t="s">
        <v>353</v>
      </c>
      <c r="C80" s="1" t="s">
        <v>354</v>
      </c>
      <c r="D80" s="1" t="s">
        <v>250</v>
      </c>
      <c r="E80" s="1" t="s">
        <v>13</v>
      </c>
      <c r="F80" s="2">
        <v>42549.622916666667</v>
      </c>
      <c r="G80" s="2">
        <v>42551.333333333336</v>
      </c>
      <c r="H80" s="1" t="s">
        <v>355</v>
      </c>
      <c r="I80" s="1" t="s">
        <v>641</v>
      </c>
      <c r="J80" s="3" t="s">
        <v>659</v>
      </c>
      <c r="K80" s="1" t="s">
        <v>356</v>
      </c>
      <c r="M80" s="1" t="s">
        <v>254</v>
      </c>
    </row>
    <row r="81" spans="1:13" ht="210" x14ac:dyDescent="0.25">
      <c r="A81" s="4">
        <f t="shared" si="1"/>
        <v>80</v>
      </c>
      <c r="B81" s="1" t="s">
        <v>357</v>
      </c>
      <c r="C81" s="1" t="s">
        <v>660</v>
      </c>
      <c r="D81" s="1" t="s">
        <v>250</v>
      </c>
      <c r="E81" s="1" t="s">
        <v>13</v>
      </c>
      <c r="F81" s="2">
        <v>42496.597222222219</v>
      </c>
      <c r="G81" s="2">
        <v>42535.491666666669</v>
      </c>
      <c r="H81" s="1" t="s">
        <v>358</v>
      </c>
      <c r="I81" s="1" t="s">
        <v>641</v>
      </c>
      <c r="J81" s="3" t="s">
        <v>654</v>
      </c>
      <c r="K81" s="1" t="s">
        <v>359</v>
      </c>
      <c r="M81" s="1" t="s">
        <v>254</v>
      </c>
    </row>
    <row r="82" spans="1:13" ht="90" x14ac:dyDescent="0.25">
      <c r="A82" s="10">
        <f t="shared" si="1"/>
        <v>81</v>
      </c>
      <c r="B82" s="6" t="s">
        <v>360</v>
      </c>
      <c r="C82" s="6" t="s">
        <v>361</v>
      </c>
      <c r="D82" s="6" t="s">
        <v>250</v>
      </c>
      <c r="E82" s="6" t="s">
        <v>13</v>
      </c>
      <c r="F82" s="7">
        <v>42550.460416666669</v>
      </c>
      <c r="G82" s="7">
        <v>42558.333333333336</v>
      </c>
      <c r="H82" s="6" t="s">
        <v>362</v>
      </c>
      <c r="I82" s="6"/>
      <c r="J82" s="8"/>
      <c r="K82" s="6" t="s">
        <v>363</v>
      </c>
      <c r="M82" s="1" t="s">
        <v>254</v>
      </c>
    </row>
    <row r="83" spans="1:13" ht="90" x14ac:dyDescent="0.25">
      <c r="A83" s="4">
        <f t="shared" si="1"/>
        <v>82</v>
      </c>
      <c r="B83" s="1" t="s">
        <v>364</v>
      </c>
      <c r="C83" s="1" t="s">
        <v>365</v>
      </c>
      <c r="D83" s="1" t="s">
        <v>250</v>
      </c>
      <c r="E83" s="1" t="s">
        <v>13</v>
      </c>
      <c r="F83" s="2">
        <v>42509.674305555556</v>
      </c>
      <c r="G83" s="2">
        <v>42515.333333333336</v>
      </c>
      <c r="H83" s="1" t="s">
        <v>366</v>
      </c>
      <c r="I83" s="1" t="s">
        <v>641</v>
      </c>
      <c r="J83" s="3" t="s">
        <v>654</v>
      </c>
      <c r="K83" s="1" t="s">
        <v>367</v>
      </c>
      <c r="M83" s="1" t="s">
        <v>254</v>
      </c>
    </row>
    <row r="84" spans="1:13" ht="75" x14ac:dyDescent="0.25">
      <c r="A84" s="4">
        <f t="shared" si="1"/>
        <v>83</v>
      </c>
      <c r="B84" s="1" t="s">
        <v>368</v>
      </c>
      <c r="C84" s="1" t="s">
        <v>369</v>
      </c>
      <c r="D84" s="1" t="s">
        <v>250</v>
      </c>
      <c r="E84" s="1" t="s">
        <v>13</v>
      </c>
      <c r="F84" s="2">
        <v>42550.465277777781</v>
      </c>
      <c r="G84" s="2">
        <v>42553.333333333336</v>
      </c>
      <c r="H84" s="1" t="s">
        <v>370</v>
      </c>
      <c r="I84" s="1" t="s">
        <v>641</v>
      </c>
      <c r="J84" s="3" t="s">
        <v>661</v>
      </c>
      <c r="K84" s="1" t="s">
        <v>371</v>
      </c>
      <c r="M84" s="1" t="s">
        <v>254</v>
      </c>
    </row>
    <row r="85" spans="1:13" ht="105" x14ac:dyDescent="0.25">
      <c r="A85" s="4">
        <f t="shared" si="1"/>
        <v>84</v>
      </c>
      <c r="B85" s="6" t="s">
        <v>372</v>
      </c>
      <c r="C85" s="6" t="s">
        <v>373</v>
      </c>
      <c r="D85" s="6" t="s">
        <v>250</v>
      </c>
      <c r="E85" s="6" t="s">
        <v>13</v>
      </c>
      <c r="F85" s="7">
        <v>42500.427777777775</v>
      </c>
      <c r="G85" s="7">
        <v>42510.333333333336</v>
      </c>
      <c r="H85" s="6" t="s">
        <v>374</v>
      </c>
      <c r="I85" s="6" t="s">
        <v>642</v>
      </c>
      <c r="J85" s="8" t="s">
        <v>644</v>
      </c>
      <c r="K85" s="6" t="s">
        <v>375</v>
      </c>
      <c r="M85" s="1" t="s">
        <v>254</v>
      </c>
    </row>
    <row r="86" spans="1:13" ht="225" x14ac:dyDescent="0.25">
      <c r="A86" s="4">
        <f t="shared" si="1"/>
        <v>85</v>
      </c>
      <c r="B86" s="1" t="s">
        <v>376</v>
      </c>
      <c r="C86" s="1" t="s">
        <v>377</v>
      </c>
      <c r="D86" s="1" t="s">
        <v>250</v>
      </c>
      <c r="E86" s="1" t="s">
        <v>13</v>
      </c>
      <c r="F86" s="2">
        <v>42507.606249999997</v>
      </c>
      <c r="G86" s="2">
        <v>42511.333333333336</v>
      </c>
      <c r="H86" s="1" t="s">
        <v>378</v>
      </c>
      <c r="I86" s="1" t="s">
        <v>641</v>
      </c>
      <c r="J86" s="12" t="s">
        <v>662</v>
      </c>
      <c r="K86" s="1" t="s">
        <v>379</v>
      </c>
      <c r="M86" s="1" t="s">
        <v>254</v>
      </c>
    </row>
    <row r="87" spans="1:13" ht="45" x14ac:dyDescent="0.25">
      <c r="A87" s="4">
        <f t="shared" si="1"/>
        <v>86</v>
      </c>
      <c r="B87" s="1" t="s">
        <v>380</v>
      </c>
      <c r="C87" s="1" t="s">
        <v>381</v>
      </c>
      <c r="D87" s="1" t="s">
        <v>12</v>
      </c>
      <c r="E87" s="1" t="s">
        <v>13</v>
      </c>
      <c r="F87" s="2">
        <v>42538.607638888891</v>
      </c>
      <c r="G87" s="2">
        <v>42544.333333333336</v>
      </c>
      <c r="H87" s="1" t="s">
        <v>382</v>
      </c>
      <c r="I87" s="1" t="s">
        <v>641</v>
      </c>
      <c r="J87" s="13" t="s">
        <v>663</v>
      </c>
      <c r="K87" s="1" t="s">
        <v>383</v>
      </c>
      <c r="L87" s="1" t="s">
        <v>104</v>
      </c>
      <c r="M87" s="1" t="s">
        <v>384</v>
      </c>
    </row>
    <row r="88" spans="1:13" ht="45" x14ac:dyDescent="0.25">
      <c r="A88" s="4">
        <f t="shared" si="1"/>
        <v>87</v>
      </c>
      <c r="B88" s="1" t="s">
        <v>385</v>
      </c>
      <c r="C88" s="1" t="s">
        <v>381</v>
      </c>
      <c r="D88" s="1" t="s">
        <v>12</v>
      </c>
      <c r="E88" s="1" t="s">
        <v>13</v>
      </c>
      <c r="F88" s="2">
        <v>42499.443055555559</v>
      </c>
      <c r="G88" s="2">
        <v>42502.333333333336</v>
      </c>
      <c r="H88" s="1" t="s">
        <v>386</v>
      </c>
      <c r="I88" s="1" t="s">
        <v>641</v>
      </c>
      <c r="J88" s="12" t="s">
        <v>663</v>
      </c>
      <c r="K88" s="1" t="s">
        <v>387</v>
      </c>
      <c r="L88" s="1" t="s">
        <v>388</v>
      </c>
      <c r="M88" s="1" t="s">
        <v>384</v>
      </c>
    </row>
    <row r="89" spans="1:13" ht="60" x14ac:dyDescent="0.25">
      <c r="A89" s="4">
        <f t="shared" si="1"/>
        <v>88</v>
      </c>
      <c r="B89" s="1" t="s">
        <v>389</v>
      </c>
      <c r="C89" s="1" t="s">
        <v>390</v>
      </c>
      <c r="D89" s="1" t="s">
        <v>12</v>
      </c>
      <c r="E89" s="1" t="s">
        <v>13</v>
      </c>
      <c r="F89" s="2">
        <v>42537.465277777781</v>
      </c>
      <c r="G89" s="2">
        <v>42539.333333333336</v>
      </c>
      <c r="H89" s="1" t="s">
        <v>391</v>
      </c>
      <c r="I89" s="1" t="s">
        <v>642</v>
      </c>
      <c r="J89" s="3" t="s">
        <v>644</v>
      </c>
      <c r="K89" s="1" t="s">
        <v>392</v>
      </c>
      <c r="L89" s="1" t="s">
        <v>393</v>
      </c>
      <c r="M89" s="1" t="s">
        <v>384</v>
      </c>
    </row>
    <row r="90" spans="1:13" ht="120" x14ac:dyDescent="0.25">
      <c r="A90" s="4">
        <f t="shared" si="1"/>
        <v>89</v>
      </c>
      <c r="B90" s="1" t="s">
        <v>394</v>
      </c>
      <c r="C90" s="1" t="s">
        <v>395</v>
      </c>
      <c r="D90" s="1" t="s">
        <v>12</v>
      </c>
      <c r="E90" s="1" t="s">
        <v>90</v>
      </c>
      <c r="F90" s="2">
        <v>42556.918749999997</v>
      </c>
      <c r="G90" s="2">
        <v>42557.493750000001</v>
      </c>
      <c r="H90" s="1" t="s">
        <v>396</v>
      </c>
      <c r="I90" s="1" t="s">
        <v>641</v>
      </c>
      <c r="J90" s="3" t="s">
        <v>644</v>
      </c>
      <c r="K90" s="1" t="s">
        <v>397</v>
      </c>
      <c r="L90" s="1" t="s">
        <v>38</v>
      </c>
      <c r="M90" s="1" t="s">
        <v>384</v>
      </c>
    </row>
    <row r="91" spans="1:13" ht="75" x14ac:dyDescent="0.25">
      <c r="A91" s="4">
        <f t="shared" si="1"/>
        <v>90</v>
      </c>
      <c r="B91" s="1" t="s">
        <v>398</v>
      </c>
      <c r="C91" s="1" t="s">
        <v>399</v>
      </c>
      <c r="D91" s="1" t="s">
        <v>12</v>
      </c>
      <c r="E91" s="1" t="s">
        <v>13</v>
      </c>
      <c r="F91" s="2">
        <v>42503.662499999999</v>
      </c>
      <c r="G91" s="2">
        <v>42520.404166666667</v>
      </c>
      <c r="H91" s="1" t="s">
        <v>400</v>
      </c>
      <c r="I91" s="1" t="s">
        <v>641</v>
      </c>
      <c r="J91" s="9" t="s">
        <v>664</v>
      </c>
      <c r="K91" s="1" t="s">
        <v>401</v>
      </c>
      <c r="L91" s="1" t="s">
        <v>402</v>
      </c>
      <c r="M91" s="1" t="s">
        <v>384</v>
      </c>
    </row>
    <row r="92" spans="1:13" ht="75" x14ac:dyDescent="0.25">
      <c r="A92" s="4">
        <f t="shared" si="1"/>
        <v>91</v>
      </c>
      <c r="B92" s="1" t="s">
        <v>403</v>
      </c>
      <c r="C92" s="1" t="s">
        <v>404</v>
      </c>
      <c r="D92" s="1" t="s">
        <v>12</v>
      </c>
      <c r="E92" s="1" t="s">
        <v>13</v>
      </c>
      <c r="F92" s="2">
        <v>42496.620138888888</v>
      </c>
      <c r="G92" s="2">
        <v>42505.333333333336</v>
      </c>
      <c r="H92" s="1" t="s">
        <v>405</v>
      </c>
      <c r="I92" s="1" t="s">
        <v>665</v>
      </c>
      <c r="J92" s="3" t="s">
        <v>664</v>
      </c>
      <c r="K92" s="1" t="s">
        <v>406</v>
      </c>
      <c r="L92" s="1" t="s">
        <v>407</v>
      </c>
      <c r="M92" s="1" t="s">
        <v>384</v>
      </c>
    </row>
    <row r="93" spans="1:13" ht="75" x14ac:dyDescent="0.25">
      <c r="A93" s="10">
        <f t="shared" si="1"/>
        <v>92</v>
      </c>
      <c r="B93" s="6" t="s">
        <v>408</v>
      </c>
      <c r="C93" s="6" t="s">
        <v>409</v>
      </c>
      <c r="D93" s="6" t="s">
        <v>12</v>
      </c>
      <c r="E93" s="6" t="s">
        <v>13</v>
      </c>
      <c r="F93" s="7">
        <v>42541.635416666664</v>
      </c>
      <c r="G93" s="7">
        <v>42543.918055555558</v>
      </c>
      <c r="H93" s="6" t="s">
        <v>410</v>
      </c>
      <c r="I93" s="6" t="s">
        <v>642</v>
      </c>
      <c r="J93" s="8" t="s">
        <v>644</v>
      </c>
      <c r="K93" s="6" t="s">
        <v>411</v>
      </c>
      <c r="L93" s="1" t="s">
        <v>16</v>
      </c>
      <c r="M93" s="1" t="s">
        <v>384</v>
      </c>
    </row>
    <row r="94" spans="1:13" ht="75" x14ac:dyDescent="0.25">
      <c r="A94" s="10">
        <f t="shared" si="1"/>
        <v>93</v>
      </c>
      <c r="B94" s="6" t="s">
        <v>412</v>
      </c>
      <c r="C94" s="6" t="s">
        <v>413</v>
      </c>
      <c r="D94" s="6" t="s">
        <v>12</v>
      </c>
      <c r="E94" s="6" t="s">
        <v>13</v>
      </c>
      <c r="F94" s="7">
        <v>42551.522222222222</v>
      </c>
      <c r="G94" s="7">
        <v>42557.333333333336</v>
      </c>
      <c r="H94" s="6" t="s">
        <v>414</v>
      </c>
      <c r="I94" s="6"/>
      <c r="J94" s="8"/>
      <c r="K94" s="6" t="s">
        <v>415</v>
      </c>
      <c r="L94" s="1" t="s">
        <v>168</v>
      </c>
      <c r="M94" s="1" t="s">
        <v>384</v>
      </c>
    </row>
    <row r="95" spans="1:13" ht="60" x14ac:dyDescent="0.25">
      <c r="A95" s="10">
        <f t="shared" si="1"/>
        <v>94</v>
      </c>
      <c r="B95" s="6" t="s">
        <v>416</v>
      </c>
      <c r="C95" s="6" t="s">
        <v>417</v>
      </c>
      <c r="D95" s="6" t="s">
        <v>12</v>
      </c>
      <c r="E95" s="6" t="s">
        <v>13</v>
      </c>
      <c r="F95" s="7">
        <v>42522.642361111109</v>
      </c>
      <c r="G95" s="7">
        <v>42525.333333333336</v>
      </c>
      <c r="H95" s="6" t="s">
        <v>418</v>
      </c>
      <c r="I95" s="6"/>
      <c r="J95" s="8"/>
      <c r="K95" s="6" t="s">
        <v>419</v>
      </c>
      <c r="L95" s="1" t="s">
        <v>420</v>
      </c>
      <c r="M95" s="1" t="s">
        <v>384</v>
      </c>
    </row>
    <row r="96" spans="1:13" ht="60" x14ac:dyDescent="0.25">
      <c r="A96" s="4">
        <f t="shared" si="1"/>
        <v>95</v>
      </c>
      <c r="B96" s="1" t="s">
        <v>421</v>
      </c>
      <c r="C96" s="1" t="s">
        <v>422</v>
      </c>
      <c r="D96" s="1" t="s">
        <v>12</v>
      </c>
      <c r="E96" s="1" t="s">
        <v>13</v>
      </c>
      <c r="F96" s="2">
        <v>42521.747916666667</v>
      </c>
      <c r="G96" s="2">
        <v>42526.333333333336</v>
      </c>
      <c r="H96" s="1" t="s">
        <v>423</v>
      </c>
      <c r="I96" s="1" t="s">
        <v>641</v>
      </c>
      <c r="J96" s="3" t="s">
        <v>666</v>
      </c>
      <c r="K96" s="1" t="s">
        <v>424</v>
      </c>
      <c r="L96" s="1" t="s">
        <v>122</v>
      </c>
      <c r="M96" s="1" t="s">
        <v>384</v>
      </c>
    </row>
    <row r="97" spans="1:13" ht="45" x14ac:dyDescent="0.25">
      <c r="A97" s="10">
        <f t="shared" si="1"/>
        <v>96</v>
      </c>
      <c r="B97" s="6" t="s">
        <v>425</v>
      </c>
      <c r="C97" s="6" t="s">
        <v>426</v>
      </c>
      <c r="D97" s="6" t="s">
        <v>12</v>
      </c>
      <c r="E97" s="6" t="s">
        <v>13</v>
      </c>
      <c r="F97" s="7">
        <v>42555.619444444441</v>
      </c>
      <c r="G97" s="7">
        <v>42559.333333333336</v>
      </c>
      <c r="H97" s="6" t="s">
        <v>427</v>
      </c>
      <c r="I97" s="6"/>
      <c r="J97" s="8"/>
      <c r="K97" s="6" t="s">
        <v>428</v>
      </c>
      <c r="L97" s="1" t="s">
        <v>429</v>
      </c>
      <c r="M97" s="1" t="s">
        <v>384</v>
      </c>
    </row>
    <row r="98" spans="1:13" ht="90" x14ac:dyDescent="0.25">
      <c r="A98" s="4">
        <f t="shared" si="1"/>
        <v>97</v>
      </c>
      <c r="B98" s="1" t="s">
        <v>430</v>
      </c>
      <c r="C98" s="1" t="s">
        <v>431</v>
      </c>
      <c r="D98" s="1" t="s">
        <v>12</v>
      </c>
      <c r="E98" s="1" t="s">
        <v>90</v>
      </c>
      <c r="F98" s="2">
        <v>42557.338888888888</v>
      </c>
      <c r="G98" s="2">
        <v>42557.487500000003</v>
      </c>
      <c r="H98" s="1" t="s">
        <v>432</v>
      </c>
      <c r="I98" s="1" t="s">
        <v>641</v>
      </c>
      <c r="J98" s="3" t="s">
        <v>664</v>
      </c>
      <c r="K98" s="1" t="s">
        <v>397</v>
      </c>
      <c r="L98" s="1" t="s">
        <v>38</v>
      </c>
      <c r="M98" s="1" t="s">
        <v>384</v>
      </c>
    </row>
    <row r="99" spans="1:13" ht="120" x14ac:dyDescent="0.25">
      <c r="A99" s="4">
        <f t="shared" si="1"/>
        <v>98</v>
      </c>
      <c r="B99" s="1" t="s">
        <v>433</v>
      </c>
      <c r="C99" s="1" t="s">
        <v>434</v>
      </c>
      <c r="D99" s="1" t="s">
        <v>12</v>
      </c>
      <c r="E99" s="1" t="s">
        <v>13</v>
      </c>
      <c r="F99" s="2">
        <v>42551.712500000001</v>
      </c>
      <c r="G99" s="2">
        <v>42553.333333333336</v>
      </c>
      <c r="H99" s="1" t="s">
        <v>435</v>
      </c>
      <c r="I99" s="1" t="s">
        <v>642</v>
      </c>
      <c r="J99" s="3" t="s">
        <v>644</v>
      </c>
      <c r="K99" s="1" t="s">
        <v>344</v>
      </c>
      <c r="L99" s="1" t="s">
        <v>16</v>
      </c>
      <c r="M99" s="1" t="s">
        <v>384</v>
      </c>
    </row>
    <row r="100" spans="1:13" ht="60" x14ac:dyDescent="0.25">
      <c r="A100" s="10">
        <f t="shared" si="1"/>
        <v>99</v>
      </c>
      <c r="B100" s="6" t="s">
        <v>436</v>
      </c>
      <c r="C100" s="6" t="s">
        <v>437</v>
      </c>
      <c r="D100" s="6" t="s">
        <v>12</v>
      </c>
      <c r="E100" s="6" t="s">
        <v>13</v>
      </c>
      <c r="F100" s="7">
        <v>42548.56527777778</v>
      </c>
      <c r="G100" s="7">
        <v>42554.333333333336</v>
      </c>
      <c r="H100" s="6" t="s">
        <v>438</v>
      </c>
      <c r="I100" s="6" t="s">
        <v>642</v>
      </c>
      <c r="J100" s="8" t="s">
        <v>644</v>
      </c>
      <c r="K100" s="6" t="s">
        <v>439</v>
      </c>
      <c r="L100" s="1" t="s">
        <v>122</v>
      </c>
      <c r="M100" s="1" t="s">
        <v>384</v>
      </c>
    </row>
    <row r="101" spans="1:13" ht="60" x14ac:dyDescent="0.25">
      <c r="A101" s="10">
        <f t="shared" si="1"/>
        <v>100</v>
      </c>
      <c r="B101" s="6" t="s">
        <v>440</v>
      </c>
      <c r="C101" s="6" t="s">
        <v>441</v>
      </c>
      <c r="D101" s="6" t="s">
        <v>12</v>
      </c>
      <c r="E101" s="6" t="s">
        <v>13</v>
      </c>
      <c r="F101" s="7">
        <v>42524.411805555559</v>
      </c>
      <c r="G101" s="7">
        <v>42529.333333333336</v>
      </c>
      <c r="H101" s="6" t="s">
        <v>442</v>
      </c>
      <c r="I101" s="6" t="s">
        <v>642</v>
      </c>
      <c r="J101" s="8" t="s">
        <v>644</v>
      </c>
      <c r="K101" s="1" t="s">
        <v>443</v>
      </c>
      <c r="L101" s="1" t="s">
        <v>16</v>
      </c>
      <c r="M101" s="1" t="s">
        <v>384</v>
      </c>
    </row>
    <row r="102" spans="1:13" ht="30" x14ac:dyDescent="0.25">
      <c r="A102" s="10">
        <f t="shared" si="1"/>
        <v>101</v>
      </c>
      <c r="B102" s="6" t="s">
        <v>444</v>
      </c>
      <c r="C102" s="6" t="s">
        <v>445</v>
      </c>
      <c r="D102" s="6" t="s">
        <v>12</v>
      </c>
      <c r="E102" s="6" t="s">
        <v>13</v>
      </c>
      <c r="F102" s="7">
        <v>42496.684027777781</v>
      </c>
      <c r="G102" s="7">
        <v>42503.333333333336</v>
      </c>
      <c r="H102" s="6" t="s">
        <v>446</v>
      </c>
      <c r="I102" s="6"/>
      <c r="J102" s="8"/>
      <c r="K102" s="1" t="s">
        <v>447</v>
      </c>
      <c r="L102" s="1" t="s">
        <v>407</v>
      </c>
      <c r="M102" s="1" t="s">
        <v>384</v>
      </c>
    </row>
    <row r="103" spans="1:13" ht="90" x14ac:dyDescent="0.25">
      <c r="A103" s="4">
        <f t="shared" si="1"/>
        <v>102</v>
      </c>
      <c r="B103" s="1" t="s">
        <v>448</v>
      </c>
      <c r="C103" s="1" t="s">
        <v>449</v>
      </c>
      <c r="D103" s="1" t="s">
        <v>12</v>
      </c>
      <c r="E103" s="1" t="s">
        <v>13</v>
      </c>
      <c r="F103" s="2">
        <v>42556.441666666666</v>
      </c>
      <c r="G103" s="2">
        <v>42558.333333333336</v>
      </c>
      <c r="H103" s="1" t="s">
        <v>450</v>
      </c>
      <c r="I103" s="1" t="s">
        <v>641</v>
      </c>
      <c r="J103" s="3" t="s">
        <v>664</v>
      </c>
      <c r="K103" s="1" t="s">
        <v>451</v>
      </c>
      <c r="L103" s="1" t="s">
        <v>452</v>
      </c>
      <c r="M103" s="1" t="s">
        <v>384</v>
      </c>
    </row>
    <row r="104" spans="1:13" ht="375" x14ac:dyDescent="0.25">
      <c r="A104" s="4">
        <f t="shared" si="1"/>
        <v>103</v>
      </c>
      <c r="B104" s="1" t="s">
        <v>453</v>
      </c>
      <c r="C104" s="1" t="s">
        <v>454</v>
      </c>
      <c r="D104" s="1" t="s">
        <v>12</v>
      </c>
      <c r="E104" s="1" t="s">
        <v>13</v>
      </c>
      <c r="F104" s="2">
        <v>42543.447916666664</v>
      </c>
      <c r="G104" s="2">
        <v>42546.333333333336</v>
      </c>
      <c r="H104" s="1" t="s">
        <v>455</v>
      </c>
      <c r="I104" s="1" t="s">
        <v>642</v>
      </c>
      <c r="J104" s="3" t="s">
        <v>644</v>
      </c>
      <c r="K104" s="1" t="s">
        <v>456</v>
      </c>
      <c r="L104" s="1" t="s">
        <v>457</v>
      </c>
      <c r="M104" s="1" t="s">
        <v>384</v>
      </c>
    </row>
    <row r="105" spans="1:13" ht="90" x14ac:dyDescent="0.25">
      <c r="A105" s="4">
        <f t="shared" si="1"/>
        <v>104</v>
      </c>
      <c r="B105" s="1" t="s">
        <v>458</v>
      </c>
      <c r="C105" s="1" t="s">
        <v>459</v>
      </c>
      <c r="D105" s="1" t="s">
        <v>12</v>
      </c>
      <c r="E105" s="1" t="s">
        <v>251</v>
      </c>
      <c r="F105" s="2">
        <v>42551.688194444447</v>
      </c>
      <c r="G105" s="2">
        <v>42555.736111111109</v>
      </c>
      <c r="H105" s="1" t="s">
        <v>460</v>
      </c>
      <c r="I105" s="1" t="s">
        <v>641</v>
      </c>
      <c r="J105" s="3" t="s">
        <v>652</v>
      </c>
      <c r="K105" s="1" t="s">
        <v>239</v>
      </c>
      <c r="L105" s="1" t="s">
        <v>461</v>
      </c>
      <c r="M105" s="1" t="s">
        <v>384</v>
      </c>
    </row>
    <row r="106" spans="1:13" ht="120" x14ac:dyDescent="0.25">
      <c r="A106" s="4">
        <f t="shared" si="1"/>
        <v>105</v>
      </c>
      <c r="B106" s="1" t="s">
        <v>462</v>
      </c>
      <c r="C106" s="1" t="s">
        <v>463</v>
      </c>
      <c r="D106" s="1" t="s">
        <v>12</v>
      </c>
      <c r="E106" s="1" t="s">
        <v>251</v>
      </c>
      <c r="F106" s="2">
        <v>42551.6875</v>
      </c>
      <c r="G106" s="2">
        <v>42555.736111111109</v>
      </c>
      <c r="H106" s="1" t="s">
        <v>464</v>
      </c>
      <c r="I106" s="1" t="s">
        <v>641</v>
      </c>
      <c r="J106" s="9" t="s">
        <v>667</v>
      </c>
      <c r="K106" s="1" t="s">
        <v>465</v>
      </c>
      <c r="L106" s="1" t="s">
        <v>466</v>
      </c>
      <c r="M106" s="1" t="s">
        <v>384</v>
      </c>
    </row>
    <row r="107" spans="1:13" ht="75" x14ac:dyDescent="0.25">
      <c r="A107" s="4">
        <f t="shared" si="1"/>
        <v>106</v>
      </c>
      <c r="B107" s="1" t="s">
        <v>467</v>
      </c>
      <c r="C107" s="1" t="s">
        <v>468</v>
      </c>
      <c r="D107" s="1" t="s">
        <v>12</v>
      </c>
      <c r="E107" s="1" t="s">
        <v>101</v>
      </c>
      <c r="F107" s="2">
        <v>42555.76458333333</v>
      </c>
      <c r="G107" s="2">
        <v>42558.659722222219</v>
      </c>
      <c r="H107" s="1" t="s">
        <v>469</v>
      </c>
      <c r="I107" s="1" t="s">
        <v>641</v>
      </c>
      <c r="J107" s="3" t="s">
        <v>652</v>
      </c>
      <c r="K107" s="1" t="s">
        <v>470</v>
      </c>
      <c r="L107" s="1" t="s">
        <v>38</v>
      </c>
      <c r="M107" s="1" t="s">
        <v>384</v>
      </c>
    </row>
    <row r="108" spans="1:13" ht="30" x14ac:dyDescent="0.25">
      <c r="A108" s="4">
        <f t="shared" si="1"/>
        <v>107</v>
      </c>
      <c r="B108" s="1" t="s">
        <v>471</v>
      </c>
      <c r="C108" s="1" t="s">
        <v>472</v>
      </c>
      <c r="D108" s="1" t="s">
        <v>250</v>
      </c>
      <c r="E108" s="1" t="s">
        <v>13</v>
      </c>
      <c r="F108" s="2">
        <v>42522.68472222222</v>
      </c>
      <c r="G108" s="2">
        <v>42524.333333333336</v>
      </c>
      <c r="H108" s="1" t="s">
        <v>473</v>
      </c>
      <c r="I108" s="1" t="s">
        <v>641</v>
      </c>
      <c r="J108" s="3" t="s">
        <v>657</v>
      </c>
      <c r="K108" s="1" t="s">
        <v>474</v>
      </c>
      <c r="L108" s="1" t="s">
        <v>64</v>
      </c>
      <c r="M108" s="1" t="s">
        <v>254</v>
      </c>
    </row>
    <row r="109" spans="1:13" ht="60" x14ac:dyDescent="0.25">
      <c r="A109" s="4">
        <f t="shared" si="1"/>
        <v>108</v>
      </c>
      <c r="B109" s="1" t="s">
        <v>475</v>
      </c>
      <c r="C109" s="1" t="s">
        <v>476</v>
      </c>
      <c r="D109" s="1" t="s">
        <v>250</v>
      </c>
      <c r="E109" s="1" t="s">
        <v>13</v>
      </c>
      <c r="F109" s="2">
        <v>42492.650694444441</v>
      </c>
      <c r="G109" s="2">
        <v>42523.815972222219</v>
      </c>
      <c r="H109" s="1" t="s">
        <v>477</v>
      </c>
      <c r="I109" s="1" t="s">
        <v>641</v>
      </c>
      <c r="J109" s="9" t="s">
        <v>662</v>
      </c>
      <c r="K109" s="1" t="s">
        <v>478</v>
      </c>
      <c r="L109" s="1" t="s">
        <v>479</v>
      </c>
      <c r="M109" s="1" t="s">
        <v>254</v>
      </c>
    </row>
    <row r="110" spans="1:13" ht="180" x14ac:dyDescent="0.25">
      <c r="A110" s="4">
        <f t="shared" si="1"/>
        <v>109</v>
      </c>
      <c r="B110" s="1" t="s">
        <v>480</v>
      </c>
      <c r="C110" s="1" t="s">
        <v>481</v>
      </c>
      <c r="D110" s="1" t="s">
        <v>250</v>
      </c>
      <c r="E110" s="1" t="s">
        <v>13</v>
      </c>
      <c r="F110" s="2">
        <v>42509.598611111112</v>
      </c>
      <c r="G110" s="2">
        <v>42511.333333333336</v>
      </c>
      <c r="H110" s="1" t="s">
        <v>482</v>
      </c>
      <c r="I110" s="1" t="s">
        <v>642</v>
      </c>
      <c r="J110" s="3" t="s">
        <v>644</v>
      </c>
      <c r="K110" s="1" t="s">
        <v>483</v>
      </c>
      <c r="L110" s="1" t="s">
        <v>93</v>
      </c>
      <c r="M110" s="1" t="s">
        <v>254</v>
      </c>
    </row>
    <row r="111" spans="1:13" ht="60" x14ac:dyDescent="0.25">
      <c r="A111" s="4">
        <f t="shared" si="1"/>
        <v>110</v>
      </c>
      <c r="B111" s="1" t="s">
        <v>484</v>
      </c>
      <c r="C111" s="1" t="s">
        <v>485</v>
      </c>
      <c r="D111" s="1" t="s">
        <v>250</v>
      </c>
      <c r="E111" s="1" t="s">
        <v>13</v>
      </c>
      <c r="F111" s="2">
        <v>42535.648611111108</v>
      </c>
      <c r="G111" s="2">
        <v>42539.333333333336</v>
      </c>
      <c r="H111" s="1" t="s">
        <v>486</v>
      </c>
      <c r="I111" s="1" t="s">
        <v>641</v>
      </c>
      <c r="J111" s="3" t="s">
        <v>656</v>
      </c>
      <c r="K111" s="1" t="s">
        <v>487</v>
      </c>
      <c r="L111" s="1" t="s">
        <v>488</v>
      </c>
      <c r="M111" s="1" t="s">
        <v>254</v>
      </c>
    </row>
    <row r="112" spans="1:13" ht="30" x14ac:dyDescent="0.25">
      <c r="A112" s="4">
        <f t="shared" si="1"/>
        <v>111</v>
      </c>
      <c r="B112" s="1" t="s">
        <v>489</v>
      </c>
      <c r="C112" s="1" t="s">
        <v>490</v>
      </c>
      <c r="D112" s="1" t="s">
        <v>250</v>
      </c>
      <c r="E112" s="1" t="s">
        <v>335</v>
      </c>
      <c r="F112" s="2">
        <v>42537.657638888886</v>
      </c>
      <c r="G112" s="2">
        <v>42557.328472222223</v>
      </c>
      <c r="H112" s="1" t="s">
        <v>491</v>
      </c>
      <c r="I112" s="1" t="s">
        <v>641</v>
      </c>
      <c r="J112" s="3" t="s">
        <v>656</v>
      </c>
      <c r="K112" s="1" t="s">
        <v>492</v>
      </c>
      <c r="L112" s="1" t="s">
        <v>493</v>
      </c>
      <c r="M112" s="1" t="s">
        <v>254</v>
      </c>
    </row>
    <row r="113" spans="1:13" ht="60" x14ac:dyDescent="0.25">
      <c r="A113" s="10">
        <f t="shared" si="1"/>
        <v>112</v>
      </c>
      <c r="B113" s="6" t="s">
        <v>494</v>
      </c>
      <c r="C113" s="6" t="s">
        <v>495</v>
      </c>
      <c r="D113" s="6" t="s">
        <v>250</v>
      </c>
      <c r="E113" s="6" t="s">
        <v>13</v>
      </c>
      <c r="F113" s="7">
        <v>42495.638888888891</v>
      </c>
      <c r="G113" s="7">
        <v>42538.333333333336</v>
      </c>
      <c r="H113" s="6" t="s">
        <v>496</v>
      </c>
      <c r="I113" s="6" t="s">
        <v>641</v>
      </c>
      <c r="J113" s="11" t="s">
        <v>662</v>
      </c>
      <c r="K113" s="6" t="s">
        <v>497</v>
      </c>
      <c r="L113" s="1" t="s">
        <v>498</v>
      </c>
      <c r="M113" s="1" t="s">
        <v>254</v>
      </c>
    </row>
    <row r="114" spans="1:13" ht="60" x14ac:dyDescent="0.25">
      <c r="A114" s="4">
        <f t="shared" si="1"/>
        <v>113</v>
      </c>
      <c r="B114" s="1" t="s">
        <v>499</v>
      </c>
      <c r="C114" s="1" t="s">
        <v>500</v>
      </c>
      <c r="D114" s="1" t="s">
        <v>250</v>
      </c>
      <c r="E114" s="1" t="s">
        <v>13</v>
      </c>
      <c r="F114" s="2">
        <v>42535.786111111112</v>
      </c>
      <c r="G114" s="2">
        <v>42540.333333333336</v>
      </c>
      <c r="H114" s="1" t="s">
        <v>501</v>
      </c>
      <c r="I114" s="1" t="s">
        <v>641</v>
      </c>
      <c r="J114" s="3" t="s">
        <v>652</v>
      </c>
      <c r="K114" s="1" t="s">
        <v>502</v>
      </c>
      <c r="L114" s="1" t="s">
        <v>38</v>
      </c>
      <c r="M114" s="1" t="s">
        <v>254</v>
      </c>
    </row>
    <row r="115" spans="1:13" ht="120" x14ac:dyDescent="0.25">
      <c r="A115" s="10">
        <f t="shared" si="1"/>
        <v>114</v>
      </c>
      <c r="B115" s="6" t="s">
        <v>503</v>
      </c>
      <c r="C115" s="6" t="s">
        <v>504</v>
      </c>
      <c r="D115" s="6" t="s">
        <v>250</v>
      </c>
      <c r="E115" s="6" t="s">
        <v>13</v>
      </c>
      <c r="F115" s="7">
        <v>42493.341666666667</v>
      </c>
      <c r="G115" s="7">
        <v>42495.333333333336</v>
      </c>
      <c r="H115" s="6" t="s">
        <v>505</v>
      </c>
      <c r="I115" s="6"/>
      <c r="J115" s="8"/>
      <c r="L115" s="1" t="s">
        <v>479</v>
      </c>
      <c r="M115" s="1" t="s">
        <v>254</v>
      </c>
    </row>
    <row r="116" spans="1:13" ht="105" x14ac:dyDescent="0.25">
      <c r="A116" s="10">
        <f t="shared" si="1"/>
        <v>115</v>
      </c>
      <c r="B116" s="6" t="s">
        <v>506</v>
      </c>
      <c r="C116" s="6" t="s">
        <v>504</v>
      </c>
      <c r="D116" s="6" t="s">
        <v>250</v>
      </c>
      <c r="E116" s="6" t="s">
        <v>13</v>
      </c>
      <c r="F116" s="7">
        <v>42501.592361111114</v>
      </c>
      <c r="G116" s="7">
        <v>42509.333333333336</v>
      </c>
      <c r="H116" s="6" t="s">
        <v>507</v>
      </c>
      <c r="I116" s="6"/>
      <c r="J116" s="8"/>
      <c r="L116" s="1" t="s">
        <v>508</v>
      </c>
      <c r="M116" s="1" t="s">
        <v>254</v>
      </c>
    </row>
    <row r="117" spans="1:13" ht="195" x14ac:dyDescent="0.25">
      <c r="A117" s="4">
        <f t="shared" si="1"/>
        <v>116</v>
      </c>
      <c r="B117" s="1" t="s">
        <v>509</v>
      </c>
      <c r="C117" s="1" t="s">
        <v>510</v>
      </c>
      <c r="D117" s="1" t="s">
        <v>250</v>
      </c>
      <c r="E117" s="1" t="s">
        <v>13</v>
      </c>
      <c r="F117" s="2">
        <v>42554.132638888892</v>
      </c>
      <c r="G117" s="2">
        <v>42559.333333333336</v>
      </c>
      <c r="H117" s="1" t="s">
        <v>511</v>
      </c>
      <c r="I117" s="1" t="s">
        <v>641</v>
      </c>
      <c r="J117" s="3" t="s">
        <v>657</v>
      </c>
      <c r="K117" s="1" t="s">
        <v>512</v>
      </c>
      <c r="L117" s="1" t="s">
        <v>38</v>
      </c>
      <c r="M117" s="1" t="s">
        <v>254</v>
      </c>
    </row>
    <row r="118" spans="1:13" ht="60" x14ac:dyDescent="0.25">
      <c r="A118" s="4">
        <f t="shared" si="1"/>
        <v>117</v>
      </c>
      <c r="B118" s="1" t="s">
        <v>513</v>
      </c>
      <c r="C118" s="1" t="s">
        <v>514</v>
      </c>
      <c r="D118" s="1" t="s">
        <v>250</v>
      </c>
      <c r="E118" s="1" t="s">
        <v>13</v>
      </c>
      <c r="F118" s="2">
        <v>42536.532638888886</v>
      </c>
      <c r="G118" s="2">
        <v>42539.333333333336</v>
      </c>
      <c r="H118" s="1" t="s">
        <v>515</v>
      </c>
      <c r="I118" s="1" t="s">
        <v>641</v>
      </c>
      <c r="J118" s="3" t="s">
        <v>657</v>
      </c>
      <c r="K118" s="1" t="s">
        <v>516</v>
      </c>
      <c r="L118" s="1" t="s">
        <v>197</v>
      </c>
      <c r="M118" s="1" t="s">
        <v>254</v>
      </c>
    </row>
    <row r="119" spans="1:13" ht="150" x14ac:dyDescent="0.25">
      <c r="A119" s="10">
        <f t="shared" si="1"/>
        <v>118</v>
      </c>
      <c r="B119" s="6" t="s">
        <v>517</v>
      </c>
      <c r="C119" s="6" t="s">
        <v>518</v>
      </c>
      <c r="D119" s="6" t="s">
        <v>250</v>
      </c>
      <c r="E119" s="6" t="s">
        <v>13</v>
      </c>
      <c r="F119" s="7">
        <v>42541.767361111109</v>
      </c>
      <c r="G119" s="7">
        <v>42544.333333333336</v>
      </c>
      <c r="H119" s="6" t="s">
        <v>519</v>
      </c>
      <c r="I119" s="6" t="s">
        <v>641</v>
      </c>
      <c r="J119" s="8" t="s">
        <v>668</v>
      </c>
      <c r="K119" s="6" t="s">
        <v>285</v>
      </c>
      <c r="L119" s="6" t="s">
        <v>38</v>
      </c>
      <c r="M119" s="1" t="s">
        <v>254</v>
      </c>
    </row>
    <row r="120" spans="1:13" ht="90" x14ac:dyDescent="0.25">
      <c r="A120" s="4">
        <f t="shared" si="1"/>
        <v>119</v>
      </c>
      <c r="B120" s="1" t="s">
        <v>520</v>
      </c>
      <c r="C120" s="1" t="s">
        <v>521</v>
      </c>
      <c r="D120" s="1" t="s">
        <v>250</v>
      </c>
      <c r="E120" s="1" t="s">
        <v>13</v>
      </c>
      <c r="F120" s="2">
        <v>42551.868750000001</v>
      </c>
      <c r="G120" s="2">
        <v>42557.333333333336</v>
      </c>
      <c r="H120" s="1" t="s">
        <v>522</v>
      </c>
      <c r="I120" s="1" t="s">
        <v>641</v>
      </c>
      <c r="J120" s="3" t="s">
        <v>668</v>
      </c>
      <c r="K120" s="1" t="s">
        <v>523</v>
      </c>
      <c r="L120" s="1" t="s">
        <v>524</v>
      </c>
      <c r="M120" s="1" t="s">
        <v>254</v>
      </c>
    </row>
    <row r="121" spans="1:13" ht="105" x14ac:dyDescent="0.25">
      <c r="A121" s="4">
        <f t="shared" si="1"/>
        <v>120</v>
      </c>
      <c r="B121" s="1" t="s">
        <v>525</v>
      </c>
      <c r="C121" s="1" t="s">
        <v>526</v>
      </c>
      <c r="D121" s="1" t="s">
        <v>250</v>
      </c>
      <c r="E121" s="1" t="s">
        <v>13</v>
      </c>
      <c r="F121" s="2">
        <v>42523.350694444445</v>
      </c>
      <c r="G121" s="2">
        <v>42530.333333333336</v>
      </c>
      <c r="H121" s="1" t="s">
        <v>527</v>
      </c>
      <c r="I121" s="1" t="s">
        <v>641</v>
      </c>
      <c r="J121" s="3" t="s">
        <v>668</v>
      </c>
      <c r="K121" s="1" t="s">
        <v>528</v>
      </c>
      <c r="L121" s="1" t="s">
        <v>397</v>
      </c>
      <c r="M121" s="1" t="s">
        <v>254</v>
      </c>
    </row>
    <row r="122" spans="1:13" ht="90" x14ac:dyDescent="0.25">
      <c r="A122" s="4">
        <f t="shared" si="1"/>
        <v>121</v>
      </c>
      <c r="B122" s="1" t="s">
        <v>529</v>
      </c>
      <c r="C122" s="1" t="s">
        <v>530</v>
      </c>
      <c r="D122" s="1" t="s">
        <v>250</v>
      </c>
      <c r="E122" s="1" t="s">
        <v>13</v>
      </c>
      <c r="F122" s="2">
        <v>42528.698611111111</v>
      </c>
      <c r="G122" s="2">
        <v>42537.333333333336</v>
      </c>
      <c r="H122" s="1" t="s">
        <v>531</v>
      </c>
      <c r="I122" s="1" t="s">
        <v>641</v>
      </c>
      <c r="J122" s="3" t="s">
        <v>668</v>
      </c>
      <c r="K122" s="1" t="s">
        <v>532</v>
      </c>
      <c r="L122" s="1" t="s">
        <v>533</v>
      </c>
      <c r="M122" s="1" t="s">
        <v>254</v>
      </c>
    </row>
    <row r="123" spans="1:13" ht="60" x14ac:dyDescent="0.25">
      <c r="A123" s="10">
        <f t="shared" si="1"/>
        <v>122</v>
      </c>
      <c r="B123" s="6" t="s">
        <v>534</v>
      </c>
      <c r="C123" s="6" t="s">
        <v>535</v>
      </c>
      <c r="D123" s="6" t="s">
        <v>250</v>
      </c>
      <c r="E123" s="6" t="s">
        <v>536</v>
      </c>
      <c r="F123" s="7">
        <v>42495.649305555555</v>
      </c>
      <c r="G123" s="7">
        <v>42557.345138888886</v>
      </c>
      <c r="H123" s="6" t="s">
        <v>537</v>
      </c>
      <c r="I123" s="6"/>
      <c r="J123" s="8"/>
      <c r="K123" s="6" t="s">
        <v>538</v>
      </c>
      <c r="L123" s="1" t="s">
        <v>539</v>
      </c>
      <c r="M123" s="1" t="s">
        <v>254</v>
      </c>
    </row>
    <row r="124" spans="1:13" ht="60" x14ac:dyDescent="0.25">
      <c r="A124" s="4">
        <f t="shared" si="1"/>
        <v>123</v>
      </c>
      <c r="B124" s="1" t="s">
        <v>540</v>
      </c>
      <c r="C124" s="1" t="s">
        <v>541</v>
      </c>
      <c r="D124" s="1" t="s">
        <v>250</v>
      </c>
      <c r="E124" s="1" t="s">
        <v>13</v>
      </c>
      <c r="F124" s="2">
        <v>42508.518750000003</v>
      </c>
      <c r="G124" s="2">
        <v>42510.333333333336</v>
      </c>
      <c r="H124" s="1" t="s">
        <v>542</v>
      </c>
      <c r="I124" s="1" t="s">
        <v>669</v>
      </c>
      <c r="J124" s="3" t="s">
        <v>670</v>
      </c>
      <c r="K124" s="1" t="s">
        <v>543</v>
      </c>
      <c r="L124" s="1" t="s">
        <v>239</v>
      </c>
      <c r="M124" s="1" t="s">
        <v>254</v>
      </c>
    </row>
    <row r="125" spans="1:13" ht="60" x14ac:dyDescent="0.25">
      <c r="A125" s="4">
        <f t="shared" si="1"/>
        <v>124</v>
      </c>
      <c r="B125" s="1" t="s">
        <v>544</v>
      </c>
      <c r="C125" s="1" t="s">
        <v>545</v>
      </c>
      <c r="D125" s="1" t="s">
        <v>250</v>
      </c>
      <c r="E125" s="1" t="s">
        <v>101</v>
      </c>
      <c r="F125" s="2">
        <v>42558.718055555553</v>
      </c>
      <c r="G125" s="2">
        <v>42559.40347222222</v>
      </c>
      <c r="H125" s="1" t="s">
        <v>546</v>
      </c>
      <c r="I125" s="1" t="s">
        <v>641</v>
      </c>
      <c r="J125" s="3" t="s">
        <v>671</v>
      </c>
      <c r="K125" s="1" t="s">
        <v>547</v>
      </c>
      <c r="L125" s="1" t="s">
        <v>402</v>
      </c>
      <c r="M125" s="1" t="s">
        <v>254</v>
      </c>
    </row>
    <row r="126" spans="1:13" ht="105" x14ac:dyDescent="0.25">
      <c r="A126" s="4">
        <f t="shared" si="1"/>
        <v>125</v>
      </c>
      <c r="B126" s="6" t="s">
        <v>548</v>
      </c>
      <c r="C126" s="6" t="s">
        <v>549</v>
      </c>
      <c r="D126" s="6" t="s">
        <v>250</v>
      </c>
      <c r="E126" s="6" t="s">
        <v>536</v>
      </c>
      <c r="F126" s="7">
        <v>42550.604861111111</v>
      </c>
      <c r="G126" s="7">
        <v>42556.579861111109</v>
      </c>
      <c r="H126" s="6" t="s">
        <v>550</v>
      </c>
      <c r="I126" s="6" t="s">
        <v>641</v>
      </c>
      <c r="J126" s="8" t="s">
        <v>671</v>
      </c>
      <c r="K126" s="6" t="s">
        <v>551</v>
      </c>
      <c r="L126" s="1" t="s">
        <v>173</v>
      </c>
      <c r="M126" s="1" t="s">
        <v>254</v>
      </c>
    </row>
    <row r="127" spans="1:13" ht="60" x14ac:dyDescent="0.25">
      <c r="A127" s="4">
        <f t="shared" si="1"/>
        <v>126</v>
      </c>
      <c r="B127" s="1" t="s">
        <v>552</v>
      </c>
      <c r="C127" s="1" t="s">
        <v>553</v>
      </c>
      <c r="D127" s="1" t="s">
        <v>250</v>
      </c>
      <c r="E127" s="1" t="s">
        <v>101</v>
      </c>
      <c r="F127" s="2">
        <v>42557.850694444445</v>
      </c>
      <c r="G127" s="2">
        <v>42558.477083333331</v>
      </c>
      <c r="H127" s="1" t="s">
        <v>554</v>
      </c>
      <c r="I127" s="1" t="s">
        <v>642</v>
      </c>
      <c r="J127" s="3" t="s">
        <v>672</v>
      </c>
      <c r="K127" s="1" t="s">
        <v>555</v>
      </c>
      <c r="L127" s="1" t="s">
        <v>38</v>
      </c>
      <c r="M127" s="1" t="s">
        <v>254</v>
      </c>
    </row>
    <row r="128" spans="1:13" ht="60" x14ac:dyDescent="0.25">
      <c r="A128" s="4">
        <f t="shared" si="1"/>
        <v>127</v>
      </c>
      <c r="B128" s="1" t="s">
        <v>556</v>
      </c>
      <c r="C128" s="1" t="s">
        <v>557</v>
      </c>
      <c r="D128" s="1" t="s">
        <v>250</v>
      </c>
      <c r="E128" s="1" t="s">
        <v>13</v>
      </c>
      <c r="F128" s="2">
        <v>42501.768055555556</v>
      </c>
      <c r="G128" s="2">
        <v>42529.461111111108</v>
      </c>
      <c r="H128" s="1" t="s">
        <v>558</v>
      </c>
      <c r="I128" s="1" t="s">
        <v>641</v>
      </c>
      <c r="J128" s="3" t="s">
        <v>673</v>
      </c>
      <c r="L128" s="1" t="s">
        <v>559</v>
      </c>
      <c r="M128" s="1" t="s">
        <v>254</v>
      </c>
    </row>
    <row r="129" spans="1:13" ht="60" x14ac:dyDescent="0.25">
      <c r="A129" s="4">
        <f t="shared" si="1"/>
        <v>128</v>
      </c>
      <c r="B129" s="1" t="s">
        <v>560</v>
      </c>
      <c r="C129" s="1" t="s">
        <v>561</v>
      </c>
      <c r="D129" s="1" t="s">
        <v>250</v>
      </c>
      <c r="E129" s="1" t="s">
        <v>562</v>
      </c>
      <c r="F129" s="2">
        <v>42551.65902777778</v>
      </c>
      <c r="G129" s="2">
        <v>42552.884027777778</v>
      </c>
      <c r="H129" s="1" t="s">
        <v>563</v>
      </c>
      <c r="I129" s="1" t="s">
        <v>641</v>
      </c>
      <c r="J129" s="3" t="s">
        <v>674</v>
      </c>
      <c r="K129" s="1" t="s">
        <v>564</v>
      </c>
      <c r="L129" s="1" t="s">
        <v>565</v>
      </c>
      <c r="M129" s="1" t="s">
        <v>254</v>
      </c>
    </row>
    <row r="130" spans="1:13" ht="150" x14ac:dyDescent="0.25">
      <c r="A130" s="4">
        <f t="shared" si="1"/>
        <v>129</v>
      </c>
      <c r="B130" s="1" t="s">
        <v>566</v>
      </c>
      <c r="C130" s="1" t="s">
        <v>567</v>
      </c>
      <c r="D130" s="1" t="s">
        <v>250</v>
      </c>
      <c r="E130" s="1" t="s">
        <v>13</v>
      </c>
      <c r="F130" s="2">
        <v>42548.267361111109</v>
      </c>
      <c r="G130" s="2">
        <v>42557.333333333336</v>
      </c>
      <c r="H130" s="1" t="s">
        <v>568</v>
      </c>
      <c r="I130" s="1" t="s">
        <v>641</v>
      </c>
      <c r="J130" s="3" t="s">
        <v>674</v>
      </c>
      <c r="K130" s="1" t="s">
        <v>569</v>
      </c>
      <c r="L130" s="1" t="s">
        <v>38</v>
      </c>
      <c r="M130" s="1" t="s">
        <v>254</v>
      </c>
    </row>
    <row r="131" spans="1:13" ht="75" x14ac:dyDescent="0.25">
      <c r="A131" s="4">
        <f t="shared" si="1"/>
        <v>130</v>
      </c>
      <c r="B131" s="1" t="s">
        <v>570</v>
      </c>
      <c r="C131" s="1" t="s">
        <v>571</v>
      </c>
      <c r="D131" s="1" t="s">
        <v>250</v>
      </c>
      <c r="E131" s="1" t="s">
        <v>13</v>
      </c>
      <c r="F131" s="2">
        <v>42538.819444444445</v>
      </c>
      <c r="G131" s="2">
        <v>42553.333333333336</v>
      </c>
      <c r="H131" s="1" t="s">
        <v>572</v>
      </c>
      <c r="I131" s="1" t="s">
        <v>641</v>
      </c>
      <c r="J131" s="3" t="s">
        <v>676</v>
      </c>
      <c r="K131" s="1" t="s">
        <v>573</v>
      </c>
      <c r="L131" s="1" t="s">
        <v>38</v>
      </c>
      <c r="M131" s="1" t="s">
        <v>254</v>
      </c>
    </row>
    <row r="132" spans="1:13" ht="45" x14ac:dyDescent="0.25">
      <c r="A132" s="4">
        <f t="shared" ref="A132:A147" si="2">A131 + 1</f>
        <v>131</v>
      </c>
      <c r="B132" s="1" t="s">
        <v>574</v>
      </c>
      <c r="C132" s="1" t="s">
        <v>575</v>
      </c>
      <c r="D132" s="1" t="s">
        <v>250</v>
      </c>
      <c r="E132" s="1" t="s">
        <v>13</v>
      </c>
      <c r="F132" s="2">
        <v>42509.760416666664</v>
      </c>
      <c r="G132" s="2">
        <v>42515.333333333336</v>
      </c>
      <c r="H132" s="1" t="s">
        <v>576</v>
      </c>
      <c r="I132" s="1" t="s">
        <v>641</v>
      </c>
      <c r="J132" s="3" t="s">
        <v>644</v>
      </c>
      <c r="K132" s="1" t="s">
        <v>577</v>
      </c>
      <c r="L132" s="1" t="s">
        <v>38</v>
      </c>
      <c r="M132" s="1" t="s">
        <v>254</v>
      </c>
    </row>
    <row r="133" spans="1:13" ht="45" x14ac:dyDescent="0.25">
      <c r="A133" s="4">
        <f t="shared" si="2"/>
        <v>132</v>
      </c>
      <c r="B133" s="1" t="s">
        <v>578</v>
      </c>
      <c r="C133" s="1" t="s">
        <v>579</v>
      </c>
      <c r="D133" s="1" t="s">
        <v>250</v>
      </c>
      <c r="E133" s="1" t="s">
        <v>536</v>
      </c>
      <c r="F133" s="2">
        <v>42529.673611111109</v>
      </c>
      <c r="G133" s="2">
        <v>42554.564583333333</v>
      </c>
      <c r="H133" s="1" t="s">
        <v>580</v>
      </c>
      <c r="I133" s="1" t="s">
        <v>641</v>
      </c>
      <c r="J133" s="3" t="s">
        <v>662</v>
      </c>
      <c r="K133" s="1" t="s">
        <v>581</v>
      </c>
      <c r="L133" s="1" t="s">
        <v>16</v>
      </c>
      <c r="M133" s="1" t="s">
        <v>254</v>
      </c>
    </row>
    <row r="134" spans="1:13" ht="165" x14ac:dyDescent="0.25">
      <c r="A134" s="4">
        <f t="shared" si="2"/>
        <v>133</v>
      </c>
      <c r="B134" s="1" t="s">
        <v>582</v>
      </c>
      <c r="C134" s="1" t="s">
        <v>583</v>
      </c>
      <c r="D134" s="1" t="s">
        <v>250</v>
      </c>
      <c r="E134" s="1" t="s">
        <v>13</v>
      </c>
      <c r="F134" s="2">
        <v>42535.660416666666</v>
      </c>
      <c r="G134" s="2">
        <v>42538.333333333336</v>
      </c>
      <c r="H134" s="1" t="s">
        <v>584</v>
      </c>
      <c r="I134" s="1" t="s">
        <v>641</v>
      </c>
      <c r="J134" s="3" t="s">
        <v>651</v>
      </c>
      <c r="K134" s="1" t="s">
        <v>585</v>
      </c>
      <c r="L134" s="1" t="s">
        <v>586</v>
      </c>
      <c r="M134" s="1" t="s">
        <v>254</v>
      </c>
    </row>
    <row r="135" spans="1:13" ht="60" x14ac:dyDescent="0.25">
      <c r="A135" s="10">
        <f t="shared" si="2"/>
        <v>134</v>
      </c>
      <c r="B135" s="6" t="s">
        <v>587</v>
      </c>
      <c r="C135" s="6" t="s">
        <v>588</v>
      </c>
      <c r="D135" s="6" t="s">
        <v>250</v>
      </c>
      <c r="E135" s="6" t="s">
        <v>536</v>
      </c>
      <c r="F135" s="7">
        <v>42531.644444444442</v>
      </c>
      <c r="G135" s="7">
        <v>42551.456944444442</v>
      </c>
      <c r="H135" s="6" t="s">
        <v>589</v>
      </c>
      <c r="I135" s="6" t="s">
        <v>642</v>
      </c>
      <c r="J135" s="8" t="s">
        <v>644</v>
      </c>
      <c r="K135" s="1" t="s">
        <v>590</v>
      </c>
      <c r="L135" s="1" t="s">
        <v>533</v>
      </c>
      <c r="M135" s="1" t="s">
        <v>254</v>
      </c>
    </row>
    <row r="136" spans="1:13" ht="60" x14ac:dyDescent="0.25">
      <c r="A136" s="4">
        <f t="shared" si="2"/>
        <v>135</v>
      </c>
      <c r="B136" s="1" t="s">
        <v>591</v>
      </c>
      <c r="C136" s="1" t="s">
        <v>592</v>
      </c>
      <c r="D136" s="1" t="s">
        <v>250</v>
      </c>
      <c r="E136" s="1" t="s">
        <v>13</v>
      </c>
      <c r="F136" s="2">
        <v>42557.467361111114</v>
      </c>
      <c r="G136" s="2">
        <v>42559.333333333336</v>
      </c>
      <c r="H136" s="1" t="s">
        <v>593</v>
      </c>
      <c r="I136" s="1" t="s">
        <v>641</v>
      </c>
      <c r="J136" s="3" t="s">
        <v>677</v>
      </c>
      <c r="K136" s="1" t="s">
        <v>594</v>
      </c>
      <c r="L136" s="1" t="s">
        <v>595</v>
      </c>
      <c r="M136" s="1" t="s">
        <v>254</v>
      </c>
    </row>
    <row r="137" spans="1:13" ht="135" x14ac:dyDescent="0.25">
      <c r="A137" s="4">
        <f t="shared" si="2"/>
        <v>136</v>
      </c>
      <c r="B137" s="1" t="s">
        <v>596</v>
      </c>
      <c r="C137" s="1" t="s">
        <v>597</v>
      </c>
      <c r="D137" s="1" t="s">
        <v>250</v>
      </c>
      <c r="E137" s="1" t="s">
        <v>536</v>
      </c>
      <c r="F137" s="2">
        <v>42531.688888888886</v>
      </c>
      <c r="G137" s="2">
        <v>42555.40347222222</v>
      </c>
      <c r="H137" s="1" t="s">
        <v>598</v>
      </c>
      <c r="I137" s="1" t="s">
        <v>641</v>
      </c>
      <c r="J137" s="3" t="s">
        <v>678</v>
      </c>
      <c r="K137" s="1" t="s">
        <v>599</v>
      </c>
      <c r="L137" s="1" t="s">
        <v>173</v>
      </c>
      <c r="M137" s="1" t="s">
        <v>254</v>
      </c>
    </row>
    <row r="138" spans="1:13" ht="135" x14ac:dyDescent="0.25">
      <c r="A138" s="4">
        <f t="shared" si="2"/>
        <v>137</v>
      </c>
      <c r="B138" s="1" t="s">
        <v>600</v>
      </c>
      <c r="C138" s="1" t="s">
        <v>601</v>
      </c>
      <c r="D138" s="1" t="s">
        <v>250</v>
      </c>
      <c r="E138" s="1" t="s">
        <v>13</v>
      </c>
      <c r="F138" s="2">
        <v>42503.677083333336</v>
      </c>
      <c r="G138" s="2">
        <v>42521.695138888892</v>
      </c>
      <c r="H138" s="1" t="s">
        <v>602</v>
      </c>
      <c r="I138" s="1" t="s">
        <v>641</v>
      </c>
      <c r="J138" s="3" t="s">
        <v>677</v>
      </c>
      <c r="K138" s="1" t="s">
        <v>603</v>
      </c>
      <c r="L138" s="1" t="s">
        <v>604</v>
      </c>
      <c r="M138" s="1" t="s">
        <v>254</v>
      </c>
    </row>
    <row r="139" spans="1:13" ht="150" x14ac:dyDescent="0.25">
      <c r="A139" s="4">
        <f t="shared" si="2"/>
        <v>138</v>
      </c>
      <c r="B139" s="1" t="s">
        <v>605</v>
      </c>
      <c r="C139" s="1" t="s">
        <v>606</v>
      </c>
      <c r="D139" s="1" t="s">
        <v>250</v>
      </c>
      <c r="E139" s="1" t="s">
        <v>13</v>
      </c>
      <c r="F139" s="2">
        <v>42516.664583333331</v>
      </c>
      <c r="G139" s="2">
        <v>42551.333333333336</v>
      </c>
      <c r="H139" s="1" t="s">
        <v>607</v>
      </c>
      <c r="I139" s="1" t="s">
        <v>641</v>
      </c>
      <c r="J139" s="3" t="s">
        <v>679</v>
      </c>
      <c r="K139" s="1" t="s">
        <v>608</v>
      </c>
      <c r="L139" s="1" t="s">
        <v>38</v>
      </c>
      <c r="M139" s="1" t="s">
        <v>254</v>
      </c>
    </row>
    <row r="140" spans="1:13" ht="105" x14ac:dyDescent="0.25">
      <c r="A140" s="10">
        <f t="shared" si="2"/>
        <v>139</v>
      </c>
      <c r="B140" s="6" t="s">
        <v>609</v>
      </c>
      <c r="C140" s="6" t="s">
        <v>610</v>
      </c>
      <c r="D140" s="6" t="s">
        <v>250</v>
      </c>
      <c r="E140" s="6" t="s">
        <v>13</v>
      </c>
      <c r="F140" s="7">
        <v>42516.650694444441</v>
      </c>
      <c r="G140" s="7">
        <v>42550.683333333334</v>
      </c>
      <c r="H140" s="6" t="s">
        <v>611</v>
      </c>
      <c r="I140" s="6"/>
      <c r="J140" s="8"/>
      <c r="K140" s="1" t="s">
        <v>608</v>
      </c>
      <c r="L140" s="1" t="s">
        <v>38</v>
      </c>
      <c r="M140" s="1" t="s">
        <v>254</v>
      </c>
    </row>
    <row r="141" spans="1:13" ht="45" x14ac:dyDescent="0.25">
      <c r="A141" s="10">
        <f t="shared" si="2"/>
        <v>140</v>
      </c>
      <c r="B141" s="6" t="s">
        <v>612</v>
      </c>
      <c r="C141" s="6" t="s">
        <v>613</v>
      </c>
      <c r="D141" s="6" t="s">
        <v>250</v>
      </c>
      <c r="E141" s="6" t="s">
        <v>536</v>
      </c>
      <c r="F141" s="7">
        <v>42521.36041666667</v>
      </c>
      <c r="G141" s="7">
        <v>42554.567361111112</v>
      </c>
      <c r="H141" s="6" t="s">
        <v>614</v>
      </c>
      <c r="I141" s="6"/>
      <c r="J141" s="8"/>
      <c r="K141" s="1" t="s">
        <v>615</v>
      </c>
      <c r="L141" s="1" t="s">
        <v>292</v>
      </c>
      <c r="M141" s="1" t="s">
        <v>254</v>
      </c>
    </row>
    <row r="142" spans="1:13" ht="150" x14ac:dyDescent="0.25">
      <c r="A142" s="4">
        <f t="shared" si="2"/>
        <v>141</v>
      </c>
      <c r="B142" s="1" t="s">
        <v>616</v>
      </c>
      <c r="C142" s="1" t="s">
        <v>617</v>
      </c>
      <c r="D142" s="1" t="s">
        <v>250</v>
      </c>
      <c r="E142" s="1" t="s">
        <v>13</v>
      </c>
      <c r="F142" s="2">
        <v>42552.502083333333</v>
      </c>
      <c r="G142" s="2">
        <v>42559.333333333336</v>
      </c>
      <c r="H142" s="1" t="s">
        <v>618</v>
      </c>
      <c r="I142" s="1" t="s">
        <v>641</v>
      </c>
      <c r="J142" s="3" t="s">
        <v>664</v>
      </c>
      <c r="K142" s="1" t="s">
        <v>619</v>
      </c>
      <c r="L142" s="1" t="s">
        <v>620</v>
      </c>
      <c r="M142" s="1" t="s">
        <v>254</v>
      </c>
    </row>
    <row r="143" spans="1:13" ht="60" x14ac:dyDescent="0.25">
      <c r="A143" s="10">
        <f t="shared" si="2"/>
        <v>142</v>
      </c>
      <c r="B143" s="6" t="s">
        <v>621</v>
      </c>
      <c r="C143" s="6" t="s">
        <v>622</v>
      </c>
      <c r="D143" s="6" t="s">
        <v>250</v>
      </c>
      <c r="E143" s="6" t="s">
        <v>13</v>
      </c>
      <c r="F143" s="7">
        <v>42526.543749999997</v>
      </c>
      <c r="G143" s="7">
        <v>42529.333333333336</v>
      </c>
      <c r="H143" s="6" t="s">
        <v>623</v>
      </c>
      <c r="I143" s="6"/>
      <c r="J143" s="8"/>
      <c r="K143" s="1" t="s">
        <v>285</v>
      </c>
      <c r="L143" s="1" t="s">
        <v>38</v>
      </c>
      <c r="M143" s="1" t="s">
        <v>254</v>
      </c>
    </row>
    <row r="144" spans="1:13" ht="45" x14ac:dyDescent="0.25">
      <c r="A144" s="10">
        <f t="shared" si="2"/>
        <v>143</v>
      </c>
      <c r="B144" s="6" t="s">
        <v>624</v>
      </c>
      <c r="C144" s="6" t="s">
        <v>625</v>
      </c>
      <c r="D144" s="6" t="s">
        <v>250</v>
      </c>
      <c r="E144" s="6" t="s">
        <v>13</v>
      </c>
      <c r="F144" s="7">
        <v>42496.623611111114</v>
      </c>
      <c r="G144" s="7">
        <v>42518.333333333336</v>
      </c>
      <c r="H144" s="6" t="s">
        <v>626</v>
      </c>
      <c r="I144" s="6"/>
      <c r="J144" s="8"/>
      <c r="K144" s="1" t="s">
        <v>627</v>
      </c>
      <c r="L144" s="1" t="s">
        <v>628</v>
      </c>
      <c r="M144" s="1" t="s">
        <v>254</v>
      </c>
    </row>
    <row r="145" spans="1:13" ht="195" x14ac:dyDescent="0.25">
      <c r="A145" s="10">
        <f t="shared" si="2"/>
        <v>144</v>
      </c>
      <c r="B145" s="6" t="s">
        <v>629</v>
      </c>
      <c r="C145" s="6" t="s">
        <v>630</v>
      </c>
      <c r="D145" s="6" t="s">
        <v>250</v>
      </c>
      <c r="E145" s="6" t="s">
        <v>536</v>
      </c>
      <c r="F145" s="7">
        <v>42524.738888888889</v>
      </c>
      <c r="G145" s="7">
        <v>42555.40625</v>
      </c>
      <c r="H145" s="6" t="s">
        <v>631</v>
      </c>
      <c r="I145" s="6"/>
      <c r="J145" s="8"/>
      <c r="K145" s="1" t="s">
        <v>632</v>
      </c>
      <c r="L145" s="1" t="s">
        <v>388</v>
      </c>
      <c r="M145" s="1" t="s">
        <v>254</v>
      </c>
    </row>
    <row r="146" spans="1:13" ht="60" x14ac:dyDescent="0.25">
      <c r="A146" s="4">
        <f t="shared" si="2"/>
        <v>145</v>
      </c>
      <c r="B146" s="1" t="s">
        <v>633</v>
      </c>
      <c r="C146" s="1" t="s">
        <v>634</v>
      </c>
      <c r="D146" s="1" t="s">
        <v>250</v>
      </c>
      <c r="E146" s="1" t="s">
        <v>13</v>
      </c>
      <c r="F146" s="2">
        <v>42516.445138888892</v>
      </c>
      <c r="G146" s="2">
        <v>42537.530555555553</v>
      </c>
      <c r="H146" s="1" t="s">
        <v>635</v>
      </c>
      <c r="I146" s="1" t="s">
        <v>669</v>
      </c>
      <c r="J146" s="3" t="s">
        <v>680</v>
      </c>
      <c r="K146" s="1" t="s">
        <v>285</v>
      </c>
      <c r="L146" s="1" t="s">
        <v>38</v>
      </c>
      <c r="M146" s="1" t="s">
        <v>254</v>
      </c>
    </row>
    <row r="147" spans="1:13" ht="45" x14ac:dyDescent="0.25">
      <c r="A147" s="10">
        <f t="shared" si="2"/>
        <v>146</v>
      </c>
      <c r="B147" s="6" t="s">
        <v>636</v>
      </c>
      <c r="C147" s="6" t="s">
        <v>637</v>
      </c>
      <c r="D147" s="6" t="s">
        <v>250</v>
      </c>
      <c r="E147" s="6" t="s">
        <v>638</v>
      </c>
      <c r="F147" s="7">
        <v>42531.359722222223</v>
      </c>
      <c r="G147" s="7">
        <v>42552.848611111112</v>
      </c>
      <c r="H147" s="6" t="s">
        <v>639</v>
      </c>
      <c r="I147" s="6" t="s">
        <v>641</v>
      </c>
      <c r="J147" s="8" t="s">
        <v>677</v>
      </c>
      <c r="K147" s="6" t="s">
        <v>640</v>
      </c>
      <c r="L147" s="1" t="s">
        <v>38</v>
      </c>
      <c r="M147" s="1" t="s">
        <v>254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Planilha9</vt: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2016-07-21T11:36:58Z</dcterms:modified>
</cp:coreProperties>
</file>