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7215"/>
  </bookViews>
  <sheets>
    <sheet name="Entrevista" sheetId="1" r:id="rId1"/>
    <sheet name="Tabela" sheetId="10" r:id="rId2"/>
    <sheet name="Validação Nei" sheetId="5" r:id="rId3"/>
    <sheet name="Validação Claudio e Daniel" sheetId="8" r:id="rId4"/>
  </sheets>
  <definedNames>
    <definedName name="_xlnm.Print_Area" localSheetId="3">Tabela13[#All]</definedName>
  </definedNames>
  <calcPr calcId="152511"/>
  <pivotCaches>
    <pivotCache cacheId="31" r:id="rId5"/>
  </pivotCaches>
</workbook>
</file>

<file path=xl/calcChain.xml><?xml version="1.0" encoding="utf-8"?>
<calcChain xmlns="http://schemas.openxmlformats.org/spreadsheetml/2006/main">
  <c r="A4" i="8" l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3" i="8"/>
  <c r="A29" i="5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3" i="5"/>
  <c r="A30" i="5" l="1"/>
  <c r="A31" i="5" s="1"/>
  <c r="A32" i="5" s="1"/>
  <c r="A33" i="5" s="1"/>
  <c r="A34" i="5" s="1"/>
  <c r="A35" i="5" s="1"/>
  <c r="A36" i="5" s="1"/>
  <c r="A6" i="1" l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l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l="1"/>
  <c r="A36" i="1" s="1"/>
  <c r="A37" i="1" s="1"/>
  <c r="A38" i="1" s="1"/>
  <c r="A39" i="1" s="1"/>
  <c r="A40" i="1" s="1"/>
  <c r="A41" i="1" s="1"/>
  <c r="A42" i="1" l="1"/>
  <c r="A43" i="1" l="1"/>
  <c r="A44" i="1" l="1"/>
  <c r="A45" i="1" s="1"/>
  <c r="A46" i="1" s="1"/>
  <c r="A47" i="1" s="1"/>
  <c r="A48" i="1" s="1"/>
  <c r="A49" i="1" s="1"/>
  <c r="A50" i="1" s="1"/>
  <c r="A51" i="1" l="1"/>
  <c r="A52" i="1" l="1"/>
  <c r="A53" i="1" l="1"/>
  <c r="A54" i="1" s="1"/>
  <c r="A55" i="1" s="1"/>
  <c r="A56" i="1" s="1"/>
  <c r="A57" i="1" s="1"/>
  <c r="A58" i="1" l="1"/>
  <c r="A59" i="1" l="1"/>
  <c r="A60" i="1" s="1"/>
  <c r="A61" i="1" s="1"/>
  <c r="A62" i="1" l="1"/>
  <c r="A63" i="1" s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l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l="1"/>
  <c r="A156" i="1" l="1"/>
  <c r="A157" i="1" l="1"/>
  <c r="A158" i="1" l="1"/>
  <c r="A159" i="1" l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l="1"/>
  <c r="A174" i="1" l="1"/>
  <c r="A175" i="1" l="1"/>
  <c r="A176" i="1" l="1"/>
  <c r="P175" i="1"/>
  <c r="A177" i="1" l="1"/>
  <c r="A198" i="1"/>
  <c r="A178" i="1" l="1"/>
  <c r="A199" i="1"/>
  <c r="A200" i="1" s="1"/>
  <c r="A201" i="1" s="1"/>
  <c r="A202" i="1" s="1"/>
  <c r="A179" i="1" l="1"/>
  <c r="P178" i="1"/>
  <c r="A203" i="1"/>
  <c r="A204" i="1" s="1"/>
  <c r="A205" i="1" s="1"/>
  <c r="A180" i="1" l="1"/>
  <c r="P179" i="1"/>
  <c r="A206" i="1"/>
  <c r="P205" i="1"/>
  <c r="A181" i="1" l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207" i="1"/>
  <c r="P206" i="1"/>
  <c r="A208" i="1" l="1"/>
  <c r="P207" i="1"/>
  <c r="A209" i="1" l="1"/>
  <c r="A210" i="1" l="1"/>
  <c r="P210" i="1" s="1"/>
</calcChain>
</file>

<file path=xl/comments1.xml><?xml version="1.0" encoding="utf-8"?>
<comments xmlns="http://schemas.openxmlformats.org/spreadsheetml/2006/main">
  <authors>
    <author>Autor</author>
  </authors>
  <commentList>
    <comment ref="E130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3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5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<sst xmlns="http://schemas.openxmlformats.org/spreadsheetml/2006/main" count="3170" uniqueCount="494">
  <si>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</si>
  <si>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</si>
  <si>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</si>
  <si>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</si>
  <si>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</si>
  <si>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</si>
  <si>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</si>
  <si>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</si>
  <si>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</si>
  <si>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</si>
  <si>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</si>
  <si>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</si>
  <si>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</si>
  <si>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</si>
  <si>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</si>
  <si>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</si>
  <si>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</si>
  <si>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</si>
  <si>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</si>
  <si>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</si>
  <si>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</si>
  <si>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</si>
  <si>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</si>
  <si>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</si>
  <si>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</si>
  <si>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</si>
  <si>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</si>
  <si>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</si>
  <si>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</si>
  <si>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</si>
  <si>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</si>
  <si>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</si>
  <si>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</si>
  <si>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</si>
  <si>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</si>
  <si>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</si>
  <si>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</si>
  <si>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</si>
  <si>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</si>
  <si>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</si>
  <si>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</si>
  <si>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</si>
  <si>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</si>
  <si>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</si>
  <si>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</si>
  <si>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</si>
  <si>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</si>
  <si>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</si>
  <si>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</si>
  <si>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</si>
  <si>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</si>
  <si>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</si>
  <si>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</si>
  <si>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</si>
  <si>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</si>
  <si>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</si>
  <si>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</si>
  <si>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</si>
  <si>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</si>
  <si>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</si>
  <si>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</si>
  <si>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</si>
  <si>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</si>
  <si>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</si>
  <si>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</si>
  <si>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</si>
  <si>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</si>
  <si>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</si>
  <si>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</si>
  <si>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</si>
  <si>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</si>
  <si>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</si>
  <si>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</si>
  <si>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Suporte N2</t>
  </si>
  <si>
    <t>Suporte N1</t>
  </si>
  <si>
    <t>Escritório / Informática</t>
  </si>
  <si>
    <t>Telefonia</t>
  </si>
  <si>
    <t>Solicitar ramal para o usuário (funcionário ou terceiro).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</si>
  <si>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</si>
  <si>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</si>
  <si>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</si>
  <si>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</si>
  <si>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</si>
  <si>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</si>
  <si>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</si>
  <si>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</si>
  <si>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</si>
  <si>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</si>
  <si>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</si>
  <si>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</si>
  <si>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</si>
  <si>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</si>
  <si>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</si>
  <si>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</si>
  <si>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</si>
  <si>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</si>
  <si>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</si>
  <si>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</si>
  <si>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</si>
  <si>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</si>
  <si>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</si>
  <si>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</si>
  <si>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</si>
  <si>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</si>
  <si>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</si>
  <si>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</si>
  <si>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</si>
  <si>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</si>
  <si>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</si>
  <si>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</si>
  <si>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</si>
  <si>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</si>
  <si>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</si>
  <si>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</si>
  <si>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</si>
  <si>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</si>
  <si>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</si>
  <si>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</si>
  <si>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</si>
  <si>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</si>
  <si>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</si>
  <si>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</si>
  <si>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</si>
  <si>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</si>
  <si>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</si>
  <si>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</si>
  <si>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</si>
  <si>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</si>
  <si>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</si>
  <si>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</si>
  <si>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</si>
  <si>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</si>
  <si>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</si>
  <si>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</si>
  <si>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</si>
  <si>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</si>
  <si>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</si>
  <si>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</si>
  <si>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</si>
  <si>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</si>
  <si>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</si>
  <si>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</si>
  <si>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</si>
  <si>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</si>
  <si>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</si>
  <si>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</si>
  <si>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</si>
  <si>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</si>
  <si>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</si>
  <si>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</si>
  <si>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</si>
  <si>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</si>
  <si>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</si>
  <si>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</si>
  <si>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</si>
  <si>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</si>
  <si>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</si>
  <si>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</si>
  <si>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</si>
  <si>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</si>
  <si>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</si>
  <si>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</si>
  <si>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</si>
  <si>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</si>
  <si>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</si>
  <si>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</si>
  <si>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</si>
  <si>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</si>
  <si>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</si>
  <si>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</si>
  <si>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</si>
  <si>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</si>
  <si>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</si>
  <si>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</si>
  <si>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</si>
  <si>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</si>
  <si>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</si>
  <si>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</si>
  <si>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</si>
  <si>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</si>
  <si>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</si>
  <si>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</si>
  <si>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</si>
  <si>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</si>
  <si>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</si>
  <si>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</si>
  <si>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</si>
  <si>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</si>
  <si>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</si>
  <si>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</si>
  <si>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</si>
  <si>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</si>
  <si>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</si>
  <si>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</si>
  <si>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</si>
  <si>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</si>
  <si>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</si>
  <si>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</si>
  <si>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</si>
  <si>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</si>
  <si>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</si>
  <si>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</si>
  <si>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</si>
  <si>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</si>
  <si>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</si>
  <si>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</si>
  <si>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</si>
  <si>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</si>
  <si>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</si>
  <si>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</si>
  <si>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</si>
  <si>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</si>
  <si>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</si>
  <si>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</si>
  <si>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</si>
  <si>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</si>
  <si>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</si>
  <si>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</si>
  <si>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</si>
  <si>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</si>
  <si>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</si>
  <si>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</si>
  <si>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</si>
  <si>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</si>
  <si>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</si>
  <si>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</si>
  <si>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</si>
  <si>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</si>
  <si>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</si>
  <si>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</si>
  <si>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</si>
  <si>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</si>
  <si>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</si>
  <si>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</si>
  <si>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</si>
  <si>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</si>
  <si>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</si>
  <si>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</si>
  <si>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</si>
  <si>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</si>
  <si>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</si>
  <si>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</si>
  <si>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</si>
  <si>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</si>
  <si>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</si>
  <si>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</si>
  <si>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</si>
  <si>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</si>
  <si>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</si>
  <si>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</si>
  <si>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</si>
  <si>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</si>
  <si>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</si>
  <si>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</si>
  <si>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</si>
  <si>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</si>
  <si>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</si>
  <si>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</si>
  <si>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</si>
  <si>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</si>
  <si>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</si>
  <si>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</si>
  <si>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</si>
  <si>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</si>
  <si>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</si>
  <si>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</si>
  <si>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</si>
  <si>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</si>
  <si>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</si>
  <si>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</si>
  <si>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</si>
  <si>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</si>
  <si>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</si>
  <si>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</si>
  <si>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</si>
  <si>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</si>
  <si>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</si>
  <si>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</si>
  <si>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</si>
  <si>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</si>
  <si>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</si>
  <si>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</si>
  <si>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</si>
  <si>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</si>
  <si>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</si>
  <si>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</si>
  <si>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</si>
  <si>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</si>
  <si>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</si>
  <si>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</si>
  <si>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</si>
  <si>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</si>
  <si>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</si>
  <si>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</si>
  <si>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</si>
  <si>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</si>
  <si>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</si>
  <si>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</si>
  <si>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</si>
  <si>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</si>
  <si>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</si>
  <si>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</si>
  <si>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</si>
  <si>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</si>
  <si>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</si>
  <si>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</si>
  <si>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</si>
  <si>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</si>
  <si>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</si>
  <si>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</si>
  <si>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</si>
  <si>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</si>
  <si>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</si>
  <si>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</si>
  <si>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</si>
  <si>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</si>
  <si>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</si>
  <si>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</si>
  <si>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</si>
  <si>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</si>
  <si>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</si>
  <si>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</si>
  <si>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</si>
  <si>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</si>
  <si>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</si>
  <si>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>Revogação de Acesso</t>
  </si>
  <si>
    <t>Alteração de Acesso</t>
  </si>
  <si>
    <t>Alterar Perfil de Acesso ao Siebel ou Outras Ferramentas</t>
  </si>
  <si>
    <t>Alterar Permissionamentos Específicos</t>
  </si>
  <si>
    <t>Alteração de permissionamentos específicos em Ferramentas ou Pastas/Diretórios.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</si>
  <si>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</si>
  <si>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</si>
  <si>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</si>
  <si>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</si>
  <si>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</si>
  <si>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</si>
  <si>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</si>
  <si>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</si>
  <si>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</si>
  <si>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</si>
  <si>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</si>
  <si>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</si>
  <si>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</si>
  <si>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</si>
  <si>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</si>
  <si>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</si>
  <si>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</si>
  <si>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</si>
  <si>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</si>
  <si>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</si>
  <si>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</si>
  <si>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</si>
  <si>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</si>
  <si>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</si>
  <si>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</si>
  <si>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</si>
  <si>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Enviar um report diário para os diretores</t>
  </si>
  <si>
    <t>Participante cancelou o club smile, efetuar o cancelamento</t>
  </si>
  <si>
    <t>102-Erros relacionados ao Club Smiles.doc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</si>
  <si>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</si>
  <si>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</si>
  <si>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</si>
  <si>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</si>
  <si>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160-Monitoração de promoção no gift nas redes sociais.doc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</si>
  <si>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</si>
  <si>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</si>
  <si>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</si>
  <si>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</si>
  <si>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Monitorar o Arquivo Contábil</t>
  </si>
  <si>
    <t>Monitorar o Arquivo de Faturamento</t>
  </si>
  <si>
    <t>Monitorar o Arquivo de Vendas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</si>
  <si>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</si>
  <si>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</si>
  <si>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</si>
  <si>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</si>
  <si>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</si>
  <si>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</si>
  <si>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</si>
  <si>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</si>
  <si>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</si>
  <si>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</si>
  <si>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</si>
  <si>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Manutenção de Parceiro (Não Aéreo)</t>
  </si>
  <si>
    <t>Manutenção de Parceiro (Aéreo)</t>
  </si>
  <si>
    <t>Alteração de Parceiro (Aéreo)</t>
  </si>
  <si>
    <t>Alterar vigência de Produto</t>
  </si>
  <si>
    <t>073-Alterar vigência de Produto.doc</t>
  </si>
  <si>
    <t>Alterar a vigência de Produto para um Parceiro específico</t>
  </si>
  <si>
    <t>184-Alterar a vigência de Produto para um Parceiro específico.doc</t>
  </si>
  <si>
    <t>077-Manutenção de Parceiro (Não Aéreo).doc</t>
  </si>
  <si>
    <t>126-Atraso no Arquivo EDI - Parceiros Críticos.doc</t>
  </si>
  <si>
    <t>129-Atraso no Arquivo EDI - Outros.doc</t>
  </si>
  <si>
    <t>Represar o arquivo EDI de algum parceiro</t>
  </si>
  <si>
    <t>134- Represar o arquivo EDI de algum parceiro.doc</t>
  </si>
  <si>
    <t>Liberar o arquivo EDI de algum parceiro</t>
  </si>
  <si>
    <t>185- Liberar o arquivo EDI de algum parceiro.doc</t>
  </si>
  <si>
    <t>Enviar arquivo EDI</t>
  </si>
  <si>
    <t>186-Enviar arquivo EDI.doc</t>
  </si>
  <si>
    <t>136-Arquivo co-branded.doc</t>
  </si>
  <si>
    <t>Alterar atributo de promoção para um participante</t>
  </si>
  <si>
    <t>Manutenção de Promoção</t>
  </si>
  <si>
    <t>180-Enviar Report diário para os Diretores.doc</t>
  </si>
  <si>
    <t>Alterar acesso de usuário no Jira</t>
  </si>
  <si>
    <t>Aplicação indisponível (quebrar em homologação, desenvolvimento ou produção)</t>
  </si>
  <si>
    <t>Dump do Bucket do Liferay</t>
  </si>
  <si>
    <t>03-Executar Deploy de Aplicação.doc</t>
  </si>
  <si>
    <t>05-Executar Scritps em Banco de Dados.doc</t>
  </si>
  <si>
    <t>Problemas entre a conexão Smiles de rede (tivit, aws e oracle).</t>
  </si>
  <si>
    <t>Disponibilizar arquivos de cartões.</t>
  </si>
  <si>
    <t>Criação de responsabilidade de usuário</t>
  </si>
  <si>
    <t>153-Criar usuário no Jira.doc</t>
  </si>
  <si>
    <t>154-Desativar usuário no Jira</t>
  </si>
  <si>
    <t>188-Alterar acesso de usuário no Jira</t>
  </si>
  <si>
    <t>107-Erros relacionados ao Smiles Pay (MENOS indisponibilidade).doc</t>
  </si>
  <si>
    <t>011-Erro de Conexão na VPN client to site (open VPN).doc</t>
  </si>
  <si>
    <t>012-Criar uma Conexão na VPN client to site (open VPN).doc</t>
  </si>
  <si>
    <t>082-Dificuldades na utilização do Portal de Parceiros.doc</t>
  </si>
  <si>
    <t>084-Indisponibilidade no Portal de Parceiros.doc</t>
  </si>
  <si>
    <t>088-Monitoramento da recorrência.doc</t>
  </si>
  <si>
    <t>095-Bounce do Princing.doc</t>
  </si>
  <si>
    <t>015-Monitoramento de Certificado.doc</t>
  </si>
  <si>
    <t>Gateway</t>
  </si>
  <si>
    <t>Criar um novo certificado digital</t>
  </si>
  <si>
    <t>193-Criar um novo certificado digital.doc</t>
  </si>
  <si>
    <t>Monitoração de integração - ambiente de produção</t>
  </si>
  <si>
    <t>017-Alterar agendamento de start-stop de Ambiente.doc</t>
  </si>
  <si>
    <t>189-Disponibilizar arquivos de cartões.doc</t>
  </si>
  <si>
    <t>028-Disponibilizar Log.doc</t>
  </si>
  <si>
    <t>038-Solicitar ramal para o usuário.doc</t>
  </si>
  <si>
    <t>037-Sincronizar Bucket.doc</t>
  </si>
  <si>
    <t>Monitorar o retrocrédito dos clientes Smiles</t>
  </si>
  <si>
    <t>Rótulos de Linha</t>
  </si>
  <si>
    <t>Total Geral</t>
  </si>
  <si>
    <t>Contagem de Nivel de Suporte</t>
  </si>
  <si>
    <t>Contagem de Status de Elaboração do Procedimento</t>
  </si>
  <si>
    <t>Alterar um grupo de recebimento</t>
  </si>
  <si>
    <t>039-Alterar um grupo de recebimento.doc</t>
  </si>
  <si>
    <t>Criar um grupo de recebimento de ramal</t>
  </si>
  <si>
    <t>195-Criar um grupo de recebimento.doc</t>
  </si>
  <si>
    <t>Alterar um grupo de recebimento de ramal</t>
  </si>
  <si>
    <t>196-Alterar o display name.doc</t>
  </si>
  <si>
    <t>Alterar o display name do ramal</t>
  </si>
  <si>
    <t>Falha de acesso a internet escritório.</t>
  </si>
  <si>
    <t>Falha de acesso a internet escritório</t>
  </si>
  <si>
    <t>046-Falha de acesso a internet escritório</t>
  </si>
  <si>
    <t>197-Falha de acesso a console (máquina – servidor) AWS.doc</t>
  </si>
  <si>
    <t>Falha de acesso a console (máquina – servidor) AWS</t>
  </si>
  <si>
    <t>Falha de acesso ao Siebel</t>
  </si>
  <si>
    <t>198-Falha de acesso ao Siebel.doc</t>
  </si>
  <si>
    <t>Falha de acesso as aplicações Tivit</t>
  </si>
  <si>
    <t>199-Falha de acesso as aplicações Tivit.doc</t>
  </si>
  <si>
    <t>xxx</t>
  </si>
  <si>
    <t>190-Criação de responsabilidade de usuário.doc</t>
  </si>
  <si>
    <t>Data da validação</t>
  </si>
  <si>
    <t>Nome do procedimento</t>
  </si>
  <si>
    <t>Nome do responsável pela validação</t>
  </si>
  <si>
    <t>Assinatura do responsável pela validação</t>
  </si>
  <si>
    <t>Claudio Cunha</t>
  </si>
  <si>
    <t>Daniel Borges</t>
  </si>
  <si>
    <t>André Morais</t>
  </si>
  <si>
    <t>Jonathas Souza</t>
  </si>
  <si>
    <t>Nei Henckes</t>
  </si>
  <si>
    <t>Raul Souza</t>
  </si>
  <si>
    <t>Luis Savioli</t>
  </si>
  <si>
    <t>194-MonitoramentoRetroCredito</t>
  </si>
  <si>
    <t>Seguraça da informação</t>
  </si>
  <si>
    <t>Finalizado</t>
  </si>
  <si>
    <t>161-Monitoração do clube smiles.doc</t>
  </si>
  <si>
    <t>108-Indisponibilidade Siebel.doc</t>
  </si>
  <si>
    <t>107-Erros relacionados ao Smiles Pay.doc</t>
  </si>
  <si>
    <t>143-Participante cancelou o clube smiles.doc</t>
  </si>
  <si>
    <t>Bruno Serpeloni</t>
  </si>
  <si>
    <t>194-Monitoramento Retro Crédito.doc</t>
  </si>
  <si>
    <t>Cadastrar mapa de distância</t>
  </si>
  <si>
    <t>200-Cadastrar mapa de distância.doc</t>
  </si>
  <si>
    <t>Raul Ferreira de Souza</t>
  </si>
  <si>
    <t>047-Usuário não consegue navegar em um site específico.doc</t>
  </si>
  <si>
    <t xml:space="preserve">Solicitação de novo acesso ao Siebel ou outras Ferramentas. (ambiente teste)
</t>
  </si>
  <si>
    <t>Romulo</t>
  </si>
  <si>
    <t xml:space="preserve">Revogação de acesso ao ao Siebel ou outras Ferramentas. (ambiente teste)
</t>
  </si>
  <si>
    <t>Alteração de perfil de acesso ao Siebel ou outras Ferramentas. (ambiente teste)</t>
  </si>
  <si>
    <t>Criar do Smiles Contábil</t>
  </si>
  <si>
    <t>Desativar do Smiles Contábil</t>
  </si>
  <si>
    <t>Alterar do Smiles Contábil</t>
  </si>
  <si>
    <t>Criar do perfil no BI</t>
  </si>
  <si>
    <t>Desativar do perfil no BI</t>
  </si>
  <si>
    <t>Alterar do perfil no BI</t>
  </si>
  <si>
    <t>Bruna</t>
  </si>
  <si>
    <t>Não iniciado</t>
  </si>
  <si>
    <t>07-Monitoração de integração.doc</t>
  </si>
  <si>
    <t>Criar acesso ao BI</t>
  </si>
  <si>
    <t>Desativar acesso ao BI</t>
  </si>
  <si>
    <t>Leandro Queroz</t>
  </si>
  <si>
    <t>2 procedimentos repetidos do Daniel Borges / Marcela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</si>
</sst>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vertical="center" wrapText="1"/>
    </xf>
    <xf numFmtId="0" fontId="8" fillId="0" borderId="11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7" fillId="7" borderId="15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vertical="center" wrapText="1"/>
    </xf>
    <xf numFmtId="0" fontId="8" fillId="8" borderId="17" xfId="0" applyFont="1" applyFill="1" applyBorder="1" applyAlignment="1">
      <alignment horizontal="left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vertical="center" wrapText="1"/>
    </xf>
    <xf numFmtId="0" fontId="8" fillId="8" borderId="18" xfId="0" applyFont="1" applyFill="1" applyBorder="1" applyAlignment="1">
      <alignment vertical="center" wrapText="1"/>
    </xf>
    <xf numFmtId="0" fontId="8" fillId="8" borderId="13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3">
    <dxf>
      <font>
        <strike val="0"/>
        <outline val="0"/>
        <shadow val="0"/>
        <u val="none"/>
        <vertAlign val="baseline"/>
        <sz val="13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1" tint="4.9989318521683403E-2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1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84.565988078706" createdVersion="5" refreshedVersion="5" minRefreshableVersion="3" recordCount="206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206"/>
    </cacheField>
    <cacheField name="FRENTE" numFmtId="0">
      <sharedItems/>
    </cacheField>
    <cacheField name="PROJETO NO JIRA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e Chamado" numFmtId="0">
      <sharedItems/>
    </cacheField>
    <cacheField name="Grupo Solucionador" numFmtId="0">
      <sharedItems/>
    </cacheField>
    <cacheField name="Pontos Focais" numFmtId="0">
      <sharedItems/>
    </cacheField>
    <cacheField name="Nivel de Suporte" numFmtId="0">
      <sharedItems count="3">
        <s v="Suporte N2"/>
        <s v="Suporte N1"/>
        <s v="Field Service"/>
      </sharedItems>
    </cacheField>
    <cacheField name="Entrevista Inicial realizada?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Cadastrar no Jira?" numFmtId="0">
      <sharedItems/>
    </cacheField>
    <cacheField name="Identificado no mapeamento?" numFmtId="0">
      <sharedItems/>
    </cacheField>
    <cacheField name="Nome Procedimento" numFmtId="0">
      <sharedItems containsMixedTypes="1" containsNumber="1" containsInteger="1" minValue="171" maxValue="206"/>
    </cacheField>
    <cacheField name="Status de Elaboração do Procedimento" numFmtId="0">
      <sharedItems count="4">
        <s v="-"/>
        <s v="Finalizado"/>
        <s v="Em validação"/>
        <s v="Não inici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">
  <r>
    <n v="1"/>
    <s v="Infraestrutura"/>
    <s v="TI para TI"/>
    <s v="Deploy"/>
    <s v="Atualizar Arquivo de Configuração de Aplicação"/>
    <s v="Soliciações de atualização de arquivos de configuração de aplicações em geral."/>
    <s v="Solicitação"/>
    <s v="INFRA"/>
    <s v="Daniel Borges"/>
    <x v="0"/>
    <s v="Sim"/>
    <n v="13"/>
    <s v="Média"/>
    <s v="Não"/>
    <s v="Não"/>
    <s v="-"/>
    <x v="0"/>
  </r>
  <r>
    <n v="2"/>
    <s v="Infraestrutura"/>
    <s v="TI para TI"/>
    <s v="Deploy"/>
    <s v="Erros na execução de Deploys em DEV"/>
    <s v="Erros na execução de Deploys em DEV"/>
    <s v="Incidente"/>
    <s v="INFRA"/>
    <s v="Daniel Borges"/>
    <x v="0"/>
    <s v="Sim"/>
    <m/>
    <m/>
    <s v="Não"/>
    <s v="Não"/>
    <s v="-"/>
    <x v="0"/>
  </r>
  <r>
    <n v="3"/>
    <s v="Infraestrutura"/>
    <s v="TI para TI"/>
    <s v="Deploy"/>
    <s v="Executar Deploy de Aplicação (Bus, Portal e Microserviços) via Rundeck em ambiente de DEV / HOM"/>
    <s v="Solicitações de Deploys em geral."/>
    <s v="Solicitação"/>
    <s v="INFRA"/>
    <s v="Daniel Borges"/>
    <x v="1"/>
    <s v="Sim"/>
    <n v="245"/>
    <s v="Alta"/>
    <s v="Sim"/>
    <s v="Não"/>
    <s v="03-Executar Deploy de Aplicação.doc"/>
    <x v="1"/>
  </r>
  <r>
    <n v="4"/>
    <s v="Infraestrutura"/>
    <s v="TI para TI"/>
    <s v="Deploy"/>
    <s v="Executar Deploy de Aplicação "/>
    <s v="Solicitações de Deploys em geral."/>
    <s v="Solicitação"/>
    <s v="INFRA"/>
    <s v="Daniel Borges"/>
    <x v="0"/>
    <s v="Sim"/>
    <n v="245"/>
    <s v="Alta"/>
    <s v="Sim"/>
    <s v="Não"/>
    <s v="-"/>
    <x v="0"/>
  </r>
  <r>
    <n v="5"/>
    <s v="Infraestrutura"/>
    <s v="TI para TI"/>
    <s v="Deploy"/>
    <s v="Executar Scritps em Banco de Dados"/>
    <s v="Criação ou alteração de Tabelas, Inserção ou Deleção de Dados, etc."/>
    <s v="Solicitação"/>
    <s v="INFRA"/>
    <s v="Daniel Borges"/>
    <x v="1"/>
    <s v="Sim"/>
    <m/>
    <m/>
    <s v="Não"/>
    <s v="Não"/>
    <s v="05-Executar Scritps em Banco de Dados.doc"/>
    <x v="1"/>
  </r>
  <r>
    <n v="6"/>
    <s v="Infraestrutura"/>
    <s v="TI para TI"/>
    <s v="Incidentes de Infra"/>
    <s v="Aplicação lenta "/>
    <s v="Aplicação lenta"/>
    <s v="Incidente"/>
    <s v="INFRA"/>
    <s v="Daniel Borges"/>
    <x v="0"/>
    <s v="Sim"/>
    <m/>
    <m/>
    <s v="Sim"/>
    <s v="Não"/>
    <s v="-"/>
    <x v="0"/>
  </r>
  <r>
    <n v="7"/>
    <s v="Infraestrutura"/>
    <s v="TI para TI"/>
    <s v="Incidentes de Infra"/>
    <s v="Monitoração da aplicação"/>
    <s v="Monitoração de integração - ambiente de produção"/>
    <s v="Monitoração"/>
    <s v="INFRA"/>
    <s v="Daniel Borges"/>
    <x v="1"/>
    <s v="Sim"/>
    <m/>
    <m/>
    <s v="Sim"/>
    <s v="Não"/>
    <s v="07-Monitoração de integração.doc"/>
    <x v="2"/>
  </r>
  <r>
    <n v="8"/>
    <s v="Infraestrutura"/>
    <s v="TI para TI"/>
    <s v="Incidentes de Infra"/>
    <s v="Aplicação indisponível (quebrar em homologação, desenvolvimento ou produção)"/>
    <s v="Aplicação indisponível"/>
    <s v="Incidente"/>
    <s v="INFRA"/>
    <s v="Daniel Borges"/>
    <x v="0"/>
    <s v="Sim"/>
    <m/>
    <m/>
    <s v="Sim"/>
    <s v="Não"/>
    <s v="-"/>
    <x v="0"/>
  </r>
  <r>
    <n v="9"/>
    <s v="Infraestrutura"/>
    <s v="TI para TI"/>
    <s v="Incidentes de Infra"/>
    <s v="Aplicação não está enviando e-mail (Amazon)"/>
    <s v="Aplicação não está enviando e-mail"/>
    <s v="Incidente"/>
    <s v="INFRA"/>
    <s v="Daniel Borges"/>
    <x v="0"/>
    <s v="Sim"/>
    <m/>
    <m/>
    <s v="Não"/>
    <s v="Não"/>
    <s v="-"/>
    <x v="0"/>
  </r>
  <r>
    <n v="10"/>
    <s v="Infraestrutura"/>
    <s v="TI para TI"/>
    <s v="Incidentes de Infra"/>
    <s v="Erro de Conexão com Aplicações"/>
    <s v="Siebel, Navitaire, Big Data, Integrador de Sites, Gateway Smiles, etc."/>
    <s v="Incidente"/>
    <s v="INFRA"/>
    <s v="Daniel Borges"/>
    <x v="0"/>
    <s v="Sim"/>
    <m/>
    <m/>
    <s v="Não"/>
    <s v="Não"/>
    <s v="-"/>
    <x v="0"/>
  </r>
  <r>
    <n v="11"/>
    <s v="Infraestrutura"/>
    <s v="TI para TI"/>
    <s v="Incidentes de Infra"/>
    <s v="Erro de Conexão na VPN client to site (open VPN)"/>
    <s v="Problemas entre a conexão VPN client to site"/>
    <s v="Incidente"/>
    <s v="INFRA"/>
    <s v="Daniel Borges"/>
    <x v="1"/>
    <s v="Sim"/>
    <m/>
    <m/>
    <s v="Sim"/>
    <s v="Não"/>
    <s v="011-Erro de Conexão na VPN client to site (open VPN).doc"/>
    <x v="1"/>
  </r>
  <r>
    <n v="12"/>
    <s v="Infraestrutura"/>
    <s v="TI para TI"/>
    <s v="Solicitações de Infra"/>
    <s v="Criar uma Conexão na VPN client to site (open VPN)"/>
    <s v="Criar  uma nova conexão VPN client to site"/>
    <s v="Solicitação"/>
    <s v="INFRA"/>
    <s v="Daniel Borges"/>
    <x v="1"/>
    <s v="Sim"/>
    <m/>
    <m/>
    <s v="Sim"/>
    <s v="Não"/>
    <s v="012-Criar uma Conexão na VPN client to site (open VPN).doc"/>
    <x v="1"/>
  </r>
  <r>
    <n v="13"/>
    <s v="Infraestrutura"/>
    <s v="TI para TI"/>
    <s v="Incidentes de Infra"/>
    <s v="Erro na Integração entre Aplicações"/>
    <s v="Ex.: Cielo com Barramento, Bancob com API Gateway, etc."/>
    <s v="Incidente"/>
    <s v="INFRA"/>
    <s v="Daniel Borges"/>
    <x v="0"/>
    <s v="Sim"/>
    <m/>
    <m/>
    <s v="Não"/>
    <s v="Não"/>
    <s v="-"/>
    <x v="0"/>
  </r>
  <r>
    <n v="14"/>
    <s v="Infraestrutura"/>
    <s v="TI para TI"/>
    <s v="Incidentes de Infra"/>
    <s v="Erros relacionados a Banco de Dados"/>
    <s v="Erros relacionados a Banco de Dados"/>
    <s v="Incidente"/>
    <s v="INFRA"/>
    <s v="Daniel Borges"/>
    <x v="0"/>
    <s v="Sim"/>
    <m/>
    <m/>
    <s v="Não"/>
    <s v="Não"/>
    <s v="-"/>
    <x v="0"/>
  </r>
  <r>
    <n v="15"/>
    <s v="Infraestrutura"/>
    <s v="TI para TI"/>
    <s v="Solicitações de Infra"/>
    <s v="Monitoramento de Certificado"/>
    <s v="Monitoramento de Certificado"/>
    <s v="Monitoração"/>
    <s v="INFRA"/>
    <s v="Daniel Borges"/>
    <x v="1"/>
    <s v="Sim"/>
    <m/>
    <m/>
    <s v="Sim"/>
    <s v="Não"/>
    <s v="015-Monitoramento de Certificado.doc"/>
    <x v="1"/>
  </r>
  <r>
    <n v="16"/>
    <s v="Infraestrutura"/>
    <s v="TI para TI"/>
    <s v="Incidentes de Infra"/>
    <s v="Erros relacionados a Certificados"/>
    <s v="Certificado Expirado, Incorreto, Inativo"/>
    <s v="Incidente"/>
    <s v="INFRA"/>
    <s v="Daniel Borges"/>
    <x v="0"/>
    <s v="Sim"/>
    <m/>
    <m/>
    <s v="Não"/>
    <s v="Não"/>
    <s v="-"/>
    <x v="0"/>
  </r>
  <r>
    <n v="17"/>
    <s v="Infraestrutura"/>
    <s v="TI para TI"/>
    <s v="Solicitações de Infra"/>
    <s v="Alterar agendamento de start-stop de Ambiente"/>
    <s v="Alterar agendamento de start-stop de Ambiente"/>
    <s v="Solicitação"/>
    <s v="INFRA"/>
    <s v="Daniel Borges"/>
    <x v="1"/>
    <s v="Sim"/>
    <n v="15"/>
    <s v="Média"/>
    <s v="Não"/>
    <s v="Não"/>
    <s v="017-Alterar agendamento de start-stop de Ambiente.doc"/>
    <x v="1"/>
  </r>
  <r>
    <n v="18"/>
    <s v="Infraestrutura"/>
    <s v="TI para TI"/>
    <s v="Solicitações de Infra"/>
    <s v="Alterar de Nível de Log"/>
    <s v="Alteração do Nível de Log da Aplicação via JMX"/>
    <s v="Solicitação"/>
    <s v="INFRA"/>
    <s v="Daniel Borges"/>
    <x v="0"/>
    <s v="Sim"/>
    <m/>
    <m/>
    <s v="Não"/>
    <s v="Não"/>
    <s v="-"/>
    <x v="0"/>
  </r>
  <r>
    <n v="19"/>
    <s v="Infraestrutura"/>
    <s v="TI para TI"/>
    <s v="Solicitações de Infra"/>
    <s v="Aplicar Patch"/>
    <s v="Liferay, Weblogic, Banco de Dados, etc."/>
    <s v="Solicitação"/>
    <s v="INFRA"/>
    <s v="Daniel Borges"/>
    <x v="0"/>
    <s v="Sim"/>
    <m/>
    <m/>
    <s v="Não"/>
    <s v="Não"/>
    <s v="-"/>
    <x v="0"/>
  </r>
  <r>
    <n v="20"/>
    <s v="Infraestrutura"/>
    <s v="TI para TI"/>
    <s v="Solicitações de Infra"/>
    <s v="Criar Ambiente"/>
    <s v="Criar novo ambiente completo (UAT, DEV)."/>
    <s v="Solicitação"/>
    <s v="INFRA"/>
    <s v="Daniel Borges"/>
    <x v="0"/>
    <s v="Sim"/>
    <m/>
    <m/>
    <s v="Não"/>
    <s v="Não"/>
    <s v="-"/>
    <x v="0"/>
  </r>
  <r>
    <n v="21"/>
    <s v="Infraestrutura"/>
    <s v="TI para TI"/>
    <s v="Solicitações de Infra"/>
    <s v="Criar Certificado Digital (SSL)"/>
    <s v="Criação de Certificado Digital (SSL)"/>
    <s v="Solicitação"/>
    <s v="INFRA"/>
    <s v="Daniel Borges"/>
    <x v="0"/>
    <s v="Sim"/>
    <m/>
    <m/>
    <s v="Não"/>
    <s v="Não"/>
    <s v="-"/>
    <x v="0"/>
  </r>
  <r>
    <n v="22"/>
    <s v="Infraestrutura"/>
    <s v="TI para TI"/>
    <s v="Solicitações de Infra"/>
    <s v="Criar Infraestrutura para Aplicação"/>
    <s v="Servidor, Banco de Dados, Cache, etc."/>
    <s v="Solicitação"/>
    <s v="INFRA"/>
    <s v="Daniel Borges"/>
    <x v="0"/>
    <s v="Sim"/>
    <m/>
    <m/>
    <s v="Não"/>
    <s v="Não"/>
    <s v="-"/>
    <x v="0"/>
  </r>
  <r>
    <n v="23"/>
    <s v="Infraestrutura"/>
    <s v="TI para TI"/>
    <s v="Solicitações de Infra"/>
    <s v="Criar job "/>
    <s v="Criação de processos batch (automatização)"/>
    <s v="Solicitação"/>
    <s v="INFRA"/>
    <s v="Daniel Borges"/>
    <x v="0"/>
    <s v="Sim"/>
    <m/>
    <m/>
    <s v="Não"/>
    <s v="Não"/>
    <s v="-"/>
    <x v="0"/>
  </r>
  <r>
    <n v="24"/>
    <s v="Infraestrutura"/>
    <s v="TI para TI"/>
    <s v="Solicitações de Infra"/>
    <s v="Criar ou alterar componentes para aplicação"/>
    <s v="Data Source, Mail Session, JMS, etc."/>
    <s v="Solicitação"/>
    <s v="INFRA"/>
    <s v="Daniel Borges"/>
    <x v="0"/>
    <s v="Sim"/>
    <n v="17"/>
    <s v="Média"/>
    <s v="Não"/>
    <s v="Não"/>
    <s v="-"/>
    <x v="0"/>
  </r>
  <r>
    <n v="25"/>
    <s v="Infraestrutura"/>
    <s v="TI para TI"/>
    <s v="Solicitações de Infra"/>
    <s v="Criar ou alterar entradas DNS"/>
    <s v="Criar ou alterar entradas DNS"/>
    <s v="Solicitação"/>
    <s v="INFRA"/>
    <s v="Daniel Borges"/>
    <x v="0"/>
    <s v="Sim"/>
    <m/>
    <m/>
    <s v="Não"/>
    <s v="Não"/>
    <s v="-"/>
    <x v="0"/>
  </r>
  <r>
    <n v="26"/>
    <s v="Infraestrutura"/>
    <s v="TI para TI"/>
    <s v="Solicitações de Infra"/>
    <s v="Criar ou alterar pasta no FTP"/>
    <s v="Criar ou alterar pasta no FTP"/>
    <s v="Solicitação"/>
    <s v="INFRA"/>
    <s v="Daniel Borges"/>
    <x v="0"/>
    <s v="Sim"/>
    <m/>
    <m/>
    <s v="Não"/>
    <s v="Não"/>
    <s v="-"/>
    <x v="0"/>
  </r>
  <r>
    <n v="27"/>
    <s v="Infraestrutura"/>
    <s v="TI para TI"/>
    <s v="Solicitações de Infra"/>
    <s v="Criar URL"/>
    <s v="Nova URL"/>
    <s v="Solicitação"/>
    <s v="INFRA"/>
    <s v="Daniel Borges"/>
    <x v="0"/>
    <s v="Sim"/>
    <m/>
    <m/>
    <s v="Não"/>
    <s v="Não"/>
    <s v="-"/>
    <x v="0"/>
  </r>
  <r>
    <n v="28"/>
    <s v="Infraestrutura"/>
    <s v="TI para TI"/>
    <s v="Solicitações de Infra"/>
    <s v="Disponibilizar Log"/>
    <s v="Log histórico compactado, etc."/>
    <s v="Solicitação"/>
    <s v="INFRA"/>
    <s v="Daniel Borges"/>
    <x v="1"/>
    <s v="Sim"/>
    <n v="20"/>
    <s v="Alta"/>
    <s v="Não"/>
    <s v="Não"/>
    <s v="028-Disponibilizar Log.doc"/>
    <x v="1"/>
  </r>
  <r>
    <n v="29"/>
    <s v="Infraestrutura"/>
    <s v="TI para TI"/>
    <s v="Solicitações de Infra"/>
    <s v="Dump de Banco de Dados"/>
    <s v="Dump de Banco de Dados"/>
    <s v="Solicitação"/>
    <s v="INFRA"/>
    <s v="Daniel Borges"/>
    <x v="0"/>
    <s v="Sim"/>
    <m/>
    <m/>
    <s v="Não"/>
    <s v="Não"/>
    <s v="-"/>
    <x v="0"/>
  </r>
  <r>
    <n v="30"/>
    <s v="Infraestrutura"/>
    <s v="TI para TI"/>
    <s v="Solicitações de Infra"/>
    <s v="Dump do Bucket do Liferay"/>
    <s v="Copiar o conteúdo do Bucket do Liferay"/>
    <s v="Solicitação"/>
    <s v="INFRA"/>
    <s v="Daniel Borges"/>
    <x v="0"/>
    <s v="Sim"/>
    <m/>
    <m/>
    <s v="Sim"/>
    <s v="Não"/>
    <s v="-"/>
    <x v="0"/>
  </r>
  <r>
    <n v="31"/>
    <s v="Infraestrutura"/>
    <s v="TI para TI"/>
    <s v="Solicitações de Infra"/>
    <s v="Executar Flush Akamai (limpar cache)"/>
    <s v="Atualização de imagens no portal, javascript, CSS, etc."/>
    <s v="Solicitação"/>
    <s v="INFRA"/>
    <s v="Daniel Borges"/>
    <x v="0"/>
    <s v="Sim"/>
    <m/>
    <m/>
    <s v="Não"/>
    <s v="Não"/>
    <s v="-"/>
    <x v="0"/>
  </r>
  <r>
    <n v="32"/>
    <s v="Infraestrutura"/>
    <s v="TI para TI"/>
    <s v="Solicitações de Infra"/>
    <s v="Executar Flush de Memcache (limpar dados)"/>
    <s v="Flush de Memcache (limpar dados)"/>
    <s v="Solicitação"/>
    <s v="INFRA"/>
    <s v="Daniel Borges"/>
    <x v="0"/>
    <s v="Sim"/>
    <m/>
    <m/>
    <s v="Não"/>
    <s v="Não"/>
    <s v="-"/>
    <x v="0"/>
  </r>
  <r>
    <n v="33"/>
    <s v="Infraestrutura"/>
    <s v="TI para TI"/>
    <s v="Solicitações de Infra"/>
    <s v="Executar Refresh de Banco de Dados "/>
    <s v="Tombamento de PROD para HOM, de HOM para DEV, de HOM para HOM."/>
    <s v="Solicitação"/>
    <s v="INFRA"/>
    <s v="Daniel Borges"/>
    <x v="0"/>
    <s v="Sim"/>
    <m/>
    <m/>
    <s v="Não"/>
    <s v="Não"/>
    <s v="-"/>
    <x v="0"/>
  </r>
  <r>
    <n v="34"/>
    <s v="Infraestrutura"/>
    <s v="TI para TI"/>
    <s v="Solicitações de Infra"/>
    <s v="Executar Restart de Aplicação"/>
    <s v="Restart de instâncias do Weblogic, SOA, API-Gateway, etc."/>
    <s v="Solicitação"/>
    <s v="INFRA"/>
    <s v="Daniel Borges"/>
    <x v="0"/>
    <s v="Sim"/>
    <m/>
    <m/>
    <s v="Não"/>
    <s v="Não"/>
    <s v="-"/>
    <x v="0"/>
  </r>
  <r>
    <n v="35"/>
    <s v="Infraestrutura"/>
    <s v="TI para TI"/>
    <s v="Solicitações de Infra"/>
    <s v="Inclusão ou Alteração de Regra de Fiwewall"/>
    <s v="Inclusão ou Alteração de Regra de Firewall."/>
    <s v="Solicitação"/>
    <s v="INFRA"/>
    <s v="Daniel Borges"/>
    <x v="0"/>
    <s v="Sim"/>
    <m/>
    <m/>
    <s v="Não"/>
    <s v="Não"/>
    <s v="-"/>
    <x v="0"/>
  </r>
  <r>
    <n v="36"/>
    <s v="Infraestrutura"/>
    <s v="TI para TI"/>
    <s v="Solicitações de Infra"/>
    <s v="Integrar Aplicações"/>
    <s v="Ex.: Cielo com Barramento, Bancob com API Gateway, etc."/>
    <s v="Solicitação"/>
    <s v="INFRA"/>
    <s v="Daniel Borges"/>
    <x v="0"/>
    <s v="Sim"/>
    <m/>
    <m/>
    <s v="Não"/>
    <s v="Não"/>
    <s v="-"/>
    <x v="0"/>
  </r>
  <r>
    <n v="37"/>
    <s v="Infraestrutura"/>
    <s v="TI para TI"/>
    <s v="Solicitações de Infra"/>
    <s v="Sincronizar Bucket"/>
    <s v="Sincronizar Bucket PROD com HOM, etc."/>
    <s v="Solicitação"/>
    <s v="INFRA"/>
    <s v="Daniel Borges"/>
    <x v="1"/>
    <s v="Sim"/>
    <m/>
    <m/>
    <s v="Não"/>
    <s v="Não"/>
    <s v="037-Sincronizar Bucket.doc"/>
    <x v="1"/>
  </r>
  <r>
    <n v="38"/>
    <s v="Microinformática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 Cunha"/>
    <x v="1"/>
    <s v="Sim"/>
    <m/>
    <m/>
    <s v="Não"/>
    <s v="Não"/>
    <s v="038-Solicitar ramal para o usuário.doc"/>
    <x v="1"/>
  </r>
  <r>
    <n v="39"/>
    <s v="Microinformática"/>
    <s v="Escritório / Informática"/>
    <s v="Telefonia"/>
    <s v="Alterar um grupo de recebimento"/>
    <s v="Alterar um grupo de recebimento de ramal"/>
    <s v="Solicitação"/>
    <s v="Operações de TI"/>
    <s v="Claudio Cunha"/>
    <x v="1"/>
    <s v="Sim"/>
    <m/>
    <m/>
    <s v="Sim"/>
    <s v="Sim"/>
    <s v="039-Alterar um grupo de recebimento.doc"/>
    <x v="1"/>
  </r>
  <r>
    <n v="40"/>
    <s v="Microinformática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 Cunha"/>
    <x v="2"/>
    <s v="Sim"/>
    <m/>
    <m/>
    <s v="Não"/>
    <s v="Não"/>
    <s v="-"/>
    <x v="0"/>
  </r>
  <r>
    <n v="41"/>
    <s v="Microinformática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 Cunha"/>
    <x v="2"/>
    <s v="Sim"/>
    <m/>
    <m/>
    <s v="Não"/>
    <s v="Não"/>
    <s v="-"/>
    <x v="0"/>
  </r>
  <r>
    <n v="42"/>
    <s v="Microinformática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 Cunha"/>
    <x v="2"/>
    <s v="Sim"/>
    <m/>
    <m/>
    <s v="Não"/>
    <s v="Não"/>
    <s v="-"/>
    <x v="0"/>
  </r>
  <r>
    <n v="43"/>
    <s v="Microinformática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 Cunha"/>
    <x v="2"/>
    <s v="Sim"/>
    <m/>
    <m/>
    <s v="Não"/>
    <s v="Não"/>
    <s v="-"/>
    <x v="0"/>
  </r>
  <r>
    <n v="44"/>
    <s v="Microinformática"/>
    <s v="Escritório / Informática"/>
    <s v="Vídeo Conferência"/>
    <s v="Vídeo Conferência não funciona."/>
    <s v="Vídeo Conferência não funciona."/>
    <s v="Incidente"/>
    <s v="Operações de TI"/>
    <s v="Claudio Cunha"/>
    <x v="2"/>
    <s v="Sim"/>
    <m/>
    <m/>
    <s v="Não"/>
    <s v="Não"/>
    <s v="-"/>
    <x v="0"/>
  </r>
  <r>
    <n v="45"/>
    <s v="Microinformática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 Cunha"/>
    <x v="2"/>
    <s v="Sim"/>
    <m/>
    <m/>
    <s v="Não"/>
    <s v="Não"/>
    <s v="-"/>
    <x v="0"/>
  </r>
  <r>
    <n v="46"/>
    <s v="Microinformática"/>
    <s v="Escritório / Informática"/>
    <s v="Internet"/>
    <s v="Falha de acesso a internet escritório."/>
    <s v="Falha de acesso a internet escritório"/>
    <s v="Incidente"/>
    <s v="Operações de TI"/>
    <s v="Claudio Cunha"/>
    <x v="1"/>
    <s v="Sim"/>
    <m/>
    <m/>
    <s v="Sim"/>
    <s v="Sim"/>
    <s v="046-Falha de acesso a internet escritório"/>
    <x v="1"/>
  </r>
  <r>
    <n v="47"/>
    <s v="Microinformática"/>
    <s v="Escritório / Informática"/>
    <s v="Internet"/>
    <s v="Usuário não consegue navegar em um site específico."/>
    <s v="Usuário não consegue navegar em um site específico."/>
    <s v="Incidente"/>
    <s v="Operações de TI"/>
    <s v="Claudio Cunha"/>
    <x v="1"/>
    <s v="Sim"/>
    <m/>
    <m/>
    <s v="Não"/>
    <s v="Não"/>
    <s v="047-Usuário não consegue navegar em um site específico.doc"/>
    <x v="1"/>
  </r>
  <r>
    <n v="48"/>
    <s v="Microinformática"/>
    <s v="Escritório / Informática"/>
    <s v="VPN"/>
    <s v="VPN não conecta, Erro de VPN."/>
    <s v="VPN não conecta, Erro de VPN."/>
    <s v="Incidente"/>
    <s v="Operações de TI"/>
    <s v="Claudio Cunha"/>
    <x v="0"/>
    <s v="Sim"/>
    <m/>
    <m/>
    <s v="Não"/>
    <s v="Não"/>
    <s v="-"/>
    <x v="0"/>
  </r>
  <r>
    <n v="49"/>
    <s v="Microinformática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 Cunha"/>
    <x v="2"/>
    <s v="Sim"/>
    <n v="50"/>
    <s v="Alta"/>
    <s v="Não"/>
    <s v="Não"/>
    <s v="-"/>
    <x v="0"/>
  </r>
  <r>
    <n v="50"/>
    <s v="Microinformática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 Cunha"/>
    <x v="2"/>
    <s v="Sim"/>
    <n v="16"/>
    <s v="Média"/>
    <s v="Não"/>
    <s v="Não"/>
    <s v="-"/>
    <x v="0"/>
  </r>
  <r>
    <n v="51"/>
    <s v="Microinformática"/>
    <s v="Escritório / Informática"/>
    <s v="Laptop e Periféricos"/>
    <s v="Periféricos com mau funcionamento"/>
    <s v="Usuário com problemas com mouse, teclado, headset, etc."/>
    <s v="Incidente"/>
    <s v="Operações de TI"/>
    <s v="Claudio Cunha"/>
    <x v="2"/>
    <s v="Sim"/>
    <m/>
    <m/>
    <s v="Não"/>
    <s v="Não"/>
    <s v="-"/>
    <x v="0"/>
  </r>
  <r>
    <n v="52"/>
    <s v="Microinformática"/>
    <s v="Escritório / Informática"/>
    <s v="Laptop e Periféricos"/>
    <s v="Perda e Roubo de Laptop."/>
    <s v="Perda e Roubo de Laptop."/>
    <s v="Incidente"/>
    <s v="Operações de TI"/>
    <s v="Claudio Cunha"/>
    <x v="2"/>
    <s v="Sim"/>
    <m/>
    <m/>
    <s v="Não"/>
    <s v="Não"/>
    <s v="-"/>
    <x v="0"/>
  </r>
  <r>
    <n v="53"/>
    <s v="Microinformática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 Cunha"/>
    <x v="0"/>
    <s v="Sim"/>
    <m/>
    <m/>
    <s v="Não"/>
    <s v="Não"/>
    <s v="-"/>
    <x v="0"/>
  </r>
  <r>
    <n v="54"/>
    <s v="Microinformática"/>
    <s v="Escritório / Informática"/>
    <s v="Pasta / Diretório"/>
    <s v="Erro de acesso à pasta ou diretório de rede."/>
    <s v="Erro de acesso à pasta ou diretório de rede."/>
    <s v="Incidente"/>
    <s v="Operações de TI"/>
    <s v="Claudio Cunha"/>
    <x v="0"/>
    <s v="Sim"/>
    <n v="12"/>
    <s v="Média"/>
    <s v="Não"/>
    <s v="Não"/>
    <s v="-"/>
    <x v="0"/>
  </r>
  <r>
    <n v="55"/>
    <s v="Microinformática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 Cunha"/>
    <x v="2"/>
    <s v="Sim"/>
    <m/>
    <m/>
    <s v="Não"/>
    <s v="Não"/>
    <s v="-"/>
    <x v="0"/>
  </r>
  <r>
    <n v="56"/>
    <s v="Microinformática"/>
    <s v="Escritório / Informática"/>
    <s v="Rede"/>
    <s v="Redes Wireless do escritório da Smiles."/>
    <s v="Redes Wireless do escritório da Smiles."/>
    <s v="Incidente"/>
    <s v="Operações de TI"/>
    <s v="Claudio Cunha"/>
    <x v="2"/>
    <s v="Sim"/>
    <m/>
    <m/>
    <s v="Não"/>
    <s v="Não"/>
    <s v="-"/>
    <x v="0"/>
  </r>
  <r>
    <n v="57"/>
    <s v="Microinformática"/>
    <s v="Escritório / Informática"/>
    <s v="Software"/>
    <s v="Configuração ou Erro em Software (padrão)"/>
    <s v="Internet Explorer, Chrome, MS Office, Jabber, Outlook, SAP, etc."/>
    <s v="Solicitação"/>
    <s v="Operações de TI"/>
    <s v="Claudio Cunha"/>
    <x v="0"/>
    <s v="Sim"/>
    <m/>
    <m/>
    <s v="Não"/>
    <s v="Não"/>
    <s v="-"/>
    <x v="0"/>
  </r>
  <r>
    <n v="58"/>
    <s v="Microinformática"/>
    <s v="Escritório / Informática"/>
    <s v="Software"/>
    <s v="Configuração ou Erro em Software (não-padrão)"/>
    <s v="Project, Visio, etc."/>
    <s v="Solicitação"/>
    <s v="Operações de TI"/>
    <s v="Claudio Cunha"/>
    <x v="2"/>
    <s v="Sim"/>
    <n v="45"/>
    <s v="Alta"/>
    <s v="Não"/>
    <s v="Não"/>
    <s v="-"/>
    <x v="0"/>
  </r>
  <r>
    <n v="59"/>
    <s v="Microinformática"/>
    <s v="Escritório / Informática"/>
    <s v="Software"/>
    <s v="Instalação de Software (padrão)"/>
    <s v="Internet Explorer, Chrome, MS Office, Jabber, Outlook, SAP, etc."/>
    <s v="Solicitação"/>
    <s v="Operações de TI"/>
    <s v="Claudio Cunha"/>
    <x v="0"/>
    <s v="Sim"/>
    <n v="20"/>
    <s v="Alta"/>
    <s v="Não"/>
    <s v="Não"/>
    <s v="-"/>
    <x v="0"/>
  </r>
  <r>
    <n v="60"/>
    <s v="Microinformática"/>
    <s v="Escritório / Informática"/>
    <s v="Software"/>
    <s v="Instalação de Software (não-padrão)"/>
    <s v="Project, Visio, etc."/>
    <s v="Solicitação"/>
    <s v="Operações de TI"/>
    <s v="Claudio Cunha"/>
    <x v="2"/>
    <s v="Sim"/>
    <n v="15"/>
    <s v="Média"/>
    <s v="Não"/>
    <s v="Não"/>
    <s v="-"/>
    <x v="0"/>
  </r>
  <r>
    <n v="61"/>
    <s v="Microinformática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 Cunha"/>
    <x v="2"/>
    <s v="Sim"/>
    <m/>
    <m/>
    <s v="Não"/>
    <s v="Não"/>
    <s v="-"/>
    <x v="0"/>
  </r>
  <r>
    <n v="62"/>
    <s v="Microinformática"/>
    <s v="Escritório / Informática"/>
    <s v="E-mail"/>
    <s v="Criação ou Alteração de Conta de E-mail"/>
    <s v="Criação ou Alteração de Conta de E-mail"/>
    <s v="Solicitação"/>
    <s v="Operações de TI"/>
    <s v="Claudio Cunha"/>
    <x v="2"/>
    <s v="Sim"/>
    <m/>
    <m/>
    <s v="Não"/>
    <s v="Não"/>
    <s v="-"/>
    <x v="0"/>
  </r>
  <r>
    <n v="63"/>
    <s v="Microinformática"/>
    <s v="Escritório / Informática"/>
    <s v="Incidentes de Infra"/>
    <s v="Problemas entre a conexão Smiles de rede (tivit, aws e oracle)."/>
    <s v="Problemas entre a conexão Smiles - AWS."/>
    <s v="Incidente"/>
    <s v="Operações de TI"/>
    <s v="Claudio Cunha"/>
    <x v="2"/>
    <s v="Sim"/>
    <m/>
    <m/>
    <s v="Não"/>
    <s v="Não"/>
    <s v="-"/>
    <x v="0"/>
  </r>
  <r>
    <n v="64"/>
    <s v="Siebel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Morais"/>
    <x v="0"/>
    <s v="Sim"/>
    <m/>
    <m/>
    <s v="Não"/>
    <s v="Não"/>
    <s v="-"/>
    <x v="0"/>
  </r>
  <r>
    <n v="65"/>
    <s v="Siebel"/>
    <s v="Cliente Smiles"/>
    <s v="Erros de Promoção / Bonificação"/>
    <s v="Erros relacionados à Promoção"/>
    <s v="Cliente afetado por erro de promoção."/>
    <s v="Incidente"/>
    <s v="Operações de TI"/>
    <s v="André Morais"/>
    <x v="0"/>
    <s v="Sim"/>
    <m/>
    <m/>
    <s v="Não"/>
    <s v="Não"/>
    <s v="-"/>
    <x v="0"/>
  </r>
  <r>
    <n v="66"/>
    <s v="Siebel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Morais"/>
    <x v="0"/>
    <s v="Sim"/>
    <n v="19"/>
    <s v="Média"/>
    <s v="Não"/>
    <s v="Não"/>
    <s v="-"/>
    <x v="0"/>
  </r>
  <r>
    <n v="67"/>
    <s v="Siebel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Morais"/>
    <x v="0"/>
    <s v="Sim"/>
    <n v="21"/>
    <s v="Média"/>
    <s v="Não"/>
    <s v="Não"/>
    <s v="-"/>
    <x v="0"/>
  </r>
  <r>
    <n v="68"/>
    <s v="Siebel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Morais"/>
    <x v="0"/>
    <s v="Sim"/>
    <m/>
    <m/>
    <s v="Não"/>
    <s v="Não"/>
    <s v="-"/>
    <x v="0"/>
  </r>
  <r>
    <n v="69"/>
    <s v="Siebel"/>
    <s v="Cliente Smiles"/>
    <s v="Erros de Promoção / Bonificação"/>
    <s v="Erros relacionados à Bonificação de Emissão"/>
    <s v="Falha na bonificação relacionada a emissões, etc."/>
    <s v="Incidente"/>
    <s v="Operações de TI"/>
    <s v="André Morais"/>
    <x v="0"/>
    <s v="Sim"/>
    <m/>
    <m/>
    <s v="Não"/>
    <s v="Não"/>
    <s v="-"/>
    <x v="0"/>
  </r>
  <r>
    <n v="70"/>
    <s v="Siebel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Morais"/>
    <x v="0"/>
    <s v="Sim"/>
    <m/>
    <m/>
    <s v="Não"/>
    <s v="Não"/>
    <s v="-"/>
    <x v="0"/>
  </r>
  <r>
    <n v="71"/>
    <s v="Siebel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Morais"/>
    <x v="0"/>
    <s v="Sim"/>
    <m/>
    <m/>
    <s v="Não"/>
    <s v="Não"/>
    <s v="-"/>
    <x v="0"/>
  </r>
  <r>
    <n v="72"/>
    <s v="Siebel"/>
    <s v="Áreas de Negócio"/>
    <s v="Cadastros"/>
    <s v="Cadastrar Novo Produto"/>
    <s v="Criar Produto, Adicionar novos Produtos"/>
    <s v="Solicitação"/>
    <s v="Operações de TI"/>
    <s v="André Morais"/>
    <x v="1"/>
    <s v="Sim"/>
    <n v="25"/>
    <s v="Alta"/>
    <s v="Não"/>
    <s v="Não"/>
    <s v="072-Cadastrar Novo Produto.doc"/>
    <x v="1"/>
  </r>
  <r>
    <n v="73"/>
    <s v="Siebel"/>
    <s v="Áreas de Negócio"/>
    <s v="Cadastros"/>
    <s v="Alterar vigência de Produto"/>
    <s v="Alteração de Produto"/>
    <s v="Solicitação"/>
    <s v="Operações de TI"/>
    <s v="André Morais"/>
    <x v="1"/>
    <s v="Sim"/>
    <m/>
    <m/>
    <s v="Sim"/>
    <s v="Sim"/>
    <s v="073-Alterar vigência de Produto.doc"/>
    <x v="1"/>
  </r>
  <r>
    <n v="74"/>
    <s v="Siebel"/>
    <s v="Áreas de Negócio"/>
    <s v="Cadastros"/>
    <s v="Manutenção de Parceiro (Aéreo)"/>
    <s v="Alteração de Parceiro (Aéreo)"/>
    <s v="Solicitação"/>
    <s v="Operações de TI"/>
    <s v="André Morais"/>
    <x v="0"/>
    <s v="Sim"/>
    <m/>
    <m/>
    <s v="Não"/>
    <s v="Não"/>
    <s v="-"/>
    <x v="0"/>
  </r>
  <r>
    <n v="75"/>
    <s v="Siebel"/>
    <s v="Áreas de Negócio"/>
    <s v="Cadastros"/>
    <s v="Cadastrar Novo Parceiro (Aéreo)"/>
    <s v="Criar Novo Parceiro (Aéreo)"/>
    <s v="Solicitação"/>
    <s v="Operações de TI"/>
    <s v="André Morais"/>
    <x v="0"/>
    <s v="Sim"/>
    <m/>
    <m/>
    <s v="Não"/>
    <s v="Não"/>
    <s v="-"/>
    <x v="0"/>
  </r>
  <r>
    <n v="76"/>
    <s v="Siebel"/>
    <s v="Áreas de Negócio"/>
    <s v="Cadastros"/>
    <s v="Cadastrar Novo Parceiro (Não Aéreo)"/>
    <s v="Criar Novo Parceiro (Não Aéreo)"/>
    <s v="Solicitação"/>
    <s v="Operações de TI"/>
    <s v="André Morais"/>
    <x v="1"/>
    <s v="Sim"/>
    <m/>
    <m/>
    <s v="Não"/>
    <s v="Não"/>
    <s v="076-Cadastrar Novo Parceiro (Não Aéreo).doc"/>
    <x v="1"/>
  </r>
  <r>
    <n v="77"/>
    <s v="Siebel"/>
    <s v="Áreas de Negócio"/>
    <s v="Cadastros"/>
    <s v="Manutenção de Parceiro (Não Aéreo)"/>
    <s v="Alteração de Parceiro (Não Aéreo)"/>
    <s v="Solicitação"/>
    <s v="Operações de TI"/>
    <s v="André Morais"/>
    <x v="1"/>
    <s v="Sim"/>
    <m/>
    <m/>
    <s v="Não"/>
    <s v="Não"/>
    <s v="077-Manutenção de Parceiro (Não Aéreo).doc"/>
    <x v="1"/>
  </r>
  <r>
    <n v="78"/>
    <s v="Siebel"/>
    <s v="Áreas de Negócio"/>
    <s v="Promoções"/>
    <s v="Cadastrar Nova Promoção"/>
    <s v="Criar Promoção, Incluir Promoção, Nova Promoção"/>
    <s v="Solicitação"/>
    <s v="Operações de TI"/>
    <s v="André Morais"/>
    <x v="0"/>
    <s v="Sim"/>
    <n v="77"/>
    <s v="Alta"/>
    <s v="Não"/>
    <s v="Não"/>
    <s v="-"/>
    <x v="0"/>
  </r>
  <r>
    <n v="79"/>
    <s v="Siebel"/>
    <s v="Áreas de Negócio"/>
    <s v="Promoções"/>
    <s v="Manutenção de Promoção "/>
    <s v="Alteração de Promoção, Reativação de Promoção, Encerrar Promoção"/>
    <s v="Solicitação"/>
    <s v="Operações de TI"/>
    <s v="André Morais"/>
    <x v="0"/>
    <s v="Sim"/>
    <n v="26"/>
    <s v="Alta"/>
    <s v="Não"/>
    <s v="Não"/>
    <s v="-"/>
    <x v="0"/>
  </r>
  <r>
    <n v="80"/>
    <s v="Siebel"/>
    <s v="Áreas de Negócio"/>
    <s v="Promoções"/>
    <s v="Promoção com erro "/>
    <s v="Erro de Promoção, Promoção não bonificou Cliente"/>
    <s v="Incidente"/>
    <s v="Operações de TI"/>
    <s v="André Morais"/>
    <x v="0"/>
    <s v="Sim"/>
    <m/>
    <m/>
    <s v="Não"/>
    <s v="Não"/>
    <s v="-"/>
    <x v="0"/>
  </r>
  <r>
    <n v="81"/>
    <s v="Siebel"/>
    <s v="Áreas de Negócio"/>
    <s v="Promoções"/>
    <s v="Prorrogar Promoção"/>
    <s v="Alterar datas de vigência, promoção deve voltar em, promoção deverá voltar em"/>
    <s v="Solicitação"/>
    <s v="Operações de TI"/>
    <s v="André Morais"/>
    <x v="0"/>
    <s v="Sim"/>
    <m/>
    <m/>
    <s v="Não"/>
    <s v="Não"/>
    <s v="-"/>
    <x v="0"/>
  </r>
  <r>
    <n v="82"/>
    <s v="Siebel"/>
    <s v="Áreas de Negócio"/>
    <s v="Portal Parceiros"/>
    <s v="Dificuldades na utilização do Portal de Parceiros"/>
    <s v="Não consegue creditar milhas, Transações não processadas, etc."/>
    <s v="Incidente"/>
    <s v="Operações de TI"/>
    <s v="Luis Savioli"/>
    <x v="1"/>
    <s v="Sim"/>
    <m/>
    <m/>
    <s v="Não"/>
    <s v="Não"/>
    <s v="082-Dificuldades na utilização do Portal de Parceiros.doc"/>
    <x v="1"/>
  </r>
  <r>
    <n v="83"/>
    <s v="Siebel"/>
    <s v="Áreas de Negócio"/>
    <s v="Portal Parceiros"/>
    <s v="Lentidão no Portal de Parceiros"/>
    <s v="Lentidão no Portal de Parceiros"/>
    <s v="Incidente"/>
    <s v="Operações de TI"/>
    <s v="Luis Savioli"/>
    <x v="0"/>
    <s v="Sim"/>
    <m/>
    <m/>
    <s v="Sim"/>
    <s v="Não"/>
    <s v="-"/>
    <x v="0"/>
  </r>
  <r>
    <n v="84"/>
    <s v="Siebel"/>
    <s v="Áreas de Negócio"/>
    <s v="Portal Parceiros"/>
    <s v="Indisponibilidade no Portal de Parceiros"/>
    <s v="Indisponibilidade no Portal de Parceiros"/>
    <s v="Incidente"/>
    <s v="Operações de TI"/>
    <s v="Luis Savioli"/>
    <x v="1"/>
    <s v="Sim"/>
    <m/>
    <m/>
    <s v="Sim"/>
    <s v="Não"/>
    <s v="084-Indisponibilidade no Portal de Parceiros.doc"/>
    <x v="1"/>
  </r>
  <r>
    <n v="85"/>
    <s v="Site"/>
    <s v="Áreas de Negócio"/>
    <s v="Fraude/Perda Financeira"/>
    <s v="Cadastro Clearsale"/>
    <s v="Cadastro não finalizado ou com divergência."/>
    <s v="Incidente"/>
    <s v="Operações de TI"/>
    <s v="Jonathas Souza"/>
    <x v="0"/>
    <s v="Sim"/>
    <m/>
    <m/>
    <s v="Não"/>
    <s v="Não"/>
    <s v="-"/>
    <x v="0"/>
  </r>
  <r>
    <n v="86"/>
    <s v="Site"/>
    <s v="Áreas de Negócio"/>
    <s v="Fraude/Perda Financeira"/>
    <s v="Alteração Cadastral Clearsale"/>
    <s v="Alteração Cadastral não efetivada com sucesso."/>
    <s v="Incidente"/>
    <s v="Operações de TI"/>
    <s v="Jonathas Souza"/>
    <x v="0"/>
    <s v="Sim"/>
    <m/>
    <m/>
    <s v="Não"/>
    <s v="Não"/>
    <s v="-"/>
    <x v="0"/>
  </r>
  <r>
    <n v="87"/>
    <s v="Site"/>
    <s v="Áreas de Negócio"/>
    <s v="Fraude/Perda Financeira"/>
    <s v="Reset de Senha Clearsale"/>
    <s v="Cliente não recebeu a senha, etc."/>
    <s v="Incidente"/>
    <s v="Operações de TI"/>
    <s v="Jonathas Souza"/>
    <x v="0"/>
    <s v="Sim"/>
    <m/>
    <m/>
    <s v="Não"/>
    <s v="Não"/>
    <s v="-"/>
    <x v="0"/>
  </r>
  <r>
    <n v="88"/>
    <s v="Siebel"/>
    <s v="Cliente Smiles"/>
    <s v="Monitoração"/>
    <s v="Monitoramento da recorrência"/>
    <s v="Monitoramento da recorrência"/>
    <s v="Monitoração"/>
    <s v="Operações de TI"/>
    <s v="Luis Savioli"/>
    <x v="1"/>
    <s v="Sim"/>
    <m/>
    <m/>
    <s v="Sim"/>
    <s v="Não"/>
    <s v="088-Monitoramento da recorrência.doc"/>
    <x v="1"/>
  </r>
  <r>
    <n v="89"/>
    <s v="Siebel"/>
    <s v="Áreas de Negócio"/>
    <s v="Fraude/Perda Financeira"/>
    <s v="Resgate Aéreo B2E"/>
    <s v="PNR não recebido pela B2E (completo ou parcial), etc."/>
    <s v="Incidente"/>
    <s v="Operações de TI"/>
    <s v="Luis Savioli"/>
    <x v="0"/>
    <s v="Sim"/>
    <m/>
    <m/>
    <s v="Não"/>
    <s v="Não"/>
    <s v="-"/>
    <x v="0"/>
  </r>
  <r>
    <n v="90"/>
    <s v="Siebel"/>
    <s v="Áreas de Negócio"/>
    <s v="Fraude/Perda Financeira"/>
    <s v="Resgate Shopping Smiles B2E"/>
    <s v="Pedidos de Resgate Shopping Smiles não recebidos pela B2E (completo ou parcial), etc."/>
    <s v="Incidente"/>
    <s v="Operações de TI"/>
    <s v="Luis Savioli"/>
    <x v="0"/>
    <s v="Sim"/>
    <m/>
    <m/>
    <s v="Não"/>
    <s v="Não"/>
    <s v="-"/>
    <x v="0"/>
  </r>
  <r>
    <n v="91"/>
    <s v="Siebel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Luis Savioli"/>
    <x v="0"/>
    <s v="Sim"/>
    <m/>
    <m/>
    <s v="Não"/>
    <s v="Não"/>
    <s v="-"/>
    <x v="0"/>
  </r>
  <r>
    <n v="92"/>
    <s v="Siebel"/>
    <s v="Áreas de Negócio"/>
    <s v="Fraude/Perda Financeira"/>
    <s v="Milhas não estornadas após confirmação de fraude."/>
    <s v="Milhas não estornadas após confirmação de fraude."/>
    <s v="Incidente"/>
    <s v="Operações de TI"/>
    <s v="Luis Savioli"/>
    <x v="0"/>
    <s v="Sim"/>
    <m/>
    <m/>
    <s v="Não"/>
    <s v="Não"/>
    <s v="-"/>
    <x v="0"/>
  </r>
  <r>
    <n v="93"/>
    <s v="Siebel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Luis Savioli"/>
    <x v="0"/>
    <s v="Sim"/>
    <m/>
    <m/>
    <s v="Não"/>
    <s v="Não"/>
    <s v="-"/>
    <x v="0"/>
  </r>
  <r>
    <n v="94"/>
    <s v="Siebel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Luis Savioli"/>
    <x v="0"/>
    <s v="Sim"/>
    <m/>
    <m/>
    <s v="Não"/>
    <s v="Não"/>
    <s v="-"/>
    <x v="0"/>
  </r>
  <r>
    <n v="95"/>
    <s v="Siebel"/>
    <s v="Áreas de Negócio"/>
    <s v="Precificação "/>
    <s v="Bounce do Princing"/>
    <s v="Restart do sistema de precificação."/>
    <s v="Solicitação"/>
    <s v="Operações de TI"/>
    <s v="Jonathas Souza"/>
    <x v="1"/>
    <s v="Sim"/>
    <n v="18"/>
    <s v="Média"/>
    <s v="Não"/>
    <s v="Não"/>
    <s v="095-Bounce do Princing.doc"/>
    <x v="1"/>
  </r>
  <r>
    <n v="96"/>
    <s v="Siebel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Souza"/>
    <x v="0"/>
    <s v="Sim"/>
    <m/>
    <m/>
    <s v="Não"/>
    <s v="Não"/>
    <s v="-"/>
    <x v="0"/>
  </r>
  <r>
    <n v="97"/>
    <s v="Siebel"/>
    <s v="Áreas de Negócio"/>
    <s v="Publicações"/>
    <s v="Erro ou Falha de Publicação NÃO relacionada a participante"/>
    <s v="Erros no Liferay"/>
    <s v="Incidente"/>
    <s v="Operações de TI"/>
    <s v="Jonathas Souza"/>
    <x v="0"/>
    <s v="Sim"/>
    <m/>
    <m/>
    <s v="Não"/>
    <s v="Não"/>
    <s v="-"/>
    <x v="0"/>
  </r>
  <r>
    <n v="98"/>
    <s v="Siebel"/>
    <s v="Áreas de Negócio"/>
    <s v="Publicações"/>
    <s v="Erro ou Falha de Publicação de Conteúdo"/>
    <s v="Banners, Regulamentos, etc."/>
    <s v="Incidente"/>
    <s v="Operações de TI"/>
    <s v="Jonathas Souza"/>
    <x v="0"/>
    <s v="Sim"/>
    <m/>
    <m/>
    <s v="Não"/>
    <s v="Não"/>
    <s v="-"/>
    <x v="0"/>
  </r>
  <r>
    <n v="99"/>
    <s v="Siebel"/>
    <s v="Cliente Smiles"/>
    <s v="Erros de Siebel"/>
    <s v="Erros relacionados a envio e recebimento de e-mails"/>
    <s v="Erros relacionados a envio e recebimento de e-mails."/>
    <s v="Incidente"/>
    <s v="Operações de TI"/>
    <s v="Luis Savioli"/>
    <x v="0"/>
    <s v="Sim"/>
    <m/>
    <m/>
    <s v="Não"/>
    <s v="Não"/>
    <s v="-"/>
    <x v="0"/>
  </r>
  <r>
    <n v="100"/>
    <s v="Siebel"/>
    <s v="Cliente Smiles"/>
    <s v="Erros de Siebel"/>
    <s v="Erros relacionados a Cobrança"/>
    <s v="Cliente cobrado erroneamente, pagamento em duplicidade, etc."/>
    <s v="Incidente"/>
    <s v="Operações de TI"/>
    <s v="Luis Savioli"/>
    <x v="0"/>
    <s v="Sim"/>
    <m/>
    <m/>
    <s v="Não"/>
    <s v="Não"/>
    <s v="-"/>
    <x v="0"/>
  </r>
  <r>
    <n v="101"/>
    <s v="Siebel"/>
    <s v="Cliente Smiles"/>
    <s v="Erros de Siebel"/>
    <s v="Erros relacionados a Saldo Divergente"/>
    <s v="Saldo de milhas do cliente apresenta inconsistências, etc."/>
    <s v="Incidente"/>
    <s v="Operações de TI"/>
    <s v="Luis Savioli"/>
    <x v="0"/>
    <s v="Sim"/>
    <m/>
    <m/>
    <s v="Não"/>
    <s v="Não"/>
    <s v="-"/>
    <x v="0"/>
  </r>
  <r>
    <n v="102"/>
    <s v="Siebel"/>
    <s v="Cliente Smiles"/>
    <s v="Erros de Siebel"/>
    <s v="Erros relacionados ao Clube Smiles"/>
    <s v="Cliente não está passando pela recorrência de pagamento, etc."/>
    <s v="Incidente"/>
    <s v="Operações de TI"/>
    <s v="Luis Savioli"/>
    <x v="1"/>
    <s v="Sim"/>
    <n v="53"/>
    <s v="Alta"/>
    <s v="Não"/>
    <s v="Não"/>
    <s v="102-Erros relacionados ao Club Smiles.doc"/>
    <x v="1"/>
  </r>
  <r>
    <n v="103"/>
    <s v="Siebel"/>
    <s v="Cliente Smiles"/>
    <s v="Erros de Siebel"/>
    <s v="Erros no processo de Merge"/>
    <s v="Problema no processo de merge de clientes, etc."/>
    <s v="Incidente"/>
    <s v="Operações de TI"/>
    <s v="Luis Savioli"/>
    <x v="0"/>
    <s v="Sim"/>
    <m/>
    <m/>
    <s v="Não"/>
    <s v="Não"/>
    <s v="-"/>
    <x v="0"/>
  </r>
  <r>
    <n v="104"/>
    <s v="Siebel"/>
    <s v="Áreas de Negócio"/>
    <s v="Cadastros"/>
    <s v="Víncular Novo Parceiro (Não Aéreo) x Novo Produto"/>
    <s v="Víncular Novo Parceiro (Não Aéreo) x Novo Produto"/>
    <s v="Solicitação"/>
    <s v="Operações de TI"/>
    <s v="André Morais"/>
    <x v="1"/>
    <s v="Sim"/>
    <m/>
    <m/>
    <s v="Sim"/>
    <s v="Sim"/>
    <s v="104-Víncular Novo Parceiro (Não Aéreo) x Novo Produto.doc"/>
    <x v="1"/>
  </r>
  <r>
    <n v="105"/>
    <s v="Siebel"/>
    <s v="Cliente Smiles"/>
    <s v="Erros de Siebel"/>
    <s v="Erros no processamento de Transações"/>
    <s v="Erro no processamento de transações, etc."/>
    <s v="Incidente"/>
    <s v="Operações de TI"/>
    <s v="André Morais"/>
    <x v="0"/>
    <s v="Sim"/>
    <n v="24"/>
    <s v="Alta"/>
    <s v="Não"/>
    <s v="Não"/>
    <s v="-"/>
    <x v="0"/>
  </r>
  <r>
    <n v="106"/>
    <s v="Siebel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Luis Savioli"/>
    <x v="0"/>
    <s v="Sim"/>
    <m/>
    <m/>
    <s v="Não"/>
    <s v="Não"/>
    <s v="-"/>
    <x v="0"/>
  </r>
  <r>
    <n v="107"/>
    <s v="Siebel"/>
    <s v="Cliente Smiles"/>
    <s v="Erros de Siebel"/>
    <s v="Erros relacionados ao Smiles Pay (MENOS indisponibilidade)"/>
    <s v="Problemas no Smiles Pay, etc."/>
    <s v="Incidente"/>
    <s v="Operações de TI"/>
    <s v="Luis Savioli"/>
    <x v="1"/>
    <s v="Sim"/>
    <m/>
    <m/>
    <s v="Não"/>
    <s v="Não"/>
    <s v="107-Erros relacionados ao Smiles Pay.doc"/>
    <x v="1"/>
  </r>
  <r>
    <n v="108"/>
    <s v="Siebel"/>
    <s v="Cliente Smiles"/>
    <s v="Erros de Siebel"/>
    <s v="Indisponibilidade Siebel e/ou Smiles Pay"/>
    <s v="Siebel e/ou Smiles Pay lento ou indisponível para TODA a Central de Atendimento."/>
    <s v="Incidente"/>
    <s v="Operações de TI"/>
    <s v="Luis Savioli"/>
    <x v="1"/>
    <s v="Sim"/>
    <m/>
    <m/>
    <s v="Não"/>
    <s v="Não"/>
    <s v="108-Indisponibilidade Siebel.doc"/>
    <x v="1"/>
  </r>
  <r>
    <n v="109"/>
    <s v="Siebel"/>
    <s v="Cliente Smiles"/>
    <s v="Erros no Navitaire"/>
    <s v="Indisponibilidade Navitaire"/>
    <s v="Navitaire lento ou indisponível para TODA a Central de Atendimento."/>
    <s v="Incidente"/>
    <s v="Operações de TI"/>
    <s v="Jonathas Souza"/>
    <x v="0"/>
    <s v="Sim"/>
    <m/>
    <m/>
    <s v="Não"/>
    <s v="Não"/>
    <s v="-"/>
    <x v="0"/>
  </r>
  <r>
    <n v="110"/>
    <s v="Siebel"/>
    <s v="Cliente Smiles"/>
    <s v="Erros no Amadeus"/>
    <s v="Indisponibilidade Amadeus"/>
    <s v="Amadeus lento ou indisponível para TODA a Central de Atendimento."/>
    <s v="Incidente"/>
    <s v="Operações de TI"/>
    <s v="Jonathas Souza"/>
    <x v="0"/>
    <s v="Sim"/>
    <m/>
    <m/>
    <s v="Não"/>
    <s v="Não"/>
    <s v="-"/>
    <x v="0"/>
  </r>
  <r>
    <n v="111"/>
    <s v="Siebel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Souza"/>
    <x v="0"/>
    <s v="Sim"/>
    <m/>
    <m/>
    <s v="Não"/>
    <s v="Não"/>
    <s v="-"/>
    <x v="0"/>
  </r>
  <r>
    <n v="112"/>
    <s v="Site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Souza"/>
    <x v="0"/>
    <s v="Sim"/>
    <m/>
    <m/>
    <s v="Não"/>
    <s v="Não"/>
    <s v="-"/>
    <x v="0"/>
  </r>
  <r>
    <n v="113"/>
    <s v="Site"/>
    <s v="Cliente Smiles"/>
    <s v="Erros de Site"/>
    <s v="Atendimento Online (Emilia) não abre ou com lentidão"/>
    <s v="Atendimento Online (Emilia) não abre ou com lentidão."/>
    <s v="Incidente"/>
    <s v="Operações de TI"/>
    <s v="Jonathas Souza"/>
    <x v="0"/>
    <s v="Sim"/>
    <m/>
    <m/>
    <s v="Não"/>
    <s v="Não"/>
    <s v="-"/>
    <x v="0"/>
  </r>
  <r>
    <n v="114"/>
    <s v="Site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Souza"/>
    <x v="0"/>
    <s v="Sim"/>
    <m/>
    <m/>
    <s v="Não"/>
    <s v="Não"/>
    <s v="-"/>
    <x v="0"/>
  </r>
  <r>
    <n v="115"/>
    <s v="Site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Souza"/>
    <x v="0"/>
    <s v="Sim"/>
    <m/>
    <m/>
    <s v="Não"/>
    <s v="Não"/>
    <s v="-"/>
    <x v="0"/>
  </r>
  <r>
    <n v="116"/>
    <s v="Site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Souza"/>
    <x v="0"/>
    <s v="Sim"/>
    <n v="19"/>
    <s v="Média"/>
    <s v="Não"/>
    <s v="Não"/>
    <s v="-"/>
    <x v="0"/>
  </r>
  <r>
    <n v="117"/>
    <s v="Site"/>
    <s v="Cliente Smiles"/>
    <s v="Erros de Site"/>
    <s v="Falha de Login para TODOS os Clientes"/>
    <s v="TODOS os clientes com dificuldade para logar no site."/>
    <s v="Incidente"/>
    <s v="Operações de TI"/>
    <s v="Jonathas Souza"/>
    <x v="0"/>
    <s v="Sim"/>
    <m/>
    <m/>
    <s v="Não"/>
    <s v="Não"/>
    <s v="-"/>
    <x v="0"/>
  </r>
  <r>
    <n v="118"/>
    <s v="Site"/>
    <s v="Cliente Smiles"/>
    <s v="Erros de Site"/>
    <s v="Falha de Login para um único Cliente"/>
    <s v="Um único cliente com dificuldade/erro para logar no site."/>
    <s v="Incidente"/>
    <s v="Operações de TI"/>
    <s v="Jonathas Souza"/>
    <x v="0"/>
    <s v="Sim"/>
    <m/>
    <m/>
    <s v="Não"/>
    <s v="Não"/>
    <s v="-"/>
    <x v="0"/>
  </r>
  <r>
    <n v="119"/>
    <s v="Site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0"/>
    <s v="Site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1"/>
    <s v="Site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Souza"/>
    <x v="0"/>
    <s v="Sim"/>
    <n v="25"/>
    <s v="Alta"/>
    <s v="Não"/>
    <s v="Não"/>
    <s v="-"/>
    <x v="0"/>
  </r>
  <r>
    <n v="122"/>
    <s v="Site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Souza"/>
    <x v="0"/>
    <s v="Sim"/>
    <m/>
    <m/>
    <s v="Não"/>
    <s v="Não"/>
    <s v="-"/>
    <x v="0"/>
  </r>
  <r>
    <n v="123"/>
    <s v="Site"/>
    <s v="Cliente Smiles"/>
    <s v="Erros de Site"/>
    <s v="Shopping Smiles não abre para TODOS os Clientes"/>
    <s v="TODOS os clientes com dificuldade para abrir o Shopping Smiles."/>
    <s v="Incidente"/>
    <s v="Operações de TI"/>
    <s v="Jonathas Souza"/>
    <x v="0"/>
    <s v="Sim"/>
    <m/>
    <m/>
    <s v="Não"/>
    <s v="Não"/>
    <s v="-"/>
    <x v="0"/>
  </r>
  <r>
    <n v="124"/>
    <s v="Siebel"/>
    <s v="Cliente Smiles"/>
    <s v="Monitoração"/>
    <s v="Transação enfileradas, via Rundeck"/>
    <s v="Transação enfileradas, via Rundeck"/>
    <s v="Monitoração"/>
    <s v="Operações de TI"/>
    <s v="Luis Savioli"/>
    <x v="0"/>
    <s v="Sim"/>
    <m/>
    <m/>
    <s v="Sim"/>
    <s v="Não"/>
    <s v="-"/>
    <x v="0"/>
  </r>
  <r>
    <n v="125"/>
    <s v="EDI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Bruno Serpeloni"/>
    <x v="1"/>
    <s v="Sim"/>
    <n v="17"/>
    <s v="Média"/>
    <s v="Sim"/>
    <s v="Não"/>
    <s v="125-Arquivo EDI - Parceiros Críticos.doc"/>
    <x v="1"/>
  </r>
  <r>
    <n v="126"/>
    <s v="EDI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Bruno Serpeloni"/>
    <x v="1"/>
    <s v="Sim"/>
    <n v="13"/>
    <s v="Média"/>
    <s v="Não"/>
    <s v="Não"/>
    <s v="126-Atraso no Arquivo EDI - Parceiros Críticos.doc"/>
    <x v="1"/>
  </r>
  <r>
    <n v="127"/>
    <s v="EDI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Souza"/>
    <x v="0"/>
    <s v="Sim"/>
    <m/>
    <m/>
    <s v="Não"/>
    <s v="Não"/>
    <s v="-"/>
    <x v="0"/>
  </r>
  <r>
    <n v="128"/>
    <s v="EDI"/>
    <s v="Áreas de Negócio"/>
    <s v="EDI"/>
    <s v="Arquivo EDI - Outros"/>
    <s v="Envio de arquivos EDI de OUTROS parceiros."/>
    <s v="Monitoração"/>
    <s v="Operações de TI"/>
    <s v="Bruno Serpeloni"/>
    <x v="1"/>
    <s v="Sim"/>
    <m/>
    <m/>
    <s v="Sim"/>
    <s v="Não"/>
    <s v="128-Arquivo EDI - Outros.doc"/>
    <x v="1"/>
  </r>
  <r>
    <n v="129"/>
    <s v="EDI"/>
    <s v="Áreas de Negócio"/>
    <s v="EDI"/>
    <s v="Atraso no Arquivo EDI - Outros"/>
    <s v="Reportar atraso no envio de arquivos EDI de OUTROS parceiros."/>
    <s v="Incidente"/>
    <s v="Operações de TI"/>
    <s v="Bruno Serpeloni"/>
    <x v="1"/>
    <s v="Sim"/>
    <m/>
    <m/>
    <s v="Não"/>
    <s v="Não"/>
    <s v="129-Atraso no Arquivo EDI - Outros.doc"/>
    <x v="1"/>
  </r>
  <r>
    <n v="130"/>
    <s v="EDI"/>
    <s v="Áreas de Negócio"/>
    <s v="EDI"/>
    <s v="Erro no Arquivo EDI - Outros"/>
    <s v="Erro no envio de arquivos EDI de OUTROS parceiros."/>
    <s v="Incidente"/>
    <s v="Operações de TI"/>
    <s v="Raul Souza"/>
    <x v="0"/>
    <s v="Sim"/>
    <m/>
    <m/>
    <s v="Não"/>
    <s v="Não"/>
    <s v="-"/>
    <x v="0"/>
  </r>
  <r>
    <n v="131"/>
    <s v="EDI"/>
    <s v="Áreas de Negócio"/>
    <s v="EDI"/>
    <s v="Outras solicitações (EDI)"/>
    <s v="Outras solicitações (EDI)"/>
    <s v="Solicitação"/>
    <s v="Operações de TI"/>
    <s v="Raul Souza"/>
    <x v="0"/>
    <s v="Sim"/>
    <m/>
    <m/>
    <s v="Não"/>
    <s v="Não"/>
    <s v="-"/>
    <x v="0"/>
  </r>
  <r>
    <n v="132"/>
    <s v="Right Now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Souza"/>
    <x v="0"/>
    <s v="Sim"/>
    <m/>
    <m/>
    <s v="Não"/>
    <s v="Não"/>
    <s v="-"/>
    <x v="0"/>
  </r>
  <r>
    <n v="133"/>
    <s v="Right Now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Souza"/>
    <x v="0"/>
    <s v="Sim"/>
    <m/>
    <m/>
    <s v="Não"/>
    <s v="Não"/>
    <s v="-"/>
    <x v="0"/>
  </r>
  <r>
    <n v="134"/>
    <s v="EDI"/>
    <s v="Áreas de Negócio"/>
    <s v="EDI"/>
    <s v="Represar o arquivo EDI de algum parceiro"/>
    <s v="Informações de arquivos EDI"/>
    <s v="Solicitação"/>
    <s v="Operações de TI"/>
    <s v="Bruno Serpeloni"/>
    <x v="1"/>
    <s v="Sim"/>
    <m/>
    <m/>
    <s v="Sim"/>
    <s v="Sim"/>
    <s v="134- Represar o arquivo EDI de algum parceiro.doc"/>
    <x v="1"/>
  </r>
  <r>
    <n v="135"/>
    <s v="EDI"/>
    <s v="Áreas de Negócio"/>
    <s v="EDI"/>
    <s v="Tivit solicita informações sobre o acumulo ou handback"/>
    <s v="Tivit solicita informações sobre o acumulo ou handback"/>
    <s v="Incidente"/>
    <s v="Operações de TI"/>
    <s v="Raul Souza"/>
    <x v="0"/>
    <s v="Sim"/>
    <m/>
    <m/>
    <s v="Sim"/>
    <s v="Não"/>
    <s v="-"/>
    <x v="0"/>
  </r>
  <r>
    <n v="136"/>
    <s v="EDI"/>
    <s v="Áreas de Negócio"/>
    <s v="EDI"/>
    <s v="Arquivo co-branded"/>
    <s v="Arquivo co-branded"/>
    <s v="Monitoração"/>
    <s v="Operações de TI"/>
    <s v="Bruno Serpeloni"/>
    <x v="1"/>
    <s v="Sim"/>
    <m/>
    <m/>
    <s v="Sim"/>
    <s v="Não"/>
    <s v="136-Arquivo co-branded.doc"/>
    <x v="1"/>
  </r>
  <r>
    <n v="137"/>
    <s v="Siebel"/>
    <s v="Cliente Smiles"/>
    <s v="EDI"/>
    <s v="Processar arquivos de crédito retroativo e parceiras aereas."/>
    <s v="Processar arquivos de crédito retroativo e parceiras aereas."/>
    <s v="Incidente"/>
    <s v="Operações de TI"/>
    <s v="Raul Souza"/>
    <x v="0"/>
    <s v="Sim"/>
    <m/>
    <m/>
    <s v="Sim"/>
    <s v="Sim"/>
    <s v="-"/>
    <x v="0"/>
  </r>
  <r>
    <n v="138"/>
    <s v="Siebel"/>
    <s v="Áreas de Negócio"/>
    <s v="Relatórios / Arquivos"/>
    <s v="Problemas com arquivos de faturamento."/>
    <s v="Problemas com arquivos de faturamento."/>
    <s v="Incidente"/>
    <s v="Operações de TI"/>
    <s v="Raul Souza"/>
    <x v="0"/>
    <s v="Sim"/>
    <m/>
    <m/>
    <s v="Sim"/>
    <s v="Não"/>
    <s v="-"/>
    <x v="0"/>
  </r>
  <r>
    <n v="139"/>
    <s v="Siebel"/>
    <s v="Áreas de Negócio"/>
    <s v="Relatórios / Arquivos"/>
    <s v="Problemas com arquivos de venda de milhas."/>
    <s v="Problemas com arquivos de venda de milhas."/>
    <s v="Incidente"/>
    <s v="Operações de TI"/>
    <s v="Raul Souza"/>
    <x v="0"/>
    <s v="Sim"/>
    <m/>
    <m/>
    <s v="Sim"/>
    <s v="Não"/>
    <s v="-"/>
    <x v="0"/>
  </r>
  <r>
    <n v="140"/>
    <s v="Siebel"/>
    <s v="Áreas de Negócio"/>
    <s v="Monitoração"/>
    <s v="E-mail Siebel Mkt"/>
    <s v="E-mail Siebel Mkt (mala direta)"/>
    <s v="Monitoração"/>
    <s v="Operações de TI"/>
    <s v="Raul Souza"/>
    <x v="0"/>
    <s v="Sim"/>
    <m/>
    <m/>
    <s v="Sim"/>
    <s v="Não"/>
    <s v="-"/>
    <x v="0"/>
  </r>
  <r>
    <n v="141"/>
    <s v="Siebel"/>
    <s v="Áreas de Negócio"/>
    <s v="Relatórios / Arquivos"/>
    <s v="Erro relacionados aos relatórios do BI / Siebel"/>
    <s v="Erro relacionados aos relatórios do BI / Siebel"/>
    <s v="Incidente"/>
    <s v="Operações de TI"/>
    <s v="Luis Savioli"/>
    <x v="0"/>
    <s v="Sim"/>
    <m/>
    <m/>
    <s v="Sim"/>
    <s v="Não"/>
    <s v="-"/>
    <x v="0"/>
  </r>
  <r>
    <n v="142"/>
    <s v="Siebel"/>
    <s v="Áreas de Negócio"/>
    <s v="Relatórios / Arquivos"/>
    <s v="Criar novos relatórios do BI / Siebel"/>
    <s v="Criar novos relatórios do BI / Siebel"/>
    <s v="Solicitação"/>
    <s v="Operações de TI"/>
    <s v="Luis Savioli"/>
    <x v="0"/>
    <s v="Sim"/>
    <m/>
    <m/>
    <s v="Sim"/>
    <s v="Não"/>
    <s v="-"/>
    <x v="0"/>
  </r>
  <r>
    <n v="143"/>
    <s v="Siebel"/>
    <s v="Cliente Smiles"/>
    <m/>
    <s v="Participante cancelou o club smile, efetuar o cancelamento"/>
    <s v="Participante cancelou o club smile, efetuar o cancelamento."/>
    <s v="Incidente"/>
    <s v="Operações de TI"/>
    <s v="Luis Savioli"/>
    <x v="1"/>
    <s v="Sim"/>
    <m/>
    <m/>
    <s v="Sim"/>
    <s v="Não"/>
    <s v="143-Participante cancelou o clube smiles.doc"/>
    <x v="1"/>
  </r>
  <r>
    <n v="144"/>
    <s v="Siebel"/>
    <s v="Áreas de Negócio"/>
    <s v="Publicações"/>
    <s v="Alteração de template de e-mail."/>
    <s v="Alteração de template de e-mail."/>
    <s v="Solicitação"/>
    <s v="Operações de TI"/>
    <s v="Luis Savioli"/>
    <x v="0"/>
    <s v="Sim"/>
    <m/>
    <m/>
    <s v="Sim"/>
    <s v="Não"/>
    <s v="-"/>
    <x v="0"/>
  </r>
  <r>
    <n v="145"/>
    <s v="Siebel"/>
    <s v="Áreas de Negócio"/>
    <s v="Relatórios / Arquivos"/>
    <s v="Erro no Arquivo Contábil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6"/>
    <s v="Siebel"/>
    <s v="Áreas de Negócio"/>
    <s v="Relatórios / Arquivos"/>
    <s v="Erro no Arquivo de Faturamento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7"/>
    <s v="Siebel"/>
    <s v="Áreas de Negócio"/>
    <s v="Relatórios / Arquivos"/>
    <s v="Erro no Arquivo de Vendas"/>
    <s v="Falha de abertura do arquivo ou inconsistência de informações."/>
    <s v="Incidente"/>
    <s v="Operações de TI"/>
    <s v="Raul Souza"/>
    <x v="0"/>
    <s v="Sim"/>
    <m/>
    <m/>
    <s v="Não"/>
    <s v="Não"/>
    <s v="-"/>
    <x v="0"/>
  </r>
  <r>
    <n v="148"/>
    <s v="Siebel"/>
    <s v="Áreas de Negócio"/>
    <s v="Relatórios / Arquivos"/>
    <s v="Execução pontual do Arquivo Contábil"/>
    <s v="Necessidade de execução pontual fora da frequência estabelecida."/>
    <s v="Solicitação"/>
    <s v="Operações de TI"/>
    <s v="Raul Souza"/>
    <x v="0"/>
    <s v="Sim"/>
    <m/>
    <m/>
    <s v="Não"/>
    <s v="Não"/>
    <s v="-"/>
    <x v="0"/>
  </r>
  <r>
    <n v="149"/>
    <s v="Siebel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Souza"/>
    <x v="0"/>
    <s v="Sim"/>
    <m/>
    <m/>
    <s v="Não"/>
    <s v="Não"/>
    <s v="-"/>
    <x v="0"/>
  </r>
  <r>
    <n v="150"/>
    <s v="Siebel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s v="Raul Souza"/>
    <x v="0"/>
    <s v="Sim"/>
    <m/>
    <m/>
    <s v="Não"/>
    <s v="Não"/>
    <s v="-"/>
    <x v="0"/>
  </r>
  <r>
    <n v="151"/>
    <s v="Siebel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s v="Raul Souza"/>
    <x v="0"/>
    <s v="Sim"/>
    <m/>
    <m/>
    <s v="Não"/>
    <s v="Não"/>
    <s v="-"/>
    <x v="0"/>
  </r>
  <r>
    <n v="152"/>
    <s v="Siebel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s v="Raul Souza"/>
    <x v="0"/>
    <s v="Sim"/>
    <m/>
    <m/>
    <s v="Não"/>
    <s v="Não"/>
    <s v="-"/>
    <x v="0"/>
  </r>
  <r>
    <n v="153"/>
    <s v="Microinformática"/>
    <s v="Escritório / Informática"/>
    <s v="TI para TI"/>
    <s v="Criar usuário no Jira"/>
    <s v="Criar usuário no Jira"/>
    <s v="Solicitação"/>
    <s v="Operações de TI"/>
    <s v="Nei Henckes"/>
    <x v="1"/>
    <s v="Sim"/>
    <m/>
    <m/>
    <s v="Sim"/>
    <s v="Não"/>
    <s v="153-Criar usuário no Jira.doc"/>
    <x v="1"/>
  </r>
  <r>
    <n v="154"/>
    <s v="Microinformática"/>
    <s v="Escritório / Informática"/>
    <s v="TI para TI"/>
    <s v="Desativar usuário no Jira"/>
    <s v="Desativar usuário no Jira"/>
    <s v="Solicitação"/>
    <s v="Operações de TI"/>
    <s v="Nei Henckes"/>
    <x v="1"/>
    <s v="Sim"/>
    <m/>
    <m/>
    <s v="Sim"/>
    <s v="Não"/>
    <s v="154-Desativar usuário no Jira"/>
    <x v="1"/>
  </r>
  <r>
    <n v="155"/>
    <s v="Site"/>
    <s v="Cliente Smiles"/>
    <s v="Erros de Site"/>
    <s v="Entrada de sorry page"/>
    <s v="Entrada de sorry page"/>
    <s v="Solicitação"/>
    <s v="Operações de TI"/>
    <s v="Jonathas Souza"/>
    <x v="0"/>
    <s v="Sim"/>
    <m/>
    <m/>
    <s v="Sim"/>
    <s v="Não"/>
    <s v="-"/>
    <x v="0"/>
  </r>
  <r>
    <n v="156"/>
    <s v="Siebel"/>
    <s v="Áreas de Negócio"/>
    <s v="Shopping Smiles"/>
    <s v="Cadastrar Novo Parceiro"/>
    <s v="Cadastrar novo parceiro no Shopping Smiles."/>
    <s v="Solicitação"/>
    <s v="Operações de TI"/>
    <s v="André Morais"/>
    <x v="0"/>
    <s v="Sim"/>
    <m/>
    <m/>
    <s v="Não"/>
    <s v="Não"/>
    <s v="-"/>
    <x v="0"/>
  </r>
  <r>
    <n v="157"/>
    <s v="Siebel"/>
    <s v="Áreas de Negócio"/>
    <s v="Shopping Smiles"/>
    <s v="Cliente não consegue resgatar"/>
    <s v="Cliente não consegue resgatar no Shopping Smiles."/>
    <s v="Incidente"/>
    <s v="Operações de TI"/>
    <s v="Luis Savioli"/>
    <x v="0"/>
    <s v="Sim"/>
    <m/>
    <m/>
    <s v="Não"/>
    <s v="Não"/>
    <s v="-"/>
    <x v="0"/>
  </r>
  <r>
    <n v="158"/>
    <s v="Siebel"/>
    <s v="Áreas de Negócio"/>
    <s v="Shopping Smiles"/>
    <s v="Página não abre / não carrega"/>
    <s v="Shopping Smiles não carrega, Erros na página do Shopping Smiles."/>
    <s v="Incidente"/>
    <s v="Operações de TI"/>
    <s v="Jonathas Souza"/>
    <x v="0"/>
    <s v="Sim"/>
    <m/>
    <m/>
    <s v="Não"/>
    <s v="Não"/>
    <s v="-"/>
    <x v="0"/>
  </r>
  <r>
    <n v="159"/>
    <s v="Site"/>
    <s v="Cliente Smiles"/>
    <s v="Erros de Site"/>
    <s v="Monitoração de shopping."/>
    <s v="Monitoração de shopping."/>
    <s v="Monitoração"/>
    <s v="Operações de TI"/>
    <s v="Jonathas Souza"/>
    <x v="1"/>
    <s v="Sim"/>
    <m/>
    <m/>
    <s v="Sim"/>
    <s v="Não"/>
    <s v="159-Monitoração de Shopping.doc"/>
    <x v="1"/>
  </r>
  <r>
    <n v="160"/>
    <s v="Site"/>
    <s v="Cliente Smiles"/>
    <s v="Erros de Site"/>
    <s v="Monitoração de promoção no gift nas redes sociais"/>
    <s v="Monitoração de promoção no gift no facebook"/>
    <s v="Monitoração"/>
    <s v="Operações de TI"/>
    <s v="Jonathas Souza"/>
    <x v="1"/>
    <s v="Sim"/>
    <m/>
    <m/>
    <s v="Sim"/>
    <s v="Não"/>
    <s v="160-Monitoração de promoção no gift nas redes sociais.doc"/>
    <x v="1"/>
  </r>
  <r>
    <n v="161"/>
    <s v="Site"/>
    <s v="Cliente Smiles"/>
    <s v="Erros de Site"/>
    <s v="Monitoração do club smiles"/>
    <s v="Monitoração no cub smiles"/>
    <s v="Monitoração"/>
    <s v="Operações de TI"/>
    <s v="Jonathas Souza"/>
    <x v="1"/>
    <s v="Sim"/>
    <m/>
    <m/>
    <s v="Sim"/>
    <s v="Não"/>
    <s v="161-Monitoração do clube smiles.doc"/>
    <x v="1"/>
  </r>
  <r>
    <n v="162"/>
    <s v="Site"/>
    <s v="Cliente Smiles"/>
    <s v="Erros de Site"/>
    <s v="Monitoração de  venda de produtos"/>
    <s v="Monitoração de  venda de produtos"/>
    <s v="Monitoração"/>
    <s v="Operações de TI"/>
    <s v="Jonathas Souza"/>
    <x v="1"/>
    <s v="Sim"/>
    <m/>
    <m/>
    <s v="Sim"/>
    <s v="Não"/>
    <s v="162-Monitoração de  venda de produtos.doc"/>
    <x v="1"/>
  </r>
  <r>
    <n v="163"/>
    <s v="Site"/>
    <s v="Cliente Smiles"/>
    <s v="Erros de Site"/>
    <s v="Shopping Smiles não abre para um único Cliente"/>
    <s v="Um único cliente com dificuldade/erro para abrir o Shopping Smiles."/>
    <s v="Incidente"/>
    <s v="Operações de TI"/>
    <s v="Jonathas Souza"/>
    <x v="1"/>
    <s v="Sim"/>
    <m/>
    <m/>
    <s v="Não"/>
    <s v="Não"/>
    <s v="163-Shopping Smiles não abre para um único Cliente.doc"/>
    <x v="1"/>
  </r>
  <r>
    <n v="164"/>
    <s v="Site"/>
    <s v="Cliente Smiles"/>
    <s v="Erros no App Smiles"/>
    <s v="APP não abre / não loga para TODOS os Clientes"/>
    <s v="TODOS os clientes com dificuldade para abrir o APP Smiles."/>
    <s v="Incidente"/>
    <s v="Operações de TI"/>
    <s v="Nei Henckes"/>
    <x v="0"/>
    <s v="Sim"/>
    <m/>
    <m/>
    <s v="Não"/>
    <s v="Não"/>
    <s v="-"/>
    <x v="0"/>
  </r>
  <r>
    <n v="165"/>
    <s v="Site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Nei Henckes"/>
    <x v="0"/>
    <s v="Sim"/>
    <m/>
    <m/>
    <s v="Não"/>
    <s v="Não"/>
    <s v="-"/>
    <x v="0"/>
  </r>
  <r>
    <n v="166"/>
    <s v="Site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Souza"/>
    <x v="0"/>
    <s v="Sim"/>
    <m/>
    <m/>
    <s v="Não"/>
    <s v="Não"/>
    <s v="-"/>
    <x v="0"/>
  </r>
  <r>
    <n v="167"/>
    <s v="Site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Souza"/>
    <x v="0"/>
    <s v="Sim"/>
    <m/>
    <m/>
    <s v="Não"/>
    <s v="Não"/>
    <s v="-"/>
    <x v="0"/>
  </r>
  <r>
    <n v="168"/>
    <s v="Gestão de Acesso"/>
    <s v="Gestão de Acesso"/>
    <s v="Concessão de Acesso"/>
    <s v="Conceder Login de Rede (AD)"/>
    <s v="Solicitação de novo acesso ao AD."/>
    <s v="Solicitação"/>
    <s v="SI"/>
    <s v="Claudio Cunha"/>
    <x v="0"/>
    <s v="Sim"/>
    <m/>
    <m/>
    <s v="Não"/>
    <s v="Não"/>
    <s v="-"/>
    <x v="0"/>
  </r>
  <r>
    <n v="169"/>
    <s v="Gestão de Acesso"/>
    <s v="Gestão de Acesso"/>
    <s v="Concessão de Acesso"/>
    <s v="Conceder Acesso VPN"/>
    <s v="Solicitação de novo acesso à VPN."/>
    <s v="Solicitação"/>
    <s v="SI"/>
    <s v="Daniel Borges"/>
    <x v="1"/>
    <s v="Sim"/>
    <m/>
    <m/>
    <s v="Não"/>
    <s v="Não"/>
    <s v="012-Criar uma Conexão na VPN client to site (open VPN).doc"/>
    <x v="1"/>
  </r>
  <r>
    <n v="170"/>
    <s v="Gestão de Acesso"/>
    <s v="Gestão de Acesso"/>
    <s v="Concessão de Acesso"/>
    <s v="Conceder Acesso à Pasta ou Diretório de Rede"/>
    <s v="Solicitação de novo acesso a alguma pasta ou diretório de rede."/>
    <s v="Solicitação"/>
    <s v="SI"/>
    <s v="Claudio Cunha"/>
    <x v="0"/>
    <s v="Sim"/>
    <m/>
    <m/>
    <s v="Não"/>
    <s v="Não"/>
    <s v="-"/>
    <x v="0"/>
  </r>
  <r>
    <n v="171"/>
    <s v="Gestão de Acesso"/>
    <s v="Gestão de Acesso"/>
    <s v="Concessão de Acesso"/>
    <s v="Conceder Acesso ao Siebel ou Outras Ferramentas"/>
    <s v="Solicitação de novo acesso ao Siebel ou outras Ferramentas. (ambiente teste)_x000a_"/>
    <s v="Solicitação"/>
    <s v="SI"/>
    <s v="Romulo"/>
    <x v="1"/>
    <s v="Sim"/>
    <m/>
    <m/>
    <s v="Não"/>
    <s v="Não"/>
    <n v="171"/>
    <x v="3"/>
  </r>
  <r>
    <n v="172"/>
    <s v="Gestão de Acesso"/>
    <s v="Gestão de Acesso"/>
    <s v="Revogação de Acesso"/>
    <s v="Revogar Login de Rede (AD)"/>
    <s v="Exclusão de acesso ao AD."/>
    <s v="Solicitação"/>
    <s v="SI"/>
    <s v="Claudio Cunha"/>
    <x v="0"/>
    <s v="Sim"/>
    <m/>
    <m/>
    <s v="Não"/>
    <s v="Não"/>
    <s v="-"/>
    <x v="0"/>
  </r>
  <r>
    <n v="173"/>
    <s v="Gestão de Acesso"/>
    <s v="Gestão de Acesso"/>
    <s v="Revogação de Acesso"/>
    <s v="Revogar Acesso VPN"/>
    <s v="Revogação de acesso à VPN."/>
    <s v="Solicitação"/>
    <s v="SI"/>
    <s v="Daniel Borges"/>
    <x v="1"/>
    <s v="Sim"/>
    <m/>
    <m/>
    <s v="Não"/>
    <s v="Não"/>
    <s v="012-Criar uma Conexão na VPN client to site (open VPN).doc"/>
    <x v="1"/>
  </r>
  <r>
    <n v="174"/>
    <s v="Gestão de Acesso"/>
    <s v="Gestão de Acesso"/>
    <s v="Revogação de Acesso"/>
    <s v="Revogar Acesso ao Siebel ou Outras Ferramentas"/>
    <s v="Revogação de acesso ao ao Siebel ou outras Ferramentas. (ambiente teste)_x000a_"/>
    <s v="Solicitação"/>
    <s v="SI"/>
    <s v="Romulo"/>
    <x v="1"/>
    <s v="Sim"/>
    <m/>
    <m/>
    <s v="Não"/>
    <s v="Não"/>
    <n v="174"/>
    <x v="3"/>
  </r>
  <r>
    <n v="175"/>
    <s v="Gestão de Acesso"/>
    <s v="Gestão de Acesso"/>
    <s v="Alteração de Acesso"/>
    <s v="Alterar Perfil de Acesso ao Siebel ou Outras Ferramentas"/>
    <s v="Alteração de perfil de acesso ao Siebel ou outras Ferramentas. (ambiente teste)"/>
    <s v="Solicitação"/>
    <s v="SI"/>
    <s v="Romulo"/>
    <x v="1"/>
    <s v="Sim"/>
    <m/>
    <m/>
    <s v="Não"/>
    <s v="Não"/>
    <n v="175"/>
    <x v="3"/>
  </r>
  <r>
    <n v="176"/>
    <s v="Gestão de Acesso"/>
    <s v="Gestão de Acesso"/>
    <s v="Alteração de Acesso"/>
    <s v="Alterar Permissionamentos Específicos"/>
    <s v="Alteração de permissionamentos específicos em Ferramentas ou Pastas/Diretórios."/>
    <s v="Solicitação"/>
    <s v="SI"/>
    <s v="Claudio Cunha"/>
    <x v="0"/>
    <s v="Sim"/>
    <m/>
    <m/>
    <s v="Não"/>
    <s v="Não"/>
    <s v="-"/>
    <x v="0"/>
  </r>
  <r>
    <n v="177"/>
    <s v="Infraestrutura"/>
    <s v="TI para TI"/>
    <s v="Acessos em TI"/>
    <s v="Criar Acessos (TI)"/>
    <s v="Criar usuários de Aplicação, Banco de Dados, Console, Servidor, Bucket, Log, etc."/>
    <s v="Solicitação"/>
    <s v="SI"/>
    <s v="Seguraça da informação"/>
    <x v="0"/>
    <s v="Sim"/>
    <n v="20"/>
    <s v="Alta"/>
    <s v="Não"/>
    <s v="Não"/>
    <s v="-"/>
    <x v="0"/>
  </r>
  <r>
    <n v="178"/>
    <s v="Infraestrutura"/>
    <s v="TI para TI"/>
    <s v="Acessos em TI"/>
    <s v="Alterar Acessos (TI)"/>
    <s v="Alterar permissionamento ou usuários de Aplicação, Banco de Dados, Console, Servidor, Bucket, Log, etc."/>
    <s v="Solicitação"/>
    <s v="SI"/>
    <s v="Seguraça da informação"/>
    <x v="0"/>
    <s v="Sim"/>
    <m/>
    <m/>
    <s v="Não"/>
    <s v="Não"/>
    <s v="-"/>
    <x v="0"/>
  </r>
  <r>
    <n v="179"/>
    <s v="Infraestrutura"/>
    <s v="TI para TI"/>
    <s v="Acessos em TI"/>
    <s v="Revogar Acessos (TI)"/>
    <s v="Excluir usuários de Aplicação, Banco de Dados, Console, Servidor, Bucket, Log, etc."/>
    <s v="Solicitação"/>
    <s v="SI"/>
    <s v="Seguraça da informação"/>
    <x v="0"/>
    <s v="Sim"/>
    <m/>
    <m/>
    <s v="Não"/>
    <s v="Não"/>
    <s v="-"/>
    <x v="0"/>
  </r>
  <r>
    <n v="180"/>
    <s v="EDI"/>
    <s v="TI para TI"/>
    <s v="Enviar um report diário para os diretores"/>
    <s v="Enviar um report diário para os diretores"/>
    <s v="Enviar um report diário para os diretores"/>
    <s v="Solicitação"/>
    <s v="Operações de TI"/>
    <s v="Bruno Serpeloni"/>
    <x v="1"/>
    <s v="Sim"/>
    <m/>
    <m/>
    <s v="Sim"/>
    <s v="Sim"/>
    <s v="180-Enviar Report diário para os Diretores.doc"/>
    <x v="1"/>
  </r>
  <r>
    <n v="181"/>
    <s v="Siebel"/>
    <s v="Áreas de Negócio"/>
    <s v="Relatórios / Arquivos"/>
    <s v="Monitorar o Arquivo Contábil"/>
    <s v="Monitorar o Arquivo Contábil"/>
    <s v="Monitoração"/>
    <s v="Operações de TI"/>
    <s v="Raul Souza"/>
    <x v="0"/>
    <s v="Sim"/>
    <m/>
    <m/>
    <s v="Sim"/>
    <s v="Sim"/>
    <s v="-"/>
    <x v="0"/>
  </r>
  <r>
    <n v="182"/>
    <s v="Siebel"/>
    <s v="Áreas de Negócio"/>
    <s v="Relatórios / Arquivos"/>
    <s v="Monitorar o Arquivo de Faturamento"/>
    <s v="Monitorar o Arquivo de Faturamento"/>
    <s v="Monitoração"/>
    <s v="Operações de TI"/>
    <s v="Raul Souza"/>
    <x v="0"/>
    <s v="Sim"/>
    <m/>
    <m/>
    <s v="Sim"/>
    <s v="Sim"/>
    <s v="-"/>
    <x v="0"/>
  </r>
  <r>
    <n v="183"/>
    <s v="Siebel"/>
    <s v="Áreas de Negócio"/>
    <s v="Relatórios / Arquivos"/>
    <s v="Monitorar o Arquivo de Vendas"/>
    <s v="Monitorar o Arquivo de Vendas"/>
    <s v="Monitoração"/>
    <s v="Operações de TI"/>
    <s v="Raul Souza"/>
    <x v="0"/>
    <s v="Sim"/>
    <m/>
    <m/>
    <s v="Sim"/>
    <s v="Sim"/>
    <s v="-"/>
    <x v="0"/>
  </r>
  <r>
    <n v="184"/>
    <s v="Siebel"/>
    <s v="Áreas de Negócio"/>
    <s v="Cadastros"/>
    <s v="Alterar a vigência de Produto para um Parceiro específico"/>
    <s v="Alteração de Produto"/>
    <s v="Solicitação"/>
    <s v="Operações de TI"/>
    <s v="André Morais"/>
    <x v="1"/>
    <s v="Sim"/>
    <m/>
    <m/>
    <s v="Sim"/>
    <s v="Sim"/>
    <s v="184-Alterar a vigência de Produto para um Parceiro específico.doc"/>
    <x v="1"/>
  </r>
  <r>
    <n v="185"/>
    <s v="EDI"/>
    <s v="Áreas de Negócio"/>
    <s v="EDI"/>
    <s v="Liberar o arquivo EDI de algum parceiro"/>
    <s v="Informações de arquivos EDI"/>
    <s v="Solicitação"/>
    <s v="Operações de TI"/>
    <s v="Bruno Serpeloni"/>
    <x v="1"/>
    <s v="Sim"/>
    <m/>
    <m/>
    <s v="Sim"/>
    <s v="Sim"/>
    <s v="185- Liberar o arquivo EDI de algum parceiro.doc"/>
    <x v="1"/>
  </r>
  <r>
    <n v="186"/>
    <s v="EDI"/>
    <s v="Áreas de Negócio"/>
    <s v="EDI"/>
    <s v="Enviar arquivo EDI"/>
    <s v="Informações de arquivos EDI"/>
    <s v="Solicitação"/>
    <s v="Operações de TI"/>
    <s v="Bruno Serpeloni"/>
    <x v="1"/>
    <s v="Sim"/>
    <m/>
    <m/>
    <s v="Sim"/>
    <s v="Sim"/>
    <s v="186-Enviar arquivo EDI.doc"/>
    <x v="1"/>
  </r>
  <r>
    <n v="187"/>
    <s v="Siebel"/>
    <s v="Áreas de Negócio"/>
    <s v="Cadastros"/>
    <s v="Alterar atributo de promoção para um participante"/>
    <s v="Manutenção de Promoção"/>
    <s v="Solicitação"/>
    <s v="Operações de TI"/>
    <s v="André Morais"/>
    <x v="0"/>
    <s v="Sim"/>
    <m/>
    <m/>
    <s v="Sim"/>
    <s v="Sim"/>
    <s v="-"/>
    <x v="0"/>
  </r>
  <r>
    <n v="188"/>
    <s v="Microinformática"/>
    <s v="Escritório / Informática"/>
    <s v="TI para TI"/>
    <s v="Alterar acesso de usuário no Jira"/>
    <s v="Alterar acesso de usuário no Jira"/>
    <s v="Solicitação"/>
    <s v="Operações de TI"/>
    <s v="Nei Henckes"/>
    <x v="1"/>
    <s v="Sim"/>
    <m/>
    <m/>
    <s v="Sim"/>
    <s v="Não"/>
    <s v="188-Alterar acesso de usuário no Jira"/>
    <x v="1"/>
  </r>
  <r>
    <n v="189"/>
    <s v="EDI"/>
    <s v="Áreas de Negócio"/>
    <s v="EDI"/>
    <s v="Disponibilizar arquivos de cartões."/>
    <s v="Disponibilizar arquivos de cartões."/>
    <s v="Solicitação"/>
    <s v="Operações de TI"/>
    <s v="Raul Ferreira de Souza"/>
    <x v="1"/>
    <s v="Sim"/>
    <m/>
    <m/>
    <s v="Sim"/>
    <s v="Sim"/>
    <s v="189-Disponibilizar arquivos de cartões.doc"/>
    <x v="1"/>
  </r>
  <r>
    <n v="190"/>
    <s v="Siebel"/>
    <s v="Áreas de Negócio"/>
    <m/>
    <s v="Criação de responsabilidade de usuário"/>
    <s v="Criação de responsabilidade de usuário"/>
    <s v="Solicitação"/>
    <s v="Operações de TI"/>
    <s v="Luis Savioli"/>
    <x v="1"/>
    <s v="Sim"/>
    <m/>
    <m/>
    <s v="Sim"/>
    <s v="Sim"/>
    <s v="190-Criação de responsabilidade de usuário.doc"/>
    <x v="1"/>
  </r>
  <r>
    <n v="191"/>
    <s v="Site"/>
    <s v="Áreas de Negócio"/>
    <s v="URA"/>
    <s v="URA"/>
    <s v="URA"/>
    <s v="Monitoração"/>
    <s v="Operações de TI"/>
    <s v="Nei Henckes"/>
    <x v="0"/>
    <s v="Sim"/>
    <m/>
    <m/>
    <s v="Não"/>
    <s v="Sim"/>
    <s v="-"/>
    <x v="0"/>
  </r>
  <r>
    <n v="192"/>
    <s v="Site"/>
    <s v="Áreas de Negócio"/>
    <s v="Gateway"/>
    <s v="Gateway"/>
    <s v="Gateway"/>
    <s v="Monitoração"/>
    <s v="Operações de TI"/>
    <s v="Nei Henckes"/>
    <x v="0"/>
    <s v="Sim"/>
    <m/>
    <m/>
    <s v="Não"/>
    <s v="Sim"/>
    <s v="-"/>
    <x v="0"/>
  </r>
  <r>
    <n v="193"/>
    <s v="Infraestrutura"/>
    <s v="TI para TI"/>
    <s v="Solicitações de Infra"/>
    <s v="Criar um novo certificado digital"/>
    <s v="Criar um novo certificado digital"/>
    <s v="Solicitação"/>
    <s v="INFRA"/>
    <s v="Daniel Borges"/>
    <x v="1"/>
    <s v="Sim"/>
    <m/>
    <m/>
    <s v="Sim"/>
    <s v="Sim"/>
    <s v="193-Criar um novo certificado digital.doc"/>
    <x v="1"/>
  </r>
  <r>
    <n v="194"/>
    <s v="Siebel"/>
    <s v="Cliente Smiles"/>
    <s v="EDI"/>
    <s v="Monitorar o retrocrédito dos clientes Smiles"/>
    <s v="Monitorar o retrocrédito dos clientes Smiles"/>
    <s v="Monitoração"/>
    <s v="Operações de TI"/>
    <s v="Raul Souza"/>
    <x v="1"/>
    <s v="Sim"/>
    <m/>
    <m/>
    <s v="Sim"/>
    <s v="Sim"/>
    <s v="194-Monitoramento Retro Crédito.doc"/>
    <x v="1"/>
  </r>
  <r>
    <n v="195"/>
    <s v="Microinformática"/>
    <s v="Escritório / Informática"/>
    <s v="Telefonia"/>
    <s v="Criar um grupo de recebimento de ramal"/>
    <s v="Criar um grupo de recebimento de ramal"/>
    <s v="Solicitação"/>
    <s v="Operações de TI"/>
    <s v="Claudio Cunha"/>
    <x v="1"/>
    <s v="Sim"/>
    <m/>
    <m/>
    <s v="Sim"/>
    <s v="Sim"/>
    <s v="195-Criar um grupo de recebimento.doc"/>
    <x v="1"/>
  </r>
  <r>
    <n v="196"/>
    <s v="Microinformática"/>
    <s v="Escritório / Informática"/>
    <s v="Telefonia"/>
    <s v="Alterar o display name do ramal"/>
    <s v="Alterar o display name do ramal"/>
    <s v="Solicitação"/>
    <s v="Operações de TI"/>
    <s v="Claudio Cunha"/>
    <x v="1"/>
    <s v="Sim"/>
    <m/>
    <m/>
    <s v="Sim"/>
    <s v="Sim"/>
    <s v="196-Alterar o display name.doc"/>
    <x v="1"/>
  </r>
  <r>
    <n v="197"/>
    <s v="Microinformática"/>
    <s v="Escritório / Informática"/>
    <s v="Internet"/>
    <s v="Falha de acesso a console (máquina – servidor) AWS"/>
    <s v="Falha de acesso a console (máquina – servidor) AWS"/>
    <s v="Incidente"/>
    <s v="Operações de TI"/>
    <s v="Claudio Cunha"/>
    <x v="1"/>
    <s v="Sim"/>
    <m/>
    <m/>
    <s v="Sim"/>
    <s v="Sim"/>
    <s v="197-Falha de acesso a console (máquina – servidor) AWS.doc"/>
    <x v="1"/>
  </r>
  <r>
    <n v="198"/>
    <s v="Microinformática"/>
    <s v="Escritório / Informática"/>
    <s v="Internet"/>
    <s v="Falha de acesso ao Siebel"/>
    <s v="Falha de acesso ao Siebel"/>
    <s v="Incidente"/>
    <s v="Operações de TI"/>
    <s v="Claudio Cunha"/>
    <x v="1"/>
    <s v="Sim"/>
    <m/>
    <m/>
    <s v="Sim"/>
    <s v="Sim"/>
    <s v="198-Falha de acesso ao Siebel.doc"/>
    <x v="1"/>
  </r>
  <r>
    <n v="199"/>
    <s v="Microinformática"/>
    <s v="Escritório / Informática"/>
    <s v="Internet"/>
    <s v="Falha de acesso as aplicações Tivit"/>
    <s v="Falha de acesso as aplicações Tivit"/>
    <s v="Incidente"/>
    <s v="Operações de TI"/>
    <s v="Claudio Cunha"/>
    <x v="1"/>
    <s v="Sim"/>
    <m/>
    <m/>
    <s v="Sim"/>
    <s v="Sim"/>
    <s v="199-Falha de acesso as aplicações Tivit.doc"/>
    <x v="1"/>
  </r>
  <r>
    <n v="200"/>
    <s v="Siebel"/>
    <s v="Áreas de Negócio"/>
    <s v="Cadastros"/>
    <s v="Cadastrar mapa de distância"/>
    <s v="Cadastrar mapa de distância"/>
    <s v="Solicitação"/>
    <s v="Operações de TI"/>
    <s v="André Morais"/>
    <x v="1"/>
    <s v="Sim"/>
    <m/>
    <m/>
    <s v="Sim"/>
    <s v="Sim"/>
    <s v="200-Cadastrar mapa de distância.doc"/>
    <x v="1"/>
  </r>
  <r>
    <n v="201"/>
    <s v="Gestão de Acesso"/>
    <s v="Gestão de Acesso"/>
    <s v="Concessão de Acesso"/>
    <s v="Criar do Smiles Contábil"/>
    <s v="Criar do Smiles Contábil"/>
    <s v="Solicitação"/>
    <s v="SI"/>
    <s v="Bruna"/>
    <x v="1"/>
    <s v="Sim"/>
    <m/>
    <m/>
    <s v="Sim"/>
    <s v="Sim"/>
    <n v="201"/>
    <x v="3"/>
  </r>
  <r>
    <n v="202"/>
    <s v="Gestão de Acesso"/>
    <s v="Gestão de Acesso"/>
    <s v="Concessão de Acesso"/>
    <s v="Desativar do Smiles Contábil"/>
    <s v="Desativar do Smiles Contábil"/>
    <s v="Solicitação"/>
    <s v="SI"/>
    <s v="Bruna"/>
    <x v="1"/>
    <s v="Sim"/>
    <m/>
    <m/>
    <s v="Sim"/>
    <s v="Sim"/>
    <n v="202"/>
    <x v="3"/>
  </r>
  <r>
    <n v="203"/>
    <s v="Gestão de Acesso"/>
    <s v="Gestão de Acesso"/>
    <s v="Concessão de Acesso"/>
    <s v="Alterar do Smiles Contábil"/>
    <s v="Alterar do Smiles Contábil"/>
    <s v="Solicitação"/>
    <s v="SI"/>
    <s v="Bruna"/>
    <x v="1"/>
    <s v="Sim"/>
    <m/>
    <m/>
    <s v="Sim"/>
    <s v="Sim"/>
    <n v="203"/>
    <x v="3"/>
  </r>
  <r>
    <n v="204"/>
    <s v="Gestão de Acesso"/>
    <s v="Gestão de Acesso"/>
    <s v="Concessão de Acesso"/>
    <s v="Criar do perfil no BI"/>
    <s v="Criar acesso ao BI"/>
    <s v="Solicitação"/>
    <s v="SI"/>
    <s v="Claudio Cunha"/>
    <x v="0"/>
    <s v="Sim"/>
    <m/>
    <m/>
    <s v="Sim"/>
    <s v="Sim"/>
    <s v="-"/>
    <x v="0"/>
  </r>
  <r>
    <n v="205"/>
    <s v="Gestão de Acesso"/>
    <s v="Gestão de Acesso"/>
    <s v="Concessão de Acesso"/>
    <s v="Desativar do perfil no BI"/>
    <s v="Desativar acesso ao BI"/>
    <s v="Solicitação"/>
    <s v="SI"/>
    <s v="Claudio Cunha"/>
    <x v="0"/>
    <s v="Sim"/>
    <m/>
    <m/>
    <s v="Sim"/>
    <s v="Sim"/>
    <s v="-"/>
    <x v="0"/>
  </r>
  <r>
    <n v="206"/>
    <s v="Gestão de Acesso"/>
    <s v="Gestão de Acesso"/>
    <s v="Concessão de Acesso"/>
    <s v="Alterar do perfil no BI"/>
    <s v="Alterar do perfil no BI"/>
    <s v="Solicitação"/>
    <s v="SI"/>
    <s v="Leandro Queroz"/>
    <x v="1"/>
    <s v="Sim"/>
    <m/>
    <m/>
    <s v="Sim"/>
    <s v="Sim"/>
    <n v="20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3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ivel de Suporte" fld="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3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3:E7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9" item="1" hier="-1"/>
  </pageFields>
  <dataFields count="1">
    <dataField name="Contagem de Status de Elaboração do Procedimento" fld="16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4:Q210" totalsRowShown="0" headerRowDxfId="42" dataDxfId="41">
  <autoFilter ref="A4:Q210"/>
  <tableColumns count="17">
    <tableColumn id="1" name="ID" dataDxfId="40"/>
    <tableColumn id="3" name="FRENTE" dataDxfId="39"/>
    <tableColumn id="4" name="PROJETO NO JIRA" dataDxfId="38"/>
    <tableColumn id="5" name="Produto ou Grupo" dataDxfId="37"/>
    <tableColumn id="6" name="Item de Catálogo" dataDxfId="36"/>
    <tableColumn id="13" name="Sub-título" dataDxfId="35"/>
    <tableColumn id="7" name="Tipo de Chamado" dataDxfId="34"/>
    <tableColumn id="8" name="Grupo Solucionador" dataDxfId="33"/>
    <tableColumn id="9" name="Pontos Focais" dataDxfId="32"/>
    <tableColumn id="10" name="Nivel de Suporte" dataDxfId="31"/>
    <tableColumn id="14" name="Entrevista Inicial realizada?" dataDxfId="30"/>
    <tableColumn id="16" name="Qtd de chamados" dataDxfId="29"/>
    <tableColumn id="15" name="Prioridade" dataDxfId="28"/>
    <tableColumn id="2" name="Cadastrar no Jira?" dataDxfId="27"/>
    <tableColumn id="17" name="Identificado no mapeamento?" dataDxfId="26"/>
    <tableColumn id="11" name="Nome Procedimento" dataDxfId="25"/>
    <tableColumn id="12" name="Status de Elaboração do Procedimento" dataDxfId="2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4" name="Tabela15" displayName="Tabela15" ref="B1:H36" totalsRowShown="0" headerRowDxfId="23" dataDxfId="21" headerRowBorderDxfId="22" tableBorderDxfId="20" totalsRowBorderDxfId="19">
  <sortState ref="B2:H35">
    <sortCondition ref="B2"/>
  </sortState>
  <tableColumns count="7">
    <tableColumn id="3" name="FRENTE" dataDxfId="18"/>
    <tableColumn id="6" name="Item de Catálogo" dataDxfId="17"/>
    <tableColumn id="13" name="Sub-título" dataDxfId="16"/>
    <tableColumn id="7" name="Nome do procedimento" dataDxfId="15"/>
    <tableColumn id="2" name="Data da validação" dataDxfId="14"/>
    <tableColumn id="1" name="Nome do responsável pela validação" dataDxfId="13"/>
    <tableColumn id="8" name="Assinatura do responsável pela validação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ela13" displayName="Tabela13" ref="A1:H20" totalsRowShown="0" headerRowDxfId="11" dataDxfId="9" headerRowBorderDxfId="10" tableBorderDxfId="8">
  <tableColumns count="8">
    <tableColumn id="1" name="ID" dataDxfId="7"/>
    <tableColumn id="3" name="FRENTE" dataDxfId="6"/>
    <tableColumn id="6" name="Item de Catálogo" dataDxfId="5"/>
    <tableColumn id="13" name="Sub-título" dataDxfId="4"/>
    <tableColumn id="11" name="Nome Procedimento" dataDxfId="3"/>
    <tableColumn id="2" name="Data da validação" dataDxfId="2"/>
    <tableColumn id="4" name="Nome do responsável pela validação" dataDxfId="1"/>
    <tableColumn id="5" name="Assinatura do responsável pela valida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17"/>
  <sheetViews>
    <sheetView tabSelected="1" topLeftCell="D1" zoomScale="110" zoomScaleNormal="110" workbookViewId="0">
      <selection activeCell="R7" sqref="R7"/>
    </sheetView>
  </sheetViews>
  <sheetFormatPr defaultColWidth="5.28515625" defaultRowHeight="15" outlineLevelCol="1" x14ac:dyDescent="0.25"/>
  <cols>
    <col min="1" max="1" width="4.28515625" style="1" customWidth="1"/>
    <col min="2" max="2" width="13.7109375" style="3" customWidth="1"/>
    <col min="3" max="3" width="17.28515625" style="37" customWidth="1"/>
    <col min="4" max="4" width="30.28515625" style="1" customWidth="1"/>
    <col min="5" max="5" width="28.140625" style="2" customWidth="1"/>
    <col min="6" max="6" width="33.42578125" style="2" customWidth="1"/>
    <col min="7" max="7" width="17.85546875" style="1" customWidth="1"/>
    <col min="8" max="8" width="14.5703125" style="1" customWidth="1"/>
    <col min="9" max="9" width="16.140625" style="1" customWidth="1"/>
    <col min="10" max="10" width="8.85546875" style="1" customWidth="1" outlineLevel="1"/>
    <col min="11" max="11" width="13.42578125" style="1" customWidth="1" outlineLevel="1"/>
    <col min="12" max="12" width="10.5703125" style="1" customWidth="1" outlineLevel="1"/>
    <col min="13" max="14" width="13.7109375" style="1" customWidth="1" outlineLevel="1"/>
    <col min="15" max="15" width="14" style="1" customWidth="1" outlineLevel="1"/>
    <col min="16" max="16" width="23" style="1" customWidth="1" outlineLevel="1"/>
    <col min="17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1"/>
      <c r="S1" s="2"/>
    </row>
    <row r="2" spans="1:19" ht="13.5" thickBot="1" x14ac:dyDescent="0.3">
      <c r="B2" s="1"/>
      <c r="C2" s="1"/>
      <c r="I2" s="56" t="s">
        <v>381</v>
      </c>
      <c r="J2" s="57"/>
      <c r="K2" s="57"/>
      <c r="L2" s="57"/>
      <c r="M2" s="57"/>
      <c r="N2" s="57"/>
      <c r="O2" s="57"/>
      <c r="P2" s="57"/>
      <c r="Q2" s="58"/>
      <c r="S2" s="2"/>
    </row>
    <row r="3" spans="1:19" s="4" customFormat="1" ht="12.75" thickTop="1" x14ac:dyDescent="0.25"/>
    <row r="4" spans="1:19" s="5" customFormat="1" ht="36" x14ac:dyDescent="0.25">
      <c r="A4" s="4" t="s">
        <v>0</v>
      </c>
      <c r="B4" s="4" t="s">
        <v>372</v>
      </c>
      <c r="C4" s="4" t="s">
        <v>373</v>
      </c>
      <c r="D4" s="4" t="s">
        <v>1</v>
      </c>
      <c r="E4" s="4" t="s">
        <v>2</v>
      </c>
      <c r="F4" s="4" t="s">
        <v>6</v>
      </c>
      <c r="G4" s="4" t="s">
        <v>374</v>
      </c>
      <c r="H4" s="4" t="s">
        <v>4</v>
      </c>
      <c r="I4" s="6" t="s">
        <v>375</v>
      </c>
      <c r="J4" s="6" t="s">
        <v>376</v>
      </c>
      <c r="K4" s="6" t="s">
        <v>377</v>
      </c>
      <c r="L4" s="6" t="s">
        <v>341</v>
      </c>
      <c r="M4" s="6" t="s">
        <v>340</v>
      </c>
      <c r="N4" s="6" t="s">
        <v>378</v>
      </c>
      <c r="O4" s="6" t="s">
        <v>379</v>
      </c>
      <c r="P4" s="6" t="s">
        <v>5</v>
      </c>
      <c r="Q4" s="6" t="s">
        <v>380</v>
      </c>
    </row>
    <row r="5" spans="1:19" s="11" customFormat="1" ht="22.5" x14ac:dyDescent="0.25">
      <c r="A5" s="10">
        <v>1</v>
      </c>
      <c r="B5" s="10" t="s">
        <v>3</v>
      </c>
      <c r="C5" s="10" t="s">
        <v>7</v>
      </c>
      <c r="D5" s="10" t="s">
        <v>8</v>
      </c>
      <c r="E5" s="11" t="s">
        <v>9</v>
      </c>
      <c r="F5" s="11" t="s">
        <v>10</v>
      </c>
      <c r="G5" s="10" t="s">
        <v>11</v>
      </c>
      <c r="H5" s="10" t="s">
        <v>72</v>
      </c>
      <c r="I5" s="10" t="s">
        <v>458</v>
      </c>
      <c r="J5" s="10" t="s">
        <v>73</v>
      </c>
      <c r="K5" s="10" t="s">
        <v>110</v>
      </c>
      <c r="L5" s="10">
        <v>13</v>
      </c>
      <c r="M5" s="12" t="s">
        <v>343</v>
      </c>
      <c r="N5" s="10" t="s">
        <v>111</v>
      </c>
      <c r="O5" s="10" t="s">
        <v>111</v>
      </c>
      <c r="P5" s="10" t="s">
        <v>132</v>
      </c>
      <c r="Q5" s="10" t="s">
        <v>132</v>
      </c>
    </row>
    <row r="6" spans="1:19" s="11" customFormat="1" ht="11.25" x14ac:dyDescent="0.25">
      <c r="A6" s="10">
        <f>A5 + 1</f>
        <v>2</v>
      </c>
      <c r="B6" s="10" t="s">
        <v>3</v>
      </c>
      <c r="C6" s="10" t="s">
        <v>7</v>
      </c>
      <c r="D6" s="10" t="s">
        <v>8</v>
      </c>
      <c r="E6" s="11" t="s">
        <v>12</v>
      </c>
      <c r="F6" s="11" t="s">
        <v>12</v>
      </c>
      <c r="G6" s="10" t="s">
        <v>13</v>
      </c>
      <c r="H6" s="10" t="s">
        <v>72</v>
      </c>
      <c r="I6" s="10" t="s">
        <v>458</v>
      </c>
      <c r="J6" s="10" t="s">
        <v>73</v>
      </c>
      <c r="K6" s="10" t="s">
        <v>110</v>
      </c>
      <c r="L6" s="10"/>
      <c r="M6" s="10"/>
      <c r="N6" s="10" t="s">
        <v>111</v>
      </c>
      <c r="O6" s="10" t="s">
        <v>111</v>
      </c>
      <c r="P6" s="10" t="s">
        <v>132</v>
      </c>
      <c r="Q6" s="10" t="s">
        <v>132</v>
      </c>
    </row>
    <row r="7" spans="1:19" s="11" customFormat="1" ht="33.75" x14ac:dyDescent="0.25">
      <c r="A7" s="10">
        <f t="shared" ref="A7:A70" si="0">A6 + 1</f>
        <v>3</v>
      </c>
      <c r="B7" s="10" t="s">
        <v>3</v>
      </c>
      <c r="C7" s="10" t="s">
        <v>7</v>
      </c>
      <c r="D7" s="10" t="s">
        <v>8</v>
      </c>
      <c r="E7" s="11" t="s">
        <v>14</v>
      </c>
      <c r="F7" s="11" t="s">
        <v>15</v>
      </c>
      <c r="G7" s="10" t="s">
        <v>11</v>
      </c>
      <c r="H7" s="10" t="s">
        <v>72</v>
      </c>
      <c r="I7" s="10" t="s">
        <v>458</v>
      </c>
      <c r="J7" s="10" t="s">
        <v>74</v>
      </c>
      <c r="K7" s="10" t="s">
        <v>110</v>
      </c>
      <c r="L7" s="10">
        <v>245</v>
      </c>
      <c r="M7" s="13" t="s">
        <v>342</v>
      </c>
      <c r="N7" s="10" t="s">
        <v>110</v>
      </c>
      <c r="O7" s="10" t="s">
        <v>111</v>
      </c>
      <c r="P7" s="10" t="s">
        <v>405</v>
      </c>
      <c r="Q7" s="10" t="s">
        <v>466</v>
      </c>
    </row>
    <row r="8" spans="1:19" s="11" customFormat="1" ht="11.25" x14ac:dyDescent="0.25">
      <c r="A8" s="10">
        <f t="shared" si="0"/>
        <v>4</v>
      </c>
      <c r="B8" s="10" t="s">
        <v>3</v>
      </c>
      <c r="C8" s="10" t="s">
        <v>7</v>
      </c>
      <c r="D8" s="10" t="s">
        <v>8</v>
      </c>
      <c r="E8" s="11" t="s">
        <v>16</v>
      </c>
      <c r="F8" s="11" t="s">
        <v>15</v>
      </c>
      <c r="G8" s="10" t="s">
        <v>11</v>
      </c>
      <c r="H8" s="10" t="s">
        <v>72</v>
      </c>
      <c r="I8" s="10" t="s">
        <v>458</v>
      </c>
      <c r="J8" s="10" t="s">
        <v>73</v>
      </c>
      <c r="K8" s="10" t="s">
        <v>110</v>
      </c>
      <c r="L8" s="10">
        <v>245</v>
      </c>
      <c r="M8" s="13" t="s">
        <v>342</v>
      </c>
      <c r="N8" s="10" t="s">
        <v>110</v>
      </c>
      <c r="O8" s="10" t="s">
        <v>111</v>
      </c>
      <c r="P8" s="10" t="s">
        <v>132</v>
      </c>
      <c r="Q8" s="10" t="s">
        <v>132</v>
      </c>
    </row>
    <row r="9" spans="1:19" s="11" customFormat="1" ht="22.5" x14ac:dyDescent="0.25">
      <c r="A9" s="10">
        <f t="shared" si="0"/>
        <v>5</v>
      </c>
      <c r="B9" s="10" t="s">
        <v>3</v>
      </c>
      <c r="C9" s="10" t="s">
        <v>7</v>
      </c>
      <c r="D9" s="10" t="s">
        <v>8</v>
      </c>
      <c r="E9" s="11" t="s">
        <v>17</v>
      </c>
      <c r="F9" s="11" t="s">
        <v>18</v>
      </c>
      <c r="G9" s="10" t="s">
        <v>11</v>
      </c>
      <c r="H9" s="10" t="s">
        <v>72</v>
      </c>
      <c r="I9" s="10" t="s">
        <v>458</v>
      </c>
      <c r="J9" s="10" t="s">
        <v>74</v>
      </c>
      <c r="K9" s="10" t="s">
        <v>110</v>
      </c>
      <c r="L9" s="10"/>
      <c r="M9" s="10"/>
      <c r="N9" s="10" t="s">
        <v>111</v>
      </c>
      <c r="O9" s="10" t="s">
        <v>111</v>
      </c>
      <c r="P9" s="10" t="s">
        <v>406</v>
      </c>
      <c r="Q9" s="10" t="s">
        <v>466</v>
      </c>
    </row>
    <row r="10" spans="1:19" s="11" customFormat="1" ht="11.25" x14ac:dyDescent="0.25">
      <c r="A10" s="10">
        <f t="shared" si="0"/>
        <v>6</v>
      </c>
      <c r="B10" s="10" t="s">
        <v>3</v>
      </c>
      <c r="C10" s="10" t="s">
        <v>7</v>
      </c>
      <c r="D10" s="10" t="s">
        <v>19</v>
      </c>
      <c r="E10" s="11" t="s">
        <v>20</v>
      </c>
      <c r="F10" s="11" t="s">
        <v>21</v>
      </c>
      <c r="G10" s="10" t="s">
        <v>13</v>
      </c>
      <c r="H10" s="10" t="s">
        <v>72</v>
      </c>
      <c r="I10" s="10" t="s">
        <v>458</v>
      </c>
      <c r="J10" s="10" t="s">
        <v>73</v>
      </c>
      <c r="K10" s="10" t="s">
        <v>110</v>
      </c>
      <c r="L10" s="10"/>
      <c r="M10" s="10"/>
      <c r="N10" s="10" t="s">
        <v>110</v>
      </c>
      <c r="O10" s="10" t="s">
        <v>111</v>
      </c>
      <c r="P10" s="10" t="s">
        <v>132</v>
      </c>
      <c r="Q10" s="10" t="s">
        <v>132</v>
      </c>
    </row>
    <row r="11" spans="1:19" s="11" customFormat="1" ht="22.5" x14ac:dyDescent="0.25">
      <c r="A11" s="10">
        <f t="shared" si="0"/>
        <v>7</v>
      </c>
      <c r="B11" s="10" t="s">
        <v>3</v>
      </c>
      <c r="C11" s="10" t="s">
        <v>7</v>
      </c>
      <c r="D11" s="10" t="s">
        <v>19</v>
      </c>
      <c r="E11" s="11" t="s">
        <v>233</v>
      </c>
      <c r="F11" s="11" t="s">
        <v>424</v>
      </c>
      <c r="G11" s="10" t="s">
        <v>223</v>
      </c>
      <c r="H11" s="10" t="s">
        <v>72</v>
      </c>
      <c r="I11" s="10" t="s">
        <v>458</v>
      </c>
      <c r="J11" s="10" t="s">
        <v>74</v>
      </c>
      <c r="K11" s="10" t="s">
        <v>110</v>
      </c>
      <c r="L11" s="10"/>
      <c r="M11" s="10"/>
      <c r="N11" s="10" t="s">
        <v>110</v>
      </c>
      <c r="O11" s="10" t="s">
        <v>111</v>
      </c>
      <c r="P11" s="10" t="s">
        <v>489</v>
      </c>
      <c r="Q11" s="10" t="s">
        <v>352</v>
      </c>
    </row>
    <row r="12" spans="1:19" s="11" customFormat="1" ht="33.75" x14ac:dyDescent="0.25">
      <c r="A12" s="10">
        <f t="shared" si="0"/>
        <v>8</v>
      </c>
      <c r="B12" s="10" t="s">
        <v>3</v>
      </c>
      <c r="C12" s="10" t="s">
        <v>7</v>
      </c>
      <c r="D12" s="10" t="s">
        <v>19</v>
      </c>
      <c r="E12" s="11" t="s">
        <v>403</v>
      </c>
      <c r="F12" s="11" t="s">
        <v>22</v>
      </c>
      <c r="G12" s="10" t="s">
        <v>13</v>
      </c>
      <c r="H12" s="10" t="s">
        <v>72</v>
      </c>
      <c r="I12" s="10" t="s">
        <v>458</v>
      </c>
      <c r="J12" s="10" t="s">
        <v>73</v>
      </c>
      <c r="K12" s="10" t="s">
        <v>110</v>
      </c>
      <c r="L12" s="10"/>
      <c r="M12" s="10"/>
      <c r="N12" s="10" t="s">
        <v>110</v>
      </c>
      <c r="O12" s="10" t="s">
        <v>111</v>
      </c>
      <c r="P12" s="10" t="s">
        <v>132</v>
      </c>
      <c r="Q12" s="10" t="s">
        <v>132</v>
      </c>
    </row>
    <row r="13" spans="1:19" s="11" customFormat="1" ht="22.5" x14ac:dyDescent="0.25">
      <c r="A13" s="10">
        <f t="shared" si="0"/>
        <v>9</v>
      </c>
      <c r="B13" s="10" t="s">
        <v>3</v>
      </c>
      <c r="C13" s="10" t="s">
        <v>7</v>
      </c>
      <c r="D13" s="10" t="s">
        <v>19</v>
      </c>
      <c r="E13" s="11" t="s">
        <v>23</v>
      </c>
      <c r="F13" s="11" t="s">
        <v>24</v>
      </c>
      <c r="G13" s="10" t="s">
        <v>13</v>
      </c>
      <c r="H13" s="10" t="s">
        <v>72</v>
      </c>
      <c r="I13" s="10" t="s">
        <v>458</v>
      </c>
      <c r="J13" s="10" t="s">
        <v>73</v>
      </c>
      <c r="K13" s="10" t="s">
        <v>110</v>
      </c>
      <c r="L13" s="10"/>
      <c r="M13" s="10"/>
      <c r="N13" s="10" t="s">
        <v>111</v>
      </c>
      <c r="O13" s="10" t="s">
        <v>111</v>
      </c>
      <c r="P13" s="10" t="s">
        <v>132</v>
      </c>
      <c r="Q13" s="10" t="s">
        <v>132</v>
      </c>
    </row>
    <row r="14" spans="1:19" s="11" customFormat="1" ht="22.5" x14ac:dyDescent="0.25">
      <c r="A14" s="10">
        <f t="shared" si="0"/>
        <v>10</v>
      </c>
      <c r="B14" s="10" t="s">
        <v>3</v>
      </c>
      <c r="C14" s="10" t="s">
        <v>7</v>
      </c>
      <c r="D14" s="10" t="s">
        <v>19</v>
      </c>
      <c r="E14" s="11" t="s">
        <v>338</v>
      </c>
      <c r="F14" s="11" t="s">
        <v>339</v>
      </c>
      <c r="G14" s="10" t="s">
        <v>13</v>
      </c>
      <c r="H14" s="10" t="s">
        <v>72</v>
      </c>
      <c r="I14" s="10" t="s">
        <v>458</v>
      </c>
      <c r="J14" s="10" t="s">
        <v>73</v>
      </c>
      <c r="K14" s="10" t="s">
        <v>110</v>
      </c>
      <c r="L14" s="10"/>
      <c r="M14" s="10"/>
      <c r="N14" s="10" t="s">
        <v>111</v>
      </c>
      <c r="O14" s="10" t="s">
        <v>111</v>
      </c>
      <c r="P14" s="10" t="s">
        <v>132</v>
      </c>
      <c r="Q14" s="10" t="s">
        <v>132</v>
      </c>
    </row>
    <row r="15" spans="1:19" s="11" customFormat="1" ht="22.5" x14ac:dyDescent="0.25">
      <c r="A15" s="10">
        <f t="shared" si="0"/>
        <v>11</v>
      </c>
      <c r="B15" s="10" t="s">
        <v>3</v>
      </c>
      <c r="C15" s="10" t="s">
        <v>7</v>
      </c>
      <c r="D15" s="10" t="s">
        <v>19</v>
      </c>
      <c r="E15" s="11" t="s">
        <v>25</v>
      </c>
      <c r="F15" s="11" t="s">
        <v>26</v>
      </c>
      <c r="G15" s="10" t="s">
        <v>13</v>
      </c>
      <c r="H15" s="10" t="s">
        <v>72</v>
      </c>
      <c r="I15" s="10" t="s">
        <v>458</v>
      </c>
      <c r="J15" s="10" t="s">
        <v>74</v>
      </c>
      <c r="K15" s="10" t="s">
        <v>110</v>
      </c>
      <c r="L15" s="10"/>
      <c r="M15" s="10"/>
      <c r="N15" s="10" t="s">
        <v>110</v>
      </c>
      <c r="O15" s="10" t="s">
        <v>111</v>
      </c>
      <c r="P15" s="10" t="s">
        <v>414</v>
      </c>
      <c r="Q15" s="10" t="s">
        <v>466</v>
      </c>
    </row>
    <row r="16" spans="1:19" s="11" customFormat="1" ht="22.5" x14ac:dyDescent="0.25">
      <c r="A16" s="10">
        <f t="shared" si="0"/>
        <v>12</v>
      </c>
      <c r="B16" s="10" t="s">
        <v>3</v>
      </c>
      <c r="C16" s="10" t="s">
        <v>7</v>
      </c>
      <c r="D16" s="10" t="s">
        <v>27</v>
      </c>
      <c r="E16" s="11" t="s">
        <v>28</v>
      </c>
      <c r="F16" s="11" t="s">
        <v>29</v>
      </c>
      <c r="G16" s="10" t="s">
        <v>11</v>
      </c>
      <c r="H16" s="10" t="s">
        <v>72</v>
      </c>
      <c r="I16" s="10" t="s">
        <v>458</v>
      </c>
      <c r="J16" s="10" t="s">
        <v>74</v>
      </c>
      <c r="K16" s="10" t="s">
        <v>110</v>
      </c>
      <c r="L16" s="10"/>
      <c r="M16" s="10"/>
      <c r="N16" s="10" t="s">
        <v>110</v>
      </c>
      <c r="O16" s="10" t="s">
        <v>111</v>
      </c>
      <c r="P16" s="10" t="s">
        <v>415</v>
      </c>
      <c r="Q16" s="10" t="s">
        <v>466</v>
      </c>
    </row>
    <row r="17" spans="1:17" s="11" customFormat="1" ht="22.5" x14ac:dyDescent="0.25">
      <c r="A17" s="10">
        <f t="shared" si="0"/>
        <v>13</v>
      </c>
      <c r="B17" s="10" t="s">
        <v>3</v>
      </c>
      <c r="C17" s="10" t="s">
        <v>7</v>
      </c>
      <c r="D17" s="10" t="s">
        <v>19</v>
      </c>
      <c r="E17" s="11" t="s">
        <v>30</v>
      </c>
      <c r="F17" s="11" t="s">
        <v>31</v>
      </c>
      <c r="G17" s="10" t="s">
        <v>13</v>
      </c>
      <c r="H17" s="10" t="s">
        <v>72</v>
      </c>
      <c r="I17" s="10" t="s">
        <v>458</v>
      </c>
      <c r="J17" s="10" t="s">
        <v>73</v>
      </c>
      <c r="K17" s="10" t="s">
        <v>110</v>
      </c>
      <c r="L17" s="10"/>
      <c r="M17" s="10"/>
      <c r="N17" s="10" t="s">
        <v>111</v>
      </c>
      <c r="O17" s="10" t="s">
        <v>111</v>
      </c>
      <c r="P17" s="10" t="s">
        <v>132</v>
      </c>
      <c r="Q17" s="10" t="s">
        <v>132</v>
      </c>
    </row>
    <row r="18" spans="1:17" s="11" customFormat="1" ht="11.25" x14ac:dyDescent="0.25">
      <c r="A18" s="10">
        <f t="shared" si="0"/>
        <v>14</v>
      </c>
      <c r="B18" s="10" t="s">
        <v>3</v>
      </c>
      <c r="C18" s="10" t="s">
        <v>7</v>
      </c>
      <c r="D18" s="10" t="s">
        <v>19</v>
      </c>
      <c r="E18" s="11" t="s">
        <v>32</v>
      </c>
      <c r="F18" s="11" t="s">
        <v>32</v>
      </c>
      <c r="G18" s="10" t="s">
        <v>13</v>
      </c>
      <c r="H18" s="10" t="s">
        <v>72</v>
      </c>
      <c r="I18" s="10" t="s">
        <v>458</v>
      </c>
      <c r="J18" s="10" t="s">
        <v>73</v>
      </c>
      <c r="K18" s="10" t="s">
        <v>110</v>
      </c>
      <c r="L18" s="10"/>
      <c r="M18" s="10"/>
      <c r="N18" s="10" t="s">
        <v>111</v>
      </c>
      <c r="O18" s="10" t="s">
        <v>111</v>
      </c>
      <c r="P18" s="10" t="s">
        <v>132</v>
      </c>
      <c r="Q18" s="10" t="s">
        <v>132</v>
      </c>
    </row>
    <row r="19" spans="1:17" s="11" customFormat="1" ht="22.5" x14ac:dyDescent="0.25">
      <c r="A19" s="10">
        <f t="shared" si="0"/>
        <v>15</v>
      </c>
      <c r="B19" s="10" t="s">
        <v>3</v>
      </c>
      <c r="C19" s="10" t="s">
        <v>7</v>
      </c>
      <c r="D19" s="10" t="s">
        <v>27</v>
      </c>
      <c r="E19" s="11" t="s">
        <v>33</v>
      </c>
      <c r="F19" s="11" t="s">
        <v>33</v>
      </c>
      <c r="G19" s="10" t="s">
        <v>223</v>
      </c>
      <c r="H19" s="10" t="s">
        <v>72</v>
      </c>
      <c r="I19" s="10" t="s">
        <v>458</v>
      </c>
      <c r="J19" s="10" t="s">
        <v>74</v>
      </c>
      <c r="K19" s="10" t="s">
        <v>110</v>
      </c>
      <c r="L19" s="10"/>
      <c r="M19" s="10"/>
      <c r="N19" s="10" t="s">
        <v>110</v>
      </c>
      <c r="O19" s="10" t="s">
        <v>111</v>
      </c>
      <c r="P19" s="10" t="s">
        <v>420</v>
      </c>
      <c r="Q19" s="10" t="s">
        <v>466</v>
      </c>
    </row>
    <row r="20" spans="1:17" s="11" customFormat="1" ht="11.25" x14ac:dyDescent="0.25">
      <c r="A20" s="10">
        <f t="shared" si="0"/>
        <v>16</v>
      </c>
      <c r="B20" s="10" t="s">
        <v>3</v>
      </c>
      <c r="C20" s="10" t="s">
        <v>7</v>
      </c>
      <c r="D20" s="10" t="s">
        <v>19</v>
      </c>
      <c r="E20" s="11" t="s">
        <v>34</v>
      </c>
      <c r="F20" s="11" t="s">
        <v>35</v>
      </c>
      <c r="G20" s="10" t="s">
        <v>13</v>
      </c>
      <c r="H20" s="10" t="s">
        <v>72</v>
      </c>
      <c r="I20" s="10" t="s">
        <v>458</v>
      </c>
      <c r="J20" s="10" t="s">
        <v>73</v>
      </c>
      <c r="K20" s="10" t="s">
        <v>110</v>
      </c>
      <c r="L20" s="10"/>
      <c r="M20" s="10"/>
      <c r="N20" s="10" t="s">
        <v>111</v>
      </c>
      <c r="O20" s="10" t="s">
        <v>111</v>
      </c>
      <c r="P20" s="10" t="s">
        <v>132</v>
      </c>
      <c r="Q20" s="10" t="s">
        <v>132</v>
      </c>
    </row>
    <row r="21" spans="1:17" s="11" customFormat="1" ht="22.5" x14ac:dyDescent="0.25">
      <c r="A21" s="10">
        <f t="shared" si="0"/>
        <v>17</v>
      </c>
      <c r="B21" s="10" t="s">
        <v>3</v>
      </c>
      <c r="C21" s="10" t="s">
        <v>7</v>
      </c>
      <c r="D21" s="10" t="s">
        <v>27</v>
      </c>
      <c r="E21" s="11" t="s">
        <v>36</v>
      </c>
      <c r="F21" s="11" t="s">
        <v>36</v>
      </c>
      <c r="G21" s="10" t="s">
        <v>11</v>
      </c>
      <c r="H21" s="10" t="s">
        <v>72</v>
      </c>
      <c r="I21" s="10" t="s">
        <v>458</v>
      </c>
      <c r="J21" s="10" t="s">
        <v>74</v>
      </c>
      <c r="K21" s="10" t="s">
        <v>110</v>
      </c>
      <c r="L21" s="10">
        <v>15</v>
      </c>
      <c r="M21" s="12" t="s">
        <v>343</v>
      </c>
      <c r="N21" s="10" t="s">
        <v>111</v>
      </c>
      <c r="O21" s="10" t="s">
        <v>111</v>
      </c>
      <c r="P21" s="10" t="s">
        <v>425</v>
      </c>
      <c r="Q21" s="10" t="s">
        <v>466</v>
      </c>
    </row>
    <row r="22" spans="1:17" s="11" customFormat="1" ht="11.25" x14ac:dyDescent="0.25">
      <c r="A22" s="10">
        <f t="shared" si="0"/>
        <v>18</v>
      </c>
      <c r="B22" s="10" t="s">
        <v>3</v>
      </c>
      <c r="C22" s="10" t="s">
        <v>7</v>
      </c>
      <c r="D22" s="10" t="s">
        <v>27</v>
      </c>
      <c r="E22" s="11" t="s">
        <v>37</v>
      </c>
      <c r="F22" s="11" t="s">
        <v>38</v>
      </c>
      <c r="G22" s="10" t="s">
        <v>11</v>
      </c>
      <c r="H22" s="10" t="s">
        <v>72</v>
      </c>
      <c r="I22" s="10" t="s">
        <v>458</v>
      </c>
      <c r="J22" s="10" t="s">
        <v>73</v>
      </c>
      <c r="K22" s="10" t="s">
        <v>110</v>
      </c>
      <c r="L22" s="10"/>
      <c r="M22" s="10"/>
      <c r="N22" s="10" t="s">
        <v>111</v>
      </c>
      <c r="O22" s="10" t="s">
        <v>111</v>
      </c>
      <c r="P22" s="10" t="s">
        <v>132</v>
      </c>
      <c r="Q22" s="10" t="s">
        <v>132</v>
      </c>
    </row>
    <row r="23" spans="1:17" s="11" customFormat="1" ht="11.25" x14ac:dyDescent="0.25">
      <c r="A23" s="10">
        <f t="shared" si="0"/>
        <v>19</v>
      </c>
      <c r="B23" s="10" t="s">
        <v>3</v>
      </c>
      <c r="C23" s="10" t="s">
        <v>7</v>
      </c>
      <c r="D23" s="10" t="s">
        <v>27</v>
      </c>
      <c r="E23" s="11" t="s">
        <v>39</v>
      </c>
      <c r="F23" s="11" t="s">
        <v>40</v>
      </c>
      <c r="G23" s="10" t="s">
        <v>11</v>
      </c>
      <c r="H23" s="10" t="s">
        <v>72</v>
      </c>
      <c r="I23" s="10" t="s">
        <v>458</v>
      </c>
      <c r="J23" s="10" t="s">
        <v>73</v>
      </c>
      <c r="K23" s="10" t="s">
        <v>110</v>
      </c>
      <c r="L23" s="10"/>
      <c r="M23" s="10"/>
      <c r="N23" s="10" t="s">
        <v>111</v>
      </c>
      <c r="O23" s="10" t="s">
        <v>111</v>
      </c>
      <c r="P23" s="10" t="s">
        <v>132</v>
      </c>
      <c r="Q23" s="10" t="s">
        <v>132</v>
      </c>
    </row>
    <row r="24" spans="1:17" s="11" customFormat="1" ht="11.25" x14ac:dyDescent="0.25">
      <c r="A24" s="10">
        <f t="shared" si="0"/>
        <v>20</v>
      </c>
      <c r="B24" s="10" t="s">
        <v>3</v>
      </c>
      <c r="C24" s="10" t="s">
        <v>7</v>
      </c>
      <c r="D24" s="10" t="s">
        <v>27</v>
      </c>
      <c r="E24" s="11" t="s">
        <v>41</v>
      </c>
      <c r="F24" s="11" t="s">
        <v>42</v>
      </c>
      <c r="G24" s="10" t="s">
        <v>11</v>
      </c>
      <c r="H24" s="10" t="s">
        <v>72</v>
      </c>
      <c r="I24" s="10" t="s">
        <v>458</v>
      </c>
      <c r="J24" s="10" t="s">
        <v>73</v>
      </c>
      <c r="K24" s="10" t="s">
        <v>110</v>
      </c>
      <c r="L24" s="10"/>
      <c r="M24" s="10"/>
      <c r="N24" s="10" t="s">
        <v>111</v>
      </c>
      <c r="O24" s="10" t="s">
        <v>111</v>
      </c>
      <c r="P24" s="10" t="s">
        <v>132</v>
      </c>
      <c r="Q24" s="10" t="s">
        <v>132</v>
      </c>
    </row>
    <row r="25" spans="1:17" s="11" customFormat="1" ht="11.25" x14ac:dyDescent="0.25">
      <c r="A25" s="10">
        <f t="shared" si="0"/>
        <v>21</v>
      </c>
      <c r="B25" s="10" t="s">
        <v>3</v>
      </c>
      <c r="C25" s="10" t="s">
        <v>7</v>
      </c>
      <c r="D25" s="10" t="s">
        <v>27</v>
      </c>
      <c r="E25" s="11" t="s">
        <v>43</v>
      </c>
      <c r="F25" s="11" t="s">
        <v>44</v>
      </c>
      <c r="G25" s="10" t="s">
        <v>11</v>
      </c>
      <c r="H25" s="10" t="s">
        <v>72</v>
      </c>
      <c r="I25" s="10" t="s">
        <v>458</v>
      </c>
      <c r="J25" s="10" t="s">
        <v>73</v>
      </c>
      <c r="K25" s="10" t="s">
        <v>110</v>
      </c>
      <c r="L25" s="10"/>
      <c r="M25" s="10"/>
      <c r="N25" s="10" t="s">
        <v>111</v>
      </c>
      <c r="O25" s="10" t="s">
        <v>111</v>
      </c>
      <c r="P25" s="10" t="s">
        <v>132</v>
      </c>
      <c r="Q25" s="10" t="s">
        <v>132</v>
      </c>
    </row>
    <row r="26" spans="1:17" s="11" customFormat="1" ht="11.25" x14ac:dyDescent="0.25">
      <c r="A26" s="10">
        <f t="shared" si="0"/>
        <v>22</v>
      </c>
      <c r="B26" s="10" t="s">
        <v>3</v>
      </c>
      <c r="C26" s="10" t="s">
        <v>7</v>
      </c>
      <c r="D26" s="10" t="s">
        <v>27</v>
      </c>
      <c r="E26" s="11" t="s">
        <v>45</v>
      </c>
      <c r="F26" s="11" t="s">
        <v>46</v>
      </c>
      <c r="G26" s="10" t="s">
        <v>11</v>
      </c>
      <c r="H26" s="10" t="s">
        <v>72</v>
      </c>
      <c r="I26" s="10" t="s">
        <v>458</v>
      </c>
      <c r="J26" s="10" t="s">
        <v>73</v>
      </c>
      <c r="K26" s="10" t="s">
        <v>110</v>
      </c>
      <c r="L26" s="10"/>
      <c r="M26" s="10"/>
      <c r="N26" s="10" t="s">
        <v>111</v>
      </c>
      <c r="O26" s="10" t="s">
        <v>111</v>
      </c>
      <c r="P26" s="10" t="s">
        <v>132</v>
      </c>
      <c r="Q26" s="10" t="s">
        <v>132</v>
      </c>
    </row>
    <row r="27" spans="1:17" s="11" customFormat="1" ht="11.25" x14ac:dyDescent="0.25">
      <c r="A27" s="10">
        <f t="shared" si="0"/>
        <v>23</v>
      </c>
      <c r="B27" s="10" t="s">
        <v>3</v>
      </c>
      <c r="C27" s="10" t="s">
        <v>7</v>
      </c>
      <c r="D27" s="10" t="s">
        <v>27</v>
      </c>
      <c r="E27" s="11" t="s">
        <v>47</v>
      </c>
      <c r="F27" s="11" t="s">
        <v>48</v>
      </c>
      <c r="G27" s="10" t="s">
        <v>11</v>
      </c>
      <c r="H27" s="10" t="s">
        <v>72</v>
      </c>
      <c r="I27" s="10" t="s">
        <v>458</v>
      </c>
      <c r="J27" s="10" t="s">
        <v>73</v>
      </c>
      <c r="K27" s="10" t="s">
        <v>110</v>
      </c>
      <c r="L27" s="10"/>
      <c r="M27" s="10"/>
      <c r="N27" s="10" t="s">
        <v>111</v>
      </c>
      <c r="O27" s="10" t="s">
        <v>111</v>
      </c>
      <c r="P27" s="10" t="s">
        <v>132</v>
      </c>
      <c r="Q27" s="10" t="s">
        <v>132</v>
      </c>
    </row>
    <row r="28" spans="1:17" s="11" customFormat="1" ht="22.5" x14ac:dyDescent="0.25">
      <c r="A28" s="10">
        <f t="shared" si="0"/>
        <v>24</v>
      </c>
      <c r="B28" s="10" t="s">
        <v>3</v>
      </c>
      <c r="C28" s="10" t="s">
        <v>7</v>
      </c>
      <c r="D28" s="10" t="s">
        <v>27</v>
      </c>
      <c r="E28" s="11" t="s">
        <v>49</v>
      </c>
      <c r="F28" s="11" t="s">
        <v>50</v>
      </c>
      <c r="G28" s="10" t="s">
        <v>11</v>
      </c>
      <c r="H28" s="10" t="s">
        <v>72</v>
      </c>
      <c r="I28" s="10" t="s">
        <v>458</v>
      </c>
      <c r="J28" s="10" t="s">
        <v>73</v>
      </c>
      <c r="K28" s="10" t="s">
        <v>110</v>
      </c>
      <c r="L28" s="10">
        <v>17</v>
      </c>
      <c r="M28" s="12" t="s">
        <v>343</v>
      </c>
      <c r="N28" s="10" t="s">
        <v>111</v>
      </c>
      <c r="O28" s="10" t="s">
        <v>111</v>
      </c>
      <c r="P28" s="10" t="s">
        <v>132</v>
      </c>
      <c r="Q28" s="10" t="s">
        <v>132</v>
      </c>
    </row>
    <row r="29" spans="1:17" s="11" customFormat="1" ht="11.25" x14ac:dyDescent="0.25">
      <c r="A29" s="10">
        <f t="shared" si="0"/>
        <v>25</v>
      </c>
      <c r="B29" s="10" t="s">
        <v>3</v>
      </c>
      <c r="C29" s="10" t="s">
        <v>7</v>
      </c>
      <c r="D29" s="10" t="s">
        <v>27</v>
      </c>
      <c r="E29" s="11" t="s">
        <v>51</v>
      </c>
      <c r="F29" s="11" t="s">
        <v>51</v>
      </c>
      <c r="G29" s="10" t="s">
        <v>11</v>
      </c>
      <c r="H29" s="10" t="s">
        <v>72</v>
      </c>
      <c r="I29" s="10" t="s">
        <v>458</v>
      </c>
      <c r="J29" s="10" t="s">
        <v>73</v>
      </c>
      <c r="K29" s="10" t="s">
        <v>110</v>
      </c>
      <c r="L29" s="10"/>
      <c r="M29" s="10"/>
      <c r="N29" s="10" t="s">
        <v>111</v>
      </c>
      <c r="O29" s="10" t="s">
        <v>111</v>
      </c>
      <c r="P29" s="10" t="s">
        <v>132</v>
      </c>
      <c r="Q29" s="10" t="s">
        <v>132</v>
      </c>
    </row>
    <row r="30" spans="1:17" s="11" customFormat="1" ht="11.25" x14ac:dyDescent="0.25">
      <c r="A30" s="10">
        <f t="shared" si="0"/>
        <v>26</v>
      </c>
      <c r="B30" s="10" t="s">
        <v>3</v>
      </c>
      <c r="C30" s="10" t="s">
        <v>7</v>
      </c>
      <c r="D30" s="10" t="s">
        <v>27</v>
      </c>
      <c r="E30" s="11" t="s">
        <v>52</v>
      </c>
      <c r="F30" s="11" t="s">
        <v>52</v>
      </c>
      <c r="G30" s="10" t="s">
        <v>11</v>
      </c>
      <c r="H30" s="10" t="s">
        <v>72</v>
      </c>
      <c r="I30" s="10" t="s">
        <v>458</v>
      </c>
      <c r="J30" s="10" t="s">
        <v>73</v>
      </c>
      <c r="K30" s="10" t="s">
        <v>110</v>
      </c>
      <c r="L30" s="10"/>
      <c r="M30" s="10"/>
      <c r="N30" s="10" t="s">
        <v>111</v>
      </c>
      <c r="O30" s="10" t="s">
        <v>111</v>
      </c>
      <c r="P30" s="10" t="s">
        <v>132</v>
      </c>
      <c r="Q30" s="10" t="s">
        <v>132</v>
      </c>
    </row>
    <row r="31" spans="1:17" s="11" customFormat="1" ht="11.25" x14ac:dyDescent="0.25">
      <c r="A31" s="10">
        <f t="shared" si="0"/>
        <v>27</v>
      </c>
      <c r="B31" s="10" t="s">
        <v>3</v>
      </c>
      <c r="C31" s="10" t="s">
        <v>7</v>
      </c>
      <c r="D31" s="10" t="s">
        <v>27</v>
      </c>
      <c r="E31" s="11" t="s">
        <v>53</v>
      </c>
      <c r="F31" s="11" t="s">
        <v>54</v>
      </c>
      <c r="G31" s="10" t="s">
        <v>11</v>
      </c>
      <c r="H31" s="10" t="s">
        <v>72</v>
      </c>
      <c r="I31" s="10" t="s">
        <v>458</v>
      </c>
      <c r="J31" s="10" t="s">
        <v>73</v>
      </c>
      <c r="K31" s="10" t="s">
        <v>110</v>
      </c>
      <c r="L31" s="10"/>
      <c r="M31" s="10"/>
      <c r="N31" s="10" t="s">
        <v>111</v>
      </c>
      <c r="O31" s="10" t="s">
        <v>111</v>
      </c>
      <c r="P31" s="10" t="s">
        <v>132</v>
      </c>
      <c r="Q31" s="10" t="s">
        <v>132</v>
      </c>
    </row>
    <row r="32" spans="1:17" s="11" customFormat="1" ht="11.25" x14ac:dyDescent="0.25">
      <c r="A32" s="10">
        <f t="shared" si="0"/>
        <v>28</v>
      </c>
      <c r="B32" s="10" t="s">
        <v>3</v>
      </c>
      <c r="C32" s="10" t="s">
        <v>7</v>
      </c>
      <c r="D32" s="10" t="s">
        <v>27</v>
      </c>
      <c r="E32" s="11" t="s">
        <v>55</v>
      </c>
      <c r="F32" s="11" t="s">
        <v>56</v>
      </c>
      <c r="G32" s="10" t="s">
        <v>11</v>
      </c>
      <c r="H32" s="10" t="s">
        <v>72</v>
      </c>
      <c r="I32" s="10" t="s">
        <v>458</v>
      </c>
      <c r="J32" s="10" t="s">
        <v>74</v>
      </c>
      <c r="K32" s="10" t="s">
        <v>110</v>
      </c>
      <c r="L32" s="10">
        <v>20</v>
      </c>
      <c r="M32" s="13" t="s">
        <v>342</v>
      </c>
      <c r="N32" s="10" t="s">
        <v>111</v>
      </c>
      <c r="O32" s="10" t="s">
        <v>111</v>
      </c>
      <c r="P32" s="10" t="s">
        <v>427</v>
      </c>
      <c r="Q32" s="10" t="s">
        <v>466</v>
      </c>
    </row>
    <row r="33" spans="1:17" s="11" customFormat="1" ht="11.25" x14ac:dyDescent="0.25">
      <c r="A33" s="10">
        <f t="shared" si="0"/>
        <v>29</v>
      </c>
      <c r="B33" s="10" t="s">
        <v>3</v>
      </c>
      <c r="C33" s="10" t="s">
        <v>7</v>
      </c>
      <c r="D33" s="10" t="s">
        <v>27</v>
      </c>
      <c r="E33" s="11" t="s">
        <v>57</v>
      </c>
      <c r="F33" s="11" t="s">
        <v>57</v>
      </c>
      <c r="G33" s="10" t="s">
        <v>11</v>
      </c>
      <c r="H33" s="10" t="s">
        <v>72</v>
      </c>
      <c r="I33" s="10" t="s">
        <v>458</v>
      </c>
      <c r="J33" s="10" t="s">
        <v>73</v>
      </c>
      <c r="K33" s="10" t="s">
        <v>110</v>
      </c>
      <c r="L33" s="10"/>
      <c r="M33" s="10"/>
      <c r="N33" s="10" t="s">
        <v>111</v>
      </c>
      <c r="O33" s="10" t="s">
        <v>111</v>
      </c>
      <c r="P33" s="10" t="s">
        <v>132</v>
      </c>
      <c r="Q33" s="10" t="s">
        <v>132</v>
      </c>
    </row>
    <row r="34" spans="1:17" s="11" customFormat="1" ht="11.25" x14ac:dyDescent="0.25">
      <c r="A34" s="10">
        <f t="shared" si="0"/>
        <v>30</v>
      </c>
      <c r="B34" s="10" t="s">
        <v>3</v>
      </c>
      <c r="C34" s="10" t="s">
        <v>7</v>
      </c>
      <c r="D34" s="10" t="s">
        <v>27</v>
      </c>
      <c r="E34" s="11" t="s">
        <v>404</v>
      </c>
      <c r="F34" s="11" t="s">
        <v>58</v>
      </c>
      <c r="G34" s="10" t="s">
        <v>11</v>
      </c>
      <c r="H34" s="10" t="s">
        <v>72</v>
      </c>
      <c r="I34" s="10" t="s">
        <v>458</v>
      </c>
      <c r="J34" s="10" t="s">
        <v>73</v>
      </c>
      <c r="K34" s="10" t="s">
        <v>110</v>
      </c>
      <c r="L34" s="10"/>
      <c r="M34" s="10"/>
      <c r="N34" s="10" t="s">
        <v>110</v>
      </c>
      <c r="O34" s="10" t="s">
        <v>111</v>
      </c>
      <c r="P34" s="10" t="s">
        <v>132</v>
      </c>
      <c r="Q34" s="10" t="s">
        <v>132</v>
      </c>
    </row>
    <row r="35" spans="1:17" s="11" customFormat="1" ht="22.5" x14ac:dyDescent="0.25">
      <c r="A35" s="10">
        <f t="shared" si="0"/>
        <v>31</v>
      </c>
      <c r="B35" s="10" t="s">
        <v>3</v>
      </c>
      <c r="C35" s="10" t="s">
        <v>7</v>
      </c>
      <c r="D35" s="10" t="s">
        <v>27</v>
      </c>
      <c r="E35" s="11" t="s">
        <v>59</v>
      </c>
      <c r="F35" s="11" t="s">
        <v>60</v>
      </c>
      <c r="G35" s="10" t="s">
        <v>11</v>
      </c>
      <c r="H35" s="10" t="s">
        <v>72</v>
      </c>
      <c r="I35" s="10" t="s">
        <v>458</v>
      </c>
      <c r="J35" s="10" t="s">
        <v>73</v>
      </c>
      <c r="K35" s="10" t="s">
        <v>110</v>
      </c>
      <c r="L35" s="10"/>
      <c r="M35" s="10"/>
      <c r="N35" s="10" t="s">
        <v>111</v>
      </c>
      <c r="O35" s="10" t="s">
        <v>111</v>
      </c>
      <c r="P35" s="10" t="s">
        <v>132</v>
      </c>
      <c r="Q35" s="10" t="s">
        <v>132</v>
      </c>
    </row>
    <row r="36" spans="1:17" s="11" customFormat="1" ht="22.5" x14ac:dyDescent="0.25">
      <c r="A36" s="10">
        <f t="shared" si="0"/>
        <v>32</v>
      </c>
      <c r="B36" s="10" t="s">
        <v>3</v>
      </c>
      <c r="C36" s="10" t="s">
        <v>7</v>
      </c>
      <c r="D36" s="10" t="s">
        <v>27</v>
      </c>
      <c r="E36" s="11" t="s">
        <v>61</v>
      </c>
      <c r="F36" s="11" t="s">
        <v>62</v>
      </c>
      <c r="G36" s="10" t="s">
        <v>11</v>
      </c>
      <c r="H36" s="10" t="s">
        <v>72</v>
      </c>
      <c r="I36" s="10" t="s">
        <v>458</v>
      </c>
      <c r="J36" s="10" t="s">
        <v>73</v>
      </c>
      <c r="K36" s="10" t="s">
        <v>110</v>
      </c>
      <c r="L36" s="10"/>
      <c r="M36" s="10"/>
      <c r="N36" s="10" t="s">
        <v>111</v>
      </c>
      <c r="O36" s="10" t="s">
        <v>111</v>
      </c>
      <c r="P36" s="10" t="s">
        <v>132</v>
      </c>
      <c r="Q36" s="10" t="s">
        <v>132</v>
      </c>
    </row>
    <row r="37" spans="1:17" s="11" customFormat="1" ht="22.5" x14ac:dyDescent="0.25">
      <c r="A37" s="10">
        <f t="shared" si="0"/>
        <v>33</v>
      </c>
      <c r="B37" s="10" t="s">
        <v>3</v>
      </c>
      <c r="C37" s="10" t="s">
        <v>7</v>
      </c>
      <c r="D37" s="10" t="s">
        <v>27</v>
      </c>
      <c r="E37" s="11" t="s">
        <v>63</v>
      </c>
      <c r="F37" s="11" t="s">
        <v>64</v>
      </c>
      <c r="G37" s="10" t="s">
        <v>11</v>
      </c>
      <c r="H37" s="10" t="s">
        <v>72</v>
      </c>
      <c r="I37" s="10" t="s">
        <v>458</v>
      </c>
      <c r="J37" s="10" t="s">
        <v>73</v>
      </c>
      <c r="K37" s="10" t="s">
        <v>110</v>
      </c>
      <c r="L37" s="10"/>
      <c r="M37" s="10"/>
      <c r="N37" s="10" t="s">
        <v>111</v>
      </c>
      <c r="O37" s="10" t="s">
        <v>111</v>
      </c>
      <c r="P37" s="10" t="s">
        <v>132</v>
      </c>
      <c r="Q37" s="10" t="s">
        <v>132</v>
      </c>
    </row>
    <row r="38" spans="1:17" s="11" customFormat="1" ht="22.5" x14ac:dyDescent="0.25">
      <c r="A38" s="10">
        <f t="shared" si="0"/>
        <v>34</v>
      </c>
      <c r="B38" s="10" t="s">
        <v>3</v>
      </c>
      <c r="C38" s="10" t="s">
        <v>7</v>
      </c>
      <c r="D38" s="10" t="s">
        <v>27</v>
      </c>
      <c r="E38" s="11" t="s">
        <v>65</v>
      </c>
      <c r="F38" s="11" t="s">
        <v>66</v>
      </c>
      <c r="G38" s="10" t="s">
        <v>11</v>
      </c>
      <c r="H38" s="10" t="s">
        <v>72</v>
      </c>
      <c r="I38" s="10" t="s">
        <v>458</v>
      </c>
      <c r="J38" s="10" t="s">
        <v>73</v>
      </c>
      <c r="K38" s="10" t="s">
        <v>110</v>
      </c>
      <c r="L38" s="10"/>
      <c r="M38" s="10"/>
      <c r="N38" s="10" t="s">
        <v>111</v>
      </c>
      <c r="O38" s="10" t="s">
        <v>111</v>
      </c>
      <c r="P38" s="10" t="s">
        <v>132</v>
      </c>
      <c r="Q38" s="10" t="s">
        <v>132</v>
      </c>
    </row>
    <row r="39" spans="1:17" s="11" customFormat="1" ht="22.5" x14ac:dyDescent="0.25">
      <c r="A39" s="10">
        <f t="shared" si="0"/>
        <v>35</v>
      </c>
      <c r="B39" s="10" t="s">
        <v>3</v>
      </c>
      <c r="C39" s="10" t="s">
        <v>7</v>
      </c>
      <c r="D39" s="10" t="s">
        <v>27</v>
      </c>
      <c r="E39" s="11" t="s">
        <v>67</v>
      </c>
      <c r="F39" s="11" t="s">
        <v>68</v>
      </c>
      <c r="G39" s="10" t="s">
        <v>11</v>
      </c>
      <c r="H39" s="10" t="s">
        <v>72</v>
      </c>
      <c r="I39" s="10" t="s">
        <v>458</v>
      </c>
      <c r="J39" s="10" t="s">
        <v>73</v>
      </c>
      <c r="K39" s="10" t="s">
        <v>110</v>
      </c>
      <c r="L39" s="10"/>
      <c r="M39" s="10"/>
      <c r="N39" s="10" t="s">
        <v>111</v>
      </c>
      <c r="O39" s="10" t="s">
        <v>111</v>
      </c>
      <c r="P39" s="10" t="s">
        <v>132</v>
      </c>
      <c r="Q39" s="10" t="s">
        <v>132</v>
      </c>
    </row>
    <row r="40" spans="1:17" s="11" customFormat="1" ht="22.5" x14ac:dyDescent="0.25">
      <c r="A40" s="10">
        <f t="shared" si="0"/>
        <v>36</v>
      </c>
      <c r="B40" s="10" t="s">
        <v>3</v>
      </c>
      <c r="C40" s="10" t="s">
        <v>7</v>
      </c>
      <c r="D40" s="10" t="s">
        <v>27</v>
      </c>
      <c r="E40" s="11" t="s">
        <v>69</v>
      </c>
      <c r="F40" s="11" t="s">
        <v>31</v>
      </c>
      <c r="G40" s="10" t="s">
        <v>11</v>
      </c>
      <c r="H40" s="10" t="s">
        <v>72</v>
      </c>
      <c r="I40" s="10" t="s">
        <v>458</v>
      </c>
      <c r="J40" s="10" t="s">
        <v>73</v>
      </c>
      <c r="K40" s="10" t="s">
        <v>110</v>
      </c>
      <c r="L40" s="10"/>
      <c r="M40" s="10"/>
      <c r="N40" s="10" t="s">
        <v>111</v>
      </c>
      <c r="O40" s="10" t="s">
        <v>111</v>
      </c>
      <c r="P40" s="10" t="s">
        <v>132</v>
      </c>
      <c r="Q40" s="10" t="s">
        <v>132</v>
      </c>
    </row>
    <row r="41" spans="1:17" s="11" customFormat="1" ht="11.25" x14ac:dyDescent="0.25">
      <c r="A41" s="10">
        <f t="shared" si="0"/>
        <v>37</v>
      </c>
      <c r="B41" s="10" t="s">
        <v>3</v>
      </c>
      <c r="C41" s="10" t="s">
        <v>7</v>
      </c>
      <c r="D41" s="10" t="s">
        <v>27</v>
      </c>
      <c r="E41" s="11" t="s">
        <v>70</v>
      </c>
      <c r="F41" s="11" t="s">
        <v>71</v>
      </c>
      <c r="G41" s="10" t="s">
        <v>11</v>
      </c>
      <c r="H41" s="10" t="s">
        <v>72</v>
      </c>
      <c r="I41" s="10" t="s">
        <v>458</v>
      </c>
      <c r="J41" s="10" t="s">
        <v>74</v>
      </c>
      <c r="K41" s="10" t="s">
        <v>110</v>
      </c>
      <c r="L41" s="10"/>
      <c r="M41" s="10"/>
      <c r="N41" s="10" t="s">
        <v>111</v>
      </c>
      <c r="O41" s="10" t="s">
        <v>111</v>
      </c>
      <c r="P41" s="10" t="s">
        <v>429</v>
      </c>
      <c r="Q41" s="10" t="s">
        <v>466</v>
      </c>
    </row>
    <row r="42" spans="1:17" s="11" customFormat="1" ht="22.5" x14ac:dyDescent="0.25">
      <c r="A42" s="10">
        <f t="shared" si="0"/>
        <v>38</v>
      </c>
      <c r="B42" s="10" t="s">
        <v>112</v>
      </c>
      <c r="C42" s="10" t="s">
        <v>75</v>
      </c>
      <c r="D42" s="10" t="s">
        <v>76</v>
      </c>
      <c r="E42" s="11" t="s">
        <v>77</v>
      </c>
      <c r="F42" s="11" t="s">
        <v>77</v>
      </c>
      <c r="G42" s="10" t="s">
        <v>11</v>
      </c>
      <c r="H42" s="10" t="s">
        <v>109</v>
      </c>
      <c r="I42" s="10" t="s">
        <v>457</v>
      </c>
      <c r="J42" s="10" t="s">
        <v>74</v>
      </c>
      <c r="K42" s="10" t="s">
        <v>110</v>
      </c>
      <c r="L42" s="10"/>
      <c r="M42" s="10"/>
      <c r="N42" s="10" t="s">
        <v>111</v>
      </c>
      <c r="O42" s="10" t="s">
        <v>111</v>
      </c>
      <c r="P42" s="10" t="s">
        <v>428</v>
      </c>
      <c r="Q42" s="10" t="s">
        <v>466</v>
      </c>
    </row>
    <row r="43" spans="1:17" s="11" customFormat="1" ht="22.5" x14ac:dyDescent="0.25">
      <c r="A43" s="10">
        <f t="shared" si="0"/>
        <v>39</v>
      </c>
      <c r="B43" s="10" t="s">
        <v>112</v>
      </c>
      <c r="C43" s="10" t="s">
        <v>75</v>
      </c>
      <c r="D43" s="10" t="s">
        <v>76</v>
      </c>
      <c r="E43" s="11" t="s">
        <v>435</v>
      </c>
      <c r="F43" s="14" t="s">
        <v>439</v>
      </c>
      <c r="G43" s="10" t="s">
        <v>11</v>
      </c>
      <c r="H43" s="10" t="s">
        <v>109</v>
      </c>
      <c r="I43" s="10" t="s">
        <v>457</v>
      </c>
      <c r="J43" s="10" t="s">
        <v>74</v>
      </c>
      <c r="K43" s="10" t="s">
        <v>110</v>
      </c>
      <c r="L43" s="10"/>
      <c r="M43" s="10"/>
      <c r="N43" s="10" t="s">
        <v>110</v>
      </c>
      <c r="O43" s="10" t="s">
        <v>110</v>
      </c>
      <c r="P43" s="10" t="s">
        <v>436</v>
      </c>
      <c r="Q43" s="10" t="s">
        <v>466</v>
      </c>
    </row>
    <row r="44" spans="1:17" s="11" customFormat="1" ht="33.75" x14ac:dyDescent="0.25">
      <c r="A44" s="10">
        <f t="shared" si="0"/>
        <v>40</v>
      </c>
      <c r="B44" s="10" t="s">
        <v>112</v>
      </c>
      <c r="C44" s="10" t="s">
        <v>75</v>
      </c>
      <c r="D44" s="10" t="s">
        <v>76</v>
      </c>
      <c r="E44" s="11" t="s">
        <v>78</v>
      </c>
      <c r="F44" s="11" t="s">
        <v>78</v>
      </c>
      <c r="G44" s="10" t="s">
        <v>13</v>
      </c>
      <c r="H44" s="10" t="s">
        <v>109</v>
      </c>
      <c r="I44" s="10" t="s">
        <v>457</v>
      </c>
      <c r="J44" s="10" t="s">
        <v>371</v>
      </c>
      <c r="K44" s="10" t="s">
        <v>110</v>
      </c>
      <c r="L44" s="10"/>
      <c r="M44" s="10"/>
      <c r="N44" s="10" t="s">
        <v>111</v>
      </c>
      <c r="O44" s="10" t="s">
        <v>111</v>
      </c>
      <c r="P44" s="10" t="s">
        <v>132</v>
      </c>
      <c r="Q44" s="10" t="s">
        <v>132</v>
      </c>
    </row>
    <row r="45" spans="1:17" s="11" customFormat="1" ht="22.5" x14ac:dyDescent="0.25">
      <c r="A45" s="10">
        <f t="shared" si="0"/>
        <v>41</v>
      </c>
      <c r="B45" s="10" t="s">
        <v>112</v>
      </c>
      <c r="C45" s="10" t="s">
        <v>75</v>
      </c>
      <c r="D45" s="10" t="s">
        <v>79</v>
      </c>
      <c r="E45" s="11" t="s">
        <v>80</v>
      </c>
      <c r="F45" s="11" t="s">
        <v>80</v>
      </c>
      <c r="G45" s="10" t="s">
        <v>11</v>
      </c>
      <c r="H45" s="10" t="s">
        <v>109</v>
      </c>
      <c r="I45" s="10" t="s">
        <v>457</v>
      </c>
      <c r="J45" s="10" t="s">
        <v>371</v>
      </c>
      <c r="K45" s="10" t="s">
        <v>110</v>
      </c>
      <c r="L45" s="10"/>
      <c r="M45" s="10"/>
      <c r="N45" s="10" t="s">
        <v>111</v>
      </c>
      <c r="O45" s="10" t="s">
        <v>111</v>
      </c>
      <c r="P45" s="10" t="s">
        <v>132</v>
      </c>
      <c r="Q45" s="10" t="s">
        <v>132</v>
      </c>
    </row>
    <row r="46" spans="1:17" s="11" customFormat="1" ht="33.75" x14ac:dyDescent="0.25">
      <c r="A46" s="10">
        <f t="shared" si="0"/>
        <v>42</v>
      </c>
      <c r="B46" s="10" t="s">
        <v>112</v>
      </c>
      <c r="C46" s="10" t="s">
        <v>75</v>
      </c>
      <c r="D46" s="10" t="s">
        <v>79</v>
      </c>
      <c r="E46" s="11" t="s">
        <v>81</v>
      </c>
      <c r="F46" s="11" t="s">
        <v>81</v>
      </c>
      <c r="G46" s="10" t="s">
        <v>13</v>
      </c>
      <c r="H46" s="10" t="s">
        <v>109</v>
      </c>
      <c r="I46" s="10" t="s">
        <v>457</v>
      </c>
      <c r="J46" s="10" t="s">
        <v>371</v>
      </c>
      <c r="K46" s="10" t="s">
        <v>110</v>
      </c>
      <c r="L46" s="10"/>
      <c r="M46" s="10"/>
      <c r="N46" s="10" t="s">
        <v>111</v>
      </c>
      <c r="O46" s="10" t="s">
        <v>111</v>
      </c>
      <c r="P46" s="10" t="s">
        <v>132</v>
      </c>
      <c r="Q46" s="10" t="s">
        <v>132</v>
      </c>
    </row>
    <row r="47" spans="1:17" s="11" customFormat="1" ht="22.5" x14ac:dyDescent="0.25">
      <c r="A47" s="10">
        <f t="shared" si="0"/>
        <v>43</v>
      </c>
      <c r="B47" s="10" t="s">
        <v>112</v>
      </c>
      <c r="C47" s="10" t="s">
        <v>75</v>
      </c>
      <c r="D47" s="10" t="s">
        <v>82</v>
      </c>
      <c r="E47" s="11" t="s">
        <v>83</v>
      </c>
      <c r="F47" s="11" t="s">
        <v>83</v>
      </c>
      <c r="G47" s="10" t="s">
        <v>11</v>
      </c>
      <c r="H47" s="10" t="s">
        <v>109</v>
      </c>
      <c r="I47" s="10" t="s">
        <v>457</v>
      </c>
      <c r="J47" s="10" t="s">
        <v>371</v>
      </c>
      <c r="K47" s="10" t="s">
        <v>110</v>
      </c>
      <c r="L47" s="10"/>
      <c r="M47" s="10"/>
      <c r="N47" s="10" t="s">
        <v>111</v>
      </c>
      <c r="O47" s="10" t="s">
        <v>111</v>
      </c>
      <c r="P47" s="10" t="s">
        <v>132</v>
      </c>
      <c r="Q47" s="10" t="s">
        <v>132</v>
      </c>
    </row>
    <row r="48" spans="1:17" s="11" customFormat="1" ht="22.5" x14ac:dyDescent="0.25">
      <c r="A48" s="10">
        <f t="shared" si="0"/>
        <v>44</v>
      </c>
      <c r="B48" s="10" t="s">
        <v>112</v>
      </c>
      <c r="C48" s="10" t="s">
        <v>75</v>
      </c>
      <c r="D48" s="10" t="s">
        <v>82</v>
      </c>
      <c r="E48" s="11" t="s">
        <v>84</v>
      </c>
      <c r="F48" s="11" t="s">
        <v>84</v>
      </c>
      <c r="G48" s="10" t="s">
        <v>13</v>
      </c>
      <c r="H48" s="10" t="s">
        <v>109</v>
      </c>
      <c r="I48" s="10" t="s">
        <v>457</v>
      </c>
      <c r="J48" s="10" t="s">
        <v>371</v>
      </c>
      <c r="K48" s="10" t="s">
        <v>110</v>
      </c>
      <c r="L48" s="10"/>
      <c r="M48" s="10"/>
      <c r="N48" s="10" t="s">
        <v>111</v>
      </c>
      <c r="O48" s="10" t="s">
        <v>111</v>
      </c>
      <c r="P48" s="10" t="s">
        <v>132</v>
      </c>
      <c r="Q48" s="10" t="s">
        <v>132</v>
      </c>
    </row>
    <row r="49" spans="1:17" s="11" customFormat="1" ht="33.75" x14ac:dyDescent="0.25">
      <c r="A49" s="10">
        <f t="shared" si="0"/>
        <v>45</v>
      </c>
      <c r="B49" s="10" t="s">
        <v>112</v>
      </c>
      <c r="C49" s="10" t="s">
        <v>75</v>
      </c>
      <c r="D49" s="10" t="s">
        <v>85</v>
      </c>
      <c r="E49" s="11" t="s">
        <v>86</v>
      </c>
      <c r="F49" s="11" t="s">
        <v>86</v>
      </c>
      <c r="G49" s="10" t="s">
        <v>13</v>
      </c>
      <c r="H49" s="10" t="s">
        <v>109</v>
      </c>
      <c r="I49" s="10" t="s">
        <v>457</v>
      </c>
      <c r="J49" s="10" t="s">
        <v>371</v>
      </c>
      <c r="K49" s="10" t="s">
        <v>110</v>
      </c>
      <c r="L49" s="10"/>
      <c r="M49" s="10"/>
      <c r="N49" s="10" t="s">
        <v>111</v>
      </c>
      <c r="O49" s="10" t="s">
        <v>111</v>
      </c>
      <c r="P49" s="10" t="s">
        <v>132</v>
      </c>
      <c r="Q49" s="10" t="s">
        <v>132</v>
      </c>
    </row>
    <row r="50" spans="1:17" s="11" customFormat="1" ht="22.5" x14ac:dyDescent="0.25">
      <c r="A50" s="10">
        <f t="shared" si="0"/>
        <v>46</v>
      </c>
      <c r="B50" s="10" t="s">
        <v>112</v>
      </c>
      <c r="C50" s="10" t="s">
        <v>75</v>
      </c>
      <c r="D50" s="10" t="s">
        <v>87</v>
      </c>
      <c r="E50" s="11" t="s">
        <v>442</v>
      </c>
      <c r="F50" s="11" t="s">
        <v>443</v>
      </c>
      <c r="G50" s="10" t="s">
        <v>13</v>
      </c>
      <c r="H50" s="10" t="s">
        <v>109</v>
      </c>
      <c r="I50" s="10" t="s">
        <v>457</v>
      </c>
      <c r="J50" s="10" t="s">
        <v>74</v>
      </c>
      <c r="K50" s="10" t="s">
        <v>110</v>
      </c>
      <c r="L50" s="10"/>
      <c r="M50" s="10"/>
      <c r="N50" s="10" t="s">
        <v>110</v>
      </c>
      <c r="O50" s="10" t="s">
        <v>110</v>
      </c>
      <c r="P50" s="10" t="s">
        <v>444</v>
      </c>
      <c r="Q50" s="10" t="s">
        <v>466</v>
      </c>
    </row>
    <row r="51" spans="1:17" s="11" customFormat="1" ht="33.75" x14ac:dyDescent="0.25">
      <c r="A51" s="10">
        <f t="shared" si="0"/>
        <v>47</v>
      </c>
      <c r="B51" s="10" t="s">
        <v>112</v>
      </c>
      <c r="C51" s="10" t="s">
        <v>75</v>
      </c>
      <c r="D51" s="10" t="s">
        <v>87</v>
      </c>
      <c r="E51" s="11" t="s">
        <v>88</v>
      </c>
      <c r="F51" s="11" t="s">
        <v>88</v>
      </c>
      <c r="G51" s="10" t="s">
        <v>13</v>
      </c>
      <c r="H51" s="10" t="s">
        <v>109</v>
      </c>
      <c r="I51" s="10" t="s">
        <v>457</v>
      </c>
      <c r="J51" s="10" t="s">
        <v>74</v>
      </c>
      <c r="K51" s="10" t="s">
        <v>110</v>
      </c>
      <c r="L51" s="10"/>
      <c r="M51" s="10"/>
      <c r="N51" s="10" t="s">
        <v>111</v>
      </c>
      <c r="O51" s="10" t="s">
        <v>111</v>
      </c>
      <c r="P51" s="10" t="s">
        <v>476</v>
      </c>
      <c r="Q51" s="10" t="s">
        <v>466</v>
      </c>
    </row>
    <row r="52" spans="1:17" s="11" customFormat="1" ht="11.25" x14ac:dyDescent="0.25">
      <c r="A52" s="10">
        <f t="shared" si="0"/>
        <v>48</v>
      </c>
      <c r="B52" s="10" t="s">
        <v>112</v>
      </c>
      <c r="C52" s="10" t="s">
        <v>75</v>
      </c>
      <c r="D52" s="10" t="s">
        <v>89</v>
      </c>
      <c r="E52" s="11" t="s">
        <v>90</v>
      </c>
      <c r="F52" s="11" t="s">
        <v>90</v>
      </c>
      <c r="G52" s="10" t="s">
        <v>13</v>
      </c>
      <c r="H52" s="10" t="s">
        <v>109</v>
      </c>
      <c r="I52" s="10" t="s">
        <v>457</v>
      </c>
      <c r="J52" s="10" t="s">
        <v>73</v>
      </c>
      <c r="K52" s="10" t="s">
        <v>110</v>
      </c>
      <c r="L52" s="10"/>
      <c r="M52" s="10"/>
      <c r="N52" s="10" t="s">
        <v>111</v>
      </c>
      <c r="O52" s="10" t="s">
        <v>111</v>
      </c>
      <c r="P52" s="10" t="s">
        <v>132</v>
      </c>
      <c r="Q52" s="10" t="s">
        <v>132</v>
      </c>
    </row>
    <row r="53" spans="1:17" s="11" customFormat="1" ht="22.5" x14ac:dyDescent="0.25">
      <c r="A53" s="10">
        <f t="shared" si="0"/>
        <v>49</v>
      </c>
      <c r="B53" s="10" t="s">
        <v>112</v>
      </c>
      <c r="C53" s="10" t="s">
        <v>75</v>
      </c>
      <c r="D53" s="10" t="s">
        <v>91</v>
      </c>
      <c r="E53" s="11" t="s">
        <v>344</v>
      </c>
      <c r="F53" s="11" t="s">
        <v>94</v>
      </c>
      <c r="G53" s="10" t="s">
        <v>11</v>
      </c>
      <c r="H53" s="10" t="s">
        <v>109</v>
      </c>
      <c r="I53" s="10" t="s">
        <v>457</v>
      </c>
      <c r="J53" s="10" t="s">
        <v>371</v>
      </c>
      <c r="K53" s="10" t="s">
        <v>110</v>
      </c>
      <c r="L53" s="10">
        <v>50</v>
      </c>
      <c r="M53" s="13" t="s">
        <v>342</v>
      </c>
      <c r="N53" s="10" t="s">
        <v>111</v>
      </c>
      <c r="O53" s="10" t="s">
        <v>111</v>
      </c>
      <c r="P53" s="10" t="s">
        <v>132</v>
      </c>
      <c r="Q53" s="10" t="s">
        <v>132</v>
      </c>
    </row>
    <row r="54" spans="1:17" s="11" customFormat="1" ht="22.5" x14ac:dyDescent="0.25">
      <c r="A54" s="10">
        <f t="shared" si="0"/>
        <v>50</v>
      </c>
      <c r="B54" s="10" t="s">
        <v>112</v>
      </c>
      <c r="C54" s="10" t="s">
        <v>75</v>
      </c>
      <c r="D54" s="10" t="s">
        <v>91</v>
      </c>
      <c r="E54" s="11" t="s">
        <v>346</v>
      </c>
      <c r="F54" s="11" t="s">
        <v>93</v>
      </c>
      <c r="G54" s="10" t="s">
        <v>11</v>
      </c>
      <c r="H54" s="10" t="s">
        <v>109</v>
      </c>
      <c r="I54" s="10" t="s">
        <v>457</v>
      </c>
      <c r="J54" s="10" t="s">
        <v>371</v>
      </c>
      <c r="K54" s="10" t="s">
        <v>110</v>
      </c>
      <c r="L54" s="10">
        <v>16</v>
      </c>
      <c r="M54" s="12" t="s">
        <v>343</v>
      </c>
      <c r="N54" s="10" t="s">
        <v>111</v>
      </c>
      <c r="O54" s="10" t="s">
        <v>111</v>
      </c>
      <c r="P54" s="10" t="s">
        <v>132</v>
      </c>
      <c r="Q54" s="10" t="s">
        <v>132</v>
      </c>
    </row>
    <row r="55" spans="1:17" s="11" customFormat="1" ht="22.5" x14ac:dyDescent="0.25">
      <c r="A55" s="10">
        <f t="shared" si="0"/>
        <v>51</v>
      </c>
      <c r="B55" s="10" t="s">
        <v>112</v>
      </c>
      <c r="C55" s="10" t="s">
        <v>75</v>
      </c>
      <c r="D55" s="10" t="s">
        <v>91</v>
      </c>
      <c r="E55" s="11" t="s">
        <v>347</v>
      </c>
      <c r="F55" s="11" t="s">
        <v>92</v>
      </c>
      <c r="G55" s="10" t="s">
        <v>13</v>
      </c>
      <c r="H55" s="10" t="s">
        <v>109</v>
      </c>
      <c r="I55" s="10" t="s">
        <v>457</v>
      </c>
      <c r="J55" s="10" t="s">
        <v>371</v>
      </c>
      <c r="K55" s="10" t="s">
        <v>110</v>
      </c>
      <c r="L55" s="10"/>
      <c r="M55" s="10"/>
      <c r="N55" s="10" t="s">
        <v>111</v>
      </c>
      <c r="O55" s="10" t="s">
        <v>111</v>
      </c>
      <c r="P55" s="10" t="s">
        <v>132</v>
      </c>
      <c r="Q55" s="10" t="s">
        <v>132</v>
      </c>
    </row>
    <row r="56" spans="1:17" s="11" customFormat="1" ht="22.5" x14ac:dyDescent="0.25">
      <c r="A56" s="10">
        <f t="shared" si="0"/>
        <v>52</v>
      </c>
      <c r="B56" s="10" t="s">
        <v>112</v>
      </c>
      <c r="C56" s="10" t="s">
        <v>75</v>
      </c>
      <c r="D56" s="10" t="s">
        <v>91</v>
      </c>
      <c r="E56" s="11" t="s">
        <v>95</v>
      </c>
      <c r="F56" s="11" t="s">
        <v>95</v>
      </c>
      <c r="G56" s="10" t="s">
        <v>13</v>
      </c>
      <c r="H56" s="10" t="s">
        <v>109</v>
      </c>
      <c r="I56" s="10" t="s">
        <v>457</v>
      </c>
      <c r="J56" s="10" t="s">
        <v>371</v>
      </c>
      <c r="K56" s="10" t="s">
        <v>110</v>
      </c>
      <c r="L56" s="10"/>
      <c r="M56" s="10"/>
      <c r="N56" s="10" t="s">
        <v>111</v>
      </c>
      <c r="O56" s="10" t="s">
        <v>111</v>
      </c>
      <c r="P56" s="10" t="s">
        <v>132</v>
      </c>
      <c r="Q56" s="10" t="s">
        <v>132</v>
      </c>
    </row>
    <row r="57" spans="1:17" s="11" customFormat="1" ht="33.75" x14ac:dyDescent="0.25">
      <c r="A57" s="10">
        <f t="shared" si="0"/>
        <v>53</v>
      </c>
      <c r="B57" s="10" t="s">
        <v>112</v>
      </c>
      <c r="C57" s="10" t="s">
        <v>75</v>
      </c>
      <c r="D57" s="10" t="s">
        <v>96</v>
      </c>
      <c r="E57" s="11" t="s">
        <v>97</v>
      </c>
      <c r="F57" s="11" t="s">
        <v>97</v>
      </c>
      <c r="G57" s="10" t="s">
        <v>13</v>
      </c>
      <c r="H57" s="10" t="s">
        <v>109</v>
      </c>
      <c r="I57" s="10" t="s">
        <v>457</v>
      </c>
      <c r="J57" s="10" t="s">
        <v>73</v>
      </c>
      <c r="K57" s="10" t="s">
        <v>286</v>
      </c>
      <c r="L57" s="10"/>
      <c r="M57" s="10"/>
      <c r="N57" s="10" t="s">
        <v>111</v>
      </c>
      <c r="O57" s="10" t="s">
        <v>111</v>
      </c>
      <c r="P57" s="10" t="s">
        <v>132</v>
      </c>
      <c r="Q57" s="10" t="s">
        <v>132</v>
      </c>
    </row>
    <row r="58" spans="1:17" s="11" customFormat="1" ht="22.5" x14ac:dyDescent="0.25">
      <c r="A58" s="10">
        <f t="shared" si="0"/>
        <v>54</v>
      </c>
      <c r="B58" s="10" t="s">
        <v>112</v>
      </c>
      <c r="C58" s="10" t="s">
        <v>75</v>
      </c>
      <c r="D58" s="10" t="s">
        <v>98</v>
      </c>
      <c r="E58" s="11" t="s">
        <v>99</v>
      </c>
      <c r="F58" s="11" t="s">
        <v>99</v>
      </c>
      <c r="G58" s="10" t="s">
        <v>13</v>
      </c>
      <c r="H58" s="10" t="s">
        <v>109</v>
      </c>
      <c r="I58" s="10" t="s">
        <v>457</v>
      </c>
      <c r="J58" s="10" t="s">
        <v>73</v>
      </c>
      <c r="K58" s="10" t="s">
        <v>110</v>
      </c>
      <c r="L58" s="10">
        <v>12</v>
      </c>
      <c r="M58" s="12" t="s">
        <v>343</v>
      </c>
      <c r="N58" s="10" t="s">
        <v>111</v>
      </c>
      <c r="O58" s="10" t="s">
        <v>111</v>
      </c>
      <c r="P58" s="10" t="s">
        <v>132</v>
      </c>
      <c r="Q58" s="10" t="s">
        <v>132</v>
      </c>
    </row>
    <row r="59" spans="1:17" s="11" customFormat="1" ht="22.5" x14ac:dyDescent="0.25">
      <c r="A59" s="10">
        <f t="shared" si="0"/>
        <v>55</v>
      </c>
      <c r="B59" s="10" t="s">
        <v>112</v>
      </c>
      <c r="C59" s="10" t="s">
        <v>75</v>
      </c>
      <c r="D59" s="10" t="s">
        <v>98</v>
      </c>
      <c r="E59" s="11" t="s">
        <v>100</v>
      </c>
      <c r="F59" s="11" t="s">
        <v>100</v>
      </c>
      <c r="G59" s="10" t="s">
        <v>11</v>
      </c>
      <c r="H59" s="10" t="s">
        <v>109</v>
      </c>
      <c r="I59" s="10" t="s">
        <v>457</v>
      </c>
      <c r="J59" s="10" t="s">
        <v>371</v>
      </c>
      <c r="K59" s="10" t="s">
        <v>110</v>
      </c>
      <c r="L59" s="10"/>
      <c r="M59" s="10"/>
      <c r="N59" s="10" t="s">
        <v>111</v>
      </c>
      <c r="O59" s="10" t="s">
        <v>111</v>
      </c>
      <c r="P59" s="10" t="s">
        <v>132</v>
      </c>
      <c r="Q59" s="10" t="s">
        <v>132</v>
      </c>
    </row>
    <row r="60" spans="1:17" s="11" customFormat="1" ht="22.5" x14ac:dyDescent="0.25">
      <c r="A60" s="10">
        <f t="shared" si="0"/>
        <v>56</v>
      </c>
      <c r="B60" s="10" t="s">
        <v>112</v>
      </c>
      <c r="C60" s="10" t="s">
        <v>75</v>
      </c>
      <c r="D60" s="10" t="s">
        <v>96</v>
      </c>
      <c r="E60" s="11" t="s">
        <v>101</v>
      </c>
      <c r="F60" s="11" t="s">
        <v>101</v>
      </c>
      <c r="G60" s="10" t="s">
        <v>13</v>
      </c>
      <c r="H60" s="10" t="s">
        <v>109</v>
      </c>
      <c r="I60" s="10" t="s">
        <v>457</v>
      </c>
      <c r="J60" s="10" t="s">
        <v>371</v>
      </c>
      <c r="K60" s="10" t="s">
        <v>110</v>
      </c>
      <c r="L60" s="10"/>
      <c r="M60" s="10"/>
      <c r="N60" s="10" t="s">
        <v>111</v>
      </c>
      <c r="O60" s="10" t="s">
        <v>111</v>
      </c>
      <c r="P60" s="10" t="s">
        <v>132</v>
      </c>
      <c r="Q60" s="10" t="s">
        <v>132</v>
      </c>
    </row>
    <row r="61" spans="1:17" s="11" customFormat="1" ht="22.5" x14ac:dyDescent="0.25">
      <c r="A61" s="10">
        <f t="shared" si="0"/>
        <v>57</v>
      </c>
      <c r="B61" s="10" t="s">
        <v>112</v>
      </c>
      <c r="C61" s="10" t="s">
        <v>75</v>
      </c>
      <c r="D61" s="10" t="s">
        <v>102</v>
      </c>
      <c r="E61" s="11" t="s">
        <v>348</v>
      </c>
      <c r="F61" s="11" t="s">
        <v>103</v>
      </c>
      <c r="G61" s="10" t="s">
        <v>11</v>
      </c>
      <c r="H61" s="10" t="s">
        <v>109</v>
      </c>
      <c r="I61" s="10" t="s">
        <v>457</v>
      </c>
      <c r="J61" s="10" t="s">
        <v>73</v>
      </c>
      <c r="K61" s="10" t="s">
        <v>110</v>
      </c>
      <c r="L61" s="10"/>
      <c r="M61" s="10"/>
      <c r="N61" s="10" t="s">
        <v>111</v>
      </c>
      <c r="O61" s="10" t="s">
        <v>111</v>
      </c>
      <c r="P61" s="10" t="s">
        <v>132</v>
      </c>
      <c r="Q61" s="10" t="s">
        <v>132</v>
      </c>
    </row>
    <row r="62" spans="1:17" s="11" customFormat="1" ht="22.5" x14ac:dyDescent="0.25">
      <c r="A62" s="10">
        <f t="shared" si="0"/>
        <v>58</v>
      </c>
      <c r="B62" s="10" t="s">
        <v>112</v>
      </c>
      <c r="C62" s="10" t="s">
        <v>75</v>
      </c>
      <c r="D62" s="10" t="s">
        <v>102</v>
      </c>
      <c r="E62" s="11" t="s">
        <v>349</v>
      </c>
      <c r="F62" s="11" t="s">
        <v>104</v>
      </c>
      <c r="G62" s="10" t="s">
        <v>11</v>
      </c>
      <c r="H62" s="10" t="s">
        <v>109</v>
      </c>
      <c r="I62" s="10" t="s">
        <v>457</v>
      </c>
      <c r="J62" s="10" t="s">
        <v>371</v>
      </c>
      <c r="K62" s="10" t="s">
        <v>110</v>
      </c>
      <c r="L62" s="10">
        <v>45</v>
      </c>
      <c r="M62" s="13" t="s">
        <v>342</v>
      </c>
      <c r="N62" s="10" t="s">
        <v>111</v>
      </c>
      <c r="O62" s="10" t="s">
        <v>111</v>
      </c>
      <c r="P62" s="10" t="s">
        <v>132</v>
      </c>
      <c r="Q62" s="10" t="s">
        <v>132</v>
      </c>
    </row>
    <row r="63" spans="1:17" s="11" customFormat="1" ht="22.5" x14ac:dyDescent="0.25">
      <c r="A63" s="10">
        <f t="shared" si="0"/>
        <v>59</v>
      </c>
      <c r="B63" s="10" t="s">
        <v>112</v>
      </c>
      <c r="C63" s="10" t="s">
        <v>75</v>
      </c>
      <c r="D63" s="10" t="s">
        <v>102</v>
      </c>
      <c r="E63" s="11" t="s">
        <v>345</v>
      </c>
      <c r="F63" s="11" t="s">
        <v>103</v>
      </c>
      <c r="G63" s="10" t="s">
        <v>11</v>
      </c>
      <c r="H63" s="10" t="s">
        <v>109</v>
      </c>
      <c r="I63" s="10" t="s">
        <v>457</v>
      </c>
      <c r="J63" s="10" t="s">
        <v>73</v>
      </c>
      <c r="K63" s="10" t="s">
        <v>110</v>
      </c>
      <c r="L63" s="10">
        <v>20</v>
      </c>
      <c r="M63" s="13" t="s">
        <v>342</v>
      </c>
      <c r="N63" s="10" t="s">
        <v>111</v>
      </c>
      <c r="O63" s="10" t="s">
        <v>111</v>
      </c>
      <c r="P63" s="10" t="s">
        <v>132</v>
      </c>
      <c r="Q63" s="10" t="s">
        <v>132</v>
      </c>
    </row>
    <row r="64" spans="1:17" s="11" customFormat="1" ht="22.5" x14ac:dyDescent="0.25">
      <c r="A64" s="10">
        <f t="shared" si="0"/>
        <v>60</v>
      </c>
      <c r="B64" s="10" t="s">
        <v>112</v>
      </c>
      <c r="C64" s="10" t="s">
        <v>75</v>
      </c>
      <c r="D64" s="10" t="s">
        <v>102</v>
      </c>
      <c r="E64" s="11" t="s">
        <v>350</v>
      </c>
      <c r="F64" s="11" t="s">
        <v>104</v>
      </c>
      <c r="G64" s="10" t="s">
        <v>11</v>
      </c>
      <c r="H64" s="10" t="s">
        <v>109</v>
      </c>
      <c r="I64" s="10" t="s">
        <v>457</v>
      </c>
      <c r="J64" s="10" t="s">
        <v>371</v>
      </c>
      <c r="K64" s="10" t="s">
        <v>110</v>
      </c>
      <c r="L64" s="10">
        <v>15</v>
      </c>
      <c r="M64" s="12" t="s">
        <v>343</v>
      </c>
      <c r="N64" s="10" t="s">
        <v>111</v>
      </c>
      <c r="O64" s="10" t="s">
        <v>111</v>
      </c>
      <c r="P64" s="10" t="s">
        <v>132</v>
      </c>
      <c r="Q64" s="10" t="s">
        <v>132</v>
      </c>
    </row>
    <row r="65" spans="1:17" s="11" customFormat="1" ht="33.75" x14ac:dyDescent="0.25">
      <c r="A65" s="10">
        <f t="shared" si="0"/>
        <v>61</v>
      </c>
      <c r="B65" s="10" t="s">
        <v>112</v>
      </c>
      <c r="C65" s="10" t="s">
        <v>75</v>
      </c>
      <c r="D65" s="10" t="s">
        <v>105</v>
      </c>
      <c r="E65" s="11" t="s">
        <v>106</v>
      </c>
      <c r="F65" s="11" t="s">
        <v>106</v>
      </c>
      <c r="G65" s="10" t="s">
        <v>11</v>
      </c>
      <c r="H65" s="10" t="s">
        <v>109</v>
      </c>
      <c r="I65" s="10" t="s">
        <v>457</v>
      </c>
      <c r="J65" s="10" t="s">
        <v>371</v>
      </c>
      <c r="K65" s="10" t="s">
        <v>110</v>
      </c>
      <c r="L65" s="10"/>
      <c r="M65" s="10"/>
      <c r="N65" s="10" t="s">
        <v>111</v>
      </c>
      <c r="O65" s="10" t="s">
        <v>111</v>
      </c>
      <c r="P65" s="10" t="s">
        <v>132</v>
      </c>
      <c r="Q65" s="10" t="s">
        <v>132</v>
      </c>
    </row>
    <row r="66" spans="1:17" s="11" customFormat="1" ht="22.5" x14ac:dyDescent="0.25">
      <c r="A66" s="10">
        <f t="shared" si="0"/>
        <v>62</v>
      </c>
      <c r="B66" s="10" t="s">
        <v>112</v>
      </c>
      <c r="C66" s="10" t="s">
        <v>75</v>
      </c>
      <c r="D66" s="10" t="s">
        <v>105</v>
      </c>
      <c r="E66" s="11" t="s">
        <v>107</v>
      </c>
      <c r="F66" s="11" t="s">
        <v>107</v>
      </c>
      <c r="G66" s="10" t="s">
        <v>11</v>
      </c>
      <c r="H66" s="10" t="s">
        <v>109</v>
      </c>
      <c r="I66" s="10" t="s">
        <v>457</v>
      </c>
      <c r="J66" s="10" t="s">
        <v>371</v>
      </c>
      <c r="K66" s="10" t="s">
        <v>110</v>
      </c>
      <c r="L66" s="10"/>
      <c r="M66" s="10"/>
      <c r="N66" s="10" t="s">
        <v>111</v>
      </c>
      <c r="O66" s="10" t="s">
        <v>111</v>
      </c>
      <c r="P66" s="10" t="s">
        <v>132</v>
      </c>
      <c r="Q66" s="10" t="s">
        <v>132</v>
      </c>
    </row>
    <row r="67" spans="1:17" s="11" customFormat="1" ht="22.5" x14ac:dyDescent="0.25">
      <c r="A67" s="10">
        <f t="shared" si="0"/>
        <v>63</v>
      </c>
      <c r="B67" s="10" t="s">
        <v>112</v>
      </c>
      <c r="C67" s="10" t="s">
        <v>75</v>
      </c>
      <c r="D67" s="10" t="s">
        <v>19</v>
      </c>
      <c r="E67" s="15" t="s">
        <v>407</v>
      </c>
      <c r="F67" s="11" t="s">
        <v>108</v>
      </c>
      <c r="G67" s="10" t="s">
        <v>13</v>
      </c>
      <c r="H67" s="10" t="s">
        <v>109</v>
      </c>
      <c r="I67" s="10" t="s">
        <v>457</v>
      </c>
      <c r="J67" s="10" t="s">
        <v>371</v>
      </c>
      <c r="K67" s="10" t="s">
        <v>110</v>
      </c>
      <c r="L67" s="10"/>
      <c r="M67" s="10"/>
      <c r="N67" s="10" t="s">
        <v>111</v>
      </c>
      <c r="O67" s="10" t="s">
        <v>111</v>
      </c>
      <c r="P67" s="10" t="s">
        <v>132</v>
      </c>
      <c r="Q67" s="10" t="s">
        <v>132</v>
      </c>
    </row>
    <row r="68" spans="1:17" s="11" customFormat="1" ht="45" x14ac:dyDescent="0.25">
      <c r="A68" s="10">
        <f t="shared" si="0"/>
        <v>64</v>
      </c>
      <c r="B68" s="10" t="s">
        <v>129</v>
      </c>
      <c r="C68" s="10" t="s">
        <v>113</v>
      </c>
      <c r="D68" s="10" t="s">
        <v>114</v>
      </c>
      <c r="E68" s="11" t="s">
        <v>121</v>
      </c>
      <c r="F68" s="11" t="s">
        <v>122</v>
      </c>
      <c r="G68" s="10" t="s">
        <v>13</v>
      </c>
      <c r="H68" s="10" t="s">
        <v>109</v>
      </c>
      <c r="I68" s="10" t="s">
        <v>459</v>
      </c>
      <c r="J68" s="10" t="s">
        <v>73</v>
      </c>
      <c r="K68" s="10" t="s">
        <v>110</v>
      </c>
      <c r="L68" s="10"/>
      <c r="M68" s="10"/>
      <c r="N68" s="10" t="s">
        <v>111</v>
      </c>
      <c r="O68" s="10" t="s">
        <v>111</v>
      </c>
      <c r="P68" s="10" t="s">
        <v>132</v>
      </c>
      <c r="Q68" s="10" t="s">
        <v>132</v>
      </c>
    </row>
    <row r="69" spans="1:17" s="11" customFormat="1" ht="11.25" x14ac:dyDescent="0.25">
      <c r="A69" s="10">
        <f t="shared" si="0"/>
        <v>65</v>
      </c>
      <c r="B69" s="10" t="s">
        <v>129</v>
      </c>
      <c r="C69" s="10" t="s">
        <v>113</v>
      </c>
      <c r="D69" s="10" t="s">
        <v>114</v>
      </c>
      <c r="E69" s="11" t="s">
        <v>284</v>
      </c>
      <c r="F69" s="11" t="s">
        <v>285</v>
      </c>
      <c r="G69" s="10" t="s">
        <v>13</v>
      </c>
      <c r="H69" s="10" t="s">
        <v>109</v>
      </c>
      <c r="I69" s="10" t="s">
        <v>459</v>
      </c>
      <c r="J69" s="10" t="s">
        <v>73</v>
      </c>
      <c r="K69" s="10" t="s">
        <v>110</v>
      </c>
      <c r="L69" s="10"/>
      <c r="M69" s="10"/>
      <c r="N69" s="10" t="s">
        <v>111</v>
      </c>
      <c r="O69" s="10" t="s">
        <v>111</v>
      </c>
      <c r="P69" s="10" t="s">
        <v>132</v>
      </c>
      <c r="Q69" s="10" t="s">
        <v>132</v>
      </c>
    </row>
    <row r="70" spans="1:17" s="11" customFormat="1" ht="22.5" x14ac:dyDescent="0.25">
      <c r="A70" s="10">
        <f t="shared" si="0"/>
        <v>66</v>
      </c>
      <c r="B70" s="10" t="s">
        <v>129</v>
      </c>
      <c r="C70" s="10" t="s">
        <v>113</v>
      </c>
      <c r="D70" s="10" t="s">
        <v>114</v>
      </c>
      <c r="E70" s="11" t="s">
        <v>115</v>
      </c>
      <c r="F70" s="11" t="s">
        <v>123</v>
      </c>
      <c r="G70" s="10" t="s">
        <v>13</v>
      </c>
      <c r="H70" s="10" t="s">
        <v>109</v>
      </c>
      <c r="I70" s="10" t="s">
        <v>459</v>
      </c>
      <c r="J70" s="10" t="s">
        <v>73</v>
      </c>
      <c r="K70" s="10" t="s">
        <v>110</v>
      </c>
      <c r="L70" s="10">
        <v>19</v>
      </c>
      <c r="M70" s="12" t="s">
        <v>343</v>
      </c>
      <c r="N70" s="10" t="s">
        <v>111</v>
      </c>
      <c r="O70" s="10" t="s">
        <v>111</v>
      </c>
      <c r="P70" s="10" t="s">
        <v>132</v>
      </c>
      <c r="Q70" s="10" t="s">
        <v>132</v>
      </c>
    </row>
    <row r="71" spans="1:17" s="11" customFormat="1" ht="22.5" x14ac:dyDescent="0.25">
      <c r="A71" s="10">
        <f t="shared" ref="A71:A134" si="1">A70 + 1</f>
        <v>67</v>
      </c>
      <c r="B71" s="10" t="s">
        <v>129</v>
      </c>
      <c r="C71" s="10" t="s">
        <v>113</v>
      </c>
      <c r="D71" s="10" t="s">
        <v>114</v>
      </c>
      <c r="E71" s="11" t="s">
        <v>116</v>
      </c>
      <c r="F71" s="11" t="s">
        <v>124</v>
      </c>
      <c r="G71" s="10" t="s">
        <v>13</v>
      </c>
      <c r="H71" s="10" t="s">
        <v>109</v>
      </c>
      <c r="I71" s="10" t="s">
        <v>459</v>
      </c>
      <c r="J71" s="10" t="s">
        <v>73</v>
      </c>
      <c r="K71" s="10" t="s">
        <v>110</v>
      </c>
      <c r="L71" s="10">
        <v>21</v>
      </c>
      <c r="M71" s="12" t="s">
        <v>343</v>
      </c>
      <c r="N71" s="10" t="s">
        <v>111</v>
      </c>
      <c r="O71" s="10" t="s">
        <v>111</v>
      </c>
      <c r="P71" s="10" t="s">
        <v>132</v>
      </c>
      <c r="Q71" s="10" t="s">
        <v>132</v>
      </c>
    </row>
    <row r="72" spans="1:17" s="11" customFormat="1" ht="22.5" x14ac:dyDescent="0.25">
      <c r="A72" s="10">
        <f t="shared" si="1"/>
        <v>68</v>
      </c>
      <c r="B72" s="10" t="s">
        <v>129</v>
      </c>
      <c r="C72" s="10" t="s">
        <v>113</v>
      </c>
      <c r="D72" s="10" t="s">
        <v>114</v>
      </c>
      <c r="E72" s="11" t="s">
        <v>117</v>
      </c>
      <c r="F72" s="11" t="s">
        <v>125</v>
      </c>
      <c r="G72" s="10" t="s">
        <v>13</v>
      </c>
      <c r="H72" s="10" t="s">
        <v>109</v>
      </c>
      <c r="I72" s="10" t="s">
        <v>459</v>
      </c>
      <c r="J72" s="10" t="s">
        <v>73</v>
      </c>
      <c r="K72" s="10" t="s">
        <v>110</v>
      </c>
      <c r="L72" s="10"/>
      <c r="M72" s="10"/>
      <c r="N72" s="10" t="s">
        <v>111</v>
      </c>
      <c r="O72" s="10" t="s">
        <v>111</v>
      </c>
      <c r="P72" s="10" t="s">
        <v>132</v>
      </c>
      <c r="Q72" s="10" t="s">
        <v>132</v>
      </c>
    </row>
    <row r="73" spans="1:17" s="11" customFormat="1" ht="22.5" x14ac:dyDescent="0.25">
      <c r="A73" s="10">
        <f t="shared" si="1"/>
        <v>69</v>
      </c>
      <c r="B73" s="10" t="s">
        <v>129</v>
      </c>
      <c r="C73" s="10" t="s">
        <v>113</v>
      </c>
      <c r="D73" s="10" t="s">
        <v>114</v>
      </c>
      <c r="E73" s="11" t="s">
        <v>118</v>
      </c>
      <c r="F73" s="11" t="s">
        <v>126</v>
      </c>
      <c r="G73" s="10" t="s">
        <v>13</v>
      </c>
      <c r="H73" s="10" t="s">
        <v>109</v>
      </c>
      <c r="I73" s="10" t="s">
        <v>459</v>
      </c>
      <c r="J73" s="10" t="s">
        <v>73</v>
      </c>
      <c r="K73" s="10" t="s">
        <v>110</v>
      </c>
      <c r="L73" s="10"/>
      <c r="M73" s="10"/>
      <c r="N73" s="10" t="s">
        <v>111</v>
      </c>
      <c r="O73" s="10" t="s">
        <v>111</v>
      </c>
      <c r="P73" s="10" t="s">
        <v>132</v>
      </c>
      <c r="Q73" s="10" t="s">
        <v>132</v>
      </c>
    </row>
    <row r="74" spans="1:17" s="11" customFormat="1" ht="22.5" x14ac:dyDescent="0.25">
      <c r="A74" s="10">
        <f t="shared" si="1"/>
        <v>70</v>
      </c>
      <c r="B74" s="10" t="s">
        <v>129</v>
      </c>
      <c r="C74" s="10" t="s">
        <v>113</v>
      </c>
      <c r="D74" s="10" t="s">
        <v>114</v>
      </c>
      <c r="E74" s="11" t="s">
        <v>119</v>
      </c>
      <c r="F74" s="11" t="s">
        <v>127</v>
      </c>
      <c r="G74" s="10" t="s">
        <v>13</v>
      </c>
      <c r="H74" s="10" t="s">
        <v>109</v>
      </c>
      <c r="I74" s="10" t="s">
        <v>459</v>
      </c>
      <c r="J74" s="10" t="s">
        <v>73</v>
      </c>
      <c r="K74" s="10" t="s">
        <v>110</v>
      </c>
      <c r="L74" s="10"/>
      <c r="M74" s="10"/>
      <c r="N74" s="10" t="s">
        <v>111</v>
      </c>
      <c r="O74" s="10" t="s">
        <v>111</v>
      </c>
      <c r="P74" s="10" t="s">
        <v>132</v>
      </c>
      <c r="Q74" s="10" t="s">
        <v>132</v>
      </c>
    </row>
    <row r="75" spans="1:17" s="11" customFormat="1" ht="22.5" x14ac:dyDescent="0.25">
      <c r="A75" s="10">
        <f t="shared" si="1"/>
        <v>71</v>
      </c>
      <c r="B75" s="10" t="s">
        <v>129</v>
      </c>
      <c r="C75" s="10" t="s">
        <v>113</v>
      </c>
      <c r="D75" s="10" t="s">
        <v>114</v>
      </c>
      <c r="E75" s="11" t="s">
        <v>120</v>
      </c>
      <c r="F75" s="11" t="s">
        <v>128</v>
      </c>
      <c r="G75" s="10" t="s">
        <v>13</v>
      </c>
      <c r="H75" s="10" t="s">
        <v>109</v>
      </c>
      <c r="I75" s="10" t="s">
        <v>459</v>
      </c>
      <c r="J75" s="10" t="s">
        <v>73</v>
      </c>
      <c r="K75" s="10" t="s">
        <v>110</v>
      </c>
      <c r="L75" s="10"/>
      <c r="M75" s="10"/>
      <c r="N75" s="10" t="s">
        <v>111</v>
      </c>
      <c r="O75" s="10" t="s">
        <v>111</v>
      </c>
      <c r="P75" s="10" t="s">
        <v>132</v>
      </c>
      <c r="Q75" s="10" t="s">
        <v>132</v>
      </c>
    </row>
    <row r="76" spans="1:17" s="11" customFormat="1" ht="22.5" x14ac:dyDescent="0.25">
      <c r="A76" s="10">
        <f t="shared" si="1"/>
        <v>72</v>
      </c>
      <c r="B76" s="10" t="s">
        <v>129</v>
      </c>
      <c r="C76" s="10" t="s">
        <v>130</v>
      </c>
      <c r="D76" s="10" t="s">
        <v>131</v>
      </c>
      <c r="E76" s="11" t="s">
        <v>258</v>
      </c>
      <c r="F76" s="11" t="s">
        <v>259</v>
      </c>
      <c r="G76" s="10" t="s">
        <v>11</v>
      </c>
      <c r="H76" s="10" t="s">
        <v>109</v>
      </c>
      <c r="I76" s="10" t="s">
        <v>459</v>
      </c>
      <c r="J76" s="10" t="s">
        <v>74</v>
      </c>
      <c r="K76" s="10" t="s">
        <v>110</v>
      </c>
      <c r="L76" s="10">
        <v>25</v>
      </c>
      <c r="M76" s="13" t="s">
        <v>342</v>
      </c>
      <c r="N76" s="10" t="s">
        <v>111</v>
      </c>
      <c r="O76" s="10" t="s">
        <v>111</v>
      </c>
      <c r="P76" s="10" t="s">
        <v>353</v>
      </c>
      <c r="Q76" s="10" t="s">
        <v>466</v>
      </c>
    </row>
    <row r="77" spans="1:17" s="11" customFormat="1" ht="22.5" x14ac:dyDescent="0.25">
      <c r="A77" s="10">
        <f t="shared" si="1"/>
        <v>73</v>
      </c>
      <c r="B77" s="10" t="s">
        <v>129</v>
      </c>
      <c r="C77" s="10" t="s">
        <v>130</v>
      </c>
      <c r="D77" s="10" t="s">
        <v>131</v>
      </c>
      <c r="E77" s="11" t="s">
        <v>385</v>
      </c>
      <c r="F77" s="11" t="s">
        <v>260</v>
      </c>
      <c r="G77" s="10" t="s">
        <v>11</v>
      </c>
      <c r="H77" s="10" t="s">
        <v>109</v>
      </c>
      <c r="I77" s="10" t="s">
        <v>459</v>
      </c>
      <c r="J77" s="10" t="s">
        <v>74</v>
      </c>
      <c r="K77" s="10" t="s">
        <v>110</v>
      </c>
      <c r="L77" s="10"/>
      <c r="M77" s="10"/>
      <c r="N77" s="10" t="s">
        <v>110</v>
      </c>
      <c r="O77" s="10" t="s">
        <v>110</v>
      </c>
      <c r="P77" s="10" t="s">
        <v>386</v>
      </c>
      <c r="Q77" s="10" t="s">
        <v>466</v>
      </c>
    </row>
    <row r="78" spans="1:17" s="11" customFormat="1" ht="11.25" x14ac:dyDescent="0.25">
      <c r="A78" s="10">
        <f t="shared" si="1"/>
        <v>74</v>
      </c>
      <c r="B78" s="10" t="s">
        <v>129</v>
      </c>
      <c r="C78" s="10" t="s">
        <v>130</v>
      </c>
      <c r="D78" s="10" t="s">
        <v>131</v>
      </c>
      <c r="E78" s="11" t="s">
        <v>383</v>
      </c>
      <c r="F78" s="11" t="s">
        <v>384</v>
      </c>
      <c r="G78" s="10" t="s">
        <v>11</v>
      </c>
      <c r="H78" s="10" t="s">
        <v>109</v>
      </c>
      <c r="I78" s="10" t="s">
        <v>459</v>
      </c>
      <c r="J78" s="10" t="s">
        <v>73</v>
      </c>
      <c r="K78" s="10" t="s">
        <v>110</v>
      </c>
      <c r="L78" s="10"/>
      <c r="M78" s="10"/>
      <c r="N78" s="10" t="s">
        <v>111</v>
      </c>
      <c r="O78" s="10" t="s">
        <v>111</v>
      </c>
      <c r="P78" s="10" t="s">
        <v>132</v>
      </c>
      <c r="Q78" s="10" t="s">
        <v>132</v>
      </c>
    </row>
    <row r="79" spans="1:17" s="11" customFormat="1" ht="11.25" x14ac:dyDescent="0.25">
      <c r="A79" s="10">
        <f t="shared" si="1"/>
        <v>75</v>
      </c>
      <c r="B79" s="10" t="s">
        <v>129</v>
      </c>
      <c r="C79" s="10" t="s">
        <v>130</v>
      </c>
      <c r="D79" s="10" t="s">
        <v>131</v>
      </c>
      <c r="E79" s="11" t="s">
        <v>133</v>
      </c>
      <c r="F79" s="11" t="s">
        <v>134</v>
      </c>
      <c r="G79" s="10" t="s">
        <v>11</v>
      </c>
      <c r="H79" s="10" t="s">
        <v>109</v>
      </c>
      <c r="I79" s="10" t="s">
        <v>459</v>
      </c>
      <c r="J79" s="10" t="s">
        <v>73</v>
      </c>
      <c r="K79" s="10" t="s">
        <v>110</v>
      </c>
      <c r="L79" s="10"/>
      <c r="M79" s="10"/>
      <c r="N79" s="10" t="s">
        <v>111</v>
      </c>
      <c r="O79" s="10" t="s">
        <v>111</v>
      </c>
      <c r="P79" s="10" t="s">
        <v>132</v>
      </c>
      <c r="Q79" s="10" t="s">
        <v>132</v>
      </c>
    </row>
    <row r="80" spans="1:17" s="11" customFormat="1" ht="22.5" x14ac:dyDescent="0.25">
      <c r="A80" s="10">
        <f t="shared" si="1"/>
        <v>76</v>
      </c>
      <c r="B80" s="10" t="s">
        <v>129</v>
      </c>
      <c r="C80" s="10" t="s">
        <v>130</v>
      </c>
      <c r="D80" s="10" t="s">
        <v>131</v>
      </c>
      <c r="E80" s="11" t="s">
        <v>135</v>
      </c>
      <c r="F80" s="11" t="s">
        <v>136</v>
      </c>
      <c r="G80" s="10" t="s">
        <v>11</v>
      </c>
      <c r="H80" s="10" t="s">
        <v>109</v>
      </c>
      <c r="I80" s="10" t="s">
        <v>459</v>
      </c>
      <c r="J80" s="10" t="s">
        <v>74</v>
      </c>
      <c r="K80" s="10" t="s">
        <v>110</v>
      </c>
      <c r="L80" s="10"/>
      <c r="M80" s="10"/>
      <c r="N80" s="10" t="s">
        <v>111</v>
      </c>
      <c r="O80" s="10" t="s">
        <v>111</v>
      </c>
      <c r="P80" s="10" t="s">
        <v>354</v>
      </c>
      <c r="Q80" s="10" t="s">
        <v>466</v>
      </c>
    </row>
    <row r="81" spans="1:17" s="11" customFormat="1" ht="22.5" x14ac:dyDescent="0.25">
      <c r="A81" s="10">
        <f t="shared" si="1"/>
        <v>77</v>
      </c>
      <c r="B81" s="10" t="s">
        <v>129</v>
      </c>
      <c r="C81" s="10" t="s">
        <v>130</v>
      </c>
      <c r="D81" s="10" t="s">
        <v>131</v>
      </c>
      <c r="E81" s="11" t="s">
        <v>382</v>
      </c>
      <c r="F81" s="11" t="s">
        <v>137</v>
      </c>
      <c r="G81" s="10" t="s">
        <v>11</v>
      </c>
      <c r="H81" s="10" t="s">
        <v>109</v>
      </c>
      <c r="I81" s="10" t="s">
        <v>459</v>
      </c>
      <c r="J81" s="10" t="s">
        <v>74</v>
      </c>
      <c r="K81" s="10" t="s">
        <v>110</v>
      </c>
      <c r="L81" s="10"/>
      <c r="M81" s="10"/>
      <c r="N81" s="10" t="s">
        <v>111</v>
      </c>
      <c r="O81" s="10" t="s">
        <v>111</v>
      </c>
      <c r="P81" s="10" t="s">
        <v>389</v>
      </c>
      <c r="Q81" s="10" t="s">
        <v>466</v>
      </c>
    </row>
    <row r="82" spans="1:17" s="11" customFormat="1" ht="22.5" x14ac:dyDescent="0.25">
      <c r="A82" s="10">
        <f t="shared" si="1"/>
        <v>78</v>
      </c>
      <c r="B82" s="10" t="s">
        <v>129</v>
      </c>
      <c r="C82" s="10" t="s">
        <v>130</v>
      </c>
      <c r="D82" s="10" t="s">
        <v>138</v>
      </c>
      <c r="E82" s="11" t="s">
        <v>139</v>
      </c>
      <c r="F82" s="11" t="s">
        <v>140</v>
      </c>
      <c r="G82" s="10" t="s">
        <v>11</v>
      </c>
      <c r="H82" s="10" t="s">
        <v>109</v>
      </c>
      <c r="I82" s="10" t="s">
        <v>459</v>
      </c>
      <c r="J82" s="10" t="s">
        <v>73</v>
      </c>
      <c r="K82" s="10" t="s">
        <v>110</v>
      </c>
      <c r="L82" s="10">
        <v>77</v>
      </c>
      <c r="M82" s="13" t="s">
        <v>342</v>
      </c>
      <c r="N82" s="10" t="s">
        <v>111</v>
      </c>
      <c r="O82" s="10" t="s">
        <v>111</v>
      </c>
      <c r="P82" s="10" t="s">
        <v>132</v>
      </c>
      <c r="Q82" s="10" t="s">
        <v>132</v>
      </c>
    </row>
    <row r="83" spans="1:17" s="11" customFormat="1" ht="22.5" x14ac:dyDescent="0.25">
      <c r="A83" s="10">
        <f t="shared" si="1"/>
        <v>79</v>
      </c>
      <c r="B83" s="10" t="s">
        <v>129</v>
      </c>
      <c r="C83" s="10" t="s">
        <v>130</v>
      </c>
      <c r="D83" s="10" t="s">
        <v>138</v>
      </c>
      <c r="E83" s="11" t="s">
        <v>141</v>
      </c>
      <c r="F83" s="11" t="s">
        <v>142</v>
      </c>
      <c r="G83" s="10" t="s">
        <v>11</v>
      </c>
      <c r="H83" s="10" t="s">
        <v>109</v>
      </c>
      <c r="I83" s="10" t="s">
        <v>459</v>
      </c>
      <c r="J83" s="10" t="s">
        <v>73</v>
      </c>
      <c r="K83" s="10" t="s">
        <v>110</v>
      </c>
      <c r="L83" s="10">
        <v>26</v>
      </c>
      <c r="M83" s="13" t="s">
        <v>342</v>
      </c>
      <c r="N83" s="10" t="s">
        <v>111</v>
      </c>
      <c r="O83" s="10" t="s">
        <v>111</v>
      </c>
      <c r="P83" s="10" t="s">
        <v>132</v>
      </c>
      <c r="Q83" s="10" t="s">
        <v>132</v>
      </c>
    </row>
    <row r="84" spans="1:17" s="11" customFormat="1" ht="22.5" x14ac:dyDescent="0.25">
      <c r="A84" s="10">
        <f t="shared" si="1"/>
        <v>80</v>
      </c>
      <c r="B84" s="10" t="s">
        <v>129</v>
      </c>
      <c r="C84" s="10" t="s">
        <v>130</v>
      </c>
      <c r="D84" s="10" t="s">
        <v>138</v>
      </c>
      <c r="E84" s="11" t="s">
        <v>143</v>
      </c>
      <c r="F84" s="11" t="s">
        <v>144</v>
      </c>
      <c r="G84" s="10" t="s">
        <v>13</v>
      </c>
      <c r="H84" s="10" t="s">
        <v>109</v>
      </c>
      <c r="I84" s="10" t="s">
        <v>459</v>
      </c>
      <c r="J84" s="10" t="s">
        <v>73</v>
      </c>
      <c r="K84" s="10" t="s">
        <v>110</v>
      </c>
      <c r="L84" s="10"/>
      <c r="M84" s="10"/>
      <c r="N84" s="10" t="s">
        <v>111</v>
      </c>
      <c r="O84" s="10" t="s">
        <v>111</v>
      </c>
      <c r="P84" s="10" t="s">
        <v>132</v>
      </c>
      <c r="Q84" s="10" t="s">
        <v>132</v>
      </c>
    </row>
    <row r="85" spans="1:17" s="11" customFormat="1" ht="22.5" x14ac:dyDescent="0.25">
      <c r="A85" s="10">
        <f t="shared" si="1"/>
        <v>81</v>
      </c>
      <c r="B85" s="10" t="s">
        <v>129</v>
      </c>
      <c r="C85" s="10" t="s">
        <v>130</v>
      </c>
      <c r="D85" s="10" t="s">
        <v>138</v>
      </c>
      <c r="E85" s="11" t="s">
        <v>145</v>
      </c>
      <c r="F85" s="11" t="s">
        <v>146</v>
      </c>
      <c r="G85" s="10" t="s">
        <v>11</v>
      </c>
      <c r="H85" s="10" t="s">
        <v>109</v>
      </c>
      <c r="I85" s="10" t="s">
        <v>459</v>
      </c>
      <c r="J85" s="10" t="s">
        <v>73</v>
      </c>
      <c r="K85" s="10" t="s">
        <v>110</v>
      </c>
      <c r="L85" s="10"/>
      <c r="M85" s="10"/>
      <c r="N85" s="10" t="s">
        <v>111</v>
      </c>
      <c r="O85" s="10" t="s">
        <v>111</v>
      </c>
      <c r="P85" s="10" t="s">
        <v>132</v>
      </c>
      <c r="Q85" s="10" t="s">
        <v>132</v>
      </c>
    </row>
    <row r="86" spans="1:17" s="11" customFormat="1" ht="22.5" x14ac:dyDescent="0.25">
      <c r="A86" s="10">
        <f t="shared" si="1"/>
        <v>82</v>
      </c>
      <c r="B86" s="10" t="s">
        <v>129</v>
      </c>
      <c r="C86" s="10" t="s">
        <v>130</v>
      </c>
      <c r="D86" s="10" t="s">
        <v>147</v>
      </c>
      <c r="E86" s="11" t="s">
        <v>148</v>
      </c>
      <c r="F86" s="11" t="s">
        <v>149</v>
      </c>
      <c r="G86" s="10" t="s">
        <v>13</v>
      </c>
      <c r="H86" s="10" t="s">
        <v>109</v>
      </c>
      <c r="I86" s="10" t="s">
        <v>463</v>
      </c>
      <c r="J86" s="10" t="s">
        <v>74</v>
      </c>
      <c r="K86" s="10" t="s">
        <v>110</v>
      </c>
      <c r="L86" s="10"/>
      <c r="M86" s="10"/>
      <c r="N86" s="10" t="s">
        <v>111</v>
      </c>
      <c r="O86" s="10" t="s">
        <v>111</v>
      </c>
      <c r="P86" s="10" t="s">
        <v>416</v>
      </c>
      <c r="Q86" s="10" t="s">
        <v>466</v>
      </c>
    </row>
    <row r="87" spans="1:17" s="11" customFormat="1" ht="11.25" x14ac:dyDescent="0.25">
      <c r="A87" s="10">
        <f t="shared" si="1"/>
        <v>83</v>
      </c>
      <c r="B87" s="10" t="s">
        <v>129</v>
      </c>
      <c r="C87" s="10" t="s">
        <v>130</v>
      </c>
      <c r="D87" s="10" t="s">
        <v>147</v>
      </c>
      <c r="E87" s="11" t="s">
        <v>220</v>
      </c>
      <c r="F87" s="11" t="s">
        <v>220</v>
      </c>
      <c r="G87" s="10" t="s">
        <v>13</v>
      </c>
      <c r="H87" s="10" t="s">
        <v>109</v>
      </c>
      <c r="I87" s="10" t="s">
        <v>463</v>
      </c>
      <c r="J87" s="10" t="s">
        <v>73</v>
      </c>
      <c r="K87" s="10" t="s">
        <v>110</v>
      </c>
      <c r="L87" s="10"/>
      <c r="M87" s="10"/>
      <c r="N87" s="10" t="s">
        <v>110</v>
      </c>
      <c r="O87" s="10" t="s">
        <v>111</v>
      </c>
      <c r="P87" s="10" t="s">
        <v>132</v>
      </c>
      <c r="Q87" s="10" t="s">
        <v>132</v>
      </c>
    </row>
    <row r="88" spans="1:17" s="11" customFormat="1" ht="22.5" x14ac:dyDescent="0.25">
      <c r="A88" s="10">
        <f t="shared" si="1"/>
        <v>84</v>
      </c>
      <c r="B88" s="10" t="s">
        <v>129</v>
      </c>
      <c r="C88" s="10" t="s">
        <v>130</v>
      </c>
      <c r="D88" s="10" t="s">
        <v>147</v>
      </c>
      <c r="E88" s="11" t="s">
        <v>219</v>
      </c>
      <c r="F88" s="11" t="s">
        <v>219</v>
      </c>
      <c r="G88" s="10" t="s">
        <v>13</v>
      </c>
      <c r="H88" s="10" t="s">
        <v>109</v>
      </c>
      <c r="I88" s="10" t="s">
        <v>463</v>
      </c>
      <c r="J88" s="10" t="s">
        <v>74</v>
      </c>
      <c r="K88" s="10" t="s">
        <v>110</v>
      </c>
      <c r="L88" s="10"/>
      <c r="M88" s="10"/>
      <c r="N88" s="10" t="s">
        <v>110</v>
      </c>
      <c r="O88" s="10" t="s">
        <v>111</v>
      </c>
      <c r="P88" s="10" t="s">
        <v>417</v>
      </c>
      <c r="Q88" s="10" t="s">
        <v>466</v>
      </c>
    </row>
    <row r="89" spans="1:17" s="11" customFormat="1" ht="11.25" x14ac:dyDescent="0.25">
      <c r="A89" s="10">
        <f t="shared" si="1"/>
        <v>85</v>
      </c>
      <c r="B89" s="10" t="s">
        <v>218</v>
      </c>
      <c r="C89" s="10" t="s">
        <v>130</v>
      </c>
      <c r="D89" s="10" t="s">
        <v>150</v>
      </c>
      <c r="E89" s="11" t="s">
        <v>151</v>
      </c>
      <c r="F89" s="11" t="s">
        <v>152</v>
      </c>
      <c r="G89" s="10" t="s">
        <v>13</v>
      </c>
      <c r="H89" s="10" t="s">
        <v>109</v>
      </c>
      <c r="I89" s="10" t="s">
        <v>460</v>
      </c>
      <c r="J89" s="10" t="s">
        <v>73</v>
      </c>
      <c r="K89" s="10" t="s">
        <v>110</v>
      </c>
      <c r="L89" s="10"/>
      <c r="M89" s="10"/>
      <c r="N89" s="10" t="s">
        <v>111</v>
      </c>
      <c r="O89" s="10" t="s">
        <v>111</v>
      </c>
      <c r="P89" s="10" t="s">
        <v>132</v>
      </c>
      <c r="Q89" s="10" t="s">
        <v>132</v>
      </c>
    </row>
    <row r="90" spans="1:17" s="11" customFormat="1" ht="22.5" x14ac:dyDescent="0.25">
      <c r="A90" s="10">
        <f t="shared" si="1"/>
        <v>86</v>
      </c>
      <c r="B90" s="10" t="s">
        <v>218</v>
      </c>
      <c r="C90" s="10" t="s">
        <v>130</v>
      </c>
      <c r="D90" s="10" t="s">
        <v>150</v>
      </c>
      <c r="E90" s="11" t="s">
        <v>153</v>
      </c>
      <c r="F90" s="11" t="s">
        <v>154</v>
      </c>
      <c r="G90" s="10" t="s">
        <v>13</v>
      </c>
      <c r="H90" s="10" t="s">
        <v>109</v>
      </c>
      <c r="I90" s="10" t="s">
        <v>460</v>
      </c>
      <c r="J90" s="10" t="s">
        <v>73</v>
      </c>
      <c r="K90" s="10" t="s">
        <v>110</v>
      </c>
      <c r="L90" s="10"/>
      <c r="M90" s="10"/>
      <c r="N90" s="10" t="s">
        <v>111</v>
      </c>
      <c r="O90" s="10" t="s">
        <v>111</v>
      </c>
      <c r="P90" s="10" t="s">
        <v>132</v>
      </c>
      <c r="Q90" s="10" t="s">
        <v>132</v>
      </c>
    </row>
    <row r="91" spans="1:17" s="11" customFormat="1" ht="11.25" x14ac:dyDescent="0.25">
      <c r="A91" s="10">
        <f t="shared" si="1"/>
        <v>87</v>
      </c>
      <c r="B91" s="10" t="s">
        <v>218</v>
      </c>
      <c r="C91" s="10" t="s">
        <v>130</v>
      </c>
      <c r="D91" s="10" t="s">
        <v>150</v>
      </c>
      <c r="E91" s="11" t="s">
        <v>155</v>
      </c>
      <c r="F91" s="11" t="s">
        <v>156</v>
      </c>
      <c r="G91" s="10" t="s">
        <v>13</v>
      </c>
      <c r="H91" s="10" t="s">
        <v>109</v>
      </c>
      <c r="I91" s="10" t="s">
        <v>460</v>
      </c>
      <c r="J91" s="10" t="s">
        <v>73</v>
      </c>
      <c r="K91" s="10" t="s">
        <v>286</v>
      </c>
      <c r="L91" s="10"/>
      <c r="M91" s="10"/>
      <c r="N91" s="10" t="s">
        <v>111</v>
      </c>
      <c r="O91" s="10" t="s">
        <v>111</v>
      </c>
      <c r="P91" s="10" t="s">
        <v>132</v>
      </c>
      <c r="Q91" s="10" t="s">
        <v>132</v>
      </c>
    </row>
    <row r="92" spans="1:17" s="11" customFormat="1" ht="22.5" x14ac:dyDescent="0.25">
      <c r="A92" s="10">
        <f t="shared" si="1"/>
        <v>88</v>
      </c>
      <c r="B92" s="10" t="s">
        <v>129</v>
      </c>
      <c r="C92" s="10" t="s">
        <v>113</v>
      </c>
      <c r="D92" s="10" t="s">
        <v>223</v>
      </c>
      <c r="E92" s="11" t="s">
        <v>221</v>
      </c>
      <c r="F92" s="11" t="s">
        <v>221</v>
      </c>
      <c r="G92" s="10" t="s">
        <v>223</v>
      </c>
      <c r="H92" s="10" t="s">
        <v>109</v>
      </c>
      <c r="I92" s="10" t="s">
        <v>463</v>
      </c>
      <c r="J92" s="10" t="s">
        <v>74</v>
      </c>
      <c r="K92" s="10" t="s">
        <v>110</v>
      </c>
      <c r="L92" s="10"/>
      <c r="M92" s="10"/>
      <c r="N92" s="10" t="s">
        <v>110</v>
      </c>
      <c r="O92" s="10" t="s">
        <v>111</v>
      </c>
      <c r="P92" s="10" t="s">
        <v>418</v>
      </c>
      <c r="Q92" s="10" t="s">
        <v>466</v>
      </c>
    </row>
    <row r="93" spans="1:17" s="11" customFormat="1" ht="22.5" x14ac:dyDescent="0.25">
      <c r="A93" s="10">
        <f t="shared" si="1"/>
        <v>89</v>
      </c>
      <c r="B93" s="10" t="s">
        <v>129</v>
      </c>
      <c r="C93" s="10" t="s">
        <v>130</v>
      </c>
      <c r="D93" s="10" t="s">
        <v>150</v>
      </c>
      <c r="E93" s="11" t="s">
        <v>157</v>
      </c>
      <c r="F93" s="11" t="s">
        <v>158</v>
      </c>
      <c r="G93" s="10" t="s">
        <v>13</v>
      </c>
      <c r="H93" s="10" t="s">
        <v>109</v>
      </c>
      <c r="I93" s="10" t="s">
        <v>463</v>
      </c>
      <c r="J93" s="10" t="s">
        <v>73</v>
      </c>
      <c r="K93" s="10" t="s">
        <v>110</v>
      </c>
      <c r="L93" s="10"/>
      <c r="M93" s="10"/>
      <c r="N93" s="10" t="s">
        <v>111</v>
      </c>
      <c r="O93" s="10" t="s">
        <v>111</v>
      </c>
      <c r="P93" s="10" t="s">
        <v>132</v>
      </c>
      <c r="Q93" s="10" t="s">
        <v>132</v>
      </c>
    </row>
    <row r="94" spans="1:17" s="11" customFormat="1" ht="22.5" x14ac:dyDescent="0.25">
      <c r="A94" s="10">
        <f t="shared" si="1"/>
        <v>90</v>
      </c>
      <c r="B94" s="10" t="s">
        <v>129</v>
      </c>
      <c r="C94" s="10" t="s">
        <v>130</v>
      </c>
      <c r="D94" s="10" t="s">
        <v>150</v>
      </c>
      <c r="E94" s="11" t="s">
        <v>159</v>
      </c>
      <c r="F94" s="11" t="s">
        <v>160</v>
      </c>
      <c r="G94" s="10" t="s">
        <v>13</v>
      </c>
      <c r="H94" s="10" t="s">
        <v>109</v>
      </c>
      <c r="I94" s="10" t="s">
        <v>463</v>
      </c>
      <c r="J94" s="10" t="s">
        <v>73</v>
      </c>
      <c r="K94" s="10" t="s">
        <v>110</v>
      </c>
      <c r="L94" s="10"/>
      <c r="M94" s="10"/>
      <c r="N94" s="10" t="s">
        <v>111</v>
      </c>
      <c r="O94" s="10" t="s">
        <v>111</v>
      </c>
      <c r="P94" s="10" t="s">
        <v>132</v>
      </c>
      <c r="Q94" s="10" t="s">
        <v>132</v>
      </c>
    </row>
    <row r="95" spans="1:17" s="11" customFormat="1" ht="33.75" x14ac:dyDescent="0.25">
      <c r="A95" s="10">
        <f t="shared" si="1"/>
        <v>91</v>
      </c>
      <c r="B95" s="10" t="s">
        <v>129</v>
      </c>
      <c r="C95" s="10" t="s">
        <v>130</v>
      </c>
      <c r="D95" s="10" t="s">
        <v>150</v>
      </c>
      <c r="E95" s="11" t="s">
        <v>161</v>
      </c>
      <c r="F95" s="11" t="s">
        <v>162</v>
      </c>
      <c r="G95" s="10" t="s">
        <v>13</v>
      </c>
      <c r="H95" s="10" t="s">
        <v>109</v>
      </c>
      <c r="I95" s="10" t="s">
        <v>463</v>
      </c>
      <c r="J95" s="10" t="s">
        <v>73</v>
      </c>
      <c r="K95" s="10" t="s">
        <v>110</v>
      </c>
      <c r="L95" s="10"/>
      <c r="M95" s="10"/>
      <c r="N95" s="10" t="s">
        <v>111</v>
      </c>
      <c r="O95" s="10" t="s">
        <v>111</v>
      </c>
      <c r="P95" s="10" t="s">
        <v>132</v>
      </c>
      <c r="Q95" s="10" t="s">
        <v>132</v>
      </c>
    </row>
    <row r="96" spans="1:17" s="11" customFormat="1" ht="22.5" x14ac:dyDescent="0.25">
      <c r="A96" s="10">
        <f t="shared" si="1"/>
        <v>92</v>
      </c>
      <c r="B96" s="10" t="s">
        <v>129</v>
      </c>
      <c r="C96" s="10" t="s">
        <v>130</v>
      </c>
      <c r="D96" s="10" t="s">
        <v>150</v>
      </c>
      <c r="E96" s="11" t="s">
        <v>163</v>
      </c>
      <c r="F96" s="11" t="s">
        <v>163</v>
      </c>
      <c r="G96" s="10" t="s">
        <v>13</v>
      </c>
      <c r="H96" s="10" t="s">
        <v>109</v>
      </c>
      <c r="I96" s="10" t="s">
        <v>463</v>
      </c>
      <c r="J96" s="10" t="s">
        <v>73</v>
      </c>
      <c r="K96" s="10" t="s">
        <v>110</v>
      </c>
      <c r="L96" s="10"/>
      <c r="M96" s="10"/>
      <c r="N96" s="10" t="s">
        <v>111</v>
      </c>
      <c r="O96" s="10" t="s">
        <v>111</v>
      </c>
      <c r="P96" s="10" t="s">
        <v>132</v>
      </c>
      <c r="Q96" s="10" t="s">
        <v>132</v>
      </c>
    </row>
    <row r="97" spans="1:17" s="11" customFormat="1" ht="22.5" x14ac:dyDescent="0.25">
      <c r="A97" s="10">
        <f t="shared" si="1"/>
        <v>93</v>
      </c>
      <c r="B97" s="10" t="s">
        <v>129</v>
      </c>
      <c r="C97" s="10" t="s">
        <v>130</v>
      </c>
      <c r="D97" s="10" t="s">
        <v>150</v>
      </c>
      <c r="E97" s="11" t="s">
        <v>164</v>
      </c>
      <c r="F97" s="11" t="s">
        <v>164</v>
      </c>
      <c r="G97" s="10" t="s">
        <v>13</v>
      </c>
      <c r="H97" s="10" t="s">
        <v>109</v>
      </c>
      <c r="I97" s="10" t="s">
        <v>463</v>
      </c>
      <c r="J97" s="10" t="s">
        <v>73</v>
      </c>
      <c r="K97" s="10" t="s">
        <v>110</v>
      </c>
      <c r="L97" s="10"/>
      <c r="M97" s="10"/>
      <c r="N97" s="10" t="s">
        <v>111</v>
      </c>
      <c r="O97" s="10" t="s">
        <v>111</v>
      </c>
      <c r="P97" s="10" t="s">
        <v>132</v>
      </c>
      <c r="Q97" s="10" t="s">
        <v>132</v>
      </c>
    </row>
    <row r="98" spans="1:17" s="11" customFormat="1" ht="22.5" x14ac:dyDescent="0.25">
      <c r="A98" s="10">
        <f t="shared" si="1"/>
        <v>94</v>
      </c>
      <c r="B98" s="10" t="s">
        <v>129</v>
      </c>
      <c r="C98" s="10" t="s">
        <v>130</v>
      </c>
      <c r="D98" s="10" t="s">
        <v>150</v>
      </c>
      <c r="E98" s="11" t="s">
        <v>165</v>
      </c>
      <c r="F98" s="11" t="s">
        <v>166</v>
      </c>
      <c r="G98" s="10" t="s">
        <v>13</v>
      </c>
      <c r="H98" s="10" t="s">
        <v>109</v>
      </c>
      <c r="I98" s="10" t="s">
        <v>463</v>
      </c>
      <c r="J98" s="10" t="s">
        <v>73</v>
      </c>
      <c r="K98" s="10" t="s">
        <v>110</v>
      </c>
      <c r="L98" s="10"/>
      <c r="M98" s="10"/>
      <c r="N98" s="10" t="s">
        <v>111</v>
      </c>
      <c r="O98" s="10" t="s">
        <v>111</v>
      </c>
      <c r="P98" s="10" t="s">
        <v>132</v>
      </c>
      <c r="Q98" s="10" t="s">
        <v>132</v>
      </c>
    </row>
    <row r="99" spans="1:17" s="11" customFormat="1" ht="11.25" x14ac:dyDescent="0.25">
      <c r="A99" s="10">
        <f t="shared" si="1"/>
        <v>95</v>
      </c>
      <c r="B99" s="10" t="s">
        <v>129</v>
      </c>
      <c r="C99" s="10" t="s">
        <v>130</v>
      </c>
      <c r="D99" s="10" t="s">
        <v>167</v>
      </c>
      <c r="E99" s="11" t="s">
        <v>168</v>
      </c>
      <c r="F99" s="11" t="s">
        <v>169</v>
      </c>
      <c r="G99" s="10" t="s">
        <v>11</v>
      </c>
      <c r="H99" s="10" t="s">
        <v>109</v>
      </c>
      <c r="I99" s="10" t="s">
        <v>460</v>
      </c>
      <c r="J99" s="10" t="s">
        <v>74</v>
      </c>
      <c r="K99" s="10" t="s">
        <v>110</v>
      </c>
      <c r="L99" s="10">
        <v>18</v>
      </c>
      <c r="M99" s="16" t="s">
        <v>343</v>
      </c>
      <c r="N99" s="10" t="s">
        <v>111</v>
      </c>
      <c r="O99" s="10" t="s">
        <v>111</v>
      </c>
      <c r="P99" s="10" t="s">
        <v>419</v>
      </c>
      <c r="Q99" s="10" t="s">
        <v>466</v>
      </c>
    </row>
    <row r="100" spans="1:17" s="11" customFormat="1" ht="22.5" x14ac:dyDescent="0.25">
      <c r="A100" s="10">
        <f t="shared" si="1"/>
        <v>96</v>
      </c>
      <c r="B100" s="10" t="s">
        <v>129</v>
      </c>
      <c r="C100" s="10" t="s">
        <v>130</v>
      </c>
      <c r="D100" s="10" t="s">
        <v>170</v>
      </c>
      <c r="E100" s="11" t="s">
        <v>171</v>
      </c>
      <c r="F100" s="11" t="s">
        <v>172</v>
      </c>
      <c r="G100" s="10" t="s">
        <v>13</v>
      </c>
      <c r="H100" s="10" t="s">
        <v>109</v>
      </c>
      <c r="I100" s="10" t="s">
        <v>460</v>
      </c>
      <c r="J100" s="10" t="s">
        <v>73</v>
      </c>
      <c r="K100" s="10" t="s">
        <v>110</v>
      </c>
      <c r="L100" s="10"/>
      <c r="M100" s="10"/>
      <c r="N100" s="10" t="s">
        <v>111</v>
      </c>
      <c r="O100" s="10" t="s">
        <v>111</v>
      </c>
      <c r="P100" s="10" t="s">
        <v>132</v>
      </c>
      <c r="Q100" s="10" t="s">
        <v>132</v>
      </c>
    </row>
    <row r="101" spans="1:17" s="11" customFormat="1" ht="22.5" x14ac:dyDescent="0.25">
      <c r="A101" s="10">
        <f t="shared" si="1"/>
        <v>97</v>
      </c>
      <c r="B101" s="10" t="s">
        <v>129</v>
      </c>
      <c r="C101" s="10" t="s">
        <v>130</v>
      </c>
      <c r="D101" s="10" t="s">
        <v>170</v>
      </c>
      <c r="E101" s="11" t="s">
        <v>261</v>
      </c>
      <c r="F101" s="11" t="s">
        <v>262</v>
      </c>
      <c r="G101" s="10" t="s">
        <v>13</v>
      </c>
      <c r="H101" s="10" t="s">
        <v>109</v>
      </c>
      <c r="I101" s="10" t="s">
        <v>460</v>
      </c>
      <c r="J101" s="10" t="s">
        <v>73</v>
      </c>
      <c r="K101" s="10" t="s">
        <v>110</v>
      </c>
      <c r="L101" s="10"/>
      <c r="M101" s="10"/>
      <c r="N101" s="10" t="s">
        <v>111</v>
      </c>
      <c r="O101" s="10" t="s">
        <v>111</v>
      </c>
      <c r="P101" s="10" t="s">
        <v>132</v>
      </c>
      <c r="Q101" s="10" t="s">
        <v>132</v>
      </c>
    </row>
    <row r="102" spans="1:17" s="11" customFormat="1" ht="22.5" x14ac:dyDescent="0.25">
      <c r="A102" s="10">
        <f t="shared" si="1"/>
        <v>98</v>
      </c>
      <c r="B102" s="10" t="s">
        <v>129</v>
      </c>
      <c r="C102" s="10" t="s">
        <v>130</v>
      </c>
      <c r="D102" s="10" t="s">
        <v>170</v>
      </c>
      <c r="E102" s="11" t="s">
        <v>173</v>
      </c>
      <c r="F102" s="11" t="s">
        <v>174</v>
      </c>
      <c r="G102" s="10" t="s">
        <v>13</v>
      </c>
      <c r="H102" s="10" t="s">
        <v>109</v>
      </c>
      <c r="I102" s="10" t="s">
        <v>460</v>
      </c>
      <c r="J102" s="10" t="s">
        <v>73</v>
      </c>
      <c r="K102" s="10" t="s">
        <v>110</v>
      </c>
      <c r="L102" s="10"/>
      <c r="M102" s="10"/>
      <c r="N102" s="10" t="s">
        <v>111</v>
      </c>
      <c r="O102" s="10" t="s">
        <v>111</v>
      </c>
      <c r="P102" s="10" t="s">
        <v>132</v>
      </c>
      <c r="Q102" s="10" t="s">
        <v>132</v>
      </c>
    </row>
    <row r="103" spans="1:17" s="11" customFormat="1" ht="22.5" x14ac:dyDescent="0.25">
      <c r="A103" s="10">
        <f t="shared" si="1"/>
        <v>99</v>
      </c>
      <c r="B103" s="10" t="s">
        <v>129</v>
      </c>
      <c r="C103" s="10" t="s">
        <v>113</v>
      </c>
      <c r="D103" s="10" t="s">
        <v>175</v>
      </c>
      <c r="E103" s="11" t="s">
        <v>293</v>
      </c>
      <c r="F103" s="11" t="s">
        <v>294</v>
      </c>
      <c r="G103" s="10" t="s">
        <v>13</v>
      </c>
      <c r="H103" s="10" t="s">
        <v>109</v>
      </c>
      <c r="I103" s="10" t="s">
        <v>463</v>
      </c>
      <c r="J103" s="10" t="s">
        <v>73</v>
      </c>
      <c r="K103" s="10" t="s">
        <v>110</v>
      </c>
      <c r="L103" s="10"/>
      <c r="M103" s="10"/>
      <c r="N103" s="10" t="s">
        <v>111</v>
      </c>
      <c r="O103" s="10" t="s">
        <v>111</v>
      </c>
      <c r="P103" s="10" t="s">
        <v>132</v>
      </c>
      <c r="Q103" s="10" t="s">
        <v>132</v>
      </c>
    </row>
    <row r="104" spans="1:17" s="11" customFormat="1" ht="22.5" x14ac:dyDescent="0.25">
      <c r="A104" s="10">
        <f t="shared" si="1"/>
        <v>100</v>
      </c>
      <c r="B104" s="10" t="s">
        <v>129</v>
      </c>
      <c r="C104" s="10" t="s">
        <v>113</v>
      </c>
      <c r="D104" s="10" t="s">
        <v>175</v>
      </c>
      <c r="E104" s="11" t="s">
        <v>176</v>
      </c>
      <c r="F104" s="11" t="s">
        <v>177</v>
      </c>
      <c r="G104" s="10" t="s">
        <v>13</v>
      </c>
      <c r="H104" s="10" t="s">
        <v>109</v>
      </c>
      <c r="I104" s="10" t="s">
        <v>463</v>
      </c>
      <c r="J104" s="10" t="s">
        <v>73</v>
      </c>
      <c r="K104" s="10" t="s">
        <v>110</v>
      </c>
      <c r="L104" s="10"/>
      <c r="M104" s="10"/>
      <c r="N104" s="10" t="s">
        <v>111</v>
      </c>
      <c r="O104" s="10" t="s">
        <v>111</v>
      </c>
      <c r="P104" s="10" t="s">
        <v>132</v>
      </c>
      <c r="Q104" s="10" t="s">
        <v>132</v>
      </c>
    </row>
    <row r="105" spans="1:17" s="11" customFormat="1" ht="22.5" x14ac:dyDescent="0.25">
      <c r="A105" s="10">
        <f t="shared" si="1"/>
        <v>101</v>
      </c>
      <c r="B105" s="10" t="s">
        <v>129</v>
      </c>
      <c r="C105" s="10" t="s">
        <v>113</v>
      </c>
      <c r="D105" s="10" t="s">
        <v>175</v>
      </c>
      <c r="E105" s="11" t="s">
        <v>178</v>
      </c>
      <c r="F105" s="11" t="s">
        <v>179</v>
      </c>
      <c r="G105" s="10" t="s">
        <v>13</v>
      </c>
      <c r="H105" s="10" t="s">
        <v>109</v>
      </c>
      <c r="I105" s="10" t="s">
        <v>463</v>
      </c>
      <c r="J105" s="10" t="s">
        <v>73</v>
      </c>
      <c r="K105" s="10" t="s">
        <v>110</v>
      </c>
      <c r="L105" s="10"/>
      <c r="M105" s="10"/>
      <c r="N105" s="10" t="s">
        <v>111</v>
      </c>
      <c r="O105" s="10" t="s">
        <v>111</v>
      </c>
      <c r="P105" s="10" t="s">
        <v>132</v>
      </c>
      <c r="Q105" s="10" t="s">
        <v>132</v>
      </c>
    </row>
    <row r="106" spans="1:17" s="11" customFormat="1" ht="22.5" x14ac:dyDescent="0.25">
      <c r="A106" s="10">
        <f t="shared" si="1"/>
        <v>102</v>
      </c>
      <c r="B106" s="10" t="s">
        <v>129</v>
      </c>
      <c r="C106" s="10" t="s">
        <v>113</v>
      </c>
      <c r="D106" s="10" t="s">
        <v>175</v>
      </c>
      <c r="E106" s="11" t="s">
        <v>180</v>
      </c>
      <c r="F106" s="11" t="s">
        <v>181</v>
      </c>
      <c r="G106" s="10" t="s">
        <v>13</v>
      </c>
      <c r="H106" s="10" t="s">
        <v>109</v>
      </c>
      <c r="I106" s="10" t="s">
        <v>463</v>
      </c>
      <c r="J106" s="10" t="s">
        <v>74</v>
      </c>
      <c r="K106" s="10" t="s">
        <v>110</v>
      </c>
      <c r="L106" s="10">
        <v>53</v>
      </c>
      <c r="M106" s="13" t="s">
        <v>342</v>
      </c>
      <c r="N106" s="10" t="s">
        <v>111</v>
      </c>
      <c r="O106" s="10" t="s">
        <v>111</v>
      </c>
      <c r="P106" s="10" t="s">
        <v>358</v>
      </c>
      <c r="Q106" s="10" t="s">
        <v>466</v>
      </c>
    </row>
    <row r="107" spans="1:17" s="11" customFormat="1" ht="22.5" x14ac:dyDescent="0.25">
      <c r="A107" s="10">
        <f t="shared" si="1"/>
        <v>103</v>
      </c>
      <c r="B107" s="10" t="s">
        <v>129</v>
      </c>
      <c r="C107" s="10" t="s">
        <v>113</v>
      </c>
      <c r="D107" s="10" t="s">
        <v>175</v>
      </c>
      <c r="E107" s="11" t="s">
        <v>182</v>
      </c>
      <c r="F107" s="11" t="s">
        <v>183</v>
      </c>
      <c r="G107" s="10" t="s">
        <v>13</v>
      </c>
      <c r="H107" s="10" t="s">
        <v>109</v>
      </c>
      <c r="I107" s="10" t="s">
        <v>463</v>
      </c>
      <c r="J107" s="10" t="s">
        <v>73</v>
      </c>
      <c r="K107" s="10" t="s">
        <v>110</v>
      </c>
      <c r="L107" s="10"/>
      <c r="M107" s="10"/>
      <c r="N107" s="10" t="s">
        <v>111</v>
      </c>
      <c r="O107" s="10" t="s">
        <v>111</v>
      </c>
      <c r="P107" s="10" t="s">
        <v>132</v>
      </c>
      <c r="Q107" s="10" t="s">
        <v>132</v>
      </c>
    </row>
    <row r="108" spans="1:17" s="11" customFormat="1" ht="22.5" x14ac:dyDescent="0.25">
      <c r="A108" s="10">
        <f t="shared" si="1"/>
        <v>104</v>
      </c>
      <c r="B108" s="10" t="s">
        <v>129</v>
      </c>
      <c r="C108" s="10" t="s">
        <v>130</v>
      </c>
      <c r="D108" s="10" t="s">
        <v>131</v>
      </c>
      <c r="E108" s="11" t="s">
        <v>351</v>
      </c>
      <c r="F108" s="11" t="s">
        <v>351</v>
      </c>
      <c r="G108" s="10" t="s">
        <v>11</v>
      </c>
      <c r="H108" s="10" t="s">
        <v>109</v>
      </c>
      <c r="I108" s="10" t="s">
        <v>459</v>
      </c>
      <c r="J108" s="10" t="s">
        <v>74</v>
      </c>
      <c r="K108" s="10" t="s">
        <v>110</v>
      </c>
      <c r="L108" s="10"/>
      <c r="M108" s="10"/>
      <c r="N108" s="10" t="s">
        <v>110</v>
      </c>
      <c r="O108" s="10" t="s">
        <v>110</v>
      </c>
      <c r="P108" s="10" t="s">
        <v>355</v>
      </c>
      <c r="Q108" s="10" t="s">
        <v>466</v>
      </c>
    </row>
    <row r="109" spans="1:17" s="11" customFormat="1" ht="11.25" x14ac:dyDescent="0.25">
      <c r="A109" s="10">
        <f t="shared" si="1"/>
        <v>105</v>
      </c>
      <c r="B109" s="10" t="s">
        <v>129</v>
      </c>
      <c r="C109" s="10" t="s">
        <v>113</v>
      </c>
      <c r="D109" s="10" t="s">
        <v>175</v>
      </c>
      <c r="E109" s="11" t="s">
        <v>184</v>
      </c>
      <c r="F109" s="11" t="s">
        <v>185</v>
      </c>
      <c r="G109" s="10" t="s">
        <v>13</v>
      </c>
      <c r="H109" s="10" t="s">
        <v>109</v>
      </c>
      <c r="I109" s="10" t="s">
        <v>459</v>
      </c>
      <c r="J109" s="10" t="s">
        <v>73</v>
      </c>
      <c r="K109" s="10" t="s">
        <v>110</v>
      </c>
      <c r="L109" s="10">
        <v>24</v>
      </c>
      <c r="M109" s="13" t="s">
        <v>342</v>
      </c>
      <c r="N109" s="10" t="s">
        <v>111</v>
      </c>
      <c r="O109" s="10" t="s">
        <v>111</v>
      </c>
      <c r="P109" s="10" t="s">
        <v>132</v>
      </c>
      <c r="Q109" s="10" t="s">
        <v>132</v>
      </c>
    </row>
    <row r="110" spans="1:17" s="11" customFormat="1" ht="33.75" x14ac:dyDescent="0.25">
      <c r="A110" s="10">
        <f t="shared" si="1"/>
        <v>106</v>
      </c>
      <c r="B110" s="10" t="s">
        <v>129</v>
      </c>
      <c r="C110" s="10" t="s">
        <v>113</v>
      </c>
      <c r="D110" s="10" t="s">
        <v>175</v>
      </c>
      <c r="E110" s="11" t="s">
        <v>186</v>
      </c>
      <c r="F110" s="11" t="s">
        <v>187</v>
      </c>
      <c r="G110" s="10" t="s">
        <v>13</v>
      </c>
      <c r="H110" s="10" t="s">
        <v>109</v>
      </c>
      <c r="I110" s="10" t="s">
        <v>463</v>
      </c>
      <c r="J110" s="10" t="s">
        <v>73</v>
      </c>
      <c r="K110" s="10" t="s">
        <v>110</v>
      </c>
      <c r="L110" s="10"/>
      <c r="M110" s="10"/>
      <c r="N110" s="10" t="s">
        <v>111</v>
      </c>
      <c r="O110" s="10" t="s">
        <v>111</v>
      </c>
      <c r="P110" s="10" t="s">
        <v>132</v>
      </c>
      <c r="Q110" s="10" t="s">
        <v>132</v>
      </c>
    </row>
    <row r="111" spans="1:17" s="11" customFormat="1" ht="22.5" x14ac:dyDescent="0.25">
      <c r="A111" s="10">
        <f t="shared" si="1"/>
        <v>107</v>
      </c>
      <c r="B111" s="10" t="s">
        <v>129</v>
      </c>
      <c r="C111" s="10" t="s">
        <v>113</v>
      </c>
      <c r="D111" s="10" t="s">
        <v>175</v>
      </c>
      <c r="E111" s="11" t="s">
        <v>188</v>
      </c>
      <c r="F111" s="11" t="s">
        <v>189</v>
      </c>
      <c r="G111" s="10" t="s">
        <v>13</v>
      </c>
      <c r="H111" s="10" t="s">
        <v>109</v>
      </c>
      <c r="I111" s="10" t="s">
        <v>463</v>
      </c>
      <c r="J111" s="10" t="s">
        <v>74</v>
      </c>
      <c r="K111" s="10" t="s">
        <v>110</v>
      </c>
      <c r="L111" s="10"/>
      <c r="M111" s="10"/>
      <c r="N111" s="10" t="s">
        <v>111</v>
      </c>
      <c r="O111" s="10" t="s">
        <v>111</v>
      </c>
      <c r="P111" s="10" t="s">
        <v>469</v>
      </c>
      <c r="Q111" s="10" t="s">
        <v>466</v>
      </c>
    </row>
    <row r="112" spans="1:17" s="11" customFormat="1" ht="22.5" x14ac:dyDescent="0.25">
      <c r="A112" s="10">
        <f t="shared" si="1"/>
        <v>108</v>
      </c>
      <c r="B112" s="10" t="s">
        <v>129</v>
      </c>
      <c r="C112" s="10" t="s">
        <v>113</v>
      </c>
      <c r="D112" s="10" t="s">
        <v>175</v>
      </c>
      <c r="E112" s="11" t="s">
        <v>190</v>
      </c>
      <c r="F112" s="11" t="s">
        <v>191</v>
      </c>
      <c r="G112" s="10" t="s">
        <v>13</v>
      </c>
      <c r="H112" s="10" t="s">
        <v>109</v>
      </c>
      <c r="I112" s="10" t="s">
        <v>463</v>
      </c>
      <c r="J112" s="10" t="s">
        <v>74</v>
      </c>
      <c r="K112" s="10" t="s">
        <v>110</v>
      </c>
      <c r="L112" s="10"/>
      <c r="M112" s="10"/>
      <c r="N112" s="10" t="s">
        <v>111</v>
      </c>
      <c r="O112" s="10" t="s">
        <v>111</v>
      </c>
      <c r="P112" s="10" t="s">
        <v>468</v>
      </c>
      <c r="Q112" s="10" t="s">
        <v>466</v>
      </c>
    </row>
    <row r="113" spans="1:17" s="11" customFormat="1" ht="22.5" x14ac:dyDescent="0.25">
      <c r="A113" s="10">
        <f t="shared" si="1"/>
        <v>109</v>
      </c>
      <c r="B113" s="10" t="s">
        <v>129</v>
      </c>
      <c r="C113" s="10" t="s">
        <v>113</v>
      </c>
      <c r="D113" s="10" t="s">
        <v>192</v>
      </c>
      <c r="E113" s="11" t="s">
        <v>193</v>
      </c>
      <c r="F113" s="11" t="s">
        <v>194</v>
      </c>
      <c r="G113" s="10" t="s">
        <v>13</v>
      </c>
      <c r="H113" s="10" t="s">
        <v>109</v>
      </c>
      <c r="I113" s="10" t="s">
        <v>460</v>
      </c>
      <c r="J113" s="10" t="s">
        <v>73</v>
      </c>
      <c r="K113" s="10" t="s">
        <v>110</v>
      </c>
      <c r="L113" s="10"/>
      <c r="M113" s="10"/>
      <c r="N113" s="10" t="s">
        <v>111</v>
      </c>
      <c r="O113" s="10" t="s">
        <v>111</v>
      </c>
      <c r="P113" s="10" t="s">
        <v>132</v>
      </c>
      <c r="Q113" s="10" t="s">
        <v>132</v>
      </c>
    </row>
    <row r="114" spans="1:17" s="11" customFormat="1" ht="22.5" x14ac:dyDescent="0.25">
      <c r="A114" s="10">
        <f t="shared" si="1"/>
        <v>110</v>
      </c>
      <c r="B114" s="10" t="s">
        <v>129</v>
      </c>
      <c r="C114" s="10" t="s">
        <v>113</v>
      </c>
      <c r="D114" s="10" t="s">
        <v>195</v>
      </c>
      <c r="E114" s="11" t="s">
        <v>196</v>
      </c>
      <c r="F114" s="11" t="s">
        <v>197</v>
      </c>
      <c r="G114" s="10" t="s">
        <v>13</v>
      </c>
      <c r="H114" s="10" t="s">
        <v>109</v>
      </c>
      <c r="I114" s="10" t="s">
        <v>460</v>
      </c>
      <c r="J114" s="10" t="s">
        <v>73</v>
      </c>
      <c r="K114" s="10" t="s">
        <v>110</v>
      </c>
      <c r="L114" s="10"/>
      <c r="M114" s="10"/>
      <c r="N114" s="10" t="s">
        <v>111</v>
      </c>
      <c r="O114" s="10" t="s">
        <v>111</v>
      </c>
      <c r="P114" s="10" t="s">
        <v>132</v>
      </c>
      <c r="Q114" s="10" t="s">
        <v>132</v>
      </c>
    </row>
    <row r="115" spans="1:17" s="11" customFormat="1" ht="22.5" x14ac:dyDescent="0.25">
      <c r="A115" s="10">
        <f t="shared" si="1"/>
        <v>111</v>
      </c>
      <c r="B115" s="10" t="s">
        <v>129</v>
      </c>
      <c r="C115" s="10" t="s">
        <v>113</v>
      </c>
      <c r="D115" s="10" t="s">
        <v>195</v>
      </c>
      <c r="E115" s="11" t="s">
        <v>299</v>
      </c>
      <c r="F115" s="11" t="s">
        <v>300</v>
      </c>
      <c r="G115" s="10" t="s">
        <v>13</v>
      </c>
      <c r="H115" s="10" t="s">
        <v>109</v>
      </c>
      <c r="I115" s="10" t="s">
        <v>460</v>
      </c>
      <c r="J115" s="10" t="s">
        <v>73</v>
      </c>
      <c r="K115" s="10" t="s">
        <v>110</v>
      </c>
      <c r="L115" s="10"/>
      <c r="M115" s="10"/>
      <c r="N115" s="10" t="s">
        <v>111</v>
      </c>
      <c r="O115" s="10" t="s">
        <v>111</v>
      </c>
      <c r="P115" s="10" t="s">
        <v>132</v>
      </c>
      <c r="Q115" s="10" t="s">
        <v>132</v>
      </c>
    </row>
    <row r="116" spans="1:17" s="11" customFormat="1" ht="22.5" x14ac:dyDescent="0.25">
      <c r="A116" s="10">
        <f t="shared" si="1"/>
        <v>112</v>
      </c>
      <c r="B116" s="10" t="s">
        <v>218</v>
      </c>
      <c r="C116" s="10" t="s">
        <v>113</v>
      </c>
      <c r="D116" s="10" t="s">
        <v>198</v>
      </c>
      <c r="E116" s="11" t="s">
        <v>295</v>
      </c>
      <c r="F116" s="11" t="s">
        <v>296</v>
      </c>
      <c r="G116" s="10" t="s">
        <v>13</v>
      </c>
      <c r="H116" s="10" t="s">
        <v>109</v>
      </c>
      <c r="I116" s="10" t="s">
        <v>460</v>
      </c>
      <c r="J116" s="10" t="s">
        <v>73</v>
      </c>
      <c r="K116" s="10" t="s">
        <v>110</v>
      </c>
      <c r="L116" s="10"/>
      <c r="M116" s="10"/>
      <c r="N116" s="10" t="s">
        <v>111</v>
      </c>
      <c r="O116" s="10" t="s">
        <v>111</v>
      </c>
      <c r="P116" s="10" t="s">
        <v>132</v>
      </c>
      <c r="Q116" s="10" t="s">
        <v>132</v>
      </c>
    </row>
    <row r="117" spans="1:17" s="11" customFormat="1" ht="22.5" x14ac:dyDescent="0.25">
      <c r="A117" s="10">
        <f t="shared" si="1"/>
        <v>113</v>
      </c>
      <c r="B117" s="10" t="s">
        <v>218</v>
      </c>
      <c r="C117" s="10" t="s">
        <v>113</v>
      </c>
      <c r="D117" s="10" t="s">
        <v>198</v>
      </c>
      <c r="E117" s="11" t="s">
        <v>297</v>
      </c>
      <c r="F117" s="11" t="s">
        <v>298</v>
      </c>
      <c r="G117" s="10" t="s">
        <v>13</v>
      </c>
      <c r="H117" s="10" t="s">
        <v>109</v>
      </c>
      <c r="I117" s="10" t="s">
        <v>460</v>
      </c>
      <c r="J117" s="10" t="s">
        <v>73</v>
      </c>
      <c r="K117" s="10" t="s">
        <v>110</v>
      </c>
      <c r="L117" s="10"/>
      <c r="M117" s="10"/>
      <c r="N117" s="10" t="s">
        <v>111</v>
      </c>
      <c r="O117" s="10" t="s">
        <v>111</v>
      </c>
      <c r="P117" s="10" t="s">
        <v>132</v>
      </c>
      <c r="Q117" s="10" t="s">
        <v>132</v>
      </c>
    </row>
    <row r="118" spans="1:17" s="11" customFormat="1" ht="22.5" x14ac:dyDescent="0.25">
      <c r="A118" s="10">
        <f t="shared" si="1"/>
        <v>114</v>
      </c>
      <c r="B118" s="10" t="s">
        <v>218</v>
      </c>
      <c r="C118" s="10" t="s">
        <v>113</v>
      </c>
      <c r="D118" s="10" t="s">
        <v>198</v>
      </c>
      <c r="E118" s="11" t="s">
        <v>216</v>
      </c>
      <c r="F118" s="11" t="s">
        <v>217</v>
      </c>
      <c r="G118" s="10" t="s">
        <v>13</v>
      </c>
      <c r="H118" s="10" t="s">
        <v>109</v>
      </c>
      <c r="I118" s="10" t="s">
        <v>460</v>
      </c>
      <c r="J118" s="10" t="s">
        <v>73</v>
      </c>
      <c r="K118" s="10" t="s">
        <v>110</v>
      </c>
      <c r="L118" s="10"/>
      <c r="M118" s="10"/>
      <c r="N118" s="10" t="s">
        <v>111</v>
      </c>
      <c r="O118" s="10" t="s">
        <v>111</v>
      </c>
      <c r="P118" s="10" t="s">
        <v>132</v>
      </c>
      <c r="Q118" s="10" t="s">
        <v>132</v>
      </c>
    </row>
    <row r="119" spans="1:17" s="11" customFormat="1" ht="22.5" x14ac:dyDescent="0.25">
      <c r="A119" s="10">
        <f t="shared" si="1"/>
        <v>115</v>
      </c>
      <c r="B119" s="10" t="s">
        <v>218</v>
      </c>
      <c r="C119" s="10" t="s">
        <v>113</v>
      </c>
      <c r="D119" s="10" t="s">
        <v>198</v>
      </c>
      <c r="E119" s="11" t="s">
        <v>214</v>
      </c>
      <c r="F119" s="11" t="s">
        <v>215</v>
      </c>
      <c r="G119" s="10" t="s">
        <v>13</v>
      </c>
      <c r="H119" s="10" t="s">
        <v>109</v>
      </c>
      <c r="I119" s="10" t="s">
        <v>460</v>
      </c>
      <c r="J119" s="10" t="s">
        <v>73</v>
      </c>
      <c r="K119" s="10" t="s">
        <v>286</v>
      </c>
      <c r="L119" s="10"/>
      <c r="M119" s="10"/>
      <c r="N119" s="10" t="s">
        <v>111</v>
      </c>
      <c r="O119" s="10" t="s">
        <v>111</v>
      </c>
      <c r="P119" s="10" t="s">
        <v>132</v>
      </c>
      <c r="Q119" s="10" t="s">
        <v>132</v>
      </c>
    </row>
    <row r="120" spans="1:17" s="11" customFormat="1" ht="33.75" x14ac:dyDescent="0.25">
      <c r="A120" s="10">
        <f t="shared" si="1"/>
        <v>116</v>
      </c>
      <c r="B120" s="10" t="s">
        <v>218</v>
      </c>
      <c r="C120" s="10" t="s">
        <v>113</v>
      </c>
      <c r="D120" s="10" t="s">
        <v>198</v>
      </c>
      <c r="E120" s="11" t="s">
        <v>199</v>
      </c>
      <c r="F120" s="11" t="s">
        <v>200</v>
      </c>
      <c r="G120" s="10" t="s">
        <v>13</v>
      </c>
      <c r="H120" s="10" t="s">
        <v>109</v>
      </c>
      <c r="I120" s="10" t="s">
        <v>460</v>
      </c>
      <c r="J120" s="10" t="s">
        <v>73</v>
      </c>
      <c r="K120" s="10" t="s">
        <v>110</v>
      </c>
      <c r="L120" s="10">
        <v>19</v>
      </c>
      <c r="M120" s="12" t="s">
        <v>343</v>
      </c>
      <c r="N120" s="10" t="s">
        <v>111</v>
      </c>
      <c r="O120" s="10" t="s">
        <v>111</v>
      </c>
      <c r="P120" s="10" t="s">
        <v>132</v>
      </c>
      <c r="Q120" s="10" t="s">
        <v>132</v>
      </c>
    </row>
    <row r="121" spans="1:17" s="11" customFormat="1" ht="22.5" x14ac:dyDescent="0.25">
      <c r="A121" s="10">
        <f t="shared" si="1"/>
        <v>117</v>
      </c>
      <c r="B121" s="10" t="s">
        <v>218</v>
      </c>
      <c r="C121" s="10" t="s">
        <v>113</v>
      </c>
      <c r="D121" s="10" t="s">
        <v>198</v>
      </c>
      <c r="E121" s="11" t="s">
        <v>208</v>
      </c>
      <c r="F121" s="11" t="s">
        <v>209</v>
      </c>
      <c r="G121" s="10" t="s">
        <v>13</v>
      </c>
      <c r="H121" s="10" t="s">
        <v>109</v>
      </c>
      <c r="I121" s="10" t="s">
        <v>460</v>
      </c>
      <c r="J121" s="10" t="s">
        <v>73</v>
      </c>
      <c r="K121" s="10" t="s">
        <v>110</v>
      </c>
      <c r="L121" s="10"/>
      <c r="M121" s="10"/>
      <c r="N121" s="10" t="s">
        <v>111</v>
      </c>
      <c r="O121" s="10" t="s">
        <v>111</v>
      </c>
      <c r="P121" s="10" t="s">
        <v>132</v>
      </c>
      <c r="Q121" s="10" t="s">
        <v>132</v>
      </c>
    </row>
    <row r="122" spans="1:17" s="11" customFormat="1" ht="22.5" x14ac:dyDescent="0.25">
      <c r="A122" s="10">
        <f t="shared" si="1"/>
        <v>118</v>
      </c>
      <c r="B122" s="10" t="s">
        <v>218</v>
      </c>
      <c r="C122" s="10" t="s">
        <v>113</v>
      </c>
      <c r="D122" s="10" t="s">
        <v>198</v>
      </c>
      <c r="E122" s="11" t="s">
        <v>206</v>
      </c>
      <c r="F122" s="11" t="s">
        <v>207</v>
      </c>
      <c r="G122" s="10" t="s">
        <v>13</v>
      </c>
      <c r="H122" s="10" t="s">
        <v>109</v>
      </c>
      <c r="I122" s="10" t="s">
        <v>460</v>
      </c>
      <c r="J122" s="10" t="s">
        <v>73</v>
      </c>
      <c r="K122" s="10" t="s">
        <v>286</v>
      </c>
      <c r="L122" s="10"/>
      <c r="M122" s="10"/>
      <c r="N122" s="10" t="s">
        <v>111</v>
      </c>
      <c r="O122" s="10" t="s">
        <v>111</v>
      </c>
      <c r="P122" s="10" t="s">
        <v>132</v>
      </c>
      <c r="Q122" s="10" t="s">
        <v>132</v>
      </c>
    </row>
    <row r="123" spans="1:17" s="11" customFormat="1" ht="33.75" x14ac:dyDescent="0.25">
      <c r="A123" s="10">
        <f t="shared" si="1"/>
        <v>119</v>
      </c>
      <c r="B123" s="10" t="s">
        <v>218</v>
      </c>
      <c r="C123" s="10" t="s">
        <v>113</v>
      </c>
      <c r="D123" s="10" t="s">
        <v>198</v>
      </c>
      <c r="E123" s="11" t="s">
        <v>204</v>
      </c>
      <c r="F123" s="11" t="s">
        <v>202</v>
      </c>
      <c r="G123" s="10" t="s">
        <v>13</v>
      </c>
      <c r="H123" s="10" t="s">
        <v>109</v>
      </c>
      <c r="I123" s="10" t="s">
        <v>460</v>
      </c>
      <c r="J123" s="10" t="s">
        <v>73</v>
      </c>
      <c r="K123" s="10" t="s">
        <v>110</v>
      </c>
      <c r="L123" s="10"/>
      <c r="M123" s="10"/>
      <c r="N123" s="10" t="s">
        <v>111</v>
      </c>
      <c r="O123" s="10" t="s">
        <v>111</v>
      </c>
      <c r="P123" s="10" t="s">
        <v>132</v>
      </c>
      <c r="Q123" s="10" t="s">
        <v>132</v>
      </c>
    </row>
    <row r="124" spans="1:17" s="11" customFormat="1" ht="33.75" x14ac:dyDescent="0.25">
      <c r="A124" s="10">
        <f t="shared" si="1"/>
        <v>120</v>
      </c>
      <c r="B124" s="10" t="s">
        <v>218</v>
      </c>
      <c r="C124" s="10" t="s">
        <v>113</v>
      </c>
      <c r="D124" s="10" t="s">
        <v>198</v>
      </c>
      <c r="E124" s="11" t="s">
        <v>205</v>
      </c>
      <c r="F124" s="11" t="s">
        <v>202</v>
      </c>
      <c r="G124" s="10" t="s">
        <v>13</v>
      </c>
      <c r="H124" s="10" t="s">
        <v>109</v>
      </c>
      <c r="I124" s="10" t="s">
        <v>460</v>
      </c>
      <c r="J124" s="10" t="s">
        <v>73</v>
      </c>
      <c r="K124" s="10" t="s">
        <v>110</v>
      </c>
      <c r="L124" s="10"/>
      <c r="M124" s="10"/>
      <c r="N124" s="10" t="s">
        <v>111</v>
      </c>
      <c r="O124" s="10" t="s">
        <v>111</v>
      </c>
      <c r="P124" s="10" t="s">
        <v>132</v>
      </c>
      <c r="Q124" s="10" t="s">
        <v>132</v>
      </c>
    </row>
    <row r="125" spans="1:17" s="11" customFormat="1" ht="33.75" x14ac:dyDescent="0.25">
      <c r="A125" s="10">
        <f t="shared" si="1"/>
        <v>121</v>
      </c>
      <c r="B125" s="10" t="s">
        <v>218</v>
      </c>
      <c r="C125" s="10" t="s">
        <v>113</v>
      </c>
      <c r="D125" s="10" t="s">
        <v>198</v>
      </c>
      <c r="E125" s="11" t="s">
        <v>201</v>
      </c>
      <c r="F125" s="11" t="s">
        <v>202</v>
      </c>
      <c r="G125" s="10" t="s">
        <v>13</v>
      </c>
      <c r="H125" s="10" t="s">
        <v>109</v>
      </c>
      <c r="I125" s="10" t="s">
        <v>460</v>
      </c>
      <c r="J125" s="10" t="s">
        <v>73</v>
      </c>
      <c r="K125" s="10" t="s">
        <v>110</v>
      </c>
      <c r="L125" s="10">
        <v>25</v>
      </c>
      <c r="M125" s="13" t="s">
        <v>342</v>
      </c>
      <c r="N125" s="10" t="s">
        <v>111</v>
      </c>
      <c r="O125" s="10" t="s">
        <v>111</v>
      </c>
      <c r="P125" s="10" t="s">
        <v>132</v>
      </c>
      <c r="Q125" s="10" t="s">
        <v>132</v>
      </c>
    </row>
    <row r="126" spans="1:17" s="11" customFormat="1" ht="33.75" x14ac:dyDescent="0.25">
      <c r="A126" s="10">
        <f t="shared" si="1"/>
        <v>122</v>
      </c>
      <c r="B126" s="10" t="s">
        <v>218</v>
      </c>
      <c r="C126" s="10" t="s">
        <v>113</v>
      </c>
      <c r="D126" s="10" t="s">
        <v>198</v>
      </c>
      <c r="E126" s="11" t="s">
        <v>203</v>
      </c>
      <c r="F126" s="11" t="s">
        <v>202</v>
      </c>
      <c r="G126" s="10" t="s">
        <v>13</v>
      </c>
      <c r="H126" s="10" t="s">
        <v>109</v>
      </c>
      <c r="I126" s="10" t="s">
        <v>460</v>
      </c>
      <c r="J126" s="10" t="s">
        <v>73</v>
      </c>
      <c r="K126" s="10" t="s">
        <v>110</v>
      </c>
      <c r="L126" s="10"/>
      <c r="M126" s="10"/>
      <c r="N126" s="10" t="s">
        <v>111</v>
      </c>
      <c r="O126" s="10" t="s">
        <v>111</v>
      </c>
      <c r="P126" s="10" t="s">
        <v>132</v>
      </c>
      <c r="Q126" s="10" t="s">
        <v>132</v>
      </c>
    </row>
    <row r="127" spans="1:17" s="11" customFormat="1" ht="22.5" x14ac:dyDescent="0.25">
      <c r="A127" s="10">
        <f t="shared" si="1"/>
        <v>123</v>
      </c>
      <c r="B127" s="10" t="s">
        <v>218</v>
      </c>
      <c r="C127" s="10" t="s">
        <v>113</v>
      </c>
      <c r="D127" s="10" t="s">
        <v>198</v>
      </c>
      <c r="E127" s="11" t="s">
        <v>212</v>
      </c>
      <c r="F127" s="11" t="s">
        <v>213</v>
      </c>
      <c r="G127" s="10" t="s">
        <v>13</v>
      </c>
      <c r="H127" s="10" t="s">
        <v>109</v>
      </c>
      <c r="I127" s="10" t="s">
        <v>460</v>
      </c>
      <c r="J127" s="10" t="s">
        <v>73</v>
      </c>
      <c r="K127" s="10" t="s">
        <v>110</v>
      </c>
      <c r="L127" s="10"/>
      <c r="M127" s="10"/>
      <c r="N127" s="10" t="s">
        <v>111</v>
      </c>
      <c r="O127" s="10" t="s">
        <v>111</v>
      </c>
      <c r="P127" s="10" t="s">
        <v>132</v>
      </c>
      <c r="Q127" s="10" t="s">
        <v>132</v>
      </c>
    </row>
    <row r="128" spans="1:17" s="11" customFormat="1" ht="11.25" x14ac:dyDescent="0.25">
      <c r="A128" s="10">
        <f t="shared" si="1"/>
        <v>124</v>
      </c>
      <c r="B128" s="10" t="s">
        <v>129</v>
      </c>
      <c r="C128" s="10" t="s">
        <v>113</v>
      </c>
      <c r="D128" s="10" t="s">
        <v>223</v>
      </c>
      <c r="E128" s="11" t="s">
        <v>222</v>
      </c>
      <c r="F128" s="11" t="s">
        <v>222</v>
      </c>
      <c r="G128" s="10" t="s">
        <v>223</v>
      </c>
      <c r="H128" s="10" t="s">
        <v>109</v>
      </c>
      <c r="I128" s="10" t="s">
        <v>463</v>
      </c>
      <c r="J128" s="10" t="s">
        <v>73</v>
      </c>
      <c r="K128" s="10" t="s">
        <v>110</v>
      </c>
      <c r="L128" s="10"/>
      <c r="M128" s="10"/>
      <c r="N128" s="10" t="s">
        <v>110</v>
      </c>
      <c r="O128" s="10" t="s">
        <v>111</v>
      </c>
      <c r="P128" s="10" t="s">
        <v>132</v>
      </c>
      <c r="Q128" s="10" t="s">
        <v>132</v>
      </c>
    </row>
    <row r="129" spans="1:17" s="11" customFormat="1" ht="56.25" x14ac:dyDescent="0.25">
      <c r="A129" s="10">
        <f t="shared" si="1"/>
        <v>125</v>
      </c>
      <c r="B129" s="10" t="s">
        <v>224</v>
      </c>
      <c r="C129" s="10" t="s">
        <v>130</v>
      </c>
      <c r="D129" s="10" t="s">
        <v>224</v>
      </c>
      <c r="E129" s="11" t="s">
        <v>239</v>
      </c>
      <c r="F129" s="11" t="s">
        <v>225</v>
      </c>
      <c r="G129" s="10" t="s">
        <v>223</v>
      </c>
      <c r="H129" s="10" t="s">
        <v>109</v>
      </c>
      <c r="I129" s="10" t="s">
        <v>471</v>
      </c>
      <c r="J129" s="10" t="s">
        <v>74</v>
      </c>
      <c r="K129" s="10" t="s">
        <v>110</v>
      </c>
      <c r="L129" s="10">
        <v>17</v>
      </c>
      <c r="M129" s="16" t="s">
        <v>343</v>
      </c>
      <c r="N129" s="10" t="s">
        <v>110</v>
      </c>
      <c r="O129" s="10" t="s">
        <v>111</v>
      </c>
      <c r="P129" s="10" t="s">
        <v>360</v>
      </c>
      <c r="Q129" s="10" t="s">
        <v>466</v>
      </c>
    </row>
    <row r="130" spans="1:17" s="11" customFormat="1" ht="56.25" x14ac:dyDescent="0.25">
      <c r="A130" s="10">
        <f t="shared" si="1"/>
        <v>126</v>
      </c>
      <c r="B130" s="10" t="s">
        <v>224</v>
      </c>
      <c r="C130" s="10" t="s">
        <v>130</v>
      </c>
      <c r="D130" s="10" t="s">
        <v>224</v>
      </c>
      <c r="E130" s="11" t="s">
        <v>226</v>
      </c>
      <c r="F130" s="11" t="s">
        <v>225</v>
      </c>
      <c r="G130" s="10" t="s">
        <v>13</v>
      </c>
      <c r="H130" s="10" t="s">
        <v>109</v>
      </c>
      <c r="I130" s="10" t="s">
        <v>471</v>
      </c>
      <c r="J130" s="10" t="s">
        <v>74</v>
      </c>
      <c r="K130" s="10" t="s">
        <v>110</v>
      </c>
      <c r="L130" s="10">
        <v>13</v>
      </c>
      <c r="M130" s="16" t="s">
        <v>343</v>
      </c>
      <c r="N130" s="10" t="s">
        <v>111</v>
      </c>
      <c r="O130" s="10" t="s">
        <v>111</v>
      </c>
      <c r="P130" s="10" t="s">
        <v>390</v>
      </c>
      <c r="Q130" s="10" t="s">
        <v>466</v>
      </c>
    </row>
    <row r="131" spans="1:17" s="11" customFormat="1" ht="56.25" x14ac:dyDescent="0.25">
      <c r="A131" s="10">
        <f t="shared" si="1"/>
        <v>127</v>
      </c>
      <c r="B131" s="10" t="s">
        <v>224</v>
      </c>
      <c r="C131" s="10" t="s">
        <v>130</v>
      </c>
      <c r="D131" s="10" t="s">
        <v>224</v>
      </c>
      <c r="E131" s="11" t="s">
        <v>227</v>
      </c>
      <c r="F131" s="11" t="s">
        <v>225</v>
      </c>
      <c r="G131" s="10" t="s">
        <v>13</v>
      </c>
      <c r="H131" s="10" t="s">
        <v>109</v>
      </c>
      <c r="I131" s="10" t="s">
        <v>462</v>
      </c>
      <c r="J131" s="10" t="s">
        <v>73</v>
      </c>
      <c r="K131" s="10" t="s">
        <v>110</v>
      </c>
      <c r="L131" s="10"/>
      <c r="M131" s="10"/>
      <c r="N131" s="10" t="s">
        <v>111</v>
      </c>
      <c r="O131" s="10" t="s">
        <v>111</v>
      </c>
      <c r="P131" s="10" t="s">
        <v>132</v>
      </c>
      <c r="Q131" s="10" t="s">
        <v>132</v>
      </c>
    </row>
    <row r="132" spans="1:17" s="11" customFormat="1" ht="11.25" x14ac:dyDescent="0.25">
      <c r="A132" s="10">
        <f t="shared" si="1"/>
        <v>128</v>
      </c>
      <c r="B132" s="10" t="s">
        <v>224</v>
      </c>
      <c r="C132" s="10" t="s">
        <v>130</v>
      </c>
      <c r="D132" s="10" t="s">
        <v>224</v>
      </c>
      <c r="E132" s="11" t="s">
        <v>252</v>
      </c>
      <c r="F132" s="11" t="s">
        <v>240</v>
      </c>
      <c r="G132" s="10" t="s">
        <v>223</v>
      </c>
      <c r="H132" s="10" t="s">
        <v>109</v>
      </c>
      <c r="I132" s="10" t="s">
        <v>471</v>
      </c>
      <c r="J132" s="10" t="s">
        <v>74</v>
      </c>
      <c r="K132" s="10" t="s">
        <v>110</v>
      </c>
      <c r="L132" s="10"/>
      <c r="M132" s="10"/>
      <c r="N132" s="10" t="s">
        <v>110</v>
      </c>
      <c r="O132" s="10" t="s">
        <v>111</v>
      </c>
      <c r="P132" s="10" t="s">
        <v>364</v>
      </c>
      <c r="Q132" s="10" t="s">
        <v>466</v>
      </c>
    </row>
    <row r="133" spans="1:17" s="11" customFormat="1" ht="22.5" x14ac:dyDescent="0.25">
      <c r="A133" s="10">
        <f t="shared" si="1"/>
        <v>129</v>
      </c>
      <c r="B133" s="10" t="s">
        <v>224</v>
      </c>
      <c r="C133" s="10" t="s">
        <v>130</v>
      </c>
      <c r="D133" s="10" t="s">
        <v>224</v>
      </c>
      <c r="E133" s="11" t="s">
        <v>228</v>
      </c>
      <c r="F133" s="11" t="s">
        <v>229</v>
      </c>
      <c r="G133" s="10" t="s">
        <v>13</v>
      </c>
      <c r="H133" s="10" t="s">
        <v>109</v>
      </c>
      <c r="I133" s="10" t="s">
        <v>471</v>
      </c>
      <c r="J133" s="10" t="s">
        <v>74</v>
      </c>
      <c r="K133" s="10" t="s">
        <v>110</v>
      </c>
      <c r="L133" s="10"/>
      <c r="M133" s="10"/>
      <c r="N133" s="10" t="s">
        <v>111</v>
      </c>
      <c r="O133" s="10" t="s">
        <v>111</v>
      </c>
      <c r="P133" s="10" t="s">
        <v>391</v>
      </c>
      <c r="Q133" s="10" t="s">
        <v>466</v>
      </c>
    </row>
    <row r="134" spans="1:17" s="11" customFormat="1" ht="22.5" x14ac:dyDescent="0.25">
      <c r="A134" s="10">
        <f t="shared" si="1"/>
        <v>130</v>
      </c>
      <c r="B134" s="10" t="s">
        <v>224</v>
      </c>
      <c r="C134" s="10" t="s">
        <v>130</v>
      </c>
      <c r="D134" s="10" t="s">
        <v>224</v>
      </c>
      <c r="E134" s="11" t="s">
        <v>230</v>
      </c>
      <c r="F134" s="11" t="s">
        <v>231</v>
      </c>
      <c r="G134" s="10" t="s">
        <v>13</v>
      </c>
      <c r="H134" s="10" t="s">
        <v>109</v>
      </c>
      <c r="I134" s="10" t="s">
        <v>462</v>
      </c>
      <c r="J134" s="10" t="s">
        <v>73</v>
      </c>
      <c r="K134" s="10" t="s">
        <v>110</v>
      </c>
      <c r="L134" s="10"/>
      <c r="M134" s="10"/>
      <c r="N134" s="10" t="s">
        <v>111</v>
      </c>
      <c r="O134" s="10" t="s">
        <v>111</v>
      </c>
      <c r="P134" s="10" t="s">
        <v>132</v>
      </c>
      <c r="Q134" s="10" t="s">
        <v>132</v>
      </c>
    </row>
    <row r="135" spans="1:17" s="11" customFormat="1" ht="11.25" x14ac:dyDescent="0.25">
      <c r="A135" s="10">
        <f t="shared" ref="A135:A193" si="2">A134 + 1</f>
        <v>131</v>
      </c>
      <c r="B135" s="10" t="s">
        <v>224</v>
      </c>
      <c r="C135" s="10" t="s">
        <v>130</v>
      </c>
      <c r="D135" s="10" t="s">
        <v>224</v>
      </c>
      <c r="E135" s="11" t="s">
        <v>232</v>
      </c>
      <c r="F135" s="11" t="s">
        <v>232</v>
      </c>
      <c r="G135" s="10" t="s">
        <v>11</v>
      </c>
      <c r="H135" s="10" t="s">
        <v>109</v>
      </c>
      <c r="I135" s="10" t="s">
        <v>462</v>
      </c>
      <c r="J135" s="10" t="s">
        <v>73</v>
      </c>
      <c r="K135" s="10" t="s">
        <v>110</v>
      </c>
      <c r="L135" s="10"/>
      <c r="M135" s="10"/>
      <c r="N135" s="10" t="s">
        <v>111</v>
      </c>
      <c r="O135" s="10" t="s">
        <v>111</v>
      </c>
      <c r="P135" s="10" t="s">
        <v>132</v>
      </c>
      <c r="Q135" s="10" t="s">
        <v>132</v>
      </c>
    </row>
    <row r="136" spans="1:17" s="11" customFormat="1" ht="22.5" x14ac:dyDescent="0.25">
      <c r="A136" s="10">
        <f t="shared" si="2"/>
        <v>132</v>
      </c>
      <c r="B136" s="10" t="s">
        <v>235</v>
      </c>
      <c r="C136" s="10" t="s">
        <v>113</v>
      </c>
      <c r="D136" s="10" t="s">
        <v>310</v>
      </c>
      <c r="E136" s="11" t="s">
        <v>234</v>
      </c>
      <c r="F136" s="11" t="s">
        <v>236</v>
      </c>
      <c r="G136" s="10" t="s">
        <v>13</v>
      </c>
      <c r="H136" s="10" t="s">
        <v>109</v>
      </c>
      <c r="I136" s="10" t="s">
        <v>460</v>
      </c>
      <c r="J136" s="10" t="s">
        <v>73</v>
      </c>
      <c r="K136" s="10" t="s">
        <v>110</v>
      </c>
      <c r="L136" s="10"/>
      <c r="M136" s="10"/>
      <c r="N136" s="10" t="s">
        <v>111</v>
      </c>
      <c r="O136" s="10" t="s">
        <v>111</v>
      </c>
      <c r="P136" s="10" t="s">
        <v>132</v>
      </c>
      <c r="Q136" s="10" t="s">
        <v>132</v>
      </c>
    </row>
    <row r="137" spans="1:17" s="11" customFormat="1" ht="22.5" x14ac:dyDescent="0.25">
      <c r="A137" s="10">
        <f t="shared" si="2"/>
        <v>133</v>
      </c>
      <c r="B137" s="10" t="s">
        <v>235</v>
      </c>
      <c r="C137" s="10" t="s">
        <v>113</v>
      </c>
      <c r="D137" s="10" t="s">
        <v>310</v>
      </c>
      <c r="E137" s="11" t="s">
        <v>237</v>
      </c>
      <c r="F137" s="11" t="s">
        <v>238</v>
      </c>
      <c r="G137" s="10" t="s">
        <v>13</v>
      </c>
      <c r="H137" s="10" t="s">
        <v>109</v>
      </c>
      <c r="I137" s="10" t="s">
        <v>460</v>
      </c>
      <c r="J137" s="10" t="s">
        <v>73</v>
      </c>
      <c r="K137" s="10" t="s">
        <v>110</v>
      </c>
      <c r="L137" s="10"/>
      <c r="M137" s="10"/>
      <c r="N137" s="10" t="s">
        <v>111</v>
      </c>
      <c r="O137" s="10" t="s">
        <v>111</v>
      </c>
      <c r="P137" s="10" t="s">
        <v>132</v>
      </c>
      <c r="Q137" s="10" t="s">
        <v>132</v>
      </c>
    </row>
    <row r="138" spans="1:17" s="11" customFormat="1" ht="22.5" x14ac:dyDescent="0.25">
      <c r="A138" s="10">
        <f t="shared" si="2"/>
        <v>134</v>
      </c>
      <c r="B138" s="10" t="s">
        <v>224</v>
      </c>
      <c r="C138" s="10" t="s">
        <v>130</v>
      </c>
      <c r="D138" s="10" t="s">
        <v>224</v>
      </c>
      <c r="E138" s="11" t="s">
        <v>392</v>
      </c>
      <c r="F138" s="11" t="s">
        <v>242</v>
      </c>
      <c r="G138" s="10" t="s">
        <v>11</v>
      </c>
      <c r="H138" s="10" t="s">
        <v>109</v>
      </c>
      <c r="I138" s="10" t="s">
        <v>471</v>
      </c>
      <c r="J138" s="10" t="s">
        <v>74</v>
      </c>
      <c r="K138" s="10" t="s">
        <v>110</v>
      </c>
      <c r="L138" s="10"/>
      <c r="M138" s="10"/>
      <c r="N138" s="10" t="s">
        <v>110</v>
      </c>
      <c r="O138" s="10" t="s">
        <v>110</v>
      </c>
      <c r="P138" s="10" t="s">
        <v>393</v>
      </c>
      <c r="Q138" s="10" t="s">
        <v>466</v>
      </c>
    </row>
    <row r="139" spans="1:17" s="11" customFormat="1" ht="22.5" x14ac:dyDescent="0.25">
      <c r="A139" s="10">
        <f t="shared" si="2"/>
        <v>135</v>
      </c>
      <c r="B139" s="10" t="s">
        <v>224</v>
      </c>
      <c r="C139" s="10" t="s">
        <v>130</v>
      </c>
      <c r="D139" s="10" t="s">
        <v>224</v>
      </c>
      <c r="E139" s="11" t="s">
        <v>243</v>
      </c>
      <c r="F139" s="11" t="s">
        <v>243</v>
      </c>
      <c r="G139" s="10" t="s">
        <v>13</v>
      </c>
      <c r="H139" s="10" t="s">
        <v>109</v>
      </c>
      <c r="I139" s="10" t="s">
        <v>462</v>
      </c>
      <c r="J139" s="10" t="s">
        <v>73</v>
      </c>
      <c r="K139" s="10" t="s">
        <v>110</v>
      </c>
      <c r="L139" s="10"/>
      <c r="M139" s="10"/>
      <c r="N139" s="10" t="s">
        <v>110</v>
      </c>
      <c r="O139" s="10" t="s">
        <v>111</v>
      </c>
      <c r="P139" s="10" t="s">
        <v>132</v>
      </c>
      <c r="Q139" s="10" t="s">
        <v>132</v>
      </c>
    </row>
    <row r="140" spans="1:17" s="11" customFormat="1" ht="11.25" x14ac:dyDescent="0.25">
      <c r="A140" s="10">
        <f t="shared" si="2"/>
        <v>136</v>
      </c>
      <c r="B140" s="10" t="s">
        <v>224</v>
      </c>
      <c r="C140" s="10" t="s">
        <v>130</v>
      </c>
      <c r="D140" s="10" t="s">
        <v>224</v>
      </c>
      <c r="E140" s="11" t="s">
        <v>244</v>
      </c>
      <c r="F140" s="11" t="s">
        <v>244</v>
      </c>
      <c r="G140" s="10" t="s">
        <v>223</v>
      </c>
      <c r="H140" s="10" t="s">
        <v>109</v>
      </c>
      <c r="I140" s="10" t="s">
        <v>471</v>
      </c>
      <c r="J140" s="10" t="s">
        <v>74</v>
      </c>
      <c r="K140" s="10" t="s">
        <v>110</v>
      </c>
      <c r="L140" s="10"/>
      <c r="M140" s="10"/>
      <c r="N140" s="10" t="s">
        <v>110</v>
      </c>
      <c r="O140" s="10" t="s">
        <v>111</v>
      </c>
      <c r="P140" s="10" t="s">
        <v>398</v>
      </c>
      <c r="Q140" s="10" t="s">
        <v>466</v>
      </c>
    </row>
    <row r="141" spans="1:17" s="11" customFormat="1" ht="22.5" x14ac:dyDescent="0.25">
      <c r="A141" s="10">
        <f t="shared" si="2"/>
        <v>137</v>
      </c>
      <c r="B141" s="10" t="s">
        <v>129</v>
      </c>
      <c r="C141" s="10" t="s">
        <v>113</v>
      </c>
      <c r="D141" s="10" t="s">
        <v>224</v>
      </c>
      <c r="E141" s="11" t="s">
        <v>245</v>
      </c>
      <c r="F141" s="11" t="s">
        <v>245</v>
      </c>
      <c r="G141" s="10" t="s">
        <v>13</v>
      </c>
      <c r="H141" s="10" t="s">
        <v>109</v>
      </c>
      <c r="I141" s="10" t="s">
        <v>462</v>
      </c>
      <c r="J141" s="10" t="s">
        <v>73</v>
      </c>
      <c r="K141" s="10" t="s">
        <v>110</v>
      </c>
      <c r="L141" s="10"/>
      <c r="M141" s="10"/>
      <c r="N141" s="10" t="s">
        <v>110</v>
      </c>
      <c r="O141" s="10" t="s">
        <v>110</v>
      </c>
      <c r="P141" s="10" t="s">
        <v>132</v>
      </c>
      <c r="Q141" s="10" t="s">
        <v>132</v>
      </c>
    </row>
    <row r="142" spans="1:17" s="11" customFormat="1" ht="22.5" x14ac:dyDescent="0.25">
      <c r="A142" s="10">
        <f t="shared" si="2"/>
        <v>138</v>
      </c>
      <c r="B142" s="10" t="s">
        <v>129</v>
      </c>
      <c r="C142" s="10" t="s">
        <v>130</v>
      </c>
      <c r="D142" s="10" t="s">
        <v>263</v>
      </c>
      <c r="E142" s="11" t="s">
        <v>246</v>
      </c>
      <c r="F142" s="11" t="s">
        <v>246</v>
      </c>
      <c r="G142" s="10" t="s">
        <v>13</v>
      </c>
      <c r="H142" s="10" t="s">
        <v>109</v>
      </c>
      <c r="I142" s="10" t="s">
        <v>462</v>
      </c>
      <c r="J142" s="10" t="s">
        <v>73</v>
      </c>
      <c r="K142" s="10" t="s">
        <v>110</v>
      </c>
      <c r="L142" s="10"/>
      <c r="M142" s="10"/>
      <c r="N142" s="10" t="s">
        <v>110</v>
      </c>
      <c r="O142" s="10" t="s">
        <v>111</v>
      </c>
      <c r="P142" s="10" t="s">
        <v>132</v>
      </c>
      <c r="Q142" s="10" t="s">
        <v>132</v>
      </c>
    </row>
    <row r="143" spans="1:17" s="11" customFormat="1" ht="22.5" x14ac:dyDescent="0.25">
      <c r="A143" s="10">
        <f t="shared" si="2"/>
        <v>139</v>
      </c>
      <c r="B143" s="10" t="s">
        <v>129</v>
      </c>
      <c r="C143" s="10" t="s">
        <v>130</v>
      </c>
      <c r="D143" s="10" t="s">
        <v>263</v>
      </c>
      <c r="E143" s="11" t="s">
        <v>247</v>
      </c>
      <c r="F143" s="11" t="s">
        <v>247</v>
      </c>
      <c r="G143" s="10" t="s">
        <v>13</v>
      </c>
      <c r="H143" s="10" t="s">
        <v>109</v>
      </c>
      <c r="I143" s="10" t="s">
        <v>462</v>
      </c>
      <c r="J143" s="10" t="s">
        <v>73</v>
      </c>
      <c r="K143" s="10" t="s">
        <v>110</v>
      </c>
      <c r="L143" s="10"/>
      <c r="M143" s="10"/>
      <c r="N143" s="10" t="s">
        <v>110</v>
      </c>
      <c r="O143" s="10" t="s">
        <v>111</v>
      </c>
      <c r="P143" s="10" t="s">
        <v>132</v>
      </c>
      <c r="Q143" s="10" t="s">
        <v>132</v>
      </c>
    </row>
    <row r="144" spans="1:17" s="11" customFormat="1" ht="11.25" x14ac:dyDescent="0.25">
      <c r="A144" s="10">
        <f t="shared" si="2"/>
        <v>140</v>
      </c>
      <c r="B144" s="10" t="s">
        <v>129</v>
      </c>
      <c r="C144" s="10" t="s">
        <v>130</v>
      </c>
      <c r="D144" s="10" t="s">
        <v>223</v>
      </c>
      <c r="E144" s="11" t="s">
        <v>248</v>
      </c>
      <c r="F144" s="11" t="s">
        <v>249</v>
      </c>
      <c r="G144" s="10" t="s">
        <v>223</v>
      </c>
      <c r="H144" s="10" t="s">
        <v>109</v>
      </c>
      <c r="I144" s="10" t="s">
        <v>462</v>
      </c>
      <c r="J144" s="10" t="s">
        <v>73</v>
      </c>
      <c r="K144" s="10" t="s">
        <v>110</v>
      </c>
      <c r="L144" s="10"/>
      <c r="M144" s="10"/>
      <c r="N144" s="10" t="s">
        <v>110</v>
      </c>
      <c r="O144" s="10" t="s">
        <v>111</v>
      </c>
      <c r="P144" s="10" t="s">
        <v>132</v>
      </c>
      <c r="Q144" s="10" t="s">
        <v>132</v>
      </c>
    </row>
    <row r="145" spans="1:17" s="11" customFormat="1" ht="22.5" x14ac:dyDescent="0.25">
      <c r="A145" s="10">
        <f t="shared" si="2"/>
        <v>141</v>
      </c>
      <c r="B145" s="10" t="s">
        <v>129</v>
      </c>
      <c r="C145" s="10" t="s">
        <v>130</v>
      </c>
      <c r="D145" s="10" t="s">
        <v>263</v>
      </c>
      <c r="E145" s="11" t="s">
        <v>250</v>
      </c>
      <c r="F145" s="11" t="s">
        <v>250</v>
      </c>
      <c r="G145" s="10" t="s">
        <v>13</v>
      </c>
      <c r="H145" s="10" t="s">
        <v>109</v>
      </c>
      <c r="I145" s="10" t="s">
        <v>463</v>
      </c>
      <c r="J145" s="10" t="s">
        <v>73</v>
      </c>
      <c r="K145" s="10" t="s">
        <v>110</v>
      </c>
      <c r="L145" s="10"/>
      <c r="M145" s="10"/>
      <c r="N145" s="10" t="s">
        <v>110</v>
      </c>
      <c r="O145" s="10" t="s">
        <v>111</v>
      </c>
      <c r="P145" s="10" t="s">
        <v>132</v>
      </c>
      <c r="Q145" s="10" t="s">
        <v>132</v>
      </c>
    </row>
    <row r="146" spans="1:17" s="11" customFormat="1" ht="11.25" x14ac:dyDescent="0.25">
      <c r="A146" s="10">
        <f t="shared" si="2"/>
        <v>142</v>
      </c>
      <c r="B146" s="10" t="s">
        <v>129</v>
      </c>
      <c r="C146" s="10" t="s">
        <v>130</v>
      </c>
      <c r="D146" s="10" t="s">
        <v>263</v>
      </c>
      <c r="E146" s="11" t="s">
        <v>251</v>
      </c>
      <c r="F146" s="11" t="s">
        <v>251</v>
      </c>
      <c r="G146" s="10" t="s">
        <v>11</v>
      </c>
      <c r="H146" s="10" t="s">
        <v>109</v>
      </c>
      <c r="I146" s="10" t="s">
        <v>463</v>
      </c>
      <c r="J146" s="10" t="s">
        <v>73</v>
      </c>
      <c r="K146" s="10" t="s">
        <v>110</v>
      </c>
      <c r="L146" s="10"/>
      <c r="M146" s="10"/>
      <c r="N146" s="10" t="s">
        <v>110</v>
      </c>
      <c r="O146" s="10" t="s">
        <v>111</v>
      </c>
      <c r="P146" s="10" t="s">
        <v>132</v>
      </c>
      <c r="Q146" s="10" t="s">
        <v>132</v>
      </c>
    </row>
    <row r="147" spans="1:17" s="11" customFormat="1" ht="22.5" x14ac:dyDescent="0.25">
      <c r="A147" s="10">
        <f t="shared" si="2"/>
        <v>143</v>
      </c>
      <c r="B147" s="10" t="s">
        <v>129</v>
      </c>
      <c r="C147" s="10" t="s">
        <v>113</v>
      </c>
      <c r="D147" s="10"/>
      <c r="E147" s="11" t="s">
        <v>357</v>
      </c>
      <c r="F147" s="11" t="s">
        <v>241</v>
      </c>
      <c r="G147" s="10" t="s">
        <v>13</v>
      </c>
      <c r="H147" s="10" t="s">
        <v>109</v>
      </c>
      <c r="I147" s="10" t="s">
        <v>463</v>
      </c>
      <c r="J147" s="10" t="s">
        <v>74</v>
      </c>
      <c r="K147" s="10" t="s">
        <v>110</v>
      </c>
      <c r="L147" s="10"/>
      <c r="M147" s="10"/>
      <c r="N147" s="10" t="s">
        <v>110</v>
      </c>
      <c r="O147" s="10" t="s">
        <v>111</v>
      </c>
      <c r="P147" s="10" t="s">
        <v>470</v>
      </c>
      <c r="Q147" s="10" t="s">
        <v>466</v>
      </c>
    </row>
    <row r="148" spans="1:17" s="11" customFormat="1" ht="11.25" x14ac:dyDescent="0.25">
      <c r="A148" s="10">
        <f t="shared" si="2"/>
        <v>144</v>
      </c>
      <c r="B148" s="10" t="s">
        <v>129</v>
      </c>
      <c r="C148" s="10" t="s">
        <v>130</v>
      </c>
      <c r="D148" s="10" t="s">
        <v>170</v>
      </c>
      <c r="E148" s="11" t="s">
        <v>253</v>
      </c>
      <c r="F148" s="11" t="s">
        <v>253</v>
      </c>
      <c r="G148" s="10" t="s">
        <v>11</v>
      </c>
      <c r="H148" s="10" t="s">
        <v>109</v>
      </c>
      <c r="I148" s="10" t="s">
        <v>463</v>
      </c>
      <c r="J148" s="10" t="s">
        <v>73</v>
      </c>
      <c r="K148" s="10" t="s">
        <v>110</v>
      </c>
      <c r="L148" s="10"/>
      <c r="M148" s="10"/>
      <c r="N148" s="10" t="s">
        <v>110</v>
      </c>
      <c r="O148" s="10" t="s">
        <v>111</v>
      </c>
      <c r="P148" s="10" t="s">
        <v>132</v>
      </c>
      <c r="Q148" s="10" t="s">
        <v>132</v>
      </c>
    </row>
    <row r="149" spans="1:17" s="11" customFormat="1" ht="22.5" x14ac:dyDescent="0.25">
      <c r="A149" s="10">
        <f t="shared" si="2"/>
        <v>145</v>
      </c>
      <c r="B149" s="10" t="s">
        <v>129</v>
      </c>
      <c r="C149" s="10" t="s">
        <v>130</v>
      </c>
      <c r="D149" s="10" t="s">
        <v>263</v>
      </c>
      <c r="E149" s="11" t="s">
        <v>264</v>
      </c>
      <c r="F149" s="11" t="s">
        <v>265</v>
      </c>
      <c r="G149" s="10" t="s">
        <v>13</v>
      </c>
      <c r="H149" s="10" t="s">
        <v>109</v>
      </c>
      <c r="I149" s="10" t="s">
        <v>462</v>
      </c>
      <c r="J149" s="10" t="s">
        <v>73</v>
      </c>
      <c r="K149" s="10" t="s">
        <v>110</v>
      </c>
      <c r="L149" s="10"/>
      <c r="M149" s="10"/>
      <c r="N149" s="10" t="s">
        <v>111</v>
      </c>
      <c r="O149" s="10" t="s">
        <v>111</v>
      </c>
      <c r="P149" s="10" t="s">
        <v>132</v>
      </c>
      <c r="Q149" s="10" t="s">
        <v>132</v>
      </c>
    </row>
    <row r="150" spans="1:17" s="11" customFormat="1" ht="22.5" x14ac:dyDescent="0.25">
      <c r="A150" s="10">
        <f t="shared" si="2"/>
        <v>146</v>
      </c>
      <c r="B150" s="10" t="s">
        <v>129</v>
      </c>
      <c r="C150" s="10" t="s">
        <v>130</v>
      </c>
      <c r="D150" s="10" t="s">
        <v>263</v>
      </c>
      <c r="E150" s="11" t="s">
        <v>266</v>
      </c>
      <c r="F150" s="11" t="s">
        <v>265</v>
      </c>
      <c r="G150" s="10" t="s">
        <v>13</v>
      </c>
      <c r="H150" s="10" t="s">
        <v>109</v>
      </c>
      <c r="I150" s="10" t="s">
        <v>462</v>
      </c>
      <c r="J150" s="10" t="s">
        <v>73</v>
      </c>
      <c r="K150" s="10" t="s">
        <v>110</v>
      </c>
      <c r="L150" s="10"/>
      <c r="M150" s="10"/>
      <c r="N150" s="10" t="s">
        <v>111</v>
      </c>
      <c r="O150" s="10" t="s">
        <v>111</v>
      </c>
      <c r="P150" s="10" t="s">
        <v>132</v>
      </c>
      <c r="Q150" s="10" t="s">
        <v>132</v>
      </c>
    </row>
    <row r="151" spans="1:17" s="11" customFormat="1" ht="22.5" x14ac:dyDescent="0.25">
      <c r="A151" s="10">
        <f t="shared" si="2"/>
        <v>147</v>
      </c>
      <c r="B151" s="10" t="s">
        <v>129</v>
      </c>
      <c r="C151" s="10" t="s">
        <v>130</v>
      </c>
      <c r="D151" s="10" t="s">
        <v>263</v>
      </c>
      <c r="E151" s="11" t="s">
        <v>267</v>
      </c>
      <c r="F151" s="11" t="s">
        <v>265</v>
      </c>
      <c r="G151" s="10" t="s">
        <v>13</v>
      </c>
      <c r="H151" s="10" t="s">
        <v>109</v>
      </c>
      <c r="I151" s="10" t="s">
        <v>462</v>
      </c>
      <c r="J151" s="10" t="s">
        <v>73</v>
      </c>
      <c r="K151" s="10" t="s">
        <v>110</v>
      </c>
      <c r="L151" s="10"/>
      <c r="M151" s="10"/>
      <c r="N151" s="10" t="s">
        <v>111</v>
      </c>
      <c r="O151" s="10" t="s">
        <v>111</v>
      </c>
      <c r="P151" s="10" t="s">
        <v>132</v>
      </c>
      <c r="Q151" s="10" t="s">
        <v>132</v>
      </c>
    </row>
    <row r="152" spans="1:17" s="11" customFormat="1" ht="22.5" x14ac:dyDescent="0.25">
      <c r="A152" s="10">
        <f t="shared" si="2"/>
        <v>148</v>
      </c>
      <c r="B152" s="10" t="s">
        <v>129</v>
      </c>
      <c r="C152" s="10" t="s">
        <v>130</v>
      </c>
      <c r="D152" s="10" t="s">
        <v>263</v>
      </c>
      <c r="E152" s="11" t="s">
        <v>268</v>
      </c>
      <c r="F152" s="11" t="s">
        <v>269</v>
      </c>
      <c r="G152" s="10" t="s">
        <v>11</v>
      </c>
      <c r="H152" s="10" t="s">
        <v>109</v>
      </c>
      <c r="I152" s="10" t="s">
        <v>462</v>
      </c>
      <c r="J152" s="10" t="s">
        <v>73</v>
      </c>
      <c r="K152" s="10" t="s">
        <v>110</v>
      </c>
      <c r="L152" s="10"/>
      <c r="M152" s="10"/>
      <c r="N152" s="10" t="s">
        <v>111</v>
      </c>
      <c r="O152" s="10" t="s">
        <v>111</v>
      </c>
      <c r="P152" s="10" t="s">
        <v>132</v>
      </c>
      <c r="Q152" s="10" t="s">
        <v>132</v>
      </c>
    </row>
    <row r="153" spans="1:17" s="11" customFormat="1" ht="22.5" x14ac:dyDescent="0.25">
      <c r="A153" s="10">
        <f t="shared" si="2"/>
        <v>149</v>
      </c>
      <c r="B153" s="10" t="s">
        <v>129</v>
      </c>
      <c r="C153" s="10" t="s">
        <v>130</v>
      </c>
      <c r="D153" s="10" t="s">
        <v>263</v>
      </c>
      <c r="E153" s="11" t="s">
        <v>270</v>
      </c>
      <c r="F153" s="11" t="s">
        <v>269</v>
      </c>
      <c r="G153" s="10" t="s">
        <v>11</v>
      </c>
      <c r="H153" s="10" t="s">
        <v>109</v>
      </c>
      <c r="I153" s="10" t="s">
        <v>462</v>
      </c>
      <c r="J153" s="10" t="s">
        <v>73</v>
      </c>
      <c r="K153" s="10" t="s">
        <v>110</v>
      </c>
      <c r="L153" s="10"/>
      <c r="M153" s="10"/>
      <c r="N153" s="10" t="s">
        <v>111</v>
      </c>
      <c r="O153" s="10" t="s">
        <v>111</v>
      </c>
      <c r="P153" s="10" t="s">
        <v>132</v>
      </c>
      <c r="Q153" s="10" t="s">
        <v>132</v>
      </c>
    </row>
    <row r="154" spans="1:17" s="11" customFormat="1" ht="33.75" x14ac:dyDescent="0.25">
      <c r="A154" s="10">
        <f t="shared" si="2"/>
        <v>150</v>
      </c>
      <c r="B154" s="10" t="s">
        <v>129</v>
      </c>
      <c r="C154" s="10" t="s">
        <v>130</v>
      </c>
      <c r="D154" s="10" t="s">
        <v>263</v>
      </c>
      <c r="E154" s="11" t="s">
        <v>271</v>
      </c>
      <c r="F154" s="11" t="s">
        <v>272</v>
      </c>
      <c r="G154" s="10" t="s">
        <v>11</v>
      </c>
      <c r="H154" s="10" t="s">
        <v>109</v>
      </c>
      <c r="I154" s="10" t="s">
        <v>462</v>
      </c>
      <c r="J154" s="10" t="s">
        <v>73</v>
      </c>
      <c r="K154" s="10" t="s">
        <v>110</v>
      </c>
      <c r="L154" s="10"/>
      <c r="M154" s="10"/>
      <c r="N154" s="10" t="s">
        <v>111</v>
      </c>
      <c r="O154" s="10" t="s">
        <v>111</v>
      </c>
      <c r="P154" s="10" t="s">
        <v>132</v>
      </c>
      <c r="Q154" s="10" t="s">
        <v>132</v>
      </c>
    </row>
    <row r="155" spans="1:17" s="11" customFormat="1" ht="22.5" x14ac:dyDescent="0.25">
      <c r="A155" s="10">
        <f t="shared" si="2"/>
        <v>151</v>
      </c>
      <c r="B155" s="10" t="s">
        <v>129</v>
      </c>
      <c r="C155" s="10" t="s">
        <v>130</v>
      </c>
      <c r="D155" s="10" t="s">
        <v>263</v>
      </c>
      <c r="E155" s="11" t="s">
        <v>273</v>
      </c>
      <c r="F155" s="11" t="s">
        <v>274</v>
      </c>
      <c r="G155" s="10" t="s">
        <v>11</v>
      </c>
      <c r="H155" s="10" t="s">
        <v>109</v>
      </c>
      <c r="I155" s="10" t="s">
        <v>462</v>
      </c>
      <c r="J155" s="10" t="s">
        <v>73</v>
      </c>
      <c r="K155" s="10" t="s">
        <v>110</v>
      </c>
      <c r="L155" s="10"/>
      <c r="M155" s="10"/>
      <c r="N155" s="10" t="s">
        <v>111</v>
      </c>
      <c r="O155" s="10" t="s">
        <v>111</v>
      </c>
      <c r="P155" s="10" t="s">
        <v>132</v>
      </c>
      <c r="Q155" s="10" t="s">
        <v>132</v>
      </c>
    </row>
    <row r="156" spans="1:17" s="11" customFormat="1" ht="33.75" x14ac:dyDescent="0.25">
      <c r="A156" s="10">
        <f t="shared" si="2"/>
        <v>152</v>
      </c>
      <c r="B156" s="10" t="s">
        <v>129</v>
      </c>
      <c r="C156" s="10" t="s">
        <v>130</v>
      </c>
      <c r="D156" s="10" t="s">
        <v>263</v>
      </c>
      <c r="E156" s="11" t="s">
        <v>275</v>
      </c>
      <c r="F156" s="11" t="s">
        <v>276</v>
      </c>
      <c r="G156" s="10" t="s">
        <v>11</v>
      </c>
      <c r="H156" s="10" t="s">
        <v>109</v>
      </c>
      <c r="I156" s="10" t="s">
        <v>462</v>
      </c>
      <c r="J156" s="10" t="s">
        <v>73</v>
      </c>
      <c r="K156" s="10" t="s">
        <v>110</v>
      </c>
      <c r="L156" s="10"/>
      <c r="M156" s="10"/>
      <c r="N156" s="10" t="s">
        <v>111</v>
      </c>
      <c r="O156" s="10" t="s">
        <v>111</v>
      </c>
      <c r="P156" s="10" t="s">
        <v>132</v>
      </c>
      <c r="Q156" s="10" t="s">
        <v>132</v>
      </c>
    </row>
    <row r="157" spans="1:17" s="11" customFormat="1" ht="11.25" x14ac:dyDescent="0.25">
      <c r="A157" s="10">
        <f t="shared" si="2"/>
        <v>153</v>
      </c>
      <c r="B157" s="10" t="s">
        <v>112</v>
      </c>
      <c r="C157" s="10" t="s">
        <v>75</v>
      </c>
      <c r="D157" s="10" t="s">
        <v>7</v>
      </c>
      <c r="E157" s="11" t="s">
        <v>255</v>
      </c>
      <c r="F157" s="11" t="s">
        <v>255</v>
      </c>
      <c r="G157" s="10" t="s">
        <v>11</v>
      </c>
      <c r="H157" s="10" t="s">
        <v>109</v>
      </c>
      <c r="I157" s="10" t="s">
        <v>461</v>
      </c>
      <c r="J157" s="10" t="s">
        <v>74</v>
      </c>
      <c r="K157" s="10" t="s">
        <v>110</v>
      </c>
      <c r="L157" s="10"/>
      <c r="M157" s="10"/>
      <c r="N157" s="10" t="s">
        <v>110</v>
      </c>
      <c r="O157" s="10" t="s">
        <v>111</v>
      </c>
      <c r="P157" s="10" t="s">
        <v>410</v>
      </c>
      <c r="Q157" s="10" t="s">
        <v>466</v>
      </c>
    </row>
    <row r="158" spans="1:17" s="11" customFormat="1" ht="11.25" x14ac:dyDescent="0.25">
      <c r="A158" s="10">
        <f t="shared" si="2"/>
        <v>154</v>
      </c>
      <c r="B158" s="10" t="s">
        <v>112</v>
      </c>
      <c r="C158" s="10" t="s">
        <v>75</v>
      </c>
      <c r="D158" s="10" t="s">
        <v>7</v>
      </c>
      <c r="E158" s="11" t="s">
        <v>257</v>
      </c>
      <c r="F158" s="11" t="s">
        <v>257</v>
      </c>
      <c r="G158" s="10" t="s">
        <v>11</v>
      </c>
      <c r="H158" s="10" t="s">
        <v>109</v>
      </c>
      <c r="I158" s="10" t="s">
        <v>461</v>
      </c>
      <c r="J158" s="10" t="s">
        <v>74</v>
      </c>
      <c r="K158" s="10" t="s">
        <v>110</v>
      </c>
      <c r="L158" s="10"/>
      <c r="M158" s="10"/>
      <c r="N158" s="10" t="s">
        <v>110</v>
      </c>
      <c r="O158" s="10" t="s">
        <v>111</v>
      </c>
      <c r="P158" s="10" t="s">
        <v>411</v>
      </c>
      <c r="Q158" s="10" t="s">
        <v>466</v>
      </c>
    </row>
    <row r="159" spans="1:17" s="11" customFormat="1" ht="11.25" x14ac:dyDescent="0.25">
      <c r="A159" s="10">
        <f t="shared" si="2"/>
        <v>155</v>
      </c>
      <c r="B159" s="10" t="s">
        <v>218</v>
      </c>
      <c r="C159" s="10" t="s">
        <v>113</v>
      </c>
      <c r="D159" s="10" t="s">
        <v>198</v>
      </c>
      <c r="E159" s="11" t="s">
        <v>256</v>
      </c>
      <c r="F159" s="11" t="s">
        <v>256</v>
      </c>
      <c r="G159" s="10" t="s">
        <v>11</v>
      </c>
      <c r="H159" s="10" t="s">
        <v>109</v>
      </c>
      <c r="I159" s="10" t="s">
        <v>460</v>
      </c>
      <c r="J159" s="10" t="s">
        <v>73</v>
      </c>
      <c r="K159" s="10" t="s">
        <v>110</v>
      </c>
      <c r="L159" s="10"/>
      <c r="M159" s="10"/>
      <c r="N159" s="10" t="s">
        <v>110</v>
      </c>
      <c r="O159" s="10" t="s">
        <v>111</v>
      </c>
      <c r="P159" s="10" t="s">
        <v>132</v>
      </c>
      <c r="Q159" s="10" t="s">
        <v>132</v>
      </c>
    </row>
    <row r="160" spans="1:17" s="11" customFormat="1" ht="11.25" x14ac:dyDescent="0.25">
      <c r="A160" s="10">
        <f t="shared" si="2"/>
        <v>156</v>
      </c>
      <c r="B160" s="10" t="s">
        <v>129</v>
      </c>
      <c r="C160" s="10" t="s">
        <v>130</v>
      </c>
      <c r="D160" s="10" t="s">
        <v>277</v>
      </c>
      <c r="E160" s="11" t="s">
        <v>278</v>
      </c>
      <c r="F160" s="11" t="s">
        <v>279</v>
      </c>
      <c r="G160" s="10" t="s">
        <v>11</v>
      </c>
      <c r="H160" s="10" t="s">
        <v>109</v>
      </c>
      <c r="I160" s="10" t="s">
        <v>459</v>
      </c>
      <c r="J160" s="10" t="s">
        <v>73</v>
      </c>
      <c r="K160" s="10" t="s">
        <v>110</v>
      </c>
      <c r="L160" s="10"/>
      <c r="M160" s="10"/>
      <c r="N160" s="10" t="s">
        <v>111</v>
      </c>
      <c r="O160" s="10" t="s">
        <v>111</v>
      </c>
      <c r="P160" s="10" t="s">
        <v>132</v>
      </c>
      <c r="Q160" s="10" t="s">
        <v>132</v>
      </c>
    </row>
    <row r="161" spans="1:17" s="11" customFormat="1" ht="22.5" x14ac:dyDescent="0.25">
      <c r="A161" s="10">
        <f t="shared" si="2"/>
        <v>157</v>
      </c>
      <c r="B161" s="10" t="s">
        <v>129</v>
      </c>
      <c r="C161" s="10" t="s">
        <v>130</v>
      </c>
      <c r="D161" s="10" t="s">
        <v>277</v>
      </c>
      <c r="E161" s="11" t="s">
        <v>280</v>
      </c>
      <c r="F161" s="11" t="s">
        <v>281</v>
      </c>
      <c r="G161" s="10" t="s">
        <v>13</v>
      </c>
      <c r="H161" s="10" t="s">
        <v>109</v>
      </c>
      <c r="I161" s="10" t="s">
        <v>463</v>
      </c>
      <c r="J161" s="10" t="s">
        <v>73</v>
      </c>
      <c r="K161" s="10" t="s">
        <v>110</v>
      </c>
      <c r="L161" s="10"/>
      <c r="M161" s="10"/>
      <c r="N161" s="10" t="s">
        <v>111</v>
      </c>
      <c r="O161" s="10" t="s">
        <v>111</v>
      </c>
      <c r="P161" s="10" t="s">
        <v>132</v>
      </c>
      <c r="Q161" s="10" t="s">
        <v>132</v>
      </c>
    </row>
    <row r="162" spans="1:17" s="11" customFormat="1" ht="22.5" x14ac:dyDescent="0.25">
      <c r="A162" s="10">
        <f t="shared" si="2"/>
        <v>158</v>
      </c>
      <c r="B162" s="10" t="s">
        <v>129</v>
      </c>
      <c r="C162" s="10" t="s">
        <v>130</v>
      </c>
      <c r="D162" s="10" t="s">
        <v>277</v>
      </c>
      <c r="E162" s="11" t="s">
        <v>282</v>
      </c>
      <c r="F162" s="11" t="s">
        <v>283</v>
      </c>
      <c r="G162" s="10" t="s">
        <v>13</v>
      </c>
      <c r="H162" s="10" t="s">
        <v>109</v>
      </c>
      <c r="I162" s="10" t="s">
        <v>460</v>
      </c>
      <c r="J162" s="10" t="s">
        <v>73</v>
      </c>
      <c r="K162" s="10" t="s">
        <v>286</v>
      </c>
      <c r="L162" s="10"/>
      <c r="M162" s="10"/>
      <c r="N162" s="10" t="s">
        <v>111</v>
      </c>
      <c r="O162" s="10" t="s">
        <v>111</v>
      </c>
      <c r="P162" s="10" t="s">
        <v>132</v>
      </c>
      <c r="Q162" s="10" t="s">
        <v>132</v>
      </c>
    </row>
    <row r="163" spans="1:17" s="11" customFormat="1" ht="22.5" x14ac:dyDescent="0.25">
      <c r="A163" s="10">
        <f t="shared" si="2"/>
        <v>159</v>
      </c>
      <c r="B163" s="10" t="s">
        <v>218</v>
      </c>
      <c r="C163" s="10" t="s">
        <v>113</v>
      </c>
      <c r="D163" s="10" t="s">
        <v>198</v>
      </c>
      <c r="E163" s="11" t="s">
        <v>287</v>
      </c>
      <c r="F163" s="11" t="s">
        <v>287</v>
      </c>
      <c r="G163" s="10" t="s">
        <v>223</v>
      </c>
      <c r="H163" s="10" t="s">
        <v>109</v>
      </c>
      <c r="I163" s="10" t="s">
        <v>460</v>
      </c>
      <c r="J163" s="10" t="s">
        <v>74</v>
      </c>
      <c r="K163" s="10" t="s">
        <v>286</v>
      </c>
      <c r="L163" s="10"/>
      <c r="M163" s="10"/>
      <c r="N163" s="10" t="s">
        <v>110</v>
      </c>
      <c r="O163" s="10" t="s">
        <v>111</v>
      </c>
      <c r="P163" s="10" t="s">
        <v>362</v>
      </c>
      <c r="Q163" s="10" t="s">
        <v>466</v>
      </c>
    </row>
    <row r="164" spans="1:17" s="11" customFormat="1" ht="22.5" x14ac:dyDescent="0.25">
      <c r="A164" s="10">
        <f t="shared" si="2"/>
        <v>160</v>
      </c>
      <c r="B164" s="10" t="s">
        <v>218</v>
      </c>
      <c r="C164" s="10" t="s">
        <v>113</v>
      </c>
      <c r="D164" s="10" t="s">
        <v>198</v>
      </c>
      <c r="E164" s="11" t="s">
        <v>290</v>
      </c>
      <c r="F164" s="11" t="s">
        <v>288</v>
      </c>
      <c r="G164" s="10" t="s">
        <v>223</v>
      </c>
      <c r="H164" s="10" t="s">
        <v>109</v>
      </c>
      <c r="I164" s="10" t="s">
        <v>460</v>
      </c>
      <c r="J164" s="10" t="s">
        <v>74</v>
      </c>
      <c r="K164" s="10" t="s">
        <v>286</v>
      </c>
      <c r="L164" s="10"/>
      <c r="M164" s="10"/>
      <c r="N164" s="10" t="s">
        <v>110</v>
      </c>
      <c r="O164" s="10" t="s">
        <v>111</v>
      </c>
      <c r="P164" s="10" t="s">
        <v>363</v>
      </c>
      <c r="Q164" s="10" t="s">
        <v>466</v>
      </c>
    </row>
    <row r="165" spans="1:17" s="11" customFormat="1" ht="22.5" x14ac:dyDescent="0.25">
      <c r="A165" s="10">
        <f t="shared" si="2"/>
        <v>161</v>
      </c>
      <c r="B165" s="10" t="s">
        <v>218</v>
      </c>
      <c r="C165" s="10" t="s">
        <v>113</v>
      </c>
      <c r="D165" s="10" t="s">
        <v>198</v>
      </c>
      <c r="E165" s="11" t="s">
        <v>291</v>
      </c>
      <c r="F165" s="11" t="s">
        <v>289</v>
      </c>
      <c r="G165" s="10" t="s">
        <v>223</v>
      </c>
      <c r="H165" s="10" t="s">
        <v>109</v>
      </c>
      <c r="I165" s="10" t="s">
        <v>460</v>
      </c>
      <c r="J165" s="10" t="s">
        <v>74</v>
      </c>
      <c r="K165" s="10" t="s">
        <v>286</v>
      </c>
      <c r="L165" s="10"/>
      <c r="M165" s="10"/>
      <c r="N165" s="10" t="s">
        <v>110</v>
      </c>
      <c r="O165" s="10" t="s">
        <v>111</v>
      </c>
      <c r="P165" s="10" t="s">
        <v>467</v>
      </c>
      <c r="Q165" s="10" t="s">
        <v>466</v>
      </c>
    </row>
    <row r="166" spans="1:17" s="11" customFormat="1" ht="22.5" x14ac:dyDescent="0.25">
      <c r="A166" s="10">
        <f t="shared" si="2"/>
        <v>162</v>
      </c>
      <c r="B166" s="10" t="s">
        <v>218</v>
      </c>
      <c r="C166" s="10" t="s">
        <v>113</v>
      </c>
      <c r="D166" s="10" t="s">
        <v>198</v>
      </c>
      <c r="E166" s="11" t="s">
        <v>292</v>
      </c>
      <c r="F166" s="11" t="s">
        <v>292</v>
      </c>
      <c r="G166" s="10" t="s">
        <v>223</v>
      </c>
      <c r="H166" s="10" t="s">
        <v>109</v>
      </c>
      <c r="I166" s="10" t="s">
        <v>460</v>
      </c>
      <c r="J166" s="10" t="s">
        <v>74</v>
      </c>
      <c r="K166" s="10" t="s">
        <v>286</v>
      </c>
      <c r="L166" s="10"/>
      <c r="M166" s="10"/>
      <c r="N166" s="10" t="s">
        <v>110</v>
      </c>
      <c r="O166" s="10" t="s">
        <v>111</v>
      </c>
      <c r="P166" s="10" t="s">
        <v>366</v>
      </c>
      <c r="Q166" s="10" t="s">
        <v>466</v>
      </c>
    </row>
    <row r="167" spans="1:17" s="11" customFormat="1" ht="22.5" x14ac:dyDescent="0.25">
      <c r="A167" s="10">
        <f t="shared" si="2"/>
        <v>163</v>
      </c>
      <c r="B167" s="10" t="s">
        <v>218</v>
      </c>
      <c r="C167" s="10" t="s">
        <v>113</v>
      </c>
      <c r="D167" s="10" t="s">
        <v>198</v>
      </c>
      <c r="E167" s="11" t="s">
        <v>210</v>
      </c>
      <c r="F167" s="11" t="s">
        <v>211</v>
      </c>
      <c r="G167" s="10" t="s">
        <v>13</v>
      </c>
      <c r="H167" s="10" t="s">
        <v>109</v>
      </c>
      <c r="I167" s="10" t="s">
        <v>460</v>
      </c>
      <c r="J167" s="10" t="s">
        <v>74</v>
      </c>
      <c r="K167" s="10" t="s">
        <v>286</v>
      </c>
      <c r="L167" s="10"/>
      <c r="M167" s="10"/>
      <c r="N167" s="10" t="s">
        <v>111</v>
      </c>
      <c r="O167" s="10" t="s">
        <v>111</v>
      </c>
      <c r="P167" s="10" t="s">
        <v>367</v>
      </c>
      <c r="Q167" s="10" t="s">
        <v>466</v>
      </c>
    </row>
    <row r="168" spans="1:17" s="11" customFormat="1" ht="22.5" x14ac:dyDescent="0.25">
      <c r="A168" s="10">
        <f t="shared" si="2"/>
        <v>164</v>
      </c>
      <c r="B168" s="10" t="s">
        <v>218</v>
      </c>
      <c r="C168" s="10" t="s">
        <v>113</v>
      </c>
      <c r="D168" s="10" t="s">
        <v>301</v>
      </c>
      <c r="E168" s="11" t="s">
        <v>302</v>
      </c>
      <c r="F168" s="11" t="s">
        <v>303</v>
      </c>
      <c r="G168" s="10" t="s">
        <v>13</v>
      </c>
      <c r="H168" s="10" t="s">
        <v>109</v>
      </c>
      <c r="I168" s="10" t="s">
        <v>461</v>
      </c>
      <c r="J168" s="10" t="s">
        <v>73</v>
      </c>
      <c r="K168" s="10" t="s">
        <v>110</v>
      </c>
      <c r="L168" s="10"/>
      <c r="M168" s="10"/>
      <c r="N168" s="10" t="s">
        <v>111</v>
      </c>
      <c r="O168" s="10" t="s">
        <v>111</v>
      </c>
      <c r="P168" s="10" t="s">
        <v>132</v>
      </c>
      <c r="Q168" s="10" t="s">
        <v>132</v>
      </c>
    </row>
    <row r="169" spans="1:17" s="11" customFormat="1" ht="45" x14ac:dyDescent="0.25">
      <c r="A169" s="10">
        <f t="shared" si="2"/>
        <v>165</v>
      </c>
      <c r="B169" s="10" t="s">
        <v>218</v>
      </c>
      <c r="C169" s="10" t="s">
        <v>113</v>
      </c>
      <c r="D169" s="10" t="s">
        <v>301</v>
      </c>
      <c r="E169" s="11" t="s">
        <v>304</v>
      </c>
      <c r="F169" s="11" t="s">
        <v>305</v>
      </c>
      <c r="G169" s="10" t="s">
        <v>13</v>
      </c>
      <c r="H169" s="10" t="s">
        <v>109</v>
      </c>
      <c r="I169" s="10" t="s">
        <v>461</v>
      </c>
      <c r="J169" s="10" t="s">
        <v>73</v>
      </c>
      <c r="K169" s="10" t="s">
        <v>110</v>
      </c>
      <c r="L169" s="10"/>
      <c r="M169" s="10"/>
      <c r="N169" s="10" t="s">
        <v>111</v>
      </c>
      <c r="O169" s="10" t="s">
        <v>111</v>
      </c>
      <c r="P169" s="10" t="s">
        <v>132</v>
      </c>
      <c r="Q169" s="10" t="s">
        <v>132</v>
      </c>
    </row>
    <row r="170" spans="1:17" s="11" customFormat="1" ht="33.75" x14ac:dyDescent="0.25">
      <c r="A170" s="10">
        <f t="shared" si="2"/>
        <v>166</v>
      </c>
      <c r="B170" s="10" t="s">
        <v>218</v>
      </c>
      <c r="C170" s="10" t="s">
        <v>113</v>
      </c>
      <c r="D170" s="10" t="s">
        <v>254</v>
      </c>
      <c r="E170" s="11" t="s">
        <v>306</v>
      </c>
      <c r="F170" s="11" t="s">
        <v>307</v>
      </c>
      <c r="G170" s="10" t="s">
        <v>13</v>
      </c>
      <c r="H170" s="10" t="s">
        <v>109</v>
      </c>
      <c r="I170" s="10" t="s">
        <v>460</v>
      </c>
      <c r="J170" s="10" t="s">
        <v>73</v>
      </c>
      <c r="K170" s="10" t="s">
        <v>110</v>
      </c>
      <c r="L170" s="10"/>
      <c r="M170" s="10"/>
      <c r="N170" s="10" t="s">
        <v>111</v>
      </c>
      <c r="O170" s="10" t="s">
        <v>111</v>
      </c>
      <c r="P170" s="10" t="s">
        <v>132</v>
      </c>
      <c r="Q170" s="10" t="s">
        <v>132</v>
      </c>
    </row>
    <row r="171" spans="1:17" s="11" customFormat="1" ht="33.75" x14ac:dyDescent="0.25">
      <c r="A171" s="10">
        <f t="shared" si="2"/>
        <v>167</v>
      </c>
      <c r="B171" s="10" t="s">
        <v>218</v>
      </c>
      <c r="C171" s="10" t="s">
        <v>113</v>
      </c>
      <c r="D171" s="10" t="s">
        <v>254</v>
      </c>
      <c r="E171" s="11" t="s">
        <v>309</v>
      </c>
      <c r="F171" s="11" t="s">
        <v>308</v>
      </c>
      <c r="G171" s="10" t="s">
        <v>13</v>
      </c>
      <c r="H171" s="10" t="s">
        <v>109</v>
      </c>
      <c r="I171" s="10" t="s">
        <v>460</v>
      </c>
      <c r="J171" s="10" t="s">
        <v>73</v>
      </c>
      <c r="K171" s="10" t="s">
        <v>110</v>
      </c>
      <c r="L171" s="10"/>
      <c r="M171" s="10"/>
      <c r="N171" s="10" t="s">
        <v>111</v>
      </c>
      <c r="O171" s="10" t="s">
        <v>111</v>
      </c>
      <c r="P171" s="10" t="s">
        <v>132</v>
      </c>
      <c r="Q171" s="10" t="s">
        <v>132</v>
      </c>
    </row>
    <row r="172" spans="1:17" s="11" customFormat="1" ht="11.25" x14ac:dyDescent="0.25">
      <c r="A172" s="10">
        <f t="shared" si="2"/>
        <v>168</v>
      </c>
      <c r="B172" s="11" t="s">
        <v>311</v>
      </c>
      <c r="C172" s="10" t="s">
        <v>311</v>
      </c>
      <c r="D172" s="10" t="s">
        <v>312</v>
      </c>
      <c r="E172" s="11" t="s">
        <v>313</v>
      </c>
      <c r="F172" s="11" t="s">
        <v>314</v>
      </c>
      <c r="G172" s="10" t="s">
        <v>11</v>
      </c>
      <c r="H172" s="10" t="s">
        <v>337</v>
      </c>
      <c r="I172" s="10" t="s">
        <v>457</v>
      </c>
      <c r="J172" s="10" t="s">
        <v>73</v>
      </c>
      <c r="K172" s="10" t="s">
        <v>110</v>
      </c>
      <c r="L172" s="10"/>
      <c r="M172" s="10"/>
      <c r="N172" s="10" t="s">
        <v>111</v>
      </c>
      <c r="O172" s="10" t="s">
        <v>111</v>
      </c>
      <c r="P172" s="10" t="s">
        <v>132</v>
      </c>
      <c r="Q172" s="10" t="s">
        <v>132</v>
      </c>
    </row>
    <row r="173" spans="1:17" s="11" customFormat="1" ht="22.5" x14ac:dyDescent="0.25">
      <c r="A173" s="10">
        <f t="shared" si="2"/>
        <v>169</v>
      </c>
      <c r="B173" s="11" t="s">
        <v>311</v>
      </c>
      <c r="C173" s="10" t="s">
        <v>311</v>
      </c>
      <c r="D173" s="10" t="s">
        <v>312</v>
      </c>
      <c r="E173" s="11" t="s">
        <v>315</v>
      </c>
      <c r="F173" s="11" t="s">
        <v>316</v>
      </c>
      <c r="G173" s="10" t="s">
        <v>11</v>
      </c>
      <c r="H173" s="10" t="s">
        <v>337</v>
      </c>
      <c r="I173" s="10" t="s">
        <v>458</v>
      </c>
      <c r="J173" s="10" t="s">
        <v>74</v>
      </c>
      <c r="K173" s="10" t="s">
        <v>110</v>
      </c>
      <c r="L173" s="10"/>
      <c r="M173" s="10"/>
      <c r="N173" s="10" t="s">
        <v>111</v>
      </c>
      <c r="O173" s="10" t="s">
        <v>111</v>
      </c>
      <c r="P173" s="10" t="s">
        <v>415</v>
      </c>
      <c r="Q173" s="55" t="s">
        <v>466</v>
      </c>
    </row>
    <row r="174" spans="1:17" s="11" customFormat="1" ht="22.5" x14ac:dyDescent="0.25">
      <c r="A174" s="10">
        <f t="shared" si="2"/>
        <v>170</v>
      </c>
      <c r="B174" s="11" t="s">
        <v>311</v>
      </c>
      <c r="C174" s="10" t="s">
        <v>311</v>
      </c>
      <c r="D174" s="10" t="s">
        <v>312</v>
      </c>
      <c r="E174" s="11" t="s">
        <v>317</v>
      </c>
      <c r="F174" s="11" t="s">
        <v>318</v>
      </c>
      <c r="G174" s="10" t="s">
        <v>11</v>
      </c>
      <c r="H174" s="10" t="s">
        <v>337</v>
      </c>
      <c r="I174" s="10" t="s">
        <v>457</v>
      </c>
      <c r="J174" s="10" t="s">
        <v>73</v>
      </c>
      <c r="K174" s="10" t="s">
        <v>110</v>
      </c>
      <c r="L174" s="10"/>
      <c r="M174" s="10"/>
      <c r="N174" s="10" t="s">
        <v>111</v>
      </c>
      <c r="O174" s="10" t="s">
        <v>111</v>
      </c>
      <c r="P174" s="10" t="s">
        <v>132</v>
      </c>
      <c r="Q174" s="10" t="s">
        <v>132</v>
      </c>
    </row>
    <row r="175" spans="1:17" s="11" customFormat="1" ht="33.75" x14ac:dyDescent="0.25">
      <c r="A175" s="10">
        <f t="shared" si="2"/>
        <v>171</v>
      </c>
      <c r="B175" s="11" t="s">
        <v>311</v>
      </c>
      <c r="C175" s="10" t="s">
        <v>311</v>
      </c>
      <c r="D175" s="10" t="s">
        <v>312</v>
      </c>
      <c r="E175" s="11" t="s">
        <v>319</v>
      </c>
      <c r="F175" s="11" t="s">
        <v>477</v>
      </c>
      <c r="G175" s="10" t="s">
        <v>11</v>
      </c>
      <c r="H175" s="10" t="s">
        <v>337</v>
      </c>
      <c r="I175" s="10" t="s">
        <v>478</v>
      </c>
      <c r="J175" s="10" t="s">
        <v>74</v>
      </c>
      <c r="K175" s="10" t="s">
        <v>110</v>
      </c>
      <c r="L175" s="10"/>
      <c r="M175" s="10"/>
      <c r="N175" s="10" t="s">
        <v>111</v>
      </c>
      <c r="O175" s="10" t="s">
        <v>111</v>
      </c>
      <c r="P175" s="10">
        <f>Tabela1[[#This Row],[ID]]</f>
        <v>171</v>
      </c>
      <c r="Q175" s="10" t="s">
        <v>488</v>
      </c>
    </row>
    <row r="176" spans="1:17" s="11" customFormat="1" ht="11.25" x14ac:dyDescent="0.25">
      <c r="A176" s="10">
        <f t="shared" si="2"/>
        <v>172</v>
      </c>
      <c r="B176" s="11" t="s">
        <v>311</v>
      </c>
      <c r="C176" s="10" t="s">
        <v>311</v>
      </c>
      <c r="D176" s="10" t="s">
        <v>325</v>
      </c>
      <c r="E176" s="11" t="s">
        <v>320</v>
      </c>
      <c r="F176" s="11" t="s">
        <v>321</v>
      </c>
      <c r="G176" s="10" t="s">
        <v>11</v>
      </c>
      <c r="H176" s="10" t="s">
        <v>337</v>
      </c>
      <c r="I176" s="10" t="s">
        <v>457</v>
      </c>
      <c r="J176" s="10" t="s">
        <v>73</v>
      </c>
      <c r="K176" s="10" t="s">
        <v>110</v>
      </c>
      <c r="L176" s="10"/>
      <c r="M176" s="10"/>
      <c r="N176" s="10" t="s">
        <v>111</v>
      </c>
      <c r="O176" s="10" t="s">
        <v>111</v>
      </c>
      <c r="P176" s="10" t="s">
        <v>132</v>
      </c>
      <c r="Q176" s="10" t="s">
        <v>132</v>
      </c>
    </row>
    <row r="177" spans="1:19" s="11" customFormat="1" ht="22.5" x14ac:dyDescent="0.25">
      <c r="A177" s="10">
        <f t="shared" si="2"/>
        <v>173</v>
      </c>
      <c r="B177" s="11" t="s">
        <v>311</v>
      </c>
      <c r="C177" s="10" t="s">
        <v>311</v>
      </c>
      <c r="D177" s="10" t="s">
        <v>325</v>
      </c>
      <c r="E177" s="11" t="s">
        <v>322</v>
      </c>
      <c r="F177" s="11" t="s">
        <v>323</v>
      </c>
      <c r="G177" s="10" t="s">
        <v>11</v>
      </c>
      <c r="H177" s="10" t="s">
        <v>337</v>
      </c>
      <c r="I177" s="10" t="s">
        <v>458</v>
      </c>
      <c r="J177" s="10" t="s">
        <v>74</v>
      </c>
      <c r="K177" s="10" t="s">
        <v>110</v>
      </c>
      <c r="L177" s="10"/>
      <c r="M177" s="10"/>
      <c r="N177" s="10" t="s">
        <v>111</v>
      </c>
      <c r="O177" s="10" t="s">
        <v>111</v>
      </c>
      <c r="P177" s="10" t="s">
        <v>415</v>
      </c>
      <c r="Q177" s="55" t="s">
        <v>466</v>
      </c>
    </row>
    <row r="178" spans="1:19" s="11" customFormat="1" ht="33.75" x14ac:dyDescent="0.25">
      <c r="A178" s="10">
        <f t="shared" si="2"/>
        <v>174</v>
      </c>
      <c r="B178" s="11" t="s">
        <v>311</v>
      </c>
      <c r="C178" s="10" t="s">
        <v>311</v>
      </c>
      <c r="D178" s="10" t="s">
        <v>325</v>
      </c>
      <c r="E178" s="11" t="s">
        <v>324</v>
      </c>
      <c r="F178" s="11" t="s">
        <v>479</v>
      </c>
      <c r="G178" s="10" t="s">
        <v>11</v>
      </c>
      <c r="H178" s="10" t="s">
        <v>337</v>
      </c>
      <c r="I178" s="10" t="s">
        <v>478</v>
      </c>
      <c r="J178" s="10" t="s">
        <v>74</v>
      </c>
      <c r="K178" s="10" t="s">
        <v>110</v>
      </c>
      <c r="L178" s="10"/>
      <c r="M178" s="10"/>
      <c r="N178" s="10" t="s">
        <v>111</v>
      </c>
      <c r="O178" s="10" t="s">
        <v>111</v>
      </c>
      <c r="P178" s="10">
        <f>Tabela1[[#This Row],[ID]]</f>
        <v>174</v>
      </c>
      <c r="Q178" s="10" t="s">
        <v>488</v>
      </c>
    </row>
    <row r="179" spans="1:19" s="11" customFormat="1" ht="22.5" x14ac:dyDescent="0.25">
      <c r="A179" s="10">
        <f t="shared" si="2"/>
        <v>175</v>
      </c>
      <c r="B179" s="11" t="s">
        <v>311</v>
      </c>
      <c r="C179" s="10" t="s">
        <v>311</v>
      </c>
      <c r="D179" s="10" t="s">
        <v>326</v>
      </c>
      <c r="E179" s="11" t="s">
        <v>327</v>
      </c>
      <c r="F179" s="11" t="s">
        <v>480</v>
      </c>
      <c r="G179" s="10" t="s">
        <v>11</v>
      </c>
      <c r="H179" s="10" t="s">
        <v>337</v>
      </c>
      <c r="I179" s="10" t="s">
        <v>478</v>
      </c>
      <c r="J179" s="10" t="s">
        <v>74</v>
      </c>
      <c r="K179" s="10" t="s">
        <v>110</v>
      </c>
      <c r="L179" s="10"/>
      <c r="M179" s="10"/>
      <c r="N179" s="10" t="s">
        <v>111</v>
      </c>
      <c r="O179" s="10" t="s">
        <v>111</v>
      </c>
      <c r="P179" s="10">
        <f>Tabela1[[#This Row],[ID]]</f>
        <v>175</v>
      </c>
      <c r="Q179" s="10" t="s">
        <v>488</v>
      </c>
    </row>
    <row r="180" spans="1:19" s="11" customFormat="1" ht="22.5" x14ac:dyDescent="0.25">
      <c r="A180" s="10">
        <f t="shared" si="2"/>
        <v>176</v>
      </c>
      <c r="B180" s="11" t="s">
        <v>311</v>
      </c>
      <c r="C180" s="10" t="s">
        <v>311</v>
      </c>
      <c r="D180" s="10" t="s">
        <v>326</v>
      </c>
      <c r="E180" s="11" t="s">
        <v>328</v>
      </c>
      <c r="F180" s="11" t="s">
        <v>329</v>
      </c>
      <c r="G180" s="10" t="s">
        <v>11</v>
      </c>
      <c r="H180" s="10" t="s">
        <v>337</v>
      </c>
      <c r="I180" s="10" t="s">
        <v>457</v>
      </c>
      <c r="J180" s="10" t="s">
        <v>73</v>
      </c>
      <c r="K180" s="10" t="s">
        <v>110</v>
      </c>
      <c r="L180" s="10"/>
      <c r="M180" s="10"/>
      <c r="N180" s="10" t="s">
        <v>111</v>
      </c>
      <c r="O180" s="10" t="s">
        <v>111</v>
      </c>
      <c r="P180" s="10" t="s">
        <v>132</v>
      </c>
      <c r="Q180" s="10" t="s">
        <v>132</v>
      </c>
    </row>
    <row r="181" spans="1:19" s="11" customFormat="1" ht="22.5" x14ac:dyDescent="0.25">
      <c r="A181" s="10">
        <f t="shared" si="2"/>
        <v>177</v>
      </c>
      <c r="B181" s="10" t="s">
        <v>3</v>
      </c>
      <c r="C181" s="10" t="s">
        <v>7</v>
      </c>
      <c r="D181" s="10" t="s">
        <v>330</v>
      </c>
      <c r="E181" s="11" t="s">
        <v>331</v>
      </c>
      <c r="F181" s="11" t="s">
        <v>332</v>
      </c>
      <c r="G181" s="10" t="s">
        <v>11</v>
      </c>
      <c r="H181" s="10" t="s">
        <v>337</v>
      </c>
      <c r="I181" s="10" t="s">
        <v>465</v>
      </c>
      <c r="J181" s="10" t="s">
        <v>73</v>
      </c>
      <c r="K181" s="10" t="s">
        <v>110</v>
      </c>
      <c r="L181" s="10">
        <v>20</v>
      </c>
      <c r="M181" s="13" t="s">
        <v>342</v>
      </c>
      <c r="N181" s="10" t="s">
        <v>111</v>
      </c>
      <c r="O181" s="10" t="s">
        <v>111</v>
      </c>
      <c r="P181" s="10" t="s">
        <v>132</v>
      </c>
      <c r="Q181" s="10" t="s">
        <v>132</v>
      </c>
    </row>
    <row r="182" spans="1:19" s="11" customFormat="1" ht="33.75" x14ac:dyDescent="0.25">
      <c r="A182" s="10">
        <f t="shared" si="2"/>
        <v>178</v>
      </c>
      <c r="B182" s="10" t="s">
        <v>3</v>
      </c>
      <c r="C182" s="10" t="s">
        <v>7</v>
      </c>
      <c r="D182" s="10" t="s">
        <v>330</v>
      </c>
      <c r="E182" s="11" t="s">
        <v>333</v>
      </c>
      <c r="F182" s="11" t="s">
        <v>334</v>
      </c>
      <c r="G182" s="10" t="s">
        <v>11</v>
      </c>
      <c r="H182" s="10" t="s">
        <v>337</v>
      </c>
      <c r="I182" s="10" t="s">
        <v>465</v>
      </c>
      <c r="J182" s="10" t="s">
        <v>73</v>
      </c>
      <c r="K182" s="10" t="s">
        <v>110</v>
      </c>
      <c r="L182" s="10"/>
      <c r="M182" s="10"/>
      <c r="N182" s="10" t="s">
        <v>111</v>
      </c>
      <c r="O182" s="10" t="s">
        <v>111</v>
      </c>
      <c r="P182" s="10" t="s">
        <v>132</v>
      </c>
      <c r="Q182" s="10" t="s">
        <v>132</v>
      </c>
    </row>
    <row r="183" spans="1:19" s="11" customFormat="1" ht="22.5" x14ac:dyDescent="0.25">
      <c r="A183" s="10">
        <f t="shared" si="2"/>
        <v>179</v>
      </c>
      <c r="B183" s="10" t="s">
        <v>3</v>
      </c>
      <c r="C183" s="10" t="s">
        <v>7</v>
      </c>
      <c r="D183" s="10" t="s">
        <v>330</v>
      </c>
      <c r="E183" s="11" t="s">
        <v>335</v>
      </c>
      <c r="F183" s="11" t="s">
        <v>336</v>
      </c>
      <c r="G183" s="10" t="s">
        <v>11</v>
      </c>
      <c r="H183" s="10" t="s">
        <v>337</v>
      </c>
      <c r="I183" s="10" t="s">
        <v>465</v>
      </c>
      <c r="J183" s="10" t="s">
        <v>73</v>
      </c>
      <c r="K183" s="10" t="s">
        <v>110</v>
      </c>
      <c r="L183" s="10"/>
      <c r="M183" s="10"/>
      <c r="N183" s="10" t="s">
        <v>111</v>
      </c>
      <c r="O183" s="10" t="s">
        <v>111</v>
      </c>
      <c r="P183" s="10" t="s">
        <v>132</v>
      </c>
      <c r="Q183" s="10" t="s">
        <v>132</v>
      </c>
    </row>
    <row r="184" spans="1:19" s="11" customFormat="1" ht="22.5" x14ac:dyDescent="0.25">
      <c r="A184" s="10">
        <f t="shared" si="2"/>
        <v>180</v>
      </c>
      <c r="B184" s="10" t="s">
        <v>224</v>
      </c>
      <c r="C184" s="10" t="s">
        <v>7</v>
      </c>
      <c r="D184" s="10" t="s">
        <v>356</v>
      </c>
      <c r="E184" s="11" t="s">
        <v>356</v>
      </c>
      <c r="F184" s="11" t="s">
        <v>356</v>
      </c>
      <c r="G184" s="10" t="s">
        <v>11</v>
      </c>
      <c r="H184" s="10" t="s">
        <v>109</v>
      </c>
      <c r="I184" s="10" t="s">
        <v>471</v>
      </c>
      <c r="J184" s="10" t="s">
        <v>74</v>
      </c>
      <c r="K184" s="10" t="s">
        <v>110</v>
      </c>
      <c r="L184" s="10"/>
      <c r="M184" s="10"/>
      <c r="N184" s="10" t="s">
        <v>110</v>
      </c>
      <c r="O184" s="10" t="s">
        <v>110</v>
      </c>
      <c r="P184" s="10" t="s">
        <v>401</v>
      </c>
      <c r="Q184" s="10" t="s">
        <v>466</v>
      </c>
    </row>
    <row r="185" spans="1:19" s="11" customFormat="1" ht="11.25" x14ac:dyDescent="0.25">
      <c r="A185" s="10">
        <f t="shared" si="2"/>
        <v>181</v>
      </c>
      <c r="B185" s="10" t="s">
        <v>129</v>
      </c>
      <c r="C185" s="10" t="s">
        <v>130</v>
      </c>
      <c r="D185" s="10" t="s">
        <v>263</v>
      </c>
      <c r="E185" s="11" t="s">
        <v>368</v>
      </c>
      <c r="F185" s="11" t="s">
        <v>368</v>
      </c>
      <c r="G185" s="10" t="s">
        <v>223</v>
      </c>
      <c r="H185" s="10" t="s">
        <v>109</v>
      </c>
      <c r="I185" s="10" t="s">
        <v>462</v>
      </c>
      <c r="J185" s="10" t="s">
        <v>73</v>
      </c>
      <c r="K185" s="10" t="s">
        <v>110</v>
      </c>
      <c r="L185" s="10"/>
      <c r="M185" s="10"/>
      <c r="N185" s="10" t="s">
        <v>110</v>
      </c>
      <c r="O185" s="10" t="s">
        <v>110</v>
      </c>
      <c r="P185" s="10" t="s">
        <v>132</v>
      </c>
      <c r="Q185" s="10" t="s">
        <v>132</v>
      </c>
    </row>
    <row r="186" spans="1:19" s="11" customFormat="1" ht="11.25" x14ac:dyDescent="0.25">
      <c r="A186" s="10">
        <f t="shared" si="2"/>
        <v>182</v>
      </c>
      <c r="B186" s="10" t="s">
        <v>129</v>
      </c>
      <c r="C186" s="10" t="s">
        <v>130</v>
      </c>
      <c r="D186" s="10" t="s">
        <v>263</v>
      </c>
      <c r="E186" s="11" t="s">
        <v>369</v>
      </c>
      <c r="F186" s="11" t="s">
        <v>369</v>
      </c>
      <c r="G186" s="10" t="s">
        <v>223</v>
      </c>
      <c r="H186" s="10" t="s">
        <v>109</v>
      </c>
      <c r="I186" s="10" t="s">
        <v>462</v>
      </c>
      <c r="J186" s="10" t="s">
        <v>73</v>
      </c>
      <c r="K186" s="10" t="s">
        <v>110</v>
      </c>
      <c r="L186" s="10"/>
      <c r="M186" s="10"/>
      <c r="N186" s="10" t="s">
        <v>110</v>
      </c>
      <c r="O186" s="10" t="s">
        <v>110</v>
      </c>
      <c r="P186" s="10" t="s">
        <v>132</v>
      </c>
      <c r="Q186" s="10" t="s">
        <v>132</v>
      </c>
    </row>
    <row r="187" spans="1:19" s="11" customFormat="1" ht="11.25" x14ac:dyDescent="0.25">
      <c r="A187" s="10">
        <f t="shared" si="2"/>
        <v>183</v>
      </c>
      <c r="B187" s="10" t="s">
        <v>129</v>
      </c>
      <c r="C187" s="10" t="s">
        <v>130</v>
      </c>
      <c r="D187" s="10" t="s">
        <v>263</v>
      </c>
      <c r="E187" s="11" t="s">
        <v>370</v>
      </c>
      <c r="F187" s="11" t="s">
        <v>370</v>
      </c>
      <c r="G187" s="10" t="s">
        <v>223</v>
      </c>
      <c r="H187" s="10" t="s">
        <v>109</v>
      </c>
      <c r="I187" s="10" t="s">
        <v>462</v>
      </c>
      <c r="J187" s="10" t="s">
        <v>73</v>
      </c>
      <c r="K187" s="10" t="s">
        <v>110</v>
      </c>
      <c r="L187" s="10"/>
      <c r="M187" s="10"/>
      <c r="N187" s="10" t="s">
        <v>110</v>
      </c>
      <c r="O187" s="10" t="s">
        <v>110</v>
      </c>
      <c r="P187" s="10" t="s">
        <v>132</v>
      </c>
      <c r="Q187" s="10" t="s">
        <v>132</v>
      </c>
      <c r="S187" s="10"/>
    </row>
    <row r="188" spans="1:19" s="11" customFormat="1" ht="33.75" x14ac:dyDescent="0.25">
      <c r="A188" s="10">
        <f t="shared" si="2"/>
        <v>184</v>
      </c>
      <c r="B188" s="10" t="s">
        <v>129</v>
      </c>
      <c r="C188" s="10" t="s">
        <v>130</v>
      </c>
      <c r="D188" s="10" t="s">
        <v>131</v>
      </c>
      <c r="E188" s="11" t="s">
        <v>387</v>
      </c>
      <c r="F188" s="11" t="s">
        <v>260</v>
      </c>
      <c r="G188" s="10" t="s">
        <v>11</v>
      </c>
      <c r="H188" s="10" t="s">
        <v>109</v>
      </c>
      <c r="I188" s="10" t="s">
        <v>459</v>
      </c>
      <c r="J188" s="10" t="s">
        <v>74</v>
      </c>
      <c r="K188" s="10" t="s">
        <v>110</v>
      </c>
      <c r="L188" s="10"/>
      <c r="M188" s="10"/>
      <c r="N188" s="10" t="s">
        <v>110</v>
      </c>
      <c r="O188" s="10" t="s">
        <v>110</v>
      </c>
      <c r="P188" s="10" t="s">
        <v>388</v>
      </c>
      <c r="Q188" s="10" t="s">
        <v>466</v>
      </c>
      <c r="S188" s="10"/>
    </row>
    <row r="189" spans="1:19" s="11" customFormat="1" ht="22.5" x14ac:dyDescent="0.25">
      <c r="A189" s="10">
        <f t="shared" si="2"/>
        <v>185</v>
      </c>
      <c r="B189" s="10" t="s">
        <v>224</v>
      </c>
      <c r="C189" s="10" t="s">
        <v>130</v>
      </c>
      <c r="D189" s="10" t="s">
        <v>224</v>
      </c>
      <c r="E189" s="11" t="s">
        <v>394</v>
      </c>
      <c r="F189" s="11" t="s">
        <v>242</v>
      </c>
      <c r="G189" s="10" t="s">
        <v>11</v>
      </c>
      <c r="H189" s="10" t="s">
        <v>109</v>
      </c>
      <c r="I189" s="10" t="s">
        <v>471</v>
      </c>
      <c r="J189" s="10" t="s">
        <v>74</v>
      </c>
      <c r="K189" s="10" t="s">
        <v>110</v>
      </c>
      <c r="L189" s="10"/>
      <c r="M189" s="10"/>
      <c r="N189" s="10" t="s">
        <v>110</v>
      </c>
      <c r="O189" s="10" t="s">
        <v>110</v>
      </c>
      <c r="P189" s="10" t="s">
        <v>395</v>
      </c>
      <c r="Q189" s="10" t="s">
        <v>466</v>
      </c>
      <c r="S189" s="10"/>
    </row>
    <row r="190" spans="1:19" s="11" customFormat="1" ht="11.25" x14ac:dyDescent="0.25">
      <c r="A190" s="10">
        <f t="shared" si="2"/>
        <v>186</v>
      </c>
      <c r="B190" s="10" t="s">
        <v>224</v>
      </c>
      <c r="C190" s="10" t="s">
        <v>130</v>
      </c>
      <c r="D190" s="10" t="s">
        <v>224</v>
      </c>
      <c r="E190" s="11" t="s">
        <v>396</v>
      </c>
      <c r="F190" s="11" t="s">
        <v>242</v>
      </c>
      <c r="G190" s="10" t="s">
        <v>11</v>
      </c>
      <c r="H190" s="10" t="s">
        <v>109</v>
      </c>
      <c r="I190" s="10" t="s">
        <v>471</v>
      </c>
      <c r="J190" s="10" t="s">
        <v>74</v>
      </c>
      <c r="K190" s="10" t="s">
        <v>110</v>
      </c>
      <c r="L190" s="10"/>
      <c r="M190" s="10"/>
      <c r="N190" s="10" t="s">
        <v>110</v>
      </c>
      <c r="O190" s="10" t="s">
        <v>110</v>
      </c>
      <c r="P190" s="10" t="s">
        <v>397</v>
      </c>
      <c r="Q190" s="10" t="s">
        <v>466</v>
      </c>
      <c r="S190" s="10"/>
    </row>
    <row r="191" spans="1:19" s="11" customFormat="1" ht="22.5" x14ac:dyDescent="0.25">
      <c r="A191" s="10">
        <f t="shared" si="2"/>
        <v>187</v>
      </c>
      <c r="B191" s="10" t="s">
        <v>129</v>
      </c>
      <c r="C191" s="10" t="s">
        <v>130</v>
      </c>
      <c r="D191" s="10" t="s">
        <v>131</v>
      </c>
      <c r="E191" s="11" t="s">
        <v>399</v>
      </c>
      <c r="F191" s="11" t="s">
        <v>400</v>
      </c>
      <c r="G191" s="10" t="s">
        <v>11</v>
      </c>
      <c r="H191" s="10" t="s">
        <v>109</v>
      </c>
      <c r="I191" s="10" t="s">
        <v>459</v>
      </c>
      <c r="J191" s="10" t="s">
        <v>73</v>
      </c>
      <c r="K191" s="10" t="s">
        <v>110</v>
      </c>
      <c r="L191" s="10"/>
      <c r="M191" s="10"/>
      <c r="N191" s="10" t="s">
        <v>110</v>
      </c>
      <c r="O191" s="10" t="s">
        <v>110</v>
      </c>
      <c r="P191" s="10" t="s">
        <v>132</v>
      </c>
      <c r="Q191" s="10" t="s">
        <v>132</v>
      </c>
      <c r="S191" s="10"/>
    </row>
    <row r="192" spans="1:19" s="11" customFormat="1" ht="22.5" x14ac:dyDescent="0.25">
      <c r="A192" s="10">
        <f t="shared" si="2"/>
        <v>188</v>
      </c>
      <c r="B192" s="10" t="s">
        <v>112</v>
      </c>
      <c r="C192" s="10" t="s">
        <v>75</v>
      </c>
      <c r="D192" s="10" t="s">
        <v>7</v>
      </c>
      <c r="E192" s="11" t="s">
        <v>402</v>
      </c>
      <c r="F192" s="11" t="s">
        <v>402</v>
      </c>
      <c r="G192" s="10" t="s">
        <v>11</v>
      </c>
      <c r="H192" s="10" t="s">
        <v>109</v>
      </c>
      <c r="I192" s="10" t="s">
        <v>461</v>
      </c>
      <c r="J192" s="10" t="s">
        <v>74</v>
      </c>
      <c r="K192" s="10" t="s">
        <v>110</v>
      </c>
      <c r="L192" s="10"/>
      <c r="M192" s="10"/>
      <c r="N192" s="10" t="s">
        <v>110</v>
      </c>
      <c r="O192" s="10" t="s">
        <v>111</v>
      </c>
      <c r="P192" s="10" t="s">
        <v>412</v>
      </c>
      <c r="Q192" s="10" t="s">
        <v>466</v>
      </c>
      <c r="S192" s="10"/>
    </row>
    <row r="193" spans="1:19" s="11" customFormat="1" ht="22.5" x14ac:dyDescent="0.25">
      <c r="A193" s="10">
        <f t="shared" si="2"/>
        <v>189</v>
      </c>
      <c r="B193" s="10" t="s">
        <v>224</v>
      </c>
      <c r="C193" s="10" t="s">
        <v>130</v>
      </c>
      <c r="D193" s="10" t="s">
        <v>224</v>
      </c>
      <c r="E193" s="11" t="s">
        <v>408</v>
      </c>
      <c r="F193" s="11" t="s">
        <v>408</v>
      </c>
      <c r="G193" s="10" t="s">
        <v>11</v>
      </c>
      <c r="H193" s="10" t="s">
        <v>109</v>
      </c>
      <c r="I193" s="10" t="s">
        <v>475</v>
      </c>
      <c r="J193" s="10" t="s">
        <v>74</v>
      </c>
      <c r="K193" s="10" t="s">
        <v>110</v>
      </c>
      <c r="L193" s="10"/>
      <c r="M193" s="10"/>
      <c r="N193" s="10" t="s">
        <v>110</v>
      </c>
      <c r="O193" s="10" t="s">
        <v>110</v>
      </c>
      <c r="P193" s="10" t="s">
        <v>426</v>
      </c>
      <c r="Q193" s="10" t="s">
        <v>466</v>
      </c>
      <c r="S193" s="10"/>
    </row>
    <row r="194" spans="1:19" s="11" customFormat="1" ht="33.75" x14ac:dyDescent="0.25">
      <c r="A194" s="10">
        <f>A193 + 1</f>
        <v>190</v>
      </c>
      <c r="B194" s="10" t="s">
        <v>129</v>
      </c>
      <c r="C194" s="10" t="s">
        <v>130</v>
      </c>
      <c r="D194" s="10"/>
      <c r="E194" s="11" t="s">
        <v>409</v>
      </c>
      <c r="F194" s="11" t="s">
        <v>409</v>
      </c>
      <c r="G194" s="10" t="s">
        <v>11</v>
      </c>
      <c r="H194" s="10" t="s">
        <v>109</v>
      </c>
      <c r="I194" s="10" t="s">
        <v>463</v>
      </c>
      <c r="J194" s="10" t="s">
        <v>74</v>
      </c>
      <c r="K194" s="10" t="s">
        <v>110</v>
      </c>
      <c r="L194" s="10"/>
      <c r="M194" s="10"/>
      <c r="N194" s="10" t="s">
        <v>110</v>
      </c>
      <c r="O194" s="10" t="s">
        <v>110</v>
      </c>
      <c r="P194" s="10" t="s">
        <v>452</v>
      </c>
      <c r="Q194" s="10" t="s">
        <v>466</v>
      </c>
      <c r="S194" s="10"/>
    </row>
    <row r="195" spans="1:19" s="11" customFormat="1" ht="11.25" x14ac:dyDescent="0.25">
      <c r="A195" s="10">
        <f>A194 + 1</f>
        <v>191</v>
      </c>
      <c r="B195" s="10" t="s">
        <v>218</v>
      </c>
      <c r="C195" s="10" t="s">
        <v>130</v>
      </c>
      <c r="D195" s="10" t="s">
        <v>254</v>
      </c>
      <c r="E195" s="11" t="s">
        <v>254</v>
      </c>
      <c r="F195" s="11" t="s">
        <v>254</v>
      </c>
      <c r="G195" s="10" t="s">
        <v>223</v>
      </c>
      <c r="H195" s="10" t="s">
        <v>109</v>
      </c>
      <c r="I195" s="10" t="s">
        <v>461</v>
      </c>
      <c r="J195" s="10" t="s">
        <v>73</v>
      </c>
      <c r="K195" s="10" t="s">
        <v>110</v>
      </c>
      <c r="L195" s="10"/>
      <c r="M195" s="10"/>
      <c r="N195" s="10" t="s">
        <v>111</v>
      </c>
      <c r="O195" s="10" t="s">
        <v>110</v>
      </c>
      <c r="P195" s="10" t="s">
        <v>132</v>
      </c>
      <c r="Q195" s="10" t="s">
        <v>132</v>
      </c>
      <c r="S195" s="10"/>
    </row>
    <row r="196" spans="1:19" s="11" customFormat="1" ht="11.25" x14ac:dyDescent="0.25">
      <c r="A196" s="10">
        <f t="shared" ref="A196:A210" si="3">A195 + 1</f>
        <v>192</v>
      </c>
      <c r="B196" s="10" t="s">
        <v>218</v>
      </c>
      <c r="C196" s="10" t="s">
        <v>130</v>
      </c>
      <c r="D196" s="10" t="s">
        <v>421</v>
      </c>
      <c r="E196" s="11" t="s">
        <v>421</v>
      </c>
      <c r="F196" s="11" t="s">
        <v>421</v>
      </c>
      <c r="G196" s="10" t="s">
        <v>223</v>
      </c>
      <c r="H196" s="10" t="s">
        <v>109</v>
      </c>
      <c r="I196" s="10" t="s">
        <v>461</v>
      </c>
      <c r="J196" s="10" t="s">
        <v>73</v>
      </c>
      <c r="K196" s="10" t="s">
        <v>110</v>
      </c>
      <c r="L196" s="10"/>
      <c r="M196" s="10"/>
      <c r="N196" s="10" t="s">
        <v>111</v>
      </c>
      <c r="O196" s="10" t="s">
        <v>110</v>
      </c>
      <c r="P196" s="10" t="s">
        <v>132</v>
      </c>
      <c r="Q196" s="10" t="s">
        <v>132</v>
      </c>
      <c r="S196" s="10"/>
    </row>
    <row r="197" spans="1:19" s="11" customFormat="1" ht="22.5" x14ac:dyDescent="0.25">
      <c r="A197" s="10">
        <v>193</v>
      </c>
      <c r="B197" s="10" t="s">
        <v>3</v>
      </c>
      <c r="C197" s="10" t="s">
        <v>7</v>
      </c>
      <c r="D197" s="10" t="s">
        <v>27</v>
      </c>
      <c r="E197" s="11" t="s">
        <v>422</v>
      </c>
      <c r="F197" s="11" t="s">
        <v>422</v>
      </c>
      <c r="G197" s="10" t="s">
        <v>11</v>
      </c>
      <c r="H197" s="10" t="s">
        <v>72</v>
      </c>
      <c r="I197" s="10" t="s">
        <v>458</v>
      </c>
      <c r="J197" s="10" t="s">
        <v>74</v>
      </c>
      <c r="K197" s="10" t="s">
        <v>110</v>
      </c>
      <c r="L197" s="10"/>
      <c r="M197" s="10"/>
      <c r="N197" s="10" t="s">
        <v>110</v>
      </c>
      <c r="O197" s="10" t="s">
        <v>110</v>
      </c>
      <c r="P197" s="10" t="s">
        <v>423</v>
      </c>
      <c r="Q197" s="10" t="s">
        <v>466</v>
      </c>
      <c r="S197" s="10"/>
    </row>
    <row r="198" spans="1:19" s="11" customFormat="1" ht="22.5" x14ac:dyDescent="0.25">
      <c r="A198" s="10">
        <f t="shared" si="3"/>
        <v>194</v>
      </c>
      <c r="B198" s="10" t="s">
        <v>129</v>
      </c>
      <c r="C198" s="10" t="s">
        <v>113</v>
      </c>
      <c r="D198" s="10" t="s">
        <v>224</v>
      </c>
      <c r="E198" s="11" t="s">
        <v>430</v>
      </c>
      <c r="F198" s="11" t="s">
        <v>430</v>
      </c>
      <c r="G198" s="10" t="s">
        <v>223</v>
      </c>
      <c r="H198" s="10" t="s">
        <v>109</v>
      </c>
      <c r="I198" s="10" t="s">
        <v>462</v>
      </c>
      <c r="J198" s="10" t="s">
        <v>74</v>
      </c>
      <c r="K198" s="10" t="s">
        <v>110</v>
      </c>
      <c r="L198" s="10"/>
      <c r="M198" s="10"/>
      <c r="N198" s="10" t="s">
        <v>110</v>
      </c>
      <c r="O198" s="10" t="s">
        <v>110</v>
      </c>
      <c r="P198" s="10" t="s">
        <v>472</v>
      </c>
      <c r="Q198" s="10" t="s">
        <v>466</v>
      </c>
      <c r="S198" s="10"/>
    </row>
    <row r="199" spans="1:19" s="11" customFormat="1" ht="22.5" x14ac:dyDescent="0.25">
      <c r="A199" s="10">
        <f t="shared" si="3"/>
        <v>195</v>
      </c>
      <c r="B199" s="10" t="s">
        <v>112</v>
      </c>
      <c r="C199" s="10" t="s">
        <v>75</v>
      </c>
      <c r="D199" s="10" t="s">
        <v>76</v>
      </c>
      <c r="E199" s="11" t="s">
        <v>437</v>
      </c>
      <c r="F199" s="11" t="s">
        <v>437</v>
      </c>
      <c r="G199" s="10" t="s">
        <v>11</v>
      </c>
      <c r="H199" s="10" t="s">
        <v>109</v>
      </c>
      <c r="I199" s="10" t="s">
        <v>457</v>
      </c>
      <c r="J199" s="10" t="s">
        <v>74</v>
      </c>
      <c r="K199" s="10" t="s">
        <v>110</v>
      </c>
      <c r="L199" s="10"/>
      <c r="M199" s="10"/>
      <c r="N199" s="10" t="s">
        <v>110</v>
      </c>
      <c r="O199" s="10" t="s">
        <v>110</v>
      </c>
      <c r="P199" s="10" t="s">
        <v>438</v>
      </c>
      <c r="Q199" s="10" t="s">
        <v>466</v>
      </c>
      <c r="S199" s="10"/>
    </row>
    <row r="200" spans="1:19" s="11" customFormat="1" ht="11.25" x14ac:dyDescent="0.25">
      <c r="A200" s="10">
        <f t="shared" si="3"/>
        <v>196</v>
      </c>
      <c r="B200" s="10" t="s">
        <v>112</v>
      </c>
      <c r="C200" s="10" t="s">
        <v>75</v>
      </c>
      <c r="D200" s="10" t="s">
        <v>76</v>
      </c>
      <c r="E200" s="11" t="s">
        <v>441</v>
      </c>
      <c r="F200" s="11" t="s">
        <v>441</v>
      </c>
      <c r="G200" s="10" t="s">
        <v>11</v>
      </c>
      <c r="H200" s="10" t="s">
        <v>109</v>
      </c>
      <c r="I200" s="10" t="s">
        <v>457</v>
      </c>
      <c r="J200" s="10" t="s">
        <v>74</v>
      </c>
      <c r="K200" s="10" t="s">
        <v>110</v>
      </c>
      <c r="L200" s="10"/>
      <c r="M200" s="10"/>
      <c r="N200" s="10" t="s">
        <v>110</v>
      </c>
      <c r="O200" s="10" t="s">
        <v>110</v>
      </c>
      <c r="P200" s="10" t="s">
        <v>440</v>
      </c>
      <c r="Q200" s="10" t="s">
        <v>466</v>
      </c>
      <c r="S200" s="10"/>
    </row>
    <row r="201" spans="1:19" s="11" customFormat="1" ht="22.5" x14ac:dyDescent="0.25">
      <c r="A201" s="10">
        <f t="shared" si="3"/>
        <v>197</v>
      </c>
      <c r="B201" s="10" t="s">
        <v>112</v>
      </c>
      <c r="C201" s="10" t="s">
        <v>75</v>
      </c>
      <c r="D201" s="10" t="s">
        <v>87</v>
      </c>
      <c r="E201" s="11" t="s">
        <v>446</v>
      </c>
      <c r="F201" s="11" t="s">
        <v>446</v>
      </c>
      <c r="G201" s="10" t="s">
        <v>13</v>
      </c>
      <c r="H201" s="10" t="s">
        <v>109</v>
      </c>
      <c r="I201" s="10" t="s">
        <v>457</v>
      </c>
      <c r="J201" s="10" t="s">
        <v>74</v>
      </c>
      <c r="K201" s="10" t="s">
        <v>110</v>
      </c>
      <c r="L201" s="10"/>
      <c r="M201" s="10"/>
      <c r="N201" s="10" t="s">
        <v>110</v>
      </c>
      <c r="O201" s="10" t="s">
        <v>110</v>
      </c>
      <c r="P201" s="10" t="s">
        <v>445</v>
      </c>
      <c r="Q201" s="10" t="s">
        <v>466</v>
      </c>
      <c r="S201" s="10"/>
    </row>
    <row r="202" spans="1:19" s="11" customFormat="1" ht="22.5" x14ac:dyDescent="0.25">
      <c r="A202" s="10">
        <f t="shared" si="3"/>
        <v>198</v>
      </c>
      <c r="B202" s="10" t="s">
        <v>112</v>
      </c>
      <c r="C202" s="10" t="s">
        <v>75</v>
      </c>
      <c r="D202" s="10" t="s">
        <v>87</v>
      </c>
      <c r="E202" s="11" t="s">
        <v>447</v>
      </c>
      <c r="F202" s="11" t="s">
        <v>447</v>
      </c>
      <c r="G202" s="10" t="s">
        <v>13</v>
      </c>
      <c r="H202" s="10" t="s">
        <v>109</v>
      </c>
      <c r="I202" s="10" t="s">
        <v>457</v>
      </c>
      <c r="J202" s="10" t="s">
        <v>74</v>
      </c>
      <c r="K202" s="10" t="s">
        <v>110</v>
      </c>
      <c r="L202" s="10"/>
      <c r="M202" s="10"/>
      <c r="N202" s="10" t="s">
        <v>110</v>
      </c>
      <c r="O202" s="10" t="s">
        <v>110</v>
      </c>
      <c r="P202" s="10" t="s">
        <v>448</v>
      </c>
      <c r="Q202" s="10" t="s">
        <v>466</v>
      </c>
      <c r="S202" s="10"/>
    </row>
    <row r="203" spans="1:19" s="11" customFormat="1" ht="22.5" x14ac:dyDescent="0.25">
      <c r="A203" s="10">
        <f t="shared" si="3"/>
        <v>199</v>
      </c>
      <c r="B203" s="10" t="s">
        <v>112</v>
      </c>
      <c r="C203" s="10" t="s">
        <v>75</v>
      </c>
      <c r="D203" s="10" t="s">
        <v>87</v>
      </c>
      <c r="E203" s="11" t="s">
        <v>449</v>
      </c>
      <c r="F203" s="11" t="s">
        <v>449</v>
      </c>
      <c r="G203" s="10" t="s">
        <v>13</v>
      </c>
      <c r="H203" s="10" t="s">
        <v>109</v>
      </c>
      <c r="I203" s="10" t="s">
        <v>457</v>
      </c>
      <c r="J203" s="10" t="s">
        <v>74</v>
      </c>
      <c r="K203" s="10" t="s">
        <v>110</v>
      </c>
      <c r="L203" s="10"/>
      <c r="M203" s="10"/>
      <c r="N203" s="10" t="s">
        <v>110</v>
      </c>
      <c r="O203" s="10" t="s">
        <v>110</v>
      </c>
      <c r="P203" s="10" t="s">
        <v>450</v>
      </c>
      <c r="Q203" s="10" t="s">
        <v>466</v>
      </c>
      <c r="S203" s="10"/>
    </row>
    <row r="204" spans="1:19" ht="22.5" x14ac:dyDescent="0.25">
      <c r="A204" s="10">
        <f t="shared" si="3"/>
        <v>200</v>
      </c>
      <c r="B204" s="10" t="s">
        <v>129</v>
      </c>
      <c r="C204" s="10" t="s">
        <v>130</v>
      </c>
      <c r="D204" s="10" t="s">
        <v>131</v>
      </c>
      <c r="E204" s="11" t="s">
        <v>473</v>
      </c>
      <c r="F204" s="11" t="s">
        <v>473</v>
      </c>
      <c r="G204" s="10" t="s">
        <v>11</v>
      </c>
      <c r="H204" s="10" t="s">
        <v>109</v>
      </c>
      <c r="I204" s="10" t="s">
        <v>459</v>
      </c>
      <c r="J204" s="10" t="s">
        <v>74</v>
      </c>
      <c r="K204" s="10" t="s">
        <v>110</v>
      </c>
      <c r="L204" s="10"/>
      <c r="M204" s="10"/>
      <c r="N204" s="10" t="s">
        <v>110</v>
      </c>
      <c r="O204" s="10" t="s">
        <v>110</v>
      </c>
      <c r="P204" s="10" t="s">
        <v>474</v>
      </c>
      <c r="Q204" s="10" t="s">
        <v>466</v>
      </c>
    </row>
    <row r="205" spans="1:19" ht="12.75" x14ac:dyDescent="0.25">
      <c r="A205" s="10">
        <f t="shared" si="3"/>
        <v>201</v>
      </c>
      <c r="B205" s="11" t="s">
        <v>311</v>
      </c>
      <c r="C205" s="10" t="s">
        <v>311</v>
      </c>
      <c r="D205" s="10" t="s">
        <v>312</v>
      </c>
      <c r="E205" s="11" t="s">
        <v>481</v>
      </c>
      <c r="F205" s="11" t="s">
        <v>481</v>
      </c>
      <c r="G205" s="10" t="s">
        <v>11</v>
      </c>
      <c r="H205" s="10" t="s">
        <v>337</v>
      </c>
      <c r="I205" s="10" t="s">
        <v>487</v>
      </c>
      <c r="J205" s="10" t="s">
        <v>74</v>
      </c>
      <c r="K205" s="10" t="s">
        <v>110</v>
      </c>
      <c r="L205" s="10"/>
      <c r="M205" s="10"/>
      <c r="N205" s="10" t="s">
        <v>110</v>
      </c>
      <c r="O205" s="10" t="s">
        <v>110</v>
      </c>
      <c r="P205" s="10">
        <f>Tabela1[[#This Row],[ID]]</f>
        <v>201</v>
      </c>
      <c r="Q205" s="10" t="s">
        <v>488</v>
      </c>
    </row>
    <row r="206" spans="1:19" ht="12.75" x14ac:dyDescent="0.25">
      <c r="A206" s="10">
        <f t="shared" si="3"/>
        <v>202</v>
      </c>
      <c r="B206" s="11" t="s">
        <v>311</v>
      </c>
      <c r="C206" s="10" t="s">
        <v>311</v>
      </c>
      <c r="D206" s="10" t="s">
        <v>312</v>
      </c>
      <c r="E206" s="11" t="s">
        <v>482</v>
      </c>
      <c r="F206" s="11" t="s">
        <v>482</v>
      </c>
      <c r="G206" s="10" t="s">
        <v>11</v>
      </c>
      <c r="H206" s="10" t="s">
        <v>337</v>
      </c>
      <c r="I206" s="10" t="s">
        <v>487</v>
      </c>
      <c r="J206" s="10" t="s">
        <v>74</v>
      </c>
      <c r="K206" s="10" t="s">
        <v>110</v>
      </c>
      <c r="L206" s="10"/>
      <c r="M206" s="10"/>
      <c r="N206" s="10" t="s">
        <v>110</v>
      </c>
      <c r="O206" s="10" t="s">
        <v>110</v>
      </c>
      <c r="P206" s="10">
        <f>Tabela1[[#This Row],[ID]]</f>
        <v>202</v>
      </c>
      <c r="Q206" s="10" t="s">
        <v>488</v>
      </c>
    </row>
    <row r="207" spans="1:19" ht="12.75" x14ac:dyDescent="0.25">
      <c r="A207" s="10">
        <f t="shared" si="3"/>
        <v>203</v>
      </c>
      <c r="B207" s="11" t="s">
        <v>311</v>
      </c>
      <c r="C207" s="10" t="s">
        <v>311</v>
      </c>
      <c r="D207" s="10" t="s">
        <v>312</v>
      </c>
      <c r="E207" s="11" t="s">
        <v>483</v>
      </c>
      <c r="F207" s="11" t="s">
        <v>483</v>
      </c>
      <c r="G207" s="10" t="s">
        <v>11</v>
      </c>
      <c r="H207" s="10" t="s">
        <v>337</v>
      </c>
      <c r="I207" s="10" t="s">
        <v>487</v>
      </c>
      <c r="J207" s="10" t="s">
        <v>74</v>
      </c>
      <c r="K207" s="10" t="s">
        <v>110</v>
      </c>
      <c r="L207" s="10"/>
      <c r="M207" s="10"/>
      <c r="N207" s="10" t="s">
        <v>110</v>
      </c>
      <c r="O207" s="10" t="s">
        <v>110</v>
      </c>
      <c r="P207" s="10">
        <f>Tabela1[[#This Row],[ID]]</f>
        <v>203</v>
      </c>
      <c r="Q207" s="10" t="s">
        <v>488</v>
      </c>
    </row>
    <row r="208" spans="1:19" ht="12.75" x14ac:dyDescent="0.25">
      <c r="A208" s="10">
        <f t="shared" si="3"/>
        <v>204</v>
      </c>
      <c r="B208" s="11" t="s">
        <v>311</v>
      </c>
      <c r="C208" s="10" t="s">
        <v>311</v>
      </c>
      <c r="D208" s="10" t="s">
        <v>312</v>
      </c>
      <c r="E208" s="11" t="s">
        <v>484</v>
      </c>
      <c r="F208" s="11" t="s">
        <v>490</v>
      </c>
      <c r="G208" s="10" t="s">
        <v>11</v>
      </c>
      <c r="H208" s="10" t="s">
        <v>337</v>
      </c>
      <c r="I208" s="10" t="s">
        <v>457</v>
      </c>
      <c r="J208" s="10" t="s">
        <v>73</v>
      </c>
      <c r="K208" s="10" t="s">
        <v>110</v>
      </c>
      <c r="L208" s="10"/>
      <c r="M208" s="10"/>
      <c r="N208" s="10" t="s">
        <v>110</v>
      </c>
      <c r="O208" s="10" t="s">
        <v>110</v>
      </c>
      <c r="P208" s="10" t="s">
        <v>132</v>
      </c>
      <c r="Q208" s="10" t="s">
        <v>132</v>
      </c>
    </row>
    <row r="209" spans="1:17" ht="12.75" x14ac:dyDescent="0.25">
      <c r="A209" s="10">
        <f t="shared" si="3"/>
        <v>205</v>
      </c>
      <c r="B209" s="11" t="s">
        <v>311</v>
      </c>
      <c r="C209" s="10" t="s">
        <v>311</v>
      </c>
      <c r="D209" s="10" t="s">
        <v>312</v>
      </c>
      <c r="E209" s="11" t="s">
        <v>485</v>
      </c>
      <c r="F209" s="11" t="s">
        <v>491</v>
      </c>
      <c r="G209" s="10" t="s">
        <v>11</v>
      </c>
      <c r="H209" s="10" t="s">
        <v>337</v>
      </c>
      <c r="I209" s="10" t="s">
        <v>457</v>
      </c>
      <c r="J209" s="10" t="s">
        <v>73</v>
      </c>
      <c r="K209" s="10" t="s">
        <v>110</v>
      </c>
      <c r="L209" s="10"/>
      <c r="M209" s="10"/>
      <c r="N209" s="10" t="s">
        <v>110</v>
      </c>
      <c r="O209" s="10" t="s">
        <v>110</v>
      </c>
      <c r="P209" s="10" t="s">
        <v>132</v>
      </c>
      <c r="Q209" s="10" t="s">
        <v>132</v>
      </c>
    </row>
    <row r="210" spans="1:17" ht="12.75" x14ac:dyDescent="0.25">
      <c r="A210" s="10">
        <f t="shared" si="3"/>
        <v>206</v>
      </c>
      <c r="B210" s="11" t="s">
        <v>311</v>
      </c>
      <c r="C210" s="10" t="s">
        <v>311</v>
      </c>
      <c r="D210" s="10" t="s">
        <v>312</v>
      </c>
      <c r="E210" s="11" t="s">
        <v>486</v>
      </c>
      <c r="F210" s="11" t="s">
        <v>486</v>
      </c>
      <c r="G210" s="10" t="s">
        <v>11</v>
      </c>
      <c r="H210" s="10" t="s">
        <v>337</v>
      </c>
      <c r="I210" s="10" t="s">
        <v>492</v>
      </c>
      <c r="J210" s="10" t="s">
        <v>74</v>
      </c>
      <c r="K210" s="10" t="s">
        <v>110</v>
      </c>
      <c r="L210" s="10"/>
      <c r="M210" s="10"/>
      <c r="N210" s="10" t="s">
        <v>110</v>
      </c>
      <c r="O210" s="10" t="s">
        <v>110</v>
      </c>
      <c r="P210" s="10">
        <f>Tabela1[[#This Row],[ID]]</f>
        <v>206</v>
      </c>
      <c r="Q210" s="10" t="s">
        <v>488</v>
      </c>
    </row>
    <row r="211" spans="1:17" ht="12.75" x14ac:dyDescent="0.25">
      <c r="A211" s="4"/>
      <c r="B211" s="4"/>
      <c r="C211" s="4"/>
      <c r="D211" s="4"/>
      <c r="E211" s="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2.75" x14ac:dyDescent="0.25">
      <c r="A212" s="4"/>
      <c r="B212" s="4"/>
      <c r="C212" s="4"/>
      <c r="D212" s="4"/>
      <c r="E212" s="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2.75" x14ac:dyDescent="0.25">
      <c r="A213" s="4"/>
      <c r="B213" s="4"/>
      <c r="C213" s="4"/>
      <c r="D213" s="4"/>
      <c r="E213" s="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2.75" x14ac:dyDescent="0.25">
      <c r="A214" s="4"/>
      <c r="B214" s="4"/>
      <c r="C214" s="4"/>
      <c r="D214" s="4"/>
      <c r="E214" s="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2.75" x14ac:dyDescent="0.25">
      <c r="A215" s="4"/>
      <c r="B215" s="4"/>
      <c r="C215" s="4"/>
      <c r="D215" s="4"/>
      <c r="E215" s="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2.75" x14ac:dyDescent="0.25">
      <c r="A216" s="4"/>
      <c r="B216" s="4"/>
      <c r="C216" s="4"/>
      <c r="D216" s="4"/>
      <c r="E216" s="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x14ac:dyDescent="0.25">
      <c r="A217" s="1" t="s">
        <v>451</v>
      </c>
    </row>
  </sheetData>
  <mergeCells count="1">
    <mergeCell ref="I2:Q2"/>
  </mergeCells>
  <dataValidations count="6">
    <dataValidation type="list" allowBlank="1" showInputMessage="1" showErrorMessage="1" sqref="Q7 Q9 Q19 Q21 Q32 Q50:Q51 Q15:Q16 Q88 Q140 Q106 Q80:Q81 Q129:Q130 Q163:Q167 Q138 Q157:Q158 Q111:Q112 Q132:Q133 Q92 Q41:Q43 Q192:Q194 Q99 Q86 Q76:Q77 Q188:Q190 Q108 Q147 Q11 L14 Q184 Q197 Q199:Q207 Q210:Q216">
      <formula1>"Não iniciado, Em andamento, Em validação, Em ajuste, Finalizado"</formula1>
    </dataValidation>
    <dataValidation type="list" allowBlank="1" showInputMessage="1" showErrorMessage="1" sqref="C181:C183 C42:C67 C157:C158 C192 C199:C203 C211:C216">
      <formula1>"Infraestrutura, Siebel, Right Now, EDI, Microinformática"</formula1>
    </dataValidation>
    <dataValidation type="list" allowBlank="1" showInputMessage="1" showErrorMessage="1" sqref="G167:G171 G5:G54 G56:G139 G188:G190 G197:G216">
      <formula1>"Incidente, Solicitação, Monitoração"</formula1>
    </dataValidation>
    <dataValidation type="list" allowBlank="1" showInputMessage="1" showErrorMessage="1" sqref="B172:C180 B205:C210">
      <formula1>"Gestão de Acesso, Site, Infraestrutura, Siebel, Right Now, EDI, Microinformática"</formula1>
    </dataValidation>
    <dataValidation type="list" allowBlank="1" showInputMessage="1" showErrorMessage="1" sqref="B181:B183 B185:B192 B5:B171 B197:B204 B211:B216">
      <formula1>"Site, Infraestrutura, Siebel, Right Now, EDI, Microinformática"</formula1>
    </dataValidation>
    <dataValidation type="list" allowBlank="1" showInputMessage="1" showErrorMessage="1" sqref="J188:J194 J5:J184 J197:J216">
      <formula1>"Suporte N1, Suporte N2, Field Service, SI, Não Identificado"</formula1>
    </dataValidation>
  </dataValidations>
  <hyperlinks>
    <hyperlink ref="E173" r:id="rId1" display="https://smiles.atlassian.net/servicedesk/customer/portal/10/create/191"/>
    <hyperlink ref="E174" r:id="rId2" display="https://smiles.atlassian.net/servicedesk/customer/portal/10/create/193"/>
    <hyperlink ref="E175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8" bestFit="1" customWidth="1"/>
    <col min="2" max="2" width="28.5703125" bestFit="1" customWidth="1"/>
    <col min="4" max="4" width="18" customWidth="1"/>
    <col min="5" max="5" width="48.28515625" bestFit="1" customWidth="1"/>
  </cols>
  <sheetData>
    <row r="1" spans="1:5" x14ac:dyDescent="0.25">
      <c r="D1" s="7" t="s">
        <v>376</v>
      </c>
      <c r="E1" t="s">
        <v>74</v>
      </c>
    </row>
    <row r="3" spans="1:5" x14ac:dyDescent="0.25">
      <c r="A3" s="7" t="s">
        <v>431</v>
      </c>
      <c r="B3" t="s">
        <v>433</v>
      </c>
      <c r="D3" s="7" t="s">
        <v>431</v>
      </c>
      <c r="E3" t="s">
        <v>434</v>
      </c>
    </row>
    <row r="4" spans="1:5" x14ac:dyDescent="0.25">
      <c r="A4" s="8" t="s">
        <v>371</v>
      </c>
      <c r="B4" s="9">
        <v>17</v>
      </c>
      <c r="D4" s="8" t="s">
        <v>352</v>
      </c>
      <c r="E4" s="9">
        <v>1</v>
      </c>
    </row>
    <row r="5" spans="1:5" x14ac:dyDescent="0.25">
      <c r="A5" s="8" t="s">
        <v>74</v>
      </c>
      <c r="B5" s="9">
        <v>63</v>
      </c>
      <c r="D5" s="8" t="s">
        <v>466</v>
      </c>
      <c r="E5" s="9">
        <v>55</v>
      </c>
    </row>
    <row r="6" spans="1:5" x14ac:dyDescent="0.25">
      <c r="A6" s="8" t="s">
        <v>73</v>
      </c>
      <c r="B6" s="9">
        <v>126</v>
      </c>
      <c r="D6" s="8" t="s">
        <v>488</v>
      </c>
      <c r="E6" s="9">
        <v>7</v>
      </c>
    </row>
    <row r="7" spans="1:5" x14ac:dyDescent="0.25">
      <c r="A7" s="8" t="s">
        <v>432</v>
      </c>
      <c r="B7" s="9">
        <v>206</v>
      </c>
      <c r="D7" s="8" t="s">
        <v>432</v>
      </c>
      <c r="E7" s="9">
        <v>63</v>
      </c>
    </row>
    <row r="9" spans="1:5" x14ac:dyDescent="0.25">
      <c r="E9" t="s">
        <v>493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7"/>
  <sheetViews>
    <sheetView showGridLines="0" view="pageBreakPreview" zoomScale="70" zoomScaleNormal="110" zoomScaleSheetLayoutView="70" workbookViewId="0">
      <selection activeCell="H29" sqref="H29:H36"/>
    </sheetView>
  </sheetViews>
  <sheetFormatPr defaultColWidth="5.28515625" defaultRowHeight="17.25" x14ac:dyDescent="0.25"/>
  <cols>
    <col min="1" max="1" width="8.140625" style="22" customWidth="1"/>
    <col min="2" max="2" width="22.42578125" style="25" customWidth="1"/>
    <col min="3" max="3" width="43.7109375" style="17" customWidth="1"/>
    <col min="4" max="4" width="47" style="17" customWidth="1"/>
    <col min="5" max="5" width="41.7109375" style="29" customWidth="1"/>
    <col min="6" max="6" width="26.42578125" style="17" customWidth="1"/>
    <col min="7" max="7" width="28.28515625" style="17" customWidth="1"/>
    <col min="8" max="8" width="38" style="17" customWidth="1"/>
    <col min="9" max="9" width="5.28515625" style="17"/>
    <col min="10" max="10" width="5.28515625" style="22"/>
    <col min="11" max="16384" width="5.28515625" style="17"/>
  </cols>
  <sheetData>
    <row r="1" spans="1:10" ht="61.5" customHeight="1" thickBot="1" x14ac:dyDescent="0.3">
      <c r="A1" s="30" t="s">
        <v>0</v>
      </c>
      <c r="B1" s="30" t="s">
        <v>372</v>
      </c>
      <c r="C1" s="30" t="s">
        <v>2</v>
      </c>
      <c r="D1" s="30" t="s">
        <v>6</v>
      </c>
      <c r="E1" s="30" t="s">
        <v>454</v>
      </c>
      <c r="F1" s="30" t="s">
        <v>453</v>
      </c>
      <c r="G1" s="30" t="s">
        <v>455</v>
      </c>
      <c r="H1" s="33" t="s">
        <v>456</v>
      </c>
      <c r="J1" s="17"/>
    </row>
    <row r="2" spans="1:10" ht="103.5" x14ac:dyDescent="0.25">
      <c r="A2" s="18">
        <v>1</v>
      </c>
      <c r="B2" s="18" t="s">
        <v>224</v>
      </c>
      <c r="C2" s="19" t="s">
        <v>239</v>
      </c>
      <c r="D2" s="19" t="s">
        <v>225</v>
      </c>
      <c r="E2" s="26" t="s">
        <v>360</v>
      </c>
      <c r="F2" s="18"/>
      <c r="G2" s="18"/>
      <c r="H2" s="34"/>
      <c r="J2" s="17"/>
    </row>
    <row r="3" spans="1:10" ht="103.5" x14ac:dyDescent="0.25">
      <c r="A3" s="18">
        <f>1 +A2</f>
        <v>2</v>
      </c>
      <c r="B3" s="20" t="s">
        <v>224</v>
      </c>
      <c r="C3" s="21" t="s">
        <v>226</v>
      </c>
      <c r="D3" s="21" t="s">
        <v>225</v>
      </c>
      <c r="E3" s="27" t="s">
        <v>390</v>
      </c>
      <c r="F3" s="20"/>
      <c r="G3" s="20"/>
      <c r="H3" s="35"/>
      <c r="J3" s="17"/>
    </row>
    <row r="4" spans="1:10" x14ac:dyDescent="0.25">
      <c r="A4" s="18">
        <f t="shared" ref="A4:A36" si="0">1 +A3</f>
        <v>3</v>
      </c>
      <c r="B4" s="20" t="s">
        <v>224</v>
      </c>
      <c r="C4" s="21" t="s">
        <v>252</v>
      </c>
      <c r="D4" s="21" t="s">
        <v>240</v>
      </c>
      <c r="E4" s="27" t="s">
        <v>364</v>
      </c>
      <c r="F4" s="20"/>
      <c r="G4" s="20"/>
      <c r="H4" s="35"/>
      <c r="J4" s="17"/>
    </row>
    <row r="5" spans="1:10" ht="34.5" x14ac:dyDescent="0.25">
      <c r="A5" s="18">
        <f t="shared" si="0"/>
        <v>4</v>
      </c>
      <c r="B5" s="20" t="s">
        <v>224</v>
      </c>
      <c r="C5" s="21" t="s">
        <v>228</v>
      </c>
      <c r="D5" s="21" t="s">
        <v>229</v>
      </c>
      <c r="E5" s="27" t="s">
        <v>391</v>
      </c>
      <c r="F5" s="20"/>
      <c r="G5" s="20"/>
      <c r="H5" s="35"/>
      <c r="J5" s="17"/>
    </row>
    <row r="6" spans="1:10" ht="34.5" x14ac:dyDescent="0.25">
      <c r="A6" s="18">
        <f t="shared" si="0"/>
        <v>5</v>
      </c>
      <c r="B6" s="20" t="s">
        <v>224</v>
      </c>
      <c r="C6" s="21" t="s">
        <v>392</v>
      </c>
      <c r="D6" s="21" t="s">
        <v>242</v>
      </c>
      <c r="E6" s="27" t="s">
        <v>393</v>
      </c>
      <c r="F6" s="20"/>
      <c r="G6" s="20"/>
      <c r="H6" s="35"/>
      <c r="J6" s="17"/>
    </row>
    <row r="7" spans="1:10" x14ac:dyDescent="0.25">
      <c r="A7" s="18">
        <f t="shared" si="0"/>
        <v>6</v>
      </c>
      <c r="B7" s="20" t="s">
        <v>224</v>
      </c>
      <c r="C7" s="21" t="s">
        <v>244</v>
      </c>
      <c r="D7" s="21" t="s">
        <v>244</v>
      </c>
      <c r="E7" s="27" t="s">
        <v>398</v>
      </c>
      <c r="F7" s="20"/>
      <c r="G7" s="20"/>
      <c r="H7" s="35"/>
      <c r="J7" s="17"/>
    </row>
    <row r="8" spans="1:10" ht="34.5" x14ac:dyDescent="0.25">
      <c r="A8" s="18">
        <f t="shared" si="0"/>
        <v>7</v>
      </c>
      <c r="B8" s="20" t="s">
        <v>224</v>
      </c>
      <c r="C8" s="21" t="s">
        <v>356</v>
      </c>
      <c r="D8" s="21" t="s">
        <v>356</v>
      </c>
      <c r="E8" s="27" t="s">
        <v>401</v>
      </c>
      <c r="F8" s="20"/>
      <c r="G8" s="20"/>
      <c r="H8" s="35"/>
      <c r="J8" s="17"/>
    </row>
    <row r="9" spans="1:10" ht="34.5" x14ac:dyDescent="0.25">
      <c r="A9" s="18">
        <f t="shared" si="0"/>
        <v>8</v>
      </c>
      <c r="B9" s="20" t="s">
        <v>224</v>
      </c>
      <c r="C9" s="21" t="s">
        <v>394</v>
      </c>
      <c r="D9" s="21" t="s">
        <v>242</v>
      </c>
      <c r="E9" s="27" t="s">
        <v>395</v>
      </c>
      <c r="F9" s="20"/>
      <c r="G9" s="20"/>
      <c r="H9" s="35"/>
      <c r="J9" s="17"/>
    </row>
    <row r="10" spans="1:10" x14ac:dyDescent="0.25">
      <c r="A10" s="18">
        <f t="shared" si="0"/>
        <v>9</v>
      </c>
      <c r="B10" s="20" t="s">
        <v>224</v>
      </c>
      <c r="C10" s="21" t="s">
        <v>396</v>
      </c>
      <c r="D10" s="21" t="s">
        <v>242</v>
      </c>
      <c r="E10" s="27" t="s">
        <v>397</v>
      </c>
      <c r="F10" s="20"/>
      <c r="G10" s="20"/>
      <c r="H10" s="35"/>
      <c r="J10" s="17"/>
    </row>
    <row r="11" spans="1:10" ht="34.5" x14ac:dyDescent="0.25">
      <c r="A11" s="18">
        <f t="shared" si="0"/>
        <v>10</v>
      </c>
      <c r="B11" s="20" t="s">
        <v>224</v>
      </c>
      <c r="C11" s="21" t="s">
        <v>408</v>
      </c>
      <c r="D11" s="21" t="s">
        <v>408</v>
      </c>
      <c r="E11" s="27" t="s">
        <v>426</v>
      </c>
      <c r="F11" s="20"/>
      <c r="G11" s="20"/>
      <c r="H11" s="35"/>
      <c r="J11" s="17"/>
    </row>
    <row r="12" spans="1:10" x14ac:dyDescent="0.25">
      <c r="A12" s="18">
        <f t="shared" si="0"/>
        <v>11</v>
      </c>
      <c r="B12" s="20" t="s">
        <v>112</v>
      </c>
      <c r="C12" s="21" t="s">
        <v>255</v>
      </c>
      <c r="D12" s="21" t="s">
        <v>255</v>
      </c>
      <c r="E12" s="27" t="s">
        <v>410</v>
      </c>
      <c r="F12" s="20"/>
      <c r="G12" s="20"/>
      <c r="H12" s="35"/>
      <c r="J12" s="17"/>
    </row>
    <row r="13" spans="1:10" x14ac:dyDescent="0.25">
      <c r="A13" s="18">
        <f t="shared" si="0"/>
        <v>12</v>
      </c>
      <c r="B13" s="20" t="s">
        <v>112</v>
      </c>
      <c r="C13" s="21" t="s">
        <v>257</v>
      </c>
      <c r="D13" s="21" t="s">
        <v>257</v>
      </c>
      <c r="E13" s="27" t="s">
        <v>411</v>
      </c>
      <c r="F13" s="20"/>
      <c r="G13" s="20"/>
      <c r="H13" s="35"/>
      <c r="J13" s="17"/>
    </row>
    <row r="14" spans="1:10" x14ac:dyDescent="0.25">
      <c r="A14" s="18">
        <f t="shared" si="0"/>
        <v>13</v>
      </c>
      <c r="B14" s="20" t="s">
        <v>112</v>
      </c>
      <c r="C14" s="21" t="s">
        <v>402</v>
      </c>
      <c r="D14" s="21" t="s">
        <v>402</v>
      </c>
      <c r="E14" s="27" t="s">
        <v>412</v>
      </c>
      <c r="F14" s="20"/>
      <c r="G14" s="20"/>
      <c r="H14" s="35"/>
      <c r="J14" s="17"/>
    </row>
    <row r="15" spans="1:10" x14ac:dyDescent="0.25">
      <c r="A15" s="18">
        <f t="shared" si="0"/>
        <v>14</v>
      </c>
      <c r="B15" s="20" t="s">
        <v>129</v>
      </c>
      <c r="C15" s="21" t="s">
        <v>258</v>
      </c>
      <c r="D15" s="21" t="s">
        <v>259</v>
      </c>
      <c r="E15" s="27" t="s">
        <v>353</v>
      </c>
      <c r="F15" s="20"/>
      <c r="G15" s="20"/>
      <c r="H15" s="35"/>
      <c r="J15" s="17"/>
    </row>
    <row r="16" spans="1:10" x14ac:dyDescent="0.25">
      <c r="A16" s="18">
        <f t="shared" si="0"/>
        <v>15</v>
      </c>
      <c r="B16" s="20" t="s">
        <v>129</v>
      </c>
      <c r="C16" s="21" t="s">
        <v>385</v>
      </c>
      <c r="D16" s="21" t="s">
        <v>260</v>
      </c>
      <c r="E16" s="27" t="s">
        <v>386</v>
      </c>
      <c r="F16" s="20"/>
      <c r="G16" s="20"/>
      <c r="H16" s="35"/>
      <c r="J16" s="17"/>
    </row>
    <row r="17" spans="1:10" ht="34.5" x14ac:dyDescent="0.25">
      <c r="A17" s="18">
        <f t="shared" si="0"/>
        <v>16</v>
      </c>
      <c r="B17" s="20" t="s">
        <v>129</v>
      </c>
      <c r="C17" s="21" t="s">
        <v>135</v>
      </c>
      <c r="D17" s="21" t="s">
        <v>136</v>
      </c>
      <c r="E17" s="27" t="s">
        <v>354</v>
      </c>
      <c r="F17" s="20"/>
      <c r="G17" s="20"/>
      <c r="H17" s="35"/>
      <c r="J17" s="17"/>
    </row>
    <row r="18" spans="1:10" ht="34.5" x14ac:dyDescent="0.25">
      <c r="A18" s="18">
        <f t="shared" si="0"/>
        <v>17</v>
      </c>
      <c r="B18" s="20" t="s">
        <v>129</v>
      </c>
      <c r="C18" s="21" t="s">
        <v>382</v>
      </c>
      <c r="D18" s="21" t="s">
        <v>137</v>
      </c>
      <c r="E18" s="27" t="s">
        <v>389</v>
      </c>
      <c r="F18" s="20"/>
      <c r="G18" s="20"/>
      <c r="H18" s="35"/>
      <c r="J18" s="17"/>
    </row>
    <row r="19" spans="1:10" ht="34.5" x14ac:dyDescent="0.25">
      <c r="A19" s="18">
        <f t="shared" si="0"/>
        <v>18</v>
      </c>
      <c r="B19" s="20" t="s">
        <v>129</v>
      </c>
      <c r="C19" s="21" t="s">
        <v>148</v>
      </c>
      <c r="D19" s="21" t="s">
        <v>149</v>
      </c>
      <c r="E19" s="27" t="s">
        <v>416</v>
      </c>
      <c r="F19" s="20"/>
      <c r="G19" s="20"/>
      <c r="H19" s="35"/>
      <c r="J19" s="17"/>
    </row>
    <row r="20" spans="1:10" ht="34.5" x14ac:dyDescent="0.25">
      <c r="A20" s="18">
        <f t="shared" si="0"/>
        <v>19</v>
      </c>
      <c r="B20" s="20" t="s">
        <v>129</v>
      </c>
      <c r="C20" s="21" t="s">
        <v>219</v>
      </c>
      <c r="D20" s="21" t="s">
        <v>219</v>
      </c>
      <c r="E20" s="27" t="s">
        <v>417</v>
      </c>
      <c r="F20" s="20"/>
      <c r="G20" s="20"/>
      <c r="H20" s="35"/>
      <c r="J20" s="17"/>
    </row>
    <row r="21" spans="1:10" x14ac:dyDescent="0.25">
      <c r="A21" s="18">
        <f t="shared" si="0"/>
        <v>20</v>
      </c>
      <c r="B21" s="20" t="s">
        <v>129</v>
      </c>
      <c r="C21" s="21" t="s">
        <v>221</v>
      </c>
      <c r="D21" s="21" t="s">
        <v>221</v>
      </c>
      <c r="E21" s="27" t="s">
        <v>418</v>
      </c>
      <c r="F21" s="20"/>
      <c r="G21" s="20"/>
      <c r="H21" s="35"/>
      <c r="J21" s="17"/>
    </row>
    <row r="22" spans="1:10" x14ac:dyDescent="0.25">
      <c r="A22" s="18">
        <f t="shared" si="0"/>
        <v>21</v>
      </c>
      <c r="B22" s="20" t="s">
        <v>129</v>
      </c>
      <c r="C22" s="21" t="s">
        <v>168</v>
      </c>
      <c r="D22" s="21" t="s">
        <v>169</v>
      </c>
      <c r="E22" s="27" t="s">
        <v>419</v>
      </c>
      <c r="F22" s="20"/>
      <c r="G22" s="20"/>
      <c r="H22" s="35"/>
      <c r="J22" s="17"/>
    </row>
    <row r="23" spans="1:10" ht="34.5" x14ac:dyDescent="0.25">
      <c r="A23" s="18">
        <f t="shared" si="0"/>
        <v>22</v>
      </c>
      <c r="B23" s="20" t="s">
        <v>129</v>
      </c>
      <c r="C23" s="21" t="s">
        <v>180</v>
      </c>
      <c r="D23" s="21" t="s">
        <v>181</v>
      </c>
      <c r="E23" s="27" t="s">
        <v>358</v>
      </c>
      <c r="F23" s="20"/>
      <c r="G23" s="20"/>
      <c r="H23" s="35"/>
      <c r="J23" s="17"/>
    </row>
    <row r="24" spans="1:10" ht="34.5" x14ac:dyDescent="0.25">
      <c r="A24" s="18">
        <f t="shared" si="0"/>
        <v>23</v>
      </c>
      <c r="B24" s="20" t="s">
        <v>129</v>
      </c>
      <c r="C24" s="21" t="s">
        <v>351</v>
      </c>
      <c r="D24" s="21" t="s">
        <v>351</v>
      </c>
      <c r="E24" s="27" t="s">
        <v>355</v>
      </c>
      <c r="F24" s="20"/>
      <c r="G24" s="20"/>
      <c r="H24" s="35"/>
      <c r="J24" s="17"/>
    </row>
    <row r="25" spans="1:10" ht="34.5" x14ac:dyDescent="0.25">
      <c r="A25" s="18">
        <f t="shared" si="0"/>
        <v>24</v>
      </c>
      <c r="B25" s="20" t="s">
        <v>129</v>
      </c>
      <c r="C25" s="21" t="s">
        <v>188</v>
      </c>
      <c r="D25" s="21" t="s">
        <v>189</v>
      </c>
      <c r="E25" s="27" t="s">
        <v>413</v>
      </c>
      <c r="F25" s="20"/>
      <c r="G25" s="20"/>
      <c r="H25" s="35"/>
      <c r="J25" s="17"/>
    </row>
    <row r="26" spans="1:10" ht="34.5" x14ac:dyDescent="0.25">
      <c r="A26" s="18">
        <f t="shared" si="0"/>
        <v>25</v>
      </c>
      <c r="B26" s="20" t="s">
        <v>129</v>
      </c>
      <c r="C26" s="21" t="s">
        <v>190</v>
      </c>
      <c r="D26" s="21" t="s">
        <v>191</v>
      </c>
      <c r="E26" s="27" t="s">
        <v>359</v>
      </c>
      <c r="F26" s="20"/>
      <c r="G26" s="20"/>
      <c r="H26" s="35"/>
      <c r="J26" s="17"/>
    </row>
    <row r="27" spans="1:10" ht="35.25" thickBot="1" x14ac:dyDescent="0.3">
      <c r="A27" s="32">
        <f t="shared" si="0"/>
        <v>26</v>
      </c>
      <c r="B27" s="23" t="s">
        <v>129</v>
      </c>
      <c r="C27" s="24" t="s">
        <v>357</v>
      </c>
      <c r="D27" s="24" t="s">
        <v>241</v>
      </c>
      <c r="E27" s="28" t="s">
        <v>361</v>
      </c>
      <c r="F27" s="23"/>
      <c r="G27" s="23"/>
      <c r="H27" s="36"/>
      <c r="J27" s="17"/>
    </row>
    <row r="28" spans="1:10" ht="98.25" customHeight="1" thickBot="1" x14ac:dyDescent="0.3">
      <c r="A28" s="30" t="s">
        <v>0</v>
      </c>
      <c r="B28" s="30" t="s">
        <v>372</v>
      </c>
      <c r="C28" s="30" t="s">
        <v>2</v>
      </c>
      <c r="D28" s="30" t="s">
        <v>6</v>
      </c>
      <c r="E28" s="31" t="s">
        <v>454</v>
      </c>
      <c r="F28" s="30" t="s">
        <v>453</v>
      </c>
      <c r="G28" s="30" t="s">
        <v>455</v>
      </c>
      <c r="H28" s="33" t="s">
        <v>456</v>
      </c>
      <c r="J28" s="17"/>
    </row>
    <row r="29" spans="1:10" ht="34.5" x14ac:dyDescent="0.25">
      <c r="A29" s="18">
        <f>A27 + 1</f>
        <v>27</v>
      </c>
      <c r="B29" s="18" t="s">
        <v>129</v>
      </c>
      <c r="C29" s="19" t="s">
        <v>387</v>
      </c>
      <c r="D29" s="19" t="s">
        <v>260</v>
      </c>
      <c r="E29" s="26" t="s">
        <v>388</v>
      </c>
      <c r="F29" s="18"/>
      <c r="G29" s="18"/>
      <c r="H29" s="34"/>
      <c r="J29" s="17"/>
    </row>
    <row r="30" spans="1:10" ht="34.5" x14ac:dyDescent="0.25">
      <c r="A30" s="20">
        <f t="shared" si="0"/>
        <v>28</v>
      </c>
      <c r="B30" s="20" t="s">
        <v>129</v>
      </c>
      <c r="C30" s="21" t="s">
        <v>409</v>
      </c>
      <c r="D30" s="21" t="s">
        <v>409</v>
      </c>
      <c r="E30" s="27" t="s">
        <v>452</v>
      </c>
      <c r="F30" s="20"/>
      <c r="G30" s="20"/>
      <c r="H30" s="35"/>
    </row>
    <row r="31" spans="1:10" ht="34.5" x14ac:dyDescent="0.25">
      <c r="A31" s="20">
        <f t="shared" si="0"/>
        <v>29</v>
      </c>
      <c r="B31" s="20" t="s">
        <v>129</v>
      </c>
      <c r="C31" s="21" t="s">
        <v>430</v>
      </c>
      <c r="D31" s="21" t="s">
        <v>430</v>
      </c>
      <c r="E31" s="27" t="s">
        <v>464</v>
      </c>
      <c r="F31" s="20"/>
      <c r="G31" s="20"/>
      <c r="H31" s="35"/>
    </row>
    <row r="32" spans="1:10" x14ac:dyDescent="0.25">
      <c r="A32" s="20">
        <f t="shared" si="0"/>
        <v>30</v>
      </c>
      <c r="B32" s="20" t="s">
        <v>218</v>
      </c>
      <c r="C32" s="21" t="s">
        <v>287</v>
      </c>
      <c r="D32" s="21" t="s">
        <v>287</v>
      </c>
      <c r="E32" s="27" t="s">
        <v>362</v>
      </c>
      <c r="F32" s="20"/>
      <c r="G32" s="20"/>
      <c r="H32" s="35"/>
    </row>
    <row r="33" spans="1:8" ht="34.5" x14ac:dyDescent="0.25">
      <c r="A33" s="20">
        <f t="shared" si="0"/>
        <v>31</v>
      </c>
      <c r="B33" s="20" t="s">
        <v>218</v>
      </c>
      <c r="C33" s="21" t="s">
        <v>290</v>
      </c>
      <c r="D33" s="21" t="s">
        <v>288</v>
      </c>
      <c r="E33" s="27" t="s">
        <v>363</v>
      </c>
      <c r="F33" s="20"/>
      <c r="G33" s="20"/>
      <c r="H33" s="35"/>
    </row>
    <row r="34" spans="1:8" x14ac:dyDescent="0.25">
      <c r="A34" s="20">
        <f t="shared" si="0"/>
        <v>32</v>
      </c>
      <c r="B34" s="20" t="s">
        <v>218</v>
      </c>
      <c r="C34" s="21" t="s">
        <v>291</v>
      </c>
      <c r="D34" s="21" t="s">
        <v>289</v>
      </c>
      <c r="E34" s="27" t="s">
        <v>365</v>
      </c>
      <c r="F34" s="20"/>
      <c r="G34" s="20"/>
      <c r="H34" s="35"/>
    </row>
    <row r="35" spans="1:8" ht="34.5" x14ac:dyDescent="0.25">
      <c r="A35" s="20">
        <f t="shared" si="0"/>
        <v>33</v>
      </c>
      <c r="B35" s="20" t="s">
        <v>218</v>
      </c>
      <c r="C35" s="21" t="s">
        <v>292</v>
      </c>
      <c r="D35" s="21" t="s">
        <v>292</v>
      </c>
      <c r="E35" s="27" t="s">
        <v>366</v>
      </c>
      <c r="F35" s="20"/>
      <c r="G35" s="20"/>
      <c r="H35" s="35"/>
    </row>
    <row r="36" spans="1:8" ht="35.25" thickBot="1" x14ac:dyDescent="0.3">
      <c r="A36" s="23">
        <f t="shared" si="0"/>
        <v>34</v>
      </c>
      <c r="B36" s="23" t="s">
        <v>218</v>
      </c>
      <c r="C36" s="24" t="s">
        <v>210</v>
      </c>
      <c r="D36" s="24" t="s">
        <v>211</v>
      </c>
      <c r="E36" s="28" t="s">
        <v>367</v>
      </c>
      <c r="F36" s="23"/>
      <c r="G36" s="23"/>
      <c r="H36" s="36"/>
    </row>
    <row r="37" spans="1:8" x14ac:dyDescent="0.25">
      <c r="B37" s="22"/>
    </row>
  </sheetData>
  <dataValidations count="2">
    <dataValidation type="list" allowBlank="1" showInputMessage="1" showErrorMessage="1" sqref="B36:B37 B2:B27 B30:B33">
      <formula1>"Site, Infraestrutura, Siebel, Right Now, EDI, Microinformática"</formula1>
    </dataValidation>
    <dataValidation type="list" allowBlank="1" showInputMessage="1" showErrorMessage="1" sqref="E37:G37">
      <formula1>"Incidente, Solicitação, Monitoração"</formula1>
    </dataValidation>
  </dataValidations>
  <pageMargins left="0.7" right="0.7" top="0.75" bottom="0.75" header="0.3" footer="0.3"/>
  <pageSetup paperSize="9" scale="5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view="pageBreakPreview" topLeftCell="A6" zoomScale="60" zoomScaleNormal="70" workbookViewId="0">
      <selection activeCell="E2" sqref="E2:E20"/>
    </sheetView>
  </sheetViews>
  <sheetFormatPr defaultColWidth="5.28515625" defaultRowHeight="17.25" outlineLevelCol="1" x14ac:dyDescent="0.25"/>
  <cols>
    <col min="1" max="1" width="8.140625" style="22" customWidth="1"/>
    <col min="2" max="2" width="23.85546875" style="25" customWidth="1"/>
    <col min="3" max="3" width="43.85546875" style="17" customWidth="1"/>
    <col min="4" max="4" width="41.42578125" style="17" customWidth="1"/>
    <col min="5" max="5" width="47.5703125" style="22" customWidth="1" outlineLevel="1"/>
    <col min="6" max="6" width="48" style="17" customWidth="1"/>
    <col min="7" max="7" width="61" style="22" customWidth="1"/>
    <col min="8" max="8" width="53" style="17" customWidth="1"/>
    <col min="9" max="16384" width="5.28515625" style="17"/>
  </cols>
  <sheetData>
    <row r="1" spans="1:8" ht="18" thickBot="1" x14ac:dyDescent="0.3">
      <c r="A1" s="38" t="s">
        <v>0</v>
      </c>
      <c r="B1" s="39" t="s">
        <v>372</v>
      </c>
      <c r="C1" s="39" t="s">
        <v>2</v>
      </c>
      <c r="D1" s="39" t="s">
        <v>6</v>
      </c>
      <c r="E1" s="39" t="s">
        <v>5</v>
      </c>
      <c r="F1" s="39" t="s">
        <v>453</v>
      </c>
      <c r="G1" s="39" t="s">
        <v>455</v>
      </c>
      <c r="H1" s="51" t="s">
        <v>456</v>
      </c>
    </row>
    <row r="2" spans="1:8" ht="51.75" x14ac:dyDescent="0.25">
      <c r="A2" s="40">
        <v>1</v>
      </c>
      <c r="B2" s="41" t="s">
        <v>3</v>
      </c>
      <c r="C2" s="42" t="s">
        <v>14</v>
      </c>
      <c r="D2" s="42" t="s">
        <v>15</v>
      </c>
      <c r="E2" s="43" t="s">
        <v>405</v>
      </c>
      <c r="F2" s="41"/>
      <c r="G2" s="41"/>
      <c r="H2" s="52"/>
    </row>
    <row r="3" spans="1:8" ht="34.5" x14ac:dyDescent="0.25">
      <c r="A3" s="40">
        <f>A2+ 1</f>
        <v>2</v>
      </c>
      <c r="B3" s="44" t="s">
        <v>3</v>
      </c>
      <c r="C3" s="45" t="s">
        <v>17</v>
      </c>
      <c r="D3" s="45" t="s">
        <v>18</v>
      </c>
      <c r="E3" s="46" t="s">
        <v>406</v>
      </c>
      <c r="F3" s="44"/>
      <c r="G3" s="44"/>
      <c r="H3" s="53"/>
    </row>
    <row r="4" spans="1:8" ht="34.5" x14ac:dyDescent="0.25">
      <c r="A4" s="40">
        <f t="shared" ref="A4:A20" si="0">A3+ 1</f>
        <v>3</v>
      </c>
      <c r="B4" s="44" t="s">
        <v>3</v>
      </c>
      <c r="C4" s="45" t="s">
        <v>233</v>
      </c>
      <c r="D4" s="45" t="s">
        <v>424</v>
      </c>
      <c r="E4" s="46" t="s">
        <v>489</v>
      </c>
      <c r="F4" s="44"/>
      <c r="G4" s="44"/>
      <c r="H4" s="53"/>
    </row>
    <row r="5" spans="1:8" ht="34.5" x14ac:dyDescent="0.25">
      <c r="A5" s="40">
        <f t="shared" si="0"/>
        <v>4</v>
      </c>
      <c r="B5" s="44" t="s">
        <v>3</v>
      </c>
      <c r="C5" s="45" t="s">
        <v>25</v>
      </c>
      <c r="D5" s="45" t="s">
        <v>26</v>
      </c>
      <c r="E5" s="46" t="s">
        <v>414</v>
      </c>
      <c r="F5" s="44"/>
      <c r="G5" s="44"/>
      <c r="H5" s="53"/>
    </row>
    <row r="6" spans="1:8" ht="34.5" x14ac:dyDescent="0.25">
      <c r="A6" s="40">
        <f t="shared" si="0"/>
        <v>5</v>
      </c>
      <c r="B6" s="44" t="s">
        <v>3</v>
      </c>
      <c r="C6" s="45" t="s">
        <v>28</v>
      </c>
      <c r="D6" s="45" t="s">
        <v>29</v>
      </c>
      <c r="E6" s="46" t="s">
        <v>415</v>
      </c>
      <c r="F6" s="44"/>
      <c r="G6" s="44"/>
      <c r="H6" s="53"/>
    </row>
    <row r="7" spans="1:8" ht="34.5" x14ac:dyDescent="0.25">
      <c r="A7" s="40">
        <f t="shared" si="0"/>
        <v>6</v>
      </c>
      <c r="B7" s="44" t="s">
        <v>3</v>
      </c>
      <c r="C7" s="45" t="s">
        <v>33</v>
      </c>
      <c r="D7" s="45" t="s">
        <v>33</v>
      </c>
      <c r="E7" s="46" t="s">
        <v>420</v>
      </c>
      <c r="F7" s="44"/>
      <c r="G7" s="44"/>
      <c r="H7" s="53"/>
    </row>
    <row r="8" spans="1:8" ht="69" x14ac:dyDescent="0.25">
      <c r="A8" s="40">
        <f t="shared" si="0"/>
        <v>7</v>
      </c>
      <c r="B8" s="44" t="s">
        <v>3</v>
      </c>
      <c r="C8" s="45" t="s">
        <v>36</v>
      </c>
      <c r="D8" s="45" t="s">
        <v>36</v>
      </c>
      <c r="E8" s="46" t="s">
        <v>425</v>
      </c>
      <c r="F8" s="44"/>
      <c r="G8" s="44"/>
      <c r="H8" s="53"/>
    </row>
    <row r="9" spans="1:8" x14ac:dyDescent="0.25">
      <c r="A9" s="40">
        <f t="shared" si="0"/>
        <v>8</v>
      </c>
      <c r="B9" s="44" t="s">
        <v>3</v>
      </c>
      <c r="C9" s="45" t="s">
        <v>55</v>
      </c>
      <c r="D9" s="45" t="s">
        <v>56</v>
      </c>
      <c r="E9" s="46" t="s">
        <v>427</v>
      </c>
      <c r="F9" s="44"/>
      <c r="G9" s="44"/>
      <c r="H9" s="53"/>
    </row>
    <row r="10" spans="1:8" ht="34.5" x14ac:dyDescent="0.25">
      <c r="A10" s="40">
        <f t="shared" si="0"/>
        <v>9</v>
      </c>
      <c r="B10" s="44" t="s">
        <v>3</v>
      </c>
      <c r="C10" s="45" t="s">
        <v>70</v>
      </c>
      <c r="D10" s="45" t="s">
        <v>71</v>
      </c>
      <c r="E10" s="46" t="s">
        <v>429</v>
      </c>
      <c r="F10" s="44"/>
      <c r="G10" s="44"/>
      <c r="H10" s="53"/>
    </row>
    <row r="11" spans="1:8" ht="34.5" x14ac:dyDescent="0.25">
      <c r="A11" s="40">
        <f t="shared" si="0"/>
        <v>10</v>
      </c>
      <c r="B11" s="44" t="s">
        <v>112</v>
      </c>
      <c r="C11" s="45" t="s">
        <v>77</v>
      </c>
      <c r="D11" s="45" t="s">
        <v>77</v>
      </c>
      <c r="E11" s="46" t="s">
        <v>428</v>
      </c>
      <c r="F11" s="44"/>
      <c r="G11" s="44"/>
      <c r="H11" s="53"/>
    </row>
    <row r="12" spans="1:8" ht="34.5" x14ac:dyDescent="0.25">
      <c r="A12" s="40">
        <f t="shared" si="0"/>
        <v>11</v>
      </c>
      <c r="B12" s="44" t="s">
        <v>112</v>
      </c>
      <c r="C12" s="45" t="s">
        <v>435</v>
      </c>
      <c r="D12" s="45" t="s">
        <v>439</v>
      </c>
      <c r="E12" s="46" t="s">
        <v>436</v>
      </c>
      <c r="F12" s="44"/>
      <c r="G12" s="44"/>
      <c r="H12" s="53"/>
    </row>
    <row r="13" spans="1:8" x14ac:dyDescent="0.25">
      <c r="A13" s="40">
        <f t="shared" si="0"/>
        <v>12</v>
      </c>
      <c r="B13" s="44" t="s">
        <v>112</v>
      </c>
      <c r="C13" s="45" t="s">
        <v>442</v>
      </c>
      <c r="D13" s="45" t="s">
        <v>443</v>
      </c>
      <c r="E13" s="46" t="s">
        <v>444</v>
      </c>
      <c r="F13" s="44"/>
      <c r="G13" s="44"/>
      <c r="H13" s="53"/>
    </row>
    <row r="14" spans="1:8" ht="34.5" x14ac:dyDescent="0.25">
      <c r="A14" s="40">
        <f t="shared" si="0"/>
        <v>13</v>
      </c>
      <c r="B14" s="44" t="s">
        <v>112</v>
      </c>
      <c r="C14" s="45" t="s">
        <v>88</v>
      </c>
      <c r="D14" s="45" t="s">
        <v>88</v>
      </c>
      <c r="E14" s="46" t="s">
        <v>476</v>
      </c>
      <c r="F14" s="44"/>
      <c r="G14" s="44"/>
      <c r="H14" s="53"/>
    </row>
    <row r="15" spans="1:8" x14ac:dyDescent="0.25">
      <c r="A15" s="40">
        <f t="shared" si="0"/>
        <v>14</v>
      </c>
      <c r="B15" s="44" t="s">
        <v>3</v>
      </c>
      <c r="C15" s="45" t="s">
        <v>422</v>
      </c>
      <c r="D15" s="45" t="s">
        <v>422</v>
      </c>
      <c r="E15" s="46" t="s">
        <v>423</v>
      </c>
      <c r="F15" s="44"/>
      <c r="G15" s="44"/>
      <c r="H15" s="53"/>
    </row>
    <row r="16" spans="1:8" ht="34.5" x14ac:dyDescent="0.25">
      <c r="A16" s="40">
        <f t="shared" si="0"/>
        <v>15</v>
      </c>
      <c r="B16" s="44" t="s">
        <v>112</v>
      </c>
      <c r="C16" s="45" t="s">
        <v>437</v>
      </c>
      <c r="D16" s="45" t="s">
        <v>437</v>
      </c>
      <c r="E16" s="46" t="s">
        <v>438</v>
      </c>
      <c r="F16" s="44"/>
      <c r="G16" s="44"/>
      <c r="H16" s="53"/>
    </row>
    <row r="17" spans="1:8" x14ac:dyDescent="0.25">
      <c r="A17" s="40">
        <f t="shared" si="0"/>
        <v>16</v>
      </c>
      <c r="B17" s="44" t="s">
        <v>112</v>
      </c>
      <c r="C17" s="45" t="s">
        <v>441</v>
      </c>
      <c r="D17" s="45" t="s">
        <v>441</v>
      </c>
      <c r="E17" s="46" t="s">
        <v>440</v>
      </c>
      <c r="F17" s="44"/>
      <c r="G17" s="44"/>
      <c r="H17" s="53"/>
    </row>
    <row r="18" spans="1:8" ht="34.5" x14ac:dyDescent="0.25">
      <c r="A18" s="40">
        <f t="shared" si="0"/>
        <v>17</v>
      </c>
      <c r="B18" s="44" t="s">
        <v>112</v>
      </c>
      <c r="C18" s="45" t="s">
        <v>446</v>
      </c>
      <c r="D18" s="45" t="s">
        <v>446</v>
      </c>
      <c r="E18" s="46" t="s">
        <v>445</v>
      </c>
      <c r="F18" s="44"/>
      <c r="G18" s="44"/>
      <c r="H18" s="53"/>
    </row>
    <row r="19" spans="1:8" x14ac:dyDescent="0.25">
      <c r="A19" s="40">
        <f t="shared" si="0"/>
        <v>18</v>
      </c>
      <c r="B19" s="44" t="s">
        <v>112</v>
      </c>
      <c r="C19" s="45" t="s">
        <v>447</v>
      </c>
      <c r="D19" s="45" t="s">
        <v>447</v>
      </c>
      <c r="E19" s="46" t="s">
        <v>448</v>
      </c>
      <c r="F19" s="44"/>
      <c r="G19" s="44"/>
      <c r="H19" s="53"/>
    </row>
    <row r="20" spans="1:8" x14ac:dyDescent="0.25">
      <c r="A20" s="47">
        <f t="shared" si="0"/>
        <v>19</v>
      </c>
      <c r="B20" s="48" t="s">
        <v>112</v>
      </c>
      <c r="C20" s="49" t="s">
        <v>449</v>
      </c>
      <c r="D20" s="49" t="s">
        <v>449</v>
      </c>
      <c r="E20" s="50" t="s">
        <v>450</v>
      </c>
      <c r="F20" s="48"/>
      <c r="G20" s="48"/>
      <c r="H20" s="54"/>
    </row>
    <row r="21" spans="1:8" x14ac:dyDescent="0.25">
      <c r="B21" s="22"/>
    </row>
    <row r="22" spans="1:8" x14ac:dyDescent="0.25">
      <c r="B22" s="22"/>
    </row>
    <row r="23" spans="1:8" x14ac:dyDescent="0.25">
      <c r="B23" s="22"/>
    </row>
    <row r="24" spans="1:8" x14ac:dyDescent="0.25">
      <c r="B24" s="22"/>
    </row>
    <row r="25" spans="1:8" x14ac:dyDescent="0.25">
      <c r="B25" s="22"/>
    </row>
    <row r="26" spans="1:8" x14ac:dyDescent="0.25">
      <c r="B26" s="22"/>
    </row>
  </sheetData>
  <dataValidations count="1">
    <dataValidation type="list" allowBlank="1" showInputMessage="1" showErrorMessage="1" sqref="B2:B26">
      <formula1>"Site, Infraestrutura, Siebel, Right Now, EDI, Microinformática"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4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Entrevista</vt:lpstr>
      <vt:lpstr>Tabela</vt:lpstr>
      <vt:lpstr>Validação Nei</vt:lpstr>
      <vt:lpstr>Validação Claudio e Daniel</vt:lpstr>
      <vt:lpstr>'Validação Claudio e Daniel'!Area_de_impressao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2016-08-02T17:42:47Z</dcterms:modified>
</cp:coreProperties>
</file>