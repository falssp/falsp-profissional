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oogle Drive\Projetos\Smiles-ABU\Fase 2\Comunicados\"/>
    </mc:Choice>
  </mc:AlternateContent>
  <bookViews>
    <workbookView xWindow="0" yWindow="0" windowWidth="20490" windowHeight="891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2" i="1" l="1"/>
  <c r="L8" i="1"/>
  <c r="L4" i="1"/>
  <c r="J8" i="1"/>
  <c r="I8" i="1"/>
  <c r="J4" i="1"/>
  <c r="J12" i="1" s="1"/>
  <c r="I4" i="1"/>
  <c r="I12" i="1" s="1"/>
  <c r="G4" i="1"/>
  <c r="F4" i="1"/>
  <c r="G5" i="1" l="1"/>
  <c r="G6" i="1"/>
  <c r="G7" i="1"/>
  <c r="G8" i="1"/>
  <c r="G9" i="1"/>
  <c r="G10" i="1"/>
  <c r="G11" i="1"/>
  <c r="F11" i="1"/>
  <c r="F10" i="1"/>
  <c r="F9" i="1"/>
  <c r="F8" i="1"/>
  <c r="F7" i="1"/>
  <c r="F6" i="1"/>
  <c r="F5" i="1"/>
  <c r="K4" i="1" l="1"/>
  <c r="K8" i="1"/>
  <c r="K12" i="1" l="1"/>
</calcChain>
</file>

<file path=xl/sharedStrings.xml><?xml version="1.0" encoding="utf-8"?>
<sst xmlns="http://schemas.openxmlformats.org/spreadsheetml/2006/main" count="9" uniqueCount="9">
  <si>
    <t>Recorrência</t>
  </si>
  <si>
    <t>Membros</t>
  </si>
  <si>
    <t>Horas</t>
  </si>
  <si>
    <t>Dias</t>
  </si>
  <si>
    <t>Membros/hora</t>
  </si>
  <si>
    <t>membros</t>
  </si>
  <si>
    <t>horas</t>
  </si>
  <si>
    <t>dias</t>
  </si>
  <si>
    <t>Média Mh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</si>
</sst>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222222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0" fontId="0" fillId="0" borderId="0" xfId="2" applyNumberFormat="1" applyFont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15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5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/>
    </xf>
    <xf numFmtId="15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/>
    <xf numFmtId="0" fontId="0" fillId="4" borderId="0" xfId="0" applyFill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L17"/>
  <sheetViews>
    <sheetView tabSelected="1" zoomScale="140" zoomScaleNormal="140" workbookViewId="0">
      <selection activeCell="K12" sqref="K12"/>
    </sheetView>
  </sheetViews>
  <sheetFormatPr defaultRowHeight="15" x14ac:dyDescent="0.25"/>
  <cols>
    <col min="3" max="3" width="12" style="1" bestFit="1" customWidth="1"/>
    <col min="4" max="4" width="9.28515625" style="1" bestFit="1" customWidth="1"/>
    <col min="5" max="5" width="7" style="1" bestFit="1" customWidth="1"/>
    <col min="6" max="6" width="9" style="1" customWidth="1"/>
    <col min="7" max="7" width="19.140625" style="1" customWidth="1"/>
    <col min="8" max="8" width="6.5703125" style="1" customWidth="1"/>
    <col min="9" max="9" width="9.42578125" bestFit="1" customWidth="1"/>
    <col min="10" max="10" width="7.85546875" bestFit="1" customWidth="1"/>
    <col min="12" max="12" width="9.85546875" bestFit="1" customWidth="1"/>
  </cols>
  <sheetData>
    <row r="3" spans="3:12" x14ac:dyDescent="0.25">
      <c r="C3" s="8" t="s">
        <v>0</v>
      </c>
      <c r="D3" s="8" t="s">
        <v>1</v>
      </c>
      <c r="E3" s="8" t="s">
        <v>2</v>
      </c>
      <c r="F3" s="8" t="s">
        <v>3</v>
      </c>
      <c r="G3" s="9" t="s">
        <v>4</v>
      </c>
      <c r="I3" s="6" t="s">
        <v>5</v>
      </c>
      <c r="J3" s="6" t="s">
        <v>6</v>
      </c>
      <c r="K3" s="6" t="s">
        <v>7</v>
      </c>
      <c r="L3" s="24" t="s">
        <v>8</v>
      </c>
    </row>
    <row r="4" spans="3:12" x14ac:dyDescent="0.25">
      <c r="C4" s="10">
        <v>42415</v>
      </c>
      <c r="D4" s="11">
        <v>110947</v>
      </c>
      <c r="E4" s="11">
        <v>48.3</v>
      </c>
      <c r="F4" s="12">
        <f>E4/24</f>
        <v>2.0124999999999997</v>
      </c>
      <c r="G4" s="13">
        <f t="shared" ref="G4:G11" si="0">D4/E4</f>
        <v>2297.0393374741202</v>
      </c>
      <c r="I4" s="5">
        <f>SUM(D4:D6)</f>
        <v>314796</v>
      </c>
      <c r="J4" s="25">
        <f>SUM(E4:E6)</f>
        <v>141.69999999999999</v>
      </c>
      <c r="K4" s="25">
        <f>SUM(F4:F6)</f>
        <v>5.9041666666666668</v>
      </c>
      <c r="L4" s="25">
        <f>AVERAGE(G4:G6)</f>
        <v>2212.5253383094246</v>
      </c>
    </row>
    <row r="5" spans="3:12" x14ac:dyDescent="0.25">
      <c r="C5" s="14">
        <v>42405</v>
      </c>
      <c r="D5" s="15">
        <v>118726</v>
      </c>
      <c r="E5" s="15">
        <v>52.2</v>
      </c>
      <c r="F5" s="12">
        <f>E5/24</f>
        <v>2.1750000000000003</v>
      </c>
      <c r="G5" s="13">
        <f t="shared" si="0"/>
        <v>2274.4444444444443</v>
      </c>
      <c r="I5" s="5"/>
      <c r="J5" s="25"/>
      <c r="K5" s="25"/>
      <c r="L5" s="5"/>
    </row>
    <row r="6" spans="3:12" x14ac:dyDescent="0.25">
      <c r="C6" s="14">
        <v>42394</v>
      </c>
      <c r="D6" s="15">
        <v>85123</v>
      </c>
      <c r="E6" s="15">
        <v>41.2</v>
      </c>
      <c r="F6" s="12">
        <f t="shared" ref="F6:F11" si="1">E6/24</f>
        <v>1.7166666666666668</v>
      </c>
      <c r="G6" s="13">
        <f t="shared" si="0"/>
        <v>2066.0922330097087</v>
      </c>
      <c r="I6" s="5"/>
      <c r="J6" s="25"/>
      <c r="K6" s="25"/>
      <c r="L6" s="5"/>
    </row>
    <row r="7" spans="3:12" x14ac:dyDescent="0.25">
      <c r="C7" s="16">
        <v>42384</v>
      </c>
      <c r="D7" s="17">
        <v>105309</v>
      </c>
      <c r="E7" s="17">
        <v>124.09</v>
      </c>
      <c r="F7" s="18">
        <f t="shared" si="1"/>
        <v>5.1704166666666671</v>
      </c>
      <c r="G7" s="19">
        <f t="shared" si="0"/>
        <v>848.6501732613425</v>
      </c>
      <c r="J7" s="26"/>
      <c r="K7" s="26"/>
    </row>
    <row r="8" spans="3:12" x14ac:dyDescent="0.25">
      <c r="C8" s="16">
        <v>42374</v>
      </c>
      <c r="D8" s="17">
        <v>113307</v>
      </c>
      <c r="E8" s="17">
        <v>134.54</v>
      </c>
      <c r="F8" s="18">
        <f t="shared" si="1"/>
        <v>5.605833333333333</v>
      </c>
      <c r="G8" s="19">
        <f t="shared" si="0"/>
        <v>842.18076408503055</v>
      </c>
      <c r="I8" s="5">
        <f>SUM(D7:D9)</f>
        <v>303037</v>
      </c>
      <c r="J8" s="25">
        <f>SUM(E7:E9)</f>
        <v>355.07</v>
      </c>
      <c r="K8" s="25">
        <f>SUM(F7:F9)</f>
        <v>14.794583333333335</v>
      </c>
      <c r="L8" s="7">
        <f>AVERAGE(G7:G9)</f>
        <v>855.40140881267871</v>
      </c>
    </row>
    <row r="9" spans="3:12" x14ac:dyDescent="0.25">
      <c r="C9" s="16">
        <v>42729</v>
      </c>
      <c r="D9" s="17">
        <v>84421</v>
      </c>
      <c r="E9" s="17">
        <v>96.44</v>
      </c>
      <c r="F9" s="18">
        <f t="shared" si="1"/>
        <v>4.0183333333333335</v>
      </c>
      <c r="G9" s="19">
        <f t="shared" si="0"/>
        <v>875.3732890916632</v>
      </c>
      <c r="I9" s="5"/>
      <c r="J9" s="25"/>
      <c r="K9" s="25"/>
      <c r="L9" s="5"/>
    </row>
    <row r="10" spans="3:12" x14ac:dyDescent="0.25">
      <c r="C10" s="20">
        <v>42719</v>
      </c>
      <c r="D10" s="21">
        <v>104151</v>
      </c>
      <c r="E10" s="21">
        <v>121.42</v>
      </c>
      <c r="F10" s="22">
        <f t="shared" si="1"/>
        <v>5.059166666666667</v>
      </c>
      <c r="G10" s="23">
        <f t="shared" si="0"/>
        <v>857.77466644704327</v>
      </c>
      <c r="I10" s="5"/>
      <c r="J10" s="25"/>
      <c r="K10" s="25"/>
      <c r="L10" s="5"/>
    </row>
    <row r="11" spans="3:12" x14ac:dyDescent="0.25">
      <c r="C11" s="20">
        <v>42709</v>
      </c>
      <c r="D11" s="21">
        <v>111604</v>
      </c>
      <c r="E11" s="21">
        <v>127.57</v>
      </c>
      <c r="F11" s="22">
        <f t="shared" si="1"/>
        <v>5.3154166666666667</v>
      </c>
      <c r="G11" s="23">
        <f t="shared" si="0"/>
        <v>874.84518303676418</v>
      </c>
    </row>
    <row r="12" spans="3:12" x14ac:dyDescent="0.25">
      <c r="C12" s="2"/>
      <c r="I12" s="3">
        <f>(I4/I8)-1</f>
        <v>3.8803842435082281E-2</v>
      </c>
      <c r="J12" s="3">
        <f>(J4/J8)-1</f>
        <v>-0.60092376151181459</v>
      </c>
      <c r="K12" s="3">
        <f>(K4/K8)-1</f>
        <v>-0.60092376151181459</v>
      </c>
      <c r="L12" s="3">
        <f>(L4/L8)-1</f>
        <v>1.5865345971085927</v>
      </c>
    </row>
    <row r="13" spans="3:12" x14ac:dyDescent="0.25">
      <c r="C13" s="2"/>
      <c r="E13" s="4"/>
    </row>
    <row r="14" spans="3:12" x14ac:dyDescent="0.25">
      <c r="C14" s="2"/>
    </row>
    <row r="15" spans="3:12" x14ac:dyDescent="0.25">
      <c r="C15" s="2"/>
      <c r="J15" s="27"/>
    </row>
    <row r="16" spans="3:12" x14ac:dyDescent="0.25">
      <c r="J16" s="27"/>
    </row>
    <row r="17" spans="9:10" x14ac:dyDescent="0.25">
      <c r="I17" s="27"/>
      <c r="J17" s="27"/>
    </row>
  </sheetData>
  <mergeCells count="8">
    <mergeCell ref="L4:L6"/>
    <mergeCell ref="L8:L10"/>
    <mergeCell ref="I4:I6"/>
    <mergeCell ref="J4:J6"/>
    <mergeCell ref="K4:K6"/>
    <mergeCell ref="I8:I10"/>
    <mergeCell ref="J8:J10"/>
    <mergeCell ref="K8:K10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dcterms:created xsi:type="dcterms:W3CDTF">2016-02-16T15:53:26Z</dcterms:created>
  <dcterms:modified xsi:type="dcterms:W3CDTF">2016-02-18T16:18:53Z</dcterms:modified>
</cp:coreProperties>
</file>