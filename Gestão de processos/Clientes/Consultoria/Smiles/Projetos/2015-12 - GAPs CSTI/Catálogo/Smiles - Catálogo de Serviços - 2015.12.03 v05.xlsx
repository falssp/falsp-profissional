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9" l="1"/>
  <c r="M5" i="7"/>
  <c r="L5" i="8"/>
  <c r="M5" i="6"/>
  <c r="E25" i="6" l="1"/>
  <c r="E10" i="9"/>
  <c r="E15" i="9" l="1"/>
  <c r="E14" i="9"/>
  <c r="E13" i="9"/>
  <c r="E12" i="9"/>
  <c r="E11" i="9"/>
  <c r="E9" i="9"/>
  <c r="E8" i="9"/>
  <c r="E7" i="9"/>
  <c r="E67" i="7" l="1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9" i="7"/>
  <c r="E8" i="7"/>
  <c r="E7" i="7"/>
  <c r="E16" i="7"/>
  <c r="E15" i="7"/>
  <c r="E14" i="7"/>
  <c r="E13" i="7"/>
  <c r="E12" i="7"/>
  <c r="E11" i="7"/>
  <c r="E10" i="7"/>
  <c r="E27" i="6" l="1"/>
  <c r="E26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<sst xmlns="http://schemas.openxmlformats.org/spreadsheetml/2006/main" count="926" uniqueCount="301">
  <si>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</si>
  <si>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</si>
  <si>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</si>
  <si>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</si>
  <si>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</si>
  <si>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</si>
  <si>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</si>
  <si>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</si>
  <si>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</si>
  <si>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</si>
  <si>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</si>
  <si>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</si>
  <si>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</si>
  <si>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</si>
  <si>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</si>
  <si>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</si>
  <si>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</si>
  <si>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</si>
  <si>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</si>
  <si>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</si>
  <si>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</si>
  <si>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</si>
  <si>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</si>
  <si>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</si>
  <si>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</si>
  <si>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</si>
  <si>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</si>
  <si>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</si>
  <si>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</si>
  <si>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</si>
  <si>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</si>
  <si>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</si>
  <si>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</si>
  <si>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</si>
  <si>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</si>
  <si>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</si>
  <si>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</si>
  <si>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</si>
  <si>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</si>
  <si>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</si>
  <si>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</si>
  <si>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</si>
  <si>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</si>
  <si>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</si>
  <si>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</si>
  <si>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</si>
  <si>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</si>
  <si>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</si>
  <si>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</si>
  <si>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</si>
  <si>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</si>
  <si>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</si>
  <si>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</si>
  <si>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</si>
  <si>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</si>
  <si>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</si>
  <si>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</si>
  <si>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</si>
  <si>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</si>
  <si>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</si>
  <si>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</si>
  <si>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</si>
  <si>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</si>
  <si>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</si>
  <si>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</si>
  <si>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</si>
  <si>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</si>
  <si>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</si>
  <si>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</si>
  <si>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</si>
  <si>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</si>
  <si>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</si>
  <si>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</si>
  <si>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</si>
  <si>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</si>
  <si>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</si>
  <si>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</si>
  <si>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</si>
  <si>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</si>
  <si>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</si>
  <si>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</si>
  <si>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</si>
  <si>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</si>
  <si>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</si>
  <si>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</si>
  <si>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</si>
  <si>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</si>
  <si>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</si>
  <si>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</si>
  <si>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</si>
  <si>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</si>
  <si>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</si>
  <si>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</si>
  <si>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</si>
  <si>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</si>
  <si>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</si>
  <si>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</si>
  <si>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</si>
  <si>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</si>
  <si>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</si>
  <si>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</si>
  <si>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</si>
  <si>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</si>
  <si>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</si>
  <si>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</si>
  <si>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</si>
  <si>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</si>
  <si>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</si>
  <si>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</si>
  <si>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</si>
  <si>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</si>
  <si>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</si>
  <si>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</si>
  <si>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</si>
  <si>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</si>
  <si>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</si>
  <si>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</si>
  <si>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</si>
  <si>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</si>
  <si>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</si>
  <si>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</si>
  <si>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</si>
  <si>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</si>
  <si>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</si>
  <si>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</si>
  <si>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</si>
  <si>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</si>
  <si>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</si>
  <si>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</si>
  <si>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</si>
  <si>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</si>
  <si>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</si>
  <si>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</si>
  <si>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</si>
  <si>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</si>
  <si>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</si>
  <si>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</si>
  <si>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</si>
  <si>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</si>
  <si>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</si>
  <si>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</si>
  <si>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</si>
  <si>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</si>
  <si>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</si>
  <si>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</si>
  <si>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</si>
  <si>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</si>
  <si>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</si>
  <si>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MIDDLEWARE</t>
  </si>
  <si>
    <t>Atualização de Configuração de Aplicação</t>
  </si>
  <si>
    <t>Erro ou Falha em Componentes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</si>
  <si>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</si>
  <si>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</si>
  <si>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</si>
  <si>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</si>
  <si>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</si>
  <si>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</si>
  <si>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</si>
  <si>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</si>
  <si>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</si>
  <si>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</si>
  <si>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</si>
  <si>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</si>
  <si>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</si>
  <si>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</si>
  <si>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</si>
  <si>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</si>
  <si>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</si>
  <si>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</si>
  <si>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</si>
  <si>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</si>
  <si>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</si>
  <si>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</si>
  <si>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</si>
  <si>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</si>
  <si>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</si>
  <si>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</si>
  <si>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</si>
  <si>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</si>
  <si>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</si>
  <si>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</si>
  <si>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</si>
  <si>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</si>
  <si>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</si>
  <si>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</si>
  <si>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</si>
  <si>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</si>
  <si>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</si>
  <si>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Outros erros.</t>
  </si>
  <si>
    <t>Produtos - Compra, Reativação, Transferência, Clube Smiles</t>
  </si>
  <si>
    <t>Erros de site relacionados aos produtos (Compra, Reativação, Transferência, Clube Smiles)</t>
  </si>
  <si>
    <t>Processo de Emissão G3 - Trecho/Cliente Específico</t>
  </si>
  <si>
    <t>Processo de Emissão G3 - GERAL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</si>
  <si>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</si>
  <si>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</si>
  <si>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</si>
  <si>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Processo de Emissão Congênere - Trecho/Cliente Específico</t>
  </si>
  <si>
    <t>Processo de Emissão Congênere - GERAL</t>
  </si>
  <si>
    <t>Login - Cliente Único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</si>
  <si>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</si>
  <si>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</si>
  <si>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Login - GERAL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</si>
  <si>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</si>
  <si>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</si>
  <si>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</si>
  <si>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</si>
  <si>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</si>
  <si>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- Cliente Ùnico</t>
  </si>
  <si>
    <t>Apenas um cliente com problemas para solicitar seus créditos retroativos.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</si>
  <si>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</si>
  <si>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Crédito Retroativo - GERAL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</si>
  <si>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</si>
  <si>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</si>
  <si>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</si>
  <si>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</si>
  <si>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</si>
  <si>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</si>
  <si>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</si>
  <si>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</si>
  <si>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</si>
  <si>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</si>
  <si>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</si>
  <si>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</si>
  <si>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</si>
  <si>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</si>
  <si>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</si>
  <si>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</si>
  <si>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</si>
  <si>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</si>
  <si>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</si>
  <si>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</si>
  <si>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</si>
  <si>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</si>
  <si>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</si>
  <si>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</si>
  <si>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</si>
  <si>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</si>
  <si>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</si>
  <si>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</si>
  <si>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</si>
  <si>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</si>
  <si>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</si>
  <si>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</si>
  <si>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</si>
  <si>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</si>
  <si>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</si>
  <si>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</si>
  <si>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</si>
  <si>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</si>
  <si>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</si>
  <si>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</si>
  <si>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</si>
  <si>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</si>
  <si>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</si>
  <si>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</si>
  <si>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</si>
  <si>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</si>
  <si>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</si>
  <si>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</si>
  <si>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</si>
  <si>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</si>
  <si>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</si>
  <si>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</si>
  <si>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Alteração de permissionamentos específicos em Ferramentas (ex.: SAP).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</si>
  <si>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</si>
  <si>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</si>
  <si>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</si>
  <si>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</si>
  <si>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</si>
  <si>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</si>
  <si>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</si>
  <si>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</si>
  <si>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</si>
  <si>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</si>
  <si>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</si>
  <si>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</si>
  <si>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</si>
  <si>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</si>
  <si>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</si>
  <si>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</si>
  <si>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Criação de Componente</t>
  </si>
  <si>
    <t>Rodar Script em Banco de Dados</t>
  </si>
  <si>
    <t>Execução de Deploy</t>
  </si>
  <si>
    <t>Alterar de Nível de Log</t>
  </si>
  <si>
    <t>Acessos em TI</t>
  </si>
  <si>
    <t>Em Banco de Dados, Console, Servidor, Bucket, Log, etc.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</si>
  <si>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</si>
  <si>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</si>
  <si>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</si>
  <si>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</si>
  <si>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</si>
  <si>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</si>
  <si>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</si>
  <si>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</si>
  <si>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Execução de Deploys em geral.</t>
  </si>
  <si>
    <t>Atualização de Configuração de Aplicações em geral.</t>
  </si>
  <si>
    <t>BD, Weblogic, Site/Aplicação, Memcache, Perda de Sessão, etc.</t>
  </si>
  <si>
    <t>BD, Weblogic, Site/Aplicação, Mdecache, Pcrda de Sessão, etc.</t>
  </si>
  <si>
    <t>BD, Weblogic, Site/Aplicação, Mdecache, Palda de Sessão, etc.</t>
  </si>
  <si>
    <t>BD, Weblogic, Site/Aplicação, Mdecache, Proda de Sessão, etc.</t>
  </si>
  <si>
    <t>Lentidão ou Indisponibilidade em Ambientes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</si>
</sst>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5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8" t="s">
        <v>1</v>
      </c>
      <c r="D2" s="48"/>
      <c r="E2" s="48"/>
      <c r="F2" s="48"/>
      <c r="G2" s="48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9" t="s">
        <v>7</v>
      </c>
      <c r="D3" s="49"/>
      <c r="E3" s="49"/>
      <c r="F3" s="49"/>
      <c r="G3" s="49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9"/>
      <c r="D4" s="49"/>
      <c r="E4" s="49"/>
      <c r="F4" s="49"/>
      <c r="G4" s="49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4"/>
  <sheetViews>
    <sheetView showGridLines="0" zoomScaleNormal="100" workbookViewId="0">
      <pane xSplit="3" ySplit="6" topLeftCell="M7" activePane="bottomRight" state="frozen"/>
      <selection pane="topRight" activeCell="D1" sqref="D1"/>
      <selection pane="bottomLeft" activeCell="A7" sqref="A7"/>
      <selection pane="bottomRight" activeCell="M5" sqref="M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3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x14ac:dyDescent="0.25">
      <c r="K54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3">
    <cfRule type="cellIs" dxfId="7" priority="3" operator="greaterThan">
      <formula>104</formula>
    </cfRule>
  </conditionalFormatting>
  <dataValidations count="1">
    <dataValidation type="list" allowBlank="1" showInputMessage="1" showErrorMessage="1" sqref="L41:L53 K7:L40 K41:K5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27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M6" sqref="M6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229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7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230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231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232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233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234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235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236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237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238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239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240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241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242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243</v>
      </c>
    </row>
    <row r="22" spans="1:13" s="25" customFormat="1" ht="51" customHeight="1" x14ac:dyDescent="0.25">
      <c r="A22" s="43" t="s">
        <v>107</v>
      </c>
      <c r="B22" s="43" t="s">
        <v>136</v>
      </c>
      <c r="C22" s="24" t="s">
        <v>246</v>
      </c>
      <c r="D22" s="24" t="s">
        <v>247</v>
      </c>
      <c r="E22" s="40">
        <f t="shared" si="0"/>
        <v>44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248</v>
      </c>
    </row>
    <row r="23" spans="1:13" s="25" customFormat="1" ht="51" customHeight="1" x14ac:dyDescent="0.25">
      <c r="A23" s="43" t="s">
        <v>107</v>
      </c>
      <c r="B23" s="43" t="s">
        <v>136</v>
      </c>
      <c r="C23" s="24" t="s">
        <v>137</v>
      </c>
      <c r="D23" s="24" t="s">
        <v>137</v>
      </c>
      <c r="E23" s="40">
        <f t="shared" si="0"/>
        <v>47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249</v>
      </c>
    </row>
    <row r="24" spans="1:13" s="25" customFormat="1" ht="51" customHeight="1" x14ac:dyDescent="0.25">
      <c r="A24" s="43" t="s">
        <v>107</v>
      </c>
      <c r="B24" s="43" t="s">
        <v>138</v>
      </c>
      <c r="C24" s="24" t="s">
        <v>250</v>
      </c>
      <c r="D24" s="24" t="s">
        <v>275</v>
      </c>
      <c r="E24" s="40">
        <f t="shared" si="0"/>
        <v>64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255</v>
      </c>
    </row>
    <row r="25" spans="1:13" s="25" customFormat="1" ht="51" customHeight="1" x14ac:dyDescent="0.25">
      <c r="A25" s="43" t="s">
        <v>107</v>
      </c>
      <c r="B25" s="43" t="s">
        <v>138</v>
      </c>
      <c r="C25" s="24" t="s">
        <v>251</v>
      </c>
      <c r="D25" s="24" t="s">
        <v>276</v>
      </c>
      <c r="E25" s="40">
        <f t="shared" ref="E25" si="1">LEN(D25)</f>
        <v>20</v>
      </c>
      <c r="F25" s="24" t="s">
        <v>18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254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252</v>
      </c>
      <c r="D26" s="24" t="s">
        <v>275</v>
      </c>
      <c r="E26" s="40">
        <f t="shared" si="0"/>
        <v>64</v>
      </c>
      <c r="F26" s="21" t="s">
        <v>51</v>
      </c>
      <c r="G26" s="21"/>
      <c r="H26" s="21"/>
      <c r="I26" s="21"/>
      <c r="J26" s="21"/>
      <c r="K26" s="46" t="s">
        <v>15</v>
      </c>
      <c r="L26" s="46" t="s">
        <v>15</v>
      </c>
      <c r="M26" s="24" t="s">
        <v>256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253</v>
      </c>
      <c r="D27" s="24" t="s">
        <v>276</v>
      </c>
      <c r="E27" s="40">
        <f t="shared" si="0"/>
        <v>20</v>
      </c>
      <c r="F27" s="21" t="s">
        <v>51</v>
      </c>
      <c r="G27" s="21"/>
      <c r="H27" s="21"/>
      <c r="I27" s="21"/>
      <c r="J27" s="21"/>
      <c r="K27" s="46" t="s">
        <v>15</v>
      </c>
      <c r="L27" s="46" t="s">
        <v>15</v>
      </c>
      <c r="M27" s="24" t="s">
        <v>257</v>
      </c>
    </row>
  </sheetData>
  <mergeCells count="2">
    <mergeCell ref="C2:J2"/>
    <mergeCell ref="C3:J4"/>
  </mergeCells>
  <conditionalFormatting sqref="E7:E24 E26:E27">
    <cfRule type="cellIs" dxfId="6" priority="4" operator="greaterThan">
      <formula>104</formula>
    </cfRule>
  </conditionalFormatting>
  <conditionalFormatting sqref="E25">
    <cfRule type="cellIs" dxfId="5" priority="1" operator="greaterThan">
      <formula>104</formula>
    </cfRule>
  </conditionalFormatting>
  <dataValidations count="1">
    <dataValidation type="list" allowBlank="1" showInputMessage="1" showErrorMessage="1" sqref="K7:L27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42.85546875" style="19" bestFit="1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20"/>
      <c r="K2" s="20"/>
      <c r="L2" s="27"/>
    </row>
    <row r="3" spans="1:12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3"/>
      <c r="K3" s="3"/>
      <c r="L3" s="27"/>
    </row>
    <row r="4" spans="1:12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42341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151</v>
      </c>
      <c r="B7" s="37" t="s">
        <v>165</v>
      </c>
      <c r="C7" s="21" t="s">
        <v>8</v>
      </c>
      <c r="D7" s="24" t="s">
        <v>158</v>
      </c>
      <c r="E7" s="33" t="s">
        <v>51</v>
      </c>
      <c r="F7" s="21"/>
      <c r="G7" s="21"/>
      <c r="H7" s="22"/>
      <c r="I7" s="22"/>
      <c r="J7" s="23"/>
      <c r="K7" s="23"/>
      <c r="L7" s="24" t="s">
        <v>167</v>
      </c>
    </row>
    <row r="8" spans="1:12" s="25" customFormat="1" ht="51" customHeight="1" x14ac:dyDescent="0.25">
      <c r="A8" s="35" t="s">
        <v>151</v>
      </c>
      <c r="B8" s="37" t="s">
        <v>165</v>
      </c>
      <c r="C8" s="21" t="s">
        <v>29</v>
      </c>
      <c r="D8" s="24" t="s">
        <v>159</v>
      </c>
      <c r="E8" s="33" t="s">
        <v>51</v>
      </c>
      <c r="F8" s="21"/>
      <c r="G8" s="21"/>
      <c r="H8" s="22"/>
      <c r="I8" s="22"/>
      <c r="J8" s="23"/>
      <c r="K8" s="23"/>
      <c r="L8" s="24" t="s">
        <v>167</v>
      </c>
    </row>
    <row r="9" spans="1:12" s="25" customFormat="1" ht="51" customHeight="1" x14ac:dyDescent="0.25">
      <c r="A9" s="35" t="s">
        <v>151</v>
      </c>
      <c r="B9" s="37" t="s">
        <v>165</v>
      </c>
      <c r="C9" s="21" t="s">
        <v>154</v>
      </c>
      <c r="D9" s="24" t="s">
        <v>160</v>
      </c>
      <c r="E9" s="33" t="s">
        <v>51</v>
      </c>
      <c r="F9" s="21"/>
      <c r="G9" s="21"/>
      <c r="H9" s="21"/>
      <c r="I9" s="21"/>
      <c r="J9" s="23"/>
      <c r="K9" s="23"/>
      <c r="L9" s="24" t="s">
        <v>167</v>
      </c>
    </row>
    <row r="10" spans="1:12" s="25" customFormat="1" ht="51" customHeight="1" x14ac:dyDescent="0.25">
      <c r="A10" s="35" t="s">
        <v>151</v>
      </c>
      <c r="B10" s="37" t="s">
        <v>165</v>
      </c>
      <c r="C10" s="21" t="s">
        <v>155</v>
      </c>
      <c r="D10" s="24" t="s">
        <v>161</v>
      </c>
      <c r="E10" s="33" t="s">
        <v>51</v>
      </c>
      <c r="F10" s="21"/>
      <c r="G10" s="21"/>
      <c r="H10" s="22"/>
      <c r="I10" s="22"/>
      <c r="J10" s="23"/>
      <c r="K10" s="23"/>
      <c r="L10" s="24" t="s">
        <v>167</v>
      </c>
    </row>
    <row r="11" spans="1:12" s="25" customFormat="1" ht="51" customHeight="1" x14ac:dyDescent="0.25">
      <c r="A11" s="35" t="s">
        <v>151</v>
      </c>
      <c r="B11" s="37" t="s">
        <v>165</v>
      </c>
      <c r="C11" s="21" t="s">
        <v>156</v>
      </c>
      <c r="D11" s="24" t="s">
        <v>162</v>
      </c>
      <c r="E11" s="33" t="s">
        <v>51</v>
      </c>
      <c r="F11" s="21"/>
      <c r="G11" s="21"/>
      <c r="H11" s="22"/>
      <c r="I11" s="22"/>
      <c r="J11" s="23"/>
      <c r="K11" s="23"/>
      <c r="L11" s="24" t="s">
        <v>167</v>
      </c>
    </row>
    <row r="12" spans="1:12" s="25" customFormat="1" ht="51" customHeight="1" x14ac:dyDescent="0.25">
      <c r="A12" s="35" t="s">
        <v>151</v>
      </c>
      <c r="B12" s="37" t="s">
        <v>165</v>
      </c>
      <c r="C12" s="21" t="s">
        <v>157</v>
      </c>
      <c r="D12" s="24" t="s">
        <v>163</v>
      </c>
      <c r="E12" s="33" t="s">
        <v>51</v>
      </c>
      <c r="F12" s="21"/>
      <c r="G12" s="21"/>
      <c r="H12" s="22"/>
      <c r="I12" s="22"/>
      <c r="J12" s="23"/>
      <c r="K12" s="23"/>
      <c r="L12" s="24" t="s">
        <v>167</v>
      </c>
    </row>
    <row r="13" spans="1:12" s="25" customFormat="1" ht="51" customHeight="1" x14ac:dyDescent="0.25">
      <c r="A13" s="35" t="s">
        <v>151</v>
      </c>
      <c r="B13" s="37" t="s">
        <v>165</v>
      </c>
      <c r="C13" s="21" t="s">
        <v>166</v>
      </c>
      <c r="D13" s="24" t="s">
        <v>164</v>
      </c>
      <c r="E13" s="33" t="s">
        <v>51</v>
      </c>
      <c r="F13" s="21"/>
      <c r="G13" s="21"/>
      <c r="H13" s="22"/>
      <c r="I13" s="22"/>
      <c r="J13" s="23"/>
      <c r="K13" s="23"/>
      <c r="L13" s="24" t="s">
        <v>167</v>
      </c>
    </row>
    <row r="14" spans="1:12" s="25" customFormat="1" ht="51" customHeight="1" x14ac:dyDescent="0.25">
      <c r="A14" s="35" t="s">
        <v>151</v>
      </c>
      <c r="B14" s="37" t="s">
        <v>152</v>
      </c>
      <c r="C14" s="21" t="s">
        <v>168</v>
      </c>
      <c r="D14" s="24" t="s">
        <v>173</v>
      </c>
      <c r="E14" s="33" t="s">
        <v>51</v>
      </c>
      <c r="F14" s="21"/>
      <c r="G14" s="21"/>
      <c r="H14" s="22"/>
      <c r="I14" s="22"/>
      <c r="J14" s="23"/>
      <c r="K14" s="23"/>
      <c r="L14" s="24" t="s">
        <v>186</v>
      </c>
    </row>
    <row r="15" spans="1:12" s="25" customFormat="1" ht="51" customHeight="1" x14ac:dyDescent="0.25">
      <c r="A15" s="35" t="s">
        <v>151</v>
      </c>
      <c r="B15" s="37" t="s">
        <v>152</v>
      </c>
      <c r="C15" s="21" t="s">
        <v>172</v>
      </c>
      <c r="D15" s="24" t="s">
        <v>174</v>
      </c>
      <c r="E15" s="33" t="s">
        <v>51</v>
      </c>
      <c r="F15" s="21"/>
      <c r="G15" s="21"/>
      <c r="H15" s="22"/>
      <c r="I15" s="22"/>
      <c r="J15" s="23"/>
      <c r="K15" s="23"/>
      <c r="L15" s="24" t="s">
        <v>186</v>
      </c>
    </row>
    <row r="16" spans="1:12" s="25" customFormat="1" ht="51" customHeight="1" x14ac:dyDescent="0.25">
      <c r="A16" s="35" t="s">
        <v>151</v>
      </c>
      <c r="B16" s="37" t="s">
        <v>152</v>
      </c>
      <c r="C16" s="21" t="s">
        <v>29</v>
      </c>
      <c r="D16" s="24" t="s">
        <v>175</v>
      </c>
      <c r="E16" s="33" t="s">
        <v>51</v>
      </c>
      <c r="F16" s="21"/>
      <c r="G16" s="21"/>
      <c r="H16" s="21"/>
      <c r="I16" s="21"/>
      <c r="J16" s="23"/>
      <c r="K16" s="23"/>
      <c r="L16" s="24" t="s">
        <v>186</v>
      </c>
    </row>
    <row r="17" spans="1:12" s="25" customFormat="1" ht="51" customHeight="1" x14ac:dyDescent="0.25">
      <c r="A17" s="35" t="s">
        <v>151</v>
      </c>
      <c r="B17" s="37" t="s">
        <v>152</v>
      </c>
      <c r="C17" s="21" t="s">
        <v>169</v>
      </c>
      <c r="D17" s="24" t="s">
        <v>176</v>
      </c>
      <c r="E17" s="33" t="s">
        <v>51</v>
      </c>
      <c r="F17" s="21"/>
      <c r="G17" s="21"/>
      <c r="H17" s="21"/>
      <c r="I17" s="21"/>
      <c r="J17" s="23"/>
      <c r="K17" s="23"/>
      <c r="L17" s="24" t="s">
        <v>186</v>
      </c>
    </row>
    <row r="18" spans="1:12" s="25" customFormat="1" ht="51" customHeight="1" x14ac:dyDescent="0.25">
      <c r="A18" s="35" t="s">
        <v>151</v>
      </c>
      <c r="B18" s="37" t="s">
        <v>152</v>
      </c>
      <c r="C18" s="21" t="s">
        <v>170</v>
      </c>
      <c r="D18" s="24" t="s">
        <v>177</v>
      </c>
      <c r="E18" s="33" t="s">
        <v>51</v>
      </c>
      <c r="F18" s="21"/>
      <c r="G18" s="21"/>
      <c r="H18" s="21"/>
      <c r="I18" s="21"/>
      <c r="J18" s="23"/>
      <c r="K18" s="23"/>
      <c r="L18" s="24" t="s">
        <v>186</v>
      </c>
    </row>
    <row r="19" spans="1:12" s="25" customFormat="1" ht="51" customHeight="1" x14ac:dyDescent="0.25">
      <c r="A19" s="35" t="s">
        <v>151</v>
      </c>
      <c r="B19" s="37" t="s">
        <v>152</v>
      </c>
      <c r="C19" s="21" t="s">
        <v>171</v>
      </c>
      <c r="D19" s="24" t="s">
        <v>178</v>
      </c>
      <c r="E19" s="33" t="s">
        <v>51</v>
      </c>
      <c r="F19" s="21"/>
      <c r="G19" s="21"/>
      <c r="H19" s="21"/>
      <c r="I19" s="21"/>
      <c r="J19" s="23"/>
      <c r="K19" s="23"/>
      <c r="L19" s="24" t="s">
        <v>186</v>
      </c>
    </row>
    <row r="20" spans="1:12" s="25" customFormat="1" ht="51" customHeight="1" x14ac:dyDescent="0.25">
      <c r="A20" s="35" t="s">
        <v>151</v>
      </c>
      <c r="B20" s="37" t="s">
        <v>152</v>
      </c>
      <c r="C20" s="21" t="s">
        <v>32</v>
      </c>
      <c r="D20" s="24" t="s">
        <v>179</v>
      </c>
      <c r="E20" s="33" t="s">
        <v>51</v>
      </c>
      <c r="F20" s="21"/>
      <c r="G20" s="21"/>
      <c r="H20" s="21"/>
      <c r="I20" s="21"/>
      <c r="J20" s="23"/>
      <c r="K20" s="23"/>
      <c r="L20" s="24" t="s">
        <v>186</v>
      </c>
    </row>
    <row r="21" spans="1:12" s="25" customFormat="1" ht="51" customHeight="1" x14ac:dyDescent="0.25">
      <c r="A21" s="35" t="s">
        <v>151</v>
      </c>
      <c r="B21" s="37" t="s">
        <v>152</v>
      </c>
      <c r="C21" s="21" t="s">
        <v>181</v>
      </c>
      <c r="D21" s="24" t="s">
        <v>182</v>
      </c>
      <c r="E21" s="38" t="s">
        <v>180</v>
      </c>
      <c r="F21" s="21"/>
      <c r="G21" s="21"/>
      <c r="H21" s="21"/>
      <c r="I21" s="21"/>
      <c r="J21" s="23"/>
      <c r="K21" s="23"/>
      <c r="L21" s="24" t="s">
        <v>187</v>
      </c>
    </row>
    <row r="22" spans="1:12" s="25" customFormat="1" ht="51" customHeight="1" x14ac:dyDescent="0.25">
      <c r="A22" s="35" t="s">
        <v>151</v>
      </c>
      <c r="B22" s="37" t="s">
        <v>183</v>
      </c>
      <c r="C22" s="21" t="s">
        <v>184</v>
      </c>
      <c r="D22" s="24" t="s">
        <v>185</v>
      </c>
      <c r="E22" s="38" t="s">
        <v>180</v>
      </c>
      <c r="F22" s="21"/>
      <c r="G22" s="21"/>
      <c r="H22" s="21"/>
      <c r="I22" s="21"/>
      <c r="J22" s="23"/>
      <c r="K22" s="23"/>
      <c r="L22" s="24" t="s">
        <v>187</v>
      </c>
    </row>
    <row r="23" spans="1:12" s="25" customFormat="1" ht="51" customHeight="1" x14ac:dyDescent="0.25">
      <c r="A23" s="35" t="s">
        <v>151</v>
      </c>
      <c r="B23" s="37" t="s">
        <v>153</v>
      </c>
      <c r="C23" s="21" t="s">
        <v>189</v>
      </c>
      <c r="D23" s="24" t="s">
        <v>190</v>
      </c>
      <c r="E23" s="21" t="s">
        <v>51</v>
      </c>
      <c r="F23" s="21"/>
      <c r="G23" s="21"/>
      <c r="H23" s="21"/>
      <c r="I23" s="21"/>
      <c r="J23" s="23"/>
      <c r="K23" s="23"/>
      <c r="L23" s="24" t="s">
        <v>193</v>
      </c>
    </row>
    <row r="24" spans="1:12" s="25" customFormat="1" ht="51" customHeight="1" x14ac:dyDescent="0.25">
      <c r="A24" s="35" t="s">
        <v>151</v>
      </c>
      <c r="B24" s="37" t="s">
        <v>153</v>
      </c>
      <c r="C24" s="24" t="s">
        <v>191</v>
      </c>
      <c r="D24" s="24" t="s">
        <v>194</v>
      </c>
      <c r="E24" s="21" t="s">
        <v>51</v>
      </c>
      <c r="F24" s="21"/>
      <c r="G24" s="21"/>
      <c r="H24" s="21"/>
      <c r="I24" s="21"/>
      <c r="J24" s="23"/>
      <c r="K24" s="23"/>
      <c r="L24" s="24" t="s">
        <v>195</v>
      </c>
    </row>
    <row r="25" spans="1:12" s="25" customFormat="1" ht="51" customHeight="1" x14ac:dyDescent="0.25">
      <c r="A25" s="35" t="s">
        <v>151</v>
      </c>
      <c r="B25" s="37" t="s">
        <v>153</v>
      </c>
      <c r="C25" s="24" t="s">
        <v>192</v>
      </c>
      <c r="D25" s="24" t="s">
        <v>194</v>
      </c>
      <c r="E25" s="38" t="s">
        <v>180</v>
      </c>
      <c r="F25" s="21"/>
      <c r="G25" s="21"/>
      <c r="H25" s="21"/>
      <c r="I25" s="21"/>
      <c r="J25" s="23"/>
      <c r="K25" s="23"/>
      <c r="L25" s="24" t="s">
        <v>193</v>
      </c>
    </row>
    <row r="26" spans="1:12" s="25" customFormat="1" ht="51" customHeight="1" x14ac:dyDescent="0.25">
      <c r="A26" s="35" t="s">
        <v>151</v>
      </c>
      <c r="B26" s="37" t="s">
        <v>153</v>
      </c>
      <c r="C26" s="24" t="s">
        <v>196</v>
      </c>
      <c r="D26" s="24" t="s">
        <v>194</v>
      </c>
      <c r="E26" s="21" t="s">
        <v>51</v>
      </c>
      <c r="F26" s="21"/>
      <c r="G26" s="21"/>
      <c r="H26" s="21"/>
      <c r="I26" s="21"/>
      <c r="J26" s="23"/>
      <c r="K26" s="23"/>
      <c r="L26" s="24" t="s">
        <v>195</v>
      </c>
    </row>
    <row r="27" spans="1:12" s="25" customFormat="1" ht="51" customHeight="1" x14ac:dyDescent="0.25">
      <c r="A27" s="35" t="s">
        <v>151</v>
      </c>
      <c r="B27" s="37" t="s">
        <v>153</v>
      </c>
      <c r="C27" s="24" t="s">
        <v>197</v>
      </c>
      <c r="D27" s="24" t="s">
        <v>194</v>
      </c>
      <c r="E27" s="38" t="s">
        <v>180</v>
      </c>
      <c r="F27" s="21"/>
      <c r="G27" s="21"/>
      <c r="H27" s="21"/>
      <c r="I27" s="21"/>
      <c r="J27" s="23"/>
      <c r="K27" s="23"/>
      <c r="L27" s="24" t="s">
        <v>193</v>
      </c>
    </row>
    <row r="28" spans="1:12" s="25" customFormat="1" ht="51" customHeight="1" x14ac:dyDescent="0.25">
      <c r="A28" s="35" t="s">
        <v>151</v>
      </c>
      <c r="B28" s="37" t="s">
        <v>153</v>
      </c>
      <c r="C28" s="21" t="s">
        <v>198</v>
      </c>
      <c r="D28" s="24" t="s">
        <v>199</v>
      </c>
      <c r="E28" s="21" t="s">
        <v>51</v>
      </c>
      <c r="F28" s="21"/>
      <c r="G28" s="21"/>
      <c r="H28" s="21"/>
      <c r="I28" s="21"/>
      <c r="J28" s="23"/>
      <c r="K28" s="23"/>
      <c r="L28" s="24" t="s">
        <v>200</v>
      </c>
    </row>
    <row r="29" spans="1:12" s="25" customFormat="1" ht="51" customHeight="1" x14ac:dyDescent="0.25">
      <c r="A29" s="35" t="s">
        <v>151</v>
      </c>
      <c r="B29" s="37" t="s">
        <v>153</v>
      </c>
      <c r="C29" s="21" t="s">
        <v>201</v>
      </c>
      <c r="D29" s="24" t="s">
        <v>202</v>
      </c>
      <c r="E29" s="38" t="s">
        <v>180</v>
      </c>
      <c r="F29" s="21"/>
      <c r="G29" s="21"/>
      <c r="H29" s="21"/>
      <c r="I29" s="21"/>
      <c r="J29" s="23"/>
      <c r="K29" s="23"/>
      <c r="L29" s="24" t="s">
        <v>193</v>
      </c>
    </row>
    <row r="30" spans="1:12" s="25" customFormat="1" ht="51" customHeight="1" x14ac:dyDescent="0.25">
      <c r="A30" s="35" t="s">
        <v>151</v>
      </c>
      <c r="B30" s="37" t="s">
        <v>153</v>
      </c>
      <c r="C30" s="21" t="s">
        <v>203</v>
      </c>
      <c r="D30" s="24" t="s">
        <v>204</v>
      </c>
      <c r="E30" s="21" t="s">
        <v>51</v>
      </c>
      <c r="F30" s="21"/>
      <c r="G30" s="21"/>
      <c r="H30" s="21"/>
      <c r="I30" s="21"/>
      <c r="J30" s="23"/>
      <c r="K30" s="23"/>
      <c r="L30" s="24" t="s">
        <v>200</v>
      </c>
    </row>
    <row r="31" spans="1:12" s="25" customFormat="1" ht="51" customHeight="1" x14ac:dyDescent="0.25">
      <c r="A31" s="35" t="s">
        <v>151</v>
      </c>
      <c r="B31" s="37" t="s">
        <v>153</v>
      </c>
      <c r="C31" s="21" t="s">
        <v>205</v>
      </c>
      <c r="D31" s="24" t="s">
        <v>206</v>
      </c>
      <c r="E31" s="38" t="s">
        <v>180</v>
      </c>
      <c r="F31" s="21"/>
      <c r="G31" s="21"/>
      <c r="H31" s="21"/>
      <c r="I31" s="21"/>
      <c r="J31" s="23"/>
      <c r="K31" s="23"/>
      <c r="L31" s="24" t="s">
        <v>193</v>
      </c>
    </row>
    <row r="32" spans="1:12" s="25" customFormat="1" ht="51" customHeight="1" x14ac:dyDescent="0.25">
      <c r="A32" s="35" t="s">
        <v>151</v>
      </c>
      <c r="B32" s="37" t="s">
        <v>153</v>
      </c>
      <c r="C32" s="21" t="s">
        <v>207</v>
      </c>
      <c r="D32" s="24" t="s">
        <v>208</v>
      </c>
      <c r="E32" s="21" t="s">
        <v>51</v>
      </c>
      <c r="F32" s="21"/>
      <c r="G32" s="21"/>
      <c r="H32" s="21"/>
      <c r="I32" s="21"/>
      <c r="J32" s="23"/>
      <c r="K32" s="23"/>
      <c r="L32" s="24" t="s">
        <v>209</v>
      </c>
    </row>
    <row r="33" spans="1:12" s="25" customFormat="1" ht="51" customHeight="1" x14ac:dyDescent="0.25">
      <c r="A33" s="35" t="s">
        <v>151</v>
      </c>
      <c r="B33" s="37" t="s">
        <v>153</v>
      </c>
      <c r="C33" s="21" t="s">
        <v>210</v>
      </c>
      <c r="D33" s="24" t="s">
        <v>211</v>
      </c>
      <c r="E33" s="38" t="s">
        <v>180</v>
      </c>
      <c r="F33" s="21"/>
      <c r="G33" s="21"/>
      <c r="H33" s="21"/>
      <c r="I33" s="21"/>
      <c r="J33" s="23"/>
      <c r="K33" s="23"/>
      <c r="L33" s="24" t="s">
        <v>193</v>
      </c>
    </row>
    <row r="34" spans="1:12" s="25" customFormat="1" ht="51" customHeight="1" x14ac:dyDescent="0.25">
      <c r="A34" s="35" t="s">
        <v>151</v>
      </c>
      <c r="B34" s="37" t="s">
        <v>153</v>
      </c>
      <c r="C34" s="21" t="s">
        <v>188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8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17" sqref="A1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35" t="s">
        <v>147</v>
      </c>
      <c r="B7" s="35" t="s">
        <v>284</v>
      </c>
      <c r="C7" s="21" t="s">
        <v>286</v>
      </c>
      <c r="D7" s="24" t="s">
        <v>285</v>
      </c>
      <c r="E7" s="40">
        <f>LEN(D7)</f>
        <v>55</v>
      </c>
      <c r="F7" s="44" t="s">
        <v>274</v>
      </c>
      <c r="G7" s="46" t="s">
        <v>260</v>
      </c>
      <c r="H7" s="46" t="s">
        <v>259</v>
      </c>
      <c r="I7" s="47" t="s">
        <v>279</v>
      </c>
      <c r="J7" s="47" t="s">
        <v>227</v>
      </c>
      <c r="K7" s="46" t="s">
        <v>15</v>
      </c>
      <c r="L7" s="46" t="s">
        <v>15</v>
      </c>
      <c r="M7" s="24" t="s">
        <v>289</v>
      </c>
    </row>
    <row r="8" spans="1:13" s="25" customFormat="1" ht="114.75" x14ac:dyDescent="0.25">
      <c r="A8" s="35" t="s">
        <v>147</v>
      </c>
      <c r="B8" s="35" t="s">
        <v>284</v>
      </c>
      <c r="C8" s="21" t="s">
        <v>287</v>
      </c>
      <c r="D8" s="24" t="s">
        <v>285</v>
      </c>
      <c r="E8" s="40">
        <f>LEN(D8)</f>
        <v>55</v>
      </c>
      <c r="F8" s="44" t="s">
        <v>274</v>
      </c>
      <c r="G8" s="46" t="s">
        <v>260</v>
      </c>
      <c r="H8" s="46" t="s">
        <v>259</v>
      </c>
      <c r="I8" s="47" t="s">
        <v>279</v>
      </c>
      <c r="J8" s="47" t="s">
        <v>227</v>
      </c>
      <c r="K8" s="46" t="s">
        <v>15</v>
      </c>
      <c r="L8" s="46" t="s">
        <v>15</v>
      </c>
      <c r="M8" s="24" t="s">
        <v>290</v>
      </c>
    </row>
    <row r="9" spans="1:13" s="25" customFormat="1" ht="114.75" x14ac:dyDescent="0.25">
      <c r="A9" s="35" t="s">
        <v>147</v>
      </c>
      <c r="B9" s="35" t="s">
        <v>284</v>
      </c>
      <c r="C9" s="21" t="s">
        <v>288</v>
      </c>
      <c r="D9" s="24" t="s">
        <v>285</v>
      </c>
      <c r="E9" s="40">
        <f>LEN(D9)</f>
        <v>55</v>
      </c>
      <c r="F9" s="44" t="s">
        <v>274</v>
      </c>
      <c r="G9" s="46" t="s">
        <v>260</v>
      </c>
      <c r="H9" s="46" t="s">
        <v>259</v>
      </c>
      <c r="I9" s="47" t="s">
        <v>279</v>
      </c>
      <c r="J9" s="47" t="s">
        <v>227</v>
      </c>
      <c r="K9" s="46" t="s">
        <v>15</v>
      </c>
      <c r="L9" s="46" t="s">
        <v>15</v>
      </c>
      <c r="M9" s="24" t="s">
        <v>291</v>
      </c>
    </row>
    <row r="10" spans="1:13" s="25" customFormat="1" ht="51" customHeight="1" x14ac:dyDescent="0.25">
      <c r="A10" s="35" t="s">
        <v>147</v>
      </c>
      <c r="B10" s="35" t="s">
        <v>148</v>
      </c>
      <c r="C10" s="21" t="s">
        <v>300</v>
      </c>
      <c r="D10" s="24"/>
      <c r="E10" s="40">
        <f>LEN(D10)</f>
        <v>0</v>
      </c>
      <c r="F10" s="44"/>
      <c r="G10" s="24"/>
      <c r="H10" s="24"/>
      <c r="I10" s="45"/>
      <c r="J10" s="45"/>
      <c r="K10" s="46" t="s">
        <v>15</v>
      </c>
      <c r="L10" s="46" t="s">
        <v>15</v>
      </c>
      <c r="M10" s="24"/>
    </row>
    <row r="11" spans="1:13" s="25" customFormat="1" ht="51" customHeight="1" x14ac:dyDescent="0.25">
      <c r="A11" s="35" t="s">
        <v>147</v>
      </c>
      <c r="B11" s="35" t="s">
        <v>148</v>
      </c>
      <c r="C11" s="21" t="s">
        <v>282</v>
      </c>
      <c r="D11" s="24" t="s">
        <v>294</v>
      </c>
      <c r="E11" s="40">
        <f t="shared" ref="E11:E67" si="0">LEN(D11)</f>
        <v>29</v>
      </c>
      <c r="F11" s="44"/>
      <c r="G11" s="24"/>
      <c r="H11" s="24"/>
      <c r="I11" s="45"/>
      <c r="J11" s="45"/>
      <c r="K11" s="46" t="s">
        <v>15</v>
      </c>
      <c r="L11" s="46" t="s">
        <v>15</v>
      </c>
      <c r="M11" s="24" t="s">
        <v>292</v>
      </c>
    </row>
    <row r="12" spans="1:13" s="25" customFormat="1" ht="51" customHeight="1" x14ac:dyDescent="0.25">
      <c r="A12" s="35" t="s">
        <v>147</v>
      </c>
      <c r="B12" s="35" t="s">
        <v>148</v>
      </c>
      <c r="C12" s="21" t="s">
        <v>149</v>
      </c>
      <c r="D12" s="24" t="s">
        <v>295</v>
      </c>
      <c r="E12" s="40">
        <f t="shared" si="0"/>
        <v>51</v>
      </c>
      <c r="F12" s="24"/>
      <c r="G12" s="24"/>
      <c r="H12" s="24"/>
      <c r="I12" s="24"/>
      <c r="J12" s="24"/>
      <c r="K12" s="46" t="s">
        <v>15</v>
      </c>
      <c r="L12" s="46" t="s">
        <v>15</v>
      </c>
      <c r="M12" s="24" t="s">
        <v>293</v>
      </c>
    </row>
    <row r="13" spans="1:13" s="25" customFormat="1" ht="51" customHeight="1" x14ac:dyDescent="0.25">
      <c r="A13" s="35" t="s">
        <v>147</v>
      </c>
      <c r="B13" s="35" t="s">
        <v>148</v>
      </c>
      <c r="C13" s="21" t="s">
        <v>150</v>
      </c>
      <c r="D13" s="24" t="s">
        <v>296</v>
      </c>
      <c r="E13" s="40">
        <f t="shared" si="0"/>
        <v>61</v>
      </c>
      <c r="F13" s="44"/>
      <c r="G13" s="24"/>
      <c r="H13" s="24"/>
      <c r="I13" s="45"/>
      <c r="J13" s="45"/>
      <c r="K13" s="46" t="s">
        <v>15</v>
      </c>
      <c r="L13" s="46" t="s">
        <v>15</v>
      </c>
      <c r="M13" s="24"/>
    </row>
    <row r="14" spans="1:13" s="25" customFormat="1" ht="51" customHeight="1" x14ac:dyDescent="0.25">
      <c r="A14" s="35" t="s">
        <v>147</v>
      </c>
      <c r="B14" s="35" t="s">
        <v>148</v>
      </c>
      <c r="C14" s="21" t="s">
        <v>280</v>
      </c>
      <c r="D14" s="24" t="s">
        <v>297</v>
      </c>
      <c r="E14" s="40">
        <f t="shared" si="0"/>
        <v>61</v>
      </c>
      <c r="F14" s="44"/>
      <c r="G14" s="24"/>
      <c r="H14" s="24"/>
      <c r="I14" s="45"/>
      <c r="J14" s="45"/>
      <c r="K14" s="46" t="s">
        <v>15</v>
      </c>
      <c r="L14" s="46" t="s">
        <v>15</v>
      </c>
      <c r="M14" s="24"/>
    </row>
    <row r="15" spans="1:13" s="25" customFormat="1" ht="51" customHeight="1" x14ac:dyDescent="0.25">
      <c r="A15" s="35" t="s">
        <v>147</v>
      </c>
      <c r="B15" s="35" t="s">
        <v>148</v>
      </c>
      <c r="C15" s="21" t="s">
        <v>283</v>
      </c>
      <c r="D15" s="24" t="s">
        <v>298</v>
      </c>
      <c r="E15" s="40">
        <f t="shared" si="0"/>
        <v>61</v>
      </c>
      <c r="F15" s="44"/>
      <c r="G15" s="24"/>
      <c r="H15" s="24"/>
      <c r="I15" s="45"/>
      <c r="J15" s="45"/>
      <c r="K15" s="46" t="s">
        <v>15</v>
      </c>
      <c r="L15" s="46" t="s">
        <v>15</v>
      </c>
      <c r="M15" s="24"/>
    </row>
    <row r="16" spans="1:13" s="25" customFormat="1" ht="51" customHeight="1" x14ac:dyDescent="0.25">
      <c r="A16" s="35" t="s">
        <v>147</v>
      </c>
      <c r="B16" s="35" t="s">
        <v>148</v>
      </c>
      <c r="C16" s="21" t="s">
        <v>281</v>
      </c>
      <c r="D16" s="24" t="s">
        <v>299</v>
      </c>
      <c r="E16" s="40">
        <f t="shared" si="0"/>
        <v>61</v>
      </c>
      <c r="F16" s="44"/>
      <c r="G16" s="24"/>
      <c r="H16" s="24"/>
      <c r="I16" s="45"/>
      <c r="J16" s="45"/>
      <c r="K16" s="46" t="s">
        <v>15</v>
      </c>
      <c r="L16" s="46" t="s">
        <v>15</v>
      </c>
      <c r="M16" s="24"/>
    </row>
    <row r="17" spans="1:13" s="25" customFormat="1" ht="51" customHeight="1" x14ac:dyDescent="0.25">
      <c r="A17" s="35"/>
      <c r="B17" s="35"/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/>
    </row>
    <row r="18" spans="1:13" s="25" customFormat="1" ht="51" customHeight="1" x14ac:dyDescent="0.25">
      <c r="A18" s="35"/>
      <c r="B18" s="35"/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1"/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2"/>
      <c r="J41" s="22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 t="s">
        <v>15</v>
      </c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x14ac:dyDescent="0.25">
      <c r="D68" s="53"/>
      <c r="K68" s="23" t="s">
        <v>15</v>
      </c>
    </row>
  </sheetData>
  <mergeCells count="2">
    <mergeCell ref="C2:J2"/>
    <mergeCell ref="C3:J4"/>
  </mergeCells>
  <conditionalFormatting sqref="E7:E65">
    <cfRule type="cellIs" dxfId="4" priority="3" operator="greaterThan">
      <formula>104</formula>
    </cfRule>
  </conditionalFormatting>
  <conditionalFormatting sqref="E66:E67">
    <cfRule type="cellIs" dxfId="3" priority="2" operator="greaterThan">
      <formula>104</formula>
    </cfRule>
  </conditionalFormatting>
  <dataValidations count="1">
    <dataValidation type="list" allowBlank="1" showInputMessage="1" showErrorMessage="1" sqref="L52:L67 K52:K68 K7:L16 K17:L5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K9" activePane="bottomRight" state="frozen"/>
      <selection pane="topRight" activeCell="D1" sqref="D1"/>
      <selection pane="bottomLeft" activeCell="A7" sqref="A7"/>
      <selection pane="bottomRight" activeCell="F9" sqref="F9:L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218</v>
      </c>
      <c r="B7" s="35" t="s">
        <v>217</v>
      </c>
      <c r="C7" s="21" t="s">
        <v>277</v>
      </c>
      <c r="D7" s="24" t="s">
        <v>219</v>
      </c>
      <c r="E7" s="40">
        <f>LEN(D7)</f>
        <v>33</v>
      </c>
      <c r="F7" s="44" t="s">
        <v>273</v>
      </c>
      <c r="G7" s="46" t="s">
        <v>260</v>
      </c>
      <c r="H7" s="46" t="s">
        <v>228</v>
      </c>
      <c r="I7" s="47" t="s">
        <v>279</v>
      </c>
      <c r="J7" s="47" t="s">
        <v>227</v>
      </c>
      <c r="K7" s="46" t="s">
        <v>15</v>
      </c>
      <c r="L7" s="46" t="s">
        <v>15</v>
      </c>
      <c r="M7" s="24" t="s">
        <v>264</v>
      </c>
    </row>
    <row r="8" spans="1:13" s="25" customFormat="1" ht="102" x14ac:dyDescent="0.25">
      <c r="A8" s="35" t="s">
        <v>218</v>
      </c>
      <c r="B8" s="35" t="s">
        <v>217</v>
      </c>
      <c r="C8" s="21" t="s">
        <v>214</v>
      </c>
      <c r="D8" s="24" t="s">
        <v>223</v>
      </c>
      <c r="E8" s="40">
        <f t="shared" ref="E8:E15" si="0">LEN(D8)</f>
        <v>33</v>
      </c>
      <c r="F8" s="44" t="s">
        <v>274</v>
      </c>
      <c r="G8" s="46" t="s">
        <v>260</v>
      </c>
      <c r="H8" s="46" t="s">
        <v>259</v>
      </c>
      <c r="I8" s="47" t="s">
        <v>279</v>
      </c>
      <c r="J8" s="47" t="s">
        <v>258</v>
      </c>
      <c r="K8" s="46" t="s">
        <v>15</v>
      </c>
      <c r="L8" s="46" t="s">
        <v>15</v>
      </c>
      <c r="M8" s="24" t="s">
        <v>267</v>
      </c>
    </row>
    <row r="9" spans="1:13" s="25" customFormat="1" ht="102" x14ac:dyDescent="0.25">
      <c r="A9" s="35" t="s">
        <v>218</v>
      </c>
      <c r="B9" s="35" t="s">
        <v>217</v>
      </c>
      <c r="C9" s="21" t="s">
        <v>215</v>
      </c>
      <c r="D9" s="24" t="s">
        <v>220</v>
      </c>
      <c r="E9" s="40">
        <f t="shared" si="0"/>
        <v>59</v>
      </c>
      <c r="F9" s="44" t="s">
        <v>274</v>
      </c>
      <c r="G9" s="46" t="s">
        <v>260</v>
      </c>
      <c r="H9" s="46" t="s">
        <v>259</v>
      </c>
      <c r="I9" s="47" t="s">
        <v>279</v>
      </c>
      <c r="J9" s="47" t="s">
        <v>227</v>
      </c>
      <c r="K9" s="46" t="s">
        <v>15</v>
      </c>
      <c r="L9" s="46" t="s">
        <v>15</v>
      </c>
      <c r="M9" s="24" t="s">
        <v>268</v>
      </c>
    </row>
    <row r="10" spans="1:13" s="25" customFormat="1" ht="102" x14ac:dyDescent="0.25">
      <c r="A10" s="35" t="s">
        <v>218</v>
      </c>
      <c r="B10" s="35" t="s">
        <v>217</v>
      </c>
      <c r="C10" s="21" t="s">
        <v>244</v>
      </c>
      <c r="D10" s="24" t="s">
        <v>245</v>
      </c>
      <c r="E10" s="40">
        <f t="shared" ref="E10" si="1">LEN(D10)</f>
        <v>63</v>
      </c>
      <c r="F10" s="44" t="s">
        <v>274</v>
      </c>
      <c r="G10" s="46" t="s">
        <v>260</v>
      </c>
      <c r="H10" s="46" t="s">
        <v>259</v>
      </c>
      <c r="I10" s="47" t="s">
        <v>279</v>
      </c>
      <c r="J10" s="47" t="s">
        <v>227</v>
      </c>
      <c r="K10" s="46" t="s">
        <v>15</v>
      </c>
      <c r="L10" s="46" t="s">
        <v>15</v>
      </c>
      <c r="M10" s="24" t="s">
        <v>269</v>
      </c>
    </row>
    <row r="11" spans="1:13" s="25" customFormat="1" ht="51" x14ac:dyDescent="0.25">
      <c r="A11" s="35" t="s">
        <v>218</v>
      </c>
      <c r="B11" s="35" t="s">
        <v>212</v>
      </c>
      <c r="C11" s="21" t="s">
        <v>278</v>
      </c>
      <c r="D11" s="24" t="s">
        <v>221</v>
      </c>
      <c r="E11" s="40">
        <f t="shared" si="0"/>
        <v>25</v>
      </c>
      <c r="F11" s="44" t="s">
        <v>273</v>
      </c>
      <c r="G11" s="46" t="s">
        <v>260</v>
      </c>
      <c r="H11" s="46" t="s">
        <v>228</v>
      </c>
      <c r="I11" s="47" t="s">
        <v>279</v>
      </c>
      <c r="J11" s="47" t="s">
        <v>227</v>
      </c>
      <c r="K11" s="46" t="s">
        <v>15</v>
      </c>
      <c r="L11" s="46" t="s">
        <v>15</v>
      </c>
      <c r="M11" s="24" t="s">
        <v>265</v>
      </c>
    </row>
    <row r="12" spans="1:13" s="25" customFormat="1" ht="63.75" x14ac:dyDescent="0.25">
      <c r="A12" s="35" t="s">
        <v>218</v>
      </c>
      <c r="B12" s="35" t="s">
        <v>212</v>
      </c>
      <c r="C12" s="21" t="s">
        <v>213</v>
      </c>
      <c r="D12" s="24" t="s">
        <v>222</v>
      </c>
      <c r="E12" s="40">
        <f t="shared" si="0"/>
        <v>26</v>
      </c>
      <c r="F12" s="44" t="s">
        <v>273</v>
      </c>
      <c r="G12" s="46" t="s">
        <v>260</v>
      </c>
      <c r="H12" s="46" t="s">
        <v>259</v>
      </c>
      <c r="I12" s="47" t="s">
        <v>279</v>
      </c>
      <c r="J12" s="47" t="s">
        <v>258</v>
      </c>
      <c r="K12" s="46" t="s">
        <v>15</v>
      </c>
      <c r="L12" s="46" t="s">
        <v>15</v>
      </c>
      <c r="M12" s="24" t="s">
        <v>266</v>
      </c>
    </row>
    <row r="13" spans="1:13" s="25" customFormat="1" ht="63.75" x14ac:dyDescent="0.25">
      <c r="A13" s="35" t="s">
        <v>218</v>
      </c>
      <c r="B13" s="35" t="s">
        <v>212</v>
      </c>
      <c r="C13" s="21" t="s">
        <v>216</v>
      </c>
      <c r="D13" s="24" t="s">
        <v>224</v>
      </c>
      <c r="E13" s="40">
        <f t="shared" si="0"/>
        <v>55</v>
      </c>
      <c r="F13" s="44" t="s">
        <v>273</v>
      </c>
      <c r="G13" s="46" t="s">
        <v>260</v>
      </c>
      <c r="H13" s="46" t="s">
        <v>259</v>
      </c>
      <c r="I13" s="47" t="s">
        <v>279</v>
      </c>
      <c r="J13" s="47" t="s">
        <v>227</v>
      </c>
      <c r="K13" s="46" t="s">
        <v>15</v>
      </c>
      <c r="L13" s="46" t="s">
        <v>15</v>
      </c>
      <c r="M13" s="24" t="s">
        <v>270</v>
      </c>
    </row>
    <row r="14" spans="1:13" s="25" customFormat="1" ht="102" x14ac:dyDescent="0.25">
      <c r="A14" s="35" t="s">
        <v>218</v>
      </c>
      <c r="B14" s="35" t="s">
        <v>225</v>
      </c>
      <c r="C14" s="24" t="s">
        <v>261</v>
      </c>
      <c r="D14" s="24" t="s">
        <v>262</v>
      </c>
      <c r="E14" s="40">
        <f t="shared" si="0"/>
        <v>62</v>
      </c>
      <c r="F14" s="44" t="s">
        <v>274</v>
      </c>
      <c r="G14" s="46" t="s">
        <v>260</v>
      </c>
      <c r="H14" s="46" t="s">
        <v>259</v>
      </c>
      <c r="I14" s="47" t="s">
        <v>279</v>
      </c>
      <c r="J14" s="47" t="s">
        <v>227</v>
      </c>
      <c r="K14" s="46" t="s">
        <v>15</v>
      </c>
      <c r="L14" s="46" t="s">
        <v>15</v>
      </c>
      <c r="M14" s="24" t="s">
        <v>271</v>
      </c>
    </row>
    <row r="15" spans="1:13" s="25" customFormat="1" ht="102" x14ac:dyDescent="0.25">
      <c r="A15" s="35" t="s">
        <v>218</v>
      </c>
      <c r="B15" s="35" t="s">
        <v>225</v>
      </c>
      <c r="C15" s="21" t="s">
        <v>226</v>
      </c>
      <c r="D15" s="24" t="s">
        <v>263</v>
      </c>
      <c r="E15" s="40">
        <f t="shared" si="0"/>
        <v>69</v>
      </c>
      <c r="F15" s="44" t="s">
        <v>274</v>
      </c>
      <c r="G15" s="46" t="s">
        <v>260</v>
      </c>
      <c r="H15" s="46" t="s">
        <v>259</v>
      </c>
      <c r="I15" s="47" t="s">
        <v>279</v>
      </c>
      <c r="J15" s="47" t="s">
        <v>227</v>
      </c>
      <c r="K15" s="46" t="s">
        <v>15</v>
      </c>
      <c r="L15" s="46" t="s">
        <v>15</v>
      </c>
      <c r="M15" s="24" t="s">
        <v>272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2" t="s">
        <v>1</v>
      </c>
      <c r="C2" s="52"/>
      <c r="D2" s="52"/>
      <c r="E2" s="52"/>
      <c r="F2" s="52"/>
      <c r="G2" s="1"/>
    </row>
    <row r="3" spans="1:7" ht="15" customHeight="1" x14ac:dyDescent="0.25">
      <c r="A3" s="1"/>
      <c r="B3" s="50" t="s">
        <v>22</v>
      </c>
      <c r="C3" s="50"/>
      <c r="D3" s="50"/>
      <c r="E3" s="50"/>
      <c r="F3" s="31"/>
      <c r="G3" s="1"/>
    </row>
    <row r="4" spans="1:7" ht="15" customHeight="1" x14ac:dyDescent="0.25">
      <c r="A4" s="1"/>
      <c r="B4" s="50"/>
      <c r="C4" s="50"/>
      <c r="D4" s="50"/>
      <c r="E4" s="50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2015-12-03T18:37:04Z</dcterms:modified>
</cp:coreProperties>
</file>