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1" hidden="1">'CAT Negócio'!$A$6:$M$6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7" l="1"/>
  <c r="E22" i="6"/>
  <c r="M5" i="9" l="1"/>
  <c r="M5" i="7"/>
  <c r="L5" i="8"/>
  <c r="M5" i="6"/>
  <c r="E26" i="6" l="1"/>
  <c r="E10" i="9"/>
  <c r="E15" i="9" l="1"/>
  <c r="E14" i="9"/>
  <c r="E13" i="9"/>
  <c r="E12" i="9"/>
  <c r="E11" i="9"/>
  <c r="E9" i="9"/>
  <c r="E8" i="9"/>
  <c r="E7" i="9"/>
  <c r="E61" i="7" l="1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8" i="6" l="1"/>
  <c r="E27" i="6"/>
  <c r="E25" i="6"/>
  <c r="E24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<sst xmlns="http://schemas.openxmlformats.org/spreadsheetml/2006/main" count="1029" uniqueCount="365">
  <si>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</si>
  <si>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</si>
  <si>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</si>
  <si>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</si>
  <si>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</si>
  <si>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</si>
  <si>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</si>
  <si>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</si>
  <si>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</si>
  <si>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</si>
  <si>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</si>
  <si>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</si>
  <si>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</si>
  <si>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</si>
  <si>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</si>
  <si>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</si>
  <si>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</si>
  <si>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</si>
  <si>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</si>
  <si>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</si>
  <si>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</si>
  <si>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</si>
  <si>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</si>
  <si>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</si>
  <si>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</si>
  <si>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</si>
  <si>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</si>
  <si>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</si>
  <si>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</si>
  <si>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</si>
  <si>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</si>
  <si>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</si>
  <si>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</si>
  <si>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</si>
  <si>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</si>
  <si>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</si>
  <si>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</si>
  <si>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</si>
  <si>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</si>
  <si>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</si>
  <si>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</si>
  <si>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</si>
  <si>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</si>
  <si>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</si>
  <si>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</si>
  <si>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</si>
  <si>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</si>
  <si>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</si>
  <si>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</si>
  <si>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</si>
  <si>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</si>
  <si>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</si>
  <si>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</si>
  <si>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</si>
  <si>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</si>
  <si>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</si>
  <si>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</si>
  <si>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</si>
  <si>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</si>
  <si>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</si>
  <si>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</si>
  <si>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</si>
  <si>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</si>
  <si>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</si>
  <si>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</si>
  <si>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</si>
  <si>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</si>
  <si>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</si>
  <si>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</si>
  <si>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</si>
  <si>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</si>
  <si>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</si>
  <si>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</si>
  <si>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</si>
  <si>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</si>
  <si>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</si>
  <si>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</si>
  <si>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</si>
  <si>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</si>
  <si>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</si>
  <si>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</si>
  <si>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</si>
  <si>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</si>
  <si>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</si>
  <si>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</si>
  <si>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</si>
  <si>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</si>
  <si>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</si>
  <si>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</si>
  <si>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</si>
  <si>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</si>
  <si>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</si>
  <si>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</si>
  <si>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</si>
  <si>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</si>
  <si>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</si>
  <si>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</si>
  <si>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</si>
  <si>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</si>
  <si>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</si>
  <si>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</si>
  <si>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</si>
  <si>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</si>
  <si>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</si>
  <si>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</si>
  <si>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</si>
  <si>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</si>
  <si>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</si>
  <si>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</si>
  <si>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</si>
  <si>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</si>
  <si>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</si>
  <si>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</si>
  <si>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</si>
  <si>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</si>
  <si>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</si>
  <si>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</si>
  <si>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</si>
  <si>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</si>
  <si>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</si>
  <si>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</si>
  <si>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</si>
  <si>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</si>
  <si>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</si>
  <si>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</si>
  <si>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</si>
  <si>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</si>
  <si>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</si>
  <si>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</si>
  <si>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</si>
  <si>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</si>
  <si>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</si>
  <si>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</si>
  <si>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</si>
  <si>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</si>
  <si>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</si>
  <si>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</si>
  <si>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</si>
  <si>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</si>
  <si>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</si>
  <si>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</si>
  <si>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</si>
  <si>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</si>
  <si>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</si>
  <si>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</si>
  <si>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</si>
  <si>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</si>
  <si>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</si>
  <si>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Atualização de Configuração de Aplicação</t>
  </si>
  <si>
    <t>Erro ou Falha em Componentes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</si>
  <si>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</si>
  <si>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</si>
  <si>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</si>
  <si>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</si>
  <si>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</si>
  <si>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</si>
  <si>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</si>
  <si>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</si>
  <si>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</si>
  <si>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</si>
  <si>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</si>
  <si>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</si>
  <si>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</si>
  <si>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</si>
  <si>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</si>
  <si>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</si>
  <si>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</si>
  <si>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</si>
  <si>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</si>
  <si>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</si>
  <si>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</si>
  <si>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</si>
  <si>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</si>
  <si>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</si>
  <si>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</si>
  <si>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</si>
  <si>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</si>
  <si>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</si>
  <si>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</si>
  <si>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</si>
  <si>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</si>
  <si>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</si>
  <si>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</si>
  <si>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</si>
  <si>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</si>
  <si>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</si>
  <si>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</si>
  <si>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</si>
  <si>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</si>
  <si>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</si>
  <si>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</si>
  <si>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</si>
  <si>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</si>
  <si>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</si>
  <si>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</si>
  <si>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</si>
  <si>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</si>
  <si>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</si>
  <si>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</si>
  <si>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</si>
  <si>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</si>
  <si>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</si>
  <si>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</si>
  <si>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</si>
  <si>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</si>
  <si>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</si>
  <si>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</si>
  <si>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</si>
  <si>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</si>
  <si>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</si>
  <si>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</si>
  <si>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</si>
  <si>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</si>
  <si>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</si>
  <si>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</si>
  <si>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</si>
  <si>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</si>
  <si>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</si>
  <si>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</si>
  <si>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</si>
  <si>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</si>
  <si>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</si>
  <si>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</si>
  <si>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</si>
  <si>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</si>
  <si>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</si>
  <si>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</si>
  <si>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</si>
  <si>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</si>
  <si>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</si>
  <si>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</si>
  <si>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</si>
  <si>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</si>
  <si>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</si>
  <si>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</si>
  <si>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</si>
  <si>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</si>
  <si>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</si>
  <si>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</si>
  <si>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</si>
  <si>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</si>
  <si>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</si>
  <si>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</si>
  <si>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</si>
  <si>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</si>
  <si>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</si>
  <si>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</si>
  <si>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</si>
  <si>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</si>
  <si>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</si>
  <si>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</si>
  <si>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</si>
  <si>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Em Banco de Dados, Console, Servidor, Bucket, Log, etc.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</si>
  <si>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</si>
  <si>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</si>
  <si>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</si>
  <si>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</si>
  <si>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</si>
  <si>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</si>
  <si>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</si>
  <si>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</si>
  <si>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</si>
  <si>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</si>
  <si>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</si>
  <si>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</si>
  <si>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</si>
  <si>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</si>
  <si>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</si>
  <si>
    <t>Solicitações gerais relacionadas a Amazon (AWS)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</si>
  <si>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</si>
  <si>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</si>
  <si>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</si>
  <si>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</si>
  <si>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</si>
  <si>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</si>
  <si>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</si>
  <si>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</si>
  <si>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</si>
  <si>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</si>
  <si>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</si>
  <si>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Grupos, Perfis, Usuário de Sistema, etc.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</si>
  <si>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</si>
  <si>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</si>
  <si>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</si>
  <si>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</si>
  <si>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</si>
  <si>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</si>
  <si>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</si>
  <si>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</si>
  <si>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</si>
  <si>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</si>
  <si>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</si>
  <si>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</si>
  <si>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</si>
  <si>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</si>
  <si>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</si>
  <si>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</si>
  <si>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</si>
  <si>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</si>
  <si>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</si>
  <si>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</si>
  <si>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</si>
  <si>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</si>
  <si>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</si>
  <si>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</si>
  <si>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</si>
  <si>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</si>
  <si>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</si>
  <si>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</si>
  <si>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</si>
  <si>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</si>
  <si>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</si>
  <si>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</si>
  <si>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</si>
  <si>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</si>
  <si>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</si>
  <si>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</si>
  <si>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</si>
  <si>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</si>
  <si>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</si>
  <si>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</si>
  <si>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</si>
  <si>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</si>
  <si>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</si>
  <si>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</si>
  <si>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</si>
  <si>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</si>
  <si>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</si>
  <si>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</si>
  <si>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</si>
  <si>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</si>
  <si>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</si>
  <si>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</si>
  <si>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</si>
  <si>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</si>
  <si>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</si>
  <si>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</si>
  <si>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</si>
  <si>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</si>
  <si>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</si>
  <si>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</si>
  <si>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</si>
  <si>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Autenticação, Usuário de Sistema expirado, etc.</t>
  </si>
  <si>
    <t>Criação de Diretórios de Rede, Alteração de Nome de Diretório de Rede, Configuração de Cota (espaço de armazenamento), etc.</t>
  </si>
  <si>
    <t>Diretório não acessível, falta de espaço em Diretório, etc.</t>
  </si>
  <si>
    <t>Firewall</t>
  </si>
  <si>
    <t>Inclusão ou Alteração de Regra de Fiwewall</t>
  </si>
  <si>
    <t>Solicitações gerais relacionadas a Proxy</t>
  </si>
  <si>
    <t>Solicitações gerais relacionadas a File Server</t>
  </si>
  <si>
    <t>Erro ou Falha relacionado a File Server</t>
  </si>
  <si>
    <t>Solicitações gerais relacionadas a DNS</t>
  </si>
  <si>
    <t>Solicitações gerais relacionadas a DHCP</t>
  </si>
  <si>
    <t>Solicitações gerais relacionadas a AD - Active Directory</t>
  </si>
  <si>
    <t>Erro ou Falha relacionado a AD - Active Directory</t>
  </si>
  <si>
    <t>Network / Link</t>
  </si>
  <si>
    <t>Problemas com Roteadores ou Switches, ex.: Problemas de conexão na rede LAN ou WAN (MPLS ou Internet).</t>
  </si>
  <si>
    <t>Solicitações sobre Roteadores ou Switches, ex.: Inclusão ou Alteração de Rotas, Criação de NAT, etc.</t>
  </si>
  <si>
    <t>Erro ou Falha relacionado a Rede LAN (local), Rede WAN (MPLS ou Internet) e VPN.</t>
  </si>
  <si>
    <t>Solicitações gerais relacionadas a Rede LAN (local), Rede WAN (MPLS ou Internet) e VPN.</t>
  </si>
  <si>
    <t>Criação ou alteração de grupos ou perfis de acesso à Internet no Proxy, etc.</t>
  </si>
  <si>
    <t>Inclusão ou Alteração de Regra de Firewall, etc.</t>
  </si>
  <si>
    <t>Restart, Instância, ELB, Routing Table, RDS, etc.</t>
  </si>
  <si>
    <t>(vazio)</t>
  </si>
  <si>
    <t>Inclusão de novo range DHCP, Fixar IP, etc.</t>
  </si>
  <si>
    <t>Incluir URL, Inclusão de alias DNS, criação de entradas DNS,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</si>
</sst>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37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2" t="s">
        <v>1</v>
      </c>
      <c r="D2" s="52"/>
      <c r="E2" s="52"/>
      <c r="F2" s="52"/>
      <c r="G2" s="52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3" t="s">
        <v>7</v>
      </c>
      <c r="D3" s="53"/>
      <c r="E3" s="53"/>
      <c r="F3" s="53"/>
      <c r="G3" s="53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3"/>
      <c r="D4" s="53"/>
      <c r="E4" s="53"/>
      <c r="F4" s="53"/>
      <c r="G4" s="53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5" t="s">
        <v>1</v>
      </c>
      <c r="D2" s="55"/>
      <c r="E2" s="55"/>
      <c r="F2" s="55"/>
      <c r="G2" s="55"/>
      <c r="H2" s="55"/>
      <c r="I2" s="55"/>
      <c r="J2" s="55"/>
      <c r="K2" s="20"/>
      <c r="L2" s="20"/>
      <c r="M2" s="27"/>
    </row>
    <row r="3" spans="1:13" ht="15" customHeight="1" x14ac:dyDescent="0.25">
      <c r="A3" s="34"/>
      <c r="B3" s="34"/>
      <c r="C3" s="54" t="s">
        <v>0</v>
      </c>
      <c r="D3" s="54"/>
      <c r="E3" s="54"/>
      <c r="F3" s="54"/>
      <c r="G3" s="54"/>
      <c r="H3" s="54"/>
      <c r="I3" s="54"/>
      <c r="J3" s="54"/>
      <c r="K3" s="3"/>
      <c r="L3" s="3"/>
      <c r="M3" s="27"/>
    </row>
    <row r="4" spans="1:13" ht="15" customHeight="1" x14ac:dyDescent="0.25">
      <c r="A4" s="34"/>
      <c r="B4" s="34"/>
      <c r="C4" s="54"/>
      <c r="D4" s="54"/>
      <c r="E4" s="54"/>
      <c r="F4" s="54"/>
      <c r="G4" s="54"/>
      <c r="H4" s="54"/>
      <c r="I4" s="54"/>
      <c r="J4" s="5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72</v>
      </c>
      <c r="B30" s="37" t="s">
        <v>34</v>
      </c>
      <c r="C30" s="21" t="s">
        <v>284</v>
      </c>
      <c r="D30" s="24" t="s">
        <v>285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303</v>
      </c>
    </row>
    <row r="31" spans="1:13" s="25" customFormat="1" ht="51" customHeight="1" x14ac:dyDescent="0.25">
      <c r="A31" s="35" t="s">
        <v>72</v>
      </c>
      <c r="B31" s="37" t="s">
        <v>34</v>
      </c>
      <c r="C31" s="21" t="s">
        <v>283</v>
      </c>
      <c r="D31" s="21" t="s">
        <v>283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303</v>
      </c>
    </row>
    <row r="32" spans="1:13" s="25" customFormat="1" ht="51" customHeight="1" x14ac:dyDescent="0.25">
      <c r="A32" s="35" t="s">
        <v>72</v>
      </c>
      <c r="B32" s="37" t="s">
        <v>26</v>
      </c>
      <c r="C32" s="21" t="s">
        <v>287</v>
      </c>
      <c r="D32" s="21" t="s">
        <v>286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302</v>
      </c>
    </row>
    <row r="33" spans="1:13" s="25" customFormat="1" ht="51" customHeight="1" x14ac:dyDescent="0.25">
      <c r="A33" s="35" t="s">
        <v>72</v>
      </c>
      <c r="B33" s="37" t="s">
        <v>26</v>
      </c>
      <c r="C33" s="21" t="s">
        <v>288</v>
      </c>
      <c r="D33" s="24" t="s">
        <v>289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302</v>
      </c>
    </row>
    <row r="34" spans="1:13" s="25" customFormat="1" ht="51" customHeight="1" x14ac:dyDescent="0.25">
      <c r="A34" s="35" t="s">
        <v>72</v>
      </c>
      <c r="B34" s="37" t="s">
        <v>26</v>
      </c>
      <c r="C34" s="21" t="s">
        <v>290</v>
      </c>
      <c r="D34" s="24" t="s">
        <v>291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302</v>
      </c>
    </row>
    <row r="35" spans="1:13" s="25" customFormat="1" ht="51" customHeight="1" x14ac:dyDescent="0.25">
      <c r="A35" s="35" t="s">
        <v>72</v>
      </c>
      <c r="B35" s="37" t="s">
        <v>26</v>
      </c>
      <c r="C35" s="21" t="s">
        <v>292</v>
      </c>
      <c r="D35" s="24" t="s">
        <v>293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302</v>
      </c>
    </row>
    <row r="36" spans="1:13" s="25" customFormat="1" ht="51" customHeight="1" x14ac:dyDescent="0.25">
      <c r="A36" s="35" t="s">
        <v>72</v>
      </c>
      <c r="B36" s="37" t="s">
        <v>26</v>
      </c>
      <c r="C36" s="21" t="s">
        <v>294</v>
      </c>
      <c r="D36" s="24" t="s">
        <v>296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302</v>
      </c>
    </row>
    <row r="37" spans="1:13" s="25" customFormat="1" ht="51" customHeight="1" x14ac:dyDescent="0.25">
      <c r="A37" s="35" t="s">
        <v>72</v>
      </c>
      <c r="B37" s="37" t="s">
        <v>26</v>
      </c>
      <c r="C37" s="21" t="s">
        <v>295</v>
      </c>
      <c r="D37" s="24" t="s">
        <v>297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302</v>
      </c>
    </row>
    <row r="38" spans="1:13" s="25" customFormat="1" ht="51" customHeight="1" x14ac:dyDescent="0.25">
      <c r="A38" s="35" t="s">
        <v>72</v>
      </c>
      <c r="B38" s="37" t="s">
        <v>26</v>
      </c>
      <c r="C38" s="21" t="s">
        <v>298</v>
      </c>
      <c r="D38" s="21" t="s">
        <v>298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302</v>
      </c>
    </row>
    <row r="39" spans="1:13" s="25" customFormat="1" ht="51" customHeight="1" x14ac:dyDescent="0.25">
      <c r="A39" s="35" t="s">
        <v>72</v>
      </c>
      <c r="B39" s="37" t="s">
        <v>26</v>
      </c>
      <c r="C39" s="21" t="s">
        <v>299</v>
      </c>
      <c r="D39" s="21" t="s">
        <v>299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302</v>
      </c>
    </row>
    <row r="40" spans="1:13" s="25" customFormat="1" ht="51" customHeight="1" x14ac:dyDescent="0.25">
      <c r="A40" s="35" t="s">
        <v>72</v>
      </c>
      <c r="B40" s="37" t="s">
        <v>26</v>
      </c>
      <c r="C40" s="21" t="s">
        <v>300</v>
      </c>
      <c r="D40" s="24" t="s">
        <v>301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302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8" priority="3" operator="greaterThan">
      <formula>104</formula>
    </cfRule>
  </conditionalFormatting>
  <dataValidations count="1">
    <dataValidation type="list" allowBlank="1" showInputMessage="1" showErrorMessage="1" sqref="L39:L40 K39:K40 K7:L3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28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C15" sqref="C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5" t="s">
        <v>1</v>
      </c>
      <c r="D2" s="55"/>
      <c r="E2" s="55"/>
      <c r="F2" s="55"/>
      <c r="G2" s="55"/>
      <c r="H2" s="55"/>
      <c r="I2" s="55"/>
      <c r="J2" s="55"/>
      <c r="K2" s="20"/>
      <c r="L2" s="20"/>
      <c r="M2" s="27"/>
    </row>
    <row r="3" spans="1:13" ht="15" customHeight="1" x14ac:dyDescent="0.25">
      <c r="A3" s="34"/>
      <c r="B3" s="34"/>
      <c r="C3" s="54" t="s">
        <v>0</v>
      </c>
      <c r="D3" s="54"/>
      <c r="E3" s="54"/>
      <c r="F3" s="54"/>
      <c r="G3" s="54"/>
      <c r="H3" s="54"/>
      <c r="I3" s="54"/>
      <c r="J3" s="54"/>
      <c r="K3" s="3"/>
      <c r="L3" s="3"/>
      <c r="M3" s="27"/>
    </row>
    <row r="4" spans="1:13" ht="15" customHeight="1" x14ac:dyDescent="0.25">
      <c r="A4" s="34"/>
      <c r="B4" s="34"/>
      <c r="C4" s="54"/>
      <c r="D4" s="54"/>
      <c r="E4" s="54"/>
      <c r="F4" s="54"/>
      <c r="G4" s="54"/>
      <c r="H4" s="54"/>
      <c r="I4" s="54"/>
      <c r="J4" s="5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196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8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197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198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199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200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201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202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203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204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205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206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207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208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209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210</v>
      </c>
    </row>
    <row r="22" spans="1:13" s="25" customFormat="1" ht="51" customHeight="1" x14ac:dyDescent="0.25">
      <c r="A22" s="49" t="s">
        <v>107</v>
      </c>
      <c r="B22" s="43" t="s">
        <v>277</v>
      </c>
      <c r="C22" s="24" t="s">
        <v>276</v>
      </c>
      <c r="D22" s="24" t="s">
        <v>278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279</v>
      </c>
    </row>
    <row r="23" spans="1:13" s="25" customFormat="1" ht="51" customHeight="1" x14ac:dyDescent="0.25">
      <c r="A23" s="43" t="s">
        <v>107</v>
      </c>
      <c r="B23" s="43" t="s">
        <v>136</v>
      </c>
      <c r="C23" s="24" t="s">
        <v>213</v>
      </c>
      <c r="D23" s="24" t="s">
        <v>214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215</v>
      </c>
    </row>
    <row r="24" spans="1:13" s="25" customFormat="1" ht="51" customHeight="1" x14ac:dyDescent="0.25">
      <c r="A24" s="43" t="s">
        <v>107</v>
      </c>
      <c r="B24" s="43" t="s">
        <v>136</v>
      </c>
      <c r="C24" s="24" t="s">
        <v>137</v>
      </c>
      <c r="D24" s="24" t="s">
        <v>137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216</v>
      </c>
    </row>
    <row r="25" spans="1:13" s="25" customFormat="1" ht="51" customHeight="1" x14ac:dyDescent="0.25">
      <c r="A25" s="43" t="s">
        <v>107</v>
      </c>
      <c r="B25" s="43" t="s">
        <v>138</v>
      </c>
      <c r="C25" s="24" t="s">
        <v>217</v>
      </c>
      <c r="D25" s="24" t="s">
        <v>242</v>
      </c>
      <c r="E25" s="40">
        <f t="shared" si="0"/>
        <v>64</v>
      </c>
      <c r="F25" s="24" t="s">
        <v>18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222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218</v>
      </c>
      <c r="D26" s="24" t="s">
        <v>243</v>
      </c>
      <c r="E26" s="40">
        <f t="shared" ref="E26" si="2">LEN(D26)</f>
        <v>20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221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219</v>
      </c>
      <c r="D27" s="24" t="s">
        <v>242</v>
      </c>
      <c r="E27" s="40">
        <f t="shared" si="0"/>
        <v>64</v>
      </c>
      <c r="F27" s="21" t="s">
        <v>51</v>
      </c>
      <c r="G27" s="21"/>
      <c r="H27" s="21"/>
      <c r="I27" s="21"/>
      <c r="J27" s="21"/>
      <c r="K27" s="46" t="s">
        <v>15</v>
      </c>
      <c r="L27" s="46" t="s">
        <v>15</v>
      </c>
      <c r="M27" s="24" t="s">
        <v>223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220</v>
      </c>
      <c r="D28" s="24" t="s">
        <v>243</v>
      </c>
      <c r="E28" s="40">
        <f t="shared" si="0"/>
        <v>20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224</v>
      </c>
    </row>
  </sheetData>
  <mergeCells count="2">
    <mergeCell ref="C2:J2"/>
    <mergeCell ref="C3:J4"/>
  </mergeCells>
  <conditionalFormatting sqref="E7:E21 E27:E28 E23:E25">
    <cfRule type="cellIs" dxfId="7" priority="5" operator="greaterThan">
      <formula>104</formula>
    </cfRule>
  </conditionalFormatting>
  <conditionalFormatting sqref="E26">
    <cfRule type="cellIs" dxfId="6" priority="2" operator="greaterThan">
      <formula>104</formula>
    </cfRule>
  </conditionalFormatting>
  <conditionalFormatting sqref="E22">
    <cfRule type="cellIs" dxfId="5" priority="1" operator="greaterThan">
      <formula>104</formula>
    </cfRule>
  </conditionalFormatting>
  <dataValidations count="1">
    <dataValidation type="list" allowBlank="1" showInputMessage="1" showErrorMessage="1" sqref="K7:L2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5" t="s">
        <v>1</v>
      </c>
      <c r="D2" s="55"/>
      <c r="E2" s="55"/>
      <c r="F2" s="55"/>
      <c r="G2" s="55"/>
      <c r="H2" s="55"/>
      <c r="I2" s="55"/>
      <c r="J2" s="20"/>
      <c r="K2" s="20"/>
      <c r="L2" s="27"/>
    </row>
    <row r="3" spans="1:12" ht="15" customHeight="1" x14ac:dyDescent="0.25">
      <c r="A3" s="34"/>
      <c r="B3" s="34"/>
      <c r="C3" s="54" t="s">
        <v>0</v>
      </c>
      <c r="D3" s="54"/>
      <c r="E3" s="54"/>
      <c r="F3" s="54"/>
      <c r="G3" s="54"/>
      <c r="H3" s="54"/>
      <c r="I3" s="54"/>
      <c r="J3" s="3"/>
      <c r="K3" s="3"/>
      <c r="L3" s="27"/>
    </row>
    <row r="4" spans="1:12" ht="15" customHeight="1" x14ac:dyDescent="0.25">
      <c r="A4" s="34"/>
      <c r="B4" s="34"/>
      <c r="C4" s="54"/>
      <c r="D4" s="54"/>
      <c r="E4" s="54"/>
      <c r="F4" s="54"/>
      <c r="G4" s="54"/>
      <c r="H4" s="54"/>
      <c r="I4" s="54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42341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150</v>
      </c>
      <c r="B7" s="37" t="s">
        <v>158</v>
      </c>
      <c r="C7" s="21" t="s">
        <v>336</v>
      </c>
      <c r="D7" s="24" t="s">
        <v>151</v>
      </c>
      <c r="E7" s="33" t="s">
        <v>51</v>
      </c>
      <c r="F7" s="21"/>
      <c r="G7" s="21"/>
      <c r="H7" s="22"/>
      <c r="I7" s="22"/>
      <c r="J7" s="23"/>
      <c r="K7" s="23"/>
      <c r="L7" s="24" t="s">
        <v>159</v>
      </c>
    </row>
    <row r="8" spans="1:12" s="25" customFormat="1" ht="51" customHeight="1" x14ac:dyDescent="0.25">
      <c r="A8" s="35" t="s">
        <v>150</v>
      </c>
      <c r="B8" s="37" t="s">
        <v>158</v>
      </c>
      <c r="C8" s="21" t="s">
        <v>335</v>
      </c>
      <c r="D8" s="24" t="s">
        <v>152</v>
      </c>
      <c r="E8" s="33" t="s">
        <v>51</v>
      </c>
      <c r="F8" s="21"/>
      <c r="G8" s="21"/>
      <c r="H8" s="22"/>
      <c r="I8" s="22"/>
      <c r="J8" s="23"/>
      <c r="K8" s="23"/>
      <c r="L8" s="24" t="s">
        <v>159</v>
      </c>
    </row>
    <row r="9" spans="1:12" s="25" customFormat="1" ht="51" customHeight="1" x14ac:dyDescent="0.25">
      <c r="A9" s="35" t="s">
        <v>150</v>
      </c>
      <c r="B9" s="37" t="s">
        <v>158</v>
      </c>
      <c r="C9" s="21" t="s">
        <v>334</v>
      </c>
      <c r="D9" s="24" t="s">
        <v>153</v>
      </c>
      <c r="E9" s="33" t="s">
        <v>51</v>
      </c>
      <c r="F9" s="21"/>
      <c r="G9" s="21"/>
      <c r="H9" s="21"/>
      <c r="I9" s="21"/>
      <c r="J9" s="23"/>
      <c r="K9" s="23"/>
      <c r="L9" s="24" t="s">
        <v>159</v>
      </c>
    </row>
    <row r="10" spans="1:12" s="25" customFormat="1" ht="51" customHeight="1" x14ac:dyDescent="0.25">
      <c r="A10" s="35" t="s">
        <v>150</v>
      </c>
      <c r="B10" s="37" t="s">
        <v>158</v>
      </c>
      <c r="C10" s="21" t="s">
        <v>331</v>
      </c>
      <c r="D10" s="24" t="s">
        <v>154</v>
      </c>
      <c r="E10" s="33" t="s">
        <v>51</v>
      </c>
      <c r="F10" s="21"/>
      <c r="G10" s="21"/>
      <c r="H10" s="22"/>
      <c r="I10" s="22"/>
      <c r="J10" s="23"/>
      <c r="K10" s="23"/>
      <c r="L10" s="24" t="s">
        <v>159</v>
      </c>
    </row>
    <row r="11" spans="1:12" s="25" customFormat="1" ht="51" customHeight="1" x14ac:dyDescent="0.25">
      <c r="A11" s="35" t="s">
        <v>150</v>
      </c>
      <c r="B11" s="37" t="s">
        <v>158</v>
      </c>
      <c r="C11" s="21" t="s">
        <v>330</v>
      </c>
      <c r="D11" s="24" t="s">
        <v>155</v>
      </c>
      <c r="E11" s="33" t="s">
        <v>51</v>
      </c>
      <c r="F11" s="21"/>
      <c r="G11" s="21"/>
      <c r="H11" s="22"/>
      <c r="I11" s="22"/>
      <c r="J11" s="23"/>
      <c r="K11" s="23"/>
      <c r="L11" s="24" t="s">
        <v>159</v>
      </c>
    </row>
    <row r="12" spans="1:12" s="25" customFormat="1" ht="51" customHeight="1" x14ac:dyDescent="0.25">
      <c r="A12" s="35" t="s">
        <v>150</v>
      </c>
      <c r="B12" s="37" t="s">
        <v>158</v>
      </c>
      <c r="C12" s="21" t="s">
        <v>332</v>
      </c>
      <c r="D12" s="24" t="s">
        <v>156</v>
      </c>
      <c r="E12" s="33" t="s">
        <v>51</v>
      </c>
      <c r="F12" s="21"/>
      <c r="G12" s="21"/>
      <c r="H12" s="22"/>
      <c r="I12" s="22"/>
      <c r="J12" s="23"/>
      <c r="K12" s="23"/>
      <c r="L12" s="24" t="s">
        <v>159</v>
      </c>
    </row>
    <row r="13" spans="1:12" s="25" customFormat="1" ht="51" customHeight="1" x14ac:dyDescent="0.25">
      <c r="A13" s="35" t="s">
        <v>150</v>
      </c>
      <c r="B13" s="37" t="s">
        <v>158</v>
      </c>
      <c r="C13" s="21" t="s">
        <v>333</v>
      </c>
      <c r="D13" s="24" t="s">
        <v>157</v>
      </c>
      <c r="E13" s="33" t="s">
        <v>51</v>
      </c>
      <c r="F13" s="21"/>
      <c r="G13" s="21"/>
      <c r="H13" s="22"/>
      <c r="I13" s="22"/>
      <c r="J13" s="23"/>
      <c r="K13" s="23"/>
      <c r="L13" s="24" t="s">
        <v>159</v>
      </c>
    </row>
    <row r="14" spans="1:12" s="25" customFormat="1" ht="51" customHeight="1" x14ac:dyDescent="0.25">
      <c r="A14" s="35" t="s">
        <v>150</v>
      </c>
      <c r="B14" s="37" t="s">
        <v>340</v>
      </c>
      <c r="C14" s="21" t="s">
        <v>319</v>
      </c>
      <c r="D14" s="24" t="s">
        <v>320</v>
      </c>
      <c r="E14" s="33" t="s">
        <v>51</v>
      </c>
      <c r="F14" s="21"/>
      <c r="G14" s="21"/>
      <c r="H14" s="22"/>
      <c r="I14" s="22"/>
      <c r="J14" s="23"/>
      <c r="K14" s="23"/>
      <c r="L14" s="24" t="s">
        <v>165</v>
      </c>
    </row>
    <row r="15" spans="1:12" s="25" customFormat="1" ht="51" customHeight="1" x14ac:dyDescent="0.25">
      <c r="A15" s="35" t="s">
        <v>150</v>
      </c>
      <c r="B15" s="37" t="s">
        <v>340</v>
      </c>
      <c r="C15" s="21" t="s">
        <v>318</v>
      </c>
      <c r="D15" s="24" t="s">
        <v>321</v>
      </c>
      <c r="E15" s="33" t="s">
        <v>51</v>
      </c>
      <c r="F15" s="21"/>
      <c r="G15" s="21"/>
      <c r="H15" s="22"/>
      <c r="I15" s="22"/>
      <c r="J15" s="23"/>
      <c r="K15" s="23"/>
      <c r="L15" s="24" t="s">
        <v>165</v>
      </c>
    </row>
    <row r="16" spans="1:12" s="25" customFormat="1" ht="51" customHeight="1" x14ac:dyDescent="0.25">
      <c r="A16" s="35" t="s">
        <v>150</v>
      </c>
      <c r="B16" s="37" t="s">
        <v>340</v>
      </c>
      <c r="C16" s="21" t="s">
        <v>317</v>
      </c>
      <c r="D16" s="24" t="s">
        <v>322</v>
      </c>
      <c r="E16" s="33" t="s">
        <v>51</v>
      </c>
      <c r="F16" s="21"/>
      <c r="G16" s="21"/>
      <c r="H16" s="21"/>
      <c r="I16" s="21"/>
      <c r="J16" s="23"/>
      <c r="K16" s="23"/>
      <c r="L16" s="24" t="s">
        <v>165</v>
      </c>
    </row>
    <row r="17" spans="1:12" s="25" customFormat="1" ht="51" customHeight="1" x14ac:dyDescent="0.25">
      <c r="A17" s="35" t="s">
        <v>150</v>
      </c>
      <c r="B17" s="37" t="s">
        <v>340</v>
      </c>
      <c r="C17" s="21" t="s">
        <v>316</v>
      </c>
      <c r="D17" s="24" t="s">
        <v>323</v>
      </c>
      <c r="E17" s="33" t="s">
        <v>51</v>
      </c>
      <c r="F17" s="21"/>
      <c r="G17" s="21"/>
      <c r="H17" s="21"/>
      <c r="I17" s="21"/>
      <c r="J17" s="23"/>
      <c r="K17" s="23"/>
      <c r="L17" s="24" t="s">
        <v>165</v>
      </c>
    </row>
    <row r="18" spans="1:12" s="25" customFormat="1" ht="51" customHeight="1" x14ac:dyDescent="0.25">
      <c r="A18" s="35" t="s">
        <v>150</v>
      </c>
      <c r="B18" s="37" t="s">
        <v>340</v>
      </c>
      <c r="C18" s="21" t="s">
        <v>315</v>
      </c>
      <c r="D18" s="24" t="s">
        <v>324</v>
      </c>
      <c r="E18" s="33" t="s">
        <v>51</v>
      </c>
      <c r="F18" s="21"/>
      <c r="G18" s="21"/>
      <c r="H18" s="21"/>
      <c r="I18" s="21"/>
      <c r="J18" s="23"/>
      <c r="K18" s="23"/>
      <c r="L18" s="24" t="s">
        <v>165</v>
      </c>
    </row>
    <row r="19" spans="1:12" s="25" customFormat="1" ht="51" customHeight="1" x14ac:dyDescent="0.25">
      <c r="A19" s="35" t="s">
        <v>150</v>
      </c>
      <c r="B19" s="37" t="s">
        <v>340</v>
      </c>
      <c r="C19" s="21" t="s">
        <v>314</v>
      </c>
      <c r="D19" s="24" t="s">
        <v>325</v>
      </c>
      <c r="E19" s="33" t="s">
        <v>51</v>
      </c>
      <c r="F19" s="21"/>
      <c r="G19" s="21"/>
      <c r="H19" s="21"/>
      <c r="I19" s="21"/>
      <c r="J19" s="23"/>
      <c r="K19" s="23"/>
      <c r="L19" s="24" t="s">
        <v>165</v>
      </c>
    </row>
    <row r="20" spans="1:12" s="25" customFormat="1" ht="51" customHeight="1" x14ac:dyDescent="0.25">
      <c r="A20" s="35" t="s">
        <v>150</v>
      </c>
      <c r="B20" s="37" t="s">
        <v>340</v>
      </c>
      <c r="C20" s="21" t="s">
        <v>313</v>
      </c>
      <c r="D20" s="24" t="s">
        <v>326</v>
      </c>
      <c r="E20" s="33" t="s">
        <v>51</v>
      </c>
      <c r="F20" s="21"/>
      <c r="G20" s="21"/>
      <c r="H20" s="21"/>
      <c r="I20" s="21"/>
      <c r="J20" s="23"/>
      <c r="K20" s="23"/>
      <c r="L20" s="24" t="s">
        <v>165</v>
      </c>
    </row>
    <row r="21" spans="1:12" s="25" customFormat="1" ht="51" customHeight="1" x14ac:dyDescent="0.25">
      <c r="A21" s="35" t="s">
        <v>150</v>
      </c>
      <c r="B21" s="37" t="s">
        <v>340</v>
      </c>
      <c r="C21" s="21" t="s">
        <v>161</v>
      </c>
      <c r="D21" s="24" t="s">
        <v>162</v>
      </c>
      <c r="E21" s="38" t="s">
        <v>160</v>
      </c>
      <c r="F21" s="21"/>
      <c r="G21" s="21"/>
      <c r="H21" s="21"/>
      <c r="I21" s="21"/>
      <c r="J21" s="23"/>
      <c r="K21" s="23"/>
      <c r="L21" s="24" t="s">
        <v>166</v>
      </c>
    </row>
    <row r="22" spans="1:12" s="25" customFormat="1" ht="51" customHeight="1" x14ac:dyDescent="0.25">
      <c r="A22" s="35" t="s">
        <v>150</v>
      </c>
      <c r="B22" s="37" t="s">
        <v>341</v>
      </c>
      <c r="C22" s="21" t="s">
        <v>163</v>
      </c>
      <c r="D22" s="24" t="s">
        <v>164</v>
      </c>
      <c r="E22" s="38" t="s">
        <v>160</v>
      </c>
      <c r="F22" s="21"/>
      <c r="G22" s="21"/>
      <c r="H22" s="21"/>
      <c r="I22" s="21"/>
      <c r="J22" s="23"/>
      <c r="K22" s="23"/>
      <c r="L22" s="24" t="s">
        <v>166</v>
      </c>
    </row>
    <row r="23" spans="1:12" s="25" customFormat="1" ht="51" customHeight="1" x14ac:dyDescent="0.25">
      <c r="A23" s="35" t="s">
        <v>150</v>
      </c>
      <c r="B23" s="37" t="s">
        <v>339</v>
      </c>
      <c r="C23" s="21" t="s">
        <v>312</v>
      </c>
      <c r="D23" s="24" t="s">
        <v>327</v>
      </c>
      <c r="E23" s="21" t="s">
        <v>51</v>
      </c>
      <c r="F23" s="21"/>
      <c r="G23" s="21"/>
      <c r="H23" s="21"/>
      <c r="I23" s="21"/>
      <c r="J23" s="23"/>
      <c r="K23" s="23"/>
      <c r="L23" s="24" t="s">
        <v>167</v>
      </c>
    </row>
    <row r="24" spans="1:12" s="25" customFormat="1" ht="51" customHeight="1" x14ac:dyDescent="0.25">
      <c r="A24" s="35" t="s">
        <v>150</v>
      </c>
      <c r="B24" s="37" t="s">
        <v>339</v>
      </c>
      <c r="C24" s="24" t="s">
        <v>310</v>
      </c>
      <c r="D24" s="24" t="s">
        <v>328</v>
      </c>
      <c r="E24" s="21" t="s">
        <v>51</v>
      </c>
      <c r="F24" s="21"/>
      <c r="G24" s="21"/>
      <c r="H24" s="21"/>
      <c r="I24" s="21"/>
      <c r="J24" s="23"/>
      <c r="K24" s="23"/>
      <c r="L24" s="24" t="s">
        <v>169</v>
      </c>
    </row>
    <row r="25" spans="1:12" s="25" customFormat="1" ht="51" customHeight="1" x14ac:dyDescent="0.25">
      <c r="A25" s="35" t="s">
        <v>150</v>
      </c>
      <c r="B25" s="37" t="s">
        <v>339</v>
      </c>
      <c r="C25" s="24" t="s">
        <v>309</v>
      </c>
      <c r="D25" s="24" t="s">
        <v>168</v>
      </c>
      <c r="E25" s="38" t="s">
        <v>160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150</v>
      </c>
      <c r="B26" s="37" t="s">
        <v>339</v>
      </c>
      <c r="C26" s="24" t="s">
        <v>311</v>
      </c>
      <c r="D26" s="24" t="s">
        <v>328</v>
      </c>
      <c r="E26" s="21" t="s">
        <v>51</v>
      </c>
      <c r="F26" s="21"/>
      <c r="G26" s="21"/>
      <c r="H26" s="21"/>
      <c r="I26" s="21"/>
      <c r="J26" s="23"/>
      <c r="K26" s="23"/>
      <c r="L26" s="24" t="s">
        <v>169</v>
      </c>
    </row>
    <row r="27" spans="1:12" s="25" customFormat="1" ht="51" customHeight="1" x14ac:dyDescent="0.25">
      <c r="A27" s="35" t="s">
        <v>150</v>
      </c>
      <c r="B27" s="37" t="s">
        <v>339</v>
      </c>
      <c r="C27" s="24" t="s">
        <v>308</v>
      </c>
      <c r="D27" s="24" t="s">
        <v>168</v>
      </c>
      <c r="E27" s="38" t="s">
        <v>160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150</v>
      </c>
      <c r="B28" s="37" t="s">
        <v>339</v>
      </c>
      <c r="C28" s="21" t="s">
        <v>306</v>
      </c>
      <c r="D28" s="24" t="s">
        <v>170</v>
      </c>
      <c r="E28" s="21" t="s">
        <v>51</v>
      </c>
      <c r="F28" s="21"/>
      <c r="G28" s="21"/>
      <c r="H28" s="21"/>
      <c r="I28" s="21"/>
      <c r="J28" s="23"/>
      <c r="K28" s="23"/>
      <c r="L28" s="24" t="s">
        <v>171</v>
      </c>
    </row>
    <row r="29" spans="1:12" s="25" customFormat="1" ht="51" customHeight="1" x14ac:dyDescent="0.25">
      <c r="A29" s="35" t="s">
        <v>150</v>
      </c>
      <c r="B29" s="37" t="s">
        <v>339</v>
      </c>
      <c r="C29" s="21" t="s">
        <v>307</v>
      </c>
      <c r="D29" s="24" t="s">
        <v>172</v>
      </c>
      <c r="E29" s="38" t="s">
        <v>160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150</v>
      </c>
      <c r="B30" s="37" t="s">
        <v>339</v>
      </c>
      <c r="C30" s="21" t="s">
        <v>173</v>
      </c>
      <c r="D30" s="24" t="s">
        <v>174</v>
      </c>
      <c r="E30" s="21" t="s">
        <v>51</v>
      </c>
      <c r="F30" s="21"/>
      <c r="G30" s="21"/>
      <c r="H30" s="21"/>
      <c r="I30" s="21"/>
      <c r="J30" s="23"/>
      <c r="K30" s="23"/>
      <c r="L30" s="24" t="s">
        <v>171</v>
      </c>
    </row>
    <row r="31" spans="1:12" s="25" customFormat="1" ht="51" customHeight="1" x14ac:dyDescent="0.25">
      <c r="A31" s="35" t="s">
        <v>150</v>
      </c>
      <c r="B31" s="37" t="s">
        <v>339</v>
      </c>
      <c r="C31" s="21" t="s">
        <v>175</v>
      </c>
      <c r="D31" s="24" t="s">
        <v>176</v>
      </c>
      <c r="E31" s="38" t="s">
        <v>160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150</v>
      </c>
      <c r="B32" s="37" t="s">
        <v>339</v>
      </c>
      <c r="C32" s="21" t="s">
        <v>305</v>
      </c>
      <c r="D32" s="24" t="s">
        <v>329</v>
      </c>
      <c r="E32" s="21" t="s">
        <v>51</v>
      </c>
      <c r="F32" s="21"/>
      <c r="G32" s="21"/>
      <c r="H32" s="21"/>
      <c r="I32" s="21"/>
      <c r="J32" s="23"/>
      <c r="K32" s="23"/>
      <c r="L32" s="24" t="s">
        <v>177</v>
      </c>
    </row>
    <row r="33" spans="1:12" s="25" customFormat="1" ht="51" customHeight="1" x14ac:dyDescent="0.25">
      <c r="A33" s="35" t="s">
        <v>150</v>
      </c>
      <c r="B33" s="37" t="s">
        <v>339</v>
      </c>
      <c r="C33" s="21" t="s">
        <v>304</v>
      </c>
      <c r="D33" s="24" t="s">
        <v>178</v>
      </c>
      <c r="E33" s="38" t="s">
        <v>160</v>
      </c>
      <c r="F33" s="21"/>
      <c r="G33" s="21"/>
      <c r="H33" s="21"/>
      <c r="I33" s="21"/>
      <c r="J33" s="23"/>
      <c r="K33" s="23"/>
      <c r="L33" s="24" t="s">
        <v>167</v>
      </c>
    </row>
    <row r="34" spans="1:12" s="25" customFormat="1" ht="51" customHeight="1" x14ac:dyDescent="0.25">
      <c r="A34" s="35" t="s">
        <v>150</v>
      </c>
      <c r="B34" s="37" t="s">
        <v>339</v>
      </c>
      <c r="C34" s="21" t="s">
        <v>337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2"/>
  <sheetViews>
    <sheetView showGridLines="0" tabSelected="1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D20" sqref="D2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5" t="s">
        <v>1</v>
      </c>
      <c r="D2" s="55"/>
      <c r="E2" s="55"/>
      <c r="F2" s="55"/>
      <c r="G2" s="55"/>
      <c r="H2" s="55"/>
      <c r="I2" s="55"/>
      <c r="J2" s="55"/>
      <c r="K2" s="20"/>
      <c r="L2" s="20"/>
      <c r="M2" s="27"/>
    </row>
    <row r="3" spans="1:13" ht="15" customHeight="1" x14ac:dyDescent="0.25">
      <c r="A3" s="34"/>
      <c r="B3" s="34"/>
      <c r="C3" s="54" t="s">
        <v>0</v>
      </c>
      <c r="D3" s="54"/>
      <c r="E3" s="54"/>
      <c r="F3" s="54"/>
      <c r="G3" s="54"/>
      <c r="H3" s="54"/>
      <c r="I3" s="54"/>
      <c r="J3" s="54"/>
      <c r="K3" s="3"/>
      <c r="L3" s="3"/>
      <c r="M3" s="27"/>
    </row>
    <row r="4" spans="1:13" ht="15" customHeight="1" x14ac:dyDescent="0.25">
      <c r="A4" s="34"/>
      <c r="B4" s="34"/>
      <c r="C4" s="54"/>
      <c r="D4" s="54"/>
      <c r="E4" s="54"/>
      <c r="F4" s="54"/>
      <c r="G4" s="54"/>
      <c r="H4" s="54"/>
      <c r="I4" s="54"/>
      <c r="J4" s="5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35" t="s">
        <v>147</v>
      </c>
      <c r="B7" s="35" t="s">
        <v>251</v>
      </c>
      <c r="C7" s="21" t="s">
        <v>253</v>
      </c>
      <c r="D7" s="24" t="s">
        <v>252</v>
      </c>
      <c r="E7" s="40">
        <f>LEN(D7)</f>
        <v>55</v>
      </c>
      <c r="F7" s="44" t="s">
        <v>241</v>
      </c>
      <c r="G7" s="46" t="s">
        <v>227</v>
      </c>
      <c r="H7" s="46" t="s">
        <v>226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256</v>
      </c>
    </row>
    <row r="8" spans="1:13" s="25" customFormat="1" ht="114.75" x14ac:dyDescent="0.25">
      <c r="A8" s="35" t="s">
        <v>147</v>
      </c>
      <c r="B8" s="35" t="s">
        <v>251</v>
      </c>
      <c r="C8" s="21" t="s">
        <v>254</v>
      </c>
      <c r="D8" s="24" t="s">
        <v>252</v>
      </c>
      <c r="E8" s="40">
        <f>LEN(D8)</f>
        <v>55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194</v>
      </c>
      <c r="K8" s="46" t="s">
        <v>15</v>
      </c>
      <c r="L8" s="46" t="s">
        <v>15</v>
      </c>
      <c r="M8" s="24" t="s">
        <v>257</v>
      </c>
    </row>
    <row r="9" spans="1:13" s="25" customFormat="1" ht="114.75" x14ac:dyDescent="0.25">
      <c r="A9" s="35" t="s">
        <v>147</v>
      </c>
      <c r="B9" s="35" t="s">
        <v>251</v>
      </c>
      <c r="C9" s="21" t="s">
        <v>255</v>
      </c>
      <c r="D9" s="24" t="s">
        <v>252</v>
      </c>
      <c r="E9" s="40">
        <f>LEN(D9)</f>
        <v>55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258</v>
      </c>
    </row>
    <row r="10" spans="1:13" s="25" customFormat="1" ht="51" customHeight="1" x14ac:dyDescent="0.25">
      <c r="A10" s="35" t="s">
        <v>147</v>
      </c>
      <c r="B10" s="35" t="s">
        <v>274</v>
      </c>
      <c r="C10" s="21" t="s">
        <v>267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51" customHeight="1" x14ac:dyDescent="0.25">
      <c r="A11" s="35" t="s">
        <v>147</v>
      </c>
      <c r="B11" s="35" t="s">
        <v>274</v>
      </c>
      <c r="C11" s="21" t="s">
        <v>249</v>
      </c>
      <c r="D11" s="24" t="s">
        <v>261</v>
      </c>
      <c r="E11" s="40">
        <f t="shared" ref="E11:E61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259</v>
      </c>
    </row>
    <row r="12" spans="1:13" s="25" customFormat="1" ht="51" customHeight="1" x14ac:dyDescent="0.25">
      <c r="A12" s="35" t="s">
        <v>147</v>
      </c>
      <c r="B12" s="35" t="s">
        <v>274</v>
      </c>
      <c r="C12" s="21" t="s">
        <v>148</v>
      </c>
      <c r="D12" s="24" t="s">
        <v>262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260</v>
      </c>
    </row>
    <row r="13" spans="1:13" s="25" customFormat="1" ht="51" customHeight="1" x14ac:dyDescent="0.25">
      <c r="A13" s="35" t="s">
        <v>147</v>
      </c>
      <c r="B13" s="35" t="s">
        <v>274</v>
      </c>
      <c r="C13" s="21" t="s">
        <v>149</v>
      </c>
      <c r="D13" s="24" t="s">
        <v>263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ht="51" customHeight="1" x14ac:dyDescent="0.25">
      <c r="A14" s="35" t="s">
        <v>147</v>
      </c>
      <c r="B14" s="35" t="s">
        <v>274</v>
      </c>
      <c r="C14" s="21" t="s">
        <v>247</v>
      </c>
      <c r="D14" s="24" t="s">
        <v>264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ht="51" customHeight="1" x14ac:dyDescent="0.25">
      <c r="A15" s="35" t="s">
        <v>147</v>
      </c>
      <c r="B15" s="35" t="s">
        <v>274</v>
      </c>
      <c r="C15" s="21" t="s">
        <v>250</v>
      </c>
      <c r="D15" s="24" t="s">
        <v>265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ht="51" customHeight="1" x14ac:dyDescent="0.25">
      <c r="A16" s="35" t="s">
        <v>147</v>
      </c>
      <c r="B16" s="35" t="s">
        <v>274</v>
      </c>
      <c r="C16" s="21" t="s">
        <v>248</v>
      </c>
      <c r="D16" s="24" t="s">
        <v>266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ht="51" customHeight="1" x14ac:dyDescent="0.25">
      <c r="A17" s="35" t="s">
        <v>147</v>
      </c>
      <c r="B17" s="35" t="s">
        <v>275</v>
      </c>
      <c r="C17" s="21" t="s">
        <v>268</v>
      </c>
      <c r="D17" s="24" t="s">
        <v>361</v>
      </c>
      <c r="E17" s="40">
        <f t="shared" si="0"/>
        <v>49</v>
      </c>
      <c r="F17" s="24" t="s">
        <v>18</v>
      </c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35" t="s">
        <v>147</v>
      </c>
      <c r="B18" s="35" t="s">
        <v>271</v>
      </c>
      <c r="C18" s="21" t="s">
        <v>353</v>
      </c>
      <c r="D18" s="24" t="s">
        <v>342</v>
      </c>
      <c r="E18" s="40">
        <f t="shared" si="0"/>
        <v>47</v>
      </c>
      <c r="F18" s="24" t="s">
        <v>51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 t="s">
        <v>147</v>
      </c>
      <c r="B19" s="35" t="s">
        <v>271</v>
      </c>
      <c r="C19" s="21" t="s">
        <v>352</v>
      </c>
      <c r="D19" s="24" t="s">
        <v>280</v>
      </c>
      <c r="E19" s="40">
        <f t="shared" si="0"/>
        <v>40</v>
      </c>
      <c r="F19" s="24" t="s">
        <v>18</v>
      </c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 t="s">
        <v>147</v>
      </c>
      <c r="B20" s="35" t="s">
        <v>273</v>
      </c>
      <c r="C20" s="21" t="s">
        <v>351</v>
      </c>
      <c r="D20" s="24" t="s">
        <v>363</v>
      </c>
      <c r="E20" s="40">
        <f t="shared" si="0"/>
        <v>43</v>
      </c>
      <c r="F20" s="24" t="s">
        <v>18</v>
      </c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 t="s">
        <v>147</v>
      </c>
      <c r="B21" s="35" t="s">
        <v>270</v>
      </c>
      <c r="C21" s="21" t="s">
        <v>350</v>
      </c>
      <c r="D21" s="21" t="s">
        <v>364</v>
      </c>
      <c r="E21" s="40">
        <f t="shared" si="0"/>
        <v>65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 t="s">
        <v>147</v>
      </c>
      <c r="B22" s="35" t="s">
        <v>272</v>
      </c>
      <c r="C22" s="21" t="s">
        <v>349</v>
      </c>
      <c r="D22" s="24" t="s">
        <v>344</v>
      </c>
      <c r="E22" s="40">
        <f t="shared" si="0"/>
        <v>59</v>
      </c>
      <c r="F22" s="24" t="s">
        <v>51</v>
      </c>
      <c r="G22" s="21"/>
      <c r="H22" s="21"/>
      <c r="I22" s="21"/>
      <c r="J22" s="21"/>
      <c r="K22" s="23"/>
      <c r="L22" s="23"/>
      <c r="M22" s="24"/>
    </row>
    <row r="23" spans="1:13" s="25" customFormat="1" ht="51" customHeight="1" x14ac:dyDescent="0.25">
      <c r="A23" s="35" t="s">
        <v>147</v>
      </c>
      <c r="B23" s="35" t="s">
        <v>272</v>
      </c>
      <c r="C23" s="21" t="s">
        <v>348</v>
      </c>
      <c r="D23" s="24" t="s">
        <v>343</v>
      </c>
      <c r="E23" s="40">
        <f t="shared" si="0"/>
        <v>123</v>
      </c>
      <c r="F23" s="24" t="s">
        <v>18</v>
      </c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 t="s">
        <v>147</v>
      </c>
      <c r="B24" s="35" t="s">
        <v>354</v>
      </c>
      <c r="C24" s="24" t="s">
        <v>357</v>
      </c>
      <c r="D24" s="24" t="s">
        <v>355</v>
      </c>
      <c r="E24" s="40">
        <f t="shared" si="0"/>
        <v>102</v>
      </c>
      <c r="F24" s="24" t="s">
        <v>51</v>
      </c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 t="s">
        <v>147</v>
      </c>
      <c r="B25" s="35" t="s">
        <v>354</v>
      </c>
      <c r="C25" s="24" t="s">
        <v>358</v>
      </c>
      <c r="D25" s="24" t="s">
        <v>356</v>
      </c>
      <c r="E25" s="40">
        <f t="shared" si="0"/>
        <v>100</v>
      </c>
      <c r="F25" s="24" t="s">
        <v>18</v>
      </c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 t="s">
        <v>147</v>
      </c>
      <c r="B26" s="35" t="s">
        <v>269</v>
      </c>
      <c r="C26" s="21" t="s">
        <v>347</v>
      </c>
      <c r="D26" s="24" t="s">
        <v>359</v>
      </c>
      <c r="E26" s="40">
        <f t="shared" si="0"/>
        <v>76</v>
      </c>
      <c r="F26" s="24" t="s">
        <v>18</v>
      </c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 t="s">
        <v>147</v>
      </c>
      <c r="B27" s="35" t="s">
        <v>345</v>
      </c>
      <c r="C27" s="21" t="s">
        <v>346</v>
      </c>
      <c r="D27" s="21" t="s">
        <v>360</v>
      </c>
      <c r="E27" s="40">
        <f t="shared" si="0"/>
        <v>48</v>
      </c>
      <c r="F27" s="21" t="s">
        <v>18</v>
      </c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2"/>
      <c r="J35" s="22"/>
      <c r="K35" s="23"/>
      <c r="L35" s="23"/>
      <c r="M35" s="24"/>
    </row>
    <row r="36" spans="1:13" s="25" customForma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2"/>
      <c r="J36" s="22"/>
      <c r="K36" s="23"/>
      <c r="L36" s="23"/>
      <c r="M36" s="24"/>
    </row>
    <row r="37" spans="1:13" s="25" customForma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2"/>
      <c r="J37" s="22"/>
      <c r="K37" s="23"/>
      <c r="L37" s="23"/>
      <c r="M37" s="24"/>
    </row>
    <row r="38" spans="1:13" s="25" customForma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2"/>
      <c r="J38" s="22"/>
      <c r="K38" s="23"/>
      <c r="L38" s="23"/>
      <c r="M38" s="24"/>
    </row>
    <row r="39" spans="1:13" s="25" customForma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2"/>
      <c r="J39" s="22"/>
      <c r="K39" s="23"/>
      <c r="L39" s="23"/>
      <c r="M39" s="24"/>
    </row>
    <row r="40" spans="1:13" s="25" customForma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 t="s">
        <v>15</v>
      </c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 t="s">
        <v>15</v>
      </c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 t="s">
        <v>15</v>
      </c>
      <c r="L61" s="23"/>
      <c r="M61" s="24"/>
    </row>
    <row r="62" spans="1:13" x14ac:dyDescent="0.25">
      <c r="D62" s="48"/>
      <c r="K62" s="23" t="s">
        <v>15</v>
      </c>
    </row>
  </sheetData>
  <mergeCells count="2">
    <mergeCell ref="C2:J2"/>
    <mergeCell ref="C3:J4"/>
  </mergeCells>
  <conditionalFormatting sqref="E7:E59">
    <cfRule type="cellIs" dxfId="4" priority="3" operator="greaterThan">
      <formula>104</formula>
    </cfRule>
  </conditionalFormatting>
  <conditionalFormatting sqref="E60:E61">
    <cfRule type="cellIs" dxfId="3" priority="2" operator="greaterThan">
      <formula>104</formula>
    </cfRule>
  </conditionalFormatting>
  <dataValidations count="1">
    <dataValidation type="list" allowBlank="1" showInputMessage="1" showErrorMessage="1" sqref="L46:L61 K46:K62 K7:L4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1" activePane="bottomRight" state="frozen"/>
      <selection pane="topRight" activeCell="D1" sqref="D1"/>
      <selection pane="bottomLeft" activeCell="A7" sqref="A7"/>
      <selection pane="bottomRight" activeCell="D14" sqref="D1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5" t="s">
        <v>1</v>
      </c>
      <c r="D2" s="55"/>
      <c r="E2" s="55"/>
      <c r="F2" s="55"/>
      <c r="G2" s="55"/>
      <c r="H2" s="55"/>
      <c r="I2" s="55"/>
      <c r="J2" s="55"/>
      <c r="K2" s="20"/>
      <c r="L2" s="20"/>
      <c r="M2" s="27"/>
    </row>
    <row r="3" spans="1:13" ht="15" customHeight="1" x14ac:dyDescent="0.25">
      <c r="A3" s="34"/>
      <c r="B3" s="34"/>
      <c r="C3" s="54" t="s">
        <v>0</v>
      </c>
      <c r="D3" s="54"/>
      <c r="E3" s="54"/>
      <c r="F3" s="54"/>
      <c r="G3" s="54"/>
      <c r="H3" s="54"/>
      <c r="I3" s="54"/>
      <c r="J3" s="54"/>
      <c r="K3" s="3"/>
      <c r="L3" s="3"/>
      <c r="M3" s="27"/>
    </row>
    <row r="4" spans="1:13" ht="15" customHeight="1" x14ac:dyDescent="0.25">
      <c r="A4" s="34"/>
      <c r="B4" s="34"/>
      <c r="C4" s="54"/>
      <c r="D4" s="54"/>
      <c r="E4" s="54"/>
      <c r="F4" s="54"/>
      <c r="G4" s="54"/>
      <c r="H4" s="54"/>
      <c r="I4" s="54"/>
      <c r="J4" s="5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185</v>
      </c>
      <c r="B7" s="35" t="s">
        <v>184</v>
      </c>
      <c r="C7" s="21" t="s">
        <v>244</v>
      </c>
      <c r="D7" s="24" t="s">
        <v>186</v>
      </c>
      <c r="E7" s="40">
        <f>LEN(D7)</f>
        <v>33</v>
      </c>
      <c r="F7" s="44" t="s">
        <v>240</v>
      </c>
      <c r="G7" s="46" t="s">
        <v>227</v>
      </c>
      <c r="H7" s="46" t="s">
        <v>195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231</v>
      </c>
    </row>
    <row r="8" spans="1:13" s="25" customFormat="1" ht="102" x14ac:dyDescent="0.25">
      <c r="A8" s="35" t="s">
        <v>185</v>
      </c>
      <c r="B8" s="35" t="s">
        <v>184</v>
      </c>
      <c r="C8" s="21" t="s">
        <v>181</v>
      </c>
      <c r="D8" s="24" t="s">
        <v>190</v>
      </c>
      <c r="E8" s="40">
        <f t="shared" ref="E8:E15" si="0">LEN(D8)</f>
        <v>33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225</v>
      </c>
      <c r="K8" s="46" t="s">
        <v>15</v>
      </c>
      <c r="L8" s="46" t="s">
        <v>15</v>
      </c>
      <c r="M8" s="24" t="s">
        <v>234</v>
      </c>
    </row>
    <row r="9" spans="1:13" s="25" customFormat="1" ht="102" x14ac:dyDescent="0.25">
      <c r="A9" s="35" t="s">
        <v>185</v>
      </c>
      <c r="B9" s="35" t="s">
        <v>184</v>
      </c>
      <c r="C9" s="21" t="s">
        <v>182</v>
      </c>
      <c r="D9" s="24" t="s">
        <v>187</v>
      </c>
      <c r="E9" s="40">
        <f t="shared" si="0"/>
        <v>59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235</v>
      </c>
    </row>
    <row r="10" spans="1:13" s="25" customFormat="1" ht="102" x14ac:dyDescent="0.25">
      <c r="A10" s="35" t="s">
        <v>185</v>
      </c>
      <c r="B10" s="35" t="s">
        <v>184</v>
      </c>
      <c r="C10" s="21" t="s">
        <v>211</v>
      </c>
      <c r="D10" s="24" t="s">
        <v>212</v>
      </c>
      <c r="E10" s="40">
        <f t="shared" ref="E10" si="1">LEN(D10)</f>
        <v>63</v>
      </c>
      <c r="F10" s="44" t="s">
        <v>241</v>
      </c>
      <c r="G10" s="46" t="s">
        <v>227</v>
      </c>
      <c r="H10" s="46" t="s">
        <v>226</v>
      </c>
      <c r="I10" s="47" t="s">
        <v>246</v>
      </c>
      <c r="J10" s="47" t="s">
        <v>194</v>
      </c>
      <c r="K10" s="46" t="s">
        <v>15</v>
      </c>
      <c r="L10" s="46" t="s">
        <v>15</v>
      </c>
      <c r="M10" s="24" t="s">
        <v>236</v>
      </c>
    </row>
    <row r="11" spans="1:13" s="25" customFormat="1" ht="51" x14ac:dyDescent="0.25">
      <c r="A11" s="35" t="s">
        <v>185</v>
      </c>
      <c r="B11" s="35" t="s">
        <v>179</v>
      </c>
      <c r="C11" s="21" t="s">
        <v>245</v>
      </c>
      <c r="D11" s="24" t="s">
        <v>188</v>
      </c>
      <c r="E11" s="40">
        <f t="shared" si="0"/>
        <v>25</v>
      </c>
      <c r="F11" s="44" t="s">
        <v>240</v>
      </c>
      <c r="G11" s="46" t="s">
        <v>227</v>
      </c>
      <c r="H11" s="46" t="s">
        <v>195</v>
      </c>
      <c r="I11" s="47" t="s">
        <v>246</v>
      </c>
      <c r="J11" s="47" t="s">
        <v>194</v>
      </c>
      <c r="K11" s="46" t="s">
        <v>15</v>
      </c>
      <c r="L11" s="46" t="s">
        <v>15</v>
      </c>
      <c r="M11" s="24" t="s">
        <v>232</v>
      </c>
    </row>
    <row r="12" spans="1:13" s="25" customFormat="1" ht="63.75" x14ac:dyDescent="0.25">
      <c r="A12" s="35" t="s">
        <v>185</v>
      </c>
      <c r="B12" s="35" t="s">
        <v>179</v>
      </c>
      <c r="C12" s="21" t="s">
        <v>180</v>
      </c>
      <c r="D12" s="24" t="s">
        <v>189</v>
      </c>
      <c r="E12" s="40">
        <f t="shared" si="0"/>
        <v>26</v>
      </c>
      <c r="F12" s="44" t="s">
        <v>240</v>
      </c>
      <c r="G12" s="46" t="s">
        <v>227</v>
      </c>
      <c r="H12" s="46" t="s">
        <v>226</v>
      </c>
      <c r="I12" s="47" t="s">
        <v>246</v>
      </c>
      <c r="J12" s="47" t="s">
        <v>225</v>
      </c>
      <c r="K12" s="46" t="s">
        <v>15</v>
      </c>
      <c r="L12" s="46" t="s">
        <v>15</v>
      </c>
      <c r="M12" s="24" t="s">
        <v>233</v>
      </c>
    </row>
    <row r="13" spans="1:13" s="25" customFormat="1" ht="63.75" x14ac:dyDescent="0.25">
      <c r="A13" s="35" t="s">
        <v>185</v>
      </c>
      <c r="B13" s="35" t="s">
        <v>179</v>
      </c>
      <c r="C13" s="21" t="s">
        <v>183</v>
      </c>
      <c r="D13" s="24" t="s">
        <v>191</v>
      </c>
      <c r="E13" s="40">
        <f t="shared" si="0"/>
        <v>55</v>
      </c>
      <c r="F13" s="44" t="s">
        <v>240</v>
      </c>
      <c r="G13" s="46" t="s">
        <v>227</v>
      </c>
      <c r="H13" s="46" t="s">
        <v>226</v>
      </c>
      <c r="I13" s="47" t="s">
        <v>246</v>
      </c>
      <c r="J13" s="47" t="s">
        <v>194</v>
      </c>
      <c r="K13" s="46" t="s">
        <v>15</v>
      </c>
      <c r="L13" s="46" t="s">
        <v>15</v>
      </c>
      <c r="M13" s="24" t="s">
        <v>237</v>
      </c>
    </row>
    <row r="14" spans="1:13" s="25" customFormat="1" ht="102" x14ac:dyDescent="0.25">
      <c r="A14" s="35" t="s">
        <v>185</v>
      </c>
      <c r="B14" s="35" t="s">
        <v>192</v>
      </c>
      <c r="C14" s="24" t="s">
        <v>228</v>
      </c>
      <c r="D14" s="24" t="s">
        <v>229</v>
      </c>
      <c r="E14" s="40">
        <f t="shared" si="0"/>
        <v>62</v>
      </c>
      <c r="F14" s="44" t="s">
        <v>241</v>
      </c>
      <c r="G14" s="46" t="s">
        <v>227</v>
      </c>
      <c r="H14" s="46" t="s">
        <v>226</v>
      </c>
      <c r="I14" s="47" t="s">
        <v>246</v>
      </c>
      <c r="J14" s="47" t="s">
        <v>194</v>
      </c>
      <c r="K14" s="46" t="s">
        <v>15</v>
      </c>
      <c r="L14" s="46" t="s">
        <v>15</v>
      </c>
      <c r="M14" s="24" t="s">
        <v>238</v>
      </c>
    </row>
    <row r="15" spans="1:13" s="25" customFormat="1" ht="102" x14ac:dyDescent="0.25">
      <c r="A15" s="35" t="s">
        <v>185</v>
      </c>
      <c r="B15" s="35" t="s">
        <v>192</v>
      </c>
      <c r="C15" s="21" t="s">
        <v>193</v>
      </c>
      <c r="D15" s="24" t="s">
        <v>230</v>
      </c>
      <c r="E15" s="40">
        <f t="shared" si="0"/>
        <v>69</v>
      </c>
      <c r="F15" s="44" t="s">
        <v>241</v>
      </c>
      <c r="G15" s="46" t="s">
        <v>227</v>
      </c>
      <c r="H15" s="46" t="s">
        <v>226</v>
      </c>
      <c r="I15" s="47" t="s">
        <v>246</v>
      </c>
      <c r="J15" s="47" t="s">
        <v>194</v>
      </c>
      <c r="K15" s="46" t="s">
        <v>15</v>
      </c>
      <c r="L15" s="46" t="s">
        <v>15</v>
      </c>
      <c r="M15" s="24" t="s">
        <v>239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C15" zoomScale="235" zoomScaleNormal="235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6" t="s">
        <v>1</v>
      </c>
      <c r="C2" s="56"/>
      <c r="D2" s="56"/>
      <c r="E2" s="56"/>
      <c r="F2" s="56"/>
      <c r="G2" s="1"/>
    </row>
    <row r="3" spans="1:7" ht="15" customHeight="1" x14ac:dyDescent="0.25">
      <c r="A3" s="1"/>
      <c r="B3" s="54" t="s">
        <v>22</v>
      </c>
      <c r="C3" s="54"/>
      <c r="D3" s="54"/>
      <c r="E3" s="54"/>
      <c r="F3" s="31"/>
      <c r="G3" s="1"/>
    </row>
    <row r="4" spans="1:7" ht="15" customHeight="1" x14ac:dyDescent="0.25">
      <c r="A4" s="1"/>
      <c r="B4" s="54"/>
      <c r="C4" s="54"/>
      <c r="D4" s="54"/>
      <c r="E4" s="54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1" t="s">
        <v>338</v>
      </c>
    </row>
    <row r="8" spans="1:7" x14ac:dyDescent="0.25">
      <c r="A8" s="32" t="s">
        <v>8</v>
      </c>
      <c r="C8" s="16" t="s">
        <v>150</v>
      </c>
    </row>
    <row r="9" spans="1:7" x14ac:dyDescent="0.25">
      <c r="A9" s="32" t="s">
        <v>20</v>
      </c>
      <c r="C9" s="32" t="s">
        <v>158</v>
      </c>
    </row>
    <row r="10" spans="1:7" x14ac:dyDescent="0.25">
      <c r="A10" s="32" t="s">
        <v>23</v>
      </c>
      <c r="C10" s="32" t="s">
        <v>340</v>
      </c>
    </row>
    <row r="11" spans="1:7" x14ac:dyDescent="0.25">
      <c r="A11" s="32" t="s">
        <v>47</v>
      </c>
      <c r="C11" s="32" t="s">
        <v>341</v>
      </c>
    </row>
    <row r="12" spans="1:7" x14ac:dyDescent="0.25">
      <c r="A12" s="32" t="s">
        <v>48</v>
      </c>
      <c r="C12" s="32" t="s">
        <v>339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1" t="s">
        <v>338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251</v>
      </c>
    </row>
    <row r="19" spans="1:3" x14ac:dyDescent="0.25">
      <c r="A19" s="32" t="s">
        <v>24</v>
      </c>
      <c r="C19" s="32" t="s">
        <v>271</v>
      </c>
    </row>
    <row r="20" spans="1:3" x14ac:dyDescent="0.25">
      <c r="A20" s="32" t="s">
        <v>25</v>
      </c>
      <c r="C20" s="32" t="s">
        <v>275</v>
      </c>
    </row>
    <row r="21" spans="1:3" x14ac:dyDescent="0.25">
      <c r="A21" s="32" t="s">
        <v>32</v>
      </c>
      <c r="C21" s="32" t="s">
        <v>273</v>
      </c>
    </row>
    <row r="22" spans="1:3" x14ac:dyDescent="0.25">
      <c r="A22" s="32" t="s">
        <v>27</v>
      </c>
      <c r="C22" s="32" t="s">
        <v>270</v>
      </c>
    </row>
    <row r="23" spans="1:3" x14ac:dyDescent="0.25">
      <c r="A23" s="32" t="s">
        <v>29</v>
      </c>
      <c r="C23" s="32" t="s">
        <v>272</v>
      </c>
    </row>
    <row r="24" spans="1:3" x14ac:dyDescent="0.25">
      <c r="A24" s="16" t="s">
        <v>17</v>
      </c>
      <c r="C24" s="32" t="s">
        <v>345</v>
      </c>
    </row>
    <row r="25" spans="1:3" x14ac:dyDescent="0.25">
      <c r="C25" s="32" t="s">
        <v>274</v>
      </c>
    </row>
    <row r="26" spans="1:3" x14ac:dyDescent="0.25">
      <c r="C26" s="32" t="s">
        <v>354</v>
      </c>
    </row>
    <row r="27" spans="1:3" x14ac:dyDescent="0.25">
      <c r="C27" s="32" t="s">
        <v>269</v>
      </c>
    </row>
    <row r="28" spans="1:3" x14ac:dyDescent="0.25">
      <c r="C28" s="16" t="s">
        <v>362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281</v>
      </c>
      <c r="B1" t="s">
        <v>282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50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9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2015-12-03T21:43:36Z</dcterms:modified>
</cp:coreProperties>
</file>